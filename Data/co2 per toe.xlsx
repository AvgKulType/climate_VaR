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gar\Desktop\Pricing climate risk in shipping\"/>
    </mc:Choice>
  </mc:AlternateContent>
  <xr:revisionPtr revIDLastSave="0" documentId="13_ncr:1_{13F99141-D0EA-4A31-B451-7E50E6096007}" xr6:coauthVersionLast="47" xr6:coauthVersionMax="47" xr10:uidLastSave="{00000000-0000-0000-0000-000000000000}"/>
  <bookViews>
    <workbookView xWindow="14295" yWindow="0" windowWidth="14610" windowHeight="15585" xr2:uid="{41EC0CD7-9BD3-448A-A26E-D2E77DB5FFDB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6" i="1"/>
  <c r="G15" i="1"/>
  <c r="G14" i="1"/>
  <c r="G13" i="1"/>
  <c r="G12" i="1"/>
  <c r="F13" i="1"/>
  <c r="F14" i="1"/>
  <c r="F15" i="1"/>
  <c r="F16" i="1"/>
  <c r="F17" i="1"/>
  <c r="F18" i="1"/>
  <c r="F12" i="1"/>
  <c r="D13" i="1"/>
  <c r="D12" i="1"/>
  <c r="D14" i="1"/>
  <c r="E2" i="1"/>
  <c r="E3" i="1"/>
  <c r="E4" i="1"/>
  <c r="E6" i="1"/>
  <c r="E7" i="1"/>
  <c r="E8" i="1"/>
  <c r="E5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<sst xmlns="http://schemas.openxmlformats.org/spreadsheetml/2006/main" count="28" uniqueCount="20">
  <si>
    <t>IFO 380</t>
  </si>
  <si>
    <t>LSMGO</t>
  </si>
  <si>
    <t>LNG</t>
  </si>
  <si>
    <t>Methanol</t>
  </si>
  <si>
    <t>Biodisel</t>
  </si>
  <si>
    <t>Hydrogen</t>
  </si>
  <si>
    <t>Ammoniakk</t>
  </si>
  <si>
    <t>Co2 per toe</t>
  </si>
  <si>
    <t>MJ per KG fuel</t>
  </si>
  <si>
    <t>Utslepp Kg co2/KG fuel WTW</t>
  </si>
  <si>
    <t>KG i ein toe</t>
  </si>
  <si>
    <t>Sjekk om det er WTW eller TTW</t>
  </si>
  <si>
    <t>the FuelEU Maritime Regulation</t>
  </si>
  <si>
    <t>Source</t>
  </si>
  <si>
    <t>https://eur-lex.europa.eu/legal-content/EN/TXT/PDF/?uri=CELEX:32023R1805</t>
  </si>
  <si>
    <t>TtW Co2 per kg</t>
  </si>
  <si>
    <t>TtW Co2 per MJ</t>
  </si>
  <si>
    <t>LCV</t>
  </si>
  <si>
    <t>kg Co2 per TOE TtW</t>
  </si>
  <si>
    <t>TtW tonne Co2 per tonne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</si>
</sst>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D6930-EB85-4D5B-9647-BACE68247551}">
  <dimension ref="A1:G22"/>
  <sheetViews>
    <sheetView tabSelected="1" workbookViewId="0">
      <selection activeCell="G11" sqref="G11:G18"/>
    </sheetView>
  </sheetViews>
  <sheetFormatPr defaultRowHeight="15" x14ac:dyDescent="0.25"/>
  <cols>
    <col min="2" max="2" width="21" bestFit="1" customWidth="1"/>
    <col min="4" max="4" width="17.85546875" bestFit="1" customWidth="1"/>
  </cols>
  <sheetData>
    <row r="1" spans="1:7" x14ac:dyDescent="0.25">
      <c r="B1" t="s">
        <v>9</v>
      </c>
      <c r="D1" t="s">
        <v>8</v>
      </c>
      <c r="E1" t="s">
        <v>10</v>
      </c>
      <c r="F1" s="1" t="s">
        <v>7</v>
      </c>
    </row>
    <row r="2" spans="1:7" x14ac:dyDescent="0.25">
      <c r="A2" t="s">
        <v>0</v>
      </c>
      <c r="B2">
        <v>3.1509999999999998</v>
      </c>
      <c r="D2">
        <v>41</v>
      </c>
      <c r="E2">
        <f t="shared" ref="E2:E4" si="0">41.868/D2</f>
        <v>1.0211707317073171</v>
      </c>
      <c r="F2" s="2">
        <f>E2*B2</f>
        <v>3.2177089756097561</v>
      </c>
    </row>
    <row r="3" spans="1:7" x14ac:dyDescent="0.25">
      <c r="A3" t="s">
        <v>1</v>
      </c>
      <c r="B3">
        <v>3.206</v>
      </c>
      <c r="D3">
        <v>40.5</v>
      </c>
      <c r="E3">
        <f t="shared" si="0"/>
        <v>1.0337777777777779</v>
      </c>
      <c r="F3" s="2">
        <f t="shared" ref="F3:F8" si="1">E3*B3</f>
        <v>3.3142915555555561</v>
      </c>
    </row>
    <row r="4" spans="1:7" x14ac:dyDescent="0.25">
      <c r="A4" t="s">
        <v>2</v>
      </c>
      <c r="B4">
        <v>2.75</v>
      </c>
      <c r="D4">
        <v>49.1</v>
      </c>
      <c r="E4">
        <f t="shared" si="0"/>
        <v>0.85270875763747456</v>
      </c>
      <c r="F4" s="2">
        <f t="shared" si="1"/>
        <v>2.3449490835030549</v>
      </c>
    </row>
    <row r="5" spans="1:7" x14ac:dyDescent="0.25">
      <c r="A5" t="s">
        <v>3</v>
      </c>
      <c r="B5">
        <v>1.375</v>
      </c>
      <c r="D5">
        <v>20</v>
      </c>
      <c r="E5">
        <f>41.868/D5</f>
        <v>2.0933999999999999</v>
      </c>
      <c r="F5" s="2">
        <f t="shared" si="1"/>
        <v>2.878425</v>
      </c>
    </row>
    <row r="6" spans="1:7" x14ac:dyDescent="0.25">
      <c r="A6" t="s">
        <v>4</v>
      </c>
      <c r="B6">
        <v>3.1509999999999998</v>
      </c>
      <c r="D6">
        <v>37.200000000000003</v>
      </c>
      <c r="E6">
        <f t="shared" ref="E6:E8" si="2">41.868/D6</f>
        <v>1.1254838709677419</v>
      </c>
      <c r="F6" s="2">
        <f t="shared" si="1"/>
        <v>3.5463996774193545</v>
      </c>
    </row>
    <row r="7" spans="1:7" x14ac:dyDescent="0.25">
      <c r="A7" t="s">
        <v>5</v>
      </c>
      <c r="B7">
        <v>0</v>
      </c>
      <c r="D7">
        <v>120</v>
      </c>
      <c r="E7">
        <f t="shared" si="2"/>
        <v>0.34890000000000004</v>
      </c>
      <c r="F7" s="2">
        <f t="shared" si="1"/>
        <v>0</v>
      </c>
    </row>
    <row r="8" spans="1:7" ht="15.75" thickBot="1" x14ac:dyDescent="0.3">
      <c r="A8" t="s">
        <v>6</v>
      </c>
      <c r="B8">
        <v>0</v>
      </c>
      <c r="D8">
        <v>18.600000000000001</v>
      </c>
      <c r="E8">
        <f t="shared" si="2"/>
        <v>2.2509677419354839</v>
      </c>
      <c r="F8" s="3">
        <f t="shared" si="1"/>
        <v>0</v>
      </c>
    </row>
    <row r="9" spans="1:7" x14ac:dyDescent="0.25">
      <c r="B9" t="s">
        <v>11</v>
      </c>
    </row>
    <row r="10" spans="1:7" ht="15.75" thickBot="1" x14ac:dyDescent="0.3"/>
    <row r="11" spans="1:7" x14ac:dyDescent="0.25">
      <c r="B11" s="4" t="s">
        <v>16</v>
      </c>
      <c r="C11" s="5" t="s">
        <v>17</v>
      </c>
      <c r="D11" s="6" t="s">
        <v>19</v>
      </c>
      <c r="E11" t="s">
        <v>15</v>
      </c>
      <c r="F11" t="s">
        <v>10</v>
      </c>
      <c r="G11" s="1" t="s">
        <v>18</v>
      </c>
    </row>
    <row r="12" spans="1:7" x14ac:dyDescent="0.25">
      <c r="A12" t="s">
        <v>0</v>
      </c>
      <c r="B12" s="7">
        <v>13.2</v>
      </c>
      <c r="C12" s="8">
        <v>4.1000000000000002E-2</v>
      </c>
      <c r="D12" s="9">
        <f>B12*C12</f>
        <v>0.54120000000000001</v>
      </c>
      <c r="E12">
        <v>3.1139999999999999</v>
      </c>
      <c r="F12">
        <f>E2</f>
        <v>1.0211707317073171</v>
      </c>
      <c r="G12" s="2">
        <f>F12*E12</f>
        <v>3.1799256585365852</v>
      </c>
    </row>
    <row r="13" spans="1:7" x14ac:dyDescent="0.25">
      <c r="A13" t="s">
        <v>1</v>
      </c>
      <c r="B13" s="7">
        <v>4.2700000000000002E-2</v>
      </c>
      <c r="C13" s="8">
        <v>14.4</v>
      </c>
      <c r="D13" s="9">
        <f>B13*C13</f>
        <v>0.61488000000000009</v>
      </c>
      <c r="E13">
        <v>3.206</v>
      </c>
      <c r="F13">
        <f t="shared" ref="F13:F18" si="3">E3</f>
        <v>1.0337777777777779</v>
      </c>
      <c r="G13" s="2">
        <f t="shared" ref="G13:G18" si="4">F13*E13</f>
        <v>3.3142915555555561</v>
      </c>
    </row>
    <row r="14" spans="1:7" x14ac:dyDescent="0.25">
      <c r="A14" t="s">
        <v>2</v>
      </c>
      <c r="B14" s="7">
        <v>18.5</v>
      </c>
      <c r="C14" s="8">
        <v>4.9099999999999998E-2</v>
      </c>
      <c r="D14" s="9">
        <f>B14*C14</f>
        <v>0.90834999999999999</v>
      </c>
      <c r="E14">
        <v>2.75</v>
      </c>
      <c r="F14">
        <f t="shared" si="3"/>
        <v>0.85270875763747456</v>
      </c>
      <c r="G14" s="2">
        <f t="shared" si="4"/>
        <v>2.3449490835030549</v>
      </c>
    </row>
    <row r="15" spans="1:7" x14ac:dyDescent="0.25">
      <c r="A15" t="s">
        <v>3</v>
      </c>
      <c r="B15" s="7"/>
      <c r="C15" s="8"/>
      <c r="D15" s="9"/>
      <c r="E15">
        <v>1.375</v>
      </c>
      <c r="F15">
        <f t="shared" si="3"/>
        <v>2.0933999999999999</v>
      </c>
      <c r="G15" s="2">
        <f t="shared" si="4"/>
        <v>2.878425</v>
      </c>
    </row>
    <row r="16" spans="1:7" x14ac:dyDescent="0.25">
      <c r="A16" t="s">
        <v>4</v>
      </c>
      <c r="B16" s="7"/>
      <c r="C16" s="8"/>
      <c r="D16" s="9"/>
      <c r="E16">
        <v>2.8340000000000001</v>
      </c>
      <c r="F16">
        <f t="shared" si="3"/>
        <v>1.1254838709677419</v>
      </c>
      <c r="G16" s="2">
        <f t="shared" si="4"/>
        <v>3.1896212903225809</v>
      </c>
    </row>
    <row r="17" spans="1:7" x14ac:dyDescent="0.25">
      <c r="A17" t="s">
        <v>5</v>
      </c>
      <c r="B17" s="7"/>
      <c r="C17" s="8"/>
      <c r="D17" s="9"/>
      <c r="E17">
        <v>0</v>
      </c>
      <c r="F17">
        <f t="shared" si="3"/>
        <v>0.34890000000000004</v>
      </c>
      <c r="G17" s="2">
        <f t="shared" si="4"/>
        <v>0</v>
      </c>
    </row>
    <row r="18" spans="1:7" ht="15.75" thickBot="1" x14ac:dyDescent="0.3">
      <c r="A18" t="s">
        <v>6</v>
      </c>
      <c r="B18" s="10"/>
      <c r="C18" s="11"/>
      <c r="D18" s="12"/>
      <c r="E18">
        <v>0</v>
      </c>
      <c r="F18">
        <f t="shared" si="3"/>
        <v>2.2509677419354839</v>
      </c>
      <c r="G18" s="3">
        <f t="shared" si="4"/>
        <v>0</v>
      </c>
    </row>
    <row r="20" spans="1:7" x14ac:dyDescent="0.25">
      <c r="A20" t="s">
        <v>13</v>
      </c>
    </row>
    <row r="21" spans="1:7" x14ac:dyDescent="0.25">
      <c r="A21" t="s">
        <v>12</v>
      </c>
    </row>
    <row r="22" spans="1:7" x14ac:dyDescent="0.25">
      <c r="A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Rekneark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Vegard Enerstvedt</dc:creator>
  <cp:lastModifiedBy>Vegard Enerstvedt</cp:lastModifiedBy>
  <dcterms:created xsi:type="dcterms:W3CDTF">2025-09-21T12:05:22Z</dcterms:created>
  <dcterms:modified xsi:type="dcterms:W3CDTF">2025-09-21T20:17:13Z</dcterms:modified>
</cp:coreProperties>
</file>