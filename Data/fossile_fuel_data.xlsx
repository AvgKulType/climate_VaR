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gar\Desktop\Pricing climate risk in shipping\"/>
    </mc:Choice>
  </mc:AlternateContent>
  <xr:revisionPtr revIDLastSave="0" documentId="13_ncr:1_{A1A598C6-5A66-4441-AB93-020ED6E93A7E}" xr6:coauthVersionLast="47" xr6:coauthVersionMax="47" xr10:uidLastSave="{00000000-0000-0000-0000-000000000000}"/>
  <bookViews>
    <workbookView xWindow="-105" yWindow="0" windowWidth="14610" windowHeight="15585" activeTab="2" xr2:uid="{5B2C5908-40E6-40BB-912B-5FA38477B8CD}"/>
  </bookViews>
  <sheets>
    <sheet name="Daily" sheetId="1" r:id="rId1"/>
    <sheet name="Monthly" sheetId="4" r:id="rId2"/>
    <sheet name="bunker_weekly_raw" sheetId="6" r:id="rId3"/>
    <sheet name="bunker_daily_raw" sheetId="3" r:id="rId4"/>
    <sheet name="bunker_monthly_cal" sheetId="5" r:id="rId5"/>
    <sheet name="Brent raw " sheetId="2" r:id="rId6"/>
  </sheets>
  <definedNames>
    <definedName name="_xlnm._FilterDatabase" localSheetId="3" hidden="1">bunker_daily_raw!$P$1:$R$1</definedName>
    <definedName name="_xlnm._FilterDatabase" localSheetId="4" hidden="1">bunker_monthly_cal!$O$1:$Q$1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84" i="6" l="1"/>
  <c r="B3783" i="6"/>
  <c r="B3782" i="6"/>
  <c r="B3781" i="6"/>
  <c r="B3780" i="6"/>
  <c r="B3779" i="6"/>
  <c r="B3778" i="6"/>
  <c r="B3777" i="6"/>
  <c r="B3776" i="6"/>
  <c r="B3775" i="6"/>
  <c r="B3774" i="6"/>
  <c r="B3773" i="6"/>
  <c r="B3772" i="6"/>
  <c r="B3771" i="6"/>
  <c r="B3770" i="6"/>
  <c r="B3769" i="6"/>
  <c r="B3768" i="6"/>
  <c r="B3767" i="6"/>
  <c r="B3766" i="6"/>
  <c r="B3765" i="6"/>
  <c r="B3764" i="6"/>
  <c r="B3763" i="6"/>
  <c r="B3762" i="6"/>
  <c r="B3761" i="6"/>
  <c r="B3760" i="6"/>
  <c r="B3759" i="6"/>
  <c r="B3758" i="6"/>
  <c r="B3757" i="6"/>
  <c r="B3756" i="6"/>
  <c r="B3748" i="6"/>
  <c r="B3747" i="6"/>
  <c r="B3746" i="6"/>
  <c r="B3745" i="6"/>
  <c r="B3744" i="6"/>
  <c r="B3743" i="6"/>
  <c r="B3742" i="6"/>
  <c r="B3741" i="6"/>
  <c r="B3740" i="6"/>
  <c r="B3739" i="6"/>
  <c r="B3738" i="6"/>
  <c r="B3737" i="6"/>
  <c r="B3736" i="6"/>
  <c r="B3735" i="6"/>
  <c r="B3734" i="6"/>
  <c r="B3733" i="6"/>
  <c r="B3732" i="6"/>
  <c r="B3731" i="6"/>
  <c r="B3730" i="6"/>
  <c r="B3729" i="6"/>
  <c r="B3728" i="6"/>
  <c r="B3727" i="6"/>
  <c r="B3726" i="6"/>
  <c r="B3725" i="6"/>
  <c r="B3724" i="6"/>
  <c r="B3723" i="6"/>
  <c r="B3722" i="6"/>
  <c r="B3721" i="6"/>
  <c r="B3720" i="6"/>
  <c r="B3719" i="6"/>
  <c r="B3718" i="6"/>
  <c r="B3717" i="6"/>
  <c r="B3716" i="6"/>
  <c r="B3715" i="6"/>
  <c r="B3714" i="6"/>
  <c r="B3713" i="6"/>
  <c r="B3712" i="6"/>
  <c r="B3711" i="6"/>
  <c r="B3710" i="6"/>
  <c r="B3709" i="6"/>
  <c r="B3708" i="6"/>
  <c r="B3707" i="6"/>
  <c r="B3706" i="6"/>
  <c r="B3705" i="6"/>
  <c r="B3704" i="6"/>
  <c r="B3703" i="6"/>
  <c r="B3702" i="6"/>
  <c r="B3701" i="6"/>
  <c r="B3700" i="6"/>
  <c r="B3699" i="6"/>
  <c r="B3698" i="6"/>
  <c r="B3697" i="6"/>
  <c r="B3696" i="6"/>
  <c r="B3695" i="6"/>
  <c r="B3694" i="6"/>
  <c r="B3693" i="6"/>
  <c r="B3692" i="6"/>
  <c r="B3691" i="6"/>
  <c r="B3690" i="6"/>
  <c r="B3689" i="6"/>
  <c r="B3687" i="6"/>
  <c r="B3686" i="6"/>
  <c r="B3685" i="6"/>
  <c r="B3684" i="6"/>
  <c r="B3683" i="6"/>
  <c r="B3682" i="6"/>
  <c r="B3681" i="6"/>
  <c r="B3680" i="6"/>
  <c r="B3679" i="6"/>
  <c r="B3678" i="6"/>
  <c r="B3677" i="6"/>
  <c r="B3676" i="6"/>
  <c r="B3675" i="6"/>
  <c r="B3674" i="6"/>
  <c r="B3673" i="6"/>
  <c r="B3672" i="6"/>
  <c r="B3671" i="6"/>
  <c r="B3670" i="6"/>
  <c r="B3669" i="6"/>
  <c r="B3668" i="6"/>
  <c r="B3667" i="6"/>
  <c r="B3652" i="6"/>
  <c r="B3651" i="6"/>
  <c r="B3650" i="6"/>
  <c r="B3649" i="6"/>
  <c r="B3648" i="6"/>
  <c r="B3647" i="6"/>
  <c r="B3646" i="6"/>
  <c r="B3645" i="6"/>
  <c r="B3644" i="6"/>
  <c r="B3643" i="6"/>
  <c r="B3642" i="6"/>
  <c r="B3641" i="6"/>
  <c r="B3640" i="6"/>
  <c r="B3639" i="6"/>
  <c r="B3638" i="6"/>
  <c r="B3637" i="6"/>
  <c r="B3636" i="6"/>
  <c r="B3635" i="6"/>
  <c r="B3634" i="6"/>
  <c r="B3633" i="6"/>
  <c r="B3632" i="6"/>
  <c r="B3631" i="6"/>
  <c r="B3630" i="6"/>
  <c r="B3629" i="6"/>
  <c r="B3628" i="6"/>
  <c r="B3627" i="6"/>
  <c r="B3626" i="6"/>
  <c r="B3625" i="6"/>
  <c r="B3624" i="6"/>
  <c r="B3623" i="6"/>
  <c r="B3622" i="6"/>
  <c r="B3621" i="6"/>
  <c r="B3620" i="6"/>
  <c r="B3619" i="6"/>
  <c r="B3618" i="6"/>
  <c r="B3617" i="6"/>
  <c r="B3616" i="6"/>
  <c r="B3615" i="6"/>
  <c r="B3614" i="6"/>
  <c r="B3613" i="6"/>
  <c r="B3612" i="6"/>
  <c r="B3611" i="6"/>
  <c r="B3610" i="6"/>
  <c r="B3609" i="6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2" i="4"/>
  <c r="K2" i="5" a="1"/>
  <c r="K2" i="5" s="1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G1453" i="5"/>
  <c r="G1454" i="5" s="1"/>
  <c r="G1455" i="5"/>
  <c r="G1456" i="5" s="1"/>
  <c r="G1457" i="5"/>
  <c r="G1458" i="5" s="1"/>
  <c r="G1459" i="5" s="1"/>
  <c r="G1460" i="5" s="1"/>
  <c r="G1461" i="5" s="1"/>
  <c r="G1462" i="5" s="1"/>
  <c r="G1463" i="5" s="1"/>
  <c r="G1464" i="5" s="1"/>
  <c r="G1465" i="5" s="1"/>
  <c r="G1466" i="5" s="1"/>
  <c r="G1467" i="5" s="1"/>
  <c r="G1468" i="5" s="1"/>
  <c r="G1469" i="5" s="1"/>
  <c r="G1470" i="5" s="1"/>
  <c r="G1471" i="5" s="1"/>
  <c r="G1472" i="5" s="1"/>
  <c r="G1473" i="5" s="1"/>
  <c r="G1474" i="5" s="1"/>
  <c r="G1475" i="5" s="1"/>
  <c r="G1476" i="5" s="1"/>
  <c r="G1477" i="5" s="1"/>
  <c r="G1478" i="5" s="1"/>
  <c r="G1479" i="5" s="1"/>
  <c r="G1480" i="5" s="1"/>
  <c r="G1481" i="5" s="1"/>
  <c r="G1482" i="5" s="1"/>
  <c r="G1483" i="5" s="1"/>
  <c r="G1484" i="5" s="1"/>
  <c r="G1485" i="5" s="1"/>
  <c r="G1486" i="5" s="1"/>
  <c r="G1487" i="5" s="1"/>
  <c r="G1488" i="5" s="1"/>
  <c r="G1489" i="5" s="1"/>
  <c r="G1490" i="5" s="1"/>
  <c r="G1491" i="5" s="1"/>
  <c r="G1492" i="5" s="1"/>
  <c r="G1493" i="5" s="1"/>
  <c r="G1494" i="5" s="1"/>
  <c r="G1495" i="5" s="1"/>
  <c r="G1496" i="5" s="1"/>
  <c r="G1497" i="5" s="1"/>
  <c r="G1498" i="5" s="1"/>
  <c r="G1499" i="5" s="1"/>
  <c r="G1500" i="5" s="1"/>
  <c r="G1501" i="5" s="1"/>
  <c r="G1502" i="5" s="1"/>
  <c r="G1503" i="5" s="1"/>
  <c r="G1504" i="5" s="1"/>
  <c r="G1505" i="5" s="1"/>
  <c r="G1506" i="5" s="1"/>
  <c r="G1507" i="5" s="1"/>
  <c r="G1508" i="5" s="1"/>
  <c r="G1509" i="5" s="1"/>
  <c r="G1510" i="5" s="1"/>
  <c r="G1511" i="5" s="1"/>
  <c r="G1512" i="5" s="1"/>
  <c r="G1513" i="5" s="1"/>
  <c r="G1514" i="5" s="1"/>
  <c r="G1515" i="5" s="1"/>
  <c r="G1516" i="5" s="1"/>
  <c r="G1517" i="5" s="1"/>
  <c r="G1518" i="5" s="1"/>
  <c r="G1519" i="5" s="1"/>
  <c r="G1520" i="5" s="1"/>
  <c r="G1521" i="5" s="1"/>
  <c r="G1522" i="5" s="1"/>
  <c r="G1523" i="5" s="1"/>
  <c r="G1524" i="5" s="1"/>
  <c r="G1525" i="5" s="1"/>
  <c r="G1526" i="5" s="1"/>
  <c r="G1527" i="5" s="1"/>
  <c r="G1528" i="5" s="1"/>
  <c r="G1529" i="5" s="1"/>
  <c r="G1530" i="5" s="1"/>
  <c r="G1531" i="5" s="1"/>
  <c r="G1532" i="5" s="1"/>
  <c r="G1533" i="5" s="1"/>
  <c r="G1534" i="5" s="1"/>
  <c r="G1535" i="5" s="1"/>
  <c r="G1536" i="5" s="1"/>
  <c r="G1537" i="5" s="1"/>
  <c r="G1538" i="5" s="1"/>
  <c r="G1539" i="5" s="1"/>
  <c r="G1540" i="5" s="1"/>
  <c r="G1541" i="5" s="1"/>
  <c r="G1542" i="5" s="1"/>
  <c r="G1543" i="5" s="1"/>
  <c r="G1544" i="5" s="1"/>
  <c r="G1545" i="5" s="1"/>
  <c r="G1546" i="5" s="1"/>
  <c r="G1547" i="5" s="1"/>
  <c r="G1548" i="5" s="1"/>
  <c r="G1549" i="5" s="1"/>
  <c r="G1550" i="5" s="1"/>
  <c r="G1551" i="5" s="1"/>
  <c r="G1552" i="5" s="1"/>
  <c r="G1553" i="5" s="1"/>
  <c r="G1554" i="5" s="1"/>
  <c r="G1555" i="5" s="1"/>
  <c r="G1556" i="5" s="1"/>
  <c r="G1557" i="5" s="1"/>
  <c r="G1558" i="5" s="1"/>
  <c r="G1559" i="5" s="1"/>
  <c r="G1560" i="5" s="1"/>
  <c r="G1561" i="5" s="1"/>
  <c r="G1562" i="5" s="1"/>
  <c r="G1563" i="5" s="1"/>
  <c r="G1564" i="5" s="1"/>
  <c r="G1565" i="5" s="1"/>
  <c r="G1566" i="5" s="1"/>
  <c r="G1567" i="5" s="1"/>
  <c r="G1568" i="5" s="1"/>
  <c r="G1569" i="5" s="1"/>
  <c r="G1570" i="5" s="1"/>
  <c r="G1571" i="5" s="1"/>
  <c r="G1572" i="5" s="1"/>
  <c r="G1573" i="5" s="1"/>
  <c r="G1574" i="5" s="1"/>
  <c r="G1575" i="5" s="1"/>
  <c r="G1576" i="5" s="1"/>
  <c r="G1577" i="5" s="1"/>
  <c r="G1578" i="5" s="1"/>
  <c r="G1579" i="5" s="1"/>
  <c r="G1580" i="5" s="1"/>
  <c r="G1581" i="5" s="1"/>
  <c r="G1582" i="5" s="1"/>
  <c r="G1583" i="5" s="1"/>
  <c r="G1584" i="5" s="1"/>
  <c r="G1585" i="5" s="1"/>
  <c r="G1586" i="5" s="1"/>
  <c r="G1587" i="5" s="1"/>
  <c r="G1588" i="5" s="1"/>
  <c r="G1589" i="5" s="1"/>
  <c r="G1590" i="5" s="1"/>
  <c r="G1591" i="5" s="1"/>
  <c r="G1592" i="5" s="1"/>
  <c r="G1593" i="5" s="1"/>
  <c r="G1594" i="5" s="1"/>
  <c r="G1595" i="5" s="1"/>
  <c r="G1596" i="5" s="1"/>
  <c r="G1597" i="5" s="1"/>
  <c r="G1598" i="5" s="1"/>
  <c r="G1599" i="5" s="1"/>
  <c r="G1600" i="5" s="1"/>
  <c r="G1601" i="5" s="1"/>
  <c r="G1602" i="5" s="1"/>
  <c r="G1603" i="5" s="1"/>
  <c r="G1604" i="5" s="1"/>
  <c r="G1605" i="5" s="1"/>
  <c r="G1606" i="5" s="1"/>
  <c r="G1607" i="5" s="1"/>
  <c r="G1608" i="5" s="1"/>
  <c r="G1609" i="5" s="1"/>
  <c r="G1610" i="5" s="1"/>
  <c r="G1611" i="5" s="1"/>
  <c r="G1612" i="5" s="1"/>
  <c r="G1613" i="5" s="1"/>
  <c r="G1614" i="5" s="1"/>
  <c r="G1615" i="5" s="1"/>
  <c r="G1616" i="5" s="1"/>
  <c r="G1617" i="5" s="1"/>
  <c r="G1618" i="5" s="1"/>
  <c r="G1619" i="5" s="1"/>
  <c r="G1620" i="5" s="1"/>
  <c r="G1621" i="5" s="1"/>
  <c r="G1622" i="5" s="1"/>
  <c r="G1623" i="5" s="1"/>
  <c r="G1624" i="5" s="1"/>
  <c r="G1625" i="5" s="1"/>
  <c r="G1626" i="5" s="1"/>
  <c r="G1627" i="5" s="1"/>
  <c r="G1628" i="5" s="1"/>
  <c r="G1629" i="5" s="1"/>
  <c r="G1630" i="5" s="1"/>
  <c r="G1631" i="5" s="1"/>
  <c r="G1632" i="5" s="1"/>
  <c r="G1633" i="5" s="1"/>
  <c r="G1634" i="5" s="1"/>
  <c r="G1635" i="5" s="1"/>
  <c r="G1636" i="5" s="1"/>
  <c r="G1637" i="5" s="1"/>
  <c r="G1638" i="5" s="1"/>
  <c r="G1639" i="5" s="1"/>
  <c r="G1640" i="5" s="1"/>
  <c r="G1641" i="5" s="1"/>
  <c r="G1642" i="5" s="1"/>
  <c r="G1643" i="5" s="1"/>
  <c r="G1644" i="5" s="1"/>
  <c r="G1645" i="5" s="1"/>
  <c r="G1646" i="5" s="1"/>
  <c r="G1647" i="5" s="1"/>
  <c r="G1648" i="5" s="1"/>
  <c r="G1649" i="5" s="1"/>
  <c r="G1650" i="5" s="1"/>
  <c r="G1651" i="5" s="1"/>
  <c r="G1652" i="5" s="1"/>
  <c r="G1653" i="5" s="1"/>
  <c r="G1654" i="5" s="1"/>
  <c r="G1655" i="5" s="1"/>
  <c r="G1656" i="5" s="1"/>
  <c r="G1657" i="5" s="1"/>
  <c r="G1658" i="5" s="1"/>
  <c r="G1659" i="5" s="1"/>
  <c r="G1660" i="5" s="1"/>
  <c r="G1661" i="5" s="1"/>
  <c r="G1662" i="5" s="1"/>
  <c r="G1663" i="5" s="1"/>
  <c r="G1664" i="5" s="1"/>
  <c r="G1665" i="5" s="1"/>
  <c r="G1666" i="5" s="1"/>
  <c r="G1667" i="5" s="1"/>
  <c r="G1668" i="5" s="1"/>
  <c r="G1669" i="5" s="1"/>
  <c r="G1670" i="5" s="1"/>
  <c r="G1671" i="5" s="1"/>
  <c r="G1672" i="5" s="1"/>
  <c r="G1673" i="5" s="1"/>
  <c r="G1674" i="5" s="1"/>
  <c r="G1675" i="5" s="1"/>
  <c r="G1676" i="5" s="1"/>
  <c r="G1677" i="5" s="1"/>
  <c r="G1678" i="5" s="1"/>
  <c r="G1679" i="5" s="1"/>
  <c r="G1680" i="5" s="1"/>
  <c r="G1681" i="5" s="1"/>
  <c r="G1682" i="5" s="1"/>
  <c r="G1683" i="5" s="1"/>
  <c r="G1684" i="5" s="1"/>
  <c r="G1685" i="5" s="1"/>
  <c r="G1686" i="5" s="1"/>
  <c r="G1687" i="5" s="1"/>
  <c r="G1688" i="5" s="1"/>
  <c r="G1689" i="5" s="1"/>
  <c r="G1690" i="5" s="1"/>
  <c r="G1691" i="5" s="1"/>
  <c r="G1692" i="5" s="1"/>
  <c r="G1693" i="5" s="1"/>
  <c r="G1694" i="5" s="1"/>
  <c r="G1695" i="5" s="1"/>
  <c r="G1696" i="5" s="1"/>
  <c r="G1697" i="5" s="1"/>
  <c r="G1698" i="5" s="1"/>
  <c r="G1699" i="5" s="1"/>
  <c r="G1700" i="5" s="1"/>
  <c r="G1701" i="5" s="1"/>
  <c r="G1702" i="5" s="1"/>
  <c r="G1703" i="5" s="1"/>
  <c r="G1704" i="5" s="1"/>
  <c r="G1705" i="5" s="1"/>
  <c r="G1706" i="5" s="1"/>
  <c r="G1707" i="5" s="1"/>
  <c r="G1708" i="5" s="1"/>
  <c r="G1709" i="5" s="1"/>
  <c r="G1710" i="5" s="1"/>
  <c r="G1711" i="5" s="1"/>
  <c r="G1712" i="5" s="1"/>
  <c r="G1713" i="5" s="1"/>
  <c r="G1714" i="5" s="1"/>
  <c r="G1715" i="5" s="1"/>
  <c r="G1716" i="5" s="1"/>
  <c r="G1717" i="5" s="1"/>
  <c r="G1718" i="5" s="1"/>
  <c r="G1719" i="5" s="1"/>
  <c r="G1720" i="5" s="1"/>
  <c r="G1721" i="5" s="1"/>
  <c r="G1722" i="5" s="1"/>
  <c r="G1723" i="5" s="1"/>
  <c r="G1724" i="5" s="1"/>
  <c r="G1725" i="5" s="1"/>
  <c r="G1726" i="5" s="1"/>
  <c r="G1727" i="5" s="1"/>
  <c r="G1728" i="5" s="1"/>
  <c r="G1729" i="5" s="1"/>
  <c r="G1730" i="5" s="1"/>
  <c r="G1731" i="5" s="1"/>
  <c r="G1732" i="5" s="1"/>
  <c r="G1733" i="5" s="1"/>
  <c r="G1734" i="5" s="1"/>
  <c r="G1735" i="5" s="1"/>
  <c r="G1736" i="5" s="1"/>
  <c r="G1737" i="5" s="1"/>
  <c r="G1738" i="5" s="1"/>
  <c r="G1739" i="5" s="1"/>
  <c r="G1740" i="5" s="1"/>
  <c r="G1741" i="5" s="1"/>
  <c r="G1742" i="5" s="1"/>
  <c r="G1743" i="5" s="1"/>
  <c r="G1744" i="5" s="1"/>
  <c r="G1745" i="5" s="1"/>
  <c r="G1746" i="5" s="1"/>
  <c r="G1747" i="5" s="1"/>
  <c r="G1748" i="5" s="1"/>
  <c r="G1749" i="5" s="1"/>
  <c r="G1750" i="5" s="1"/>
  <c r="G1751" i="5" s="1"/>
  <c r="G1752" i="5" s="1"/>
  <c r="G1753" i="5" s="1"/>
  <c r="G1754" i="5" s="1"/>
  <c r="G1755" i="5" s="1"/>
  <c r="G1756" i="5" s="1"/>
  <c r="G1757" i="5" s="1"/>
  <c r="G1758" i="5" s="1"/>
  <c r="G1759" i="5" s="1"/>
  <c r="G1760" i="5" s="1"/>
  <c r="G1761" i="5" s="1"/>
  <c r="G1762" i="5" s="1"/>
  <c r="G1763" i="5" s="1"/>
  <c r="G1764" i="5" s="1"/>
  <c r="G1765" i="5" s="1"/>
  <c r="G1766" i="5" s="1"/>
  <c r="G1767" i="5" s="1"/>
  <c r="G1768" i="5" s="1"/>
  <c r="G1769" i="5" s="1"/>
  <c r="G1770" i="5" s="1"/>
  <c r="G1771" i="5" s="1"/>
  <c r="G1772" i="5" s="1"/>
  <c r="G1773" i="5" s="1"/>
  <c r="G1774" i="5" s="1"/>
  <c r="G1775" i="5" s="1"/>
  <c r="G1776" i="5" s="1"/>
  <c r="G1777" i="5" s="1"/>
  <c r="G1778" i="5" s="1"/>
  <c r="G1779" i="5" s="1"/>
  <c r="G1780" i="5" s="1"/>
  <c r="G1781" i="5" s="1"/>
  <c r="G1782" i="5" s="1"/>
  <c r="G1783" i="5" s="1"/>
  <c r="G1784" i="5" s="1"/>
  <c r="G1785" i="5" s="1"/>
  <c r="G1786" i="5" s="1"/>
  <c r="G1787" i="5" s="1"/>
  <c r="G1788" i="5" s="1"/>
  <c r="G1789" i="5" s="1"/>
  <c r="G1790" i="5" s="1"/>
  <c r="G1791" i="5" s="1"/>
  <c r="G1792" i="5" s="1"/>
  <c r="G1793" i="5" s="1"/>
  <c r="G1794" i="5" s="1"/>
  <c r="G1795" i="5" s="1"/>
  <c r="G1796" i="5" s="1"/>
  <c r="G1797" i="5" s="1"/>
  <c r="G1798" i="5" s="1"/>
  <c r="G1799" i="5" s="1"/>
  <c r="G1800" i="5" s="1"/>
  <c r="G1801" i="5" s="1"/>
  <c r="G1802" i="5" s="1"/>
  <c r="G1803" i="5" s="1"/>
  <c r="G1804" i="5" s="1"/>
  <c r="G1805" i="5" s="1"/>
  <c r="G1806" i="5" s="1"/>
  <c r="G1807" i="5" s="1"/>
  <c r="G1808" i="5" s="1"/>
  <c r="G1809" i="5" s="1"/>
  <c r="G1810" i="5" s="1"/>
  <c r="G1811" i="5" s="1"/>
  <c r="G1812" i="5" s="1"/>
  <c r="G1813" i="5" s="1"/>
  <c r="G1814" i="5" s="1"/>
  <c r="G1815" i="5" s="1"/>
  <c r="G1816" i="5" s="1"/>
  <c r="G1817" i="5" s="1"/>
  <c r="G1818" i="5" s="1"/>
  <c r="G1819" i="5" s="1"/>
  <c r="G1820" i="5" s="1"/>
  <c r="G1821" i="5" s="1"/>
  <c r="G1822" i="5" s="1"/>
  <c r="G1823" i="5" s="1"/>
  <c r="G1824" i="5" s="1"/>
  <c r="G1825" i="5" s="1"/>
  <c r="G1826" i="5" s="1"/>
  <c r="G1827" i="5" s="1"/>
  <c r="G1828" i="5" s="1"/>
  <c r="G1829" i="5" s="1"/>
  <c r="G1830" i="5" s="1"/>
  <c r="G1831" i="5" s="1"/>
  <c r="G1832" i="5" s="1"/>
  <c r="G1833" i="5" s="1"/>
  <c r="G1834" i="5" s="1"/>
  <c r="G1835" i="5" s="1"/>
  <c r="G1836" i="5" s="1"/>
  <c r="G1837" i="5" s="1"/>
  <c r="G1838" i="5" s="1"/>
  <c r="G1839" i="5" s="1"/>
  <c r="G1840" i="5" s="1"/>
  <c r="G1841" i="5" s="1"/>
  <c r="G1842" i="5" s="1"/>
  <c r="G1843" i="5" s="1"/>
  <c r="G1844" i="5" s="1"/>
  <c r="G1845" i="5" s="1"/>
  <c r="G1846" i="5" s="1"/>
  <c r="G1847" i="5" s="1"/>
  <c r="G1848" i="5" s="1"/>
  <c r="G1849" i="5" s="1"/>
  <c r="G1850" i="5" s="1"/>
  <c r="G1851" i="5" s="1"/>
  <c r="G1852" i="5" s="1"/>
  <c r="G1853" i="5" s="1"/>
  <c r="G1854" i="5" s="1"/>
  <c r="G1855" i="5" s="1"/>
  <c r="G1856" i="5" s="1"/>
  <c r="G1857" i="5" s="1"/>
  <c r="G1858" i="5" s="1"/>
  <c r="G1859" i="5" s="1"/>
  <c r="G1860" i="5" s="1"/>
  <c r="G1861" i="5" s="1"/>
  <c r="G1862" i="5" s="1"/>
  <c r="G1863" i="5" s="1"/>
  <c r="G1864" i="5" s="1"/>
  <c r="G1865" i="5" s="1"/>
  <c r="G1866" i="5" s="1"/>
  <c r="G1867" i="5" s="1"/>
  <c r="G1868" i="5" s="1"/>
  <c r="G1869" i="5" s="1"/>
  <c r="G1870" i="5" s="1"/>
  <c r="G1871" i="5" s="1"/>
  <c r="G1872" i="5" s="1"/>
  <c r="G1873" i="5" s="1"/>
  <c r="G1874" i="5" s="1"/>
  <c r="G1875" i="5" s="1"/>
  <c r="G1876" i="5" s="1"/>
  <c r="G1877" i="5" s="1"/>
  <c r="G1878" i="5" s="1"/>
  <c r="G1879" i="5" s="1"/>
  <c r="G1880" i="5" s="1"/>
  <c r="G1881" i="5" s="1"/>
  <c r="G1882" i="5" s="1"/>
  <c r="G1883" i="5" s="1"/>
  <c r="G1884" i="5" s="1"/>
  <c r="G1885" i="5" s="1"/>
  <c r="G1886" i="5" s="1"/>
  <c r="G1887" i="5" s="1"/>
  <c r="G1888" i="5" s="1"/>
  <c r="G1889" i="5" s="1"/>
  <c r="G1890" i="5" s="1"/>
  <c r="G1891" i="5" s="1"/>
  <c r="G1892" i="5" s="1"/>
  <c r="G1893" i="5" s="1"/>
  <c r="G1894" i="5" s="1"/>
  <c r="G1895" i="5" s="1"/>
  <c r="G1896" i="5" s="1"/>
  <c r="G1897" i="5" s="1"/>
  <c r="G1898" i="5" s="1"/>
  <c r="G1899" i="5" s="1"/>
  <c r="G1900" i="5" s="1"/>
  <c r="G1901" i="5" s="1"/>
  <c r="G1902" i="5" s="1"/>
  <c r="G1903" i="5" s="1"/>
  <c r="G1904" i="5" s="1"/>
  <c r="G1905" i="5" s="1"/>
  <c r="G1906" i="5" s="1"/>
  <c r="G1907" i="5" s="1"/>
  <c r="G1908" i="5" s="1"/>
  <c r="G1909" i="5" s="1"/>
  <c r="G1910" i="5" s="1"/>
  <c r="G1911" i="5" s="1"/>
  <c r="G1912" i="5" s="1"/>
  <c r="G1913" i="5" s="1"/>
  <c r="G1914" i="5" s="1"/>
  <c r="G1915" i="5" s="1"/>
  <c r="G1916" i="5" s="1"/>
  <c r="G1917" i="5" s="1"/>
  <c r="G1918" i="5" s="1"/>
  <c r="G1919" i="5" s="1"/>
  <c r="G1920" i="5" s="1"/>
  <c r="G1921" i="5" s="1"/>
  <c r="G1922" i="5" s="1"/>
  <c r="G1923" i="5" s="1"/>
  <c r="G1924" i="5" s="1"/>
  <c r="G1925" i="5" s="1"/>
  <c r="G1926" i="5" s="1"/>
  <c r="G1927" i="5" s="1"/>
  <c r="G1928" i="5" s="1"/>
  <c r="G1929" i="5" s="1"/>
  <c r="G1930" i="5" s="1"/>
  <c r="G1931" i="5" s="1"/>
  <c r="G1932" i="5" s="1"/>
  <c r="G1933" i="5" s="1"/>
  <c r="G1934" i="5" s="1"/>
  <c r="G1935" i="5" s="1"/>
  <c r="G1936" i="5" s="1"/>
  <c r="G1937" i="5" s="1"/>
  <c r="G1938" i="5" s="1"/>
  <c r="G1939" i="5" s="1"/>
  <c r="G1940" i="5" s="1"/>
  <c r="G1941" i="5" s="1"/>
  <c r="G1942" i="5" s="1"/>
  <c r="G1943" i="5" s="1"/>
  <c r="G1944" i="5" s="1"/>
  <c r="G1945" i="5" s="1"/>
  <c r="G1946" i="5" s="1"/>
  <c r="G1947" i="5" s="1"/>
  <c r="G1948" i="5" s="1"/>
  <c r="G1949" i="5" s="1"/>
  <c r="G1950" i="5" s="1"/>
  <c r="G1951" i="5" s="1"/>
  <c r="G1952" i="5" s="1"/>
  <c r="G1953" i="5" s="1"/>
  <c r="G1954" i="5" s="1"/>
  <c r="G1955" i="5" s="1"/>
  <c r="G1956" i="5" s="1"/>
  <c r="G1957" i="5" s="1"/>
  <c r="G1958" i="5" s="1"/>
  <c r="G1959" i="5" s="1"/>
  <c r="G1960" i="5" s="1"/>
  <c r="G1961" i="5" s="1"/>
  <c r="G1962" i="5" s="1"/>
  <c r="G1963" i="5" s="1"/>
  <c r="G1964" i="5" s="1"/>
  <c r="G1965" i="5" s="1"/>
  <c r="G1966" i="5" s="1"/>
  <c r="G1967" i="5" s="1"/>
  <c r="G1968" i="5" s="1"/>
  <c r="G1969" i="5" s="1"/>
  <c r="G1970" i="5" s="1"/>
  <c r="G1971" i="5" s="1"/>
  <c r="G1972" i="5" s="1"/>
  <c r="G1973" i="5" s="1"/>
  <c r="G1974" i="5" s="1"/>
  <c r="G1975" i="5" s="1"/>
  <c r="G1976" i="5" s="1"/>
  <c r="G1977" i="5" s="1"/>
  <c r="G1978" i="5" s="1"/>
  <c r="G1979" i="5" s="1"/>
  <c r="G1980" i="5" s="1"/>
  <c r="G1981" i="5" s="1"/>
  <c r="G1982" i="5" s="1"/>
  <c r="G1983" i="5" s="1"/>
  <c r="G1984" i="5" s="1"/>
  <c r="G1985" i="5" s="1"/>
  <c r="G1986" i="5" s="1"/>
  <c r="G1987" i="5" s="1"/>
  <c r="G1988" i="5" s="1"/>
  <c r="G1989" i="5" s="1"/>
  <c r="G1990" i="5" s="1"/>
  <c r="G1991" i="5" s="1"/>
  <c r="G1992" i="5" s="1"/>
  <c r="G1993" i="5" s="1"/>
  <c r="G1994" i="5" s="1"/>
  <c r="G1995" i="5" s="1"/>
  <c r="G1996" i="5" s="1"/>
  <c r="G1997" i="5" s="1"/>
  <c r="G1998" i="5" s="1"/>
  <c r="G1999" i="5" s="1"/>
  <c r="G2000" i="5" s="1"/>
  <c r="G2001" i="5" s="1"/>
  <c r="G2002" i="5" s="1"/>
  <c r="G2003" i="5" s="1"/>
  <c r="G2004" i="5" s="1"/>
  <c r="G2005" i="5" s="1"/>
  <c r="G2006" i="5" s="1"/>
  <c r="G2" i="5"/>
  <c r="I2" i="5" s="1"/>
  <c r="B3609" i="3"/>
  <c r="B3610" i="3"/>
  <c r="B3611" i="3"/>
  <c r="B3612" i="3"/>
  <c r="B3613" i="3"/>
  <c r="B3762" i="1" s="1"/>
  <c r="B3614" i="3"/>
  <c r="B3765" i="1" s="1"/>
  <c r="B3615" i="3"/>
  <c r="B3616" i="3"/>
  <c r="B3617" i="3"/>
  <c r="B3618" i="3"/>
  <c r="B3769" i="1" s="1"/>
  <c r="B3619" i="3"/>
  <c r="B3770" i="1" s="1"/>
  <c r="B3620" i="3"/>
  <c r="B3771" i="1" s="1"/>
  <c r="B3621" i="3"/>
  <c r="B3622" i="3"/>
  <c r="B3773" i="1" s="1"/>
  <c r="B3623" i="3"/>
  <c r="B3774" i="1" s="1"/>
  <c r="B3624" i="3"/>
  <c r="B3775" i="1" s="1"/>
  <c r="B3625" i="3"/>
  <c r="B3776" i="1" s="1"/>
  <c r="B3626" i="3"/>
  <c r="B3777" i="1" s="1"/>
  <c r="B3627" i="3"/>
  <c r="B3628" i="3"/>
  <c r="B3629" i="3"/>
  <c r="B3630" i="3"/>
  <c r="B3781" i="1" s="1"/>
  <c r="B3631" i="3"/>
  <c r="B3782" i="1" s="1"/>
  <c r="B3632" i="3"/>
  <c r="B3783" i="1" s="1"/>
  <c r="B3633" i="3"/>
  <c r="B3634" i="3"/>
  <c r="B3635" i="3"/>
  <c r="B3786" i="1" s="1"/>
  <c r="B3636" i="3"/>
  <c r="B3787" i="1" s="1"/>
  <c r="B3637" i="3"/>
  <c r="B3788" i="1" s="1"/>
  <c r="B3638" i="3"/>
  <c r="B3789" i="1" s="1"/>
  <c r="B3639" i="3"/>
  <c r="B3640" i="3"/>
  <c r="B3791" i="1" s="1"/>
  <c r="B3641" i="3"/>
  <c r="B3792" i="1" s="1"/>
  <c r="B3642" i="3"/>
  <c r="B3793" i="1" s="1"/>
  <c r="B3643" i="3"/>
  <c r="B3794" i="1" s="1"/>
  <c r="B3644" i="3"/>
  <c r="B3795" i="1" s="1"/>
  <c r="B3645" i="3"/>
  <c r="B3646" i="3"/>
  <c r="B3647" i="3"/>
  <c r="B3648" i="3"/>
  <c r="B3799" i="1" s="1"/>
  <c r="B3649" i="3"/>
  <c r="B3800" i="1" s="1"/>
  <c r="B3650" i="3"/>
  <c r="B3801" i="1" s="1"/>
  <c r="B3651" i="3"/>
  <c r="B3652" i="3"/>
  <c r="B3667" i="3"/>
  <c r="B3668" i="3"/>
  <c r="B3669" i="3"/>
  <c r="B3820" i="1" s="1"/>
  <c r="B3670" i="3"/>
  <c r="B3821" i="1" s="1"/>
  <c r="B3671" i="3"/>
  <c r="B3672" i="3"/>
  <c r="B3824" i="1" s="1"/>
  <c r="B3673" i="3"/>
  <c r="B3674" i="3"/>
  <c r="B3675" i="3"/>
  <c r="B3827" i="1" s="1"/>
  <c r="B3676" i="3"/>
  <c r="B3828" i="1" s="1"/>
  <c r="B3677" i="3"/>
  <c r="B3678" i="3"/>
  <c r="B3679" i="3"/>
  <c r="B3831" i="1" s="1"/>
  <c r="B3680" i="3"/>
  <c r="B3832" i="1" s="1"/>
  <c r="B3681" i="3"/>
  <c r="B3833" i="1" s="1"/>
  <c r="B3682" i="3"/>
  <c r="B3834" i="1" s="1"/>
  <c r="B3683" i="3"/>
  <c r="B3684" i="3"/>
  <c r="B3685" i="3"/>
  <c r="B3686" i="3"/>
  <c r="B3687" i="3"/>
  <c r="B3839" i="1" s="1"/>
  <c r="B3689" i="3"/>
  <c r="B3841" i="1" s="1"/>
  <c r="B3690" i="3"/>
  <c r="B3691" i="3"/>
  <c r="B3692" i="3"/>
  <c r="B3693" i="3"/>
  <c r="B3694" i="3"/>
  <c r="B3846" i="1" s="1"/>
  <c r="B3695" i="3"/>
  <c r="B3847" i="1" s="1"/>
  <c r="B3696" i="3"/>
  <c r="B3697" i="3"/>
  <c r="B3849" i="1" s="1"/>
  <c r="B3698" i="3"/>
  <c r="B3850" i="1" s="1"/>
  <c r="B3699" i="3"/>
  <c r="B3851" i="1" s="1"/>
  <c r="B3700" i="3"/>
  <c r="B3852" i="1" s="1"/>
  <c r="B3701" i="3"/>
  <c r="B3853" i="1" s="1"/>
  <c r="B3702" i="3"/>
  <c r="B3703" i="3"/>
  <c r="B3704" i="3"/>
  <c r="B3705" i="3"/>
  <c r="B3857" i="1" s="1"/>
  <c r="B3706" i="3"/>
  <c r="B3858" i="1" s="1"/>
  <c r="B3707" i="3"/>
  <c r="B3859" i="1" s="1"/>
  <c r="B3708" i="3"/>
  <c r="B3709" i="3"/>
  <c r="B3710" i="3"/>
  <c r="B3711" i="3"/>
  <c r="B3863" i="1" s="1"/>
  <c r="B3712" i="3"/>
  <c r="B3864" i="1" s="1"/>
  <c r="B3713" i="3"/>
  <c r="B3865" i="1" s="1"/>
  <c r="B3714" i="3"/>
  <c r="B3715" i="3"/>
  <c r="B3716" i="3"/>
  <c r="B3868" i="1" s="1"/>
  <c r="B3717" i="3"/>
  <c r="B3869" i="1" s="1"/>
  <c r="B3718" i="3"/>
  <c r="B3870" i="1" s="1"/>
  <c r="B3719" i="3"/>
  <c r="B3871" i="1" s="1"/>
  <c r="B3720" i="3"/>
  <c r="B3721" i="3"/>
  <c r="B3722" i="3"/>
  <c r="B3723" i="3"/>
  <c r="B3875" i="1" s="1"/>
  <c r="B3724" i="3"/>
  <c r="B3876" i="1" s="1"/>
  <c r="B3725" i="3"/>
  <c r="B3877" i="1" s="1"/>
  <c r="B3726" i="3"/>
  <c r="B3727" i="3"/>
  <c r="B3728" i="3"/>
  <c r="B3729" i="3"/>
  <c r="B3730" i="3"/>
  <c r="B3882" i="1" s="1"/>
  <c r="B3731" i="3"/>
  <c r="B3883" i="1" s="1"/>
  <c r="B3732" i="3"/>
  <c r="B3733" i="3"/>
  <c r="B3885" i="1" s="1"/>
  <c r="B3734" i="3"/>
  <c r="B3886" i="1" s="1"/>
  <c r="B3735" i="3"/>
  <c r="B3887" i="1" s="1"/>
  <c r="B3736" i="3"/>
  <c r="B3888" i="1" s="1"/>
  <c r="B3737" i="3"/>
  <c r="B3889" i="1" s="1"/>
  <c r="B3738" i="3"/>
  <c r="B3739" i="3"/>
  <c r="B3891" i="1" s="1"/>
  <c r="B3740" i="3"/>
  <c r="B3741" i="3"/>
  <c r="B3893" i="1" s="1"/>
  <c r="B3742" i="3"/>
  <c r="B3894" i="1" s="1"/>
  <c r="B3743" i="3"/>
  <c r="B3895" i="1" s="1"/>
  <c r="B3744" i="3"/>
  <c r="B3745" i="3"/>
  <c r="B3746" i="3"/>
  <c r="B3747" i="3"/>
  <c r="B3899" i="1" s="1"/>
  <c r="B3748" i="3"/>
  <c r="B3900" i="1" s="1"/>
  <c r="B3756" i="3"/>
  <c r="B3908" i="1" s="1"/>
  <c r="B3757" i="3"/>
  <c r="B3758" i="3"/>
  <c r="B3759" i="3"/>
  <c r="B3760" i="3"/>
  <c r="B3918" i="1" s="1"/>
  <c r="B3761" i="3"/>
  <c r="B3919" i="1" s="1"/>
  <c r="B3762" i="3"/>
  <c r="B3920" i="1" s="1"/>
  <c r="B3763" i="3"/>
  <c r="B3764" i="3"/>
  <c r="B3765" i="3"/>
  <c r="B3766" i="3"/>
  <c r="B3924" i="1" s="1"/>
  <c r="B3767" i="3"/>
  <c r="B3925" i="1" s="1"/>
  <c r="B3768" i="3"/>
  <c r="B3926" i="1" s="1"/>
  <c r="B3769" i="3"/>
  <c r="B3770" i="3"/>
  <c r="B3771" i="3"/>
  <c r="B3772" i="3"/>
  <c r="B3930" i="1" s="1"/>
  <c r="B3773" i="3"/>
  <c r="B3931" i="1" s="1"/>
  <c r="B3774" i="3"/>
  <c r="B3932" i="1" s="1"/>
  <c r="B3775" i="3"/>
  <c r="B3776" i="3"/>
  <c r="B3777" i="3"/>
  <c r="B3778" i="3"/>
  <c r="B3936" i="1" s="1"/>
  <c r="B3779" i="3"/>
  <c r="B3937" i="1" s="1"/>
  <c r="B3780" i="3"/>
  <c r="B3938" i="1" s="1"/>
  <c r="B3781" i="3"/>
  <c r="B3782" i="3"/>
  <c r="B3783" i="3"/>
  <c r="B3784" i="3"/>
  <c r="B3942" i="1" s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3" i="1"/>
  <c r="B3764" i="1"/>
  <c r="B3766" i="1"/>
  <c r="B3767" i="1"/>
  <c r="B3768" i="1"/>
  <c r="B3772" i="1"/>
  <c r="B3778" i="1"/>
  <c r="B3779" i="1"/>
  <c r="B3780" i="1"/>
  <c r="B3784" i="1"/>
  <c r="B3785" i="1"/>
  <c r="B3790" i="1"/>
  <c r="B3796" i="1"/>
  <c r="B3797" i="1"/>
  <c r="B3798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2" i="1"/>
  <c r="B3823" i="1"/>
  <c r="B3825" i="1"/>
  <c r="B3826" i="1"/>
  <c r="B3829" i="1"/>
  <c r="B3830" i="1"/>
  <c r="B3835" i="1"/>
  <c r="B3836" i="1"/>
  <c r="B3837" i="1"/>
  <c r="B3838" i="1"/>
  <c r="B3840" i="1"/>
  <c r="B3842" i="1"/>
  <c r="B3843" i="1"/>
  <c r="B3844" i="1"/>
  <c r="B3845" i="1"/>
  <c r="B3848" i="1"/>
  <c r="B3854" i="1"/>
  <c r="B3855" i="1"/>
  <c r="B3856" i="1"/>
  <c r="B3860" i="1"/>
  <c r="B3861" i="1"/>
  <c r="B3862" i="1"/>
  <c r="B3866" i="1"/>
  <c r="B3867" i="1"/>
  <c r="B3872" i="1"/>
  <c r="B3873" i="1"/>
  <c r="B3874" i="1"/>
  <c r="B3878" i="1"/>
  <c r="B3879" i="1"/>
  <c r="B3880" i="1"/>
  <c r="B3881" i="1"/>
  <c r="B3884" i="1"/>
  <c r="B3890" i="1"/>
  <c r="B3892" i="1"/>
  <c r="B3896" i="1"/>
  <c r="B3897" i="1"/>
  <c r="B3898" i="1"/>
  <c r="B3901" i="1"/>
  <c r="B3902" i="1"/>
  <c r="B3903" i="1"/>
  <c r="B3904" i="1"/>
  <c r="B3905" i="1"/>
  <c r="B3906" i="1"/>
  <c r="B3907" i="1"/>
  <c r="B3909" i="1"/>
  <c r="B3910" i="1"/>
  <c r="B3911" i="1"/>
  <c r="B3912" i="1"/>
  <c r="B3913" i="1"/>
  <c r="B3914" i="1"/>
  <c r="B3915" i="1"/>
  <c r="B3916" i="1"/>
  <c r="B3917" i="1"/>
  <c r="B3921" i="1"/>
  <c r="B3922" i="1"/>
  <c r="B3923" i="1"/>
  <c r="B3927" i="1"/>
  <c r="B3928" i="1"/>
  <c r="B3929" i="1"/>
  <c r="B3933" i="1"/>
  <c r="B3934" i="1"/>
  <c r="B3935" i="1"/>
  <c r="B3939" i="1"/>
  <c r="B3940" i="1"/>
  <c r="B3941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" i="1"/>
  <c r="B2" i="1"/>
  <c r="G3" i="5" l="1"/>
  <c r="J2" i="5"/>
  <c r="H2" i="5"/>
  <c r="G4" i="5" l="1"/>
  <c r="J3" i="5"/>
  <c r="I3" i="5"/>
  <c r="H3" i="5"/>
  <c r="G5" i="5" l="1"/>
  <c r="J4" i="5"/>
  <c r="I4" i="5"/>
  <c r="H4" i="5"/>
  <c r="G6" i="5" l="1"/>
  <c r="J5" i="5"/>
  <c r="I5" i="5"/>
  <c r="H5" i="5"/>
  <c r="G7" i="5" l="1"/>
  <c r="J6" i="5"/>
  <c r="I6" i="5"/>
  <c r="H6" i="5"/>
  <c r="G8" i="5" l="1"/>
  <c r="J7" i="5"/>
  <c r="I7" i="5"/>
  <c r="H7" i="5"/>
  <c r="G9" i="5" l="1"/>
  <c r="J8" i="5"/>
  <c r="I8" i="5"/>
  <c r="H8" i="5"/>
  <c r="G10" i="5" l="1"/>
  <c r="J9" i="5"/>
  <c r="I9" i="5"/>
  <c r="H9" i="5"/>
  <c r="G11" i="5" l="1"/>
  <c r="J10" i="5"/>
  <c r="I10" i="5"/>
  <c r="H10" i="5"/>
  <c r="G12" i="5" l="1"/>
  <c r="J11" i="5"/>
  <c r="I11" i="5"/>
  <c r="H11" i="5"/>
  <c r="G13" i="5" l="1"/>
  <c r="J12" i="5"/>
  <c r="I12" i="5"/>
  <c r="H12" i="5"/>
  <c r="G14" i="5" l="1"/>
  <c r="J13" i="5"/>
  <c r="I13" i="5"/>
  <c r="H13" i="5"/>
  <c r="G15" i="5" l="1"/>
  <c r="J14" i="5"/>
  <c r="I14" i="5"/>
  <c r="H14" i="5"/>
  <c r="G16" i="5" l="1"/>
  <c r="J15" i="5"/>
  <c r="I15" i="5"/>
  <c r="H15" i="5"/>
  <c r="G17" i="5" l="1"/>
  <c r="J16" i="5"/>
  <c r="I16" i="5"/>
  <c r="H16" i="5"/>
  <c r="G18" i="5" l="1"/>
  <c r="J17" i="5"/>
  <c r="I17" i="5"/>
  <c r="H17" i="5"/>
  <c r="G19" i="5" l="1"/>
  <c r="J18" i="5"/>
  <c r="I18" i="5"/>
  <c r="H18" i="5"/>
  <c r="G20" i="5" l="1"/>
  <c r="J19" i="5"/>
  <c r="I19" i="5"/>
  <c r="H19" i="5"/>
  <c r="G21" i="5" l="1"/>
  <c r="J20" i="5"/>
  <c r="I20" i="5"/>
  <c r="H20" i="5"/>
  <c r="G22" i="5" l="1"/>
  <c r="J21" i="5"/>
  <c r="I21" i="5"/>
  <c r="H21" i="5"/>
  <c r="G23" i="5" l="1"/>
  <c r="J22" i="5"/>
  <c r="I22" i="5"/>
  <c r="H22" i="5"/>
  <c r="G24" i="5" l="1"/>
  <c r="J23" i="5"/>
  <c r="I23" i="5"/>
  <c r="H23" i="5"/>
  <c r="G25" i="5" l="1"/>
  <c r="J24" i="5"/>
  <c r="I24" i="5"/>
  <c r="H24" i="5"/>
  <c r="G26" i="5" l="1"/>
  <c r="J25" i="5"/>
  <c r="I25" i="5"/>
  <c r="H25" i="5"/>
  <c r="G27" i="5" l="1"/>
  <c r="J26" i="5"/>
  <c r="I26" i="5"/>
  <c r="H26" i="5"/>
  <c r="G28" i="5" l="1"/>
  <c r="J27" i="5"/>
  <c r="I27" i="5"/>
  <c r="H27" i="5"/>
  <c r="G29" i="5" l="1"/>
  <c r="I28" i="5"/>
  <c r="J28" i="5"/>
  <c r="H28" i="5"/>
  <c r="G30" i="5" l="1"/>
  <c r="J29" i="5"/>
  <c r="I29" i="5"/>
  <c r="H29" i="5"/>
  <c r="G31" i="5" l="1"/>
  <c r="J30" i="5"/>
  <c r="I30" i="5"/>
  <c r="H30" i="5"/>
  <c r="G32" i="5" l="1"/>
  <c r="J31" i="5"/>
  <c r="I31" i="5"/>
  <c r="H31" i="5"/>
  <c r="G33" i="5" l="1"/>
  <c r="J32" i="5"/>
  <c r="I32" i="5"/>
  <c r="H32" i="5"/>
  <c r="G34" i="5" l="1"/>
  <c r="J33" i="5"/>
  <c r="I33" i="5"/>
  <c r="H33" i="5"/>
  <c r="G35" i="5" l="1"/>
  <c r="J34" i="5"/>
  <c r="I34" i="5"/>
  <c r="H34" i="5"/>
  <c r="G36" i="5" l="1"/>
  <c r="J35" i="5"/>
  <c r="I35" i="5"/>
  <c r="H35" i="5"/>
  <c r="G37" i="5" l="1"/>
  <c r="J36" i="5"/>
  <c r="H36" i="5"/>
  <c r="I36" i="5"/>
  <c r="G38" i="5" l="1"/>
  <c r="J37" i="5"/>
  <c r="I37" i="5"/>
  <c r="H37" i="5"/>
  <c r="G39" i="5" l="1"/>
  <c r="J38" i="5"/>
  <c r="I38" i="5"/>
  <c r="H38" i="5"/>
  <c r="G40" i="5" l="1"/>
  <c r="J39" i="5"/>
  <c r="I39" i="5"/>
  <c r="H39" i="5"/>
  <c r="G41" i="5" l="1"/>
  <c r="J40" i="5"/>
  <c r="I40" i="5"/>
  <c r="H40" i="5"/>
  <c r="G42" i="5" l="1"/>
  <c r="J41" i="5"/>
  <c r="I41" i="5"/>
  <c r="H41" i="5"/>
  <c r="G43" i="5" l="1"/>
  <c r="J42" i="5"/>
  <c r="I42" i="5"/>
  <c r="H42" i="5"/>
  <c r="G44" i="5" l="1"/>
  <c r="J43" i="5"/>
  <c r="I43" i="5"/>
  <c r="H43" i="5"/>
  <c r="G45" i="5" l="1"/>
  <c r="J44" i="5"/>
  <c r="I44" i="5"/>
  <c r="H44" i="5"/>
  <c r="G46" i="5" l="1"/>
  <c r="J45" i="5"/>
  <c r="I45" i="5"/>
  <c r="H45" i="5"/>
  <c r="G47" i="5" l="1"/>
  <c r="J46" i="5"/>
  <c r="I46" i="5"/>
  <c r="H46" i="5"/>
  <c r="G48" i="5" l="1"/>
  <c r="J47" i="5"/>
  <c r="I47" i="5"/>
  <c r="H47" i="5"/>
  <c r="G49" i="5" l="1"/>
  <c r="J48" i="5"/>
  <c r="I48" i="5"/>
  <c r="H48" i="5"/>
  <c r="G50" i="5" l="1"/>
  <c r="J49" i="5"/>
  <c r="I49" i="5"/>
  <c r="H49" i="5"/>
  <c r="G51" i="5" l="1"/>
  <c r="J50" i="5"/>
  <c r="I50" i="5"/>
  <c r="H50" i="5"/>
  <c r="G52" i="5" l="1"/>
  <c r="J51" i="5"/>
  <c r="I51" i="5"/>
  <c r="H51" i="5"/>
  <c r="G53" i="5" l="1"/>
  <c r="J52" i="5"/>
  <c r="I52" i="5"/>
  <c r="H52" i="5"/>
  <c r="G54" i="5" l="1"/>
  <c r="J53" i="5"/>
  <c r="I53" i="5"/>
  <c r="H53" i="5"/>
  <c r="G55" i="5" l="1"/>
  <c r="J54" i="5"/>
  <c r="I54" i="5"/>
  <c r="H54" i="5"/>
  <c r="G56" i="5" l="1"/>
  <c r="J55" i="5"/>
  <c r="I55" i="5"/>
  <c r="H55" i="5"/>
  <c r="G57" i="5" l="1"/>
  <c r="I56" i="5"/>
  <c r="J56" i="5"/>
  <c r="H56" i="5"/>
  <c r="G58" i="5" l="1"/>
  <c r="J57" i="5"/>
  <c r="I57" i="5"/>
  <c r="H57" i="5"/>
  <c r="G59" i="5" l="1"/>
  <c r="J58" i="5"/>
  <c r="I58" i="5"/>
  <c r="H58" i="5"/>
  <c r="G60" i="5" l="1"/>
  <c r="J59" i="5"/>
  <c r="I59" i="5"/>
  <c r="H59" i="5"/>
  <c r="G61" i="5" l="1"/>
  <c r="J60" i="5"/>
  <c r="I60" i="5"/>
  <c r="H60" i="5"/>
  <c r="G62" i="5" l="1"/>
  <c r="J61" i="5"/>
  <c r="I61" i="5"/>
  <c r="H61" i="5"/>
  <c r="G63" i="5" l="1"/>
  <c r="J62" i="5"/>
  <c r="I62" i="5"/>
  <c r="H62" i="5"/>
  <c r="G64" i="5" l="1"/>
  <c r="J63" i="5"/>
  <c r="I63" i="5"/>
  <c r="H63" i="5"/>
  <c r="G65" i="5" l="1"/>
  <c r="J64" i="5"/>
  <c r="I64" i="5"/>
  <c r="H64" i="5"/>
  <c r="G66" i="5" l="1"/>
  <c r="J65" i="5"/>
  <c r="I65" i="5"/>
  <c r="H65" i="5"/>
  <c r="G67" i="5" l="1"/>
  <c r="J66" i="5"/>
  <c r="I66" i="5"/>
  <c r="H66" i="5"/>
  <c r="G68" i="5" l="1"/>
  <c r="J67" i="5"/>
  <c r="I67" i="5"/>
  <c r="H67" i="5"/>
  <c r="G69" i="5" l="1"/>
  <c r="J68" i="5"/>
  <c r="I68" i="5"/>
  <c r="H68" i="5"/>
  <c r="G70" i="5" l="1"/>
  <c r="J69" i="5"/>
  <c r="I69" i="5"/>
  <c r="H69" i="5"/>
  <c r="G71" i="5" l="1"/>
  <c r="J70" i="5"/>
  <c r="I70" i="5"/>
  <c r="H70" i="5"/>
  <c r="G72" i="5" l="1"/>
  <c r="J71" i="5"/>
  <c r="I71" i="5"/>
  <c r="H71" i="5"/>
  <c r="G73" i="5" l="1"/>
  <c r="J72" i="5"/>
  <c r="H72" i="5"/>
  <c r="I72" i="5"/>
  <c r="G74" i="5" l="1"/>
  <c r="J73" i="5"/>
  <c r="I73" i="5"/>
  <c r="H73" i="5"/>
  <c r="G75" i="5" l="1"/>
  <c r="J74" i="5"/>
  <c r="I74" i="5"/>
  <c r="H74" i="5"/>
  <c r="G76" i="5" l="1"/>
  <c r="J75" i="5"/>
  <c r="I75" i="5"/>
  <c r="H75" i="5"/>
  <c r="G77" i="5" l="1"/>
  <c r="J76" i="5"/>
  <c r="I76" i="5"/>
  <c r="H76" i="5"/>
  <c r="G78" i="5" l="1"/>
  <c r="J77" i="5"/>
  <c r="I77" i="5"/>
  <c r="H77" i="5"/>
  <c r="G79" i="5" l="1"/>
  <c r="J78" i="5"/>
  <c r="I78" i="5"/>
  <c r="H78" i="5"/>
  <c r="G80" i="5" l="1"/>
  <c r="J79" i="5"/>
  <c r="I79" i="5"/>
  <c r="H79" i="5"/>
  <c r="G81" i="5" l="1"/>
  <c r="J80" i="5"/>
  <c r="I80" i="5"/>
  <c r="H80" i="5"/>
  <c r="G82" i="5" l="1"/>
  <c r="J81" i="5"/>
  <c r="I81" i="5"/>
  <c r="H81" i="5"/>
  <c r="G83" i="5" l="1"/>
  <c r="I82" i="5"/>
  <c r="J82" i="5"/>
  <c r="H82" i="5"/>
  <c r="G84" i="5" l="1"/>
  <c r="J83" i="5"/>
  <c r="I83" i="5"/>
  <c r="H83" i="5"/>
  <c r="G85" i="5" l="1"/>
  <c r="J84" i="5"/>
  <c r="I84" i="5"/>
  <c r="H84" i="5"/>
  <c r="G86" i="5" l="1"/>
  <c r="J85" i="5"/>
  <c r="I85" i="5"/>
  <c r="H85" i="5"/>
  <c r="G87" i="5" l="1"/>
  <c r="J86" i="5"/>
  <c r="I86" i="5"/>
  <c r="H86" i="5"/>
  <c r="G88" i="5" l="1"/>
  <c r="J87" i="5"/>
  <c r="I87" i="5"/>
  <c r="H87" i="5"/>
  <c r="G89" i="5" l="1"/>
  <c r="J88" i="5"/>
  <c r="I88" i="5"/>
  <c r="H88" i="5"/>
  <c r="G90" i="5" l="1"/>
  <c r="J89" i="5"/>
  <c r="I89" i="5"/>
  <c r="H89" i="5"/>
  <c r="G91" i="5" l="1"/>
  <c r="J90" i="5"/>
  <c r="I90" i="5"/>
  <c r="H90" i="5"/>
  <c r="G92" i="5" l="1"/>
  <c r="J91" i="5"/>
  <c r="I91" i="5"/>
  <c r="H91" i="5"/>
  <c r="G93" i="5" l="1"/>
  <c r="J92" i="5"/>
  <c r="I92" i="5"/>
  <c r="H92" i="5"/>
  <c r="G94" i="5" l="1"/>
  <c r="J93" i="5"/>
  <c r="I93" i="5"/>
  <c r="H93" i="5"/>
  <c r="G95" i="5" l="1"/>
  <c r="J94" i="5"/>
  <c r="I94" i="5"/>
  <c r="H94" i="5"/>
  <c r="G96" i="5" l="1"/>
  <c r="J95" i="5"/>
  <c r="I95" i="5"/>
  <c r="H95" i="5"/>
  <c r="G97" i="5" l="1"/>
  <c r="J96" i="5"/>
  <c r="I96" i="5"/>
  <c r="H96" i="5"/>
  <c r="G98" i="5" l="1"/>
  <c r="J97" i="5"/>
  <c r="I97" i="5"/>
  <c r="H97" i="5"/>
  <c r="G99" i="5" l="1"/>
  <c r="J98" i="5"/>
  <c r="I98" i="5"/>
  <c r="H98" i="5"/>
  <c r="G100" i="5" l="1"/>
  <c r="J99" i="5"/>
  <c r="I99" i="5"/>
  <c r="H99" i="5"/>
  <c r="G101" i="5" l="1"/>
  <c r="J100" i="5"/>
  <c r="I100" i="5"/>
  <c r="H100" i="5"/>
  <c r="G102" i="5" l="1"/>
  <c r="J101" i="5"/>
  <c r="I101" i="5"/>
  <c r="H101" i="5"/>
  <c r="G103" i="5" l="1"/>
  <c r="J102" i="5"/>
  <c r="I102" i="5"/>
  <c r="H102" i="5"/>
  <c r="G104" i="5" l="1"/>
  <c r="J103" i="5"/>
  <c r="I103" i="5"/>
  <c r="H103" i="5"/>
  <c r="G105" i="5" l="1"/>
  <c r="J104" i="5"/>
  <c r="I104" i="5"/>
  <c r="H104" i="5"/>
  <c r="G106" i="5" l="1"/>
  <c r="J105" i="5"/>
  <c r="I105" i="5"/>
  <c r="H105" i="5"/>
  <c r="G107" i="5" l="1"/>
  <c r="J106" i="5"/>
  <c r="I106" i="5"/>
  <c r="H106" i="5"/>
  <c r="G108" i="5" l="1"/>
  <c r="J107" i="5"/>
  <c r="I107" i="5"/>
  <c r="H107" i="5"/>
  <c r="G109" i="5" l="1"/>
  <c r="J108" i="5"/>
  <c r="I108" i="5"/>
  <c r="H108" i="5"/>
  <c r="G110" i="5" l="1"/>
  <c r="J109" i="5"/>
  <c r="I109" i="5"/>
  <c r="H109" i="5"/>
  <c r="G111" i="5" l="1"/>
  <c r="J110" i="5"/>
  <c r="I110" i="5"/>
  <c r="H110" i="5"/>
  <c r="G112" i="5" l="1"/>
  <c r="J111" i="5"/>
  <c r="I111" i="5"/>
  <c r="H111" i="5"/>
  <c r="G113" i="5" l="1"/>
  <c r="J112" i="5"/>
  <c r="I112" i="5"/>
  <c r="H112" i="5"/>
  <c r="G114" i="5" l="1"/>
  <c r="J113" i="5"/>
  <c r="I113" i="5"/>
  <c r="H113" i="5"/>
  <c r="G115" i="5" l="1"/>
  <c r="J114" i="5"/>
  <c r="I114" i="5"/>
  <c r="H114" i="5"/>
  <c r="G116" i="5" l="1"/>
  <c r="J115" i="5"/>
  <c r="I115" i="5"/>
  <c r="H115" i="5"/>
  <c r="G117" i="5" l="1"/>
  <c r="J116" i="5"/>
  <c r="I116" i="5"/>
  <c r="H116" i="5"/>
  <c r="G118" i="5" l="1"/>
  <c r="J117" i="5"/>
  <c r="I117" i="5"/>
  <c r="H117" i="5"/>
  <c r="G119" i="5" l="1"/>
  <c r="J118" i="5"/>
  <c r="I118" i="5"/>
  <c r="H118" i="5"/>
  <c r="G120" i="5" l="1"/>
  <c r="J119" i="5"/>
  <c r="I119" i="5"/>
  <c r="H119" i="5"/>
  <c r="G121" i="5" l="1"/>
  <c r="J120" i="5"/>
  <c r="I120" i="5"/>
  <c r="H120" i="5"/>
  <c r="G122" i="5" l="1"/>
  <c r="J121" i="5"/>
  <c r="I121" i="5"/>
  <c r="H121" i="5"/>
  <c r="G123" i="5" l="1"/>
  <c r="J122" i="5"/>
  <c r="I122" i="5"/>
  <c r="H122" i="5"/>
  <c r="G124" i="5" l="1"/>
  <c r="J123" i="5"/>
  <c r="I123" i="5"/>
  <c r="H123" i="5"/>
  <c r="G125" i="5" l="1"/>
  <c r="J124" i="5"/>
  <c r="I124" i="5"/>
  <c r="H124" i="5"/>
  <c r="G126" i="5" l="1"/>
  <c r="J125" i="5"/>
  <c r="I125" i="5"/>
  <c r="H125" i="5"/>
  <c r="G127" i="5" l="1"/>
  <c r="J126" i="5"/>
  <c r="I126" i="5"/>
  <c r="H126" i="5"/>
  <c r="G128" i="5" l="1"/>
  <c r="J127" i="5"/>
  <c r="I127" i="5"/>
  <c r="H127" i="5"/>
  <c r="G129" i="5" l="1"/>
  <c r="J128" i="5"/>
  <c r="I128" i="5"/>
  <c r="H128" i="5"/>
  <c r="G130" i="5" l="1"/>
  <c r="J129" i="5"/>
  <c r="I129" i="5"/>
  <c r="H129" i="5"/>
  <c r="G131" i="5" l="1"/>
  <c r="J130" i="5"/>
  <c r="I130" i="5"/>
  <c r="H130" i="5"/>
  <c r="G132" i="5" l="1"/>
  <c r="J131" i="5"/>
  <c r="I131" i="5"/>
  <c r="H131" i="5"/>
  <c r="G133" i="5" l="1"/>
  <c r="J132" i="5"/>
  <c r="I132" i="5"/>
  <c r="H132" i="5"/>
  <c r="G134" i="5" l="1"/>
  <c r="J133" i="5"/>
  <c r="I133" i="5"/>
  <c r="H133" i="5"/>
  <c r="G135" i="5" l="1"/>
  <c r="J134" i="5"/>
  <c r="I134" i="5"/>
  <c r="H134" i="5"/>
  <c r="G136" i="5" l="1"/>
  <c r="J135" i="5"/>
  <c r="I135" i="5"/>
  <c r="H135" i="5"/>
  <c r="G137" i="5" l="1"/>
  <c r="I136" i="5"/>
  <c r="J136" i="5"/>
  <c r="H136" i="5"/>
  <c r="G138" i="5" l="1"/>
  <c r="J137" i="5"/>
  <c r="I137" i="5"/>
  <c r="H137" i="5"/>
  <c r="G139" i="5" l="1"/>
  <c r="J138" i="5"/>
  <c r="I138" i="5"/>
  <c r="H138" i="5"/>
  <c r="G140" i="5" l="1"/>
  <c r="J139" i="5"/>
  <c r="I139" i="5"/>
  <c r="H139" i="5"/>
  <c r="G141" i="5" l="1"/>
  <c r="J140" i="5"/>
  <c r="I140" i="5"/>
  <c r="H140" i="5"/>
  <c r="G142" i="5" l="1"/>
  <c r="J141" i="5"/>
  <c r="I141" i="5"/>
  <c r="H141" i="5"/>
  <c r="G143" i="5" l="1"/>
  <c r="J142" i="5"/>
  <c r="I142" i="5"/>
  <c r="H142" i="5"/>
  <c r="G144" i="5" l="1"/>
  <c r="J143" i="5"/>
  <c r="I143" i="5"/>
  <c r="H143" i="5"/>
  <c r="G145" i="5" l="1"/>
  <c r="J144" i="5"/>
  <c r="I144" i="5"/>
  <c r="H144" i="5"/>
  <c r="G146" i="5" l="1"/>
  <c r="J145" i="5"/>
  <c r="I145" i="5"/>
  <c r="H145" i="5"/>
  <c r="G147" i="5" l="1"/>
  <c r="J146" i="5"/>
  <c r="I146" i="5"/>
  <c r="H146" i="5"/>
  <c r="G148" i="5" l="1"/>
  <c r="J147" i="5"/>
  <c r="I147" i="5"/>
  <c r="H147" i="5"/>
  <c r="G149" i="5" l="1"/>
  <c r="J148" i="5"/>
  <c r="I148" i="5"/>
  <c r="H148" i="5"/>
  <c r="G150" i="5" l="1"/>
  <c r="J149" i="5"/>
  <c r="I149" i="5"/>
  <c r="H149" i="5"/>
  <c r="G151" i="5" l="1"/>
  <c r="J150" i="5"/>
  <c r="I150" i="5"/>
  <c r="H150" i="5"/>
  <c r="G152" i="5" l="1"/>
  <c r="J151" i="5"/>
  <c r="I151" i="5"/>
  <c r="H151" i="5"/>
  <c r="G153" i="5" l="1"/>
  <c r="J152" i="5"/>
  <c r="I152" i="5"/>
  <c r="H152" i="5"/>
  <c r="G154" i="5" l="1"/>
  <c r="J153" i="5"/>
  <c r="I153" i="5"/>
  <c r="H153" i="5"/>
  <c r="G155" i="5" l="1"/>
  <c r="J154" i="5"/>
  <c r="I154" i="5"/>
  <c r="H154" i="5"/>
  <c r="G156" i="5" l="1"/>
  <c r="J155" i="5"/>
  <c r="I155" i="5"/>
  <c r="H155" i="5"/>
  <c r="G157" i="5" l="1"/>
  <c r="J156" i="5"/>
  <c r="I156" i="5"/>
  <c r="H156" i="5"/>
  <c r="G158" i="5" l="1"/>
  <c r="J157" i="5"/>
  <c r="I157" i="5"/>
  <c r="H157" i="5"/>
  <c r="G159" i="5" l="1"/>
  <c r="J158" i="5"/>
  <c r="I158" i="5"/>
  <c r="H158" i="5"/>
  <c r="G160" i="5" l="1"/>
  <c r="J159" i="5"/>
  <c r="I159" i="5"/>
  <c r="H159" i="5"/>
  <c r="G161" i="5" l="1"/>
  <c r="J160" i="5"/>
  <c r="I160" i="5"/>
  <c r="H160" i="5"/>
  <c r="G162" i="5" l="1"/>
  <c r="J161" i="5"/>
  <c r="I161" i="5"/>
  <c r="H161" i="5"/>
  <c r="G163" i="5" l="1"/>
  <c r="J162" i="5"/>
  <c r="I162" i="5"/>
  <c r="H162" i="5"/>
  <c r="G164" i="5" l="1"/>
  <c r="J163" i="5"/>
  <c r="I163" i="5"/>
  <c r="H163" i="5"/>
  <c r="G165" i="5" l="1"/>
  <c r="I164" i="5"/>
  <c r="J164" i="5"/>
  <c r="H164" i="5"/>
  <c r="G166" i="5" l="1"/>
  <c r="J165" i="5"/>
  <c r="I165" i="5"/>
  <c r="H165" i="5"/>
  <c r="G167" i="5" l="1"/>
  <c r="J166" i="5"/>
  <c r="I166" i="5"/>
  <c r="H166" i="5"/>
  <c r="G168" i="5" l="1"/>
  <c r="J167" i="5"/>
  <c r="I167" i="5"/>
  <c r="H167" i="5"/>
  <c r="G169" i="5" l="1"/>
  <c r="J168" i="5"/>
  <c r="I168" i="5"/>
  <c r="H168" i="5"/>
  <c r="G170" i="5" l="1"/>
  <c r="J169" i="5"/>
  <c r="I169" i="5"/>
  <c r="H169" i="5"/>
  <c r="G171" i="5" l="1"/>
  <c r="J170" i="5"/>
  <c r="I170" i="5"/>
  <c r="H170" i="5"/>
  <c r="G172" i="5" l="1"/>
  <c r="J171" i="5"/>
  <c r="I171" i="5"/>
  <c r="H171" i="5"/>
  <c r="G173" i="5" l="1"/>
  <c r="J172" i="5"/>
  <c r="I172" i="5"/>
  <c r="H172" i="5"/>
  <c r="G174" i="5" l="1"/>
  <c r="J173" i="5"/>
  <c r="I173" i="5"/>
  <c r="H173" i="5"/>
  <c r="G175" i="5" l="1"/>
  <c r="J174" i="5"/>
  <c r="I174" i="5"/>
  <c r="H174" i="5"/>
  <c r="G176" i="5" l="1"/>
  <c r="J175" i="5"/>
  <c r="I175" i="5"/>
  <c r="H175" i="5"/>
  <c r="G177" i="5" l="1"/>
  <c r="J176" i="5"/>
  <c r="I176" i="5"/>
  <c r="H176" i="5"/>
  <c r="G178" i="5" l="1"/>
  <c r="J177" i="5"/>
  <c r="I177" i="5"/>
  <c r="H177" i="5"/>
  <c r="G179" i="5" l="1"/>
  <c r="J178" i="5"/>
  <c r="I178" i="5"/>
  <c r="H178" i="5"/>
  <c r="G180" i="5" l="1"/>
  <c r="J179" i="5"/>
  <c r="I179" i="5"/>
  <c r="H179" i="5"/>
  <c r="G181" i="5" l="1"/>
  <c r="J180" i="5"/>
  <c r="I180" i="5"/>
  <c r="H180" i="5"/>
  <c r="G182" i="5" l="1"/>
  <c r="J181" i="5"/>
  <c r="I181" i="5"/>
  <c r="H181" i="5"/>
  <c r="G183" i="5" l="1"/>
  <c r="J182" i="5"/>
  <c r="I182" i="5"/>
  <c r="H182" i="5"/>
  <c r="G184" i="5" l="1"/>
  <c r="J183" i="5"/>
  <c r="I183" i="5"/>
  <c r="H183" i="5"/>
  <c r="G185" i="5" l="1"/>
  <c r="J184" i="5"/>
  <c r="I184" i="5"/>
  <c r="H184" i="5"/>
  <c r="G186" i="5" l="1"/>
  <c r="J185" i="5"/>
  <c r="I185" i="5"/>
  <c r="H185" i="5"/>
  <c r="G187" i="5" l="1"/>
  <c r="J186" i="5"/>
  <c r="I186" i="5"/>
  <c r="H186" i="5"/>
  <c r="G188" i="5" l="1"/>
  <c r="J187" i="5"/>
  <c r="I187" i="5"/>
  <c r="H187" i="5"/>
  <c r="G189" i="5" l="1"/>
  <c r="J188" i="5"/>
  <c r="I188" i="5"/>
  <c r="H188" i="5"/>
  <c r="G190" i="5" l="1"/>
  <c r="J189" i="5"/>
  <c r="I189" i="5"/>
  <c r="H189" i="5"/>
  <c r="G191" i="5" l="1"/>
  <c r="I190" i="5"/>
  <c r="J190" i="5"/>
  <c r="H190" i="5"/>
  <c r="G192" i="5" l="1"/>
  <c r="J191" i="5"/>
  <c r="I191" i="5"/>
  <c r="H191" i="5"/>
  <c r="G193" i="5" l="1"/>
  <c r="J192" i="5"/>
  <c r="I192" i="5"/>
  <c r="H192" i="5"/>
  <c r="G194" i="5" l="1"/>
  <c r="J193" i="5"/>
  <c r="I193" i="5"/>
  <c r="H193" i="5"/>
  <c r="G195" i="5" l="1"/>
  <c r="J194" i="5"/>
  <c r="I194" i="5"/>
  <c r="H194" i="5"/>
  <c r="G196" i="5" l="1"/>
  <c r="J195" i="5"/>
  <c r="I195" i="5"/>
  <c r="H195" i="5"/>
  <c r="G197" i="5" l="1"/>
  <c r="J196" i="5"/>
  <c r="I196" i="5"/>
  <c r="H196" i="5"/>
  <c r="G198" i="5" l="1"/>
  <c r="J197" i="5"/>
  <c r="I197" i="5"/>
  <c r="H197" i="5"/>
  <c r="G199" i="5" l="1"/>
  <c r="J198" i="5"/>
  <c r="I198" i="5"/>
  <c r="H198" i="5"/>
  <c r="G200" i="5" l="1"/>
  <c r="J199" i="5"/>
  <c r="I199" i="5"/>
  <c r="H199" i="5"/>
  <c r="G201" i="5" l="1"/>
  <c r="J200" i="5"/>
  <c r="I200" i="5"/>
  <c r="H200" i="5"/>
  <c r="G202" i="5" l="1"/>
  <c r="J201" i="5"/>
  <c r="I201" i="5"/>
  <c r="H201" i="5"/>
  <c r="G203" i="5" l="1"/>
  <c r="J202" i="5"/>
  <c r="I202" i="5"/>
  <c r="H202" i="5"/>
  <c r="G204" i="5" l="1"/>
  <c r="J203" i="5"/>
  <c r="I203" i="5"/>
  <c r="H203" i="5"/>
  <c r="G205" i="5" l="1"/>
  <c r="J204" i="5"/>
  <c r="I204" i="5"/>
  <c r="H204" i="5"/>
  <c r="G206" i="5" l="1"/>
  <c r="J205" i="5"/>
  <c r="I205" i="5"/>
  <c r="H205" i="5"/>
  <c r="G207" i="5" l="1"/>
  <c r="J206" i="5"/>
  <c r="I206" i="5"/>
  <c r="H206" i="5"/>
  <c r="G208" i="5" l="1"/>
  <c r="J207" i="5"/>
  <c r="I207" i="5"/>
  <c r="H207" i="5"/>
  <c r="G209" i="5" l="1"/>
  <c r="J208" i="5"/>
  <c r="I208" i="5"/>
  <c r="H208" i="5"/>
  <c r="G210" i="5" l="1"/>
  <c r="J209" i="5"/>
  <c r="I209" i="5"/>
  <c r="H209" i="5"/>
  <c r="G211" i="5" l="1"/>
  <c r="J210" i="5"/>
  <c r="I210" i="5"/>
  <c r="H210" i="5"/>
  <c r="G212" i="5" l="1"/>
  <c r="J211" i="5"/>
  <c r="I211" i="5"/>
  <c r="H211" i="5"/>
  <c r="G213" i="5" l="1"/>
  <c r="J212" i="5"/>
  <c r="I212" i="5"/>
  <c r="H212" i="5"/>
  <c r="G214" i="5" l="1"/>
  <c r="J213" i="5"/>
  <c r="I213" i="5"/>
  <c r="H213" i="5"/>
  <c r="G215" i="5" l="1"/>
  <c r="J214" i="5"/>
  <c r="I214" i="5"/>
  <c r="H214" i="5"/>
  <c r="G216" i="5" l="1"/>
  <c r="J215" i="5"/>
  <c r="I215" i="5"/>
  <c r="H215" i="5"/>
  <c r="G217" i="5" l="1"/>
  <c r="J216" i="5"/>
  <c r="H216" i="5"/>
  <c r="I216" i="5"/>
  <c r="G218" i="5" l="1"/>
  <c r="J217" i="5"/>
  <c r="I217" i="5"/>
  <c r="H217" i="5"/>
  <c r="G219" i="5" l="1"/>
  <c r="I218" i="5"/>
  <c r="J218" i="5"/>
  <c r="H218" i="5"/>
  <c r="G220" i="5" l="1"/>
  <c r="J219" i="5"/>
  <c r="I219" i="5"/>
  <c r="H219" i="5"/>
  <c r="G221" i="5" l="1"/>
  <c r="J220" i="5"/>
  <c r="I220" i="5"/>
  <c r="H220" i="5"/>
  <c r="G222" i="5" l="1"/>
  <c r="J221" i="5"/>
  <c r="I221" i="5"/>
  <c r="H221" i="5"/>
  <c r="G223" i="5" l="1"/>
  <c r="J222" i="5"/>
  <c r="I222" i="5"/>
  <c r="H222" i="5"/>
  <c r="G224" i="5" l="1"/>
  <c r="J223" i="5"/>
  <c r="I223" i="5"/>
  <c r="H223" i="5"/>
  <c r="G225" i="5" l="1"/>
  <c r="J224" i="5"/>
  <c r="I224" i="5"/>
  <c r="H224" i="5"/>
  <c r="G226" i="5" l="1"/>
  <c r="J225" i="5"/>
  <c r="I225" i="5"/>
  <c r="H225" i="5"/>
  <c r="G227" i="5" l="1"/>
  <c r="J226" i="5"/>
  <c r="I226" i="5"/>
  <c r="H226" i="5"/>
  <c r="G228" i="5" l="1"/>
  <c r="J227" i="5"/>
  <c r="I227" i="5"/>
  <c r="H227" i="5"/>
  <c r="G229" i="5" l="1"/>
  <c r="J228" i="5"/>
  <c r="I228" i="5"/>
  <c r="H228" i="5"/>
  <c r="G230" i="5" l="1"/>
  <c r="J229" i="5"/>
  <c r="I229" i="5"/>
  <c r="H229" i="5"/>
  <c r="G231" i="5" l="1"/>
  <c r="J230" i="5"/>
  <c r="I230" i="5"/>
  <c r="H230" i="5"/>
  <c r="G232" i="5" l="1"/>
  <c r="J231" i="5"/>
  <c r="I231" i="5"/>
  <c r="H231" i="5"/>
  <c r="G233" i="5" l="1"/>
  <c r="J232" i="5"/>
  <c r="I232" i="5"/>
  <c r="H232" i="5"/>
  <c r="G234" i="5" l="1"/>
  <c r="J233" i="5"/>
  <c r="I233" i="5"/>
  <c r="H233" i="5"/>
  <c r="G235" i="5" l="1"/>
  <c r="J234" i="5"/>
  <c r="I234" i="5"/>
  <c r="H234" i="5"/>
  <c r="G236" i="5" l="1"/>
  <c r="J235" i="5"/>
  <c r="I235" i="5"/>
  <c r="H235" i="5"/>
  <c r="G237" i="5" l="1"/>
  <c r="J236" i="5"/>
  <c r="I236" i="5"/>
  <c r="H236" i="5"/>
  <c r="G238" i="5" l="1"/>
  <c r="J237" i="5"/>
  <c r="I237" i="5"/>
  <c r="H237" i="5"/>
  <c r="G239" i="5" l="1"/>
  <c r="J238" i="5"/>
  <c r="I238" i="5"/>
  <c r="H238" i="5"/>
  <c r="G240" i="5" l="1"/>
  <c r="J239" i="5"/>
  <c r="I239" i="5"/>
  <c r="H239" i="5"/>
  <c r="G241" i="5" l="1"/>
  <c r="J240" i="5"/>
  <c r="I240" i="5"/>
  <c r="H240" i="5"/>
  <c r="G242" i="5" l="1"/>
  <c r="J241" i="5"/>
  <c r="I241" i="5"/>
  <c r="H241" i="5"/>
  <c r="G243" i="5" l="1"/>
  <c r="J242" i="5"/>
  <c r="I242" i="5"/>
  <c r="H242" i="5"/>
  <c r="G244" i="5" l="1"/>
  <c r="J243" i="5"/>
  <c r="I243" i="5"/>
  <c r="H243" i="5"/>
  <c r="G245" i="5" l="1"/>
  <c r="I244" i="5"/>
  <c r="H244" i="5"/>
  <c r="J244" i="5"/>
  <c r="G246" i="5" l="1"/>
  <c r="J245" i="5"/>
  <c r="I245" i="5"/>
  <c r="H245" i="5"/>
  <c r="G247" i="5" l="1"/>
  <c r="J246" i="5"/>
  <c r="I246" i="5"/>
  <c r="H246" i="5"/>
  <c r="G248" i="5" l="1"/>
  <c r="J247" i="5"/>
  <c r="I247" i="5"/>
  <c r="H247" i="5"/>
  <c r="G249" i="5" l="1"/>
  <c r="J248" i="5"/>
  <c r="I248" i="5"/>
  <c r="H248" i="5"/>
  <c r="G250" i="5" l="1"/>
  <c r="J249" i="5"/>
  <c r="I249" i="5"/>
  <c r="H249" i="5"/>
  <c r="G251" i="5" l="1"/>
  <c r="J250" i="5"/>
  <c r="I250" i="5"/>
  <c r="H250" i="5"/>
  <c r="G252" i="5" l="1"/>
  <c r="J251" i="5"/>
  <c r="I251" i="5"/>
  <c r="H251" i="5"/>
  <c r="G253" i="5" l="1"/>
  <c r="J252" i="5"/>
  <c r="I252" i="5"/>
  <c r="H252" i="5"/>
  <c r="G254" i="5" l="1"/>
  <c r="J253" i="5"/>
  <c r="I253" i="5"/>
  <c r="H253" i="5"/>
  <c r="G255" i="5" l="1"/>
  <c r="J254" i="5"/>
  <c r="I254" i="5"/>
  <c r="H254" i="5"/>
  <c r="G256" i="5" l="1"/>
  <c r="J255" i="5"/>
  <c r="H255" i="5"/>
  <c r="I255" i="5"/>
  <c r="G257" i="5" l="1"/>
  <c r="J256" i="5"/>
  <c r="I256" i="5"/>
  <c r="H256" i="5"/>
  <c r="G258" i="5" l="1"/>
  <c r="J257" i="5"/>
  <c r="I257" i="5"/>
  <c r="H257" i="5"/>
  <c r="G259" i="5" l="1"/>
  <c r="J258" i="5"/>
  <c r="I258" i="5"/>
  <c r="H258" i="5"/>
  <c r="G260" i="5" l="1"/>
  <c r="J259" i="5"/>
  <c r="I259" i="5"/>
  <c r="H259" i="5"/>
  <c r="G261" i="5" l="1"/>
  <c r="J260" i="5"/>
  <c r="I260" i="5"/>
  <c r="H260" i="5"/>
  <c r="G262" i="5" l="1"/>
  <c r="J261" i="5"/>
  <c r="I261" i="5"/>
  <c r="H261" i="5"/>
  <c r="G263" i="5" l="1"/>
  <c r="J262" i="5"/>
  <c r="I262" i="5"/>
  <c r="H262" i="5"/>
  <c r="G264" i="5" l="1"/>
  <c r="J263" i="5"/>
  <c r="I263" i="5"/>
  <c r="H263" i="5"/>
  <c r="G265" i="5" l="1"/>
  <c r="J264" i="5"/>
  <c r="I264" i="5"/>
  <c r="H264" i="5"/>
  <c r="G266" i="5" l="1"/>
  <c r="J265" i="5"/>
  <c r="I265" i="5"/>
  <c r="H265" i="5"/>
  <c r="G267" i="5" l="1"/>
  <c r="J266" i="5"/>
  <c r="I266" i="5"/>
  <c r="H266" i="5"/>
  <c r="G268" i="5" l="1"/>
  <c r="J267" i="5"/>
  <c r="I267" i="5"/>
  <c r="H267" i="5"/>
  <c r="G269" i="5" l="1"/>
  <c r="J268" i="5"/>
  <c r="I268" i="5"/>
  <c r="H268" i="5"/>
  <c r="G270" i="5" l="1"/>
  <c r="J269" i="5"/>
  <c r="H269" i="5"/>
  <c r="I269" i="5"/>
  <c r="G271" i="5" l="1"/>
  <c r="J270" i="5"/>
  <c r="I270" i="5"/>
  <c r="H270" i="5"/>
  <c r="G272" i="5" l="1"/>
  <c r="J271" i="5"/>
  <c r="I271" i="5"/>
  <c r="H271" i="5"/>
  <c r="G273" i="5" l="1"/>
  <c r="J272" i="5"/>
  <c r="I272" i="5"/>
  <c r="H272" i="5"/>
  <c r="G274" i="5" l="1"/>
  <c r="J273" i="5"/>
  <c r="I273" i="5"/>
  <c r="H273" i="5"/>
  <c r="G275" i="5" l="1"/>
  <c r="J274" i="5"/>
  <c r="I274" i="5"/>
  <c r="H274" i="5"/>
  <c r="G276" i="5" l="1"/>
  <c r="J275" i="5"/>
  <c r="I275" i="5"/>
  <c r="H275" i="5"/>
  <c r="G277" i="5" l="1"/>
  <c r="J276" i="5"/>
  <c r="I276" i="5"/>
  <c r="H276" i="5"/>
  <c r="G278" i="5" l="1"/>
  <c r="J277" i="5"/>
  <c r="I277" i="5"/>
  <c r="H277" i="5"/>
  <c r="G279" i="5" l="1"/>
  <c r="J278" i="5"/>
  <c r="I278" i="5"/>
  <c r="H278" i="5"/>
  <c r="G280" i="5" l="1"/>
  <c r="J279" i="5"/>
  <c r="I279" i="5"/>
  <c r="H279" i="5"/>
  <c r="G281" i="5" l="1"/>
  <c r="J280" i="5"/>
  <c r="I280" i="5"/>
  <c r="H280" i="5"/>
  <c r="G282" i="5" l="1"/>
  <c r="J281" i="5"/>
  <c r="I281" i="5"/>
  <c r="H281" i="5"/>
  <c r="G283" i="5" l="1"/>
  <c r="J282" i="5"/>
  <c r="I282" i="5"/>
  <c r="H282" i="5"/>
  <c r="G284" i="5" l="1"/>
  <c r="J283" i="5"/>
  <c r="I283" i="5"/>
  <c r="H283" i="5"/>
  <c r="G285" i="5" l="1"/>
  <c r="J284" i="5"/>
  <c r="I284" i="5"/>
  <c r="H284" i="5"/>
  <c r="G286" i="5" l="1"/>
  <c r="J285" i="5"/>
  <c r="I285" i="5"/>
  <c r="H285" i="5"/>
  <c r="G287" i="5" l="1"/>
  <c r="J286" i="5"/>
  <c r="I286" i="5"/>
  <c r="H286" i="5"/>
  <c r="G288" i="5" l="1"/>
  <c r="J287" i="5"/>
  <c r="I287" i="5"/>
  <c r="H287" i="5"/>
  <c r="G289" i="5" l="1"/>
  <c r="J288" i="5"/>
  <c r="I288" i="5"/>
  <c r="H288" i="5"/>
  <c r="G290" i="5" l="1"/>
  <c r="J289" i="5"/>
  <c r="I289" i="5"/>
  <c r="H289" i="5"/>
  <c r="G291" i="5" l="1"/>
  <c r="J290" i="5"/>
  <c r="I290" i="5"/>
  <c r="H290" i="5"/>
  <c r="G292" i="5" l="1"/>
  <c r="J291" i="5"/>
  <c r="H291" i="5"/>
  <c r="I291" i="5"/>
  <c r="G293" i="5" l="1"/>
  <c r="J292" i="5"/>
  <c r="I292" i="5"/>
  <c r="H292" i="5"/>
  <c r="G294" i="5" l="1"/>
  <c r="J293" i="5"/>
  <c r="I293" i="5"/>
  <c r="H293" i="5"/>
  <c r="G295" i="5" l="1"/>
  <c r="J294" i="5"/>
  <c r="I294" i="5"/>
  <c r="H294" i="5"/>
  <c r="G296" i="5" l="1"/>
  <c r="J295" i="5"/>
  <c r="I295" i="5"/>
  <c r="H295" i="5"/>
  <c r="G297" i="5" l="1"/>
  <c r="J296" i="5"/>
  <c r="I296" i="5"/>
  <c r="H296" i="5"/>
  <c r="G298" i="5" l="1"/>
  <c r="J297" i="5"/>
  <c r="I297" i="5"/>
  <c r="H297" i="5"/>
  <c r="G299" i="5" l="1"/>
  <c r="J298" i="5"/>
  <c r="I298" i="5"/>
  <c r="H298" i="5"/>
  <c r="G300" i="5" l="1"/>
  <c r="J299" i="5"/>
  <c r="I299" i="5"/>
  <c r="H299" i="5"/>
  <c r="G301" i="5" l="1"/>
  <c r="J300" i="5"/>
  <c r="I300" i="5"/>
  <c r="H300" i="5"/>
  <c r="G302" i="5" l="1"/>
  <c r="J301" i="5"/>
  <c r="I301" i="5"/>
  <c r="H301" i="5"/>
  <c r="G303" i="5" l="1"/>
  <c r="J302" i="5"/>
  <c r="I302" i="5"/>
  <c r="H302" i="5"/>
  <c r="G304" i="5" l="1"/>
  <c r="J303" i="5"/>
  <c r="I303" i="5"/>
  <c r="H303" i="5"/>
  <c r="G305" i="5" l="1"/>
  <c r="J304" i="5"/>
  <c r="I304" i="5"/>
  <c r="H304" i="5"/>
  <c r="G306" i="5" l="1"/>
  <c r="J305" i="5"/>
  <c r="I305" i="5"/>
  <c r="H305" i="5"/>
  <c r="G307" i="5" l="1"/>
  <c r="J306" i="5"/>
  <c r="I306" i="5"/>
  <c r="H306" i="5"/>
  <c r="G308" i="5" l="1"/>
  <c r="J307" i="5"/>
  <c r="I307" i="5"/>
  <c r="H307" i="5"/>
  <c r="G309" i="5" l="1"/>
  <c r="J308" i="5"/>
  <c r="I308" i="5"/>
  <c r="H308" i="5"/>
  <c r="G310" i="5" l="1"/>
  <c r="J309" i="5"/>
  <c r="I309" i="5"/>
  <c r="H309" i="5"/>
  <c r="G311" i="5" l="1"/>
  <c r="J310" i="5"/>
  <c r="I310" i="5"/>
  <c r="H310" i="5"/>
  <c r="G312" i="5" l="1"/>
  <c r="J311" i="5"/>
  <c r="I311" i="5"/>
  <c r="H311" i="5"/>
  <c r="G313" i="5" l="1"/>
  <c r="J312" i="5"/>
  <c r="I312" i="5"/>
  <c r="H312" i="5"/>
  <c r="G314" i="5" l="1"/>
  <c r="J313" i="5"/>
  <c r="I313" i="5"/>
  <c r="H313" i="5"/>
  <c r="G315" i="5" l="1"/>
  <c r="J314" i="5"/>
  <c r="I314" i="5"/>
  <c r="H314" i="5"/>
  <c r="G316" i="5" l="1"/>
  <c r="J315" i="5"/>
  <c r="I315" i="5"/>
  <c r="H315" i="5"/>
  <c r="G317" i="5" l="1"/>
  <c r="J316" i="5"/>
  <c r="I316" i="5"/>
  <c r="H316" i="5"/>
  <c r="G318" i="5" l="1"/>
  <c r="J317" i="5"/>
  <c r="I317" i="5"/>
  <c r="H317" i="5"/>
  <c r="G319" i="5" l="1"/>
  <c r="J318" i="5"/>
  <c r="I318" i="5"/>
  <c r="H318" i="5"/>
  <c r="G320" i="5" l="1"/>
  <c r="J319" i="5"/>
  <c r="I319" i="5"/>
  <c r="H319" i="5"/>
  <c r="G321" i="5" l="1"/>
  <c r="J320" i="5"/>
  <c r="I320" i="5"/>
  <c r="H320" i="5"/>
  <c r="G322" i="5" l="1"/>
  <c r="J321" i="5"/>
  <c r="I321" i="5"/>
  <c r="H321" i="5"/>
  <c r="G323" i="5" l="1"/>
  <c r="J322" i="5"/>
  <c r="I322" i="5"/>
  <c r="H322" i="5"/>
  <c r="G324" i="5" l="1"/>
  <c r="J323" i="5"/>
  <c r="I323" i="5"/>
  <c r="H323" i="5"/>
  <c r="G325" i="5" l="1"/>
  <c r="J324" i="5"/>
  <c r="I324" i="5"/>
  <c r="H324" i="5"/>
  <c r="G326" i="5" l="1"/>
  <c r="J325" i="5"/>
  <c r="I325" i="5"/>
  <c r="H325" i="5"/>
  <c r="G327" i="5" l="1"/>
  <c r="I326" i="5"/>
  <c r="J326" i="5"/>
  <c r="H326" i="5"/>
  <c r="G328" i="5" l="1"/>
  <c r="J327" i="5"/>
  <c r="I327" i="5"/>
  <c r="H327" i="5"/>
  <c r="G329" i="5" l="1"/>
  <c r="J328" i="5"/>
  <c r="I328" i="5"/>
  <c r="H328" i="5"/>
  <c r="G330" i="5" l="1"/>
  <c r="J329" i="5"/>
  <c r="I329" i="5"/>
  <c r="H329" i="5"/>
  <c r="G331" i="5" l="1"/>
  <c r="J330" i="5"/>
  <c r="I330" i="5"/>
  <c r="H330" i="5"/>
  <c r="G332" i="5" l="1"/>
  <c r="J331" i="5"/>
  <c r="I331" i="5"/>
  <c r="H331" i="5"/>
  <c r="G333" i="5" l="1"/>
  <c r="J332" i="5"/>
  <c r="I332" i="5"/>
  <c r="H332" i="5"/>
  <c r="G334" i="5" l="1"/>
  <c r="J333" i="5"/>
  <c r="I333" i="5"/>
  <c r="H333" i="5"/>
  <c r="G335" i="5" l="1"/>
  <c r="J334" i="5"/>
  <c r="I334" i="5"/>
  <c r="H334" i="5"/>
  <c r="G336" i="5" l="1"/>
  <c r="J335" i="5"/>
  <c r="I335" i="5"/>
  <c r="H335" i="5"/>
  <c r="G337" i="5" l="1"/>
  <c r="J336" i="5"/>
  <c r="I336" i="5"/>
  <c r="H336" i="5"/>
  <c r="G338" i="5" l="1"/>
  <c r="J337" i="5"/>
  <c r="I337" i="5"/>
  <c r="H337" i="5"/>
  <c r="G339" i="5" l="1"/>
  <c r="J338" i="5"/>
  <c r="I338" i="5"/>
  <c r="H338" i="5"/>
  <c r="G340" i="5" l="1"/>
  <c r="J339" i="5"/>
  <c r="I339" i="5"/>
  <c r="H339" i="5"/>
  <c r="G341" i="5" l="1"/>
  <c r="J340" i="5"/>
  <c r="I340" i="5"/>
  <c r="H340" i="5"/>
  <c r="G342" i="5" l="1"/>
  <c r="J341" i="5"/>
  <c r="I341" i="5"/>
  <c r="H341" i="5"/>
  <c r="G343" i="5" l="1"/>
  <c r="J342" i="5"/>
  <c r="I342" i="5"/>
  <c r="H342" i="5"/>
  <c r="G344" i="5" l="1"/>
  <c r="J343" i="5"/>
  <c r="I343" i="5"/>
  <c r="H343" i="5"/>
  <c r="G345" i="5" l="1"/>
  <c r="J344" i="5"/>
  <c r="I344" i="5"/>
  <c r="H344" i="5"/>
  <c r="G346" i="5" l="1"/>
  <c r="J345" i="5"/>
  <c r="I345" i="5"/>
  <c r="H345" i="5"/>
  <c r="G347" i="5" l="1"/>
  <c r="J346" i="5"/>
  <c r="I346" i="5"/>
  <c r="H346" i="5"/>
  <c r="G348" i="5" l="1"/>
  <c r="J347" i="5"/>
  <c r="I347" i="5"/>
  <c r="H347" i="5"/>
  <c r="G349" i="5" l="1"/>
  <c r="J348" i="5"/>
  <c r="I348" i="5"/>
  <c r="H348" i="5"/>
  <c r="G350" i="5" l="1"/>
  <c r="J349" i="5"/>
  <c r="I349" i="5"/>
  <c r="H349" i="5"/>
  <c r="G351" i="5" l="1"/>
  <c r="J350" i="5"/>
  <c r="I350" i="5"/>
  <c r="H350" i="5"/>
  <c r="G352" i="5" l="1"/>
  <c r="J351" i="5"/>
  <c r="I351" i="5"/>
  <c r="H351" i="5"/>
  <c r="G353" i="5" l="1"/>
  <c r="J352" i="5"/>
  <c r="I352" i="5"/>
  <c r="H352" i="5"/>
  <c r="G354" i="5" l="1"/>
  <c r="J353" i="5"/>
  <c r="H353" i="5"/>
  <c r="I353" i="5"/>
  <c r="G355" i="5" l="1"/>
  <c r="J354" i="5"/>
  <c r="I354" i="5"/>
  <c r="H354" i="5"/>
  <c r="G356" i="5" l="1"/>
  <c r="J355" i="5"/>
  <c r="I355" i="5"/>
  <c r="H355" i="5"/>
  <c r="G357" i="5" l="1"/>
  <c r="J356" i="5"/>
  <c r="I356" i="5"/>
  <c r="H356" i="5"/>
  <c r="G358" i="5" l="1"/>
  <c r="J357" i="5"/>
  <c r="I357" i="5"/>
  <c r="H357" i="5"/>
  <c r="G359" i="5" l="1"/>
  <c r="J358" i="5"/>
  <c r="I358" i="5"/>
  <c r="H358" i="5"/>
  <c r="G360" i="5" l="1"/>
  <c r="J359" i="5"/>
  <c r="I359" i="5"/>
  <c r="H359" i="5"/>
  <c r="G361" i="5" l="1"/>
  <c r="J360" i="5"/>
  <c r="I360" i="5"/>
  <c r="H360" i="5"/>
  <c r="G362" i="5" l="1"/>
  <c r="J361" i="5"/>
  <c r="I361" i="5"/>
  <c r="H361" i="5"/>
  <c r="G363" i="5" l="1"/>
  <c r="J362" i="5"/>
  <c r="I362" i="5"/>
  <c r="H362" i="5"/>
  <c r="G364" i="5" l="1"/>
  <c r="J363" i="5"/>
  <c r="I363" i="5"/>
  <c r="H363" i="5"/>
  <c r="G365" i="5" l="1"/>
  <c r="J364" i="5"/>
  <c r="I364" i="5"/>
  <c r="H364" i="5"/>
  <c r="G366" i="5" l="1"/>
  <c r="J365" i="5"/>
  <c r="I365" i="5"/>
  <c r="H365" i="5"/>
  <c r="G367" i="5" l="1"/>
  <c r="J366" i="5"/>
  <c r="I366" i="5"/>
  <c r="H366" i="5"/>
  <c r="G368" i="5" l="1"/>
  <c r="J367" i="5"/>
  <c r="I367" i="5"/>
  <c r="H367" i="5"/>
  <c r="G369" i="5" l="1"/>
  <c r="J368" i="5"/>
  <c r="I368" i="5"/>
  <c r="H368" i="5"/>
  <c r="G370" i="5" l="1"/>
  <c r="J369" i="5"/>
  <c r="I369" i="5"/>
  <c r="H369" i="5"/>
  <c r="G371" i="5" l="1"/>
  <c r="J370" i="5"/>
  <c r="I370" i="5"/>
  <c r="H370" i="5"/>
  <c r="G372" i="5" l="1"/>
  <c r="J371" i="5"/>
  <c r="H371" i="5"/>
  <c r="I371" i="5"/>
  <c r="G373" i="5" l="1"/>
  <c r="J372" i="5"/>
  <c r="I372" i="5"/>
  <c r="H372" i="5"/>
  <c r="G374" i="5" l="1"/>
  <c r="J373" i="5"/>
  <c r="I373" i="5"/>
  <c r="H373" i="5"/>
  <c r="G375" i="5" l="1"/>
  <c r="J374" i="5"/>
  <c r="I374" i="5"/>
  <c r="H374" i="5"/>
  <c r="G376" i="5" l="1"/>
  <c r="J375" i="5"/>
  <c r="I375" i="5"/>
  <c r="H375" i="5"/>
  <c r="G377" i="5" l="1"/>
  <c r="J376" i="5"/>
  <c r="I376" i="5"/>
  <c r="H376" i="5"/>
  <c r="G378" i="5" l="1"/>
  <c r="J377" i="5"/>
  <c r="I377" i="5"/>
  <c r="H377" i="5"/>
  <c r="G379" i="5" l="1"/>
  <c r="J378" i="5"/>
  <c r="I378" i="5"/>
  <c r="H378" i="5"/>
  <c r="G380" i="5" l="1"/>
  <c r="J379" i="5"/>
  <c r="I379" i="5"/>
  <c r="H379" i="5"/>
  <c r="G381" i="5" l="1"/>
  <c r="J380" i="5"/>
  <c r="I380" i="5"/>
  <c r="H380" i="5"/>
  <c r="G382" i="5" l="1"/>
  <c r="J381" i="5"/>
  <c r="I381" i="5"/>
  <c r="H381" i="5"/>
  <c r="G383" i="5" l="1"/>
  <c r="J382" i="5"/>
  <c r="I382" i="5"/>
  <c r="H382" i="5"/>
  <c r="G384" i="5" l="1"/>
  <c r="J383" i="5"/>
  <c r="I383" i="5"/>
  <c r="H383" i="5"/>
  <c r="G385" i="5" l="1"/>
  <c r="J384" i="5"/>
  <c r="I384" i="5"/>
  <c r="H384" i="5"/>
  <c r="G386" i="5" l="1"/>
  <c r="J385" i="5"/>
  <c r="I385" i="5"/>
  <c r="H385" i="5"/>
  <c r="G387" i="5" l="1"/>
  <c r="J386" i="5"/>
  <c r="I386" i="5"/>
  <c r="H386" i="5"/>
  <c r="G388" i="5" l="1"/>
  <c r="J387" i="5"/>
  <c r="I387" i="5"/>
  <c r="H387" i="5"/>
  <c r="G389" i="5" l="1"/>
  <c r="J388" i="5"/>
  <c r="I388" i="5"/>
  <c r="H388" i="5"/>
  <c r="G390" i="5" l="1"/>
  <c r="J389" i="5"/>
  <c r="H389" i="5"/>
  <c r="I389" i="5"/>
  <c r="G391" i="5" l="1"/>
  <c r="J390" i="5"/>
  <c r="I390" i="5"/>
  <c r="H390" i="5"/>
  <c r="G392" i="5" l="1"/>
  <c r="J391" i="5"/>
  <c r="I391" i="5"/>
  <c r="H391" i="5"/>
  <c r="G393" i="5" l="1"/>
  <c r="J392" i="5"/>
  <c r="I392" i="5"/>
  <c r="H392" i="5"/>
  <c r="G394" i="5" l="1"/>
  <c r="J393" i="5"/>
  <c r="I393" i="5"/>
  <c r="H393" i="5"/>
  <c r="G395" i="5" l="1"/>
  <c r="J394" i="5"/>
  <c r="I394" i="5"/>
  <c r="H394" i="5"/>
  <c r="G396" i="5" l="1"/>
  <c r="J395" i="5"/>
  <c r="I395" i="5"/>
  <c r="H395" i="5"/>
  <c r="G397" i="5" l="1"/>
  <c r="J396" i="5"/>
  <c r="I396" i="5"/>
  <c r="H396" i="5"/>
  <c r="G398" i="5" l="1"/>
  <c r="J397" i="5"/>
  <c r="I397" i="5"/>
  <c r="H397" i="5"/>
  <c r="G399" i="5" l="1"/>
  <c r="J398" i="5"/>
  <c r="I398" i="5"/>
  <c r="H398" i="5"/>
  <c r="G400" i="5" l="1"/>
  <c r="J399" i="5"/>
  <c r="I399" i="5"/>
  <c r="H399" i="5"/>
  <c r="G401" i="5" l="1"/>
  <c r="J400" i="5"/>
  <c r="I400" i="5"/>
  <c r="H400" i="5"/>
  <c r="G402" i="5" l="1"/>
  <c r="J401" i="5"/>
  <c r="I401" i="5"/>
  <c r="H401" i="5"/>
  <c r="G403" i="5" l="1"/>
  <c r="J402" i="5"/>
  <c r="I402" i="5"/>
  <c r="H402" i="5"/>
  <c r="G404" i="5" l="1"/>
  <c r="J403" i="5"/>
  <c r="I403" i="5"/>
  <c r="H403" i="5"/>
  <c r="G405" i="5" l="1"/>
  <c r="J404" i="5"/>
  <c r="I404" i="5"/>
  <c r="H404" i="5"/>
  <c r="G406" i="5" l="1"/>
  <c r="J405" i="5"/>
  <c r="I405" i="5"/>
  <c r="H405" i="5"/>
  <c r="G407" i="5" l="1"/>
  <c r="I406" i="5"/>
  <c r="J406" i="5"/>
  <c r="H406" i="5"/>
  <c r="G408" i="5" l="1"/>
  <c r="J407" i="5"/>
  <c r="I407" i="5"/>
  <c r="H407" i="5"/>
  <c r="G409" i="5" l="1"/>
  <c r="J408" i="5"/>
  <c r="I408" i="5"/>
  <c r="H408" i="5"/>
  <c r="G410" i="5" l="1"/>
  <c r="J409" i="5"/>
  <c r="I409" i="5"/>
  <c r="H409" i="5"/>
  <c r="G411" i="5" l="1"/>
  <c r="J410" i="5"/>
  <c r="I410" i="5"/>
  <c r="H410" i="5"/>
  <c r="G412" i="5" l="1"/>
  <c r="J411" i="5"/>
  <c r="I411" i="5"/>
  <c r="H411" i="5"/>
  <c r="G413" i="5" l="1"/>
  <c r="J412" i="5"/>
  <c r="I412" i="5"/>
  <c r="H412" i="5"/>
  <c r="G414" i="5" l="1"/>
  <c r="J413" i="5"/>
  <c r="I413" i="5"/>
  <c r="H413" i="5"/>
  <c r="G415" i="5" l="1"/>
  <c r="J414" i="5"/>
  <c r="I414" i="5"/>
  <c r="H414" i="5"/>
  <c r="G416" i="5" l="1"/>
  <c r="J415" i="5"/>
  <c r="I415" i="5"/>
  <c r="H415" i="5"/>
  <c r="G417" i="5" l="1"/>
  <c r="J416" i="5"/>
  <c r="I416" i="5"/>
  <c r="H416" i="5"/>
  <c r="G418" i="5" l="1"/>
  <c r="J417" i="5"/>
  <c r="I417" i="5"/>
  <c r="H417" i="5"/>
  <c r="G419" i="5" l="1"/>
  <c r="J418" i="5"/>
  <c r="I418" i="5"/>
  <c r="H418" i="5"/>
  <c r="G420" i="5" l="1"/>
  <c r="J419" i="5"/>
  <c r="I419" i="5"/>
  <c r="H419" i="5"/>
  <c r="G421" i="5" l="1"/>
  <c r="J420" i="5"/>
  <c r="I420" i="5"/>
  <c r="H420" i="5"/>
  <c r="G422" i="5" l="1"/>
  <c r="J421" i="5"/>
  <c r="I421" i="5"/>
  <c r="H421" i="5"/>
  <c r="G423" i="5" l="1"/>
  <c r="J422" i="5"/>
  <c r="I422" i="5"/>
  <c r="H422" i="5"/>
  <c r="G424" i="5" l="1"/>
  <c r="J423" i="5"/>
  <c r="I423" i="5"/>
  <c r="H423" i="5"/>
  <c r="G425" i="5" l="1"/>
  <c r="J424" i="5"/>
  <c r="I424" i="5"/>
  <c r="H424" i="5"/>
  <c r="G426" i="5" l="1"/>
  <c r="J425" i="5"/>
  <c r="H425" i="5"/>
  <c r="I425" i="5"/>
  <c r="G427" i="5" l="1"/>
  <c r="J426" i="5"/>
  <c r="I426" i="5"/>
  <c r="H426" i="5"/>
  <c r="G428" i="5" l="1"/>
  <c r="J427" i="5"/>
  <c r="I427" i="5"/>
  <c r="H427" i="5"/>
  <c r="G429" i="5" l="1"/>
  <c r="J428" i="5"/>
  <c r="I428" i="5"/>
  <c r="H428" i="5"/>
  <c r="G430" i="5" l="1"/>
  <c r="J429" i="5"/>
  <c r="I429" i="5"/>
  <c r="H429" i="5"/>
  <c r="G431" i="5" l="1"/>
  <c r="J430" i="5"/>
  <c r="I430" i="5"/>
  <c r="H430" i="5"/>
  <c r="G432" i="5" l="1"/>
  <c r="J431" i="5"/>
  <c r="I431" i="5"/>
  <c r="H431" i="5"/>
  <c r="G433" i="5" l="1"/>
  <c r="J432" i="5"/>
  <c r="I432" i="5"/>
  <c r="H432" i="5"/>
  <c r="G434" i="5" l="1"/>
  <c r="J433" i="5"/>
  <c r="I433" i="5"/>
  <c r="H433" i="5"/>
  <c r="G435" i="5" l="1"/>
  <c r="J434" i="5"/>
  <c r="I434" i="5"/>
  <c r="H434" i="5"/>
  <c r="G436" i="5" l="1"/>
  <c r="J435" i="5"/>
  <c r="I435" i="5"/>
  <c r="H435" i="5"/>
  <c r="G437" i="5" l="1"/>
  <c r="J436" i="5"/>
  <c r="I436" i="5"/>
  <c r="H436" i="5"/>
  <c r="G438" i="5" l="1"/>
  <c r="J437" i="5"/>
  <c r="I437" i="5"/>
  <c r="H437" i="5"/>
  <c r="G439" i="5" l="1"/>
  <c r="J438" i="5"/>
  <c r="I438" i="5"/>
  <c r="H438" i="5"/>
  <c r="G440" i="5" l="1"/>
  <c r="J439" i="5"/>
  <c r="I439" i="5"/>
  <c r="H439" i="5"/>
  <c r="G441" i="5" l="1"/>
  <c r="J440" i="5"/>
  <c r="I440" i="5"/>
  <c r="H440" i="5"/>
  <c r="G442" i="5" l="1"/>
  <c r="J441" i="5"/>
  <c r="I441" i="5"/>
  <c r="H441" i="5"/>
  <c r="G443" i="5" l="1"/>
  <c r="J442" i="5"/>
  <c r="I442" i="5"/>
  <c r="H442" i="5"/>
  <c r="G444" i="5" l="1"/>
  <c r="J443" i="5"/>
  <c r="H443" i="5"/>
  <c r="I443" i="5"/>
  <c r="G445" i="5" l="1"/>
  <c r="J444" i="5"/>
  <c r="I444" i="5"/>
  <c r="H444" i="5"/>
  <c r="G446" i="5" l="1"/>
  <c r="J445" i="5"/>
  <c r="I445" i="5"/>
  <c r="H445" i="5"/>
  <c r="G447" i="5" l="1"/>
  <c r="J446" i="5"/>
  <c r="I446" i="5"/>
  <c r="H446" i="5"/>
  <c r="G448" i="5" l="1"/>
  <c r="J447" i="5"/>
  <c r="I447" i="5"/>
  <c r="H447" i="5"/>
  <c r="G449" i="5" l="1"/>
  <c r="J448" i="5"/>
  <c r="I448" i="5"/>
  <c r="H448" i="5"/>
  <c r="G450" i="5" l="1"/>
  <c r="J449" i="5"/>
  <c r="I449" i="5"/>
  <c r="H449" i="5"/>
  <c r="G451" i="5" l="1"/>
  <c r="J450" i="5"/>
  <c r="I450" i="5"/>
  <c r="H450" i="5"/>
  <c r="G452" i="5" l="1"/>
  <c r="J451" i="5"/>
  <c r="I451" i="5"/>
  <c r="H451" i="5"/>
  <c r="G453" i="5" l="1"/>
  <c r="J452" i="5"/>
  <c r="I452" i="5"/>
  <c r="H452" i="5"/>
  <c r="G454" i="5" l="1"/>
  <c r="J453" i="5"/>
  <c r="I453" i="5"/>
  <c r="H453" i="5"/>
  <c r="G455" i="5" l="1"/>
  <c r="J454" i="5"/>
  <c r="I454" i="5"/>
  <c r="H454" i="5"/>
  <c r="G456" i="5" l="1"/>
  <c r="J455" i="5"/>
  <c r="I455" i="5"/>
  <c r="H455" i="5"/>
  <c r="G457" i="5" l="1"/>
  <c r="J456" i="5"/>
  <c r="I456" i="5"/>
  <c r="H456" i="5"/>
  <c r="G458" i="5" l="1"/>
  <c r="J457" i="5"/>
  <c r="I457" i="5"/>
  <c r="H457" i="5"/>
  <c r="G459" i="5" l="1"/>
  <c r="J458" i="5"/>
  <c r="I458" i="5"/>
  <c r="H458" i="5"/>
  <c r="G460" i="5" l="1"/>
  <c r="J459" i="5"/>
  <c r="I459" i="5"/>
  <c r="H459" i="5"/>
  <c r="G461" i="5" l="1"/>
  <c r="I460" i="5"/>
  <c r="J460" i="5"/>
  <c r="H460" i="5"/>
  <c r="G462" i="5" l="1"/>
  <c r="J461" i="5"/>
  <c r="H461" i="5"/>
  <c r="I461" i="5"/>
  <c r="G463" i="5" l="1"/>
  <c r="J462" i="5"/>
  <c r="I462" i="5"/>
  <c r="H462" i="5"/>
  <c r="G464" i="5" l="1"/>
  <c r="J463" i="5"/>
  <c r="I463" i="5"/>
  <c r="H463" i="5"/>
  <c r="G465" i="5" l="1"/>
  <c r="J464" i="5"/>
  <c r="I464" i="5"/>
  <c r="H464" i="5"/>
  <c r="G466" i="5" l="1"/>
  <c r="J465" i="5"/>
  <c r="I465" i="5"/>
  <c r="H465" i="5"/>
  <c r="G467" i="5" l="1"/>
  <c r="J466" i="5"/>
  <c r="I466" i="5"/>
  <c r="H466" i="5"/>
  <c r="G468" i="5" l="1"/>
  <c r="J467" i="5"/>
  <c r="I467" i="5"/>
  <c r="H467" i="5"/>
  <c r="G469" i="5" l="1"/>
  <c r="J468" i="5"/>
  <c r="I468" i="5"/>
  <c r="H468" i="5"/>
  <c r="G470" i="5" l="1"/>
  <c r="J469" i="5"/>
  <c r="I469" i="5"/>
  <c r="H469" i="5"/>
  <c r="G471" i="5" l="1"/>
  <c r="J470" i="5"/>
  <c r="I470" i="5"/>
  <c r="H470" i="5"/>
  <c r="G472" i="5" l="1"/>
  <c r="J471" i="5"/>
  <c r="I471" i="5"/>
  <c r="H471" i="5"/>
  <c r="G473" i="5" l="1"/>
  <c r="J472" i="5"/>
  <c r="I472" i="5"/>
  <c r="H472" i="5"/>
  <c r="G474" i="5" l="1"/>
  <c r="J473" i="5"/>
  <c r="I473" i="5"/>
  <c r="H473" i="5"/>
  <c r="G475" i="5" l="1"/>
  <c r="J474" i="5"/>
  <c r="I474" i="5"/>
  <c r="H474" i="5"/>
  <c r="G476" i="5" l="1"/>
  <c r="J475" i="5"/>
  <c r="I475" i="5"/>
  <c r="H475" i="5"/>
  <c r="G477" i="5" l="1"/>
  <c r="J476" i="5"/>
  <c r="I476" i="5"/>
  <c r="H476" i="5"/>
  <c r="G478" i="5" l="1"/>
  <c r="J477" i="5"/>
  <c r="I477" i="5"/>
  <c r="H477" i="5"/>
  <c r="G479" i="5" l="1"/>
  <c r="J478" i="5"/>
  <c r="I478" i="5"/>
  <c r="H478" i="5"/>
  <c r="G480" i="5" l="1"/>
  <c r="J479" i="5"/>
  <c r="H479" i="5"/>
  <c r="I479" i="5"/>
  <c r="G481" i="5" l="1"/>
  <c r="J480" i="5"/>
  <c r="I480" i="5"/>
  <c r="H480" i="5"/>
  <c r="G482" i="5" l="1"/>
  <c r="J481" i="5"/>
  <c r="I481" i="5"/>
  <c r="H481" i="5"/>
  <c r="G483" i="5" l="1"/>
  <c r="J482" i="5"/>
  <c r="I482" i="5"/>
  <c r="H482" i="5"/>
  <c r="G484" i="5" l="1"/>
  <c r="J483" i="5"/>
  <c r="I483" i="5"/>
  <c r="H483" i="5"/>
  <c r="G485" i="5" l="1"/>
  <c r="J484" i="5"/>
  <c r="I484" i="5"/>
  <c r="H484" i="5"/>
  <c r="G486" i="5" l="1"/>
  <c r="J485" i="5"/>
  <c r="I485" i="5"/>
  <c r="H485" i="5"/>
  <c r="G487" i="5" l="1"/>
  <c r="J486" i="5"/>
  <c r="I486" i="5"/>
  <c r="H486" i="5"/>
  <c r="G488" i="5" l="1"/>
  <c r="J487" i="5"/>
  <c r="I487" i="5"/>
  <c r="H487" i="5"/>
  <c r="G489" i="5" l="1"/>
  <c r="J488" i="5"/>
  <c r="I488" i="5"/>
  <c r="H488" i="5"/>
  <c r="G490" i="5" l="1"/>
  <c r="J489" i="5"/>
  <c r="I489" i="5"/>
  <c r="H489" i="5"/>
  <c r="G491" i="5" l="1"/>
  <c r="J490" i="5"/>
  <c r="I490" i="5"/>
  <c r="H490" i="5"/>
  <c r="G492" i="5" l="1"/>
  <c r="J491" i="5"/>
  <c r="I491" i="5"/>
  <c r="H491" i="5"/>
  <c r="G493" i="5" l="1"/>
  <c r="J492" i="5"/>
  <c r="I492" i="5"/>
  <c r="H492" i="5"/>
  <c r="G494" i="5" l="1"/>
  <c r="J493" i="5"/>
  <c r="I493" i="5"/>
  <c r="H493" i="5"/>
  <c r="G495" i="5" l="1"/>
  <c r="J494" i="5"/>
  <c r="I494" i="5"/>
  <c r="H494" i="5"/>
  <c r="G496" i="5" l="1"/>
  <c r="J495" i="5"/>
  <c r="I495" i="5"/>
  <c r="H495" i="5"/>
  <c r="G497" i="5" l="1"/>
  <c r="J496" i="5"/>
  <c r="I496" i="5"/>
  <c r="H496" i="5"/>
  <c r="G498" i="5" l="1"/>
  <c r="J497" i="5"/>
  <c r="H497" i="5"/>
  <c r="I497" i="5"/>
  <c r="G499" i="5" l="1"/>
  <c r="J498" i="5"/>
  <c r="I498" i="5"/>
  <c r="H498" i="5"/>
  <c r="G500" i="5" l="1"/>
  <c r="J499" i="5"/>
  <c r="I499" i="5"/>
  <c r="H499" i="5"/>
  <c r="G501" i="5" l="1"/>
  <c r="J500" i="5"/>
  <c r="I500" i="5"/>
  <c r="H500" i="5"/>
  <c r="G502" i="5" l="1"/>
  <c r="J501" i="5"/>
  <c r="I501" i="5"/>
  <c r="H501" i="5"/>
  <c r="G503" i="5" l="1"/>
  <c r="J502" i="5"/>
  <c r="I502" i="5"/>
  <c r="H502" i="5"/>
  <c r="G504" i="5" l="1"/>
  <c r="J503" i="5"/>
  <c r="I503" i="5"/>
  <c r="H503" i="5"/>
  <c r="G505" i="5" l="1"/>
  <c r="J504" i="5"/>
  <c r="I504" i="5"/>
  <c r="H504" i="5"/>
  <c r="G506" i="5" l="1"/>
  <c r="J505" i="5"/>
  <c r="I505" i="5"/>
  <c r="H505" i="5"/>
  <c r="G507" i="5" l="1"/>
  <c r="J506" i="5"/>
  <c r="I506" i="5"/>
  <c r="H506" i="5"/>
  <c r="G508" i="5" l="1"/>
  <c r="J507" i="5"/>
  <c r="I507" i="5"/>
  <c r="H507" i="5"/>
  <c r="G509" i="5" l="1"/>
  <c r="J508" i="5"/>
  <c r="I508" i="5"/>
  <c r="H508" i="5"/>
  <c r="G510" i="5" l="1"/>
  <c r="J509" i="5"/>
  <c r="I509" i="5"/>
  <c r="H509" i="5"/>
  <c r="G511" i="5" l="1"/>
  <c r="J510" i="5"/>
  <c r="I510" i="5"/>
  <c r="H510" i="5"/>
  <c r="G512" i="5" l="1"/>
  <c r="J511" i="5"/>
  <c r="I511" i="5"/>
  <c r="H511" i="5"/>
  <c r="G513" i="5" l="1"/>
  <c r="J512" i="5"/>
  <c r="I512" i="5"/>
  <c r="H512" i="5"/>
  <c r="G514" i="5" l="1"/>
  <c r="I513" i="5"/>
  <c r="J513" i="5"/>
  <c r="H513" i="5"/>
  <c r="G515" i="5" l="1"/>
  <c r="J514" i="5"/>
  <c r="I514" i="5"/>
  <c r="H514" i="5"/>
  <c r="G516" i="5" l="1"/>
  <c r="J515" i="5"/>
  <c r="I515" i="5"/>
  <c r="H515" i="5"/>
  <c r="G517" i="5" l="1"/>
  <c r="J516" i="5"/>
  <c r="I516" i="5"/>
  <c r="H516" i="5"/>
  <c r="G518" i="5" l="1"/>
  <c r="J517" i="5"/>
  <c r="I517" i="5"/>
  <c r="H517" i="5"/>
  <c r="G519" i="5" l="1"/>
  <c r="J518" i="5"/>
  <c r="I518" i="5"/>
  <c r="H518" i="5"/>
  <c r="G520" i="5" l="1"/>
  <c r="J519" i="5"/>
  <c r="I519" i="5"/>
  <c r="H519" i="5"/>
  <c r="G521" i="5" l="1"/>
  <c r="J520" i="5"/>
  <c r="I520" i="5"/>
  <c r="H520" i="5"/>
  <c r="G522" i="5" l="1"/>
  <c r="J521" i="5"/>
  <c r="I521" i="5"/>
  <c r="H521" i="5"/>
  <c r="G523" i="5" l="1"/>
  <c r="I522" i="5"/>
  <c r="J522" i="5"/>
  <c r="H522" i="5"/>
  <c r="G524" i="5" l="1"/>
  <c r="J523" i="5"/>
  <c r="I523" i="5"/>
  <c r="H523" i="5"/>
  <c r="G525" i="5" l="1"/>
  <c r="J524" i="5"/>
  <c r="I524" i="5"/>
  <c r="H524" i="5"/>
  <c r="G526" i="5" l="1"/>
  <c r="J525" i="5"/>
  <c r="I525" i="5"/>
  <c r="H525" i="5"/>
  <c r="G527" i="5" l="1"/>
  <c r="J526" i="5"/>
  <c r="I526" i="5"/>
  <c r="H526" i="5"/>
  <c r="G528" i="5" l="1"/>
  <c r="J527" i="5"/>
  <c r="I527" i="5"/>
  <c r="H527" i="5"/>
  <c r="G529" i="5" l="1"/>
  <c r="J528" i="5"/>
  <c r="I528" i="5"/>
  <c r="H528" i="5"/>
  <c r="G530" i="5" l="1"/>
  <c r="J529" i="5"/>
  <c r="I529" i="5"/>
  <c r="H529" i="5"/>
  <c r="G531" i="5" l="1"/>
  <c r="J530" i="5"/>
  <c r="I530" i="5"/>
  <c r="H530" i="5"/>
  <c r="G532" i="5" l="1"/>
  <c r="I531" i="5"/>
  <c r="J531" i="5"/>
  <c r="H531" i="5"/>
  <c r="G533" i="5" l="1"/>
  <c r="J532" i="5"/>
  <c r="I532" i="5"/>
  <c r="H532" i="5"/>
  <c r="G534" i="5" l="1"/>
  <c r="J533" i="5"/>
  <c r="H533" i="5"/>
  <c r="I533" i="5"/>
  <c r="G535" i="5" l="1"/>
  <c r="J534" i="5"/>
  <c r="I534" i="5"/>
  <c r="H534" i="5"/>
  <c r="G536" i="5" l="1"/>
  <c r="J535" i="5"/>
  <c r="I535" i="5"/>
  <c r="H535" i="5"/>
  <c r="G537" i="5" l="1"/>
  <c r="J536" i="5"/>
  <c r="I536" i="5"/>
  <c r="H536" i="5"/>
  <c r="G538" i="5" l="1"/>
  <c r="J537" i="5"/>
  <c r="I537" i="5"/>
  <c r="H537" i="5"/>
  <c r="G539" i="5" l="1"/>
  <c r="J538" i="5"/>
  <c r="I538" i="5"/>
  <c r="H538" i="5"/>
  <c r="G540" i="5" l="1"/>
  <c r="J539" i="5"/>
  <c r="I539" i="5"/>
  <c r="H539" i="5"/>
  <c r="G541" i="5" l="1"/>
  <c r="I540" i="5"/>
  <c r="J540" i="5"/>
  <c r="H540" i="5"/>
  <c r="G542" i="5" l="1"/>
  <c r="J541" i="5"/>
  <c r="I541" i="5"/>
  <c r="H541" i="5"/>
  <c r="G543" i="5" l="1"/>
  <c r="J542" i="5"/>
  <c r="I542" i="5"/>
  <c r="H542" i="5"/>
  <c r="G544" i="5" l="1"/>
  <c r="J543" i="5"/>
  <c r="I543" i="5"/>
  <c r="H543" i="5"/>
  <c r="G545" i="5" l="1"/>
  <c r="J544" i="5"/>
  <c r="I544" i="5"/>
  <c r="H544" i="5"/>
  <c r="G546" i="5" l="1"/>
  <c r="J545" i="5"/>
  <c r="I545" i="5"/>
  <c r="H545" i="5"/>
  <c r="G547" i="5" l="1"/>
  <c r="J546" i="5"/>
  <c r="I546" i="5"/>
  <c r="H546" i="5"/>
  <c r="G548" i="5" l="1"/>
  <c r="J547" i="5"/>
  <c r="I547" i="5"/>
  <c r="H547" i="5"/>
  <c r="G549" i="5" l="1"/>
  <c r="J548" i="5"/>
  <c r="I548" i="5"/>
  <c r="H548" i="5"/>
  <c r="G550" i="5" l="1"/>
  <c r="I549" i="5"/>
  <c r="J549" i="5"/>
  <c r="H549" i="5"/>
  <c r="G551" i="5" l="1"/>
  <c r="J550" i="5"/>
  <c r="I550" i="5"/>
  <c r="H550" i="5"/>
  <c r="G552" i="5" l="1"/>
  <c r="J551" i="5"/>
  <c r="H551" i="5"/>
  <c r="I551" i="5"/>
  <c r="G553" i="5" l="1"/>
  <c r="J552" i="5"/>
  <c r="I552" i="5"/>
  <c r="H552" i="5"/>
  <c r="G554" i="5" l="1"/>
  <c r="J553" i="5"/>
  <c r="I553" i="5"/>
  <c r="H553" i="5"/>
  <c r="G555" i="5" l="1"/>
  <c r="J554" i="5"/>
  <c r="I554" i="5"/>
  <c r="H554" i="5"/>
  <c r="G556" i="5" l="1"/>
  <c r="J555" i="5"/>
  <c r="I555" i="5"/>
  <c r="H555" i="5"/>
  <c r="G557" i="5" l="1"/>
  <c r="J556" i="5"/>
  <c r="I556" i="5"/>
  <c r="H556" i="5"/>
  <c r="G558" i="5" l="1"/>
  <c r="J557" i="5"/>
  <c r="I557" i="5"/>
  <c r="H557" i="5"/>
  <c r="G559" i="5" l="1"/>
  <c r="I558" i="5"/>
  <c r="J558" i="5"/>
  <c r="H558" i="5"/>
  <c r="G560" i="5" l="1"/>
  <c r="J559" i="5"/>
  <c r="I559" i="5"/>
  <c r="H559" i="5"/>
  <c r="G561" i="5" l="1"/>
  <c r="J560" i="5"/>
  <c r="I560" i="5"/>
  <c r="H560" i="5"/>
  <c r="G562" i="5" l="1"/>
  <c r="J561" i="5"/>
  <c r="I561" i="5"/>
  <c r="H561" i="5"/>
  <c r="G563" i="5" l="1"/>
  <c r="J562" i="5"/>
  <c r="I562" i="5"/>
  <c r="H562" i="5"/>
  <c r="G564" i="5" l="1"/>
  <c r="J563" i="5"/>
  <c r="I563" i="5"/>
  <c r="H563" i="5"/>
  <c r="G565" i="5" l="1"/>
  <c r="J564" i="5"/>
  <c r="I564" i="5"/>
  <c r="H564" i="5"/>
  <c r="G566" i="5" l="1"/>
  <c r="J565" i="5"/>
  <c r="I565" i="5"/>
  <c r="H565" i="5"/>
  <c r="G567" i="5" l="1"/>
  <c r="J566" i="5"/>
  <c r="I566" i="5"/>
  <c r="H566" i="5"/>
  <c r="G568" i="5" l="1"/>
  <c r="I567" i="5"/>
  <c r="J567" i="5"/>
  <c r="H567" i="5"/>
  <c r="G569" i="5" l="1"/>
  <c r="J568" i="5"/>
  <c r="I568" i="5"/>
  <c r="H568" i="5"/>
  <c r="G570" i="5" l="1"/>
  <c r="J569" i="5"/>
  <c r="H569" i="5"/>
  <c r="I569" i="5"/>
  <c r="G571" i="5" l="1"/>
  <c r="J570" i="5"/>
  <c r="I570" i="5"/>
  <c r="H570" i="5"/>
  <c r="G572" i="5" l="1"/>
  <c r="J571" i="5"/>
  <c r="I571" i="5"/>
  <c r="H571" i="5"/>
  <c r="G573" i="5" l="1"/>
  <c r="J572" i="5"/>
  <c r="I572" i="5"/>
  <c r="H572" i="5"/>
  <c r="G574" i="5" l="1"/>
  <c r="J573" i="5"/>
  <c r="I573" i="5"/>
  <c r="H573" i="5"/>
  <c r="G575" i="5" l="1"/>
  <c r="J574" i="5"/>
  <c r="I574" i="5"/>
  <c r="H574" i="5"/>
  <c r="G576" i="5" l="1"/>
  <c r="J575" i="5"/>
  <c r="H575" i="5"/>
  <c r="I575" i="5"/>
  <c r="G577" i="5" l="1"/>
  <c r="I576" i="5"/>
  <c r="J576" i="5"/>
  <c r="H576" i="5"/>
  <c r="G578" i="5" l="1"/>
  <c r="J577" i="5"/>
  <c r="I577" i="5"/>
  <c r="H577" i="5"/>
  <c r="G579" i="5" l="1"/>
  <c r="J578" i="5"/>
  <c r="I578" i="5"/>
  <c r="H578" i="5"/>
  <c r="G580" i="5" l="1"/>
  <c r="J579" i="5"/>
  <c r="I579" i="5"/>
  <c r="H579" i="5"/>
  <c r="G581" i="5" l="1"/>
  <c r="J580" i="5"/>
  <c r="I580" i="5"/>
  <c r="H580" i="5"/>
  <c r="G582" i="5" l="1"/>
  <c r="J581" i="5"/>
  <c r="I581" i="5"/>
  <c r="H581" i="5"/>
  <c r="G583" i="5" l="1"/>
  <c r="J582" i="5"/>
  <c r="I582" i="5"/>
  <c r="H582" i="5"/>
  <c r="G584" i="5" l="1"/>
  <c r="J583" i="5"/>
  <c r="I583" i="5"/>
  <c r="H583" i="5"/>
  <c r="G585" i="5" l="1"/>
  <c r="J584" i="5"/>
  <c r="I584" i="5"/>
  <c r="H584" i="5"/>
  <c r="G586" i="5" l="1"/>
  <c r="I585" i="5"/>
  <c r="J585" i="5"/>
  <c r="H585" i="5"/>
  <c r="G587" i="5" l="1"/>
  <c r="J586" i="5"/>
  <c r="I586" i="5"/>
  <c r="H586" i="5"/>
  <c r="G588" i="5" l="1"/>
  <c r="J587" i="5"/>
  <c r="H587" i="5"/>
  <c r="I587" i="5"/>
  <c r="G589" i="5" l="1"/>
  <c r="J588" i="5"/>
  <c r="I588" i="5"/>
  <c r="H588" i="5"/>
  <c r="G590" i="5" l="1"/>
  <c r="J589" i="5"/>
  <c r="I589" i="5"/>
  <c r="H589" i="5"/>
  <c r="G591" i="5" l="1"/>
  <c r="J590" i="5"/>
  <c r="I590" i="5"/>
  <c r="H590" i="5"/>
  <c r="G592" i="5" l="1"/>
  <c r="J591" i="5"/>
  <c r="I591" i="5"/>
  <c r="H591" i="5"/>
  <c r="G593" i="5" l="1"/>
  <c r="J592" i="5"/>
  <c r="I592" i="5"/>
  <c r="H592" i="5"/>
  <c r="G594" i="5" l="1"/>
  <c r="J593" i="5"/>
  <c r="I593" i="5"/>
  <c r="H593" i="5"/>
  <c r="G595" i="5" l="1"/>
  <c r="I594" i="5"/>
  <c r="J594" i="5"/>
  <c r="H594" i="5"/>
  <c r="G596" i="5" l="1"/>
  <c r="J595" i="5"/>
  <c r="I595" i="5"/>
  <c r="H595" i="5"/>
  <c r="G597" i="5" l="1"/>
  <c r="J596" i="5"/>
  <c r="I596" i="5"/>
  <c r="H596" i="5"/>
  <c r="G598" i="5" l="1"/>
  <c r="J597" i="5"/>
  <c r="I597" i="5"/>
  <c r="H597" i="5"/>
  <c r="G599" i="5" l="1"/>
  <c r="J598" i="5"/>
  <c r="I598" i="5"/>
  <c r="H598" i="5"/>
  <c r="G600" i="5" l="1"/>
  <c r="J599" i="5"/>
  <c r="I599" i="5"/>
  <c r="H599" i="5"/>
  <c r="G601" i="5" l="1"/>
  <c r="J600" i="5"/>
  <c r="I600" i="5"/>
  <c r="H600" i="5"/>
  <c r="G602" i="5" l="1"/>
  <c r="J601" i="5"/>
  <c r="I601" i="5"/>
  <c r="H601" i="5"/>
  <c r="G603" i="5" l="1"/>
  <c r="J602" i="5"/>
  <c r="I602" i="5"/>
  <c r="H602" i="5"/>
  <c r="G604" i="5" l="1"/>
  <c r="I603" i="5"/>
  <c r="J603" i="5"/>
  <c r="H603" i="5"/>
  <c r="G605" i="5" l="1"/>
  <c r="J604" i="5"/>
  <c r="I604" i="5"/>
  <c r="H604" i="5"/>
  <c r="G606" i="5" l="1"/>
  <c r="J605" i="5"/>
  <c r="H605" i="5"/>
  <c r="I605" i="5"/>
  <c r="G607" i="5" l="1"/>
  <c r="J606" i="5"/>
  <c r="I606" i="5"/>
  <c r="H606" i="5"/>
  <c r="G608" i="5" l="1"/>
  <c r="J607" i="5"/>
  <c r="I607" i="5"/>
  <c r="H607" i="5"/>
  <c r="G609" i="5" l="1"/>
  <c r="J608" i="5"/>
  <c r="I608" i="5"/>
  <c r="H608" i="5"/>
  <c r="G610" i="5" l="1"/>
  <c r="J609" i="5"/>
  <c r="I609" i="5"/>
  <c r="H609" i="5"/>
  <c r="G611" i="5" l="1"/>
  <c r="J610" i="5"/>
  <c r="I610" i="5"/>
  <c r="H610" i="5"/>
  <c r="G612" i="5" l="1"/>
  <c r="J611" i="5"/>
  <c r="H611" i="5"/>
  <c r="I611" i="5"/>
  <c r="G613" i="5" l="1"/>
  <c r="I612" i="5"/>
  <c r="J612" i="5"/>
  <c r="H612" i="5"/>
  <c r="G614" i="5" l="1"/>
  <c r="J613" i="5"/>
  <c r="I613" i="5"/>
  <c r="H613" i="5"/>
  <c r="G615" i="5" l="1"/>
  <c r="J614" i="5"/>
  <c r="I614" i="5"/>
  <c r="H614" i="5"/>
  <c r="G616" i="5" l="1"/>
  <c r="J615" i="5"/>
  <c r="I615" i="5"/>
  <c r="H615" i="5"/>
  <c r="G617" i="5" l="1"/>
  <c r="J616" i="5"/>
  <c r="I616" i="5"/>
  <c r="H616" i="5"/>
  <c r="G618" i="5" l="1"/>
  <c r="J617" i="5"/>
  <c r="I617" i="5"/>
  <c r="H617" i="5"/>
  <c r="G619" i="5" l="1"/>
  <c r="J618" i="5"/>
  <c r="I618" i="5"/>
  <c r="H618" i="5"/>
  <c r="G620" i="5" l="1"/>
  <c r="J619" i="5"/>
  <c r="I619" i="5"/>
  <c r="H619" i="5"/>
  <c r="G621" i="5" l="1"/>
  <c r="J620" i="5"/>
  <c r="I620" i="5"/>
  <c r="H620" i="5"/>
  <c r="G622" i="5" l="1"/>
  <c r="I621" i="5"/>
  <c r="J621" i="5"/>
  <c r="H621" i="5"/>
  <c r="G623" i="5" l="1"/>
  <c r="J622" i="5"/>
  <c r="I622" i="5"/>
  <c r="H622" i="5"/>
  <c r="G624" i="5" l="1"/>
  <c r="J623" i="5"/>
  <c r="H623" i="5"/>
  <c r="I623" i="5"/>
  <c r="G625" i="5" l="1"/>
  <c r="J624" i="5"/>
  <c r="I624" i="5"/>
  <c r="H624" i="5"/>
  <c r="G626" i="5" l="1"/>
  <c r="J625" i="5"/>
  <c r="I625" i="5"/>
  <c r="H625" i="5"/>
  <c r="G627" i="5" l="1"/>
  <c r="J626" i="5"/>
  <c r="I626" i="5"/>
  <c r="H626" i="5"/>
  <c r="G628" i="5" l="1"/>
  <c r="J627" i="5"/>
  <c r="I627" i="5"/>
  <c r="H627" i="5"/>
  <c r="G629" i="5" l="1"/>
  <c r="J628" i="5"/>
  <c r="I628" i="5"/>
  <c r="H628" i="5"/>
  <c r="G630" i="5" l="1"/>
  <c r="J629" i="5"/>
  <c r="H629" i="5"/>
  <c r="I629" i="5"/>
  <c r="G631" i="5" l="1"/>
  <c r="I630" i="5"/>
  <c r="J630" i="5"/>
  <c r="H630" i="5"/>
  <c r="G632" i="5" l="1"/>
  <c r="J631" i="5"/>
  <c r="I631" i="5"/>
  <c r="H631" i="5"/>
  <c r="G633" i="5" l="1"/>
  <c r="J632" i="5"/>
  <c r="I632" i="5"/>
  <c r="H632" i="5"/>
  <c r="G634" i="5" l="1"/>
  <c r="J633" i="5"/>
  <c r="I633" i="5"/>
  <c r="H633" i="5"/>
  <c r="G635" i="5" l="1"/>
  <c r="J634" i="5"/>
  <c r="I634" i="5"/>
  <c r="H634" i="5"/>
  <c r="G636" i="5" l="1"/>
  <c r="J635" i="5"/>
  <c r="I635" i="5"/>
  <c r="H635" i="5"/>
  <c r="G637" i="5" l="1"/>
  <c r="J636" i="5"/>
  <c r="I636" i="5"/>
  <c r="H636" i="5"/>
  <c r="G638" i="5" l="1"/>
  <c r="J637" i="5"/>
  <c r="I637" i="5"/>
  <c r="H637" i="5"/>
  <c r="G639" i="5" l="1"/>
  <c r="J638" i="5"/>
  <c r="I638" i="5"/>
  <c r="H638" i="5"/>
  <c r="G640" i="5" l="1"/>
  <c r="I639" i="5"/>
  <c r="J639" i="5"/>
  <c r="H639" i="5"/>
  <c r="G641" i="5" l="1"/>
  <c r="J640" i="5"/>
  <c r="I640" i="5"/>
  <c r="H640" i="5"/>
  <c r="G642" i="5" l="1"/>
  <c r="J641" i="5"/>
  <c r="H641" i="5"/>
  <c r="I641" i="5"/>
  <c r="G643" i="5" l="1"/>
  <c r="J642" i="5"/>
  <c r="I642" i="5"/>
  <c r="H642" i="5"/>
  <c r="G644" i="5" l="1"/>
  <c r="J643" i="5"/>
  <c r="I643" i="5"/>
  <c r="H643" i="5"/>
  <c r="G645" i="5" l="1"/>
  <c r="J644" i="5"/>
  <c r="I644" i="5"/>
  <c r="H644" i="5"/>
  <c r="G646" i="5" l="1"/>
  <c r="J645" i="5"/>
  <c r="I645" i="5"/>
  <c r="H645" i="5"/>
  <c r="G647" i="5" l="1"/>
  <c r="J646" i="5"/>
  <c r="I646" i="5"/>
  <c r="H646" i="5"/>
  <c r="G648" i="5" l="1"/>
  <c r="J647" i="5"/>
  <c r="I647" i="5"/>
  <c r="H647" i="5"/>
  <c r="G649" i="5" l="1"/>
  <c r="I648" i="5"/>
  <c r="J648" i="5"/>
  <c r="H648" i="5"/>
  <c r="G650" i="5" l="1"/>
  <c r="J649" i="5"/>
  <c r="I649" i="5"/>
  <c r="H649" i="5"/>
  <c r="G651" i="5" l="1"/>
  <c r="J650" i="5"/>
  <c r="I650" i="5"/>
  <c r="H650" i="5"/>
  <c r="G652" i="5" l="1"/>
  <c r="J651" i="5"/>
  <c r="I651" i="5"/>
  <c r="H651" i="5"/>
  <c r="G653" i="5" l="1"/>
  <c r="J652" i="5"/>
  <c r="I652" i="5"/>
  <c r="H652" i="5"/>
  <c r="G654" i="5" l="1"/>
  <c r="J653" i="5"/>
  <c r="I653" i="5"/>
  <c r="H653" i="5"/>
  <c r="G655" i="5" l="1"/>
  <c r="J654" i="5"/>
  <c r="I654" i="5"/>
  <c r="H654" i="5"/>
  <c r="G656" i="5" l="1"/>
  <c r="J655" i="5"/>
  <c r="I655" i="5"/>
  <c r="H655" i="5"/>
  <c r="G657" i="5" l="1"/>
  <c r="J656" i="5"/>
  <c r="I656" i="5"/>
  <c r="H656" i="5"/>
  <c r="G658" i="5" l="1"/>
  <c r="I657" i="5"/>
  <c r="H657" i="5"/>
  <c r="J657" i="5"/>
  <c r="G659" i="5" l="1"/>
  <c r="J658" i="5"/>
  <c r="I658" i="5"/>
  <c r="H658" i="5"/>
  <c r="G660" i="5" l="1"/>
  <c r="J659" i="5"/>
  <c r="I659" i="5"/>
  <c r="H659" i="5"/>
  <c r="G661" i="5" l="1"/>
  <c r="J660" i="5"/>
  <c r="I660" i="5"/>
  <c r="H660" i="5"/>
  <c r="G662" i="5" l="1"/>
  <c r="J661" i="5"/>
  <c r="I661" i="5"/>
  <c r="H661" i="5"/>
  <c r="G663" i="5" l="1"/>
  <c r="J662" i="5"/>
  <c r="I662" i="5"/>
  <c r="H662" i="5"/>
  <c r="G664" i="5" l="1"/>
  <c r="J663" i="5"/>
  <c r="I663" i="5"/>
  <c r="H663" i="5"/>
  <c r="G665" i="5" l="1"/>
  <c r="J664" i="5"/>
  <c r="I664" i="5"/>
  <c r="H664" i="5"/>
  <c r="G666" i="5" l="1"/>
  <c r="J665" i="5"/>
  <c r="I665" i="5"/>
  <c r="H665" i="5"/>
  <c r="G667" i="5" l="1"/>
  <c r="I666" i="5"/>
  <c r="J666" i="5"/>
  <c r="H666" i="5"/>
  <c r="G668" i="5" l="1"/>
  <c r="J667" i="5"/>
  <c r="I667" i="5"/>
  <c r="H667" i="5"/>
  <c r="G669" i="5" l="1"/>
  <c r="J668" i="5"/>
  <c r="I668" i="5"/>
  <c r="H668" i="5"/>
  <c r="G670" i="5" l="1"/>
  <c r="J669" i="5"/>
  <c r="I669" i="5"/>
  <c r="H669" i="5"/>
  <c r="G671" i="5" l="1"/>
  <c r="J670" i="5"/>
  <c r="I670" i="5"/>
  <c r="H670" i="5"/>
  <c r="G672" i="5" l="1"/>
  <c r="J671" i="5"/>
  <c r="I671" i="5"/>
  <c r="H671" i="5"/>
  <c r="G673" i="5" l="1"/>
  <c r="J672" i="5"/>
  <c r="I672" i="5"/>
  <c r="H672" i="5"/>
  <c r="G674" i="5" l="1"/>
  <c r="J673" i="5"/>
  <c r="I673" i="5"/>
  <c r="H673" i="5"/>
  <c r="G675" i="5" l="1"/>
  <c r="J674" i="5"/>
  <c r="I674" i="5"/>
  <c r="H674" i="5"/>
  <c r="G676" i="5" l="1"/>
  <c r="J675" i="5"/>
  <c r="I675" i="5"/>
  <c r="H675" i="5"/>
  <c r="G677" i="5" l="1"/>
  <c r="J676" i="5"/>
  <c r="I676" i="5"/>
  <c r="H676" i="5"/>
  <c r="G678" i="5" l="1"/>
  <c r="J677" i="5"/>
  <c r="I677" i="5"/>
  <c r="H677" i="5"/>
  <c r="G679" i="5" l="1"/>
  <c r="J678" i="5"/>
  <c r="I678" i="5"/>
  <c r="H678" i="5"/>
  <c r="G680" i="5" l="1"/>
  <c r="J679" i="5"/>
  <c r="I679" i="5"/>
  <c r="H679" i="5"/>
  <c r="G681" i="5" l="1"/>
  <c r="J680" i="5"/>
  <c r="I680" i="5"/>
  <c r="H680" i="5"/>
  <c r="G682" i="5" l="1"/>
  <c r="J681" i="5"/>
  <c r="I681" i="5"/>
  <c r="H681" i="5"/>
  <c r="G683" i="5" l="1"/>
  <c r="J682" i="5"/>
  <c r="I682" i="5"/>
  <c r="H682" i="5"/>
  <c r="G684" i="5" l="1"/>
  <c r="J683" i="5"/>
  <c r="I683" i="5"/>
  <c r="H683" i="5"/>
  <c r="G685" i="5" l="1"/>
  <c r="I684" i="5"/>
  <c r="J684" i="5"/>
  <c r="H684" i="5"/>
  <c r="G686" i="5" l="1"/>
  <c r="J685" i="5"/>
  <c r="I685" i="5"/>
  <c r="H685" i="5"/>
  <c r="G687" i="5" l="1"/>
  <c r="J686" i="5"/>
  <c r="I686" i="5"/>
  <c r="H686" i="5"/>
  <c r="G688" i="5" l="1"/>
  <c r="J687" i="5"/>
  <c r="I687" i="5"/>
  <c r="H687" i="5"/>
  <c r="G689" i="5" l="1"/>
  <c r="J688" i="5"/>
  <c r="I688" i="5"/>
  <c r="H688" i="5"/>
  <c r="G690" i="5" l="1"/>
  <c r="J689" i="5"/>
  <c r="I689" i="5"/>
  <c r="H689" i="5"/>
  <c r="G691" i="5" l="1"/>
  <c r="J690" i="5"/>
  <c r="I690" i="5"/>
  <c r="H690" i="5"/>
  <c r="G692" i="5" l="1"/>
  <c r="J691" i="5"/>
  <c r="I691" i="5"/>
  <c r="H691" i="5"/>
  <c r="G693" i="5" l="1"/>
  <c r="J692" i="5"/>
  <c r="I692" i="5"/>
  <c r="H692" i="5"/>
  <c r="G694" i="5" l="1"/>
  <c r="J693" i="5"/>
  <c r="I693" i="5"/>
  <c r="H693" i="5"/>
  <c r="G695" i="5" l="1"/>
  <c r="J694" i="5"/>
  <c r="I694" i="5"/>
  <c r="H694" i="5"/>
  <c r="G696" i="5" l="1"/>
  <c r="J695" i="5"/>
  <c r="I695" i="5"/>
  <c r="H695" i="5"/>
  <c r="G697" i="5" l="1"/>
  <c r="J696" i="5"/>
  <c r="I696" i="5"/>
  <c r="H696" i="5"/>
  <c r="G698" i="5" l="1"/>
  <c r="J697" i="5"/>
  <c r="I697" i="5"/>
  <c r="H697" i="5"/>
  <c r="G699" i="5" l="1"/>
  <c r="J698" i="5"/>
  <c r="I698" i="5"/>
  <c r="H698" i="5"/>
  <c r="G700" i="5" l="1"/>
  <c r="J699" i="5"/>
  <c r="I699" i="5"/>
  <c r="H699" i="5"/>
  <c r="G701" i="5" l="1"/>
  <c r="J700" i="5"/>
  <c r="I700" i="5"/>
  <c r="H700" i="5"/>
  <c r="G702" i="5" l="1"/>
  <c r="J701" i="5"/>
  <c r="I701" i="5"/>
  <c r="H701" i="5"/>
  <c r="G703" i="5" l="1"/>
  <c r="I702" i="5"/>
  <c r="J702" i="5"/>
  <c r="H702" i="5"/>
  <c r="G704" i="5" l="1"/>
  <c r="J703" i="5"/>
  <c r="I703" i="5"/>
  <c r="H703" i="5"/>
  <c r="G705" i="5" l="1"/>
  <c r="J704" i="5"/>
  <c r="I704" i="5"/>
  <c r="H704" i="5"/>
  <c r="G706" i="5" l="1"/>
  <c r="J705" i="5"/>
  <c r="I705" i="5"/>
  <c r="H705" i="5"/>
  <c r="G707" i="5" l="1"/>
  <c r="J706" i="5"/>
  <c r="I706" i="5"/>
  <c r="H706" i="5"/>
  <c r="G708" i="5" l="1"/>
  <c r="J707" i="5"/>
  <c r="I707" i="5"/>
  <c r="H707" i="5"/>
  <c r="G709" i="5" l="1"/>
  <c r="J708" i="5"/>
  <c r="I708" i="5"/>
  <c r="H708" i="5"/>
  <c r="G710" i="5" l="1"/>
  <c r="J709" i="5"/>
  <c r="I709" i="5"/>
  <c r="H709" i="5"/>
  <c r="G711" i="5" l="1"/>
  <c r="J710" i="5"/>
  <c r="I710" i="5"/>
  <c r="H710" i="5"/>
  <c r="G712" i="5" l="1"/>
  <c r="J711" i="5"/>
  <c r="I711" i="5"/>
  <c r="H711" i="5"/>
  <c r="G713" i="5" l="1"/>
  <c r="J712" i="5"/>
  <c r="I712" i="5"/>
  <c r="H712" i="5"/>
  <c r="G714" i="5" l="1"/>
  <c r="J713" i="5"/>
  <c r="I713" i="5"/>
  <c r="H713" i="5"/>
  <c r="G715" i="5" l="1"/>
  <c r="J714" i="5"/>
  <c r="I714" i="5"/>
  <c r="H714" i="5"/>
  <c r="G716" i="5" l="1"/>
  <c r="J715" i="5"/>
  <c r="I715" i="5"/>
  <c r="H715" i="5"/>
  <c r="G717" i="5" l="1"/>
  <c r="J716" i="5"/>
  <c r="I716" i="5"/>
  <c r="H716" i="5"/>
  <c r="G718" i="5" l="1"/>
  <c r="J717" i="5"/>
  <c r="I717" i="5"/>
  <c r="H717" i="5"/>
  <c r="G719" i="5" l="1"/>
  <c r="J718" i="5"/>
  <c r="I718" i="5"/>
  <c r="H718" i="5"/>
  <c r="G720" i="5" l="1"/>
  <c r="J719" i="5"/>
  <c r="I719" i="5"/>
  <c r="H719" i="5"/>
  <c r="G721" i="5" l="1"/>
  <c r="I720" i="5"/>
  <c r="J720" i="5"/>
  <c r="H720" i="5"/>
  <c r="G722" i="5" l="1"/>
  <c r="J721" i="5"/>
  <c r="I721" i="5"/>
  <c r="H721" i="5"/>
  <c r="G723" i="5" l="1"/>
  <c r="J722" i="5"/>
  <c r="I722" i="5"/>
  <c r="H722" i="5"/>
  <c r="G724" i="5" l="1"/>
  <c r="J723" i="5"/>
  <c r="I723" i="5"/>
  <c r="H723" i="5"/>
  <c r="G725" i="5" l="1"/>
  <c r="J724" i="5"/>
  <c r="I724" i="5"/>
  <c r="H724" i="5"/>
  <c r="G726" i="5" l="1"/>
  <c r="J725" i="5"/>
  <c r="I725" i="5"/>
  <c r="H725" i="5"/>
  <c r="G727" i="5" l="1"/>
  <c r="J726" i="5"/>
  <c r="I726" i="5"/>
  <c r="H726" i="5"/>
  <c r="G728" i="5" l="1"/>
  <c r="J727" i="5"/>
  <c r="I727" i="5"/>
  <c r="H727" i="5"/>
  <c r="G729" i="5" l="1"/>
  <c r="J728" i="5"/>
  <c r="I728" i="5"/>
  <c r="H728" i="5"/>
  <c r="G730" i="5" l="1"/>
  <c r="J729" i="5"/>
  <c r="I729" i="5"/>
  <c r="H729" i="5"/>
  <c r="G731" i="5" l="1"/>
  <c r="J730" i="5"/>
  <c r="I730" i="5"/>
  <c r="H730" i="5"/>
  <c r="G732" i="5" l="1"/>
  <c r="J731" i="5"/>
  <c r="I731" i="5"/>
  <c r="H731" i="5"/>
  <c r="G733" i="5" l="1"/>
  <c r="J732" i="5"/>
  <c r="I732" i="5"/>
  <c r="H732" i="5"/>
  <c r="G734" i="5" l="1"/>
  <c r="J733" i="5"/>
  <c r="I733" i="5"/>
  <c r="H733" i="5"/>
  <c r="G735" i="5" l="1"/>
  <c r="J734" i="5"/>
  <c r="I734" i="5"/>
  <c r="H734" i="5"/>
  <c r="G736" i="5" l="1"/>
  <c r="J735" i="5"/>
  <c r="I735" i="5"/>
  <c r="H735" i="5"/>
  <c r="G737" i="5" l="1"/>
  <c r="J736" i="5"/>
  <c r="I736" i="5"/>
  <c r="H736" i="5"/>
  <c r="G738" i="5" l="1"/>
  <c r="J737" i="5"/>
  <c r="I737" i="5"/>
  <c r="H737" i="5"/>
  <c r="G739" i="5" l="1"/>
  <c r="I738" i="5"/>
  <c r="J738" i="5"/>
  <c r="H738" i="5"/>
  <c r="G740" i="5" l="1"/>
  <c r="J739" i="5"/>
  <c r="I739" i="5"/>
  <c r="H739" i="5"/>
  <c r="G741" i="5" l="1"/>
  <c r="J740" i="5"/>
  <c r="I740" i="5"/>
  <c r="H740" i="5"/>
  <c r="G742" i="5" l="1"/>
  <c r="J741" i="5"/>
  <c r="I741" i="5"/>
  <c r="H741" i="5"/>
  <c r="G743" i="5" l="1"/>
  <c r="J742" i="5"/>
  <c r="I742" i="5"/>
  <c r="H742" i="5"/>
  <c r="G744" i="5" l="1"/>
  <c r="J743" i="5"/>
  <c r="I743" i="5"/>
  <c r="H743" i="5"/>
  <c r="G745" i="5" l="1"/>
  <c r="J744" i="5"/>
  <c r="I744" i="5"/>
  <c r="H744" i="5"/>
  <c r="G746" i="5" l="1"/>
  <c r="J745" i="5"/>
  <c r="I745" i="5"/>
  <c r="H745" i="5"/>
  <c r="G747" i="5" l="1"/>
  <c r="J746" i="5"/>
  <c r="I746" i="5"/>
  <c r="H746" i="5"/>
  <c r="G748" i="5" l="1"/>
  <c r="J747" i="5"/>
  <c r="I747" i="5"/>
  <c r="H747" i="5"/>
  <c r="G749" i="5" l="1"/>
  <c r="J748" i="5"/>
  <c r="I748" i="5"/>
  <c r="H748" i="5"/>
  <c r="G750" i="5" l="1"/>
  <c r="J749" i="5"/>
  <c r="I749" i="5"/>
  <c r="H749" i="5"/>
  <c r="G751" i="5" l="1"/>
  <c r="J750" i="5"/>
  <c r="I750" i="5"/>
  <c r="H750" i="5"/>
  <c r="G752" i="5" l="1"/>
  <c r="J751" i="5"/>
  <c r="I751" i="5"/>
  <c r="H751" i="5"/>
  <c r="G753" i="5" l="1"/>
  <c r="J752" i="5"/>
  <c r="I752" i="5"/>
  <c r="H752" i="5"/>
  <c r="G754" i="5" l="1"/>
  <c r="J753" i="5"/>
  <c r="I753" i="5"/>
  <c r="H753" i="5"/>
  <c r="G755" i="5" l="1"/>
  <c r="J754" i="5"/>
  <c r="I754" i="5"/>
  <c r="H754" i="5"/>
  <c r="G756" i="5" l="1"/>
  <c r="J755" i="5"/>
  <c r="I755" i="5"/>
  <c r="H755" i="5"/>
  <c r="G757" i="5" l="1"/>
  <c r="I756" i="5"/>
  <c r="J756" i="5"/>
  <c r="H756" i="5"/>
  <c r="G758" i="5" l="1"/>
  <c r="J757" i="5"/>
  <c r="I757" i="5"/>
  <c r="H757" i="5"/>
  <c r="G759" i="5" l="1"/>
  <c r="J758" i="5"/>
  <c r="I758" i="5"/>
  <c r="H758" i="5"/>
  <c r="G760" i="5" l="1"/>
  <c r="J759" i="5"/>
  <c r="I759" i="5"/>
  <c r="H759" i="5"/>
  <c r="G761" i="5" l="1"/>
  <c r="J760" i="5"/>
  <c r="I760" i="5"/>
  <c r="H760" i="5"/>
  <c r="G762" i="5" l="1"/>
  <c r="J761" i="5"/>
  <c r="I761" i="5"/>
  <c r="H761" i="5"/>
  <c r="G763" i="5" l="1"/>
  <c r="J762" i="5"/>
  <c r="I762" i="5"/>
  <c r="H762" i="5"/>
  <c r="G764" i="5" l="1"/>
  <c r="J763" i="5"/>
  <c r="I763" i="5"/>
  <c r="H763" i="5"/>
  <c r="G765" i="5" l="1"/>
  <c r="J764" i="5"/>
  <c r="I764" i="5"/>
  <c r="H764" i="5"/>
  <c r="G766" i="5" l="1"/>
  <c r="I765" i="5"/>
  <c r="J765" i="5"/>
  <c r="H765" i="5"/>
  <c r="G767" i="5" l="1"/>
  <c r="J766" i="5"/>
  <c r="I766" i="5"/>
  <c r="H766" i="5"/>
  <c r="G768" i="5" l="1"/>
  <c r="J767" i="5"/>
  <c r="I767" i="5"/>
  <c r="H767" i="5"/>
  <c r="G769" i="5" l="1"/>
  <c r="J768" i="5"/>
  <c r="I768" i="5"/>
  <c r="H768" i="5"/>
  <c r="G770" i="5" l="1"/>
  <c r="J769" i="5"/>
  <c r="I769" i="5"/>
  <c r="H769" i="5"/>
  <c r="G771" i="5" l="1"/>
  <c r="J770" i="5"/>
  <c r="I770" i="5"/>
  <c r="H770" i="5"/>
  <c r="G772" i="5" l="1"/>
  <c r="J771" i="5"/>
  <c r="I771" i="5"/>
  <c r="H771" i="5"/>
  <c r="G773" i="5" l="1"/>
  <c r="J772" i="5"/>
  <c r="I772" i="5"/>
  <c r="H772" i="5"/>
  <c r="G774" i="5" l="1"/>
  <c r="J773" i="5"/>
  <c r="I773" i="5"/>
  <c r="H773" i="5"/>
  <c r="G775" i="5" l="1"/>
  <c r="I774" i="5"/>
  <c r="J774" i="5"/>
  <c r="H774" i="5"/>
  <c r="G776" i="5" l="1"/>
  <c r="J775" i="5"/>
  <c r="I775" i="5"/>
  <c r="H775" i="5"/>
  <c r="G777" i="5" l="1"/>
  <c r="J776" i="5"/>
  <c r="I776" i="5"/>
  <c r="H776" i="5"/>
  <c r="G778" i="5" l="1"/>
  <c r="J777" i="5"/>
  <c r="I777" i="5"/>
  <c r="H777" i="5"/>
  <c r="G779" i="5" l="1"/>
  <c r="J778" i="5"/>
  <c r="I778" i="5"/>
  <c r="H778" i="5"/>
  <c r="G780" i="5" l="1"/>
  <c r="J779" i="5"/>
  <c r="I779" i="5"/>
  <c r="H779" i="5"/>
  <c r="G781" i="5" l="1"/>
  <c r="J780" i="5"/>
  <c r="I780" i="5"/>
  <c r="H780" i="5"/>
  <c r="G782" i="5" l="1"/>
  <c r="J781" i="5"/>
  <c r="I781" i="5"/>
  <c r="H781" i="5"/>
  <c r="G783" i="5" l="1"/>
  <c r="J782" i="5"/>
  <c r="I782" i="5"/>
  <c r="H782" i="5"/>
  <c r="G784" i="5" l="1"/>
  <c r="J783" i="5"/>
  <c r="I783" i="5"/>
  <c r="H783" i="5"/>
  <c r="G785" i="5" l="1"/>
  <c r="J784" i="5"/>
  <c r="H784" i="5"/>
  <c r="I784" i="5"/>
  <c r="G786" i="5" l="1"/>
  <c r="J785" i="5"/>
  <c r="I785" i="5"/>
  <c r="H785" i="5"/>
  <c r="G787" i="5" l="1"/>
  <c r="J786" i="5"/>
  <c r="I786" i="5"/>
  <c r="H786" i="5"/>
  <c r="G788" i="5" l="1"/>
  <c r="J787" i="5"/>
  <c r="I787" i="5"/>
  <c r="H787" i="5"/>
  <c r="G789" i="5" l="1"/>
  <c r="J788" i="5"/>
  <c r="I788" i="5"/>
  <c r="H788" i="5"/>
  <c r="G790" i="5" l="1"/>
  <c r="J789" i="5"/>
  <c r="I789" i="5"/>
  <c r="H789" i="5"/>
  <c r="G791" i="5" l="1"/>
  <c r="J790" i="5"/>
  <c r="I790" i="5"/>
  <c r="H790" i="5"/>
  <c r="G792" i="5" l="1"/>
  <c r="J791" i="5"/>
  <c r="I791" i="5"/>
  <c r="H791" i="5"/>
  <c r="G793" i="5" l="1"/>
  <c r="I792" i="5"/>
  <c r="J792" i="5"/>
  <c r="H792" i="5"/>
  <c r="G794" i="5" l="1"/>
  <c r="J793" i="5"/>
  <c r="I793" i="5"/>
  <c r="H793" i="5"/>
  <c r="G795" i="5" l="1"/>
  <c r="J794" i="5"/>
  <c r="I794" i="5"/>
  <c r="H794" i="5"/>
  <c r="G796" i="5" l="1"/>
  <c r="J795" i="5"/>
  <c r="I795" i="5"/>
  <c r="H795" i="5"/>
  <c r="G797" i="5" l="1"/>
  <c r="J796" i="5"/>
  <c r="I796" i="5"/>
  <c r="H796" i="5"/>
  <c r="G798" i="5" l="1"/>
  <c r="J797" i="5"/>
  <c r="I797" i="5"/>
  <c r="H797" i="5"/>
  <c r="G799" i="5" l="1"/>
  <c r="J798" i="5"/>
  <c r="I798" i="5"/>
  <c r="H798" i="5"/>
  <c r="G800" i="5" l="1"/>
  <c r="J799" i="5"/>
  <c r="I799" i="5"/>
  <c r="H799" i="5"/>
  <c r="G801" i="5" l="1"/>
  <c r="J800" i="5"/>
  <c r="I800" i="5"/>
  <c r="H800" i="5"/>
  <c r="G802" i="5" l="1"/>
  <c r="J801" i="5"/>
  <c r="I801" i="5"/>
  <c r="H801" i="5"/>
  <c r="G803" i="5" l="1"/>
  <c r="J802" i="5"/>
  <c r="I802" i="5"/>
  <c r="H802" i="5"/>
  <c r="G804" i="5" l="1"/>
  <c r="J803" i="5"/>
  <c r="I803" i="5"/>
  <c r="H803" i="5"/>
  <c r="G805" i="5" l="1"/>
  <c r="J804" i="5"/>
  <c r="I804" i="5"/>
  <c r="H804" i="5"/>
  <c r="G806" i="5" l="1"/>
  <c r="J805" i="5"/>
  <c r="I805" i="5"/>
  <c r="H805" i="5"/>
  <c r="G807" i="5" l="1"/>
  <c r="J806" i="5"/>
  <c r="I806" i="5"/>
  <c r="H806" i="5"/>
  <c r="G808" i="5" l="1"/>
  <c r="J807" i="5"/>
  <c r="I807" i="5"/>
  <c r="H807" i="5"/>
  <c r="G809" i="5" l="1"/>
  <c r="J808" i="5"/>
  <c r="I808" i="5"/>
  <c r="H808" i="5"/>
  <c r="G810" i="5" l="1"/>
  <c r="J809" i="5"/>
  <c r="I809" i="5"/>
  <c r="H809" i="5"/>
  <c r="G811" i="5" l="1"/>
  <c r="I810" i="5"/>
  <c r="J810" i="5"/>
  <c r="H810" i="5"/>
  <c r="G812" i="5" l="1"/>
  <c r="J811" i="5"/>
  <c r="I811" i="5"/>
  <c r="H811" i="5"/>
  <c r="G813" i="5" l="1"/>
  <c r="J812" i="5"/>
  <c r="I812" i="5"/>
  <c r="H812" i="5"/>
  <c r="G814" i="5" l="1"/>
  <c r="J813" i="5"/>
  <c r="I813" i="5"/>
  <c r="H813" i="5"/>
  <c r="G815" i="5" l="1"/>
  <c r="J814" i="5"/>
  <c r="I814" i="5"/>
  <c r="H814" i="5"/>
  <c r="G816" i="5" l="1"/>
  <c r="J815" i="5"/>
  <c r="I815" i="5"/>
  <c r="H815" i="5"/>
  <c r="G817" i="5" l="1"/>
  <c r="J816" i="5"/>
  <c r="I816" i="5"/>
  <c r="H816" i="5"/>
  <c r="G818" i="5" l="1"/>
  <c r="J817" i="5"/>
  <c r="I817" i="5"/>
  <c r="H817" i="5"/>
  <c r="G819" i="5" l="1"/>
  <c r="J818" i="5"/>
  <c r="I818" i="5"/>
  <c r="H818" i="5"/>
  <c r="G820" i="5" l="1"/>
  <c r="J819" i="5"/>
  <c r="I819" i="5"/>
  <c r="H819" i="5"/>
  <c r="G821" i="5" l="1"/>
  <c r="J820" i="5"/>
  <c r="I820" i="5"/>
  <c r="H820" i="5"/>
  <c r="G822" i="5" l="1"/>
  <c r="J821" i="5"/>
  <c r="I821" i="5"/>
  <c r="H821" i="5"/>
  <c r="G823" i="5" l="1"/>
  <c r="J822" i="5"/>
  <c r="I822" i="5"/>
  <c r="H822" i="5"/>
  <c r="G824" i="5" l="1"/>
  <c r="J823" i="5"/>
  <c r="I823" i="5"/>
  <c r="H823" i="5"/>
  <c r="G825" i="5" l="1"/>
  <c r="J824" i="5"/>
  <c r="I824" i="5"/>
  <c r="H824" i="5"/>
  <c r="G826" i="5" l="1"/>
  <c r="J825" i="5"/>
  <c r="I825" i="5"/>
  <c r="H825" i="5"/>
  <c r="G827" i="5" l="1"/>
  <c r="J826" i="5"/>
  <c r="I826" i="5"/>
  <c r="H826" i="5"/>
  <c r="G828" i="5" l="1"/>
  <c r="J827" i="5"/>
  <c r="I827" i="5"/>
  <c r="H827" i="5"/>
  <c r="G829" i="5" l="1"/>
  <c r="I828" i="5"/>
  <c r="J828" i="5"/>
  <c r="H828" i="5"/>
  <c r="G830" i="5" l="1"/>
  <c r="J829" i="5"/>
  <c r="I829" i="5"/>
  <c r="H829" i="5"/>
  <c r="G831" i="5" l="1"/>
  <c r="J830" i="5"/>
  <c r="I830" i="5"/>
  <c r="H830" i="5"/>
  <c r="G832" i="5" l="1"/>
  <c r="J831" i="5"/>
  <c r="I831" i="5"/>
  <c r="H831" i="5"/>
  <c r="G833" i="5" l="1"/>
  <c r="J832" i="5"/>
  <c r="I832" i="5"/>
  <c r="H832" i="5"/>
  <c r="G834" i="5" l="1"/>
  <c r="J833" i="5"/>
  <c r="I833" i="5"/>
  <c r="H833" i="5"/>
  <c r="G835" i="5" l="1"/>
  <c r="J834" i="5"/>
  <c r="I834" i="5"/>
  <c r="H834" i="5"/>
  <c r="G836" i="5" l="1"/>
  <c r="J835" i="5"/>
  <c r="I835" i="5"/>
  <c r="H835" i="5"/>
  <c r="G837" i="5" l="1"/>
  <c r="J836" i="5"/>
  <c r="I836" i="5"/>
  <c r="H836" i="5"/>
  <c r="G838" i="5" l="1"/>
  <c r="I837" i="5"/>
  <c r="J837" i="5"/>
  <c r="H837" i="5"/>
  <c r="G839" i="5" l="1"/>
  <c r="J838" i="5"/>
  <c r="I838" i="5"/>
  <c r="H838" i="5"/>
  <c r="G840" i="5" l="1"/>
  <c r="J839" i="5"/>
  <c r="I839" i="5"/>
  <c r="H839" i="5"/>
  <c r="G841" i="5" l="1"/>
  <c r="J840" i="5"/>
  <c r="I840" i="5"/>
  <c r="H840" i="5"/>
  <c r="G842" i="5" l="1"/>
  <c r="J841" i="5"/>
  <c r="I841" i="5"/>
  <c r="H841" i="5"/>
  <c r="G843" i="5" l="1"/>
  <c r="J842" i="5"/>
  <c r="I842" i="5"/>
  <c r="H842" i="5"/>
  <c r="G844" i="5" l="1"/>
  <c r="J843" i="5"/>
  <c r="I843" i="5"/>
  <c r="H843" i="5"/>
  <c r="G845" i="5" l="1"/>
  <c r="J844" i="5"/>
  <c r="I844" i="5"/>
  <c r="H844" i="5"/>
  <c r="G846" i="5" l="1"/>
  <c r="J845" i="5"/>
  <c r="H845" i="5"/>
  <c r="I845" i="5"/>
  <c r="G847" i="5" l="1"/>
  <c r="I846" i="5"/>
  <c r="J846" i="5"/>
  <c r="H846" i="5"/>
  <c r="G848" i="5" l="1"/>
  <c r="J847" i="5"/>
  <c r="I847" i="5"/>
  <c r="H847" i="5"/>
  <c r="G849" i="5" l="1"/>
  <c r="J848" i="5"/>
  <c r="I848" i="5"/>
  <c r="H848" i="5"/>
  <c r="G850" i="5" l="1"/>
  <c r="J849" i="5"/>
  <c r="I849" i="5"/>
  <c r="H849" i="5"/>
  <c r="G851" i="5" l="1"/>
  <c r="J850" i="5"/>
  <c r="I850" i="5"/>
  <c r="H850" i="5"/>
  <c r="G852" i="5" l="1"/>
  <c r="J851" i="5"/>
  <c r="I851" i="5"/>
  <c r="H851" i="5"/>
  <c r="G853" i="5" l="1"/>
  <c r="J852" i="5"/>
  <c r="I852" i="5"/>
  <c r="H852" i="5"/>
  <c r="G854" i="5" l="1"/>
  <c r="J853" i="5"/>
  <c r="I853" i="5"/>
  <c r="H853" i="5"/>
  <c r="G855" i="5" l="1"/>
  <c r="J854" i="5"/>
  <c r="I854" i="5"/>
  <c r="H854" i="5"/>
  <c r="G856" i="5" l="1"/>
  <c r="J855" i="5"/>
  <c r="I855" i="5"/>
  <c r="H855" i="5"/>
  <c r="G857" i="5" l="1"/>
  <c r="J856" i="5"/>
  <c r="I856" i="5"/>
  <c r="H856" i="5"/>
  <c r="G858" i="5" l="1"/>
  <c r="J857" i="5"/>
  <c r="H857" i="5"/>
  <c r="I857" i="5"/>
  <c r="G859" i="5" l="1"/>
  <c r="I858" i="5"/>
  <c r="J858" i="5"/>
  <c r="H858" i="5"/>
  <c r="G860" i="5" l="1"/>
  <c r="J859" i="5"/>
  <c r="I859" i="5"/>
  <c r="H859" i="5"/>
  <c r="G861" i="5" l="1"/>
  <c r="J860" i="5"/>
  <c r="I860" i="5"/>
  <c r="H860" i="5"/>
  <c r="G862" i="5" l="1"/>
  <c r="J861" i="5"/>
  <c r="I861" i="5"/>
  <c r="H861" i="5"/>
  <c r="G863" i="5" l="1"/>
  <c r="J862" i="5"/>
  <c r="I862" i="5"/>
  <c r="H862" i="5"/>
  <c r="G864" i="5" l="1"/>
  <c r="J863" i="5"/>
  <c r="I863" i="5"/>
  <c r="H863" i="5"/>
  <c r="G865" i="5" l="1"/>
  <c r="J864" i="5"/>
  <c r="I864" i="5"/>
  <c r="H864" i="5"/>
  <c r="G866" i="5" l="1"/>
  <c r="J865" i="5"/>
  <c r="I865" i="5"/>
  <c r="H865" i="5"/>
  <c r="G867" i="5" l="1"/>
  <c r="J866" i="5"/>
  <c r="I866" i="5"/>
  <c r="H866" i="5"/>
  <c r="G868" i="5" l="1"/>
  <c r="J867" i="5"/>
  <c r="I867" i="5"/>
  <c r="H867" i="5"/>
  <c r="G869" i="5" l="1"/>
  <c r="J868" i="5"/>
  <c r="I868" i="5"/>
  <c r="H868" i="5"/>
  <c r="G870" i="5" l="1"/>
  <c r="J869" i="5"/>
  <c r="I869" i="5"/>
  <c r="H869" i="5"/>
  <c r="G871" i="5" l="1"/>
  <c r="J870" i="5"/>
  <c r="I870" i="5"/>
  <c r="H870" i="5"/>
  <c r="G872" i="5" l="1"/>
  <c r="J871" i="5"/>
  <c r="I871" i="5"/>
  <c r="H871" i="5"/>
  <c r="G873" i="5" l="1"/>
  <c r="J872" i="5"/>
  <c r="I872" i="5"/>
  <c r="H872" i="5"/>
  <c r="G874" i="5" l="1"/>
  <c r="J873" i="5"/>
  <c r="I873" i="5"/>
  <c r="H873" i="5"/>
  <c r="G875" i="5" l="1"/>
  <c r="J874" i="5"/>
  <c r="I874" i="5"/>
  <c r="H874" i="5"/>
  <c r="G876" i="5" l="1"/>
  <c r="J875" i="5"/>
  <c r="I875" i="5"/>
  <c r="H875" i="5"/>
  <c r="G877" i="5" l="1"/>
  <c r="J876" i="5"/>
  <c r="I876" i="5"/>
  <c r="H876" i="5"/>
  <c r="G878" i="5" l="1"/>
  <c r="J877" i="5"/>
  <c r="I877" i="5"/>
  <c r="H877" i="5"/>
  <c r="G879" i="5" l="1"/>
  <c r="J878" i="5"/>
  <c r="I878" i="5"/>
  <c r="H878" i="5"/>
  <c r="G880" i="5" l="1"/>
  <c r="J879" i="5"/>
  <c r="I879" i="5"/>
  <c r="H879" i="5"/>
  <c r="G881" i="5" l="1"/>
  <c r="J880" i="5"/>
  <c r="I880" i="5"/>
  <c r="H880" i="5"/>
  <c r="G882" i="5" l="1"/>
  <c r="J881" i="5"/>
  <c r="I881" i="5"/>
  <c r="H881" i="5"/>
  <c r="G883" i="5" l="1"/>
  <c r="J882" i="5"/>
  <c r="I882" i="5"/>
  <c r="H882" i="5"/>
  <c r="G884" i="5" l="1"/>
  <c r="J883" i="5"/>
  <c r="I883" i="5"/>
  <c r="H883" i="5"/>
  <c r="G885" i="5" l="1"/>
  <c r="J884" i="5"/>
  <c r="I884" i="5"/>
  <c r="H884" i="5"/>
  <c r="G886" i="5" l="1"/>
  <c r="J885" i="5"/>
  <c r="I885" i="5"/>
  <c r="H885" i="5"/>
  <c r="G887" i="5" l="1"/>
  <c r="J886" i="5"/>
  <c r="I886" i="5"/>
  <c r="H886" i="5"/>
  <c r="G888" i="5" l="1"/>
  <c r="J887" i="5"/>
  <c r="I887" i="5"/>
  <c r="H887" i="5"/>
  <c r="G889" i="5" l="1"/>
  <c r="J888" i="5"/>
  <c r="I888" i="5"/>
  <c r="H888" i="5"/>
  <c r="G890" i="5" l="1"/>
  <c r="J889" i="5"/>
  <c r="I889" i="5"/>
  <c r="H889" i="5"/>
  <c r="G891" i="5" l="1"/>
  <c r="J890" i="5"/>
  <c r="I890" i="5"/>
  <c r="H890" i="5"/>
  <c r="G892" i="5" l="1"/>
  <c r="J891" i="5"/>
  <c r="I891" i="5"/>
  <c r="H891" i="5"/>
  <c r="G893" i="5" l="1"/>
  <c r="J892" i="5"/>
  <c r="I892" i="5"/>
  <c r="H892" i="5"/>
  <c r="G894" i="5" l="1"/>
  <c r="J893" i="5"/>
  <c r="I893" i="5"/>
  <c r="H893" i="5"/>
  <c r="G895" i="5" l="1"/>
  <c r="J894" i="5"/>
  <c r="I894" i="5"/>
  <c r="H894" i="5"/>
  <c r="G896" i="5" l="1"/>
  <c r="J895" i="5"/>
  <c r="I895" i="5"/>
  <c r="H895" i="5"/>
  <c r="G897" i="5" l="1"/>
  <c r="J896" i="5"/>
  <c r="I896" i="5"/>
  <c r="H896" i="5"/>
  <c r="G898" i="5" l="1"/>
  <c r="J897" i="5"/>
  <c r="I897" i="5"/>
  <c r="H897" i="5"/>
  <c r="G899" i="5" l="1"/>
  <c r="J898" i="5"/>
  <c r="I898" i="5"/>
  <c r="H898" i="5"/>
  <c r="G900" i="5" l="1"/>
  <c r="J899" i="5"/>
  <c r="I899" i="5"/>
  <c r="H899" i="5"/>
  <c r="G901" i="5" l="1"/>
  <c r="J900" i="5"/>
  <c r="I900" i="5"/>
  <c r="H900" i="5"/>
  <c r="G902" i="5" l="1"/>
  <c r="J901" i="5"/>
  <c r="I901" i="5"/>
  <c r="H901" i="5"/>
  <c r="G903" i="5" l="1"/>
  <c r="J902" i="5"/>
  <c r="I902" i="5"/>
  <c r="H902" i="5"/>
  <c r="G904" i="5" l="1"/>
  <c r="J903" i="5"/>
  <c r="I903" i="5"/>
  <c r="H903" i="5"/>
  <c r="G905" i="5" l="1"/>
  <c r="J904" i="5"/>
  <c r="I904" i="5"/>
  <c r="H904" i="5"/>
  <c r="G906" i="5" l="1"/>
  <c r="J905" i="5"/>
  <c r="I905" i="5"/>
  <c r="H905" i="5"/>
  <c r="G907" i="5" l="1"/>
  <c r="J906" i="5"/>
  <c r="I906" i="5"/>
  <c r="H906" i="5"/>
  <c r="G908" i="5" l="1"/>
  <c r="J907" i="5"/>
  <c r="I907" i="5"/>
  <c r="H907" i="5"/>
  <c r="G909" i="5" l="1"/>
  <c r="J908" i="5"/>
  <c r="I908" i="5"/>
  <c r="H908" i="5"/>
  <c r="G910" i="5" l="1"/>
  <c r="J909" i="5"/>
  <c r="I909" i="5"/>
  <c r="H909" i="5"/>
  <c r="G911" i="5" l="1"/>
  <c r="J910" i="5"/>
  <c r="I910" i="5"/>
  <c r="H910" i="5"/>
  <c r="G912" i="5" l="1"/>
  <c r="J911" i="5"/>
  <c r="I911" i="5"/>
  <c r="H911" i="5"/>
  <c r="G913" i="5" l="1"/>
  <c r="J912" i="5"/>
  <c r="I912" i="5"/>
  <c r="H912" i="5"/>
  <c r="G914" i="5" l="1"/>
  <c r="J913" i="5"/>
  <c r="I913" i="5"/>
  <c r="H913" i="5"/>
  <c r="G915" i="5" l="1"/>
  <c r="J914" i="5"/>
  <c r="H914" i="5"/>
  <c r="I914" i="5"/>
  <c r="G916" i="5" l="1"/>
  <c r="J915" i="5"/>
  <c r="I915" i="5"/>
  <c r="H915" i="5"/>
  <c r="G917" i="5" l="1"/>
  <c r="J916" i="5"/>
  <c r="I916" i="5"/>
  <c r="H916" i="5"/>
  <c r="G918" i="5" l="1"/>
  <c r="J917" i="5"/>
  <c r="I917" i="5"/>
  <c r="H917" i="5"/>
  <c r="G919" i="5" l="1"/>
  <c r="J918" i="5"/>
  <c r="I918" i="5"/>
  <c r="H918" i="5"/>
  <c r="G920" i="5" l="1"/>
  <c r="J919" i="5"/>
  <c r="I919" i="5"/>
  <c r="H919" i="5"/>
  <c r="G921" i="5" l="1"/>
  <c r="J920" i="5"/>
  <c r="I920" i="5"/>
  <c r="H920" i="5"/>
  <c r="G922" i="5" l="1"/>
  <c r="J921" i="5"/>
  <c r="I921" i="5"/>
  <c r="H921" i="5"/>
  <c r="G923" i="5" l="1"/>
  <c r="J922" i="5"/>
  <c r="I922" i="5"/>
  <c r="H922" i="5"/>
  <c r="G924" i="5" l="1"/>
  <c r="J923" i="5"/>
  <c r="I923" i="5"/>
  <c r="H923" i="5"/>
  <c r="G925" i="5" l="1"/>
  <c r="J924" i="5"/>
  <c r="I924" i="5"/>
  <c r="H924" i="5"/>
  <c r="G926" i="5" l="1"/>
  <c r="J925" i="5"/>
  <c r="I925" i="5"/>
  <c r="H925" i="5"/>
  <c r="G927" i="5" l="1"/>
  <c r="J926" i="5"/>
  <c r="I926" i="5"/>
  <c r="H926" i="5"/>
  <c r="G928" i="5" l="1"/>
  <c r="J927" i="5"/>
  <c r="I927" i="5"/>
  <c r="H927" i="5"/>
  <c r="G929" i="5" l="1"/>
  <c r="J928" i="5"/>
  <c r="I928" i="5"/>
  <c r="H928" i="5"/>
  <c r="G930" i="5" l="1"/>
  <c r="J929" i="5"/>
  <c r="I929" i="5"/>
  <c r="H929" i="5"/>
  <c r="G931" i="5" l="1"/>
  <c r="J930" i="5"/>
  <c r="I930" i="5"/>
  <c r="H930" i="5"/>
  <c r="G932" i="5" l="1"/>
  <c r="J931" i="5"/>
  <c r="I931" i="5"/>
  <c r="H931" i="5"/>
  <c r="G933" i="5" l="1"/>
  <c r="J932" i="5"/>
  <c r="H932" i="5"/>
  <c r="I932" i="5"/>
  <c r="G934" i="5" l="1"/>
  <c r="J933" i="5"/>
  <c r="I933" i="5"/>
  <c r="H933" i="5"/>
  <c r="G935" i="5" l="1"/>
  <c r="J934" i="5"/>
  <c r="I934" i="5"/>
  <c r="H934" i="5"/>
  <c r="G936" i="5" l="1"/>
  <c r="J935" i="5"/>
  <c r="I935" i="5"/>
  <c r="H935" i="5"/>
  <c r="G937" i="5" l="1"/>
  <c r="J936" i="5"/>
  <c r="I936" i="5"/>
  <c r="H936" i="5"/>
  <c r="G938" i="5" l="1"/>
  <c r="I937" i="5"/>
  <c r="J937" i="5"/>
  <c r="H937" i="5"/>
  <c r="G939" i="5" l="1"/>
  <c r="J938" i="5"/>
  <c r="I938" i="5"/>
  <c r="H938" i="5"/>
  <c r="G940" i="5" l="1"/>
  <c r="J939" i="5"/>
  <c r="I939" i="5"/>
  <c r="H939" i="5"/>
  <c r="G941" i="5" l="1"/>
  <c r="J940" i="5"/>
  <c r="I940" i="5"/>
  <c r="H940" i="5"/>
  <c r="G942" i="5" l="1"/>
  <c r="J941" i="5"/>
  <c r="I941" i="5"/>
  <c r="H941" i="5"/>
  <c r="G943" i="5" l="1"/>
  <c r="J942" i="5"/>
  <c r="I942" i="5"/>
  <c r="H942" i="5"/>
  <c r="G944" i="5" l="1"/>
  <c r="J943" i="5"/>
  <c r="I943" i="5"/>
  <c r="H943" i="5"/>
  <c r="G945" i="5" l="1"/>
  <c r="J944" i="5"/>
  <c r="I944" i="5"/>
  <c r="H944" i="5"/>
  <c r="G946" i="5" l="1"/>
  <c r="J945" i="5"/>
  <c r="I945" i="5"/>
  <c r="H945" i="5"/>
  <c r="G947" i="5" l="1"/>
  <c r="J946" i="5"/>
  <c r="I946" i="5"/>
  <c r="H946" i="5"/>
  <c r="G948" i="5" l="1"/>
  <c r="J947" i="5"/>
  <c r="I947" i="5"/>
  <c r="H947" i="5"/>
  <c r="G949" i="5" l="1"/>
  <c r="J948" i="5"/>
  <c r="I948" i="5"/>
  <c r="H948" i="5"/>
  <c r="G950" i="5" l="1"/>
  <c r="J949" i="5"/>
  <c r="I949" i="5"/>
  <c r="H949" i="5"/>
  <c r="G951" i="5" l="1"/>
  <c r="J950" i="5"/>
  <c r="I950" i="5"/>
  <c r="H950" i="5"/>
  <c r="G952" i="5" l="1"/>
  <c r="J951" i="5"/>
  <c r="I951" i="5"/>
  <c r="H951" i="5"/>
  <c r="G953" i="5" l="1"/>
  <c r="J952" i="5"/>
  <c r="I952" i="5"/>
  <c r="H952" i="5"/>
  <c r="G954" i="5" l="1"/>
  <c r="J953" i="5"/>
  <c r="I953" i="5"/>
  <c r="H953" i="5"/>
  <c r="G955" i="5" l="1"/>
  <c r="J954" i="5"/>
  <c r="I954" i="5"/>
  <c r="H954" i="5"/>
  <c r="G956" i="5" l="1"/>
  <c r="J955" i="5"/>
  <c r="I955" i="5"/>
  <c r="H955" i="5"/>
  <c r="G957" i="5" l="1"/>
  <c r="J956" i="5"/>
  <c r="I956" i="5"/>
  <c r="H956" i="5"/>
  <c r="G958" i="5" l="1"/>
  <c r="J957" i="5"/>
  <c r="I957" i="5"/>
  <c r="H957" i="5"/>
  <c r="G959" i="5" l="1"/>
  <c r="J958" i="5"/>
  <c r="I958" i="5"/>
  <c r="H958" i="5"/>
  <c r="G960" i="5" l="1"/>
  <c r="J959" i="5"/>
  <c r="I959" i="5"/>
  <c r="H959" i="5"/>
  <c r="G961" i="5" l="1"/>
  <c r="J960" i="5"/>
  <c r="I960" i="5"/>
  <c r="H960" i="5"/>
  <c r="G962" i="5" l="1"/>
  <c r="J961" i="5"/>
  <c r="I961" i="5"/>
  <c r="H961" i="5"/>
  <c r="G963" i="5" l="1"/>
  <c r="J962" i="5"/>
  <c r="I962" i="5"/>
  <c r="H962" i="5"/>
  <c r="G964" i="5" l="1"/>
  <c r="J963" i="5"/>
  <c r="I963" i="5"/>
  <c r="H963" i="5"/>
  <c r="G965" i="5" l="1"/>
  <c r="J964" i="5"/>
  <c r="I964" i="5"/>
  <c r="H964" i="5"/>
  <c r="G966" i="5" l="1"/>
  <c r="J965" i="5"/>
  <c r="I965" i="5"/>
  <c r="H965" i="5"/>
  <c r="G967" i="5" l="1"/>
  <c r="J966" i="5"/>
  <c r="I966" i="5"/>
  <c r="H966" i="5"/>
  <c r="G968" i="5" l="1"/>
  <c r="J967" i="5"/>
  <c r="I967" i="5"/>
  <c r="H967" i="5"/>
  <c r="G969" i="5" l="1"/>
  <c r="J968" i="5"/>
  <c r="I968" i="5"/>
  <c r="H968" i="5"/>
  <c r="G970" i="5" l="1"/>
  <c r="J969" i="5"/>
  <c r="I969" i="5"/>
  <c r="H969" i="5"/>
  <c r="G971" i="5" l="1"/>
  <c r="J970" i="5"/>
  <c r="I970" i="5"/>
  <c r="H970" i="5"/>
  <c r="G972" i="5" l="1"/>
  <c r="J971" i="5"/>
  <c r="I971" i="5"/>
  <c r="H971" i="5"/>
  <c r="G973" i="5" l="1"/>
  <c r="J972" i="5"/>
  <c r="I972" i="5"/>
  <c r="H972" i="5"/>
  <c r="G974" i="5" l="1"/>
  <c r="J973" i="5"/>
  <c r="I973" i="5"/>
  <c r="H973" i="5"/>
  <c r="G975" i="5" l="1"/>
  <c r="J974" i="5"/>
  <c r="I974" i="5"/>
  <c r="H974" i="5"/>
  <c r="G976" i="5" l="1"/>
  <c r="J975" i="5"/>
  <c r="I975" i="5"/>
  <c r="H975" i="5"/>
  <c r="G977" i="5" l="1"/>
  <c r="J976" i="5"/>
  <c r="I976" i="5"/>
  <c r="H976" i="5"/>
  <c r="G978" i="5" l="1"/>
  <c r="J977" i="5"/>
  <c r="I977" i="5"/>
  <c r="H977" i="5"/>
  <c r="G979" i="5" l="1"/>
  <c r="J978" i="5"/>
  <c r="I978" i="5"/>
  <c r="H978" i="5"/>
  <c r="G980" i="5" l="1"/>
  <c r="J979" i="5"/>
  <c r="I979" i="5"/>
  <c r="H979" i="5"/>
  <c r="G981" i="5" l="1"/>
  <c r="J980" i="5"/>
  <c r="I980" i="5"/>
  <c r="H980" i="5"/>
  <c r="G982" i="5" l="1"/>
  <c r="J981" i="5"/>
  <c r="I981" i="5"/>
  <c r="H981" i="5"/>
  <c r="G983" i="5" l="1"/>
  <c r="J982" i="5"/>
  <c r="I982" i="5"/>
  <c r="H982" i="5"/>
  <c r="G984" i="5" l="1"/>
  <c r="J983" i="5"/>
  <c r="I983" i="5"/>
  <c r="H983" i="5"/>
  <c r="G985" i="5" l="1"/>
  <c r="J984" i="5"/>
  <c r="I984" i="5"/>
  <c r="H984" i="5"/>
  <c r="G986" i="5" l="1"/>
  <c r="J985" i="5"/>
  <c r="I985" i="5"/>
  <c r="H985" i="5"/>
  <c r="G987" i="5" l="1"/>
  <c r="J986" i="5"/>
  <c r="I986" i="5"/>
  <c r="H986" i="5"/>
  <c r="G988" i="5" l="1"/>
  <c r="J987" i="5"/>
  <c r="I987" i="5"/>
  <c r="H987" i="5"/>
  <c r="G989" i="5" l="1"/>
  <c r="J988" i="5"/>
  <c r="I988" i="5"/>
  <c r="H988" i="5"/>
  <c r="G990" i="5" l="1"/>
  <c r="J989" i="5"/>
  <c r="I989" i="5"/>
  <c r="H989" i="5"/>
  <c r="G991" i="5" l="1"/>
  <c r="J990" i="5"/>
  <c r="I990" i="5"/>
  <c r="H990" i="5"/>
  <c r="G992" i="5" l="1"/>
  <c r="J991" i="5"/>
  <c r="I991" i="5"/>
  <c r="H991" i="5"/>
  <c r="G993" i="5" l="1"/>
  <c r="J992" i="5"/>
  <c r="I992" i="5"/>
  <c r="H992" i="5"/>
  <c r="G994" i="5" l="1"/>
  <c r="J993" i="5"/>
  <c r="I993" i="5"/>
  <c r="H993" i="5"/>
  <c r="G995" i="5" l="1"/>
  <c r="J994" i="5"/>
  <c r="I994" i="5"/>
  <c r="H994" i="5"/>
  <c r="G996" i="5" l="1"/>
  <c r="J995" i="5"/>
  <c r="I995" i="5"/>
  <c r="H995" i="5"/>
  <c r="G997" i="5" l="1"/>
  <c r="I996" i="5"/>
  <c r="J996" i="5"/>
  <c r="H996" i="5"/>
  <c r="G998" i="5" l="1"/>
  <c r="J997" i="5"/>
  <c r="I997" i="5"/>
  <c r="H997" i="5"/>
  <c r="G999" i="5" l="1"/>
  <c r="J998" i="5"/>
  <c r="I998" i="5"/>
  <c r="H998" i="5"/>
  <c r="G1000" i="5" l="1"/>
  <c r="J999" i="5"/>
  <c r="I999" i="5"/>
  <c r="H999" i="5"/>
  <c r="G1001" i="5" l="1"/>
  <c r="J1000" i="5"/>
  <c r="I1000" i="5"/>
  <c r="H1000" i="5"/>
  <c r="G1002" i="5" l="1"/>
  <c r="J1001" i="5"/>
  <c r="I1001" i="5"/>
  <c r="H1001" i="5"/>
  <c r="G1003" i="5" l="1"/>
  <c r="J1002" i="5"/>
  <c r="I1002" i="5"/>
  <c r="H1002" i="5"/>
  <c r="G1004" i="5" l="1"/>
  <c r="J1003" i="5"/>
  <c r="I1003" i="5"/>
  <c r="H1003" i="5"/>
  <c r="G1005" i="5" l="1"/>
  <c r="J1004" i="5"/>
  <c r="I1004" i="5"/>
  <c r="H1004" i="5"/>
  <c r="G1006" i="5" l="1"/>
  <c r="J1005" i="5"/>
  <c r="I1005" i="5"/>
  <c r="H1005" i="5"/>
  <c r="G1007" i="5" l="1"/>
  <c r="J1006" i="5"/>
  <c r="I1006" i="5"/>
  <c r="H1006" i="5"/>
  <c r="G1008" i="5" l="1"/>
  <c r="J1007" i="5"/>
  <c r="I1007" i="5"/>
  <c r="H1007" i="5"/>
  <c r="G1009" i="5" l="1"/>
  <c r="J1008" i="5"/>
  <c r="I1008" i="5"/>
  <c r="H1008" i="5"/>
  <c r="G1010" i="5" l="1"/>
  <c r="J1009" i="5"/>
  <c r="I1009" i="5"/>
  <c r="H1009" i="5"/>
  <c r="G1011" i="5" l="1"/>
  <c r="J1010" i="5"/>
  <c r="I1010" i="5"/>
  <c r="H1010" i="5"/>
  <c r="G1012" i="5" l="1"/>
  <c r="J1011" i="5"/>
  <c r="I1011" i="5"/>
  <c r="H1011" i="5"/>
  <c r="G1013" i="5" l="1"/>
  <c r="J1012" i="5"/>
  <c r="I1012" i="5"/>
  <c r="H1012" i="5"/>
  <c r="G1014" i="5" l="1"/>
  <c r="J1013" i="5"/>
  <c r="I1013" i="5"/>
  <c r="H1013" i="5"/>
  <c r="G1015" i="5" l="1"/>
  <c r="J1014" i="5"/>
  <c r="I1014" i="5"/>
  <c r="H1014" i="5"/>
  <c r="G1016" i="5" l="1"/>
  <c r="J1015" i="5"/>
  <c r="I1015" i="5"/>
  <c r="H1015" i="5"/>
  <c r="G1017" i="5" l="1"/>
  <c r="J1016" i="5"/>
  <c r="I1016" i="5"/>
  <c r="H1016" i="5"/>
  <c r="G1018" i="5" l="1"/>
  <c r="J1017" i="5"/>
  <c r="I1017" i="5"/>
  <c r="H1017" i="5"/>
  <c r="G1019" i="5" l="1"/>
  <c r="J1018" i="5"/>
  <c r="I1018" i="5"/>
  <c r="H1018" i="5"/>
  <c r="G1020" i="5" l="1"/>
  <c r="J1019" i="5"/>
  <c r="I1019" i="5"/>
  <c r="H1019" i="5"/>
  <c r="G1021" i="5" l="1"/>
  <c r="J1020" i="5"/>
  <c r="I1020" i="5"/>
  <c r="H1020" i="5"/>
  <c r="G1022" i="5" l="1"/>
  <c r="J1021" i="5"/>
  <c r="I1021" i="5"/>
  <c r="H1021" i="5"/>
  <c r="G1023" i="5" l="1"/>
  <c r="J1022" i="5"/>
  <c r="H1022" i="5"/>
  <c r="I1022" i="5"/>
  <c r="G1024" i="5" l="1"/>
  <c r="J1023" i="5"/>
  <c r="I1023" i="5"/>
  <c r="H1023" i="5"/>
  <c r="G1025" i="5" l="1"/>
  <c r="J1024" i="5"/>
  <c r="I1024" i="5"/>
  <c r="H1024" i="5"/>
  <c r="G1026" i="5" l="1"/>
  <c r="J1025" i="5"/>
  <c r="I1025" i="5"/>
  <c r="H1025" i="5"/>
  <c r="G1027" i="5" l="1"/>
  <c r="J1026" i="5"/>
  <c r="I1026" i="5"/>
  <c r="H1026" i="5"/>
  <c r="G1028" i="5" l="1"/>
  <c r="J1027" i="5"/>
  <c r="I1027" i="5"/>
  <c r="H1027" i="5"/>
  <c r="G1029" i="5" l="1"/>
  <c r="J1028" i="5"/>
  <c r="I1028" i="5"/>
  <c r="H1028" i="5"/>
  <c r="G1030" i="5" l="1"/>
  <c r="J1029" i="5"/>
  <c r="I1029" i="5"/>
  <c r="H1029" i="5"/>
  <c r="G1031" i="5" l="1"/>
  <c r="J1030" i="5"/>
  <c r="I1030" i="5"/>
  <c r="H1030" i="5"/>
  <c r="G1032" i="5" l="1"/>
  <c r="J1031" i="5"/>
  <c r="I1031" i="5"/>
  <c r="H1031" i="5"/>
  <c r="G1033" i="5" l="1"/>
  <c r="J1032" i="5"/>
  <c r="I1032" i="5"/>
  <c r="H1032" i="5"/>
  <c r="G1034" i="5" l="1"/>
  <c r="J1033" i="5"/>
  <c r="I1033" i="5"/>
  <c r="H1033" i="5"/>
  <c r="G1035" i="5" l="1"/>
  <c r="J1034" i="5"/>
  <c r="I1034" i="5"/>
  <c r="H1034" i="5"/>
  <c r="G1036" i="5" l="1"/>
  <c r="J1035" i="5"/>
  <c r="I1035" i="5"/>
  <c r="H1035" i="5"/>
  <c r="G1037" i="5" l="1"/>
  <c r="J1036" i="5"/>
  <c r="I1036" i="5"/>
  <c r="H1036" i="5"/>
  <c r="G1038" i="5" l="1"/>
  <c r="J1037" i="5"/>
  <c r="I1037" i="5"/>
  <c r="H1037" i="5"/>
  <c r="G1039" i="5" l="1"/>
  <c r="J1038" i="5"/>
  <c r="I1038" i="5"/>
  <c r="H1038" i="5"/>
  <c r="G1040" i="5" l="1"/>
  <c r="J1039" i="5"/>
  <c r="I1039" i="5"/>
  <c r="H1039" i="5"/>
  <c r="G1041" i="5" l="1"/>
  <c r="J1040" i="5"/>
  <c r="I1040" i="5"/>
  <c r="H1040" i="5"/>
  <c r="G1042" i="5" l="1"/>
  <c r="J1041" i="5"/>
  <c r="I1041" i="5"/>
  <c r="H1041" i="5"/>
  <c r="G1043" i="5" l="1"/>
  <c r="J1042" i="5"/>
  <c r="I1042" i="5"/>
  <c r="H1042" i="5"/>
  <c r="G1044" i="5" l="1"/>
  <c r="J1043" i="5"/>
  <c r="I1043" i="5"/>
  <c r="H1043" i="5"/>
  <c r="G1045" i="5" l="1"/>
  <c r="J1044" i="5"/>
  <c r="I1044" i="5"/>
  <c r="H1044" i="5"/>
  <c r="G1046" i="5" l="1"/>
  <c r="J1045" i="5"/>
  <c r="I1045" i="5"/>
  <c r="H1045" i="5"/>
  <c r="G1047" i="5" l="1"/>
  <c r="J1046" i="5"/>
  <c r="I1046" i="5"/>
  <c r="H1046" i="5"/>
  <c r="G1048" i="5" l="1"/>
  <c r="J1047" i="5"/>
  <c r="I1047" i="5"/>
  <c r="H1047" i="5"/>
  <c r="G1049" i="5" l="1"/>
  <c r="J1048" i="5"/>
  <c r="I1048" i="5"/>
  <c r="H1048" i="5"/>
  <c r="G1050" i="5" l="1"/>
  <c r="J1049" i="5"/>
  <c r="I1049" i="5"/>
  <c r="H1049" i="5"/>
  <c r="G1051" i="5" l="1"/>
  <c r="J1050" i="5"/>
  <c r="I1050" i="5"/>
  <c r="H1050" i="5"/>
  <c r="G1052" i="5" l="1"/>
  <c r="J1051" i="5"/>
  <c r="I1051" i="5"/>
  <c r="H1051" i="5"/>
  <c r="G1053" i="5" l="1"/>
  <c r="J1052" i="5"/>
  <c r="I1052" i="5"/>
  <c r="H1052" i="5"/>
  <c r="G1054" i="5" l="1"/>
  <c r="J1053" i="5"/>
  <c r="I1053" i="5"/>
  <c r="H1053" i="5"/>
  <c r="G1055" i="5" l="1"/>
  <c r="J1054" i="5"/>
  <c r="I1054" i="5"/>
  <c r="H1054" i="5"/>
  <c r="G1056" i="5" l="1"/>
  <c r="J1055" i="5"/>
  <c r="I1055" i="5"/>
  <c r="H1055" i="5"/>
  <c r="G1057" i="5" l="1"/>
  <c r="J1056" i="5"/>
  <c r="I1056" i="5"/>
  <c r="H1056" i="5"/>
  <c r="G1058" i="5" l="1"/>
  <c r="J1057" i="5"/>
  <c r="I1057" i="5"/>
  <c r="H1057" i="5"/>
  <c r="G1059" i="5" l="1"/>
  <c r="J1058" i="5"/>
  <c r="I1058" i="5"/>
  <c r="H1058" i="5"/>
  <c r="G1060" i="5" l="1"/>
  <c r="J1059" i="5"/>
  <c r="I1059" i="5"/>
  <c r="H1059" i="5"/>
  <c r="G1061" i="5" l="1"/>
  <c r="J1060" i="5"/>
  <c r="I1060" i="5"/>
  <c r="H1060" i="5"/>
  <c r="G1062" i="5" l="1"/>
  <c r="J1061" i="5"/>
  <c r="I1061" i="5"/>
  <c r="H1061" i="5"/>
  <c r="G1063" i="5" l="1"/>
  <c r="J1062" i="5"/>
  <c r="I1062" i="5"/>
  <c r="H1062" i="5"/>
  <c r="G1064" i="5" l="1"/>
  <c r="J1063" i="5"/>
  <c r="I1063" i="5"/>
  <c r="H1063" i="5"/>
  <c r="G1065" i="5" l="1"/>
  <c r="J1064" i="5"/>
  <c r="I1064" i="5"/>
  <c r="H1064" i="5"/>
  <c r="G1066" i="5" l="1"/>
  <c r="J1065" i="5"/>
  <c r="I1065" i="5"/>
  <c r="H1065" i="5"/>
  <c r="G1067" i="5" l="1"/>
  <c r="J1066" i="5"/>
  <c r="I1066" i="5"/>
  <c r="H1066" i="5"/>
  <c r="G1068" i="5" l="1"/>
  <c r="J1067" i="5"/>
  <c r="I1067" i="5"/>
  <c r="H1067" i="5"/>
  <c r="G1069" i="5" l="1"/>
  <c r="J1068" i="5"/>
  <c r="I1068" i="5"/>
  <c r="H1068" i="5"/>
  <c r="G1070" i="5" l="1"/>
  <c r="J1069" i="5"/>
  <c r="I1069" i="5"/>
  <c r="H1069" i="5"/>
  <c r="G1071" i="5" l="1"/>
  <c r="J1070" i="5"/>
  <c r="I1070" i="5"/>
  <c r="H1070" i="5"/>
  <c r="G1072" i="5" l="1"/>
  <c r="J1071" i="5"/>
  <c r="I1071" i="5"/>
  <c r="H1071" i="5"/>
  <c r="G1073" i="5" l="1"/>
  <c r="J1072" i="5"/>
  <c r="I1072" i="5"/>
  <c r="H1072" i="5"/>
  <c r="G1074" i="5" l="1"/>
  <c r="J1073" i="5"/>
  <c r="I1073" i="5"/>
  <c r="H1073" i="5"/>
  <c r="G1075" i="5" l="1"/>
  <c r="J1074" i="5"/>
  <c r="I1074" i="5"/>
  <c r="H1074" i="5"/>
  <c r="G1076" i="5" l="1"/>
  <c r="J1075" i="5"/>
  <c r="I1075" i="5"/>
  <c r="H1075" i="5"/>
  <c r="G1077" i="5" l="1"/>
  <c r="J1076" i="5"/>
  <c r="I1076" i="5"/>
  <c r="H1076" i="5"/>
  <c r="G1078" i="5" l="1"/>
  <c r="J1077" i="5"/>
  <c r="I1077" i="5"/>
  <c r="H1077" i="5"/>
  <c r="G1079" i="5" l="1"/>
  <c r="J1078" i="5"/>
  <c r="I1078" i="5"/>
  <c r="H1078" i="5"/>
  <c r="G1080" i="5" l="1"/>
  <c r="J1079" i="5"/>
  <c r="I1079" i="5"/>
  <c r="H1079" i="5"/>
  <c r="G1081" i="5" l="1"/>
  <c r="J1080" i="5"/>
  <c r="I1080" i="5"/>
  <c r="H1080" i="5"/>
  <c r="G1082" i="5" l="1"/>
  <c r="J1081" i="5"/>
  <c r="I1081" i="5"/>
  <c r="H1081" i="5"/>
  <c r="G1083" i="5" l="1"/>
  <c r="J1082" i="5"/>
  <c r="I1082" i="5"/>
  <c r="H1082" i="5"/>
  <c r="G1084" i="5" l="1"/>
  <c r="J1083" i="5"/>
  <c r="I1083" i="5"/>
  <c r="H1083" i="5"/>
  <c r="G1085" i="5" l="1"/>
  <c r="J1084" i="5"/>
  <c r="I1084" i="5"/>
  <c r="H1084" i="5"/>
  <c r="G1086" i="5" l="1"/>
  <c r="J1085" i="5"/>
  <c r="I1085" i="5"/>
  <c r="H1085" i="5"/>
  <c r="G1087" i="5" l="1"/>
  <c r="J1086" i="5"/>
  <c r="I1086" i="5"/>
  <c r="H1086" i="5"/>
  <c r="G1088" i="5" l="1"/>
  <c r="J1087" i="5"/>
  <c r="I1087" i="5"/>
  <c r="H1087" i="5"/>
  <c r="G1089" i="5" l="1"/>
  <c r="J1088" i="5"/>
  <c r="I1088" i="5"/>
  <c r="H1088" i="5"/>
  <c r="G1090" i="5" l="1"/>
  <c r="J1089" i="5"/>
  <c r="I1089" i="5"/>
  <c r="H1089" i="5"/>
  <c r="G1091" i="5" l="1"/>
  <c r="I1090" i="5"/>
  <c r="H1090" i="5"/>
  <c r="J1090" i="5"/>
  <c r="G1092" i="5" l="1"/>
  <c r="J1091" i="5"/>
  <c r="I1091" i="5"/>
  <c r="H1091" i="5"/>
  <c r="G1093" i="5" l="1"/>
  <c r="J1092" i="5"/>
  <c r="I1092" i="5"/>
  <c r="H1092" i="5"/>
  <c r="G1094" i="5" l="1"/>
  <c r="J1093" i="5"/>
  <c r="I1093" i="5"/>
  <c r="H1093" i="5"/>
  <c r="G1095" i="5" l="1"/>
  <c r="J1094" i="5"/>
  <c r="I1094" i="5"/>
  <c r="H1094" i="5"/>
  <c r="G1096" i="5" l="1"/>
  <c r="J1095" i="5"/>
  <c r="I1095" i="5"/>
  <c r="H1095" i="5"/>
  <c r="G1097" i="5" l="1"/>
  <c r="J1096" i="5"/>
  <c r="I1096" i="5"/>
  <c r="H1096" i="5"/>
  <c r="G1098" i="5" l="1"/>
  <c r="J1097" i="5"/>
  <c r="I1097" i="5"/>
  <c r="H1097" i="5"/>
  <c r="G1099" i="5" l="1"/>
  <c r="J1098" i="5"/>
  <c r="I1098" i="5"/>
  <c r="H1098" i="5"/>
  <c r="G1100" i="5" l="1"/>
  <c r="J1099" i="5"/>
  <c r="I1099" i="5"/>
  <c r="H1099" i="5"/>
  <c r="G1101" i="5" l="1"/>
  <c r="J1100" i="5"/>
  <c r="I1100" i="5"/>
  <c r="H1100" i="5"/>
  <c r="G1102" i="5" l="1"/>
  <c r="J1101" i="5"/>
  <c r="I1101" i="5"/>
  <c r="H1101" i="5"/>
  <c r="G1103" i="5" l="1"/>
  <c r="J1102" i="5"/>
  <c r="I1102" i="5"/>
  <c r="H1102" i="5"/>
  <c r="G1104" i="5" l="1"/>
  <c r="J1103" i="5"/>
  <c r="I1103" i="5"/>
  <c r="H1103" i="5"/>
  <c r="G1105" i="5" l="1"/>
  <c r="J1104" i="5"/>
  <c r="I1104" i="5"/>
  <c r="H1104" i="5"/>
  <c r="G1106" i="5" l="1"/>
  <c r="J1105" i="5"/>
  <c r="I1105" i="5"/>
  <c r="H1105" i="5"/>
  <c r="G1107" i="5" l="1"/>
  <c r="J1106" i="5"/>
  <c r="I1106" i="5"/>
  <c r="H1106" i="5"/>
  <c r="G1108" i="5" l="1"/>
  <c r="J1107" i="5"/>
  <c r="I1107" i="5"/>
  <c r="H1107" i="5"/>
  <c r="G1109" i="5" l="1"/>
  <c r="J1108" i="5"/>
  <c r="I1108" i="5"/>
  <c r="H1108" i="5"/>
  <c r="G1110" i="5" l="1"/>
  <c r="J1109" i="5"/>
  <c r="I1109" i="5"/>
  <c r="H1109" i="5"/>
  <c r="G1111" i="5" l="1"/>
  <c r="J1110" i="5"/>
  <c r="I1110" i="5"/>
  <c r="H1110" i="5"/>
  <c r="G1112" i="5" l="1"/>
  <c r="J1111" i="5"/>
  <c r="I1111" i="5"/>
  <c r="H1111" i="5"/>
  <c r="G1113" i="5" l="1"/>
  <c r="J1112" i="5"/>
  <c r="I1112" i="5"/>
  <c r="H1112" i="5"/>
  <c r="G1114" i="5" l="1"/>
  <c r="J1113" i="5"/>
  <c r="I1113" i="5"/>
  <c r="H1113" i="5"/>
  <c r="G1115" i="5" l="1"/>
  <c r="J1114" i="5"/>
  <c r="I1114" i="5"/>
  <c r="H1114" i="5"/>
  <c r="G1116" i="5" l="1"/>
  <c r="J1115" i="5"/>
  <c r="I1115" i="5"/>
  <c r="H1115" i="5"/>
  <c r="G1117" i="5" l="1"/>
  <c r="J1116" i="5"/>
  <c r="I1116" i="5"/>
  <c r="H1116" i="5"/>
  <c r="G1118" i="5" l="1"/>
  <c r="J1117" i="5"/>
  <c r="I1117" i="5"/>
  <c r="H1117" i="5"/>
  <c r="G1119" i="5" l="1"/>
  <c r="J1118" i="5"/>
  <c r="I1118" i="5"/>
  <c r="H1118" i="5"/>
  <c r="G1120" i="5" l="1"/>
  <c r="J1119" i="5"/>
  <c r="I1119" i="5"/>
  <c r="H1119" i="5"/>
  <c r="G1121" i="5" l="1"/>
  <c r="J1120" i="5"/>
  <c r="I1120" i="5"/>
  <c r="H1120" i="5"/>
  <c r="G1122" i="5" l="1"/>
  <c r="J1121" i="5"/>
  <c r="I1121" i="5"/>
  <c r="H1121" i="5"/>
  <c r="G1123" i="5" l="1"/>
  <c r="J1122" i="5"/>
  <c r="I1122" i="5"/>
  <c r="H1122" i="5"/>
  <c r="G1124" i="5" l="1"/>
  <c r="J1123" i="5"/>
  <c r="I1123" i="5"/>
  <c r="H1123" i="5"/>
  <c r="G1125" i="5" l="1"/>
  <c r="J1124" i="5"/>
  <c r="I1124" i="5"/>
  <c r="H1124" i="5"/>
  <c r="G1126" i="5" l="1"/>
  <c r="J1125" i="5"/>
  <c r="I1125" i="5"/>
  <c r="H1125" i="5"/>
  <c r="G1127" i="5" l="1"/>
  <c r="J1126" i="5"/>
  <c r="I1126" i="5"/>
  <c r="H1126" i="5"/>
  <c r="G1128" i="5" l="1"/>
  <c r="J1127" i="5"/>
  <c r="I1127" i="5"/>
  <c r="H1127" i="5"/>
  <c r="G1129" i="5" l="1"/>
  <c r="J1128" i="5"/>
  <c r="I1128" i="5"/>
  <c r="H1128" i="5"/>
  <c r="G1130" i="5" l="1"/>
  <c r="J1129" i="5"/>
  <c r="I1129" i="5"/>
  <c r="H1129" i="5"/>
  <c r="G1131" i="5" l="1"/>
  <c r="J1130" i="5"/>
  <c r="H1130" i="5"/>
  <c r="I1130" i="5"/>
  <c r="G1132" i="5" l="1"/>
  <c r="J1131" i="5"/>
  <c r="I1131" i="5"/>
  <c r="H1131" i="5"/>
  <c r="G1133" i="5" l="1"/>
  <c r="J1132" i="5"/>
  <c r="I1132" i="5"/>
  <c r="H1132" i="5"/>
  <c r="G1134" i="5" l="1"/>
  <c r="J1133" i="5"/>
  <c r="I1133" i="5"/>
  <c r="H1133" i="5"/>
  <c r="G1135" i="5" l="1"/>
  <c r="J1134" i="5"/>
  <c r="I1134" i="5"/>
  <c r="H1134" i="5"/>
  <c r="G1136" i="5" l="1"/>
  <c r="J1135" i="5"/>
  <c r="I1135" i="5"/>
  <c r="H1135" i="5"/>
  <c r="G1137" i="5" l="1"/>
  <c r="J1136" i="5"/>
  <c r="I1136" i="5"/>
  <c r="H1136" i="5"/>
  <c r="G1138" i="5" l="1"/>
  <c r="J1137" i="5"/>
  <c r="I1137" i="5"/>
  <c r="H1137" i="5"/>
  <c r="G1139" i="5" l="1"/>
  <c r="J1138" i="5"/>
  <c r="I1138" i="5"/>
  <c r="H1138" i="5"/>
  <c r="G1140" i="5" l="1"/>
  <c r="J1139" i="5"/>
  <c r="I1139" i="5"/>
  <c r="H1139" i="5"/>
  <c r="G1141" i="5" l="1"/>
  <c r="J1140" i="5"/>
  <c r="I1140" i="5"/>
  <c r="H1140" i="5"/>
  <c r="G1142" i="5" l="1"/>
  <c r="J1141" i="5"/>
  <c r="I1141" i="5"/>
  <c r="H1141" i="5"/>
  <c r="G1143" i="5" l="1"/>
  <c r="J1142" i="5"/>
  <c r="I1142" i="5"/>
  <c r="H1142" i="5"/>
  <c r="G1144" i="5" l="1"/>
  <c r="J1143" i="5"/>
  <c r="I1143" i="5"/>
  <c r="H1143" i="5"/>
  <c r="G1145" i="5" l="1"/>
  <c r="J1144" i="5"/>
  <c r="I1144" i="5"/>
  <c r="H1144" i="5"/>
  <c r="G1146" i="5" l="1"/>
  <c r="J1145" i="5"/>
  <c r="I1145" i="5"/>
  <c r="H1145" i="5"/>
  <c r="G1147" i="5" l="1"/>
  <c r="J1146" i="5"/>
  <c r="I1146" i="5"/>
  <c r="H1146" i="5"/>
  <c r="G1148" i="5" l="1"/>
  <c r="J1147" i="5"/>
  <c r="I1147" i="5"/>
  <c r="H1147" i="5"/>
  <c r="G1149" i="5" l="1"/>
  <c r="J1148" i="5"/>
  <c r="H1148" i="5"/>
  <c r="I1148" i="5"/>
  <c r="G1150" i="5" l="1"/>
  <c r="J1149" i="5"/>
  <c r="I1149" i="5"/>
  <c r="H1149" i="5"/>
  <c r="G1151" i="5" l="1"/>
  <c r="J1150" i="5"/>
  <c r="I1150" i="5"/>
  <c r="H1150" i="5"/>
  <c r="G1152" i="5" l="1"/>
  <c r="J1151" i="5"/>
  <c r="I1151" i="5"/>
  <c r="H1151" i="5"/>
  <c r="G1153" i="5" l="1"/>
  <c r="J1152" i="5"/>
  <c r="I1152" i="5"/>
  <c r="H1152" i="5"/>
  <c r="G1154" i="5" l="1"/>
  <c r="J1153" i="5"/>
  <c r="I1153" i="5"/>
  <c r="H1153" i="5"/>
  <c r="G1155" i="5" l="1"/>
  <c r="J1154" i="5"/>
  <c r="I1154" i="5"/>
  <c r="H1154" i="5"/>
  <c r="G1156" i="5" l="1"/>
  <c r="J1155" i="5"/>
  <c r="I1155" i="5"/>
  <c r="H1155" i="5"/>
  <c r="G1157" i="5" l="1"/>
  <c r="J1156" i="5"/>
  <c r="I1156" i="5"/>
  <c r="H1156" i="5"/>
  <c r="G1158" i="5" l="1"/>
  <c r="J1157" i="5"/>
  <c r="I1157" i="5"/>
  <c r="H1157" i="5"/>
  <c r="G1159" i="5" l="1"/>
  <c r="J1158" i="5"/>
  <c r="I1158" i="5"/>
  <c r="H1158" i="5"/>
  <c r="G1160" i="5" l="1"/>
  <c r="J1159" i="5"/>
  <c r="I1159" i="5"/>
  <c r="H1159" i="5"/>
  <c r="G1161" i="5" l="1"/>
  <c r="J1160" i="5"/>
  <c r="I1160" i="5"/>
  <c r="H1160" i="5"/>
  <c r="G1162" i="5" l="1"/>
  <c r="J1161" i="5"/>
  <c r="I1161" i="5"/>
  <c r="H1161" i="5"/>
  <c r="G1163" i="5" l="1"/>
  <c r="J1162" i="5"/>
  <c r="I1162" i="5"/>
  <c r="H1162" i="5"/>
  <c r="G1164" i="5" l="1"/>
  <c r="J1163" i="5"/>
  <c r="I1163" i="5"/>
  <c r="H1163" i="5"/>
  <c r="G1165" i="5" l="1"/>
  <c r="J1164" i="5"/>
  <c r="I1164" i="5"/>
  <c r="H1164" i="5"/>
  <c r="G1166" i="5" l="1"/>
  <c r="J1165" i="5"/>
  <c r="I1165" i="5"/>
  <c r="H1165" i="5"/>
  <c r="G1167" i="5" l="1"/>
  <c r="J1166" i="5"/>
  <c r="I1166" i="5"/>
  <c r="H1166" i="5"/>
  <c r="G1168" i="5" l="1"/>
  <c r="J1167" i="5"/>
  <c r="I1167" i="5"/>
  <c r="H1167" i="5"/>
  <c r="G1169" i="5" l="1"/>
  <c r="J1168" i="5"/>
  <c r="I1168" i="5"/>
  <c r="H1168" i="5"/>
  <c r="G1170" i="5" l="1"/>
  <c r="J1169" i="5"/>
  <c r="I1169" i="5"/>
  <c r="H1169" i="5"/>
  <c r="G1171" i="5" l="1"/>
  <c r="J1170" i="5"/>
  <c r="I1170" i="5"/>
  <c r="H1170" i="5"/>
  <c r="G1172" i="5" l="1"/>
  <c r="J1171" i="5"/>
  <c r="I1171" i="5"/>
  <c r="H1171" i="5"/>
  <c r="G1173" i="5" l="1"/>
  <c r="J1172" i="5"/>
  <c r="I1172" i="5"/>
  <c r="H1172" i="5"/>
  <c r="G1174" i="5" l="1"/>
  <c r="J1173" i="5"/>
  <c r="I1173" i="5"/>
  <c r="H1173" i="5"/>
  <c r="G1175" i="5" l="1"/>
  <c r="J1174" i="5"/>
  <c r="I1174" i="5"/>
  <c r="H1174" i="5"/>
  <c r="G1176" i="5" l="1"/>
  <c r="J1175" i="5"/>
  <c r="I1175" i="5"/>
  <c r="H1175" i="5"/>
  <c r="G1177" i="5" l="1"/>
  <c r="J1176" i="5"/>
  <c r="I1176" i="5"/>
  <c r="H1176" i="5"/>
  <c r="G1178" i="5" l="1"/>
  <c r="J1177" i="5"/>
  <c r="I1177" i="5"/>
  <c r="H1177" i="5"/>
  <c r="G1179" i="5" l="1"/>
  <c r="J1178" i="5"/>
  <c r="I1178" i="5"/>
  <c r="H1178" i="5"/>
  <c r="G1180" i="5" l="1"/>
  <c r="J1179" i="5"/>
  <c r="I1179" i="5"/>
  <c r="H1179" i="5"/>
  <c r="G1181" i="5" l="1"/>
  <c r="J1180" i="5"/>
  <c r="I1180" i="5"/>
  <c r="H1180" i="5"/>
  <c r="G1182" i="5" l="1"/>
  <c r="J1181" i="5"/>
  <c r="I1181" i="5"/>
  <c r="H1181" i="5"/>
  <c r="G1183" i="5" l="1"/>
  <c r="J1182" i="5"/>
  <c r="I1182" i="5"/>
  <c r="H1182" i="5"/>
  <c r="G1184" i="5" l="1"/>
  <c r="J1183" i="5"/>
  <c r="I1183" i="5"/>
  <c r="H1183" i="5"/>
  <c r="G1185" i="5" l="1"/>
  <c r="J1184" i="5"/>
  <c r="I1184" i="5"/>
  <c r="H1184" i="5"/>
  <c r="G1186" i="5" l="1"/>
  <c r="J1185" i="5"/>
  <c r="I1185" i="5"/>
  <c r="H1185" i="5"/>
  <c r="G1187" i="5" l="1"/>
  <c r="J1186" i="5"/>
  <c r="I1186" i="5"/>
  <c r="H1186" i="5"/>
  <c r="G1188" i="5" l="1"/>
  <c r="J1187" i="5"/>
  <c r="I1187" i="5"/>
  <c r="H1187" i="5"/>
  <c r="G1189" i="5" l="1"/>
  <c r="J1188" i="5"/>
  <c r="I1188" i="5"/>
  <c r="H1188" i="5"/>
  <c r="G1190" i="5" l="1"/>
  <c r="J1189" i="5"/>
  <c r="I1189" i="5"/>
  <c r="H1189" i="5"/>
  <c r="G1191" i="5" l="1"/>
  <c r="J1190" i="5"/>
  <c r="I1190" i="5"/>
  <c r="H1190" i="5"/>
  <c r="G1192" i="5" l="1"/>
  <c r="J1191" i="5"/>
  <c r="I1191" i="5"/>
  <c r="H1191" i="5"/>
  <c r="G1193" i="5" l="1"/>
  <c r="J1192" i="5"/>
  <c r="I1192" i="5"/>
  <c r="H1192" i="5"/>
  <c r="G1194" i="5" l="1"/>
  <c r="J1193" i="5"/>
  <c r="I1193" i="5"/>
  <c r="H1193" i="5"/>
  <c r="G1195" i="5" l="1"/>
  <c r="J1194" i="5"/>
  <c r="I1194" i="5"/>
  <c r="H1194" i="5"/>
  <c r="G1196" i="5" l="1"/>
  <c r="J1195" i="5"/>
  <c r="I1195" i="5"/>
  <c r="H1195" i="5"/>
  <c r="G1197" i="5" l="1"/>
  <c r="J1196" i="5"/>
  <c r="I1196" i="5"/>
  <c r="H1196" i="5"/>
  <c r="G1198" i="5" l="1"/>
  <c r="J1197" i="5"/>
  <c r="I1197" i="5"/>
  <c r="H1197" i="5"/>
  <c r="G1199" i="5" l="1"/>
  <c r="J1198" i="5"/>
  <c r="I1198" i="5"/>
  <c r="H1198" i="5"/>
  <c r="G1200" i="5" l="1"/>
  <c r="J1199" i="5"/>
  <c r="I1199" i="5"/>
  <c r="H1199" i="5"/>
  <c r="G1201" i="5" l="1"/>
  <c r="J1200" i="5"/>
  <c r="I1200" i="5"/>
  <c r="H1200" i="5"/>
  <c r="G1202" i="5" l="1"/>
  <c r="J1201" i="5"/>
  <c r="I1201" i="5"/>
  <c r="H1201" i="5"/>
  <c r="G1203" i="5" l="1"/>
  <c r="J1202" i="5"/>
  <c r="I1202" i="5"/>
  <c r="H1202" i="5"/>
  <c r="G1204" i="5" l="1"/>
  <c r="J1203" i="5"/>
  <c r="I1203" i="5"/>
  <c r="H1203" i="5"/>
  <c r="G1205" i="5" l="1"/>
  <c r="J1204" i="5"/>
  <c r="I1204" i="5"/>
  <c r="H1204" i="5"/>
  <c r="G1206" i="5" l="1"/>
  <c r="J1205" i="5"/>
  <c r="I1205" i="5"/>
  <c r="H1205" i="5"/>
  <c r="G1207" i="5" l="1"/>
  <c r="J1206" i="5"/>
  <c r="I1206" i="5"/>
  <c r="H1206" i="5"/>
  <c r="G1208" i="5" l="1"/>
  <c r="J1207" i="5"/>
  <c r="I1207" i="5"/>
  <c r="H1207" i="5"/>
  <c r="G1209" i="5" l="1"/>
  <c r="J1208" i="5"/>
  <c r="I1208" i="5"/>
  <c r="H1208" i="5"/>
  <c r="G1210" i="5" l="1"/>
  <c r="J1209" i="5"/>
  <c r="I1209" i="5"/>
  <c r="H1209" i="5"/>
  <c r="G1211" i="5" l="1"/>
  <c r="J1210" i="5"/>
  <c r="I1210" i="5"/>
  <c r="H1210" i="5"/>
  <c r="G1212" i="5" l="1"/>
  <c r="J1211" i="5"/>
  <c r="I1211" i="5"/>
  <c r="H1211" i="5"/>
  <c r="G1213" i="5" l="1"/>
  <c r="J1212" i="5"/>
  <c r="I1212" i="5"/>
  <c r="H1212" i="5"/>
  <c r="G1214" i="5" l="1"/>
  <c r="J1213" i="5"/>
  <c r="I1213" i="5"/>
  <c r="H1213" i="5"/>
  <c r="G1215" i="5" l="1"/>
  <c r="J1214" i="5"/>
  <c r="I1214" i="5"/>
  <c r="H1214" i="5"/>
  <c r="G1216" i="5" l="1"/>
  <c r="J1215" i="5"/>
  <c r="I1215" i="5"/>
  <c r="H1215" i="5"/>
  <c r="G1217" i="5" l="1"/>
  <c r="J1216" i="5"/>
  <c r="I1216" i="5"/>
  <c r="H1216" i="5"/>
  <c r="G1218" i="5" l="1"/>
  <c r="J1217" i="5"/>
  <c r="I1217" i="5"/>
  <c r="H1217" i="5"/>
  <c r="G1219" i="5" l="1"/>
  <c r="J1218" i="5"/>
  <c r="I1218" i="5"/>
  <c r="H1218" i="5"/>
  <c r="G1220" i="5" l="1"/>
  <c r="J1219" i="5"/>
  <c r="I1219" i="5"/>
  <c r="H1219" i="5"/>
  <c r="G1221" i="5" l="1"/>
  <c r="J1220" i="5"/>
  <c r="I1220" i="5"/>
  <c r="H1220" i="5"/>
  <c r="G1222" i="5" l="1"/>
  <c r="J1221" i="5"/>
  <c r="I1221" i="5"/>
  <c r="H1221" i="5"/>
  <c r="G1223" i="5" l="1"/>
  <c r="J1222" i="5"/>
  <c r="I1222" i="5"/>
  <c r="H1222" i="5"/>
  <c r="G1224" i="5" l="1"/>
  <c r="J1223" i="5"/>
  <c r="I1223" i="5"/>
  <c r="H1223" i="5"/>
  <c r="G1225" i="5" l="1"/>
  <c r="J1224" i="5"/>
  <c r="I1224" i="5"/>
  <c r="H1224" i="5"/>
  <c r="G1226" i="5" l="1"/>
  <c r="J1225" i="5"/>
  <c r="I1225" i="5"/>
  <c r="H1225" i="5"/>
  <c r="G1227" i="5" l="1"/>
  <c r="J1226" i="5"/>
  <c r="I1226" i="5"/>
  <c r="H1226" i="5"/>
  <c r="G1228" i="5" l="1"/>
  <c r="J1227" i="5"/>
  <c r="I1227" i="5"/>
  <c r="H1227" i="5"/>
  <c r="G1229" i="5" l="1"/>
  <c r="J1228" i="5"/>
  <c r="I1228" i="5"/>
  <c r="H1228" i="5"/>
  <c r="G1230" i="5" l="1"/>
  <c r="J1229" i="5"/>
  <c r="I1229" i="5"/>
  <c r="H1229" i="5"/>
  <c r="G1231" i="5" l="1"/>
  <c r="J1230" i="5"/>
  <c r="I1230" i="5"/>
  <c r="H1230" i="5"/>
  <c r="G1232" i="5" l="1"/>
  <c r="J1231" i="5"/>
  <c r="I1231" i="5"/>
  <c r="H1231" i="5"/>
  <c r="G1233" i="5" l="1"/>
  <c r="J1232" i="5"/>
  <c r="I1232" i="5"/>
  <c r="H1232" i="5"/>
  <c r="G1234" i="5" l="1"/>
  <c r="J1233" i="5"/>
  <c r="I1233" i="5"/>
  <c r="H1233" i="5"/>
  <c r="G1235" i="5" l="1"/>
  <c r="J1234" i="5"/>
  <c r="I1234" i="5"/>
  <c r="H1234" i="5"/>
  <c r="G1236" i="5" l="1"/>
  <c r="J1235" i="5"/>
  <c r="I1235" i="5"/>
  <c r="H1235" i="5"/>
  <c r="G1237" i="5" l="1"/>
  <c r="J1236" i="5"/>
  <c r="I1236" i="5"/>
  <c r="H1236" i="5"/>
  <c r="G1238" i="5" l="1"/>
  <c r="J1237" i="5"/>
  <c r="I1237" i="5"/>
  <c r="H1237" i="5"/>
  <c r="G1239" i="5" l="1"/>
  <c r="J1238" i="5"/>
  <c r="H1238" i="5"/>
  <c r="I1238" i="5"/>
  <c r="G1240" i="5" l="1"/>
  <c r="J1239" i="5"/>
  <c r="I1239" i="5"/>
  <c r="H1239" i="5"/>
  <c r="G1241" i="5" l="1"/>
  <c r="J1240" i="5"/>
  <c r="I1240" i="5"/>
  <c r="H1240" i="5"/>
  <c r="G1242" i="5" l="1"/>
  <c r="J1241" i="5"/>
  <c r="I1241" i="5"/>
  <c r="H1241" i="5"/>
  <c r="G1243" i="5" l="1"/>
  <c r="J1242" i="5"/>
  <c r="I1242" i="5"/>
  <c r="H1242" i="5"/>
  <c r="G1244" i="5" l="1"/>
  <c r="J1243" i="5"/>
  <c r="I1243" i="5"/>
  <c r="H1243" i="5"/>
  <c r="G1245" i="5" l="1"/>
  <c r="J1244" i="5"/>
  <c r="I1244" i="5"/>
  <c r="H1244" i="5"/>
  <c r="G1246" i="5" l="1"/>
  <c r="J1245" i="5"/>
  <c r="I1245" i="5"/>
  <c r="H1245" i="5"/>
  <c r="G1247" i="5" l="1"/>
  <c r="J1246" i="5"/>
  <c r="I1246" i="5"/>
  <c r="H1246" i="5"/>
  <c r="G1248" i="5" l="1"/>
  <c r="J1247" i="5"/>
  <c r="I1247" i="5"/>
  <c r="H1247" i="5"/>
  <c r="G1249" i="5" l="1"/>
  <c r="J1248" i="5"/>
  <c r="I1248" i="5"/>
  <c r="H1248" i="5"/>
  <c r="G1250" i="5" l="1"/>
  <c r="J1249" i="5"/>
  <c r="I1249" i="5"/>
  <c r="H1249" i="5"/>
  <c r="G1251" i="5" l="1"/>
  <c r="J1250" i="5"/>
  <c r="I1250" i="5"/>
  <c r="H1250" i="5"/>
  <c r="G1252" i="5" l="1"/>
  <c r="J1251" i="5"/>
  <c r="I1251" i="5"/>
  <c r="H1251" i="5"/>
  <c r="G1253" i="5" l="1"/>
  <c r="J1252" i="5"/>
  <c r="I1252" i="5"/>
  <c r="H1252" i="5"/>
  <c r="G1254" i="5" l="1"/>
  <c r="J1253" i="5"/>
  <c r="I1253" i="5"/>
  <c r="H1253" i="5"/>
  <c r="G1255" i="5" l="1"/>
  <c r="J1254" i="5"/>
  <c r="I1254" i="5"/>
  <c r="H1254" i="5"/>
  <c r="G1256" i="5" l="1"/>
  <c r="J1255" i="5"/>
  <c r="I1255" i="5"/>
  <c r="H1255" i="5"/>
  <c r="G1257" i="5" l="1"/>
  <c r="J1256" i="5"/>
  <c r="I1256" i="5"/>
  <c r="H1256" i="5"/>
  <c r="G1258" i="5" l="1"/>
  <c r="J1257" i="5"/>
  <c r="I1257" i="5"/>
  <c r="H1257" i="5"/>
  <c r="G1259" i="5" l="1"/>
  <c r="J1258" i="5"/>
  <c r="I1258" i="5"/>
  <c r="H1258" i="5"/>
  <c r="G1260" i="5" l="1"/>
  <c r="J1259" i="5"/>
  <c r="I1259" i="5"/>
  <c r="H1259" i="5"/>
  <c r="G1261" i="5" l="1"/>
  <c r="J1260" i="5"/>
  <c r="I1260" i="5"/>
  <c r="H1260" i="5"/>
  <c r="G1262" i="5" l="1"/>
  <c r="J1261" i="5"/>
  <c r="I1261" i="5"/>
  <c r="H1261" i="5"/>
  <c r="G1263" i="5" l="1"/>
  <c r="J1262" i="5"/>
  <c r="I1262" i="5"/>
  <c r="H1262" i="5"/>
  <c r="G1264" i="5" l="1"/>
  <c r="J1263" i="5"/>
  <c r="I1263" i="5"/>
  <c r="H1263" i="5"/>
  <c r="G1265" i="5" l="1"/>
  <c r="J1264" i="5"/>
  <c r="I1264" i="5"/>
  <c r="H1264" i="5"/>
  <c r="G1266" i="5" l="1"/>
  <c r="J1265" i="5"/>
  <c r="I1265" i="5"/>
  <c r="H1265" i="5"/>
  <c r="G1267" i="5" l="1"/>
  <c r="J1266" i="5"/>
  <c r="I1266" i="5"/>
  <c r="H1266" i="5"/>
  <c r="G1268" i="5" l="1"/>
  <c r="J1267" i="5"/>
  <c r="I1267" i="5"/>
  <c r="H1267" i="5"/>
  <c r="G1269" i="5" l="1"/>
  <c r="J1268" i="5"/>
  <c r="I1268" i="5"/>
  <c r="H1268" i="5"/>
  <c r="G1270" i="5" l="1"/>
  <c r="J1269" i="5"/>
  <c r="I1269" i="5"/>
  <c r="H1269" i="5"/>
  <c r="G1271" i="5" l="1"/>
  <c r="J1270" i="5"/>
  <c r="I1270" i="5"/>
  <c r="H1270" i="5"/>
  <c r="G1272" i="5" l="1"/>
  <c r="J1271" i="5"/>
  <c r="I1271" i="5"/>
  <c r="H1271" i="5"/>
  <c r="G1273" i="5" l="1"/>
  <c r="J1272" i="5"/>
  <c r="I1272" i="5"/>
  <c r="H1272" i="5"/>
  <c r="G1274" i="5" l="1"/>
  <c r="J1273" i="5"/>
  <c r="I1273" i="5"/>
  <c r="H1273" i="5"/>
  <c r="G1275" i="5" l="1"/>
  <c r="J1274" i="5"/>
  <c r="I1274" i="5"/>
  <c r="H1274" i="5"/>
  <c r="G1276" i="5" l="1"/>
  <c r="J1275" i="5"/>
  <c r="I1275" i="5"/>
  <c r="H1275" i="5"/>
  <c r="G1277" i="5" l="1"/>
  <c r="J1276" i="5"/>
  <c r="I1276" i="5"/>
  <c r="H1276" i="5"/>
  <c r="G1278" i="5" l="1"/>
  <c r="J1277" i="5"/>
  <c r="I1277" i="5"/>
  <c r="H1277" i="5"/>
  <c r="G1279" i="5" l="1"/>
  <c r="J1278" i="5"/>
  <c r="I1278" i="5"/>
  <c r="H1278" i="5"/>
  <c r="G1280" i="5" l="1"/>
  <c r="J1279" i="5"/>
  <c r="I1279" i="5"/>
  <c r="H1279" i="5"/>
  <c r="G1281" i="5" l="1"/>
  <c r="J1280" i="5"/>
  <c r="I1280" i="5"/>
  <c r="H1280" i="5"/>
  <c r="G1282" i="5" l="1"/>
  <c r="J1281" i="5"/>
  <c r="I1281" i="5"/>
  <c r="H1281" i="5"/>
  <c r="G1283" i="5" l="1"/>
  <c r="J1282" i="5"/>
  <c r="I1282" i="5"/>
  <c r="H1282" i="5"/>
  <c r="G1284" i="5" l="1"/>
  <c r="J1283" i="5"/>
  <c r="I1283" i="5"/>
  <c r="H1283" i="5"/>
  <c r="G1285" i="5" l="1"/>
  <c r="J1284" i="5"/>
  <c r="I1284" i="5"/>
  <c r="H1284" i="5"/>
  <c r="G1286" i="5" l="1"/>
  <c r="J1285" i="5"/>
  <c r="I1285" i="5"/>
  <c r="H1285" i="5"/>
  <c r="G1287" i="5" l="1"/>
  <c r="J1286" i="5"/>
  <c r="I1286" i="5"/>
  <c r="H1286" i="5"/>
  <c r="G1288" i="5" l="1"/>
  <c r="J1287" i="5"/>
  <c r="I1287" i="5"/>
  <c r="H1287" i="5"/>
  <c r="G1289" i="5" l="1"/>
  <c r="J1288" i="5"/>
  <c r="I1288" i="5"/>
  <c r="H1288" i="5"/>
  <c r="G1290" i="5" l="1"/>
  <c r="J1289" i="5"/>
  <c r="I1289" i="5"/>
  <c r="H1289" i="5"/>
  <c r="G1291" i="5" l="1"/>
  <c r="J1290" i="5"/>
  <c r="I1290" i="5"/>
  <c r="H1290" i="5"/>
  <c r="G1292" i="5" l="1"/>
  <c r="J1291" i="5"/>
  <c r="I1291" i="5"/>
  <c r="H1291" i="5"/>
  <c r="G1293" i="5" l="1"/>
  <c r="J1292" i="5"/>
  <c r="I1292" i="5"/>
  <c r="H1292" i="5"/>
  <c r="G1294" i="5" l="1"/>
  <c r="J1293" i="5"/>
  <c r="I1293" i="5"/>
  <c r="H1293" i="5"/>
  <c r="G1295" i="5" l="1"/>
  <c r="J1294" i="5"/>
  <c r="I1294" i="5"/>
  <c r="H1294" i="5"/>
  <c r="G1296" i="5" l="1"/>
  <c r="J1295" i="5"/>
  <c r="I1295" i="5"/>
  <c r="H1295" i="5"/>
  <c r="G1297" i="5" l="1"/>
  <c r="J1296" i="5"/>
  <c r="I1296" i="5"/>
  <c r="H1296" i="5"/>
  <c r="G1298" i="5" l="1"/>
  <c r="J1297" i="5"/>
  <c r="I1297" i="5"/>
  <c r="H1297" i="5"/>
  <c r="G1299" i="5" l="1"/>
  <c r="J1298" i="5"/>
  <c r="I1298" i="5"/>
  <c r="H1298" i="5"/>
  <c r="G1300" i="5" l="1"/>
  <c r="J1299" i="5"/>
  <c r="I1299" i="5"/>
  <c r="H1299" i="5"/>
  <c r="G1301" i="5" l="1"/>
  <c r="J1300" i="5"/>
  <c r="I1300" i="5"/>
  <c r="H1300" i="5"/>
  <c r="G1302" i="5" l="1"/>
  <c r="J1301" i="5"/>
  <c r="I1301" i="5"/>
  <c r="H1301" i="5"/>
  <c r="G1303" i="5" l="1"/>
  <c r="J1302" i="5"/>
  <c r="I1302" i="5"/>
  <c r="H1302" i="5"/>
  <c r="G1304" i="5" l="1"/>
  <c r="J1303" i="5"/>
  <c r="I1303" i="5"/>
  <c r="H1303" i="5"/>
  <c r="G1305" i="5" l="1"/>
  <c r="J1304" i="5"/>
  <c r="I1304" i="5"/>
  <c r="H1304" i="5"/>
  <c r="G1306" i="5" l="1"/>
  <c r="J1305" i="5"/>
  <c r="I1305" i="5"/>
  <c r="H1305" i="5"/>
  <c r="G1307" i="5" l="1"/>
  <c r="I1306" i="5"/>
  <c r="H1306" i="5"/>
  <c r="J1306" i="5"/>
  <c r="G1308" i="5" l="1"/>
  <c r="J1307" i="5"/>
  <c r="I1307" i="5"/>
  <c r="H1307" i="5"/>
  <c r="G1309" i="5" l="1"/>
  <c r="J1308" i="5"/>
  <c r="I1308" i="5"/>
  <c r="H1308" i="5"/>
  <c r="G1310" i="5" l="1"/>
  <c r="J1309" i="5"/>
  <c r="I1309" i="5"/>
  <c r="H1309" i="5"/>
  <c r="G1311" i="5" l="1"/>
  <c r="J1310" i="5"/>
  <c r="I1310" i="5"/>
  <c r="H1310" i="5"/>
  <c r="G1312" i="5" l="1"/>
  <c r="J1311" i="5"/>
  <c r="I1311" i="5"/>
  <c r="H1311" i="5"/>
  <c r="G1313" i="5" l="1"/>
  <c r="J1312" i="5"/>
  <c r="I1312" i="5"/>
  <c r="H1312" i="5"/>
  <c r="G1314" i="5" l="1"/>
  <c r="J1313" i="5"/>
  <c r="I1313" i="5"/>
  <c r="H1313" i="5"/>
  <c r="G1315" i="5" l="1"/>
  <c r="J1314" i="5"/>
  <c r="I1314" i="5"/>
  <c r="H1314" i="5"/>
  <c r="G1316" i="5" l="1"/>
  <c r="J1315" i="5"/>
  <c r="I1315" i="5"/>
  <c r="H1315" i="5"/>
  <c r="G1317" i="5" l="1"/>
  <c r="J1316" i="5"/>
  <c r="I1316" i="5"/>
  <c r="H1316" i="5"/>
  <c r="G1318" i="5" l="1"/>
  <c r="J1317" i="5"/>
  <c r="I1317" i="5"/>
  <c r="H1317" i="5"/>
  <c r="G1319" i="5" l="1"/>
  <c r="J1318" i="5"/>
  <c r="I1318" i="5"/>
  <c r="H1318" i="5"/>
  <c r="G1320" i="5" l="1"/>
  <c r="J1319" i="5"/>
  <c r="I1319" i="5"/>
  <c r="H1319" i="5"/>
  <c r="G1321" i="5" l="1"/>
  <c r="J1320" i="5"/>
  <c r="I1320" i="5"/>
  <c r="H1320" i="5"/>
  <c r="G1322" i="5" l="1"/>
  <c r="J1321" i="5"/>
  <c r="I1321" i="5"/>
  <c r="H1321" i="5"/>
  <c r="G1323" i="5" l="1"/>
  <c r="J1322" i="5"/>
  <c r="I1322" i="5"/>
  <c r="H1322" i="5"/>
  <c r="G1324" i="5" l="1"/>
  <c r="J1323" i="5"/>
  <c r="I1323" i="5"/>
  <c r="H1323" i="5"/>
  <c r="G1325" i="5" l="1"/>
  <c r="J1324" i="5"/>
  <c r="I1324" i="5"/>
  <c r="H1324" i="5"/>
  <c r="G1326" i="5" l="1"/>
  <c r="J1325" i="5"/>
  <c r="I1325" i="5"/>
  <c r="H1325" i="5"/>
  <c r="G1327" i="5" l="1"/>
  <c r="J1326" i="5"/>
  <c r="I1326" i="5"/>
  <c r="H1326" i="5"/>
  <c r="G1328" i="5" l="1"/>
  <c r="J1327" i="5"/>
  <c r="I1327" i="5"/>
  <c r="H1327" i="5"/>
  <c r="G1329" i="5" l="1"/>
  <c r="J1328" i="5"/>
  <c r="I1328" i="5"/>
  <c r="H1328" i="5"/>
  <c r="G1330" i="5" l="1"/>
  <c r="J1329" i="5"/>
  <c r="I1329" i="5"/>
  <c r="H1329" i="5"/>
  <c r="G1331" i="5" l="1"/>
  <c r="J1330" i="5"/>
  <c r="I1330" i="5"/>
  <c r="H1330" i="5"/>
  <c r="G1332" i="5" l="1"/>
  <c r="J1331" i="5"/>
  <c r="I1331" i="5"/>
  <c r="H1331" i="5"/>
  <c r="G1333" i="5" l="1"/>
  <c r="J1332" i="5"/>
  <c r="I1332" i="5"/>
  <c r="H1332" i="5"/>
  <c r="G1334" i="5" l="1"/>
  <c r="J1333" i="5"/>
  <c r="I1333" i="5"/>
  <c r="H1333" i="5"/>
  <c r="G1335" i="5" l="1"/>
  <c r="J1334" i="5"/>
  <c r="I1334" i="5"/>
  <c r="H1334" i="5"/>
  <c r="G1336" i="5" l="1"/>
  <c r="J1335" i="5"/>
  <c r="I1335" i="5"/>
  <c r="H1335" i="5"/>
  <c r="G1337" i="5" l="1"/>
  <c r="J1336" i="5"/>
  <c r="I1336" i="5"/>
  <c r="H1336" i="5"/>
  <c r="G1338" i="5" l="1"/>
  <c r="J1337" i="5"/>
  <c r="I1337" i="5"/>
  <c r="H1337" i="5"/>
  <c r="G1339" i="5" l="1"/>
  <c r="J1338" i="5"/>
  <c r="I1338" i="5"/>
  <c r="H1338" i="5"/>
  <c r="G1340" i="5" l="1"/>
  <c r="J1339" i="5"/>
  <c r="I1339" i="5"/>
  <c r="H1339" i="5"/>
  <c r="G1341" i="5" l="1"/>
  <c r="J1340" i="5"/>
  <c r="I1340" i="5"/>
  <c r="H1340" i="5"/>
  <c r="G1342" i="5" l="1"/>
  <c r="J1341" i="5"/>
  <c r="I1341" i="5"/>
  <c r="H1341" i="5"/>
  <c r="G1343" i="5" l="1"/>
  <c r="J1342" i="5"/>
  <c r="I1342" i="5"/>
  <c r="H1342" i="5"/>
  <c r="G1344" i="5" l="1"/>
  <c r="J1343" i="5"/>
  <c r="I1343" i="5"/>
  <c r="H1343" i="5"/>
  <c r="G1345" i="5" l="1"/>
  <c r="J1344" i="5"/>
  <c r="I1344" i="5"/>
  <c r="H1344" i="5"/>
  <c r="G1346" i="5" l="1"/>
  <c r="J1345" i="5"/>
  <c r="I1345" i="5"/>
  <c r="H1345" i="5"/>
  <c r="G1347" i="5" l="1"/>
  <c r="J1346" i="5"/>
  <c r="H1346" i="5"/>
  <c r="I1346" i="5"/>
  <c r="G1348" i="5" l="1"/>
  <c r="J1347" i="5"/>
  <c r="I1347" i="5"/>
  <c r="H1347" i="5"/>
  <c r="G1349" i="5" l="1"/>
  <c r="J1348" i="5"/>
  <c r="I1348" i="5"/>
  <c r="H1348" i="5"/>
  <c r="G1350" i="5" l="1"/>
  <c r="J1349" i="5"/>
  <c r="I1349" i="5"/>
  <c r="H1349" i="5"/>
  <c r="G1351" i="5" l="1"/>
  <c r="J1350" i="5"/>
  <c r="I1350" i="5"/>
  <c r="H1350" i="5"/>
  <c r="G1352" i="5" l="1"/>
  <c r="J1351" i="5"/>
  <c r="I1351" i="5"/>
  <c r="H1351" i="5"/>
  <c r="G1353" i="5" l="1"/>
  <c r="J1352" i="5"/>
  <c r="I1352" i="5"/>
  <c r="H1352" i="5"/>
  <c r="G1354" i="5" l="1"/>
  <c r="J1353" i="5"/>
  <c r="I1353" i="5"/>
  <c r="H1353" i="5"/>
  <c r="G1355" i="5" l="1"/>
  <c r="J1354" i="5"/>
  <c r="I1354" i="5"/>
  <c r="H1354" i="5"/>
  <c r="G1356" i="5" l="1"/>
  <c r="J1355" i="5"/>
  <c r="I1355" i="5"/>
  <c r="H1355" i="5"/>
  <c r="G1357" i="5" l="1"/>
  <c r="J1356" i="5"/>
  <c r="I1356" i="5"/>
  <c r="H1356" i="5"/>
  <c r="G1358" i="5" l="1"/>
  <c r="J1357" i="5"/>
  <c r="I1357" i="5"/>
  <c r="H1357" i="5"/>
  <c r="G1359" i="5" l="1"/>
  <c r="J1358" i="5"/>
  <c r="I1358" i="5"/>
  <c r="H1358" i="5"/>
  <c r="G1360" i="5" l="1"/>
  <c r="J1359" i="5"/>
  <c r="I1359" i="5"/>
  <c r="H1359" i="5"/>
  <c r="G1361" i="5" l="1"/>
  <c r="J1360" i="5"/>
  <c r="I1360" i="5"/>
  <c r="H1360" i="5"/>
  <c r="G1362" i="5" l="1"/>
  <c r="J1361" i="5"/>
  <c r="I1361" i="5"/>
  <c r="H1361" i="5"/>
  <c r="G1363" i="5" l="1"/>
  <c r="J1362" i="5"/>
  <c r="I1362" i="5"/>
  <c r="H1362" i="5"/>
  <c r="G1364" i="5" l="1"/>
  <c r="J1363" i="5"/>
  <c r="I1363" i="5"/>
  <c r="H1363" i="5"/>
  <c r="G1365" i="5" l="1"/>
  <c r="J1364" i="5"/>
  <c r="H1364" i="5"/>
  <c r="I1364" i="5"/>
  <c r="G1366" i="5" l="1"/>
  <c r="J1365" i="5"/>
  <c r="I1365" i="5"/>
  <c r="H1365" i="5"/>
  <c r="G1367" i="5" l="1"/>
  <c r="J1366" i="5"/>
  <c r="I1366" i="5"/>
  <c r="H1366" i="5"/>
  <c r="G1368" i="5" l="1"/>
  <c r="J1367" i="5"/>
  <c r="I1367" i="5"/>
  <c r="H1367" i="5"/>
  <c r="G1369" i="5" l="1"/>
  <c r="J1368" i="5"/>
  <c r="I1368" i="5"/>
  <c r="H1368" i="5"/>
  <c r="G1370" i="5" l="1"/>
  <c r="J1369" i="5"/>
  <c r="I1369" i="5"/>
  <c r="H1369" i="5"/>
  <c r="G1371" i="5" l="1"/>
  <c r="J1370" i="5"/>
  <c r="I1370" i="5"/>
  <c r="H1370" i="5"/>
  <c r="G1372" i="5" l="1"/>
  <c r="J1371" i="5"/>
  <c r="I1371" i="5"/>
  <c r="H1371" i="5"/>
  <c r="G1373" i="5" l="1"/>
  <c r="J1372" i="5"/>
  <c r="I1372" i="5"/>
  <c r="H1372" i="5"/>
  <c r="G1374" i="5" l="1"/>
  <c r="J1373" i="5"/>
  <c r="I1373" i="5"/>
  <c r="H1373" i="5"/>
  <c r="G1375" i="5" l="1"/>
  <c r="J1374" i="5"/>
  <c r="I1374" i="5"/>
  <c r="H1374" i="5"/>
  <c r="G1376" i="5" l="1"/>
  <c r="J1375" i="5"/>
  <c r="I1375" i="5"/>
  <c r="H1375" i="5"/>
  <c r="G1377" i="5" l="1"/>
  <c r="J1376" i="5"/>
  <c r="I1376" i="5"/>
  <c r="H1376" i="5"/>
  <c r="G1378" i="5" l="1"/>
  <c r="J1377" i="5"/>
  <c r="I1377" i="5"/>
  <c r="H1377" i="5"/>
  <c r="G1379" i="5" l="1"/>
  <c r="J1378" i="5"/>
  <c r="I1378" i="5"/>
  <c r="H1378" i="5"/>
  <c r="G1380" i="5" l="1"/>
  <c r="J1379" i="5"/>
  <c r="I1379" i="5"/>
  <c r="H1379" i="5"/>
  <c r="G1381" i="5" l="1"/>
  <c r="J1380" i="5"/>
  <c r="I1380" i="5"/>
  <c r="H1380" i="5"/>
  <c r="G1382" i="5" l="1"/>
  <c r="J1381" i="5"/>
  <c r="I1381" i="5"/>
  <c r="H1381" i="5"/>
  <c r="G1383" i="5" l="1"/>
  <c r="J1382" i="5"/>
  <c r="I1382" i="5"/>
  <c r="H1382" i="5"/>
  <c r="G1384" i="5" l="1"/>
  <c r="J1383" i="5"/>
  <c r="I1383" i="5"/>
  <c r="H1383" i="5"/>
  <c r="G1385" i="5" l="1"/>
  <c r="J1384" i="5"/>
  <c r="I1384" i="5"/>
  <c r="H1384" i="5"/>
  <c r="G1386" i="5" l="1"/>
  <c r="J1385" i="5"/>
  <c r="I1385" i="5"/>
  <c r="H1385" i="5"/>
  <c r="G1387" i="5" l="1"/>
  <c r="J1386" i="5"/>
  <c r="I1386" i="5"/>
  <c r="H1386" i="5"/>
  <c r="G1388" i="5" l="1"/>
  <c r="J1387" i="5"/>
  <c r="I1387" i="5"/>
  <c r="H1387" i="5"/>
  <c r="G1389" i="5" l="1"/>
  <c r="J1388" i="5"/>
  <c r="I1388" i="5"/>
  <c r="H1388" i="5"/>
  <c r="G1390" i="5" l="1"/>
  <c r="J1389" i="5"/>
  <c r="I1389" i="5"/>
  <c r="H1389" i="5"/>
  <c r="G1391" i="5" l="1"/>
  <c r="J1390" i="5"/>
  <c r="I1390" i="5"/>
  <c r="H1390" i="5"/>
  <c r="G1392" i="5" l="1"/>
  <c r="J1391" i="5"/>
  <c r="I1391" i="5"/>
  <c r="H1391" i="5"/>
  <c r="G1393" i="5" l="1"/>
  <c r="J1392" i="5"/>
  <c r="I1392" i="5"/>
  <c r="H1392" i="5"/>
  <c r="G1394" i="5" l="1"/>
  <c r="J1393" i="5"/>
  <c r="I1393" i="5"/>
  <c r="H1393" i="5"/>
  <c r="G1395" i="5" l="1"/>
  <c r="J1394" i="5"/>
  <c r="I1394" i="5"/>
  <c r="H1394" i="5"/>
  <c r="G1396" i="5" l="1"/>
  <c r="J1395" i="5"/>
  <c r="I1395" i="5"/>
  <c r="H1395" i="5"/>
  <c r="G1397" i="5" l="1"/>
  <c r="J1396" i="5"/>
  <c r="I1396" i="5"/>
  <c r="H1396" i="5"/>
  <c r="G1398" i="5" l="1"/>
  <c r="J1397" i="5"/>
  <c r="I1397" i="5"/>
  <c r="H1397" i="5"/>
  <c r="G1399" i="5" l="1"/>
  <c r="J1398" i="5"/>
  <c r="I1398" i="5"/>
  <c r="H1398" i="5"/>
  <c r="G1400" i="5" l="1"/>
  <c r="J1399" i="5"/>
  <c r="I1399" i="5"/>
  <c r="H1399" i="5"/>
  <c r="G1401" i="5" l="1"/>
  <c r="J1400" i="5"/>
  <c r="I1400" i="5"/>
  <c r="H1400" i="5"/>
  <c r="G1402" i="5" l="1"/>
  <c r="J1401" i="5"/>
  <c r="I1401" i="5"/>
  <c r="H1401" i="5"/>
  <c r="G1403" i="5" l="1"/>
  <c r="J1402" i="5"/>
  <c r="I1402" i="5"/>
  <c r="H1402" i="5"/>
  <c r="G1404" i="5" l="1"/>
  <c r="J1403" i="5"/>
  <c r="I1403" i="5"/>
  <c r="H1403" i="5"/>
  <c r="G1405" i="5" l="1"/>
  <c r="J1404" i="5"/>
  <c r="I1404" i="5"/>
  <c r="H1404" i="5"/>
  <c r="G1406" i="5" l="1"/>
  <c r="J1405" i="5"/>
  <c r="I1405" i="5"/>
  <c r="H1405" i="5"/>
  <c r="G1407" i="5" l="1"/>
  <c r="J1406" i="5"/>
  <c r="I1406" i="5"/>
  <c r="H1406" i="5"/>
  <c r="G1408" i="5" l="1"/>
  <c r="J1407" i="5"/>
  <c r="I1407" i="5"/>
  <c r="H1407" i="5"/>
  <c r="G1409" i="5" l="1"/>
  <c r="J1408" i="5"/>
  <c r="I1408" i="5"/>
  <c r="H1408" i="5"/>
  <c r="G1410" i="5" l="1"/>
  <c r="J1409" i="5"/>
  <c r="I1409" i="5"/>
  <c r="H1409" i="5"/>
  <c r="G1411" i="5" l="1"/>
  <c r="J1410" i="5"/>
  <c r="I1410" i="5"/>
  <c r="H1410" i="5"/>
  <c r="G1412" i="5" l="1"/>
  <c r="J1411" i="5"/>
  <c r="I1411" i="5"/>
  <c r="H1411" i="5"/>
  <c r="G1413" i="5" l="1"/>
  <c r="J1412" i="5"/>
  <c r="I1412" i="5"/>
  <c r="H1412" i="5"/>
  <c r="G1414" i="5" l="1"/>
  <c r="J1413" i="5"/>
  <c r="I1413" i="5"/>
  <c r="H1413" i="5"/>
  <c r="G1415" i="5" l="1"/>
  <c r="J1414" i="5"/>
  <c r="I1414" i="5"/>
  <c r="H1414" i="5"/>
  <c r="G1416" i="5" l="1"/>
  <c r="J1415" i="5"/>
  <c r="I1415" i="5"/>
  <c r="H1415" i="5"/>
  <c r="G1417" i="5" l="1"/>
  <c r="J1416" i="5"/>
  <c r="I1416" i="5"/>
  <c r="H1416" i="5"/>
  <c r="G1418" i="5" l="1"/>
  <c r="J1417" i="5"/>
  <c r="I1417" i="5"/>
  <c r="H1417" i="5"/>
  <c r="G1419" i="5" l="1"/>
  <c r="J1418" i="5"/>
  <c r="I1418" i="5"/>
  <c r="H1418" i="5"/>
  <c r="G1420" i="5" l="1"/>
  <c r="J1419" i="5"/>
  <c r="I1419" i="5"/>
  <c r="H1419" i="5"/>
  <c r="G1421" i="5" l="1"/>
  <c r="J1420" i="5"/>
  <c r="I1420" i="5"/>
  <c r="H1420" i="5"/>
  <c r="G1422" i="5" l="1"/>
  <c r="J1421" i="5"/>
  <c r="I1421" i="5"/>
  <c r="H1421" i="5"/>
  <c r="G1423" i="5" l="1"/>
  <c r="J1422" i="5"/>
  <c r="I1422" i="5"/>
  <c r="H1422" i="5"/>
  <c r="G1424" i="5" l="1"/>
  <c r="J1423" i="5"/>
  <c r="I1423" i="5"/>
  <c r="H1423" i="5"/>
  <c r="G1425" i="5" l="1"/>
  <c r="J1424" i="5"/>
  <c r="I1424" i="5"/>
  <c r="H1424" i="5"/>
  <c r="G1426" i="5" l="1"/>
  <c r="J1425" i="5"/>
  <c r="I1425" i="5"/>
  <c r="H1425" i="5"/>
  <c r="G1427" i="5" l="1"/>
  <c r="J1426" i="5"/>
  <c r="I1426" i="5"/>
  <c r="H1426" i="5"/>
  <c r="G1428" i="5" l="1"/>
  <c r="J1427" i="5"/>
  <c r="I1427" i="5"/>
  <c r="H1427" i="5"/>
  <c r="G1429" i="5" l="1"/>
  <c r="J1428" i="5"/>
  <c r="I1428" i="5"/>
  <c r="H1428" i="5"/>
  <c r="G1430" i="5" l="1"/>
  <c r="J1429" i="5"/>
  <c r="I1429" i="5"/>
  <c r="H1429" i="5"/>
  <c r="G1431" i="5" l="1"/>
  <c r="J1430" i="5"/>
  <c r="I1430" i="5"/>
  <c r="H1430" i="5"/>
  <c r="G1432" i="5" l="1"/>
  <c r="J1431" i="5"/>
  <c r="I1431" i="5"/>
  <c r="H1431" i="5"/>
  <c r="G1433" i="5" l="1"/>
  <c r="J1432" i="5"/>
  <c r="I1432" i="5"/>
  <c r="H1432" i="5"/>
  <c r="G1434" i="5" l="1"/>
  <c r="J1433" i="5"/>
  <c r="I1433" i="5"/>
  <c r="H1433" i="5"/>
  <c r="G1435" i="5" l="1"/>
  <c r="J1434" i="5"/>
  <c r="I1434" i="5"/>
  <c r="H1434" i="5"/>
  <c r="G1436" i="5" l="1"/>
  <c r="J1435" i="5"/>
  <c r="I1435" i="5"/>
  <c r="H1435" i="5"/>
  <c r="G1437" i="5" l="1"/>
  <c r="J1436" i="5"/>
  <c r="I1436" i="5"/>
  <c r="H1436" i="5"/>
  <c r="G1438" i="5" l="1"/>
  <c r="J1437" i="5"/>
  <c r="I1437" i="5"/>
  <c r="H1437" i="5"/>
  <c r="G1439" i="5" l="1"/>
  <c r="J1438" i="5"/>
  <c r="I1438" i="5"/>
  <c r="H1438" i="5"/>
  <c r="G1440" i="5" l="1"/>
  <c r="J1439" i="5"/>
  <c r="I1439" i="5"/>
  <c r="H1439" i="5"/>
  <c r="G1441" i="5" l="1"/>
  <c r="J1440" i="5"/>
  <c r="I1440" i="5"/>
  <c r="H1440" i="5"/>
  <c r="G1442" i="5" l="1"/>
  <c r="J1441" i="5"/>
  <c r="I1441" i="5"/>
  <c r="H1441" i="5"/>
  <c r="G1443" i="5" l="1"/>
  <c r="J1442" i="5"/>
  <c r="I1442" i="5"/>
  <c r="H1442" i="5"/>
  <c r="G1444" i="5" l="1"/>
  <c r="J1443" i="5"/>
  <c r="I1443" i="5"/>
  <c r="H1443" i="5"/>
  <c r="G1445" i="5" l="1"/>
  <c r="J1444" i="5"/>
  <c r="I1444" i="5"/>
  <c r="H1444" i="5"/>
  <c r="G1446" i="5" l="1"/>
  <c r="J1445" i="5"/>
  <c r="I1445" i="5"/>
  <c r="H1445" i="5"/>
  <c r="G1447" i="5" l="1"/>
  <c r="J1446" i="5"/>
  <c r="I1446" i="5"/>
  <c r="H1446" i="5"/>
  <c r="G1448" i="5" l="1"/>
  <c r="J1447" i="5"/>
  <c r="I1447" i="5"/>
  <c r="H1447" i="5"/>
  <c r="G1449" i="5" l="1"/>
  <c r="J1448" i="5"/>
  <c r="I1448" i="5"/>
  <c r="H1448" i="5"/>
  <c r="G1450" i="5" l="1"/>
  <c r="J1449" i="5"/>
  <c r="I1449" i="5"/>
  <c r="H1449" i="5"/>
  <c r="G1451" i="5" l="1"/>
  <c r="J1450" i="5"/>
  <c r="I1450" i="5"/>
  <c r="H1450" i="5"/>
  <c r="G1452" i="5" l="1"/>
  <c r="J1451" i="5"/>
  <c r="I1451" i="5"/>
  <c r="H1451" i="5"/>
  <c r="J1452" i="5" l="1"/>
  <c r="I1452" i="5"/>
  <c r="H1452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<sst xmlns="http://schemas.openxmlformats.org/spreadsheetml/2006/main" count="21" uniqueCount="11">
  <si>
    <t>Date</t>
  </si>
  <si>
    <t>Rotterdam HFO380cst</t>
  </si>
  <si>
    <t>Brent</t>
  </si>
  <si>
    <t>Rotterdam HFO380</t>
  </si>
  <si>
    <t>brent</t>
  </si>
  <si>
    <t>year</t>
  </si>
  <si>
    <t>month</t>
  </si>
  <si>
    <t>EOW Date</t>
  </si>
  <si>
    <t>EOW brent</t>
  </si>
  <si>
    <t xml:space="preserve">Monthly brent </t>
  </si>
  <si>
    <t>Monthly brent sorted (manualy sorted)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</si>
</sst>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#0.00##"/>
    <numFmt numFmtId="172" formatCode="mmm\-yyyy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65" fontId="0" fillId="0" borderId="0" xfId="0" applyNumberFormat="1"/>
    <xf numFmtId="2" fontId="0" fillId="0" borderId="0" xfId="0" applyNumberFormat="1"/>
    <xf numFmtId="0" fontId="0" fillId="2" borderId="0" xfId="0" applyFill="1"/>
    <xf numFmtId="14" fontId="0" fillId="0" borderId="0" xfId="0" applyNumberFormat="1"/>
    <xf numFmtId="0" fontId="0" fillId="0" borderId="0" xfId="0"/>
    <xf numFmtId="2" fontId="0" fillId="0" borderId="0" xfId="0" applyNumberFormat="1"/>
    <xf numFmtId="172" fontId="0" fillId="0" borderId="1" xfId="0" applyNumberFormat="1" applyBorder="1"/>
    <xf numFmtId="4" fontId="0" fillId="0" borderId="2" xfId="0" applyNumberFormat="1" applyBorder="1" applyAlignment="1">
      <alignment horizontal="right"/>
    </xf>
    <xf numFmtId="172" fontId="0" fillId="0" borderId="2" xfId="0" applyNumberFormat="1" applyBorder="1"/>
    <xf numFmtId="172" fontId="0" fillId="0" borderId="3" xfId="0" applyNumberFormat="1" applyBorder="1"/>
    <xf numFmtId="4" fontId="0" fillId="0" borderId="3" xfId="0" applyNumberFormat="1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0" xfId="0" applyBorder="1"/>
    <xf numFmtId="49" fontId="0" fillId="0" borderId="0" xfId="0" applyNumberFormat="1" applyBorder="1"/>
    <xf numFmtId="0" fontId="0" fillId="0" borderId="0" xfId="0" applyNumberFormat="1" applyBorder="1"/>
    <xf numFmtId="1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8848-0B2F-4F1C-936F-E0E031F24BD7}">
  <dimension ref="A1:C7254"/>
  <sheetViews>
    <sheetView workbookViewId="0">
      <selection activeCell="B2" sqref="B2"/>
    </sheetView>
  </sheetViews>
  <sheetFormatPr defaultRowHeight="15" x14ac:dyDescent="0.25"/>
  <cols>
    <col min="1" max="1" width="10.140625" bestFit="1" customWidth="1"/>
    <col min="2" max="2" width="17.5703125" bestFit="1" customWidth="1"/>
  </cols>
  <sheetData>
    <row r="1" spans="1:3" x14ac:dyDescent="0.25">
      <c r="A1" t="s">
        <v>2</v>
      </c>
      <c r="B1" t="s">
        <v>3</v>
      </c>
      <c r="C1" t="s">
        <v>2</v>
      </c>
    </row>
    <row r="2" spans="1:3" x14ac:dyDescent="0.25">
      <c r="A2" s="4">
        <v>35797</v>
      </c>
      <c r="B2" t="e">
        <f>_xlfn.XLOOKUP(A2,bunker_daily_raw!A2:A3818,bunker_daily_raw!B2:B3818)</f>
        <v>#N/A</v>
      </c>
      <c r="C2" s="6">
        <v>15.77</v>
      </c>
    </row>
    <row r="3" spans="1:3" x14ac:dyDescent="0.25">
      <c r="A3" s="4">
        <v>35800</v>
      </c>
      <c r="B3" s="5">
        <f>_xlfn.XLOOKUP(A3,bunker_daily_raw!$A$2:$A$3819,bunker_daily_raw!$B$2:$B$3819)</f>
        <v>69</v>
      </c>
      <c r="C3" s="6">
        <v>15.29</v>
      </c>
    </row>
    <row r="4" spans="1:3" x14ac:dyDescent="0.25">
      <c r="A4" s="4">
        <v>35801</v>
      </c>
      <c r="B4" s="5">
        <f>_xlfn.XLOOKUP(A4,bunker_daily_raw!$A$2:$A$3819,bunker_daily_raw!$B$2:$B$3819)</f>
        <v>69.5</v>
      </c>
      <c r="C4" s="6">
        <v>15.48</v>
      </c>
    </row>
    <row r="5" spans="1:3" x14ac:dyDescent="0.25">
      <c r="A5" s="4">
        <v>35802</v>
      </c>
      <c r="B5" s="5">
        <f>_xlfn.XLOOKUP(A5,bunker_daily_raw!$A$2:$A$3819,bunker_daily_raw!$B$2:$B$3819)</f>
        <v>63.5</v>
      </c>
      <c r="C5" s="6">
        <v>15.33</v>
      </c>
    </row>
    <row r="6" spans="1:3" x14ac:dyDescent="0.25">
      <c r="A6" s="4">
        <v>35803</v>
      </c>
      <c r="B6" s="5">
        <f>_xlfn.XLOOKUP(A6,bunker_daily_raw!$A$2:$A$3819,bunker_daily_raw!$B$2:$B$3819)</f>
        <v>63.25</v>
      </c>
      <c r="C6" s="6">
        <v>15.47</v>
      </c>
    </row>
    <row r="7" spans="1:3" x14ac:dyDescent="0.25">
      <c r="A7" s="4">
        <v>35804</v>
      </c>
      <c r="B7" s="5">
        <f>_xlfn.XLOOKUP(A7,bunker_daily_raw!$A$2:$A$3819,bunker_daily_raw!$B$2:$B$3819)</f>
        <v>60.5</v>
      </c>
      <c r="C7" s="6">
        <v>15.33</v>
      </c>
    </row>
    <row r="8" spans="1:3" x14ac:dyDescent="0.25">
      <c r="A8" s="4">
        <v>35807</v>
      </c>
      <c r="B8" s="5">
        <f>_xlfn.XLOOKUP(A8,bunker_daily_raw!$A$2:$A$3819,bunker_daily_raw!$B$2:$B$3819)</f>
        <v>62.5</v>
      </c>
      <c r="C8" s="6">
        <v>15.07</v>
      </c>
    </row>
    <row r="9" spans="1:3" x14ac:dyDescent="0.25">
      <c r="A9" s="4">
        <v>35808</v>
      </c>
      <c r="B9" s="5">
        <f>_xlfn.XLOOKUP(A9,bunker_daily_raw!$A$2:$A$3819,bunker_daily_raw!$B$2:$B$3819)</f>
        <v>63.5</v>
      </c>
      <c r="C9" s="6">
        <v>15.08</v>
      </c>
    </row>
    <row r="10" spans="1:3" x14ac:dyDescent="0.25">
      <c r="A10" s="4">
        <v>35809</v>
      </c>
      <c r="B10" s="5">
        <f>_xlfn.XLOOKUP(A10,bunker_daily_raw!$A$2:$A$3819,bunker_daily_raw!$B$2:$B$3819)</f>
        <v>63.5</v>
      </c>
      <c r="C10" s="6">
        <v>14.81</v>
      </c>
    </row>
    <row r="11" spans="1:3" x14ac:dyDescent="0.25">
      <c r="A11" s="4">
        <v>35810</v>
      </c>
      <c r="B11" s="5">
        <f>_xlfn.XLOOKUP(A11,bunker_daily_raw!$A$2:$A$3819,bunker_daily_raw!$B$2:$B$3819)</f>
        <v>65</v>
      </c>
      <c r="C11" s="6">
        <v>14.75</v>
      </c>
    </row>
    <row r="12" spans="1:3" x14ac:dyDescent="0.25">
      <c r="A12" s="4">
        <v>35811</v>
      </c>
      <c r="B12" s="5">
        <f>_xlfn.XLOOKUP(A12,bunker_daily_raw!$A$2:$A$3819,bunker_daily_raw!$B$2:$B$3819)</f>
        <v>64.5</v>
      </c>
      <c r="C12" s="6">
        <v>14.89</v>
      </c>
    </row>
    <row r="13" spans="1:3" x14ac:dyDescent="0.25">
      <c r="A13" s="4">
        <v>35814</v>
      </c>
      <c r="B13" s="5">
        <f>_xlfn.XLOOKUP(A13,bunker_daily_raw!$A$2:$A$3819,bunker_daily_raw!$B$2:$B$3819)</f>
        <v>67</v>
      </c>
      <c r="C13" s="6">
        <v>15.38</v>
      </c>
    </row>
    <row r="14" spans="1:3" x14ac:dyDescent="0.25">
      <c r="A14" s="4">
        <v>35815</v>
      </c>
      <c r="B14" s="5">
        <f>_xlfn.XLOOKUP(A14,bunker_daily_raw!$A$2:$A$3819,bunker_daily_raw!$B$2:$B$3819)</f>
        <v>67</v>
      </c>
      <c r="C14" s="6">
        <v>14.95</v>
      </c>
    </row>
    <row r="15" spans="1:3" x14ac:dyDescent="0.25">
      <c r="A15" s="4">
        <v>35816</v>
      </c>
      <c r="B15" s="5">
        <f>_xlfn.XLOOKUP(A15,bunker_daily_raw!$A$2:$A$3819,bunker_daily_raw!$B$2:$B$3819)</f>
        <v>67</v>
      </c>
      <c r="C15" s="6">
        <v>14.67</v>
      </c>
    </row>
    <row r="16" spans="1:3" x14ac:dyDescent="0.25">
      <c r="A16" s="4">
        <v>35817</v>
      </c>
      <c r="B16" s="5">
        <f>_xlfn.XLOOKUP(A16,bunker_daily_raw!$A$2:$A$3819,bunker_daily_raw!$B$2:$B$3819)</f>
        <v>66</v>
      </c>
      <c r="C16" s="6">
        <v>14.35</v>
      </c>
    </row>
    <row r="17" spans="1:3" x14ac:dyDescent="0.25">
      <c r="A17" s="4">
        <v>35818</v>
      </c>
      <c r="B17" s="5">
        <f>_xlfn.XLOOKUP(A17,bunker_daily_raw!$A$2:$A$3819,bunker_daily_raw!$B$2:$B$3819)</f>
        <v>66.75</v>
      </c>
      <c r="C17" s="6">
        <v>14.26</v>
      </c>
    </row>
    <row r="18" spans="1:3" x14ac:dyDescent="0.25">
      <c r="A18" s="4">
        <v>35821</v>
      </c>
      <c r="B18" s="5">
        <f>_xlfn.XLOOKUP(A18,bunker_daily_raw!$A$2:$A$3819,bunker_daily_raw!$B$2:$B$3819)</f>
        <v>70</v>
      </c>
      <c r="C18" s="6">
        <v>14.79</v>
      </c>
    </row>
    <row r="19" spans="1:3" x14ac:dyDescent="0.25">
      <c r="A19" s="4">
        <v>35822</v>
      </c>
      <c r="B19" s="5">
        <f>_xlfn.XLOOKUP(A19,bunker_daily_raw!$A$2:$A$3819,bunker_daily_raw!$B$2:$B$3819)</f>
        <v>67.5</v>
      </c>
      <c r="C19" s="6">
        <v>15.74</v>
      </c>
    </row>
    <row r="20" spans="1:3" x14ac:dyDescent="0.25">
      <c r="A20" s="4">
        <v>35823</v>
      </c>
      <c r="B20" s="5" t="e">
        <f>_xlfn.XLOOKUP(A20,bunker_daily_raw!$A$2:$A$3819,bunker_daily_raw!$B$2:$B$3819)</f>
        <v>#N/A</v>
      </c>
      <c r="C20" s="6">
        <v>15.64</v>
      </c>
    </row>
    <row r="21" spans="1:3" x14ac:dyDescent="0.25">
      <c r="A21" s="4">
        <v>35824</v>
      </c>
      <c r="B21" s="5" t="e">
        <f>_xlfn.XLOOKUP(A21,bunker_daily_raw!$A$2:$A$3819,bunker_daily_raw!$B$2:$B$3819)</f>
        <v>#N/A</v>
      </c>
      <c r="C21" s="6">
        <v>16.28</v>
      </c>
    </row>
    <row r="22" spans="1:3" x14ac:dyDescent="0.25">
      <c r="A22" s="4">
        <v>35825</v>
      </c>
      <c r="B22" s="5" t="e">
        <f>_xlfn.XLOOKUP(A22,bunker_daily_raw!$A$2:$A$3819,bunker_daily_raw!$B$2:$B$3819)</f>
        <v>#N/A</v>
      </c>
      <c r="C22" s="6">
        <v>15.59</v>
      </c>
    </row>
    <row r="23" spans="1:3" x14ac:dyDescent="0.25">
      <c r="A23" s="4">
        <v>35828</v>
      </c>
      <c r="B23" s="5">
        <f>_xlfn.XLOOKUP(A23,bunker_daily_raw!$A$2:$A$3819,bunker_daily_raw!$B$2:$B$3819)</f>
        <v>64.25</v>
      </c>
      <c r="C23" s="6">
        <v>15.28</v>
      </c>
    </row>
    <row r="24" spans="1:3" x14ac:dyDescent="0.25">
      <c r="A24" s="4">
        <v>35829</v>
      </c>
      <c r="B24" s="5">
        <f>_xlfn.XLOOKUP(A24,bunker_daily_raw!$A$2:$A$3819,bunker_daily_raw!$B$2:$B$3819)</f>
        <v>63.5</v>
      </c>
      <c r="C24" s="6">
        <v>14.87</v>
      </c>
    </row>
    <row r="25" spans="1:3" x14ac:dyDescent="0.25">
      <c r="A25" s="4">
        <v>35830</v>
      </c>
      <c r="B25" s="5">
        <f>_xlfn.XLOOKUP(A25,bunker_daily_raw!$A$2:$A$3819,bunker_daily_raw!$B$2:$B$3819)</f>
        <v>64</v>
      </c>
      <c r="C25" s="6">
        <v>14.56</v>
      </c>
    </row>
    <row r="26" spans="1:3" x14ac:dyDescent="0.25">
      <c r="A26" s="4">
        <v>35831</v>
      </c>
      <c r="B26" s="5">
        <f>_xlfn.XLOOKUP(A26,bunker_daily_raw!$A$2:$A$3819,bunker_daily_raw!$B$2:$B$3819)</f>
        <v>67</v>
      </c>
      <c r="C26" s="6">
        <v>14.83</v>
      </c>
    </row>
    <row r="27" spans="1:3" x14ac:dyDescent="0.25">
      <c r="A27" s="4">
        <v>35832</v>
      </c>
      <c r="B27" s="5">
        <f>_xlfn.XLOOKUP(A27,bunker_daily_raw!$A$2:$A$3819,bunker_daily_raw!$B$2:$B$3819)</f>
        <v>65.5</v>
      </c>
      <c r="C27" s="6">
        <v>15.05</v>
      </c>
    </row>
    <row r="28" spans="1:3" x14ac:dyDescent="0.25">
      <c r="A28" s="4">
        <v>35835</v>
      </c>
      <c r="B28" s="5">
        <f>_xlfn.XLOOKUP(A28,bunker_daily_raw!$A$2:$A$3819,bunker_daily_raw!$B$2:$B$3819)</f>
        <v>67</v>
      </c>
      <c r="C28" s="6">
        <v>14.77</v>
      </c>
    </row>
    <row r="29" spans="1:3" x14ac:dyDescent="0.25">
      <c r="A29" s="4">
        <v>35836</v>
      </c>
      <c r="B29" s="5">
        <f>_xlfn.XLOOKUP(A29,bunker_daily_raw!$A$2:$A$3819,bunker_daily_raw!$B$2:$B$3819)</f>
        <v>66</v>
      </c>
      <c r="C29" s="6">
        <v>14.6</v>
      </c>
    </row>
    <row r="30" spans="1:3" x14ac:dyDescent="0.25">
      <c r="A30" s="4">
        <v>35837</v>
      </c>
      <c r="B30" s="5">
        <f>_xlfn.XLOOKUP(A30,bunker_daily_raw!$A$2:$A$3819,bunker_daily_raw!$B$2:$B$3819)</f>
        <v>66</v>
      </c>
      <c r="C30" s="6">
        <v>14.35</v>
      </c>
    </row>
    <row r="31" spans="1:3" x14ac:dyDescent="0.25">
      <c r="A31" s="4">
        <v>35838</v>
      </c>
      <c r="B31" s="5">
        <f>_xlfn.XLOOKUP(A31,bunker_daily_raw!$A$2:$A$3819,bunker_daily_raw!$B$2:$B$3819)</f>
        <v>67</v>
      </c>
      <c r="C31" s="6">
        <v>14.04</v>
      </c>
    </row>
    <row r="32" spans="1:3" x14ac:dyDescent="0.25">
      <c r="A32" s="4">
        <v>35839</v>
      </c>
      <c r="B32" s="5">
        <f>_xlfn.XLOOKUP(A32,bunker_daily_raw!$A$2:$A$3819,bunker_daily_raw!$B$2:$B$3819)</f>
        <v>67.5</v>
      </c>
      <c r="C32" s="6">
        <v>14.05</v>
      </c>
    </row>
    <row r="33" spans="1:3" x14ac:dyDescent="0.25">
      <c r="A33" s="4">
        <v>35842</v>
      </c>
      <c r="B33" s="5">
        <f>_xlfn.XLOOKUP(A33,bunker_daily_raw!$A$2:$A$3819,bunker_daily_raw!$B$2:$B$3819)</f>
        <v>64.25</v>
      </c>
      <c r="C33" s="6">
        <v>13.5</v>
      </c>
    </row>
    <row r="34" spans="1:3" x14ac:dyDescent="0.25">
      <c r="A34" s="4">
        <v>35843</v>
      </c>
      <c r="B34" s="5">
        <f>_xlfn.XLOOKUP(A34,bunker_daily_raw!$A$2:$A$3819,bunker_daily_raw!$B$2:$B$3819)</f>
        <v>65.5</v>
      </c>
      <c r="C34" s="6">
        <v>13.5</v>
      </c>
    </row>
    <row r="35" spans="1:3" x14ac:dyDescent="0.25">
      <c r="A35" s="4">
        <v>35844</v>
      </c>
      <c r="B35" s="5">
        <f>_xlfn.XLOOKUP(A35,bunker_daily_raw!$A$2:$A$3819,bunker_daily_raw!$B$2:$B$3819)</f>
        <v>65</v>
      </c>
      <c r="C35" s="6">
        <v>13.46</v>
      </c>
    </row>
    <row r="36" spans="1:3" x14ac:dyDescent="0.25">
      <c r="A36" s="4">
        <v>35845</v>
      </c>
      <c r="B36" s="5">
        <f>_xlfn.XLOOKUP(A36,bunker_daily_raw!$A$2:$A$3819,bunker_daily_raw!$B$2:$B$3819)</f>
        <v>64.75</v>
      </c>
      <c r="C36" s="6">
        <v>14.02</v>
      </c>
    </row>
    <row r="37" spans="1:3" x14ac:dyDescent="0.25">
      <c r="A37" s="4">
        <v>35846</v>
      </c>
      <c r="B37" s="5">
        <f>_xlfn.XLOOKUP(A37,bunker_daily_raw!$A$2:$A$3819,bunker_daily_raw!$B$2:$B$3819)</f>
        <v>64.5</v>
      </c>
      <c r="C37" s="6">
        <v>13.91</v>
      </c>
    </row>
    <row r="38" spans="1:3" x14ac:dyDescent="0.25">
      <c r="A38" s="4">
        <v>35849</v>
      </c>
      <c r="B38" s="5">
        <f>_xlfn.XLOOKUP(A38,bunker_daily_raw!$A$2:$A$3819,bunker_daily_raw!$B$2:$B$3819)</f>
        <v>62</v>
      </c>
      <c r="C38" s="6">
        <v>13.26</v>
      </c>
    </row>
    <row r="39" spans="1:3" x14ac:dyDescent="0.25">
      <c r="A39" s="4">
        <v>35850</v>
      </c>
      <c r="B39" s="5">
        <f>_xlfn.XLOOKUP(A39,bunker_daily_raw!$A$2:$A$3819,bunker_daily_raw!$B$2:$B$3819)</f>
        <v>58.5</v>
      </c>
      <c r="C39" s="6">
        <v>13.08</v>
      </c>
    </row>
    <row r="40" spans="1:3" x14ac:dyDescent="0.25">
      <c r="A40" s="4">
        <v>35851</v>
      </c>
      <c r="B40" s="5">
        <f>_xlfn.XLOOKUP(A40,bunker_daily_raw!$A$2:$A$3819,bunker_daily_raw!$B$2:$B$3819)</f>
        <v>58.5</v>
      </c>
      <c r="C40" s="6">
        <v>13.35</v>
      </c>
    </row>
    <row r="41" spans="1:3" x14ac:dyDescent="0.25">
      <c r="A41" s="4">
        <v>35852</v>
      </c>
      <c r="B41" s="5">
        <f>_xlfn.XLOOKUP(A41,bunker_daily_raw!$A$2:$A$3819,bunker_daily_raw!$B$2:$B$3819)</f>
        <v>59</v>
      </c>
      <c r="C41" s="6">
        <v>13.38</v>
      </c>
    </row>
    <row r="42" spans="1:3" x14ac:dyDescent="0.25">
      <c r="A42" s="4">
        <v>35853</v>
      </c>
      <c r="B42" s="5">
        <f>_xlfn.XLOOKUP(A42,bunker_daily_raw!$A$2:$A$3819,bunker_daily_raw!$B$2:$B$3819)</f>
        <v>58.5</v>
      </c>
      <c r="C42" s="6">
        <v>13.53</v>
      </c>
    </row>
    <row r="43" spans="1:3" x14ac:dyDescent="0.25">
      <c r="A43" s="4">
        <v>35856</v>
      </c>
      <c r="B43" s="5">
        <f>_xlfn.XLOOKUP(A43,bunker_daily_raw!$A$2:$A$3819,bunker_daily_raw!$B$2:$B$3819)</f>
        <v>67</v>
      </c>
      <c r="C43" s="6">
        <v>13.37</v>
      </c>
    </row>
    <row r="44" spans="1:3" x14ac:dyDescent="0.25">
      <c r="A44" s="4">
        <v>35857</v>
      </c>
      <c r="B44" s="5">
        <f>_xlfn.XLOOKUP(A44,bunker_daily_raw!$A$2:$A$3819,bunker_daily_raw!$B$2:$B$3819)</f>
        <v>66.75</v>
      </c>
      <c r="C44" s="6">
        <v>13.18</v>
      </c>
    </row>
    <row r="45" spans="1:3" x14ac:dyDescent="0.25">
      <c r="A45" s="4">
        <v>35858</v>
      </c>
      <c r="B45" s="5">
        <f>_xlfn.XLOOKUP(A45,bunker_daily_raw!$A$2:$A$3819,bunker_daily_raw!$B$2:$B$3819)</f>
        <v>65.25</v>
      </c>
      <c r="C45" s="6">
        <v>13.09</v>
      </c>
    </row>
    <row r="46" spans="1:3" x14ac:dyDescent="0.25">
      <c r="A46" s="4">
        <v>35859</v>
      </c>
      <c r="B46" s="5">
        <f>_xlfn.XLOOKUP(A46,bunker_daily_raw!$A$2:$A$3819,bunker_daily_raw!$B$2:$B$3819)</f>
        <v>69</v>
      </c>
      <c r="C46" s="6">
        <v>13.18</v>
      </c>
    </row>
    <row r="47" spans="1:3" x14ac:dyDescent="0.25">
      <c r="A47" s="4">
        <v>35860</v>
      </c>
      <c r="B47" s="5">
        <f>_xlfn.XLOOKUP(A47,bunker_daily_raw!$A$2:$A$3819,bunker_daily_raw!$B$2:$B$3819)</f>
        <v>70</v>
      </c>
      <c r="C47" s="6">
        <v>12.85</v>
      </c>
    </row>
    <row r="48" spans="1:3" x14ac:dyDescent="0.25">
      <c r="A48" s="4">
        <v>35863</v>
      </c>
      <c r="B48" s="5">
        <f>_xlfn.XLOOKUP(A48,bunker_daily_raw!$A$2:$A$3819,bunker_daily_raw!$B$2:$B$3819)</f>
        <v>71.5</v>
      </c>
      <c r="C48" s="6">
        <v>12.24</v>
      </c>
    </row>
    <row r="49" spans="1:3" x14ac:dyDescent="0.25">
      <c r="A49" s="4">
        <v>35864</v>
      </c>
      <c r="B49" s="5">
        <f>_xlfn.XLOOKUP(A49,bunker_daily_raw!$A$2:$A$3819,bunker_daily_raw!$B$2:$B$3819)</f>
        <v>66.5</v>
      </c>
      <c r="C49" s="6">
        <v>12.36</v>
      </c>
    </row>
    <row r="50" spans="1:3" x14ac:dyDescent="0.25">
      <c r="A50" s="4">
        <v>35865</v>
      </c>
      <c r="B50" s="5">
        <f>_xlfn.XLOOKUP(A50,bunker_daily_raw!$A$2:$A$3819,bunker_daily_raw!$B$2:$B$3819)</f>
        <v>67.5</v>
      </c>
      <c r="C50" s="6">
        <v>12.41</v>
      </c>
    </row>
    <row r="51" spans="1:3" x14ac:dyDescent="0.25">
      <c r="A51" s="4">
        <v>35866</v>
      </c>
      <c r="B51" s="5">
        <f>_xlfn.XLOOKUP(A51,bunker_daily_raw!$A$2:$A$3819,bunker_daily_raw!$B$2:$B$3819)</f>
        <v>70</v>
      </c>
      <c r="C51" s="6">
        <v>12.3</v>
      </c>
    </row>
    <row r="52" spans="1:3" x14ac:dyDescent="0.25">
      <c r="A52" s="4">
        <v>35867</v>
      </c>
      <c r="B52" s="5">
        <f>_xlfn.XLOOKUP(A52,bunker_daily_raw!$A$2:$A$3819,bunker_daily_raw!$B$2:$B$3819)</f>
        <v>72.5</v>
      </c>
      <c r="C52" s="6">
        <v>12.25</v>
      </c>
    </row>
    <row r="53" spans="1:3" x14ac:dyDescent="0.25">
      <c r="A53" s="4">
        <v>35870</v>
      </c>
      <c r="B53" s="5">
        <f>_xlfn.XLOOKUP(A53,bunker_daily_raw!$A$2:$A$3819,bunker_daily_raw!$B$2:$B$3819)</f>
        <v>74</v>
      </c>
      <c r="C53" s="6">
        <v>11.74</v>
      </c>
    </row>
    <row r="54" spans="1:3" x14ac:dyDescent="0.25">
      <c r="A54" s="4">
        <v>35871</v>
      </c>
      <c r="B54" s="5">
        <f>_xlfn.XLOOKUP(A54,bunker_daily_raw!$A$2:$A$3819,bunker_daily_raw!$B$2:$B$3819)</f>
        <v>72</v>
      </c>
      <c r="C54" s="6">
        <v>11.05</v>
      </c>
    </row>
    <row r="55" spans="1:3" x14ac:dyDescent="0.25">
      <c r="A55" s="4">
        <v>35872</v>
      </c>
      <c r="B55" s="5">
        <f>_xlfn.XLOOKUP(A55,bunker_daily_raw!$A$2:$A$3819,bunker_daily_raw!$B$2:$B$3819)</f>
        <v>73.5</v>
      </c>
      <c r="C55" s="6">
        <v>12.21</v>
      </c>
    </row>
    <row r="56" spans="1:3" x14ac:dyDescent="0.25">
      <c r="A56" s="4">
        <v>35873</v>
      </c>
      <c r="B56" s="5">
        <f>_xlfn.XLOOKUP(A56,bunker_daily_raw!$A$2:$A$3819,bunker_daily_raw!$B$2:$B$3819)</f>
        <v>75.5</v>
      </c>
      <c r="C56" s="6">
        <v>12.41</v>
      </c>
    </row>
    <row r="57" spans="1:3" x14ac:dyDescent="0.25">
      <c r="A57" s="4">
        <v>35874</v>
      </c>
      <c r="B57" s="5">
        <f>_xlfn.XLOOKUP(A57,bunker_daily_raw!$A$2:$A$3819,bunker_daily_raw!$B$2:$B$3819)</f>
        <v>74.5</v>
      </c>
      <c r="C57" s="6">
        <v>12.35</v>
      </c>
    </row>
    <row r="58" spans="1:3" x14ac:dyDescent="0.25">
      <c r="A58" s="4">
        <v>35877</v>
      </c>
      <c r="B58" s="5">
        <f>_xlfn.XLOOKUP(A58,bunker_daily_raw!$A$2:$A$3819,bunker_daily_raw!$B$2:$B$3819)</f>
        <v>76.25</v>
      </c>
      <c r="C58" s="6">
        <v>14.53</v>
      </c>
    </row>
    <row r="59" spans="1:3" x14ac:dyDescent="0.25">
      <c r="A59" s="4">
        <v>35878</v>
      </c>
      <c r="B59" s="5">
        <f>_xlfn.XLOOKUP(A59,bunker_daily_raw!$A$2:$A$3819,bunker_daily_raw!$B$2:$B$3819)</f>
        <v>81</v>
      </c>
      <c r="C59" s="6">
        <v>14.02</v>
      </c>
    </row>
    <row r="60" spans="1:3" x14ac:dyDescent="0.25">
      <c r="A60" s="4">
        <v>35879</v>
      </c>
      <c r="B60" s="5">
        <f>_xlfn.XLOOKUP(A60,bunker_daily_raw!$A$2:$A$3819,bunker_daily_raw!$B$2:$B$3819)</f>
        <v>83</v>
      </c>
      <c r="C60" s="6">
        <v>14.41</v>
      </c>
    </row>
    <row r="61" spans="1:3" x14ac:dyDescent="0.25">
      <c r="A61" s="4">
        <v>35880</v>
      </c>
      <c r="B61" s="5">
        <f>_xlfn.XLOOKUP(A61,bunker_daily_raw!$A$2:$A$3819,bunker_daily_raw!$B$2:$B$3819)</f>
        <v>82.75</v>
      </c>
      <c r="C61" s="6">
        <v>15.18</v>
      </c>
    </row>
    <row r="62" spans="1:3" x14ac:dyDescent="0.25">
      <c r="A62" s="4">
        <v>35881</v>
      </c>
      <c r="B62" s="5">
        <f>_xlfn.XLOOKUP(A62,bunker_daily_raw!$A$2:$A$3819,bunker_daily_raw!$B$2:$B$3819)</f>
        <v>85</v>
      </c>
      <c r="C62" s="6">
        <v>14.92</v>
      </c>
    </row>
    <row r="63" spans="1:3" x14ac:dyDescent="0.25">
      <c r="A63" s="4">
        <v>35884</v>
      </c>
      <c r="B63" s="5">
        <f>_xlfn.XLOOKUP(A63,bunker_daily_raw!$A$2:$A$3819,bunker_daily_raw!$B$2:$B$3819)</f>
        <v>84</v>
      </c>
      <c r="C63" s="6">
        <v>14.35</v>
      </c>
    </row>
    <row r="64" spans="1:3" x14ac:dyDescent="0.25">
      <c r="A64" s="4">
        <v>35885</v>
      </c>
      <c r="B64" s="5">
        <f>_xlfn.XLOOKUP(A64,bunker_daily_raw!$A$2:$A$3819,bunker_daily_raw!$B$2:$B$3819)</f>
        <v>80.5</v>
      </c>
      <c r="C64" s="6">
        <v>13.87</v>
      </c>
    </row>
    <row r="65" spans="1:3" x14ac:dyDescent="0.25">
      <c r="A65" s="4">
        <v>35886</v>
      </c>
      <c r="B65" s="5">
        <f>_xlfn.XLOOKUP(A65,bunker_daily_raw!$A$2:$A$3819,bunker_daily_raw!$B$2:$B$3819)</f>
        <v>77</v>
      </c>
      <c r="C65" s="6">
        <v>13.72</v>
      </c>
    </row>
    <row r="66" spans="1:3" x14ac:dyDescent="0.25">
      <c r="A66" s="4">
        <v>35887</v>
      </c>
      <c r="B66" s="5">
        <f>_xlfn.XLOOKUP(A66,bunker_daily_raw!$A$2:$A$3819,bunker_daily_raw!$B$2:$B$3819)</f>
        <v>76.5</v>
      </c>
      <c r="C66" s="6">
        <v>13.38</v>
      </c>
    </row>
    <row r="67" spans="1:3" x14ac:dyDescent="0.25">
      <c r="A67" s="4">
        <v>35888</v>
      </c>
      <c r="B67" s="5">
        <f>_xlfn.XLOOKUP(A67,bunker_daily_raw!$A$2:$A$3819,bunker_daily_raw!$B$2:$B$3819)</f>
        <v>78.5</v>
      </c>
      <c r="C67" s="6">
        <v>13.63</v>
      </c>
    </row>
    <row r="68" spans="1:3" x14ac:dyDescent="0.25">
      <c r="A68" s="4">
        <v>35891</v>
      </c>
      <c r="B68" s="5">
        <f>_xlfn.XLOOKUP(A68,bunker_daily_raw!$A$2:$A$3819,bunker_daily_raw!$B$2:$B$3819)</f>
        <v>78.5</v>
      </c>
      <c r="C68" s="6">
        <v>13.13</v>
      </c>
    </row>
    <row r="69" spans="1:3" x14ac:dyDescent="0.25">
      <c r="A69" s="4">
        <v>35892</v>
      </c>
      <c r="B69" s="5" t="e">
        <f>_xlfn.XLOOKUP(A69,bunker_daily_raw!$A$2:$A$3819,bunker_daily_raw!$B$2:$B$3819)</f>
        <v>#N/A</v>
      </c>
      <c r="C69" s="6">
        <v>12.82</v>
      </c>
    </row>
    <row r="70" spans="1:3" x14ac:dyDescent="0.25">
      <c r="A70" s="4">
        <v>35893</v>
      </c>
      <c r="B70" s="5">
        <f>_xlfn.XLOOKUP(A70,bunker_daily_raw!$A$2:$A$3819,bunker_daily_raw!$B$2:$B$3819)</f>
        <v>75.25</v>
      </c>
      <c r="C70" s="6">
        <v>12.79</v>
      </c>
    </row>
    <row r="71" spans="1:3" x14ac:dyDescent="0.25">
      <c r="A71" s="4">
        <v>35894</v>
      </c>
      <c r="B71" s="5">
        <f>_xlfn.XLOOKUP(A71,bunker_daily_raw!$A$2:$A$3819,bunker_daily_raw!$B$2:$B$3819)</f>
        <v>75.75</v>
      </c>
      <c r="C71" s="6">
        <v>13.23</v>
      </c>
    </row>
    <row r="72" spans="1:3" x14ac:dyDescent="0.25">
      <c r="A72" s="4">
        <v>35895</v>
      </c>
      <c r="B72" s="5" t="e">
        <f>_xlfn.XLOOKUP(A72,bunker_daily_raw!$A$2:$A$3819,bunker_daily_raw!$B$2:$B$3819)</f>
        <v>#N/A</v>
      </c>
      <c r="C72" s="5"/>
    </row>
    <row r="73" spans="1:3" x14ac:dyDescent="0.25">
      <c r="A73" s="4">
        <v>35898</v>
      </c>
      <c r="B73" s="5">
        <f>_xlfn.XLOOKUP(A73,bunker_daily_raw!$A$2:$A$3819,bunker_daily_raw!$B$2:$B$3819)</f>
        <v>75.75</v>
      </c>
      <c r="C73" s="5"/>
    </row>
    <row r="74" spans="1:3" x14ac:dyDescent="0.25">
      <c r="A74" s="4">
        <v>35899</v>
      </c>
      <c r="B74" s="5">
        <f>_xlfn.XLOOKUP(A74,bunker_daily_raw!$A$2:$A$3819,bunker_daily_raw!$B$2:$B$3819)</f>
        <v>77.5</v>
      </c>
      <c r="C74" s="6">
        <v>13.15</v>
      </c>
    </row>
    <row r="75" spans="1:3" x14ac:dyDescent="0.25">
      <c r="A75" s="4">
        <v>35900</v>
      </c>
      <c r="B75" s="5">
        <f>_xlfn.XLOOKUP(A75,bunker_daily_raw!$A$2:$A$3819,bunker_daily_raw!$B$2:$B$3819)</f>
        <v>75</v>
      </c>
      <c r="C75" s="6">
        <v>13.31</v>
      </c>
    </row>
    <row r="76" spans="1:3" x14ac:dyDescent="0.25">
      <c r="A76" s="4">
        <v>35901</v>
      </c>
      <c r="B76" s="5">
        <f>_xlfn.XLOOKUP(A76,bunker_daily_raw!$A$2:$A$3819,bunker_daily_raw!$B$2:$B$3819)</f>
        <v>71.75</v>
      </c>
      <c r="C76" s="6">
        <v>13.68</v>
      </c>
    </row>
    <row r="77" spans="1:3" x14ac:dyDescent="0.25">
      <c r="A77" s="4">
        <v>35902</v>
      </c>
      <c r="B77" s="5">
        <f>_xlfn.XLOOKUP(A77,bunker_daily_raw!$A$2:$A$3819,bunker_daily_raw!$B$2:$B$3819)</f>
        <v>70.5</v>
      </c>
      <c r="C77" s="6">
        <v>14.06</v>
      </c>
    </row>
    <row r="78" spans="1:3" x14ac:dyDescent="0.25">
      <c r="A78" s="4">
        <v>35905</v>
      </c>
      <c r="B78" s="5">
        <f>_xlfn.XLOOKUP(A78,bunker_daily_raw!$A$2:$A$3819,bunker_daily_raw!$B$2:$B$3819)</f>
        <v>69</v>
      </c>
      <c r="C78" s="6">
        <v>13.82</v>
      </c>
    </row>
    <row r="79" spans="1:3" x14ac:dyDescent="0.25">
      <c r="A79" s="4">
        <v>35906</v>
      </c>
      <c r="B79" s="5">
        <f>_xlfn.XLOOKUP(A79,bunker_daily_raw!$A$2:$A$3819,bunker_daily_raw!$B$2:$B$3819)</f>
        <v>69</v>
      </c>
      <c r="C79" s="6">
        <v>13.95</v>
      </c>
    </row>
    <row r="80" spans="1:3" x14ac:dyDescent="0.25">
      <c r="A80" s="4">
        <v>35907</v>
      </c>
      <c r="B80" s="5">
        <f>_xlfn.XLOOKUP(A80,bunker_daily_raw!$A$2:$A$3819,bunker_daily_raw!$B$2:$B$3819)</f>
        <v>70.25</v>
      </c>
      <c r="C80" s="6">
        <v>13.71</v>
      </c>
    </row>
    <row r="81" spans="1:3" x14ac:dyDescent="0.25">
      <c r="A81" s="4">
        <v>35908</v>
      </c>
      <c r="B81" s="5">
        <f>_xlfn.XLOOKUP(A81,bunker_daily_raw!$A$2:$A$3819,bunker_daily_raw!$B$2:$B$3819)</f>
        <v>68.5</v>
      </c>
      <c r="C81" s="6">
        <v>13.42</v>
      </c>
    </row>
    <row r="82" spans="1:3" x14ac:dyDescent="0.25">
      <c r="A82" s="4">
        <v>35909</v>
      </c>
      <c r="B82" s="5">
        <f>_xlfn.XLOOKUP(A82,bunker_daily_raw!$A$2:$A$3819,bunker_daily_raw!$B$2:$B$3819)</f>
        <v>69</v>
      </c>
      <c r="C82" s="6">
        <v>13.32</v>
      </c>
    </row>
    <row r="83" spans="1:3" x14ac:dyDescent="0.25">
      <c r="A83" s="4">
        <v>35912</v>
      </c>
      <c r="B83" s="5">
        <f>_xlfn.XLOOKUP(A83,bunker_daily_raw!$A$2:$A$3819,bunker_daily_raw!$B$2:$B$3819)</f>
        <v>69.5</v>
      </c>
      <c r="C83" s="6">
        <v>13.65</v>
      </c>
    </row>
    <row r="84" spans="1:3" x14ac:dyDescent="0.25">
      <c r="A84" s="4">
        <v>35913</v>
      </c>
      <c r="B84" s="5">
        <f>_xlfn.XLOOKUP(A84,bunker_daily_raw!$A$2:$A$3819,bunker_daily_raw!$B$2:$B$3819)</f>
        <v>67.5</v>
      </c>
      <c r="C84" s="6">
        <v>13.88</v>
      </c>
    </row>
    <row r="85" spans="1:3" x14ac:dyDescent="0.25">
      <c r="A85" s="4">
        <v>35914</v>
      </c>
      <c r="B85" s="5">
        <f>_xlfn.XLOOKUP(A85,bunker_daily_raw!$A$2:$A$3819,bunker_daily_raw!$B$2:$B$3819)</f>
        <v>66.25</v>
      </c>
      <c r="C85" s="6">
        <v>14.09</v>
      </c>
    </row>
    <row r="86" spans="1:3" x14ac:dyDescent="0.25">
      <c r="A86" s="4">
        <v>35915</v>
      </c>
      <c r="B86" s="5">
        <f>_xlfn.XLOOKUP(A86,bunker_daily_raw!$A$2:$A$3819,bunker_daily_raw!$B$2:$B$3819)</f>
        <v>64.5</v>
      </c>
      <c r="C86" s="6">
        <v>13.79</v>
      </c>
    </row>
    <row r="87" spans="1:3" x14ac:dyDescent="0.25">
      <c r="A87" s="4">
        <v>35916</v>
      </c>
      <c r="B87" s="5" t="e">
        <f>_xlfn.XLOOKUP(A87,bunker_daily_raw!$A$2:$A$3819,bunker_daily_raw!$B$2:$B$3819)</f>
        <v>#N/A</v>
      </c>
      <c r="C87" s="6">
        <v>14.6</v>
      </c>
    </row>
    <row r="88" spans="1:3" x14ac:dyDescent="0.25">
      <c r="A88" s="4">
        <v>35919</v>
      </c>
      <c r="B88" s="5">
        <f>_xlfn.XLOOKUP(A88,bunker_daily_raw!$A$2:$A$3819,bunker_daily_raw!$B$2:$B$3819)</f>
        <v>63.5</v>
      </c>
      <c r="C88" s="5"/>
    </row>
    <row r="89" spans="1:3" x14ac:dyDescent="0.25">
      <c r="A89" s="4">
        <v>35920</v>
      </c>
      <c r="B89" s="5">
        <f>_xlfn.XLOOKUP(A89,bunker_daily_raw!$A$2:$A$3819,bunker_daily_raw!$B$2:$B$3819)</f>
        <v>63.5</v>
      </c>
      <c r="C89" s="6">
        <v>14.13</v>
      </c>
    </row>
    <row r="90" spans="1:3" x14ac:dyDescent="0.25">
      <c r="A90" s="4">
        <v>35921</v>
      </c>
      <c r="B90" s="5">
        <f>_xlfn.XLOOKUP(A90,bunker_daily_raw!$A$2:$A$3819,bunker_daily_raw!$B$2:$B$3819)</f>
        <v>65.75</v>
      </c>
      <c r="C90" s="6">
        <v>13.91</v>
      </c>
    </row>
    <row r="91" spans="1:3" x14ac:dyDescent="0.25">
      <c r="A91" s="4">
        <v>35922</v>
      </c>
      <c r="B91" s="5">
        <f>_xlfn.XLOOKUP(A91,bunker_daily_raw!$A$2:$A$3819,bunker_daily_raw!$B$2:$B$3819)</f>
        <v>67.25</v>
      </c>
      <c r="C91" s="6">
        <v>13.81</v>
      </c>
    </row>
    <row r="92" spans="1:3" x14ac:dyDescent="0.25">
      <c r="A92" s="4">
        <v>35923</v>
      </c>
      <c r="B92" s="5">
        <f>_xlfn.XLOOKUP(A92,bunker_daily_raw!$A$2:$A$3819,bunker_daily_raw!$B$2:$B$3819)</f>
        <v>65</v>
      </c>
      <c r="C92" s="6">
        <v>13.94</v>
      </c>
    </row>
    <row r="93" spans="1:3" x14ac:dyDescent="0.25">
      <c r="A93" s="4">
        <v>35926</v>
      </c>
      <c r="B93" s="5" t="e">
        <f>_xlfn.XLOOKUP(A93,bunker_daily_raw!$A$2:$A$3819,bunker_daily_raw!$B$2:$B$3819)</f>
        <v>#N/A</v>
      </c>
      <c r="C93" s="6">
        <v>14.41</v>
      </c>
    </row>
    <row r="94" spans="1:3" x14ac:dyDescent="0.25">
      <c r="A94" s="4">
        <v>35927</v>
      </c>
      <c r="B94" s="5">
        <f>_xlfn.XLOOKUP(A94,bunker_daily_raw!$A$2:$A$3819,bunker_daily_raw!$B$2:$B$3819)</f>
        <v>64.25</v>
      </c>
      <c r="C94" s="6">
        <v>14.75</v>
      </c>
    </row>
    <row r="95" spans="1:3" x14ac:dyDescent="0.25">
      <c r="A95" s="4">
        <v>35928</v>
      </c>
      <c r="B95" s="5">
        <f>_xlfn.XLOOKUP(A95,bunker_daily_raw!$A$2:$A$3819,bunker_daily_raw!$B$2:$B$3819)</f>
        <v>63.5</v>
      </c>
      <c r="C95" s="6">
        <v>14.15</v>
      </c>
    </row>
    <row r="96" spans="1:3" x14ac:dyDescent="0.25">
      <c r="A96" s="4">
        <v>35929</v>
      </c>
      <c r="B96" s="5">
        <f>_xlfn.XLOOKUP(A96,bunker_daily_raw!$A$2:$A$3819,bunker_daily_raw!$B$2:$B$3819)</f>
        <v>64.5</v>
      </c>
      <c r="C96" s="6">
        <v>14.29</v>
      </c>
    </row>
    <row r="97" spans="1:3" x14ac:dyDescent="0.25">
      <c r="A97" s="4">
        <v>35930</v>
      </c>
      <c r="B97" s="5">
        <f>_xlfn.XLOOKUP(A97,bunker_daily_raw!$A$2:$A$3819,bunker_daily_raw!$B$2:$B$3819)</f>
        <v>63.5</v>
      </c>
      <c r="C97" s="6">
        <v>14.33</v>
      </c>
    </row>
    <row r="98" spans="1:3" x14ac:dyDescent="0.25">
      <c r="A98" s="4">
        <v>35933</v>
      </c>
      <c r="B98" s="5">
        <f>_xlfn.XLOOKUP(A98,bunker_daily_raw!$A$2:$A$3819,bunker_daily_raw!$B$2:$B$3819)</f>
        <v>64.5</v>
      </c>
      <c r="C98" s="6">
        <v>14.72</v>
      </c>
    </row>
    <row r="99" spans="1:3" x14ac:dyDescent="0.25">
      <c r="A99" s="4">
        <v>35934</v>
      </c>
      <c r="B99" s="5">
        <f>_xlfn.XLOOKUP(A99,bunker_daily_raw!$A$2:$A$3819,bunker_daily_raw!$B$2:$B$3819)</f>
        <v>64.5</v>
      </c>
      <c r="C99" s="6">
        <v>14.87</v>
      </c>
    </row>
    <row r="100" spans="1:3" x14ac:dyDescent="0.25">
      <c r="A100" s="4">
        <v>35935</v>
      </c>
      <c r="B100" s="5">
        <f>_xlfn.XLOOKUP(A100,bunker_daily_raw!$A$2:$A$3819,bunker_daily_raw!$B$2:$B$3819)</f>
        <v>64.75</v>
      </c>
      <c r="C100" s="6">
        <v>14.58</v>
      </c>
    </row>
    <row r="101" spans="1:3" x14ac:dyDescent="0.25">
      <c r="A101" s="4">
        <v>35936</v>
      </c>
      <c r="B101" s="5">
        <f>_xlfn.XLOOKUP(A101,bunker_daily_raw!$A$2:$A$3819,bunker_daily_raw!$B$2:$B$3819)</f>
        <v>62.75</v>
      </c>
      <c r="C101" s="6">
        <v>14.29</v>
      </c>
    </row>
    <row r="102" spans="1:3" x14ac:dyDescent="0.25">
      <c r="A102" s="4">
        <v>35937</v>
      </c>
      <c r="B102" s="5">
        <f>_xlfn.XLOOKUP(A102,bunker_daily_raw!$A$2:$A$3819,bunker_daily_raw!$B$2:$B$3819)</f>
        <v>62</v>
      </c>
      <c r="C102" s="6">
        <v>14.33</v>
      </c>
    </row>
    <row r="103" spans="1:3" x14ac:dyDescent="0.25">
      <c r="A103" s="4">
        <v>35940</v>
      </c>
      <c r="B103" s="5">
        <f>_xlfn.XLOOKUP(A103,bunker_daily_raw!$A$2:$A$3819,bunker_daily_raw!$B$2:$B$3819)</f>
        <v>62.75</v>
      </c>
      <c r="C103" s="5"/>
    </row>
    <row r="104" spans="1:3" x14ac:dyDescent="0.25">
      <c r="A104" s="4">
        <v>35941</v>
      </c>
      <c r="B104" s="5">
        <f>_xlfn.XLOOKUP(A104,bunker_daily_raw!$A$2:$A$3819,bunker_daily_raw!$B$2:$B$3819)</f>
        <v>61.25</v>
      </c>
      <c r="C104" s="6">
        <v>14.27</v>
      </c>
    </row>
    <row r="105" spans="1:3" x14ac:dyDescent="0.25">
      <c r="A105" s="4">
        <v>35942</v>
      </c>
      <c r="B105" s="5">
        <f>_xlfn.XLOOKUP(A105,bunker_daily_raw!$A$2:$A$3819,bunker_daily_raw!$B$2:$B$3819)</f>
        <v>63.5</v>
      </c>
      <c r="C105" s="6">
        <v>14.78</v>
      </c>
    </row>
    <row r="106" spans="1:3" x14ac:dyDescent="0.25">
      <c r="A106" s="4">
        <v>35943</v>
      </c>
      <c r="B106" s="5">
        <f>_xlfn.XLOOKUP(A106,bunker_daily_raw!$A$2:$A$3819,bunker_daily_raw!$B$2:$B$3819)</f>
        <v>64</v>
      </c>
      <c r="C106" s="6">
        <v>14.71</v>
      </c>
    </row>
    <row r="107" spans="1:3" x14ac:dyDescent="0.25">
      <c r="A107" s="4">
        <v>35944</v>
      </c>
      <c r="B107" s="5">
        <f>_xlfn.XLOOKUP(A107,bunker_daily_raw!$A$2:$A$3819,bunker_daily_raw!$B$2:$B$3819)</f>
        <v>65</v>
      </c>
      <c r="C107" s="6">
        <v>14.03</v>
      </c>
    </row>
    <row r="108" spans="1:3" x14ac:dyDescent="0.25">
      <c r="A108" s="4">
        <v>35947</v>
      </c>
      <c r="B108" s="5">
        <f>_xlfn.XLOOKUP(A108,bunker_daily_raw!$A$2:$A$3819,bunker_daily_raw!$B$2:$B$3819)</f>
        <v>65</v>
      </c>
      <c r="C108" s="6">
        <v>13.66</v>
      </c>
    </row>
    <row r="109" spans="1:3" x14ac:dyDescent="0.25">
      <c r="A109" s="4">
        <v>35948</v>
      </c>
      <c r="B109" s="5">
        <f>_xlfn.XLOOKUP(A109,bunker_daily_raw!$A$2:$A$3819,bunker_daily_raw!$B$2:$B$3819)</f>
        <v>65.5</v>
      </c>
      <c r="C109" s="6">
        <v>13.62</v>
      </c>
    </row>
    <row r="110" spans="1:3" x14ac:dyDescent="0.25">
      <c r="A110" s="4">
        <v>35949</v>
      </c>
      <c r="B110" s="5">
        <f>_xlfn.XLOOKUP(A110,bunker_daily_raw!$A$2:$A$3819,bunker_daily_raw!$B$2:$B$3819)</f>
        <v>67</v>
      </c>
      <c r="C110" s="6">
        <v>13.23</v>
      </c>
    </row>
    <row r="111" spans="1:3" x14ac:dyDescent="0.25">
      <c r="A111" s="4">
        <v>35950</v>
      </c>
      <c r="B111" s="5">
        <f>_xlfn.XLOOKUP(A111,bunker_daily_raw!$A$2:$A$3819,bunker_daily_raw!$B$2:$B$3819)</f>
        <v>69</v>
      </c>
      <c r="C111" s="6">
        <v>13.71</v>
      </c>
    </row>
    <row r="112" spans="1:3" x14ac:dyDescent="0.25">
      <c r="A112" s="4">
        <v>35951</v>
      </c>
      <c r="B112" s="5">
        <f>_xlfn.XLOOKUP(A112,bunker_daily_raw!$A$2:$A$3819,bunker_daily_raw!$B$2:$B$3819)</f>
        <v>69.5</v>
      </c>
      <c r="C112" s="6">
        <v>13.95</v>
      </c>
    </row>
    <row r="113" spans="1:3" x14ac:dyDescent="0.25">
      <c r="A113" s="4">
        <v>35954</v>
      </c>
      <c r="B113" s="5">
        <f>_xlfn.XLOOKUP(A113,bunker_daily_raw!$A$2:$A$3819,bunker_daily_raw!$B$2:$B$3819)</f>
        <v>66</v>
      </c>
      <c r="C113" s="6">
        <v>13.56</v>
      </c>
    </row>
    <row r="114" spans="1:3" x14ac:dyDescent="0.25">
      <c r="A114" s="4">
        <v>35955</v>
      </c>
      <c r="B114" s="5">
        <f>_xlfn.XLOOKUP(A114,bunker_daily_raw!$A$2:$A$3819,bunker_daily_raw!$B$2:$B$3819)</f>
        <v>65.5</v>
      </c>
      <c r="C114" s="6">
        <v>12.76</v>
      </c>
    </row>
    <row r="115" spans="1:3" x14ac:dyDescent="0.25">
      <c r="A115" s="4">
        <v>35956</v>
      </c>
      <c r="B115" s="5">
        <f>_xlfn.XLOOKUP(A115,bunker_daily_raw!$A$2:$A$3819,bunker_daily_raw!$B$2:$B$3819)</f>
        <v>65</v>
      </c>
      <c r="C115" s="6">
        <v>12.23</v>
      </c>
    </row>
    <row r="116" spans="1:3" x14ac:dyDescent="0.25">
      <c r="A116" s="4">
        <v>35957</v>
      </c>
      <c r="B116" s="5">
        <f>_xlfn.XLOOKUP(A116,bunker_daily_raw!$A$2:$A$3819,bunker_daily_raw!$B$2:$B$3819)</f>
        <v>66.5</v>
      </c>
      <c r="C116" s="6">
        <v>12.12</v>
      </c>
    </row>
    <row r="117" spans="1:3" x14ac:dyDescent="0.25">
      <c r="A117" s="4">
        <v>35958</v>
      </c>
      <c r="B117" s="5">
        <f>_xlfn.XLOOKUP(A117,bunker_daily_raw!$A$2:$A$3819,bunker_daily_raw!$B$2:$B$3819)</f>
        <v>66.25</v>
      </c>
      <c r="C117" s="6">
        <v>11.62</v>
      </c>
    </row>
    <row r="118" spans="1:3" x14ac:dyDescent="0.25">
      <c r="A118" s="4">
        <v>35961</v>
      </c>
      <c r="B118" s="5">
        <f>_xlfn.XLOOKUP(A118,bunker_daily_raw!$A$2:$A$3819,bunker_daily_raw!$B$2:$B$3819)</f>
        <v>67.5</v>
      </c>
      <c r="C118" s="6">
        <v>10.77</v>
      </c>
    </row>
    <row r="119" spans="1:3" x14ac:dyDescent="0.25">
      <c r="A119" s="4">
        <v>35962</v>
      </c>
      <c r="B119" s="5">
        <f>_xlfn.XLOOKUP(A119,bunker_daily_raw!$A$2:$A$3819,bunker_daily_raw!$B$2:$B$3819)</f>
        <v>65</v>
      </c>
      <c r="C119" s="6">
        <v>10.77</v>
      </c>
    </row>
    <row r="120" spans="1:3" x14ac:dyDescent="0.25">
      <c r="A120" s="4">
        <v>35963</v>
      </c>
      <c r="B120" s="5">
        <f>_xlfn.XLOOKUP(A120,bunker_daily_raw!$A$2:$A$3819,bunker_daily_raw!$B$2:$B$3819)</f>
        <v>65</v>
      </c>
      <c r="C120" s="6">
        <v>11.3</v>
      </c>
    </row>
    <row r="121" spans="1:3" x14ac:dyDescent="0.25">
      <c r="A121" s="4">
        <v>35964</v>
      </c>
      <c r="B121" s="5">
        <f>_xlfn.XLOOKUP(A121,bunker_daily_raw!$A$2:$A$3819,bunker_daily_raw!$B$2:$B$3819)</f>
        <v>63.5</v>
      </c>
      <c r="C121" s="6">
        <v>10.88</v>
      </c>
    </row>
    <row r="122" spans="1:3" x14ac:dyDescent="0.25">
      <c r="A122" s="4">
        <v>35965</v>
      </c>
      <c r="B122" s="5">
        <f>_xlfn.XLOOKUP(A122,bunker_daily_raw!$A$2:$A$3819,bunker_daily_raw!$B$2:$B$3819)</f>
        <v>63.75</v>
      </c>
      <c r="C122" s="6">
        <v>10.89</v>
      </c>
    </row>
    <row r="123" spans="1:3" x14ac:dyDescent="0.25">
      <c r="A123" s="4">
        <v>35968</v>
      </c>
      <c r="B123" s="5">
        <f>_xlfn.XLOOKUP(A123,bunker_daily_raw!$A$2:$A$3819,bunker_daily_raw!$B$2:$B$3819)</f>
        <v>63</v>
      </c>
      <c r="C123" s="6">
        <v>11.23</v>
      </c>
    </row>
    <row r="124" spans="1:3" x14ac:dyDescent="0.25">
      <c r="A124" s="4">
        <v>35969</v>
      </c>
      <c r="B124" s="5">
        <f>_xlfn.XLOOKUP(A124,bunker_daily_raw!$A$2:$A$3819,bunker_daily_raw!$B$2:$B$3819)</f>
        <v>61.5</v>
      </c>
      <c r="C124" s="6">
        <v>12.09</v>
      </c>
    </row>
    <row r="125" spans="1:3" x14ac:dyDescent="0.25">
      <c r="A125" s="4">
        <v>35970</v>
      </c>
      <c r="B125" s="5">
        <f>_xlfn.XLOOKUP(A125,bunker_daily_raw!$A$2:$A$3819,bunker_daily_raw!$B$2:$B$3819)</f>
        <v>60.75</v>
      </c>
      <c r="C125" s="6">
        <v>12.5</v>
      </c>
    </row>
    <row r="126" spans="1:3" x14ac:dyDescent="0.25">
      <c r="A126" s="4">
        <v>35971</v>
      </c>
      <c r="B126" s="5">
        <f>_xlfn.XLOOKUP(A126,bunker_daily_raw!$A$2:$A$3819,bunker_daily_raw!$B$2:$B$3819)</f>
        <v>61</v>
      </c>
      <c r="C126" s="6">
        <v>11.94</v>
      </c>
    </row>
    <row r="127" spans="1:3" x14ac:dyDescent="0.25">
      <c r="A127" s="4">
        <v>35972</v>
      </c>
      <c r="B127" s="5">
        <f>_xlfn.XLOOKUP(A127,bunker_daily_raw!$A$2:$A$3819,bunker_daily_raw!$B$2:$B$3819)</f>
        <v>62.5</v>
      </c>
      <c r="C127" s="6">
        <v>12.04</v>
      </c>
    </row>
    <row r="128" spans="1:3" x14ac:dyDescent="0.25">
      <c r="A128" s="4">
        <v>35975</v>
      </c>
      <c r="B128" s="5">
        <f>_xlfn.XLOOKUP(A128,bunker_daily_raw!$A$2:$A$3819,bunker_daily_raw!$B$2:$B$3819)</f>
        <v>62.5</v>
      </c>
      <c r="C128" s="6">
        <v>11.83</v>
      </c>
    </row>
    <row r="129" spans="1:3" x14ac:dyDescent="0.25">
      <c r="A129" s="4">
        <v>35976</v>
      </c>
      <c r="B129" s="5">
        <f>_xlfn.XLOOKUP(A129,bunker_daily_raw!$A$2:$A$3819,bunker_daily_raw!$B$2:$B$3819)</f>
        <v>61.5</v>
      </c>
      <c r="C129" s="6">
        <v>11.84</v>
      </c>
    </row>
    <row r="130" spans="1:3" x14ac:dyDescent="0.25">
      <c r="A130" s="4">
        <v>35977</v>
      </c>
      <c r="B130" s="5">
        <f>_xlfn.XLOOKUP(A130,bunker_daily_raw!$A$2:$A$3819,bunker_daily_raw!$B$2:$B$3819)</f>
        <v>59.25</v>
      </c>
      <c r="C130" s="6">
        <v>11.93</v>
      </c>
    </row>
    <row r="131" spans="1:3" x14ac:dyDescent="0.25">
      <c r="A131" s="4">
        <v>35978</v>
      </c>
      <c r="B131" s="5">
        <f>_xlfn.XLOOKUP(A131,bunker_daily_raw!$A$2:$A$3819,bunker_daily_raw!$B$2:$B$3819)</f>
        <v>58.5</v>
      </c>
      <c r="C131" s="6">
        <v>11.95</v>
      </c>
    </row>
    <row r="132" spans="1:3" x14ac:dyDescent="0.25">
      <c r="A132" s="4">
        <v>35979</v>
      </c>
      <c r="B132" s="5">
        <f>_xlfn.XLOOKUP(A132,bunker_daily_raw!$A$2:$A$3819,bunker_daily_raw!$B$2:$B$3819)</f>
        <v>59.75</v>
      </c>
      <c r="C132" s="6">
        <v>11.79</v>
      </c>
    </row>
    <row r="133" spans="1:3" x14ac:dyDescent="0.25">
      <c r="A133" s="4">
        <v>35982</v>
      </c>
      <c r="B133" s="5">
        <f>_xlfn.XLOOKUP(A133,bunker_daily_raw!$A$2:$A$3819,bunker_daily_raw!$B$2:$B$3819)</f>
        <v>61.75</v>
      </c>
      <c r="C133" s="6">
        <v>11.7</v>
      </c>
    </row>
    <row r="134" spans="1:3" x14ac:dyDescent="0.25">
      <c r="A134" s="4">
        <v>35983</v>
      </c>
      <c r="B134" s="5">
        <f>_xlfn.XLOOKUP(A134,bunker_daily_raw!$A$2:$A$3819,bunker_daily_raw!$B$2:$B$3819)</f>
        <v>60.5</v>
      </c>
      <c r="C134" s="6">
        <v>11.66</v>
      </c>
    </row>
    <row r="135" spans="1:3" x14ac:dyDescent="0.25">
      <c r="A135" s="4">
        <v>35984</v>
      </c>
      <c r="B135" s="5">
        <f>_xlfn.XLOOKUP(A135,bunker_daily_raw!$A$2:$A$3819,bunker_daily_raw!$B$2:$B$3819)</f>
        <v>62.75</v>
      </c>
      <c r="C135" s="6">
        <v>11.71</v>
      </c>
    </row>
    <row r="136" spans="1:3" x14ac:dyDescent="0.25">
      <c r="A136" s="4">
        <v>35985</v>
      </c>
      <c r="B136" s="5">
        <f>_xlfn.XLOOKUP(A136,bunker_daily_raw!$A$2:$A$3819,bunker_daily_raw!$B$2:$B$3819)</f>
        <v>64.25</v>
      </c>
      <c r="C136" s="6">
        <v>11.61</v>
      </c>
    </row>
    <row r="137" spans="1:3" x14ac:dyDescent="0.25">
      <c r="A137" s="4">
        <v>35986</v>
      </c>
      <c r="B137" s="5">
        <f>_xlfn.XLOOKUP(A137,bunker_daily_raw!$A$2:$A$3819,bunker_daily_raw!$B$2:$B$3819)</f>
        <v>63.5</v>
      </c>
      <c r="C137" s="6">
        <v>11.61</v>
      </c>
    </row>
    <row r="138" spans="1:3" x14ac:dyDescent="0.25">
      <c r="A138" s="4">
        <v>35989</v>
      </c>
      <c r="B138" s="5">
        <f>_xlfn.XLOOKUP(A138,bunker_daily_raw!$A$2:$A$3819,bunker_daily_raw!$B$2:$B$3819)</f>
        <v>64.5</v>
      </c>
      <c r="C138" s="6">
        <v>11.56</v>
      </c>
    </row>
    <row r="139" spans="1:3" x14ac:dyDescent="0.25">
      <c r="A139" s="4">
        <v>35990</v>
      </c>
      <c r="B139" s="5">
        <f>_xlfn.XLOOKUP(A139,bunker_daily_raw!$A$2:$A$3819,bunker_daily_raw!$B$2:$B$3819)</f>
        <v>63.5</v>
      </c>
      <c r="C139" s="6">
        <v>11.83</v>
      </c>
    </row>
    <row r="140" spans="1:3" x14ac:dyDescent="0.25">
      <c r="A140" s="4">
        <v>35991</v>
      </c>
      <c r="B140" s="5">
        <f>_xlfn.XLOOKUP(A140,bunker_daily_raw!$A$2:$A$3819,bunker_daily_raw!$B$2:$B$3819)</f>
        <v>65</v>
      </c>
      <c r="C140" s="6">
        <v>11.79</v>
      </c>
    </row>
    <row r="141" spans="1:3" x14ac:dyDescent="0.25">
      <c r="A141" s="4">
        <v>35992</v>
      </c>
      <c r="B141" s="5">
        <f>_xlfn.XLOOKUP(A141,bunker_daily_raw!$A$2:$A$3819,bunker_daily_raw!$B$2:$B$3819)</f>
        <v>64.25</v>
      </c>
      <c r="C141" s="6">
        <v>12.65</v>
      </c>
    </row>
    <row r="142" spans="1:3" x14ac:dyDescent="0.25">
      <c r="A142" s="4">
        <v>35993</v>
      </c>
      <c r="B142" s="5">
        <f>_xlfn.XLOOKUP(A142,bunker_daily_raw!$A$2:$A$3819,bunker_daily_raw!$B$2:$B$3819)</f>
        <v>63.5</v>
      </c>
      <c r="C142" s="6">
        <v>12.38</v>
      </c>
    </row>
    <row r="143" spans="1:3" x14ac:dyDescent="0.25">
      <c r="A143" s="4">
        <v>35996</v>
      </c>
      <c r="B143" s="5">
        <f>_xlfn.XLOOKUP(A143,bunker_daily_raw!$A$2:$A$3819,bunker_daily_raw!$B$2:$B$3819)</f>
        <v>63</v>
      </c>
      <c r="C143" s="6">
        <v>12.11</v>
      </c>
    </row>
    <row r="144" spans="1:3" x14ac:dyDescent="0.25">
      <c r="A144" s="4">
        <v>35997</v>
      </c>
      <c r="B144" s="5">
        <f>_xlfn.XLOOKUP(A144,bunker_daily_raw!$A$2:$A$3819,bunker_daily_raw!$B$2:$B$3819)</f>
        <v>62.75</v>
      </c>
      <c r="C144" s="6">
        <v>12.01</v>
      </c>
    </row>
    <row r="145" spans="1:3" x14ac:dyDescent="0.25">
      <c r="A145" s="4">
        <v>35998</v>
      </c>
      <c r="B145" s="5">
        <f>_xlfn.XLOOKUP(A145,bunker_daily_raw!$A$2:$A$3819,bunker_daily_raw!$B$2:$B$3819)</f>
        <v>60.75</v>
      </c>
      <c r="C145" s="6">
        <v>12.21</v>
      </c>
    </row>
    <row r="146" spans="1:3" x14ac:dyDescent="0.25">
      <c r="A146" s="4">
        <v>35999</v>
      </c>
      <c r="B146" s="5">
        <f>_xlfn.XLOOKUP(A146,bunker_daily_raw!$A$2:$A$3819,bunker_daily_raw!$B$2:$B$3819)</f>
        <v>58.25</v>
      </c>
      <c r="C146" s="6">
        <v>12.23</v>
      </c>
    </row>
    <row r="147" spans="1:3" x14ac:dyDescent="0.25">
      <c r="A147" s="4">
        <v>36000</v>
      </c>
      <c r="B147" s="5">
        <f>_xlfn.XLOOKUP(A147,bunker_daily_raw!$A$2:$A$3819,bunker_daily_raw!$B$2:$B$3819)</f>
        <v>60.5</v>
      </c>
      <c r="C147" s="6">
        <v>12.05</v>
      </c>
    </row>
    <row r="148" spans="1:3" x14ac:dyDescent="0.25">
      <c r="A148" s="4">
        <v>36003</v>
      </c>
      <c r="B148" s="5">
        <f>_xlfn.XLOOKUP(A148,bunker_daily_raw!$A$2:$A$3819,bunker_daily_raw!$B$2:$B$3819)</f>
        <v>60</v>
      </c>
      <c r="C148" s="6">
        <v>12.53</v>
      </c>
    </row>
    <row r="149" spans="1:3" x14ac:dyDescent="0.25">
      <c r="A149" s="4">
        <v>36004</v>
      </c>
      <c r="B149" s="5">
        <f>_xlfn.XLOOKUP(A149,bunker_daily_raw!$A$2:$A$3819,bunker_daily_raw!$B$2:$B$3819)</f>
        <v>61.5</v>
      </c>
      <c r="C149" s="6">
        <v>12.74</v>
      </c>
    </row>
    <row r="150" spans="1:3" x14ac:dyDescent="0.25">
      <c r="A150" s="4">
        <v>36005</v>
      </c>
      <c r="B150" s="5">
        <f>_xlfn.XLOOKUP(A150,bunker_daily_raw!$A$2:$A$3819,bunker_daily_raw!$B$2:$B$3819)</f>
        <v>62</v>
      </c>
      <c r="C150" s="6">
        <v>12.6</v>
      </c>
    </row>
    <row r="151" spans="1:3" x14ac:dyDescent="0.25">
      <c r="A151" s="4">
        <v>36006</v>
      </c>
      <c r="B151" s="5">
        <f>_xlfn.XLOOKUP(A151,bunker_daily_raw!$A$2:$A$3819,bunker_daily_raw!$B$2:$B$3819)</f>
        <v>61.5</v>
      </c>
      <c r="C151" s="6">
        <v>12.55</v>
      </c>
    </row>
    <row r="152" spans="1:3" x14ac:dyDescent="0.25">
      <c r="A152" s="4">
        <v>36007</v>
      </c>
      <c r="B152" s="5">
        <f>_xlfn.XLOOKUP(A152,bunker_daily_raw!$A$2:$A$3819,bunker_daily_raw!$B$2:$B$3819)</f>
        <v>59.5</v>
      </c>
      <c r="C152" s="6">
        <v>12.63</v>
      </c>
    </row>
    <row r="153" spans="1:3" x14ac:dyDescent="0.25">
      <c r="A153" s="4">
        <v>36010</v>
      </c>
      <c r="B153" s="5">
        <f>_xlfn.XLOOKUP(A153,bunker_daily_raw!$A$2:$A$3819,bunker_daily_raw!$B$2:$B$3819)</f>
        <v>58.25</v>
      </c>
      <c r="C153" s="6">
        <v>12.04</v>
      </c>
    </row>
    <row r="154" spans="1:3" x14ac:dyDescent="0.25">
      <c r="A154" s="4">
        <v>36011</v>
      </c>
      <c r="B154" s="5">
        <f>_xlfn.XLOOKUP(A154,bunker_daily_raw!$A$2:$A$3819,bunker_daily_raw!$B$2:$B$3819)</f>
        <v>58</v>
      </c>
      <c r="C154" s="6">
        <v>12.03</v>
      </c>
    </row>
    <row r="155" spans="1:3" x14ac:dyDescent="0.25">
      <c r="A155" s="4">
        <v>36012</v>
      </c>
      <c r="B155" s="5">
        <f>_xlfn.XLOOKUP(A155,bunker_daily_raw!$A$2:$A$3819,bunker_daily_raw!$B$2:$B$3819)</f>
        <v>56</v>
      </c>
      <c r="C155" s="6">
        <v>12.32</v>
      </c>
    </row>
    <row r="156" spans="1:3" x14ac:dyDescent="0.25">
      <c r="A156" s="4">
        <v>36013</v>
      </c>
      <c r="B156" s="5">
        <f>_xlfn.XLOOKUP(A156,bunker_daily_raw!$A$2:$A$3819,bunker_daily_raw!$B$2:$B$3819)</f>
        <v>56.75</v>
      </c>
      <c r="C156" s="6">
        <v>12.08</v>
      </c>
    </row>
    <row r="157" spans="1:3" x14ac:dyDescent="0.25">
      <c r="A157" s="4">
        <v>36014</v>
      </c>
      <c r="B157" s="5">
        <f>_xlfn.XLOOKUP(A157,bunker_daily_raw!$A$2:$A$3819,bunker_daily_raw!$B$2:$B$3819)</f>
        <v>56.75</v>
      </c>
      <c r="C157" s="6">
        <v>12.05</v>
      </c>
    </row>
    <row r="158" spans="1:3" x14ac:dyDescent="0.25">
      <c r="A158" s="4">
        <v>36017</v>
      </c>
      <c r="B158" s="5" t="e">
        <f>_xlfn.XLOOKUP(A158,bunker_daily_raw!$A$2:$A$3819,bunker_daily_raw!$B$2:$B$3819)</f>
        <v>#N/A</v>
      </c>
      <c r="C158" s="6">
        <v>11.62</v>
      </c>
    </row>
    <row r="159" spans="1:3" x14ac:dyDescent="0.25">
      <c r="A159" s="4">
        <v>36018</v>
      </c>
      <c r="B159" s="5">
        <f>_xlfn.XLOOKUP(A159,bunker_daily_raw!$A$2:$A$3819,bunker_daily_raw!$B$2:$B$3819)</f>
        <v>55.25</v>
      </c>
      <c r="C159" s="6">
        <v>11.16</v>
      </c>
    </row>
    <row r="160" spans="1:3" x14ac:dyDescent="0.25">
      <c r="A160" s="4">
        <v>36019</v>
      </c>
      <c r="B160" s="5">
        <f>_xlfn.XLOOKUP(A160,bunker_daily_raw!$A$2:$A$3819,bunker_daily_raw!$B$2:$B$3819)</f>
        <v>54</v>
      </c>
      <c r="C160" s="6">
        <v>11.24</v>
      </c>
    </row>
    <row r="161" spans="1:3" x14ac:dyDescent="0.25">
      <c r="A161" s="4">
        <v>36020</v>
      </c>
      <c r="B161" s="5">
        <f>_xlfn.XLOOKUP(A161,bunker_daily_raw!$A$2:$A$3819,bunker_daily_raw!$B$2:$B$3819)</f>
        <v>54.25</v>
      </c>
      <c r="C161" s="6">
        <v>11.48</v>
      </c>
    </row>
    <row r="162" spans="1:3" x14ac:dyDescent="0.25">
      <c r="A162" s="4">
        <v>36021</v>
      </c>
      <c r="B162" s="5">
        <f>_xlfn.XLOOKUP(A162,bunker_daily_raw!$A$2:$A$3819,bunker_daily_raw!$B$2:$B$3819)</f>
        <v>55.25</v>
      </c>
      <c r="C162" s="6">
        <v>11.46</v>
      </c>
    </row>
    <row r="163" spans="1:3" x14ac:dyDescent="0.25">
      <c r="A163" s="4">
        <v>36024</v>
      </c>
      <c r="B163" s="5">
        <f>_xlfn.XLOOKUP(A163,bunker_daily_raw!$A$2:$A$3819,bunker_daily_raw!$B$2:$B$3819)</f>
        <v>58.5</v>
      </c>
      <c r="C163" s="6">
        <v>11.93</v>
      </c>
    </row>
    <row r="164" spans="1:3" x14ac:dyDescent="0.25">
      <c r="A164" s="4">
        <v>36025</v>
      </c>
      <c r="B164" s="5">
        <f>_xlfn.XLOOKUP(A164,bunker_daily_raw!$A$2:$A$3819,bunker_daily_raw!$B$2:$B$3819)</f>
        <v>61.25</v>
      </c>
      <c r="C164" s="6">
        <v>11.87</v>
      </c>
    </row>
    <row r="165" spans="1:3" x14ac:dyDescent="0.25">
      <c r="A165" s="4">
        <v>36026</v>
      </c>
      <c r="B165" s="5">
        <f>_xlfn.XLOOKUP(A165,bunker_daily_raw!$A$2:$A$3819,bunker_daily_raw!$B$2:$B$3819)</f>
        <v>60.25</v>
      </c>
      <c r="C165" s="6">
        <v>11.99</v>
      </c>
    </row>
    <row r="166" spans="1:3" x14ac:dyDescent="0.25">
      <c r="A166" s="4">
        <v>36027</v>
      </c>
      <c r="B166" s="5">
        <f>_xlfn.XLOOKUP(A166,bunker_daily_raw!$A$2:$A$3819,bunker_daily_raw!$B$2:$B$3819)</f>
        <v>59.75</v>
      </c>
      <c r="C166" s="6">
        <v>12.21</v>
      </c>
    </row>
    <row r="167" spans="1:3" x14ac:dyDescent="0.25">
      <c r="A167" s="4">
        <v>36028</v>
      </c>
      <c r="B167" s="5">
        <f>_xlfn.XLOOKUP(A167,bunker_daily_raw!$A$2:$A$3819,bunker_daily_raw!$B$2:$B$3819)</f>
        <v>60</v>
      </c>
      <c r="C167" s="6">
        <v>12.02</v>
      </c>
    </row>
    <row r="168" spans="1:3" x14ac:dyDescent="0.25">
      <c r="A168" s="4">
        <v>36031</v>
      </c>
      <c r="B168" s="5">
        <f>_xlfn.XLOOKUP(A168,bunker_daily_raw!$A$2:$A$3819,bunker_daily_raw!$B$2:$B$3819)</f>
        <v>62</v>
      </c>
      <c r="C168" s="6">
        <v>12.15</v>
      </c>
    </row>
    <row r="169" spans="1:3" x14ac:dyDescent="0.25">
      <c r="A169" s="4">
        <v>36032</v>
      </c>
      <c r="B169" s="5">
        <f>_xlfn.XLOOKUP(A169,bunker_daily_raw!$A$2:$A$3819,bunker_daily_raw!$B$2:$B$3819)</f>
        <v>66</v>
      </c>
      <c r="C169" s="6">
        <v>12.43</v>
      </c>
    </row>
    <row r="170" spans="1:3" x14ac:dyDescent="0.25">
      <c r="A170" s="4">
        <v>36033</v>
      </c>
      <c r="B170" s="5">
        <f>_xlfn.XLOOKUP(A170,bunker_daily_raw!$A$2:$A$3819,bunker_daily_raw!$B$2:$B$3819)</f>
        <v>65.25</v>
      </c>
      <c r="C170" s="6">
        <v>12.24</v>
      </c>
    </row>
    <row r="171" spans="1:3" x14ac:dyDescent="0.25">
      <c r="A171" s="4">
        <v>36034</v>
      </c>
      <c r="B171" s="5">
        <f>_xlfn.XLOOKUP(A171,bunker_daily_raw!$A$2:$A$3819,bunker_daily_raw!$B$2:$B$3819)</f>
        <v>64.5</v>
      </c>
      <c r="C171" s="6">
        <v>11.9</v>
      </c>
    </row>
    <row r="172" spans="1:3" x14ac:dyDescent="0.25">
      <c r="A172" s="4">
        <v>36035</v>
      </c>
      <c r="B172" s="5">
        <f>_xlfn.XLOOKUP(A172,bunker_daily_raw!$A$2:$A$3819,bunker_daily_raw!$B$2:$B$3819)</f>
        <v>66</v>
      </c>
      <c r="C172" s="6">
        <v>12.06</v>
      </c>
    </row>
    <row r="173" spans="1:3" x14ac:dyDescent="0.25">
      <c r="A173" s="4">
        <v>36038</v>
      </c>
      <c r="B173" s="5">
        <f>_xlfn.XLOOKUP(A173,bunker_daily_raw!$A$2:$A$3819,bunker_daily_raw!$B$2:$B$3819)</f>
        <v>66.25</v>
      </c>
      <c r="C173" s="5"/>
    </row>
    <row r="174" spans="1:3" x14ac:dyDescent="0.25">
      <c r="A174" s="4">
        <v>36039</v>
      </c>
      <c r="B174" s="5">
        <f>_xlfn.XLOOKUP(A174,bunker_daily_raw!$A$2:$A$3819,bunker_daily_raw!$B$2:$B$3819)</f>
        <v>67</v>
      </c>
      <c r="C174" s="6">
        <v>12.11</v>
      </c>
    </row>
    <row r="175" spans="1:3" x14ac:dyDescent="0.25">
      <c r="A175" s="4">
        <v>36040</v>
      </c>
      <c r="B175" s="5">
        <f>_xlfn.XLOOKUP(A175,bunker_daily_raw!$A$2:$A$3819,bunker_daily_raw!$B$2:$B$3819)</f>
        <v>70.75</v>
      </c>
      <c r="C175" s="6">
        <v>12.05</v>
      </c>
    </row>
    <row r="176" spans="1:3" x14ac:dyDescent="0.25">
      <c r="A176" s="4">
        <v>36041</v>
      </c>
      <c r="B176" s="5">
        <f>_xlfn.XLOOKUP(A176,bunker_daily_raw!$A$2:$A$3819,bunker_daily_raw!$B$2:$B$3819)</f>
        <v>69</v>
      </c>
      <c r="C176" s="6">
        <v>12.54</v>
      </c>
    </row>
    <row r="177" spans="1:3" x14ac:dyDescent="0.25">
      <c r="A177" s="4">
        <v>36042</v>
      </c>
      <c r="B177" s="5">
        <f>_xlfn.XLOOKUP(A177,bunker_daily_raw!$A$2:$A$3819,bunker_daily_raw!$B$2:$B$3819)</f>
        <v>71</v>
      </c>
      <c r="C177" s="6">
        <v>12.96</v>
      </c>
    </row>
    <row r="178" spans="1:3" x14ac:dyDescent="0.25">
      <c r="A178" s="4">
        <v>36045</v>
      </c>
      <c r="B178" s="5">
        <f>_xlfn.XLOOKUP(A178,bunker_daily_raw!$A$2:$A$3819,bunker_daily_raw!$B$2:$B$3819)</f>
        <v>70</v>
      </c>
      <c r="C178" s="6">
        <v>12.51</v>
      </c>
    </row>
    <row r="179" spans="1:3" x14ac:dyDescent="0.25">
      <c r="A179" s="4">
        <v>36046</v>
      </c>
      <c r="B179" s="5">
        <f>_xlfn.XLOOKUP(A179,bunker_daily_raw!$A$2:$A$3819,bunker_daily_raw!$B$2:$B$3819)</f>
        <v>70.75</v>
      </c>
      <c r="C179" s="6">
        <v>12.53</v>
      </c>
    </row>
    <row r="180" spans="1:3" x14ac:dyDescent="0.25">
      <c r="A180" s="4">
        <v>36047</v>
      </c>
      <c r="B180" s="5">
        <f>_xlfn.XLOOKUP(A180,bunker_daily_raw!$A$2:$A$3819,bunker_daily_raw!$B$2:$B$3819)</f>
        <v>71</v>
      </c>
      <c r="C180" s="6">
        <v>12.53</v>
      </c>
    </row>
    <row r="181" spans="1:3" x14ac:dyDescent="0.25">
      <c r="A181" s="4">
        <v>36048</v>
      </c>
      <c r="B181" s="5">
        <f>_xlfn.XLOOKUP(A181,bunker_daily_raw!$A$2:$A$3819,bunker_daily_raw!$B$2:$B$3819)</f>
        <v>71.75</v>
      </c>
      <c r="C181" s="6">
        <v>12.82</v>
      </c>
    </row>
    <row r="182" spans="1:3" x14ac:dyDescent="0.25">
      <c r="A182" s="4">
        <v>36049</v>
      </c>
      <c r="B182" s="5">
        <f>_xlfn.XLOOKUP(A182,bunker_daily_raw!$A$2:$A$3819,bunker_daily_raw!$B$2:$B$3819)</f>
        <v>71.5</v>
      </c>
      <c r="C182" s="6">
        <v>12.66</v>
      </c>
    </row>
    <row r="183" spans="1:3" x14ac:dyDescent="0.25">
      <c r="A183" s="4">
        <v>36052</v>
      </c>
      <c r="B183" s="5">
        <f>_xlfn.XLOOKUP(A183,bunker_daily_raw!$A$2:$A$3819,bunker_daily_raw!$B$2:$B$3819)</f>
        <v>71.5</v>
      </c>
      <c r="C183" s="6">
        <v>12.47</v>
      </c>
    </row>
    <row r="184" spans="1:3" x14ac:dyDescent="0.25">
      <c r="A184" s="4">
        <v>36053</v>
      </c>
      <c r="B184" s="5">
        <f>_xlfn.XLOOKUP(A184,bunker_daily_raw!$A$2:$A$3819,bunker_daily_raw!$B$2:$B$3819)</f>
        <v>70</v>
      </c>
      <c r="C184" s="6">
        <v>12.61</v>
      </c>
    </row>
    <row r="185" spans="1:3" x14ac:dyDescent="0.25">
      <c r="A185" s="4">
        <v>36054</v>
      </c>
      <c r="B185" s="5">
        <f>_xlfn.XLOOKUP(A185,bunker_daily_raw!$A$2:$A$3819,bunker_daily_raw!$B$2:$B$3819)</f>
        <v>70</v>
      </c>
      <c r="C185" s="6">
        <v>12.65</v>
      </c>
    </row>
    <row r="186" spans="1:3" x14ac:dyDescent="0.25">
      <c r="A186" s="4">
        <v>36055</v>
      </c>
      <c r="B186" s="5">
        <f>_xlfn.XLOOKUP(A186,bunker_daily_raw!$A$2:$A$3819,bunker_daily_raw!$B$2:$B$3819)</f>
        <v>70.25</v>
      </c>
      <c r="C186" s="6">
        <v>12.97</v>
      </c>
    </row>
    <row r="187" spans="1:3" x14ac:dyDescent="0.25">
      <c r="A187" s="4">
        <v>36056</v>
      </c>
      <c r="B187" s="5">
        <f>_xlfn.XLOOKUP(A187,bunker_daily_raw!$A$2:$A$3819,bunker_daily_raw!$B$2:$B$3819)</f>
        <v>68.75</v>
      </c>
      <c r="C187" s="6">
        <v>13.92</v>
      </c>
    </row>
    <row r="188" spans="1:3" x14ac:dyDescent="0.25">
      <c r="A188" s="4">
        <v>36059</v>
      </c>
      <c r="B188" s="5">
        <f>_xlfn.XLOOKUP(A188,bunker_daily_raw!$A$2:$A$3819,bunker_daily_raw!$B$2:$B$3819)</f>
        <v>66.5</v>
      </c>
      <c r="C188" s="6">
        <v>14.31</v>
      </c>
    </row>
    <row r="189" spans="1:3" x14ac:dyDescent="0.25">
      <c r="A189" s="4">
        <v>36060</v>
      </c>
      <c r="B189" s="5">
        <f>_xlfn.XLOOKUP(A189,bunker_daily_raw!$A$2:$A$3819,bunker_daily_raw!$B$2:$B$3819)</f>
        <v>66.5</v>
      </c>
      <c r="C189" s="6">
        <v>14.36</v>
      </c>
    </row>
    <row r="190" spans="1:3" x14ac:dyDescent="0.25">
      <c r="A190" s="4">
        <v>36061</v>
      </c>
      <c r="B190" s="5">
        <f>_xlfn.XLOOKUP(A190,bunker_daily_raw!$A$2:$A$3819,bunker_daily_raw!$B$2:$B$3819)</f>
        <v>67.5</v>
      </c>
      <c r="C190" s="6">
        <v>14.67</v>
      </c>
    </row>
    <row r="191" spans="1:3" x14ac:dyDescent="0.25">
      <c r="A191" s="4">
        <v>36062</v>
      </c>
      <c r="B191" s="5">
        <f>_xlfn.XLOOKUP(A191,bunker_daily_raw!$A$2:$A$3819,bunker_daily_raw!$B$2:$B$3819)</f>
        <v>67.25</v>
      </c>
      <c r="C191" s="6">
        <v>14.84</v>
      </c>
    </row>
    <row r="192" spans="1:3" x14ac:dyDescent="0.25">
      <c r="A192" s="4">
        <v>36063</v>
      </c>
      <c r="B192" s="5">
        <f>_xlfn.XLOOKUP(A192,bunker_daily_raw!$A$2:$A$3819,bunker_daily_raw!$B$2:$B$3819)</f>
        <v>65.75</v>
      </c>
      <c r="C192" s="6">
        <v>14.55</v>
      </c>
    </row>
    <row r="193" spans="1:3" x14ac:dyDescent="0.25">
      <c r="A193" s="4">
        <v>36066</v>
      </c>
      <c r="B193" s="5">
        <f>_xlfn.XLOOKUP(A193,bunker_daily_raw!$A$2:$A$3819,bunker_daily_raw!$B$2:$B$3819)</f>
        <v>64.25</v>
      </c>
      <c r="C193" s="6">
        <v>14.41</v>
      </c>
    </row>
    <row r="194" spans="1:3" x14ac:dyDescent="0.25">
      <c r="A194" s="4">
        <v>36067</v>
      </c>
      <c r="B194" s="5">
        <f>_xlfn.XLOOKUP(A194,bunker_daily_raw!$A$2:$A$3819,bunker_daily_raw!$B$2:$B$3819)</f>
        <v>64.5</v>
      </c>
      <c r="C194" s="6">
        <v>14.38</v>
      </c>
    </row>
    <row r="195" spans="1:3" x14ac:dyDescent="0.25">
      <c r="A195" s="4">
        <v>36068</v>
      </c>
      <c r="B195" s="5">
        <f>_xlfn.XLOOKUP(A195,bunker_daily_raw!$A$2:$A$3819,bunker_daily_raw!$B$2:$B$3819)</f>
        <v>64.5</v>
      </c>
      <c r="C195" s="6">
        <v>14.71</v>
      </c>
    </row>
    <row r="196" spans="1:3" x14ac:dyDescent="0.25">
      <c r="A196" s="4">
        <v>36069</v>
      </c>
      <c r="B196" s="5">
        <f>_xlfn.XLOOKUP(A196,bunker_daily_raw!$A$2:$A$3819,bunker_daily_raw!$B$2:$B$3819)</f>
        <v>62</v>
      </c>
      <c r="C196" s="6">
        <v>14.46</v>
      </c>
    </row>
    <row r="197" spans="1:3" x14ac:dyDescent="0.25">
      <c r="A197" s="4">
        <v>36070</v>
      </c>
      <c r="B197" s="5">
        <f>_xlfn.XLOOKUP(A197,bunker_daily_raw!$A$2:$A$3819,bunker_daily_raw!$B$2:$B$3819)</f>
        <v>63.75</v>
      </c>
      <c r="C197" s="6">
        <v>14.21</v>
      </c>
    </row>
    <row r="198" spans="1:3" x14ac:dyDescent="0.25">
      <c r="A198" s="4">
        <v>36073</v>
      </c>
      <c r="B198" s="5">
        <f>_xlfn.XLOOKUP(A198,bunker_daily_raw!$A$2:$A$3819,bunker_daily_raw!$B$2:$B$3819)</f>
        <v>64.5</v>
      </c>
      <c r="C198" s="6">
        <v>14.1</v>
      </c>
    </row>
    <row r="199" spans="1:3" x14ac:dyDescent="0.25">
      <c r="A199" s="4">
        <v>36074</v>
      </c>
      <c r="B199" s="5">
        <f>_xlfn.XLOOKUP(A199,bunker_daily_raw!$A$2:$A$3819,bunker_daily_raw!$B$2:$B$3819)</f>
        <v>65.75</v>
      </c>
      <c r="C199" s="6">
        <v>13.98</v>
      </c>
    </row>
    <row r="200" spans="1:3" x14ac:dyDescent="0.25">
      <c r="A200" s="4">
        <v>36075</v>
      </c>
      <c r="B200" s="5">
        <f>_xlfn.XLOOKUP(A200,bunker_daily_raw!$A$2:$A$3819,bunker_daily_raw!$B$2:$B$3819)</f>
        <v>65.75</v>
      </c>
      <c r="C200" s="6">
        <v>13.88</v>
      </c>
    </row>
    <row r="201" spans="1:3" x14ac:dyDescent="0.25">
      <c r="A201" s="4">
        <v>36076</v>
      </c>
      <c r="B201" s="5">
        <f>_xlfn.XLOOKUP(A201,bunker_daily_raw!$A$2:$A$3819,bunker_daily_raw!$B$2:$B$3819)</f>
        <v>65.5</v>
      </c>
      <c r="C201" s="6">
        <v>13.23</v>
      </c>
    </row>
    <row r="202" spans="1:3" x14ac:dyDescent="0.25">
      <c r="A202" s="4">
        <v>36077</v>
      </c>
      <c r="B202" s="5">
        <f>_xlfn.XLOOKUP(A202,bunker_daily_raw!$A$2:$A$3819,bunker_daily_raw!$B$2:$B$3819)</f>
        <v>63.75</v>
      </c>
      <c r="C202" s="6">
        <v>12.87</v>
      </c>
    </row>
    <row r="203" spans="1:3" x14ac:dyDescent="0.25">
      <c r="A203" s="4">
        <v>36080</v>
      </c>
      <c r="B203" s="5">
        <f>_xlfn.XLOOKUP(A203,bunker_daily_raw!$A$2:$A$3819,bunker_daily_raw!$B$2:$B$3819)</f>
        <v>63.25</v>
      </c>
      <c r="C203" s="6">
        <v>13.18</v>
      </c>
    </row>
    <row r="204" spans="1:3" x14ac:dyDescent="0.25">
      <c r="A204" s="4">
        <v>36081</v>
      </c>
      <c r="B204" s="5">
        <f>_xlfn.XLOOKUP(A204,bunker_daily_raw!$A$2:$A$3819,bunker_daily_raw!$B$2:$B$3819)</f>
        <v>62.5</v>
      </c>
      <c r="C204" s="6">
        <v>12.73</v>
      </c>
    </row>
    <row r="205" spans="1:3" x14ac:dyDescent="0.25">
      <c r="A205" s="4">
        <v>36082</v>
      </c>
      <c r="B205" s="5">
        <f>_xlfn.XLOOKUP(A205,bunker_daily_raw!$A$2:$A$3819,bunker_daily_raw!$B$2:$B$3819)</f>
        <v>63.75</v>
      </c>
      <c r="C205" s="6">
        <v>12.26</v>
      </c>
    </row>
    <row r="206" spans="1:3" x14ac:dyDescent="0.25">
      <c r="A206" s="4">
        <v>36083</v>
      </c>
      <c r="B206" s="5">
        <f>_xlfn.XLOOKUP(A206,bunker_daily_raw!$A$2:$A$3819,bunker_daily_raw!$B$2:$B$3819)</f>
        <v>62.25</v>
      </c>
      <c r="C206" s="6">
        <v>11.98</v>
      </c>
    </row>
    <row r="207" spans="1:3" x14ac:dyDescent="0.25">
      <c r="A207" s="4">
        <v>36084</v>
      </c>
      <c r="B207" s="5">
        <f>_xlfn.XLOOKUP(A207,bunker_daily_raw!$A$2:$A$3819,bunker_daily_raw!$B$2:$B$3819)</f>
        <v>60.75</v>
      </c>
      <c r="C207" s="6">
        <v>12.11</v>
      </c>
    </row>
    <row r="208" spans="1:3" x14ac:dyDescent="0.25">
      <c r="A208" s="4">
        <v>36087</v>
      </c>
      <c r="B208" s="5" t="e">
        <f>_xlfn.XLOOKUP(A208,bunker_daily_raw!$A$2:$A$3819,bunker_daily_raw!$B$2:$B$3819)</f>
        <v>#N/A</v>
      </c>
      <c r="C208" s="6">
        <v>11.6</v>
      </c>
    </row>
    <row r="209" spans="1:3" x14ac:dyDescent="0.25">
      <c r="A209" s="4">
        <v>36088</v>
      </c>
      <c r="B209" s="5">
        <f>_xlfn.XLOOKUP(A209,bunker_daily_raw!$A$2:$A$3819,bunker_daily_raw!$B$2:$B$3819)</f>
        <v>60.5</v>
      </c>
      <c r="C209" s="6">
        <v>11.29</v>
      </c>
    </row>
    <row r="210" spans="1:3" x14ac:dyDescent="0.25">
      <c r="A210" s="4">
        <v>36089</v>
      </c>
      <c r="B210" s="5">
        <f>_xlfn.XLOOKUP(A210,bunker_daily_raw!$A$2:$A$3819,bunker_daily_raw!$B$2:$B$3819)</f>
        <v>61.75</v>
      </c>
      <c r="C210" s="6">
        <v>11.94</v>
      </c>
    </row>
    <row r="211" spans="1:3" x14ac:dyDescent="0.25">
      <c r="A211" s="4">
        <v>36090</v>
      </c>
      <c r="B211" s="5">
        <f>_xlfn.XLOOKUP(A211,bunker_daily_raw!$A$2:$A$3819,bunker_daily_raw!$B$2:$B$3819)</f>
        <v>60.75</v>
      </c>
      <c r="C211" s="6">
        <v>11.68</v>
      </c>
    </row>
    <row r="212" spans="1:3" x14ac:dyDescent="0.25">
      <c r="A212" s="4">
        <v>36091</v>
      </c>
      <c r="B212" s="5">
        <f>_xlfn.XLOOKUP(A212,bunker_daily_raw!$A$2:$A$3819,bunker_daily_raw!$B$2:$B$3819)</f>
        <v>58.5</v>
      </c>
      <c r="C212" s="6">
        <v>12.18</v>
      </c>
    </row>
    <row r="213" spans="1:3" x14ac:dyDescent="0.25">
      <c r="A213" s="4">
        <v>36094</v>
      </c>
      <c r="B213" s="5">
        <f>_xlfn.XLOOKUP(A213,bunker_daily_raw!$A$2:$A$3819,bunker_daily_raw!$B$2:$B$3819)</f>
        <v>59.25</v>
      </c>
      <c r="C213" s="6">
        <v>12.74</v>
      </c>
    </row>
    <row r="214" spans="1:3" x14ac:dyDescent="0.25">
      <c r="A214" s="4">
        <v>36095</v>
      </c>
      <c r="B214" s="5">
        <f>_xlfn.XLOOKUP(A214,bunker_daily_raw!$A$2:$A$3819,bunker_daily_raw!$B$2:$B$3819)</f>
        <v>61.5</v>
      </c>
      <c r="C214" s="6">
        <v>12.46</v>
      </c>
    </row>
    <row r="215" spans="1:3" x14ac:dyDescent="0.25">
      <c r="A215" s="4">
        <v>36096</v>
      </c>
      <c r="B215" s="5">
        <f>_xlfn.XLOOKUP(A215,bunker_daily_raw!$A$2:$A$3819,bunker_daily_raw!$B$2:$B$3819)</f>
        <v>61.5</v>
      </c>
      <c r="C215" s="6">
        <v>12.26</v>
      </c>
    </row>
    <row r="216" spans="1:3" x14ac:dyDescent="0.25">
      <c r="A216" s="4">
        <v>36097</v>
      </c>
      <c r="B216" s="5">
        <f>_xlfn.XLOOKUP(A216,bunker_daily_raw!$A$2:$A$3819,bunker_daily_raw!$B$2:$B$3819)</f>
        <v>57</v>
      </c>
      <c r="C216" s="6">
        <v>12.31</v>
      </c>
    </row>
    <row r="217" spans="1:3" x14ac:dyDescent="0.25">
      <c r="A217" s="4">
        <v>36098</v>
      </c>
      <c r="B217" s="5">
        <f>_xlfn.XLOOKUP(A217,bunker_daily_raw!$A$2:$A$3819,bunker_daily_raw!$B$2:$B$3819)</f>
        <v>55.5</v>
      </c>
      <c r="C217" s="6">
        <v>12</v>
      </c>
    </row>
    <row r="218" spans="1:3" x14ac:dyDescent="0.25">
      <c r="A218" s="4">
        <v>36101</v>
      </c>
      <c r="B218" s="5">
        <f>_xlfn.XLOOKUP(A218,bunker_daily_raw!$A$2:$A$3819,bunker_daily_raw!$B$2:$B$3819)</f>
        <v>55.5</v>
      </c>
      <c r="C218" s="6">
        <v>12.43</v>
      </c>
    </row>
    <row r="219" spans="1:3" x14ac:dyDescent="0.25">
      <c r="A219" s="4">
        <v>36102</v>
      </c>
      <c r="B219" s="5">
        <f>_xlfn.XLOOKUP(A219,bunker_daily_raw!$A$2:$A$3819,bunker_daily_raw!$B$2:$B$3819)</f>
        <v>56.75</v>
      </c>
      <c r="C219" s="6">
        <v>11.93</v>
      </c>
    </row>
    <row r="220" spans="1:3" x14ac:dyDescent="0.25">
      <c r="A220" s="4">
        <v>36103</v>
      </c>
      <c r="B220" s="5">
        <f>_xlfn.XLOOKUP(A220,bunker_daily_raw!$A$2:$A$3819,bunker_daily_raw!$B$2:$B$3819)</f>
        <v>54.75</v>
      </c>
      <c r="C220" s="6">
        <v>11.88</v>
      </c>
    </row>
    <row r="221" spans="1:3" x14ac:dyDescent="0.25">
      <c r="A221" s="4">
        <v>36104</v>
      </c>
      <c r="B221" s="5">
        <f>_xlfn.XLOOKUP(A221,bunker_daily_raw!$A$2:$A$3819,bunker_daily_raw!$B$2:$B$3819)</f>
        <v>55.5</v>
      </c>
      <c r="C221" s="6">
        <v>11.73</v>
      </c>
    </row>
    <row r="222" spans="1:3" x14ac:dyDescent="0.25">
      <c r="A222" s="4">
        <v>36105</v>
      </c>
      <c r="B222" s="5">
        <f>_xlfn.XLOOKUP(A222,bunker_daily_raw!$A$2:$A$3819,bunker_daily_raw!$B$2:$B$3819)</f>
        <v>54</v>
      </c>
      <c r="C222" s="6">
        <v>11.51</v>
      </c>
    </row>
    <row r="223" spans="1:3" x14ac:dyDescent="0.25">
      <c r="A223" s="4">
        <v>36108</v>
      </c>
      <c r="B223" s="5">
        <f>_xlfn.XLOOKUP(A223,bunker_daily_raw!$A$2:$A$3819,bunker_daily_raw!$B$2:$B$3819)</f>
        <v>51</v>
      </c>
      <c r="C223" s="6">
        <v>11.15</v>
      </c>
    </row>
    <row r="224" spans="1:3" x14ac:dyDescent="0.25">
      <c r="A224" s="4">
        <v>36109</v>
      </c>
      <c r="B224" s="5">
        <f>_xlfn.XLOOKUP(A224,bunker_daily_raw!$A$2:$A$3819,bunker_daily_raw!$B$2:$B$3819)</f>
        <v>51.5</v>
      </c>
      <c r="C224" s="6">
        <v>11.18</v>
      </c>
    </row>
    <row r="225" spans="1:3" x14ac:dyDescent="0.25">
      <c r="A225" s="4">
        <v>36110</v>
      </c>
      <c r="B225" s="5">
        <f>_xlfn.XLOOKUP(A225,bunker_daily_raw!$A$2:$A$3819,bunker_daily_raw!$B$2:$B$3819)</f>
        <v>52.5</v>
      </c>
      <c r="C225" s="6">
        <v>11.45</v>
      </c>
    </row>
    <row r="226" spans="1:3" x14ac:dyDescent="0.25">
      <c r="A226" s="4">
        <v>36111</v>
      </c>
      <c r="B226" s="5">
        <f>_xlfn.XLOOKUP(A226,bunker_daily_raw!$A$2:$A$3819,bunker_daily_raw!$B$2:$B$3819)</f>
        <v>53.5</v>
      </c>
      <c r="C226" s="6">
        <v>11.56</v>
      </c>
    </row>
    <row r="227" spans="1:3" x14ac:dyDescent="0.25">
      <c r="A227" s="4">
        <v>36112</v>
      </c>
      <c r="B227" s="5">
        <f>_xlfn.XLOOKUP(A227,bunker_daily_raw!$A$2:$A$3819,bunker_daily_raw!$B$2:$B$3819)</f>
        <v>48.5</v>
      </c>
      <c r="C227" s="6">
        <v>11.46</v>
      </c>
    </row>
    <row r="228" spans="1:3" x14ac:dyDescent="0.25">
      <c r="A228" s="4">
        <v>36115</v>
      </c>
      <c r="B228" s="5">
        <f>_xlfn.XLOOKUP(A228,bunker_daily_raw!$A$2:$A$3819,bunker_daily_raw!$B$2:$B$3819)</f>
        <v>49.5</v>
      </c>
      <c r="C228" s="6">
        <v>11.1</v>
      </c>
    </row>
    <row r="229" spans="1:3" x14ac:dyDescent="0.25">
      <c r="A229" s="4">
        <v>36116</v>
      </c>
      <c r="B229" s="5">
        <f>_xlfn.XLOOKUP(A229,bunker_daily_raw!$A$2:$A$3819,bunker_daily_raw!$B$2:$B$3819)</f>
        <v>51</v>
      </c>
      <c r="C229" s="6">
        <v>10.62</v>
      </c>
    </row>
    <row r="230" spans="1:3" x14ac:dyDescent="0.25">
      <c r="A230" s="4">
        <v>36117</v>
      </c>
      <c r="B230" s="5">
        <f>_xlfn.XLOOKUP(A230,bunker_daily_raw!$A$2:$A$3819,bunker_daily_raw!$B$2:$B$3819)</f>
        <v>49.5</v>
      </c>
      <c r="C230" s="6">
        <v>10.25</v>
      </c>
    </row>
    <row r="231" spans="1:3" x14ac:dyDescent="0.25">
      <c r="A231" s="4">
        <v>36118</v>
      </c>
      <c r="B231" s="5">
        <f>_xlfn.XLOOKUP(A231,bunker_daily_raw!$A$2:$A$3819,bunker_daily_raw!$B$2:$B$3819)</f>
        <v>48.25</v>
      </c>
      <c r="C231" s="6">
        <v>10.45</v>
      </c>
    </row>
    <row r="232" spans="1:3" x14ac:dyDescent="0.25">
      <c r="A232" s="4">
        <v>36119</v>
      </c>
      <c r="B232" s="5">
        <f>_xlfn.XLOOKUP(A232,bunker_daily_raw!$A$2:$A$3819,bunker_daily_raw!$B$2:$B$3819)</f>
        <v>47.25</v>
      </c>
      <c r="C232" s="6">
        <v>10.4</v>
      </c>
    </row>
    <row r="233" spans="1:3" x14ac:dyDescent="0.25">
      <c r="A233" s="4">
        <v>36122</v>
      </c>
      <c r="B233" s="5">
        <f>_xlfn.XLOOKUP(A233,bunker_daily_raw!$A$2:$A$3819,bunker_daily_raw!$B$2:$B$3819)</f>
        <v>47</v>
      </c>
      <c r="C233" s="6">
        <v>10.54</v>
      </c>
    </row>
    <row r="234" spans="1:3" x14ac:dyDescent="0.25">
      <c r="A234" s="4">
        <v>36123</v>
      </c>
      <c r="B234" s="5">
        <f>_xlfn.XLOOKUP(A234,bunker_daily_raw!$A$2:$A$3819,bunker_daily_raw!$B$2:$B$3819)</f>
        <v>48</v>
      </c>
      <c r="C234" s="6">
        <v>10.58</v>
      </c>
    </row>
    <row r="235" spans="1:3" x14ac:dyDescent="0.25">
      <c r="A235" s="4">
        <v>36124</v>
      </c>
      <c r="B235" s="5">
        <f>_xlfn.XLOOKUP(A235,bunker_daily_raw!$A$2:$A$3819,bunker_daily_raw!$B$2:$B$3819)</f>
        <v>47</v>
      </c>
      <c r="C235" s="6">
        <v>10.51</v>
      </c>
    </row>
    <row r="236" spans="1:3" x14ac:dyDescent="0.25">
      <c r="A236" s="4">
        <v>36125</v>
      </c>
      <c r="B236" s="5">
        <f>_xlfn.XLOOKUP(A236,bunker_daily_raw!$A$2:$A$3819,bunker_daily_raw!$B$2:$B$3819)</f>
        <v>48</v>
      </c>
      <c r="C236" s="6">
        <v>10.41</v>
      </c>
    </row>
    <row r="237" spans="1:3" x14ac:dyDescent="0.25">
      <c r="A237" s="4">
        <v>36126</v>
      </c>
      <c r="B237" s="5">
        <f>_xlfn.XLOOKUP(A237,bunker_daily_raw!$A$2:$A$3819,bunker_daily_raw!$B$2:$B$3819)</f>
        <v>51.5</v>
      </c>
      <c r="C237" s="6">
        <v>10.77</v>
      </c>
    </row>
    <row r="238" spans="1:3" x14ac:dyDescent="0.25">
      <c r="A238" s="4">
        <v>36129</v>
      </c>
      <c r="B238" s="5">
        <f>_xlfn.XLOOKUP(A238,bunker_daily_raw!$A$2:$A$3819,bunker_daily_raw!$B$2:$B$3819)</f>
        <v>56</v>
      </c>
      <c r="C238" s="6">
        <v>9.91</v>
      </c>
    </row>
    <row r="239" spans="1:3" x14ac:dyDescent="0.25">
      <c r="A239" s="4">
        <v>36130</v>
      </c>
      <c r="B239" s="5">
        <f>_xlfn.XLOOKUP(A239,bunker_daily_raw!$A$2:$A$3819,bunker_daily_raw!$B$2:$B$3819)</f>
        <v>56</v>
      </c>
      <c r="C239" s="6">
        <v>9.8699999999999992</v>
      </c>
    </row>
    <row r="240" spans="1:3" x14ac:dyDescent="0.25">
      <c r="A240" s="4">
        <v>36131</v>
      </c>
      <c r="B240" s="5">
        <f>_xlfn.XLOOKUP(A240,bunker_daily_raw!$A$2:$A$3819,bunker_daily_raw!$B$2:$B$3819)</f>
        <v>46.5</v>
      </c>
      <c r="C240" s="6">
        <v>9.7100000000000009</v>
      </c>
    </row>
    <row r="241" spans="1:3" x14ac:dyDescent="0.25">
      <c r="A241" s="4">
        <v>36132</v>
      </c>
      <c r="B241" s="5">
        <f>_xlfn.XLOOKUP(A241,bunker_daily_raw!$A$2:$A$3819,bunker_daily_raw!$B$2:$B$3819)</f>
        <v>47</v>
      </c>
      <c r="C241" s="6">
        <v>10.050000000000001</v>
      </c>
    </row>
    <row r="242" spans="1:3" x14ac:dyDescent="0.25">
      <c r="A242" s="4">
        <v>36133</v>
      </c>
      <c r="B242" s="5">
        <f>_xlfn.XLOOKUP(A242,bunker_daily_raw!$A$2:$A$3819,bunker_daily_raw!$B$2:$B$3819)</f>
        <v>49.5</v>
      </c>
      <c r="C242" s="6">
        <v>9.73</v>
      </c>
    </row>
    <row r="243" spans="1:3" x14ac:dyDescent="0.25">
      <c r="A243" s="4">
        <v>36136</v>
      </c>
      <c r="B243" s="5">
        <f>_xlfn.XLOOKUP(A243,bunker_daily_raw!$A$2:$A$3819,bunker_daily_raw!$B$2:$B$3819)</f>
        <v>51</v>
      </c>
      <c r="C243" s="6">
        <v>9.6999999999999993</v>
      </c>
    </row>
    <row r="244" spans="1:3" x14ac:dyDescent="0.25">
      <c r="A244" s="4">
        <v>36137</v>
      </c>
      <c r="B244" s="5">
        <f>_xlfn.XLOOKUP(A244,bunker_daily_raw!$A$2:$A$3819,bunker_daily_raw!$B$2:$B$3819)</f>
        <v>54</v>
      </c>
      <c r="C244" s="6">
        <v>9.68</v>
      </c>
    </row>
    <row r="245" spans="1:3" x14ac:dyDescent="0.25">
      <c r="A245" s="4">
        <v>36138</v>
      </c>
      <c r="B245" s="5">
        <f>_xlfn.XLOOKUP(A245,bunker_daily_raw!$A$2:$A$3819,bunker_daily_raw!$B$2:$B$3819)</f>
        <v>60.25</v>
      </c>
      <c r="C245" s="6">
        <v>9.4600000000000009</v>
      </c>
    </row>
    <row r="246" spans="1:3" x14ac:dyDescent="0.25">
      <c r="A246" s="4">
        <v>36139</v>
      </c>
      <c r="B246" s="5">
        <f>_xlfn.XLOOKUP(A246,bunker_daily_raw!$A$2:$A$3819,bunker_daily_raw!$B$2:$B$3819)</f>
        <v>59.5</v>
      </c>
      <c r="C246" s="6">
        <v>9.1</v>
      </c>
    </row>
    <row r="247" spans="1:3" x14ac:dyDescent="0.25">
      <c r="A247" s="4">
        <v>36140</v>
      </c>
      <c r="B247" s="5">
        <f>_xlfn.XLOOKUP(A247,bunker_daily_raw!$A$2:$A$3819,bunker_daily_raw!$B$2:$B$3819)</f>
        <v>57.5</v>
      </c>
      <c r="C247" s="6">
        <v>9.26</v>
      </c>
    </row>
    <row r="248" spans="1:3" x14ac:dyDescent="0.25">
      <c r="A248" s="4">
        <v>36143</v>
      </c>
      <c r="B248" s="5">
        <f>_xlfn.XLOOKUP(A248,bunker_daily_raw!$A$2:$A$3819,bunker_daily_raw!$B$2:$B$3819)</f>
        <v>61</v>
      </c>
      <c r="C248" s="6">
        <v>9.4499999999999993</v>
      </c>
    </row>
    <row r="249" spans="1:3" x14ac:dyDescent="0.25">
      <c r="A249" s="4">
        <v>36144</v>
      </c>
      <c r="B249" s="5">
        <f>_xlfn.XLOOKUP(A249,bunker_daily_raw!$A$2:$A$3819,bunker_daily_raw!$B$2:$B$3819)</f>
        <v>63</v>
      </c>
      <c r="C249" s="6">
        <v>9.57</v>
      </c>
    </row>
    <row r="250" spans="1:3" x14ac:dyDescent="0.25">
      <c r="A250" s="4">
        <v>36145</v>
      </c>
      <c r="B250" s="5">
        <f>_xlfn.XLOOKUP(A250,bunker_daily_raw!$A$2:$A$3819,bunker_daily_raw!$B$2:$B$3819)</f>
        <v>62</v>
      </c>
      <c r="C250" s="6">
        <v>10.87</v>
      </c>
    </row>
    <row r="251" spans="1:3" x14ac:dyDescent="0.25">
      <c r="A251" s="4">
        <v>36146</v>
      </c>
      <c r="B251" s="5">
        <f>_xlfn.XLOOKUP(A251,bunker_daily_raw!$A$2:$A$3819,bunker_daily_raw!$B$2:$B$3819)</f>
        <v>65</v>
      </c>
      <c r="C251" s="6">
        <v>9.92</v>
      </c>
    </row>
    <row r="252" spans="1:3" x14ac:dyDescent="0.25">
      <c r="A252" s="4">
        <v>36147</v>
      </c>
      <c r="B252" s="5">
        <f>_xlfn.XLOOKUP(A252,bunker_daily_raw!$A$2:$A$3819,bunker_daily_raw!$B$2:$B$3819)</f>
        <v>63.75</v>
      </c>
      <c r="C252" s="6">
        <v>9.6199999999999992</v>
      </c>
    </row>
    <row r="253" spans="1:3" x14ac:dyDescent="0.25">
      <c r="A253" s="4">
        <v>36150</v>
      </c>
      <c r="B253" s="5">
        <f>_xlfn.XLOOKUP(A253,bunker_daily_raw!$A$2:$A$3819,bunker_daily_raw!$B$2:$B$3819)</f>
        <v>66.5</v>
      </c>
      <c r="C253" s="6">
        <v>9.4499999999999993</v>
      </c>
    </row>
    <row r="254" spans="1:3" x14ac:dyDescent="0.25">
      <c r="A254" s="4">
        <v>36151</v>
      </c>
      <c r="B254" s="5">
        <f>_xlfn.XLOOKUP(A254,bunker_daily_raw!$A$2:$A$3819,bunker_daily_raw!$B$2:$B$3819)</f>
        <v>65</v>
      </c>
      <c r="C254" s="6">
        <v>9.83</v>
      </c>
    </row>
    <row r="255" spans="1:3" x14ac:dyDescent="0.25">
      <c r="A255" s="4">
        <v>36152</v>
      </c>
      <c r="B255" s="5">
        <f>_xlfn.XLOOKUP(A255,bunker_daily_raw!$A$2:$A$3819,bunker_daily_raw!$B$2:$B$3819)</f>
        <v>64</v>
      </c>
      <c r="C255" s="6">
        <v>9.91</v>
      </c>
    </row>
    <row r="256" spans="1:3" x14ac:dyDescent="0.25">
      <c r="A256" s="4">
        <v>36153</v>
      </c>
      <c r="B256" s="5">
        <f>_xlfn.XLOOKUP(A256,bunker_daily_raw!$A$2:$A$3819,bunker_daily_raw!$B$2:$B$3819)</f>
        <v>64</v>
      </c>
      <c r="C256" s="6">
        <v>9.91</v>
      </c>
    </row>
    <row r="257" spans="1:3" x14ac:dyDescent="0.25">
      <c r="A257" s="4">
        <v>36154</v>
      </c>
      <c r="B257" s="5" t="e">
        <f>_xlfn.XLOOKUP(A257,bunker_daily_raw!$A$2:$A$3819,bunker_daily_raw!$B$2:$B$3819)</f>
        <v>#N/A</v>
      </c>
      <c r="C257" s="5"/>
    </row>
    <row r="258" spans="1:3" x14ac:dyDescent="0.25">
      <c r="A258" s="4">
        <v>36157</v>
      </c>
      <c r="B258" s="5">
        <f>_xlfn.XLOOKUP(A258,bunker_daily_raw!$A$2:$A$3819,bunker_daily_raw!$B$2:$B$3819)</f>
        <v>63.75</v>
      </c>
      <c r="C258" s="5"/>
    </row>
    <row r="259" spans="1:3" x14ac:dyDescent="0.25">
      <c r="A259" s="4">
        <v>36158</v>
      </c>
      <c r="B259" s="5">
        <f>_xlfn.XLOOKUP(A259,bunker_daily_raw!$A$2:$A$3819,bunker_daily_raw!$B$2:$B$3819)</f>
        <v>63.5</v>
      </c>
      <c r="C259" s="6">
        <v>10.23</v>
      </c>
    </row>
    <row r="260" spans="1:3" x14ac:dyDescent="0.25">
      <c r="A260" s="4">
        <v>36159</v>
      </c>
      <c r="B260" s="5">
        <f>_xlfn.XLOOKUP(A260,bunker_daily_raw!$A$2:$A$3819,bunker_daily_raw!$B$2:$B$3819)</f>
        <v>60.5</v>
      </c>
      <c r="C260" s="6">
        <v>10.45</v>
      </c>
    </row>
    <row r="261" spans="1:3" x14ac:dyDescent="0.25">
      <c r="A261" s="4">
        <v>36160</v>
      </c>
      <c r="B261" s="5">
        <f>_xlfn.XLOOKUP(A261,bunker_daily_raw!$A$2:$A$3819,bunker_daily_raw!$B$2:$B$3819)</f>
        <v>59.5</v>
      </c>
      <c r="C261" s="6">
        <v>10.54</v>
      </c>
    </row>
    <row r="262" spans="1:3" x14ac:dyDescent="0.25">
      <c r="A262" s="4">
        <v>36161</v>
      </c>
      <c r="B262" s="5" t="e">
        <f>_xlfn.XLOOKUP(A262,bunker_daily_raw!$A$2:$A$3819,bunker_daily_raw!$B$2:$B$3819)</f>
        <v>#N/A</v>
      </c>
      <c r="C262" s="5"/>
    </row>
    <row r="263" spans="1:3" x14ac:dyDescent="0.25">
      <c r="A263" s="4">
        <v>36164</v>
      </c>
      <c r="B263" s="5">
        <f>_xlfn.XLOOKUP(A263,bunker_daily_raw!$A$2:$A$3819,bunker_daily_raw!$B$2:$B$3819)</f>
        <v>59.5</v>
      </c>
      <c r="C263" s="6">
        <v>10.94</v>
      </c>
    </row>
    <row r="264" spans="1:3" x14ac:dyDescent="0.25">
      <c r="A264" s="4">
        <v>36165</v>
      </c>
      <c r="B264" s="5">
        <f>_xlfn.XLOOKUP(A264,bunker_daily_raw!$A$2:$A$3819,bunker_daily_raw!$B$2:$B$3819)</f>
        <v>61</v>
      </c>
      <c r="C264" s="6">
        <v>10.3</v>
      </c>
    </row>
    <row r="265" spans="1:3" x14ac:dyDescent="0.25">
      <c r="A265" s="4">
        <v>36166</v>
      </c>
      <c r="B265" s="5">
        <f>_xlfn.XLOOKUP(A265,bunker_daily_raw!$A$2:$A$3819,bunker_daily_raw!$B$2:$B$3819)</f>
        <v>59.25</v>
      </c>
      <c r="C265" s="6">
        <v>10.67</v>
      </c>
    </row>
    <row r="266" spans="1:3" x14ac:dyDescent="0.25">
      <c r="A266" s="4">
        <v>36167</v>
      </c>
      <c r="B266" s="5">
        <f>_xlfn.XLOOKUP(A266,bunker_daily_raw!$A$2:$A$3819,bunker_daily_raw!$B$2:$B$3819)</f>
        <v>57.25</v>
      </c>
      <c r="C266" s="6">
        <v>11.08</v>
      </c>
    </row>
    <row r="267" spans="1:3" x14ac:dyDescent="0.25">
      <c r="A267" s="4">
        <v>36168</v>
      </c>
      <c r="B267" s="5">
        <f>_xlfn.XLOOKUP(A267,bunker_daily_raw!$A$2:$A$3819,bunker_daily_raw!$B$2:$B$3819)</f>
        <v>56.75</v>
      </c>
      <c r="C267" s="6">
        <v>11.7</v>
      </c>
    </row>
    <row r="268" spans="1:3" x14ac:dyDescent="0.25">
      <c r="A268" s="4">
        <v>36171</v>
      </c>
      <c r="B268" s="5">
        <f>_xlfn.XLOOKUP(A268,bunker_daily_raw!$A$2:$A$3819,bunker_daily_raw!$B$2:$B$3819)</f>
        <v>58</v>
      </c>
      <c r="C268" s="6">
        <v>12.07</v>
      </c>
    </row>
    <row r="269" spans="1:3" x14ac:dyDescent="0.25">
      <c r="A269" s="4">
        <v>36172</v>
      </c>
      <c r="B269" s="5">
        <f>_xlfn.XLOOKUP(A269,bunker_daily_raw!$A$2:$A$3819,bunker_daily_raw!$B$2:$B$3819)</f>
        <v>58</v>
      </c>
      <c r="C269" s="6">
        <v>11.78</v>
      </c>
    </row>
    <row r="270" spans="1:3" x14ac:dyDescent="0.25">
      <c r="A270" s="4">
        <v>36173</v>
      </c>
      <c r="B270" s="5">
        <f>_xlfn.XLOOKUP(A270,bunker_daily_raw!$A$2:$A$3819,bunker_daily_raw!$B$2:$B$3819)</f>
        <v>58.75</v>
      </c>
      <c r="C270" s="6">
        <v>10.9</v>
      </c>
    </row>
    <row r="271" spans="1:3" x14ac:dyDescent="0.25">
      <c r="A271" s="4">
        <v>36174</v>
      </c>
      <c r="B271" s="5">
        <f>_xlfn.XLOOKUP(A271,bunker_daily_raw!$A$2:$A$3819,bunker_daily_raw!$B$2:$B$3819)</f>
        <v>56.75</v>
      </c>
      <c r="C271" s="6">
        <v>11.1</v>
      </c>
    </row>
    <row r="272" spans="1:3" x14ac:dyDescent="0.25">
      <c r="A272" s="4">
        <v>36175</v>
      </c>
      <c r="B272" s="5">
        <f>_xlfn.XLOOKUP(A272,bunker_daily_raw!$A$2:$A$3819,bunker_daily_raw!$B$2:$B$3819)</f>
        <v>55.25</v>
      </c>
      <c r="C272" s="6">
        <v>10.97</v>
      </c>
    </row>
    <row r="273" spans="1:3" x14ac:dyDescent="0.25">
      <c r="A273" s="4">
        <v>36178</v>
      </c>
      <c r="B273" s="5">
        <f>_xlfn.XLOOKUP(A273,bunker_daily_raw!$A$2:$A$3819,bunker_daily_raw!$B$2:$B$3819)</f>
        <v>56.5</v>
      </c>
      <c r="C273" s="6">
        <v>10.81</v>
      </c>
    </row>
    <row r="274" spans="1:3" x14ac:dyDescent="0.25">
      <c r="A274" s="4">
        <v>36179</v>
      </c>
      <c r="B274" s="5" t="e">
        <f>_xlfn.XLOOKUP(A274,bunker_daily_raw!$A$2:$A$3819,bunker_daily_raw!$B$2:$B$3819)</f>
        <v>#N/A</v>
      </c>
      <c r="C274" s="6">
        <v>11.19</v>
      </c>
    </row>
    <row r="275" spans="1:3" x14ac:dyDescent="0.25">
      <c r="A275" s="4">
        <v>36180</v>
      </c>
      <c r="B275" s="5">
        <f>_xlfn.XLOOKUP(A275,bunker_daily_raw!$A$2:$A$3819,bunker_daily_raw!$B$2:$B$3819)</f>
        <v>55.25</v>
      </c>
      <c r="C275" s="6">
        <v>10.85</v>
      </c>
    </row>
    <row r="276" spans="1:3" x14ac:dyDescent="0.25">
      <c r="A276" s="4">
        <v>36181</v>
      </c>
      <c r="B276" s="5">
        <f>_xlfn.XLOOKUP(A276,bunker_daily_raw!$A$2:$A$3819,bunker_daily_raw!$B$2:$B$3819)</f>
        <v>55</v>
      </c>
      <c r="C276" s="6">
        <v>11.14</v>
      </c>
    </row>
    <row r="277" spans="1:3" x14ac:dyDescent="0.25">
      <c r="A277" s="4">
        <v>36182</v>
      </c>
      <c r="B277" s="5">
        <f>_xlfn.XLOOKUP(A277,bunker_daily_raw!$A$2:$A$3819,bunker_daily_raw!$B$2:$B$3819)</f>
        <v>53.5</v>
      </c>
      <c r="C277" s="6">
        <v>11.23</v>
      </c>
    </row>
    <row r="278" spans="1:3" x14ac:dyDescent="0.25">
      <c r="A278" s="4">
        <v>36185</v>
      </c>
      <c r="B278" s="5">
        <f>_xlfn.XLOOKUP(A278,bunker_daily_raw!$A$2:$A$3819,bunker_daily_raw!$B$2:$B$3819)</f>
        <v>53.25</v>
      </c>
      <c r="C278" s="6">
        <v>11.21</v>
      </c>
    </row>
    <row r="279" spans="1:3" x14ac:dyDescent="0.25">
      <c r="A279" s="4">
        <v>36186</v>
      </c>
      <c r="B279" s="5">
        <f>_xlfn.XLOOKUP(A279,bunker_daily_raw!$A$2:$A$3819,bunker_daily_raw!$B$2:$B$3819)</f>
        <v>52.5</v>
      </c>
      <c r="C279" s="6">
        <v>10.84</v>
      </c>
    </row>
    <row r="280" spans="1:3" x14ac:dyDescent="0.25">
      <c r="A280" s="4">
        <v>36187</v>
      </c>
      <c r="B280" s="5">
        <f>_xlfn.XLOOKUP(A280,bunker_daily_raw!$A$2:$A$3819,bunker_daily_raw!$B$2:$B$3819)</f>
        <v>53</v>
      </c>
      <c r="C280" s="6">
        <v>11.03</v>
      </c>
    </row>
    <row r="281" spans="1:3" x14ac:dyDescent="0.25">
      <c r="A281" s="4">
        <v>36188</v>
      </c>
      <c r="B281" s="5">
        <f>_xlfn.XLOOKUP(A281,bunker_daily_raw!$A$2:$A$3819,bunker_daily_raw!$B$2:$B$3819)</f>
        <v>53</v>
      </c>
      <c r="C281" s="6">
        <v>11.14</v>
      </c>
    </row>
    <row r="282" spans="1:3" x14ac:dyDescent="0.25">
      <c r="A282" s="4">
        <v>36189</v>
      </c>
      <c r="B282" s="5">
        <f>_xlfn.XLOOKUP(A282,bunker_daily_raw!$A$2:$A$3819,bunker_daily_raw!$B$2:$B$3819)</f>
        <v>53.5</v>
      </c>
      <c r="C282" s="6">
        <v>11.34</v>
      </c>
    </row>
    <row r="283" spans="1:3" x14ac:dyDescent="0.25">
      <c r="A283" s="4">
        <v>36192</v>
      </c>
      <c r="B283" s="5">
        <f>_xlfn.XLOOKUP(A283,bunker_daily_raw!$A$2:$A$3819,bunker_daily_raw!$B$2:$B$3819)</f>
        <v>52.5</v>
      </c>
      <c r="C283" s="6">
        <v>10.81</v>
      </c>
    </row>
    <row r="284" spans="1:3" x14ac:dyDescent="0.25">
      <c r="A284" s="4">
        <v>36193</v>
      </c>
      <c r="B284" s="5">
        <f>_xlfn.XLOOKUP(A284,bunker_daily_raw!$A$2:$A$3819,bunker_daily_raw!$B$2:$B$3819)</f>
        <v>53.25</v>
      </c>
      <c r="C284" s="6">
        <v>10.39</v>
      </c>
    </row>
    <row r="285" spans="1:3" x14ac:dyDescent="0.25">
      <c r="A285" s="4">
        <v>36194</v>
      </c>
      <c r="B285" s="5">
        <f>_xlfn.XLOOKUP(A285,bunker_daily_raw!$A$2:$A$3819,bunker_daily_raw!$B$2:$B$3819)</f>
        <v>54.75</v>
      </c>
      <c r="C285" s="6">
        <v>10.78</v>
      </c>
    </row>
    <row r="286" spans="1:3" x14ac:dyDescent="0.25">
      <c r="A286" s="4">
        <v>36195</v>
      </c>
      <c r="B286" s="5">
        <f>_xlfn.XLOOKUP(A286,bunker_daily_raw!$A$2:$A$3819,bunker_daily_raw!$B$2:$B$3819)</f>
        <v>55.25</v>
      </c>
      <c r="C286" s="6">
        <v>10.42</v>
      </c>
    </row>
    <row r="287" spans="1:3" x14ac:dyDescent="0.25">
      <c r="A287" s="4">
        <v>36196</v>
      </c>
      <c r="B287" s="5">
        <f>_xlfn.XLOOKUP(A287,bunker_daily_raw!$A$2:$A$3819,bunker_daily_raw!$B$2:$B$3819)</f>
        <v>55.75</v>
      </c>
      <c r="C287" s="6">
        <v>10.18</v>
      </c>
    </row>
    <row r="288" spans="1:3" x14ac:dyDescent="0.25">
      <c r="A288" s="4">
        <v>36199</v>
      </c>
      <c r="B288" s="5">
        <f>_xlfn.XLOOKUP(A288,bunker_daily_raw!$A$2:$A$3819,bunker_daily_raw!$B$2:$B$3819)</f>
        <v>56.25</v>
      </c>
      <c r="C288" s="6">
        <v>9.9700000000000006</v>
      </c>
    </row>
    <row r="289" spans="1:3" x14ac:dyDescent="0.25">
      <c r="A289" s="4">
        <v>36200</v>
      </c>
      <c r="B289" s="5">
        <f>_xlfn.XLOOKUP(A289,bunker_daily_raw!$A$2:$A$3819,bunker_daily_raw!$B$2:$B$3819)</f>
        <v>57.5</v>
      </c>
      <c r="C289" s="6">
        <v>9.77</v>
      </c>
    </row>
    <row r="290" spans="1:3" x14ac:dyDescent="0.25">
      <c r="A290" s="4">
        <v>36201</v>
      </c>
      <c r="B290" s="5">
        <f>_xlfn.XLOOKUP(A290,bunker_daily_raw!$A$2:$A$3819,bunker_daily_raw!$B$2:$B$3819)</f>
        <v>56.75</v>
      </c>
      <c r="C290" s="6">
        <v>9.8800000000000008</v>
      </c>
    </row>
    <row r="291" spans="1:3" x14ac:dyDescent="0.25">
      <c r="A291" s="4">
        <v>36202</v>
      </c>
      <c r="B291" s="5">
        <f>_xlfn.XLOOKUP(A291,bunker_daily_raw!$A$2:$A$3819,bunker_daily_raw!$B$2:$B$3819)</f>
        <v>56.75</v>
      </c>
      <c r="C291" s="6">
        <v>9.82</v>
      </c>
    </row>
    <row r="292" spans="1:3" x14ac:dyDescent="0.25">
      <c r="A292" s="4">
        <v>36203</v>
      </c>
      <c r="B292" s="5">
        <f>_xlfn.XLOOKUP(A292,bunker_daily_raw!$A$2:$A$3819,bunker_daily_raw!$B$2:$B$3819)</f>
        <v>56.25</v>
      </c>
      <c r="C292" s="6">
        <v>9.9700000000000006</v>
      </c>
    </row>
    <row r="293" spans="1:3" x14ac:dyDescent="0.25">
      <c r="A293" s="4">
        <v>36206</v>
      </c>
      <c r="B293" s="5">
        <f>_xlfn.XLOOKUP(A293,bunker_daily_raw!$A$2:$A$3819,bunker_daily_raw!$B$2:$B$3819)</f>
        <v>57.25</v>
      </c>
      <c r="C293" s="5"/>
    </row>
    <row r="294" spans="1:3" x14ac:dyDescent="0.25">
      <c r="A294" s="4">
        <v>36207</v>
      </c>
      <c r="B294" s="5" t="e">
        <f>_xlfn.XLOOKUP(A294,bunker_daily_raw!$A$2:$A$3819,bunker_daily_raw!$B$2:$B$3819)</f>
        <v>#N/A</v>
      </c>
      <c r="C294" s="6">
        <v>9.98</v>
      </c>
    </row>
    <row r="295" spans="1:3" x14ac:dyDescent="0.25">
      <c r="A295" s="4">
        <v>36208</v>
      </c>
      <c r="B295" s="5" t="e">
        <f>_xlfn.XLOOKUP(A295,bunker_daily_raw!$A$2:$A$3819,bunker_daily_raw!$B$2:$B$3819)</f>
        <v>#N/A</v>
      </c>
      <c r="C295" s="6">
        <v>10.09</v>
      </c>
    </row>
    <row r="296" spans="1:3" x14ac:dyDescent="0.25">
      <c r="A296" s="4">
        <v>36209</v>
      </c>
      <c r="B296" s="5">
        <f>_xlfn.XLOOKUP(A296,bunker_daily_raw!$A$2:$A$3819,bunker_daily_raw!$B$2:$B$3819)</f>
        <v>57.5</v>
      </c>
      <c r="C296" s="6">
        <v>9.93</v>
      </c>
    </row>
    <row r="297" spans="1:3" x14ac:dyDescent="0.25">
      <c r="A297" s="4">
        <v>36210</v>
      </c>
      <c r="B297" s="5">
        <f>_xlfn.XLOOKUP(A297,bunker_daily_raw!$A$2:$A$3819,bunker_daily_raw!$B$2:$B$3819)</f>
        <v>57.5</v>
      </c>
      <c r="C297" s="6">
        <v>10.29</v>
      </c>
    </row>
    <row r="298" spans="1:3" x14ac:dyDescent="0.25">
      <c r="A298" s="4">
        <v>36213</v>
      </c>
      <c r="B298" s="5">
        <f>_xlfn.XLOOKUP(A298,bunker_daily_raw!$A$2:$A$3819,bunker_daily_raw!$B$2:$B$3819)</f>
        <v>57.75</v>
      </c>
      <c r="C298" s="6">
        <v>10.24</v>
      </c>
    </row>
    <row r="299" spans="1:3" x14ac:dyDescent="0.25">
      <c r="A299" s="4">
        <v>36214</v>
      </c>
      <c r="B299" s="5">
        <f>_xlfn.XLOOKUP(A299,bunker_daily_raw!$A$2:$A$3819,bunker_daily_raw!$B$2:$B$3819)</f>
        <v>55.5</v>
      </c>
      <c r="C299" s="6">
        <v>10.58</v>
      </c>
    </row>
    <row r="300" spans="1:3" x14ac:dyDescent="0.25">
      <c r="A300" s="4">
        <v>36215</v>
      </c>
      <c r="B300" s="5">
        <f>_xlfn.XLOOKUP(A300,bunker_daily_raw!$A$2:$A$3819,bunker_daily_raw!$B$2:$B$3819)</f>
        <v>55.25</v>
      </c>
      <c r="C300" s="6">
        <v>10.64</v>
      </c>
    </row>
    <row r="301" spans="1:3" x14ac:dyDescent="0.25">
      <c r="A301" s="4">
        <v>36216</v>
      </c>
      <c r="B301" s="5">
        <f>_xlfn.XLOOKUP(A301,bunker_daily_raw!$A$2:$A$3819,bunker_daily_raw!$B$2:$B$3819)</f>
        <v>57.5</v>
      </c>
      <c r="C301" s="6">
        <v>10.84</v>
      </c>
    </row>
    <row r="302" spans="1:3" x14ac:dyDescent="0.25">
      <c r="A302" s="4">
        <v>36217</v>
      </c>
      <c r="B302" s="5">
        <f>_xlfn.XLOOKUP(A302,bunker_daily_raw!$A$2:$A$3819,bunker_daily_raw!$B$2:$B$3819)</f>
        <v>57.5</v>
      </c>
      <c r="C302" s="6">
        <v>10.58</v>
      </c>
    </row>
    <row r="303" spans="1:3" x14ac:dyDescent="0.25">
      <c r="A303" s="4">
        <v>36220</v>
      </c>
      <c r="B303" s="5">
        <f>_xlfn.XLOOKUP(A303,bunker_daily_raw!$A$2:$A$3819,bunker_daily_raw!$B$2:$B$3819)</f>
        <v>57.5</v>
      </c>
      <c r="C303" s="6">
        <v>10.52</v>
      </c>
    </row>
    <row r="304" spans="1:3" x14ac:dyDescent="0.25">
      <c r="A304" s="4">
        <v>36221</v>
      </c>
      <c r="B304" s="5">
        <f>_xlfn.XLOOKUP(A304,bunker_daily_raw!$A$2:$A$3819,bunker_daily_raw!$B$2:$B$3819)</f>
        <v>57.5</v>
      </c>
      <c r="C304" s="6">
        <v>10.41</v>
      </c>
    </row>
    <row r="305" spans="1:3" x14ac:dyDescent="0.25">
      <c r="A305" s="4">
        <v>36222</v>
      </c>
      <c r="B305" s="5">
        <f>_xlfn.XLOOKUP(A305,bunker_daily_raw!$A$2:$A$3819,bunker_daily_raw!$B$2:$B$3819)</f>
        <v>58</v>
      </c>
      <c r="C305" s="6">
        <v>10.81</v>
      </c>
    </row>
    <row r="306" spans="1:3" x14ac:dyDescent="0.25">
      <c r="A306" s="4">
        <v>36223</v>
      </c>
      <c r="B306" s="5">
        <f>_xlfn.XLOOKUP(A306,bunker_daily_raw!$A$2:$A$3819,bunker_daily_raw!$B$2:$B$3819)</f>
        <v>60.75</v>
      </c>
      <c r="C306" s="6">
        <v>11.2</v>
      </c>
    </row>
    <row r="307" spans="1:3" x14ac:dyDescent="0.25">
      <c r="A307" s="4">
        <v>36224</v>
      </c>
      <c r="B307" s="5">
        <f>_xlfn.XLOOKUP(A307,bunker_daily_raw!$A$2:$A$3819,bunker_daily_raw!$B$2:$B$3819)</f>
        <v>60.5</v>
      </c>
      <c r="C307" s="6">
        <v>11.02</v>
      </c>
    </row>
    <row r="308" spans="1:3" x14ac:dyDescent="0.25">
      <c r="A308" s="4">
        <v>36227</v>
      </c>
      <c r="B308" s="5">
        <f>_xlfn.XLOOKUP(A308,bunker_daily_raw!$A$2:$A$3819,bunker_daily_raw!$B$2:$B$3819)</f>
        <v>61.75</v>
      </c>
      <c r="C308" s="6">
        <v>11.49</v>
      </c>
    </row>
    <row r="309" spans="1:3" x14ac:dyDescent="0.25">
      <c r="A309" s="4">
        <v>36228</v>
      </c>
      <c r="B309" s="5">
        <f>_xlfn.XLOOKUP(A309,bunker_daily_raw!$A$2:$A$3819,bunker_daily_raw!$B$2:$B$3819)</f>
        <v>63.75</v>
      </c>
      <c r="C309" s="6">
        <v>11.25</v>
      </c>
    </row>
    <row r="310" spans="1:3" x14ac:dyDescent="0.25">
      <c r="A310" s="4">
        <v>36229</v>
      </c>
      <c r="B310" s="5">
        <f>_xlfn.XLOOKUP(A310,bunker_daily_raw!$A$2:$A$3819,bunker_daily_raw!$B$2:$B$3819)</f>
        <v>64</v>
      </c>
      <c r="C310" s="6">
        <v>11.46</v>
      </c>
    </row>
    <row r="311" spans="1:3" x14ac:dyDescent="0.25">
      <c r="A311" s="4">
        <v>36230</v>
      </c>
      <c r="B311" s="5">
        <f>_xlfn.XLOOKUP(A311,bunker_daily_raw!$A$2:$A$3819,bunker_daily_raw!$B$2:$B$3819)</f>
        <v>63.25</v>
      </c>
      <c r="C311" s="6">
        <v>11.86</v>
      </c>
    </row>
    <row r="312" spans="1:3" x14ac:dyDescent="0.25">
      <c r="A312" s="4">
        <v>36231</v>
      </c>
      <c r="B312" s="5">
        <f>_xlfn.XLOOKUP(A312,bunker_daily_raw!$A$2:$A$3819,bunker_daily_raw!$B$2:$B$3819)</f>
        <v>64.75</v>
      </c>
      <c r="C312" s="6">
        <v>12.3</v>
      </c>
    </row>
    <row r="313" spans="1:3" x14ac:dyDescent="0.25">
      <c r="A313" s="4">
        <v>36234</v>
      </c>
      <c r="B313" s="5">
        <f>_xlfn.XLOOKUP(A313,bunker_daily_raw!$A$2:$A$3819,bunker_daily_raw!$B$2:$B$3819)</f>
        <v>68</v>
      </c>
      <c r="C313" s="6">
        <v>12.17</v>
      </c>
    </row>
    <row r="314" spans="1:3" x14ac:dyDescent="0.25">
      <c r="A314" s="4">
        <v>36235</v>
      </c>
      <c r="B314" s="5">
        <f>_xlfn.XLOOKUP(A314,bunker_daily_raw!$A$2:$A$3819,bunker_daily_raw!$B$2:$B$3819)</f>
        <v>69.5</v>
      </c>
      <c r="C314" s="6">
        <v>12.11</v>
      </c>
    </row>
    <row r="315" spans="1:3" x14ac:dyDescent="0.25">
      <c r="A315" s="4">
        <v>36236</v>
      </c>
      <c r="B315" s="5">
        <f>_xlfn.XLOOKUP(A315,bunker_daily_raw!$A$2:$A$3819,bunker_daily_raw!$B$2:$B$3819)</f>
        <v>69.5</v>
      </c>
      <c r="C315" s="6">
        <v>12.95</v>
      </c>
    </row>
    <row r="316" spans="1:3" x14ac:dyDescent="0.25">
      <c r="A316" s="4">
        <v>36237</v>
      </c>
      <c r="B316" s="5">
        <f>_xlfn.XLOOKUP(A316,bunker_daily_raw!$A$2:$A$3819,bunker_daily_raw!$B$2:$B$3819)</f>
        <v>68.5</v>
      </c>
      <c r="C316" s="6">
        <v>13.35</v>
      </c>
    </row>
    <row r="317" spans="1:3" x14ac:dyDescent="0.25">
      <c r="A317" s="4">
        <v>36238</v>
      </c>
      <c r="B317" s="5">
        <f>_xlfn.XLOOKUP(A317,bunker_daily_raw!$A$2:$A$3819,bunker_daily_raw!$B$2:$B$3819)</f>
        <v>70</v>
      </c>
      <c r="C317" s="6">
        <v>13.15</v>
      </c>
    </row>
    <row r="318" spans="1:3" x14ac:dyDescent="0.25">
      <c r="A318" s="4">
        <v>36241</v>
      </c>
      <c r="B318" s="5">
        <f>_xlfn.XLOOKUP(A318,bunker_daily_raw!$A$2:$A$3819,bunker_daily_raw!$B$2:$B$3819)</f>
        <v>69.5</v>
      </c>
      <c r="C318" s="6">
        <v>13.37</v>
      </c>
    </row>
    <row r="319" spans="1:3" x14ac:dyDescent="0.25">
      <c r="A319" s="4">
        <v>36242</v>
      </c>
      <c r="B319" s="5">
        <f>_xlfn.XLOOKUP(A319,bunker_daily_raw!$A$2:$A$3819,bunker_daily_raw!$B$2:$B$3819)</f>
        <v>68</v>
      </c>
      <c r="C319" s="6">
        <v>13.64</v>
      </c>
    </row>
    <row r="320" spans="1:3" x14ac:dyDescent="0.25">
      <c r="A320" s="4">
        <v>36243</v>
      </c>
      <c r="B320" s="5">
        <f>_xlfn.XLOOKUP(A320,bunker_daily_raw!$A$2:$A$3819,bunker_daily_raw!$B$2:$B$3819)</f>
        <v>68</v>
      </c>
      <c r="C320" s="6">
        <v>13.37</v>
      </c>
    </row>
    <row r="321" spans="1:3" x14ac:dyDescent="0.25">
      <c r="A321" s="4">
        <v>36244</v>
      </c>
      <c r="B321" s="5">
        <f>_xlfn.XLOOKUP(A321,bunker_daily_raw!$A$2:$A$3819,bunker_daily_raw!$B$2:$B$3819)</f>
        <v>68.5</v>
      </c>
      <c r="C321" s="6">
        <v>13.5</v>
      </c>
    </row>
    <row r="322" spans="1:3" x14ac:dyDescent="0.25">
      <c r="A322" s="4">
        <v>36245</v>
      </c>
      <c r="B322" s="5">
        <f>_xlfn.XLOOKUP(A322,bunker_daily_raw!$A$2:$A$3819,bunker_daily_raw!$B$2:$B$3819)</f>
        <v>68</v>
      </c>
      <c r="C322" s="6">
        <v>13.97</v>
      </c>
    </row>
    <row r="323" spans="1:3" x14ac:dyDescent="0.25">
      <c r="A323" s="4">
        <v>36248</v>
      </c>
      <c r="B323" s="5" t="e">
        <f>_xlfn.XLOOKUP(A323,bunker_daily_raw!$A$2:$A$3819,bunker_daily_raw!$B$2:$B$3819)</f>
        <v>#N/A</v>
      </c>
      <c r="C323" s="6">
        <v>14.34</v>
      </c>
    </row>
    <row r="324" spans="1:3" x14ac:dyDescent="0.25">
      <c r="A324" s="4">
        <v>36249</v>
      </c>
      <c r="B324" s="5">
        <f>_xlfn.XLOOKUP(A324,bunker_daily_raw!$A$2:$A$3819,bunker_daily_raw!$B$2:$B$3819)</f>
        <v>67.5</v>
      </c>
      <c r="C324" s="6">
        <v>14.5</v>
      </c>
    </row>
    <row r="325" spans="1:3" x14ac:dyDescent="0.25">
      <c r="A325" s="4">
        <v>36250</v>
      </c>
      <c r="B325" s="5">
        <f>_xlfn.XLOOKUP(A325,bunker_daily_raw!$A$2:$A$3819,bunker_daily_raw!$B$2:$B$3819)</f>
        <v>68.25</v>
      </c>
      <c r="C325" s="6">
        <v>15.02</v>
      </c>
    </row>
    <row r="326" spans="1:3" x14ac:dyDescent="0.25">
      <c r="A326" s="4">
        <v>36251</v>
      </c>
      <c r="B326" s="5">
        <f>_xlfn.XLOOKUP(A326,bunker_daily_raw!$A$2:$A$3819,bunker_daily_raw!$B$2:$B$3819)</f>
        <v>67.75</v>
      </c>
      <c r="C326" s="6">
        <v>14.6</v>
      </c>
    </row>
    <row r="327" spans="1:3" x14ac:dyDescent="0.25">
      <c r="A327" s="4">
        <v>36252</v>
      </c>
      <c r="B327" s="5" t="e">
        <f>_xlfn.XLOOKUP(A327,bunker_daily_raw!$A$2:$A$3819,bunker_daily_raw!$B$2:$B$3819)</f>
        <v>#N/A</v>
      </c>
      <c r="C327" s="5"/>
    </row>
    <row r="328" spans="1:3" x14ac:dyDescent="0.25">
      <c r="A328" s="4">
        <v>36255</v>
      </c>
      <c r="B328" s="5">
        <f>_xlfn.XLOOKUP(A328,bunker_daily_raw!$A$2:$A$3819,bunker_daily_raw!$B$2:$B$3819)</f>
        <v>70.25</v>
      </c>
      <c r="C328" s="5"/>
    </row>
    <row r="329" spans="1:3" x14ac:dyDescent="0.25">
      <c r="A329" s="4">
        <v>36256</v>
      </c>
      <c r="B329" s="5">
        <f>_xlfn.XLOOKUP(A329,bunker_daily_raw!$A$2:$A$3819,bunker_daily_raw!$B$2:$B$3819)</f>
        <v>71.25</v>
      </c>
      <c r="C329" s="6">
        <v>14.53</v>
      </c>
    </row>
    <row r="330" spans="1:3" x14ac:dyDescent="0.25">
      <c r="A330" s="4">
        <v>36257</v>
      </c>
      <c r="B330" s="5">
        <f>_xlfn.XLOOKUP(A330,bunker_daily_raw!$A$2:$A$3819,bunker_daily_raw!$B$2:$B$3819)</f>
        <v>70.25</v>
      </c>
      <c r="C330" s="6">
        <v>14.14</v>
      </c>
    </row>
    <row r="331" spans="1:3" x14ac:dyDescent="0.25">
      <c r="A331" s="4">
        <v>36258</v>
      </c>
      <c r="B331" s="5">
        <f>_xlfn.XLOOKUP(A331,bunker_daily_raw!$A$2:$A$3819,bunker_daily_raw!$B$2:$B$3819)</f>
        <v>70.25</v>
      </c>
      <c r="C331" s="6">
        <v>13.72</v>
      </c>
    </row>
    <row r="332" spans="1:3" x14ac:dyDescent="0.25">
      <c r="A332" s="4">
        <v>36259</v>
      </c>
      <c r="B332" s="5">
        <f>_xlfn.XLOOKUP(A332,bunker_daily_raw!$A$2:$A$3819,bunker_daily_raw!$B$2:$B$3819)</f>
        <v>72</v>
      </c>
      <c r="C332" s="6">
        <v>14.11</v>
      </c>
    </row>
    <row r="333" spans="1:3" x14ac:dyDescent="0.25">
      <c r="A333" s="4">
        <v>36262</v>
      </c>
      <c r="B333" s="5">
        <f>_xlfn.XLOOKUP(A333,bunker_daily_raw!$A$2:$A$3819,bunker_daily_raw!$B$2:$B$3819)</f>
        <v>72</v>
      </c>
      <c r="C333" s="6">
        <v>14.23</v>
      </c>
    </row>
    <row r="334" spans="1:3" x14ac:dyDescent="0.25">
      <c r="A334" s="4">
        <v>36263</v>
      </c>
      <c r="B334" s="5">
        <f>_xlfn.XLOOKUP(A334,bunker_daily_raw!$A$2:$A$3819,bunker_daily_raw!$B$2:$B$3819)</f>
        <v>71.5</v>
      </c>
      <c r="C334" s="6">
        <v>14.68</v>
      </c>
    </row>
    <row r="335" spans="1:3" x14ac:dyDescent="0.25">
      <c r="A335" s="4">
        <v>36264</v>
      </c>
      <c r="B335" s="5">
        <f>_xlfn.XLOOKUP(A335,bunker_daily_raw!$A$2:$A$3819,bunker_daily_raw!$B$2:$B$3819)</f>
        <v>73</v>
      </c>
      <c r="C335" s="6">
        <v>14.45</v>
      </c>
    </row>
    <row r="336" spans="1:3" x14ac:dyDescent="0.25">
      <c r="A336" s="4">
        <v>36265</v>
      </c>
      <c r="B336" s="5">
        <f>_xlfn.XLOOKUP(A336,bunker_daily_raw!$A$2:$A$3819,bunker_daily_raw!$B$2:$B$3819)</f>
        <v>75</v>
      </c>
      <c r="C336" s="6">
        <v>14.82</v>
      </c>
    </row>
    <row r="337" spans="1:3" x14ac:dyDescent="0.25">
      <c r="A337" s="4">
        <v>36266</v>
      </c>
      <c r="B337" s="5">
        <f>_xlfn.XLOOKUP(A337,bunker_daily_raw!$A$2:$A$3819,bunker_daily_raw!$B$2:$B$3819)</f>
        <v>75.75</v>
      </c>
      <c r="C337" s="6">
        <v>15.34</v>
      </c>
    </row>
    <row r="338" spans="1:3" x14ac:dyDescent="0.25">
      <c r="A338" s="4">
        <v>36269</v>
      </c>
      <c r="B338" s="5">
        <f>_xlfn.XLOOKUP(A338,bunker_daily_raw!$A$2:$A$3819,bunker_daily_raw!$B$2:$B$3819)</f>
        <v>76.75</v>
      </c>
      <c r="C338" s="6">
        <v>16.010000000000002</v>
      </c>
    </row>
    <row r="339" spans="1:3" x14ac:dyDescent="0.25">
      <c r="A339" s="4">
        <v>36270</v>
      </c>
      <c r="B339" s="5">
        <f>_xlfn.XLOOKUP(A339,bunker_daily_raw!$A$2:$A$3819,bunker_daily_raw!$B$2:$B$3819)</f>
        <v>75.75</v>
      </c>
      <c r="C339" s="6">
        <v>16.04</v>
      </c>
    </row>
    <row r="340" spans="1:3" x14ac:dyDescent="0.25">
      <c r="A340" s="4">
        <v>36271</v>
      </c>
      <c r="B340" s="5">
        <f>_xlfn.XLOOKUP(A340,bunker_daily_raw!$A$2:$A$3819,bunker_daily_raw!$B$2:$B$3819)</f>
        <v>77</v>
      </c>
      <c r="C340" s="6">
        <v>15.96</v>
      </c>
    </row>
    <row r="341" spans="1:3" x14ac:dyDescent="0.25">
      <c r="A341" s="4">
        <v>36272</v>
      </c>
      <c r="B341" s="5">
        <f>_xlfn.XLOOKUP(A341,bunker_daily_raw!$A$2:$A$3819,bunker_daily_raw!$B$2:$B$3819)</f>
        <v>73.5</v>
      </c>
      <c r="C341" s="6">
        <v>16.29</v>
      </c>
    </row>
    <row r="342" spans="1:3" x14ac:dyDescent="0.25">
      <c r="A342" s="4">
        <v>36273</v>
      </c>
      <c r="B342" s="5">
        <f>_xlfn.XLOOKUP(A342,bunker_daily_raw!$A$2:$A$3819,bunker_daily_raw!$B$2:$B$3819)</f>
        <v>73.5</v>
      </c>
      <c r="C342" s="6">
        <v>16.07</v>
      </c>
    </row>
    <row r="343" spans="1:3" x14ac:dyDescent="0.25">
      <c r="A343" s="4">
        <v>36276</v>
      </c>
      <c r="B343" s="5">
        <f>_xlfn.XLOOKUP(A343,bunker_daily_raw!$A$2:$A$3819,bunker_daily_raw!$B$2:$B$3819)</f>
        <v>72.75</v>
      </c>
      <c r="C343" s="6">
        <v>15.63</v>
      </c>
    </row>
    <row r="344" spans="1:3" x14ac:dyDescent="0.25">
      <c r="A344" s="4">
        <v>36277</v>
      </c>
      <c r="B344" s="5">
        <f>_xlfn.XLOOKUP(A344,bunker_daily_raw!$A$2:$A$3819,bunker_daily_raw!$B$2:$B$3819)</f>
        <v>69.75</v>
      </c>
      <c r="C344" s="6">
        <v>15.91</v>
      </c>
    </row>
    <row r="345" spans="1:3" x14ac:dyDescent="0.25">
      <c r="A345" s="4">
        <v>36278</v>
      </c>
      <c r="B345" s="5">
        <f>_xlfn.XLOOKUP(A345,bunker_daily_raw!$A$2:$A$3819,bunker_daily_raw!$B$2:$B$3819)</f>
        <v>69.75</v>
      </c>
      <c r="C345" s="6">
        <v>16.38</v>
      </c>
    </row>
    <row r="346" spans="1:3" x14ac:dyDescent="0.25">
      <c r="A346" s="4">
        <v>36279</v>
      </c>
      <c r="B346" s="5">
        <f>_xlfn.XLOOKUP(A346,bunker_daily_raw!$A$2:$A$3819,bunker_daily_raw!$B$2:$B$3819)</f>
        <v>71.25</v>
      </c>
      <c r="C346" s="6">
        <v>16.53</v>
      </c>
    </row>
    <row r="347" spans="1:3" x14ac:dyDescent="0.25">
      <c r="A347" s="4">
        <v>36280</v>
      </c>
      <c r="B347" s="5">
        <f>_xlfn.XLOOKUP(A347,bunker_daily_raw!$A$2:$A$3819,bunker_daily_raw!$B$2:$B$3819)</f>
        <v>70.25</v>
      </c>
      <c r="C347" s="6">
        <v>16.45</v>
      </c>
    </row>
    <row r="348" spans="1:3" x14ac:dyDescent="0.25">
      <c r="A348" s="4">
        <v>36283</v>
      </c>
      <c r="B348" s="5" t="e">
        <f>_xlfn.XLOOKUP(A348,bunker_daily_raw!$A$2:$A$3819,bunker_daily_raw!$B$2:$B$3819)</f>
        <v>#N/A</v>
      </c>
      <c r="C348" s="5"/>
    </row>
    <row r="349" spans="1:3" x14ac:dyDescent="0.25">
      <c r="A349" s="4">
        <v>36284</v>
      </c>
      <c r="B349" s="5">
        <f>_xlfn.XLOOKUP(A349,bunker_daily_raw!$A$2:$A$3819,bunker_daily_raw!$B$2:$B$3819)</f>
        <v>66.5</v>
      </c>
      <c r="C349" s="6">
        <v>16.98</v>
      </c>
    </row>
    <row r="350" spans="1:3" x14ac:dyDescent="0.25">
      <c r="A350" s="4">
        <v>36285</v>
      </c>
      <c r="B350" s="5">
        <f>_xlfn.XLOOKUP(A350,bunker_daily_raw!$A$2:$A$3819,bunker_daily_raw!$B$2:$B$3819)</f>
        <v>63</v>
      </c>
      <c r="C350" s="6">
        <v>16.850000000000001</v>
      </c>
    </row>
    <row r="351" spans="1:3" x14ac:dyDescent="0.25">
      <c r="A351" s="4">
        <v>36286</v>
      </c>
      <c r="B351" s="5">
        <f>_xlfn.XLOOKUP(A351,bunker_daily_raw!$A$2:$A$3819,bunker_daily_raw!$B$2:$B$3819)</f>
        <v>62</v>
      </c>
      <c r="C351" s="6">
        <v>16.440000000000001</v>
      </c>
    </row>
    <row r="352" spans="1:3" x14ac:dyDescent="0.25">
      <c r="A352" s="4">
        <v>36287</v>
      </c>
      <c r="B352" s="5">
        <f>_xlfn.XLOOKUP(A352,bunker_daily_raw!$A$2:$A$3819,bunker_daily_raw!$B$2:$B$3819)</f>
        <v>61.5</v>
      </c>
      <c r="C352" s="6">
        <v>15.66</v>
      </c>
    </row>
    <row r="353" spans="1:3" x14ac:dyDescent="0.25">
      <c r="A353" s="4">
        <v>36290</v>
      </c>
      <c r="B353" s="5">
        <f>_xlfn.XLOOKUP(A353,bunker_daily_raw!$A$2:$A$3819,bunker_daily_raw!$B$2:$B$3819)</f>
        <v>61</v>
      </c>
      <c r="C353" s="6">
        <v>15.72</v>
      </c>
    </row>
    <row r="354" spans="1:3" x14ac:dyDescent="0.25">
      <c r="A354" s="4">
        <v>36291</v>
      </c>
      <c r="B354" s="5">
        <f>_xlfn.XLOOKUP(A354,bunker_daily_raw!$A$2:$A$3819,bunker_daily_raw!$B$2:$B$3819)</f>
        <v>63.5</v>
      </c>
      <c r="C354" s="6">
        <v>15.23</v>
      </c>
    </row>
    <row r="355" spans="1:3" x14ac:dyDescent="0.25">
      <c r="A355" s="4">
        <v>36292</v>
      </c>
      <c r="B355" s="5">
        <f>_xlfn.XLOOKUP(A355,bunker_daily_raw!$A$2:$A$3819,bunker_daily_raw!$B$2:$B$3819)</f>
        <v>67.25</v>
      </c>
      <c r="C355" s="6">
        <v>14.74</v>
      </c>
    </row>
    <row r="356" spans="1:3" x14ac:dyDescent="0.25">
      <c r="A356" s="4">
        <v>36293</v>
      </c>
      <c r="B356" s="5">
        <f>_xlfn.XLOOKUP(A356,bunker_daily_raw!$A$2:$A$3819,bunker_daily_raw!$B$2:$B$3819)</f>
        <v>68</v>
      </c>
      <c r="C356" s="6">
        <v>15.21</v>
      </c>
    </row>
    <row r="357" spans="1:3" x14ac:dyDescent="0.25">
      <c r="A357" s="4">
        <v>36294</v>
      </c>
      <c r="B357" s="5">
        <f>_xlfn.XLOOKUP(A357,bunker_daily_raw!$A$2:$A$3819,bunker_daily_raw!$B$2:$B$3819)</f>
        <v>67.5</v>
      </c>
      <c r="C357" s="6">
        <v>15.18</v>
      </c>
    </row>
    <row r="358" spans="1:3" x14ac:dyDescent="0.25">
      <c r="A358" s="4">
        <v>36297</v>
      </c>
      <c r="B358" s="5">
        <f>_xlfn.XLOOKUP(A358,bunker_daily_raw!$A$2:$A$3819,bunker_daily_raw!$B$2:$B$3819)</f>
        <v>67.25</v>
      </c>
      <c r="C358" s="6">
        <v>14.98</v>
      </c>
    </row>
    <row r="359" spans="1:3" x14ac:dyDescent="0.25">
      <c r="A359" s="4">
        <v>36298</v>
      </c>
      <c r="B359" s="5">
        <f>_xlfn.XLOOKUP(A359,bunker_daily_raw!$A$2:$A$3819,bunker_daily_raw!$B$2:$B$3819)</f>
        <v>65.75</v>
      </c>
      <c r="C359" s="6">
        <v>14.43</v>
      </c>
    </row>
    <row r="360" spans="1:3" x14ac:dyDescent="0.25">
      <c r="A360" s="4">
        <v>36299</v>
      </c>
      <c r="B360" s="5">
        <f>_xlfn.XLOOKUP(A360,bunker_daily_raw!$A$2:$A$3819,bunker_daily_raw!$B$2:$B$3819)</f>
        <v>67.5</v>
      </c>
      <c r="C360" s="6">
        <v>14.42</v>
      </c>
    </row>
    <row r="361" spans="1:3" x14ac:dyDescent="0.25">
      <c r="A361" s="4">
        <v>36300</v>
      </c>
      <c r="B361" s="5">
        <f>_xlfn.XLOOKUP(A361,bunker_daily_raw!$A$2:$A$3819,bunker_daily_raw!$B$2:$B$3819)</f>
        <v>68.25</v>
      </c>
      <c r="C361" s="6">
        <v>14.44</v>
      </c>
    </row>
    <row r="362" spans="1:3" x14ac:dyDescent="0.25">
      <c r="A362" s="4">
        <v>36301</v>
      </c>
      <c r="B362" s="5">
        <f>_xlfn.XLOOKUP(A362,bunker_daily_raw!$A$2:$A$3819,bunker_daily_raw!$B$2:$B$3819)</f>
        <v>73</v>
      </c>
      <c r="C362" s="6">
        <v>14.49</v>
      </c>
    </row>
    <row r="363" spans="1:3" x14ac:dyDescent="0.25">
      <c r="A363" s="4">
        <v>36304</v>
      </c>
      <c r="B363" s="5">
        <f>_xlfn.XLOOKUP(A363,bunker_daily_raw!$A$2:$A$3819,bunker_daily_raw!$B$2:$B$3819)</f>
        <v>74.5</v>
      </c>
      <c r="C363" s="6">
        <v>14.83</v>
      </c>
    </row>
    <row r="364" spans="1:3" x14ac:dyDescent="0.25">
      <c r="A364" s="4">
        <v>36305</v>
      </c>
      <c r="B364" s="5">
        <f>_xlfn.XLOOKUP(A364,bunker_daily_raw!$A$2:$A$3819,bunker_daily_raw!$B$2:$B$3819)</f>
        <v>73</v>
      </c>
      <c r="C364" s="6">
        <v>14.71</v>
      </c>
    </row>
    <row r="365" spans="1:3" x14ac:dyDescent="0.25">
      <c r="A365" s="4">
        <v>36306</v>
      </c>
      <c r="B365" s="5">
        <f>_xlfn.XLOOKUP(A365,bunker_daily_raw!$A$2:$A$3819,bunker_daily_raw!$B$2:$B$3819)</f>
        <v>76</v>
      </c>
      <c r="C365" s="6">
        <v>15.18</v>
      </c>
    </row>
    <row r="366" spans="1:3" x14ac:dyDescent="0.25">
      <c r="A366" s="4">
        <v>36307</v>
      </c>
      <c r="B366" s="5">
        <f>_xlfn.XLOOKUP(A366,bunker_daily_raw!$A$2:$A$3819,bunker_daily_raw!$B$2:$B$3819)</f>
        <v>77.5</v>
      </c>
      <c r="C366" s="6">
        <v>15.04</v>
      </c>
    </row>
    <row r="367" spans="1:3" x14ac:dyDescent="0.25">
      <c r="A367" s="4">
        <v>36308</v>
      </c>
      <c r="B367" s="5">
        <f>_xlfn.XLOOKUP(A367,bunker_daily_raw!$A$2:$A$3819,bunker_daily_raw!$B$2:$B$3819)</f>
        <v>80.5</v>
      </c>
      <c r="C367" s="6">
        <v>14.75</v>
      </c>
    </row>
    <row r="368" spans="1:3" x14ac:dyDescent="0.25">
      <c r="A368" s="4">
        <v>36311</v>
      </c>
      <c r="B368" s="5" t="e">
        <f>_xlfn.XLOOKUP(A368,bunker_daily_raw!$A$2:$A$3819,bunker_daily_raw!$B$2:$B$3819)</f>
        <v>#N/A</v>
      </c>
      <c r="C368" s="5"/>
    </row>
    <row r="369" spans="1:3" x14ac:dyDescent="0.25">
      <c r="A369" s="4">
        <v>36312</v>
      </c>
      <c r="B369" s="5">
        <f>_xlfn.XLOOKUP(A369,bunker_daily_raw!$A$2:$A$3819,bunker_daily_raw!$B$2:$B$3819)</f>
        <v>83.5</v>
      </c>
      <c r="C369" s="6">
        <v>14.22</v>
      </c>
    </row>
    <row r="370" spans="1:3" x14ac:dyDescent="0.25">
      <c r="A370" s="4">
        <v>36313</v>
      </c>
      <c r="B370" s="5">
        <f>_xlfn.XLOOKUP(A370,bunker_daily_raw!$A$2:$A$3819,bunker_daily_raw!$B$2:$B$3819)</f>
        <v>89</v>
      </c>
      <c r="C370" s="6">
        <v>14.28</v>
      </c>
    </row>
    <row r="371" spans="1:3" x14ac:dyDescent="0.25">
      <c r="A371" s="4">
        <v>36314</v>
      </c>
      <c r="B371" s="5">
        <f>_xlfn.XLOOKUP(A371,bunker_daily_raw!$A$2:$A$3819,bunker_daily_raw!$B$2:$B$3819)</f>
        <v>85</v>
      </c>
      <c r="C371" s="6">
        <v>14.26</v>
      </c>
    </row>
    <row r="372" spans="1:3" x14ac:dyDescent="0.25">
      <c r="A372" s="4">
        <v>36315</v>
      </c>
      <c r="B372" s="5">
        <f>_xlfn.XLOOKUP(A372,bunker_daily_raw!$A$2:$A$3819,bunker_daily_raw!$B$2:$B$3819)</f>
        <v>91.75</v>
      </c>
      <c r="C372" s="6">
        <v>15.21</v>
      </c>
    </row>
    <row r="373" spans="1:3" x14ac:dyDescent="0.25">
      <c r="A373" s="4">
        <v>36318</v>
      </c>
      <c r="B373" s="5">
        <f>_xlfn.XLOOKUP(A373,bunker_daily_raw!$A$2:$A$3819,bunker_daily_raw!$B$2:$B$3819)</f>
        <v>88.5</v>
      </c>
      <c r="C373" s="6">
        <v>15.98</v>
      </c>
    </row>
    <row r="374" spans="1:3" x14ac:dyDescent="0.25">
      <c r="A374" s="4">
        <v>36319</v>
      </c>
      <c r="B374" s="5">
        <f>_xlfn.XLOOKUP(A374,bunker_daily_raw!$A$2:$A$3819,bunker_daily_raw!$B$2:$B$3819)</f>
        <v>87.5</v>
      </c>
      <c r="C374" s="6">
        <v>16.25</v>
      </c>
    </row>
    <row r="375" spans="1:3" x14ac:dyDescent="0.25">
      <c r="A375" s="4">
        <v>36320</v>
      </c>
      <c r="B375" s="5">
        <f>_xlfn.XLOOKUP(A375,bunker_daily_raw!$A$2:$A$3819,bunker_daily_raw!$B$2:$B$3819)</f>
        <v>87.5</v>
      </c>
      <c r="C375" s="6">
        <v>16.190000000000001</v>
      </c>
    </row>
    <row r="376" spans="1:3" x14ac:dyDescent="0.25">
      <c r="A376" s="4">
        <v>36321</v>
      </c>
      <c r="B376" s="5">
        <f>_xlfn.XLOOKUP(A376,bunker_daily_raw!$A$2:$A$3819,bunker_daily_raw!$B$2:$B$3819)</f>
        <v>84.25</v>
      </c>
      <c r="C376" s="6">
        <v>15.99</v>
      </c>
    </row>
    <row r="377" spans="1:3" x14ac:dyDescent="0.25">
      <c r="A377" s="4">
        <v>36322</v>
      </c>
      <c r="B377" s="5">
        <f>_xlfn.XLOOKUP(A377,bunker_daily_raw!$A$2:$A$3819,bunker_daily_raw!$B$2:$B$3819)</f>
        <v>83.75</v>
      </c>
      <c r="C377" s="6">
        <v>16.25</v>
      </c>
    </row>
    <row r="378" spans="1:3" x14ac:dyDescent="0.25">
      <c r="A378" s="4">
        <v>36325</v>
      </c>
      <c r="B378" s="5">
        <f>_xlfn.XLOOKUP(A378,bunker_daily_raw!$A$2:$A$3819,bunker_daily_raw!$B$2:$B$3819)</f>
        <v>83</v>
      </c>
      <c r="C378" s="6">
        <v>16.05</v>
      </c>
    </row>
    <row r="379" spans="1:3" x14ac:dyDescent="0.25">
      <c r="A379" s="4">
        <v>36326</v>
      </c>
      <c r="B379" s="5">
        <f>_xlfn.XLOOKUP(A379,bunker_daily_raw!$A$2:$A$3819,bunker_daily_raw!$B$2:$B$3819)</f>
        <v>81</v>
      </c>
      <c r="C379" s="6">
        <v>16.329999999999998</v>
      </c>
    </row>
    <row r="380" spans="1:3" x14ac:dyDescent="0.25">
      <c r="A380" s="4">
        <v>36327</v>
      </c>
      <c r="B380" s="5">
        <f>_xlfn.XLOOKUP(A380,bunker_daily_raw!$A$2:$A$3819,bunker_daily_raw!$B$2:$B$3819)</f>
        <v>83.75</v>
      </c>
      <c r="C380" s="6">
        <v>16.29</v>
      </c>
    </row>
    <row r="381" spans="1:3" x14ac:dyDescent="0.25">
      <c r="A381" s="4">
        <v>36328</v>
      </c>
      <c r="B381" s="5">
        <f>_xlfn.XLOOKUP(A381,bunker_daily_raw!$A$2:$A$3819,bunker_daily_raw!$B$2:$B$3819)</f>
        <v>89</v>
      </c>
      <c r="C381" s="6">
        <v>16</v>
      </c>
    </row>
    <row r="382" spans="1:3" x14ac:dyDescent="0.25">
      <c r="A382" s="4">
        <v>36329</v>
      </c>
      <c r="B382" s="5">
        <f>_xlfn.XLOOKUP(A382,bunker_daily_raw!$A$2:$A$3819,bunker_daily_raw!$B$2:$B$3819)</f>
        <v>86.5</v>
      </c>
      <c r="C382" s="6">
        <v>15.93</v>
      </c>
    </row>
    <row r="383" spans="1:3" x14ac:dyDescent="0.25">
      <c r="A383" s="4">
        <v>36332</v>
      </c>
      <c r="B383" s="5">
        <f>_xlfn.XLOOKUP(A383,bunker_daily_raw!$A$2:$A$3819,bunker_daily_raw!$B$2:$B$3819)</f>
        <v>91</v>
      </c>
      <c r="C383" s="6">
        <v>15.64</v>
      </c>
    </row>
    <row r="384" spans="1:3" x14ac:dyDescent="0.25">
      <c r="A384" s="4">
        <v>36333</v>
      </c>
      <c r="B384" s="5">
        <f>_xlfn.XLOOKUP(A384,bunker_daily_raw!$A$2:$A$3819,bunker_daily_raw!$B$2:$B$3819)</f>
        <v>92</v>
      </c>
      <c r="C384" s="6">
        <v>15.91</v>
      </c>
    </row>
    <row r="385" spans="1:3" x14ac:dyDescent="0.25">
      <c r="A385" s="4">
        <v>36334</v>
      </c>
      <c r="B385" s="5">
        <f>_xlfn.XLOOKUP(A385,bunker_daily_raw!$A$2:$A$3819,bunker_daily_raw!$B$2:$B$3819)</f>
        <v>90</v>
      </c>
      <c r="C385" s="6">
        <v>16.04</v>
      </c>
    </row>
    <row r="386" spans="1:3" x14ac:dyDescent="0.25">
      <c r="A386" s="4">
        <v>36335</v>
      </c>
      <c r="B386" s="5">
        <f>_xlfn.XLOOKUP(A386,bunker_daily_raw!$A$2:$A$3819,bunker_daily_raw!$B$2:$B$3819)</f>
        <v>92.75</v>
      </c>
      <c r="C386" s="6">
        <v>16.28</v>
      </c>
    </row>
    <row r="387" spans="1:3" x14ac:dyDescent="0.25">
      <c r="A387" s="4">
        <v>36336</v>
      </c>
      <c r="B387" s="5">
        <f>_xlfn.XLOOKUP(A387,bunker_daily_raw!$A$2:$A$3819,bunker_daily_raw!$B$2:$B$3819)</f>
        <v>90</v>
      </c>
      <c r="C387" s="6">
        <v>16.27</v>
      </c>
    </row>
    <row r="388" spans="1:3" x14ac:dyDescent="0.25">
      <c r="A388" s="4">
        <v>36339</v>
      </c>
      <c r="B388" s="5">
        <f>_xlfn.XLOOKUP(A388,bunker_daily_raw!$A$2:$A$3819,bunker_daily_raw!$B$2:$B$3819)</f>
        <v>92</v>
      </c>
      <c r="C388" s="6">
        <v>16.27</v>
      </c>
    </row>
    <row r="389" spans="1:3" x14ac:dyDescent="0.25">
      <c r="A389" s="4">
        <v>36340</v>
      </c>
      <c r="B389" s="5">
        <f>_xlfn.XLOOKUP(A389,bunker_daily_raw!$A$2:$A$3819,bunker_daily_raw!$B$2:$B$3819)</f>
        <v>93.25</v>
      </c>
      <c r="C389" s="6">
        <v>16.38</v>
      </c>
    </row>
    <row r="390" spans="1:3" x14ac:dyDescent="0.25">
      <c r="A390" s="4">
        <v>36341</v>
      </c>
      <c r="B390" s="5">
        <f>_xlfn.XLOOKUP(A390,bunker_daily_raw!$A$2:$A$3819,bunker_daily_raw!$B$2:$B$3819)</f>
        <v>94.75</v>
      </c>
      <c r="C390" s="6">
        <v>16.97</v>
      </c>
    </row>
    <row r="391" spans="1:3" x14ac:dyDescent="0.25">
      <c r="A391" s="4">
        <v>36342</v>
      </c>
      <c r="B391" s="5">
        <f>_xlfn.XLOOKUP(A391,bunker_daily_raw!$A$2:$A$3819,bunker_daily_raw!$B$2:$B$3819)</f>
        <v>92.25</v>
      </c>
      <c r="C391" s="6">
        <v>17.25</v>
      </c>
    </row>
    <row r="392" spans="1:3" x14ac:dyDescent="0.25">
      <c r="A392" s="4">
        <v>36343</v>
      </c>
      <c r="B392" s="5">
        <f>_xlfn.XLOOKUP(A392,bunker_daily_raw!$A$2:$A$3819,bunker_daily_raw!$B$2:$B$3819)</f>
        <v>94.5</v>
      </c>
      <c r="C392" s="6">
        <v>17.55</v>
      </c>
    </row>
    <row r="393" spans="1:3" x14ac:dyDescent="0.25">
      <c r="A393" s="4">
        <v>36346</v>
      </c>
      <c r="B393" s="5">
        <f>_xlfn.XLOOKUP(A393,bunker_daily_raw!$A$2:$A$3819,bunker_daily_raw!$B$2:$B$3819)</f>
        <v>95.05</v>
      </c>
      <c r="C393" s="5"/>
    </row>
    <row r="394" spans="1:3" x14ac:dyDescent="0.25">
      <c r="A394" s="4">
        <v>36347</v>
      </c>
      <c r="B394" s="5">
        <f>_xlfn.XLOOKUP(A394,bunker_daily_raw!$A$2:$A$3819,bunker_daily_raw!$B$2:$B$3819)</f>
        <v>92.75</v>
      </c>
      <c r="C394" s="6">
        <v>18.47</v>
      </c>
    </row>
    <row r="395" spans="1:3" x14ac:dyDescent="0.25">
      <c r="A395" s="4">
        <v>36348</v>
      </c>
      <c r="B395" s="5">
        <f>_xlfn.XLOOKUP(A395,bunker_daily_raw!$A$2:$A$3819,bunker_daily_raw!$B$2:$B$3819)</f>
        <v>88</v>
      </c>
      <c r="C395" s="6">
        <v>18.36</v>
      </c>
    </row>
    <row r="396" spans="1:3" x14ac:dyDescent="0.25">
      <c r="A396" s="4">
        <v>36349</v>
      </c>
      <c r="B396" s="5">
        <f>_xlfn.XLOOKUP(A396,bunker_daily_raw!$A$2:$A$3819,bunker_daily_raw!$B$2:$B$3819)</f>
        <v>90</v>
      </c>
      <c r="C396" s="6">
        <v>18.739999999999998</v>
      </c>
    </row>
    <row r="397" spans="1:3" x14ac:dyDescent="0.25">
      <c r="A397" s="4">
        <v>36350</v>
      </c>
      <c r="B397" s="5">
        <f>_xlfn.XLOOKUP(A397,bunker_daily_raw!$A$2:$A$3819,bunker_daily_raw!$B$2:$B$3819)</f>
        <v>89.5</v>
      </c>
      <c r="C397" s="6">
        <v>18.899999999999999</v>
      </c>
    </row>
    <row r="398" spans="1:3" x14ac:dyDescent="0.25">
      <c r="A398" s="4">
        <v>36353</v>
      </c>
      <c r="B398" s="5">
        <f>_xlfn.XLOOKUP(A398,bunker_daily_raw!$A$2:$A$3819,bunker_daily_raw!$B$2:$B$3819)</f>
        <v>94</v>
      </c>
      <c r="C398" s="6">
        <v>18.940000000000001</v>
      </c>
    </row>
    <row r="399" spans="1:3" x14ac:dyDescent="0.25">
      <c r="A399" s="4">
        <v>36354</v>
      </c>
      <c r="B399" s="5">
        <f>_xlfn.XLOOKUP(A399,bunker_daily_raw!$A$2:$A$3819,bunker_daily_raw!$B$2:$B$3819)</f>
        <v>95.25</v>
      </c>
      <c r="C399" s="6">
        <v>19.489999999999998</v>
      </c>
    </row>
    <row r="400" spans="1:3" x14ac:dyDescent="0.25">
      <c r="A400" s="4">
        <v>36355</v>
      </c>
      <c r="B400" s="5">
        <f>_xlfn.XLOOKUP(A400,bunker_daily_raw!$A$2:$A$3819,bunker_daily_raw!$B$2:$B$3819)</f>
        <v>98.75</v>
      </c>
      <c r="C400" s="6">
        <v>19.48</v>
      </c>
    </row>
    <row r="401" spans="1:3" x14ac:dyDescent="0.25">
      <c r="A401" s="4">
        <v>36356</v>
      </c>
      <c r="B401" s="5">
        <f>_xlfn.XLOOKUP(A401,bunker_daily_raw!$A$2:$A$3819,bunker_daily_raw!$B$2:$B$3819)</f>
        <v>101.5</v>
      </c>
      <c r="C401" s="6">
        <v>18.899999999999999</v>
      </c>
    </row>
    <row r="402" spans="1:3" x14ac:dyDescent="0.25">
      <c r="A402" s="4">
        <v>36357</v>
      </c>
      <c r="B402" s="5">
        <f>_xlfn.XLOOKUP(A402,bunker_daily_raw!$A$2:$A$3819,bunker_daily_raw!$B$2:$B$3819)</f>
        <v>104</v>
      </c>
      <c r="C402" s="6">
        <v>19.420000000000002</v>
      </c>
    </row>
    <row r="403" spans="1:3" x14ac:dyDescent="0.25">
      <c r="A403" s="4">
        <v>36360</v>
      </c>
      <c r="B403" s="5">
        <f>_xlfn.XLOOKUP(A403,bunker_daily_raw!$A$2:$A$3819,bunker_daily_raw!$B$2:$B$3819)</f>
        <v>104</v>
      </c>
      <c r="C403" s="6">
        <v>19.75</v>
      </c>
    </row>
    <row r="404" spans="1:3" x14ac:dyDescent="0.25">
      <c r="A404" s="4">
        <v>36361</v>
      </c>
      <c r="B404" s="5">
        <f>_xlfn.XLOOKUP(A404,bunker_daily_raw!$A$2:$A$3819,bunker_daily_raw!$B$2:$B$3819)</f>
        <v>107</v>
      </c>
      <c r="C404" s="6">
        <v>19.329999999999998</v>
      </c>
    </row>
    <row r="405" spans="1:3" x14ac:dyDescent="0.25">
      <c r="A405" s="4">
        <v>36362</v>
      </c>
      <c r="B405" s="5">
        <f>_xlfn.XLOOKUP(A405,bunker_daily_raw!$A$2:$A$3819,bunker_daily_raw!$B$2:$B$3819)</f>
        <v>106.5</v>
      </c>
      <c r="C405" s="6">
        <v>18.62</v>
      </c>
    </row>
    <row r="406" spans="1:3" x14ac:dyDescent="0.25">
      <c r="A406" s="4">
        <v>36363</v>
      </c>
      <c r="B406" s="5">
        <f>_xlfn.XLOOKUP(A406,bunker_daily_raw!$A$2:$A$3819,bunker_daily_raw!$B$2:$B$3819)</f>
        <v>109.75</v>
      </c>
      <c r="C406" s="6">
        <v>19.010000000000002</v>
      </c>
    </row>
    <row r="407" spans="1:3" x14ac:dyDescent="0.25">
      <c r="A407" s="4">
        <v>36364</v>
      </c>
      <c r="B407" s="5">
        <f>_xlfn.XLOOKUP(A407,bunker_daily_raw!$A$2:$A$3819,bunker_daily_raw!$B$2:$B$3819)</f>
        <v>111</v>
      </c>
      <c r="C407" s="6">
        <v>19.690000000000001</v>
      </c>
    </row>
    <row r="408" spans="1:3" x14ac:dyDescent="0.25">
      <c r="A408" s="4">
        <v>36367</v>
      </c>
      <c r="B408" s="5">
        <f>_xlfn.XLOOKUP(A408,bunker_daily_raw!$A$2:$A$3819,bunker_daily_raw!$B$2:$B$3819)</f>
        <v>112</v>
      </c>
      <c r="C408" s="6">
        <v>19.73</v>
      </c>
    </row>
    <row r="409" spans="1:3" x14ac:dyDescent="0.25">
      <c r="A409" s="4">
        <v>36368</v>
      </c>
      <c r="B409" s="5">
        <f>_xlfn.XLOOKUP(A409,bunker_daily_raw!$A$2:$A$3819,bunker_daily_raw!$B$2:$B$3819)</f>
        <v>110.5</v>
      </c>
      <c r="C409" s="6">
        <v>19.46</v>
      </c>
    </row>
    <row r="410" spans="1:3" x14ac:dyDescent="0.25">
      <c r="A410" s="4">
        <v>36369</v>
      </c>
      <c r="B410" s="5">
        <f>_xlfn.XLOOKUP(A410,bunker_daily_raw!$A$2:$A$3819,bunker_daily_raw!$B$2:$B$3819)</f>
        <v>108.5</v>
      </c>
      <c r="C410" s="6">
        <v>19.649999999999999</v>
      </c>
    </row>
    <row r="411" spans="1:3" x14ac:dyDescent="0.25">
      <c r="A411" s="4">
        <v>36370</v>
      </c>
      <c r="B411" s="5">
        <f>_xlfn.XLOOKUP(A411,bunker_daily_raw!$A$2:$A$3819,bunker_daily_raw!$B$2:$B$3819)</f>
        <v>108</v>
      </c>
      <c r="C411" s="6">
        <v>19.97</v>
      </c>
    </row>
    <row r="412" spans="1:3" x14ac:dyDescent="0.25">
      <c r="A412" s="4">
        <v>36371</v>
      </c>
      <c r="B412" s="5">
        <f>_xlfn.XLOOKUP(A412,bunker_daily_raw!$A$2:$A$3819,bunker_daily_raw!$B$2:$B$3819)</f>
        <v>108.75</v>
      </c>
      <c r="C412" s="6">
        <v>19.97</v>
      </c>
    </row>
    <row r="413" spans="1:3" x14ac:dyDescent="0.25">
      <c r="A413" s="4">
        <v>36374</v>
      </c>
      <c r="B413" s="5">
        <f>_xlfn.XLOOKUP(A413,bunker_daily_raw!$A$2:$A$3819,bunker_daily_raw!$B$2:$B$3819)</f>
        <v>111.75</v>
      </c>
      <c r="C413" s="6">
        <v>19.21</v>
      </c>
    </row>
    <row r="414" spans="1:3" x14ac:dyDescent="0.25">
      <c r="A414" s="4">
        <v>36375</v>
      </c>
      <c r="B414" s="5">
        <f>_xlfn.XLOOKUP(A414,bunker_daily_raw!$A$2:$A$3819,bunker_daily_raw!$B$2:$B$3819)</f>
        <v>111.5</v>
      </c>
      <c r="C414" s="6">
        <v>19.32</v>
      </c>
    </row>
    <row r="415" spans="1:3" x14ac:dyDescent="0.25">
      <c r="A415" s="4">
        <v>36376</v>
      </c>
      <c r="B415" s="5">
        <f>_xlfn.XLOOKUP(A415,bunker_daily_raw!$A$2:$A$3819,bunker_daily_raw!$B$2:$B$3819)</f>
        <v>114.25</v>
      </c>
      <c r="C415" s="6">
        <v>19.38</v>
      </c>
    </row>
    <row r="416" spans="1:3" x14ac:dyDescent="0.25">
      <c r="A416" s="4">
        <v>36377</v>
      </c>
      <c r="B416" s="5">
        <f>_xlfn.XLOOKUP(A416,bunker_daily_raw!$A$2:$A$3819,bunker_daily_raw!$B$2:$B$3819)</f>
        <v>114.5</v>
      </c>
      <c r="C416" s="6">
        <v>19.64</v>
      </c>
    </row>
    <row r="417" spans="1:3" x14ac:dyDescent="0.25">
      <c r="A417" s="4">
        <v>36378</v>
      </c>
      <c r="B417" s="5">
        <f>_xlfn.XLOOKUP(A417,bunker_daily_raw!$A$2:$A$3819,bunker_daily_raw!$B$2:$B$3819)</f>
        <v>116</v>
      </c>
      <c r="C417" s="6">
        <v>19.66</v>
      </c>
    </row>
    <row r="418" spans="1:3" x14ac:dyDescent="0.25">
      <c r="A418" s="4">
        <v>36381</v>
      </c>
      <c r="B418" s="5" t="e">
        <f>_xlfn.XLOOKUP(A418,bunker_daily_raw!$A$2:$A$3819,bunker_daily_raw!$B$2:$B$3819)</f>
        <v>#N/A</v>
      </c>
      <c r="C418" s="6">
        <v>19.34</v>
      </c>
    </row>
    <row r="419" spans="1:3" x14ac:dyDescent="0.25">
      <c r="A419" s="4">
        <v>36382</v>
      </c>
      <c r="B419" s="5">
        <f>_xlfn.XLOOKUP(A419,bunker_daily_raw!$A$2:$A$3819,bunker_daily_raw!$B$2:$B$3819)</f>
        <v>117</v>
      </c>
      <c r="C419" s="6">
        <v>20.18</v>
      </c>
    </row>
    <row r="420" spans="1:3" x14ac:dyDescent="0.25">
      <c r="A420" s="4">
        <v>36383</v>
      </c>
      <c r="B420" s="5">
        <f>_xlfn.XLOOKUP(A420,bunker_daily_raw!$A$2:$A$3819,bunker_daily_raw!$B$2:$B$3819)</f>
        <v>115</v>
      </c>
      <c r="C420" s="6">
        <v>20.58</v>
      </c>
    </row>
    <row r="421" spans="1:3" x14ac:dyDescent="0.25">
      <c r="A421" s="4">
        <v>36384</v>
      </c>
      <c r="B421" s="5">
        <f>_xlfn.XLOOKUP(A421,bunker_daily_raw!$A$2:$A$3819,bunker_daily_raw!$B$2:$B$3819)</f>
        <v>111</v>
      </c>
      <c r="C421" s="6">
        <v>20.32</v>
      </c>
    </row>
    <row r="422" spans="1:3" x14ac:dyDescent="0.25">
      <c r="A422" s="4">
        <v>36385</v>
      </c>
      <c r="B422" s="5">
        <f>_xlfn.XLOOKUP(A422,bunker_daily_raw!$A$2:$A$3819,bunker_daily_raw!$B$2:$B$3819)</f>
        <v>108</v>
      </c>
      <c r="C422" s="6">
        <v>20.61</v>
      </c>
    </row>
    <row r="423" spans="1:3" x14ac:dyDescent="0.25">
      <c r="A423" s="4">
        <v>36388</v>
      </c>
      <c r="B423" s="5">
        <f>_xlfn.XLOOKUP(A423,bunker_daily_raw!$A$2:$A$3819,bunker_daily_raw!$B$2:$B$3819)</f>
        <v>109</v>
      </c>
      <c r="C423" s="6">
        <v>20.68</v>
      </c>
    </row>
    <row r="424" spans="1:3" x14ac:dyDescent="0.25">
      <c r="A424" s="4">
        <v>36389</v>
      </c>
      <c r="B424" s="5">
        <f>_xlfn.XLOOKUP(A424,bunker_daily_raw!$A$2:$A$3819,bunker_daily_raw!$B$2:$B$3819)</f>
        <v>116.5</v>
      </c>
      <c r="C424" s="6">
        <v>20.61</v>
      </c>
    </row>
    <row r="425" spans="1:3" x14ac:dyDescent="0.25">
      <c r="A425" s="4">
        <v>36390</v>
      </c>
      <c r="B425" s="5">
        <f>_xlfn.XLOOKUP(A425,bunker_daily_raw!$A$2:$A$3819,bunker_daily_raw!$B$2:$B$3819)</f>
        <v>114</v>
      </c>
      <c r="C425" s="6">
        <v>20.69</v>
      </c>
    </row>
    <row r="426" spans="1:3" x14ac:dyDescent="0.25">
      <c r="A426" s="4">
        <v>36391</v>
      </c>
      <c r="B426" s="5">
        <f>_xlfn.XLOOKUP(A426,bunker_daily_raw!$A$2:$A$3819,bunker_daily_raw!$B$2:$B$3819)</f>
        <v>111.5</v>
      </c>
      <c r="C426" s="6">
        <v>20.92</v>
      </c>
    </row>
    <row r="427" spans="1:3" x14ac:dyDescent="0.25">
      <c r="A427" s="4">
        <v>36392</v>
      </c>
      <c r="B427" s="5">
        <f>_xlfn.XLOOKUP(A427,bunker_daily_raw!$A$2:$A$3819,bunker_daily_raw!$B$2:$B$3819)</f>
        <v>108</v>
      </c>
      <c r="C427" s="6">
        <v>21.11</v>
      </c>
    </row>
    <row r="428" spans="1:3" x14ac:dyDescent="0.25">
      <c r="A428" s="4">
        <v>36395</v>
      </c>
      <c r="B428" s="5">
        <f>_xlfn.XLOOKUP(A428,bunker_daily_raw!$A$2:$A$3819,bunker_daily_raw!$B$2:$B$3819)</f>
        <v>111</v>
      </c>
      <c r="C428" s="6">
        <v>20.96</v>
      </c>
    </row>
    <row r="429" spans="1:3" x14ac:dyDescent="0.25">
      <c r="A429" s="4">
        <v>36396</v>
      </c>
      <c r="B429" s="5">
        <f>_xlfn.XLOOKUP(A429,bunker_daily_raw!$A$2:$A$3819,bunker_daily_raw!$B$2:$B$3819)</f>
        <v>111</v>
      </c>
      <c r="C429" s="6">
        <v>20.48</v>
      </c>
    </row>
    <row r="430" spans="1:3" x14ac:dyDescent="0.25">
      <c r="A430" s="4">
        <v>36397</v>
      </c>
      <c r="B430" s="5">
        <f>_xlfn.XLOOKUP(A430,bunker_daily_raw!$A$2:$A$3819,bunker_daily_raw!$B$2:$B$3819)</f>
        <v>112.75</v>
      </c>
      <c r="C430" s="6">
        <v>19.71</v>
      </c>
    </row>
    <row r="431" spans="1:3" x14ac:dyDescent="0.25">
      <c r="A431" s="4">
        <v>36398</v>
      </c>
      <c r="B431" s="5">
        <f>_xlfn.XLOOKUP(A431,bunker_daily_raw!$A$2:$A$3819,bunker_daily_raw!$B$2:$B$3819)</f>
        <v>115</v>
      </c>
      <c r="C431" s="6">
        <v>19.8</v>
      </c>
    </row>
    <row r="432" spans="1:3" x14ac:dyDescent="0.25">
      <c r="A432" s="4">
        <v>36399</v>
      </c>
      <c r="B432" s="5">
        <f>_xlfn.XLOOKUP(A432,bunker_daily_raw!$A$2:$A$3819,bunker_daily_raw!$B$2:$B$3819)</f>
        <v>115</v>
      </c>
      <c r="C432" s="6">
        <v>20.32</v>
      </c>
    </row>
    <row r="433" spans="1:3" x14ac:dyDescent="0.25">
      <c r="A433" s="4">
        <v>36402</v>
      </c>
      <c r="B433" s="5">
        <f>_xlfn.XLOOKUP(A433,bunker_daily_raw!$A$2:$A$3819,bunker_daily_raw!$B$2:$B$3819)</f>
        <v>116.5</v>
      </c>
      <c r="C433" s="5"/>
    </row>
    <row r="434" spans="1:3" x14ac:dyDescent="0.25">
      <c r="A434" s="4">
        <v>36403</v>
      </c>
      <c r="B434" s="5">
        <f>_xlfn.XLOOKUP(A434,bunker_daily_raw!$A$2:$A$3819,bunker_daily_raw!$B$2:$B$3819)</f>
        <v>116.5</v>
      </c>
      <c r="C434" s="6">
        <v>21.08</v>
      </c>
    </row>
    <row r="435" spans="1:3" x14ac:dyDescent="0.25">
      <c r="A435" s="4">
        <v>36404</v>
      </c>
      <c r="B435" s="5">
        <f>_xlfn.XLOOKUP(A435,bunker_daily_raw!$A$2:$A$3819,bunker_daily_raw!$B$2:$B$3819)</f>
        <v>113.5</v>
      </c>
      <c r="C435" s="6">
        <v>21.1</v>
      </c>
    </row>
    <row r="436" spans="1:3" x14ac:dyDescent="0.25">
      <c r="A436" s="4">
        <v>36405</v>
      </c>
      <c r="B436" s="5">
        <f>_xlfn.XLOOKUP(A436,bunker_daily_raw!$A$2:$A$3819,bunker_daily_raw!$B$2:$B$3819)</f>
        <v>116.75</v>
      </c>
      <c r="C436" s="6">
        <v>20.66</v>
      </c>
    </row>
    <row r="437" spans="1:3" x14ac:dyDescent="0.25">
      <c r="A437" s="4">
        <v>36406</v>
      </c>
      <c r="B437" s="5">
        <f>_xlfn.XLOOKUP(A437,bunker_daily_raw!$A$2:$A$3819,bunker_daily_raw!$B$2:$B$3819)</f>
        <v>117.5</v>
      </c>
      <c r="C437" s="6">
        <v>20.74</v>
      </c>
    </row>
    <row r="438" spans="1:3" x14ac:dyDescent="0.25">
      <c r="A438" s="4">
        <v>36409</v>
      </c>
      <c r="B438" s="5">
        <f>_xlfn.XLOOKUP(A438,bunker_daily_raw!$A$2:$A$3819,bunker_daily_raw!$B$2:$B$3819)</f>
        <v>118</v>
      </c>
      <c r="C438" s="6">
        <v>21.14</v>
      </c>
    </row>
    <row r="439" spans="1:3" x14ac:dyDescent="0.25">
      <c r="A439" s="4">
        <v>36410</v>
      </c>
      <c r="B439" s="5">
        <f>_xlfn.XLOOKUP(A439,bunker_daily_raw!$A$2:$A$3819,bunker_daily_raw!$B$2:$B$3819)</f>
        <v>116.5</v>
      </c>
      <c r="C439" s="6">
        <v>21.71</v>
      </c>
    </row>
    <row r="440" spans="1:3" x14ac:dyDescent="0.25">
      <c r="A440" s="4">
        <v>36411</v>
      </c>
      <c r="B440" s="5">
        <f>_xlfn.XLOOKUP(A440,bunker_daily_raw!$A$2:$A$3819,bunker_daily_raw!$B$2:$B$3819)</f>
        <v>117.5</v>
      </c>
      <c r="C440" s="6">
        <v>21.96</v>
      </c>
    </row>
    <row r="441" spans="1:3" x14ac:dyDescent="0.25">
      <c r="A441" s="4">
        <v>36412</v>
      </c>
      <c r="B441" s="5">
        <f>_xlfn.XLOOKUP(A441,bunker_daily_raw!$A$2:$A$3819,bunker_daily_raw!$B$2:$B$3819)</f>
        <v>118.75</v>
      </c>
      <c r="C441" s="6">
        <v>22.51</v>
      </c>
    </row>
    <row r="442" spans="1:3" x14ac:dyDescent="0.25">
      <c r="A442" s="4">
        <v>36413</v>
      </c>
      <c r="B442" s="5">
        <f>_xlfn.XLOOKUP(A442,bunker_daily_raw!$A$2:$A$3819,bunker_daily_raw!$B$2:$B$3819)</f>
        <v>119.75</v>
      </c>
      <c r="C442" s="6">
        <v>22.36</v>
      </c>
    </row>
    <row r="443" spans="1:3" x14ac:dyDescent="0.25">
      <c r="A443" s="4">
        <v>36416</v>
      </c>
      <c r="B443" s="5">
        <f>_xlfn.XLOOKUP(A443,bunker_daily_raw!$A$2:$A$3819,bunker_daily_raw!$B$2:$B$3819)</f>
        <v>119.5</v>
      </c>
      <c r="C443" s="6">
        <v>22.98</v>
      </c>
    </row>
    <row r="444" spans="1:3" x14ac:dyDescent="0.25">
      <c r="A444" s="4">
        <v>36417</v>
      </c>
      <c r="B444" s="5">
        <f>_xlfn.XLOOKUP(A444,bunker_daily_raw!$A$2:$A$3819,bunker_daily_raw!$B$2:$B$3819)</f>
        <v>120.5</v>
      </c>
      <c r="C444" s="6">
        <v>23.18</v>
      </c>
    </row>
    <row r="445" spans="1:3" x14ac:dyDescent="0.25">
      <c r="A445" s="4">
        <v>36418</v>
      </c>
      <c r="B445" s="5">
        <f>_xlfn.XLOOKUP(A445,bunker_daily_raw!$A$2:$A$3819,bunker_daily_raw!$B$2:$B$3819)</f>
        <v>122</v>
      </c>
      <c r="C445" s="6">
        <v>23.25</v>
      </c>
    </row>
    <row r="446" spans="1:3" x14ac:dyDescent="0.25">
      <c r="A446" s="4">
        <v>36419</v>
      </c>
      <c r="B446" s="5">
        <f>_xlfn.XLOOKUP(A446,bunker_daily_raw!$A$2:$A$3819,bunker_daily_raw!$B$2:$B$3819)</f>
        <v>122.5</v>
      </c>
      <c r="C446" s="6">
        <v>23.06</v>
      </c>
    </row>
    <row r="447" spans="1:3" x14ac:dyDescent="0.25">
      <c r="A447" s="4">
        <v>36420</v>
      </c>
      <c r="B447" s="5">
        <f>_xlfn.XLOOKUP(A447,bunker_daily_raw!$A$2:$A$3819,bunker_daily_raw!$B$2:$B$3819)</f>
        <v>125</v>
      </c>
      <c r="C447" s="6">
        <v>22.93</v>
      </c>
    </row>
    <row r="448" spans="1:3" x14ac:dyDescent="0.25">
      <c r="A448" s="4">
        <v>36423</v>
      </c>
      <c r="B448" s="5">
        <f>_xlfn.XLOOKUP(A448,bunker_daily_raw!$A$2:$A$3819,bunker_daily_raw!$B$2:$B$3819)</f>
        <v>125</v>
      </c>
      <c r="C448" s="6">
        <v>22.85</v>
      </c>
    </row>
    <row r="449" spans="1:3" x14ac:dyDescent="0.25">
      <c r="A449" s="4">
        <v>36424</v>
      </c>
      <c r="B449" s="5">
        <f>_xlfn.XLOOKUP(A449,bunker_daily_raw!$A$2:$A$3819,bunker_daily_raw!$B$2:$B$3819)</f>
        <v>122.75</v>
      </c>
      <c r="C449" s="6">
        <v>22.68</v>
      </c>
    </row>
    <row r="450" spans="1:3" x14ac:dyDescent="0.25">
      <c r="A450" s="4">
        <v>36425</v>
      </c>
      <c r="B450" s="5">
        <f>_xlfn.XLOOKUP(A450,bunker_daily_raw!$A$2:$A$3819,bunker_daily_raw!$B$2:$B$3819)</f>
        <v>123.75</v>
      </c>
      <c r="C450" s="6">
        <v>22.49</v>
      </c>
    </row>
    <row r="451" spans="1:3" x14ac:dyDescent="0.25">
      <c r="A451" s="4">
        <v>36426</v>
      </c>
      <c r="B451" s="5">
        <f>_xlfn.XLOOKUP(A451,bunker_daily_raw!$A$2:$A$3819,bunker_daily_raw!$B$2:$B$3819)</f>
        <v>122</v>
      </c>
      <c r="C451" s="6">
        <v>23.41</v>
      </c>
    </row>
    <row r="452" spans="1:3" x14ac:dyDescent="0.25">
      <c r="A452" s="4">
        <v>36427</v>
      </c>
      <c r="B452" s="5">
        <f>_xlfn.XLOOKUP(A452,bunker_daily_raw!$A$2:$A$3819,bunker_daily_raw!$B$2:$B$3819)</f>
        <v>116</v>
      </c>
      <c r="C452" s="6">
        <v>23.66</v>
      </c>
    </row>
    <row r="453" spans="1:3" x14ac:dyDescent="0.25">
      <c r="A453" s="4">
        <v>36430</v>
      </c>
      <c r="B453" s="5">
        <f>_xlfn.XLOOKUP(A453,bunker_daily_raw!$A$2:$A$3819,bunker_daily_raw!$B$2:$B$3819)</f>
        <v>116.5</v>
      </c>
      <c r="C453" s="6">
        <v>23.6</v>
      </c>
    </row>
    <row r="454" spans="1:3" x14ac:dyDescent="0.25">
      <c r="A454" s="4">
        <v>36431</v>
      </c>
      <c r="B454" s="5">
        <f>_xlfn.XLOOKUP(A454,bunker_daily_raw!$A$2:$A$3819,bunker_daily_raw!$B$2:$B$3819)</f>
        <v>119.5</v>
      </c>
      <c r="C454" s="6">
        <v>23.24</v>
      </c>
    </row>
    <row r="455" spans="1:3" x14ac:dyDescent="0.25">
      <c r="A455" s="4">
        <v>36432</v>
      </c>
      <c r="B455" s="5">
        <f>_xlfn.XLOOKUP(A455,bunker_daily_raw!$A$2:$A$3819,bunker_daily_raw!$B$2:$B$3819)</f>
        <v>128</v>
      </c>
      <c r="C455" s="6">
        <v>23.46</v>
      </c>
    </row>
    <row r="456" spans="1:3" x14ac:dyDescent="0.25">
      <c r="A456" s="4">
        <v>36433</v>
      </c>
      <c r="B456" s="5">
        <f>_xlfn.XLOOKUP(A456,bunker_daily_raw!$A$2:$A$3819,bunker_daily_raw!$B$2:$B$3819)</f>
        <v>127.5</v>
      </c>
      <c r="C456" s="6">
        <v>22.98</v>
      </c>
    </row>
    <row r="457" spans="1:3" x14ac:dyDescent="0.25">
      <c r="A457" s="4">
        <v>36434</v>
      </c>
      <c r="B457" s="5">
        <f>_xlfn.XLOOKUP(A457,bunker_daily_raw!$A$2:$A$3819,bunker_daily_raw!$B$2:$B$3819)</f>
        <v>127</v>
      </c>
      <c r="C457" s="6">
        <v>22.98</v>
      </c>
    </row>
    <row r="458" spans="1:3" x14ac:dyDescent="0.25">
      <c r="A458" s="4">
        <v>36437</v>
      </c>
      <c r="B458" s="5">
        <f>_xlfn.XLOOKUP(A458,bunker_daily_raw!$A$2:$A$3819,bunker_daily_raw!$B$2:$B$3819)</f>
        <v>127.5</v>
      </c>
      <c r="C458" s="6">
        <v>23.3</v>
      </c>
    </row>
    <row r="459" spans="1:3" x14ac:dyDescent="0.25">
      <c r="A459" s="4">
        <v>36438</v>
      </c>
      <c r="B459" s="5">
        <f>_xlfn.XLOOKUP(A459,bunker_daily_raw!$A$2:$A$3819,bunker_daily_raw!$B$2:$B$3819)</f>
        <v>125</v>
      </c>
      <c r="C459" s="6">
        <v>22.64</v>
      </c>
    </row>
    <row r="460" spans="1:3" x14ac:dyDescent="0.25">
      <c r="A460" s="4">
        <v>36439</v>
      </c>
      <c r="B460" s="5">
        <f>_xlfn.XLOOKUP(A460,bunker_daily_raw!$A$2:$A$3819,bunker_daily_raw!$B$2:$B$3819)</f>
        <v>126</v>
      </c>
      <c r="C460" s="6">
        <v>23.07</v>
      </c>
    </row>
    <row r="461" spans="1:3" x14ac:dyDescent="0.25">
      <c r="A461" s="4">
        <v>36440</v>
      </c>
      <c r="B461" s="5">
        <f>_xlfn.XLOOKUP(A461,bunker_daily_raw!$A$2:$A$3819,bunker_daily_raw!$B$2:$B$3819)</f>
        <v>126.5</v>
      </c>
      <c r="C461" s="6">
        <v>22.33</v>
      </c>
    </row>
    <row r="462" spans="1:3" x14ac:dyDescent="0.25">
      <c r="A462" s="4">
        <v>36441</v>
      </c>
      <c r="B462" s="5">
        <f>_xlfn.XLOOKUP(A462,bunker_daily_raw!$A$2:$A$3819,bunker_daily_raw!$B$2:$B$3819)</f>
        <v>126.5</v>
      </c>
      <c r="C462" s="6">
        <v>20.78</v>
      </c>
    </row>
    <row r="463" spans="1:3" x14ac:dyDescent="0.25">
      <c r="A463" s="4">
        <v>36444</v>
      </c>
      <c r="B463" s="5">
        <f>_xlfn.XLOOKUP(A463,bunker_daily_raw!$A$2:$A$3819,bunker_daily_raw!$B$2:$B$3819)</f>
        <v>129</v>
      </c>
      <c r="C463" s="6">
        <v>20.84</v>
      </c>
    </row>
    <row r="464" spans="1:3" x14ac:dyDescent="0.25">
      <c r="A464" s="4">
        <v>36445</v>
      </c>
      <c r="B464" s="5">
        <f>_xlfn.XLOOKUP(A464,bunker_daily_raw!$A$2:$A$3819,bunker_daily_raw!$B$2:$B$3819)</f>
        <v>125.5</v>
      </c>
      <c r="C464" s="6">
        <v>21.89</v>
      </c>
    </row>
    <row r="465" spans="1:3" x14ac:dyDescent="0.25">
      <c r="A465" s="4">
        <v>36446</v>
      </c>
      <c r="B465" s="5">
        <f>_xlfn.XLOOKUP(A465,bunker_daily_raw!$A$2:$A$3819,bunker_daily_raw!$B$2:$B$3819)</f>
        <v>124.5</v>
      </c>
      <c r="C465" s="6">
        <v>22.26</v>
      </c>
    </row>
    <row r="466" spans="1:3" x14ac:dyDescent="0.25">
      <c r="A466" s="4">
        <v>36447</v>
      </c>
      <c r="B466" s="5">
        <f>_xlfn.XLOOKUP(A466,bunker_daily_raw!$A$2:$A$3819,bunker_daily_raw!$B$2:$B$3819)</f>
        <v>125</v>
      </c>
      <c r="C466" s="6">
        <v>22.28</v>
      </c>
    </row>
    <row r="467" spans="1:3" x14ac:dyDescent="0.25">
      <c r="A467" s="4">
        <v>36448</v>
      </c>
      <c r="B467" s="5">
        <f>_xlfn.XLOOKUP(A467,bunker_daily_raw!$A$2:$A$3819,bunker_daily_raw!$B$2:$B$3819)</f>
        <v>122</v>
      </c>
      <c r="C467" s="6">
        <v>21.65</v>
      </c>
    </row>
    <row r="468" spans="1:3" x14ac:dyDescent="0.25">
      <c r="A468" s="4">
        <v>36451</v>
      </c>
      <c r="B468" s="5">
        <f>_xlfn.XLOOKUP(A468,bunker_daily_raw!$A$2:$A$3819,bunker_daily_raw!$B$2:$B$3819)</f>
        <v>122</v>
      </c>
      <c r="C468" s="6">
        <v>22.26</v>
      </c>
    </row>
    <row r="469" spans="1:3" x14ac:dyDescent="0.25">
      <c r="A469" s="4">
        <v>36452</v>
      </c>
      <c r="B469" s="5">
        <f>_xlfn.XLOOKUP(A469,bunker_daily_raw!$A$2:$A$3819,bunker_daily_raw!$B$2:$B$3819)</f>
        <v>121.9</v>
      </c>
      <c r="C469" s="6">
        <v>21.59</v>
      </c>
    </row>
    <row r="470" spans="1:3" x14ac:dyDescent="0.25">
      <c r="A470" s="4">
        <v>36453</v>
      </c>
      <c r="B470" s="5">
        <f>_xlfn.XLOOKUP(A470,bunker_daily_raw!$A$2:$A$3819,bunker_daily_raw!$B$2:$B$3819)</f>
        <v>120</v>
      </c>
      <c r="C470" s="6">
        <v>21.02</v>
      </c>
    </row>
    <row r="471" spans="1:3" x14ac:dyDescent="0.25">
      <c r="A471" s="4">
        <v>36454</v>
      </c>
      <c r="B471" s="5">
        <f>_xlfn.XLOOKUP(A471,bunker_daily_raw!$A$2:$A$3819,bunker_daily_raw!$B$2:$B$3819)</f>
        <v>120.5</v>
      </c>
      <c r="C471" s="6">
        <v>21.68</v>
      </c>
    </row>
    <row r="472" spans="1:3" x14ac:dyDescent="0.25">
      <c r="A472" s="4">
        <v>36455</v>
      </c>
      <c r="B472" s="5">
        <f>_xlfn.XLOOKUP(A472,bunker_daily_raw!$A$2:$A$3819,bunker_daily_raw!$B$2:$B$3819)</f>
        <v>120.25</v>
      </c>
      <c r="C472" s="6">
        <v>22.38</v>
      </c>
    </row>
    <row r="473" spans="1:3" x14ac:dyDescent="0.25">
      <c r="A473" s="4">
        <v>36458</v>
      </c>
      <c r="B473" s="5">
        <f>_xlfn.XLOOKUP(A473,bunker_daily_raw!$A$2:$A$3819,bunker_daily_raw!$B$2:$B$3819)</f>
        <v>120.5</v>
      </c>
      <c r="C473" s="6">
        <v>22.45</v>
      </c>
    </row>
    <row r="474" spans="1:3" x14ac:dyDescent="0.25">
      <c r="A474" s="4">
        <v>36459</v>
      </c>
      <c r="B474" s="5">
        <f>_xlfn.XLOOKUP(A474,bunker_daily_raw!$A$2:$A$3819,bunker_daily_raw!$B$2:$B$3819)</f>
        <v>123</v>
      </c>
      <c r="C474" s="6">
        <v>22.14</v>
      </c>
    </row>
    <row r="475" spans="1:3" x14ac:dyDescent="0.25">
      <c r="A475" s="4">
        <v>36460</v>
      </c>
      <c r="B475" s="5">
        <f>_xlfn.XLOOKUP(A475,bunker_daily_raw!$A$2:$A$3819,bunker_daily_raw!$B$2:$B$3819)</f>
        <v>126.5</v>
      </c>
      <c r="C475" s="6">
        <v>22.18</v>
      </c>
    </row>
    <row r="476" spans="1:3" x14ac:dyDescent="0.25">
      <c r="A476" s="4">
        <v>36461</v>
      </c>
      <c r="B476" s="5">
        <f>_xlfn.XLOOKUP(A476,bunker_daily_raw!$A$2:$A$3819,bunker_daily_raw!$B$2:$B$3819)</f>
        <v>125</v>
      </c>
      <c r="C476" s="6">
        <v>21.22</v>
      </c>
    </row>
    <row r="477" spans="1:3" x14ac:dyDescent="0.25">
      <c r="A477" s="4">
        <v>36462</v>
      </c>
      <c r="B477" s="5">
        <f>_xlfn.XLOOKUP(A477,bunker_daily_raw!$A$2:$A$3819,bunker_daily_raw!$B$2:$B$3819)</f>
        <v>125</v>
      </c>
      <c r="C477" s="6">
        <v>21.11</v>
      </c>
    </row>
    <row r="478" spans="1:3" x14ac:dyDescent="0.25">
      <c r="A478" s="4">
        <v>36465</v>
      </c>
      <c r="B478" s="5">
        <f>_xlfn.XLOOKUP(A478,bunker_daily_raw!$A$2:$A$3819,bunker_daily_raw!$B$2:$B$3819)</f>
        <v>128.25</v>
      </c>
      <c r="C478" s="6">
        <v>21.32</v>
      </c>
    </row>
    <row r="479" spans="1:3" x14ac:dyDescent="0.25">
      <c r="A479" s="4">
        <v>36466</v>
      </c>
      <c r="B479" s="5">
        <f>_xlfn.XLOOKUP(A479,bunker_daily_raw!$A$2:$A$3819,bunker_daily_raw!$B$2:$B$3819)</f>
        <v>128.5</v>
      </c>
      <c r="C479" s="6">
        <v>21.98</v>
      </c>
    </row>
    <row r="480" spans="1:3" x14ac:dyDescent="0.25">
      <c r="A480" s="4">
        <v>36467</v>
      </c>
      <c r="B480" s="5">
        <f>_xlfn.XLOOKUP(A480,bunker_daily_raw!$A$2:$A$3819,bunker_daily_raw!$B$2:$B$3819)</f>
        <v>130.5</v>
      </c>
      <c r="C480" s="6">
        <v>22.38</v>
      </c>
    </row>
    <row r="481" spans="1:3" x14ac:dyDescent="0.25">
      <c r="A481" s="4">
        <v>36468</v>
      </c>
      <c r="B481" s="5">
        <f>_xlfn.XLOOKUP(A481,bunker_daily_raw!$A$2:$A$3819,bunker_daily_raw!$B$2:$B$3819)</f>
        <v>129.75</v>
      </c>
      <c r="C481" s="6">
        <v>22.64</v>
      </c>
    </row>
    <row r="482" spans="1:3" x14ac:dyDescent="0.25">
      <c r="A482" s="4">
        <v>36469</v>
      </c>
      <c r="B482" s="5">
        <f>_xlfn.XLOOKUP(A482,bunker_daily_raw!$A$2:$A$3819,bunker_daily_raw!$B$2:$B$3819)</f>
        <v>128.5</v>
      </c>
      <c r="C482" s="6">
        <v>22.8</v>
      </c>
    </row>
    <row r="483" spans="1:3" x14ac:dyDescent="0.25">
      <c r="A483" s="4">
        <v>36472</v>
      </c>
      <c r="B483" s="5" t="e">
        <f>_xlfn.XLOOKUP(A483,bunker_daily_raw!$A$2:$A$3819,bunker_daily_raw!$B$2:$B$3819)</f>
        <v>#N/A</v>
      </c>
      <c r="C483" s="6">
        <v>23.62</v>
      </c>
    </row>
    <row r="484" spans="1:3" x14ac:dyDescent="0.25">
      <c r="A484" s="4">
        <v>36473</v>
      </c>
      <c r="B484" s="5">
        <f>_xlfn.XLOOKUP(A484,bunker_daily_raw!$A$2:$A$3819,bunker_daily_raw!$B$2:$B$3819)</f>
        <v>133.5</v>
      </c>
      <c r="C484" s="6">
        <v>24.44</v>
      </c>
    </row>
    <row r="485" spans="1:3" x14ac:dyDescent="0.25">
      <c r="A485" s="4">
        <v>36474</v>
      </c>
      <c r="B485" s="5">
        <f>_xlfn.XLOOKUP(A485,bunker_daily_raw!$A$2:$A$3819,bunker_daily_raw!$B$2:$B$3819)</f>
        <v>130.75</v>
      </c>
      <c r="C485" s="6">
        <v>25.42</v>
      </c>
    </row>
    <row r="486" spans="1:3" x14ac:dyDescent="0.25">
      <c r="A486" s="4">
        <v>36475</v>
      </c>
      <c r="B486" s="5">
        <f>_xlfn.XLOOKUP(A486,bunker_daily_raw!$A$2:$A$3819,bunker_daily_raw!$B$2:$B$3819)</f>
        <v>131</v>
      </c>
      <c r="C486" s="6">
        <v>24.96</v>
      </c>
    </row>
    <row r="487" spans="1:3" x14ac:dyDescent="0.25">
      <c r="A487" s="4">
        <v>36476</v>
      </c>
      <c r="B487" s="5">
        <f>_xlfn.XLOOKUP(A487,bunker_daily_raw!$A$2:$A$3819,bunker_daily_raw!$B$2:$B$3819)</f>
        <v>131.25</v>
      </c>
      <c r="C487" s="6">
        <v>25.39</v>
      </c>
    </row>
    <row r="488" spans="1:3" x14ac:dyDescent="0.25">
      <c r="A488" s="4">
        <v>36479</v>
      </c>
      <c r="B488" s="5">
        <f>_xlfn.XLOOKUP(A488,bunker_daily_raw!$A$2:$A$3819,bunker_daily_raw!$B$2:$B$3819)</f>
        <v>131</v>
      </c>
      <c r="C488" s="6">
        <v>25.93</v>
      </c>
    </row>
    <row r="489" spans="1:3" x14ac:dyDescent="0.25">
      <c r="A489" s="4">
        <v>36480</v>
      </c>
      <c r="B489" s="5">
        <f>_xlfn.XLOOKUP(A489,bunker_daily_raw!$A$2:$A$3819,bunker_daily_raw!$B$2:$B$3819)</f>
        <v>131.25</v>
      </c>
      <c r="C489" s="6">
        <v>24.88</v>
      </c>
    </row>
    <row r="490" spans="1:3" x14ac:dyDescent="0.25">
      <c r="A490" s="4">
        <v>36481</v>
      </c>
      <c r="B490" s="5">
        <f>_xlfn.XLOOKUP(A490,bunker_daily_raw!$A$2:$A$3819,bunker_daily_raw!$B$2:$B$3819)</f>
        <v>130</v>
      </c>
      <c r="C490" s="6">
        <v>24.98</v>
      </c>
    </row>
    <row r="491" spans="1:3" x14ac:dyDescent="0.25">
      <c r="A491" s="4">
        <v>36482</v>
      </c>
      <c r="B491" s="5">
        <f>_xlfn.XLOOKUP(A491,bunker_daily_raw!$A$2:$A$3819,bunker_daily_raw!$B$2:$B$3819)</f>
        <v>127</v>
      </c>
      <c r="C491" s="6">
        <v>25.02</v>
      </c>
    </row>
    <row r="492" spans="1:3" x14ac:dyDescent="0.25">
      <c r="A492" s="4">
        <v>36483</v>
      </c>
      <c r="B492" s="5">
        <f>_xlfn.XLOOKUP(A492,bunker_daily_raw!$A$2:$A$3819,bunker_daily_raw!$B$2:$B$3819)</f>
        <v>129.5</v>
      </c>
      <c r="C492" s="6">
        <v>25.14</v>
      </c>
    </row>
    <row r="493" spans="1:3" x14ac:dyDescent="0.25">
      <c r="A493" s="4">
        <v>36486</v>
      </c>
      <c r="B493" s="5">
        <f>_xlfn.XLOOKUP(A493,bunker_daily_raw!$A$2:$A$3819,bunker_daily_raw!$B$2:$B$3819)</f>
        <v>130.75</v>
      </c>
      <c r="C493" s="6">
        <v>25.86</v>
      </c>
    </row>
    <row r="494" spans="1:3" x14ac:dyDescent="0.25">
      <c r="A494" s="4">
        <v>36487</v>
      </c>
      <c r="B494" s="5">
        <f>_xlfn.XLOOKUP(A494,bunker_daily_raw!$A$2:$A$3819,bunker_daily_raw!$B$2:$B$3819)</f>
        <v>132</v>
      </c>
      <c r="C494" s="6">
        <v>25.66</v>
      </c>
    </row>
    <row r="495" spans="1:3" x14ac:dyDescent="0.25">
      <c r="A495" s="4">
        <v>36488</v>
      </c>
      <c r="B495" s="5">
        <f>_xlfn.XLOOKUP(A495,bunker_daily_raw!$A$2:$A$3819,bunker_daily_raw!$B$2:$B$3819)</f>
        <v>131</v>
      </c>
      <c r="C495" s="6">
        <v>25.77</v>
      </c>
    </row>
    <row r="496" spans="1:3" x14ac:dyDescent="0.25">
      <c r="A496" s="4">
        <v>36489</v>
      </c>
      <c r="B496" s="5">
        <f>_xlfn.XLOOKUP(A496,bunker_daily_raw!$A$2:$A$3819,bunker_daily_raw!$B$2:$B$3819)</f>
        <v>127</v>
      </c>
      <c r="C496" s="6">
        <v>25.94</v>
      </c>
    </row>
    <row r="497" spans="1:3" x14ac:dyDescent="0.25">
      <c r="A497" s="4">
        <v>36490</v>
      </c>
      <c r="B497" s="5">
        <f>_xlfn.XLOOKUP(A497,bunker_daily_raw!$A$2:$A$3819,bunker_daily_raw!$B$2:$B$3819)</f>
        <v>129.5</v>
      </c>
      <c r="C497" s="6">
        <v>25.85</v>
      </c>
    </row>
    <row r="498" spans="1:3" x14ac:dyDescent="0.25">
      <c r="A498" s="4">
        <v>36493</v>
      </c>
      <c r="B498" s="5">
        <f>_xlfn.XLOOKUP(A498,bunker_daily_raw!$A$2:$A$3819,bunker_daily_raw!$B$2:$B$3819)</f>
        <v>126.5</v>
      </c>
      <c r="C498" s="6">
        <v>25.67</v>
      </c>
    </row>
    <row r="499" spans="1:3" x14ac:dyDescent="0.25">
      <c r="A499" s="4">
        <v>36494</v>
      </c>
      <c r="B499" s="5">
        <f>_xlfn.XLOOKUP(A499,bunker_daily_raw!$A$2:$A$3819,bunker_daily_raw!$B$2:$B$3819)</f>
        <v>125.5</v>
      </c>
      <c r="C499" s="6">
        <v>25.2</v>
      </c>
    </row>
    <row r="500" spans="1:3" x14ac:dyDescent="0.25">
      <c r="A500" s="4">
        <v>36495</v>
      </c>
      <c r="B500" s="5">
        <f>_xlfn.XLOOKUP(A500,bunker_daily_raw!$A$2:$A$3819,bunker_daily_raw!$B$2:$B$3819)</f>
        <v>123</v>
      </c>
      <c r="C500" s="6">
        <v>24.2</v>
      </c>
    </row>
    <row r="501" spans="1:3" x14ac:dyDescent="0.25">
      <c r="A501" s="4">
        <v>36496</v>
      </c>
      <c r="B501" s="5">
        <f>_xlfn.XLOOKUP(A501,bunker_daily_raw!$A$2:$A$3819,bunker_daily_raw!$B$2:$B$3819)</f>
        <v>122.5</v>
      </c>
      <c r="C501" s="6">
        <v>25.52</v>
      </c>
    </row>
    <row r="502" spans="1:3" x14ac:dyDescent="0.25">
      <c r="A502" s="4">
        <v>36497</v>
      </c>
      <c r="B502" s="5">
        <f>_xlfn.XLOOKUP(A502,bunker_daily_raw!$A$2:$A$3819,bunker_daily_raw!$B$2:$B$3819)</f>
        <v>120.5</v>
      </c>
      <c r="C502" s="6">
        <v>26.17</v>
      </c>
    </row>
    <row r="503" spans="1:3" x14ac:dyDescent="0.25">
      <c r="A503" s="4">
        <v>36500</v>
      </c>
      <c r="B503" s="5">
        <f>_xlfn.XLOOKUP(A503,bunker_daily_raw!$A$2:$A$3819,bunker_daily_raw!$B$2:$B$3819)</f>
        <v>118.75</v>
      </c>
      <c r="C503" s="6">
        <v>26.46</v>
      </c>
    </row>
    <row r="504" spans="1:3" x14ac:dyDescent="0.25">
      <c r="A504" s="4">
        <v>36501</v>
      </c>
      <c r="B504" s="5">
        <f>_xlfn.XLOOKUP(A504,bunker_daily_raw!$A$2:$A$3819,bunker_daily_raw!$B$2:$B$3819)</f>
        <v>116</v>
      </c>
      <c r="C504" s="6">
        <v>26.1</v>
      </c>
    </row>
    <row r="505" spans="1:3" x14ac:dyDescent="0.25">
      <c r="A505" s="4">
        <v>36502</v>
      </c>
      <c r="B505" s="5">
        <f>_xlfn.XLOOKUP(A505,bunker_daily_raw!$A$2:$A$3819,bunker_daily_raw!$B$2:$B$3819)</f>
        <v>116.5</v>
      </c>
      <c r="C505" s="6">
        <v>25.45</v>
      </c>
    </row>
    <row r="506" spans="1:3" x14ac:dyDescent="0.25">
      <c r="A506" s="4">
        <v>36503</v>
      </c>
      <c r="B506" s="5">
        <f>_xlfn.XLOOKUP(A506,bunker_daily_raw!$A$2:$A$3819,bunker_daily_raw!$B$2:$B$3819)</f>
        <v>117.5</v>
      </c>
      <c r="C506" s="6">
        <v>25.85</v>
      </c>
    </row>
    <row r="507" spans="1:3" x14ac:dyDescent="0.25">
      <c r="A507" s="4">
        <v>36504</v>
      </c>
      <c r="B507" s="5">
        <f>_xlfn.XLOOKUP(A507,bunker_daily_raw!$A$2:$A$3819,bunker_daily_raw!$B$2:$B$3819)</f>
        <v>116</v>
      </c>
      <c r="C507" s="6">
        <v>24.86</v>
      </c>
    </row>
    <row r="508" spans="1:3" x14ac:dyDescent="0.25">
      <c r="A508" s="4">
        <v>36507</v>
      </c>
      <c r="B508" s="5">
        <f>_xlfn.XLOOKUP(A508,bunker_daily_raw!$A$2:$A$3819,bunker_daily_raw!$B$2:$B$3819)</f>
        <v>116</v>
      </c>
      <c r="C508" s="6">
        <v>24.31</v>
      </c>
    </row>
    <row r="509" spans="1:3" x14ac:dyDescent="0.25">
      <c r="A509" s="4">
        <v>36508</v>
      </c>
      <c r="B509" s="5">
        <f>_xlfn.XLOOKUP(A509,bunker_daily_raw!$A$2:$A$3819,bunker_daily_raw!$B$2:$B$3819)</f>
        <v>122.5</v>
      </c>
      <c r="C509" s="6">
        <v>24.88</v>
      </c>
    </row>
    <row r="510" spans="1:3" x14ac:dyDescent="0.25">
      <c r="A510" s="4">
        <v>36509</v>
      </c>
      <c r="B510" s="5">
        <f>_xlfn.XLOOKUP(A510,bunker_daily_raw!$A$2:$A$3819,bunker_daily_raw!$B$2:$B$3819)</f>
        <v>124.25</v>
      </c>
      <c r="C510" s="6">
        <v>25.68</v>
      </c>
    </row>
    <row r="511" spans="1:3" x14ac:dyDescent="0.25">
      <c r="A511" s="4">
        <v>36510</v>
      </c>
      <c r="B511" s="5">
        <f>_xlfn.XLOOKUP(A511,bunker_daily_raw!$A$2:$A$3819,bunker_daily_raw!$B$2:$B$3819)</f>
        <v>122.5</v>
      </c>
      <c r="C511" s="6">
        <v>26.09</v>
      </c>
    </row>
    <row r="512" spans="1:3" x14ac:dyDescent="0.25">
      <c r="A512" s="4">
        <v>36511</v>
      </c>
      <c r="B512" s="5">
        <f>_xlfn.XLOOKUP(A512,bunker_daily_raw!$A$2:$A$3819,bunker_daily_raw!$B$2:$B$3819)</f>
        <v>122.25</v>
      </c>
      <c r="C512" s="6">
        <v>26.22</v>
      </c>
    </row>
    <row r="513" spans="1:3" x14ac:dyDescent="0.25">
      <c r="A513" s="4">
        <v>36514</v>
      </c>
      <c r="B513" s="5">
        <f>_xlfn.XLOOKUP(A513,bunker_daily_raw!$A$2:$A$3819,bunker_daily_raw!$B$2:$B$3819)</f>
        <v>121</v>
      </c>
      <c r="C513" s="6">
        <v>25.98</v>
      </c>
    </row>
    <row r="514" spans="1:3" x14ac:dyDescent="0.25">
      <c r="A514" s="4">
        <v>36515</v>
      </c>
      <c r="B514" s="5">
        <f>_xlfn.XLOOKUP(A514,bunker_daily_raw!$A$2:$A$3819,bunker_daily_raw!$B$2:$B$3819)</f>
        <v>120.25</v>
      </c>
      <c r="C514" s="6">
        <v>25.51</v>
      </c>
    </row>
    <row r="515" spans="1:3" x14ac:dyDescent="0.25">
      <c r="A515" s="4">
        <v>36516</v>
      </c>
      <c r="B515" s="5">
        <f>_xlfn.XLOOKUP(A515,bunker_daily_raw!$A$2:$A$3819,bunker_daily_raw!$B$2:$B$3819)</f>
        <v>118.75</v>
      </c>
      <c r="C515" s="6">
        <v>25.04</v>
      </c>
    </row>
    <row r="516" spans="1:3" x14ac:dyDescent="0.25">
      <c r="A516" s="4">
        <v>36517</v>
      </c>
      <c r="B516" s="5">
        <f>_xlfn.XLOOKUP(A516,bunker_daily_raw!$A$2:$A$3819,bunker_daily_raw!$B$2:$B$3819)</f>
        <v>122</v>
      </c>
      <c r="C516" s="6">
        <v>25.11</v>
      </c>
    </row>
    <row r="517" spans="1:3" x14ac:dyDescent="0.25">
      <c r="A517" s="4">
        <v>36518</v>
      </c>
      <c r="B517" s="5">
        <f>_xlfn.XLOOKUP(A517,bunker_daily_raw!$A$2:$A$3819,bunker_daily_raw!$B$2:$B$3819)</f>
        <v>122.5</v>
      </c>
      <c r="C517" s="5"/>
    </row>
    <row r="518" spans="1:3" x14ac:dyDescent="0.25">
      <c r="A518" s="4">
        <v>36521</v>
      </c>
      <c r="B518" s="5" t="e">
        <f>_xlfn.XLOOKUP(A518,bunker_daily_raw!$A$2:$A$3819,bunker_daily_raw!$B$2:$B$3819)</f>
        <v>#N/A</v>
      </c>
      <c r="C518" s="5"/>
    </row>
    <row r="519" spans="1:3" x14ac:dyDescent="0.25">
      <c r="A519" s="4">
        <v>36522</v>
      </c>
      <c r="B519" s="5">
        <f>_xlfn.XLOOKUP(A519,bunker_daily_raw!$A$2:$A$3819,bunker_daily_raw!$B$2:$B$3819)</f>
        <v>124</v>
      </c>
      <c r="C519" s="5"/>
    </row>
    <row r="520" spans="1:3" x14ac:dyDescent="0.25">
      <c r="A520" s="4">
        <v>36523</v>
      </c>
      <c r="B520" s="5">
        <f>_xlfn.XLOOKUP(A520,bunker_daily_raw!$A$2:$A$3819,bunker_daily_raw!$B$2:$B$3819)</f>
        <v>124</v>
      </c>
      <c r="C520" s="6">
        <v>25.63</v>
      </c>
    </row>
    <row r="521" spans="1:3" x14ac:dyDescent="0.25">
      <c r="A521" s="4">
        <v>36524</v>
      </c>
      <c r="B521" s="5">
        <f>_xlfn.XLOOKUP(A521,bunker_daily_raw!$A$2:$A$3819,bunker_daily_raw!$B$2:$B$3819)</f>
        <v>126.75</v>
      </c>
      <c r="C521" s="6">
        <v>24.93</v>
      </c>
    </row>
    <row r="522" spans="1:3" x14ac:dyDescent="0.25">
      <c r="A522" s="4">
        <v>36525</v>
      </c>
      <c r="B522" s="5" t="e">
        <f>_xlfn.XLOOKUP(A522,bunker_daily_raw!$A$2:$A$3819,bunker_daily_raw!$B$2:$B$3819)</f>
        <v>#N/A</v>
      </c>
      <c r="C522" s="5"/>
    </row>
    <row r="523" spans="1:3" x14ac:dyDescent="0.25">
      <c r="A523" s="4">
        <v>36528</v>
      </c>
      <c r="B523" s="5" t="e">
        <f>_xlfn.XLOOKUP(A523,bunker_daily_raw!$A$2:$A$3819,bunker_daily_raw!$B$2:$B$3819)</f>
        <v>#N/A</v>
      </c>
      <c r="C523" s="5"/>
    </row>
    <row r="524" spans="1:3" x14ac:dyDescent="0.25">
      <c r="A524" s="4">
        <v>36529</v>
      </c>
      <c r="B524" s="5">
        <f>_xlfn.XLOOKUP(A524,bunker_daily_raw!$A$2:$A$3819,bunker_daily_raw!$B$2:$B$3819)</f>
        <v>126.5</v>
      </c>
      <c r="C524" s="6">
        <v>23.95</v>
      </c>
    </row>
    <row r="525" spans="1:3" x14ac:dyDescent="0.25">
      <c r="A525" s="4">
        <v>36530</v>
      </c>
      <c r="B525" s="5">
        <f>_xlfn.XLOOKUP(A525,bunker_daily_raw!$A$2:$A$3819,bunker_daily_raw!$B$2:$B$3819)</f>
        <v>126.75</v>
      </c>
      <c r="C525" s="6">
        <v>23.72</v>
      </c>
    </row>
    <row r="526" spans="1:3" x14ac:dyDescent="0.25">
      <c r="A526" s="4">
        <v>36531</v>
      </c>
      <c r="B526" s="5">
        <f>_xlfn.XLOOKUP(A526,bunker_daily_raw!$A$2:$A$3819,bunker_daily_raw!$B$2:$B$3819)</f>
        <v>126.75</v>
      </c>
      <c r="C526" s="6">
        <v>23.55</v>
      </c>
    </row>
    <row r="527" spans="1:3" x14ac:dyDescent="0.25">
      <c r="A527" s="4">
        <v>36532</v>
      </c>
      <c r="B527" s="5">
        <f>_xlfn.XLOOKUP(A527,bunker_daily_raw!$A$2:$A$3819,bunker_daily_raw!$B$2:$B$3819)</f>
        <v>128.5</v>
      </c>
      <c r="C527" s="6">
        <v>23.35</v>
      </c>
    </row>
    <row r="528" spans="1:3" x14ac:dyDescent="0.25">
      <c r="A528" s="4">
        <v>36535</v>
      </c>
      <c r="B528" s="5" t="e">
        <f>_xlfn.XLOOKUP(A528,bunker_daily_raw!$A$2:$A$3819,bunker_daily_raw!$B$2:$B$3819)</f>
        <v>#N/A</v>
      </c>
      <c r="C528" s="6">
        <v>22.77</v>
      </c>
    </row>
    <row r="529" spans="1:3" x14ac:dyDescent="0.25">
      <c r="A529" s="4">
        <v>36536</v>
      </c>
      <c r="B529" s="5">
        <f>_xlfn.XLOOKUP(A529,bunker_daily_raw!$A$2:$A$3819,bunker_daily_raw!$B$2:$B$3819)</f>
        <v>129</v>
      </c>
      <c r="C529" s="6">
        <v>23.93</v>
      </c>
    </row>
    <row r="530" spans="1:3" x14ac:dyDescent="0.25">
      <c r="A530" s="4">
        <v>36537</v>
      </c>
      <c r="B530" s="5">
        <f>_xlfn.XLOOKUP(A530,bunker_daily_raw!$A$2:$A$3819,bunker_daily_raw!$B$2:$B$3819)</f>
        <v>126.5</v>
      </c>
      <c r="C530" s="6">
        <v>24.62</v>
      </c>
    </row>
    <row r="531" spans="1:3" x14ac:dyDescent="0.25">
      <c r="A531" s="4">
        <v>36538</v>
      </c>
      <c r="B531" s="5">
        <f>_xlfn.XLOOKUP(A531,bunker_daily_raw!$A$2:$A$3819,bunker_daily_raw!$B$2:$B$3819)</f>
        <v>127.5</v>
      </c>
      <c r="C531" s="6">
        <v>24.9</v>
      </c>
    </row>
    <row r="532" spans="1:3" x14ac:dyDescent="0.25">
      <c r="A532" s="4">
        <v>36539</v>
      </c>
      <c r="B532" s="5">
        <f>_xlfn.XLOOKUP(A532,bunker_daily_raw!$A$2:$A$3819,bunker_daily_raw!$B$2:$B$3819)</f>
        <v>126.5</v>
      </c>
      <c r="C532" s="6">
        <v>25.5</v>
      </c>
    </row>
    <row r="533" spans="1:3" x14ac:dyDescent="0.25">
      <c r="A533" s="4">
        <v>36542</v>
      </c>
      <c r="B533" s="5">
        <f>_xlfn.XLOOKUP(A533,bunker_daily_raw!$A$2:$A$3819,bunker_daily_raw!$B$2:$B$3819)</f>
        <v>125.5</v>
      </c>
      <c r="C533" s="6">
        <v>25.99</v>
      </c>
    </row>
    <row r="534" spans="1:3" x14ac:dyDescent="0.25">
      <c r="A534" s="4">
        <v>36543</v>
      </c>
      <c r="B534" s="5">
        <f>_xlfn.XLOOKUP(A534,bunker_daily_raw!$A$2:$A$3819,bunker_daily_raw!$B$2:$B$3819)</f>
        <v>125.5</v>
      </c>
      <c r="C534" s="6">
        <v>26.31</v>
      </c>
    </row>
    <row r="535" spans="1:3" x14ac:dyDescent="0.25">
      <c r="A535" s="4">
        <v>36544</v>
      </c>
      <c r="B535" s="5">
        <f>_xlfn.XLOOKUP(A535,bunker_daily_raw!$A$2:$A$3819,bunker_daily_raw!$B$2:$B$3819)</f>
        <v>128.5</v>
      </c>
      <c r="C535" s="6">
        <v>26.17</v>
      </c>
    </row>
    <row r="536" spans="1:3" x14ac:dyDescent="0.25">
      <c r="A536" s="4">
        <v>36545</v>
      </c>
      <c r="B536" s="5">
        <f>_xlfn.XLOOKUP(A536,bunker_daily_raw!$A$2:$A$3819,bunker_daily_raw!$B$2:$B$3819)</f>
        <v>129.5</v>
      </c>
      <c r="C536" s="6">
        <v>26.26</v>
      </c>
    </row>
    <row r="537" spans="1:3" x14ac:dyDescent="0.25">
      <c r="A537" s="4">
        <v>36546</v>
      </c>
      <c r="B537" s="5">
        <f>_xlfn.XLOOKUP(A537,bunker_daily_raw!$A$2:$A$3819,bunker_daily_raw!$B$2:$B$3819)</f>
        <v>127</v>
      </c>
      <c r="C537" s="6">
        <v>27.18</v>
      </c>
    </row>
    <row r="538" spans="1:3" x14ac:dyDescent="0.25">
      <c r="A538" s="4">
        <v>36549</v>
      </c>
      <c r="B538" s="5">
        <f>_xlfn.XLOOKUP(A538,bunker_daily_raw!$A$2:$A$3819,bunker_daily_raw!$B$2:$B$3819)</f>
        <v>127.5</v>
      </c>
      <c r="C538" s="6">
        <v>27.02</v>
      </c>
    </row>
    <row r="539" spans="1:3" x14ac:dyDescent="0.25">
      <c r="A539" s="4">
        <v>36550</v>
      </c>
      <c r="B539" s="5">
        <f>_xlfn.XLOOKUP(A539,bunker_daily_raw!$A$2:$A$3819,bunker_daily_raw!$B$2:$B$3819)</f>
        <v>129.75</v>
      </c>
      <c r="C539" s="6">
        <v>27.24</v>
      </c>
    </row>
    <row r="540" spans="1:3" x14ac:dyDescent="0.25">
      <c r="A540" s="4">
        <v>36551</v>
      </c>
      <c r="B540" s="5">
        <f>_xlfn.XLOOKUP(A540,bunker_daily_raw!$A$2:$A$3819,bunker_daily_raw!$B$2:$B$3819)</f>
        <v>128.75</v>
      </c>
      <c r="C540" s="6">
        <v>27.18</v>
      </c>
    </row>
    <row r="541" spans="1:3" x14ac:dyDescent="0.25">
      <c r="A541" s="4">
        <v>36552</v>
      </c>
      <c r="B541" s="5">
        <f>_xlfn.XLOOKUP(A541,bunker_daily_raw!$A$2:$A$3819,bunker_daily_raw!$B$2:$B$3819)</f>
        <v>127.75</v>
      </c>
      <c r="C541" s="6">
        <v>26.91</v>
      </c>
    </row>
    <row r="542" spans="1:3" x14ac:dyDescent="0.25">
      <c r="A542" s="4">
        <v>36553</v>
      </c>
      <c r="B542" s="5">
        <f>_xlfn.XLOOKUP(A542,bunker_daily_raw!$A$2:$A$3819,bunker_daily_raw!$B$2:$B$3819)</f>
        <v>128.25</v>
      </c>
      <c r="C542" s="6">
        <v>26.59</v>
      </c>
    </row>
    <row r="543" spans="1:3" x14ac:dyDescent="0.25">
      <c r="A543" s="4">
        <v>36556</v>
      </c>
      <c r="B543" s="5">
        <f>_xlfn.XLOOKUP(A543,bunker_daily_raw!$A$2:$A$3819,bunker_daily_raw!$B$2:$B$3819)</f>
        <v>128.5</v>
      </c>
      <c r="C543" s="6">
        <v>27.08</v>
      </c>
    </row>
    <row r="544" spans="1:3" x14ac:dyDescent="0.25">
      <c r="A544" s="4">
        <v>36557</v>
      </c>
      <c r="B544" s="5">
        <f>_xlfn.XLOOKUP(A544,bunker_daily_raw!$A$2:$A$3819,bunker_daily_raw!$B$2:$B$3819)</f>
        <v>127.5</v>
      </c>
      <c r="C544" s="6">
        <v>27.35</v>
      </c>
    </row>
    <row r="545" spans="1:3" x14ac:dyDescent="0.25">
      <c r="A545" s="4">
        <v>36558</v>
      </c>
      <c r="B545" s="5">
        <f>_xlfn.XLOOKUP(A545,bunker_daily_raw!$A$2:$A$3819,bunker_daily_raw!$B$2:$B$3819)</f>
        <v>130.5</v>
      </c>
      <c r="C545" s="6">
        <v>27.15</v>
      </c>
    </row>
    <row r="546" spans="1:3" x14ac:dyDescent="0.25">
      <c r="A546" s="4">
        <v>36559</v>
      </c>
      <c r="B546" s="5">
        <f>_xlfn.XLOOKUP(A546,bunker_daily_raw!$A$2:$A$3819,bunker_daily_raw!$B$2:$B$3819)</f>
        <v>130.5</v>
      </c>
      <c r="C546" s="6">
        <v>27.6</v>
      </c>
    </row>
    <row r="547" spans="1:3" x14ac:dyDescent="0.25">
      <c r="A547" s="4">
        <v>36560</v>
      </c>
      <c r="B547" s="5">
        <f>_xlfn.XLOOKUP(A547,bunker_daily_raw!$A$2:$A$3819,bunker_daily_raw!$B$2:$B$3819)</f>
        <v>131</v>
      </c>
      <c r="C547" s="6">
        <v>27.48</v>
      </c>
    </row>
    <row r="548" spans="1:3" x14ac:dyDescent="0.25">
      <c r="A548" s="4">
        <v>36563</v>
      </c>
      <c r="B548" s="5" t="e">
        <f>_xlfn.XLOOKUP(A548,bunker_daily_raw!$A$2:$A$3819,bunker_daily_raw!$B$2:$B$3819)</f>
        <v>#N/A</v>
      </c>
      <c r="C548" s="6">
        <v>27.94</v>
      </c>
    </row>
    <row r="549" spans="1:3" x14ac:dyDescent="0.25">
      <c r="A549" s="4">
        <v>36564</v>
      </c>
      <c r="B549" s="5">
        <f>_xlfn.XLOOKUP(A549,bunker_daily_raw!$A$2:$A$3819,bunker_daily_raw!$B$2:$B$3819)</f>
        <v>130.5</v>
      </c>
      <c r="C549" s="6">
        <v>27.61</v>
      </c>
    </row>
    <row r="550" spans="1:3" x14ac:dyDescent="0.25">
      <c r="A550" s="4">
        <v>36565</v>
      </c>
      <c r="B550" s="5">
        <f>_xlfn.XLOOKUP(A550,bunker_daily_raw!$A$2:$A$3819,bunker_daily_raw!$B$2:$B$3819)</f>
        <v>128</v>
      </c>
      <c r="C550" s="6">
        <v>27.44</v>
      </c>
    </row>
    <row r="551" spans="1:3" x14ac:dyDescent="0.25">
      <c r="A551" s="4">
        <v>36566</v>
      </c>
      <c r="B551" s="5">
        <f>_xlfn.XLOOKUP(A551,bunker_daily_raw!$A$2:$A$3819,bunker_daily_raw!$B$2:$B$3819)</f>
        <v>127</v>
      </c>
      <c r="C551" s="6">
        <v>27.32</v>
      </c>
    </row>
    <row r="552" spans="1:3" x14ac:dyDescent="0.25">
      <c r="A552" s="4">
        <v>36567</v>
      </c>
      <c r="B552" s="5">
        <f>_xlfn.XLOOKUP(A552,bunker_daily_raw!$A$2:$A$3819,bunker_daily_raw!$B$2:$B$3819)</f>
        <v>131.75</v>
      </c>
      <c r="C552" s="6">
        <v>27.82</v>
      </c>
    </row>
    <row r="553" spans="1:3" x14ac:dyDescent="0.25">
      <c r="A553" s="4">
        <v>36570</v>
      </c>
      <c r="B553" s="5">
        <f>_xlfn.XLOOKUP(A553,bunker_daily_raw!$A$2:$A$3819,bunker_daily_raw!$B$2:$B$3819)</f>
        <v>136.5</v>
      </c>
      <c r="C553" s="6">
        <v>28.03</v>
      </c>
    </row>
    <row r="554" spans="1:3" x14ac:dyDescent="0.25">
      <c r="A554" s="4">
        <v>36571</v>
      </c>
      <c r="B554" s="5">
        <f>_xlfn.XLOOKUP(A554,bunker_daily_raw!$A$2:$A$3819,bunker_daily_raw!$B$2:$B$3819)</f>
        <v>141.25</v>
      </c>
      <c r="C554" s="6">
        <v>28.12</v>
      </c>
    </row>
    <row r="555" spans="1:3" x14ac:dyDescent="0.25">
      <c r="A555" s="4">
        <v>36572</v>
      </c>
      <c r="B555" s="5">
        <f>_xlfn.XLOOKUP(A555,bunker_daily_raw!$A$2:$A$3819,bunker_daily_raw!$B$2:$B$3819)</f>
        <v>140.5</v>
      </c>
      <c r="C555" s="6">
        <v>28.11</v>
      </c>
    </row>
    <row r="556" spans="1:3" x14ac:dyDescent="0.25">
      <c r="A556" s="4">
        <v>36573</v>
      </c>
      <c r="B556" s="5">
        <f>_xlfn.XLOOKUP(A556,bunker_daily_raw!$A$2:$A$3819,bunker_daily_raw!$B$2:$B$3819)</f>
        <v>144</v>
      </c>
      <c r="C556" s="6">
        <v>27.54</v>
      </c>
    </row>
    <row r="557" spans="1:3" x14ac:dyDescent="0.25">
      <c r="A557" s="4">
        <v>36574</v>
      </c>
      <c r="B557" s="5">
        <f>_xlfn.XLOOKUP(A557,bunker_daily_raw!$A$2:$A$3819,bunker_daily_raw!$B$2:$B$3819)</f>
        <v>151.25</v>
      </c>
      <c r="C557" s="6">
        <v>27.26</v>
      </c>
    </row>
    <row r="558" spans="1:3" x14ac:dyDescent="0.25">
      <c r="A558" s="4">
        <v>36577</v>
      </c>
      <c r="B558" s="5">
        <f>_xlfn.XLOOKUP(A558,bunker_daily_raw!$A$2:$A$3819,bunker_daily_raw!$B$2:$B$3819)</f>
        <v>164.25</v>
      </c>
      <c r="C558" s="6">
        <v>26.93</v>
      </c>
    </row>
    <row r="559" spans="1:3" x14ac:dyDescent="0.25">
      <c r="A559" s="4">
        <v>36578</v>
      </c>
      <c r="B559" s="5">
        <f>_xlfn.XLOOKUP(A559,bunker_daily_raw!$A$2:$A$3819,bunker_daily_raw!$B$2:$B$3819)</f>
        <v>166.25</v>
      </c>
      <c r="C559" s="6">
        <v>27.22</v>
      </c>
    </row>
    <row r="560" spans="1:3" x14ac:dyDescent="0.25">
      <c r="A560" s="4">
        <v>36579</v>
      </c>
      <c r="B560" s="5">
        <f>_xlfn.XLOOKUP(A560,bunker_daily_raw!$A$2:$A$3819,bunker_daily_raw!$B$2:$B$3819)</f>
        <v>164.5</v>
      </c>
      <c r="C560" s="6">
        <v>27.92</v>
      </c>
    </row>
    <row r="561" spans="1:3" x14ac:dyDescent="0.25">
      <c r="A561" s="4">
        <v>36580</v>
      </c>
      <c r="B561" s="5">
        <f>_xlfn.XLOOKUP(A561,bunker_daily_raw!$A$2:$A$3819,bunker_daily_raw!$B$2:$B$3819)</f>
        <v>168.5</v>
      </c>
      <c r="C561" s="6">
        <v>28.21</v>
      </c>
    </row>
    <row r="562" spans="1:3" x14ac:dyDescent="0.25">
      <c r="A562" s="4">
        <v>36581</v>
      </c>
      <c r="B562" s="5">
        <f>_xlfn.XLOOKUP(A562,bunker_daily_raw!$A$2:$A$3819,bunker_daily_raw!$B$2:$B$3819)</f>
        <v>171</v>
      </c>
      <c r="C562" s="6">
        <v>28.53</v>
      </c>
    </row>
    <row r="563" spans="1:3" x14ac:dyDescent="0.25">
      <c r="A563" s="4">
        <v>36584</v>
      </c>
      <c r="B563" s="5">
        <f>_xlfn.XLOOKUP(A563,bunker_daily_raw!$A$2:$A$3819,bunker_daily_raw!$B$2:$B$3819)</f>
        <v>162</v>
      </c>
      <c r="C563" s="6">
        <v>28.7</v>
      </c>
    </row>
    <row r="564" spans="1:3" x14ac:dyDescent="0.25">
      <c r="A564" s="4">
        <v>36585</v>
      </c>
      <c r="B564" s="5">
        <f>_xlfn.XLOOKUP(A564,bunker_daily_raw!$A$2:$A$3819,bunker_daily_raw!$B$2:$B$3819)</f>
        <v>167</v>
      </c>
      <c r="C564" s="6">
        <v>29.01</v>
      </c>
    </row>
    <row r="565" spans="1:3" x14ac:dyDescent="0.25">
      <c r="A565" s="4">
        <v>36586</v>
      </c>
      <c r="B565" s="5">
        <f>_xlfn.XLOOKUP(A565,bunker_daily_raw!$A$2:$A$3819,bunker_daily_raw!$B$2:$B$3819)</f>
        <v>162.5</v>
      </c>
      <c r="C565" s="6">
        <v>29.78</v>
      </c>
    </row>
    <row r="566" spans="1:3" x14ac:dyDescent="0.25">
      <c r="A566" s="4">
        <v>36587</v>
      </c>
      <c r="B566" s="5">
        <f>_xlfn.XLOOKUP(A566,bunker_daily_raw!$A$2:$A$3819,bunker_daily_raw!$B$2:$B$3819)</f>
        <v>157</v>
      </c>
      <c r="C566" s="6">
        <v>30.12</v>
      </c>
    </row>
    <row r="567" spans="1:3" x14ac:dyDescent="0.25">
      <c r="A567" s="4">
        <v>36588</v>
      </c>
      <c r="B567" s="5">
        <f>_xlfn.XLOOKUP(A567,bunker_daily_raw!$A$2:$A$3819,bunker_daily_raw!$B$2:$B$3819)</f>
        <v>153</v>
      </c>
      <c r="C567" s="6">
        <v>29.83</v>
      </c>
    </row>
    <row r="568" spans="1:3" x14ac:dyDescent="0.25">
      <c r="A568" s="4">
        <v>36591</v>
      </c>
      <c r="B568" s="5">
        <f>_xlfn.XLOOKUP(A568,bunker_daily_raw!$A$2:$A$3819,bunker_daily_raw!$B$2:$B$3819)</f>
        <v>142.5</v>
      </c>
      <c r="C568" s="6">
        <v>30.08</v>
      </c>
    </row>
    <row r="569" spans="1:3" x14ac:dyDescent="0.25">
      <c r="A569" s="4">
        <v>36592</v>
      </c>
      <c r="B569" s="5">
        <f>_xlfn.XLOOKUP(A569,bunker_daily_raw!$A$2:$A$3819,bunker_daily_raw!$B$2:$B$3819)</f>
        <v>144.5</v>
      </c>
      <c r="C569" s="6">
        <v>31.93</v>
      </c>
    </row>
    <row r="570" spans="1:3" x14ac:dyDescent="0.25">
      <c r="A570" s="4">
        <v>36593</v>
      </c>
      <c r="B570" s="5">
        <f>_xlfn.XLOOKUP(A570,bunker_daily_raw!$A$2:$A$3819,bunker_daily_raw!$B$2:$B$3819)</f>
        <v>140</v>
      </c>
      <c r="C570" s="6">
        <v>31.41</v>
      </c>
    </row>
    <row r="571" spans="1:3" x14ac:dyDescent="0.25">
      <c r="A571" s="4">
        <v>36594</v>
      </c>
      <c r="B571" s="5">
        <f>_xlfn.XLOOKUP(A571,bunker_daily_raw!$A$2:$A$3819,bunker_daily_raw!$B$2:$B$3819)</f>
        <v>132.5</v>
      </c>
      <c r="C571" s="6">
        <v>29.11</v>
      </c>
    </row>
    <row r="572" spans="1:3" x14ac:dyDescent="0.25">
      <c r="A572" s="4">
        <v>36595</v>
      </c>
      <c r="B572" s="5">
        <f>_xlfn.XLOOKUP(A572,bunker_daily_raw!$A$2:$A$3819,bunker_daily_raw!$B$2:$B$3819)</f>
        <v>131.5</v>
      </c>
      <c r="C572" s="6">
        <v>28.97</v>
      </c>
    </row>
    <row r="573" spans="1:3" x14ac:dyDescent="0.25">
      <c r="A573" s="4">
        <v>36598</v>
      </c>
      <c r="B573" s="5">
        <f>_xlfn.XLOOKUP(A573,bunker_daily_raw!$A$2:$A$3819,bunker_daily_raw!$B$2:$B$3819)</f>
        <v>126.5</v>
      </c>
      <c r="C573" s="6">
        <v>29.25</v>
      </c>
    </row>
    <row r="574" spans="1:3" x14ac:dyDescent="0.25">
      <c r="A574" s="4">
        <v>36599</v>
      </c>
      <c r="B574" s="5">
        <f>_xlfn.XLOOKUP(A574,bunker_daily_raw!$A$2:$A$3819,bunker_daily_raw!$B$2:$B$3819)</f>
        <v>126.5</v>
      </c>
      <c r="C574" s="6">
        <v>28.83</v>
      </c>
    </row>
    <row r="575" spans="1:3" x14ac:dyDescent="0.25">
      <c r="A575" s="4">
        <v>36600</v>
      </c>
      <c r="B575" s="5">
        <f>_xlfn.XLOOKUP(A575,bunker_daily_raw!$A$2:$A$3819,bunker_daily_raw!$B$2:$B$3819)</f>
        <v>128</v>
      </c>
      <c r="C575" s="6">
        <v>28.03</v>
      </c>
    </row>
    <row r="576" spans="1:3" x14ac:dyDescent="0.25">
      <c r="A576" s="4">
        <v>36601</v>
      </c>
      <c r="B576" s="5" t="e">
        <f>_xlfn.XLOOKUP(A576,bunker_daily_raw!$A$2:$A$3819,bunker_daily_raw!$B$2:$B$3819)</f>
        <v>#N/A</v>
      </c>
      <c r="C576" s="6">
        <v>27.97</v>
      </c>
    </row>
    <row r="577" spans="1:3" x14ac:dyDescent="0.25">
      <c r="A577" s="4">
        <v>36602</v>
      </c>
      <c r="B577" s="5">
        <f>_xlfn.XLOOKUP(A577,bunker_daily_raw!$A$2:$A$3819,bunker_daily_raw!$B$2:$B$3819)</f>
        <v>128</v>
      </c>
      <c r="C577" s="6">
        <v>27.87</v>
      </c>
    </row>
    <row r="578" spans="1:3" x14ac:dyDescent="0.25">
      <c r="A578" s="4">
        <v>36605</v>
      </c>
      <c r="B578" s="5">
        <f>_xlfn.XLOOKUP(A578,bunker_daily_raw!$A$2:$A$3819,bunker_daily_raw!$B$2:$B$3819)</f>
        <v>127</v>
      </c>
      <c r="C578" s="6">
        <v>25.59</v>
      </c>
    </row>
    <row r="579" spans="1:3" x14ac:dyDescent="0.25">
      <c r="A579" s="4">
        <v>36606</v>
      </c>
      <c r="B579" s="5">
        <f>_xlfn.XLOOKUP(A579,bunker_daily_raw!$A$2:$A$3819,bunker_daily_raw!$B$2:$B$3819)</f>
        <v>126.5</v>
      </c>
      <c r="C579" s="6">
        <v>24.93</v>
      </c>
    </row>
    <row r="580" spans="1:3" x14ac:dyDescent="0.25">
      <c r="A580" s="4">
        <v>36607</v>
      </c>
      <c r="B580" s="5">
        <f>_xlfn.XLOOKUP(A580,bunker_daily_raw!$A$2:$A$3819,bunker_daily_raw!$B$2:$B$3819)</f>
        <v>127</v>
      </c>
      <c r="C580" s="6">
        <v>25.77</v>
      </c>
    </row>
    <row r="581" spans="1:3" x14ac:dyDescent="0.25">
      <c r="A581" s="4">
        <v>36608</v>
      </c>
      <c r="B581" s="5">
        <f>_xlfn.XLOOKUP(A581,bunker_daily_raw!$A$2:$A$3819,bunker_daily_raw!$B$2:$B$3819)</f>
        <v>128.5</v>
      </c>
      <c r="C581" s="6">
        <v>25.32</v>
      </c>
    </row>
    <row r="582" spans="1:3" x14ac:dyDescent="0.25">
      <c r="A582" s="4">
        <v>36609</v>
      </c>
      <c r="B582" s="5">
        <f>_xlfn.XLOOKUP(A582,bunker_daily_raw!$A$2:$A$3819,bunker_daily_raw!$B$2:$B$3819)</f>
        <v>127.25</v>
      </c>
      <c r="C582" s="6">
        <v>25.74</v>
      </c>
    </row>
    <row r="583" spans="1:3" x14ac:dyDescent="0.25">
      <c r="A583" s="4">
        <v>36612</v>
      </c>
      <c r="B583" s="5">
        <f>_xlfn.XLOOKUP(A583,bunker_daily_raw!$A$2:$A$3819,bunker_daily_raw!$B$2:$B$3819)</f>
        <v>126</v>
      </c>
      <c r="C583" s="6">
        <v>25.16</v>
      </c>
    </row>
    <row r="584" spans="1:3" x14ac:dyDescent="0.25">
      <c r="A584" s="4">
        <v>36613</v>
      </c>
      <c r="B584" s="5">
        <f>_xlfn.XLOOKUP(A584,bunker_daily_raw!$A$2:$A$3819,bunker_daily_raw!$B$2:$B$3819)</f>
        <v>129</v>
      </c>
      <c r="C584" s="6">
        <v>24.8</v>
      </c>
    </row>
    <row r="585" spans="1:3" x14ac:dyDescent="0.25">
      <c r="A585" s="4">
        <v>36614</v>
      </c>
      <c r="B585" s="5">
        <f>_xlfn.XLOOKUP(A585,bunker_daily_raw!$A$2:$A$3819,bunker_daily_raw!$B$2:$B$3819)</f>
        <v>125</v>
      </c>
      <c r="C585" s="6">
        <v>23.77</v>
      </c>
    </row>
    <row r="586" spans="1:3" x14ac:dyDescent="0.25">
      <c r="A586" s="4">
        <v>36615</v>
      </c>
      <c r="B586" s="5">
        <f>_xlfn.XLOOKUP(A586,bunker_daily_raw!$A$2:$A$3819,bunker_daily_raw!$B$2:$B$3819)</f>
        <v>117</v>
      </c>
      <c r="C586" s="6">
        <v>23.94</v>
      </c>
    </row>
    <row r="587" spans="1:3" x14ac:dyDescent="0.25">
      <c r="A587" s="4">
        <v>36616</v>
      </c>
      <c r="B587" s="5">
        <f>_xlfn.XLOOKUP(A587,bunker_daily_raw!$A$2:$A$3819,bunker_daily_raw!$B$2:$B$3819)</f>
        <v>111.75</v>
      </c>
      <c r="C587" s="6">
        <v>23.98</v>
      </c>
    </row>
    <row r="588" spans="1:3" x14ac:dyDescent="0.25">
      <c r="A588" s="4">
        <v>36619</v>
      </c>
      <c r="B588" s="5">
        <f>_xlfn.XLOOKUP(A588,bunker_daily_raw!$A$2:$A$3819,bunker_daily_raw!$B$2:$B$3819)</f>
        <v>116</v>
      </c>
      <c r="C588" s="6">
        <v>24.62</v>
      </c>
    </row>
    <row r="589" spans="1:3" x14ac:dyDescent="0.25">
      <c r="A589" s="4">
        <v>36620</v>
      </c>
      <c r="B589" s="5">
        <f>_xlfn.XLOOKUP(A589,bunker_daily_raw!$A$2:$A$3819,bunker_daily_raw!$B$2:$B$3819)</f>
        <v>122</v>
      </c>
      <c r="C589" s="6">
        <v>23.26</v>
      </c>
    </row>
    <row r="590" spans="1:3" x14ac:dyDescent="0.25">
      <c r="A590" s="4">
        <v>36621</v>
      </c>
      <c r="B590" s="5">
        <f>_xlfn.XLOOKUP(A590,bunker_daily_raw!$A$2:$A$3819,bunker_daily_raw!$B$2:$B$3819)</f>
        <v>119.5</v>
      </c>
      <c r="C590" s="6">
        <v>22.98</v>
      </c>
    </row>
    <row r="591" spans="1:3" x14ac:dyDescent="0.25">
      <c r="A591" s="4">
        <v>36622</v>
      </c>
      <c r="B591" s="5">
        <f>_xlfn.XLOOKUP(A591,bunker_daily_raw!$A$2:$A$3819,bunker_daily_raw!$B$2:$B$3819)</f>
        <v>116.5</v>
      </c>
      <c r="C591" s="6">
        <v>22.9</v>
      </c>
    </row>
    <row r="592" spans="1:3" x14ac:dyDescent="0.25">
      <c r="A592" s="4">
        <v>36623</v>
      </c>
      <c r="B592" s="5">
        <f>_xlfn.XLOOKUP(A592,bunker_daily_raw!$A$2:$A$3819,bunker_daily_raw!$B$2:$B$3819)</f>
        <v>118</v>
      </c>
      <c r="C592" s="6">
        <v>22.63</v>
      </c>
    </row>
    <row r="593" spans="1:3" x14ac:dyDescent="0.25">
      <c r="A593" s="4">
        <v>36626</v>
      </c>
      <c r="B593" s="5">
        <f>_xlfn.XLOOKUP(A593,bunker_daily_raw!$A$2:$A$3819,bunker_daily_raw!$B$2:$B$3819)</f>
        <v>116.5</v>
      </c>
      <c r="C593" s="6">
        <v>21.08</v>
      </c>
    </row>
    <row r="594" spans="1:3" x14ac:dyDescent="0.25">
      <c r="A594" s="4">
        <v>36627</v>
      </c>
      <c r="B594" s="5">
        <f>_xlfn.XLOOKUP(A594,bunker_daily_raw!$A$2:$A$3819,bunker_daily_raw!$B$2:$B$3819)</f>
        <v>119</v>
      </c>
      <c r="C594" s="6">
        <v>21.05</v>
      </c>
    </row>
    <row r="595" spans="1:3" x14ac:dyDescent="0.25">
      <c r="A595" s="4">
        <v>36628</v>
      </c>
      <c r="B595" s="5">
        <f>_xlfn.XLOOKUP(A595,bunker_daily_raw!$A$2:$A$3819,bunker_daily_raw!$B$2:$B$3819)</f>
        <v>117</v>
      </c>
      <c r="C595" s="6">
        <v>21.4</v>
      </c>
    </row>
    <row r="596" spans="1:3" x14ac:dyDescent="0.25">
      <c r="A596" s="4">
        <v>36629</v>
      </c>
      <c r="B596" s="5">
        <f>_xlfn.XLOOKUP(A596,bunker_daily_raw!$A$2:$A$3819,bunker_daily_raw!$B$2:$B$3819)</f>
        <v>117.25</v>
      </c>
      <c r="C596" s="6">
        <v>22.65</v>
      </c>
    </row>
    <row r="597" spans="1:3" x14ac:dyDescent="0.25">
      <c r="A597" s="4">
        <v>36630</v>
      </c>
      <c r="B597" s="5">
        <f>_xlfn.XLOOKUP(A597,bunker_daily_raw!$A$2:$A$3819,bunker_daily_raw!$B$2:$B$3819)</f>
        <v>116</v>
      </c>
      <c r="C597" s="6">
        <v>22.13</v>
      </c>
    </row>
    <row r="598" spans="1:3" x14ac:dyDescent="0.25">
      <c r="A598" s="4">
        <v>36633</v>
      </c>
      <c r="B598" s="5">
        <f>_xlfn.XLOOKUP(A598,bunker_daily_raw!$A$2:$A$3819,bunker_daily_raw!$B$2:$B$3819)</f>
        <v>116.75</v>
      </c>
      <c r="C598" s="6">
        <v>22.2</v>
      </c>
    </row>
    <row r="599" spans="1:3" x14ac:dyDescent="0.25">
      <c r="A599" s="4">
        <v>36634</v>
      </c>
      <c r="B599" s="5">
        <f>_xlfn.XLOOKUP(A599,bunker_daily_raw!$A$2:$A$3819,bunker_daily_raw!$B$2:$B$3819)</f>
        <v>118.5</v>
      </c>
      <c r="C599" s="6">
        <v>22.67</v>
      </c>
    </row>
    <row r="600" spans="1:3" x14ac:dyDescent="0.25">
      <c r="A600" s="4">
        <v>36635</v>
      </c>
      <c r="B600" s="5">
        <f>_xlfn.XLOOKUP(A600,bunker_daily_raw!$A$2:$A$3819,bunker_daily_raw!$B$2:$B$3819)</f>
        <v>120</v>
      </c>
      <c r="C600" s="6">
        <v>23.5</v>
      </c>
    </row>
    <row r="601" spans="1:3" x14ac:dyDescent="0.25">
      <c r="A601" s="4">
        <v>36636</v>
      </c>
      <c r="B601" s="5">
        <f>_xlfn.XLOOKUP(A601,bunker_daily_raw!$A$2:$A$3819,bunker_daily_raw!$B$2:$B$3819)</f>
        <v>115.5</v>
      </c>
      <c r="C601" s="6">
        <v>23.57</v>
      </c>
    </row>
    <row r="602" spans="1:3" x14ac:dyDescent="0.25">
      <c r="A602" s="4">
        <v>36637</v>
      </c>
      <c r="B602" s="5" t="e">
        <f>_xlfn.XLOOKUP(A602,bunker_daily_raw!$A$2:$A$3819,bunker_daily_raw!$B$2:$B$3819)</f>
        <v>#N/A</v>
      </c>
      <c r="C602" s="5"/>
    </row>
    <row r="603" spans="1:3" x14ac:dyDescent="0.25">
      <c r="A603" s="4">
        <v>36640</v>
      </c>
      <c r="B603" s="5">
        <f>_xlfn.XLOOKUP(A603,bunker_daily_raw!$A$2:$A$3819,bunker_daily_raw!$B$2:$B$3819)</f>
        <v>114.25</v>
      </c>
      <c r="C603" s="5"/>
    </row>
    <row r="604" spans="1:3" x14ac:dyDescent="0.25">
      <c r="A604" s="4">
        <v>36641</v>
      </c>
      <c r="B604" s="5">
        <f>_xlfn.XLOOKUP(A604,bunker_daily_raw!$A$2:$A$3819,bunker_daily_raw!$B$2:$B$3819)</f>
        <v>113</v>
      </c>
      <c r="C604" s="6">
        <v>23.36</v>
      </c>
    </row>
    <row r="605" spans="1:3" x14ac:dyDescent="0.25">
      <c r="A605" s="4">
        <v>36642</v>
      </c>
      <c r="B605" s="5">
        <f>_xlfn.XLOOKUP(A605,bunker_daily_raw!$A$2:$A$3819,bunker_daily_raw!$B$2:$B$3819)</f>
        <v>114</v>
      </c>
      <c r="C605" s="6">
        <v>22.9</v>
      </c>
    </row>
    <row r="606" spans="1:3" x14ac:dyDescent="0.25">
      <c r="A606" s="4">
        <v>36643</v>
      </c>
      <c r="B606" s="5">
        <f>_xlfn.XLOOKUP(A606,bunker_daily_raw!$A$2:$A$3819,bunker_daily_raw!$B$2:$B$3819)</f>
        <v>114.5</v>
      </c>
      <c r="C606" s="6">
        <v>23.07</v>
      </c>
    </row>
    <row r="607" spans="1:3" x14ac:dyDescent="0.25">
      <c r="A607" s="4">
        <v>36644</v>
      </c>
      <c r="B607" s="5">
        <f>_xlfn.XLOOKUP(A607,bunker_daily_raw!$A$2:$A$3819,bunker_daily_raw!$B$2:$B$3819)</f>
        <v>116</v>
      </c>
      <c r="C607" s="6">
        <v>23.79</v>
      </c>
    </row>
    <row r="608" spans="1:3" x14ac:dyDescent="0.25">
      <c r="A608" s="4">
        <v>36647</v>
      </c>
      <c r="B608" s="5" t="e">
        <f>_xlfn.XLOOKUP(A608,bunker_daily_raw!$A$2:$A$3819,bunker_daily_raw!$B$2:$B$3819)</f>
        <v>#N/A</v>
      </c>
      <c r="C608" s="5"/>
    </row>
    <row r="609" spans="1:3" x14ac:dyDescent="0.25">
      <c r="A609" s="4">
        <v>36648</v>
      </c>
      <c r="B609" s="5">
        <f>_xlfn.XLOOKUP(A609,bunker_daily_raw!$A$2:$A$3819,bunker_daily_raw!$B$2:$B$3819)</f>
        <v>119.5</v>
      </c>
      <c r="C609" s="6">
        <v>24.73</v>
      </c>
    </row>
    <row r="610" spans="1:3" x14ac:dyDescent="0.25">
      <c r="A610" s="4">
        <v>36649</v>
      </c>
      <c r="B610" s="5">
        <f>_xlfn.XLOOKUP(A610,bunker_daily_raw!$A$2:$A$3819,bunker_daily_raw!$B$2:$B$3819)</f>
        <v>124</v>
      </c>
      <c r="C610" s="6">
        <v>25.13</v>
      </c>
    </row>
    <row r="611" spans="1:3" x14ac:dyDescent="0.25">
      <c r="A611" s="4">
        <v>36650</v>
      </c>
      <c r="B611" s="5">
        <f>_xlfn.XLOOKUP(A611,bunker_daily_raw!$A$2:$A$3819,bunker_daily_raw!$B$2:$B$3819)</f>
        <v>126</v>
      </c>
      <c r="C611" s="6">
        <v>25.06</v>
      </c>
    </row>
    <row r="612" spans="1:3" x14ac:dyDescent="0.25">
      <c r="A612" s="4">
        <v>36651</v>
      </c>
      <c r="B612" s="5">
        <f>_xlfn.XLOOKUP(A612,bunker_daily_raw!$A$2:$A$3819,bunker_daily_raw!$B$2:$B$3819)</f>
        <v>124</v>
      </c>
      <c r="C612" s="6">
        <v>24.93</v>
      </c>
    </row>
    <row r="613" spans="1:3" x14ac:dyDescent="0.25">
      <c r="A613" s="4">
        <v>36654</v>
      </c>
      <c r="B613" s="5">
        <f>_xlfn.XLOOKUP(A613,bunker_daily_raw!$A$2:$A$3819,bunker_daily_raw!$B$2:$B$3819)</f>
        <v>126.5</v>
      </c>
      <c r="C613" s="6">
        <v>26.03</v>
      </c>
    </row>
    <row r="614" spans="1:3" x14ac:dyDescent="0.25">
      <c r="A614" s="4">
        <v>36655</v>
      </c>
      <c r="B614" s="5">
        <f>_xlfn.XLOOKUP(A614,bunker_daily_raw!$A$2:$A$3819,bunker_daily_raw!$B$2:$B$3819)</f>
        <v>127.25</v>
      </c>
      <c r="C614" s="6">
        <v>26.69</v>
      </c>
    </row>
    <row r="615" spans="1:3" x14ac:dyDescent="0.25">
      <c r="A615" s="4">
        <v>36656</v>
      </c>
      <c r="B615" s="5">
        <f>_xlfn.XLOOKUP(A615,bunker_daily_raw!$A$2:$A$3819,bunker_daily_raw!$B$2:$B$3819)</f>
        <v>129</v>
      </c>
      <c r="C615" s="6">
        <v>26.59</v>
      </c>
    </row>
    <row r="616" spans="1:3" x14ac:dyDescent="0.25">
      <c r="A616" s="4">
        <v>36657</v>
      </c>
      <c r="B616" s="5">
        <f>_xlfn.XLOOKUP(A616,bunker_daily_raw!$A$2:$A$3819,bunker_daily_raw!$B$2:$B$3819)</f>
        <v>125.5</v>
      </c>
      <c r="C616" s="6">
        <v>27.22</v>
      </c>
    </row>
    <row r="617" spans="1:3" x14ac:dyDescent="0.25">
      <c r="A617" s="4">
        <v>36658</v>
      </c>
      <c r="B617" s="5">
        <f>_xlfn.XLOOKUP(A617,bunker_daily_raw!$A$2:$A$3819,bunker_daily_raw!$B$2:$B$3819)</f>
        <v>128.5</v>
      </c>
      <c r="C617" s="6">
        <v>27.98</v>
      </c>
    </row>
    <row r="618" spans="1:3" x14ac:dyDescent="0.25">
      <c r="A618" s="4">
        <v>36661</v>
      </c>
      <c r="B618" s="5">
        <f>_xlfn.XLOOKUP(A618,bunker_daily_raw!$A$2:$A$3819,bunker_daily_raw!$B$2:$B$3819)</f>
        <v>132.5</v>
      </c>
      <c r="C618" s="6">
        <v>28.26</v>
      </c>
    </row>
    <row r="619" spans="1:3" x14ac:dyDescent="0.25">
      <c r="A619" s="4">
        <v>36662</v>
      </c>
      <c r="B619" s="5">
        <f>_xlfn.XLOOKUP(A619,bunker_daily_raw!$A$2:$A$3819,bunker_daily_raw!$B$2:$B$3819)</f>
        <v>135.5</v>
      </c>
      <c r="C619" s="6">
        <v>28.78</v>
      </c>
    </row>
    <row r="620" spans="1:3" x14ac:dyDescent="0.25">
      <c r="A620" s="4">
        <v>36663</v>
      </c>
      <c r="B620" s="5">
        <f>_xlfn.XLOOKUP(A620,bunker_daily_raw!$A$2:$A$3819,bunker_daily_raw!$B$2:$B$3819)</f>
        <v>138.5</v>
      </c>
      <c r="C620" s="6">
        <v>28.4</v>
      </c>
    </row>
    <row r="621" spans="1:3" x14ac:dyDescent="0.25">
      <c r="A621" s="4">
        <v>36664</v>
      </c>
      <c r="B621" s="5" t="e">
        <f>_xlfn.XLOOKUP(A621,bunker_daily_raw!$A$2:$A$3819,bunker_daily_raw!$B$2:$B$3819)</f>
        <v>#N/A</v>
      </c>
      <c r="C621" s="6">
        <v>28.9</v>
      </c>
    </row>
    <row r="622" spans="1:3" x14ac:dyDescent="0.25">
      <c r="A622" s="4">
        <v>36665</v>
      </c>
      <c r="B622" s="5">
        <f>_xlfn.XLOOKUP(A622,bunker_daily_raw!$A$2:$A$3819,bunker_daily_raw!$B$2:$B$3819)</f>
        <v>138</v>
      </c>
      <c r="C622" s="6">
        <v>29.01</v>
      </c>
    </row>
    <row r="623" spans="1:3" x14ac:dyDescent="0.25">
      <c r="A623" s="4">
        <v>36668</v>
      </c>
      <c r="B623" s="5">
        <f>_xlfn.XLOOKUP(A623,bunker_daily_raw!$A$2:$A$3819,bunker_daily_raw!$B$2:$B$3819)</f>
        <v>133.5</v>
      </c>
      <c r="C623" s="6">
        <v>28.45</v>
      </c>
    </row>
    <row r="624" spans="1:3" x14ac:dyDescent="0.25">
      <c r="A624" s="4">
        <v>36669</v>
      </c>
      <c r="B624" s="5">
        <f>_xlfn.XLOOKUP(A624,bunker_daily_raw!$A$2:$A$3819,bunker_daily_raw!$B$2:$B$3819)</f>
        <v>138</v>
      </c>
      <c r="C624" s="6">
        <v>28.12</v>
      </c>
    </row>
    <row r="625" spans="1:3" x14ac:dyDescent="0.25">
      <c r="A625" s="4">
        <v>36670</v>
      </c>
      <c r="B625" s="5">
        <f>_xlfn.XLOOKUP(A625,bunker_daily_raw!$A$2:$A$3819,bunker_daily_raw!$B$2:$B$3819)</f>
        <v>139</v>
      </c>
      <c r="C625" s="6">
        <v>28.97</v>
      </c>
    </row>
    <row r="626" spans="1:3" x14ac:dyDescent="0.25">
      <c r="A626" s="4">
        <v>36671</v>
      </c>
      <c r="B626" s="5">
        <f>_xlfn.XLOOKUP(A626,bunker_daily_raw!$A$2:$A$3819,bunker_daily_raw!$B$2:$B$3819)</f>
        <v>137</v>
      </c>
      <c r="C626" s="6">
        <v>29.62</v>
      </c>
    </row>
    <row r="627" spans="1:3" x14ac:dyDescent="0.25">
      <c r="A627" s="4">
        <v>36672</v>
      </c>
      <c r="B627" s="5">
        <f>_xlfn.XLOOKUP(A627,bunker_daily_raw!$A$2:$A$3819,bunker_daily_raw!$B$2:$B$3819)</f>
        <v>135</v>
      </c>
      <c r="C627" s="6">
        <v>30.09</v>
      </c>
    </row>
    <row r="628" spans="1:3" x14ac:dyDescent="0.25">
      <c r="A628" s="4">
        <v>36675</v>
      </c>
      <c r="B628" s="5">
        <f>_xlfn.XLOOKUP(A628,bunker_daily_raw!$A$2:$A$3819,bunker_daily_raw!$B$2:$B$3819)</f>
        <v>138</v>
      </c>
      <c r="C628" s="5"/>
    </row>
    <row r="629" spans="1:3" x14ac:dyDescent="0.25">
      <c r="A629" s="4">
        <v>36676</v>
      </c>
      <c r="B629" s="5">
        <f>_xlfn.XLOOKUP(A629,bunker_daily_raw!$A$2:$A$3819,bunker_daily_raw!$B$2:$B$3819)</f>
        <v>136.5</v>
      </c>
      <c r="C629" s="6">
        <v>29.89</v>
      </c>
    </row>
    <row r="630" spans="1:3" x14ac:dyDescent="0.25">
      <c r="A630" s="4">
        <v>36677</v>
      </c>
      <c r="B630" s="5">
        <f>_xlfn.XLOOKUP(A630,bunker_daily_raw!$A$2:$A$3819,bunker_daily_raw!$B$2:$B$3819)</f>
        <v>140</v>
      </c>
      <c r="C630" s="6">
        <v>29.64</v>
      </c>
    </row>
    <row r="631" spans="1:3" x14ac:dyDescent="0.25">
      <c r="A631" s="4">
        <v>36678</v>
      </c>
      <c r="B631" s="5">
        <f>_xlfn.XLOOKUP(A631,bunker_daily_raw!$A$2:$A$3819,bunker_daily_raw!$B$2:$B$3819)</f>
        <v>145</v>
      </c>
      <c r="C631" s="6">
        <v>29.69</v>
      </c>
    </row>
    <row r="632" spans="1:3" x14ac:dyDescent="0.25">
      <c r="A632" s="4">
        <v>36679</v>
      </c>
      <c r="B632" s="5">
        <f>_xlfn.XLOOKUP(A632,bunker_daily_raw!$A$2:$A$3819,bunker_daily_raw!$B$2:$B$3819)</f>
        <v>144.5</v>
      </c>
      <c r="C632" s="6">
        <v>29.35</v>
      </c>
    </row>
    <row r="633" spans="1:3" x14ac:dyDescent="0.25">
      <c r="A633" s="4">
        <v>36682</v>
      </c>
      <c r="B633" s="5">
        <f>_xlfn.XLOOKUP(A633,bunker_daily_raw!$A$2:$A$3819,bunker_daily_raw!$B$2:$B$3819)</f>
        <v>142.75</v>
      </c>
      <c r="C633" s="6">
        <v>28.27</v>
      </c>
    </row>
    <row r="634" spans="1:3" x14ac:dyDescent="0.25">
      <c r="A634" s="4">
        <v>36683</v>
      </c>
      <c r="B634" s="5">
        <f>_xlfn.XLOOKUP(A634,bunker_daily_raw!$A$2:$A$3819,bunker_daily_raw!$B$2:$B$3819)</f>
        <v>139</v>
      </c>
      <c r="C634" s="6">
        <v>28.42</v>
      </c>
    </row>
    <row r="635" spans="1:3" x14ac:dyDescent="0.25">
      <c r="A635" s="4">
        <v>36684</v>
      </c>
      <c r="B635" s="5">
        <f>_xlfn.XLOOKUP(A635,bunker_daily_raw!$A$2:$A$3819,bunker_daily_raw!$B$2:$B$3819)</f>
        <v>135.75</v>
      </c>
      <c r="C635" s="6">
        <v>28.32</v>
      </c>
    </row>
    <row r="636" spans="1:3" x14ac:dyDescent="0.25">
      <c r="A636" s="4">
        <v>36685</v>
      </c>
      <c r="B636" s="5">
        <f>_xlfn.XLOOKUP(A636,bunker_daily_raw!$A$2:$A$3819,bunker_daily_raw!$B$2:$B$3819)</f>
        <v>138</v>
      </c>
      <c r="C636" s="6">
        <v>29.34</v>
      </c>
    </row>
    <row r="637" spans="1:3" x14ac:dyDescent="0.25">
      <c r="A637" s="4">
        <v>36686</v>
      </c>
      <c r="B637" s="5">
        <f>_xlfn.XLOOKUP(A637,bunker_daily_raw!$A$2:$A$3819,bunker_daily_raw!$B$2:$B$3819)</f>
        <v>139.5</v>
      </c>
      <c r="C637" s="6">
        <v>29</v>
      </c>
    </row>
    <row r="638" spans="1:3" x14ac:dyDescent="0.25">
      <c r="A638" s="4">
        <v>36689</v>
      </c>
      <c r="B638" s="5">
        <f>_xlfn.XLOOKUP(A638,bunker_daily_raw!$A$2:$A$3819,bunker_daily_raw!$B$2:$B$3819)</f>
        <v>139</v>
      </c>
      <c r="C638" s="6">
        <v>30.1</v>
      </c>
    </row>
    <row r="639" spans="1:3" x14ac:dyDescent="0.25">
      <c r="A639" s="4">
        <v>36690</v>
      </c>
      <c r="B639" s="5">
        <f>_xlfn.XLOOKUP(A639,bunker_daily_raw!$A$2:$A$3819,bunker_daily_raw!$B$2:$B$3819)</f>
        <v>142.5</v>
      </c>
      <c r="C639" s="6">
        <v>30.4</v>
      </c>
    </row>
    <row r="640" spans="1:3" x14ac:dyDescent="0.25">
      <c r="A640" s="4">
        <v>36691</v>
      </c>
      <c r="B640" s="5">
        <f>_xlfn.XLOOKUP(A640,bunker_daily_raw!$A$2:$A$3819,bunker_daily_raw!$B$2:$B$3819)</f>
        <v>144.5</v>
      </c>
      <c r="C640" s="6">
        <v>30.12</v>
      </c>
    </row>
    <row r="641" spans="1:3" x14ac:dyDescent="0.25">
      <c r="A641" s="4">
        <v>36692</v>
      </c>
      <c r="B641" s="5">
        <f>_xlfn.XLOOKUP(A641,bunker_daily_raw!$A$2:$A$3819,bunker_daily_raw!$B$2:$B$3819)</f>
        <v>142.5</v>
      </c>
      <c r="C641" s="6">
        <v>29.77</v>
      </c>
    </row>
    <row r="642" spans="1:3" x14ac:dyDescent="0.25">
      <c r="A642" s="4">
        <v>36693</v>
      </c>
      <c r="B642" s="5">
        <f>_xlfn.XLOOKUP(A642,bunker_daily_raw!$A$2:$A$3819,bunker_daily_raw!$B$2:$B$3819)</f>
        <v>147</v>
      </c>
      <c r="C642" s="6">
        <v>28.68</v>
      </c>
    </row>
    <row r="643" spans="1:3" x14ac:dyDescent="0.25">
      <c r="A643" s="4">
        <v>36696</v>
      </c>
      <c r="B643" s="5">
        <f>_xlfn.XLOOKUP(A643,bunker_daily_raw!$A$2:$A$3819,bunker_daily_raw!$B$2:$B$3819)</f>
        <v>147</v>
      </c>
      <c r="C643" s="6">
        <v>27.69</v>
      </c>
    </row>
    <row r="644" spans="1:3" x14ac:dyDescent="0.25">
      <c r="A644" s="4">
        <v>36697</v>
      </c>
      <c r="B644" s="5">
        <f>_xlfn.XLOOKUP(A644,bunker_daily_raw!$A$2:$A$3819,bunker_daily_raw!$B$2:$B$3819)</f>
        <v>148</v>
      </c>
      <c r="C644" s="6">
        <v>28.86</v>
      </c>
    </row>
    <row r="645" spans="1:3" x14ac:dyDescent="0.25">
      <c r="A645" s="4">
        <v>36698</v>
      </c>
      <c r="B645" s="5">
        <f>_xlfn.XLOOKUP(A645,bunker_daily_raw!$A$2:$A$3819,bunker_daily_raw!$B$2:$B$3819)</f>
        <v>147.75</v>
      </c>
      <c r="C645" s="6">
        <v>30.71</v>
      </c>
    </row>
    <row r="646" spans="1:3" x14ac:dyDescent="0.25">
      <c r="A646" s="4">
        <v>36699</v>
      </c>
      <c r="B646" s="5">
        <f>_xlfn.XLOOKUP(A646,bunker_daily_raw!$A$2:$A$3819,bunker_daily_raw!$B$2:$B$3819)</f>
        <v>143.5</v>
      </c>
      <c r="C646" s="6">
        <v>30.61</v>
      </c>
    </row>
    <row r="647" spans="1:3" x14ac:dyDescent="0.25">
      <c r="A647" s="4">
        <v>36700</v>
      </c>
      <c r="B647" s="5">
        <f>_xlfn.XLOOKUP(A647,bunker_daily_raw!$A$2:$A$3819,bunker_daily_raw!$B$2:$B$3819)</f>
        <v>138</v>
      </c>
      <c r="C647" s="6">
        <v>31.02</v>
      </c>
    </row>
    <row r="648" spans="1:3" x14ac:dyDescent="0.25">
      <c r="A648" s="4">
        <v>36703</v>
      </c>
      <c r="B648" s="5">
        <f>_xlfn.XLOOKUP(A648,bunker_daily_raw!$A$2:$A$3819,bunker_daily_raw!$B$2:$B$3819)</f>
        <v>137.5</v>
      </c>
      <c r="C648" s="6">
        <v>30.9</v>
      </c>
    </row>
    <row r="649" spans="1:3" x14ac:dyDescent="0.25">
      <c r="A649" s="4">
        <v>36704</v>
      </c>
      <c r="B649" s="5">
        <f>_xlfn.XLOOKUP(A649,bunker_daily_raw!$A$2:$A$3819,bunker_daily_raw!$B$2:$B$3819)</f>
        <v>137</v>
      </c>
      <c r="C649" s="6">
        <v>30.47</v>
      </c>
    </row>
    <row r="650" spans="1:3" x14ac:dyDescent="0.25">
      <c r="A650" s="4">
        <v>36705</v>
      </c>
      <c r="B650" s="5">
        <f>_xlfn.XLOOKUP(A650,bunker_daily_raw!$A$2:$A$3819,bunker_daily_raw!$B$2:$B$3819)</f>
        <v>135.75</v>
      </c>
      <c r="C650" s="6">
        <v>31.15</v>
      </c>
    </row>
    <row r="651" spans="1:3" x14ac:dyDescent="0.25">
      <c r="A651" s="4">
        <v>36706</v>
      </c>
      <c r="B651" s="5">
        <f>_xlfn.XLOOKUP(A651,bunker_daily_raw!$A$2:$A$3819,bunker_daily_raw!$B$2:$B$3819)</f>
        <v>133.5</v>
      </c>
      <c r="C651" s="6">
        <v>31.05</v>
      </c>
    </row>
    <row r="652" spans="1:3" x14ac:dyDescent="0.25">
      <c r="A652" s="4">
        <v>36707</v>
      </c>
      <c r="B652" s="5">
        <f>_xlfn.XLOOKUP(A652,bunker_daily_raw!$A$2:$A$3819,bunker_daily_raw!$B$2:$B$3819)</f>
        <v>130</v>
      </c>
      <c r="C652" s="6">
        <v>31.58</v>
      </c>
    </row>
    <row r="653" spans="1:3" x14ac:dyDescent="0.25">
      <c r="A653" s="4">
        <v>36710</v>
      </c>
      <c r="B653" s="5">
        <f>_xlfn.XLOOKUP(A653,bunker_daily_raw!$A$2:$A$3819,bunker_daily_raw!$B$2:$B$3819)</f>
        <v>132.5</v>
      </c>
      <c r="C653" s="6">
        <v>32.15</v>
      </c>
    </row>
    <row r="654" spans="1:3" x14ac:dyDescent="0.25">
      <c r="A654" s="4">
        <v>36711</v>
      </c>
      <c r="B654" s="5">
        <f>_xlfn.XLOOKUP(A654,bunker_daily_raw!$A$2:$A$3819,bunker_daily_raw!$B$2:$B$3819)</f>
        <v>134.5</v>
      </c>
      <c r="C654" s="6">
        <v>30.73</v>
      </c>
    </row>
    <row r="655" spans="1:3" x14ac:dyDescent="0.25">
      <c r="A655" s="4">
        <v>36712</v>
      </c>
      <c r="B655" s="5">
        <f>_xlfn.XLOOKUP(A655,bunker_daily_raw!$A$2:$A$3819,bunker_daily_raw!$B$2:$B$3819)</f>
        <v>130.5</v>
      </c>
      <c r="C655" s="6">
        <v>30.35</v>
      </c>
    </row>
    <row r="656" spans="1:3" x14ac:dyDescent="0.25">
      <c r="A656" s="4">
        <v>36713</v>
      </c>
      <c r="B656" s="5">
        <f>_xlfn.XLOOKUP(A656,bunker_daily_raw!$A$2:$A$3819,bunker_daily_raw!$B$2:$B$3819)</f>
        <v>128</v>
      </c>
      <c r="C656" s="6">
        <v>30.67</v>
      </c>
    </row>
    <row r="657" spans="1:3" x14ac:dyDescent="0.25">
      <c r="A657" s="4">
        <v>36714</v>
      </c>
      <c r="B657" s="5">
        <f>_xlfn.XLOOKUP(A657,bunker_daily_raw!$A$2:$A$3819,bunker_daily_raw!$B$2:$B$3819)</f>
        <v>129.75</v>
      </c>
      <c r="C657" s="6">
        <v>30.62</v>
      </c>
    </row>
    <row r="658" spans="1:3" x14ac:dyDescent="0.25">
      <c r="A658" s="4">
        <v>36717</v>
      </c>
      <c r="B658" s="5">
        <f>_xlfn.XLOOKUP(A658,bunker_daily_raw!$A$2:$A$3819,bunker_daily_raw!$B$2:$B$3819)</f>
        <v>126.25</v>
      </c>
      <c r="C658" s="6">
        <v>30.58</v>
      </c>
    </row>
    <row r="659" spans="1:3" x14ac:dyDescent="0.25">
      <c r="A659" s="4">
        <v>36718</v>
      </c>
      <c r="B659" s="5">
        <f>_xlfn.XLOOKUP(A659,bunker_daily_raw!$A$2:$A$3819,bunker_daily_raw!$B$2:$B$3819)</f>
        <v>123.25</v>
      </c>
      <c r="C659" s="6">
        <v>29.83</v>
      </c>
    </row>
    <row r="660" spans="1:3" x14ac:dyDescent="0.25">
      <c r="A660" s="4">
        <v>36719</v>
      </c>
      <c r="B660" s="5">
        <f>_xlfn.XLOOKUP(A660,bunker_daily_raw!$A$2:$A$3819,bunker_daily_raw!$B$2:$B$3819)</f>
        <v>122.5</v>
      </c>
      <c r="C660" s="6">
        <v>30.27</v>
      </c>
    </row>
    <row r="661" spans="1:3" x14ac:dyDescent="0.25">
      <c r="A661" s="4">
        <v>36720</v>
      </c>
      <c r="B661" s="5">
        <f>_xlfn.XLOOKUP(A661,bunker_daily_raw!$A$2:$A$3819,bunker_daily_raw!$B$2:$B$3819)</f>
        <v>122.75</v>
      </c>
      <c r="C661" s="6">
        <v>31.15</v>
      </c>
    </row>
    <row r="662" spans="1:3" x14ac:dyDescent="0.25">
      <c r="A662" s="4">
        <v>36721</v>
      </c>
      <c r="B662" s="5">
        <f>_xlfn.XLOOKUP(A662,bunker_daily_raw!$A$2:$A$3819,bunker_daily_raw!$B$2:$B$3819)</f>
        <v>122.5</v>
      </c>
      <c r="C662" s="6">
        <v>30.82</v>
      </c>
    </row>
    <row r="663" spans="1:3" x14ac:dyDescent="0.25">
      <c r="A663" s="4">
        <v>36724</v>
      </c>
      <c r="B663" s="5">
        <f>_xlfn.XLOOKUP(A663,bunker_daily_raw!$A$2:$A$3819,bunker_daily_raw!$B$2:$B$3819)</f>
        <v>125.25</v>
      </c>
      <c r="C663" s="6">
        <v>28.44</v>
      </c>
    </row>
    <row r="664" spans="1:3" x14ac:dyDescent="0.25">
      <c r="A664" s="4">
        <v>36725</v>
      </c>
      <c r="B664" s="5">
        <f>_xlfn.XLOOKUP(A664,bunker_daily_raw!$A$2:$A$3819,bunker_daily_raw!$B$2:$B$3819)</f>
        <v>125.25</v>
      </c>
      <c r="C664" s="6">
        <v>28.46</v>
      </c>
    </row>
    <row r="665" spans="1:3" x14ac:dyDescent="0.25">
      <c r="A665" s="4">
        <v>36726</v>
      </c>
      <c r="B665" s="5">
        <f>_xlfn.XLOOKUP(A665,bunker_daily_raw!$A$2:$A$3819,bunker_daily_raw!$B$2:$B$3819)</f>
        <v>125.25</v>
      </c>
      <c r="C665" s="6">
        <v>28.33</v>
      </c>
    </row>
    <row r="666" spans="1:3" x14ac:dyDescent="0.25">
      <c r="A666" s="4">
        <v>36727</v>
      </c>
      <c r="B666" s="5">
        <f>_xlfn.XLOOKUP(A666,bunker_daily_raw!$A$2:$A$3819,bunker_daily_raw!$B$2:$B$3819)</f>
        <v>124</v>
      </c>
      <c r="C666" s="6">
        <v>27.85</v>
      </c>
    </row>
    <row r="667" spans="1:3" x14ac:dyDescent="0.25">
      <c r="A667" s="4">
        <v>36728</v>
      </c>
      <c r="B667" s="5">
        <f>_xlfn.XLOOKUP(A667,bunker_daily_raw!$A$2:$A$3819,bunker_daily_raw!$B$2:$B$3819)</f>
        <v>125.5</v>
      </c>
      <c r="C667" s="6">
        <v>26.68</v>
      </c>
    </row>
    <row r="668" spans="1:3" x14ac:dyDescent="0.25">
      <c r="A668" s="4">
        <v>36731</v>
      </c>
      <c r="B668" s="5">
        <f>_xlfn.XLOOKUP(A668,bunker_daily_raw!$A$2:$A$3819,bunker_daily_raw!$B$2:$B$3819)</f>
        <v>128</v>
      </c>
      <c r="C668" s="6">
        <v>26.84</v>
      </c>
    </row>
    <row r="669" spans="1:3" x14ac:dyDescent="0.25">
      <c r="A669" s="4">
        <v>36732</v>
      </c>
      <c r="B669" s="5">
        <f>_xlfn.XLOOKUP(A669,bunker_daily_raw!$A$2:$A$3819,bunker_daily_raw!$B$2:$B$3819)</f>
        <v>127</v>
      </c>
      <c r="C669" s="6">
        <v>25.78</v>
      </c>
    </row>
    <row r="670" spans="1:3" x14ac:dyDescent="0.25">
      <c r="A670" s="4">
        <v>36733</v>
      </c>
      <c r="B670" s="5">
        <f>_xlfn.XLOOKUP(A670,bunker_daily_raw!$A$2:$A$3819,bunker_daily_raw!$B$2:$B$3819)</f>
        <v>130.5</v>
      </c>
      <c r="C670" s="6">
        <v>25.92</v>
      </c>
    </row>
    <row r="671" spans="1:3" x14ac:dyDescent="0.25">
      <c r="A671" s="4">
        <v>36734</v>
      </c>
      <c r="B671" s="5">
        <f>_xlfn.XLOOKUP(A671,bunker_daily_raw!$A$2:$A$3819,bunker_daily_raw!$B$2:$B$3819)</f>
        <v>125</v>
      </c>
      <c r="C671" s="6">
        <v>25.6</v>
      </c>
    </row>
    <row r="672" spans="1:3" x14ac:dyDescent="0.25">
      <c r="A672" s="4">
        <v>36735</v>
      </c>
      <c r="B672" s="5">
        <f>_xlfn.XLOOKUP(A672,bunker_daily_raw!$A$2:$A$3819,bunker_daily_raw!$B$2:$B$3819)</f>
        <v>128.5</v>
      </c>
      <c r="C672" s="6">
        <v>25.96</v>
      </c>
    </row>
    <row r="673" spans="1:3" x14ac:dyDescent="0.25">
      <c r="A673" s="4">
        <v>36738</v>
      </c>
      <c r="B673" s="5">
        <f>_xlfn.XLOOKUP(A673,bunker_daily_raw!$A$2:$A$3819,bunker_daily_raw!$B$2:$B$3819)</f>
        <v>127</v>
      </c>
      <c r="C673" s="6">
        <v>25.3</v>
      </c>
    </row>
    <row r="674" spans="1:3" x14ac:dyDescent="0.25">
      <c r="A674" s="4">
        <v>36739</v>
      </c>
      <c r="B674" s="5">
        <f>_xlfn.XLOOKUP(A674,bunker_daily_raw!$A$2:$A$3819,bunker_daily_raw!$B$2:$B$3819)</f>
        <v>126.5</v>
      </c>
      <c r="C674" s="6">
        <v>25.24</v>
      </c>
    </row>
    <row r="675" spans="1:3" x14ac:dyDescent="0.25">
      <c r="A675" s="4">
        <v>36740</v>
      </c>
      <c r="B675" s="5">
        <f>_xlfn.XLOOKUP(A675,bunker_daily_raw!$A$2:$A$3819,bunker_daily_raw!$B$2:$B$3819)</f>
        <v>125</v>
      </c>
      <c r="C675" s="6">
        <v>26.8</v>
      </c>
    </row>
    <row r="676" spans="1:3" x14ac:dyDescent="0.25">
      <c r="A676" s="4">
        <v>36741</v>
      </c>
      <c r="B676" s="5">
        <f>_xlfn.XLOOKUP(A676,bunker_daily_raw!$A$2:$A$3819,bunker_daily_raw!$B$2:$B$3819)</f>
        <v>127</v>
      </c>
      <c r="C676" s="6">
        <v>27.04</v>
      </c>
    </row>
    <row r="677" spans="1:3" x14ac:dyDescent="0.25">
      <c r="A677" s="4">
        <v>36742</v>
      </c>
      <c r="B677" s="5">
        <f>_xlfn.XLOOKUP(A677,bunker_daily_raw!$A$2:$A$3819,bunker_daily_raw!$B$2:$B$3819)</f>
        <v>126.25</v>
      </c>
      <c r="C677" s="6">
        <v>28.01</v>
      </c>
    </row>
    <row r="678" spans="1:3" x14ac:dyDescent="0.25">
      <c r="A678" s="4">
        <v>36745</v>
      </c>
      <c r="B678" s="5">
        <f>_xlfn.XLOOKUP(A678,bunker_daily_raw!$A$2:$A$3819,bunker_daily_raw!$B$2:$B$3819)</f>
        <v>129</v>
      </c>
      <c r="C678" s="6">
        <v>27.56</v>
      </c>
    </row>
    <row r="679" spans="1:3" x14ac:dyDescent="0.25">
      <c r="A679" s="4">
        <v>36746</v>
      </c>
      <c r="B679" s="5">
        <f>_xlfn.XLOOKUP(A679,bunker_daily_raw!$A$2:$A$3819,bunker_daily_raw!$B$2:$B$3819)</f>
        <v>128</v>
      </c>
      <c r="C679" s="6">
        <v>27.58</v>
      </c>
    </row>
    <row r="680" spans="1:3" x14ac:dyDescent="0.25">
      <c r="A680" s="4">
        <v>36747</v>
      </c>
      <c r="B680" s="5" t="e">
        <f>_xlfn.XLOOKUP(A680,bunker_daily_raw!$A$2:$A$3819,bunker_daily_raw!$B$2:$B$3819)</f>
        <v>#N/A</v>
      </c>
      <c r="C680" s="6">
        <v>28.13</v>
      </c>
    </row>
    <row r="681" spans="1:3" x14ac:dyDescent="0.25">
      <c r="A681" s="4">
        <v>36748</v>
      </c>
      <c r="B681" s="5">
        <f>_xlfn.XLOOKUP(A681,bunker_daily_raw!$A$2:$A$3819,bunker_daily_raw!$B$2:$B$3819)</f>
        <v>130</v>
      </c>
      <c r="C681" s="6">
        <v>28.98</v>
      </c>
    </row>
    <row r="682" spans="1:3" x14ac:dyDescent="0.25">
      <c r="A682" s="4">
        <v>36749</v>
      </c>
      <c r="B682" s="5">
        <f>_xlfn.XLOOKUP(A682,bunker_daily_raw!$A$2:$A$3819,bunker_daily_raw!$B$2:$B$3819)</f>
        <v>133</v>
      </c>
      <c r="C682" s="6">
        <v>29.44</v>
      </c>
    </row>
    <row r="683" spans="1:3" x14ac:dyDescent="0.25">
      <c r="A683" s="4">
        <v>36752</v>
      </c>
      <c r="B683" s="5">
        <f>_xlfn.XLOOKUP(A683,bunker_daily_raw!$A$2:$A$3819,bunker_daily_raw!$B$2:$B$3819)</f>
        <v>136</v>
      </c>
      <c r="C683" s="6">
        <v>29.24</v>
      </c>
    </row>
    <row r="684" spans="1:3" x14ac:dyDescent="0.25">
      <c r="A684" s="4">
        <v>36753</v>
      </c>
      <c r="B684" s="5">
        <f>_xlfn.XLOOKUP(A684,bunker_daily_raw!$A$2:$A$3819,bunker_daily_raw!$B$2:$B$3819)</f>
        <v>137</v>
      </c>
      <c r="C684" s="6">
        <v>30</v>
      </c>
    </row>
    <row r="685" spans="1:3" x14ac:dyDescent="0.25">
      <c r="A685" s="4">
        <v>36754</v>
      </c>
      <c r="B685" s="5">
        <f>_xlfn.XLOOKUP(A685,bunker_daily_raw!$A$2:$A$3819,bunker_daily_raw!$B$2:$B$3819)</f>
        <v>133.75</v>
      </c>
      <c r="C685" s="6">
        <v>29.66</v>
      </c>
    </row>
    <row r="686" spans="1:3" x14ac:dyDescent="0.25">
      <c r="A686" s="4">
        <v>36755</v>
      </c>
      <c r="B686" s="5">
        <f>_xlfn.XLOOKUP(A686,bunker_daily_raw!$A$2:$A$3819,bunker_daily_raw!$B$2:$B$3819)</f>
        <v>139</v>
      </c>
      <c r="C686" s="6">
        <v>30.71</v>
      </c>
    </row>
    <row r="687" spans="1:3" x14ac:dyDescent="0.25">
      <c r="A687" s="4">
        <v>36756</v>
      </c>
      <c r="B687" s="5">
        <f>_xlfn.XLOOKUP(A687,bunker_daily_raw!$A$2:$A$3819,bunker_daily_raw!$B$2:$B$3819)</f>
        <v>140</v>
      </c>
      <c r="C687" s="6">
        <v>30.76</v>
      </c>
    </row>
    <row r="688" spans="1:3" x14ac:dyDescent="0.25">
      <c r="A688" s="4">
        <v>36759</v>
      </c>
      <c r="B688" s="5">
        <f>_xlfn.XLOOKUP(A688,bunker_daily_raw!$A$2:$A$3819,bunker_daily_raw!$B$2:$B$3819)</f>
        <v>141.75</v>
      </c>
      <c r="C688" s="6">
        <v>31.34</v>
      </c>
    </row>
    <row r="689" spans="1:3" x14ac:dyDescent="0.25">
      <c r="A689" s="4">
        <v>36760</v>
      </c>
      <c r="B689" s="5">
        <f>_xlfn.XLOOKUP(A689,bunker_daily_raw!$A$2:$A$3819,bunker_daily_raw!$B$2:$B$3819)</f>
        <v>145.25</v>
      </c>
      <c r="C689" s="6">
        <v>30.18</v>
      </c>
    </row>
    <row r="690" spans="1:3" x14ac:dyDescent="0.25">
      <c r="A690" s="4">
        <v>36761</v>
      </c>
      <c r="B690" s="5">
        <f>_xlfn.XLOOKUP(A690,bunker_daily_raw!$A$2:$A$3819,bunker_daily_raw!$B$2:$B$3819)</f>
        <v>149.5</v>
      </c>
      <c r="C690" s="6">
        <v>32.380000000000003</v>
      </c>
    </row>
    <row r="691" spans="1:3" x14ac:dyDescent="0.25">
      <c r="A691" s="4">
        <v>36762</v>
      </c>
      <c r="B691" s="5">
        <f>_xlfn.XLOOKUP(A691,bunker_daily_raw!$A$2:$A$3819,bunker_daily_raw!$B$2:$B$3819)</f>
        <v>157</v>
      </c>
      <c r="C691" s="6">
        <v>31.67</v>
      </c>
    </row>
    <row r="692" spans="1:3" x14ac:dyDescent="0.25">
      <c r="A692" s="4">
        <v>36763</v>
      </c>
      <c r="B692" s="5">
        <f>_xlfn.XLOOKUP(A692,bunker_daily_raw!$A$2:$A$3819,bunker_daily_raw!$B$2:$B$3819)</f>
        <v>155</v>
      </c>
      <c r="C692" s="6">
        <v>33.26</v>
      </c>
    </row>
    <row r="693" spans="1:3" x14ac:dyDescent="0.25">
      <c r="A693" s="4">
        <v>36766</v>
      </c>
      <c r="B693" s="5">
        <f>_xlfn.XLOOKUP(A693,bunker_daily_raw!$A$2:$A$3819,bunker_daily_raw!$B$2:$B$3819)</f>
        <v>160</v>
      </c>
      <c r="C693" s="6">
        <v>33.29</v>
      </c>
    </row>
    <row r="694" spans="1:3" x14ac:dyDescent="0.25">
      <c r="A694" s="4">
        <v>36767</v>
      </c>
      <c r="B694" s="5">
        <f>_xlfn.XLOOKUP(A694,bunker_daily_raw!$A$2:$A$3819,bunker_daily_raw!$B$2:$B$3819)</f>
        <v>154.5</v>
      </c>
      <c r="C694" s="6">
        <v>34.03</v>
      </c>
    </row>
    <row r="695" spans="1:3" x14ac:dyDescent="0.25">
      <c r="A695" s="4">
        <v>36768</v>
      </c>
      <c r="B695" s="5">
        <f>_xlfn.XLOOKUP(A695,bunker_daily_raw!$A$2:$A$3819,bunker_daily_raw!$B$2:$B$3819)</f>
        <v>150</v>
      </c>
      <c r="C695" s="6">
        <v>34.130000000000003</v>
      </c>
    </row>
    <row r="696" spans="1:3" x14ac:dyDescent="0.25">
      <c r="A696" s="4">
        <v>36769</v>
      </c>
      <c r="B696" s="5">
        <f>_xlfn.XLOOKUP(A696,bunker_daily_raw!$A$2:$A$3819,bunker_daily_raw!$B$2:$B$3819)</f>
        <v>156</v>
      </c>
      <c r="C696" s="6">
        <v>35.08</v>
      </c>
    </row>
    <row r="697" spans="1:3" x14ac:dyDescent="0.25">
      <c r="A697" s="4">
        <v>36770</v>
      </c>
      <c r="B697" s="5">
        <f>_xlfn.XLOOKUP(A697,bunker_daily_raw!$A$2:$A$3819,bunker_daily_raw!$B$2:$B$3819)</f>
        <v>147</v>
      </c>
      <c r="C697" s="6">
        <v>35.090000000000003</v>
      </c>
    </row>
    <row r="698" spans="1:3" x14ac:dyDescent="0.25">
      <c r="A698" s="4">
        <v>36773</v>
      </c>
      <c r="B698" s="5">
        <f>_xlfn.XLOOKUP(A698,bunker_daily_raw!$A$2:$A$3819,bunker_daily_raw!$B$2:$B$3819)</f>
        <v>146.5</v>
      </c>
      <c r="C698" s="6">
        <v>36.020000000000003</v>
      </c>
    </row>
    <row r="699" spans="1:3" x14ac:dyDescent="0.25">
      <c r="A699" s="4">
        <v>36774</v>
      </c>
      <c r="B699" s="5">
        <f>_xlfn.XLOOKUP(A699,bunker_daily_raw!$A$2:$A$3819,bunker_daily_raw!$B$2:$B$3819)</f>
        <v>152.5</v>
      </c>
      <c r="C699" s="6">
        <v>35.72</v>
      </c>
    </row>
    <row r="700" spans="1:3" x14ac:dyDescent="0.25">
      <c r="A700" s="4">
        <v>36775</v>
      </c>
      <c r="B700" s="5">
        <f>_xlfn.XLOOKUP(A700,bunker_daily_raw!$A$2:$A$3819,bunker_daily_raw!$B$2:$B$3819)</f>
        <v>157.5</v>
      </c>
      <c r="C700" s="6">
        <v>36.700000000000003</v>
      </c>
    </row>
    <row r="701" spans="1:3" x14ac:dyDescent="0.25">
      <c r="A701" s="4">
        <v>36776</v>
      </c>
      <c r="B701" s="5">
        <f>_xlfn.XLOOKUP(A701,bunker_daily_raw!$A$2:$A$3819,bunker_daily_raw!$B$2:$B$3819)</f>
        <v>158</v>
      </c>
      <c r="C701" s="6">
        <v>37.43</v>
      </c>
    </row>
    <row r="702" spans="1:3" x14ac:dyDescent="0.25">
      <c r="A702" s="4">
        <v>36777</v>
      </c>
      <c r="B702" s="5">
        <f>_xlfn.XLOOKUP(A702,bunker_daily_raw!$A$2:$A$3819,bunker_daily_raw!$B$2:$B$3819)</f>
        <v>158.5</v>
      </c>
      <c r="C702" s="6">
        <v>36.270000000000003</v>
      </c>
    </row>
    <row r="703" spans="1:3" x14ac:dyDescent="0.25">
      <c r="A703" s="4">
        <v>36780</v>
      </c>
      <c r="B703" s="5">
        <f>_xlfn.XLOOKUP(A703,bunker_daily_raw!$A$2:$A$3819,bunker_daily_raw!$B$2:$B$3819)</f>
        <v>156</v>
      </c>
      <c r="C703" s="6">
        <v>36.869999999999997</v>
      </c>
    </row>
    <row r="704" spans="1:3" x14ac:dyDescent="0.25">
      <c r="A704" s="4">
        <v>36781</v>
      </c>
      <c r="B704" s="5">
        <f>_xlfn.XLOOKUP(A704,bunker_daily_raw!$A$2:$A$3819,bunker_daily_raw!$B$2:$B$3819)</f>
        <v>155.5</v>
      </c>
      <c r="C704" s="6">
        <v>33.299999999999997</v>
      </c>
    </row>
    <row r="705" spans="1:3" x14ac:dyDescent="0.25">
      <c r="A705" s="4">
        <v>36782</v>
      </c>
      <c r="B705" s="5">
        <f>_xlfn.XLOOKUP(A705,bunker_daily_raw!$A$2:$A$3819,bunker_daily_raw!$B$2:$B$3819)</f>
        <v>145</v>
      </c>
      <c r="C705" s="6">
        <v>31.08</v>
      </c>
    </row>
    <row r="706" spans="1:3" x14ac:dyDescent="0.25">
      <c r="A706" s="4">
        <v>36783</v>
      </c>
      <c r="B706" s="5">
        <f>_xlfn.XLOOKUP(A706,bunker_daily_raw!$A$2:$A$3819,bunker_daily_raw!$B$2:$B$3819)</f>
        <v>149.25</v>
      </c>
      <c r="C706" s="6">
        <v>31.35</v>
      </c>
    </row>
    <row r="707" spans="1:3" x14ac:dyDescent="0.25">
      <c r="A707" s="4">
        <v>36784</v>
      </c>
      <c r="B707" s="5">
        <f>_xlfn.XLOOKUP(A707,bunker_daily_raw!$A$2:$A$3819,bunker_daily_raw!$B$2:$B$3819)</f>
        <v>150.25</v>
      </c>
      <c r="C707" s="6">
        <v>33.68</v>
      </c>
    </row>
    <row r="708" spans="1:3" x14ac:dyDescent="0.25">
      <c r="A708" s="4">
        <v>36787</v>
      </c>
      <c r="B708" s="5">
        <f>_xlfn.XLOOKUP(A708,bunker_daily_raw!$A$2:$A$3819,bunker_daily_raw!$B$2:$B$3819)</f>
        <v>151</v>
      </c>
      <c r="C708" s="6">
        <v>34.549999999999997</v>
      </c>
    </row>
    <row r="709" spans="1:3" x14ac:dyDescent="0.25">
      <c r="A709" s="4">
        <v>36788</v>
      </c>
      <c r="B709" s="5">
        <f>_xlfn.XLOOKUP(A709,bunker_daily_raw!$A$2:$A$3819,bunker_daily_raw!$B$2:$B$3819)</f>
        <v>149</v>
      </c>
      <c r="C709" s="6">
        <v>33.479999999999997</v>
      </c>
    </row>
    <row r="710" spans="1:3" x14ac:dyDescent="0.25">
      <c r="A710" s="4">
        <v>36789</v>
      </c>
      <c r="B710" s="5">
        <f>_xlfn.XLOOKUP(A710,bunker_daily_raw!$A$2:$A$3819,bunker_daily_raw!$B$2:$B$3819)</f>
        <v>155.5</v>
      </c>
      <c r="C710" s="6">
        <v>33.67</v>
      </c>
    </row>
    <row r="711" spans="1:3" x14ac:dyDescent="0.25">
      <c r="A711" s="4">
        <v>36790</v>
      </c>
      <c r="B711" s="5">
        <f>_xlfn.XLOOKUP(A711,bunker_daily_raw!$A$2:$A$3819,bunker_daily_raw!$B$2:$B$3819)</f>
        <v>154</v>
      </c>
      <c r="C711" s="6">
        <v>32.18</v>
      </c>
    </row>
    <row r="712" spans="1:3" x14ac:dyDescent="0.25">
      <c r="A712" s="4">
        <v>36791</v>
      </c>
      <c r="B712" s="5">
        <f>_xlfn.XLOOKUP(A712,bunker_daily_raw!$A$2:$A$3819,bunker_daily_raw!$B$2:$B$3819)</f>
        <v>155.5</v>
      </c>
      <c r="C712" s="6">
        <v>31.59</v>
      </c>
    </row>
    <row r="713" spans="1:3" x14ac:dyDescent="0.25">
      <c r="A713" s="4">
        <v>36794</v>
      </c>
      <c r="B713" s="5">
        <f>_xlfn.XLOOKUP(A713,bunker_daily_raw!$A$2:$A$3819,bunker_daily_raw!$B$2:$B$3819)</f>
        <v>153.5</v>
      </c>
      <c r="C713" s="6">
        <v>30.01</v>
      </c>
    </row>
    <row r="714" spans="1:3" x14ac:dyDescent="0.25">
      <c r="A714" s="4">
        <v>36795</v>
      </c>
      <c r="B714" s="5">
        <f>_xlfn.XLOOKUP(A714,bunker_daily_raw!$A$2:$A$3819,bunker_daily_raw!$B$2:$B$3819)</f>
        <v>153.5</v>
      </c>
      <c r="C714" s="6">
        <v>29.94</v>
      </c>
    </row>
    <row r="715" spans="1:3" x14ac:dyDescent="0.25">
      <c r="A715" s="4">
        <v>36796</v>
      </c>
      <c r="B715" s="5">
        <f>_xlfn.XLOOKUP(A715,bunker_daily_raw!$A$2:$A$3819,bunker_daily_raw!$B$2:$B$3819)</f>
        <v>156</v>
      </c>
      <c r="C715" s="6">
        <v>29.78</v>
      </c>
    </row>
    <row r="716" spans="1:3" x14ac:dyDescent="0.25">
      <c r="A716" s="4">
        <v>36797</v>
      </c>
      <c r="B716" s="5">
        <f>_xlfn.XLOOKUP(A716,bunker_daily_raw!$A$2:$A$3819,bunker_daily_raw!$B$2:$B$3819)</f>
        <v>160.75</v>
      </c>
      <c r="C716" s="6">
        <v>28.91</v>
      </c>
    </row>
    <row r="717" spans="1:3" x14ac:dyDescent="0.25">
      <c r="A717" s="4">
        <v>36798</v>
      </c>
      <c r="B717" s="5">
        <f>_xlfn.XLOOKUP(A717,bunker_daily_raw!$A$2:$A$3819,bunker_daily_raw!$B$2:$B$3819)</f>
        <v>167.25</v>
      </c>
      <c r="C717" s="6">
        <v>28.42</v>
      </c>
    </row>
    <row r="718" spans="1:3" x14ac:dyDescent="0.25">
      <c r="A718" s="4">
        <v>36801</v>
      </c>
      <c r="B718" s="5">
        <f>_xlfn.XLOOKUP(A718,bunker_daily_raw!$A$2:$A$3819,bunker_daily_raw!$B$2:$B$3819)</f>
        <v>168.5</v>
      </c>
      <c r="C718" s="6">
        <v>29.65</v>
      </c>
    </row>
    <row r="719" spans="1:3" x14ac:dyDescent="0.25">
      <c r="A719" s="4">
        <v>36802</v>
      </c>
      <c r="B719" s="5">
        <f>_xlfn.XLOOKUP(A719,bunker_daily_raw!$A$2:$A$3819,bunker_daily_raw!$B$2:$B$3819)</f>
        <v>171</v>
      </c>
      <c r="C719" s="6">
        <v>30.64</v>
      </c>
    </row>
    <row r="720" spans="1:3" x14ac:dyDescent="0.25">
      <c r="A720" s="4">
        <v>36803</v>
      </c>
      <c r="B720" s="5">
        <f>_xlfn.XLOOKUP(A720,bunker_daily_raw!$A$2:$A$3819,bunker_daily_raw!$B$2:$B$3819)</f>
        <v>164</v>
      </c>
      <c r="C720" s="6">
        <v>30.07</v>
      </c>
    </row>
    <row r="721" spans="1:3" x14ac:dyDescent="0.25">
      <c r="A721" s="4">
        <v>36804</v>
      </c>
      <c r="B721" s="5">
        <f>_xlfn.XLOOKUP(A721,bunker_daily_raw!$A$2:$A$3819,bunker_daily_raw!$B$2:$B$3819)</f>
        <v>160.25</v>
      </c>
      <c r="C721" s="6">
        <v>29.19</v>
      </c>
    </row>
    <row r="722" spans="1:3" x14ac:dyDescent="0.25">
      <c r="A722" s="4">
        <v>36805</v>
      </c>
      <c r="B722" s="5">
        <f>_xlfn.XLOOKUP(A722,bunker_daily_raw!$A$2:$A$3819,bunker_daily_raw!$B$2:$B$3819)</f>
        <v>161.5</v>
      </c>
      <c r="C722" s="6">
        <v>29.62</v>
      </c>
    </row>
    <row r="723" spans="1:3" x14ac:dyDescent="0.25">
      <c r="A723" s="4">
        <v>36808</v>
      </c>
      <c r="B723" s="5">
        <f>_xlfn.XLOOKUP(A723,bunker_daily_raw!$A$2:$A$3819,bunker_daily_raw!$B$2:$B$3819)</f>
        <v>158.75</v>
      </c>
      <c r="C723" s="6">
        <v>29.99</v>
      </c>
    </row>
    <row r="724" spans="1:3" x14ac:dyDescent="0.25">
      <c r="A724" s="4">
        <v>36809</v>
      </c>
      <c r="B724" s="5">
        <f>_xlfn.XLOOKUP(A724,bunker_daily_raw!$A$2:$A$3819,bunker_daily_raw!$B$2:$B$3819)</f>
        <v>153.5</v>
      </c>
      <c r="C724" s="6">
        <v>30.95</v>
      </c>
    </row>
    <row r="725" spans="1:3" x14ac:dyDescent="0.25">
      <c r="A725" s="4">
        <v>36810</v>
      </c>
      <c r="B725" s="5">
        <f>_xlfn.XLOOKUP(A725,bunker_daily_raw!$A$2:$A$3819,bunker_daily_raw!$B$2:$B$3819)</f>
        <v>156</v>
      </c>
      <c r="C725" s="6">
        <v>31.25</v>
      </c>
    </row>
    <row r="726" spans="1:3" x14ac:dyDescent="0.25">
      <c r="A726" s="4">
        <v>36811</v>
      </c>
      <c r="B726" s="5">
        <f>_xlfn.XLOOKUP(A726,bunker_daily_raw!$A$2:$A$3819,bunker_daily_raw!$B$2:$B$3819)</f>
        <v>155</v>
      </c>
      <c r="C726" s="6">
        <v>33.450000000000003</v>
      </c>
    </row>
    <row r="727" spans="1:3" x14ac:dyDescent="0.25">
      <c r="A727" s="4">
        <v>36812</v>
      </c>
      <c r="B727" s="5">
        <f>_xlfn.XLOOKUP(A727,bunker_daily_raw!$A$2:$A$3819,bunker_daily_raw!$B$2:$B$3819)</f>
        <v>154.5</v>
      </c>
      <c r="C727" s="6">
        <v>33.5</v>
      </c>
    </row>
    <row r="728" spans="1:3" x14ac:dyDescent="0.25">
      <c r="A728" s="4">
        <v>36815</v>
      </c>
      <c r="B728" s="5">
        <f>_xlfn.XLOOKUP(A728,bunker_daily_raw!$A$2:$A$3819,bunker_daily_raw!$B$2:$B$3819)</f>
        <v>153</v>
      </c>
      <c r="C728" s="6">
        <v>32.03</v>
      </c>
    </row>
    <row r="729" spans="1:3" x14ac:dyDescent="0.25">
      <c r="A729" s="4">
        <v>36816</v>
      </c>
      <c r="B729" s="5">
        <f>_xlfn.XLOOKUP(A729,bunker_daily_raw!$A$2:$A$3819,bunker_daily_raw!$B$2:$B$3819)</f>
        <v>151</v>
      </c>
      <c r="C729" s="6">
        <v>30.38</v>
      </c>
    </row>
    <row r="730" spans="1:3" x14ac:dyDescent="0.25">
      <c r="A730" s="4">
        <v>36817</v>
      </c>
      <c r="B730" s="5">
        <f>_xlfn.XLOOKUP(A730,bunker_daily_raw!$A$2:$A$3819,bunker_daily_raw!$B$2:$B$3819)</f>
        <v>146.5</v>
      </c>
      <c r="C730" s="6">
        <v>30.98</v>
      </c>
    </row>
    <row r="731" spans="1:3" x14ac:dyDescent="0.25">
      <c r="A731" s="4">
        <v>36818</v>
      </c>
      <c r="B731" s="5">
        <f>_xlfn.XLOOKUP(A731,bunker_daily_raw!$A$2:$A$3819,bunker_daily_raw!$B$2:$B$3819)</f>
        <v>144.5</v>
      </c>
      <c r="C731" s="6">
        <v>31.29</v>
      </c>
    </row>
    <row r="732" spans="1:3" x14ac:dyDescent="0.25">
      <c r="A732" s="4">
        <v>36819</v>
      </c>
      <c r="B732" s="5">
        <f>_xlfn.XLOOKUP(A732,bunker_daily_raw!$A$2:$A$3819,bunker_daily_raw!$B$2:$B$3819)</f>
        <v>146</v>
      </c>
      <c r="C732" s="6">
        <v>30.16</v>
      </c>
    </row>
    <row r="733" spans="1:3" x14ac:dyDescent="0.25">
      <c r="A733" s="4">
        <v>36822</v>
      </c>
      <c r="B733" s="5">
        <f>_xlfn.XLOOKUP(A733,bunker_daily_raw!$A$2:$A$3819,bunker_daily_raw!$B$2:$B$3819)</f>
        <v>143.25</v>
      </c>
      <c r="C733" s="6">
        <v>30.98</v>
      </c>
    </row>
    <row r="734" spans="1:3" x14ac:dyDescent="0.25">
      <c r="A734" s="4">
        <v>36823</v>
      </c>
      <c r="B734" s="5">
        <f>_xlfn.XLOOKUP(A734,bunker_daily_raw!$A$2:$A$3819,bunker_daily_raw!$B$2:$B$3819)</f>
        <v>142</v>
      </c>
      <c r="C734" s="6">
        <v>31.81</v>
      </c>
    </row>
    <row r="735" spans="1:3" x14ac:dyDescent="0.25">
      <c r="A735" s="4">
        <v>36824</v>
      </c>
      <c r="B735" s="5">
        <f>_xlfn.XLOOKUP(A735,bunker_daily_raw!$A$2:$A$3819,bunker_daily_raw!$B$2:$B$3819)</f>
        <v>138.75</v>
      </c>
      <c r="C735" s="6">
        <v>31.17</v>
      </c>
    </row>
    <row r="736" spans="1:3" x14ac:dyDescent="0.25">
      <c r="A736" s="4">
        <v>36825</v>
      </c>
      <c r="B736" s="5" t="e">
        <f>_xlfn.XLOOKUP(A736,bunker_daily_raw!$A$2:$A$3819,bunker_daily_raw!$B$2:$B$3819)</f>
        <v>#N/A</v>
      </c>
      <c r="C736" s="6">
        <v>31.48</v>
      </c>
    </row>
    <row r="737" spans="1:3" x14ac:dyDescent="0.25">
      <c r="A737" s="4">
        <v>36826</v>
      </c>
      <c r="B737" s="5">
        <f>_xlfn.XLOOKUP(A737,bunker_daily_raw!$A$2:$A$3819,bunker_daily_raw!$B$2:$B$3819)</f>
        <v>139.5</v>
      </c>
      <c r="C737" s="6">
        <v>31.31</v>
      </c>
    </row>
    <row r="738" spans="1:3" x14ac:dyDescent="0.25">
      <c r="A738" s="4">
        <v>36829</v>
      </c>
      <c r="B738" s="5">
        <f>_xlfn.XLOOKUP(A738,bunker_daily_raw!$A$2:$A$3819,bunker_daily_raw!$B$2:$B$3819)</f>
        <v>140</v>
      </c>
      <c r="C738" s="6">
        <v>31.09</v>
      </c>
    </row>
    <row r="739" spans="1:3" x14ac:dyDescent="0.25">
      <c r="A739" s="4">
        <v>36830</v>
      </c>
      <c r="B739" s="5">
        <f>_xlfn.XLOOKUP(A739,bunker_daily_raw!$A$2:$A$3819,bunker_daily_raw!$B$2:$B$3819)</f>
        <v>139.25</v>
      </c>
      <c r="C739" s="6">
        <v>30.15</v>
      </c>
    </row>
    <row r="740" spans="1:3" x14ac:dyDescent="0.25">
      <c r="A740" s="4">
        <v>36831</v>
      </c>
      <c r="B740" s="5">
        <f>_xlfn.XLOOKUP(A740,bunker_daily_raw!$A$2:$A$3819,bunker_daily_raw!$B$2:$B$3819)</f>
        <v>142.25</v>
      </c>
      <c r="C740" s="6">
        <v>31.62</v>
      </c>
    </row>
    <row r="741" spans="1:3" x14ac:dyDescent="0.25">
      <c r="A741" s="4">
        <v>36832</v>
      </c>
      <c r="B741" s="5">
        <f>_xlfn.XLOOKUP(A741,bunker_daily_raw!$A$2:$A$3819,bunker_daily_raw!$B$2:$B$3819)</f>
        <v>144.5</v>
      </c>
      <c r="C741" s="6">
        <v>30.81</v>
      </c>
    </row>
    <row r="742" spans="1:3" x14ac:dyDescent="0.25">
      <c r="A742" s="4">
        <v>36833</v>
      </c>
      <c r="B742" s="5">
        <f>_xlfn.XLOOKUP(A742,bunker_daily_raw!$A$2:$A$3819,bunker_daily_raw!$B$2:$B$3819)</f>
        <v>147.5</v>
      </c>
      <c r="C742" s="6">
        <v>30.81</v>
      </c>
    </row>
    <row r="743" spans="1:3" x14ac:dyDescent="0.25">
      <c r="A743" s="4">
        <v>36836</v>
      </c>
      <c r="B743" s="5">
        <f>_xlfn.XLOOKUP(A743,bunker_daily_raw!$A$2:$A$3819,bunker_daily_raw!$B$2:$B$3819)</f>
        <v>152</v>
      </c>
      <c r="C743" s="6">
        <v>31</v>
      </c>
    </row>
    <row r="744" spans="1:3" x14ac:dyDescent="0.25">
      <c r="A744" s="4">
        <v>36837</v>
      </c>
      <c r="B744" s="5">
        <f>_xlfn.XLOOKUP(A744,bunker_daily_raw!$A$2:$A$3819,bunker_daily_raw!$B$2:$B$3819)</f>
        <v>151.5</v>
      </c>
      <c r="C744" s="6">
        <v>31.59</v>
      </c>
    </row>
    <row r="745" spans="1:3" x14ac:dyDescent="0.25">
      <c r="A745" s="4">
        <v>36838</v>
      </c>
      <c r="B745" s="5">
        <f>_xlfn.XLOOKUP(A745,bunker_daily_raw!$A$2:$A$3819,bunker_daily_raw!$B$2:$B$3819)</f>
        <v>147.25</v>
      </c>
      <c r="C745" s="6">
        <v>31.3</v>
      </c>
    </row>
    <row r="746" spans="1:3" x14ac:dyDescent="0.25">
      <c r="A746" s="4">
        <v>36839</v>
      </c>
      <c r="B746" s="5">
        <f>_xlfn.XLOOKUP(A746,bunker_daily_raw!$A$2:$A$3819,bunker_daily_raw!$B$2:$B$3819)</f>
        <v>153</v>
      </c>
      <c r="C746" s="6">
        <v>31.79</v>
      </c>
    </row>
    <row r="747" spans="1:3" x14ac:dyDescent="0.25">
      <c r="A747" s="4">
        <v>36840</v>
      </c>
      <c r="B747" s="5">
        <f>_xlfn.XLOOKUP(A747,bunker_daily_raw!$A$2:$A$3819,bunker_daily_raw!$B$2:$B$3819)</f>
        <v>151</v>
      </c>
      <c r="C747" s="6">
        <v>32.26</v>
      </c>
    </row>
    <row r="748" spans="1:3" x14ac:dyDescent="0.25">
      <c r="A748" s="4">
        <v>36843</v>
      </c>
      <c r="B748" s="5">
        <f>_xlfn.XLOOKUP(A748,bunker_daily_raw!$A$2:$A$3819,bunker_daily_raw!$B$2:$B$3819)</f>
        <v>147.5</v>
      </c>
      <c r="C748" s="6">
        <v>32.5</v>
      </c>
    </row>
    <row r="749" spans="1:3" x14ac:dyDescent="0.25">
      <c r="A749" s="4">
        <v>36844</v>
      </c>
      <c r="B749" s="5">
        <f>_xlfn.XLOOKUP(A749,bunker_daily_raw!$A$2:$A$3819,bunker_daily_raw!$B$2:$B$3819)</f>
        <v>150</v>
      </c>
      <c r="C749" s="6">
        <v>33.049999999999997</v>
      </c>
    </row>
    <row r="750" spans="1:3" x14ac:dyDescent="0.25">
      <c r="A750" s="4">
        <v>36845</v>
      </c>
      <c r="B750" s="5">
        <f>_xlfn.XLOOKUP(A750,bunker_daily_raw!$A$2:$A$3819,bunker_daily_raw!$B$2:$B$3819)</f>
        <v>148</v>
      </c>
      <c r="C750" s="6">
        <v>33.82</v>
      </c>
    </row>
    <row r="751" spans="1:3" x14ac:dyDescent="0.25">
      <c r="A751" s="4">
        <v>36846</v>
      </c>
      <c r="B751" s="5">
        <f>_xlfn.XLOOKUP(A751,bunker_daily_raw!$A$2:$A$3819,bunker_daily_raw!$B$2:$B$3819)</f>
        <v>151</v>
      </c>
      <c r="C751" s="6">
        <v>34.159999999999997</v>
      </c>
    </row>
    <row r="752" spans="1:3" x14ac:dyDescent="0.25">
      <c r="A752" s="4">
        <v>36847</v>
      </c>
      <c r="B752" s="5">
        <f>_xlfn.XLOOKUP(A752,bunker_daily_raw!$A$2:$A$3819,bunker_daily_raw!$B$2:$B$3819)</f>
        <v>150</v>
      </c>
      <c r="C752" s="6">
        <v>33.090000000000003</v>
      </c>
    </row>
    <row r="753" spans="1:3" x14ac:dyDescent="0.25">
      <c r="A753" s="4">
        <v>36850</v>
      </c>
      <c r="B753" s="5">
        <f>_xlfn.XLOOKUP(A753,bunker_daily_raw!$A$2:$A$3819,bunker_daily_raw!$B$2:$B$3819)</f>
        <v>147.25</v>
      </c>
      <c r="C753" s="6">
        <v>34.229999999999997</v>
      </c>
    </row>
    <row r="754" spans="1:3" x14ac:dyDescent="0.25">
      <c r="A754" s="4">
        <v>36851</v>
      </c>
      <c r="B754" s="5">
        <f>_xlfn.XLOOKUP(A754,bunker_daily_raw!$A$2:$A$3819,bunker_daily_raw!$B$2:$B$3819)</f>
        <v>150.5</v>
      </c>
      <c r="C754" s="6">
        <v>33.33</v>
      </c>
    </row>
    <row r="755" spans="1:3" x14ac:dyDescent="0.25">
      <c r="A755" s="4">
        <v>36852</v>
      </c>
      <c r="B755" s="5">
        <f>_xlfn.XLOOKUP(A755,bunker_daily_raw!$A$2:$A$3819,bunker_daily_raw!$B$2:$B$3819)</f>
        <v>148.75</v>
      </c>
      <c r="C755" s="6">
        <v>33.11</v>
      </c>
    </row>
    <row r="756" spans="1:3" x14ac:dyDescent="0.25">
      <c r="A756" s="4">
        <v>36853</v>
      </c>
      <c r="B756" s="5">
        <f>_xlfn.XLOOKUP(A756,bunker_daily_raw!$A$2:$A$3819,bunker_daily_raw!$B$2:$B$3819)</f>
        <v>146.75</v>
      </c>
      <c r="C756" s="6">
        <v>33.29</v>
      </c>
    </row>
    <row r="757" spans="1:3" x14ac:dyDescent="0.25">
      <c r="A757" s="4">
        <v>36854</v>
      </c>
      <c r="B757" s="5">
        <f>_xlfn.XLOOKUP(A757,bunker_daily_raw!$A$2:$A$3819,bunker_daily_raw!$B$2:$B$3819)</f>
        <v>139</v>
      </c>
      <c r="C757" s="6">
        <v>33.35</v>
      </c>
    </row>
    <row r="758" spans="1:3" x14ac:dyDescent="0.25">
      <c r="A758" s="4">
        <v>36857</v>
      </c>
      <c r="B758" s="5">
        <f>_xlfn.XLOOKUP(A758,bunker_daily_raw!$A$2:$A$3819,bunker_daily_raw!$B$2:$B$3819)</f>
        <v>133.25</v>
      </c>
      <c r="C758" s="6">
        <v>33.47</v>
      </c>
    </row>
    <row r="759" spans="1:3" x14ac:dyDescent="0.25">
      <c r="A759" s="4">
        <v>36858</v>
      </c>
      <c r="B759" s="5">
        <f>_xlfn.XLOOKUP(A759,bunker_daily_raw!$A$2:$A$3819,bunker_daily_raw!$B$2:$B$3819)</f>
        <v>136.5</v>
      </c>
      <c r="C759" s="6">
        <v>32.590000000000003</v>
      </c>
    </row>
    <row r="760" spans="1:3" x14ac:dyDescent="0.25">
      <c r="A760" s="4">
        <v>36859</v>
      </c>
      <c r="B760" s="5">
        <f>_xlfn.XLOOKUP(A760,bunker_daily_raw!$A$2:$A$3819,bunker_daily_raw!$B$2:$B$3819)</f>
        <v>129</v>
      </c>
      <c r="C760" s="6">
        <v>32.450000000000003</v>
      </c>
    </row>
    <row r="761" spans="1:3" x14ac:dyDescent="0.25">
      <c r="A761" s="4">
        <v>36860</v>
      </c>
      <c r="B761" s="5">
        <f>_xlfn.XLOOKUP(A761,bunker_daily_raw!$A$2:$A$3819,bunker_daily_raw!$B$2:$B$3819)</f>
        <v>128.5</v>
      </c>
      <c r="C761" s="6">
        <v>32.53</v>
      </c>
    </row>
    <row r="762" spans="1:3" x14ac:dyDescent="0.25">
      <c r="A762" s="4">
        <v>36861</v>
      </c>
      <c r="B762" s="5">
        <f>_xlfn.XLOOKUP(A762,bunker_daily_raw!$A$2:$A$3819,bunker_daily_raw!$B$2:$B$3819)</f>
        <v>129</v>
      </c>
      <c r="C762" s="6">
        <v>31.59</v>
      </c>
    </row>
    <row r="763" spans="1:3" x14ac:dyDescent="0.25">
      <c r="A763" s="4">
        <v>36864</v>
      </c>
      <c r="B763" s="5">
        <f>_xlfn.XLOOKUP(A763,bunker_daily_raw!$A$2:$A$3819,bunker_daily_raw!$B$2:$B$3819)</f>
        <v>129.5</v>
      </c>
      <c r="C763" s="6">
        <v>30.37</v>
      </c>
    </row>
    <row r="764" spans="1:3" x14ac:dyDescent="0.25">
      <c r="A764" s="4">
        <v>36865</v>
      </c>
      <c r="B764" s="5">
        <f>_xlfn.XLOOKUP(A764,bunker_daily_raw!$A$2:$A$3819,bunker_daily_raw!$B$2:$B$3819)</f>
        <v>122</v>
      </c>
      <c r="C764" s="6">
        <v>28.88</v>
      </c>
    </row>
    <row r="765" spans="1:3" x14ac:dyDescent="0.25">
      <c r="A765" s="4">
        <v>36866</v>
      </c>
      <c r="B765" s="5">
        <f>_xlfn.XLOOKUP(A765,bunker_daily_raw!$A$2:$A$3819,bunker_daily_raw!$B$2:$B$3819)</f>
        <v>111.5</v>
      </c>
      <c r="C765" s="6">
        <v>27.47</v>
      </c>
    </row>
    <row r="766" spans="1:3" x14ac:dyDescent="0.25">
      <c r="A766" s="4">
        <v>36867</v>
      </c>
      <c r="B766" s="5">
        <f>_xlfn.XLOOKUP(A766,bunker_daily_raw!$A$2:$A$3819,bunker_daily_raw!$B$2:$B$3819)</f>
        <v>116.75</v>
      </c>
      <c r="C766" s="6">
        <v>27.85</v>
      </c>
    </row>
    <row r="767" spans="1:3" x14ac:dyDescent="0.25">
      <c r="A767" s="4">
        <v>36868</v>
      </c>
      <c r="B767" s="5">
        <f>_xlfn.XLOOKUP(A767,bunker_daily_raw!$A$2:$A$3819,bunker_daily_raw!$B$2:$B$3819)</f>
        <v>114</v>
      </c>
      <c r="C767" s="6">
        <v>26.85</v>
      </c>
    </row>
    <row r="768" spans="1:3" x14ac:dyDescent="0.25">
      <c r="A768" s="4">
        <v>36871</v>
      </c>
      <c r="B768" s="5">
        <f>_xlfn.XLOOKUP(A768,bunker_daily_raw!$A$2:$A$3819,bunker_daily_raw!$B$2:$B$3819)</f>
        <v>109.5</v>
      </c>
      <c r="C768" s="6">
        <v>27.28</v>
      </c>
    </row>
    <row r="769" spans="1:3" x14ac:dyDescent="0.25">
      <c r="A769" s="4">
        <v>36872</v>
      </c>
      <c r="B769" s="5">
        <f>_xlfn.XLOOKUP(A769,bunker_daily_raw!$A$2:$A$3819,bunker_daily_raw!$B$2:$B$3819)</f>
        <v>101</v>
      </c>
      <c r="C769" s="6">
        <v>26.81</v>
      </c>
    </row>
    <row r="770" spans="1:3" x14ac:dyDescent="0.25">
      <c r="A770" s="4">
        <v>36873</v>
      </c>
      <c r="B770" s="5">
        <f>_xlfn.XLOOKUP(A770,bunker_daily_raw!$A$2:$A$3819,bunker_daily_raw!$B$2:$B$3819)</f>
        <v>99.5</v>
      </c>
      <c r="C770" s="6">
        <v>26.84</v>
      </c>
    </row>
    <row r="771" spans="1:3" x14ac:dyDescent="0.25">
      <c r="A771" s="4">
        <v>36874</v>
      </c>
      <c r="B771" s="5">
        <f>_xlfn.XLOOKUP(A771,bunker_daily_raw!$A$2:$A$3819,bunker_daily_raw!$B$2:$B$3819)</f>
        <v>106</v>
      </c>
      <c r="C771" s="6">
        <v>24.32</v>
      </c>
    </row>
    <row r="772" spans="1:3" x14ac:dyDescent="0.25">
      <c r="A772" s="4">
        <v>36875</v>
      </c>
      <c r="B772" s="5">
        <f>_xlfn.XLOOKUP(A772,bunker_daily_raw!$A$2:$A$3819,bunker_daily_raw!$B$2:$B$3819)</f>
        <v>105</v>
      </c>
      <c r="C772" s="6">
        <v>24.44</v>
      </c>
    </row>
    <row r="773" spans="1:3" x14ac:dyDescent="0.25">
      <c r="A773" s="4">
        <v>36878</v>
      </c>
      <c r="B773" s="5">
        <f>_xlfn.XLOOKUP(A773,bunker_daily_raw!$A$2:$A$3819,bunker_daily_raw!$B$2:$B$3819)</f>
        <v>101.25</v>
      </c>
      <c r="C773" s="6">
        <v>25.11</v>
      </c>
    </row>
    <row r="774" spans="1:3" x14ac:dyDescent="0.25">
      <c r="A774" s="4">
        <v>36879</v>
      </c>
      <c r="B774" s="5">
        <f>_xlfn.XLOOKUP(A774,bunker_daily_raw!$A$2:$A$3819,bunker_daily_raw!$B$2:$B$3819)</f>
        <v>108</v>
      </c>
      <c r="C774" s="6">
        <v>24.36</v>
      </c>
    </row>
    <row r="775" spans="1:3" x14ac:dyDescent="0.25">
      <c r="A775" s="4">
        <v>36880</v>
      </c>
      <c r="B775" s="5">
        <f>_xlfn.XLOOKUP(A775,bunker_daily_raw!$A$2:$A$3819,bunker_daily_raw!$B$2:$B$3819)</f>
        <v>106</v>
      </c>
      <c r="C775" s="6">
        <v>23.29</v>
      </c>
    </row>
    <row r="776" spans="1:3" x14ac:dyDescent="0.25">
      <c r="A776" s="4">
        <v>36881</v>
      </c>
      <c r="B776" s="5">
        <f>_xlfn.XLOOKUP(A776,bunker_daily_raw!$A$2:$A$3819,bunker_daily_raw!$B$2:$B$3819)</f>
        <v>103</v>
      </c>
      <c r="C776" s="6">
        <v>22.4</v>
      </c>
    </row>
    <row r="777" spans="1:3" x14ac:dyDescent="0.25">
      <c r="A777" s="4">
        <v>36882</v>
      </c>
      <c r="B777" s="5">
        <f>_xlfn.XLOOKUP(A777,bunker_daily_raw!$A$2:$A$3819,bunker_daily_raw!$B$2:$B$3819)</f>
        <v>98.5</v>
      </c>
      <c r="C777" s="6">
        <v>22.23</v>
      </c>
    </row>
    <row r="778" spans="1:3" x14ac:dyDescent="0.25">
      <c r="A778" s="4">
        <v>36885</v>
      </c>
      <c r="B778" s="5" t="e">
        <f>_xlfn.XLOOKUP(A778,bunker_daily_raw!$A$2:$A$3819,bunker_daily_raw!$B$2:$B$3819)</f>
        <v>#N/A</v>
      </c>
      <c r="C778" s="5"/>
    </row>
    <row r="779" spans="1:3" x14ac:dyDescent="0.25">
      <c r="A779" s="4">
        <v>36886</v>
      </c>
      <c r="B779" s="5">
        <f>_xlfn.XLOOKUP(A779,bunker_daily_raw!$A$2:$A$3819,bunker_daily_raw!$B$2:$B$3819)</f>
        <v>102</v>
      </c>
      <c r="C779" s="5"/>
    </row>
    <row r="780" spans="1:3" x14ac:dyDescent="0.25">
      <c r="A780" s="4">
        <v>36887</v>
      </c>
      <c r="B780" s="5" t="e">
        <f>_xlfn.XLOOKUP(A780,bunker_daily_raw!$A$2:$A$3819,bunker_daily_raw!$B$2:$B$3819)</f>
        <v>#N/A</v>
      </c>
      <c r="C780" s="6">
        <v>22.58</v>
      </c>
    </row>
    <row r="781" spans="1:3" x14ac:dyDescent="0.25">
      <c r="A781" s="4">
        <v>36888</v>
      </c>
      <c r="B781" s="5">
        <f>_xlfn.XLOOKUP(A781,bunker_daily_raw!$A$2:$A$3819,bunker_daily_raw!$B$2:$B$3819)</f>
        <v>99.5</v>
      </c>
      <c r="C781" s="6">
        <v>22.29</v>
      </c>
    </row>
    <row r="782" spans="1:3" x14ac:dyDescent="0.25">
      <c r="A782" s="4">
        <v>36889</v>
      </c>
      <c r="B782" s="5">
        <f>_xlfn.XLOOKUP(A782,bunker_daily_raw!$A$2:$A$3819,bunker_daily_raw!$B$2:$B$3819)</f>
        <v>100</v>
      </c>
      <c r="C782" s="6">
        <v>22.58</v>
      </c>
    </row>
    <row r="783" spans="1:3" x14ac:dyDescent="0.25">
      <c r="A783" s="4">
        <v>36892</v>
      </c>
      <c r="B783" s="5" t="e">
        <f>_xlfn.XLOOKUP(A783,bunker_daily_raw!$A$2:$A$3819,bunker_daily_raw!$B$2:$B$3819)</f>
        <v>#N/A</v>
      </c>
      <c r="C783" s="5"/>
    </row>
    <row r="784" spans="1:3" x14ac:dyDescent="0.25">
      <c r="A784" s="4">
        <v>36893</v>
      </c>
      <c r="B784" s="5">
        <f>_xlfn.XLOOKUP(A784,bunker_daily_raw!$A$2:$A$3819,bunker_daily_raw!$B$2:$B$3819)</f>
        <v>102</v>
      </c>
      <c r="C784" s="6">
        <v>23.43</v>
      </c>
    </row>
    <row r="785" spans="1:3" x14ac:dyDescent="0.25">
      <c r="A785" s="4">
        <v>36894</v>
      </c>
      <c r="B785" s="5">
        <f>_xlfn.XLOOKUP(A785,bunker_daily_raw!$A$2:$A$3819,bunker_daily_raw!$B$2:$B$3819)</f>
        <v>96.5</v>
      </c>
      <c r="C785" s="6">
        <v>23.44</v>
      </c>
    </row>
    <row r="786" spans="1:3" x14ac:dyDescent="0.25">
      <c r="A786" s="4">
        <v>36895</v>
      </c>
      <c r="B786" s="5">
        <f>_xlfn.XLOOKUP(A786,bunker_daily_raw!$A$2:$A$3819,bunker_daily_raw!$B$2:$B$3819)</f>
        <v>98</v>
      </c>
      <c r="C786" s="6">
        <v>24.57</v>
      </c>
    </row>
    <row r="787" spans="1:3" x14ac:dyDescent="0.25">
      <c r="A787" s="4">
        <v>36896</v>
      </c>
      <c r="B787" s="5">
        <f>_xlfn.XLOOKUP(A787,bunker_daily_raw!$A$2:$A$3819,bunker_daily_raw!$B$2:$B$3819)</f>
        <v>98</v>
      </c>
      <c r="C787" s="6">
        <v>24.77</v>
      </c>
    </row>
    <row r="788" spans="1:3" x14ac:dyDescent="0.25">
      <c r="A788" s="4">
        <v>36899</v>
      </c>
      <c r="B788" s="5">
        <f>_xlfn.XLOOKUP(A788,bunker_daily_raw!$A$2:$A$3819,bunker_daily_raw!$B$2:$B$3819)</f>
        <v>97</v>
      </c>
      <c r="C788" s="6">
        <v>24.75</v>
      </c>
    </row>
    <row r="789" spans="1:3" x14ac:dyDescent="0.25">
      <c r="A789" s="4">
        <v>36900</v>
      </c>
      <c r="B789" s="5">
        <f>_xlfn.XLOOKUP(A789,bunker_daily_raw!$A$2:$A$3819,bunker_daily_raw!$B$2:$B$3819)</f>
        <v>96</v>
      </c>
      <c r="C789" s="6">
        <v>24.13</v>
      </c>
    </row>
    <row r="790" spans="1:3" x14ac:dyDescent="0.25">
      <c r="A790" s="4">
        <v>36901</v>
      </c>
      <c r="B790" s="5">
        <f>_xlfn.XLOOKUP(A790,bunker_daily_raw!$A$2:$A$3819,bunker_daily_raw!$B$2:$B$3819)</f>
        <v>100</v>
      </c>
      <c r="C790" s="6">
        <v>24.98</v>
      </c>
    </row>
    <row r="791" spans="1:3" x14ac:dyDescent="0.25">
      <c r="A791" s="4">
        <v>36902</v>
      </c>
      <c r="B791" s="5">
        <f>_xlfn.XLOOKUP(A791,bunker_daily_raw!$A$2:$A$3819,bunker_daily_raw!$B$2:$B$3819)</f>
        <v>104.5</v>
      </c>
      <c r="C791" s="6">
        <v>25.6</v>
      </c>
    </row>
    <row r="792" spans="1:3" x14ac:dyDescent="0.25">
      <c r="A792" s="4">
        <v>36903</v>
      </c>
      <c r="B792" s="5">
        <f>_xlfn.XLOOKUP(A792,bunker_daily_raw!$A$2:$A$3819,bunker_daily_raw!$B$2:$B$3819)</f>
        <v>102</v>
      </c>
      <c r="C792" s="6">
        <v>25.63</v>
      </c>
    </row>
    <row r="793" spans="1:3" x14ac:dyDescent="0.25">
      <c r="A793" s="4">
        <v>36906</v>
      </c>
      <c r="B793" s="5">
        <f>_xlfn.XLOOKUP(A793,bunker_daily_raw!$A$2:$A$3819,bunker_daily_raw!$B$2:$B$3819)</f>
        <v>103</v>
      </c>
      <c r="C793" s="6">
        <v>26.03</v>
      </c>
    </row>
    <row r="794" spans="1:3" x14ac:dyDescent="0.25">
      <c r="A794" s="4">
        <v>36907</v>
      </c>
      <c r="B794" s="5">
        <f>_xlfn.XLOOKUP(A794,bunker_daily_raw!$A$2:$A$3819,bunker_daily_raw!$B$2:$B$3819)</f>
        <v>101.5</v>
      </c>
      <c r="C794" s="6">
        <v>25.52</v>
      </c>
    </row>
    <row r="795" spans="1:3" x14ac:dyDescent="0.25">
      <c r="A795" s="4">
        <v>36908</v>
      </c>
      <c r="B795" s="5">
        <f>_xlfn.XLOOKUP(A795,bunker_daily_raw!$A$2:$A$3819,bunker_daily_raw!$B$2:$B$3819)</f>
        <v>103.5</v>
      </c>
      <c r="C795" s="6">
        <v>24.27</v>
      </c>
    </row>
    <row r="796" spans="1:3" x14ac:dyDescent="0.25">
      <c r="A796" s="4">
        <v>36909</v>
      </c>
      <c r="B796" s="5">
        <f>_xlfn.XLOOKUP(A796,bunker_daily_raw!$A$2:$A$3819,bunker_daily_raw!$B$2:$B$3819)</f>
        <v>109</v>
      </c>
      <c r="C796" s="6">
        <v>24.74</v>
      </c>
    </row>
    <row r="797" spans="1:3" x14ac:dyDescent="0.25">
      <c r="A797" s="4">
        <v>36910</v>
      </c>
      <c r="B797" s="5">
        <f>_xlfn.XLOOKUP(A797,bunker_daily_raw!$A$2:$A$3819,bunker_daily_raw!$B$2:$B$3819)</f>
        <v>108.5</v>
      </c>
      <c r="C797" s="6">
        <v>26.29</v>
      </c>
    </row>
    <row r="798" spans="1:3" x14ac:dyDescent="0.25">
      <c r="A798" s="4">
        <v>36913</v>
      </c>
      <c r="B798" s="5">
        <f>_xlfn.XLOOKUP(A798,bunker_daily_raw!$A$2:$A$3819,bunker_daily_raw!$B$2:$B$3819)</f>
        <v>109</v>
      </c>
      <c r="C798" s="6">
        <v>27.69</v>
      </c>
    </row>
    <row r="799" spans="1:3" x14ac:dyDescent="0.25">
      <c r="A799" s="4">
        <v>36914</v>
      </c>
      <c r="B799" s="5">
        <f>_xlfn.XLOOKUP(A799,bunker_daily_raw!$A$2:$A$3819,bunker_daily_raw!$B$2:$B$3819)</f>
        <v>109</v>
      </c>
      <c r="C799" s="6">
        <v>27.02</v>
      </c>
    </row>
    <row r="800" spans="1:3" x14ac:dyDescent="0.25">
      <c r="A800" s="4">
        <v>36915</v>
      </c>
      <c r="B800" s="5" t="e">
        <f>_xlfn.XLOOKUP(A800,bunker_daily_raw!$A$2:$A$3819,bunker_daily_raw!$B$2:$B$3819)</f>
        <v>#N/A</v>
      </c>
      <c r="C800" s="6">
        <v>27.04</v>
      </c>
    </row>
    <row r="801" spans="1:3" x14ac:dyDescent="0.25">
      <c r="A801" s="4">
        <v>36916</v>
      </c>
      <c r="B801" s="5" t="e">
        <f>_xlfn.XLOOKUP(A801,bunker_daily_raw!$A$2:$A$3819,bunker_daily_raw!$B$2:$B$3819)</f>
        <v>#N/A</v>
      </c>
      <c r="C801" s="6">
        <v>26.94</v>
      </c>
    </row>
    <row r="802" spans="1:3" x14ac:dyDescent="0.25">
      <c r="A802" s="4">
        <v>36917</v>
      </c>
      <c r="B802" s="5">
        <f>_xlfn.XLOOKUP(A802,bunker_daily_raw!$A$2:$A$3819,bunker_daily_raw!$B$2:$B$3819)</f>
        <v>112</v>
      </c>
      <c r="C802" s="6">
        <v>27.04</v>
      </c>
    </row>
    <row r="803" spans="1:3" x14ac:dyDescent="0.25">
      <c r="A803" s="4">
        <v>36920</v>
      </c>
      <c r="B803" s="5">
        <f>_xlfn.XLOOKUP(A803,bunker_daily_raw!$A$2:$A$3819,bunker_daily_raw!$B$2:$B$3819)</f>
        <v>123</v>
      </c>
      <c r="C803" s="6">
        <v>26.95</v>
      </c>
    </row>
    <row r="804" spans="1:3" x14ac:dyDescent="0.25">
      <c r="A804" s="4">
        <v>36921</v>
      </c>
      <c r="B804" s="5">
        <f>_xlfn.XLOOKUP(A804,bunker_daily_raw!$A$2:$A$3819,bunker_daily_raw!$B$2:$B$3819)</f>
        <v>121.5</v>
      </c>
      <c r="C804" s="6">
        <v>26.32</v>
      </c>
    </row>
    <row r="805" spans="1:3" x14ac:dyDescent="0.25">
      <c r="A805" s="4">
        <v>36922</v>
      </c>
      <c r="B805" s="5">
        <f>_xlfn.XLOOKUP(A805,bunker_daily_raw!$A$2:$A$3819,bunker_daily_raw!$B$2:$B$3819)</f>
        <v>121.25</v>
      </c>
      <c r="C805" s="6">
        <v>26.59</v>
      </c>
    </row>
    <row r="806" spans="1:3" x14ac:dyDescent="0.25">
      <c r="A806" s="4">
        <v>36923</v>
      </c>
      <c r="B806" s="5">
        <f>_xlfn.XLOOKUP(A806,bunker_daily_raw!$A$2:$A$3819,bunker_daily_raw!$B$2:$B$3819)</f>
        <v>122</v>
      </c>
      <c r="C806" s="6">
        <v>27.17</v>
      </c>
    </row>
    <row r="807" spans="1:3" x14ac:dyDescent="0.25">
      <c r="A807" s="4">
        <v>36924</v>
      </c>
      <c r="B807" s="5">
        <f>_xlfn.XLOOKUP(A807,bunker_daily_raw!$A$2:$A$3819,bunker_daily_raw!$B$2:$B$3819)</f>
        <v>122</v>
      </c>
      <c r="C807" s="6">
        <v>28.9</v>
      </c>
    </row>
    <row r="808" spans="1:3" x14ac:dyDescent="0.25">
      <c r="A808" s="4">
        <v>36927</v>
      </c>
      <c r="B808" s="5">
        <f>_xlfn.XLOOKUP(A808,bunker_daily_raw!$A$2:$A$3819,bunker_daily_raw!$B$2:$B$3819)</f>
        <v>113.5</v>
      </c>
      <c r="C808" s="6">
        <v>29.25</v>
      </c>
    </row>
    <row r="809" spans="1:3" x14ac:dyDescent="0.25">
      <c r="A809" s="4">
        <v>36928</v>
      </c>
      <c r="B809" s="5">
        <f>_xlfn.XLOOKUP(A809,bunker_daily_raw!$A$2:$A$3819,bunker_daily_raw!$B$2:$B$3819)</f>
        <v>106.5</v>
      </c>
      <c r="C809" s="6">
        <v>29.1</v>
      </c>
    </row>
    <row r="810" spans="1:3" x14ac:dyDescent="0.25">
      <c r="A810" s="4">
        <v>36929</v>
      </c>
      <c r="B810" s="5">
        <f>_xlfn.XLOOKUP(A810,bunker_daily_raw!$A$2:$A$3819,bunker_daily_raw!$B$2:$B$3819)</f>
        <v>105.5</v>
      </c>
      <c r="C810" s="6">
        <v>29.54</v>
      </c>
    </row>
    <row r="811" spans="1:3" x14ac:dyDescent="0.25">
      <c r="A811" s="4">
        <v>36930</v>
      </c>
      <c r="B811" s="5">
        <f>_xlfn.XLOOKUP(A811,bunker_daily_raw!$A$2:$A$3819,bunker_daily_raw!$B$2:$B$3819)</f>
        <v>112.5</v>
      </c>
      <c r="C811" s="6">
        <v>30.68</v>
      </c>
    </row>
    <row r="812" spans="1:3" x14ac:dyDescent="0.25">
      <c r="A812" s="4">
        <v>36931</v>
      </c>
      <c r="B812" s="5">
        <f>_xlfn.XLOOKUP(A812,bunker_daily_raw!$A$2:$A$3819,bunker_daily_raw!$B$2:$B$3819)</f>
        <v>120</v>
      </c>
      <c r="C812" s="6">
        <v>29.53</v>
      </c>
    </row>
    <row r="813" spans="1:3" x14ac:dyDescent="0.25">
      <c r="A813" s="4">
        <v>36934</v>
      </c>
      <c r="B813" s="5">
        <f>_xlfn.XLOOKUP(A813,bunker_daily_raw!$A$2:$A$3819,bunker_daily_raw!$B$2:$B$3819)</f>
        <v>123</v>
      </c>
      <c r="C813" s="6">
        <v>29.32</v>
      </c>
    </row>
    <row r="814" spans="1:3" x14ac:dyDescent="0.25">
      <c r="A814" s="4">
        <v>36935</v>
      </c>
      <c r="B814" s="5">
        <f>_xlfn.XLOOKUP(A814,bunker_daily_raw!$A$2:$A$3819,bunker_daily_raw!$B$2:$B$3819)</f>
        <v>126</v>
      </c>
      <c r="C814" s="6">
        <v>28</v>
      </c>
    </row>
    <row r="815" spans="1:3" x14ac:dyDescent="0.25">
      <c r="A815" s="4">
        <v>36936</v>
      </c>
      <c r="B815" s="5">
        <f>_xlfn.XLOOKUP(A815,bunker_daily_raw!$A$2:$A$3819,bunker_daily_raw!$B$2:$B$3819)</f>
        <v>121.5</v>
      </c>
      <c r="C815" s="6">
        <v>27.89</v>
      </c>
    </row>
    <row r="816" spans="1:3" x14ac:dyDescent="0.25">
      <c r="A816" s="4">
        <v>36937</v>
      </c>
      <c r="B816" s="5">
        <f>_xlfn.XLOOKUP(A816,bunker_daily_raw!$A$2:$A$3819,bunker_daily_raw!$B$2:$B$3819)</f>
        <v>122.5</v>
      </c>
      <c r="C816" s="6">
        <v>26.33</v>
      </c>
    </row>
    <row r="817" spans="1:3" x14ac:dyDescent="0.25">
      <c r="A817" s="4">
        <v>36938</v>
      </c>
      <c r="B817" s="5">
        <f>_xlfn.XLOOKUP(A817,bunker_daily_raw!$A$2:$A$3819,bunker_daily_raw!$B$2:$B$3819)</f>
        <v>125</v>
      </c>
      <c r="C817" s="6">
        <v>26.61</v>
      </c>
    </row>
    <row r="818" spans="1:3" x14ac:dyDescent="0.25">
      <c r="A818" s="4">
        <v>36941</v>
      </c>
      <c r="B818" s="5">
        <f>_xlfn.XLOOKUP(A818,bunker_daily_raw!$A$2:$A$3819,bunker_daily_raw!$B$2:$B$3819)</f>
        <v>125.5</v>
      </c>
      <c r="C818" s="6">
        <v>27.05</v>
      </c>
    </row>
    <row r="819" spans="1:3" x14ac:dyDescent="0.25">
      <c r="A819" s="4">
        <v>36942</v>
      </c>
      <c r="B819" s="5">
        <f>_xlfn.XLOOKUP(A819,bunker_daily_raw!$A$2:$A$3819,bunker_daily_raw!$B$2:$B$3819)</f>
        <v>126.5</v>
      </c>
      <c r="C819" s="6">
        <v>26.45</v>
      </c>
    </row>
    <row r="820" spans="1:3" x14ac:dyDescent="0.25">
      <c r="A820" s="4">
        <v>36943</v>
      </c>
      <c r="B820" s="5">
        <f>_xlfn.XLOOKUP(A820,bunker_daily_raw!$A$2:$A$3819,bunker_daily_raw!$B$2:$B$3819)</f>
        <v>126.5</v>
      </c>
      <c r="C820" s="6">
        <v>26.1</v>
      </c>
    </row>
    <row r="821" spans="1:3" x14ac:dyDescent="0.25">
      <c r="A821" s="4">
        <v>36944</v>
      </c>
      <c r="B821" s="5">
        <f>_xlfn.XLOOKUP(A821,bunker_daily_raw!$A$2:$A$3819,bunker_daily_raw!$B$2:$B$3819)</f>
        <v>131.5</v>
      </c>
      <c r="C821" s="6">
        <v>25.75</v>
      </c>
    </row>
    <row r="822" spans="1:3" x14ac:dyDescent="0.25">
      <c r="A822" s="4">
        <v>36945</v>
      </c>
      <c r="B822" s="5">
        <f>_xlfn.XLOOKUP(A822,bunker_daily_raw!$A$2:$A$3819,bunker_daily_raw!$B$2:$B$3819)</f>
        <v>128.5</v>
      </c>
      <c r="C822" s="6">
        <v>26.12</v>
      </c>
    </row>
    <row r="823" spans="1:3" x14ac:dyDescent="0.25">
      <c r="A823" s="4">
        <v>36948</v>
      </c>
      <c r="B823" s="5">
        <f>_xlfn.XLOOKUP(A823,bunker_daily_raw!$A$2:$A$3819,bunker_daily_raw!$B$2:$B$3819)</f>
        <v>133.5</v>
      </c>
      <c r="C823" s="6">
        <v>25.84</v>
      </c>
    </row>
    <row r="824" spans="1:3" x14ac:dyDescent="0.25">
      <c r="A824" s="4">
        <v>36949</v>
      </c>
      <c r="B824" s="5">
        <f>_xlfn.XLOOKUP(A824,bunker_daily_raw!$A$2:$A$3819,bunker_daily_raw!$B$2:$B$3819)</f>
        <v>134</v>
      </c>
      <c r="C824" s="6">
        <v>25.28</v>
      </c>
    </row>
    <row r="825" spans="1:3" x14ac:dyDescent="0.25">
      <c r="A825" s="4">
        <v>36950</v>
      </c>
      <c r="B825" s="5">
        <f>_xlfn.XLOOKUP(A825,bunker_daily_raw!$A$2:$A$3819,bunker_daily_raw!$B$2:$B$3819)</f>
        <v>131</v>
      </c>
      <c r="C825" s="6">
        <v>25.16</v>
      </c>
    </row>
    <row r="826" spans="1:3" x14ac:dyDescent="0.25">
      <c r="A826" s="4">
        <v>36951</v>
      </c>
      <c r="B826" s="5">
        <f>_xlfn.XLOOKUP(A826,bunker_daily_raw!$A$2:$A$3819,bunker_daily_raw!$B$2:$B$3819)</f>
        <v>127</v>
      </c>
      <c r="C826" s="6">
        <v>24.76</v>
      </c>
    </row>
    <row r="827" spans="1:3" x14ac:dyDescent="0.25">
      <c r="A827" s="4">
        <v>36952</v>
      </c>
      <c r="B827" s="5">
        <f>_xlfn.XLOOKUP(A827,bunker_daily_raw!$A$2:$A$3819,bunker_daily_raw!$B$2:$B$3819)</f>
        <v>123.5</v>
      </c>
      <c r="C827" s="6">
        <v>25.28</v>
      </c>
    </row>
    <row r="828" spans="1:3" x14ac:dyDescent="0.25">
      <c r="A828" s="4">
        <v>36955</v>
      </c>
      <c r="B828" s="5">
        <f>_xlfn.XLOOKUP(A828,bunker_daily_raw!$A$2:$A$3819,bunker_daily_raw!$B$2:$B$3819)</f>
        <v>122</v>
      </c>
      <c r="C828" s="6">
        <v>25.98</v>
      </c>
    </row>
    <row r="829" spans="1:3" x14ac:dyDescent="0.25">
      <c r="A829" s="4">
        <v>36956</v>
      </c>
      <c r="B829" s="5" t="e">
        <f>_xlfn.XLOOKUP(A829,bunker_daily_raw!$A$2:$A$3819,bunker_daily_raw!$B$2:$B$3819)</f>
        <v>#N/A</v>
      </c>
      <c r="C829" s="6">
        <v>25.59</v>
      </c>
    </row>
    <row r="830" spans="1:3" x14ac:dyDescent="0.25">
      <c r="A830" s="4">
        <v>36957</v>
      </c>
      <c r="B830" s="5">
        <f>_xlfn.XLOOKUP(A830,bunker_daily_raw!$A$2:$A$3819,bunker_daily_raw!$B$2:$B$3819)</f>
        <v>120</v>
      </c>
      <c r="C830" s="6">
        <v>25.91</v>
      </c>
    </row>
    <row r="831" spans="1:3" x14ac:dyDescent="0.25">
      <c r="A831" s="4">
        <v>36958</v>
      </c>
      <c r="B831" s="5">
        <f>_xlfn.XLOOKUP(A831,bunker_daily_raw!$A$2:$A$3819,bunker_daily_raw!$B$2:$B$3819)</f>
        <v>119.5</v>
      </c>
      <c r="C831" s="6">
        <v>26.37</v>
      </c>
    </row>
    <row r="832" spans="1:3" x14ac:dyDescent="0.25">
      <c r="A832" s="4">
        <v>36959</v>
      </c>
      <c r="B832" s="5">
        <f>_xlfn.XLOOKUP(A832,bunker_daily_raw!$A$2:$A$3819,bunker_daily_raw!$B$2:$B$3819)</f>
        <v>113.5</v>
      </c>
      <c r="C832" s="6">
        <v>25.78</v>
      </c>
    </row>
    <row r="833" spans="1:3" x14ac:dyDescent="0.25">
      <c r="A833" s="4">
        <v>36962</v>
      </c>
      <c r="B833" s="5">
        <f>_xlfn.XLOOKUP(A833,bunker_daily_raw!$A$2:$A$3819,bunker_daily_raw!$B$2:$B$3819)</f>
        <v>114.75</v>
      </c>
      <c r="C833" s="6">
        <v>25.34</v>
      </c>
    </row>
    <row r="834" spans="1:3" x14ac:dyDescent="0.25">
      <c r="A834" s="4">
        <v>36963</v>
      </c>
      <c r="B834" s="5">
        <f>_xlfn.XLOOKUP(A834,bunker_daily_raw!$A$2:$A$3819,bunker_daily_raw!$B$2:$B$3819)</f>
        <v>111.5</v>
      </c>
      <c r="C834" s="6">
        <v>24.8</v>
      </c>
    </row>
    <row r="835" spans="1:3" x14ac:dyDescent="0.25">
      <c r="A835" s="4">
        <v>36964</v>
      </c>
      <c r="B835" s="5">
        <f>_xlfn.XLOOKUP(A835,bunker_daily_raw!$A$2:$A$3819,bunker_daily_raw!$B$2:$B$3819)</f>
        <v>108</v>
      </c>
      <c r="C835" s="6">
        <v>24.31</v>
      </c>
    </row>
    <row r="836" spans="1:3" x14ac:dyDescent="0.25">
      <c r="A836" s="4">
        <v>36965</v>
      </c>
      <c r="B836" s="5">
        <f>_xlfn.XLOOKUP(A836,bunker_daily_raw!$A$2:$A$3819,bunker_daily_raw!$B$2:$B$3819)</f>
        <v>104</v>
      </c>
      <c r="C836" s="6">
        <v>23.37</v>
      </c>
    </row>
    <row r="837" spans="1:3" x14ac:dyDescent="0.25">
      <c r="A837" s="4">
        <v>36966</v>
      </c>
      <c r="B837" s="5">
        <f>_xlfn.XLOOKUP(A837,bunker_daily_raw!$A$2:$A$3819,bunker_daily_raw!$B$2:$B$3819)</f>
        <v>109</v>
      </c>
      <c r="C837" s="6">
        <v>23.84</v>
      </c>
    </row>
    <row r="838" spans="1:3" x14ac:dyDescent="0.25">
      <c r="A838" s="4">
        <v>36969</v>
      </c>
      <c r="B838" s="5">
        <f>_xlfn.XLOOKUP(A838,bunker_daily_raw!$A$2:$A$3819,bunker_daily_raw!$B$2:$B$3819)</f>
        <v>109.5</v>
      </c>
      <c r="C838" s="6">
        <v>23.19</v>
      </c>
    </row>
    <row r="839" spans="1:3" x14ac:dyDescent="0.25">
      <c r="A839" s="4">
        <v>36970</v>
      </c>
      <c r="B839" s="5">
        <f>_xlfn.XLOOKUP(A839,bunker_daily_raw!$A$2:$A$3819,bunker_daily_raw!$B$2:$B$3819)</f>
        <v>112.5</v>
      </c>
      <c r="C839" s="6">
        <v>23.63</v>
      </c>
    </row>
    <row r="840" spans="1:3" x14ac:dyDescent="0.25">
      <c r="A840" s="4">
        <v>36971</v>
      </c>
      <c r="B840" s="5">
        <f>_xlfn.XLOOKUP(A840,bunker_daily_raw!$A$2:$A$3819,bunker_daily_raw!$B$2:$B$3819)</f>
        <v>110.5</v>
      </c>
      <c r="C840" s="6">
        <v>23.21</v>
      </c>
    </row>
    <row r="841" spans="1:3" x14ac:dyDescent="0.25">
      <c r="A841" s="4">
        <v>36972</v>
      </c>
      <c r="B841" s="5">
        <f>_xlfn.XLOOKUP(A841,bunker_daily_raw!$A$2:$A$3819,bunker_daily_raw!$B$2:$B$3819)</f>
        <v>106</v>
      </c>
      <c r="C841" s="6">
        <v>23.45</v>
      </c>
    </row>
    <row r="842" spans="1:3" x14ac:dyDescent="0.25">
      <c r="A842" s="4">
        <v>36973</v>
      </c>
      <c r="B842" s="5">
        <f>_xlfn.XLOOKUP(A842,bunker_daily_raw!$A$2:$A$3819,bunker_daily_raw!$B$2:$B$3819)</f>
        <v>105</v>
      </c>
      <c r="C842" s="6">
        <v>23.94</v>
      </c>
    </row>
    <row r="843" spans="1:3" x14ac:dyDescent="0.25">
      <c r="A843" s="4">
        <v>36976</v>
      </c>
      <c r="B843" s="5">
        <f>_xlfn.XLOOKUP(A843,bunker_daily_raw!$A$2:$A$3819,bunker_daily_raw!$B$2:$B$3819)</f>
        <v>101.75</v>
      </c>
      <c r="C843" s="6">
        <v>24.01</v>
      </c>
    </row>
    <row r="844" spans="1:3" x14ac:dyDescent="0.25">
      <c r="A844" s="4">
        <v>36977</v>
      </c>
      <c r="B844" s="5">
        <f>_xlfn.XLOOKUP(A844,bunker_daily_raw!$A$2:$A$3819,bunker_daily_raw!$B$2:$B$3819)</f>
        <v>106</v>
      </c>
      <c r="C844" s="6">
        <v>24.41</v>
      </c>
    </row>
    <row r="845" spans="1:3" x14ac:dyDescent="0.25">
      <c r="A845" s="4">
        <v>36978</v>
      </c>
      <c r="B845" s="5">
        <f>_xlfn.XLOOKUP(A845,bunker_daily_raw!$A$2:$A$3819,bunker_daily_raw!$B$2:$B$3819)</f>
        <v>103.5</v>
      </c>
      <c r="C845" s="6">
        <v>24.5</v>
      </c>
    </row>
    <row r="846" spans="1:3" x14ac:dyDescent="0.25">
      <c r="A846" s="4">
        <v>36979</v>
      </c>
      <c r="B846" s="5">
        <f>_xlfn.XLOOKUP(A846,bunker_daily_raw!$A$2:$A$3819,bunker_daily_raw!$B$2:$B$3819)</f>
        <v>105.5</v>
      </c>
      <c r="C846" s="6">
        <v>23.77</v>
      </c>
    </row>
    <row r="847" spans="1:3" x14ac:dyDescent="0.25">
      <c r="A847" s="4">
        <v>36980</v>
      </c>
      <c r="B847" s="5">
        <f>_xlfn.XLOOKUP(A847,bunker_daily_raw!$A$2:$A$3819,bunker_daily_raw!$B$2:$B$3819)</f>
        <v>108.25</v>
      </c>
      <c r="C847" s="6">
        <v>23.5</v>
      </c>
    </row>
    <row r="848" spans="1:3" x14ac:dyDescent="0.25">
      <c r="A848" s="4">
        <v>36983</v>
      </c>
      <c r="B848" s="5">
        <f>_xlfn.XLOOKUP(A848,bunker_daily_raw!$A$2:$A$3819,bunker_daily_raw!$B$2:$B$3819)</f>
        <v>106.25</v>
      </c>
      <c r="C848" s="6">
        <v>23.31</v>
      </c>
    </row>
    <row r="849" spans="1:3" x14ac:dyDescent="0.25">
      <c r="A849" s="4">
        <v>36984</v>
      </c>
      <c r="B849" s="5">
        <f>_xlfn.XLOOKUP(A849,bunker_daily_raw!$A$2:$A$3819,bunker_daily_raw!$B$2:$B$3819)</f>
        <v>107.5</v>
      </c>
      <c r="C849" s="6">
        <v>23.47</v>
      </c>
    </row>
    <row r="850" spans="1:3" x14ac:dyDescent="0.25">
      <c r="A850" s="4">
        <v>36985</v>
      </c>
      <c r="B850" s="5">
        <f>_xlfn.XLOOKUP(A850,bunker_daily_raw!$A$2:$A$3819,bunker_daily_raw!$B$2:$B$3819)</f>
        <v>108.5</v>
      </c>
      <c r="C850" s="6">
        <v>24.35</v>
      </c>
    </row>
    <row r="851" spans="1:3" x14ac:dyDescent="0.25">
      <c r="A851" s="4">
        <v>36986</v>
      </c>
      <c r="B851" s="5">
        <f>_xlfn.XLOOKUP(A851,bunker_daily_raw!$A$2:$A$3819,bunker_daily_raw!$B$2:$B$3819)</f>
        <v>111.5</v>
      </c>
      <c r="C851" s="6">
        <v>24.87</v>
      </c>
    </row>
    <row r="852" spans="1:3" x14ac:dyDescent="0.25">
      <c r="A852" s="4">
        <v>36987</v>
      </c>
      <c r="B852" s="5">
        <f>_xlfn.XLOOKUP(A852,bunker_daily_raw!$A$2:$A$3819,bunker_daily_raw!$B$2:$B$3819)</f>
        <v>110.5</v>
      </c>
      <c r="C852" s="6">
        <v>24.02</v>
      </c>
    </row>
    <row r="853" spans="1:3" x14ac:dyDescent="0.25">
      <c r="A853" s="4">
        <v>36990</v>
      </c>
      <c r="B853" s="5">
        <f>_xlfn.XLOOKUP(A853,bunker_daily_raw!$A$2:$A$3819,bunker_daily_raw!$B$2:$B$3819)</f>
        <v>114</v>
      </c>
      <c r="C853" s="6">
        <v>24.37</v>
      </c>
    </row>
    <row r="854" spans="1:3" x14ac:dyDescent="0.25">
      <c r="A854" s="4">
        <v>36991</v>
      </c>
      <c r="B854" s="5">
        <f>_xlfn.XLOOKUP(A854,bunker_daily_raw!$A$2:$A$3819,bunker_daily_raw!$B$2:$B$3819)</f>
        <v>111</v>
      </c>
      <c r="C854" s="6">
        <v>25.64</v>
      </c>
    </row>
    <row r="855" spans="1:3" x14ac:dyDescent="0.25">
      <c r="A855" s="4">
        <v>36992</v>
      </c>
      <c r="B855" s="5">
        <f>_xlfn.XLOOKUP(A855,bunker_daily_raw!$A$2:$A$3819,bunker_daily_raw!$B$2:$B$3819)</f>
        <v>114.25</v>
      </c>
      <c r="C855" s="6">
        <v>26.08</v>
      </c>
    </row>
    <row r="856" spans="1:3" x14ac:dyDescent="0.25">
      <c r="A856" s="4">
        <v>36993</v>
      </c>
      <c r="B856" s="5">
        <f>_xlfn.XLOOKUP(A856,bunker_daily_raw!$A$2:$A$3819,bunker_daily_raw!$B$2:$B$3819)</f>
        <v>113.5</v>
      </c>
      <c r="C856" s="6">
        <v>27.12</v>
      </c>
    </row>
    <row r="857" spans="1:3" x14ac:dyDescent="0.25">
      <c r="A857" s="4">
        <v>36994</v>
      </c>
      <c r="B857" s="5" t="e">
        <f>_xlfn.XLOOKUP(A857,bunker_daily_raw!$A$2:$A$3819,bunker_daily_raw!$B$2:$B$3819)</f>
        <v>#N/A</v>
      </c>
      <c r="C857" s="6">
        <v>26.8</v>
      </c>
    </row>
    <row r="858" spans="1:3" x14ac:dyDescent="0.25">
      <c r="A858" s="4">
        <v>36997</v>
      </c>
      <c r="B858" s="5">
        <f>_xlfn.XLOOKUP(A858,bunker_daily_raw!$A$2:$A$3819,bunker_daily_raw!$B$2:$B$3819)</f>
        <v>116.5</v>
      </c>
      <c r="C858" s="6">
        <v>26.8</v>
      </c>
    </row>
    <row r="859" spans="1:3" x14ac:dyDescent="0.25">
      <c r="A859" s="4">
        <v>36998</v>
      </c>
      <c r="B859" s="5">
        <f>_xlfn.XLOOKUP(A859,bunker_daily_raw!$A$2:$A$3819,bunker_daily_raw!$B$2:$B$3819)</f>
        <v>117</v>
      </c>
      <c r="C859" s="6">
        <v>26.99</v>
      </c>
    </row>
    <row r="860" spans="1:3" x14ac:dyDescent="0.25">
      <c r="A860" s="4">
        <v>36999</v>
      </c>
      <c r="B860" s="5">
        <f>_xlfn.XLOOKUP(A860,bunker_daily_raw!$A$2:$A$3819,bunker_daily_raw!$B$2:$B$3819)</f>
        <v>114.5</v>
      </c>
      <c r="C860" s="6">
        <v>26.11</v>
      </c>
    </row>
    <row r="861" spans="1:3" x14ac:dyDescent="0.25">
      <c r="A861" s="4">
        <v>37000</v>
      </c>
      <c r="B861" s="5">
        <f>_xlfn.XLOOKUP(A861,bunker_daily_raw!$A$2:$A$3819,bunker_daily_raw!$B$2:$B$3819)</f>
        <v>119</v>
      </c>
      <c r="C861" s="6">
        <v>25.86</v>
      </c>
    </row>
    <row r="862" spans="1:3" x14ac:dyDescent="0.25">
      <c r="A862" s="4">
        <v>37001</v>
      </c>
      <c r="B862" s="5">
        <f>_xlfn.XLOOKUP(A862,bunker_daily_raw!$A$2:$A$3819,bunker_daily_raw!$B$2:$B$3819)</f>
        <v>122.5</v>
      </c>
      <c r="C862" s="6">
        <v>25.57</v>
      </c>
    </row>
    <row r="863" spans="1:3" x14ac:dyDescent="0.25">
      <c r="A863" s="4">
        <v>37004</v>
      </c>
      <c r="B863" s="5">
        <f>_xlfn.XLOOKUP(A863,bunker_daily_raw!$A$2:$A$3819,bunker_daily_raw!$B$2:$B$3819)</f>
        <v>120.75</v>
      </c>
      <c r="C863" s="6">
        <v>25.42</v>
      </c>
    </row>
    <row r="864" spans="1:3" x14ac:dyDescent="0.25">
      <c r="A864" s="4">
        <v>37005</v>
      </c>
      <c r="B864" s="5">
        <f>_xlfn.XLOOKUP(A864,bunker_daily_raw!$A$2:$A$3819,bunker_daily_raw!$B$2:$B$3819)</f>
        <v>120</v>
      </c>
      <c r="C864" s="6">
        <v>25.76</v>
      </c>
    </row>
    <row r="865" spans="1:3" x14ac:dyDescent="0.25">
      <c r="A865" s="4">
        <v>37006</v>
      </c>
      <c r="B865" s="5">
        <f>_xlfn.XLOOKUP(A865,bunker_daily_raw!$A$2:$A$3819,bunker_daily_raw!$B$2:$B$3819)</f>
        <v>120.5</v>
      </c>
      <c r="C865" s="6">
        <v>25.49</v>
      </c>
    </row>
    <row r="866" spans="1:3" x14ac:dyDescent="0.25">
      <c r="A866" s="4">
        <v>37007</v>
      </c>
      <c r="B866" s="5">
        <f>_xlfn.XLOOKUP(A866,bunker_daily_raw!$A$2:$A$3819,bunker_daily_raw!$B$2:$B$3819)</f>
        <v>122</v>
      </c>
      <c r="C866" s="6">
        <v>26.71</v>
      </c>
    </row>
    <row r="867" spans="1:3" x14ac:dyDescent="0.25">
      <c r="A867" s="4">
        <v>37008</v>
      </c>
      <c r="B867" s="5">
        <f>_xlfn.XLOOKUP(A867,bunker_daily_raw!$A$2:$A$3819,bunker_daily_raw!$B$2:$B$3819)</f>
        <v>127</v>
      </c>
      <c r="C867" s="6">
        <v>26.85</v>
      </c>
    </row>
    <row r="868" spans="1:3" x14ac:dyDescent="0.25">
      <c r="A868" s="4">
        <v>37011</v>
      </c>
      <c r="B868" s="5">
        <f>_xlfn.XLOOKUP(A868,bunker_daily_raw!$A$2:$A$3819,bunker_daily_raw!$B$2:$B$3819)</f>
        <v>125.5</v>
      </c>
      <c r="C868" s="6">
        <v>27.21</v>
      </c>
    </row>
    <row r="869" spans="1:3" x14ac:dyDescent="0.25">
      <c r="A869" s="4">
        <v>37012</v>
      </c>
      <c r="B869" s="5" t="e">
        <f>_xlfn.XLOOKUP(A869,bunker_daily_raw!$A$2:$A$3819,bunker_daily_raw!$B$2:$B$3819)</f>
        <v>#N/A</v>
      </c>
      <c r="C869" s="6">
        <v>27.31</v>
      </c>
    </row>
    <row r="870" spans="1:3" x14ac:dyDescent="0.25">
      <c r="A870" s="4">
        <v>37013</v>
      </c>
      <c r="B870" s="5">
        <f>_xlfn.XLOOKUP(A870,bunker_daily_raw!$A$2:$A$3819,bunker_daily_raw!$B$2:$B$3819)</f>
        <v>122.5</v>
      </c>
      <c r="C870" s="6">
        <v>26.82</v>
      </c>
    </row>
    <row r="871" spans="1:3" x14ac:dyDescent="0.25">
      <c r="A871" s="4">
        <v>37014</v>
      </c>
      <c r="B871" s="5">
        <f>_xlfn.XLOOKUP(A871,bunker_daily_raw!$A$2:$A$3819,bunker_daily_raw!$B$2:$B$3819)</f>
        <v>120</v>
      </c>
      <c r="C871" s="6">
        <v>27.46</v>
      </c>
    </row>
    <row r="872" spans="1:3" x14ac:dyDescent="0.25">
      <c r="A872" s="4">
        <v>37015</v>
      </c>
      <c r="B872" s="5">
        <f>_xlfn.XLOOKUP(A872,bunker_daily_raw!$A$2:$A$3819,bunker_daily_raw!$B$2:$B$3819)</f>
        <v>119</v>
      </c>
      <c r="C872" s="6">
        <v>27.59</v>
      </c>
    </row>
    <row r="873" spans="1:3" x14ac:dyDescent="0.25">
      <c r="A873" s="4">
        <v>37018</v>
      </c>
      <c r="B873" s="5" t="e">
        <f>_xlfn.XLOOKUP(A873,bunker_daily_raw!$A$2:$A$3819,bunker_daily_raw!$B$2:$B$3819)</f>
        <v>#N/A</v>
      </c>
      <c r="C873" s="6">
        <v>27.71</v>
      </c>
    </row>
    <row r="874" spans="1:3" x14ac:dyDescent="0.25">
      <c r="A874" s="4">
        <v>37019</v>
      </c>
      <c r="B874" s="5">
        <f>_xlfn.XLOOKUP(A874,bunker_daily_raw!$A$2:$A$3819,bunker_daily_raw!$B$2:$B$3819)</f>
        <v>118</v>
      </c>
      <c r="C874" s="6">
        <v>27.45</v>
      </c>
    </row>
    <row r="875" spans="1:3" x14ac:dyDescent="0.25">
      <c r="A875" s="4">
        <v>37020</v>
      </c>
      <c r="B875" s="5">
        <f>_xlfn.XLOOKUP(A875,bunker_daily_raw!$A$2:$A$3819,bunker_daily_raw!$B$2:$B$3819)</f>
        <v>116</v>
      </c>
      <c r="C875" s="6">
        <v>27.46</v>
      </c>
    </row>
    <row r="876" spans="1:3" x14ac:dyDescent="0.25">
      <c r="A876" s="4">
        <v>37021</v>
      </c>
      <c r="B876" s="5">
        <f>_xlfn.XLOOKUP(A876,bunker_daily_raw!$A$2:$A$3819,bunker_daily_raw!$B$2:$B$3819)</f>
        <v>113.25</v>
      </c>
      <c r="C876" s="6">
        <v>28.27</v>
      </c>
    </row>
    <row r="877" spans="1:3" x14ac:dyDescent="0.25">
      <c r="A877" s="4">
        <v>37022</v>
      </c>
      <c r="B877" s="5">
        <f>_xlfn.XLOOKUP(A877,bunker_daily_raw!$A$2:$A$3819,bunker_daily_raw!$B$2:$B$3819)</f>
        <v>114</v>
      </c>
      <c r="C877" s="6">
        <v>27.97</v>
      </c>
    </row>
    <row r="878" spans="1:3" x14ac:dyDescent="0.25">
      <c r="A878" s="4">
        <v>37025</v>
      </c>
      <c r="B878" s="5">
        <f>_xlfn.XLOOKUP(A878,bunker_daily_raw!$A$2:$A$3819,bunker_daily_raw!$B$2:$B$3819)</f>
        <v>116.5</v>
      </c>
      <c r="C878" s="6">
        <v>27.77</v>
      </c>
    </row>
    <row r="879" spans="1:3" x14ac:dyDescent="0.25">
      <c r="A879" s="4">
        <v>37026</v>
      </c>
      <c r="B879" s="5">
        <f>_xlfn.XLOOKUP(A879,bunker_daily_raw!$A$2:$A$3819,bunker_daily_raw!$B$2:$B$3819)</f>
        <v>122.5</v>
      </c>
      <c r="C879" s="6">
        <v>27.88</v>
      </c>
    </row>
    <row r="880" spans="1:3" x14ac:dyDescent="0.25">
      <c r="A880" s="4">
        <v>37027</v>
      </c>
      <c r="B880" s="5">
        <f>_xlfn.XLOOKUP(A880,bunker_daily_raw!$A$2:$A$3819,bunker_daily_raw!$B$2:$B$3819)</f>
        <v>123.5</v>
      </c>
      <c r="C880" s="6">
        <v>28.19</v>
      </c>
    </row>
    <row r="881" spans="1:3" x14ac:dyDescent="0.25">
      <c r="A881" s="4">
        <v>37028</v>
      </c>
      <c r="B881" s="5">
        <f>_xlfn.XLOOKUP(A881,bunker_daily_raw!$A$2:$A$3819,bunker_daily_raw!$B$2:$B$3819)</f>
        <v>121.75</v>
      </c>
      <c r="C881" s="6">
        <v>28.57</v>
      </c>
    </row>
    <row r="882" spans="1:3" x14ac:dyDescent="0.25">
      <c r="A882" s="4">
        <v>37029</v>
      </c>
      <c r="B882" s="5">
        <f>_xlfn.XLOOKUP(A882,bunker_daily_raw!$A$2:$A$3819,bunker_daily_raw!$B$2:$B$3819)</f>
        <v>119.5</v>
      </c>
      <c r="C882" s="6">
        <v>29.3</v>
      </c>
    </row>
    <row r="883" spans="1:3" x14ac:dyDescent="0.25">
      <c r="A883" s="4">
        <v>37032</v>
      </c>
      <c r="B883" s="5">
        <f>_xlfn.XLOOKUP(A883,bunker_daily_raw!$A$2:$A$3819,bunker_daily_raw!$B$2:$B$3819)</f>
        <v>113.5</v>
      </c>
      <c r="C883" s="6">
        <v>29.8</v>
      </c>
    </row>
    <row r="884" spans="1:3" x14ac:dyDescent="0.25">
      <c r="A884" s="4">
        <v>37033</v>
      </c>
      <c r="B884" s="5">
        <f>_xlfn.XLOOKUP(A884,bunker_daily_raw!$A$2:$A$3819,bunker_daily_raw!$B$2:$B$3819)</f>
        <v>121</v>
      </c>
      <c r="C884" s="6">
        <v>29.72</v>
      </c>
    </row>
    <row r="885" spans="1:3" x14ac:dyDescent="0.25">
      <c r="A885" s="4">
        <v>37034</v>
      </c>
      <c r="B885" s="5">
        <f>_xlfn.XLOOKUP(A885,bunker_daily_raw!$A$2:$A$3819,bunker_daily_raw!$B$2:$B$3819)</f>
        <v>122.5</v>
      </c>
      <c r="C885" s="6">
        <v>29.51</v>
      </c>
    </row>
    <row r="886" spans="1:3" x14ac:dyDescent="0.25">
      <c r="A886" s="4">
        <v>37035</v>
      </c>
      <c r="B886" s="5">
        <f>_xlfn.XLOOKUP(A886,bunker_daily_raw!$A$2:$A$3819,bunker_daily_raw!$B$2:$B$3819)</f>
        <v>119.25</v>
      </c>
      <c r="C886" s="6">
        <v>28.85</v>
      </c>
    </row>
    <row r="887" spans="1:3" x14ac:dyDescent="0.25">
      <c r="A887" s="4">
        <v>37036</v>
      </c>
      <c r="B887" s="5">
        <f>_xlfn.XLOOKUP(A887,bunker_daily_raw!$A$2:$A$3819,bunker_daily_raw!$B$2:$B$3819)</f>
        <v>117</v>
      </c>
      <c r="C887" s="6">
        <v>28.69</v>
      </c>
    </row>
    <row r="888" spans="1:3" x14ac:dyDescent="0.25">
      <c r="A888" s="4">
        <v>37039</v>
      </c>
      <c r="B888" s="5">
        <f>_xlfn.XLOOKUP(A888,bunker_daily_raw!$A$2:$A$3819,bunker_daily_raw!$B$2:$B$3819)</f>
        <v>116.5</v>
      </c>
      <c r="C888" s="5"/>
    </row>
    <row r="889" spans="1:3" x14ac:dyDescent="0.25">
      <c r="A889" s="4">
        <v>37040</v>
      </c>
      <c r="B889" s="5">
        <f>_xlfn.XLOOKUP(A889,bunker_daily_raw!$A$2:$A$3819,bunker_daily_raw!$B$2:$B$3819)</f>
        <v>119.5</v>
      </c>
      <c r="C889" s="6">
        <v>29.11</v>
      </c>
    </row>
    <row r="890" spans="1:3" x14ac:dyDescent="0.25">
      <c r="A890" s="4">
        <v>37041</v>
      </c>
      <c r="B890" s="5">
        <f>_xlfn.XLOOKUP(A890,bunker_daily_raw!$A$2:$A$3819,bunker_daily_raw!$B$2:$B$3819)</f>
        <v>117</v>
      </c>
      <c r="C890" s="6">
        <v>28.92</v>
      </c>
    </row>
    <row r="891" spans="1:3" x14ac:dyDescent="0.25">
      <c r="A891" s="4">
        <v>37042</v>
      </c>
      <c r="B891" s="5">
        <f>_xlfn.XLOOKUP(A891,bunker_daily_raw!$A$2:$A$3819,bunker_daily_raw!$B$2:$B$3819)</f>
        <v>115.75</v>
      </c>
      <c r="C891" s="6">
        <v>28.55</v>
      </c>
    </row>
    <row r="892" spans="1:3" x14ac:dyDescent="0.25">
      <c r="A892" s="4">
        <v>37043</v>
      </c>
      <c r="B892" s="5">
        <f>_xlfn.XLOOKUP(A892,bunker_daily_raw!$A$2:$A$3819,bunker_daily_raw!$B$2:$B$3819)</f>
        <v>116.75</v>
      </c>
      <c r="C892" s="6">
        <v>28.86</v>
      </c>
    </row>
    <row r="893" spans="1:3" x14ac:dyDescent="0.25">
      <c r="A893" s="4">
        <v>37046</v>
      </c>
      <c r="B893" s="5">
        <f>_xlfn.XLOOKUP(A893,bunker_daily_raw!$A$2:$A$3819,bunker_daily_raw!$B$2:$B$3819)</f>
        <v>120.5</v>
      </c>
      <c r="C893" s="6">
        <v>28.95</v>
      </c>
    </row>
    <row r="894" spans="1:3" x14ac:dyDescent="0.25">
      <c r="A894" s="4">
        <v>37047</v>
      </c>
      <c r="B894" s="5">
        <f>_xlfn.XLOOKUP(A894,bunker_daily_raw!$A$2:$A$3819,bunker_daily_raw!$B$2:$B$3819)</f>
        <v>121</v>
      </c>
      <c r="C894" s="6">
        <v>29.25</v>
      </c>
    </row>
    <row r="895" spans="1:3" x14ac:dyDescent="0.25">
      <c r="A895" s="4">
        <v>37048</v>
      </c>
      <c r="B895" s="5">
        <f>_xlfn.XLOOKUP(A895,bunker_daily_raw!$A$2:$A$3819,bunker_daily_raw!$B$2:$B$3819)</f>
        <v>120.25</v>
      </c>
      <c r="C895" s="6">
        <v>28.73</v>
      </c>
    </row>
    <row r="896" spans="1:3" x14ac:dyDescent="0.25">
      <c r="A896" s="4">
        <v>37049</v>
      </c>
      <c r="B896" s="5">
        <f>_xlfn.XLOOKUP(A896,bunker_daily_raw!$A$2:$A$3819,bunker_daily_raw!$B$2:$B$3819)</f>
        <v>120.25</v>
      </c>
      <c r="C896" s="6">
        <v>28.55</v>
      </c>
    </row>
    <row r="897" spans="1:3" x14ac:dyDescent="0.25">
      <c r="A897" s="4">
        <v>37050</v>
      </c>
      <c r="B897" s="5">
        <f>_xlfn.XLOOKUP(A897,bunker_daily_raw!$A$2:$A$3819,bunker_daily_raw!$B$2:$B$3819)</f>
        <v>120.5</v>
      </c>
      <c r="C897" s="6">
        <v>28.88</v>
      </c>
    </row>
    <row r="898" spans="1:3" x14ac:dyDescent="0.25">
      <c r="A898" s="4">
        <v>37053</v>
      </c>
      <c r="B898" s="5">
        <f>_xlfn.XLOOKUP(A898,bunker_daily_raw!$A$2:$A$3819,bunker_daily_raw!$B$2:$B$3819)</f>
        <v>121</v>
      </c>
      <c r="C898" s="6">
        <v>29.57</v>
      </c>
    </row>
    <row r="899" spans="1:3" x14ac:dyDescent="0.25">
      <c r="A899" s="4">
        <v>37054</v>
      </c>
      <c r="B899" s="5">
        <f>_xlfn.XLOOKUP(A899,bunker_daily_raw!$A$2:$A$3819,bunker_daily_raw!$B$2:$B$3819)</f>
        <v>121</v>
      </c>
      <c r="C899" s="6">
        <v>29.03</v>
      </c>
    </row>
    <row r="900" spans="1:3" x14ac:dyDescent="0.25">
      <c r="A900" s="4">
        <v>37055</v>
      </c>
      <c r="B900" s="5">
        <f>_xlfn.XLOOKUP(A900,bunker_daily_raw!$A$2:$A$3819,bunker_daily_raw!$B$2:$B$3819)</f>
        <v>121</v>
      </c>
      <c r="C900" s="6">
        <v>29.13</v>
      </c>
    </row>
    <row r="901" spans="1:3" x14ac:dyDescent="0.25">
      <c r="A901" s="4">
        <v>37056</v>
      </c>
      <c r="B901" s="5">
        <f>_xlfn.XLOOKUP(A901,bunker_daily_raw!$A$2:$A$3819,bunker_daily_raw!$B$2:$B$3819)</f>
        <v>118.5</v>
      </c>
      <c r="C901" s="6">
        <v>28.5</v>
      </c>
    </row>
    <row r="902" spans="1:3" x14ac:dyDescent="0.25">
      <c r="A902" s="4">
        <v>37057</v>
      </c>
      <c r="B902" s="5">
        <f>_xlfn.XLOOKUP(A902,bunker_daily_raw!$A$2:$A$3819,bunker_daily_raw!$B$2:$B$3819)</f>
        <v>120</v>
      </c>
      <c r="C902" s="6">
        <v>28.13</v>
      </c>
    </row>
    <row r="903" spans="1:3" x14ac:dyDescent="0.25">
      <c r="A903" s="4">
        <v>37060</v>
      </c>
      <c r="B903" s="5">
        <f>_xlfn.XLOOKUP(A903,bunker_daily_raw!$A$2:$A$3819,bunker_daily_raw!$B$2:$B$3819)</f>
        <v>121.25</v>
      </c>
      <c r="C903" s="6">
        <v>27.61</v>
      </c>
    </row>
    <row r="904" spans="1:3" x14ac:dyDescent="0.25">
      <c r="A904" s="4">
        <v>37061</v>
      </c>
      <c r="B904" s="5">
        <f>_xlfn.XLOOKUP(A904,bunker_daily_raw!$A$2:$A$3819,bunker_daily_raw!$B$2:$B$3819)</f>
        <v>123.5</v>
      </c>
      <c r="C904" s="6">
        <v>26.68</v>
      </c>
    </row>
    <row r="905" spans="1:3" x14ac:dyDescent="0.25">
      <c r="A905" s="4">
        <v>37062</v>
      </c>
      <c r="B905" s="5">
        <f>_xlfn.XLOOKUP(A905,bunker_daily_raw!$A$2:$A$3819,bunker_daily_raw!$B$2:$B$3819)</f>
        <v>120.5</v>
      </c>
      <c r="C905" s="6">
        <v>26.24</v>
      </c>
    </row>
    <row r="906" spans="1:3" x14ac:dyDescent="0.25">
      <c r="A906" s="4">
        <v>37063</v>
      </c>
      <c r="B906" s="5">
        <f>_xlfn.XLOOKUP(A906,bunker_daily_raw!$A$2:$A$3819,bunker_daily_raw!$B$2:$B$3819)</f>
        <v>116</v>
      </c>
      <c r="C906" s="6">
        <v>26.7</v>
      </c>
    </row>
    <row r="907" spans="1:3" x14ac:dyDescent="0.25">
      <c r="A907" s="4">
        <v>37064</v>
      </c>
      <c r="B907" s="5">
        <f>_xlfn.XLOOKUP(A907,bunker_daily_raw!$A$2:$A$3819,bunker_daily_raw!$B$2:$B$3819)</f>
        <v>114.75</v>
      </c>
      <c r="C907" s="6">
        <v>26.86</v>
      </c>
    </row>
    <row r="908" spans="1:3" x14ac:dyDescent="0.25">
      <c r="A908" s="4">
        <v>37067</v>
      </c>
      <c r="B908" s="5">
        <f>_xlfn.XLOOKUP(A908,bunker_daily_raw!$A$2:$A$3819,bunker_daily_raw!$B$2:$B$3819)</f>
        <v>114.25</v>
      </c>
      <c r="C908" s="6">
        <v>27.36</v>
      </c>
    </row>
    <row r="909" spans="1:3" x14ac:dyDescent="0.25">
      <c r="A909" s="4">
        <v>37068</v>
      </c>
      <c r="B909" s="5">
        <f>_xlfn.XLOOKUP(A909,bunker_daily_raw!$A$2:$A$3819,bunker_daily_raw!$B$2:$B$3819)</f>
        <v>110</v>
      </c>
      <c r="C909" s="6">
        <v>27.66</v>
      </c>
    </row>
    <row r="910" spans="1:3" x14ac:dyDescent="0.25">
      <c r="A910" s="4">
        <v>37069</v>
      </c>
      <c r="B910" s="5">
        <f>_xlfn.XLOOKUP(A910,bunker_daily_raw!$A$2:$A$3819,bunker_daily_raw!$B$2:$B$3819)</f>
        <v>110.5</v>
      </c>
      <c r="C910" s="6">
        <v>26.25</v>
      </c>
    </row>
    <row r="911" spans="1:3" x14ac:dyDescent="0.25">
      <c r="A911" s="4">
        <v>37070</v>
      </c>
      <c r="B911" s="5">
        <f>_xlfn.XLOOKUP(A911,bunker_daily_raw!$A$2:$A$3819,bunker_daily_raw!$B$2:$B$3819)</f>
        <v>112.25</v>
      </c>
      <c r="C911" s="6">
        <v>25.68</v>
      </c>
    </row>
    <row r="912" spans="1:3" x14ac:dyDescent="0.25">
      <c r="A912" s="4">
        <v>37071</v>
      </c>
      <c r="B912" s="5">
        <f>_xlfn.XLOOKUP(A912,bunker_daily_raw!$A$2:$A$3819,bunker_daily_raw!$B$2:$B$3819)</f>
        <v>110</v>
      </c>
      <c r="C912" s="6">
        <v>26.21</v>
      </c>
    </row>
    <row r="913" spans="1:3" x14ac:dyDescent="0.25">
      <c r="A913" s="4">
        <v>37074</v>
      </c>
      <c r="B913" s="5">
        <f>_xlfn.XLOOKUP(A913,bunker_daily_raw!$A$2:$A$3819,bunker_daily_raw!$B$2:$B$3819)</f>
        <v>114.5</v>
      </c>
      <c r="C913" s="6">
        <v>25.73</v>
      </c>
    </row>
    <row r="914" spans="1:3" x14ac:dyDescent="0.25">
      <c r="A914" s="4">
        <v>37075</v>
      </c>
      <c r="B914" s="5">
        <f>_xlfn.XLOOKUP(A914,bunker_daily_raw!$A$2:$A$3819,bunker_daily_raw!$B$2:$B$3819)</f>
        <v>112.25</v>
      </c>
      <c r="C914" s="6">
        <v>25.56</v>
      </c>
    </row>
    <row r="915" spans="1:3" x14ac:dyDescent="0.25">
      <c r="A915" s="4">
        <v>37076</v>
      </c>
      <c r="B915" s="5">
        <f>_xlfn.XLOOKUP(A915,bunker_daily_raw!$A$2:$A$3819,bunker_daily_raw!$B$2:$B$3819)</f>
        <v>113</v>
      </c>
      <c r="C915" s="6">
        <v>25.97</v>
      </c>
    </row>
    <row r="916" spans="1:3" x14ac:dyDescent="0.25">
      <c r="A916" s="4">
        <v>37077</v>
      </c>
      <c r="B916" s="5">
        <f>_xlfn.XLOOKUP(A916,bunker_daily_raw!$A$2:$A$3819,bunker_daily_raw!$B$2:$B$3819)</f>
        <v>112.25</v>
      </c>
      <c r="C916" s="6">
        <v>25.69</v>
      </c>
    </row>
    <row r="917" spans="1:3" x14ac:dyDescent="0.25">
      <c r="A917" s="4">
        <v>37078</v>
      </c>
      <c r="B917" s="5">
        <f>_xlfn.XLOOKUP(A917,bunker_daily_raw!$A$2:$A$3819,bunker_daily_raw!$B$2:$B$3819)</f>
        <v>114</v>
      </c>
      <c r="C917" s="6">
        <v>26.55</v>
      </c>
    </row>
    <row r="918" spans="1:3" x14ac:dyDescent="0.25">
      <c r="A918" s="4">
        <v>37081</v>
      </c>
      <c r="B918" s="5">
        <f>_xlfn.XLOOKUP(A918,bunker_daily_raw!$A$2:$A$3819,bunker_daily_raw!$B$2:$B$3819)</f>
        <v>114</v>
      </c>
      <c r="C918" s="6">
        <v>25.59</v>
      </c>
    </row>
    <row r="919" spans="1:3" x14ac:dyDescent="0.25">
      <c r="A919" s="4">
        <v>37082</v>
      </c>
      <c r="B919" s="5">
        <f>_xlfn.XLOOKUP(A919,bunker_daily_raw!$A$2:$A$3819,bunker_daily_raw!$B$2:$B$3819)</f>
        <v>115.5</v>
      </c>
      <c r="C919" s="6">
        <v>24.69</v>
      </c>
    </row>
    <row r="920" spans="1:3" x14ac:dyDescent="0.25">
      <c r="A920" s="4">
        <v>37083</v>
      </c>
      <c r="B920" s="5">
        <f>_xlfn.XLOOKUP(A920,bunker_daily_raw!$A$2:$A$3819,bunker_daily_raw!$B$2:$B$3819)</f>
        <v>115.25</v>
      </c>
      <c r="C920" s="6">
        <v>24.44</v>
      </c>
    </row>
    <row r="921" spans="1:3" x14ac:dyDescent="0.25">
      <c r="A921" s="4">
        <v>37084</v>
      </c>
      <c r="B921" s="5">
        <f>_xlfn.XLOOKUP(A921,bunker_daily_raw!$A$2:$A$3819,bunker_daily_raw!$B$2:$B$3819)</f>
        <v>115.25</v>
      </c>
      <c r="C921" s="6">
        <v>23.62</v>
      </c>
    </row>
    <row r="922" spans="1:3" x14ac:dyDescent="0.25">
      <c r="A922" s="4">
        <v>37085</v>
      </c>
      <c r="B922" s="5">
        <f>_xlfn.XLOOKUP(A922,bunker_daily_raw!$A$2:$A$3819,bunker_daily_raw!$B$2:$B$3819)</f>
        <v>114</v>
      </c>
      <c r="C922" s="6">
        <v>24.02</v>
      </c>
    </row>
    <row r="923" spans="1:3" x14ac:dyDescent="0.25">
      <c r="A923" s="4">
        <v>37088</v>
      </c>
      <c r="B923" s="5">
        <f>_xlfn.XLOOKUP(A923,bunker_daily_raw!$A$2:$A$3819,bunker_daily_raw!$B$2:$B$3819)</f>
        <v>117.25</v>
      </c>
      <c r="C923" s="6">
        <v>23.58</v>
      </c>
    </row>
    <row r="924" spans="1:3" x14ac:dyDescent="0.25">
      <c r="A924" s="4">
        <v>37089</v>
      </c>
      <c r="B924" s="5">
        <f>_xlfn.XLOOKUP(A924,bunker_daily_raw!$A$2:$A$3819,bunker_daily_raw!$B$2:$B$3819)</f>
        <v>117</v>
      </c>
      <c r="C924" s="6">
        <v>23.9</v>
      </c>
    </row>
    <row r="925" spans="1:3" x14ac:dyDescent="0.25">
      <c r="A925" s="4">
        <v>37090</v>
      </c>
      <c r="B925" s="5">
        <f>_xlfn.XLOOKUP(A925,bunker_daily_raw!$A$2:$A$3819,bunker_daily_raw!$B$2:$B$3819)</f>
        <v>116.25</v>
      </c>
      <c r="C925" s="6">
        <v>23.1</v>
      </c>
    </row>
    <row r="926" spans="1:3" x14ac:dyDescent="0.25">
      <c r="A926" s="4">
        <v>37091</v>
      </c>
      <c r="B926" s="5">
        <f>_xlfn.XLOOKUP(A926,bunker_daily_raw!$A$2:$A$3819,bunker_daily_raw!$B$2:$B$3819)</f>
        <v>116.25</v>
      </c>
      <c r="C926" s="6">
        <v>23.35</v>
      </c>
    </row>
    <row r="927" spans="1:3" x14ac:dyDescent="0.25">
      <c r="A927" s="4">
        <v>37092</v>
      </c>
      <c r="B927" s="5">
        <f>_xlfn.XLOOKUP(A927,bunker_daily_raw!$A$2:$A$3819,bunker_daily_raw!$B$2:$B$3819)</f>
        <v>116</v>
      </c>
      <c r="C927" s="6">
        <v>23.43</v>
      </c>
    </row>
    <row r="928" spans="1:3" x14ac:dyDescent="0.25">
      <c r="A928" s="4">
        <v>37095</v>
      </c>
      <c r="B928" s="5">
        <f>_xlfn.XLOOKUP(A928,bunker_daily_raw!$A$2:$A$3819,bunker_daily_raw!$B$2:$B$3819)</f>
        <v>114</v>
      </c>
      <c r="C928" s="6">
        <v>24.44</v>
      </c>
    </row>
    <row r="929" spans="1:3" x14ac:dyDescent="0.25">
      <c r="A929" s="4">
        <v>37096</v>
      </c>
      <c r="B929" s="5">
        <f>_xlfn.XLOOKUP(A929,bunker_daily_raw!$A$2:$A$3819,bunker_daily_raw!$B$2:$B$3819)</f>
        <v>116.5</v>
      </c>
      <c r="C929" s="6">
        <v>24.37</v>
      </c>
    </row>
    <row r="930" spans="1:3" x14ac:dyDescent="0.25">
      <c r="A930" s="4">
        <v>37097</v>
      </c>
      <c r="B930" s="5">
        <f>_xlfn.XLOOKUP(A930,bunker_daily_raw!$A$2:$A$3819,bunker_daily_raw!$B$2:$B$3819)</f>
        <v>117.5</v>
      </c>
      <c r="C930" s="6">
        <v>24.9</v>
      </c>
    </row>
    <row r="931" spans="1:3" x14ac:dyDescent="0.25">
      <c r="A931" s="4">
        <v>37098</v>
      </c>
      <c r="B931" s="5">
        <f>_xlfn.XLOOKUP(A931,bunker_daily_raw!$A$2:$A$3819,bunker_daily_raw!$B$2:$B$3819)</f>
        <v>121</v>
      </c>
      <c r="C931" s="6">
        <v>24.94</v>
      </c>
    </row>
    <row r="932" spans="1:3" x14ac:dyDescent="0.25">
      <c r="A932" s="4">
        <v>37099</v>
      </c>
      <c r="B932" s="5">
        <f>_xlfn.XLOOKUP(A932,bunker_daily_raw!$A$2:$A$3819,bunker_daily_raw!$B$2:$B$3819)</f>
        <v>123.5</v>
      </c>
      <c r="C932" s="6">
        <v>24.82</v>
      </c>
    </row>
    <row r="933" spans="1:3" x14ac:dyDescent="0.25">
      <c r="A933" s="4">
        <v>37102</v>
      </c>
      <c r="B933" s="5">
        <f>_xlfn.XLOOKUP(A933,bunker_daily_raw!$A$2:$A$3819,bunker_daily_raw!$B$2:$B$3819)</f>
        <v>121.25</v>
      </c>
      <c r="C933" s="6">
        <v>24.46</v>
      </c>
    </row>
    <row r="934" spans="1:3" x14ac:dyDescent="0.25">
      <c r="A934" s="4">
        <v>37103</v>
      </c>
      <c r="B934" s="5">
        <f>_xlfn.XLOOKUP(A934,bunker_daily_raw!$A$2:$A$3819,bunker_daily_raw!$B$2:$B$3819)</f>
        <v>123.5</v>
      </c>
      <c r="C934" s="6">
        <v>24.35</v>
      </c>
    </row>
    <row r="935" spans="1:3" x14ac:dyDescent="0.25">
      <c r="A935" s="4">
        <v>37104</v>
      </c>
      <c r="B935" s="5">
        <f>_xlfn.XLOOKUP(A935,bunker_daily_raw!$A$2:$A$3819,bunker_daily_raw!$B$2:$B$3819)</f>
        <v>123.25</v>
      </c>
      <c r="C935" s="6">
        <v>24.23</v>
      </c>
    </row>
    <row r="936" spans="1:3" x14ac:dyDescent="0.25">
      <c r="A936" s="4">
        <v>37105</v>
      </c>
      <c r="B936" s="5">
        <f>_xlfn.XLOOKUP(A936,bunker_daily_raw!$A$2:$A$3819,bunker_daily_raw!$B$2:$B$3819)</f>
        <v>120</v>
      </c>
      <c r="C936" s="6">
        <v>25.49</v>
      </c>
    </row>
    <row r="937" spans="1:3" x14ac:dyDescent="0.25">
      <c r="A937" s="4">
        <v>37106</v>
      </c>
      <c r="B937" s="5">
        <f>_xlfn.XLOOKUP(A937,bunker_daily_raw!$A$2:$A$3819,bunker_daily_raw!$B$2:$B$3819)</f>
        <v>120.5</v>
      </c>
      <c r="C937" s="6">
        <v>25.6</v>
      </c>
    </row>
    <row r="938" spans="1:3" x14ac:dyDescent="0.25">
      <c r="A938" s="4">
        <v>37109</v>
      </c>
      <c r="B938" s="5">
        <f>_xlfn.XLOOKUP(A938,bunker_daily_raw!$A$2:$A$3819,bunker_daily_raw!$B$2:$B$3819)</f>
        <v>122</v>
      </c>
      <c r="C938" s="6">
        <v>25.39</v>
      </c>
    </row>
    <row r="939" spans="1:3" x14ac:dyDescent="0.25">
      <c r="A939" s="4">
        <v>37110</v>
      </c>
      <c r="B939" s="5">
        <f>_xlfn.XLOOKUP(A939,bunker_daily_raw!$A$2:$A$3819,bunker_daily_raw!$B$2:$B$3819)</f>
        <v>121.5</v>
      </c>
      <c r="C939" s="6">
        <v>25.94</v>
      </c>
    </row>
    <row r="940" spans="1:3" x14ac:dyDescent="0.25">
      <c r="A940" s="4">
        <v>37111</v>
      </c>
      <c r="B940" s="5">
        <f>_xlfn.XLOOKUP(A940,bunker_daily_raw!$A$2:$A$3819,bunker_daily_raw!$B$2:$B$3819)</f>
        <v>122</v>
      </c>
      <c r="C940" s="6">
        <v>25.61</v>
      </c>
    </row>
    <row r="941" spans="1:3" x14ac:dyDescent="0.25">
      <c r="A941" s="4">
        <v>37112</v>
      </c>
      <c r="B941" s="5" t="e">
        <f>_xlfn.XLOOKUP(A941,bunker_daily_raw!$A$2:$A$3819,bunker_daily_raw!$B$2:$B$3819)</f>
        <v>#N/A</v>
      </c>
      <c r="C941" s="6">
        <v>25.28</v>
      </c>
    </row>
    <row r="942" spans="1:3" x14ac:dyDescent="0.25">
      <c r="A942" s="4">
        <v>37113</v>
      </c>
      <c r="B942" s="5">
        <f>_xlfn.XLOOKUP(A942,bunker_daily_raw!$A$2:$A$3819,bunker_daily_raw!$B$2:$B$3819)</f>
        <v>122.25</v>
      </c>
      <c r="C942" s="6">
        <v>25.78</v>
      </c>
    </row>
    <row r="943" spans="1:3" x14ac:dyDescent="0.25">
      <c r="A943" s="4">
        <v>37116</v>
      </c>
      <c r="B943" s="5">
        <f>_xlfn.XLOOKUP(A943,bunker_daily_raw!$A$2:$A$3819,bunker_daily_raw!$B$2:$B$3819)</f>
        <v>120.5</v>
      </c>
      <c r="C943" s="6">
        <v>25.88</v>
      </c>
    </row>
    <row r="944" spans="1:3" x14ac:dyDescent="0.25">
      <c r="A944" s="4">
        <v>37117</v>
      </c>
      <c r="B944" s="5">
        <f>_xlfn.XLOOKUP(A944,bunker_daily_raw!$A$2:$A$3819,bunker_daily_raw!$B$2:$B$3819)</f>
        <v>119</v>
      </c>
      <c r="C944" s="6">
        <v>25.71</v>
      </c>
    </row>
    <row r="945" spans="1:3" x14ac:dyDescent="0.25">
      <c r="A945" s="4">
        <v>37118</v>
      </c>
      <c r="B945" s="5">
        <f>_xlfn.XLOOKUP(A945,bunker_daily_raw!$A$2:$A$3819,bunker_daily_raw!$B$2:$B$3819)</f>
        <v>119.5</v>
      </c>
      <c r="C945" s="6">
        <v>25.61</v>
      </c>
    </row>
    <row r="946" spans="1:3" x14ac:dyDescent="0.25">
      <c r="A946" s="4">
        <v>37119</v>
      </c>
      <c r="B946" s="5">
        <f>_xlfn.XLOOKUP(A946,bunker_daily_raw!$A$2:$A$3819,bunker_daily_raw!$B$2:$B$3819)</f>
        <v>120.75</v>
      </c>
      <c r="C946" s="6">
        <v>25.18</v>
      </c>
    </row>
    <row r="947" spans="1:3" x14ac:dyDescent="0.25">
      <c r="A947" s="4">
        <v>37120</v>
      </c>
      <c r="B947" s="5">
        <f>_xlfn.XLOOKUP(A947,bunker_daily_raw!$A$2:$A$3819,bunker_daily_raw!$B$2:$B$3819)</f>
        <v>121</v>
      </c>
      <c r="C947" s="6">
        <v>24.68</v>
      </c>
    </row>
    <row r="948" spans="1:3" x14ac:dyDescent="0.25">
      <c r="A948" s="4">
        <v>37123</v>
      </c>
      <c r="B948" s="5">
        <f>_xlfn.XLOOKUP(A948,bunker_daily_raw!$A$2:$A$3819,bunker_daily_raw!$B$2:$B$3819)</f>
        <v>121.5</v>
      </c>
      <c r="C948" s="6">
        <v>24.35</v>
      </c>
    </row>
    <row r="949" spans="1:3" x14ac:dyDescent="0.25">
      <c r="A949" s="4">
        <v>37124</v>
      </c>
      <c r="B949" s="5">
        <f>_xlfn.XLOOKUP(A949,bunker_daily_raw!$A$2:$A$3819,bunker_daily_raw!$B$2:$B$3819)</f>
        <v>124.75</v>
      </c>
      <c r="C949" s="6">
        <v>25.36</v>
      </c>
    </row>
    <row r="950" spans="1:3" x14ac:dyDescent="0.25">
      <c r="A950" s="4">
        <v>37125</v>
      </c>
      <c r="B950" s="5">
        <f>_xlfn.XLOOKUP(A950,bunker_daily_raw!$A$2:$A$3819,bunker_daily_raw!$B$2:$B$3819)</f>
        <v>126</v>
      </c>
      <c r="C950" s="6">
        <v>25.71</v>
      </c>
    </row>
    <row r="951" spans="1:3" x14ac:dyDescent="0.25">
      <c r="A951" s="4">
        <v>37126</v>
      </c>
      <c r="B951" s="5">
        <f>_xlfn.XLOOKUP(A951,bunker_daily_raw!$A$2:$A$3819,bunker_daily_raw!$B$2:$B$3819)</f>
        <v>126.25</v>
      </c>
      <c r="C951" s="6">
        <v>25.66</v>
      </c>
    </row>
    <row r="952" spans="1:3" x14ac:dyDescent="0.25">
      <c r="A952" s="4">
        <v>37127</v>
      </c>
      <c r="B952" s="5">
        <f>_xlfn.XLOOKUP(A952,bunker_daily_raw!$A$2:$A$3819,bunker_daily_raw!$B$2:$B$3819)</f>
        <v>124.75</v>
      </c>
      <c r="C952" s="6">
        <v>26.33</v>
      </c>
    </row>
    <row r="953" spans="1:3" x14ac:dyDescent="0.25">
      <c r="A953" s="4">
        <v>37130</v>
      </c>
      <c r="B953" s="5">
        <f>_xlfn.XLOOKUP(A953,bunker_daily_raw!$A$2:$A$3819,bunker_daily_raw!$B$2:$B$3819)</f>
        <v>127.5</v>
      </c>
      <c r="C953" s="6">
        <v>26.22</v>
      </c>
    </row>
    <row r="954" spans="1:3" x14ac:dyDescent="0.25">
      <c r="A954" s="4">
        <v>37131</v>
      </c>
      <c r="B954" s="5">
        <f>_xlfn.XLOOKUP(A954,bunker_daily_raw!$A$2:$A$3819,bunker_daily_raw!$B$2:$B$3819)</f>
        <v>127.75</v>
      </c>
      <c r="C954" s="6">
        <v>26.46</v>
      </c>
    </row>
    <row r="955" spans="1:3" x14ac:dyDescent="0.25">
      <c r="A955" s="4">
        <v>37132</v>
      </c>
      <c r="B955" s="5">
        <f>_xlfn.XLOOKUP(A955,bunker_daily_raw!$A$2:$A$3819,bunker_daily_raw!$B$2:$B$3819)</f>
        <v>125.25</v>
      </c>
      <c r="C955" s="6">
        <v>26.67</v>
      </c>
    </row>
    <row r="956" spans="1:3" x14ac:dyDescent="0.25">
      <c r="A956" s="4">
        <v>37133</v>
      </c>
      <c r="B956" s="5">
        <f>_xlfn.XLOOKUP(A956,bunker_daily_raw!$A$2:$A$3819,bunker_daily_raw!$B$2:$B$3819)</f>
        <v>126.5</v>
      </c>
      <c r="C956" s="6">
        <v>26.7</v>
      </c>
    </row>
    <row r="957" spans="1:3" x14ac:dyDescent="0.25">
      <c r="A957" s="4">
        <v>37134</v>
      </c>
      <c r="B957" s="5">
        <f>_xlfn.XLOOKUP(A957,bunker_daily_raw!$A$2:$A$3819,bunker_daily_raw!$B$2:$B$3819)</f>
        <v>129</v>
      </c>
      <c r="C957" s="6">
        <v>26.8</v>
      </c>
    </row>
    <row r="958" spans="1:3" x14ac:dyDescent="0.25">
      <c r="A958" s="4">
        <v>37137</v>
      </c>
      <c r="B958" s="5">
        <f>_xlfn.XLOOKUP(A958,bunker_daily_raw!$A$2:$A$3819,bunker_daily_raw!$B$2:$B$3819)</f>
        <v>131.5</v>
      </c>
      <c r="C958" s="6">
        <v>26.52</v>
      </c>
    </row>
    <row r="959" spans="1:3" x14ac:dyDescent="0.25">
      <c r="A959" s="4">
        <v>37138</v>
      </c>
      <c r="B959" s="5">
        <f>_xlfn.XLOOKUP(A959,bunker_daily_raw!$A$2:$A$3819,bunker_daily_raw!$B$2:$B$3819)</f>
        <v>134.5</v>
      </c>
      <c r="C959" s="6">
        <v>26.27</v>
      </c>
    </row>
    <row r="960" spans="1:3" x14ac:dyDescent="0.25">
      <c r="A960" s="4">
        <v>37139</v>
      </c>
      <c r="B960" s="5">
        <f>_xlfn.XLOOKUP(A960,bunker_daily_raw!$A$2:$A$3819,bunker_daily_raw!$B$2:$B$3819)</f>
        <v>135.5</v>
      </c>
      <c r="C960" s="6">
        <v>26.27</v>
      </c>
    </row>
    <row r="961" spans="1:3" x14ac:dyDescent="0.25">
      <c r="A961" s="4">
        <v>37140</v>
      </c>
      <c r="B961" s="5">
        <f>_xlfn.XLOOKUP(A961,bunker_daily_raw!$A$2:$A$3819,bunker_daily_raw!$B$2:$B$3819)</f>
        <v>133</v>
      </c>
      <c r="C961" s="6">
        <v>26.61</v>
      </c>
    </row>
    <row r="962" spans="1:3" x14ac:dyDescent="0.25">
      <c r="A962" s="4">
        <v>37141</v>
      </c>
      <c r="B962" s="5">
        <f>_xlfn.XLOOKUP(A962,bunker_daily_raw!$A$2:$A$3819,bunker_daily_raw!$B$2:$B$3819)</f>
        <v>138.25</v>
      </c>
      <c r="C962" s="6">
        <v>27.54</v>
      </c>
    </row>
    <row r="963" spans="1:3" x14ac:dyDescent="0.25">
      <c r="A963" s="4">
        <v>37144</v>
      </c>
      <c r="B963" s="5">
        <f>_xlfn.XLOOKUP(A963,bunker_daily_raw!$A$2:$A$3819,bunker_daily_raw!$B$2:$B$3819)</f>
        <v>139</v>
      </c>
      <c r="C963" s="6">
        <v>27.59</v>
      </c>
    </row>
    <row r="964" spans="1:3" x14ac:dyDescent="0.25">
      <c r="A964" s="4">
        <v>37145</v>
      </c>
      <c r="B964" s="5">
        <f>_xlfn.XLOOKUP(A964,bunker_daily_raw!$A$2:$A$3819,bunker_daily_raw!$B$2:$B$3819)</f>
        <v>136.5</v>
      </c>
      <c r="C964" s="6">
        <v>29.12</v>
      </c>
    </row>
    <row r="965" spans="1:3" x14ac:dyDescent="0.25">
      <c r="A965" s="4">
        <v>37146</v>
      </c>
      <c r="B965" s="5">
        <f>_xlfn.XLOOKUP(A965,bunker_daily_raw!$A$2:$A$3819,bunker_daily_raw!$B$2:$B$3819)</f>
        <v>131.75</v>
      </c>
      <c r="C965" s="6">
        <v>28.24</v>
      </c>
    </row>
    <row r="966" spans="1:3" x14ac:dyDescent="0.25">
      <c r="A966" s="4">
        <v>37147</v>
      </c>
      <c r="B966" s="5">
        <f>_xlfn.XLOOKUP(A966,bunker_daily_raw!$A$2:$A$3819,bunker_daily_raw!$B$2:$B$3819)</f>
        <v>131.5</v>
      </c>
      <c r="C966" s="6">
        <v>28.2</v>
      </c>
    </row>
    <row r="967" spans="1:3" x14ac:dyDescent="0.25">
      <c r="A967" s="4">
        <v>37148</v>
      </c>
      <c r="B967" s="5">
        <f>_xlfn.XLOOKUP(A967,bunker_daily_raw!$A$2:$A$3819,bunker_daily_raw!$B$2:$B$3819)</f>
        <v>129</v>
      </c>
      <c r="C967" s="6">
        <v>29.22</v>
      </c>
    </row>
    <row r="968" spans="1:3" x14ac:dyDescent="0.25">
      <c r="A968" s="4">
        <v>37151</v>
      </c>
      <c r="B968" s="5">
        <f>_xlfn.XLOOKUP(A968,bunker_daily_raw!$A$2:$A$3819,bunker_daily_raw!$B$2:$B$3819)</f>
        <v>124</v>
      </c>
      <c r="C968" s="6">
        <v>28.32</v>
      </c>
    </row>
    <row r="969" spans="1:3" x14ac:dyDescent="0.25">
      <c r="A969" s="4">
        <v>37152</v>
      </c>
      <c r="B969" s="5">
        <f>_xlfn.XLOOKUP(A969,bunker_daily_raw!$A$2:$A$3819,bunker_daily_raw!$B$2:$B$3819)</f>
        <v>118.5</v>
      </c>
      <c r="C969" s="6">
        <v>27.54</v>
      </c>
    </row>
    <row r="970" spans="1:3" x14ac:dyDescent="0.25">
      <c r="A970" s="4">
        <v>37153</v>
      </c>
      <c r="B970" s="5">
        <f>_xlfn.XLOOKUP(A970,bunker_daily_raw!$A$2:$A$3819,bunker_daily_raw!$B$2:$B$3819)</f>
        <v>115</v>
      </c>
      <c r="C970" s="6">
        <v>25.44</v>
      </c>
    </row>
    <row r="971" spans="1:3" x14ac:dyDescent="0.25">
      <c r="A971" s="4">
        <v>37154</v>
      </c>
      <c r="B971" s="5">
        <f>_xlfn.XLOOKUP(A971,bunker_daily_raw!$A$2:$A$3819,bunker_daily_raw!$B$2:$B$3819)</f>
        <v>114</v>
      </c>
      <c r="C971" s="6">
        <v>25.57</v>
      </c>
    </row>
    <row r="972" spans="1:3" x14ac:dyDescent="0.25">
      <c r="A972" s="4">
        <v>37155</v>
      </c>
      <c r="B972" s="5">
        <f>_xlfn.XLOOKUP(A972,bunker_daily_raw!$A$2:$A$3819,bunker_daily_raw!$B$2:$B$3819)</f>
        <v>110.5</v>
      </c>
      <c r="C972" s="6">
        <v>25.17</v>
      </c>
    </row>
    <row r="973" spans="1:3" x14ac:dyDescent="0.25">
      <c r="A973" s="4">
        <v>37158</v>
      </c>
      <c r="B973" s="5">
        <f>_xlfn.XLOOKUP(A973,bunker_daily_raw!$A$2:$A$3819,bunker_daily_raw!$B$2:$B$3819)</f>
        <v>117</v>
      </c>
      <c r="C973" s="6">
        <v>20.63</v>
      </c>
    </row>
    <row r="974" spans="1:3" x14ac:dyDescent="0.25">
      <c r="A974" s="4">
        <v>37159</v>
      </c>
      <c r="B974" s="5">
        <f>_xlfn.XLOOKUP(A974,bunker_daily_raw!$A$2:$A$3819,bunker_daily_raw!$B$2:$B$3819)</f>
        <v>114.5</v>
      </c>
      <c r="C974" s="6">
        <v>20.13</v>
      </c>
    </row>
    <row r="975" spans="1:3" x14ac:dyDescent="0.25">
      <c r="A975" s="4">
        <v>37160</v>
      </c>
      <c r="B975" s="5">
        <f>_xlfn.XLOOKUP(A975,bunker_daily_raw!$A$2:$A$3819,bunker_daily_raw!$B$2:$B$3819)</f>
        <v>110.25</v>
      </c>
      <c r="C975" s="6">
        <v>20.67</v>
      </c>
    </row>
    <row r="976" spans="1:3" x14ac:dyDescent="0.25">
      <c r="A976" s="4">
        <v>37161</v>
      </c>
      <c r="B976" s="5">
        <f>_xlfn.XLOOKUP(A976,bunker_daily_raw!$A$2:$A$3819,bunker_daily_raw!$B$2:$B$3819)</f>
        <v>111.5</v>
      </c>
      <c r="C976" s="6">
        <v>21.47</v>
      </c>
    </row>
    <row r="977" spans="1:3" x14ac:dyDescent="0.25">
      <c r="A977" s="4">
        <v>37162</v>
      </c>
      <c r="B977" s="5">
        <f>_xlfn.XLOOKUP(A977,bunker_daily_raw!$A$2:$A$3819,bunker_daily_raw!$B$2:$B$3819)</f>
        <v>113</v>
      </c>
      <c r="C977" s="6">
        <v>21.87</v>
      </c>
    </row>
    <row r="978" spans="1:3" x14ac:dyDescent="0.25">
      <c r="A978" s="4">
        <v>37165</v>
      </c>
      <c r="B978" s="5">
        <f>_xlfn.XLOOKUP(A978,bunker_daily_raw!$A$2:$A$3819,bunker_daily_raw!$B$2:$B$3819)</f>
        <v>112</v>
      </c>
      <c r="C978" s="6">
        <v>21.22</v>
      </c>
    </row>
    <row r="979" spans="1:3" x14ac:dyDescent="0.25">
      <c r="A979" s="4">
        <v>37166</v>
      </c>
      <c r="B979" s="5">
        <f>_xlfn.XLOOKUP(A979,bunker_daily_raw!$A$2:$A$3819,bunker_daily_raw!$B$2:$B$3819)</f>
        <v>110.5</v>
      </c>
      <c r="C979" s="6">
        <v>21.29</v>
      </c>
    </row>
    <row r="980" spans="1:3" x14ac:dyDescent="0.25">
      <c r="A980" s="4">
        <v>37167</v>
      </c>
      <c r="B980" s="5">
        <f>_xlfn.XLOOKUP(A980,bunker_daily_raw!$A$2:$A$3819,bunker_daily_raw!$B$2:$B$3819)</f>
        <v>111.75</v>
      </c>
      <c r="C980" s="6">
        <v>20.63</v>
      </c>
    </row>
    <row r="981" spans="1:3" x14ac:dyDescent="0.25">
      <c r="A981" s="4">
        <v>37168</v>
      </c>
      <c r="B981" s="5">
        <f>_xlfn.XLOOKUP(A981,bunker_daily_raw!$A$2:$A$3819,bunker_daily_raw!$B$2:$B$3819)</f>
        <v>112</v>
      </c>
      <c r="C981" s="6">
        <v>20.94</v>
      </c>
    </row>
    <row r="982" spans="1:3" x14ac:dyDescent="0.25">
      <c r="A982" s="4">
        <v>37169</v>
      </c>
      <c r="B982" s="5">
        <f>_xlfn.XLOOKUP(A982,bunker_daily_raw!$A$2:$A$3819,bunker_daily_raw!$B$2:$B$3819)</f>
        <v>112.5</v>
      </c>
      <c r="C982" s="6">
        <v>21.46</v>
      </c>
    </row>
    <row r="983" spans="1:3" x14ac:dyDescent="0.25">
      <c r="A983" s="4">
        <v>37172</v>
      </c>
      <c r="B983" s="5">
        <f>_xlfn.XLOOKUP(A983,bunker_daily_raw!$A$2:$A$3819,bunker_daily_raw!$B$2:$B$3819)</f>
        <v>108.5</v>
      </c>
      <c r="C983" s="6">
        <v>20.91</v>
      </c>
    </row>
    <row r="984" spans="1:3" x14ac:dyDescent="0.25">
      <c r="A984" s="4">
        <v>37173</v>
      </c>
      <c r="B984" s="5">
        <f>_xlfn.XLOOKUP(A984,bunker_daily_raw!$A$2:$A$3819,bunker_daily_raw!$B$2:$B$3819)</f>
        <v>108</v>
      </c>
      <c r="C984" s="6">
        <v>20.65</v>
      </c>
    </row>
    <row r="985" spans="1:3" x14ac:dyDescent="0.25">
      <c r="A985" s="4">
        <v>37174</v>
      </c>
      <c r="B985" s="5">
        <f>_xlfn.XLOOKUP(A985,bunker_daily_raw!$A$2:$A$3819,bunker_daily_raw!$B$2:$B$3819)</f>
        <v>107</v>
      </c>
      <c r="C985" s="6">
        <v>21.02</v>
      </c>
    </row>
    <row r="986" spans="1:3" x14ac:dyDescent="0.25">
      <c r="A986" s="4">
        <v>37175</v>
      </c>
      <c r="B986" s="5">
        <f>_xlfn.XLOOKUP(A986,bunker_daily_raw!$A$2:$A$3819,bunker_daily_raw!$B$2:$B$3819)</f>
        <v>103</v>
      </c>
      <c r="C986" s="6">
        <v>21.38</v>
      </c>
    </row>
    <row r="987" spans="1:3" x14ac:dyDescent="0.25">
      <c r="A987" s="4">
        <v>37176</v>
      </c>
      <c r="B987" s="5">
        <f>_xlfn.XLOOKUP(A987,bunker_daily_raw!$A$2:$A$3819,bunker_daily_raw!$B$2:$B$3819)</f>
        <v>100</v>
      </c>
      <c r="C987" s="6">
        <v>20.57</v>
      </c>
    </row>
    <row r="988" spans="1:3" x14ac:dyDescent="0.25">
      <c r="A988" s="4">
        <v>37179</v>
      </c>
      <c r="B988" s="5">
        <f>_xlfn.XLOOKUP(A988,bunker_daily_raw!$A$2:$A$3819,bunker_daily_raw!$B$2:$B$3819)</f>
        <v>102.5</v>
      </c>
      <c r="C988" s="6">
        <v>20.36</v>
      </c>
    </row>
    <row r="989" spans="1:3" x14ac:dyDescent="0.25">
      <c r="A989" s="4">
        <v>37180</v>
      </c>
      <c r="B989" s="5">
        <f>_xlfn.XLOOKUP(A989,bunker_daily_raw!$A$2:$A$3819,bunker_daily_raw!$B$2:$B$3819)</f>
        <v>101.25</v>
      </c>
      <c r="C989" s="6">
        <v>20.47</v>
      </c>
    </row>
    <row r="990" spans="1:3" x14ac:dyDescent="0.25">
      <c r="A990" s="4">
        <v>37181</v>
      </c>
      <c r="B990" s="5">
        <f>_xlfn.XLOOKUP(A990,bunker_daily_raw!$A$2:$A$3819,bunker_daily_raw!$B$2:$B$3819)</f>
        <v>98.25</v>
      </c>
      <c r="C990" s="6">
        <v>19.47</v>
      </c>
    </row>
    <row r="991" spans="1:3" x14ac:dyDescent="0.25">
      <c r="A991" s="4">
        <v>37182</v>
      </c>
      <c r="B991" s="5">
        <f>_xlfn.XLOOKUP(A991,bunker_daily_raw!$A$2:$A$3819,bunker_daily_raw!$B$2:$B$3819)</f>
        <v>100</v>
      </c>
      <c r="C991" s="6">
        <v>19.21</v>
      </c>
    </row>
    <row r="992" spans="1:3" x14ac:dyDescent="0.25">
      <c r="A992" s="4">
        <v>37183</v>
      </c>
      <c r="B992" s="5">
        <f>_xlfn.XLOOKUP(A992,bunker_daily_raw!$A$2:$A$3819,bunker_daily_raw!$B$2:$B$3819)</f>
        <v>96</v>
      </c>
      <c r="C992" s="6">
        <v>19.91</v>
      </c>
    </row>
    <row r="993" spans="1:3" x14ac:dyDescent="0.25">
      <c r="A993" s="4">
        <v>37186</v>
      </c>
      <c r="B993" s="5">
        <f>_xlfn.XLOOKUP(A993,bunker_daily_raw!$A$2:$A$3819,bunker_daily_raw!$B$2:$B$3819)</f>
        <v>99.5</v>
      </c>
      <c r="C993" s="6">
        <v>20.38</v>
      </c>
    </row>
    <row r="994" spans="1:3" x14ac:dyDescent="0.25">
      <c r="A994" s="4">
        <v>37187</v>
      </c>
      <c r="B994" s="5">
        <f>_xlfn.XLOOKUP(A994,bunker_daily_raw!$A$2:$A$3819,bunker_daily_raw!$B$2:$B$3819)</f>
        <v>98.75</v>
      </c>
      <c r="C994" s="6">
        <v>20.56</v>
      </c>
    </row>
    <row r="995" spans="1:3" x14ac:dyDescent="0.25">
      <c r="A995" s="4">
        <v>37188</v>
      </c>
      <c r="B995" s="5">
        <f>_xlfn.XLOOKUP(A995,bunker_daily_raw!$A$2:$A$3819,bunker_daily_raw!$B$2:$B$3819)</f>
        <v>97</v>
      </c>
      <c r="C995" s="6">
        <v>20.37</v>
      </c>
    </row>
    <row r="996" spans="1:3" x14ac:dyDescent="0.25">
      <c r="A996" s="4">
        <v>37189</v>
      </c>
      <c r="B996" s="5">
        <f>_xlfn.XLOOKUP(A996,bunker_daily_raw!$A$2:$A$3819,bunker_daily_raw!$B$2:$B$3819)</f>
        <v>96.5</v>
      </c>
      <c r="C996" s="6">
        <v>20.67</v>
      </c>
    </row>
    <row r="997" spans="1:3" x14ac:dyDescent="0.25">
      <c r="A997" s="4">
        <v>37190</v>
      </c>
      <c r="B997" s="5">
        <f>_xlfn.XLOOKUP(A997,bunker_daily_raw!$A$2:$A$3819,bunker_daily_raw!$B$2:$B$3819)</f>
        <v>91.75</v>
      </c>
      <c r="C997" s="6">
        <v>20.309999999999999</v>
      </c>
    </row>
    <row r="998" spans="1:3" x14ac:dyDescent="0.25">
      <c r="A998" s="4">
        <v>37193</v>
      </c>
      <c r="B998" s="5">
        <f>_xlfn.XLOOKUP(A998,bunker_daily_raw!$A$2:$A$3819,bunker_daily_raw!$B$2:$B$3819)</f>
        <v>92.5</v>
      </c>
      <c r="C998" s="6">
        <v>20.55</v>
      </c>
    </row>
    <row r="999" spans="1:3" x14ac:dyDescent="0.25">
      <c r="A999" s="4">
        <v>37194</v>
      </c>
      <c r="B999" s="5">
        <f>_xlfn.XLOOKUP(A999,bunker_daily_raw!$A$2:$A$3819,bunker_daily_raw!$B$2:$B$3819)</f>
        <v>91.5</v>
      </c>
      <c r="C999" s="6">
        <v>20.41</v>
      </c>
    </row>
    <row r="1000" spans="1:3" x14ac:dyDescent="0.25">
      <c r="A1000" s="4">
        <v>37195</v>
      </c>
      <c r="B1000" s="5">
        <f>_xlfn.XLOOKUP(A1000,bunker_daily_raw!$A$2:$A$3819,bunker_daily_raw!$B$2:$B$3819)</f>
        <v>90.25</v>
      </c>
      <c r="C1000" s="6">
        <v>19.63</v>
      </c>
    </row>
    <row r="1001" spans="1:3" x14ac:dyDescent="0.25">
      <c r="A1001" s="4">
        <v>37196</v>
      </c>
      <c r="B1001" s="5">
        <f>_xlfn.XLOOKUP(A1001,bunker_daily_raw!$A$2:$A$3819,bunker_daily_raw!$B$2:$B$3819)</f>
        <v>94.25</v>
      </c>
      <c r="C1001" s="6">
        <v>19.39</v>
      </c>
    </row>
    <row r="1002" spans="1:3" x14ac:dyDescent="0.25">
      <c r="A1002" s="4">
        <v>37197</v>
      </c>
      <c r="B1002" s="5">
        <f>_xlfn.XLOOKUP(A1002,bunker_daily_raw!$A$2:$A$3819,bunker_daily_raw!$B$2:$B$3819)</f>
        <v>96.5</v>
      </c>
      <c r="C1002" s="6">
        <v>18.63</v>
      </c>
    </row>
    <row r="1003" spans="1:3" x14ac:dyDescent="0.25">
      <c r="A1003" s="4">
        <v>37200</v>
      </c>
      <c r="B1003" s="5">
        <f>_xlfn.XLOOKUP(A1003,bunker_daily_raw!$A$2:$A$3819,bunker_daily_raw!$B$2:$B$3819)</f>
        <v>103.5</v>
      </c>
      <c r="C1003" s="6">
        <v>18.78</v>
      </c>
    </row>
    <row r="1004" spans="1:3" x14ac:dyDescent="0.25">
      <c r="A1004" s="4">
        <v>37201</v>
      </c>
      <c r="B1004" s="5">
        <f>_xlfn.XLOOKUP(A1004,bunker_daily_raw!$A$2:$A$3819,bunker_daily_raw!$B$2:$B$3819)</f>
        <v>99.5</v>
      </c>
      <c r="C1004" s="6">
        <v>18.64</v>
      </c>
    </row>
    <row r="1005" spans="1:3" x14ac:dyDescent="0.25">
      <c r="A1005" s="4">
        <v>37202</v>
      </c>
      <c r="B1005" s="5">
        <f>_xlfn.XLOOKUP(A1005,bunker_daily_raw!$A$2:$A$3819,bunker_daily_raw!$B$2:$B$3819)</f>
        <v>98</v>
      </c>
      <c r="C1005" s="6">
        <v>18.86</v>
      </c>
    </row>
    <row r="1006" spans="1:3" x14ac:dyDescent="0.25">
      <c r="A1006" s="4">
        <v>37203</v>
      </c>
      <c r="B1006" s="5">
        <f>_xlfn.XLOOKUP(A1006,bunker_daily_raw!$A$2:$A$3819,bunker_daily_raw!$B$2:$B$3819)</f>
        <v>93.5</v>
      </c>
      <c r="C1006" s="6">
        <v>19.54</v>
      </c>
    </row>
    <row r="1007" spans="1:3" x14ac:dyDescent="0.25">
      <c r="A1007" s="4">
        <v>37204</v>
      </c>
      <c r="B1007" s="5">
        <f>_xlfn.XLOOKUP(A1007,bunker_daily_raw!$A$2:$A$3819,bunker_daily_raw!$B$2:$B$3819)</f>
        <v>93</v>
      </c>
      <c r="C1007" s="6">
        <v>20.72</v>
      </c>
    </row>
    <row r="1008" spans="1:3" x14ac:dyDescent="0.25">
      <c r="A1008" s="4">
        <v>37207</v>
      </c>
      <c r="B1008" s="5">
        <f>_xlfn.XLOOKUP(A1008,bunker_daily_raw!$A$2:$A$3819,bunker_daily_raw!$B$2:$B$3819)</f>
        <v>91.5</v>
      </c>
      <c r="C1008" s="6">
        <v>19.48</v>
      </c>
    </row>
    <row r="1009" spans="1:3" x14ac:dyDescent="0.25">
      <c r="A1009" s="4">
        <v>37208</v>
      </c>
      <c r="B1009" s="5">
        <f>_xlfn.XLOOKUP(A1009,bunker_daily_raw!$A$2:$A$3819,bunker_daily_raw!$B$2:$B$3819)</f>
        <v>96.5</v>
      </c>
      <c r="C1009" s="6">
        <v>20.47</v>
      </c>
    </row>
    <row r="1010" spans="1:3" x14ac:dyDescent="0.25">
      <c r="A1010" s="4">
        <v>37209</v>
      </c>
      <c r="B1010" s="5" t="e">
        <f>_xlfn.XLOOKUP(A1010,bunker_daily_raw!$A$2:$A$3819,bunker_daily_raw!$B$2:$B$3819)</f>
        <v>#N/A</v>
      </c>
      <c r="C1010" s="6">
        <v>18.78</v>
      </c>
    </row>
    <row r="1011" spans="1:3" x14ac:dyDescent="0.25">
      <c r="A1011" s="4">
        <v>37210</v>
      </c>
      <c r="B1011" s="5">
        <f>_xlfn.XLOOKUP(A1011,bunker_daily_raw!$A$2:$A$3819,bunker_daily_raw!$B$2:$B$3819)</f>
        <v>99</v>
      </c>
      <c r="C1011" s="6">
        <v>16.510000000000002</v>
      </c>
    </row>
    <row r="1012" spans="1:3" x14ac:dyDescent="0.25">
      <c r="A1012" s="4">
        <v>37211</v>
      </c>
      <c r="B1012" s="5">
        <f>_xlfn.XLOOKUP(A1012,bunker_daily_raw!$A$2:$A$3819,bunker_daily_raw!$B$2:$B$3819)</f>
        <v>101.75</v>
      </c>
      <c r="C1012" s="6">
        <v>16.86</v>
      </c>
    </row>
    <row r="1013" spans="1:3" x14ac:dyDescent="0.25">
      <c r="A1013" s="4">
        <v>37214</v>
      </c>
      <c r="B1013" s="5">
        <f>_xlfn.XLOOKUP(A1013,bunker_daily_raw!$A$2:$A$3819,bunker_daily_raw!$B$2:$B$3819)</f>
        <v>103</v>
      </c>
      <c r="C1013" s="6">
        <v>16.55</v>
      </c>
    </row>
    <row r="1014" spans="1:3" x14ac:dyDescent="0.25">
      <c r="A1014" s="4">
        <v>37215</v>
      </c>
      <c r="B1014" s="5">
        <f>_xlfn.XLOOKUP(A1014,bunker_daily_raw!$A$2:$A$3819,bunker_daily_raw!$B$2:$B$3819)</f>
        <v>100.5</v>
      </c>
      <c r="C1014" s="6">
        <v>18.82</v>
      </c>
    </row>
    <row r="1015" spans="1:3" x14ac:dyDescent="0.25">
      <c r="A1015" s="4">
        <v>37216</v>
      </c>
      <c r="B1015" s="5">
        <f>_xlfn.XLOOKUP(A1015,bunker_daily_raw!$A$2:$A$3819,bunker_daily_raw!$B$2:$B$3819)</f>
        <v>101</v>
      </c>
      <c r="C1015" s="6">
        <v>18.440000000000001</v>
      </c>
    </row>
    <row r="1016" spans="1:3" x14ac:dyDescent="0.25">
      <c r="A1016" s="4">
        <v>37217</v>
      </c>
      <c r="B1016" s="5">
        <f>_xlfn.XLOOKUP(A1016,bunker_daily_raw!$A$2:$A$3819,bunker_daily_raw!$B$2:$B$3819)</f>
        <v>102.25</v>
      </c>
      <c r="C1016" s="6">
        <v>19.649999999999999</v>
      </c>
    </row>
    <row r="1017" spans="1:3" x14ac:dyDescent="0.25">
      <c r="A1017" s="4">
        <v>37218</v>
      </c>
      <c r="B1017" s="5">
        <f>_xlfn.XLOOKUP(A1017,bunker_daily_raw!$A$2:$A$3819,bunker_daily_raw!$B$2:$B$3819)</f>
        <v>102.5</v>
      </c>
      <c r="C1017" s="6">
        <v>19.399999999999999</v>
      </c>
    </row>
    <row r="1018" spans="1:3" x14ac:dyDescent="0.25">
      <c r="A1018" s="4">
        <v>37221</v>
      </c>
      <c r="B1018" s="5">
        <f>_xlfn.XLOOKUP(A1018,bunker_daily_raw!$A$2:$A$3819,bunker_daily_raw!$B$2:$B$3819)</f>
        <v>101.75</v>
      </c>
      <c r="C1018" s="6">
        <v>18.66</v>
      </c>
    </row>
    <row r="1019" spans="1:3" x14ac:dyDescent="0.25">
      <c r="A1019" s="4">
        <v>37222</v>
      </c>
      <c r="B1019" s="5">
        <f>_xlfn.XLOOKUP(A1019,bunker_daily_raw!$A$2:$A$3819,bunker_daily_raw!$B$2:$B$3819)</f>
        <v>105.5</v>
      </c>
      <c r="C1019" s="6">
        <v>19.09</v>
      </c>
    </row>
    <row r="1020" spans="1:3" x14ac:dyDescent="0.25">
      <c r="A1020" s="4">
        <v>37223</v>
      </c>
      <c r="B1020" s="5">
        <f>_xlfn.XLOOKUP(A1020,bunker_daily_raw!$A$2:$A$3819,bunker_daily_raw!$B$2:$B$3819)</f>
        <v>107</v>
      </c>
      <c r="C1020" s="6">
        <v>18.809999999999999</v>
      </c>
    </row>
    <row r="1021" spans="1:3" x14ac:dyDescent="0.25">
      <c r="A1021" s="4">
        <v>37224</v>
      </c>
      <c r="B1021" s="5">
        <f>_xlfn.XLOOKUP(A1021,bunker_daily_raw!$A$2:$A$3819,bunker_daily_raw!$B$2:$B$3819)</f>
        <v>107.5</v>
      </c>
      <c r="C1021" s="6">
        <v>18.54</v>
      </c>
    </row>
    <row r="1022" spans="1:3" x14ac:dyDescent="0.25">
      <c r="A1022" s="4">
        <v>37225</v>
      </c>
      <c r="B1022" s="5">
        <f>_xlfn.XLOOKUP(A1022,bunker_daily_raw!$A$2:$A$3819,bunker_daily_raw!$B$2:$B$3819)</f>
        <v>106</v>
      </c>
      <c r="C1022" s="6">
        <v>18.920000000000002</v>
      </c>
    </row>
    <row r="1023" spans="1:3" x14ac:dyDescent="0.25">
      <c r="A1023" s="4">
        <v>37228</v>
      </c>
      <c r="B1023" s="5">
        <f>_xlfn.XLOOKUP(A1023,bunker_daily_raw!$A$2:$A$3819,bunker_daily_raw!$B$2:$B$3819)</f>
        <v>100.5</v>
      </c>
      <c r="C1023" s="6">
        <v>20</v>
      </c>
    </row>
    <row r="1024" spans="1:3" x14ac:dyDescent="0.25">
      <c r="A1024" s="4">
        <v>37229</v>
      </c>
      <c r="B1024" s="5">
        <f>_xlfn.XLOOKUP(A1024,bunker_daily_raw!$A$2:$A$3819,bunker_daily_raw!$B$2:$B$3819)</f>
        <v>99</v>
      </c>
      <c r="C1024" s="6">
        <v>19.28</v>
      </c>
    </row>
    <row r="1025" spans="1:3" x14ac:dyDescent="0.25">
      <c r="A1025" s="4">
        <v>37230</v>
      </c>
      <c r="B1025" s="5">
        <f>_xlfn.XLOOKUP(A1025,bunker_daily_raw!$A$2:$A$3819,bunker_daily_raw!$B$2:$B$3819)</f>
        <v>94.75</v>
      </c>
      <c r="C1025" s="6">
        <v>19.27</v>
      </c>
    </row>
    <row r="1026" spans="1:3" x14ac:dyDescent="0.25">
      <c r="A1026" s="4">
        <v>37231</v>
      </c>
      <c r="B1026" s="5">
        <f>_xlfn.XLOOKUP(A1026,bunker_daily_raw!$A$2:$A$3819,bunker_daily_raw!$B$2:$B$3819)</f>
        <v>94.75</v>
      </c>
      <c r="C1026" s="6">
        <v>18.57</v>
      </c>
    </row>
    <row r="1027" spans="1:3" x14ac:dyDescent="0.25">
      <c r="A1027" s="4">
        <v>37232</v>
      </c>
      <c r="B1027" s="5">
        <f>_xlfn.XLOOKUP(A1027,bunker_daily_raw!$A$2:$A$3819,bunker_daily_raw!$B$2:$B$3819)</f>
        <v>94.5</v>
      </c>
      <c r="C1027" s="6">
        <v>17.809999999999999</v>
      </c>
    </row>
    <row r="1028" spans="1:3" x14ac:dyDescent="0.25">
      <c r="A1028" s="4">
        <v>37235</v>
      </c>
      <c r="B1028" s="5">
        <f>_xlfn.XLOOKUP(A1028,bunker_daily_raw!$A$2:$A$3819,bunker_daily_raw!$B$2:$B$3819)</f>
        <v>91</v>
      </c>
      <c r="C1028" s="6">
        <v>18.03</v>
      </c>
    </row>
    <row r="1029" spans="1:3" x14ac:dyDescent="0.25">
      <c r="A1029" s="4">
        <v>37236</v>
      </c>
      <c r="B1029" s="5">
        <f>_xlfn.XLOOKUP(A1029,bunker_daily_raw!$A$2:$A$3819,bunker_daily_raw!$B$2:$B$3819)</f>
        <v>96</v>
      </c>
      <c r="C1029" s="6">
        <v>17.61</v>
      </c>
    </row>
    <row r="1030" spans="1:3" x14ac:dyDescent="0.25">
      <c r="A1030" s="4">
        <v>37237</v>
      </c>
      <c r="B1030" s="5">
        <f>_xlfn.XLOOKUP(A1030,bunker_daily_raw!$A$2:$A$3819,bunker_daily_raw!$B$2:$B$3819)</f>
        <v>96</v>
      </c>
      <c r="C1030" s="6">
        <v>18.13</v>
      </c>
    </row>
    <row r="1031" spans="1:3" x14ac:dyDescent="0.25">
      <c r="A1031" s="4">
        <v>37238</v>
      </c>
      <c r="B1031" s="5">
        <f>_xlfn.XLOOKUP(A1031,bunker_daily_raw!$A$2:$A$3819,bunker_daily_raw!$B$2:$B$3819)</f>
        <v>97</v>
      </c>
      <c r="C1031" s="6">
        <v>17.8</v>
      </c>
    </row>
    <row r="1032" spans="1:3" x14ac:dyDescent="0.25">
      <c r="A1032" s="4">
        <v>37239</v>
      </c>
      <c r="B1032" s="5">
        <f>_xlfn.XLOOKUP(A1032,bunker_daily_raw!$A$2:$A$3819,bunker_daily_raw!$B$2:$B$3819)</f>
        <v>96.5</v>
      </c>
      <c r="C1032" s="6">
        <v>18.54</v>
      </c>
    </row>
    <row r="1033" spans="1:3" x14ac:dyDescent="0.25">
      <c r="A1033" s="4">
        <v>37242</v>
      </c>
      <c r="B1033" s="5" t="e">
        <f>_xlfn.XLOOKUP(A1033,bunker_daily_raw!$A$2:$A$3819,bunker_daily_raw!$B$2:$B$3819)</f>
        <v>#N/A</v>
      </c>
      <c r="C1033" s="6">
        <v>18.579999999999998</v>
      </c>
    </row>
    <row r="1034" spans="1:3" x14ac:dyDescent="0.25">
      <c r="A1034" s="4">
        <v>37243</v>
      </c>
      <c r="B1034" s="5">
        <f>_xlfn.XLOOKUP(A1034,bunker_daily_raw!$A$2:$A$3819,bunker_daily_raw!$B$2:$B$3819)</f>
        <v>96.5</v>
      </c>
      <c r="C1034" s="6">
        <v>18.510000000000002</v>
      </c>
    </row>
    <row r="1035" spans="1:3" x14ac:dyDescent="0.25">
      <c r="A1035" s="4">
        <v>37244</v>
      </c>
      <c r="B1035" s="5">
        <f>_xlfn.XLOOKUP(A1035,bunker_daily_raw!$A$2:$A$3819,bunker_daily_raw!$B$2:$B$3819)</f>
        <v>96.75</v>
      </c>
      <c r="C1035" s="6">
        <v>19.03</v>
      </c>
    </row>
    <row r="1036" spans="1:3" x14ac:dyDescent="0.25">
      <c r="A1036" s="4">
        <v>37245</v>
      </c>
      <c r="B1036" s="5">
        <f>_xlfn.XLOOKUP(A1036,bunker_daily_raw!$A$2:$A$3819,bunker_daily_raw!$B$2:$B$3819)</f>
        <v>102</v>
      </c>
      <c r="C1036" s="6">
        <v>18.87</v>
      </c>
    </row>
    <row r="1037" spans="1:3" x14ac:dyDescent="0.25">
      <c r="A1037" s="4">
        <v>37246</v>
      </c>
      <c r="B1037" s="5">
        <f>_xlfn.XLOOKUP(A1037,bunker_daily_raw!$A$2:$A$3819,bunker_daily_raw!$B$2:$B$3819)</f>
        <v>100.25</v>
      </c>
      <c r="C1037" s="6">
        <v>18.73</v>
      </c>
    </row>
    <row r="1038" spans="1:3" x14ac:dyDescent="0.25">
      <c r="A1038" s="4">
        <v>37249</v>
      </c>
      <c r="B1038" s="5">
        <f>_xlfn.XLOOKUP(A1038,bunker_daily_raw!$A$2:$A$3819,bunker_daily_raw!$B$2:$B$3819)</f>
        <v>98</v>
      </c>
      <c r="C1038" s="6">
        <v>18.649999999999999</v>
      </c>
    </row>
    <row r="1039" spans="1:3" x14ac:dyDescent="0.25">
      <c r="A1039" s="4">
        <v>37250</v>
      </c>
      <c r="B1039" s="5" t="e">
        <f>_xlfn.XLOOKUP(A1039,bunker_daily_raw!$A$2:$A$3819,bunker_daily_raw!$B$2:$B$3819)</f>
        <v>#N/A</v>
      </c>
      <c r="C1039" s="5"/>
    </row>
    <row r="1040" spans="1:3" x14ac:dyDescent="0.25">
      <c r="A1040" s="4">
        <v>37251</v>
      </c>
      <c r="B1040" s="5">
        <f>_xlfn.XLOOKUP(A1040,bunker_daily_raw!$A$2:$A$3819,bunker_daily_raw!$B$2:$B$3819)</f>
        <v>97.5</v>
      </c>
      <c r="C1040" s="5"/>
    </row>
    <row r="1041" spans="1:3" x14ac:dyDescent="0.25">
      <c r="A1041" s="4">
        <v>37252</v>
      </c>
      <c r="B1041" s="5">
        <f>_xlfn.XLOOKUP(A1041,bunker_daily_raw!$A$2:$A$3819,bunker_daily_raw!$B$2:$B$3819)</f>
        <v>101.5</v>
      </c>
      <c r="C1041" s="6">
        <v>18.87</v>
      </c>
    </row>
    <row r="1042" spans="1:3" x14ac:dyDescent="0.25">
      <c r="A1042" s="4">
        <v>37253</v>
      </c>
      <c r="B1042" s="5">
        <f>_xlfn.XLOOKUP(A1042,bunker_daily_raw!$A$2:$A$3819,bunker_daily_raw!$B$2:$B$3819)</f>
        <v>101</v>
      </c>
      <c r="C1042" s="6">
        <v>19.77</v>
      </c>
    </row>
    <row r="1043" spans="1:3" x14ac:dyDescent="0.25">
      <c r="A1043" s="4">
        <v>37256</v>
      </c>
      <c r="B1043" s="5">
        <f>_xlfn.XLOOKUP(A1043,bunker_daily_raw!$A$2:$A$3819,bunker_daily_raw!$B$2:$B$3819)</f>
        <v>106</v>
      </c>
      <c r="C1043" s="6">
        <v>19.350000000000001</v>
      </c>
    </row>
    <row r="1044" spans="1:3" x14ac:dyDescent="0.25">
      <c r="A1044" s="4">
        <v>37257</v>
      </c>
      <c r="B1044" s="5" t="e">
        <f>_xlfn.XLOOKUP(A1044,bunker_daily_raw!$A$2:$A$3819,bunker_daily_raw!$B$2:$B$3819)</f>
        <v>#N/A</v>
      </c>
      <c r="C1044" s="5"/>
    </row>
    <row r="1045" spans="1:3" x14ac:dyDescent="0.25">
      <c r="A1045" s="4">
        <v>37258</v>
      </c>
      <c r="B1045" s="5">
        <f>_xlfn.XLOOKUP(A1045,bunker_daily_raw!$A$2:$A$3819,bunker_daily_raw!$B$2:$B$3819)</f>
        <v>105.5</v>
      </c>
      <c r="C1045" s="6">
        <v>20.13</v>
      </c>
    </row>
    <row r="1046" spans="1:3" x14ac:dyDescent="0.25">
      <c r="A1046" s="4">
        <v>37259</v>
      </c>
      <c r="B1046" s="5">
        <f>_xlfn.XLOOKUP(A1046,bunker_daily_raw!$A$2:$A$3819,bunker_daily_raw!$B$2:$B$3819)</f>
        <v>105</v>
      </c>
      <c r="C1046" s="6">
        <v>20.47</v>
      </c>
    </row>
    <row r="1047" spans="1:3" x14ac:dyDescent="0.25">
      <c r="A1047" s="4">
        <v>37260</v>
      </c>
      <c r="B1047" s="5">
        <f>_xlfn.XLOOKUP(A1047,bunker_daily_raw!$A$2:$A$3819,bunker_daily_raw!$B$2:$B$3819)</f>
        <v>104.75</v>
      </c>
      <c r="C1047" s="6">
        <v>21.2</v>
      </c>
    </row>
    <row r="1048" spans="1:3" x14ac:dyDescent="0.25">
      <c r="A1048" s="4">
        <v>37263</v>
      </c>
      <c r="B1048" s="5">
        <f>_xlfn.XLOOKUP(A1048,bunker_daily_raw!$A$2:$A$3819,bunker_daily_raw!$B$2:$B$3819)</f>
        <v>105.75</v>
      </c>
      <c r="C1048" s="6">
        <v>21.08</v>
      </c>
    </row>
    <row r="1049" spans="1:3" x14ac:dyDescent="0.25">
      <c r="A1049" s="4">
        <v>37264</v>
      </c>
      <c r="B1049" s="5">
        <f>_xlfn.XLOOKUP(A1049,bunker_daily_raw!$A$2:$A$3819,bunker_daily_raw!$B$2:$B$3819)</f>
        <v>103.75</v>
      </c>
      <c r="C1049" s="6">
        <v>21.03</v>
      </c>
    </row>
    <row r="1050" spans="1:3" x14ac:dyDescent="0.25">
      <c r="A1050" s="4">
        <v>37265</v>
      </c>
      <c r="B1050" s="5">
        <f>_xlfn.XLOOKUP(A1050,bunker_daily_raw!$A$2:$A$3819,bunker_daily_raw!$B$2:$B$3819)</f>
        <v>100.5</v>
      </c>
      <c r="C1050" s="6">
        <v>20.21</v>
      </c>
    </row>
    <row r="1051" spans="1:3" x14ac:dyDescent="0.25">
      <c r="A1051" s="4">
        <v>37266</v>
      </c>
      <c r="B1051" s="5">
        <f>_xlfn.XLOOKUP(A1051,bunker_daily_raw!$A$2:$A$3819,bunker_daily_raw!$B$2:$B$3819)</f>
        <v>97.75</v>
      </c>
      <c r="C1051" s="6">
        <v>19.71</v>
      </c>
    </row>
    <row r="1052" spans="1:3" x14ac:dyDescent="0.25">
      <c r="A1052" s="4">
        <v>37267</v>
      </c>
      <c r="B1052" s="5">
        <f>_xlfn.XLOOKUP(A1052,bunker_daily_raw!$A$2:$A$3819,bunker_daily_raw!$B$2:$B$3819)</f>
        <v>98.5</v>
      </c>
      <c r="C1052" s="6">
        <v>20.079999999999998</v>
      </c>
    </row>
    <row r="1053" spans="1:3" x14ac:dyDescent="0.25">
      <c r="A1053" s="4">
        <v>37270</v>
      </c>
      <c r="B1053" s="5">
        <f>_xlfn.XLOOKUP(A1053,bunker_daily_raw!$A$2:$A$3819,bunker_daily_raw!$B$2:$B$3819)</f>
        <v>99.5</v>
      </c>
      <c r="C1053" s="6">
        <v>18.89</v>
      </c>
    </row>
    <row r="1054" spans="1:3" x14ac:dyDescent="0.25">
      <c r="A1054" s="4">
        <v>37271</v>
      </c>
      <c r="B1054" s="5">
        <f>_xlfn.XLOOKUP(A1054,bunker_daily_raw!$A$2:$A$3819,bunker_daily_raw!$B$2:$B$3819)</f>
        <v>99</v>
      </c>
      <c r="C1054" s="6">
        <v>18.86</v>
      </c>
    </row>
    <row r="1055" spans="1:3" x14ac:dyDescent="0.25">
      <c r="A1055" s="4">
        <v>37272</v>
      </c>
      <c r="B1055" s="5">
        <f>_xlfn.XLOOKUP(A1055,bunker_daily_raw!$A$2:$A$3819,bunker_daily_raw!$B$2:$B$3819)</f>
        <v>99.5</v>
      </c>
      <c r="C1055" s="6">
        <v>18.5</v>
      </c>
    </row>
    <row r="1056" spans="1:3" x14ac:dyDescent="0.25">
      <c r="A1056" s="4">
        <v>37273</v>
      </c>
      <c r="B1056" s="5">
        <f>_xlfn.XLOOKUP(A1056,bunker_daily_raw!$A$2:$A$3819,bunker_daily_raw!$B$2:$B$3819)</f>
        <v>100.75</v>
      </c>
      <c r="C1056" s="6">
        <v>18.2</v>
      </c>
    </row>
    <row r="1057" spans="1:3" x14ac:dyDescent="0.25">
      <c r="A1057" s="4">
        <v>37274</v>
      </c>
      <c r="B1057" s="5">
        <f>_xlfn.XLOOKUP(A1057,bunker_daily_raw!$A$2:$A$3819,bunker_daily_raw!$B$2:$B$3819)</f>
        <v>100.25</v>
      </c>
      <c r="C1057" s="6">
        <v>18.170000000000002</v>
      </c>
    </row>
    <row r="1058" spans="1:3" x14ac:dyDescent="0.25">
      <c r="A1058" s="4">
        <v>37277</v>
      </c>
      <c r="B1058" s="5">
        <f>_xlfn.XLOOKUP(A1058,bunker_daily_raw!$A$2:$A$3819,bunker_daily_raw!$B$2:$B$3819)</f>
        <v>100.5</v>
      </c>
      <c r="C1058" s="6">
        <v>18.32</v>
      </c>
    </row>
    <row r="1059" spans="1:3" x14ac:dyDescent="0.25">
      <c r="A1059" s="4">
        <v>37278</v>
      </c>
      <c r="B1059" s="5">
        <f>_xlfn.XLOOKUP(A1059,bunker_daily_raw!$A$2:$A$3819,bunker_daily_raw!$B$2:$B$3819)</f>
        <v>101.25</v>
      </c>
      <c r="C1059" s="6">
        <v>18.7</v>
      </c>
    </row>
    <row r="1060" spans="1:3" x14ac:dyDescent="0.25">
      <c r="A1060" s="4">
        <v>37279</v>
      </c>
      <c r="B1060" s="5">
        <f>_xlfn.XLOOKUP(A1060,bunker_daily_raw!$A$2:$A$3819,bunker_daily_raw!$B$2:$B$3819)</f>
        <v>99</v>
      </c>
      <c r="C1060" s="6">
        <v>18.89</v>
      </c>
    </row>
    <row r="1061" spans="1:3" x14ac:dyDescent="0.25">
      <c r="A1061" s="4">
        <v>37280</v>
      </c>
      <c r="B1061" s="5">
        <f>_xlfn.XLOOKUP(A1061,bunker_daily_raw!$A$2:$A$3819,bunker_daily_raw!$B$2:$B$3819)</f>
        <v>97.25</v>
      </c>
      <c r="C1061" s="6">
        <v>18.91</v>
      </c>
    </row>
    <row r="1062" spans="1:3" x14ac:dyDescent="0.25">
      <c r="A1062" s="4">
        <v>37281</v>
      </c>
      <c r="B1062" s="5">
        <f>_xlfn.XLOOKUP(A1062,bunker_daily_raw!$A$2:$A$3819,bunker_daily_raw!$B$2:$B$3819)</f>
        <v>97.25</v>
      </c>
      <c r="C1062" s="6">
        <v>19.04</v>
      </c>
    </row>
    <row r="1063" spans="1:3" x14ac:dyDescent="0.25">
      <c r="A1063" s="4">
        <v>37284</v>
      </c>
      <c r="B1063" s="5">
        <f>_xlfn.XLOOKUP(A1063,bunker_daily_raw!$A$2:$A$3819,bunker_daily_raw!$B$2:$B$3819)</f>
        <v>98.75</v>
      </c>
      <c r="C1063" s="6">
        <v>19.739999999999998</v>
      </c>
    </row>
    <row r="1064" spans="1:3" x14ac:dyDescent="0.25">
      <c r="A1064" s="4">
        <v>37285</v>
      </c>
      <c r="B1064" s="5">
        <f>_xlfn.XLOOKUP(A1064,bunker_daily_raw!$A$2:$A$3819,bunker_daily_raw!$B$2:$B$3819)</f>
        <v>100</v>
      </c>
      <c r="C1064" s="6">
        <v>19.260000000000002</v>
      </c>
    </row>
    <row r="1065" spans="1:3" x14ac:dyDescent="0.25">
      <c r="A1065" s="4">
        <v>37286</v>
      </c>
      <c r="B1065" s="5">
        <f>_xlfn.XLOOKUP(A1065,bunker_daily_raw!$A$2:$A$3819,bunker_daily_raw!$B$2:$B$3819)</f>
        <v>99</v>
      </c>
      <c r="C1065" s="6">
        <v>18.71</v>
      </c>
    </row>
    <row r="1066" spans="1:3" x14ac:dyDescent="0.25">
      <c r="A1066" s="4">
        <v>37287</v>
      </c>
      <c r="B1066" s="5">
        <f>_xlfn.XLOOKUP(A1066,bunker_daily_raw!$A$2:$A$3819,bunker_daily_raw!$B$2:$B$3819)</f>
        <v>99.25</v>
      </c>
      <c r="C1066" s="6">
        <v>19.07</v>
      </c>
    </row>
    <row r="1067" spans="1:3" x14ac:dyDescent="0.25">
      <c r="A1067" s="4">
        <v>37288</v>
      </c>
      <c r="B1067" s="5">
        <f>_xlfn.XLOOKUP(A1067,bunker_daily_raw!$A$2:$A$3819,bunker_daily_raw!$B$2:$B$3819)</f>
        <v>99</v>
      </c>
      <c r="C1067" s="6">
        <v>19.7</v>
      </c>
    </row>
    <row r="1068" spans="1:3" x14ac:dyDescent="0.25">
      <c r="A1068" s="4">
        <v>37291</v>
      </c>
      <c r="B1068" s="5">
        <f>_xlfn.XLOOKUP(A1068,bunker_daily_raw!$A$2:$A$3819,bunker_daily_raw!$B$2:$B$3819)</f>
        <v>99.25</v>
      </c>
      <c r="C1068" s="6">
        <v>20.260000000000002</v>
      </c>
    </row>
    <row r="1069" spans="1:3" x14ac:dyDescent="0.25">
      <c r="A1069" s="4">
        <v>37292</v>
      </c>
      <c r="B1069" s="5">
        <f>_xlfn.XLOOKUP(A1069,bunker_daily_raw!$A$2:$A$3819,bunker_daily_raw!$B$2:$B$3819)</f>
        <v>99.75</v>
      </c>
      <c r="C1069" s="6">
        <v>19.899999999999999</v>
      </c>
    </row>
    <row r="1070" spans="1:3" x14ac:dyDescent="0.25">
      <c r="A1070" s="4">
        <v>37293</v>
      </c>
      <c r="B1070" s="5">
        <f>_xlfn.XLOOKUP(A1070,bunker_daily_raw!$A$2:$A$3819,bunker_daily_raw!$B$2:$B$3819)</f>
        <v>102</v>
      </c>
      <c r="C1070" s="6">
        <v>19.97</v>
      </c>
    </row>
    <row r="1071" spans="1:3" x14ac:dyDescent="0.25">
      <c r="A1071" s="4">
        <v>37294</v>
      </c>
      <c r="B1071" s="5">
        <f>_xlfn.XLOOKUP(A1071,bunker_daily_raw!$A$2:$A$3819,bunker_daily_raw!$B$2:$B$3819)</f>
        <v>100</v>
      </c>
      <c r="C1071" s="6">
        <v>19.420000000000002</v>
      </c>
    </row>
    <row r="1072" spans="1:3" x14ac:dyDescent="0.25">
      <c r="A1072" s="4">
        <v>37295</v>
      </c>
      <c r="B1072" s="5">
        <f>_xlfn.XLOOKUP(A1072,bunker_daily_raw!$A$2:$A$3819,bunker_daily_raw!$B$2:$B$3819)</f>
        <v>102</v>
      </c>
      <c r="C1072" s="6">
        <v>20.010000000000002</v>
      </c>
    </row>
    <row r="1073" spans="1:3" x14ac:dyDescent="0.25">
      <c r="A1073" s="4">
        <v>37298</v>
      </c>
      <c r="B1073" s="5">
        <f>_xlfn.XLOOKUP(A1073,bunker_daily_raw!$A$2:$A$3819,bunker_daily_raw!$B$2:$B$3819)</f>
        <v>102</v>
      </c>
      <c r="C1073" s="6">
        <v>20.079999999999998</v>
      </c>
    </row>
    <row r="1074" spans="1:3" x14ac:dyDescent="0.25">
      <c r="A1074" s="4">
        <v>37299</v>
      </c>
      <c r="B1074" s="5" t="e">
        <f>_xlfn.XLOOKUP(A1074,bunker_daily_raw!$A$2:$A$3819,bunker_daily_raw!$B$2:$B$3819)</f>
        <v>#N/A</v>
      </c>
      <c r="C1074" s="6">
        <v>21.75</v>
      </c>
    </row>
    <row r="1075" spans="1:3" x14ac:dyDescent="0.25">
      <c r="A1075" s="4">
        <v>37300</v>
      </c>
      <c r="B1075" s="5" t="e">
        <f>_xlfn.XLOOKUP(A1075,bunker_daily_raw!$A$2:$A$3819,bunker_daily_raw!$B$2:$B$3819)</f>
        <v>#N/A</v>
      </c>
      <c r="C1075" s="6">
        <v>21.41</v>
      </c>
    </row>
    <row r="1076" spans="1:3" x14ac:dyDescent="0.25">
      <c r="A1076" s="4">
        <v>37301</v>
      </c>
      <c r="B1076" s="5">
        <f>_xlfn.XLOOKUP(A1076,bunker_daily_raw!$A$2:$A$3819,bunker_daily_raw!$B$2:$B$3819)</f>
        <v>104.25</v>
      </c>
      <c r="C1076" s="6">
        <v>20.97</v>
      </c>
    </row>
    <row r="1077" spans="1:3" x14ac:dyDescent="0.25">
      <c r="A1077" s="4">
        <v>37302</v>
      </c>
      <c r="B1077" s="5">
        <f>_xlfn.XLOOKUP(A1077,bunker_daily_raw!$A$2:$A$3819,bunker_daily_raw!$B$2:$B$3819)</f>
        <v>102</v>
      </c>
      <c r="C1077" s="6">
        <v>20.76</v>
      </c>
    </row>
    <row r="1078" spans="1:3" x14ac:dyDescent="0.25">
      <c r="A1078" s="4">
        <v>37305</v>
      </c>
      <c r="B1078" s="5">
        <f>_xlfn.XLOOKUP(A1078,bunker_daily_raw!$A$2:$A$3819,bunker_daily_raw!$B$2:$B$3819)</f>
        <v>102.5</v>
      </c>
      <c r="C1078" s="6">
        <v>20.12</v>
      </c>
    </row>
    <row r="1079" spans="1:3" x14ac:dyDescent="0.25">
      <c r="A1079" s="4">
        <v>37306</v>
      </c>
      <c r="B1079" s="5">
        <f>_xlfn.XLOOKUP(A1079,bunker_daily_raw!$A$2:$A$3819,bunker_daily_raw!$B$2:$B$3819)</f>
        <v>103</v>
      </c>
      <c r="C1079" s="6">
        <v>20.18</v>
      </c>
    </row>
    <row r="1080" spans="1:3" x14ac:dyDescent="0.25">
      <c r="A1080" s="4">
        <v>37307</v>
      </c>
      <c r="B1080" s="5">
        <f>_xlfn.XLOOKUP(A1080,bunker_daily_raw!$A$2:$A$3819,bunker_daily_raw!$B$2:$B$3819)</f>
        <v>104</v>
      </c>
      <c r="C1080" s="6">
        <v>19.440000000000001</v>
      </c>
    </row>
    <row r="1081" spans="1:3" x14ac:dyDescent="0.25">
      <c r="A1081" s="4">
        <v>37308</v>
      </c>
      <c r="B1081" s="5">
        <f>_xlfn.XLOOKUP(A1081,bunker_daily_raw!$A$2:$A$3819,bunker_daily_raw!$B$2:$B$3819)</f>
        <v>106</v>
      </c>
      <c r="C1081" s="6">
        <v>20.21</v>
      </c>
    </row>
    <row r="1082" spans="1:3" x14ac:dyDescent="0.25">
      <c r="A1082" s="4">
        <v>37309</v>
      </c>
      <c r="B1082" s="5">
        <f>_xlfn.XLOOKUP(A1082,bunker_daily_raw!$A$2:$A$3819,bunker_daily_raw!$B$2:$B$3819)</f>
        <v>108.5</v>
      </c>
      <c r="C1082" s="6">
        <v>20.14</v>
      </c>
    </row>
    <row r="1083" spans="1:3" x14ac:dyDescent="0.25">
      <c r="A1083" s="4">
        <v>37312</v>
      </c>
      <c r="B1083" s="5" t="e">
        <f>_xlfn.XLOOKUP(A1083,bunker_daily_raw!$A$2:$A$3819,bunker_daily_raw!$B$2:$B$3819)</f>
        <v>#N/A</v>
      </c>
      <c r="C1083" s="6">
        <v>19.78</v>
      </c>
    </row>
    <row r="1084" spans="1:3" x14ac:dyDescent="0.25">
      <c r="A1084" s="4">
        <v>37313</v>
      </c>
      <c r="B1084" s="5">
        <f>_xlfn.XLOOKUP(A1084,bunker_daily_raw!$A$2:$A$3819,bunker_daily_raw!$B$2:$B$3819)</f>
        <v>112</v>
      </c>
      <c r="C1084" s="6">
        <v>19.95</v>
      </c>
    </row>
    <row r="1085" spans="1:3" x14ac:dyDescent="0.25">
      <c r="A1085" s="4">
        <v>37314</v>
      </c>
      <c r="B1085" s="5">
        <f>_xlfn.XLOOKUP(A1085,bunker_daily_raw!$A$2:$A$3819,bunker_daily_raw!$B$2:$B$3819)</f>
        <v>112</v>
      </c>
      <c r="C1085" s="6">
        <v>20.73</v>
      </c>
    </row>
    <row r="1086" spans="1:3" x14ac:dyDescent="0.25">
      <c r="A1086" s="4">
        <v>37315</v>
      </c>
      <c r="B1086" s="5">
        <f>_xlfn.XLOOKUP(A1086,bunker_daily_raw!$A$2:$A$3819,bunker_daily_raw!$B$2:$B$3819)</f>
        <v>115</v>
      </c>
      <c r="C1086" s="6">
        <v>20.73</v>
      </c>
    </row>
    <row r="1087" spans="1:3" x14ac:dyDescent="0.25">
      <c r="A1087" s="4">
        <v>37316</v>
      </c>
      <c r="B1087" s="5">
        <f>_xlfn.XLOOKUP(A1087,bunker_daily_raw!$A$2:$A$3819,bunker_daily_raw!$B$2:$B$3819)</f>
        <v>114.5</v>
      </c>
      <c r="C1087" s="6">
        <v>21.83</v>
      </c>
    </row>
    <row r="1088" spans="1:3" x14ac:dyDescent="0.25">
      <c r="A1088" s="4">
        <v>37319</v>
      </c>
      <c r="B1088" s="5">
        <f>_xlfn.XLOOKUP(A1088,bunker_daily_raw!$A$2:$A$3819,bunker_daily_raw!$B$2:$B$3819)</f>
        <v>114</v>
      </c>
      <c r="C1088" s="6">
        <v>21.59</v>
      </c>
    </row>
    <row r="1089" spans="1:3" x14ac:dyDescent="0.25">
      <c r="A1089" s="4">
        <v>37320</v>
      </c>
      <c r="B1089" s="5">
        <f>_xlfn.XLOOKUP(A1089,bunker_daily_raw!$A$2:$A$3819,bunker_daily_raw!$B$2:$B$3819)</f>
        <v>114.5</v>
      </c>
      <c r="C1089" s="6">
        <v>22.25</v>
      </c>
    </row>
    <row r="1090" spans="1:3" x14ac:dyDescent="0.25">
      <c r="A1090" s="4">
        <v>37321</v>
      </c>
      <c r="B1090" s="5">
        <f>_xlfn.XLOOKUP(A1090,bunker_daily_raw!$A$2:$A$3819,bunker_daily_raw!$B$2:$B$3819)</f>
        <v>117</v>
      </c>
      <c r="C1090" s="6">
        <v>22.11</v>
      </c>
    </row>
    <row r="1091" spans="1:3" x14ac:dyDescent="0.25">
      <c r="A1091" s="4">
        <v>37322</v>
      </c>
      <c r="B1091" s="5">
        <f>_xlfn.XLOOKUP(A1091,bunker_daily_raw!$A$2:$A$3819,bunker_daily_raw!$B$2:$B$3819)</f>
        <v>114.5</v>
      </c>
      <c r="C1091" s="6">
        <v>23.1</v>
      </c>
    </row>
    <row r="1092" spans="1:3" x14ac:dyDescent="0.25">
      <c r="A1092" s="4">
        <v>37323</v>
      </c>
      <c r="B1092" s="5">
        <f>_xlfn.XLOOKUP(A1092,bunker_daily_raw!$A$2:$A$3819,bunker_daily_raw!$B$2:$B$3819)</f>
        <v>118</v>
      </c>
      <c r="C1092" s="6">
        <v>22.32</v>
      </c>
    </row>
    <row r="1093" spans="1:3" x14ac:dyDescent="0.25">
      <c r="A1093" s="4">
        <v>37326</v>
      </c>
      <c r="B1093" s="5">
        <f>_xlfn.XLOOKUP(A1093,bunker_daily_raw!$A$2:$A$3819,bunker_daily_raw!$B$2:$B$3819)</f>
        <v>118</v>
      </c>
      <c r="C1093" s="6">
        <v>23.14</v>
      </c>
    </row>
    <row r="1094" spans="1:3" x14ac:dyDescent="0.25">
      <c r="A1094" s="4">
        <v>37327</v>
      </c>
      <c r="B1094" s="5">
        <f>_xlfn.XLOOKUP(A1094,bunker_daily_raw!$A$2:$A$3819,bunker_daily_raw!$B$2:$B$3819)</f>
        <v>120.5</v>
      </c>
      <c r="C1094" s="6">
        <v>22.7</v>
      </c>
    </row>
    <row r="1095" spans="1:3" x14ac:dyDescent="0.25">
      <c r="A1095" s="4">
        <v>37328</v>
      </c>
      <c r="B1095" s="5">
        <f>_xlfn.XLOOKUP(A1095,bunker_daily_raw!$A$2:$A$3819,bunker_daily_raw!$B$2:$B$3819)</f>
        <v>119.75</v>
      </c>
      <c r="C1095" s="6">
        <v>23.6</v>
      </c>
    </row>
    <row r="1096" spans="1:3" x14ac:dyDescent="0.25">
      <c r="A1096" s="4">
        <v>37329</v>
      </c>
      <c r="B1096" s="5">
        <f>_xlfn.XLOOKUP(A1096,bunker_daily_raw!$A$2:$A$3819,bunker_daily_raw!$B$2:$B$3819)</f>
        <v>120</v>
      </c>
      <c r="C1096" s="6">
        <v>23.76</v>
      </c>
    </row>
    <row r="1097" spans="1:3" x14ac:dyDescent="0.25">
      <c r="A1097" s="4">
        <v>37330</v>
      </c>
      <c r="B1097" s="5">
        <f>_xlfn.XLOOKUP(A1097,bunker_daily_raw!$A$2:$A$3819,bunker_daily_raw!$B$2:$B$3819)</f>
        <v>117.5</v>
      </c>
      <c r="C1097" s="6">
        <v>23.9</v>
      </c>
    </row>
    <row r="1098" spans="1:3" x14ac:dyDescent="0.25">
      <c r="A1098" s="4">
        <v>37333</v>
      </c>
      <c r="B1098" s="5">
        <f>_xlfn.XLOOKUP(A1098,bunker_daily_raw!$A$2:$A$3819,bunker_daily_raw!$B$2:$B$3819)</f>
        <v>120</v>
      </c>
      <c r="C1098" s="6">
        <v>23.8</v>
      </c>
    </row>
    <row r="1099" spans="1:3" x14ac:dyDescent="0.25">
      <c r="A1099" s="4">
        <v>37334</v>
      </c>
      <c r="B1099" s="5">
        <f>_xlfn.XLOOKUP(A1099,bunker_daily_raw!$A$2:$A$3819,bunker_daily_raw!$B$2:$B$3819)</f>
        <v>119</v>
      </c>
      <c r="C1099" s="6">
        <v>24.51</v>
      </c>
    </row>
    <row r="1100" spans="1:3" x14ac:dyDescent="0.25">
      <c r="A1100" s="4">
        <v>37335</v>
      </c>
      <c r="B1100" s="5">
        <f>_xlfn.XLOOKUP(A1100,bunker_daily_raw!$A$2:$A$3819,bunker_daily_raw!$B$2:$B$3819)</f>
        <v>118.5</v>
      </c>
      <c r="C1100" s="6">
        <v>24.78</v>
      </c>
    </row>
    <row r="1101" spans="1:3" x14ac:dyDescent="0.25">
      <c r="A1101" s="4">
        <v>37336</v>
      </c>
      <c r="B1101" s="5">
        <f>_xlfn.XLOOKUP(A1101,bunker_daily_raw!$A$2:$A$3819,bunker_daily_raw!$B$2:$B$3819)</f>
        <v>120.5</v>
      </c>
      <c r="C1101" s="6">
        <v>24.25</v>
      </c>
    </row>
    <row r="1102" spans="1:3" x14ac:dyDescent="0.25">
      <c r="A1102" s="4">
        <v>37337</v>
      </c>
      <c r="B1102" s="5">
        <f>_xlfn.XLOOKUP(A1102,bunker_daily_raw!$A$2:$A$3819,bunker_daily_raw!$B$2:$B$3819)</f>
        <v>120.5</v>
      </c>
      <c r="C1102" s="6">
        <v>24.83</v>
      </c>
    </row>
    <row r="1103" spans="1:3" x14ac:dyDescent="0.25">
      <c r="A1103" s="4">
        <v>37340</v>
      </c>
      <c r="B1103" s="5">
        <f>_xlfn.XLOOKUP(A1103,bunker_daily_raw!$A$2:$A$3819,bunker_daily_raw!$B$2:$B$3819)</f>
        <v>121</v>
      </c>
      <c r="C1103" s="6">
        <v>24.75</v>
      </c>
    </row>
    <row r="1104" spans="1:3" x14ac:dyDescent="0.25">
      <c r="A1104" s="4">
        <v>37341</v>
      </c>
      <c r="B1104" s="5">
        <f>_xlfn.XLOOKUP(A1104,bunker_daily_raw!$A$2:$A$3819,bunker_daily_raw!$B$2:$B$3819)</f>
        <v>122.75</v>
      </c>
      <c r="C1104" s="6">
        <v>24.6</v>
      </c>
    </row>
    <row r="1105" spans="1:3" x14ac:dyDescent="0.25">
      <c r="A1105" s="4">
        <v>37342</v>
      </c>
      <c r="B1105" s="5">
        <f>_xlfn.XLOOKUP(A1105,bunker_daily_raw!$A$2:$A$3819,bunker_daily_raw!$B$2:$B$3819)</f>
        <v>120.5</v>
      </c>
      <c r="C1105" s="6">
        <v>25.13</v>
      </c>
    </row>
    <row r="1106" spans="1:3" x14ac:dyDescent="0.25">
      <c r="A1106" s="4">
        <v>37343</v>
      </c>
      <c r="B1106" s="5">
        <f>_xlfn.XLOOKUP(A1106,bunker_daily_raw!$A$2:$A$3819,bunker_daily_raw!$B$2:$B$3819)</f>
        <v>127</v>
      </c>
      <c r="C1106" s="6">
        <v>25.34</v>
      </c>
    </row>
    <row r="1107" spans="1:3" x14ac:dyDescent="0.25">
      <c r="A1107" s="4">
        <v>37344</v>
      </c>
      <c r="B1107" s="5" t="e">
        <f>_xlfn.XLOOKUP(A1107,bunker_daily_raw!$A$2:$A$3819,bunker_daily_raw!$B$2:$B$3819)</f>
        <v>#N/A</v>
      </c>
      <c r="C1107" s="6">
        <v>25.34</v>
      </c>
    </row>
    <row r="1108" spans="1:3" x14ac:dyDescent="0.25">
      <c r="A1108" s="4">
        <v>37347</v>
      </c>
      <c r="B1108" s="5">
        <f>_xlfn.XLOOKUP(A1108,bunker_daily_raw!$A$2:$A$3819,bunker_daily_raw!$B$2:$B$3819)</f>
        <v>130.5</v>
      </c>
      <c r="C1108" s="6">
        <v>26.06</v>
      </c>
    </row>
    <row r="1109" spans="1:3" x14ac:dyDescent="0.25">
      <c r="A1109" s="4">
        <v>37348</v>
      </c>
      <c r="B1109" s="5">
        <f>_xlfn.XLOOKUP(A1109,bunker_daily_raw!$A$2:$A$3819,bunker_daily_raw!$B$2:$B$3819)</f>
        <v>135.5</v>
      </c>
      <c r="C1109" s="6">
        <v>26.97</v>
      </c>
    </row>
    <row r="1110" spans="1:3" x14ac:dyDescent="0.25">
      <c r="A1110" s="4">
        <v>37349</v>
      </c>
      <c r="B1110" s="5">
        <f>_xlfn.XLOOKUP(A1110,bunker_daily_raw!$A$2:$A$3819,bunker_daily_raw!$B$2:$B$3819)</f>
        <v>132</v>
      </c>
      <c r="C1110" s="6">
        <v>26.72</v>
      </c>
    </row>
    <row r="1111" spans="1:3" x14ac:dyDescent="0.25">
      <c r="A1111" s="4">
        <v>37350</v>
      </c>
      <c r="B1111" s="5">
        <f>_xlfn.XLOOKUP(A1111,bunker_daily_raw!$A$2:$A$3819,bunker_daily_raw!$B$2:$B$3819)</f>
        <v>133</v>
      </c>
      <c r="C1111" s="6">
        <v>26.97</v>
      </c>
    </row>
    <row r="1112" spans="1:3" x14ac:dyDescent="0.25">
      <c r="A1112" s="4">
        <v>37351</v>
      </c>
      <c r="B1112" s="5">
        <f>_xlfn.XLOOKUP(A1112,bunker_daily_raw!$A$2:$A$3819,bunker_daily_raw!$B$2:$B$3819)</f>
        <v>131</v>
      </c>
      <c r="C1112" s="6">
        <v>25.39</v>
      </c>
    </row>
    <row r="1113" spans="1:3" x14ac:dyDescent="0.25">
      <c r="A1113" s="4">
        <v>37354</v>
      </c>
      <c r="B1113" s="5">
        <f>_xlfn.XLOOKUP(A1113,bunker_daily_raw!$A$2:$A$3819,bunker_daily_raw!$B$2:$B$3819)</f>
        <v>129.5</v>
      </c>
      <c r="C1113" s="6">
        <v>26.36</v>
      </c>
    </row>
    <row r="1114" spans="1:3" x14ac:dyDescent="0.25">
      <c r="A1114" s="4">
        <v>37355</v>
      </c>
      <c r="B1114" s="5">
        <f>_xlfn.XLOOKUP(A1114,bunker_daily_raw!$A$2:$A$3819,bunker_daily_raw!$B$2:$B$3819)</f>
        <v>129</v>
      </c>
      <c r="C1114" s="6">
        <v>25.48</v>
      </c>
    </row>
    <row r="1115" spans="1:3" x14ac:dyDescent="0.25">
      <c r="A1115" s="4">
        <v>37356</v>
      </c>
      <c r="B1115" s="5">
        <f>_xlfn.XLOOKUP(A1115,bunker_daily_raw!$A$2:$A$3819,bunker_daily_raw!$B$2:$B$3819)</f>
        <v>123.5</v>
      </c>
      <c r="C1115" s="6">
        <v>25.13</v>
      </c>
    </row>
    <row r="1116" spans="1:3" x14ac:dyDescent="0.25">
      <c r="A1116" s="4">
        <v>37357</v>
      </c>
      <c r="B1116" s="5">
        <f>_xlfn.XLOOKUP(A1116,bunker_daily_raw!$A$2:$A$3819,bunker_daily_raw!$B$2:$B$3819)</f>
        <v>122.5</v>
      </c>
      <c r="C1116" s="6">
        <v>24.22</v>
      </c>
    </row>
    <row r="1117" spans="1:3" x14ac:dyDescent="0.25">
      <c r="A1117" s="4">
        <v>37358</v>
      </c>
      <c r="B1117" s="5">
        <f>_xlfn.XLOOKUP(A1117,bunker_daily_raw!$A$2:$A$3819,bunker_daily_raw!$B$2:$B$3819)</f>
        <v>127.75</v>
      </c>
      <c r="C1117" s="6">
        <v>23.25</v>
      </c>
    </row>
    <row r="1118" spans="1:3" x14ac:dyDescent="0.25">
      <c r="A1118" s="4">
        <v>37361</v>
      </c>
      <c r="B1118" s="5">
        <f>_xlfn.XLOOKUP(A1118,bunker_daily_raw!$A$2:$A$3819,bunker_daily_raw!$B$2:$B$3819)</f>
        <v>130.75</v>
      </c>
      <c r="C1118" s="6">
        <v>23.39</v>
      </c>
    </row>
    <row r="1119" spans="1:3" x14ac:dyDescent="0.25">
      <c r="A1119" s="4">
        <v>37362</v>
      </c>
      <c r="B1119" s="5">
        <f>_xlfn.XLOOKUP(A1119,bunker_daily_raw!$A$2:$A$3819,bunker_daily_raw!$B$2:$B$3819)</f>
        <v>133.5</v>
      </c>
      <c r="C1119" s="6">
        <v>24.03</v>
      </c>
    </row>
    <row r="1120" spans="1:3" x14ac:dyDescent="0.25">
      <c r="A1120" s="4">
        <v>37363</v>
      </c>
      <c r="B1120" s="5">
        <f>_xlfn.XLOOKUP(A1120,bunker_daily_raw!$A$2:$A$3819,bunker_daily_raw!$B$2:$B$3819)</f>
        <v>132.25</v>
      </c>
      <c r="C1120" s="6">
        <v>25.26</v>
      </c>
    </row>
    <row r="1121" spans="1:3" x14ac:dyDescent="0.25">
      <c r="A1121" s="4">
        <v>37364</v>
      </c>
      <c r="B1121" s="5">
        <f>_xlfn.XLOOKUP(A1121,bunker_daily_raw!$A$2:$A$3819,bunker_daily_raw!$B$2:$B$3819)</f>
        <v>135</v>
      </c>
      <c r="C1121" s="6">
        <v>25.9</v>
      </c>
    </row>
    <row r="1122" spans="1:3" x14ac:dyDescent="0.25">
      <c r="A1122" s="4">
        <v>37365</v>
      </c>
      <c r="B1122" s="5">
        <f>_xlfn.XLOOKUP(A1122,bunker_daily_raw!$A$2:$A$3819,bunker_daily_raw!$B$2:$B$3819)</f>
        <v>136</v>
      </c>
      <c r="C1122" s="6">
        <v>25.86</v>
      </c>
    </row>
    <row r="1123" spans="1:3" x14ac:dyDescent="0.25">
      <c r="A1123" s="4">
        <v>37368</v>
      </c>
      <c r="B1123" s="5">
        <f>_xlfn.XLOOKUP(A1123,bunker_daily_raw!$A$2:$A$3819,bunker_daily_raw!$B$2:$B$3819)</f>
        <v>133.5</v>
      </c>
      <c r="C1123" s="6">
        <v>25.96</v>
      </c>
    </row>
    <row r="1124" spans="1:3" x14ac:dyDescent="0.25">
      <c r="A1124" s="4">
        <v>37369</v>
      </c>
      <c r="B1124" s="5">
        <f>_xlfn.XLOOKUP(A1124,bunker_daily_raw!$A$2:$A$3819,bunker_daily_raw!$B$2:$B$3819)</f>
        <v>138</v>
      </c>
      <c r="C1124" s="6">
        <v>26.26</v>
      </c>
    </row>
    <row r="1125" spans="1:3" x14ac:dyDescent="0.25">
      <c r="A1125" s="4">
        <v>37370</v>
      </c>
      <c r="B1125" s="5">
        <f>_xlfn.XLOOKUP(A1125,bunker_daily_raw!$A$2:$A$3819,bunker_daily_raw!$B$2:$B$3819)</f>
        <v>138.5</v>
      </c>
      <c r="C1125" s="6">
        <v>26.2</v>
      </c>
    </row>
    <row r="1126" spans="1:3" x14ac:dyDescent="0.25">
      <c r="A1126" s="4">
        <v>37371</v>
      </c>
      <c r="B1126" s="5">
        <f>_xlfn.XLOOKUP(A1126,bunker_daily_raw!$A$2:$A$3819,bunker_daily_raw!$B$2:$B$3819)</f>
        <v>140.25</v>
      </c>
      <c r="C1126" s="6">
        <v>26.47</v>
      </c>
    </row>
    <row r="1127" spans="1:3" x14ac:dyDescent="0.25">
      <c r="A1127" s="4">
        <v>37372</v>
      </c>
      <c r="B1127" s="5">
        <f>_xlfn.XLOOKUP(A1127,bunker_daily_raw!$A$2:$A$3819,bunker_daily_raw!$B$2:$B$3819)</f>
        <v>142.5</v>
      </c>
      <c r="C1127" s="6">
        <v>26.32</v>
      </c>
    </row>
    <row r="1128" spans="1:3" x14ac:dyDescent="0.25">
      <c r="A1128" s="4">
        <v>37375</v>
      </c>
      <c r="B1128" s="5">
        <f>_xlfn.XLOOKUP(A1128,bunker_daily_raw!$A$2:$A$3819,bunker_daily_raw!$B$2:$B$3819)</f>
        <v>142.5</v>
      </c>
      <c r="C1128" s="6">
        <v>26.85</v>
      </c>
    </row>
    <row r="1129" spans="1:3" x14ac:dyDescent="0.25">
      <c r="A1129" s="4">
        <v>37376</v>
      </c>
      <c r="B1129" s="5">
        <f>_xlfn.XLOOKUP(A1129,bunker_daily_raw!$A$2:$A$3819,bunker_daily_raw!$B$2:$B$3819)</f>
        <v>137.5</v>
      </c>
      <c r="C1129" s="6">
        <v>26.98</v>
      </c>
    </row>
    <row r="1130" spans="1:3" x14ac:dyDescent="0.25">
      <c r="A1130" s="4">
        <v>37377</v>
      </c>
      <c r="B1130" s="5" t="e">
        <f>_xlfn.XLOOKUP(A1130,bunker_daily_raw!$A$2:$A$3819,bunker_daily_raw!$B$2:$B$3819)</f>
        <v>#N/A</v>
      </c>
      <c r="C1130" s="6">
        <v>26.67</v>
      </c>
    </row>
    <row r="1131" spans="1:3" x14ac:dyDescent="0.25">
      <c r="A1131" s="4">
        <v>37378</v>
      </c>
      <c r="B1131" s="5">
        <f>_xlfn.XLOOKUP(A1131,bunker_daily_raw!$A$2:$A$3819,bunker_daily_raw!$B$2:$B$3819)</f>
        <v>137.5</v>
      </c>
      <c r="C1131" s="6">
        <v>25.73</v>
      </c>
    </row>
    <row r="1132" spans="1:3" x14ac:dyDescent="0.25">
      <c r="A1132" s="4">
        <v>37379</v>
      </c>
      <c r="B1132" s="5">
        <f>_xlfn.XLOOKUP(A1132,bunker_daily_raw!$A$2:$A$3819,bunker_daily_raw!$B$2:$B$3819)</f>
        <v>137.25</v>
      </c>
      <c r="C1132" s="6">
        <v>25.8</v>
      </c>
    </row>
    <row r="1133" spans="1:3" x14ac:dyDescent="0.25">
      <c r="A1133" s="4">
        <v>37382</v>
      </c>
      <c r="B1133" s="5">
        <f>_xlfn.XLOOKUP(A1133,bunker_daily_raw!$A$2:$A$3819,bunker_daily_raw!$B$2:$B$3819)</f>
        <v>138.5</v>
      </c>
      <c r="C1133" s="5"/>
    </row>
    <row r="1134" spans="1:3" x14ac:dyDescent="0.25">
      <c r="A1134" s="4">
        <v>37383</v>
      </c>
      <c r="B1134" s="5">
        <f>_xlfn.XLOOKUP(A1134,bunker_daily_raw!$A$2:$A$3819,bunker_daily_raw!$B$2:$B$3819)</f>
        <v>141.5</v>
      </c>
      <c r="C1134" s="6">
        <v>25.53</v>
      </c>
    </row>
    <row r="1135" spans="1:3" x14ac:dyDescent="0.25">
      <c r="A1135" s="4">
        <v>37384</v>
      </c>
      <c r="B1135" s="5">
        <f>_xlfn.XLOOKUP(A1135,bunker_daily_raw!$A$2:$A$3819,bunker_daily_raw!$B$2:$B$3819)</f>
        <v>140</v>
      </c>
      <c r="C1135" s="6">
        <v>26.09</v>
      </c>
    </row>
    <row r="1136" spans="1:3" x14ac:dyDescent="0.25">
      <c r="A1136" s="4">
        <v>37385</v>
      </c>
      <c r="B1136" s="5">
        <f>_xlfn.XLOOKUP(A1136,bunker_daily_raw!$A$2:$A$3819,bunker_daily_raw!$B$2:$B$3819)</f>
        <v>139.75</v>
      </c>
      <c r="C1136" s="6">
        <v>26.09</v>
      </c>
    </row>
    <row r="1137" spans="1:3" x14ac:dyDescent="0.25">
      <c r="A1137" s="4">
        <v>37386</v>
      </c>
      <c r="B1137" s="5">
        <f>_xlfn.XLOOKUP(A1137,bunker_daily_raw!$A$2:$A$3819,bunker_daily_raw!$B$2:$B$3819)</f>
        <v>142.5</v>
      </c>
      <c r="C1137" s="6">
        <v>26.89</v>
      </c>
    </row>
    <row r="1138" spans="1:3" x14ac:dyDescent="0.25">
      <c r="A1138" s="4">
        <v>37389</v>
      </c>
      <c r="B1138" s="5">
        <f>_xlfn.XLOOKUP(A1138,bunker_daily_raw!$A$2:$A$3819,bunker_daily_raw!$B$2:$B$3819)</f>
        <v>144.75</v>
      </c>
      <c r="C1138" s="6">
        <v>26.3</v>
      </c>
    </row>
    <row r="1139" spans="1:3" x14ac:dyDescent="0.25">
      <c r="A1139" s="4">
        <v>37390</v>
      </c>
      <c r="B1139" s="5">
        <f>_xlfn.XLOOKUP(A1139,bunker_daily_raw!$A$2:$A$3819,bunker_daily_raw!$B$2:$B$3819)</f>
        <v>144</v>
      </c>
      <c r="C1139" s="6">
        <v>27.12</v>
      </c>
    </row>
    <row r="1140" spans="1:3" x14ac:dyDescent="0.25">
      <c r="A1140" s="4">
        <v>37391</v>
      </c>
      <c r="B1140" s="5">
        <f>_xlfn.XLOOKUP(A1140,bunker_daily_raw!$A$2:$A$3819,bunker_daily_raw!$B$2:$B$3819)</f>
        <v>144</v>
      </c>
      <c r="C1140" s="6">
        <v>27.17</v>
      </c>
    </row>
    <row r="1141" spans="1:3" x14ac:dyDescent="0.25">
      <c r="A1141" s="4">
        <v>37392</v>
      </c>
      <c r="B1141" s="5">
        <f>_xlfn.XLOOKUP(A1141,bunker_daily_raw!$A$2:$A$3819,bunker_daily_raw!$B$2:$B$3819)</f>
        <v>143.5</v>
      </c>
      <c r="C1141" s="6">
        <v>25.71</v>
      </c>
    </row>
    <row r="1142" spans="1:3" x14ac:dyDescent="0.25">
      <c r="A1142" s="4">
        <v>37393</v>
      </c>
      <c r="B1142" s="5">
        <f>_xlfn.XLOOKUP(A1142,bunker_daily_raw!$A$2:$A$3819,bunker_daily_raw!$B$2:$B$3819)</f>
        <v>143</v>
      </c>
      <c r="C1142" s="6">
        <v>25.45</v>
      </c>
    </row>
    <row r="1143" spans="1:3" x14ac:dyDescent="0.25">
      <c r="A1143" s="4">
        <v>37396</v>
      </c>
      <c r="B1143" s="5">
        <f>_xlfn.XLOOKUP(A1143,bunker_daily_raw!$A$2:$A$3819,bunker_daily_raw!$B$2:$B$3819)</f>
        <v>140.25</v>
      </c>
      <c r="C1143" s="6">
        <v>25.97</v>
      </c>
    </row>
    <row r="1144" spans="1:3" x14ac:dyDescent="0.25">
      <c r="A1144" s="4">
        <v>37397</v>
      </c>
      <c r="B1144" s="5">
        <f>_xlfn.XLOOKUP(A1144,bunker_daily_raw!$A$2:$A$3819,bunker_daily_raw!$B$2:$B$3819)</f>
        <v>139</v>
      </c>
      <c r="C1144" s="6">
        <v>24.99</v>
      </c>
    </row>
    <row r="1145" spans="1:3" x14ac:dyDescent="0.25">
      <c r="A1145" s="4">
        <v>37398</v>
      </c>
      <c r="B1145" s="5">
        <f>_xlfn.XLOOKUP(A1145,bunker_daily_raw!$A$2:$A$3819,bunker_daily_raw!$B$2:$B$3819)</f>
        <v>137.5</v>
      </c>
      <c r="C1145" s="6">
        <v>24.32</v>
      </c>
    </row>
    <row r="1146" spans="1:3" x14ac:dyDescent="0.25">
      <c r="A1146" s="4">
        <v>37399</v>
      </c>
      <c r="B1146" s="5">
        <f>_xlfn.XLOOKUP(A1146,bunker_daily_raw!$A$2:$A$3819,bunker_daily_raw!$B$2:$B$3819)</f>
        <v>137.5</v>
      </c>
      <c r="C1146" s="6">
        <v>24.01</v>
      </c>
    </row>
    <row r="1147" spans="1:3" x14ac:dyDescent="0.25">
      <c r="A1147" s="4">
        <v>37400</v>
      </c>
      <c r="B1147" s="5">
        <f>_xlfn.XLOOKUP(A1147,bunker_daily_raw!$A$2:$A$3819,bunker_daily_raw!$B$2:$B$3819)</f>
        <v>137</v>
      </c>
      <c r="C1147" s="6">
        <v>23.76</v>
      </c>
    </row>
    <row r="1148" spans="1:3" x14ac:dyDescent="0.25">
      <c r="A1148" s="4">
        <v>37403</v>
      </c>
      <c r="B1148" s="5" t="e">
        <f>_xlfn.XLOOKUP(A1148,bunker_daily_raw!$A$2:$A$3819,bunker_daily_raw!$B$2:$B$3819)</f>
        <v>#N/A</v>
      </c>
      <c r="C1148" s="6">
        <v>23.52</v>
      </c>
    </row>
    <row r="1149" spans="1:3" x14ac:dyDescent="0.25">
      <c r="A1149" s="4">
        <v>37404</v>
      </c>
      <c r="B1149" s="5">
        <f>_xlfn.XLOOKUP(A1149,bunker_daily_raw!$A$2:$A$3819,bunker_daily_raw!$B$2:$B$3819)</f>
        <v>133.25</v>
      </c>
      <c r="C1149" s="6">
        <v>24.71</v>
      </c>
    </row>
    <row r="1150" spans="1:3" x14ac:dyDescent="0.25">
      <c r="A1150" s="4">
        <v>37405</v>
      </c>
      <c r="B1150" s="5">
        <f>_xlfn.XLOOKUP(A1150,bunker_daily_raw!$A$2:$A$3819,bunker_daily_raw!$B$2:$B$3819)</f>
        <v>132</v>
      </c>
      <c r="C1150" s="6">
        <v>24.18</v>
      </c>
    </row>
    <row r="1151" spans="1:3" x14ac:dyDescent="0.25">
      <c r="A1151" s="4">
        <v>37406</v>
      </c>
      <c r="B1151" s="5">
        <f>_xlfn.XLOOKUP(A1151,bunker_daily_raw!$A$2:$A$3819,bunker_daily_raw!$B$2:$B$3819)</f>
        <v>131</v>
      </c>
      <c r="C1151" s="6">
        <v>23.72</v>
      </c>
    </row>
    <row r="1152" spans="1:3" x14ac:dyDescent="0.25">
      <c r="A1152" s="4">
        <v>37407</v>
      </c>
      <c r="B1152" s="5">
        <f>_xlfn.XLOOKUP(A1152,bunker_daily_raw!$A$2:$A$3819,bunker_daily_raw!$B$2:$B$3819)</f>
        <v>137</v>
      </c>
      <c r="C1152" s="6">
        <v>23.87</v>
      </c>
    </row>
    <row r="1153" spans="1:3" x14ac:dyDescent="0.25">
      <c r="A1153" s="4">
        <v>37410</v>
      </c>
      <c r="B1153" s="5">
        <f>_xlfn.XLOOKUP(A1153,bunker_daily_raw!$A$2:$A$3819,bunker_daily_raw!$B$2:$B$3819)</f>
        <v>137.5</v>
      </c>
      <c r="C1153" s="5"/>
    </row>
    <row r="1154" spans="1:3" x14ac:dyDescent="0.25">
      <c r="A1154" s="4">
        <v>37411</v>
      </c>
      <c r="B1154" s="5">
        <f>_xlfn.XLOOKUP(A1154,bunker_daily_raw!$A$2:$A$3819,bunker_daily_raw!$B$2:$B$3819)</f>
        <v>134.75</v>
      </c>
      <c r="C1154" s="5"/>
    </row>
    <row r="1155" spans="1:3" x14ac:dyDescent="0.25">
      <c r="A1155" s="4">
        <v>37412</v>
      </c>
      <c r="B1155" s="5">
        <f>_xlfn.XLOOKUP(A1155,bunker_daily_raw!$A$2:$A$3819,bunker_daily_raw!$B$2:$B$3819)</f>
        <v>133</v>
      </c>
      <c r="C1155" s="6">
        <v>23.19</v>
      </c>
    </row>
    <row r="1156" spans="1:3" x14ac:dyDescent="0.25">
      <c r="A1156" s="4">
        <v>37413</v>
      </c>
      <c r="B1156" s="5">
        <f>_xlfn.XLOOKUP(A1156,bunker_daily_raw!$A$2:$A$3819,bunker_daily_raw!$B$2:$B$3819)</f>
        <v>128</v>
      </c>
      <c r="C1156" s="6">
        <v>22.79</v>
      </c>
    </row>
    <row r="1157" spans="1:3" x14ac:dyDescent="0.25">
      <c r="A1157" s="4">
        <v>37414</v>
      </c>
      <c r="B1157" s="5">
        <f>_xlfn.XLOOKUP(A1157,bunker_daily_raw!$A$2:$A$3819,bunker_daily_raw!$B$2:$B$3819)</f>
        <v>128</v>
      </c>
      <c r="C1157" s="6">
        <v>22.99</v>
      </c>
    </row>
    <row r="1158" spans="1:3" x14ac:dyDescent="0.25">
      <c r="A1158" s="4">
        <v>37417</v>
      </c>
      <c r="B1158" s="5">
        <f>_xlfn.XLOOKUP(A1158,bunker_daily_raw!$A$2:$A$3819,bunker_daily_raw!$B$2:$B$3819)</f>
        <v>130</v>
      </c>
      <c r="C1158" s="6">
        <v>22.83</v>
      </c>
    </row>
    <row r="1159" spans="1:3" x14ac:dyDescent="0.25">
      <c r="A1159" s="4">
        <v>37418</v>
      </c>
      <c r="B1159" s="5">
        <f>_xlfn.XLOOKUP(A1159,bunker_daily_raw!$A$2:$A$3819,bunker_daily_raw!$B$2:$B$3819)</f>
        <v>132.5</v>
      </c>
      <c r="C1159" s="6">
        <v>22.37</v>
      </c>
    </row>
    <row r="1160" spans="1:3" x14ac:dyDescent="0.25">
      <c r="A1160" s="4">
        <v>37419</v>
      </c>
      <c r="B1160" s="5">
        <f>_xlfn.XLOOKUP(A1160,bunker_daily_raw!$A$2:$A$3819,bunker_daily_raw!$B$2:$B$3819)</f>
        <v>134</v>
      </c>
      <c r="C1160" s="6">
        <v>23.09</v>
      </c>
    </row>
    <row r="1161" spans="1:3" x14ac:dyDescent="0.25">
      <c r="A1161" s="4">
        <v>37420</v>
      </c>
      <c r="B1161" s="5">
        <f>_xlfn.XLOOKUP(A1161,bunker_daily_raw!$A$2:$A$3819,bunker_daily_raw!$B$2:$B$3819)</f>
        <v>132.5</v>
      </c>
      <c r="C1161" s="6">
        <v>23.72</v>
      </c>
    </row>
    <row r="1162" spans="1:3" x14ac:dyDescent="0.25">
      <c r="A1162" s="4">
        <v>37421</v>
      </c>
      <c r="B1162" s="5">
        <f>_xlfn.XLOOKUP(A1162,bunker_daily_raw!$A$2:$A$3819,bunker_daily_raw!$B$2:$B$3819)</f>
        <v>128.5</v>
      </c>
      <c r="C1162" s="6">
        <v>23.97</v>
      </c>
    </row>
    <row r="1163" spans="1:3" x14ac:dyDescent="0.25">
      <c r="A1163" s="4">
        <v>37424</v>
      </c>
      <c r="B1163" s="5">
        <f>_xlfn.XLOOKUP(A1163,bunker_daily_raw!$A$2:$A$3819,bunker_daily_raw!$B$2:$B$3819)</f>
        <v>129.75</v>
      </c>
      <c r="C1163" s="6">
        <v>24.69</v>
      </c>
    </row>
    <row r="1164" spans="1:3" x14ac:dyDescent="0.25">
      <c r="A1164" s="4">
        <v>37425</v>
      </c>
      <c r="B1164" s="5">
        <f>_xlfn.XLOOKUP(A1164,bunker_daily_raw!$A$2:$A$3819,bunker_daily_raw!$B$2:$B$3819)</f>
        <v>127.5</v>
      </c>
      <c r="C1164" s="6">
        <v>24.64</v>
      </c>
    </row>
    <row r="1165" spans="1:3" x14ac:dyDescent="0.25">
      <c r="A1165" s="4">
        <v>37426</v>
      </c>
      <c r="B1165" s="5">
        <f>_xlfn.XLOOKUP(A1165,bunker_daily_raw!$A$2:$A$3819,bunker_daily_raw!$B$2:$B$3819)</f>
        <v>129.25</v>
      </c>
      <c r="C1165" s="6">
        <v>24.85</v>
      </c>
    </row>
    <row r="1166" spans="1:3" x14ac:dyDescent="0.25">
      <c r="A1166" s="4">
        <v>37427</v>
      </c>
      <c r="B1166" s="5">
        <f>_xlfn.XLOOKUP(A1166,bunker_daily_raw!$A$2:$A$3819,bunker_daily_raw!$B$2:$B$3819)</f>
        <v>133.25</v>
      </c>
      <c r="C1166" s="6">
        <v>24.42</v>
      </c>
    </row>
    <row r="1167" spans="1:3" x14ac:dyDescent="0.25">
      <c r="A1167" s="4">
        <v>37428</v>
      </c>
      <c r="B1167" s="5">
        <f>_xlfn.XLOOKUP(A1167,bunker_daily_raw!$A$2:$A$3819,bunker_daily_raw!$B$2:$B$3819)</f>
        <v>131.5</v>
      </c>
      <c r="C1167" s="6">
        <v>24.14</v>
      </c>
    </row>
    <row r="1168" spans="1:3" x14ac:dyDescent="0.25">
      <c r="A1168" s="4">
        <v>37431</v>
      </c>
      <c r="B1168" s="5">
        <f>_xlfn.XLOOKUP(A1168,bunker_daily_raw!$A$2:$A$3819,bunker_daily_raw!$B$2:$B$3819)</f>
        <v>135</v>
      </c>
      <c r="C1168" s="6">
        <v>24.99</v>
      </c>
    </row>
    <row r="1169" spans="1:3" x14ac:dyDescent="0.25">
      <c r="A1169" s="4">
        <v>37432</v>
      </c>
      <c r="B1169" s="5">
        <f>_xlfn.XLOOKUP(A1169,bunker_daily_raw!$A$2:$A$3819,bunker_daily_raw!$B$2:$B$3819)</f>
        <v>133.5</v>
      </c>
      <c r="C1169" s="6">
        <v>25.32</v>
      </c>
    </row>
    <row r="1170" spans="1:3" x14ac:dyDescent="0.25">
      <c r="A1170" s="4">
        <v>37433</v>
      </c>
      <c r="B1170" s="5">
        <f>_xlfn.XLOOKUP(A1170,bunker_daily_raw!$A$2:$A$3819,bunker_daily_raw!$B$2:$B$3819)</f>
        <v>137.75</v>
      </c>
      <c r="C1170" s="6">
        <v>24.75</v>
      </c>
    </row>
    <row r="1171" spans="1:3" x14ac:dyDescent="0.25">
      <c r="A1171" s="4">
        <v>37434</v>
      </c>
      <c r="B1171" s="5">
        <f>_xlfn.XLOOKUP(A1171,bunker_daily_raw!$A$2:$A$3819,bunker_daily_raw!$B$2:$B$3819)</f>
        <v>141.5</v>
      </c>
      <c r="C1171" s="6">
        <v>25.39</v>
      </c>
    </row>
    <row r="1172" spans="1:3" x14ac:dyDescent="0.25">
      <c r="A1172" s="4">
        <v>37435</v>
      </c>
      <c r="B1172" s="5">
        <f>_xlfn.XLOOKUP(A1172,bunker_daily_raw!$A$2:$A$3819,bunker_daily_raw!$B$2:$B$3819)</f>
        <v>141</v>
      </c>
      <c r="C1172" s="6">
        <v>25.33</v>
      </c>
    </row>
    <row r="1173" spans="1:3" x14ac:dyDescent="0.25">
      <c r="A1173" s="4">
        <v>37438</v>
      </c>
      <c r="B1173" s="5">
        <f>_xlfn.XLOOKUP(A1173,bunker_daily_raw!$A$2:$A$3819,bunker_daily_raw!$B$2:$B$3819)</f>
        <v>140.5</v>
      </c>
      <c r="C1173" s="6">
        <v>25.65</v>
      </c>
    </row>
    <row r="1174" spans="1:3" x14ac:dyDescent="0.25">
      <c r="A1174" s="4">
        <v>37439</v>
      </c>
      <c r="B1174" s="5">
        <f>_xlfn.XLOOKUP(A1174,bunker_daily_raw!$A$2:$A$3819,bunker_daily_raw!$B$2:$B$3819)</f>
        <v>138</v>
      </c>
      <c r="C1174" s="6">
        <v>25.64</v>
      </c>
    </row>
    <row r="1175" spans="1:3" x14ac:dyDescent="0.25">
      <c r="A1175" s="4">
        <v>37440</v>
      </c>
      <c r="B1175" s="5">
        <f>_xlfn.XLOOKUP(A1175,bunker_daily_raw!$A$2:$A$3819,bunker_daily_raw!$B$2:$B$3819)</f>
        <v>140</v>
      </c>
      <c r="C1175" s="6">
        <v>25.59</v>
      </c>
    </row>
    <row r="1176" spans="1:3" x14ac:dyDescent="0.25">
      <c r="A1176" s="4">
        <v>37441</v>
      </c>
      <c r="B1176" s="5">
        <f>_xlfn.XLOOKUP(A1176,bunker_daily_raw!$A$2:$A$3819,bunker_daily_raw!$B$2:$B$3819)</f>
        <v>139</v>
      </c>
      <c r="C1176" s="6">
        <v>25.51</v>
      </c>
    </row>
    <row r="1177" spans="1:3" x14ac:dyDescent="0.25">
      <c r="A1177" s="4">
        <v>37442</v>
      </c>
      <c r="B1177" s="5">
        <f>_xlfn.XLOOKUP(A1177,bunker_daily_raw!$A$2:$A$3819,bunker_daily_raw!$B$2:$B$3819)</f>
        <v>143.5</v>
      </c>
      <c r="C1177" s="6">
        <v>25.75</v>
      </c>
    </row>
    <row r="1178" spans="1:3" x14ac:dyDescent="0.25">
      <c r="A1178" s="4">
        <v>37445</v>
      </c>
      <c r="B1178" s="5">
        <f>_xlfn.XLOOKUP(A1178,bunker_daily_raw!$A$2:$A$3819,bunker_daily_raw!$B$2:$B$3819)</f>
        <v>142</v>
      </c>
      <c r="C1178" s="6">
        <v>25.08</v>
      </c>
    </row>
    <row r="1179" spans="1:3" x14ac:dyDescent="0.25">
      <c r="A1179" s="4">
        <v>37446</v>
      </c>
      <c r="B1179" s="5">
        <f>_xlfn.XLOOKUP(A1179,bunker_daily_raw!$A$2:$A$3819,bunker_daily_raw!$B$2:$B$3819)</f>
        <v>141.5</v>
      </c>
      <c r="C1179" s="6">
        <v>24.9</v>
      </c>
    </row>
    <row r="1180" spans="1:3" x14ac:dyDescent="0.25">
      <c r="A1180" s="4">
        <v>37447</v>
      </c>
      <c r="B1180" s="5">
        <f>_xlfn.XLOOKUP(A1180,bunker_daily_raw!$A$2:$A$3819,bunker_daily_raw!$B$2:$B$3819)</f>
        <v>143.5</v>
      </c>
      <c r="C1180" s="6">
        <v>25.82</v>
      </c>
    </row>
    <row r="1181" spans="1:3" x14ac:dyDescent="0.25">
      <c r="A1181" s="4">
        <v>37448</v>
      </c>
      <c r="B1181" s="5">
        <f>_xlfn.XLOOKUP(A1181,bunker_daily_raw!$A$2:$A$3819,bunker_daily_raw!$B$2:$B$3819)</f>
        <v>141</v>
      </c>
      <c r="C1181" s="6">
        <v>25.83</v>
      </c>
    </row>
    <row r="1182" spans="1:3" x14ac:dyDescent="0.25">
      <c r="A1182" s="4">
        <v>37449</v>
      </c>
      <c r="B1182" s="5">
        <f>_xlfn.XLOOKUP(A1182,bunker_daily_raw!$A$2:$A$3819,bunker_daily_raw!$B$2:$B$3819)</f>
        <v>141.5</v>
      </c>
      <c r="C1182" s="6">
        <v>26.11</v>
      </c>
    </row>
    <row r="1183" spans="1:3" x14ac:dyDescent="0.25">
      <c r="A1183" s="4">
        <v>37452</v>
      </c>
      <c r="B1183" s="5">
        <f>_xlfn.XLOOKUP(A1183,bunker_daily_raw!$A$2:$A$3819,bunker_daily_raw!$B$2:$B$3819)</f>
        <v>140.5</v>
      </c>
      <c r="C1183" s="6">
        <v>26.16</v>
      </c>
    </row>
    <row r="1184" spans="1:3" x14ac:dyDescent="0.25">
      <c r="A1184" s="4">
        <v>37453</v>
      </c>
      <c r="B1184" s="5">
        <f>_xlfn.XLOOKUP(A1184,bunker_daily_raw!$A$2:$A$3819,bunker_daily_raw!$B$2:$B$3819)</f>
        <v>139.5</v>
      </c>
      <c r="C1184" s="6">
        <v>25.94</v>
      </c>
    </row>
    <row r="1185" spans="1:3" x14ac:dyDescent="0.25">
      <c r="A1185" s="4">
        <v>37454</v>
      </c>
      <c r="B1185" s="5">
        <f>_xlfn.XLOOKUP(A1185,bunker_daily_raw!$A$2:$A$3819,bunker_daily_raw!$B$2:$B$3819)</f>
        <v>137.5</v>
      </c>
      <c r="C1185" s="6">
        <v>26.19</v>
      </c>
    </row>
    <row r="1186" spans="1:3" x14ac:dyDescent="0.25">
      <c r="A1186" s="4">
        <v>37455</v>
      </c>
      <c r="B1186" s="5">
        <f>_xlfn.XLOOKUP(A1186,bunker_daily_raw!$A$2:$A$3819,bunker_daily_raw!$B$2:$B$3819)</f>
        <v>135.25</v>
      </c>
      <c r="C1186" s="6">
        <v>26.72</v>
      </c>
    </row>
    <row r="1187" spans="1:3" x14ac:dyDescent="0.25">
      <c r="A1187" s="4">
        <v>37456</v>
      </c>
      <c r="B1187" s="5">
        <f>_xlfn.XLOOKUP(A1187,bunker_daily_raw!$A$2:$A$3819,bunker_daily_raw!$B$2:$B$3819)</f>
        <v>135.5</v>
      </c>
      <c r="C1187" s="6">
        <v>26.37</v>
      </c>
    </row>
    <row r="1188" spans="1:3" x14ac:dyDescent="0.25">
      <c r="A1188" s="4">
        <v>37459</v>
      </c>
      <c r="B1188" s="5">
        <f>_xlfn.XLOOKUP(A1188,bunker_daily_raw!$A$2:$A$3819,bunker_daily_raw!$B$2:$B$3819)</f>
        <v>135</v>
      </c>
      <c r="C1188" s="6">
        <v>25.7</v>
      </c>
    </row>
    <row r="1189" spans="1:3" x14ac:dyDescent="0.25">
      <c r="A1189" s="4">
        <v>37460</v>
      </c>
      <c r="B1189" s="5">
        <f>_xlfn.XLOOKUP(A1189,bunker_daily_raw!$A$2:$A$3819,bunker_daily_raw!$B$2:$B$3819)</f>
        <v>134</v>
      </c>
      <c r="C1189" s="6">
        <v>25.65</v>
      </c>
    </row>
    <row r="1190" spans="1:3" x14ac:dyDescent="0.25">
      <c r="A1190" s="4">
        <v>37461</v>
      </c>
      <c r="B1190" s="5">
        <f>_xlfn.XLOOKUP(A1190,bunker_daily_raw!$A$2:$A$3819,bunker_daily_raw!$B$2:$B$3819)</f>
        <v>136.25</v>
      </c>
      <c r="C1190" s="6">
        <v>25.43</v>
      </c>
    </row>
    <row r="1191" spans="1:3" x14ac:dyDescent="0.25">
      <c r="A1191" s="4">
        <v>37462</v>
      </c>
      <c r="B1191" s="5">
        <f>_xlfn.XLOOKUP(A1191,bunker_daily_raw!$A$2:$A$3819,bunker_daily_raw!$B$2:$B$3819)</f>
        <v>137.25</v>
      </c>
      <c r="C1191" s="6">
        <v>25.36</v>
      </c>
    </row>
    <row r="1192" spans="1:3" x14ac:dyDescent="0.25">
      <c r="A1192" s="4">
        <v>37463</v>
      </c>
      <c r="B1192" s="5">
        <f>_xlfn.XLOOKUP(A1192,bunker_daily_raw!$A$2:$A$3819,bunker_daily_raw!$B$2:$B$3819)</f>
        <v>139</v>
      </c>
      <c r="C1192" s="6">
        <v>25.1</v>
      </c>
    </row>
    <row r="1193" spans="1:3" x14ac:dyDescent="0.25">
      <c r="A1193" s="4">
        <v>37466</v>
      </c>
      <c r="B1193" s="5">
        <f>_xlfn.XLOOKUP(A1193,bunker_daily_raw!$A$2:$A$3819,bunker_daily_raw!$B$2:$B$3819)</f>
        <v>139.5</v>
      </c>
      <c r="C1193" s="6">
        <v>25.2</v>
      </c>
    </row>
    <row r="1194" spans="1:3" x14ac:dyDescent="0.25">
      <c r="A1194" s="4">
        <v>37467</v>
      </c>
      <c r="B1194" s="5">
        <f>_xlfn.XLOOKUP(A1194,bunker_daily_raw!$A$2:$A$3819,bunker_daily_raw!$B$2:$B$3819)</f>
        <v>137.25</v>
      </c>
      <c r="C1194" s="6">
        <v>25.95</v>
      </c>
    </row>
    <row r="1195" spans="1:3" x14ac:dyDescent="0.25">
      <c r="A1195" s="4">
        <v>37468</v>
      </c>
      <c r="B1195" s="5">
        <f>_xlfn.XLOOKUP(A1195,bunker_daily_raw!$A$2:$A$3819,bunker_daily_raw!$B$2:$B$3819)</f>
        <v>138.75</v>
      </c>
      <c r="C1195" s="6">
        <v>26.28</v>
      </c>
    </row>
    <row r="1196" spans="1:3" x14ac:dyDescent="0.25">
      <c r="A1196" s="4">
        <v>37469</v>
      </c>
      <c r="B1196" s="5">
        <f>_xlfn.XLOOKUP(A1196,bunker_daily_raw!$A$2:$A$3819,bunker_daily_raw!$B$2:$B$3819)</f>
        <v>137.75</v>
      </c>
      <c r="C1196" s="6">
        <v>25.79</v>
      </c>
    </row>
    <row r="1197" spans="1:3" x14ac:dyDescent="0.25">
      <c r="A1197" s="4">
        <v>37470</v>
      </c>
      <c r="B1197" s="5">
        <f>_xlfn.XLOOKUP(A1197,bunker_daily_raw!$A$2:$A$3819,bunker_daily_raw!$B$2:$B$3819)</f>
        <v>138</v>
      </c>
      <c r="C1197" s="6">
        <v>25.17</v>
      </c>
    </row>
    <row r="1198" spans="1:3" x14ac:dyDescent="0.25">
      <c r="A1198" s="4">
        <v>37473</v>
      </c>
      <c r="B1198" s="5">
        <f>_xlfn.XLOOKUP(A1198,bunker_daily_raw!$A$2:$A$3819,bunker_daily_raw!$B$2:$B$3819)</f>
        <v>136.75</v>
      </c>
      <c r="C1198" s="6">
        <v>25.2</v>
      </c>
    </row>
    <row r="1199" spans="1:3" x14ac:dyDescent="0.25">
      <c r="A1199" s="4">
        <v>37474</v>
      </c>
      <c r="B1199" s="5">
        <f>_xlfn.XLOOKUP(A1199,bunker_daily_raw!$A$2:$A$3819,bunker_daily_raw!$B$2:$B$3819)</f>
        <v>137.25</v>
      </c>
      <c r="C1199" s="6">
        <v>25.69</v>
      </c>
    </row>
    <row r="1200" spans="1:3" x14ac:dyDescent="0.25">
      <c r="A1200" s="4">
        <v>37475</v>
      </c>
      <c r="B1200" s="5">
        <f>_xlfn.XLOOKUP(A1200,bunker_daily_raw!$A$2:$A$3819,bunker_daily_raw!$B$2:$B$3819)</f>
        <v>138.25</v>
      </c>
      <c r="C1200" s="6">
        <v>25.7</v>
      </c>
    </row>
    <row r="1201" spans="1:3" x14ac:dyDescent="0.25">
      <c r="A1201" s="4">
        <v>37476</v>
      </c>
      <c r="B1201" s="5">
        <f>_xlfn.XLOOKUP(A1201,bunker_daily_raw!$A$2:$A$3819,bunker_daily_raw!$B$2:$B$3819)</f>
        <v>140.5</v>
      </c>
      <c r="C1201" s="6">
        <v>25.51</v>
      </c>
    </row>
    <row r="1202" spans="1:3" x14ac:dyDescent="0.25">
      <c r="A1202" s="4">
        <v>37477</v>
      </c>
      <c r="B1202" s="5" t="e">
        <f>_xlfn.XLOOKUP(A1202,bunker_daily_raw!$A$2:$A$3819,bunker_daily_raw!$B$2:$B$3819)</f>
        <v>#N/A</v>
      </c>
      <c r="C1202" s="6">
        <v>25.49</v>
      </c>
    </row>
    <row r="1203" spans="1:3" x14ac:dyDescent="0.25">
      <c r="A1203" s="4">
        <v>37480</v>
      </c>
      <c r="B1203" s="5">
        <f>_xlfn.XLOOKUP(A1203,bunker_daily_raw!$A$2:$A$3819,bunker_daily_raw!$B$2:$B$3819)</f>
        <v>141.75</v>
      </c>
      <c r="C1203" s="6">
        <v>25.63</v>
      </c>
    </row>
    <row r="1204" spans="1:3" x14ac:dyDescent="0.25">
      <c r="A1204" s="4">
        <v>37481</v>
      </c>
      <c r="B1204" s="5">
        <f>_xlfn.XLOOKUP(A1204,bunker_daily_raw!$A$2:$A$3819,bunker_daily_raw!$B$2:$B$3819)</f>
        <v>142</v>
      </c>
      <c r="C1204" s="6">
        <v>26.11</v>
      </c>
    </row>
    <row r="1205" spans="1:3" x14ac:dyDescent="0.25">
      <c r="A1205" s="4">
        <v>37482</v>
      </c>
      <c r="B1205" s="5">
        <f>_xlfn.XLOOKUP(A1205,bunker_daily_raw!$A$2:$A$3819,bunker_daily_raw!$B$2:$B$3819)</f>
        <v>143</v>
      </c>
      <c r="C1205" s="6">
        <v>26.47</v>
      </c>
    </row>
    <row r="1206" spans="1:3" x14ac:dyDescent="0.25">
      <c r="A1206" s="4">
        <v>37483</v>
      </c>
      <c r="B1206" s="5">
        <f>_xlfn.XLOOKUP(A1206,bunker_daily_raw!$A$2:$A$3819,bunker_daily_raw!$B$2:$B$3819)</f>
        <v>144.5</v>
      </c>
      <c r="C1206" s="6">
        <v>26.66</v>
      </c>
    </row>
    <row r="1207" spans="1:3" x14ac:dyDescent="0.25">
      <c r="A1207" s="4">
        <v>37484</v>
      </c>
      <c r="B1207" s="5">
        <f>_xlfn.XLOOKUP(A1207,bunker_daily_raw!$A$2:$A$3819,bunker_daily_raw!$B$2:$B$3819)</f>
        <v>146.5</v>
      </c>
      <c r="C1207" s="6">
        <v>27.33</v>
      </c>
    </row>
    <row r="1208" spans="1:3" x14ac:dyDescent="0.25">
      <c r="A1208" s="4">
        <v>37487</v>
      </c>
      <c r="B1208" s="5">
        <f>_xlfn.XLOOKUP(A1208,bunker_daily_raw!$A$2:$A$3819,bunker_daily_raw!$B$2:$B$3819)</f>
        <v>145.5</v>
      </c>
      <c r="C1208" s="6">
        <v>27.44</v>
      </c>
    </row>
    <row r="1209" spans="1:3" x14ac:dyDescent="0.25">
      <c r="A1209" s="4">
        <v>37488</v>
      </c>
      <c r="B1209" s="5">
        <f>_xlfn.XLOOKUP(A1209,bunker_daily_raw!$A$2:$A$3819,bunker_daily_raw!$B$2:$B$3819)</f>
        <v>149</v>
      </c>
      <c r="C1209" s="6">
        <v>27.63</v>
      </c>
    </row>
    <row r="1210" spans="1:3" x14ac:dyDescent="0.25">
      <c r="A1210" s="4">
        <v>37489</v>
      </c>
      <c r="B1210" s="5">
        <f>_xlfn.XLOOKUP(A1210,bunker_daily_raw!$A$2:$A$3819,bunker_daily_raw!$B$2:$B$3819)</f>
        <v>147.5</v>
      </c>
      <c r="C1210" s="6">
        <v>27.53</v>
      </c>
    </row>
    <row r="1211" spans="1:3" x14ac:dyDescent="0.25">
      <c r="A1211" s="4">
        <v>37490</v>
      </c>
      <c r="B1211" s="5">
        <f>_xlfn.XLOOKUP(A1211,bunker_daily_raw!$A$2:$A$3819,bunker_daily_raw!$B$2:$B$3819)</f>
        <v>154</v>
      </c>
      <c r="C1211" s="6">
        <v>27.81</v>
      </c>
    </row>
    <row r="1212" spans="1:3" x14ac:dyDescent="0.25">
      <c r="A1212" s="4">
        <v>37491</v>
      </c>
      <c r="B1212" s="5">
        <f>_xlfn.XLOOKUP(A1212,bunker_daily_raw!$A$2:$A$3819,bunker_daily_raw!$B$2:$B$3819)</f>
        <v>152.25</v>
      </c>
      <c r="C1212" s="6">
        <v>27.51</v>
      </c>
    </row>
    <row r="1213" spans="1:3" x14ac:dyDescent="0.25">
      <c r="A1213" s="4">
        <v>37494</v>
      </c>
      <c r="B1213" s="5">
        <f>_xlfn.XLOOKUP(A1213,bunker_daily_raw!$A$2:$A$3819,bunker_daily_raw!$B$2:$B$3819)</f>
        <v>150.5</v>
      </c>
      <c r="C1213" s="6">
        <v>27.56</v>
      </c>
    </row>
    <row r="1214" spans="1:3" x14ac:dyDescent="0.25">
      <c r="A1214" s="4">
        <v>37495</v>
      </c>
      <c r="B1214" s="5">
        <f>_xlfn.XLOOKUP(A1214,bunker_daily_raw!$A$2:$A$3819,bunker_daily_raw!$B$2:$B$3819)</f>
        <v>152</v>
      </c>
      <c r="C1214" s="6">
        <v>27.89</v>
      </c>
    </row>
    <row r="1215" spans="1:3" x14ac:dyDescent="0.25">
      <c r="A1215" s="4">
        <v>37496</v>
      </c>
      <c r="B1215" s="5">
        <f>_xlfn.XLOOKUP(A1215,bunker_daily_raw!$A$2:$A$3819,bunker_daily_raw!$B$2:$B$3819)</f>
        <v>154.5</v>
      </c>
      <c r="C1215" s="6">
        <v>27.54</v>
      </c>
    </row>
    <row r="1216" spans="1:3" x14ac:dyDescent="0.25">
      <c r="A1216" s="4">
        <v>37497</v>
      </c>
      <c r="B1216" s="5">
        <f>_xlfn.XLOOKUP(A1216,bunker_daily_raw!$A$2:$A$3819,bunker_daily_raw!$B$2:$B$3819)</f>
        <v>154</v>
      </c>
      <c r="C1216" s="6">
        <v>27.11</v>
      </c>
    </row>
    <row r="1217" spans="1:3" x14ac:dyDescent="0.25">
      <c r="A1217" s="4">
        <v>37498</v>
      </c>
      <c r="B1217" s="5">
        <f>_xlfn.XLOOKUP(A1217,bunker_daily_raw!$A$2:$A$3819,bunker_daily_raw!$B$2:$B$3819)</f>
        <v>153</v>
      </c>
      <c r="C1217" s="6">
        <v>27.56</v>
      </c>
    </row>
    <row r="1218" spans="1:3" x14ac:dyDescent="0.25">
      <c r="A1218" s="4">
        <v>37501</v>
      </c>
      <c r="B1218" s="5">
        <f>_xlfn.XLOOKUP(A1218,bunker_daily_raw!$A$2:$A$3819,bunker_daily_raw!$B$2:$B$3819)</f>
        <v>156.5</v>
      </c>
      <c r="C1218" s="6">
        <v>27.45</v>
      </c>
    </row>
    <row r="1219" spans="1:3" x14ac:dyDescent="0.25">
      <c r="A1219" s="4">
        <v>37502</v>
      </c>
      <c r="B1219" s="5">
        <f>_xlfn.XLOOKUP(A1219,bunker_daily_raw!$A$2:$A$3819,bunker_daily_raw!$B$2:$B$3819)</f>
        <v>159.5</v>
      </c>
      <c r="C1219" s="6">
        <v>26.58</v>
      </c>
    </row>
    <row r="1220" spans="1:3" x14ac:dyDescent="0.25">
      <c r="A1220" s="4">
        <v>37503</v>
      </c>
      <c r="B1220" s="5">
        <f>_xlfn.XLOOKUP(A1220,bunker_daily_raw!$A$2:$A$3819,bunker_daily_raw!$B$2:$B$3819)</f>
        <v>159.5</v>
      </c>
      <c r="C1220" s="6">
        <v>27.31</v>
      </c>
    </row>
    <row r="1221" spans="1:3" x14ac:dyDescent="0.25">
      <c r="A1221" s="4">
        <v>37504</v>
      </c>
      <c r="B1221" s="5">
        <f>_xlfn.XLOOKUP(A1221,bunker_daily_raw!$A$2:$A$3819,bunker_daily_raw!$B$2:$B$3819)</f>
        <v>159</v>
      </c>
      <c r="C1221" s="6">
        <v>27.54</v>
      </c>
    </row>
    <row r="1222" spans="1:3" x14ac:dyDescent="0.25">
      <c r="A1222" s="4">
        <v>37505</v>
      </c>
      <c r="B1222" s="5">
        <f>_xlfn.XLOOKUP(A1222,bunker_daily_raw!$A$2:$A$3819,bunker_daily_raw!$B$2:$B$3819)</f>
        <v>157.5</v>
      </c>
      <c r="C1222" s="6">
        <v>28.36</v>
      </c>
    </row>
    <row r="1223" spans="1:3" x14ac:dyDescent="0.25">
      <c r="A1223" s="4">
        <v>37508</v>
      </c>
      <c r="B1223" s="5">
        <f>_xlfn.XLOOKUP(A1223,bunker_daily_raw!$A$2:$A$3819,bunker_daily_raw!$B$2:$B$3819)</f>
        <v>156</v>
      </c>
      <c r="C1223" s="6">
        <v>28.67</v>
      </c>
    </row>
    <row r="1224" spans="1:3" x14ac:dyDescent="0.25">
      <c r="A1224" s="4">
        <v>37509</v>
      </c>
      <c r="B1224" s="5">
        <f>_xlfn.XLOOKUP(A1224,bunker_daily_raw!$A$2:$A$3819,bunker_daily_raw!$B$2:$B$3819)</f>
        <v>157</v>
      </c>
      <c r="C1224" s="6">
        <v>28.92</v>
      </c>
    </row>
    <row r="1225" spans="1:3" x14ac:dyDescent="0.25">
      <c r="A1225" s="4">
        <v>37510</v>
      </c>
      <c r="B1225" s="5">
        <f>_xlfn.XLOOKUP(A1225,bunker_daily_raw!$A$2:$A$3819,bunker_daily_raw!$B$2:$B$3819)</f>
        <v>160.5</v>
      </c>
      <c r="C1225" s="6">
        <v>28.68</v>
      </c>
    </row>
    <row r="1226" spans="1:3" x14ac:dyDescent="0.25">
      <c r="A1226" s="4">
        <v>37511</v>
      </c>
      <c r="B1226" s="5">
        <f>_xlfn.XLOOKUP(A1226,bunker_daily_raw!$A$2:$A$3819,bunker_daily_raw!$B$2:$B$3819)</f>
        <v>156</v>
      </c>
      <c r="C1226" s="6">
        <v>27.76</v>
      </c>
    </row>
    <row r="1227" spans="1:3" x14ac:dyDescent="0.25">
      <c r="A1227" s="4">
        <v>37512</v>
      </c>
      <c r="B1227" s="5">
        <f>_xlfn.XLOOKUP(A1227,bunker_daily_raw!$A$2:$A$3819,bunker_daily_raw!$B$2:$B$3819)</f>
        <v>157.5</v>
      </c>
      <c r="C1227" s="6">
        <v>28.53</v>
      </c>
    </row>
    <row r="1228" spans="1:3" x14ac:dyDescent="0.25">
      <c r="A1228" s="4">
        <v>37515</v>
      </c>
      <c r="B1228" s="5">
        <f>_xlfn.XLOOKUP(A1228,bunker_daily_raw!$A$2:$A$3819,bunker_daily_raw!$B$2:$B$3819)</f>
        <v>159.25</v>
      </c>
      <c r="C1228" s="6">
        <v>28.38</v>
      </c>
    </row>
    <row r="1229" spans="1:3" x14ac:dyDescent="0.25">
      <c r="A1229" s="4">
        <v>37516</v>
      </c>
      <c r="B1229" s="5">
        <f>_xlfn.XLOOKUP(A1229,bunker_daily_raw!$A$2:$A$3819,bunker_daily_raw!$B$2:$B$3819)</f>
        <v>160</v>
      </c>
      <c r="C1229" s="6">
        <v>27.76</v>
      </c>
    </row>
    <row r="1230" spans="1:3" x14ac:dyDescent="0.25">
      <c r="A1230" s="4">
        <v>37517</v>
      </c>
      <c r="B1230" s="5">
        <f>_xlfn.XLOOKUP(A1230,bunker_daily_raw!$A$2:$A$3819,bunker_daily_raw!$B$2:$B$3819)</f>
        <v>162.75</v>
      </c>
      <c r="C1230" s="6">
        <v>28.41</v>
      </c>
    </row>
    <row r="1231" spans="1:3" x14ac:dyDescent="0.25">
      <c r="A1231" s="4">
        <v>37518</v>
      </c>
      <c r="B1231" s="5">
        <f>_xlfn.XLOOKUP(A1231,bunker_daily_raw!$A$2:$A$3819,bunker_daily_raw!$B$2:$B$3819)</f>
        <v>165.75</v>
      </c>
      <c r="C1231" s="6">
        <v>28.45</v>
      </c>
    </row>
    <row r="1232" spans="1:3" x14ac:dyDescent="0.25">
      <c r="A1232" s="4">
        <v>37519</v>
      </c>
      <c r="B1232" s="5">
        <f>_xlfn.XLOOKUP(A1232,bunker_daily_raw!$A$2:$A$3819,bunker_daily_raw!$B$2:$B$3819)</f>
        <v>163.25</v>
      </c>
      <c r="C1232" s="6">
        <v>28.61</v>
      </c>
    </row>
    <row r="1233" spans="1:3" x14ac:dyDescent="0.25">
      <c r="A1233" s="4">
        <v>37522</v>
      </c>
      <c r="B1233" s="5">
        <f>_xlfn.XLOOKUP(A1233,bunker_daily_raw!$A$2:$A$3819,bunker_daily_raw!$B$2:$B$3819)</f>
        <v>163.5</v>
      </c>
      <c r="C1233" s="6">
        <v>29.36</v>
      </c>
    </row>
    <row r="1234" spans="1:3" x14ac:dyDescent="0.25">
      <c r="A1234" s="4">
        <v>37523</v>
      </c>
      <c r="B1234" s="5">
        <f>_xlfn.XLOOKUP(A1234,bunker_daily_raw!$A$2:$A$3819,bunker_daily_raw!$B$2:$B$3819)</f>
        <v>161.25</v>
      </c>
      <c r="C1234" s="6">
        <v>29.47</v>
      </c>
    </row>
    <row r="1235" spans="1:3" x14ac:dyDescent="0.25">
      <c r="A1235" s="4">
        <v>37524</v>
      </c>
      <c r="B1235" s="5">
        <f>_xlfn.XLOOKUP(A1235,bunker_daily_raw!$A$2:$A$3819,bunker_daily_raw!$B$2:$B$3819)</f>
        <v>163.75</v>
      </c>
      <c r="C1235" s="6">
        <v>29.11</v>
      </c>
    </row>
    <row r="1236" spans="1:3" x14ac:dyDescent="0.25">
      <c r="A1236" s="4">
        <v>37525</v>
      </c>
      <c r="B1236" s="5">
        <f>_xlfn.XLOOKUP(A1236,bunker_daily_raw!$A$2:$A$3819,bunker_daily_raw!$B$2:$B$3819)</f>
        <v>164.25</v>
      </c>
      <c r="C1236" s="6">
        <v>28.93</v>
      </c>
    </row>
    <row r="1237" spans="1:3" x14ac:dyDescent="0.25">
      <c r="A1237" s="4">
        <v>37526</v>
      </c>
      <c r="B1237" s="5">
        <f>_xlfn.XLOOKUP(A1237,bunker_daily_raw!$A$2:$A$3819,bunker_daily_raw!$B$2:$B$3819)</f>
        <v>166</v>
      </c>
      <c r="C1237" s="6">
        <v>29</v>
      </c>
    </row>
    <row r="1238" spans="1:3" x14ac:dyDescent="0.25">
      <c r="A1238" s="4">
        <v>37529</v>
      </c>
      <c r="B1238" s="5">
        <f>_xlfn.XLOOKUP(A1238,bunker_daily_raw!$A$2:$A$3819,bunker_daily_raw!$B$2:$B$3819)</f>
        <v>166</v>
      </c>
      <c r="C1238" s="6">
        <v>29.11</v>
      </c>
    </row>
    <row r="1239" spans="1:3" x14ac:dyDescent="0.25">
      <c r="A1239" s="4">
        <v>37530</v>
      </c>
      <c r="B1239" s="5">
        <f>_xlfn.XLOOKUP(A1239,bunker_daily_raw!$A$2:$A$3819,bunker_daily_raw!$B$2:$B$3819)</f>
        <v>163.75</v>
      </c>
      <c r="C1239" s="6">
        <v>29.42</v>
      </c>
    </row>
    <row r="1240" spans="1:3" x14ac:dyDescent="0.25">
      <c r="A1240" s="4">
        <v>37531</v>
      </c>
      <c r="B1240" s="5">
        <f>_xlfn.XLOOKUP(A1240,bunker_daily_raw!$A$2:$A$3819,bunker_daily_raw!$B$2:$B$3819)</f>
        <v>163.5</v>
      </c>
      <c r="C1240" s="6">
        <v>29.14</v>
      </c>
    </row>
    <row r="1241" spans="1:3" x14ac:dyDescent="0.25">
      <c r="A1241" s="4">
        <v>37532</v>
      </c>
      <c r="B1241" s="5">
        <f>_xlfn.XLOOKUP(A1241,bunker_daily_raw!$A$2:$A$3819,bunker_daily_raw!$B$2:$B$3819)</f>
        <v>158.5</v>
      </c>
      <c r="C1241" s="6">
        <v>28.46</v>
      </c>
    </row>
    <row r="1242" spans="1:3" x14ac:dyDescent="0.25">
      <c r="A1242" s="4">
        <v>37533</v>
      </c>
      <c r="B1242" s="5">
        <f>_xlfn.XLOOKUP(A1242,bunker_daily_raw!$A$2:$A$3819,bunker_daily_raw!$B$2:$B$3819)</f>
        <v>155</v>
      </c>
      <c r="C1242" s="6">
        <v>28.32</v>
      </c>
    </row>
    <row r="1243" spans="1:3" x14ac:dyDescent="0.25">
      <c r="A1243" s="4">
        <v>37536</v>
      </c>
      <c r="B1243" s="5">
        <f>_xlfn.XLOOKUP(A1243,bunker_daily_raw!$A$2:$A$3819,bunker_daily_raw!$B$2:$B$3819)</f>
        <v>152</v>
      </c>
      <c r="C1243" s="6">
        <v>28.38</v>
      </c>
    </row>
    <row r="1244" spans="1:3" x14ac:dyDescent="0.25">
      <c r="A1244" s="4">
        <v>37537</v>
      </c>
      <c r="B1244" s="5">
        <f>_xlfn.XLOOKUP(A1244,bunker_daily_raw!$A$2:$A$3819,bunker_daily_raw!$B$2:$B$3819)</f>
        <v>151</v>
      </c>
      <c r="C1244" s="6">
        <v>28.28</v>
      </c>
    </row>
    <row r="1245" spans="1:3" x14ac:dyDescent="0.25">
      <c r="A1245" s="4">
        <v>37538</v>
      </c>
      <c r="B1245" s="5">
        <f>_xlfn.XLOOKUP(A1245,bunker_daily_raw!$A$2:$A$3819,bunker_daily_raw!$B$2:$B$3819)</f>
        <v>152</v>
      </c>
      <c r="C1245" s="6">
        <v>28.29</v>
      </c>
    </row>
    <row r="1246" spans="1:3" x14ac:dyDescent="0.25">
      <c r="A1246" s="4">
        <v>37539</v>
      </c>
      <c r="B1246" s="5">
        <f>_xlfn.XLOOKUP(A1246,bunker_daily_raw!$A$2:$A$3819,bunker_daily_raw!$B$2:$B$3819)</f>
        <v>151</v>
      </c>
      <c r="C1246" s="6">
        <v>27.7</v>
      </c>
    </row>
    <row r="1247" spans="1:3" x14ac:dyDescent="0.25">
      <c r="A1247" s="4">
        <v>37540</v>
      </c>
      <c r="B1247" s="5">
        <f>_xlfn.XLOOKUP(A1247,bunker_daily_raw!$A$2:$A$3819,bunker_daily_raw!$B$2:$B$3819)</f>
        <v>150.5</v>
      </c>
      <c r="C1247" s="6">
        <v>28.18</v>
      </c>
    </row>
    <row r="1248" spans="1:3" x14ac:dyDescent="0.25">
      <c r="A1248" s="4">
        <v>37543</v>
      </c>
      <c r="B1248" s="5">
        <f>_xlfn.XLOOKUP(A1248,bunker_daily_raw!$A$2:$A$3819,bunker_daily_raw!$B$2:$B$3819)</f>
        <v>148</v>
      </c>
      <c r="C1248" s="6">
        <v>28.56</v>
      </c>
    </row>
    <row r="1249" spans="1:3" x14ac:dyDescent="0.25">
      <c r="A1249" s="4">
        <v>37544</v>
      </c>
      <c r="B1249" s="5">
        <f>_xlfn.XLOOKUP(A1249,bunker_daily_raw!$A$2:$A$3819,bunker_daily_raw!$B$2:$B$3819)</f>
        <v>147</v>
      </c>
      <c r="C1249" s="6">
        <v>28.66</v>
      </c>
    </row>
    <row r="1250" spans="1:3" x14ac:dyDescent="0.25">
      <c r="A1250" s="4">
        <v>37545</v>
      </c>
      <c r="B1250" s="5">
        <f>_xlfn.XLOOKUP(A1250,bunker_daily_raw!$A$2:$A$3819,bunker_daily_raw!$B$2:$B$3819)</f>
        <v>143.5</v>
      </c>
      <c r="C1250" s="6">
        <v>28.61</v>
      </c>
    </row>
    <row r="1251" spans="1:3" x14ac:dyDescent="0.25">
      <c r="A1251" s="4">
        <v>37546</v>
      </c>
      <c r="B1251" s="5">
        <f>_xlfn.XLOOKUP(A1251,bunker_daily_raw!$A$2:$A$3819,bunker_daily_raw!$B$2:$B$3819)</f>
        <v>139.25</v>
      </c>
      <c r="C1251" s="6">
        <v>28.22</v>
      </c>
    </row>
    <row r="1252" spans="1:3" x14ac:dyDescent="0.25">
      <c r="A1252" s="4">
        <v>37547</v>
      </c>
      <c r="B1252" s="5">
        <f>_xlfn.XLOOKUP(A1252,bunker_daily_raw!$A$2:$A$3819,bunker_daily_raw!$B$2:$B$3819)</f>
        <v>139.75</v>
      </c>
      <c r="C1252" s="6">
        <v>28.2</v>
      </c>
    </row>
    <row r="1253" spans="1:3" x14ac:dyDescent="0.25">
      <c r="A1253" s="4">
        <v>37550</v>
      </c>
      <c r="B1253" s="5">
        <f>_xlfn.XLOOKUP(A1253,bunker_daily_raw!$A$2:$A$3819,bunker_daily_raw!$B$2:$B$3819)</f>
        <v>141.25</v>
      </c>
      <c r="C1253" s="6">
        <v>27.01</v>
      </c>
    </row>
    <row r="1254" spans="1:3" x14ac:dyDescent="0.25">
      <c r="A1254" s="4">
        <v>37551</v>
      </c>
      <c r="B1254" s="5">
        <f>_xlfn.XLOOKUP(A1254,bunker_daily_raw!$A$2:$A$3819,bunker_daily_raw!$B$2:$B$3819)</f>
        <v>138</v>
      </c>
      <c r="C1254" s="6">
        <v>26.69</v>
      </c>
    </row>
    <row r="1255" spans="1:3" x14ac:dyDescent="0.25">
      <c r="A1255" s="4">
        <v>37552</v>
      </c>
      <c r="B1255" s="5">
        <f>_xlfn.XLOOKUP(A1255,bunker_daily_raw!$A$2:$A$3819,bunker_daily_raw!$B$2:$B$3819)</f>
        <v>135</v>
      </c>
      <c r="C1255" s="6">
        <v>26.68</v>
      </c>
    </row>
    <row r="1256" spans="1:3" x14ac:dyDescent="0.25">
      <c r="A1256" s="4">
        <v>37553</v>
      </c>
      <c r="B1256" s="5">
        <f>_xlfn.XLOOKUP(A1256,bunker_daily_raw!$A$2:$A$3819,bunker_daily_raw!$B$2:$B$3819)</f>
        <v>134</v>
      </c>
      <c r="C1256" s="6">
        <v>26.78</v>
      </c>
    </row>
    <row r="1257" spans="1:3" x14ac:dyDescent="0.25">
      <c r="A1257" s="4">
        <v>37554</v>
      </c>
      <c r="B1257" s="5">
        <f>_xlfn.XLOOKUP(A1257,bunker_daily_raw!$A$2:$A$3819,bunker_daily_raw!$B$2:$B$3819)</f>
        <v>130</v>
      </c>
      <c r="C1257" s="6">
        <v>25.96</v>
      </c>
    </row>
    <row r="1258" spans="1:3" x14ac:dyDescent="0.25">
      <c r="A1258" s="4">
        <v>37557</v>
      </c>
      <c r="B1258" s="5">
        <f>_xlfn.XLOOKUP(A1258,bunker_daily_raw!$A$2:$A$3819,bunker_daily_raw!$B$2:$B$3819)</f>
        <v>128.5</v>
      </c>
      <c r="C1258" s="6">
        <v>25.44</v>
      </c>
    </row>
    <row r="1259" spans="1:3" x14ac:dyDescent="0.25">
      <c r="A1259" s="4">
        <v>37558</v>
      </c>
      <c r="B1259" s="5">
        <f>_xlfn.XLOOKUP(A1259,bunker_daily_raw!$A$2:$A$3819,bunker_daily_raw!$B$2:$B$3819)</f>
        <v>128.5</v>
      </c>
      <c r="C1259" s="6">
        <v>25.71</v>
      </c>
    </row>
    <row r="1260" spans="1:3" x14ac:dyDescent="0.25">
      <c r="A1260" s="4">
        <v>37559</v>
      </c>
      <c r="B1260" s="5">
        <f>_xlfn.XLOOKUP(A1260,bunker_daily_raw!$A$2:$A$3819,bunker_daily_raw!$B$2:$B$3819)</f>
        <v>128.5</v>
      </c>
      <c r="C1260" s="6">
        <v>25.29</v>
      </c>
    </row>
    <row r="1261" spans="1:3" x14ac:dyDescent="0.25">
      <c r="A1261" s="4">
        <v>37560</v>
      </c>
      <c r="B1261" s="5">
        <f>_xlfn.XLOOKUP(A1261,bunker_daily_raw!$A$2:$A$3819,bunker_daily_raw!$B$2:$B$3819)</f>
        <v>126</v>
      </c>
      <c r="C1261" s="6">
        <v>25.51</v>
      </c>
    </row>
    <row r="1262" spans="1:3" x14ac:dyDescent="0.25">
      <c r="A1262" s="4">
        <v>37561</v>
      </c>
      <c r="B1262" s="5">
        <f>_xlfn.XLOOKUP(A1262,bunker_daily_raw!$A$2:$A$3819,bunker_daily_raw!$B$2:$B$3819)</f>
        <v>121.75</v>
      </c>
      <c r="C1262" s="6">
        <v>25.78</v>
      </c>
    </row>
    <row r="1263" spans="1:3" x14ac:dyDescent="0.25">
      <c r="A1263" s="4">
        <v>37564</v>
      </c>
      <c r="B1263" s="5" t="e">
        <f>_xlfn.XLOOKUP(A1263,bunker_daily_raw!$A$2:$A$3819,bunker_daily_raw!$B$2:$B$3819)</f>
        <v>#N/A</v>
      </c>
      <c r="C1263" s="6">
        <v>25.21</v>
      </c>
    </row>
    <row r="1264" spans="1:3" x14ac:dyDescent="0.25">
      <c r="A1264" s="4">
        <v>37565</v>
      </c>
      <c r="B1264" s="5">
        <f>_xlfn.XLOOKUP(A1264,bunker_daily_raw!$A$2:$A$3819,bunker_daily_raw!$B$2:$B$3819)</f>
        <v>121.5</v>
      </c>
      <c r="C1264" s="6">
        <v>24.66</v>
      </c>
    </row>
    <row r="1265" spans="1:3" x14ac:dyDescent="0.25">
      <c r="A1265" s="4">
        <v>37566</v>
      </c>
      <c r="B1265" s="5">
        <f>_xlfn.XLOOKUP(A1265,bunker_daily_raw!$A$2:$A$3819,bunker_daily_raw!$B$2:$B$3819)</f>
        <v>119.5</v>
      </c>
      <c r="C1265" s="6">
        <v>23.73</v>
      </c>
    </row>
    <row r="1266" spans="1:3" x14ac:dyDescent="0.25">
      <c r="A1266" s="4">
        <v>37567</v>
      </c>
      <c r="B1266" s="5">
        <f>_xlfn.XLOOKUP(A1266,bunker_daily_raw!$A$2:$A$3819,bunker_daily_raw!$B$2:$B$3819)</f>
        <v>119.75</v>
      </c>
      <c r="C1266" s="6">
        <v>24.36</v>
      </c>
    </row>
    <row r="1267" spans="1:3" x14ac:dyDescent="0.25">
      <c r="A1267" s="4">
        <v>37568</v>
      </c>
      <c r="B1267" s="5">
        <f>_xlfn.XLOOKUP(A1267,bunker_daily_raw!$A$2:$A$3819,bunker_daily_raw!$B$2:$B$3819)</f>
        <v>119.5</v>
      </c>
      <c r="C1267" s="6">
        <v>23.54</v>
      </c>
    </row>
    <row r="1268" spans="1:3" x14ac:dyDescent="0.25">
      <c r="A1268" s="4">
        <v>37571</v>
      </c>
      <c r="B1268" s="5">
        <f>_xlfn.XLOOKUP(A1268,bunker_daily_raw!$A$2:$A$3819,bunker_daily_raw!$B$2:$B$3819)</f>
        <v>117.5</v>
      </c>
      <c r="C1268" s="6">
        <v>23.86</v>
      </c>
    </row>
    <row r="1269" spans="1:3" x14ac:dyDescent="0.25">
      <c r="A1269" s="4">
        <v>37572</v>
      </c>
      <c r="B1269" s="5">
        <f>_xlfn.XLOOKUP(A1269,bunker_daily_raw!$A$2:$A$3819,bunker_daily_raw!$B$2:$B$3819)</f>
        <v>114.5</v>
      </c>
      <c r="C1269" s="6">
        <v>24.01</v>
      </c>
    </row>
    <row r="1270" spans="1:3" x14ac:dyDescent="0.25">
      <c r="A1270" s="4">
        <v>37573</v>
      </c>
      <c r="B1270" s="5">
        <f>_xlfn.XLOOKUP(A1270,bunker_daily_raw!$A$2:$A$3819,bunker_daily_raw!$B$2:$B$3819)</f>
        <v>113.75</v>
      </c>
      <c r="C1270" s="6">
        <v>22.96</v>
      </c>
    </row>
    <row r="1271" spans="1:3" x14ac:dyDescent="0.25">
      <c r="A1271" s="4">
        <v>37574</v>
      </c>
      <c r="B1271" s="5">
        <f>_xlfn.XLOOKUP(A1271,bunker_daily_raw!$A$2:$A$3819,bunker_daily_raw!$B$2:$B$3819)</f>
        <v>116</v>
      </c>
      <c r="C1271" s="6">
        <v>22.82</v>
      </c>
    </row>
    <row r="1272" spans="1:3" x14ac:dyDescent="0.25">
      <c r="A1272" s="4">
        <v>37575</v>
      </c>
      <c r="B1272" s="5">
        <f>_xlfn.XLOOKUP(A1272,bunker_daily_raw!$A$2:$A$3819,bunker_daily_raw!$B$2:$B$3819)</f>
        <v>120.75</v>
      </c>
      <c r="C1272" s="6">
        <v>23.33</v>
      </c>
    </row>
    <row r="1273" spans="1:3" x14ac:dyDescent="0.25">
      <c r="A1273" s="4">
        <v>37578</v>
      </c>
      <c r="B1273" s="5">
        <f>_xlfn.XLOOKUP(A1273,bunker_daily_raw!$A$2:$A$3819,bunker_daily_raw!$B$2:$B$3819)</f>
        <v>120</v>
      </c>
      <c r="C1273" s="6">
        <v>23.41</v>
      </c>
    </row>
    <row r="1274" spans="1:3" x14ac:dyDescent="0.25">
      <c r="A1274" s="4">
        <v>37579</v>
      </c>
      <c r="B1274" s="5">
        <f>_xlfn.XLOOKUP(A1274,bunker_daily_raw!$A$2:$A$3819,bunker_daily_raw!$B$2:$B$3819)</f>
        <v>123.5</v>
      </c>
      <c r="C1274" s="6">
        <v>24.05</v>
      </c>
    </row>
    <row r="1275" spans="1:3" x14ac:dyDescent="0.25">
      <c r="A1275" s="4">
        <v>37580</v>
      </c>
      <c r="B1275" s="5">
        <f>_xlfn.XLOOKUP(A1275,bunker_daily_raw!$A$2:$A$3819,bunker_daily_raw!$B$2:$B$3819)</f>
        <v>125.5</v>
      </c>
      <c r="C1275" s="6">
        <v>24.05</v>
      </c>
    </row>
    <row r="1276" spans="1:3" x14ac:dyDescent="0.25">
      <c r="A1276" s="4">
        <v>37581</v>
      </c>
      <c r="B1276" s="5">
        <f>_xlfn.XLOOKUP(A1276,bunker_daily_raw!$A$2:$A$3819,bunker_daily_raw!$B$2:$B$3819)</f>
        <v>126.25</v>
      </c>
      <c r="C1276" s="6">
        <v>24.52</v>
      </c>
    </row>
    <row r="1277" spans="1:3" x14ac:dyDescent="0.25">
      <c r="A1277" s="4">
        <v>37582</v>
      </c>
      <c r="B1277" s="5">
        <f>_xlfn.XLOOKUP(A1277,bunker_daily_raw!$A$2:$A$3819,bunker_daily_raw!$B$2:$B$3819)</f>
        <v>124</v>
      </c>
      <c r="C1277" s="6">
        <v>24.79</v>
      </c>
    </row>
    <row r="1278" spans="1:3" x14ac:dyDescent="0.25">
      <c r="A1278" s="4">
        <v>37585</v>
      </c>
      <c r="B1278" s="5">
        <f>_xlfn.XLOOKUP(A1278,bunker_daily_raw!$A$2:$A$3819,bunker_daily_raw!$B$2:$B$3819)</f>
        <v>125</v>
      </c>
      <c r="C1278" s="6">
        <v>24.85</v>
      </c>
    </row>
    <row r="1279" spans="1:3" x14ac:dyDescent="0.25">
      <c r="A1279" s="4">
        <v>37586</v>
      </c>
      <c r="B1279" s="5">
        <f>_xlfn.XLOOKUP(A1279,bunker_daily_raw!$A$2:$A$3819,bunker_daily_raw!$B$2:$B$3819)</f>
        <v>124.5</v>
      </c>
      <c r="C1279" s="6">
        <v>24.56</v>
      </c>
    </row>
    <row r="1280" spans="1:3" x14ac:dyDescent="0.25">
      <c r="A1280" s="4">
        <v>37587</v>
      </c>
      <c r="B1280" s="5">
        <f>_xlfn.XLOOKUP(A1280,bunker_daily_raw!$A$2:$A$3819,bunker_daily_raw!$B$2:$B$3819)</f>
        <v>122</v>
      </c>
      <c r="C1280" s="6">
        <v>25.11</v>
      </c>
    </row>
    <row r="1281" spans="1:3" x14ac:dyDescent="0.25">
      <c r="A1281" s="4">
        <v>37588</v>
      </c>
      <c r="B1281" s="5">
        <f>_xlfn.XLOOKUP(A1281,bunker_daily_raw!$A$2:$A$3819,bunker_daily_raw!$B$2:$B$3819)</f>
        <v>123</v>
      </c>
      <c r="C1281" s="6">
        <v>25.7</v>
      </c>
    </row>
    <row r="1282" spans="1:3" x14ac:dyDescent="0.25">
      <c r="A1282" s="4">
        <v>37589</v>
      </c>
      <c r="B1282" s="5">
        <f>_xlfn.XLOOKUP(A1282,bunker_daily_raw!$A$2:$A$3819,bunker_daily_raw!$B$2:$B$3819)</f>
        <v>123.5</v>
      </c>
      <c r="C1282" s="6">
        <v>25.74</v>
      </c>
    </row>
    <row r="1283" spans="1:3" x14ac:dyDescent="0.25">
      <c r="A1283" s="4">
        <v>37592</v>
      </c>
      <c r="B1283" s="5">
        <f>_xlfn.XLOOKUP(A1283,bunker_daily_raw!$A$2:$A$3819,bunker_daily_raw!$B$2:$B$3819)</f>
        <v>122</v>
      </c>
      <c r="C1283" s="6">
        <v>25.73</v>
      </c>
    </row>
    <row r="1284" spans="1:3" x14ac:dyDescent="0.25">
      <c r="A1284" s="4">
        <v>37593</v>
      </c>
      <c r="B1284" s="5">
        <f>_xlfn.XLOOKUP(A1284,bunker_daily_raw!$A$2:$A$3819,bunker_daily_raw!$B$2:$B$3819)</f>
        <v>119.25</v>
      </c>
      <c r="C1284" s="6">
        <v>26.09</v>
      </c>
    </row>
    <row r="1285" spans="1:3" x14ac:dyDescent="0.25">
      <c r="A1285" s="4">
        <v>37594</v>
      </c>
      <c r="B1285" s="5">
        <f>_xlfn.XLOOKUP(A1285,bunker_daily_raw!$A$2:$A$3819,bunker_daily_raw!$B$2:$B$3819)</f>
        <v>119.5</v>
      </c>
      <c r="C1285" s="6">
        <v>25.99</v>
      </c>
    </row>
    <row r="1286" spans="1:3" x14ac:dyDescent="0.25">
      <c r="A1286" s="4">
        <v>37595</v>
      </c>
      <c r="B1286" s="5">
        <f>_xlfn.XLOOKUP(A1286,bunker_daily_raw!$A$2:$A$3819,bunker_daily_raw!$B$2:$B$3819)</f>
        <v>121.5</v>
      </c>
      <c r="C1286" s="6">
        <v>26.07</v>
      </c>
    </row>
    <row r="1287" spans="1:3" x14ac:dyDescent="0.25">
      <c r="A1287" s="4">
        <v>37596</v>
      </c>
      <c r="B1287" s="5" t="e">
        <f>_xlfn.XLOOKUP(A1287,bunker_daily_raw!$A$2:$A$3819,bunker_daily_raw!$B$2:$B$3819)</f>
        <v>#N/A</v>
      </c>
      <c r="C1287" s="6">
        <v>25.67</v>
      </c>
    </row>
    <row r="1288" spans="1:3" x14ac:dyDescent="0.25">
      <c r="A1288" s="4">
        <v>37599</v>
      </c>
      <c r="B1288" s="5">
        <f>_xlfn.XLOOKUP(A1288,bunker_daily_raw!$A$2:$A$3819,bunker_daily_raw!$B$2:$B$3819)</f>
        <v>121</v>
      </c>
      <c r="C1288" s="6">
        <v>26.06</v>
      </c>
    </row>
    <row r="1289" spans="1:3" x14ac:dyDescent="0.25">
      <c r="A1289" s="4">
        <v>37600</v>
      </c>
      <c r="B1289" s="5">
        <f>_xlfn.XLOOKUP(A1289,bunker_daily_raw!$A$2:$A$3819,bunker_daily_raw!$B$2:$B$3819)</f>
        <v>122</v>
      </c>
      <c r="C1289" s="6">
        <v>26.35</v>
      </c>
    </row>
    <row r="1290" spans="1:3" x14ac:dyDescent="0.25">
      <c r="A1290" s="4">
        <v>37601</v>
      </c>
      <c r="B1290" s="5">
        <f>_xlfn.XLOOKUP(A1290,bunker_daily_raw!$A$2:$A$3819,bunker_daily_raw!$B$2:$B$3819)</f>
        <v>122.75</v>
      </c>
      <c r="C1290" s="6">
        <v>26.85</v>
      </c>
    </row>
    <row r="1291" spans="1:3" x14ac:dyDescent="0.25">
      <c r="A1291" s="4">
        <v>37602</v>
      </c>
      <c r="B1291" s="5">
        <f>_xlfn.XLOOKUP(A1291,bunker_daily_raw!$A$2:$A$3819,bunker_daily_raw!$B$2:$B$3819)</f>
        <v>125.75</v>
      </c>
      <c r="C1291" s="6">
        <v>27.29</v>
      </c>
    </row>
    <row r="1292" spans="1:3" x14ac:dyDescent="0.25">
      <c r="A1292" s="4">
        <v>37603</v>
      </c>
      <c r="B1292" s="5">
        <f>_xlfn.XLOOKUP(A1292,bunker_daily_raw!$A$2:$A$3819,bunker_daily_raw!$B$2:$B$3819)</f>
        <v>130</v>
      </c>
      <c r="C1292" s="6">
        <v>27.64</v>
      </c>
    </row>
    <row r="1293" spans="1:3" x14ac:dyDescent="0.25">
      <c r="A1293" s="4">
        <v>37606</v>
      </c>
      <c r="B1293" s="5">
        <f>_xlfn.XLOOKUP(A1293,bunker_daily_raw!$A$2:$A$3819,bunker_daily_raw!$B$2:$B$3819)</f>
        <v>137</v>
      </c>
      <c r="C1293" s="6">
        <v>28.73</v>
      </c>
    </row>
    <row r="1294" spans="1:3" x14ac:dyDescent="0.25">
      <c r="A1294" s="4">
        <v>37607</v>
      </c>
      <c r="B1294" s="5">
        <f>_xlfn.XLOOKUP(A1294,bunker_daily_raw!$A$2:$A$3819,bunker_daily_raw!$B$2:$B$3819)</f>
        <v>136.25</v>
      </c>
      <c r="C1294" s="6">
        <v>29.25</v>
      </c>
    </row>
    <row r="1295" spans="1:3" x14ac:dyDescent="0.25">
      <c r="A1295" s="4">
        <v>37608</v>
      </c>
      <c r="B1295" s="5">
        <f>_xlfn.XLOOKUP(A1295,bunker_daily_raw!$A$2:$A$3819,bunker_daily_raw!$B$2:$B$3819)</f>
        <v>140.25</v>
      </c>
      <c r="C1295" s="6">
        <v>29.95</v>
      </c>
    </row>
    <row r="1296" spans="1:3" x14ac:dyDescent="0.25">
      <c r="A1296" s="4">
        <v>37609</v>
      </c>
      <c r="B1296" s="5">
        <f>_xlfn.XLOOKUP(A1296,bunker_daily_raw!$A$2:$A$3819,bunker_daily_raw!$B$2:$B$3819)</f>
        <v>138.25</v>
      </c>
      <c r="C1296" s="6">
        <v>30.26</v>
      </c>
    </row>
    <row r="1297" spans="1:3" x14ac:dyDescent="0.25">
      <c r="A1297" s="4">
        <v>37610</v>
      </c>
      <c r="B1297" s="5">
        <f>_xlfn.XLOOKUP(A1297,bunker_daily_raw!$A$2:$A$3819,bunker_daily_raw!$B$2:$B$3819)</f>
        <v>140.25</v>
      </c>
      <c r="C1297" s="6">
        <v>29.59</v>
      </c>
    </row>
    <row r="1298" spans="1:3" x14ac:dyDescent="0.25">
      <c r="A1298" s="4">
        <v>37613</v>
      </c>
      <c r="B1298" s="5">
        <f>_xlfn.XLOOKUP(A1298,bunker_daily_raw!$A$2:$A$3819,bunker_daily_raw!$B$2:$B$3819)</f>
        <v>144.5</v>
      </c>
      <c r="C1298" s="6">
        <v>30.61</v>
      </c>
    </row>
    <row r="1299" spans="1:3" x14ac:dyDescent="0.25">
      <c r="A1299" s="4">
        <v>37614</v>
      </c>
      <c r="B1299" s="5">
        <f>_xlfn.XLOOKUP(A1299,bunker_daily_raw!$A$2:$A$3819,bunker_daily_raw!$B$2:$B$3819)</f>
        <v>150</v>
      </c>
      <c r="C1299" s="6">
        <v>30.93</v>
      </c>
    </row>
    <row r="1300" spans="1:3" x14ac:dyDescent="0.25">
      <c r="A1300" s="4">
        <v>37615</v>
      </c>
      <c r="B1300" s="5" t="e">
        <f>_xlfn.XLOOKUP(A1300,bunker_daily_raw!$A$2:$A$3819,bunker_daily_raw!$B$2:$B$3819)</f>
        <v>#N/A</v>
      </c>
      <c r="C1300" s="5"/>
    </row>
    <row r="1301" spans="1:3" x14ac:dyDescent="0.25">
      <c r="A1301" s="4">
        <v>37616</v>
      </c>
      <c r="B1301" s="5">
        <f>_xlfn.XLOOKUP(A1301,bunker_daily_raw!$A$2:$A$3819,bunker_daily_raw!$B$2:$B$3819)</f>
        <v>156.5</v>
      </c>
      <c r="C1301" s="5"/>
    </row>
    <row r="1302" spans="1:3" x14ac:dyDescent="0.25">
      <c r="A1302" s="4">
        <v>37617</v>
      </c>
      <c r="B1302" s="5">
        <f>_xlfn.XLOOKUP(A1302,bunker_daily_raw!$A$2:$A$3819,bunker_daily_raw!$B$2:$B$3819)</f>
        <v>154</v>
      </c>
      <c r="C1302" s="6">
        <v>31.49</v>
      </c>
    </row>
    <row r="1303" spans="1:3" x14ac:dyDescent="0.25">
      <c r="A1303" s="4">
        <v>37620</v>
      </c>
      <c r="B1303" s="5">
        <f>_xlfn.XLOOKUP(A1303,bunker_daily_raw!$A$2:$A$3819,bunker_daily_raw!$B$2:$B$3819)</f>
        <v>156</v>
      </c>
      <c r="C1303" s="6">
        <v>32.020000000000003</v>
      </c>
    </row>
    <row r="1304" spans="1:3" x14ac:dyDescent="0.25">
      <c r="A1304" s="4">
        <v>37621</v>
      </c>
      <c r="B1304" s="5">
        <f>_xlfn.XLOOKUP(A1304,bunker_daily_raw!$A$2:$A$3819,bunker_daily_raw!$B$2:$B$3819)</f>
        <v>160.5</v>
      </c>
      <c r="C1304" s="6">
        <v>30.12</v>
      </c>
    </row>
    <row r="1305" spans="1:3" x14ac:dyDescent="0.25">
      <c r="A1305" s="4">
        <v>37622</v>
      </c>
      <c r="B1305" s="5" t="e">
        <f>_xlfn.XLOOKUP(A1305,bunker_daily_raw!$A$2:$A$3819,bunker_daily_raw!$B$2:$B$3819)</f>
        <v>#N/A</v>
      </c>
      <c r="C1305" s="5"/>
    </row>
    <row r="1306" spans="1:3" x14ac:dyDescent="0.25">
      <c r="A1306" s="4">
        <v>37623</v>
      </c>
      <c r="B1306" s="5">
        <f>_xlfn.XLOOKUP(A1306,bunker_daily_raw!$A$2:$A$3819,bunker_daily_raw!$B$2:$B$3819)</f>
        <v>167</v>
      </c>
      <c r="C1306" s="6">
        <v>30.32</v>
      </c>
    </row>
    <row r="1307" spans="1:3" x14ac:dyDescent="0.25">
      <c r="A1307" s="4">
        <v>37624</v>
      </c>
      <c r="B1307" s="5">
        <f>_xlfn.XLOOKUP(A1307,bunker_daily_raw!$A$2:$A$3819,bunker_daily_raw!$B$2:$B$3819)</f>
        <v>163</v>
      </c>
      <c r="C1307" s="6">
        <v>31.43</v>
      </c>
    </row>
    <row r="1308" spans="1:3" x14ac:dyDescent="0.25">
      <c r="A1308" s="4">
        <v>37627</v>
      </c>
      <c r="B1308" s="5">
        <f>_xlfn.XLOOKUP(A1308,bunker_daily_raw!$A$2:$A$3819,bunker_daily_raw!$B$2:$B$3819)</f>
        <v>161</v>
      </c>
      <c r="C1308" s="6">
        <v>31.43</v>
      </c>
    </row>
    <row r="1309" spans="1:3" x14ac:dyDescent="0.25">
      <c r="A1309" s="4">
        <v>37628</v>
      </c>
      <c r="B1309" s="5">
        <f>_xlfn.XLOOKUP(A1309,bunker_daily_raw!$A$2:$A$3819,bunker_daily_raw!$B$2:$B$3819)</f>
        <v>162</v>
      </c>
      <c r="C1309" s="6">
        <v>30.78</v>
      </c>
    </row>
    <row r="1310" spans="1:3" x14ac:dyDescent="0.25">
      <c r="A1310" s="4">
        <v>37629</v>
      </c>
      <c r="B1310" s="5">
        <f>_xlfn.XLOOKUP(A1310,bunker_daily_raw!$A$2:$A$3819,bunker_daily_raw!$B$2:$B$3819)</f>
        <v>167</v>
      </c>
      <c r="C1310" s="6">
        <v>29.3</v>
      </c>
    </row>
    <row r="1311" spans="1:3" x14ac:dyDescent="0.25">
      <c r="A1311" s="4">
        <v>37630</v>
      </c>
      <c r="B1311" s="5">
        <f>_xlfn.XLOOKUP(A1311,bunker_daily_raw!$A$2:$A$3819,bunker_daily_raw!$B$2:$B$3819)</f>
        <v>170</v>
      </c>
      <c r="C1311" s="6">
        <v>30.26</v>
      </c>
    </row>
    <row r="1312" spans="1:3" x14ac:dyDescent="0.25">
      <c r="A1312" s="4">
        <v>37631</v>
      </c>
      <c r="B1312" s="5">
        <f>_xlfn.XLOOKUP(A1312,bunker_daily_raw!$A$2:$A$3819,bunker_daily_raw!$B$2:$B$3819)</f>
        <v>174.75</v>
      </c>
      <c r="C1312" s="6">
        <v>30.07</v>
      </c>
    </row>
    <row r="1313" spans="1:3" x14ac:dyDescent="0.25">
      <c r="A1313" s="4">
        <v>37634</v>
      </c>
      <c r="B1313" s="5">
        <f>_xlfn.XLOOKUP(A1313,bunker_daily_raw!$A$2:$A$3819,bunker_daily_raw!$B$2:$B$3819)</f>
        <v>187</v>
      </c>
      <c r="C1313" s="6">
        <v>30.46</v>
      </c>
    </row>
    <row r="1314" spans="1:3" x14ac:dyDescent="0.25">
      <c r="A1314" s="4">
        <v>37635</v>
      </c>
      <c r="B1314" s="5">
        <f>_xlfn.XLOOKUP(A1314,bunker_daily_raw!$A$2:$A$3819,bunker_daily_raw!$B$2:$B$3819)</f>
        <v>193</v>
      </c>
      <c r="C1314" s="6">
        <v>31.36</v>
      </c>
    </row>
    <row r="1315" spans="1:3" x14ac:dyDescent="0.25">
      <c r="A1315" s="4">
        <v>37636</v>
      </c>
      <c r="B1315" s="5">
        <f>_xlfn.XLOOKUP(A1315,bunker_daily_raw!$A$2:$A$3819,bunker_daily_raw!$B$2:$B$3819)</f>
        <v>188</v>
      </c>
      <c r="C1315" s="6">
        <v>31.73</v>
      </c>
    </row>
    <row r="1316" spans="1:3" x14ac:dyDescent="0.25">
      <c r="A1316" s="4">
        <v>37637</v>
      </c>
      <c r="B1316" s="5">
        <f>_xlfn.XLOOKUP(A1316,bunker_daily_raw!$A$2:$A$3819,bunker_daily_raw!$B$2:$B$3819)</f>
        <v>184.5</v>
      </c>
      <c r="C1316" s="6">
        <v>32.29</v>
      </c>
    </row>
    <row r="1317" spans="1:3" x14ac:dyDescent="0.25">
      <c r="A1317" s="4">
        <v>37638</v>
      </c>
      <c r="B1317" s="5">
        <f>_xlfn.XLOOKUP(A1317,bunker_daily_raw!$A$2:$A$3819,bunker_daily_raw!$B$2:$B$3819)</f>
        <v>182</v>
      </c>
      <c r="C1317" s="6">
        <v>31.57</v>
      </c>
    </row>
    <row r="1318" spans="1:3" x14ac:dyDescent="0.25">
      <c r="A1318" s="4">
        <v>37641</v>
      </c>
      <c r="B1318" s="5">
        <f>_xlfn.XLOOKUP(A1318,bunker_daily_raw!$A$2:$A$3819,bunker_daily_raw!$B$2:$B$3819)</f>
        <v>178</v>
      </c>
      <c r="C1318" s="6">
        <v>32.229999999999997</v>
      </c>
    </row>
    <row r="1319" spans="1:3" x14ac:dyDescent="0.25">
      <c r="A1319" s="4">
        <v>37642</v>
      </c>
      <c r="B1319" s="5">
        <f>_xlfn.XLOOKUP(A1319,bunker_daily_raw!$A$2:$A$3819,bunker_daily_raw!$B$2:$B$3819)</f>
        <v>170.5</v>
      </c>
      <c r="C1319" s="6">
        <v>31.72</v>
      </c>
    </row>
    <row r="1320" spans="1:3" x14ac:dyDescent="0.25">
      <c r="A1320" s="4">
        <v>37643</v>
      </c>
      <c r="B1320" s="5">
        <f>_xlfn.XLOOKUP(A1320,bunker_daily_raw!$A$2:$A$3819,bunker_daily_raw!$B$2:$B$3819)</f>
        <v>166.25</v>
      </c>
      <c r="C1320" s="6">
        <v>32.07</v>
      </c>
    </row>
    <row r="1321" spans="1:3" x14ac:dyDescent="0.25">
      <c r="A1321" s="4">
        <v>37644</v>
      </c>
      <c r="B1321" s="5">
        <f>_xlfn.XLOOKUP(A1321,bunker_daily_raw!$A$2:$A$3819,bunker_daily_raw!$B$2:$B$3819)</f>
        <v>170.5</v>
      </c>
      <c r="C1321" s="6">
        <v>31.4</v>
      </c>
    </row>
    <row r="1322" spans="1:3" x14ac:dyDescent="0.25">
      <c r="A1322" s="4">
        <v>37645</v>
      </c>
      <c r="B1322" s="5">
        <f>_xlfn.XLOOKUP(A1322,bunker_daily_raw!$A$2:$A$3819,bunker_daily_raw!$B$2:$B$3819)</f>
        <v>168</v>
      </c>
      <c r="C1322" s="6">
        <v>31.62</v>
      </c>
    </row>
    <row r="1323" spans="1:3" x14ac:dyDescent="0.25">
      <c r="A1323" s="4">
        <v>37648</v>
      </c>
      <c r="B1323" s="5">
        <f>_xlfn.XLOOKUP(A1323,bunker_daily_raw!$A$2:$A$3819,bunker_daily_raw!$B$2:$B$3819)</f>
        <v>169.5</v>
      </c>
      <c r="C1323" s="6">
        <v>31.02</v>
      </c>
    </row>
    <row r="1324" spans="1:3" x14ac:dyDescent="0.25">
      <c r="A1324" s="4">
        <v>37649</v>
      </c>
      <c r="B1324" s="5">
        <f>_xlfn.XLOOKUP(A1324,bunker_daily_raw!$A$2:$A$3819,bunker_daily_raw!$B$2:$B$3819)</f>
        <v>171</v>
      </c>
      <c r="C1324" s="6">
        <v>30.73</v>
      </c>
    </row>
    <row r="1325" spans="1:3" x14ac:dyDescent="0.25">
      <c r="A1325" s="4">
        <v>37650</v>
      </c>
      <c r="B1325" s="5">
        <f>_xlfn.XLOOKUP(A1325,bunker_daily_raw!$A$2:$A$3819,bunker_daily_raw!$B$2:$B$3819)</f>
        <v>173</v>
      </c>
      <c r="C1325" s="6">
        <v>31.26</v>
      </c>
    </row>
    <row r="1326" spans="1:3" x14ac:dyDescent="0.25">
      <c r="A1326" s="4">
        <v>37651</v>
      </c>
      <c r="B1326" s="5">
        <f>_xlfn.XLOOKUP(A1326,bunker_daily_raw!$A$2:$A$3819,bunker_daily_raw!$B$2:$B$3819)</f>
        <v>171</v>
      </c>
      <c r="C1326" s="6">
        <v>31.42</v>
      </c>
    </row>
    <row r="1327" spans="1:3" x14ac:dyDescent="0.25">
      <c r="A1327" s="4">
        <v>37652</v>
      </c>
      <c r="B1327" s="5">
        <f>_xlfn.XLOOKUP(A1327,bunker_daily_raw!$A$2:$A$3819,bunker_daily_raw!$B$2:$B$3819)</f>
        <v>170.25</v>
      </c>
      <c r="C1327" s="6">
        <v>31.57</v>
      </c>
    </row>
    <row r="1328" spans="1:3" x14ac:dyDescent="0.25">
      <c r="A1328" s="4">
        <v>37655</v>
      </c>
      <c r="B1328" s="5" t="e">
        <f>_xlfn.XLOOKUP(A1328,bunker_daily_raw!$A$2:$A$3819,bunker_daily_raw!$B$2:$B$3819)</f>
        <v>#N/A</v>
      </c>
      <c r="C1328" s="6">
        <v>30.95</v>
      </c>
    </row>
    <row r="1329" spans="1:3" x14ac:dyDescent="0.25">
      <c r="A1329" s="4">
        <v>37656</v>
      </c>
      <c r="B1329" s="5">
        <f>_xlfn.XLOOKUP(A1329,bunker_daily_raw!$A$2:$A$3819,bunker_daily_raw!$B$2:$B$3819)</f>
        <v>174.25</v>
      </c>
      <c r="C1329" s="6">
        <v>31.13</v>
      </c>
    </row>
    <row r="1330" spans="1:3" x14ac:dyDescent="0.25">
      <c r="A1330" s="4">
        <v>37657</v>
      </c>
      <c r="B1330" s="5">
        <f>_xlfn.XLOOKUP(A1330,bunker_daily_raw!$A$2:$A$3819,bunker_daily_raw!$B$2:$B$3819)</f>
        <v>173</v>
      </c>
      <c r="C1330" s="6">
        <v>31.77</v>
      </c>
    </row>
    <row r="1331" spans="1:3" x14ac:dyDescent="0.25">
      <c r="A1331" s="4">
        <v>37658</v>
      </c>
      <c r="B1331" s="5">
        <f>_xlfn.XLOOKUP(A1331,bunker_daily_raw!$A$2:$A$3819,bunker_daily_raw!$B$2:$B$3819)</f>
        <v>175.25</v>
      </c>
      <c r="C1331" s="6">
        <v>31.81</v>
      </c>
    </row>
    <row r="1332" spans="1:3" x14ac:dyDescent="0.25">
      <c r="A1332" s="4">
        <v>37659</v>
      </c>
      <c r="B1332" s="5">
        <f>_xlfn.XLOOKUP(A1332,bunker_daily_raw!$A$2:$A$3819,bunker_daily_raw!$B$2:$B$3819)</f>
        <v>182</v>
      </c>
      <c r="C1332" s="6">
        <v>32.229999999999997</v>
      </c>
    </row>
    <row r="1333" spans="1:3" x14ac:dyDescent="0.25">
      <c r="A1333" s="4">
        <v>37662</v>
      </c>
      <c r="B1333" s="5">
        <f>_xlfn.XLOOKUP(A1333,bunker_daily_raw!$A$2:$A$3819,bunker_daily_raw!$B$2:$B$3819)</f>
        <v>183</v>
      </c>
      <c r="C1333" s="6">
        <v>32.47</v>
      </c>
    </row>
    <row r="1334" spans="1:3" x14ac:dyDescent="0.25">
      <c r="A1334" s="4">
        <v>37663</v>
      </c>
      <c r="B1334" s="5">
        <f>_xlfn.XLOOKUP(A1334,bunker_daily_raw!$A$2:$A$3819,bunker_daily_raw!$B$2:$B$3819)</f>
        <v>186</v>
      </c>
      <c r="C1334" s="6">
        <v>32.51</v>
      </c>
    </row>
    <row r="1335" spans="1:3" x14ac:dyDescent="0.25">
      <c r="A1335" s="4">
        <v>37664</v>
      </c>
      <c r="B1335" s="5" t="e">
        <f>_xlfn.XLOOKUP(A1335,bunker_daily_raw!$A$2:$A$3819,bunker_daily_raw!$B$2:$B$3819)</f>
        <v>#N/A</v>
      </c>
      <c r="C1335" s="6">
        <v>32.46</v>
      </c>
    </row>
    <row r="1336" spans="1:3" x14ac:dyDescent="0.25">
      <c r="A1336" s="4">
        <v>37665</v>
      </c>
      <c r="B1336" s="5">
        <f>_xlfn.XLOOKUP(A1336,bunker_daily_raw!$A$2:$A$3819,bunker_daily_raw!$B$2:$B$3819)</f>
        <v>186</v>
      </c>
      <c r="C1336" s="6">
        <v>33.229999999999997</v>
      </c>
    </row>
    <row r="1337" spans="1:3" x14ac:dyDescent="0.25">
      <c r="A1337" s="4">
        <v>37666</v>
      </c>
      <c r="B1337" s="5">
        <f>_xlfn.XLOOKUP(A1337,bunker_daily_raw!$A$2:$A$3819,bunker_daily_raw!$B$2:$B$3819)</f>
        <v>182</v>
      </c>
      <c r="C1337" s="6">
        <v>33.26</v>
      </c>
    </row>
    <row r="1338" spans="1:3" x14ac:dyDescent="0.25">
      <c r="A1338" s="4">
        <v>37669</v>
      </c>
      <c r="B1338" s="5">
        <f>_xlfn.XLOOKUP(A1338,bunker_daily_raw!$A$2:$A$3819,bunker_daily_raw!$B$2:$B$3819)</f>
        <v>172</v>
      </c>
      <c r="C1338" s="6">
        <v>33.06</v>
      </c>
    </row>
    <row r="1339" spans="1:3" x14ac:dyDescent="0.25">
      <c r="A1339" s="4">
        <v>37670</v>
      </c>
      <c r="B1339" s="5">
        <f>_xlfn.XLOOKUP(A1339,bunker_daily_raw!$A$2:$A$3819,bunker_daily_raw!$B$2:$B$3819)</f>
        <v>163.5</v>
      </c>
      <c r="C1339" s="6">
        <v>33.26</v>
      </c>
    </row>
    <row r="1340" spans="1:3" x14ac:dyDescent="0.25">
      <c r="A1340" s="4">
        <v>37671</v>
      </c>
      <c r="B1340" s="5">
        <f>_xlfn.XLOOKUP(A1340,bunker_daily_raw!$A$2:$A$3819,bunker_daily_raw!$B$2:$B$3819)</f>
        <v>163</v>
      </c>
      <c r="C1340" s="6">
        <v>33.159999999999997</v>
      </c>
    </row>
    <row r="1341" spans="1:3" x14ac:dyDescent="0.25">
      <c r="A1341" s="4">
        <v>37672</v>
      </c>
      <c r="B1341" s="5">
        <f>_xlfn.XLOOKUP(A1341,bunker_daily_raw!$A$2:$A$3819,bunker_daily_raw!$B$2:$B$3819)</f>
        <v>165.5</v>
      </c>
      <c r="C1341" s="6">
        <v>32.76</v>
      </c>
    </row>
    <row r="1342" spans="1:3" x14ac:dyDescent="0.25">
      <c r="A1342" s="4">
        <v>37673</v>
      </c>
      <c r="B1342" s="5">
        <f>_xlfn.XLOOKUP(A1342,bunker_daily_raw!$A$2:$A$3819,bunker_daily_raw!$B$2:$B$3819)</f>
        <v>164.5</v>
      </c>
      <c r="C1342" s="6">
        <v>32.76</v>
      </c>
    </row>
    <row r="1343" spans="1:3" x14ac:dyDescent="0.25">
      <c r="A1343" s="4">
        <v>37676</v>
      </c>
      <c r="B1343" s="5">
        <f>_xlfn.XLOOKUP(A1343,bunker_daily_raw!$A$2:$A$3819,bunker_daily_raw!$B$2:$B$3819)</f>
        <v>164.75</v>
      </c>
      <c r="C1343" s="6">
        <v>33.409999999999997</v>
      </c>
    </row>
    <row r="1344" spans="1:3" x14ac:dyDescent="0.25">
      <c r="A1344" s="4">
        <v>37677</v>
      </c>
      <c r="B1344" s="5">
        <f>_xlfn.XLOOKUP(A1344,bunker_daily_raw!$A$2:$A$3819,bunker_daily_raw!$B$2:$B$3819)</f>
        <v>165.75</v>
      </c>
      <c r="C1344" s="6">
        <v>33.64</v>
      </c>
    </row>
    <row r="1345" spans="1:3" x14ac:dyDescent="0.25">
      <c r="A1345" s="4">
        <v>37678</v>
      </c>
      <c r="B1345" s="5">
        <f>_xlfn.XLOOKUP(A1345,bunker_daily_raw!$A$2:$A$3819,bunker_daily_raw!$B$2:$B$3819)</f>
        <v>165</v>
      </c>
      <c r="C1345" s="6">
        <v>33.46</v>
      </c>
    </row>
    <row r="1346" spans="1:3" x14ac:dyDescent="0.25">
      <c r="A1346" s="4">
        <v>37679</v>
      </c>
      <c r="B1346" s="5">
        <f>_xlfn.XLOOKUP(A1346,bunker_daily_raw!$A$2:$A$3819,bunker_daily_raw!$B$2:$B$3819)</f>
        <v>164.75</v>
      </c>
      <c r="C1346" s="6">
        <v>34.090000000000003</v>
      </c>
    </row>
    <row r="1347" spans="1:3" x14ac:dyDescent="0.25">
      <c r="A1347" s="4">
        <v>37680</v>
      </c>
      <c r="B1347" s="5">
        <f>_xlfn.XLOOKUP(A1347,bunker_daily_raw!$A$2:$A$3819,bunker_daily_raw!$B$2:$B$3819)</f>
        <v>162</v>
      </c>
      <c r="C1347" s="6">
        <v>34</v>
      </c>
    </row>
    <row r="1348" spans="1:3" x14ac:dyDescent="0.25">
      <c r="A1348" s="4">
        <v>37683</v>
      </c>
      <c r="B1348" s="5">
        <f>_xlfn.XLOOKUP(A1348,bunker_daily_raw!$A$2:$A$3819,bunker_daily_raw!$B$2:$B$3819)</f>
        <v>156.5</v>
      </c>
      <c r="C1348" s="6">
        <v>33.4</v>
      </c>
    </row>
    <row r="1349" spans="1:3" x14ac:dyDescent="0.25">
      <c r="A1349" s="4">
        <v>37684</v>
      </c>
      <c r="B1349" s="5">
        <f>_xlfn.XLOOKUP(A1349,bunker_daily_raw!$A$2:$A$3819,bunker_daily_raw!$B$2:$B$3819)</f>
        <v>155.5</v>
      </c>
      <c r="C1349" s="6">
        <v>34.369999999999997</v>
      </c>
    </row>
    <row r="1350" spans="1:3" x14ac:dyDescent="0.25">
      <c r="A1350" s="4">
        <v>37685</v>
      </c>
      <c r="B1350" s="5">
        <f>_xlfn.XLOOKUP(A1350,bunker_daily_raw!$A$2:$A$3819,bunker_daily_raw!$B$2:$B$3819)</f>
        <v>158</v>
      </c>
      <c r="C1350" s="6">
        <v>33.92</v>
      </c>
    </row>
    <row r="1351" spans="1:3" x14ac:dyDescent="0.25">
      <c r="A1351" s="4">
        <v>37686</v>
      </c>
      <c r="B1351" s="5">
        <f>_xlfn.XLOOKUP(A1351,bunker_daily_raw!$A$2:$A$3819,bunker_daily_raw!$B$2:$B$3819)</f>
        <v>157.5</v>
      </c>
      <c r="C1351" s="6">
        <v>34.39</v>
      </c>
    </row>
    <row r="1352" spans="1:3" x14ac:dyDescent="0.25">
      <c r="A1352" s="4">
        <v>37687</v>
      </c>
      <c r="B1352" s="5">
        <f>_xlfn.XLOOKUP(A1352,bunker_daily_raw!$A$2:$A$3819,bunker_daily_raw!$B$2:$B$3819)</f>
        <v>156</v>
      </c>
      <c r="C1352" s="6">
        <v>34.47</v>
      </c>
    </row>
    <row r="1353" spans="1:3" x14ac:dyDescent="0.25">
      <c r="A1353" s="4">
        <v>37690</v>
      </c>
      <c r="B1353" s="5">
        <f>_xlfn.XLOOKUP(A1353,bunker_daily_raw!$A$2:$A$3819,bunker_daily_raw!$B$2:$B$3819)</f>
        <v>161.5</v>
      </c>
      <c r="C1353" s="6">
        <v>34.94</v>
      </c>
    </row>
    <row r="1354" spans="1:3" x14ac:dyDescent="0.25">
      <c r="A1354" s="4">
        <v>37691</v>
      </c>
      <c r="B1354" s="5">
        <f>_xlfn.XLOOKUP(A1354,bunker_daily_raw!$A$2:$A$3819,bunker_daily_raw!$B$2:$B$3819)</f>
        <v>160</v>
      </c>
      <c r="C1354" s="6">
        <v>34.06</v>
      </c>
    </row>
    <row r="1355" spans="1:3" x14ac:dyDescent="0.25">
      <c r="A1355" s="4">
        <v>37692</v>
      </c>
      <c r="B1355" s="5">
        <f>_xlfn.XLOOKUP(A1355,bunker_daily_raw!$A$2:$A$3819,bunker_daily_raw!$B$2:$B$3819)</f>
        <v>158.5</v>
      </c>
      <c r="C1355" s="6">
        <v>34.159999999999997</v>
      </c>
    </row>
    <row r="1356" spans="1:3" x14ac:dyDescent="0.25">
      <c r="A1356" s="4">
        <v>37693</v>
      </c>
      <c r="B1356" s="5">
        <f>_xlfn.XLOOKUP(A1356,bunker_daily_raw!$A$2:$A$3819,bunker_daily_raw!$B$2:$B$3819)</f>
        <v>159.75</v>
      </c>
      <c r="C1356" s="6">
        <v>33.979999999999997</v>
      </c>
    </row>
    <row r="1357" spans="1:3" x14ac:dyDescent="0.25">
      <c r="A1357" s="4">
        <v>37694</v>
      </c>
      <c r="B1357" s="5">
        <f>_xlfn.XLOOKUP(A1357,bunker_daily_raw!$A$2:$A$3819,bunker_daily_raw!$B$2:$B$3819)</f>
        <v>152.25</v>
      </c>
      <c r="C1357" s="6">
        <v>31.48</v>
      </c>
    </row>
    <row r="1358" spans="1:3" x14ac:dyDescent="0.25">
      <c r="A1358" s="4">
        <v>37697</v>
      </c>
      <c r="B1358" s="5">
        <f>_xlfn.XLOOKUP(A1358,bunker_daily_raw!$A$2:$A$3819,bunker_daily_raw!$B$2:$B$3819)</f>
        <v>152</v>
      </c>
      <c r="C1358" s="6">
        <v>30.35</v>
      </c>
    </row>
    <row r="1359" spans="1:3" x14ac:dyDescent="0.25">
      <c r="A1359" s="4">
        <v>37698</v>
      </c>
      <c r="B1359" s="5">
        <f>_xlfn.XLOOKUP(A1359,bunker_daily_raw!$A$2:$A$3819,bunker_daily_raw!$B$2:$B$3819)</f>
        <v>137</v>
      </c>
      <c r="C1359" s="6">
        <v>28.55</v>
      </c>
    </row>
    <row r="1360" spans="1:3" x14ac:dyDescent="0.25">
      <c r="A1360" s="4">
        <v>37699</v>
      </c>
      <c r="B1360" s="5">
        <f>_xlfn.XLOOKUP(A1360,bunker_daily_raw!$A$2:$A$3819,bunker_daily_raw!$B$2:$B$3819)</f>
        <v>134</v>
      </c>
      <c r="C1360" s="6">
        <v>28.4</v>
      </c>
    </row>
    <row r="1361" spans="1:3" x14ac:dyDescent="0.25">
      <c r="A1361" s="4">
        <v>37700</v>
      </c>
      <c r="B1361" s="5">
        <f>_xlfn.XLOOKUP(A1361,bunker_daily_raw!$A$2:$A$3819,bunker_daily_raw!$B$2:$B$3819)</f>
        <v>132.5</v>
      </c>
      <c r="C1361" s="6">
        <v>28</v>
      </c>
    </row>
    <row r="1362" spans="1:3" x14ac:dyDescent="0.25">
      <c r="A1362" s="4">
        <v>37701</v>
      </c>
      <c r="B1362" s="5">
        <f>_xlfn.XLOOKUP(A1362,bunker_daily_raw!$A$2:$A$3819,bunker_daily_raw!$B$2:$B$3819)</f>
        <v>126</v>
      </c>
      <c r="C1362" s="6">
        <v>25.59</v>
      </c>
    </row>
    <row r="1363" spans="1:3" x14ac:dyDescent="0.25">
      <c r="A1363" s="4">
        <v>37704</v>
      </c>
      <c r="B1363" s="5">
        <f>_xlfn.XLOOKUP(A1363,bunker_daily_raw!$A$2:$A$3819,bunker_daily_raw!$B$2:$B$3819)</f>
        <v>123.25</v>
      </c>
      <c r="C1363" s="6">
        <v>26.54</v>
      </c>
    </row>
    <row r="1364" spans="1:3" x14ac:dyDescent="0.25">
      <c r="A1364" s="4">
        <v>37705</v>
      </c>
      <c r="B1364" s="5">
        <f>_xlfn.XLOOKUP(A1364,bunker_daily_raw!$A$2:$A$3819,bunker_daily_raw!$B$2:$B$3819)</f>
        <v>128.5</v>
      </c>
      <c r="C1364" s="6">
        <v>27.28</v>
      </c>
    </row>
    <row r="1365" spans="1:3" x14ac:dyDescent="0.25">
      <c r="A1365" s="4">
        <v>37706</v>
      </c>
      <c r="B1365" s="5">
        <f>_xlfn.XLOOKUP(A1365,bunker_daily_raw!$A$2:$A$3819,bunker_daily_raw!$B$2:$B$3819)</f>
        <v>129.5</v>
      </c>
      <c r="C1365" s="6">
        <v>25.98</v>
      </c>
    </row>
    <row r="1366" spans="1:3" x14ac:dyDescent="0.25">
      <c r="A1366" s="4">
        <v>37707</v>
      </c>
      <c r="B1366" s="5">
        <f>_xlfn.XLOOKUP(A1366,bunker_daily_raw!$A$2:$A$3819,bunker_daily_raw!$B$2:$B$3819)</f>
        <v>132</v>
      </c>
      <c r="C1366" s="6">
        <v>27.29</v>
      </c>
    </row>
    <row r="1367" spans="1:3" x14ac:dyDescent="0.25">
      <c r="A1367" s="4">
        <v>37708</v>
      </c>
      <c r="B1367" s="5">
        <f>_xlfn.XLOOKUP(A1367,bunker_daily_raw!$A$2:$A$3819,bunker_daily_raw!$B$2:$B$3819)</f>
        <v>137.5</v>
      </c>
      <c r="C1367" s="6">
        <v>27.66</v>
      </c>
    </row>
    <row r="1368" spans="1:3" x14ac:dyDescent="0.25">
      <c r="A1368" s="4">
        <v>37711</v>
      </c>
      <c r="B1368" s="5">
        <f>_xlfn.XLOOKUP(A1368,bunker_daily_raw!$A$2:$A$3819,bunker_daily_raw!$B$2:$B$3819)</f>
        <v>138.5</v>
      </c>
      <c r="C1368" s="6">
        <v>28.05</v>
      </c>
    </row>
    <row r="1369" spans="1:3" x14ac:dyDescent="0.25">
      <c r="A1369" s="4">
        <v>37712</v>
      </c>
      <c r="B1369" s="5">
        <f>_xlfn.XLOOKUP(A1369,bunker_daily_raw!$A$2:$A$3819,bunker_daily_raw!$B$2:$B$3819)</f>
        <v>136.5</v>
      </c>
      <c r="C1369" s="6">
        <v>27.94</v>
      </c>
    </row>
    <row r="1370" spans="1:3" x14ac:dyDescent="0.25">
      <c r="A1370" s="4">
        <v>37713</v>
      </c>
      <c r="B1370" s="5">
        <f>_xlfn.XLOOKUP(A1370,bunker_daily_raw!$A$2:$A$3819,bunker_daily_raw!$B$2:$B$3819)</f>
        <v>127.5</v>
      </c>
      <c r="C1370" s="6">
        <v>26.29</v>
      </c>
    </row>
    <row r="1371" spans="1:3" x14ac:dyDescent="0.25">
      <c r="A1371" s="4">
        <v>37714</v>
      </c>
      <c r="B1371" s="5">
        <f>_xlfn.XLOOKUP(A1371,bunker_daily_raw!$A$2:$A$3819,bunker_daily_raw!$B$2:$B$3819)</f>
        <v>125.5</v>
      </c>
      <c r="C1371" s="6">
        <v>26.75</v>
      </c>
    </row>
    <row r="1372" spans="1:3" x14ac:dyDescent="0.25">
      <c r="A1372" s="4">
        <v>37715</v>
      </c>
      <c r="B1372" s="5">
        <f>_xlfn.XLOOKUP(A1372,bunker_daily_raw!$A$2:$A$3819,bunker_daily_raw!$B$2:$B$3819)</f>
        <v>117.75</v>
      </c>
      <c r="C1372" s="6">
        <v>25.62</v>
      </c>
    </row>
    <row r="1373" spans="1:3" x14ac:dyDescent="0.25">
      <c r="A1373" s="4">
        <v>37718</v>
      </c>
      <c r="B1373" s="5">
        <f>_xlfn.XLOOKUP(A1373,bunker_daily_raw!$A$2:$A$3819,bunker_daily_raw!$B$2:$B$3819)</f>
        <v>119.75</v>
      </c>
      <c r="C1373" s="6">
        <v>25.27</v>
      </c>
    </row>
    <row r="1374" spans="1:3" x14ac:dyDescent="0.25">
      <c r="A1374" s="4">
        <v>37719</v>
      </c>
      <c r="B1374" s="5">
        <f>_xlfn.XLOOKUP(A1374,bunker_daily_raw!$A$2:$A$3819,bunker_daily_raw!$B$2:$B$3819)</f>
        <v>121</v>
      </c>
      <c r="C1374" s="6">
        <v>24.88</v>
      </c>
    </row>
    <row r="1375" spans="1:3" x14ac:dyDescent="0.25">
      <c r="A1375" s="4">
        <v>37720</v>
      </c>
      <c r="B1375" s="5">
        <f>_xlfn.XLOOKUP(A1375,bunker_daily_raw!$A$2:$A$3819,bunker_daily_raw!$B$2:$B$3819)</f>
        <v>122</v>
      </c>
      <c r="C1375" s="6">
        <v>25.11</v>
      </c>
    </row>
    <row r="1376" spans="1:3" x14ac:dyDescent="0.25">
      <c r="A1376" s="4">
        <v>37721</v>
      </c>
      <c r="B1376" s="5">
        <f>_xlfn.XLOOKUP(A1376,bunker_daily_raw!$A$2:$A$3819,bunker_daily_raw!$B$2:$B$3819)</f>
        <v>122.25</v>
      </c>
      <c r="C1376" s="6">
        <v>25.16</v>
      </c>
    </row>
    <row r="1377" spans="1:3" x14ac:dyDescent="0.25">
      <c r="A1377" s="4">
        <v>37722</v>
      </c>
      <c r="B1377" s="5">
        <f>_xlfn.XLOOKUP(A1377,bunker_daily_raw!$A$2:$A$3819,bunker_daily_raw!$B$2:$B$3819)</f>
        <v>118</v>
      </c>
      <c r="C1377" s="6">
        <v>24.39</v>
      </c>
    </row>
    <row r="1378" spans="1:3" x14ac:dyDescent="0.25">
      <c r="A1378" s="4">
        <v>37725</v>
      </c>
      <c r="B1378" s="5">
        <f>_xlfn.XLOOKUP(A1378,bunker_daily_raw!$A$2:$A$3819,bunker_daily_raw!$B$2:$B$3819)</f>
        <v>118.75</v>
      </c>
      <c r="C1378" s="6">
        <v>24.72</v>
      </c>
    </row>
    <row r="1379" spans="1:3" x14ac:dyDescent="0.25">
      <c r="A1379" s="4">
        <v>37726</v>
      </c>
      <c r="B1379" s="5">
        <f>_xlfn.XLOOKUP(A1379,bunker_daily_raw!$A$2:$A$3819,bunker_daily_raw!$B$2:$B$3819)</f>
        <v>120</v>
      </c>
      <c r="C1379" s="6">
        <v>24.74</v>
      </c>
    </row>
    <row r="1380" spans="1:3" x14ac:dyDescent="0.25">
      <c r="A1380" s="4">
        <v>37727</v>
      </c>
      <c r="B1380" s="5">
        <f>_xlfn.XLOOKUP(A1380,bunker_daily_raw!$A$2:$A$3819,bunker_daily_raw!$B$2:$B$3819)</f>
        <v>123.5</v>
      </c>
      <c r="C1380" s="6">
        <v>24.86</v>
      </c>
    </row>
    <row r="1381" spans="1:3" x14ac:dyDescent="0.25">
      <c r="A1381" s="4">
        <v>37728</v>
      </c>
      <c r="B1381" s="5">
        <f>_xlfn.XLOOKUP(A1381,bunker_daily_raw!$A$2:$A$3819,bunker_daily_raw!$B$2:$B$3819)</f>
        <v>127</v>
      </c>
      <c r="C1381" s="6">
        <v>25.36</v>
      </c>
    </row>
    <row r="1382" spans="1:3" x14ac:dyDescent="0.25">
      <c r="A1382" s="4">
        <v>37729</v>
      </c>
      <c r="B1382" s="5" t="e">
        <f>_xlfn.XLOOKUP(A1382,bunker_daily_raw!$A$2:$A$3819,bunker_daily_raw!$B$2:$B$3819)</f>
        <v>#N/A</v>
      </c>
      <c r="C1382" s="6">
        <v>25.76</v>
      </c>
    </row>
    <row r="1383" spans="1:3" x14ac:dyDescent="0.25">
      <c r="A1383" s="4">
        <v>37732</v>
      </c>
      <c r="B1383" s="5">
        <f>_xlfn.XLOOKUP(A1383,bunker_daily_raw!$A$2:$A$3819,bunker_daily_raw!$B$2:$B$3819)</f>
        <v>120</v>
      </c>
      <c r="C1383" s="6">
        <v>25.76</v>
      </c>
    </row>
    <row r="1384" spans="1:3" x14ac:dyDescent="0.25">
      <c r="A1384" s="4">
        <v>37733</v>
      </c>
      <c r="B1384" s="5">
        <f>_xlfn.XLOOKUP(A1384,bunker_daily_raw!$A$2:$A$3819,bunker_daily_raw!$B$2:$B$3819)</f>
        <v>119</v>
      </c>
      <c r="C1384" s="6">
        <v>25.72</v>
      </c>
    </row>
    <row r="1385" spans="1:3" x14ac:dyDescent="0.25">
      <c r="A1385" s="4">
        <v>37734</v>
      </c>
      <c r="B1385" s="5">
        <f>_xlfn.XLOOKUP(A1385,bunker_daily_raw!$A$2:$A$3819,bunker_daily_raw!$B$2:$B$3819)</f>
        <v>119.5</v>
      </c>
      <c r="C1385" s="6">
        <v>24.56</v>
      </c>
    </row>
    <row r="1386" spans="1:3" x14ac:dyDescent="0.25">
      <c r="A1386" s="4">
        <v>37735</v>
      </c>
      <c r="B1386" s="5">
        <f>_xlfn.XLOOKUP(A1386,bunker_daily_raw!$A$2:$A$3819,bunker_daily_raw!$B$2:$B$3819)</f>
        <v>124.75</v>
      </c>
      <c r="C1386" s="6">
        <v>24.06</v>
      </c>
    </row>
    <row r="1387" spans="1:3" x14ac:dyDescent="0.25">
      <c r="A1387" s="4">
        <v>37736</v>
      </c>
      <c r="B1387" s="5">
        <f>_xlfn.XLOOKUP(A1387,bunker_daily_raw!$A$2:$A$3819,bunker_daily_raw!$B$2:$B$3819)</f>
        <v>125.25</v>
      </c>
      <c r="C1387" s="6">
        <v>24.29</v>
      </c>
    </row>
    <row r="1388" spans="1:3" x14ac:dyDescent="0.25">
      <c r="A1388" s="4">
        <v>37739</v>
      </c>
      <c r="B1388" s="5">
        <f>_xlfn.XLOOKUP(A1388,bunker_daily_raw!$A$2:$A$3819,bunker_daily_raw!$B$2:$B$3819)</f>
        <v>124.75</v>
      </c>
      <c r="C1388" s="6">
        <v>23.42</v>
      </c>
    </row>
    <row r="1389" spans="1:3" x14ac:dyDescent="0.25">
      <c r="A1389" s="4">
        <v>37740</v>
      </c>
      <c r="B1389" s="5">
        <f>_xlfn.XLOOKUP(A1389,bunker_daily_raw!$A$2:$A$3819,bunker_daily_raw!$B$2:$B$3819)</f>
        <v>125.5</v>
      </c>
      <c r="C1389" s="6">
        <v>23.23</v>
      </c>
    </row>
    <row r="1390" spans="1:3" x14ac:dyDescent="0.25">
      <c r="A1390" s="4">
        <v>37741</v>
      </c>
      <c r="B1390" s="5">
        <f>_xlfn.XLOOKUP(A1390,bunker_daily_raw!$A$2:$A$3819,bunker_daily_raw!$B$2:$B$3819)</f>
        <v>129.5</v>
      </c>
      <c r="C1390" s="6">
        <v>23.6</v>
      </c>
    </row>
    <row r="1391" spans="1:3" x14ac:dyDescent="0.25">
      <c r="A1391" s="4">
        <v>37742</v>
      </c>
      <c r="B1391" s="5" t="e">
        <f>_xlfn.XLOOKUP(A1391,bunker_daily_raw!$A$2:$A$3819,bunker_daily_raw!$B$2:$B$3819)</f>
        <v>#N/A</v>
      </c>
      <c r="C1391" s="6">
        <v>23.79</v>
      </c>
    </row>
    <row r="1392" spans="1:3" x14ac:dyDescent="0.25">
      <c r="A1392" s="4">
        <v>37743</v>
      </c>
      <c r="B1392" s="5">
        <f>_xlfn.XLOOKUP(A1392,bunker_daily_raw!$A$2:$A$3819,bunker_daily_raw!$B$2:$B$3819)</f>
        <v>124.5</v>
      </c>
      <c r="C1392" s="6">
        <v>23.73</v>
      </c>
    </row>
    <row r="1393" spans="1:3" x14ac:dyDescent="0.25">
      <c r="A1393" s="4">
        <v>37746</v>
      </c>
      <c r="B1393" s="5">
        <f>_xlfn.XLOOKUP(A1393,bunker_daily_raw!$A$2:$A$3819,bunker_daily_raw!$B$2:$B$3819)</f>
        <v>128</v>
      </c>
      <c r="C1393" s="6">
        <v>23.59</v>
      </c>
    </row>
    <row r="1394" spans="1:3" x14ac:dyDescent="0.25">
      <c r="A1394" s="4">
        <v>37747</v>
      </c>
      <c r="B1394" s="5">
        <f>_xlfn.XLOOKUP(A1394,bunker_daily_raw!$A$2:$A$3819,bunker_daily_raw!$B$2:$B$3819)</f>
        <v>129</v>
      </c>
      <c r="C1394" s="6">
        <v>23.91</v>
      </c>
    </row>
    <row r="1395" spans="1:3" x14ac:dyDescent="0.25">
      <c r="A1395" s="4">
        <v>37748</v>
      </c>
      <c r="B1395" s="5">
        <f>_xlfn.XLOOKUP(A1395,bunker_daily_raw!$A$2:$A$3819,bunker_daily_raw!$B$2:$B$3819)</f>
        <v>130.5</v>
      </c>
      <c r="C1395" s="6">
        <v>24.01</v>
      </c>
    </row>
    <row r="1396" spans="1:3" x14ac:dyDescent="0.25">
      <c r="A1396" s="4">
        <v>37749</v>
      </c>
      <c r="B1396" s="5">
        <f>_xlfn.XLOOKUP(A1396,bunker_daily_raw!$A$2:$A$3819,bunker_daily_raw!$B$2:$B$3819)</f>
        <v>132.5</v>
      </c>
      <c r="C1396" s="6">
        <v>24.48</v>
      </c>
    </row>
    <row r="1397" spans="1:3" x14ac:dyDescent="0.25">
      <c r="A1397" s="4">
        <v>37750</v>
      </c>
      <c r="B1397" s="5">
        <f>_xlfn.XLOOKUP(A1397,bunker_daily_raw!$A$2:$A$3819,bunker_daily_raw!$B$2:$B$3819)</f>
        <v>134.5</v>
      </c>
      <c r="C1397" s="6">
        <v>25.55</v>
      </c>
    </row>
    <row r="1398" spans="1:3" x14ac:dyDescent="0.25">
      <c r="A1398" s="4">
        <v>37753</v>
      </c>
      <c r="B1398" s="5">
        <f>_xlfn.XLOOKUP(A1398,bunker_daily_raw!$A$2:$A$3819,bunker_daily_raw!$B$2:$B$3819)</f>
        <v>133.75</v>
      </c>
      <c r="C1398" s="6">
        <v>25.69</v>
      </c>
    </row>
    <row r="1399" spans="1:3" x14ac:dyDescent="0.25">
      <c r="A1399" s="4">
        <v>37754</v>
      </c>
      <c r="B1399" s="5">
        <f>_xlfn.XLOOKUP(A1399,bunker_daily_raw!$A$2:$A$3819,bunker_daily_raw!$B$2:$B$3819)</f>
        <v>134.75</v>
      </c>
      <c r="C1399" s="6">
        <v>25.45</v>
      </c>
    </row>
    <row r="1400" spans="1:3" x14ac:dyDescent="0.25">
      <c r="A1400" s="4">
        <v>37755</v>
      </c>
      <c r="B1400" s="5">
        <f>_xlfn.XLOOKUP(A1400,bunker_daily_raw!$A$2:$A$3819,bunker_daily_raw!$B$2:$B$3819)</f>
        <v>135.25</v>
      </c>
      <c r="C1400" s="6">
        <v>25.98</v>
      </c>
    </row>
    <row r="1401" spans="1:3" x14ac:dyDescent="0.25">
      <c r="A1401" s="4">
        <v>37756</v>
      </c>
      <c r="B1401" s="5" t="e">
        <f>_xlfn.XLOOKUP(A1401,bunker_daily_raw!$A$2:$A$3819,bunker_daily_raw!$B$2:$B$3819)</f>
        <v>#N/A</v>
      </c>
      <c r="C1401" s="6">
        <v>26.77</v>
      </c>
    </row>
    <row r="1402" spans="1:3" x14ac:dyDescent="0.25">
      <c r="A1402" s="4">
        <v>37757</v>
      </c>
      <c r="B1402" s="5">
        <f>_xlfn.XLOOKUP(A1402,bunker_daily_raw!$A$2:$A$3819,bunker_daily_raw!$B$2:$B$3819)</f>
        <v>135</v>
      </c>
      <c r="C1402" s="6">
        <v>27.18</v>
      </c>
    </row>
    <row r="1403" spans="1:3" x14ac:dyDescent="0.25">
      <c r="A1403" s="4">
        <v>37760</v>
      </c>
      <c r="B1403" s="5">
        <f>_xlfn.XLOOKUP(A1403,bunker_daily_raw!$A$2:$A$3819,bunker_daily_raw!$B$2:$B$3819)</f>
        <v>135</v>
      </c>
      <c r="C1403" s="6">
        <v>27.23</v>
      </c>
    </row>
    <row r="1404" spans="1:3" x14ac:dyDescent="0.25">
      <c r="A1404" s="4">
        <v>37761</v>
      </c>
      <c r="B1404" s="5">
        <f>_xlfn.XLOOKUP(A1404,bunker_daily_raw!$A$2:$A$3819,bunker_daily_raw!$B$2:$B$3819)</f>
        <v>129.5</v>
      </c>
      <c r="C1404" s="6">
        <v>26.69</v>
      </c>
    </row>
    <row r="1405" spans="1:3" x14ac:dyDescent="0.25">
      <c r="A1405" s="4">
        <v>37762</v>
      </c>
      <c r="B1405" s="5">
        <f>_xlfn.XLOOKUP(A1405,bunker_daily_raw!$A$2:$A$3819,bunker_daily_raw!$B$2:$B$3819)</f>
        <v>134</v>
      </c>
      <c r="C1405" s="6">
        <v>27.58</v>
      </c>
    </row>
    <row r="1406" spans="1:3" x14ac:dyDescent="0.25">
      <c r="A1406" s="4">
        <v>37763</v>
      </c>
      <c r="B1406" s="5">
        <f>_xlfn.XLOOKUP(A1406,bunker_daily_raw!$A$2:$A$3819,bunker_daily_raw!$B$2:$B$3819)</f>
        <v>133</v>
      </c>
      <c r="C1406" s="6">
        <v>27.32</v>
      </c>
    </row>
    <row r="1407" spans="1:3" x14ac:dyDescent="0.25">
      <c r="A1407" s="4">
        <v>37764</v>
      </c>
      <c r="B1407" s="5">
        <f>_xlfn.XLOOKUP(A1407,bunker_daily_raw!$A$2:$A$3819,bunker_daily_raw!$B$2:$B$3819)</f>
        <v>135.25</v>
      </c>
      <c r="C1407" s="6">
        <v>27.14</v>
      </c>
    </row>
    <row r="1408" spans="1:3" x14ac:dyDescent="0.25">
      <c r="A1408" s="4">
        <v>37767</v>
      </c>
      <c r="B1408" s="5">
        <f>_xlfn.XLOOKUP(A1408,bunker_daily_raw!$A$2:$A$3819,bunker_daily_raw!$B$2:$B$3819)</f>
        <v>144.5</v>
      </c>
      <c r="C1408" s="6">
        <v>26.78</v>
      </c>
    </row>
    <row r="1409" spans="1:3" x14ac:dyDescent="0.25">
      <c r="A1409" s="4">
        <v>37768</v>
      </c>
      <c r="B1409" s="5">
        <f>_xlfn.XLOOKUP(A1409,bunker_daily_raw!$A$2:$A$3819,bunker_daily_raw!$B$2:$B$3819)</f>
        <v>145.75</v>
      </c>
      <c r="C1409" s="6">
        <v>26.55</v>
      </c>
    </row>
    <row r="1410" spans="1:3" x14ac:dyDescent="0.25">
      <c r="A1410" s="4">
        <v>37769</v>
      </c>
      <c r="B1410" s="5">
        <f>_xlfn.XLOOKUP(A1410,bunker_daily_raw!$A$2:$A$3819,bunker_daily_raw!$B$2:$B$3819)</f>
        <v>142.75</v>
      </c>
      <c r="C1410" s="6">
        <v>26.48</v>
      </c>
    </row>
    <row r="1411" spans="1:3" x14ac:dyDescent="0.25">
      <c r="A1411" s="4">
        <v>37770</v>
      </c>
      <c r="B1411" s="5">
        <f>_xlfn.XLOOKUP(A1411,bunker_daily_raw!$A$2:$A$3819,bunker_daily_raw!$B$2:$B$3819)</f>
        <v>139.75</v>
      </c>
      <c r="C1411" s="6">
        <v>26.39</v>
      </c>
    </row>
    <row r="1412" spans="1:3" x14ac:dyDescent="0.25">
      <c r="A1412" s="4">
        <v>37771</v>
      </c>
      <c r="B1412" s="5">
        <f>_xlfn.XLOOKUP(A1412,bunker_daily_raw!$A$2:$A$3819,bunker_daily_raw!$B$2:$B$3819)</f>
        <v>146</v>
      </c>
      <c r="C1412" s="6">
        <v>26.58</v>
      </c>
    </row>
    <row r="1413" spans="1:3" x14ac:dyDescent="0.25">
      <c r="A1413" s="4">
        <v>37774</v>
      </c>
      <c r="B1413" s="5">
        <f>_xlfn.XLOOKUP(A1413,bunker_daily_raw!$A$2:$A$3819,bunker_daily_raw!$B$2:$B$3819)</f>
        <v>145.25</v>
      </c>
      <c r="C1413" s="6">
        <v>27.56</v>
      </c>
    </row>
    <row r="1414" spans="1:3" x14ac:dyDescent="0.25">
      <c r="A1414" s="4">
        <v>37775</v>
      </c>
      <c r="B1414" s="5">
        <f>_xlfn.XLOOKUP(A1414,bunker_daily_raw!$A$2:$A$3819,bunker_daily_raw!$B$2:$B$3819)</f>
        <v>138.5</v>
      </c>
      <c r="C1414" s="6">
        <v>27.99</v>
      </c>
    </row>
    <row r="1415" spans="1:3" x14ac:dyDescent="0.25">
      <c r="A1415" s="4">
        <v>37776</v>
      </c>
      <c r="B1415" s="5">
        <f>_xlfn.XLOOKUP(A1415,bunker_daily_raw!$A$2:$A$3819,bunker_daily_raw!$B$2:$B$3819)</f>
        <v>140</v>
      </c>
      <c r="C1415" s="6">
        <v>27.49</v>
      </c>
    </row>
    <row r="1416" spans="1:3" x14ac:dyDescent="0.25">
      <c r="A1416" s="4">
        <v>37777</v>
      </c>
      <c r="B1416" s="5">
        <f>_xlfn.XLOOKUP(A1416,bunker_daily_raw!$A$2:$A$3819,bunker_daily_raw!$B$2:$B$3819)</f>
        <v>137.5</v>
      </c>
      <c r="C1416" s="6">
        <v>28.16</v>
      </c>
    </row>
    <row r="1417" spans="1:3" x14ac:dyDescent="0.25">
      <c r="A1417" s="4">
        <v>37778</v>
      </c>
      <c r="B1417" s="5">
        <f>_xlfn.XLOOKUP(A1417,bunker_daily_raw!$A$2:$A$3819,bunker_daily_raw!$B$2:$B$3819)</f>
        <v>141.75</v>
      </c>
      <c r="C1417" s="6">
        <v>28.38</v>
      </c>
    </row>
    <row r="1418" spans="1:3" x14ac:dyDescent="0.25">
      <c r="A1418" s="4">
        <v>37781</v>
      </c>
      <c r="B1418" s="5">
        <f>_xlfn.XLOOKUP(A1418,bunker_daily_raw!$A$2:$A$3819,bunker_daily_raw!$B$2:$B$3819)</f>
        <v>142.75</v>
      </c>
      <c r="C1418" s="6">
        <v>28.62</v>
      </c>
    </row>
    <row r="1419" spans="1:3" x14ac:dyDescent="0.25">
      <c r="A1419" s="4">
        <v>37782</v>
      </c>
      <c r="B1419" s="5">
        <f>_xlfn.XLOOKUP(A1419,bunker_daily_raw!$A$2:$A$3819,bunker_daily_raw!$B$2:$B$3819)</f>
        <v>144.25</v>
      </c>
      <c r="C1419" s="6">
        <v>28.44</v>
      </c>
    </row>
    <row r="1420" spans="1:3" x14ac:dyDescent="0.25">
      <c r="A1420" s="4">
        <v>37783</v>
      </c>
      <c r="B1420" s="5">
        <f>_xlfn.XLOOKUP(A1420,bunker_daily_raw!$A$2:$A$3819,bunker_daily_raw!$B$2:$B$3819)</f>
        <v>142</v>
      </c>
      <c r="C1420" s="6">
        <v>28.97</v>
      </c>
    </row>
    <row r="1421" spans="1:3" x14ac:dyDescent="0.25">
      <c r="A1421" s="4">
        <v>37784</v>
      </c>
      <c r="B1421" s="5">
        <f>_xlfn.XLOOKUP(A1421,bunker_daily_raw!$A$2:$A$3819,bunker_daily_raw!$B$2:$B$3819)</f>
        <v>135.25</v>
      </c>
      <c r="C1421" s="6">
        <v>28.48</v>
      </c>
    </row>
    <row r="1422" spans="1:3" x14ac:dyDescent="0.25">
      <c r="A1422" s="4">
        <v>37785</v>
      </c>
      <c r="B1422" s="5">
        <f>_xlfn.XLOOKUP(A1422,bunker_daily_raw!$A$2:$A$3819,bunker_daily_raw!$B$2:$B$3819)</f>
        <v>137.25</v>
      </c>
      <c r="C1422" s="6">
        <v>27.39</v>
      </c>
    </row>
    <row r="1423" spans="1:3" x14ac:dyDescent="0.25">
      <c r="A1423" s="4">
        <v>37788</v>
      </c>
      <c r="B1423" s="5">
        <f>_xlfn.XLOOKUP(A1423,bunker_daily_raw!$A$2:$A$3819,bunker_daily_raw!$B$2:$B$3819)</f>
        <v>141.5</v>
      </c>
      <c r="C1423" s="6">
        <v>27.5</v>
      </c>
    </row>
    <row r="1424" spans="1:3" x14ac:dyDescent="0.25">
      <c r="A1424" s="4">
        <v>37789</v>
      </c>
      <c r="B1424" s="5">
        <f>_xlfn.XLOOKUP(A1424,bunker_daily_raw!$A$2:$A$3819,bunker_daily_raw!$B$2:$B$3819)</f>
        <v>138.25</v>
      </c>
      <c r="C1424" s="6">
        <v>27.14</v>
      </c>
    </row>
    <row r="1425" spans="1:3" x14ac:dyDescent="0.25">
      <c r="A1425" s="4">
        <v>37790</v>
      </c>
      <c r="B1425" s="5">
        <f>_xlfn.XLOOKUP(A1425,bunker_daily_raw!$A$2:$A$3819,bunker_daily_raw!$B$2:$B$3819)</f>
        <v>139.5</v>
      </c>
      <c r="C1425" s="6">
        <v>26.43</v>
      </c>
    </row>
    <row r="1426" spans="1:3" x14ac:dyDescent="0.25">
      <c r="A1426" s="4">
        <v>37791</v>
      </c>
      <c r="B1426" s="5">
        <f>_xlfn.XLOOKUP(A1426,bunker_daily_raw!$A$2:$A$3819,bunker_daily_raw!$B$2:$B$3819)</f>
        <v>140.5</v>
      </c>
      <c r="C1426" s="6">
        <v>26.21</v>
      </c>
    </row>
    <row r="1427" spans="1:3" x14ac:dyDescent="0.25">
      <c r="A1427" s="4">
        <v>37792</v>
      </c>
      <c r="B1427" s="5">
        <f>_xlfn.XLOOKUP(A1427,bunker_daily_raw!$A$2:$A$3819,bunker_daily_raw!$B$2:$B$3819)</f>
        <v>141.25</v>
      </c>
      <c r="C1427" s="6">
        <v>27.13</v>
      </c>
    </row>
    <row r="1428" spans="1:3" x14ac:dyDescent="0.25">
      <c r="A1428" s="4">
        <v>37795</v>
      </c>
      <c r="B1428" s="5">
        <f>_xlfn.XLOOKUP(A1428,bunker_daily_raw!$A$2:$A$3819,bunker_daily_raw!$B$2:$B$3819)</f>
        <v>142.5</v>
      </c>
      <c r="C1428" s="6">
        <v>27.13</v>
      </c>
    </row>
    <row r="1429" spans="1:3" x14ac:dyDescent="0.25">
      <c r="A1429" s="4">
        <v>37796</v>
      </c>
      <c r="B1429" s="5">
        <f>_xlfn.XLOOKUP(A1429,bunker_daily_raw!$A$2:$A$3819,bunker_daily_raw!$B$2:$B$3819)</f>
        <v>149</v>
      </c>
      <c r="C1429" s="6">
        <v>26.96</v>
      </c>
    </row>
    <row r="1430" spans="1:3" x14ac:dyDescent="0.25">
      <c r="A1430" s="4">
        <v>37797</v>
      </c>
      <c r="B1430" s="5">
        <f>_xlfn.XLOOKUP(A1430,bunker_daily_raw!$A$2:$A$3819,bunker_daily_raw!$B$2:$B$3819)</f>
        <v>152.5</v>
      </c>
      <c r="C1430" s="6">
        <v>27.34</v>
      </c>
    </row>
    <row r="1431" spans="1:3" x14ac:dyDescent="0.25">
      <c r="A1431" s="4">
        <v>37798</v>
      </c>
      <c r="B1431" s="5">
        <f>_xlfn.XLOOKUP(A1431,bunker_daily_raw!$A$2:$A$3819,bunker_daily_raw!$B$2:$B$3819)</f>
        <v>150</v>
      </c>
      <c r="C1431" s="6">
        <v>27.06</v>
      </c>
    </row>
    <row r="1432" spans="1:3" x14ac:dyDescent="0.25">
      <c r="A1432" s="4">
        <v>37799</v>
      </c>
      <c r="B1432" s="5">
        <f>_xlfn.XLOOKUP(A1432,bunker_daily_raw!$A$2:$A$3819,bunker_daily_raw!$B$2:$B$3819)</f>
        <v>154</v>
      </c>
      <c r="C1432" s="6">
        <v>27.45</v>
      </c>
    </row>
    <row r="1433" spans="1:3" x14ac:dyDescent="0.25">
      <c r="A1433" s="4">
        <v>37802</v>
      </c>
      <c r="B1433" s="5">
        <f>_xlfn.XLOOKUP(A1433,bunker_daily_raw!$A$2:$A$3819,bunker_daily_raw!$B$2:$B$3819)</f>
        <v>160.25</v>
      </c>
      <c r="C1433" s="6">
        <v>28.88</v>
      </c>
    </row>
    <row r="1434" spans="1:3" x14ac:dyDescent="0.25">
      <c r="A1434" s="4">
        <v>37803</v>
      </c>
      <c r="B1434" s="5">
        <f>_xlfn.XLOOKUP(A1434,bunker_daily_raw!$A$2:$A$3819,bunker_daily_raw!$B$2:$B$3819)</f>
        <v>166.5</v>
      </c>
      <c r="C1434" s="6">
        <v>28.33</v>
      </c>
    </row>
    <row r="1435" spans="1:3" x14ac:dyDescent="0.25">
      <c r="A1435" s="4">
        <v>37804</v>
      </c>
      <c r="B1435" s="5">
        <f>_xlfn.XLOOKUP(A1435,bunker_daily_raw!$A$2:$A$3819,bunker_daily_raw!$B$2:$B$3819)</f>
        <v>166.5</v>
      </c>
      <c r="C1435" s="6">
        <v>28.2</v>
      </c>
    </row>
    <row r="1436" spans="1:3" x14ac:dyDescent="0.25">
      <c r="A1436" s="4">
        <v>37805</v>
      </c>
      <c r="B1436" s="5">
        <f>_xlfn.XLOOKUP(A1436,bunker_daily_raw!$A$2:$A$3819,bunker_daily_raw!$B$2:$B$3819)</f>
        <v>158.5</v>
      </c>
      <c r="C1436" s="6">
        <v>28.63</v>
      </c>
    </row>
    <row r="1437" spans="1:3" x14ac:dyDescent="0.25">
      <c r="A1437" s="4">
        <v>37806</v>
      </c>
      <c r="B1437" s="5">
        <f>_xlfn.XLOOKUP(A1437,bunker_daily_raw!$A$2:$A$3819,bunker_daily_raw!$B$2:$B$3819)</f>
        <v>159.5</v>
      </c>
      <c r="C1437" s="6">
        <v>27.97</v>
      </c>
    </row>
    <row r="1438" spans="1:3" x14ac:dyDescent="0.25">
      <c r="A1438" s="4">
        <v>37809</v>
      </c>
      <c r="B1438" s="5">
        <f>_xlfn.XLOOKUP(A1438,bunker_daily_raw!$A$2:$A$3819,bunker_daily_raw!$B$2:$B$3819)</f>
        <v>157.5</v>
      </c>
      <c r="C1438" s="6">
        <v>27.23</v>
      </c>
    </row>
    <row r="1439" spans="1:3" x14ac:dyDescent="0.25">
      <c r="A1439" s="4">
        <v>37810</v>
      </c>
      <c r="B1439" s="5">
        <f>_xlfn.XLOOKUP(A1439,bunker_daily_raw!$A$2:$A$3819,bunker_daily_raw!$B$2:$B$3819)</f>
        <v>162.75</v>
      </c>
      <c r="C1439" s="6">
        <v>27.95</v>
      </c>
    </row>
    <row r="1440" spans="1:3" x14ac:dyDescent="0.25">
      <c r="A1440" s="4">
        <v>37811</v>
      </c>
      <c r="B1440" s="5">
        <f>_xlfn.XLOOKUP(A1440,bunker_daily_raw!$A$2:$A$3819,bunker_daily_raw!$B$2:$B$3819)</f>
        <v>170</v>
      </c>
      <c r="C1440" s="6">
        <v>28.21</v>
      </c>
    </row>
    <row r="1441" spans="1:3" x14ac:dyDescent="0.25">
      <c r="A1441" s="4">
        <v>37812</v>
      </c>
      <c r="B1441" s="5">
        <f>_xlfn.XLOOKUP(A1441,bunker_daily_raw!$A$2:$A$3819,bunker_daily_raw!$B$2:$B$3819)</f>
        <v>164.75</v>
      </c>
      <c r="C1441" s="6">
        <v>29.37</v>
      </c>
    </row>
    <row r="1442" spans="1:3" x14ac:dyDescent="0.25">
      <c r="A1442" s="4">
        <v>37813</v>
      </c>
      <c r="B1442" s="5">
        <f>_xlfn.XLOOKUP(A1442,bunker_daily_raw!$A$2:$A$3819,bunker_daily_raw!$B$2:$B$3819)</f>
        <v>162.5</v>
      </c>
      <c r="C1442" s="6">
        <v>29.36</v>
      </c>
    </row>
    <row r="1443" spans="1:3" x14ac:dyDescent="0.25">
      <c r="A1443" s="4">
        <v>37816</v>
      </c>
      <c r="B1443" s="5">
        <f>_xlfn.XLOOKUP(A1443,bunker_daily_raw!$A$2:$A$3819,bunker_daily_raw!$B$2:$B$3819)</f>
        <v>163.25</v>
      </c>
      <c r="C1443" s="6">
        <v>28.52</v>
      </c>
    </row>
    <row r="1444" spans="1:3" x14ac:dyDescent="0.25">
      <c r="A1444" s="4">
        <v>37817</v>
      </c>
      <c r="B1444" s="5">
        <f>_xlfn.XLOOKUP(A1444,bunker_daily_raw!$A$2:$A$3819,bunker_daily_raw!$B$2:$B$3819)</f>
        <v>163</v>
      </c>
      <c r="C1444" s="6">
        <v>28.87</v>
      </c>
    </row>
    <row r="1445" spans="1:3" x14ac:dyDescent="0.25">
      <c r="A1445" s="4">
        <v>37818</v>
      </c>
      <c r="B1445" s="5">
        <f>_xlfn.XLOOKUP(A1445,bunker_daily_raw!$A$2:$A$3819,bunker_daily_raw!$B$2:$B$3819)</f>
        <v>164.75</v>
      </c>
      <c r="C1445" s="6">
        <v>28.51</v>
      </c>
    </row>
    <row r="1446" spans="1:3" x14ac:dyDescent="0.25">
      <c r="A1446" s="4">
        <v>37819</v>
      </c>
      <c r="B1446" s="5">
        <f>_xlfn.XLOOKUP(A1446,bunker_daily_raw!$A$2:$A$3819,bunker_daily_raw!$B$2:$B$3819)</f>
        <v>162.5</v>
      </c>
      <c r="C1446" s="6">
        <v>28.59</v>
      </c>
    </row>
    <row r="1447" spans="1:3" x14ac:dyDescent="0.25">
      <c r="A1447" s="4">
        <v>37820</v>
      </c>
      <c r="B1447" s="5">
        <f>_xlfn.XLOOKUP(A1447,bunker_daily_raw!$A$2:$A$3819,bunker_daily_raw!$B$2:$B$3819)</f>
        <v>157.5</v>
      </c>
      <c r="C1447" s="6">
        <v>29.2</v>
      </c>
    </row>
    <row r="1448" spans="1:3" x14ac:dyDescent="0.25">
      <c r="A1448" s="4">
        <v>37823</v>
      </c>
      <c r="B1448" s="5">
        <f>_xlfn.XLOOKUP(A1448,bunker_daily_raw!$A$2:$A$3819,bunker_daily_raw!$B$2:$B$3819)</f>
        <v>153.5</v>
      </c>
      <c r="C1448" s="6">
        <v>28.01</v>
      </c>
    </row>
    <row r="1449" spans="1:3" x14ac:dyDescent="0.25">
      <c r="A1449" s="4">
        <v>37824</v>
      </c>
      <c r="B1449" s="5">
        <f>_xlfn.XLOOKUP(A1449,bunker_daily_raw!$A$2:$A$3819,bunker_daily_raw!$B$2:$B$3819)</f>
        <v>155</v>
      </c>
      <c r="C1449" s="6">
        <v>28.4</v>
      </c>
    </row>
    <row r="1450" spans="1:3" x14ac:dyDescent="0.25">
      <c r="A1450" s="4">
        <v>37825</v>
      </c>
      <c r="B1450" s="5">
        <f>_xlfn.XLOOKUP(A1450,bunker_daily_raw!$A$2:$A$3819,bunker_daily_raw!$B$2:$B$3819)</f>
        <v>153.25</v>
      </c>
      <c r="C1450" s="6">
        <v>27.67</v>
      </c>
    </row>
    <row r="1451" spans="1:3" x14ac:dyDescent="0.25">
      <c r="A1451" s="4">
        <v>37826</v>
      </c>
      <c r="B1451" s="5">
        <f>_xlfn.XLOOKUP(A1451,bunker_daily_raw!$A$2:$A$3819,bunker_daily_raw!$B$2:$B$3819)</f>
        <v>153</v>
      </c>
      <c r="C1451" s="6">
        <v>27.73</v>
      </c>
    </row>
    <row r="1452" spans="1:3" x14ac:dyDescent="0.25">
      <c r="A1452" s="4">
        <v>37827</v>
      </c>
      <c r="B1452" s="5">
        <f>_xlfn.XLOOKUP(A1452,bunker_daily_raw!$A$2:$A$3819,bunker_daily_raw!$B$2:$B$3819)</f>
        <v>152.5</v>
      </c>
      <c r="C1452" s="6">
        <v>28.3</v>
      </c>
    </row>
    <row r="1453" spans="1:3" x14ac:dyDescent="0.25">
      <c r="A1453" s="4">
        <v>37830</v>
      </c>
      <c r="B1453" s="5">
        <f>_xlfn.XLOOKUP(A1453,bunker_daily_raw!$A$2:$A$3819,bunker_daily_raw!$B$2:$B$3819)</f>
        <v>154.5</v>
      </c>
      <c r="C1453" s="6">
        <v>27.71</v>
      </c>
    </row>
    <row r="1454" spans="1:3" x14ac:dyDescent="0.25">
      <c r="A1454" s="4">
        <v>37831</v>
      </c>
      <c r="B1454" s="5">
        <f>_xlfn.XLOOKUP(A1454,bunker_daily_raw!$A$2:$A$3819,bunker_daily_raw!$B$2:$B$3819)</f>
        <v>158</v>
      </c>
      <c r="C1454" s="6">
        <v>28.27</v>
      </c>
    </row>
    <row r="1455" spans="1:3" x14ac:dyDescent="0.25">
      <c r="A1455" s="4">
        <v>37832</v>
      </c>
      <c r="B1455" s="5">
        <f>_xlfn.XLOOKUP(A1455,bunker_daily_raw!$A$2:$A$3819,bunker_daily_raw!$B$2:$B$3819)</f>
        <v>158</v>
      </c>
      <c r="C1455" s="6">
        <v>28.31</v>
      </c>
    </row>
    <row r="1456" spans="1:3" x14ac:dyDescent="0.25">
      <c r="A1456" s="4">
        <v>37833</v>
      </c>
      <c r="B1456" s="5">
        <f>_xlfn.XLOOKUP(A1456,bunker_daily_raw!$A$2:$A$3819,bunker_daily_raw!$B$2:$B$3819)</f>
        <v>162.25</v>
      </c>
      <c r="C1456" s="6">
        <v>28.68</v>
      </c>
    </row>
    <row r="1457" spans="1:3" x14ac:dyDescent="0.25">
      <c r="A1457" s="4">
        <v>37834</v>
      </c>
      <c r="B1457" s="5">
        <f>_xlfn.XLOOKUP(A1457,bunker_daily_raw!$A$2:$A$3819,bunker_daily_raw!$B$2:$B$3819)</f>
        <v>162.5</v>
      </c>
      <c r="C1457" s="6">
        <v>29.63</v>
      </c>
    </row>
    <row r="1458" spans="1:3" x14ac:dyDescent="0.25">
      <c r="A1458" s="4">
        <v>37837</v>
      </c>
      <c r="B1458" s="5">
        <f>_xlfn.XLOOKUP(A1458,bunker_daily_raw!$A$2:$A$3819,bunker_daily_raw!$B$2:$B$3819)</f>
        <v>162</v>
      </c>
      <c r="C1458" s="6">
        <v>29.91</v>
      </c>
    </row>
    <row r="1459" spans="1:3" x14ac:dyDescent="0.25">
      <c r="A1459" s="4">
        <v>37838</v>
      </c>
      <c r="B1459" s="5">
        <f>_xlfn.XLOOKUP(A1459,bunker_daily_raw!$A$2:$A$3819,bunker_daily_raw!$B$2:$B$3819)</f>
        <v>161.5</v>
      </c>
      <c r="C1459" s="6">
        <v>30.37</v>
      </c>
    </row>
    <row r="1460" spans="1:3" x14ac:dyDescent="0.25">
      <c r="A1460" s="4">
        <v>37839</v>
      </c>
      <c r="B1460" s="5">
        <f>_xlfn.XLOOKUP(A1460,bunker_daily_raw!$A$2:$A$3819,bunker_daily_raw!$B$2:$B$3819)</f>
        <v>163</v>
      </c>
      <c r="C1460" s="6">
        <v>30.01</v>
      </c>
    </row>
    <row r="1461" spans="1:3" x14ac:dyDescent="0.25">
      <c r="A1461" s="4">
        <v>37840</v>
      </c>
      <c r="B1461" s="5">
        <f>_xlfn.XLOOKUP(A1461,bunker_daily_raw!$A$2:$A$3819,bunker_daily_raw!$B$2:$B$3819)</f>
        <v>162.5</v>
      </c>
      <c r="C1461" s="6">
        <v>30.06</v>
      </c>
    </row>
    <row r="1462" spans="1:3" x14ac:dyDescent="0.25">
      <c r="A1462" s="4">
        <v>37841</v>
      </c>
      <c r="B1462" s="5">
        <f>_xlfn.XLOOKUP(A1462,bunker_daily_raw!$A$2:$A$3819,bunker_daily_raw!$B$2:$B$3819)</f>
        <v>163.5</v>
      </c>
      <c r="C1462" s="6">
        <v>30.59</v>
      </c>
    </row>
    <row r="1463" spans="1:3" x14ac:dyDescent="0.25">
      <c r="A1463" s="4">
        <v>37844</v>
      </c>
      <c r="B1463" s="5">
        <f>_xlfn.XLOOKUP(A1463,bunker_daily_raw!$A$2:$A$3819,bunker_daily_raw!$B$2:$B$3819)</f>
        <v>162.5</v>
      </c>
      <c r="C1463" s="6">
        <v>30.05</v>
      </c>
    </row>
    <row r="1464" spans="1:3" x14ac:dyDescent="0.25">
      <c r="A1464" s="4">
        <v>37845</v>
      </c>
      <c r="B1464" s="5">
        <f>_xlfn.XLOOKUP(A1464,bunker_daily_raw!$A$2:$A$3819,bunker_daily_raw!$B$2:$B$3819)</f>
        <v>156.5</v>
      </c>
      <c r="C1464" s="6">
        <v>30.13</v>
      </c>
    </row>
    <row r="1465" spans="1:3" x14ac:dyDescent="0.25">
      <c r="A1465" s="4">
        <v>37846</v>
      </c>
      <c r="B1465" s="5">
        <f>_xlfn.XLOOKUP(A1465,bunker_daily_raw!$A$2:$A$3819,bunker_daily_raw!$B$2:$B$3819)</f>
        <v>153</v>
      </c>
      <c r="C1465" s="6">
        <v>29.66</v>
      </c>
    </row>
    <row r="1466" spans="1:3" x14ac:dyDescent="0.25">
      <c r="A1466" s="4">
        <v>37847</v>
      </c>
      <c r="B1466" s="5">
        <f>_xlfn.XLOOKUP(A1466,bunker_daily_raw!$A$2:$A$3819,bunker_daily_raw!$B$2:$B$3819)</f>
        <v>152.5</v>
      </c>
      <c r="C1466" s="6">
        <v>28.96</v>
      </c>
    </row>
    <row r="1467" spans="1:3" x14ac:dyDescent="0.25">
      <c r="A1467" s="4">
        <v>37848</v>
      </c>
      <c r="B1467" s="5">
        <f>_xlfn.XLOOKUP(A1467,bunker_daily_raw!$A$2:$A$3819,bunker_daily_raw!$B$2:$B$3819)</f>
        <v>154.25</v>
      </c>
      <c r="C1467" s="6">
        <v>29.18</v>
      </c>
    </row>
    <row r="1468" spans="1:3" x14ac:dyDescent="0.25">
      <c r="A1468" s="4">
        <v>37851</v>
      </c>
      <c r="B1468" s="5">
        <f>_xlfn.XLOOKUP(A1468,bunker_daily_raw!$A$2:$A$3819,bunker_daily_raw!$B$2:$B$3819)</f>
        <v>152</v>
      </c>
      <c r="C1468" s="6">
        <v>29.88</v>
      </c>
    </row>
    <row r="1469" spans="1:3" x14ac:dyDescent="0.25">
      <c r="A1469" s="4">
        <v>37852</v>
      </c>
      <c r="B1469" s="5">
        <f>_xlfn.XLOOKUP(A1469,bunker_daily_raw!$A$2:$A$3819,bunker_daily_raw!$B$2:$B$3819)</f>
        <v>150</v>
      </c>
      <c r="C1469" s="6">
        <v>29.18</v>
      </c>
    </row>
    <row r="1470" spans="1:3" x14ac:dyDescent="0.25">
      <c r="A1470" s="4">
        <v>37853</v>
      </c>
      <c r="B1470" s="5">
        <f>_xlfn.XLOOKUP(A1470,bunker_daily_raw!$A$2:$A$3819,bunker_daily_raw!$B$2:$B$3819)</f>
        <v>155</v>
      </c>
      <c r="C1470" s="6">
        <v>29.28</v>
      </c>
    </row>
    <row r="1471" spans="1:3" x14ac:dyDescent="0.25">
      <c r="A1471" s="4">
        <v>37854</v>
      </c>
      <c r="B1471" s="5">
        <f>_xlfn.XLOOKUP(A1471,bunker_daily_raw!$A$2:$A$3819,bunker_daily_raw!$B$2:$B$3819)</f>
        <v>154.5</v>
      </c>
      <c r="C1471" s="6">
        <v>29.95</v>
      </c>
    </row>
    <row r="1472" spans="1:3" x14ac:dyDescent="0.25">
      <c r="A1472" s="4">
        <v>37855</v>
      </c>
      <c r="B1472" s="5">
        <f>_xlfn.XLOOKUP(A1472,bunker_daily_raw!$A$2:$A$3819,bunker_daily_raw!$B$2:$B$3819)</f>
        <v>156</v>
      </c>
      <c r="C1472" s="6">
        <v>30.22</v>
      </c>
    </row>
    <row r="1473" spans="1:3" x14ac:dyDescent="0.25">
      <c r="A1473" s="4">
        <v>37858</v>
      </c>
      <c r="B1473" s="5">
        <f>_xlfn.XLOOKUP(A1473,bunker_daily_raw!$A$2:$A$3819,bunker_daily_raw!$B$2:$B$3819)</f>
        <v>152.75</v>
      </c>
      <c r="C1473" s="6">
        <v>29.98</v>
      </c>
    </row>
    <row r="1474" spans="1:3" x14ac:dyDescent="0.25">
      <c r="A1474" s="4">
        <v>37859</v>
      </c>
      <c r="B1474" s="5">
        <f>_xlfn.XLOOKUP(A1474,bunker_daily_raw!$A$2:$A$3819,bunker_daily_raw!$B$2:$B$3819)</f>
        <v>152.25</v>
      </c>
      <c r="C1474" s="6">
        <v>30.08</v>
      </c>
    </row>
    <row r="1475" spans="1:3" x14ac:dyDescent="0.25">
      <c r="A1475" s="4">
        <v>37860</v>
      </c>
      <c r="B1475" s="5">
        <f>_xlfn.XLOOKUP(A1475,bunker_daily_raw!$A$2:$A$3819,bunker_daily_raw!$B$2:$B$3819)</f>
        <v>152.75</v>
      </c>
      <c r="C1475" s="6">
        <v>30.05</v>
      </c>
    </row>
    <row r="1476" spans="1:3" x14ac:dyDescent="0.25">
      <c r="A1476" s="4">
        <v>37861</v>
      </c>
      <c r="B1476" s="5">
        <f>_xlfn.XLOOKUP(A1476,bunker_daily_raw!$A$2:$A$3819,bunker_daily_raw!$B$2:$B$3819)</f>
        <v>150.5</v>
      </c>
      <c r="C1476" s="6">
        <v>30.1</v>
      </c>
    </row>
    <row r="1477" spans="1:3" x14ac:dyDescent="0.25">
      <c r="A1477" s="4">
        <v>37862</v>
      </c>
      <c r="B1477" s="5">
        <f>_xlfn.XLOOKUP(A1477,bunker_daily_raw!$A$2:$A$3819,bunker_daily_raw!$B$2:$B$3819)</f>
        <v>148.25</v>
      </c>
      <c r="C1477" s="6">
        <v>30.38</v>
      </c>
    </row>
    <row r="1478" spans="1:3" x14ac:dyDescent="0.25">
      <c r="A1478" s="4">
        <v>37865</v>
      </c>
      <c r="B1478" s="5">
        <f>_xlfn.XLOOKUP(A1478,bunker_daily_raw!$A$2:$A$3819,bunker_daily_raw!$B$2:$B$3819)</f>
        <v>146.25</v>
      </c>
      <c r="C1478" s="6">
        <v>29.64</v>
      </c>
    </row>
    <row r="1479" spans="1:3" x14ac:dyDescent="0.25">
      <c r="A1479" s="4">
        <v>37866</v>
      </c>
      <c r="B1479" s="5">
        <f>_xlfn.XLOOKUP(A1479,bunker_daily_raw!$A$2:$A$3819,bunker_daily_raw!$B$2:$B$3819)</f>
        <v>143.5</v>
      </c>
      <c r="C1479" s="6">
        <v>28.08</v>
      </c>
    </row>
    <row r="1480" spans="1:3" x14ac:dyDescent="0.25">
      <c r="A1480" s="4">
        <v>37867</v>
      </c>
      <c r="B1480" s="5">
        <f>_xlfn.XLOOKUP(A1480,bunker_daily_raw!$A$2:$A$3819,bunker_daily_raw!$B$2:$B$3819)</f>
        <v>142</v>
      </c>
      <c r="C1480" s="6">
        <v>27.89</v>
      </c>
    </row>
    <row r="1481" spans="1:3" x14ac:dyDescent="0.25">
      <c r="A1481" s="4">
        <v>37868</v>
      </c>
      <c r="B1481" s="5">
        <f>_xlfn.XLOOKUP(A1481,bunker_daily_raw!$A$2:$A$3819,bunker_daily_raw!$B$2:$B$3819)</f>
        <v>144.5</v>
      </c>
      <c r="C1481" s="6">
        <v>27.49</v>
      </c>
    </row>
    <row r="1482" spans="1:3" x14ac:dyDescent="0.25">
      <c r="A1482" s="4">
        <v>37869</v>
      </c>
      <c r="B1482" s="5">
        <f>_xlfn.XLOOKUP(A1482,bunker_daily_raw!$A$2:$A$3819,bunker_daily_raw!$B$2:$B$3819)</f>
        <v>144.25</v>
      </c>
      <c r="C1482" s="6">
        <v>27.72</v>
      </c>
    </row>
    <row r="1483" spans="1:3" x14ac:dyDescent="0.25">
      <c r="A1483" s="4">
        <v>37872</v>
      </c>
      <c r="B1483" s="5">
        <f>_xlfn.XLOOKUP(A1483,bunker_daily_raw!$A$2:$A$3819,bunker_daily_raw!$B$2:$B$3819)</f>
        <v>144.5</v>
      </c>
      <c r="C1483" s="6">
        <v>28.47</v>
      </c>
    </row>
    <row r="1484" spans="1:3" x14ac:dyDescent="0.25">
      <c r="A1484" s="4">
        <v>37873</v>
      </c>
      <c r="B1484" s="5">
        <f>_xlfn.XLOOKUP(A1484,bunker_daily_raw!$A$2:$A$3819,bunker_daily_raw!$B$2:$B$3819)</f>
        <v>142.75</v>
      </c>
      <c r="C1484" s="6">
        <v>27.64</v>
      </c>
    </row>
    <row r="1485" spans="1:3" x14ac:dyDescent="0.25">
      <c r="A1485" s="4">
        <v>37874</v>
      </c>
      <c r="B1485" s="5">
        <f>_xlfn.XLOOKUP(A1485,bunker_daily_raw!$A$2:$A$3819,bunker_daily_raw!$B$2:$B$3819)</f>
        <v>139.5</v>
      </c>
      <c r="C1485" s="6">
        <v>27.76</v>
      </c>
    </row>
    <row r="1486" spans="1:3" x14ac:dyDescent="0.25">
      <c r="A1486" s="4">
        <v>37875</v>
      </c>
      <c r="B1486" s="5">
        <f>_xlfn.XLOOKUP(A1486,bunker_daily_raw!$A$2:$A$3819,bunker_daily_raw!$B$2:$B$3819)</f>
        <v>142.5</v>
      </c>
      <c r="C1486" s="6">
        <v>27.48</v>
      </c>
    </row>
    <row r="1487" spans="1:3" x14ac:dyDescent="0.25">
      <c r="A1487" s="4">
        <v>37876</v>
      </c>
      <c r="B1487" s="5">
        <f>_xlfn.XLOOKUP(A1487,bunker_daily_raw!$A$2:$A$3819,bunker_daily_raw!$B$2:$B$3819)</f>
        <v>140.5</v>
      </c>
      <c r="C1487" s="6">
        <v>26.52</v>
      </c>
    </row>
    <row r="1488" spans="1:3" x14ac:dyDescent="0.25">
      <c r="A1488" s="4">
        <v>37879</v>
      </c>
      <c r="B1488" s="5">
        <f>_xlfn.XLOOKUP(A1488,bunker_daily_raw!$A$2:$A$3819,bunker_daily_raw!$B$2:$B$3819)</f>
        <v>137.5</v>
      </c>
      <c r="C1488" s="6">
        <v>26.38</v>
      </c>
    </row>
    <row r="1489" spans="1:3" x14ac:dyDescent="0.25">
      <c r="A1489" s="4">
        <v>37880</v>
      </c>
      <c r="B1489" s="5">
        <f>_xlfn.XLOOKUP(A1489,bunker_daily_raw!$A$2:$A$3819,bunker_daily_raw!$B$2:$B$3819)</f>
        <v>138.5</v>
      </c>
      <c r="C1489" s="6">
        <v>26.28</v>
      </c>
    </row>
    <row r="1490" spans="1:3" x14ac:dyDescent="0.25">
      <c r="A1490" s="4">
        <v>37881</v>
      </c>
      <c r="B1490" s="5">
        <f>_xlfn.XLOOKUP(A1490,bunker_daily_raw!$A$2:$A$3819,bunker_daily_raw!$B$2:$B$3819)</f>
        <v>136</v>
      </c>
      <c r="C1490" s="6">
        <v>25.76</v>
      </c>
    </row>
    <row r="1491" spans="1:3" x14ac:dyDescent="0.25">
      <c r="A1491" s="4">
        <v>37882</v>
      </c>
      <c r="B1491" s="5">
        <f>_xlfn.XLOOKUP(A1491,bunker_daily_raw!$A$2:$A$3819,bunker_daily_raw!$B$2:$B$3819)</f>
        <v>140.75</v>
      </c>
      <c r="C1491" s="6">
        <v>25.56</v>
      </c>
    </row>
    <row r="1492" spans="1:3" x14ac:dyDescent="0.25">
      <c r="A1492" s="4">
        <v>37883</v>
      </c>
      <c r="B1492" s="5">
        <f>_xlfn.XLOOKUP(A1492,bunker_daily_raw!$A$2:$A$3819,bunker_daily_raw!$B$2:$B$3819)</f>
        <v>140.75</v>
      </c>
      <c r="C1492" s="6">
        <v>25.51</v>
      </c>
    </row>
    <row r="1493" spans="1:3" x14ac:dyDescent="0.25">
      <c r="A1493" s="4">
        <v>37886</v>
      </c>
      <c r="B1493" s="5">
        <f>_xlfn.XLOOKUP(A1493,bunker_daily_raw!$A$2:$A$3819,bunker_daily_raw!$B$2:$B$3819)</f>
        <v>146</v>
      </c>
      <c r="C1493" s="6">
        <v>25.82</v>
      </c>
    </row>
    <row r="1494" spans="1:3" x14ac:dyDescent="0.25">
      <c r="A1494" s="4">
        <v>37887</v>
      </c>
      <c r="B1494" s="5">
        <f>_xlfn.XLOOKUP(A1494,bunker_daily_raw!$A$2:$A$3819,bunker_daily_raw!$B$2:$B$3819)</f>
        <v>146.25</v>
      </c>
      <c r="C1494" s="6">
        <v>25.74</v>
      </c>
    </row>
    <row r="1495" spans="1:3" x14ac:dyDescent="0.25">
      <c r="A1495" s="4">
        <v>37888</v>
      </c>
      <c r="B1495" s="5">
        <f>_xlfn.XLOOKUP(A1495,bunker_daily_raw!$A$2:$A$3819,bunker_daily_raw!$B$2:$B$3819)</f>
        <v>143.75</v>
      </c>
      <c r="C1495" s="6">
        <v>26.81</v>
      </c>
    </row>
    <row r="1496" spans="1:3" x14ac:dyDescent="0.25">
      <c r="A1496" s="4">
        <v>37889</v>
      </c>
      <c r="B1496" s="5">
        <f>_xlfn.XLOOKUP(A1496,bunker_daily_raw!$A$2:$A$3819,bunker_daily_raw!$B$2:$B$3819)</f>
        <v>145.5</v>
      </c>
      <c r="C1496" s="6">
        <v>27.04</v>
      </c>
    </row>
    <row r="1497" spans="1:3" x14ac:dyDescent="0.25">
      <c r="A1497" s="4">
        <v>37890</v>
      </c>
      <c r="B1497" s="5">
        <f>_xlfn.XLOOKUP(A1497,bunker_daily_raw!$A$2:$A$3819,bunker_daily_raw!$B$2:$B$3819)</f>
        <v>148.75</v>
      </c>
      <c r="C1497" s="6">
        <v>27.02</v>
      </c>
    </row>
    <row r="1498" spans="1:3" x14ac:dyDescent="0.25">
      <c r="A1498" s="4">
        <v>37893</v>
      </c>
      <c r="B1498" s="5">
        <f>_xlfn.XLOOKUP(A1498,bunker_daily_raw!$A$2:$A$3819,bunker_daily_raw!$B$2:$B$3819)</f>
        <v>149.75</v>
      </c>
      <c r="C1498" s="6">
        <v>27.77</v>
      </c>
    </row>
    <row r="1499" spans="1:3" x14ac:dyDescent="0.25">
      <c r="A1499" s="4">
        <v>37894</v>
      </c>
      <c r="B1499" s="5">
        <f>_xlfn.XLOOKUP(A1499,bunker_daily_raw!$A$2:$A$3819,bunker_daily_raw!$B$2:$B$3819)</f>
        <v>151</v>
      </c>
      <c r="C1499" s="6">
        <v>28.09</v>
      </c>
    </row>
    <row r="1500" spans="1:3" x14ac:dyDescent="0.25">
      <c r="A1500" s="4">
        <v>37895</v>
      </c>
      <c r="B1500" s="5">
        <f>_xlfn.XLOOKUP(A1500,bunker_daily_raw!$A$2:$A$3819,bunker_daily_raw!$B$2:$B$3819)</f>
        <v>150</v>
      </c>
      <c r="C1500" s="6">
        <v>27.98</v>
      </c>
    </row>
    <row r="1501" spans="1:3" x14ac:dyDescent="0.25">
      <c r="A1501" s="4">
        <v>37896</v>
      </c>
      <c r="B1501" s="5">
        <f>_xlfn.XLOOKUP(A1501,bunker_daily_raw!$A$2:$A$3819,bunker_daily_raw!$B$2:$B$3819)</f>
        <v>151.5</v>
      </c>
      <c r="C1501" s="6">
        <v>28.9</v>
      </c>
    </row>
    <row r="1502" spans="1:3" x14ac:dyDescent="0.25">
      <c r="A1502" s="4">
        <v>37897</v>
      </c>
      <c r="B1502" s="5">
        <f>_xlfn.XLOOKUP(A1502,bunker_daily_raw!$A$2:$A$3819,bunker_daily_raw!$B$2:$B$3819)</f>
        <v>148.5</v>
      </c>
      <c r="C1502" s="6">
        <v>29.14</v>
      </c>
    </row>
    <row r="1503" spans="1:3" x14ac:dyDescent="0.25">
      <c r="A1503" s="4">
        <v>37900</v>
      </c>
      <c r="B1503" s="5">
        <f>_xlfn.XLOOKUP(A1503,bunker_daily_raw!$A$2:$A$3819,bunker_daily_raw!$B$2:$B$3819)</f>
        <v>146.5</v>
      </c>
      <c r="C1503" s="6">
        <v>29.75</v>
      </c>
    </row>
    <row r="1504" spans="1:3" x14ac:dyDescent="0.25">
      <c r="A1504" s="4">
        <v>37901</v>
      </c>
      <c r="B1504" s="5">
        <f>_xlfn.XLOOKUP(A1504,bunker_daily_raw!$A$2:$A$3819,bunker_daily_raw!$B$2:$B$3819)</f>
        <v>151.5</v>
      </c>
      <c r="C1504" s="6">
        <v>29.35</v>
      </c>
    </row>
    <row r="1505" spans="1:3" x14ac:dyDescent="0.25">
      <c r="A1505" s="4">
        <v>37902</v>
      </c>
      <c r="B1505" s="5">
        <f>_xlfn.XLOOKUP(A1505,bunker_daily_raw!$A$2:$A$3819,bunker_daily_raw!$B$2:$B$3819)</f>
        <v>153.25</v>
      </c>
      <c r="C1505" s="6">
        <v>28.96</v>
      </c>
    </row>
    <row r="1506" spans="1:3" x14ac:dyDescent="0.25">
      <c r="A1506" s="4">
        <v>37903</v>
      </c>
      <c r="B1506" s="5">
        <f>_xlfn.XLOOKUP(A1506,bunker_daily_raw!$A$2:$A$3819,bunker_daily_raw!$B$2:$B$3819)</f>
        <v>153.5</v>
      </c>
      <c r="C1506" s="6">
        <v>30.21</v>
      </c>
    </row>
    <row r="1507" spans="1:3" x14ac:dyDescent="0.25">
      <c r="A1507" s="4">
        <v>37904</v>
      </c>
      <c r="B1507" s="5">
        <f>_xlfn.XLOOKUP(A1507,bunker_daily_raw!$A$2:$A$3819,bunker_daily_raw!$B$2:$B$3819)</f>
        <v>154.5</v>
      </c>
      <c r="C1507" s="6">
        <v>31.13</v>
      </c>
    </row>
    <row r="1508" spans="1:3" x14ac:dyDescent="0.25">
      <c r="A1508" s="4">
        <v>37907</v>
      </c>
      <c r="B1508" s="5">
        <f>_xlfn.XLOOKUP(A1508,bunker_daily_raw!$A$2:$A$3819,bunker_daily_raw!$B$2:$B$3819)</f>
        <v>152.5</v>
      </c>
      <c r="C1508" s="6">
        <v>31</v>
      </c>
    </row>
    <row r="1509" spans="1:3" x14ac:dyDescent="0.25">
      <c r="A1509" s="4">
        <v>37908</v>
      </c>
      <c r="B1509" s="5">
        <f>_xlfn.XLOOKUP(A1509,bunker_daily_raw!$A$2:$A$3819,bunker_daily_raw!$B$2:$B$3819)</f>
        <v>153.25</v>
      </c>
      <c r="C1509" s="6">
        <v>31.45</v>
      </c>
    </row>
    <row r="1510" spans="1:3" x14ac:dyDescent="0.25">
      <c r="A1510" s="4">
        <v>37909</v>
      </c>
      <c r="B1510" s="5">
        <f>_xlfn.XLOOKUP(A1510,bunker_daily_raw!$A$2:$A$3819,bunker_daily_raw!$B$2:$B$3819)</f>
        <v>149</v>
      </c>
      <c r="C1510" s="6">
        <v>31.23</v>
      </c>
    </row>
    <row r="1511" spans="1:3" x14ac:dyDescent="0.25">
      <c r="A1511" s="4">
        <v>37910</v>
      </c>
      <c r="B1511" s="5">
        <f>_xlfn.XLOOKUP(A1511,bunker_daily_raw!$A$2:$A$3819,bunker_daily_raw!$B$2:$B$3819)</f>
        <v>147.75</v>
      </c>
      <c r="C1511" s="6">
        <v>31.05</v>
      </c>
    </row>
    <row r="1512" spans="1:3" x14ac:dyDescent="0.25">
      <c r="A1512" s="4">
        <v>37911</v>
      </c>
      <c r="B1512" s="5">
        <f>_xlfn.XLOOKUP(A1512,bunker_daily_raw!$A$2:$A$3819,bunker_daily_raw!$B$2:$B$3819)</f>
        <v>150</v>
      </c>
      <c r="C1512" s="6">
        <v>30.27</v>
      </c>
    </row>
    <row r="1513" spans="1:3" x14ac:dyDescent="0.25">
      <c r="A1513" s="4">
        <v>37914</v>
      </c>
      <c r="B1513" s="5">
        <f>_xlfn.XLOOKUP(A1513,bunker_daily_raw!$A$2:$A$3819,bunker_daily_raw!$B$2:$B$3819)</f>
        <v>148.5</v>
      </c>
      <c r="C1513" s="6">
        <v>29.78</v>
      </c>
    </row>
    <row r="1514" spans="1:3" x14ac:dyDescent="0.25">
      <c r="A1514" s="4">
        <v>37915</v>
      </c>
      <c r="B1514" s="5">
        <f>_xlfn.XLOOKUP(A1514,bunker_daily_raw!$A$2:$A$3819,bunker_daily_raw!$B$2:$B$3819)</f>
        <v>148.25</v>
      </c>
      <c r="C1514" s="6">
        <v>29.61</v>
      </c>
    </row>
    <row r="1515" spans="1:3" x14ac:dyDescent="0.25">
      <c r="A1515" s="4">
        <v>37916</v>
      </c>
      <c r="B1515" s="5">
        <f>_xlfn.XLOOKUP(A1515,bunker_daily_raw!$A$2:$A$3819,bunker_daily_raw!$B$2:$B$3819)</f>
        <v>148</v>
      </c>
      <c r="C1515" s="6">
        <v>29.25</v>
      </c>
    </row>
    <row r="1516" spans="1:3" x14ac:dyDescent="0.25">
      <c r="A1516" s="4">
        <v>37917</v>
      </c>
      <c r="B1516" s="5">
        <f>_xlfn.XLOOKUP(A1516,bunker_daily_raw!$A$2:$A$3819,bunker_daily_raw!$B$2:$B$3819)</f>
        <v>149.75</v>
      </c>
      <c r="C1516" s="6">
        <v>29.63</v>
      </c>
    </row>
    <row r="1517" spans="1:3" x14ac:dyDescent="0.25">
      <c r="A1517" s="4">
        <v>37918</v>
      </c>
      <c r="B1517" s="5" t="e">
        <f>_xlfn.XLOOKUP(A1517,bunker_daily_raw!$A$2:$A$3819,bunker_daily_raw!$B$2:$B$3819)</f>
        <v>#N/A</v>
      </c>
      <c r="C1517" s="6">
        <v>30.01</v>
      </c>
    </row>
    <row r="1518" spans="1:3" x14ac:dyDescent="0.25">
      <c r="A1518" s="4">
        <v>37921</v>
      </c>
      <c r="B1518" s="5">
        <f>_xlfn.XLOOKUP(A1518,bunker_daily_raw!$A$2:$A$3819,bunker_daily_raw!$B$2:$B$3819)</f>
        <v>148.5</v>
      </c>
      <c r="C1518" s="6">
        <v>29.38</v>
      </c>
    </row>
    <row r="1519" spans="1:3" x14ac:dyDescent="0.25">
      <c r="A1519" s="4">
        <v>37922</v>
      </c>
      <c r="B1519" s="5">
        <f>_xlfn.XLOOKUP(A1519,bunker_daily_raw!$A$2:$A$3819,bunker_daily_raw!$B$2:$B$3819)</f>
        <v>149.25</v>
      </c>
      <c r="C1519" s="6">
        <v>28.99</v>
      </c>
    </row>
    <row r="1520" spans="1:3" x14ac:dyDescent="0.25">
      <c r="A1520" s="4">
        <v>37923</v>
      </c>
      <c r="B1520" s="5">
        <f>_xlfn.XLOOKUP(A1520,bunker_daily_raw!$A$2:$A$3819,bunker_daily_raw!$B$2:$B$3819)</f>
        <v>145.25</v>
      </c>
      <c r="C1520" s="6">
        <v>28.56</v>
      </c>
    </row>
    <row r="1521" spans="1:3" x14ac:dyDescent="0.25">
      <c r="A1521" s="4">
        <v>37924</v>
      </c>
      <c r="B1521" s="5">
        <f>_xlfn.XLOOKUP(A1521,bunker_daily_raw!$A$2:$A$3819,bunker_daily_raw!$B$2:$B$3819)</f>
        <v>146.75</v>
      </c>
      <c r="C1521" s="6">
        <v>27.47</v>
      </c>
    </row>
    <row r="1522" spans="1:3" x14ac:dyDescent="0.25">
      <c r="A1522" s="4">
        <v>37925</v>
      </c>
      <c r="B1522" s="5">
        <f>_xlfn.XLOOKUP(A1522,bunker_daily_raw!$A$2:$A$3819,bunker_daily_raw!$B$2:$B$3819)</f>
        <v>149</v>
      </c>
      <c r="C1522" s="6">
        <v>27.88</v>
      </c>
    </row>
    <row r="1523" spans="1:3" x14ac:dyDescent="0.25">
      <c r="A1523" s="4">
        <v>37928</v>
      </c>
      <c r="B1523" s="5">
        <f>_xlfn.XLOOKUP(A1523,bunker_daily_raw!$A$2:$A$3819,bunker_daily_raw!$B$2:$B$3819)</f>
        <v>147.5</v>
      </c>
      <c r="C1523" s="6">
        <v>27.78</v>
      </c>
    </row>
    <row r="1524" spans="1:3" x14ac:dyDescent="0.25">
      <c r="A1524" s="4">
        <v>37929</v>
      </c>
      <c r="B1524" s="5">
        <f>_xlfn.XLOOKUP(A1524,bunker_daily_raw!$A$2:$A$3819,bunker_daily_raw!$B$2:$B$3819)</f>
        <v>151.25</v>
      </c>
      <c r="C1524" s="6">
        <v>27.32</v>
      </c>
    </row>
    <row r="1525" spans="1:3" x14ac:dyDescent="0.25">
      <c r="A1525" s="4">
        <v>37930</v>
      </c>
      <c r="B1525" s="5">
        <f>_xlfn.XLOOKUP(A1525,bunker_daily_raw!$A$2:$A$3819,bunker_daily_raw!$B$2:$B$3819)</f>
        <v>150</v>
      </c>
      <c r="C1525" s="6">
        <v>27.9</v>
      </c>
    </row>
    <row r="1526" spans="1:3" x14ac:dyDescent="0.25">
      <c r="A1526" s="4">
        <v>37931</v>
      </c>
      <c r="B1526" s="5">
        <f>_xlfn.XLOOKUP(A1526,bunker_daily_raw!$A$2:$A$3819,bunker_daily_raw!$B$2:$B$3819)</f>
        <v>152.25</v>
      </c>
      <c r="C1526" s="6">
        <v>28.52</v>
      </c>
    </row>
    <row r="1527" spans="1:3" x14ac:dyDescent="0.25">
      <c r="A1527" s="4">
        <v>37932</v>
      </c>
      <c r="B1527" s="5">
        <f>_xlfn.XLOOKUP(A1527,bunker_daily_raw!$A$2:$A$3819,bunker_daily_raw!$B$2:$B$3819)</f>
        <v>153</v>
      </c>
      <c r="C1527" s="6">
        <v>28.73</v>
      </c>
    </row>
    <row r="1528" spans="1:3" x14ac:dyDescent="0.25">
      <c r="A1528" s="4">
        <v>37935</v>
      </c>
      <c r="B1528" s="5">
        <f>_xlfn.XLOOKUP(A1528,bunker_daily_raw!$A$2:$A$3819,bunker_daily_raw!$B$2:$B$3819)</f>
        <v>154.25</v>
      </c>
      <c r="C1528" s="6">
        <v>28.82</v>
      </c>
    </row>
    <row r="1529" spans="1:3" x14ac:dyDescent="0.25">
      <c r="A1529" s="4">
        <v>37936</v>
      </c>
      <c r="B1529" s="5">
        <f>_xlfn.XLOOKUP(A1529,bunker_daily_raw!$A$2:$A$3819,bunker_daily_raw!$B$2:$B$3819)</f>
        <v>154.5</v>
      </c>
      <c r="C1529" s="6">
        <v>28.88</v>
      </c>
    </row>
    <row r="1530" spans="1:3" x14ac:dyDescent="0.25">
      <c r="A1530" s="4">
        <v>37937</v>
      </c>
      <c r="B1530" s="5">
        <f>_xlfn.XLOOKUP(A1530,bunker_daily_raw!$A$2:$A$3819,bunker_daily_raw!$B$2:$B$3819)</f>
        <v>154.75</v>
      </c>
      <c r="C1530" s="6">
        <v>28.58</v>
      </c>
    </row>
    <row r="1531" spans="1:3" x14ac:dyDescent="0.25">
      <c r="A1531" s="4">
        <v>37938</v>
      </c>
      <c r="B1531" s="5">
        <f>_xlfn.XLOOKUP(A1531,bunker_daily_raw!$A$2:$A$3819,bunker_daily_raw!$B$2:$B$3819)</f>
        <v>154.5</v>
      </c>
      <c r="C1531" s="6">
        <v>29.01</v>
      </c>
    </row>
    <row r="1532" spans="1:3" x14ac:dyDescent="0.25">
      <c r="A1532" s="4">
        <v>37939</v>
      </c>
      <c r="B1532" s="5">
        <f>_xlfn.XLOOKUP(A1532,bunker_daily_raw!$A$2:$A$3819,bunker_daily_raw!$B$2:$B$3819)</f>
        <v>151.5</v>
      </c>
      <c r="C1532" s="6">
        <v>29.78</v>
      </c>
    </row>
    <row r="1533" spans="1:3" x14ac:dyDescent="0.25">
      <c r="A1533" s="4">
        <v>37942</v>
      </c>
      <c r="B1533" s="5">
        <f>_xlfn.XLOOKUP(A1533,bunker_daily_raw!$A$2:$A$3819,bunker_daily_raw!$B$2:$B$3819)</f>
        <v>151.5</v>
      </c>
      <c r="C1533" s="6">
        <v>28.98</v>
      </c>
    </row>
    <row r="1534" spans="1:3" x14ac:dyDescent="0.25">
      <c r="A1534" s="4">
        <v>37943</v>
      </c>
      <c r="B1534" s="5">
        <f>_xlfn.XLOOKUP(A1534,bunker_daily_raw!$A$2:$A$3819,bunker_daily_raw!$B$2:$B$3819)</f>
        <v>154.25</v>
      </c>
      <c r="C1534" s="6">
        <v>29.26</v>
      </c>
    </row>
    <row r="1535" spans="1:3" x14ac:dyDescent="0.25">
      <c r="A1535" s="4">
        <v>37944</v>
      </c>
      <c r="B1535" s="5">
        <f>_xlfn.XLOOKUP(A1535,bunker_daily_raw!$A$2:$A$3819,bunker_daily_raw!$B$2:$B$3819)</f>
        <v>152.75</v>
      </c>
      <c r="C1535" s="6">
        <v>30.13</v>
      </c>
    </row>
    <row r="1536" spans="1:3" x14ac:dyDescent="0.25">
      <c r="A1536" s="4">
        <v>37945</v>
      </c>
      <c r="B1536" s="5">
        <f>_xlfn.XLOOKUP(A1536,bunker_daily_raw!$A$2:$A$3819,bunker_daily_raw!$B$2:$B$3819)</f>
        <v>147.25</v>
      </c>
      <c r="C1536" s="6">
        <v>29.88</v>
      </c>
    </row>
    <row r="1537" spans="1:3" x14ac:dyDescent="0.25">
      <c r="A1537" s="4">
        <v>37946</v>
      </c>
      <c r="B1537" s="5">
        <f>_xlfn.XLOOKUP(A1537,bunker_daily_raw!$A$2:$A$3819,bunker_daily_raw!$B$2:$B$3819)</f>
        <v>142.25</v>
      </c>
      <c r="C1537" s="6">
        <v>29.79</v>
      </c>
    </row>
    <row r="1538" spans="1:3" x14ac:dyDescent="0.25">
      <c r="A1538" s="4">
        <v>37949</v>
      </c>
      <c r="B1538" s="5">
        <f>_xlfn.XLOOKUP(A1538,bunker_daily_raw!$A$2:$A$3819,bunker_daily_raw!$B$2:$B$3819)</f>
        <v>141.75</v>
      </c>
      <c r="C1538" s="6">
        <v>27.99</v>
      </c>
    </row>
    <row r="1539" spans="1:3" x14ac:dyDescent="0.25">
      <c r="A1539" s="4">
        <v>37950</v>
      </c>
      <c r="B1539" s="5" t="e">
        <f>_xlfn.XLOOKUP(A1539,bunker_daily_raw!$A$2:$A$3819,bunker_daily_raw!$B$2:$B$3819)</f>
        <v>#N/A</v>
      </c>
      <c r="C1539" s="6">
        <v>27.62</v>
      </c>
    </row>
    <row r="1540" spans="1:3" x14ac:dyDescent="0.25">
      <c r="A1540" s="4">
        <v>37951</v>
      </c>
      <c r="B1540" s="5">
        <f>_xlfn.XLOOKUP(A1540,bunker_daily_raw!$A$2:$A$3819,bunker_daily_raw!$B$2:$B$3819)</f>
        <v>143.75</v>
      </c>
      <c r="C1540" s="6">
        <v>28.23</v>
      </c>
    </row>
    <row r="1541" spans="1:3" x14ac:dyDescent="0.25">
      <c r="A1541" s="4">
        <v>37952</v>
      </c>
      <c r="B1541" s="5">
        <f>_xlfn.XLOOKUP(A1541,bunker_daily_raw!$A$2:$A$3819,bunker_daily_raw!$B$2:$B$3819)</f>
        <v>143.25</v>
      </c>
      <c r="C1541" s="6">
        <v>28.9</v>
      </c>
    </row>
    <row r="1542" spans="1:3" x14ac:dyDescent="0.25">
      <c r="A1542" s="4">
        <v>37953</v>
      </c>
      <c r="B1542" s="5">
        <f>_xlfn.XLOOKUP(A1542,bunker_daily_raw!$A$2:$A$3819,bunker_daily_raw!$B$2:$B$3819)</f>
        <v>137.75</v>
      </c>
      <c r="C1542" s="6">
        <v>28.95</v>
      </c>
    </row>
    <row r="1543" spans="1:3" x14ac:dyDescent="0.25">
      <c r="A1543" s="4">
        <v>37956</v>
      </c>
      <c r="B1543" s="5">
        <f>_xlfn.XLOOKUP(A1543,bunker_daily_raw!$A$2:$A$3819,bunker_daily_raw!$B$2:$B$3819)</f>
        <v>133.5</v>
      </c>
      <c r="C1543" s="6">
        <v>28.17</v>
      </c>
    </row>
    <row r="1544" spans="1:3" x14ac:dyDescent="0.25">
      <c r="A1544" s="4">
        <v>37957</v>
      </c>
      <c r="B1544" s="5">
        <f>_xlfn.XLOOKUP(A1544,bunker_daily_raw!$A$2:$A$3819,bunker_daily_raw!$B$2:$B$3819)</f>
        <v>136.5</v>
      </c>
      <c r="C1544" s="6">
        <v>29.1</v>
      </c>
    </row>
    <row r="1545" spans="1:3" x14ac:dyDescent="0.25">
      <c r="A1545" s="4">
        <v>37958</v>
      </c>
      <c r="B1545" s="5">
        <f>_xlfn.XLOOKUP(A1545,bunker_daily_raw!$A$2:$A$3819,bunker_daily_raw!$B$2:$B$3819)</f>
        <v>136.25</v>
      </c>
      <c r="C1545" s="6">
        <v>29.26</v>
      </c>
    </row>
    <row r="1546" spans="1:3" x14ac:dyDescent="0.25">
      <c r="A1546" s="4">
        <v>37959</v>
      </c>
      <c r="B1546" s="5">
        <f>_xlfn.XLOOKUP(A1546,bunker_daily_raw!$A$2:$A$3819,bunker_daily_raw!$B$2:$B$3819)</f>
        <v>135.5</v>
      </c>
      <c r="C1546" s="6">
        <v>29.25</v>
      </c>
    </row>
    <row r="1547" spans="1:3" x14ac:dyDescent="0.25">
      <c r="A1547" s="4">
        <v>37960</v>
      </c>
      <c r="B1547" s="5">
        <f>_xlfn.XLOOKUP(A1547,bunker_daily_raw!$A$2:$A$3819,bunker_daily_raw!$B$2:$B$3819)</f>
        <v>133</v>
      </c>
      <c r="C1547" s="6">
        <v>28.87</v>
      </c>
    </row>
    <row r="1548" spans="1:3" x14ac:dyDescent="0.25">
      <c r="A1548" s="4">
        <v>37963</v>
      </c>
      <c r="B1548" s="5">
        <f>_xlfn.XLOOKUP(A1548,bunker_daily_raw!$A$2:$A$3819,bunker_daily_raw!$B$2:$B$3819)</f>
        <v>135</v>
      </c>
      <c r="C1548" s="6">
        <v>30.52</v>
      </c>
    </row>
    <row r="1549" spans="1:3" x14ac:dyDescent="0.25">
      <c r="A1549" s="4">
        <v>37964</v>
      </c>
      <c r="B1549" s="5">
        <f>_xlfn.XLOOKUP(A1549,bunker_daily_raw!$A$2:$A$3819,bunker_daily_raw!$B$2:$B$3819)</f>
        <v>136.5</v>
      </c>
      <c r="C1549" s="6">
        <v>30.27</v>
      </c>
    </row>
    <row r="1550" spans="1:3" x14ac:dyDescent="0.25">
      <c r="A1550" s="4">
        <v>37965</v>
      </c>
      <c r="B1550" s="5">
        <f>_xlfn.XLOOKUP(A1550,bunker_daily_raw!$A$2:$A$3819,bunker_daily_raw!$B$2:$B$3819)</f>
        <v>137.75</v>
      </c>
      <c r="C1550" s="6">
        <v>30.02</v>
      </c>
    </row>
    <row r="1551" spans="1:3" x14ac:dyDescent="0.25">
      <c r="A1551" s="4">
        <v>37966</v>
      </c>
      <c r="B1551" s="5">
        <f>_xlfn.XLOOKUP(A1551,bunker_daily_raw!$A$2:$A$3819,bunker_daily_raw!$B$2:$B$3819)</f>
        <v>134.75</v>
      </c>
      <c r="C1551" s="6">
        <v>29.79</v>
      </c>
    </row>
    <row r="1552" spans="1:3" x14ac:dyDescent="0.25">
      <c r="A1552" s="4">
        <v>37967</v>
      </c>
      <c r="B1552" s="5">
        <f>_xlfn.XLOOKUP(A1552,bunker_daily_raw!$A$2:$A$3819,bunker_daily_raw!$B$2:$B$3819)</f>
        <v>130.75</v>
      </c>
      <c r="C1552" s="6">
        <v>30.24</v>
      </c>
    </row>
    <row r="1553" spans="1:3" x14ac:dyDescent="0.25">
      <c r="A1553" s="4">
        <v>37970</v>
      </c>
      <c r="B1553" s="5">
        <f>_xlfn.XLOOKUP(A1553,bunker_daily_raw!$A$2:$A$3819,bunker_daily_raw!$B$2:$B$3819)</f>
        <v>124.5</v>
      </c>
      <c r="C1553" s="6">
        <v>30.89</v>
      </c>
    </row>
    <row r="1554" spans="1:3" x14ac:dyDescent="0.25">
      <c r="A1554" s="4">
        <v>37971</v>
      </c>
      <c r="B1554" s="5">
        <f>_xlfn.XLOOKUP(A1554,bunker_daily_raw!$A$2:$A$3819,bunker_daily_raw!$B$2:$B$3819)</f>
        <v>125</v>
      </c>
      <c r="C1554" s="6">
        <v>30.64</v>
      </c>
    </row>
    <row r="1555" spans="1:3" x14ac:dyDescent="0.25">
      <c r="A1555" s="4">
        <v>37972</v>
      </c>
      <c r="B1555" s="5">
        <f>_xlfn.XLOOKUP(A1555,bunker_daily_raw!$A$2:$A$3819,bunker_daily_raw!$B$2:$B$3819)</f>
        <v>131</v>
      </c>
      <c r="C1555" s="6">
        <v>31.01</v>
      </c>
    </row>
    <row r="1556" spans="1:3" x14ac:dyDescent="0.25">
      <c r="A1556" s="4">
        <v>37973</v>
      </c>
      <c r="B1556" s="5">
        <f>_xlfn.XLOOKUP(A1556,bunker_daily_raw!$A$2:$A$3819,bunker_daily_raw!$B$2:$B$3819)</f>
        <v>126.5</v>
      </c>
      <c r="C1556" s="6">
        <v>30.79</v>
      </c>
    </row>
    <row r="1557" spans="1:3" x14ac:dyDescent="0.25">
      <c r="A1557" s="4">
        <v>37974</v>
      </c>
      <c r="B1557" s="5">
        <f>_xlfn.XLOOKUP(A1557,bunker_daily_raw!$A$2:$A$3819,bunker_daily_raw!$B$2:$B$3819)</f>
        <v>122</v>
      </c>
      <c r="C1557" s="6">
        <v>31.03</v>
      </c>
    </row>
    <row r="1558" spans="1:3" x14ac:dyDescent="0.25">
      <c r="A1558" s="4">
        <v>37977</v>
      </c>
      <c r="B1558" s="5">
        <f>_xlfn.XLOOKUP(A1558,bunker_daily_raw!$A$2:$A$3819,bunker_daily_raw!$B$2:$B$3819)</f>
        <v>119.75</v>
      </c>
      <c r="C1558" s="6">
        <v>28.78</v>
      </c>
    </row>
    <row r="1559" spans="1:3" x14ac:dyDescent="0.25">
      <c r="A1559" s="4">
        <v>37978</v>
      </c>
      <c r="B1559" s="5">
        <f>_xlfn.XLOOKUP(A1559,bunker_daily_raw!$A$2:$A$3819,bunker_daily_raw!$B$2:$B$3819)</f>
        <v>120.25</v>
      </c>
      <c r="C1559" s="6">
        <v>28.3</v>
      </c>
    </row>
    <row r="1560" spans="1:3" x14ac:dyDescent="0.25">
      <c r="A1560" s="4">
        <v>37979</v>
      </c>
      <c r="B1560" s="5">
        <f>_xlfn.XLOOKUP(A1560,bunker_daily_raw!$A$2:$A$3819,bunker_daily_raw!$B$2:$B$3819)</f>
        <v>120.75</v>
      </c>
      <c r="C1560" s="6">
        <v>29.45</v>
      </c>
    </row>
    <row r="1561" spans="1:3" x14ac:dyDescent="0.25">
      <c r="A1561" s="4">
        <v>37980</v>
      </c>
      <c r="B1561" s="5" t="e">
        <f>_xlfn.XLOOKUP(A1561,bunker_daily_raw!$A$2:$A$3819,bunker_daily_raw!$B$2:$B$3819)</f>
        <v>#N/A</v>
      </c>
      <c r="C1561" s="5"/>
    </row>
    <row r="1562" spans="1:3" x14ac:dyDescent="0.25">
      <c r="A1562" s="4">
        <v>37981</v>
      </c>
      <c r="B1562" s="5" t="e">
        <f>_xlfn.XLOOKUP(A1562,bunker_daily_raw!$A$2:$A$3819,bunker_daily_raw!$B$2:$B$3819)</f>
        <v>#N/A</v>
      </c>
      <c r="C1562" s="5"/>
    </row>
    <row r="1563" spans="1:3" x14ac:dyDescent="0.25">
      <c r="A1563" s="4">
        <v>37984</v>
      </c>
      <c r="B1563" s="5">
        <f>_xlfn.XLOOKUP(A1563,bunker_daily_raw!$A$2:$A$3819,bunker_daily_raw!$B$2:$B$3819)</f>
        <v>125</v>
      </c>
      <c r="C1563" s="6">
        <v>29.17</v>
      </c>
    </row>
    <row r="1564" spans="1:3" x14ac:dyDescent="0.25">
      <c r="A1564" s="4">
        <v>37985</v>
      </c>
      <c r="B1564" s="5">
        <f>_xlfn.XLOOKUP(A1564,bunker_daily_raw!$A$2:$A$3819,bunker_daily_raw!$B$2:$B$3819)</f>
        <v>125.75</v>
      </c>
      <c r="C1564" s="6">
        <v>30.1</v>
      </c>
    </row>
    <row r="1565" spans="1:3" x14ac:dyDescent="0.25">
      <c r="A1565" s="4">
        <v>37986</v>
      </c>
      <c r="B1565" s="5">
        <f>_xlfn.XLOOKUP(A1565,bunker_daily_raw!$A$2:$A$3819,bunker_daily_raw!$B$2:$B$3819)</f>
        <v>128.5</v>
      </c>
      <c r="C1565" s="6">
        <v>30.3</v>
      </c>
    </row>
    <row r="1566" spans="1:3" x14ac:dyDescent="0.25">
      <c r="A1566" s="4">
        <v>37987</v>
      </c>
      <c r="B1566" s="5" t="e">
        <f>_xlfn.XLOOKUP(A1566,bunker_daily_raw!$A$2:$A$3819,bunker_daily_raw!$B$2:$B$3819)</f>
        <v>#N/A</v>
      </c>
      <c r="C1566" s="5"/>
    </row>
    <row r="1567" spans="1:3" x14ac:dyDescent="0.25">
      <c r="A1567" s="4">
        <v>37988</v>
      </c>
      <c r="B1567" s="5">
        <f>_xlfn.XLOOKUP(A1567,bunker_daily_raw!$A$2:$A$3819,bunker_daily_raw!$B$2:$B$3819)</f>
        <v>129.25</v>
      </c>
      <c r="C1567" s="6">
        <v>29.55</v>
      </c>
    </row>
    <row r="1568" spans="1:3" x14ac:dyDescent="0.25">
      <c r="A1568" s="4">
        <v>37991</v>
      </c>
      <c r="B1568" s="5">
        <f>_xlfn.XLOOKUP(A1568,bunker_daily_raw!$A$2:$A$3819,bunker_daily_raw!$B$2:$B$3819)</f>
        <v>144.25</v>
      </c>
      <c r="C1568" s="6">
        <v>32.299999999999997</v>
      </c>
    </row>
    <row r="1569" spans="1:3" x14ac:dyDescent="0.25">
      <c r="A1569" s="4">
        <v>37992</v>
      </c>
      <c r="B1569" s="5">
        <f>_xlfn.XLOOKUP(A1569,bunker_daily_raw!$A$2:$A$3819,bunker_daily_raw!$B$2:$B$3819)</f>
        <v>145.25</v>
      </c>
      <c r="C1569" s="6">
        <v>31.2</v>
      </c>
    </row>
    <row r="1570" spans="1:3" x14ac:dyDescent="0.25">
      <c r="A1570" s="4">
        <v>37993</v>
      </c>
      <c r="B1570" s="5">
        <f>_xlfn.XLOOKUP(A1570,bunker_daily_raw!$A$2:$A$3819,bunker_daily_raw!$B$2:$B$3819)</f>
        <v>144.75</v>
      </c>
      <c r="C1570" s="6">
        <v>30.99</v>
      </c>
    </row>
    <row r="1571" spans="1:3" x14ac:dyDescent="0.25">
      <c r="A1571" s="4">
        <v>37994</v>
      </c>
      <c r="B1571" s="5">
        <f>_xlfn.XLOOKUP(A1571,bunker_daily_raw!$A$2:$A$3819,bunker_daily_raw!$B$2:$B$3819)</f>
        <v>146.5</v>
      </c>
      <c r="C1571" s="6">
        <v>31.11</v>
      </c>
    </row>
    <row r="1572" spans="1:3" x14ac:dyDescent="0.25">
      <c r="A1572" s="4">
        <v>37995</v>
      </c>
      <c r="B1572" s="5">
        <f>_xlfn.XLOOKUP(A1572,bunker_daily_raw!$A$2:$A$3819,bunker_daily_raw!$B$2:$B$3819)</f>
        <v>150.25</v>
      </c>
      <c r="C1572" s="6">
        <v>31.91</v>
      </c>
    </row>
    <row r="1573" spans="1:3" x14ac:dyDescent="0.25">
      <c r="A1573" s="4">
        <v>37998</v>
      </c>
      <c r="B1573" s="5">
        <f>_xlfn.XLOOKUP(A1573,bunker_daily_raw!$A$2:$A$3819,bunker_daily_raw!$B$2:$B$3819)</f>
        <v>148.5</v>
      </c>
      <c r="C1573" s="6">
        <v>31.41</v>
      </c>
    </row>
    <row r="1574" spans="1:3" x14ac:dyDescent="0.25">
      <c r="A1574" s="4">
        <v>37999</v>
      </c>
      <c r="B1574" s="5">
        <f>_xlfn.XLOOKUP(A1574,bunker_daily_raw!$A$2:$A$3819,bunker_daily_raw!$B$2:$B$3819)</f>
        <v>150</v>
      </c>
      <c r="C1574" s="6">
        <v>32.549999999999997</v>
      </c>
    </row>
    <row r="1575" spans="1:3" x14ac:dyDescent="0.25">
      <c r="A1575" s="4">
        <v>38000</v>
      </c>
      <c r="B1575" s="5">
        <f>_xlfn.XLOOKUP(A1575,bunker_daily_raw!$A$2:$A$3819,bunker_daily_raw!$B$2:$B$3819)</f>
        <v>143.75</v>
      </c>
      <c r="C1575" s="6">
        <v>31.84</v>
      </c>
    </row>
    <row r="1576" spans="1:3" x14ac:dyDescent="0.25">
      <c r="A1576" s="4">
        <v>38001</v>
      </c>
      <c r="B1576" s="5">
        <f>_xlfn.XLOOKUP(A1576,bunker_daily_raw!$A$2:$A$3819,bunker_daily_raw!$B$2:$B$3819)</f>
        <v>141.25</v>
      </c>
      <c r="C1576" s="6">
        <v>31.43</v>
      </c>
    </row>
    <row r="1577" spans="1:3" x14ac:dyDescent="0.25">
      <c r="A1577" s="4">
        <v>38002</v>
      </c>
      <c r="B1577" s="5">
        <f>_xlfn.XLOOKUP(A1577,bunker_daily_raw!$A$2:$A$3819,bunker_daily_raw!$B$2:$B$3819)</f>
        <v>137.25</v>
      </c>
      <c r="C1577" s="6">
        <v>31.26</v>
      </c>
    </row>
    <row r="1578" spans="1:3" x14ac:dyDescent="0.25">
      <c r="A1578" s="4">
        <v>38005</v>
      </c>
      <c r="B1578" s="5">
        <f>_xlfn.XLOOKUP(A1578,bunker_daily_raw!$A$2:$A$3819,bunker_daily_raw!$B$2:$B$3819)</f>
        <v>137.25</v>
      </c>
      <c r="C1578" s="6">
        <v>31.67</v>
      </c>
    </row>
    <row r="1579" spans="1:3" x14ac:dyDescent="0.25">
      <c r="A1579" s="4">
        <v>38006</v>
      </c>
      <c r="B1579" s="5">
        <f>_xlfn.XLOOKUP(A1579,bunker_daily_raw!$A$2:$A$3819,bunker_daily_raw!$B$2:$B$3819)</f>
        <v>136.25</v>
      </c>
      <c r="C1579" s="6">
        <v>32.26</v>
      </c>
    </row>
    <row r="1580" spans="1:3" x14ac:dyDescent="0.25">
      <c r="A1580" s="4">
        <v>38007</v>
      </c>
      <c r="B1580" s="5">
        <f>_xlfn.XLOOKUP(A1580,bunker_daily_raw!$A$2:$A$3819,bunker_daily_raw!$B$2:$B$3819)</f>
        <v>134</v>
      </c>
      <c r="C1580" s="6">
        <v>31.95</v>
      </c>
    </row>
    <row r="1581" spans="1:3" x14ac:dyDescent="0.25">
      <c r="A1581" s="4">
        <v>38008</v>
      </c>
      <c r="B1581" s="5">
        <f>_xlfn.XLOOKUP(A1581,bunker_daily_raw!$A$2:$A$3819,bunker_daily_raw!$B$2:$B$3819)</f>
        <v>126.5</v>
      </c>
      <c r="C1581" s="6">
        <v>31.42</v>
      </c>
    </row>
    <row r="1582" spans="1:3" x14ac:dyDescent="0.25">
      <c r="A1582" s="4">
        <v>38009</v>
      </c>
      <c r="B1582" s="5">
        <f>_xlfn.XLOOKUP(A1582,bunker_daily_raw!$A$2:$A$3819,bunker_daily_raw!$B$2:$B$3819)</f>
        <v>128.25</v>
      </c>
      <c r="C1582" s="6">
        <v>32.08</v>
      </c>
    </row>
    <row r="1583" spans="1:3" x14ac:dyDescent="0.25">
      <c r="A1583" s="4">
        <v>38012</v>
      </c>
      <c r="B1583" s="5">
        <f>_xlfn.XLOOKUP(A1583,bunker_daily_raw!$A$2:$A$3819,bunker_daily_raw!$B$2:$B$3819)</f>
        <v>129.5</v>
      </c>
      <c r="C1583" s="6">
        <v>31.15</v>
      </c>
    </row>
    <row r="1584" spans="1:3" x14ac:dyDescent="0.25">
      <c r="A1584" s="4">
        <v>38013</v>
      </c>
      <c r="B1584" s="5">
        <f>_xlfn.XLOOKUP(A1584,bunker_daily_raw!$A$2:$A$3819,bunker_daily_raw!$B$2:$B$3819)</f>
        <v>132.5</v>
      </c>
      <c r="C1584" s="6">
        <v>31.05</v>
      </c>
    </row>
    <row r="1585" spans="1:3" x14ac:dyDescent="0.25">
      <c r="A1585" s="4">
        <v>38014</v>
      </c>
      <c r="B1585" s="5">
        <f>_xlfn.XLOOKUP(A1585,bunker_daily_raw!$A$2:$A$3819,bunker_daily_raw!$B$2:$B$3819)</f>
        <v>128.5</v>
      </c>
      <c r="C1585" s="6">
        <v>30.77</v>
      </c>
    </row>
    <row r="1586" spans="1:3" x14ac:dyDescent="0.25">
      <c r="A1586" s="4">
        <v>38015</v>
      </c>
      <c r="B1586" s="5">
        <f>_xlfn.XLOOKUP(A1586,bunker_daily_raw!$A$2:$A$3819,bunker_daily_raw!$B$2:$B$3819)</f>
        <v>124.75</v>
      </c>
      <c r="C1586" s="6">
        <v>29.47</v>
      </c>
    </row>
    <row r="1587" spans="1:3" x14ac:dyDescent="0.25">
      <c r="A1587" s="4">
        <v>38016</v>
      </c>
      <c r="B1587" s="5">
        <f>_xlfn.XLOOKUP(A1587,bunker_daily_raw!$A$2:$A$3819,bunker_daily_raw!$B$2:$B$3819)</f>
        <v>126</v>
      </c>
      <c r="C1587" s="6">
        <v>29.53</v>
      </c>
    </row>
    <row r="1588" spans="1:3" x14ac:dyDescent="0.25">
      <c r="A1588" s="4">
        <v>38019</v>
      </c>
      <c r="B1588" s="5">
        <f>_xlfn.XLOOKUP(A1588,bunker_daily_raw!$A$2:$A$3819,bunker_daily_raw!$B$2:$B$3819)</f>
        <v>127</v>
      </c>
      <c r="C1588" s="6">
        <v>30.3</v>
      </c>
    </row>
    <row r="1589" spans="1:3" x14ac:dyDescent="0.25">
      <c r="A1589" s="4">
        <v>38020</v>
      </c>
      <c r="B1589" s="5">
        <f>_xlfn.XLOOKUP(A1589,bunker_daily_raw!$A$2:$A$3819,bunker_daily_raw!$B$2:$B$3819)</f>
        <v>131.5</v>
      </c>
      <c r="C1589" s="6">
        <v>30.07</v>
      </c>
    </row>
    <row r="1590" spans="1:3" x14ac:dyDescent="0.25">
      <c r="A1590" s="4">
        <v>38021</v>
      </c>
      <c r="B1590" s="5">
        <f>_xlfn.XLOOKUP(A1590,bunker_daily_raw!$A$2:$A$3819,bunker_daily_raw!$B$2:$B$3819)</f>
        <v>128</v>
      </c>
      <c r="C1590" s="6">
        <v>29.63</v>
      </c>
    </row>
    <row r="1591" spans="1:3" x14ac:dyDescent="0.25">
      <c r="A1591" s="4">
        <v>38022</v>
      </c>
      <c r="B1591" s="5">
        <f>_xlfn.XLOOKUP(A1591,bunker_daily_raw!$A$2:$A$3819,bunker_daily_raw!$B$2:$B$3819)</f>
        <v>122.5</v>
      </c>
      <c r="C1591" s="6">
        <v>29.02</v>
      </c>
    </row>
    <row r="1592" spans="1:3" x14ac:dyDescent="0.25">
      <c r="A1592" s="4">
        <v>38023</v>
      </c>
      <c r="B1592" s="5">
        <f>_xlfn.XLOOKUP(A1592,bunker_daily_raw!$A$2:$A$3819,bunker_daily_raw!$B$2:$B$3819)</f>
        <v>122</v>
      </c>
      <c r="C1592" s="6">
        <v>29.26</v>
      </c>
    </row>
    <row r="1593" spans="1:3" x14ac:dyDescent="0.25">
      <c r="A1593" s="4">
        <v>38026</v>
      </c>
      <c r="B1593" s="5">
        <f>_xlfn.XLOOKUP(A1593,bunker_daily_raw!$A$2:$A$3819,bunker_daily_raw!$B$2:$B$3819)</f>
        <v>124.5</v>
      </c>
      <c r="C1593" s="6">
        <v>29.1</v>
      </c>
    </row>
    <row r="1594" spans="1:3" x14ac:dyDescent="0.25">
      <c r="A1594" s="4">
        <v>38027</v>
      </c>
      <c r="B1594" s="5">
        <f>_xlfn.XLOOKUP(A1594,bunker_daily_raw!$A$2:$A$3819,bunker_daily_raw!$B$2:$B$3819)</f>
        <v>128</v>
      </c>
      <c r="C1594" s="6">
        <v>30.06</v>
      </c>
    </row>
    <row r="1595" spans="1:3" x14ac:dyDescent="0.25">
      <c r="A1595" s="4">
        <v>38028</v>
      </c>
      <c r="B1595" s="5">
        <f>_xlfn.XLOOKUP(A1595,bunker_daily_raw!$A$2:$A$3819,bunker_daily_raw!$B$2:$B$3819)</f>
        <v>134</v>
      </c>
      <c r="C1595" s="6">
        <v>30.33</v>
      </c>
    </row>
    <row r="1596" spans="1:3" x14ac:dyDescent="0.25">
      <c r="A1596" s="4">
        <v>38029</v>
      </c>
      <c r="B1596" s="5">
        <f>_xlfn.XLOOKUP(A1596,bunker_daily_raw!$A$2:$A$3819,bunker_daily_raw!$B$2:$B$3819)</f>
        <v>133</v>
      </c>
      <c r="C1596" s="6">
        <v>30.17</v>
      </c>
    </row>
    <row r="1597" spans="1:3" x14ac:dyDescent="0.25">
      <c r="A1597" s="4">
        <v>38030</v>
      </c>
      <c r="B1597" s="5">
        <f>_xlfn.XLOOKUP(A1597,bunker_daily_raw!$A$2:$A$3819,bunker_daily_raw!$B$2:$B$3819)</f>
        <v>135</v>
      </c>
      <c r="C1597" s="6">
        <v>30.96</v>
      </c>
    </row>
    <row r="1598" spans="1:3" x14ac:dyDescent="0.25">
      <c r="A1598" s="4">
        <v>38033</v>
      </c>
      <c r="B1598" s="5">
        <f>_xlfn.XLOOKUP(A1598,bunker_daily_raw!$A$2:$A$3819,bunker_daily_raw!$B$2:$B$3819)</f>
        <v>136</v>
      </c>
      <c r="C1598" s="6">
        <v>31.08</v>
      </c>
    </row>
    <row r="1599" spans="1:3" x14ac:dyDescent="0.25">
      <c r="A1599" s="4">
        <v>38034</v>
      </c>
      <c r="B1599" s="5">
        <f>_xlfn.XLOOKUP(A1599,bunker_daily_raw!$A$2:$A$3819,bunker_daily_raw!$B$2:$B$3819)</f>
        <v>138.5</v>
      </c>
      <c r="C1599" s="6">
        <v>31.43</v>
      </c>
    </row>
    <row r="1600" spans="1:3" x14ac:dyDescent="0.25">
      <c r="A1600" s="4">
        <v>38035</v>
      </c>
      <c r="B1600" s="5">
        <f>_xlfn.XLOOKUP(A1600,bunker_daily_raw!$A$2:$A$3819,bunker_daily_raw!$B$2:$B$3819)</f>
        <v>139.5</v>
      </c>
      <c r="C1600" s="6">
        <v>31.57</v>
      </c>
    </row>
    <row r="1601" spans="1:3" x14ac:dyDescent="0.25">
      <c r="A1601" s="4">
        <v>38036</v>
      </c>
      <c r="B1601" s="5">
        <f>_xlfn.XLOOKUP(A1601,bunker_daily_raw!$A$2:$A$3819,bunker_daily_raw!$B$2:$B$3819)</f>
        <v>140.25</v>
      </c>
      <c r="C1601" s="6">
        <v>31.63</v>
      </c>
    </row>
    <row r="1602" spans="1:3" x14ac:dyDescent="0.25">
      <c r="A1602" s="4">
        <v>38037</v>
      </c>
      <c r="B1602" s="5">
        <f>_xlfn.XLOOKUP(A1602,bunker_daily_raw!$A$2:$A$3819,bunker_daily_raw!$B$2:$B$3819)</f>
        <v>138.25</v>
      </c>
      <c r="C1602" s="6">
        <v>31.22</v>
      </c>
    </row>
    <row r="1603" spans="1:3" x14ac:dyDescent="0.25">
      <c r="A1603" s="4">
        <v>38040</v>
      </c>
      <c r="B1603" s="5">
        <f>_xlfn.XLOOKUP(A1603,bunker_daily_raw!$A$2:$A$3819,bunker_daily_raw!$B$2:$B$3819)</f>
        <v>139.25</v>
      </c>
      <c r="C1603" s="6">
        <v>31.89</v>
      </c>
    </row>
    <row r="1604" spans="1:3" x14ac:dyDescent="0.25">
      <c r="A1604" s="4">
        <v>38041</v>
      </c>
      <c r="B1604" s="5">
        <f>_xlfn.XLOOKUP(A1604,bunker_daily_raw!$A$2:$A$3819,bunker_daily_raw!$B$2:$B$3819)</f>
        <v>140.5</v>
      </c>
      <c r="C1604" s="6">
        <v>31.6</v>
      </c>
    </row>
    <row r="1605" spans="1:3" x14ac:dyDescent="0.25">
      <c r="A1605" s="4">
        <v>38042</v>
      </c>
      <c r="B1605" s="5">
        <f>_xlfn.XLOOKUP(A1605,bunker_daily_raw!$A$2:$A$3819,bunker_daily_raw!$B$2:$B$3819)</f>
        <v>144</v>
      </c>
      <c r="C1605" s="6">
        <v>32.46</v>
      </c>
    </row>
    <row r="1606" spans="1:3" x14ac:dyDescent="0.25">
      <c r="A1606" s="4">
        <v>38043</v>
      </c>
      <c r="B1606" s="5">
        <f>_xlfn.XLOOKUP(A1606,bunker_daily_raw!$A$2:$A$3819,bunker_daily_raw!$B$2:$B$3819)</f>
        <v>144</v>
      </c>
      <c r="C1606" s="6">
        <v>32.450000000000003</v>
      </c>
    </row>
    <row r="1607" spans="1:3" x14ac:dyDescent="0.25">
      <c r="A1607" s="4">
        <v>38044</v>
      </c>
      <c r="B1607" s="5">
        <f>_xlfn.XLOOKUP(A1607,bunker_daily_raw!$A$2:$A$3819,bunker_daily_raw!$B$2:$B$3819)</f>
        <v>144.5</v>
      </c>
      <c r="C1607" s="6">
        <v>32.94</v>
      </c>
    </row>
    <row r="1608" spans="1:3" x14ac:dyDescent="0.25">
      <c r="A1608" s="4">
        <v>38047</v>
      </c>
      <c r="B1608" s="5">
        <f>_xlfn.XLOOKUP(A1608,bunker_daily_raw!$A$2:$A$3819,bunker_daily_raw!$B$2:$B$3819)</f>
        <v>145.75</v>
      </c>
      <c r="C1608" s="6">
        <v>33.340000000000003</v>
      </c>
    </row>
    <row r="1609" spans="1:3" x14ac:dyDescent="0.25">
      <c r="A1609" s="4">
        <v>38048</v>
      </c>
      <c r="B1609" s="5">
        <f>_xlfn.XLOOKUP(A1609,bunker_daily_raw!$A$2:$A$3819,bunker_daily_raw!$B$2:$B$3819)</f>
        <v>145.75</v>
      </c>
      <c r="C1609" s="6">
        <v>34.15</v>
      </c>
    </row>
    <row r="1610" spans="1:3" x14ac:dyDescent="0.25">
      <c r="A1610" s="4">
        <v>38049</v>
      </c>
      <c r="B1610" s="5">
        <f>_xlfn.XLOOKUP(A1610,bunker_daily_raw!$A$2:$A$3819,bunker_daily_raw!$B$2:$B$3819)</f>
        <v>144.25</v>
      </c>
      <c r="C1610" s="6">
        <v>33.32</v>
      </c>
    </row>
    <row r="1611" spans="1:3" x14ac:dyDescent="0.25">
      <c r="A1611" s="4">
        <v>38050</v>
      </c>
      <c r="B1611" s="5">
        <f>_xlfn.XLOOKUP(A1611,bunker_daily_raw!$A$2:$A$3819,bunker_daily_raw!$B$2:$B$3819)</f>
        <v>145.25</v>
      </c>
      <c r="C1611" s="6">
        <v>33.450000000000003</v>
      </c>
    </row>
    <row r="1612" spans="1:3" x14ac:dyDescent="0.25">
      <c r="A1612" s="4">
        <v>38051</v>
      </c>
      <c r="B1612" s="5">
        <f>_xlfn.XLOOKUP(A1612,bunker_daily_raw!$A$2:$A$3819,bunker_daily_raw!$B$2:$B$3819)</f>
        <v>146.75</v>
      </c>
      <c r="C1612" s="6">
        <v>34.4</v>
      </c>
    </row>
    <row r="1613" spans="1:3" x14ac:dyDescent="0.25">
      <c r="A1613" s="4">
        <v>38054</v>
      </c>
      <c r="B1613" s="5">
        <f>_xlfn.XLOOKUP(A1613,bunker_daily_raw!$A$2:$A$3819,bunker_daily_raw!$B$2:$B$3819)</f>
        <v>146.5</v>
      </c>
      <c r="C1613" s="6">
        <v>34.270000000000003</v>
      </c>
    </row>
    <row r="1614" spans="1:3" x14ac:dyDescent="0.25">
      <c r="A1614" s="4">
        <v>38055</v>
      </c>
      <c r="B1614" s="5">
        <f>_xlfn.XLOOKUP(A1614,bunker_daily_raw!$A$2:$A$3819,bunker_daily_raw!$B$2:$B$3819)</f>
        <v>145.75</v>
      </c>
      <c r="C1614" s="6">
        <v>33.72</v>
      </c>
    </row>
    <row r="1615" spans="1:3" x14ac:dyDescent="0.25">
      <c r="A1615" s="4">
        <v>38056</v>
      </c>
      <c r="B1615" s="5">
        <f>_xlfn.XLOOKUP(A1615,bunker_daily_raw!$A$2:$A$3819,bunker_daily_raw!$B$2:$B$3819)</f>
        <v>142</v>
      </c>
      <c r="C1615" s="6">
        <v>32.83</v>
      </c>
    </row>
    <row r="1616" spans="1:3" x14ac:dyDescent="0.25">
      <c r="A1616" s="4">
        <v>38057</v>
      </c>
      <c r="B1616" s="5">
        <f>_xlfn.XLOOKUP(A1616,bunker_daily_raw!$A$2:$A$3819,bunker_daily_raw!$B$2:$B$3819)</f>
        <v>141.75</v>
      </c>
      <c r="C1616" s="6">
        <v>33.22</v>
      </c>
    </row>
    <row r="1617" spans="1:3" x14ac:dyDescent="0.25">
      <c r="A1617" s="4">
        <v>38058</v>
      </c>
      <c r="B1617" s="5">
        <f>_xlfn.XLOOKUP(A1617,bunker_daily_raw!$A$2:$A$3819,bunker_daily_raw!$B$2:$B$3819)</f>
        <v>139.25</v>
      </c>
      <c r="C1617" s="6">
        <v>32.76</v>
      </c>
    </row>
    <row r="1618" spans="1:3" x14ac:dyDescent="0.25">
      <c r="A1618" s="4">
        <v>38061</v>
      </c>
      <c r="B1618" s="5">
        <f>_xlfn.XLOOKUP(A1618,bunker_daily_raw!$A$2:$A$3819,bunker_daily_raw!$B$2:$B$3819)</f>
        <v>141.5</v>
      </c>
      <c r="C1618" s="6">
        <v>34.39</v>
      </c>
    </row>
    <row r="1619" spans="1:3" x14ac:dyDescent="0.25">
      <c r="A1619" s="4">
        <v>38062</v>
      </c>
      <c r="B1619" s="5">
        <f>_xlfn.XLOOKUP(A1619,bunker_daily_raw!$A$2:$A$3819,bunker_daily_raw!$B$2:$B$3819)</f>
        <v>137</v>
      </c>
      <c r="C1619" s="6">
        <v>34.72</v>
      </c>
    </row>
    <row r="1620" spans="1:3" x14ac:dyDescent="0.25">
      <c r="A1620" s="4">
        <v>38063</v>
      </c>
      <c r="B1620" s="5">
        <f>_xlfn.XLOOKUP(A1620,bunker_daily_raw!$A$2:$A$3819,bunker_daily_raw!$B$2:$B$3819)</f>
        <v>139.5</v>
      </c>
      <c r="C1620" s="6">
        <v>34.950000000000003</v>
      </c>
    </row>
    <row r="1621" spans="1:3" x14ac:dyDescent="0.25">
      <c r="A1621" s="4">
        <v>38064</v>
      </c>
      <c r="B1621" s="5">
        <f>_xlfn.XLOOKUP(A1621,bunker_daily_raw!$A$2:$A$3819,bunker_daily_raw!$B$2:$B$3819)</f>
        <v>139.5</v>
      </c>
      <c r="C1621" s="6">
        <v>34.43</v>
      </c>
    </row>
    <row r="1622" spans="1:3" x14ac:dyDescent="0.25">
      <c r="A1622" s="4">
        <v>38065</v>
      </c>
      <c r="B1622" s="5">
        <f>_xlfn.XLOOKUP(A1622,bunker_daily_raw!$A$2:$A$3819,bunker_daily_raw!$B$2:$B$3819)</f>
        <v>140.5</v>
      </c>
      <c r="C1622" s="6">
        <v>34.33</v>
      </c>
    </row>
    <row r="1623" spans="1:3" x14ac:dyDescent="0.25">
      <c r="A1623" s="4">
        <v>38068</v>
      </c>
      <c r="B1623" s="5">
        <f>_xlfn.XLOOKUP(A1623,bunker_daily_raw!$A$2:$A$3819,bunker_daily_raw!$B$2:$B$3819)</f>
        <v>138.75</v>
      </c>
      <c r="C1623" s="6">
        <v>33.57</v>
      </c>
    </row>
    <row r="1624" spans="1:3" x14ac:dyDescent="0.25">
      <c r="A1624" s="4">
        <v>38069</v>
      </c>
      <c r="B1624" s="5">
        <f>_xlfn.XLOOKUP(A1624,bunker_daily_raw!$A$2:$A$3819,bunker_daily_raw!$B$2:$B$3819)</f>
        <v>141.5</v>
      </c>
      <c r="C1624" s="6">
        <v>34.4</v>
      </c>
    </row>
    <row r="1625" spans="1:3" x14ac:dyDescent="0.25">
      <c r="A1625" s="4">
        <v>38070</v>
      </c>
      <c r="B1625" s="5">
        <f>_xlfn.XLOOKUP(A1625,bunker_daily_raw!$A$2:$A$3819,bunker_daily_raw!$B$2:$B$3819)</f>
        <v>141</v>
      </c>
      <c r="C1625" s="6">
        <v>34.14</v>
      </c>
    </row>
    <row r="1626" spans="1:3" x14ac:dyDescent="0.25">
      <c r="A1626" s="4">
        <v>38071</v>
      </c>
      <c r="B1626" s="5">
        <f>_xlfn.XLOOKUP(A1626,bunker_daily_raw!$A$2:$A$3819,bunker_daily_raw!$B$2:$B$3819)</f>
        <v>141.75</v>
      </c>
      <c r="C1626" s="6">
        <v>33.32</v>
      </c>
    </row>
    <row r="1627" spans="1:3" x14ac:dyDescent="0.25">
      <c r="A1627" s="4">
        <v>38072</v>
      </c>
      <c r="B1627" s="5">
        <f>_xlfn.XLOOKUP(A1627,bunker_daily_raw!$A$2:$A$3819,bunker_daily_raw!$B$2:$B$3819)</f>
        <v>142.25</v>
      </c>
      <c r="C1627" s="6">
        <v>32.51</v>
      </c>
    </row>
    <row r="1628" spans="1:3" x14ac:dyDescent="0.25">
      <c r="A1628" s="4">
        <v>38075</v>
      </c>
      <c r="B1628" s="5">
        <f>_xlfn.XLOOKUP(A1628,bunker_daily_raw!$A$2:$A$3819,bunker_daily_raw!$B$2:$B$3819)</f>
        <v>140</v>
      </c>
      <c r="C1628" s="6">
        <v>32.04</v>
      </c>
    </row>
    <row r="1629" spans="1:3" x14ac:dyDescent="0.25">
      <c r="A1629" s="4">
        <v>38076</v>
      </c>
      <c r="B1629" s="5">
        <f>_xlfn.XLOOKUP(A1629,bunker_daily_raw!$A$2:$A$3819,bunker_daily_raw!$B$2:$B$3819)</f>
        <v>143.75</v>
      </c>
      <c r="C1629" s="6">
        <v>33.04</v>
      </c>
    </row>
    <row r="1630" spans="1:3" x14ac:dyDescent="0.25">
      <c r="A1630" s="4">
        <v>38077</v>
      </c>
      <c r="B1630" s="5">
        <f>_xlfn.XLOOKUP(A1630,bunker_daily_raw!$A$2:$A$3819,bunker_daily_raw!$B$2:$B$3819)</f>
        <v>142.25</v>
      </c>
      <c r="C1630" s="6">
        <v>32.29</v>
      </c>
    </row>
    <row r="1631" spans="1:3" x14ac:dyDescent="0.25">
      <c r="A1631" s="4">
        <v>38078</v>
      </c>
      <c r="B1631" s="5">
        <f>_xlfn.XLOOKUP(A1631,bunker_daily_raw!$A$2:$A$3819,bunker_daily_raw!$B$2:$B$3819)</f>
        <v>140.75</v>
      </c>
      <c r="C1631" s="6">
        <v>32.590000000000003</v>
      </c>
    </row>
    <row r="1632" spans="1:3" x14ac:dyDescent="0.25">
      <c r="A1632" s="4">
        <v>38079</v>
      </c>
      <c r="B1632" s="5">
        <f>_xlfn.XLOOKUP(A1632,bunker_daily_raw!$A$2:$A$3819,bunker_daily_raw!$B$2:$B$3819)</f>
        <v>139.5</v>
      </c>
      <c r="C1632" s="6">
        <v>31.19</v>
      </c>
    </row>
    <row r="1633" spans="1:3" x14ac:dyDescent="0.25">
      <c r="A1633" s="4">
        <v>38082</v>
      </c>
      <c r="B1633" s="5">
        <f>_xlfn.XLOOKUP(A1633,bunker_daily_raw!$A$2:$A$3819,bunker_daily_raw!$B$2:$B$3819)</f>
        <v>142</v>
      </c>
      <c r="C1633" s="6">
        <v>31.17</v>
      </c>
    </row>
    <row r="1634" spans="1:3" x14ac:dyDescent="0.25">
      <c r="A1634" s="4">
        <v>38083</v>
      </c>
      <c r="B1634" s="5">
        <f>_xlfn.XLOOKUP(A1634,bunker_daily_raw!$A$2:$A$3819,bunker_daily_raw!$B$2:$B$3819)</f>
        <v>143.5</v>
      </c>
      <c r="C1634" s="6">
        <v>31.48</v>
      </c>
    </row>
    <row r="1635" spans="1:3" x14ac:dyDescent="0.25">
      <c r="A1635" s="4">
        <v>38084</v>
      </c>
      <c r="B1635" s="5">
        <f>_xlfn.XLOOKUP(A1635,bunker_daily_raw!$A$2:$A$3819,bunker_daily_raw!$B$2:$B$3819)</f>
        <v>145.75</v>
      </c>
      <c r="C1635" s="6">
        <v>33.07</v>
      </c>
    </row>
    <row r="1636" spans="1:3" x14ac:dyDescent="0.25">
      <c r="A1636" s="4">
        <v>38085</v>
      </c>
      <c r="B1636" s="5">
        <f>_xlfn.XLOOKUP(A1636,bunker_daily_raw!$A$2:$A$3819,bunker_daily_raw!$B$2:$B$3819)</f>
        <v>147</v>
      </c>
      <c r="C1636" s="6">
        <v>33.979999999999997</v>
      </c>
    </row>
    <row r="1637" spans="1:3" x14ac:dyDescent="0.25">
      <c r="A1637" s="4">
        <v>38086</v>
      </c>
      <c r="B1637" s="5" t="e">
        <f>_xlfn.XLOOKUP(A1637,bunker_daily_raw!$A$2:$A$3819,bunker_daily_raw!$B$2:$B$3819)</f>
        <v>#N/A</v>
      </c>
      <c r="C1637" s="6">
        <v>34.03</v>
      </c>
    </row>
    <row r="1638" spans="1:3" x14ac:dyDescent="0.25">
      <c r="A1638" s="4">
        <v>38089</v>
      </c>
      <c r="B1638" s="5" t="e">
        <f>_xlfn.XLOOKUP(A1638,bunker_daily_raw!$A$2:$A$3819,bunker_daily_raw!$B$2:$B$3819)</f>
        <v>#N/A</v>
      </c>
      <c r="C1638" s="6">
        <v>34.51</v>
      </c>
    </row>
    <row r="1639" spans="1:3" x14ac:dyDescent="0.25">
      <c r="A1639" s="4">
        <v>38090</v>
      </c>
      <c r="B1639" s="5">
        <f>_xlfn.XLOOKUP(A1639,bunker_daily_raw!$A$2:$A$3819,bunker_daily_raw!$B$2:$B$3819)</f>
        <v>150</v>
      </c>
      <c r="C1639" s="6">
        <v>34.15</v>
      </c>
    </row>
    <row r="1640" spans="1:3" x14ac:dyDescent="0.25">
      <c r="A1640" s="4">
        <v>38091</v>
      </c>
      <c r="B1640" s="5">
        <f>_xlfn.XLOOKUP(A1640,bunker_daily_raw!$A$2:$A$3819,bunker_daily_raw!$B$2:$B$3819)</f>
        <v>149</v>
      </c>
      <c r="C1640" s="6">
        <v>33.54</v>
      </c>
    </row>
    <row r="1641" spans="1:3" x14ac:dyDescent="0.25">
      <c r="A1641" s="4">
        <v>38092</v>
      </c>
      <c r="B1641" s="5">
        <f>_xlfn.XLOOKUP(A1641,bunker_daily_raw!$A$2:$A$3819,bunker_daily_raw!$B$2:$B$3819)</f>
        <v>157</v>
      </c>
      <c r="C1641" s="6">
        <v>33.72</v>
      </c>
    </row>
    <row r="1642" spans="1:3" x14ac:dyDescent="0.25">
      <c r="A1642" s="4">
        <v>38093</v>
      </c>
      <c r="B1642" s="5">
        <f>_xlfn.XLOOKUP(A1642,bunker_daily_raw!$A$2:$A$3819,bunker_daily_raw!$B$2:$B$3819)</f>
        <v>155.75</v>
      </c>
      <c r="C1642" s="6">
        <v>33.85</v>
      </c>
    </row>
    <row r="1643" spans="1:3" x14ac:dyDescent="0.25">
      <c r="A1643" s="4">
        <v>38096</v>
      </c>
      <c r="B1643" s="5">
        <f>_xlfn.XLOOKUP(A1643,bunker_daily_raw!$A$2:$A$3819,bunker_daily_raw!$B$2:$B$3819)</f>
        <v>156.75</v>
      </c>
      <c r="C1643" s="6">
        <v>34.71</v>
      </c>
    </row>
    <row r="1644" spans="1:3" x14ac:dyDescent="0.25">
      <c r="A1644" s="4">
        <v>38097</v>
      </c>
      <c r="B1644" s="5">
        <f>_xlfn.XLOOKUP(A1644,bunker_daily_raw!$A$2:$A$3819,bunker_daily_raw!$B$2:$B$3819)</f>
        <v>153.125</v>
      </c>
      <c r="C1644" s="6">
        <v>33.56</v>
      </c>
    </row>
    <row r="1645" spans="1:3" x14ac:dyDescent="0.25">
      <c r="A1645" s="4">
        <v>38098</v>
      </c>
      <c r="B1645" s="5">
        <f>_xlfn.XLOOKUP(A1645,bunker_daily_raw!$A$2:$A$3819,bunker_daily_raw!$B$2:$B$3819)</f>
        <v>152</v>
      </c>
      <c r="C1645" s="6">
        <v>33.229999999999997</v>
      </c>
    </row>
    <row r="1646" spans="1:3" x14ac:dyDescent="0.25">
      <c r="A1646" s="4">
        <v>38099</v>
      </c>
      <c r="B1646" s="5">
        <f>_xlfn.XLOOKUP(A1646,bunker_daily_raw!$A$2:$A$3819,bunker_daily_raw!$B$2:$B$3819)</f>
        <v>152.75</v>
      </c>
      <c r="C1646" s="6">
        <v>33.24</v>
      </c>
    </row>
    <row r="1647" spans="1:3" x14ac:dyDescent="0.25">
      <c r="A1647" s="4">
        <v>38100</v>
      </c>
      <c r="B1647" s="5">
        <f>_xlfn.XLOOKUP(A1647,bunker_daily_raw!$A$2:$A$3819,bunker_daily_raw!$B$2:$B$3819)</f>
        <v>150.5</v>
      </c>
      <c r="C1647" s="6">
        <v>33.78</v>
      </c>
    </row>
    <row r="1648" spans="1:3" x14ac:dyDescent="0.25">
      <c r="A1648" s="4">
        <v>38103</v>
      </c>
      <c r="B1648" s="5">
        <f>_xlfn.XLOOKUP(A1648,bunker_daily_raw!$A$2:$A$3819,bunker_daily_raw!$B$2:$B$3819)</f>
        <v>155.75</v>
      </c>
      <c r="C1648" s="6">
        <v>34.18</v>
      </c>
    </row>
    <row r="1649" spans="1:3" x14ac:dyDescent="0.25">
      <c r="A1649" s="4">
        <v>38104</v>
      </c>
      <c r="B1649" s="5">
        <f>_xlfn.XLOOKUP(A1649,bunker_daily_raw!$A$2:$A$3819,bunker_daily_raw!$B$2:$B$3819)</f>
        <v>158.5</v>
      </c>
      <c r="C1649" s="6">
        <v>34.11</v>
      </c>
    </row>
    <row r="1650" spans="1:3" x14ac:dyDescent="0.25">
      <c r="A1650" s="4">
        <v>38105</v>
      </c>
      <c r="B1650" s="5">
        <f>_xlfn.XLOOKUP(A1650,bunker_daily_raw!$A$2:$A$3819,bunker_daily_raw!$B$2:$B$3819)</f>
        <v>159</v>
      </c>
      <c r="C1650" s="6">
        <v>35.020000000000003</v>
      </c>
    </row>
    <row r="1651" spans="1:3" x14ac:dyDescent="0.25">
      <c r="A1651" s="4">
        <v>38106</v>
      </c>
      <c r="B1651" s="5">
        <f>_xlfn.XLOOKUP(A1651,bunker_daily_raw!$A$2:$A$3819,bunker_daily_raw!$B$2:$B$3819)</f>
        <v>152</v>
      </c>
      <c r="C1651" s="6">
        <v>34.659999999999997</v>
      </c>
    </row>
    <row r="1652" spans="1:3" x14ac:dyDescent="0.25">
      <c r="A1652" s="4">
        <v>38107</v>
      </c>
      <c r="B1652" s="5">
        <f>_xlfn.XLOOKUP(A1652,bunker_daily_raw!$A$2:$A$3819,bunker_daily_raw!$B$2:$B$3819)</f>
        <v>154.5</v>
      </c>
      <c r="C1652" s="6">
        <v>35.229999999999997</v>
      </c>
    </row>
    <row r="1653" spans="1:3" x14ac:dyDescent="0.25">
      <c r="A1653" s="4">
        <v>38110</v>
      </c>
      <c r="B1653" s="5" t="e">
        <f>_xlfn.XLOOKUP(A1653,bunker_daily_raw!$A$2:$A$3819,bunker_daily_raw!$B$2:$B$3819)</f>
        <v>#N/A</v>
      </c>
      <c r="C1653" s="6">
        <v>34.97</v>
      </c>
    </row>
    <row r="1654" spans="1:3" x14ac:dyDescent="0.25">
      <c r="A1654" s="4">
        <v>38111</v>
      </c>
      <c r="B1654" s="5">
        <f>_xlfn.XLOOKUP(A1654,bunker_daily_raw!$A$2:$A$3819,bunker_daily_raw!$B$2:$B$3819)</f>
        <v>161.5</v>
      </c>
      <c r="C1654" s="6">
        <v>36.07</v>
      </c>
    </row>
    <row r="1655" spans="1:3" x14ac:dyDescent="0.25">
      <c r="A1655" s="4">
        <v>38112</v>
      </c>
      <c r="B1655" s="5">
        <f>_xlfn.XLOOKUP(A1655,bunker_daily_raw!$A$2:$A$3819,bunker_daily_raw!$B$2:$B$3819)</f>
        <v>162</v>
      </c>
      <c r="C1655" s="6">
        <v>36.58</v>
      </c>
    </row>
    <row r="1656" spans="1:3" x14ac:dyDescent="0.25">
      <c r="A1656" s="4">
        <v>38113</v>
      </c>
      <c r="B1656" s="5">
        <f>_xlfn.XLOOKUP(A1656,bunker_daily_raw!$A$2:$A$3819,bunker_daily_raw!$B$2:$B$3819)</f>
        <v>164.25</v>
      </c>
      <c r="C1656" s="6">
        <v>37.049999999999997</v>
      </c>
    </row>
    <row r="1657" spans="1:3" x14ac:dyDescent="0.25">
      <c r="A1657" s="4">
        <v>38114</v>
      </c>
      <c r="B1657" s="5">
        <f>_xlfn.XLOOKUP(A1657,bunker_daily_raw!$A$2:$A$3819,bunker_daily_raw!$B$2:$B$3819)</f>
        <v>164.25</v>
      </c>
      <c r="C1657" s="6">
        <v>37.25</v>
      </c>
    </row>
    <row r="1658" spans="1:3" x14ac:dyDescent="0.25">
      <c r="A1658" s="4">
        <v>38117</v>
      </c>
      <c r="B1658" s="5">
        <f>_xlfn.XLOOKUP(A1658,bunker_daily_raw!$A$2:$A$3819,bunker_daily_raw!$B$2:$B$3819)</f>
        <v>163.25</v>
      </c>
      <c r="C1658" s="6">
        <v>35.83</v>
      </c>
    </row>
    <row r="1659" spans="1:3" x14ac:dyDescent="0.25">
      <c r="A1659" s="4">
        <v>38118</v>
      </c>
      <c r="B1659" s="5">
        <f>_xlfn.XLOOKUP(A1659,bunker_daily_raw!$A$2:$A$3819,bunker_daily_raw!$B$2:$B$3819)</f>
        <v>161.5</v>
      </c>
      <c r="C1659" s="6">
        <v>36.97</v>
      </c>
    </row>
    <row r="1660" spans="1:3" x14ac:dyDescent="0.25">
      <c r="A1660" s="4">
        <v>38119</v>
      </c>
      <c r="B1660" s="5">
        <f>_xlfn.XLOOKUP(A1660,bunker_daily_raw!$A$2:$A$3819,bunker_daily_raw!$B$2:$B$3819)</f>
        <v>165.25</v>
      </c>
      <c r="C1660" s="6">
        <v>37.950000000000003</v>
      </c>
    </row>
    <row r="1661" spans="1:3" x14ac:dyDescent="0.25">
      <c r="A1661" s="4">
        <v>38120</v>
      </c>
      <c r="B1661" s="5">
        <f>_xlfn.XLOOKUP(A1661,bunker_daily_raw!$A$2:$A$3819,bunker_daily_raw!$B$2:$B$3819)</f>
        <v>166.25</v>
      </c>
      <c r="C1661" s="6">
        <v>38.299999999999997</v>
      </c>
    </row>
    <row r="1662" spans="1:3" x14ac:dyDescent="0.25">
      <c r="A1662" s="4">
        <v>38121</v>
      </c>
      <c r="B1662" s="5">
        <f>_xlfn.XLOOKUP(A1662,bunker_daily_raw!$A$2:$A$3819,bunker_daily_raw!$B$2:$B$3819)</f>
        <v>168.25</v>
      </c>
      <c r="C1662" s="6">
        <v>39.04</v>
      </c>
    </row>
    <row r="1663" spans="1:3" x14ac:dyDescent="0.25">
      <c r="A1663" s="4">
        <v>38124</v>
      </c>
      <c r="B1663" s="5">
        <f>_xlfn.XLOOKUP(A1663,bunker_daily_raw!$A$2:$A$3819,bunker_daily_raw!$B$2:$B$3819)</f>
        <v>170.25</v>
      </c>
      <c r="C1663" s="6">
        <v>38.880000000000003</v>
      </c>
    </row>
    <row r="1664" spans="1:3" x14ac:dyDescent="0.25">
      <c r="A1664" s="4">
        <v>38125</v>
      </c>
      <c r="B1664" s="5">
        <f>_xlfn.XLOOKUP(A1664,bunker_daily_raw!$A$2:$A$3819,bunker_daily_raw!$B$2:$B$3819)</f>
        <v>168.25</v>
      </c>
      <c r="C1664" s="6">
        <v>38.43</v>
      </c>
    </row>
    <row r="1665" spans="1:3" x14ac:dyDescent="0.25">
      <c r="A1665" s="4">
        <v>38126</v>
      </c>
      <c r="B1665" s="5">
        <f>_xlfn.XLOOKUP(A1665,bunker_daily_raw!$A$2:$A$3819,bunker_daily_raw!$B$2:$B$3819)</f>
        <v>169</v>
      </c>
      <c r="C1665" s="6">
        <v>38.35</v>
      </c>
    </row>
    <row r="1666" spans="1:3" x14ac:dyDescent="0.25">
      <c r="A1666" s="4">
        <v>38127</v>
      </c>
      <c r="B1666" s="5">
        <f>_xlfn.XLOOKUP(A1666,bunker_daily_raw!$A$2:$A$3819,bunker_daily_raw!$B$2:$B$3819)</f>
        <v>169.5</v>
      </c>
      <c r="C1666" s="6">
        <v>38.89</v>
      </c>
    </row>
    <row r="1667" spans="1:3" x14ac:dyDescent="0.25">
      <c r="A1667" s="4">
        <v>38128</v>
      </c>
      <c r="B1667" s="5">
        <f>_xlfn.XLOOKUP(A1667,bunker_daily_raw!$A$2:$A$3819,bunker_daily_raw!$B$2:$B$3819)</f>
        <v>166.75</v>
      </c>
      <c r="C1667" s="6">
        <v>37.6</v>
      </c>
    </row>
    <row r="1668" spans="1:3" x14ac:dyDescent="0.25">
      <c r="A1668" s="4">
        <v>38131</v>
      </c>
      <c r="B1668" s="5">
        <f>_xlfn.XLOOKUP(A1668,bunker_daily_raw!$A$2:$A$3819,bunker_daily_raw!$B$2:$B$3819)</f>
        <v>171.25</v>
      </c>
      <c r="C1668" s="6">
        <v>39.22</v>
      </c>
    </row>
    <row r="1669" spans="1:3" x14ac:dyDescent="0.25">
      <c r="A1669" s="4">
        <v>38132</v>
      </c>
      <c r="B1669" s="5">
        <f>_xlfn.XLOOKUP(A1669,bunker_daily_raw!$A$2:$A$3819,bunker_daily_raw!$B$2:$B$3819)</f>
        <v>168.75</v>
      </c>
      <c r="C1669" s="6">
        <v>38.46</v>
      </c>
    </row>
    <row r="1670" spans="1:3" x14ac:dyDescent="0.25">
      <c r="A1670" s="4">
        <v>38133</v>
      </c>
      <c r="B1670" s="5">
        <f>_xlfn.XLOOKUP(A1670,bunker_daily_raw!$A$2:$A$3819,bunker_daily_raw!$B$2:$B$3819)</f>
        <v>168.75</v>
      </c>
      <c r="C1670" s="6">
        <v>38.049999999999997</v>
      </c>
    </row>
    <row r="1671" spans="1:3" x14ac:dyDescent="0.25">
      <c r="A1671" s="4">
        <v>38134</v>
      </c>
      <c r="B1671" s="5">
        <f>_xlfn.XLOOKUP(A1671,bunker_daily_raw!$A$2:$A$3819,bunker_daily_raw!$B$2:$B$3819)</f>
        <v>164.5</v>
      </c>
      <c r="C1671" s="6">
        <v>37.03</v>
      </c>
    </row>
    <row r="1672" spans="1:3" x14ac:dyDescent="0.25">
      <c r="A1672" s="4">
        <v>38135</v>
      </c>
      <c r="B1672" s="5">
        <f>_xlfn.XLOOKUP(A1672,bunker_daily_raw!$A$2:$A$3819,bunker_daily_raw!$B$2:$B$3819)</f>
        <v>164.5</v>
      </c>
      <c r="C1672" s="6">
        <v>37</v>
      </c>
    </row>
    <row r="1673" spans="1:3" x14ac:dyDescent="0.25">
      <c r="A1673" s="4">
        <v>38138</v>
      </c>
      <c r="B1673" s="5" t="e">
        <f>_xlfn.XLOOKUP(A1673,bunker_daily_raw!$A$2:$A$3819,bunker_daily_raw!$B$2:$B$3819)</f>
        <v>#N/A</v>
      </c>
      <c r="C1673" s="6">
        <v>37</v>
      </c>
    </row>
    <row r="1674" spans="1:3" x14ac:dyDescent="0.25">
      <c r="A1674" s="4">
        <v>38139</v>
      </c>
      <c r="B1674" s="5">
        <f>_xlfn.XLOOKUP(A1674,bunker_daily_raw!$A$2:$A$3819,bunker_daily_raw!$B$2:$B$3819)</f>
        <v>171.75</v>
      </c>
      <c r="C1674" s="6">
        <v>39.049999999999997</v>
      </c>
    </row>
    <row r="1675" spans="1:3" x14ac:dyDescent="0.25">
      <c r="A1675" s="4">
        <v>38140</v>
      </c>
      <c r="B1675" s="5">
        <f>_xlfn.XLOOKUP(A1675,bunker_daily_raw!$A$2:$A$3819,bunker_daily_raw!$B$2:$B$3819)</f>
        <v>168.5</v>
      </c>
      <c r="C1675" s="6">
        <v>37.99</v>
      </c>
    </row>
    <row r="1676" spans="1:3" x14ac:dyDescent="0.25">
      <c r="A1676" s="4">
        <v>38141</v>
      </c>
      <c r="B1676" s="5">
        <f>_xlfn.XLOOKUP(A1676,bunker_daily_raw!$A$2:$A$3819,bunker_daily_raw!$B$2:$B$3819)</f>
        <v>164.75</v>
      </c>
      <c r="C1676" s="6">
        <v>36.26</v>
      </c>
    </row>
    <row r="1677" spans="1:3" x14ac:dyDescent="0.25">
      <c r="A1677" s="4">
        <v>38142</v>
      </c>
      <c r="B1677" s="5">
        <f>_xlfn.XLOOKUP(A1677,bunker_daily_raw!$A$2:$A$3819,bunker_daily_raw!$B$2:$B$3819)</f>
        <v>162</v>
      </c>
      <c r="C1677" s="6">
        <v>35.97</v>
      </c>
    </row>
    <row r="1678" spans="1:3" x14ac:dyDescent="0.25">
      <c r="A1678" s="4">
        <v>38145</v>
      </c>
      <c r="B1678" s="5">
        <f>_xlfn.XLOOKUP(A1678,bunker_daily_raw!$A$2:$A$3819,bunker_daily_raw!$B$2:$B$3819)</f>
        <v>159.25</v>
      </c>
      <c r="C1678" s="6">
        <v>35.57</v>
      </c>
    </row>
    <row r="1679" spans="1:3" x14ac:dyDescent="0.25">
      <c r="A1679" s="4">
        <v>38146</v>
      </c>
      <c r="B1679" s="5">
        <f>_xlfn.XLOOKUP(A1679,bunker_daily_raw!$A$2:$A$3819,bunker_daily_raw!$B$2:$B$3819)</f>
        <v>159.25</v>
      </c>
      <c r="C1679" s="6">
        <v>35.47</v>
      </c>
    </row>
    <row r="1680" spans="1:3" x14ac:dyDescent="0.25">
      <c r="A1680" s="4">
        <v>38147</v>
      </c>
      <c r="B1680" s="5">
        <f>_xlfn.XLOOKUP(A1680,bunker_daily_raw!$A$2:$A$3819,bunker_daily_raw!$B$2:$B$3819)</f>
        <v>154</v>
      </c>
      <c r="C1680" s="6">
        <v>34.69</v>
      </c>
    </row>
    <row r="1681" spans="1:3" x14ac:dyDescent="0.25">
      <c r="A1681" s="4">
        <v>38148</v>
      </c>
      <c r="B1681" s="5">
        <f>_xlfn.XLOOKUP(A1681,bunker_daily_raw!$A$2:$A$3819,bunker_daily_raw!$B$2:$B$3819)</f>
        <v>156</v>
      </c>
      <c r="C1681" s="6">
        <v>35.75</v>
      </c>
    </row>
    <row r="1682" spans="1:3" x14ac:dyDescent="0.25">
      <c r="A1682" s="4">
        <v>38149</v>
      </c>
      <c r="B1682" s="5">
        <f>_xlfn.XLOOKUP(A1682,bunker_daily_raw!$A$2:$A$3819,bunker_daily_raw!$B$2:$B$3819)</f>
        <v>155</v>
      </c>
      <c r="C1682" s="6">
        <v>35.229999999999997</v>
      </c>
    </row>
    <row r="1683" spans="1:3" x14ac:dyDescent="0.25">
      <c r="A1683" s="4">
        <v>38152</v>
      </c>
      <c r="B1683" s="5">
        <f>_xlfn.XLOOKUP(A1683,bunker_daily_raw!$A$2:$A$3819,bunker_daily_raw!$B$2:$B$3819)</f>
        <v>153.75</v>
      </c>
      <c r="C1683" s="6">
        <v>35.22</v>
      </c>
    </row>
    <row r="1684" spans="1:3" x14ac:dyDescent="0.25">
      <c r="A1684" s="4">
        <v>38153</v>
      </c>
      <c r="B1684" s="5">
        <f>_xlfn.XLOOKUP(A1684,bunker_daily_raw!$A$2:$A$3819,bunker_daily_raw!$B$2:$B$3819)</f>
        <v>149.25</v>
      </c>
      <c r="C1684" s="6">
        <v>34.659999999999997</v>
      </c>
    </row>
    <row r="1685" spans="1:3" x14ac:dyDescent="0.25">
      <c r="A1685" s="4">
        <v>38154</v>
      </c>
      <c r="B1685" s="5">
        <f>_xlfn.XLOOKUP(A1685,bunker_daily_raw!$A$2:$A$3819,bunker_daily_raw!$B$2:$B$3819)</f>
        <v>147.5</v>
      </c>
      <c r="C1685" s="6">
        <v>34.56</v>
      </c>
    </row>
    <row r="1686" spans="1:3" x14ac:dyDescent="0.25">
      <c r="A1686" s="4">
        <v>38155</v>
      </c>
      <c r="B1686" s="5">
        <f>_xlfn.XLOOKUP(A1686,bunker_daily_raw!$A$2:$A$3819,bunker_daily_raw!$B$2:$B$3819)</f>
        <v>153.25</v>
      </c>
      <c r="C1686" s="6">
        <v>35.58</v>
      </c>
    </row>
    <row r="1687" spans="1:3" x14ac:dyDescent="0.25">
      <c r="A1687" s="4">
        <v>38156</v>
      </c>
      <c r="B1687" s="5">
        <f>_xlfn.XLOOKUP(A1687,bunker_daily_raw!$A$2:$A$3819,bunker_daily_raw!$B$2:$B$3819)</f>
        <v>155</v>
      </c>
      <c r="C1687" s="6">
        <v>35.43</v>
      </c>
    </row>
    <row r="1688" spans="1:3" x14ac:dyDescent="0.25">
      <c r="A1688" s="4">
        <v>38159</v>
      </c>
      <c r="B1688" s="5">
        <f>_xlfn.XLOOKUP(A1688,bunker_daily_raw!$A$2:$A$3819,bunker_daily_raw!$B$2:$B$3819)</f>
        <v>154</v>
      </c>
      <c r="C1688" s="6">
        <v>34.82</v>
      </c>
    </row>
    <row r="1689" spans="1:3" x14ac:dyDescent="0.25">
      <c r="A1689" s="4">
        <v>38160</v>
      </c>
      <c r="B1689" s="5">
        <f>_xlfn.XLOOKUP(A1689,bunker_daily_raw!$A$2:$A$3819,bunker_daily_raw!$B$2:$B$3819)</f>
        <v>152.25</v>
      </c>
      <c r="C1689" s="6">
        <v>34.950000000000003</v>
      </c>
    </row>
    <row r="1690" spans="1:3" x14ac:dyDescent="0.25">
      <c r="A1690" s="4">
        <v>38161</v>
      </c>
      <c r="B1690" s="5">
        <f>_xlfn.XLOOKUP(A1690,bunker_daily_raw!$A$2:$A$3819,bunker_daily_raw!$B$2:$B$3819)</f>
        <v>151</v>
      </c>
      <c r="C1690" s="6">
        <v>34.81</v>
      </c>
    </row>
    <row r="1691" spans="1:3" x14ac:dyDescent="0.25">
      <c r="A1691" s="4">
        <v>38162</v>
      </c>
      <c r="B1691" s="5">
        <f>_xlfn.XLOOKUP(A1691,bunker_daily_raw!$A$2:$A$3819,bunker_daily_raw!$B$2:$B$3819)</f>
        <v>153</v>
      </c>
      <c r="C1691" s="6">
        <v>34.71</v>
      </c>
    </row>
    <row r="1692" spans="1:3" x14ac:dyDescent="0.25">
      <c r="A1692" s="4">
        <v>38163</v>
      </c>
      <c r="B1692" s="5">
        <f>_xlfn.XLOOKUP(A1692,bunker_daily_raw!$A$2:$A$3819,bunker_daily_raw!$B$2:$B$3819)</f>
        <v>149.5</v>
      </c>
      <c r="C1692" s="6">
        <v>34.25</v>
      </c>
    </row>
    <row r="1693" spans="1:3" x14ac:dyDescent="0.25">
      <c r="A1693" s="4">
        <v>38166</v>
      </c>
      <c r="B1693" s="5">
        <f>_xlfn.XLOOKUP(A1693,bunker_daily_raw!$A$2:$A$3819,bunker_daily_raw!$B$2:$B$3819)</f>
        <v>145</v>
      </c>
      <c r="C1693" s="6">
        <v>33.24</v>
      </c>
    </row>
    <row r="1694" spans="1:3" x14ac:dyDescent="0.25">
      <c r="A1694" s="4">
        <v>38167</v>
      </c>
      <c r="B1694" s="5">
        <f>_xlfn.XLOOKUP(A1694,bunker_daily_raw!$A$2:$A$3819,bunker_daily_raw!$B$2:$B$3819)</f>
        <v>145.75</v>
      </c>
      <c r="C1694" s="6">
        <v>32.61</v>
      </c>
    </row>
    <row r="1695" spans="1:3" x14ac:dyDescent="0.25">
      <c r="A1695" s="4">
        <v>38168</v>
      </c>
      <c r="B1695" s="5">
        <f>_xlfn.XLOOKUP(A1695,bunker_daily_raw!$A$2:$A$3819,bunker_daily_raw!$B$2:$B$3819)</f>
        <v>147.25</v>
      </c>
      <c r="C1695" s="6">
        <v>33.22</v>
      </c>
    </row>
    <row r="1696" spans="1:3" x14ac:dyDescent="0.25">
      <c r="A1696" s="4">
        <v>38169</v>
      </c>
      <c r="B1696" s="5">
        <f>_xlfn.XLOOKUP(A1696,bunker_daily_raw!$A$2:$A$3819,bunker_daily_raw!$B$2:$B$3819)</f>
        <v>152.5</v>
      </c>
      <c r="C1696" s="6">
        <v>35.58</v>
      </c>
    </row>
    <row r="1697" spans="1:3" x14ac:dyDescent="0.25">
      <c r="A1697" s="4">
        <v>38170</v>
      </c>
      <c r="B1697" s="5">
        <f>_xlfn.XLOOKUP(A1697,bunker_daily_raw!$A$2:$A$3819,bunker_daily_raw!$B$2:$B$3819)</f>
        <v>155</v>
      </c>
      <c r="C1697" s="6">
        <v>35.36</v>
      </c>
    </row>
    <row r="1698" spans="1:3" x14ac:dyDescent="0.25">
      <c r="A1698" s="4">
        <v>38173</v>
      </c>
      <c r="B1698" s="5">
        <f>_xlfn.XLOOKUP(A1698,bunker_daily_raw!$A$2:$A$3819,bunker_daily_raw!$B$2:$B$3819)</f>
        <v>157.25</v>
      </c>
      <c r="C1698" s="6">
        <v>35.729999999999997</v>
      </c>
    </row>
    <row r="1699" spans="1:3" x14ac:dyDescent="0.25">
      <c r="A1699" s="4">
        <v>38174</v>
      </c>
      <c r="B1699" s="5">
        <f>_xlfn.XLOOKUP(A1699,bunker_daily_raw!$A$2:$A$3819,bunker_daily_raw!$B$2:$B$3819)</f>
        <v>161.75</v>
      </c>
      <c r="C1699" s="6">
        <v>36.47</v>
      </c>
    </row>
    <row r="1700" spans="1:3" x14ac:dyDescent="0.25">
      <c r="A1700" s="4">
        <v>38175</v>
      </c>
      <c r="B1700" s="5">
        <f>_xlfn.XLOOKUP(A1700,bunker_daily_raw!$A$2:$A$3819,bunker_daily_raw!$B$2:$B$3819)</f>
        <v>158</v>
      </c>
      <c r="C1700" s="6">
        <v>35.619999999999997</v>
      </c>
    </row>
    <row r="1701" spans="1:3" x14ac:dyDescent="0.25">
      <c r="A1701" s="4">
        <v>38176</v>
      </c>
      <c r="B1701" s="5">
        <f>_xlfn.XLOOKUP(A1701,bunker_daily_raw!$A$2:$A$3819,bunker_daily_raw!$B$2:$B$3819)</f>
        <v>160.5</v>
      </c>
      <c r="C1701" s="6">
        <v>37.130000000000003</v>
      </c>
    </row>
    <row r="1702" spans="1:3" x14ac:dyDescent="0.25">
      <c r="A1702" s="4">
        <v>38177</v>
      </c>
      <c r="B1702" s="5">
        <f>_xlfn.XLOOKUP(A1702,bunker_daily_raw!$A$2:$A$3819,bunker_daily_raw!$B$2:$B$3819)</f>
        <v>159.5</v>
      </c>
      <c r="C1702" s="6">
        <v>37.58</v>
      </c>
    </row>
    <row r="1703" spans="1:3" x14ac:dyDescent="0.25">
      <c r="A1703" s="4">
        <v>38180</v>
      </c>
      <c r="B1703" s="5">
        <f>_xlfn.XLOOKUP(A1703,bunker_daily_raw!$A$2:$A$3819,bunker_daily_raw!$B$2:$B$3819)</f>
        <v>159.75</v>
      </c>
      <c r="C1703" s="6">
        <v>37.729999999999997</v>
      </c>
    </row>
    <row r="1704" spans="1:3" x14ac:dyDescent="0.25">
      <c r="A1704" s="4">
        <v>38181</v>
      </c>
      <c r="B1704" s="5">
        <f>_xlfn.XLOOKUP(A1704,bunker_daily_raw!$A$2:$A$3819,bunker_daily_raw!$B$2:$B$3819)</f>
        <v>155.75</v>
      </c>
      <c r="C1704" s="6">
        <v>36.68</v>
      </c>
    </row>
    <row r="1705" spans="1:3" x14ac:dyDescent="0.25">
      <c r="A1705" s="4">
        <v>38182</v>
      </c>
      <c r="B1705" s="5">
        <f>_xlfn.XLOOKUP(A1705,bunker_daily_raw!$A$2:$A$3819,bunker_daily_raw!$B$2:$B$3819)</f>
        <v>157</v>
      </c>
      <c r="C1705" s="6">
        <v>37.51</v>
      </c>
    </row>
    <row r="1706" spans="1:3" x14ac:dyDescent="0.25">
      <c r="A1706" s="4">
        <v>38183</v>
      </c>
      <c r="B1706" s="5">
        <f>_xlfn.XLOOKUP(A1706,bunker_daily_raw!$A$2:$A$3819,bunker_daily_raw!$B$2:$B$3819)</f>
        <v>162.25</v>
      </c>
      <c r="C1706" s="6">
        <v>38.409999999999997</v>
      </c>
    </row>
    <row r="1707" spans="1:3" x14ac:dyDescent="0.25">
      <c r="A1707" s="4">
        <v>38184</v>
      </c>
      <c r="B1707" s="5">
        <f>_xlfn.XLOOKUP(A1707,bunker_daily_raw!$A$2:$A$3819,bunker_daily_raw!$B$2:$B$3819)</f>
        <v>162</v>
      </c>
      <c r="C1707" s="6">
        <v>38.49</v>
      </c>
    </row>
    <row r="1708" spans="1:3" x14ac:dyDescent="0.25">
      <c r="A1708" s="4">
        <v>38187</v>
      </c>
      <c r="B1708" s="5">
        <f>_xlfn.XLOOKUP(A1708,bunker_daily_raw!$A$2:$A$3819,bunker_daily_raw!$B$2:$B$3819)</f>
        <v>163</v>
      </c>
      <c r="C1708" s="6">
        <v>39.07</v>
      </c>
    </row>
    <row r="1709" spans="1:3" x14ac:dyDescent="0.25">
      <c r="A1709" s="4">
        <v>38188</v>
      </c>
      <c r="B1709" s="5">
        <f>_xlfn.XLOOKUP(A1709,bunker_daily_raw!$A$2:$A$3819,bunker_daily_raw!$B$2:$B$3819)</f>
        <v>166</v>
      </c>
      <c r="C1709" s="6">
        <v>38.96</v>
      </c>
    </row>
    <row r="1710" spans="1:3" x14ac:dyDescent="0.25">
      <c r="A1710" s="4">
        <v>38189</v>
      </c>
      <c r="B1710" s="5">
        <f>_xlfn.XLOOKUP(A1710,bunker_daily_raw!$A$2:$A$3819,bunker_daily_raw!$B$2:$B$3819)</f>
        <v>166.25</v>
      </c>
      <c r="C1710" s="6">
        <v>38.479999999999997</v>
      </c>
    </row>
    <row r="1711" spans="1:3" x14ac:dyDescent="0.25">
      <c r="A1711" s="4">
        <v>38190</v>
      </c>
      <c r="B1711" s="5">
        <f>_xlfn.XLOOKUP(A1711,bunker_daily_raw!$A$2:$A$3819,bunker_daily_raw!$B$2:$B$3819)</f>
        <v>168.5</v>
      </c>
      <c r="C1711" s="6">
        <v>39.159999999999997</v>
      </c>
    </row>
    <row r="1712" spans="1:3" x14ac:dyDescent="0.25">
      <c r="A1712" s="4">
        <v>38191</v>
      </c>
      <c r="B1712" s="5">
        <f>_xlfn.XLOOKUP(A1712,bunker_daily_raw!$A$2:$A$3819,bunker_daily_raw!$B$2:$B$3819)</f>
        <v>167.5</v>
      </c>
      <c r="C1712" s="6">
        <v>39.590000000000003</v>
      </c>
    </row>
    <row r="1713" spans="1:3" x14ac:dyDescent="0.25">
      <c r="A1713" s="4">
        <v>38194</v>
      </c>
      <c r="B1713" s="5">
        <f>_xlfn.XLOOKUP(A1713,bunker_daily_raw!$A$2:$A$3819,bunker_daily_raw!$B$2:$B$3819)</f>
        <v>165.5</v>
      </c>
      <c r="C1713" s="6">
        <v>39.75</v>
      </c>
    </row>
    <row r="1714" spans="1:3" x14ac:dyDescent="0.25">
      <c r="A1714" s="4">
        <v>38195</v>
      </c>
      <c r="B1714" s="5">
        <f>_xlfn.XLOOKUP(A1714,bunker_daily_raw!$A$2:$A$3819,bunker_daily_raw!$B$2:$B$3819)</f>
        <v>164.25</v>
      </c>
      <c r="C1714" s="6">
        <v>40.090000000000003</v>
      </c>
    </row>
    <row r="1715" spans="1:3" x14ac:dyDescent="0.25">
      <c r="A1715" s="4">
        <v>38196</v>
      </c>
      <c r="B1715" s="5">
        <f>_xlfn.XLOOKUP(A1715,bunker_daily_raw!$A$2:$A$3819,bunker_daily_raw!$B$2:$B$3819)</f>
        <v>165.75</v>
      </c>
      <c r="C1715" s="6">
        <v>41.08</v>
      </c>
    </row>
    <row r="1716" spans="1:3" x14ac:dyDescent="0.25">
      <c r="A1716" s="4">
        <v>38197</v>
      </c>
      <c r="B1716" s="5">
        <f>_xlfn.XLOOKUP(A1716,bunker_daily_raw!$A$2:$A$3819,bunker_daily_raw!$B$2:$B$3819)</f>
        <v>164.75</v>
      </c>
      <c r="C1716" s="6">
        <v>40.93</v>
      </c>
    </row>
    <row r="1717" spans="1:3" x14ac:dyDescent="0.25">
      <c r="A1717" s="4">
        <v>38198</v>
      </c>
      <c r="B1717" s="5">
        <f>_xlfn.XLOOKUP(A1717,bunker_daily_raw!$A$2:$A$3819,bunker_daily_raw!$B$2:$B$3819)</f>
        <v>166.75</v>
      </c>
      <c r="C1717" s="6">
        <v>41.47</v>
      </c>
    </row>
    <row r="1718" spans="1:3" x14ac:dyDescent="0.25">
      <c r="A1718" s="4">
        <v>38201</v>
      </c>
      <c r="B1718" s="5">
        <f>_xlfn.XLOOKUP(A1718,bunker_daily_raw!$A$2:$A$3819,bunker_daily_raw!$B$2:$B$3819)</f>
        <v>166.75</v>
      </c>
      <c r="C1718" s="6">
        <v>41.35</v>
      </c>
    </row>
    <row r="1719" spans="1:3" x14ac:dyDescent="0.25">
      <c r="A1719" s="4">
        <v>38202</v>
      </c>
      <c r="B1719" s="5">
        <f>_xlfn.XLOOKUP(A1719,bunker_daily_raw!$A$2:$A$3819,bunker_daily_raw!$B$2:$B$3819)</f>
        <v>168.5</v>
      </c>
      <c r="C1719" s="6">
        <v>41.82</v>
      </c>
    </row>
    <row r="1720" spans="1:3" x14ac:dyDescent="0.25">
      <c r="A1720" s="4">
        <v>38203</v>
      </c>
      <c r="B1720" s="5">
        <f>_xlfn.XLOOKUP(A1720,bunker_daily_raw!$A$2:$A$3819,bunker_daily_raw!$B$2:$B$3819)</f>
        <v>169</v>
      </c>
      <c r="C1720" s="6">
        <v>41.75</v>
      </c>
    </row>
    <row r="1721" spans="1:3" x14ac:dyDescent="0.25">
      <c r="A1721" s="4">
        <v>38204</v>
      </c>
      <c r="B1721" s="5">
        <f>_xlfn.XLOOKUP(A1721,bunker_daily_raw!$A$2:$A$3819,bunker_daily_raw!$B$2:$B$3819)</f>
        <v>169</v>
      </c>
      <c r="C1721" s="6">
        <v>42.49</v>
      </c>
    </row>
    <row r="1722" spans="1:3" x14ac:dyDescent="0.25">
      <c r="A1722" s="4">
        <v>38205</v>
      </c>
      <c r="B1722" s="5">
        <f>_xlfn.XLOOKUP(A1722,bunker_daily_raw!$A$2:$A$3819,bunker_daily_raw!$B$2:$B$3819)</f>
        <v>167.25</v>
      </c>
      <c r="C1722" s="6">
        <v>42.63</v>
      </c>
    </row>
    <row r="1723" spans="1:3" x14ac:dyDescent="0.25">
      <c r="A1723" s="4">
        <v>38208</v>
      </c>
      <c r="B1723" s="5">
        <f>_xlfn.XLOOKUP(A1723,bunker_daily_raw!$A$2:$A$3819,bunker_daily_raw!$B$2:$B$3819)</f>
        <v>167.25</v>
      </c>
      <c r="C1723" s="6">
        <v>43.21</v>
      </c>
    </row>
    <row r="1724" spans="1:3" x14ac:dyDescent="0.25">
      <c r="A1724" s="4">
        <v>38209</v>
      </c>
      <c r="B1724" s="5">
        <f>_xlfn.XLOOKUP(A1724,bunker_daily_raw!$A$2:$A$3819,bunker_daily_raw!$B$2:$B$3819)</f>
        <v>164</v>
      </c>
      <c r="C1724" s="6">
        <v>42.5</v>
      </c>
    </row>
    <row r="1725" spans="1:3" x14ac:dyDescent="0.25">
      <c r="A1725" s="4">
        <v>38210</v>
      </c>
      <c r="B1725" s="5">
        <f>_xlfn.XLOOKUP(A1725,bunker_daily_raw!$A$2:$A$3819,bunker_daily_raw!$B$2:$B$3819)</f>
        <v>162.5</v>
      </c>
      <c r="C1725" s="6">
        <v>42.45</v>
      </c>
    </row>
    <row r="1726" spans="1:3" x14ac:dyDescent="0.25">
      <c r="A1726" s="4">
        <v>38211</v>
      </c>
      <c r="B1726" s="5">
        <f>_xlfn.XLOOKUP(A1726,bunker_daily_raw!$A$2:$A$3819,bunker_daily_raw!$B$2:$B$3819)</f>
        <v>165.25</v>
      </c>
      <c r="C1726" s="6">
        <v>43.5</v>
      </c>
    </row>
    <row r="1727" spans="1:3" x14ac:dyDescent="0.25">
      <c r="A1727" s="4">
        <v>38212</v>
      </c>
      <c r="B1727" s="5">
        <f>_xlfn.XLOOKUP(A1727,bunker_daily_raw!$A$2:$A$3819,bunker_daily_raw!$B$2:$B$3819)</f>
        <v>167</v>
      </c>
      <c r="C1727" s="6">
        <v>44.13</v>
      </c>
    </row>
    <row r="1728" spans="1:3" x14ac:dyDescent="0.25">
      <c r="A1728" s="4">
        <v>38215</v>
      </c>
      <c r="B1728" s="5">
        <f>_xlfn.XLOOKUP(A1728,bunker_daily_raw!$A$2:$A$3819,bunker_daily_raw!$B$2:$B$3819)</f>
        <v>166.5</v>
      </c>
      <c r="C1728" s="6">
        <v>44.35</v>
      </c>
    </row>
    <row r="1729" spans="1:3" x14ac:dyDescent="0.25">
      <c r="A1729" s="4">
        <v>38216</v>
      </c>
      <c r="B1729" s="5">
        <f>_xlfn.XLOOKUP(A1729,bunker_daily_raw!$A$2:$A$3819,bunker_daily_raw!$B$2:$B$3819)</f>
        <v>166.5</v>
      </c>
      <c r="C1729" s="6">
        <v>44.05</v>
      </c>
    </row>
    <row r="1730" spans="1:3" x14ac:dyDescent="0.25">
      <c r="A1730" s="4">
        <v>38217</v>
      </c>
      <c r="B1730" s="5">
        <f>_xlfn.XLOOKUP(A1730,bunker_daily_raw!$A$2:$A$3819,bunker_daily_raw!$B$2:$B$3819)</f>
        <v>163.5</v>
      </c>
      <c r="C1730" s="6">
        <v>44.12</v>
      </c>
    </row>
    <row r="1731" spans="1:3" x14ac:dyDescent="0.25">
      <c r="A1731" s="4">
        <v>38218</v>
      </c>
      <c r="B1731" s="5">
        <f>_xlfn.XLOOKUP(A1731,bunker_daily_raw!$A$2:$A$3819,bunker_daily_raw!$B$2:$B$3819)</f>
        <v>161.75</v>
      </c>
      <c r="C1731" s="6">
        <v>44.84</v>
      </c>
    </row>
    <row r="1732" spans="1:3" x14ac:dyDescent="0.25">
      <c r="A1732" s="4">
        <v>38219</v>
      </c>
      <c r="B1732" s="5">
        <f>_xlfn.XLOOKUP(A1732,bunker_daily_raw!$A$2:$A$3819,bunker_daily_raw!$B$2:$B$3819)</f>
        <v>164.75</v>
      </c>
      <c r="C1732" s="6">
        <v>45.46</v>
      </c>
    </row>
    <row r="1733" spans="1:3" x14ac:dyDescent="0.25">
      <c r="A1733" s="4">
        <v>38222</v>
      </c>
      <c r="B1733" s="5">
        <f>_xlfn.XLOOKUP(A1733,bunker_daily_raw!$A$2:$A$3819,bunker_daily_raw!$B$2:$B$3819)</f>
        <v>160.5</v>
      </c>
      <c r="C1733" s="6">
        <v>44.39</v>
      </c>
    </row>
    <row r="1734" spans="1:3" x14ac:dyDescent="0.25">
      <c r="A1734" s="4">
        <v>38223</v>
      </c>
      <c r="B1734" s="5">
        <f>_xlfn.XLOOKUP(A1734,bunker_daily_raw!$A$2:$A$3819,bunker_daily_raw!$B$2:$B$3819)</f>
        <v>159</v>
      </c>
      <c r="C1734" s="6">
        <v>42.99</v>
      </c>
    </row>
    <row r="1735" spans="1:3" x14ac:dyDescent="0.25">
      <c r="A1735" s="4">
        <v>38224</v>
      </c>
      <c r="B1735" s="5">
        <f>_xlfn.XLOOKUP(A1735,bunker_daily_raw!$A$2:$A$3819,bunker_daily_raw!$B$2:$B$3819)</f>
        <v>158.5</v>
      </c>
      <c r="C1735" s="6">
        <v>42.39</v>
      </c>
    </row>
    <row r="1736" spans="1:3" x14ac:dyDescent="0.25">
      <c r="A1736" s="4">
        <v>38225</v>
      </c>
      <c r="B1736" s="5">
        <f>_xlfn.XLOOKUP(A1736,bunker_daily_raw!$A$2:$A$3819,bunker_daily_raw!$B$2:$B$3819)</f>
        <v>153.5</v>
      </c>
      <c r="C1736" s="6">
        <v>40.65</v>
      </c>
    </row>
    <row r="1737" spans="1:3" x14ac:dyDescent="0.25">
      <c r="A1737" s="4">
        <v>38226</v>
      </c>
      <c r="B1737" s="5">
        <f>_xlfn.XLOOKUP(A1737,bunker_daily_raw!$A$2:$A$3819,bunker_daily_raw!$B$2:$B$3819)</f>
        <v>152</v>
      </c>
      <c r="C1737" s="6">
        <v>40.72</v>
      </c>
    </row>
    <row r="1738" spans="1:3" x14ac:dyDescent="0.25">
      <c r="A1738" s="4">
        <v>38229</v>
      </c>
      <c r="B1738" s="5" t="e">
        <f>_xlfn.XLOOKUP(A1738,bunker_daily_raw!$A$2:$A$3819,bunker_daily_raw!$B$2:$B$3819)</f>
        <v>#N/A</v>
      </c>
      <c r="C1738" s="6">
        <v>40.78</v>
      </c>
    </row>
    <row r="1739" spans="1:3" x14ac:dyDescent="0.25">
      <c r="A1739" s="4">
        <v>38230</v>
      </c>
      <c r="B1739" s="5">
        <f>_xlfn.XLOOKUP(A1739,bunker_daily_raw!$A$2:$A$3819,bunker_daily_raw!$B$2:$B$3819)</f>
        <v>150</v>
      </c>
      <c r="C1739" s="6">
        <v>39.799999999999997</v>
      </c>
    </row>
    <row r="1740" spans="1:3" x14ac:dyDescent="0.25">
      <c r="A1740" s="4">
        <v>38231</v>
      </c>
      <c r="B1740" s="5">
        <f>_xlfn.XLOOKUP(A1740,bunker_daily_raw!$A$2:$A$3819,bunker_daily_raw!$B$2:$B$3819)</f>
        <v>158</v>
      </c>
      <c r="C1740" s="6">
        <v>40.96</v>
      </c>
    </row>
    <row r="1741" spans="1:3" x14ac:dyDescent="0.25">
      <c r="A1741" s="4">
        <v>38232</v>
      </c>
      <c r="B1741" s="5">
        <f>_xlfn.XLOOKUP(A1741,bunker_daily_raw!$A$2:$A$3819,bunker_daily_raw!$B$2:$B$3819)</f>
        <v>158.25</v>
      </c>
      <c r="C1741" s="6">
        <v>42.39</v>
      </c>
    </row>
    <row r="1742" spans="1:3" x14ac:dyDescent="0.25">
      <c r="A1742" s="4">
        <v>38233</v>
      </c>
      <c r="B1742" s="5">
        <f>_xlfn.XLOOKUP(A1742,bunker_daily_raw!$A$2:$A$3819,bunker_daily_raw!$B$2:$B$3819)</f>
        <v>156</v>
      </c>
      <c r="C1742" s="6">
        <v>41.07</v>
      </c>
    </row>
    <row r="1743" spans="1:3" x14ac:dyDescent="0.25">
      <c r="A1743" s="4">
        <v>38236</v>
      </c>
      <c r="B1743" s="5">
        <f>_xlfn.XLOOKUP(A1743,bunker_daily_raw!$A$2:$A$3819,bunker_daily_raw!$B$2:$B$3819)</f>
        <v>155.75</v>
      </c>
      <c r="C1743" s="6">
        <v>40.4</v>
      </c>
    </row>
    <row r="1744" spans="1:3" x14ac:dyDescent="0.25">
      <c r="A1744" s="4">
        <v>38237</v>
      </c>
      <c r="B1744" s="5">
        <f>_xlfn.XLOOKUP(A1744,bunker_daily_raw!$A$2:$A$3819,bunker_daily_raw!$B$2:$B$3819)</f>
        <v>154.75</v>
      </c>
      <c r="C1744" s="6">
        <v>40.19</v>
      </c>
    </row>
    <row r="1745" spans="1:3" x14ac:dyDescent="0.25">
      <c r="A1745" s="4">
        <v>38238</v>
      </c>
      <c r="B1745" s="5">
        <f>_xlfn.XLOOKUP(A1745,bunker_daily_raw!$A$2:$A$3819,bunker_daily_raw!$B$2:$B$3819)</f>
        <v>155.5</v>
      </c>
      <c r="C1745" s="6">
        <v>39.909999999999997</v>
      </c>
    </row>
    <row r="1746" spans="1:3" x14ac:dyDescent="0.25">
      <c r="A1746" s="4">
        <v>38239</v>
      </c>
      <c r="B1746" s="5">
        <f>_xlfn.XLOOKUP(A1746,bunker_daily_raw!$A$2:$A$3819,bunker_daily_raw!$B$2:$B$3819)</f>
        <v>160.25</v>
      </c>
      <c r="C1746" s="6">
        <v>41.45</v>
      </c>
    </row>
    <row r="1747" spans="1:3" x14ac:dyDescent="0.25">
      <c r="A1747" s="4">
        <v>38240</v>
      </c>
      <c r="B1747" s="5">
        <f>_xlfn.XLOOKUP(A1747,bunker_daily_raw!$A$2:$A$3819,bunker_daily_raw!$B$2:$B$3819)</f>
        <v>160.25</v>
      </c>
      <c r="C1747" s="6">
        <v>41.03</v>
      </c>
    </row>
    <row r="1748" spans="1:3" x14ac:dyDescent="0.25">
      <c r="A1748" s="4">
        <v>38243</v>
      </c>
      <c r="B1748" s="5">
        <f>_xlfn.XLOOKUP(A1748,bunker_daily_raw!$A$2:$A$3819,bunker_daily_raw!$B$2:$B$3819)</f>
        <v>158.25</v>
      </c>
      <c r="C1748" s="6">
        <v>40.630000000000003</v>
      </c>
    </row>
    <row r="1749" spans="1:3" x14ac:dyDescent="0.25">
      <c r="A1749" s="4">
        <v>38244</v>
      </c>
      <c r="B1749" s="5">
        <f>_xlfn.XLOOKUP(A1749,bunker_daily_raw!$A$2:$A$3819,bunker_daily_raw!$B$2:$B$3819)</f>
        <v>158.75</v>
      </c>
      <c r="C1749" s="6">
        <v>41.34</v>
      </c>
    </row>
    <row r="1750" spans="1:3" x14ac:dyDescent="0.25">
      <c r="A1750" s="4">
        <v>38245</v>
      </c>
      <c r="B1750" s="5">
        <f>_xlfn.XLOOKUP(A1750,bunker_daily_raw!$A$2:$A$3819,bunker_daily_raw!$B$2:$B$3819)</f>
        <v>159.75</v>
      </c>
      <c r="C1750" s="6">
        <v>42.03</v>
      </c>
    </row>
    <row r="1751" spans="1:3" x14ac:dyDescent="0.25">
      <c r="A1751" s="4">
        <v>38246</v>
      </c>
      <c r="B1751" s="5">
        <f>_xlfn.XLOOKUP(A1751,bunker_daily_raw!$A$2:$A$3819,bunker_daily_raw!$B$2:$B$3819)</f>
        <v>155.25</v>
      </c>
      <c r="C1751" s="6">
        <v>40.68</v>
      </c>
    </row>
    <row r="1752" spans="1:3" x14ac:dyDescent="0.25">
      <c r="A1752" s="4">
        <v>38247</v>
      </c>
      <c r="B1752" s="5">
        <f>_xlfn.XLOOKUP(A1752,bunker_daily_raw!$A$2:$A$3819,bunker_daily_raw!$B$2:$B$3819)</f>
        <v>157.625</v>
      </c>
      <c r="C1752" s="6">
        <v>43.08</v>
      </c>
    </row>
    <row r="1753" spans="1:3" x14ac:dyDescent="0.25">
      <c r="A1753" s="4">
        <v>38250</v>
      </c>
      <c r="B1753" s="5">
        <f>_xlfn.XLOOKUP(A1753,bunker_daily_raw!$A$2:$A$3819,bunker_daily_raw!$B$2:$B$3819)</f>
        <v>157.75</v>
      </c>
      <c r="C1753" s="6">
        <v>43.6</v>
      </c>
    </row>
    <row r="1754" spans="1:3" x14ac:dyDescent="0.25">
      <c r="A1754" s="4">
        <v>38251</v>
      </c>
      <c r="B1754" s="5">
        <f>_xlfn.XLOOKUP(A1754,bunker_daily_raw!$A$2:$A$3819,bunker_daily_raw!$B$2:$B$3819)</f>
        <v>159</v>
      </c>
      <c r="C1754" s="6">
        <v>44.56</v>
      </c>
    </row>
    <row r="1755" spans="1:3" x14ac:dyDescent="0.25">
      <c r="A1755" s="4">
        <v>38252</v>
      </c>
      <c r="B1755" s="5">
        <f>_xlfn.XLOOKUP(A1755,bunker_daily_raw!$A$2:$A$3819,bunker_daily_raw!$B$2:$B$3819)</f>
        <v>162.25</v>
      </c>
      <c r="C1755" s="6">
        <v>45.66</v>
      </c>
    </row>
    <row r="1756" spans="1:3" x14ac:dyDescent="0.25">
      <c r="A1756" s="4">
        <v>38253</v>
      </c>
      <c r="B1756" s="5">
        <f>_xlfn.XLOOKUP(A1756,bunker_daily_raw!$A$2:$A$3819,bunker_daily_raw!$B$2:$B$3819)</f>
        <v>161.375</v>
      </c>
      <c r="C1756" s="6">
        <v>46.53</v>
      </c>
    </row>
    <row r="1757" spans="1:3" x14ac:dyDescent="0.25">
      <c r="A1757" s="4">
        <v>38254</v>
      </c>
      <c r="B1757" s="5">
        <f>_xlfn.XLOOKUP(A1757,bunker_daily_raw!$A$2:$A$3819,bunker_daily_raw!$B$2:$B$3819)</f>
        <v>162.25</v>
      </c>
      <c r="C1757" s="6">
        <v>46.13</v>
      </c>
    </row>
    <row r="1758" spans="1:3" x14ac:dyDescent="0.25">
      <c r="A1758" s="4">
        <v>38257</v>
      </c>
      <c r="B1758" s="5">
        <f>_xlfn.XLOOKUP(A1758,bunker_daily_raw!$A$2:$A$3819,bunker_daily_raw!$B$2:$B$3819)</f>
        <v>166</v>
      </c>
      <c r="C1758" s="6">
        <v>46.87</v>
      </c>
    </row>
    <row r="1759" spans="1:3" x14ac:dyDescent="0.25">
      <c r="A1759" s="4">
        <v>38258</v>
      </c>
      <c r="B1759" s="5">
        <f>_xlfn.XLOOKUP(A1759,bunker_daily_raw!$A$2:$A$3819,bunker_daily_raw!$B$2:$B$3819)</f>
        <v>165</v>
      </c>
      <c r="C1759" s="6">
        <v>47.52</v>
      </c>
    </row>
    <row r="1760" spans="1:3" x14ac:dyDescent="0.25">
      <c r="A1760" s="4">
        <v>38259</v>
      </c>
      <c r="B1760" s="5">
        <f>_xlfn.XLOOKUP(A1760,bunker_daily_raw!$A$2:$A$3819,bunker_daily_raw!$B$2:$B$3819)</f>
        <v>164.25</v>
      </c>
      <c r="C1760" s="6">
        <v>46.54</v>
      </c>
    </row>
    <row r="1761" spans="1:3" x14ac:dyDescent="0.25">
      <c r="A1761" s="4">
        <v>38260</v>
      </c>
      <c r="B1761" s="5">
        <f>_xlfn.XLOOKUP(A1761,bunker_daily_raw!$A$2:$A$3819,bunker_daily_raw!$B$2:$B$3819)</f>
        <v>166.5</v>
      </c>
      <c r="C1761" s="6">
        <v>47.76</v>
      </c>
    </row>
    <row r="1762" spans="1:3" x14ac:dyDescent="0.25">
      <c r="A1762" s="4">
        <v>38261</v>
      </c>
      <c r="B1762" s="5">
        <f>_xlfn.XLOOKUP(A1762,bunker_daily_raw!$A$2:$A$3819,bunker_daily_raw!$B$2:$B$3819)</f>
        <v>163.25</v>
      </c>
      <c r="C1762" s="6">
        <v>46.86</v>
      </c>
    </row>
    <row r="1763" spans="1:3" x14ac:dyDescent="0.25">
      <c r="A1763" s="4">
        <v>38264</v>
      </c>
      <c r="B1763" s="5">
        <f>_xlfn.XLOOKUP(A1763,bunker_daily_raw!$A$2:$A$3819,bunker_daily_raw!$B$2:$B$3819)</f>
        <v>164.25</v>
      </c>
      <c r="C1763" s="6">
        <v>46.99</v>
      </c>
    </row>
    <row r="1764" spans="1:3" x14ac:dyDescent="0.25">
      <c r="A1764" s="4">
        <v>38265</v>
      </c>
      <c r="B1764" s="5">
        <f>_xlfn.XLOOKUP(A1764,bunker_daily_raw!$A$2:$A$3819,bunker_daily_raw!$B$2:$B$3819)</f>
        <v>166.5</v>
      </c>
      <c r="C1764" s="6">
        <v>47.1</v>
      </c>
    </row>
    <row r="1765" spans="1:3" x14ac:dyDescent="0.25">
      <c r="A1765" s="4">
        <v>38266</v>
      </c>
      <c r="B1765" s="5">
        <f>_xlfn.XLOOKUP(A1765,bunker_daily_raw!$A$2:$A$3819,bunker_daily_raw!$B$2:$B$3819)</f>
        <v>166.75</v>
      </c>
      <c r="C1765" s="6">
        <v>47.95</v>
      </c>
    </row>
    <row r="1766" spans="1:3" x14ac:dyDescent="0.25">
      <c r="A1766" s="4">
        <v>38267</v>
      </c>
      <c r="B1766" s="5">
        <f>_xlfn.XLOOKUP(A1766,bunker_daily_raw!$A$2:$A$3819,bunker_daily_raw!$B$2:$B$3819)</f>
        <v>171.5</v>
      </c>
      <c r="C1766" s="6">
        <v>48.98</v>
      </c>
    </row>
    <row r="1767" spans="1:3" x14ac:dyDescent="0.25">
      <c r="A1767" s="4">
        <v>38268</v>
      </c>
      <c r="B1767" s="5">
        <f>_xlfn.XLOOKUP(A1767,bunker_daily_raw!$A$2:$A$3819,bunker_daily_raw!$B$2:$B$3819)</f>
        <v>171.25</v>
      </c>
      <c r="C1767" s="6">
        <v>49.41</v>
      </c>
    </row>
    <row r="1768" spans="1:3" x14ac:dyDescent="0.25">
      <c r="A1768" s="4">
        <v>38271</v>
      </c>
      <c r="B1768" s="5">
        <f>_xlfn.XLOOKUP(A1768,bunker_daily_raw!$A$2:$A$3819,bunker_daily_raw!$B$2:$B$3819)</f>
        <v>171.5</v>
      </c>
      <c r="C1768" s="6">
        <v>50.75</v>
      </c>
    </row>
    <row r="1769" spans="1:3" x14ac:dyDescent="0.25">
      <c r="A1769" s="4">
        <v>38272</v>
      </c>
      <c r="B1769" s="5">
        <f>_xlfn.XLOOKUP(A1769,bunker_daily_raw!$A$2:$A$3819,bunker_daily_raw!$B$2:$B$3819)</f>
        <v>176.25</v>
      </c>
      <c r="C1769" s="6">
        <v>51.28</v>
      </c>
    </row>
    <row r="1770" spans="1:3" x14ac:dyDescent="0.25">
      <c r="A1770" s="4">
        <v>38273</v>
      </c>
      <c r="B1770" s="5">
        <f>_xlfn.XLOOKUP(A1770,bunker_daily_raw!$A$2:$A$3819,bunker_daily_raw!$B$2:$B$3819)</f>
        <v>170.75</v>
      </c>
      <c r="C1770" s="6">
        <v>50.42</v>
      </c>
    </row>
    <row r="1771" spans="1:3" x14ac:dyDescent="0.25">
      <c r="A1771" s="4">
        <v>38274</v>
      </c>
      <c r="B1771" s="5">
        <f>_xlfn.XLOOKUP(A1771,bunker_daily_raw!$A$2:$A$3819,bunker_daily_raw!$B$2:$B$3819)</f>
        <v>175.75</v>
      </c>
      <c r="C1771" s="6">
        <v>51.31</v>
      </c>
    </row>
    <row r="1772" spans="1:3" x14ac:dyDescent="0.25">
      <c r="A1772" s="4">
        <v>38275</v>
      </c>
      <c r="B1772" s="5">
        <f>_xlfn.XLOOKUP(A1772,bunker_daily_raw!$A$2:$A$3819,bunker_daily_raw!$B$2:$B$3819)</f>
        <v>174.75</v>
      </c>
      <c r="C1772" s="6">
        <v>51.02</v>
      </c>
    </row>
    <row r="1773" spans="1:3" x14ac:dyDescent="0.25">
      <c r="A1773" s="4">
        <v>38278</v>
      </c>
      <c r="B1773" s="5">
        <f>_xlfn.XLOOKUP(A1773,bunker_daily_raw!$A$2:$A$3819,bunker_daily_raw!$B$2:$B$3819)</f>
        <v>173.25</v>
      </c>
      <c r="C1773" s="6">
        <v>49.16</v>
      </c>
    </row>
    <row r="1774" spans="1:3" x14ac:dyDescent="0.25">
      <c r="A1774" s="4">
        <v>38279</v>
      </c>
      <c r="B1774" s="5">
        <f>_xlfn.XLOOKUP(A1774,bunker_daily_raw!$A$2:$A$3819,bunker_daily_raw!$B$2:$B$3819)</f>
        <v>171.5</v>
      </c>
      <c r="C1774" s="6">
        <v>49.21</v>
      </c>
    </row>
    <row r="1775" spans="1:3" x14ac:dyDescent="0.25">
      <c r="A1775" s="4">
        <v>38280</v>
      </c>
      <c r="B1775" s="5">
        <f>_xlfn.XLOOKUP(A1775,bunker_daily_raw!$A$2:$A$3819,bunker_daily_raw!$B$2:$B$3819)</f>
        <v>175.5</v>
      </c>
      <c r="C1775" s="6">
        <v>50.78</v>
      </c>
    </row>
    <row r="1776" spans="1:3" x14ac:dyDescent="0.25">
      <c r="A1776" s="4">
        <v>38281</v>
      </c>
      <c r="B1776" s="5">
        <f>_xlfn.XLOOKUP(A1776,bunker_daily_raw!$A$2:$A$3819,bunker_daily_raw!$B$2:$B$3819)</f>
        <v>174.25</v>
      </c>
      <c r="C1776" s="6">
        <v>51.06</v>
      </c>
    </row>
    <row r="1777" spans="1:3" x14ac:dyDescent="0.25">
      <c r="A1777" s="4">
        <v>38282</v>
      </c>
      <c r="B1777" s="5">
        <f>_xlfn.XLOOKUP(A1777,bunker_daily_raw!$A$2:$A$3819,bunker_daily_raw!$B$2:$B$3819)</f>
        <v>175.5</v>
      </c>
      <c r="C1777" s="6">
        <v>52.28</v>
      </c>
    </row>
    <row r="1778" spans="1:3" x14ac:dyDescent="0.25">
      <c r="A1778" s="4">
        <v>38285</v>
      </c>
      <c r="B1778" s="5">
        <f>_xlfn.XLOOKUP(A1778,bunker_daily_raw!$A$2:$A$3819,bunker_daily_raw!$B$2:$B$3819)</f>
        <v>175.5</v>
      </c>
      <c r="C1778" s="6">
        <v>51.68</v>
      </c>
    </row>
    <row r="1779" spans="1:3" x14ac:dyDescent="0.25">
      <c r="A1779" s="4">
        <v>38286</v>
      </c>
      <c r="B1779" s="5">
        <f>_xlfn.XLOOKUP(A1779,bunker_daily_raw!$A$2:$A$3819,bunker_daily_raw!$B$2:$B$3819)</f>
        <v>174</v>
      </c>
      <c r="C1779" s="6">
        <v>52.04</v>
      </c>
    </row>
    <row r="1780" spans="1:3" x14ac:dyDescent="0.25">
      <c r="A1780" s="4">
        <v>38287</v>
      </c>
      <c r="B1780" s="5">
        <f>_xlfn.XLOOKUP(A1780,bunker_daily_raw!$A$2:$A$3819,bunker_daily_raw!$B$2:$B$3819)</f>
        <v>171.75</v>
      </c>
      <c r="C1780" s="6">
        <v>49.99</v>
      </c>
    </row>
    <row r="1781" spans="1:3" x14ac:dyDescent="0.25">
      <c r="A1781" s="4">
        <v>38288</v>
      </c>
      <c r="B1781" s="5">
        <f>_xlfn.XLOOKUP(A1781,bunker_daily_raw!$A$2:$A$3819,bunker_daily_raw!$B$2:$B$3819)</f>
        <v>169.5</v>
      </c>
      <c r="C1781" s="6">
        <v>48.88</v>
      </c>
    </row>
    <row r="1782" spans="1:3" x14ac:dyDescent="0.25">
      <c r="A1782" s="4">
        <v>38289</v>
      </c>
      <c r="B1782" s="5">
        <f>_xlfn.XLOOKUP(A1782,bunker_daily_raw!$A$2:$A$3819,bunker_daily_raw!$B$2:$B$3819)</f>
        <v>164.25</v>
      </c>
      <c r="C1782" s="6">
        <v>48.16</v>
      </c>
    </row>
    <row r="1783" spans="1:3" x14ac:dyDescent="0.25">
      <c r="A1783" s="4">
        <v>38292</v>
      </c>
      <c r="B1783" s="5">
        <f>_xlfn.XLOOKUP(A1783,bunker_daily_raw!$A$2:$A$3819,bunker_daily_raw!$B$2:$B$3819)</f>
        <v>163.75</v>
      </c>
      <c r="C1783" s="6">
        <v>46.84</v>
      </c>
    </row>
    <row r="1784" spans="1:3" x14ac:dyDescent="0.25">
      <c r="A1784" s="4">
        <v>38293</v>
      </c>
      <c r="B1784" s="5">
        <f>_xlfn.XLOOKUP(A1784,bunker_daily_raw!$A$2:$A$3819,bunker_daily_raw!$B$2:$B$3819)</f>
        <v>161.5</v>
      </c>
      <c r="C1784" s="6">
        <v>46.25</v>
      </c>
    </row>
    <row r="1785" spans="1:3" x14ac:dyDescent="0.25">
      <c r="A1785" s="4">
        <v>38294</v>
      </c>
      <c r="B1785" s="5">
        <f>_xlfn.XLOOKUP(A1785,bunker_daily_raw!$A$2:$A$3819,bunker_daily_raw!$B$2:$B$3819)</f>
        <v>158</v>
      </c>
      <c r="C1785" s="6">
        <v>46.14</v>
      </c>
    </row>
    <row r="1786" spans="1:3" x14ac:dyDescent="0.25">
      <c r="A1786" s="4">
        <v>38295</v>
      </c>
      <c r="B1786" s="5">
        <f>_xlfn.XLOOKUP(A1786,bunker_daily_raw!$A$2:$A$3819,bunker_daily_raw!$B$2:$B$3819)</f>
        <v>158.75</v>
      </c>
      <c r="C1786" s="6">
        <v>45.32</v>
      </c>
    </row>
    <row r="1787" spans="1:3" x14ac:dyDescent="0.25">
      <c r="A1787" s="4">
        <v>38296</v>
      </c>
      <c r="B1787" s="5">
        <f>_xlfn.XLOOKUP(A1787,bunker_daily_raw!$A$2:$A$3819,bunker_daily_raw!$B$2:$B$3819)</f>
        <v>153</v>
      </c>
      <c r="C1787" s="6">
        <v>44.37</v>
      </c>
    </row>
    <row r="1788" spans="1:3" x14ac:dyDescent="0.25">
      <c r="A1788" s="4">
        <v>38299</v>
      </c>
      <c r="B1788" s="5">
        <f>_xlfn.XLOOKUP(A1788,bunker_daily_raw!$A$2:$A$3819,bunker_daily_raw!$B$2:$B$3819)</f>
        <v>151</v>
      </c>
      <c r="C1788" s="6">
        <v>44.78</v>
      </c>
    </row>
    <row r="1789" spans="1:3" x14ac:dyDescent="0.25">
      <c r="A1789" s="4">
        <v>38300</v>
      </c>
      <c r="B1789" s="5">
        <f>_xlfn.XLOOKUP(A1789,bunker_daily_raw!$A$2:$A$3819,bunker_daily_raw!$B$2:$B$3819)</f>
        <v>148</v>
      </c>
      <c r="C1789" s="6">
        <v>43.27</v>
      </c>
    </row>
    <row r="1790" spans="1:3" x14ac:dyDescent="0.25">
      <c r="A1790" s="4">
        <v>38301</v>
      </c>
      <c r="B1790" s="5">
        <f>_xlfn.XLOOKUP(A1790,bunker_daily_raw!$A$2:$A$3819,bunker_daily_raw!$B$2:$B$3819)</f>
        <v>144.25</v>
      </c>
      <c r="C1790" s="6">
        <v>42.57</v>
      </c>
    </row>
    <row r="1791" spans="1:3" x14ac:dyDescent="0.25">
      <c r="A1791" s="4">
        <v>38302</v>
      </c>
      <c r="B1791" s="5">
        <f>_xlfn.XLOOKUP(A1791,bunker_daily_raw!$A$2:$A$3819,bunker_daily_raw!$B$2:$B$3819)</f>
        <v>137.25</v>
      </c>
      <c r="C1791" s="6">
        <v>42.22</v>
      </c>
    </row>
    <row r="1792" spans="1:3" x14ac:dyDescent="0.25">
      <c r="A1792" s="4">
        <v>38303</v>
      </c>
      <c r="B1792" s="5">
        <f>_xlfn.XLOOKUP(A1792,bunker_daily_raw!$A$2:$A$3819,bunker_daily_raw!$B$2:$B$3819)</f>
        <v>136</v>
      </c>
      <c r="C1792" s="6">
        <v>41.33</v>
      </c>
    </row>
    <row r="1793" spans="1:3" x14ac:dyDescent="0.25">
      <c r="A1793" s="4">
        <v>38306</v>
      </c>
      <c r="B1793" s="5">
        <f>_xlfn.XLOOKUP(A1793,bunker_daily_raw!$A$2:$A$3819,bunker_daily_raw!$B$2:$B$3819)</f>
        <v>128.75</v>
      </c>
      <c r="C1793" s="6">
        <v>39.32</v>
      </c>
    </row>
    <row r="1794" spans="1:3" x14ac:dyDescent="0.25">
      <c r="A1794" s="4">
        <v>38307</v>
      </c>
      <c r="B1794" s="5">
        <f>_xlfn.XLOOKUP(A1794,bunker_daily_raw!$A$2:$A$3819,bunker_daily_raw!$B$2:$B$3819)</f>
        <v>129</v>
      </c>
      <c r="C1794" s="6">
        <v>40.479999999999997</v>
      </c>
    </row>
    <row r="1795" spans="1:3" x14ac:dyDescent="0.25">
      <c r="A1795" s="4">
        <v>38308</v>
      </c>
      <c r="B1795" s="5">
        <f>_xlfn.XLOOKUP(A1795,bunker_daily_raw!$A$2:$A$3819,bunker_daily_raw!$B$2:$B$3819)</f>
        <v>124</v>
      </c>
      <c r="C1795" s="6">
        <v>40.270000000000003</v>
      </c>
    </row>
    <row r="1796" spans="1:3" x14ac:dyDescent="0.25">
      <c r="A1796" s="4">
        <v>38309</v>
      </c>
      <c r="B1796" s="5">
        <f>_xlfn.XLOOKUP(A1796,bunker_daily_raw!$A$2:$A$3819,bunker_daily_raw!$B$2:$B$3819)</f>
        <v>129</v>
      </c>
      <c r="C1796" s="6">
        <v>40.799999999999997</v>
      </c>
    </row>
    <row r="1797" spans="1:3" x14ac:dyDescent="0.25">
      <c r="A1797" s="4">
        <v>38310</v>
      </c>
      <c r="B1797" s="5">
        <f>_xlfn.XLOOKUP(A1797,bunker_daily_raw!$A$2:$A$3819,bunker_daily_raw!$B$2:$B$3819)</f>
        <v>135</v>
      </c>
      <c r="C1797" s="6">
        <v>42.29</v>
      </c>
    </row>
    <row r="1798" spans="1:3" x14ac:dyDescent="0.25">
      <c r="A1798" s="4">
        <v>38313</v>
      </c>
      <c r="B1798" s="5">
        <f>_xlfn.XLOOKUP(A1798,bunker_daily_raw!$A$2:$A$3819,bunker_daily_raw!$B$2:$B$3819)</f>
        <v>138.5</v>
      </c>
      <c r="C1798" s="6">
        <v>42.26</v>
      </c>
    </row>
    <row r="1799" spans="1:3" x14ac:dyDescent="0.25">
      <c r="A1799" s="4">
        <v>38314</v>
      </c>
      <c r="B1799" s="5">
        <f>_xlfn.XLOOKUP(A1799,bunker_daily_raw!$A$2:$A$3819,bunker_daily_raw!$B$2:$B$3819)</f>
        <v>141</v>
      </c>
      <c r="C1799" s="6">
        <v>43.03</v>
      </c>
    </row>
    <row r="1800" spans="1:3" x14ac:dyDescent="0.25">
      <c r="A1800" s="4">
        <v>38315</v>
      </c>
      <c r="B1800" s="5">
        <f>_xlfn.XLOOKUP(A1800,bunker_daily_raw!$A$2:$A$3819,bunker_daily_raw!$B$2:$B$3819)</f>
        <v>138.25</v>
      </c>
      <c r="C1800" s="6">
        <v>42.62</v>
      </c>
    </row>
    <row r="1801" spans="1:3" x14ac:dyDescent="0.25">
      <c r="A1801" s="4">
        <v>38316</v>
      </c>
      <c r="B1801" s="5">
        <f>_xlfn.XLOOKUP(A1801,bunker_daily_raw!$A$2:$A$3819,bunker_daily_raw!$B$2:$B$3819)</f>
        <v>140.5</v>
      </c>
      <c r="C1801" s="6">
        <v>43.12</v>
      </c>
    </row>
    <row r="1802" spans="1:3" x14ac:dyDescent="0.25">
      <c r="A1802" s="4">
        <v>38317</v>
      </c>
      <c r="B1802" s="5">
        <f>_xlfn.XLOOKUP(A1802,bunker_daily_raw!$A$2:$A$3819,bunker_daily_raw!$B$2:$B$3819)</f>
        <v>139</v>
      </c>
      <c r="C1802" s="6">
        <v>42.87</v>
      </c>
    </row>
    <row r="1803" spans="1:3" x14ac:dyDescent="0.25">
      <c r="A1803" s="4">
        <v>38320</v>
      </c>
      <c r="B1803" s="5">
        <f>_xlfn.XLOOKUP(A1803,bunker_daily_raw!$A$2:$A$3819,bunker_daily_raw!$B$2:$B$3819)</f>
        <v>140.75</v>
      </c>
      <c r="C1803" s="6">
        <v>44.05</v>
      </c>
    </row>
    <row r="1804" spans="1:3" x14ac:dyDescent="0.25">
      <c r="A1804" s="4">
        <v>38321</v>
      </c>
      <c r="B1804" s="5">
        <f>_xlfn.XLOOKUP(A1804,bunker_daily_raw!$A$2:$A$3819,bunker_daily_raw!$B$2:$B$3819)</f>
        <v>134.75</v>
      </c>
      <c r="C1804" s="6">
        <v>44.23</v>
      </c>
    </row>
    <row r="1805" spans="1:3" x14ac:dyDescent="0.25">
      <c r="A1805" s="4">
        <v>38322</v>
      </c>
      <c r="B1805" s="5">
        <f>_xlfn.XLOOKUP(A1805,bunker_daily_raw!$A$2:$A$3819,bunker_daily_raw!$B$2:$B$3819)</f>
        <v>130</v>
      </c>
      <c r="C1805" s="6">
        <v>41.19</v>
      </c>
    </row>
    <row r="1806" spans="1:3" x14ac:dyDescent="0.25">
      <c r="A1806" s="4">
        <v>38323</v>
      </c>
      <c r="B1806" s="5">
        <f>_xlfn.XLOOKUP(A1806,bunker_daily_raw!$A$2:$A$3819,bunker_daily_raw!$B$2:$B$3819)</f>
        <v>123.5</v>
      </c>
      <c r="C1806" s="6">
        <v>38.49</v>
      </c>
    </row>
    <row r="1807" spans="1:3" x14ac:dyDescent="0.25">
      <c r="A1807" s="4">
        <v>38324</v>
      </c>
      <c r="B1807" s="5">
        <f>_xlfn.XLOOKUP(A1807,bunker_daily_raw!$A$2:$A$3819,bunker_daily_raw!$B$2:$B$3819)</f>
        <v>127.75</v>
      </c>
      <c r="C1807" s="6">
        <v>38.57</v>
      </c>
    </row>
    <row r="1808" spans="1:3" x14ac:dyDescent="0.25">
      <c r="A1808" s="4">
        <v>38327</v>
      </c>
      <c r="B1808" s="5">
        <f>_xlfn.XLOOKUP(A1808,bunker_daily_raw!$A$2:$A$3819,bunker_daily_raw!$B$2:$B$3819)</f>
        <v>142</v>
      </c>
      <c r="C1808" s="6">
        <v>38.43</v>
      </c>
    </row>
    <row r="1809" spans="1:3" x14ac:dyDescent="0.25">
      <c r="A1809" s="4">
        <v>38328</v>
      </c>
      <c r="B1809" s="5">
        <f>_xlfn.XLOOKUP(A1809,bunker_daily_raw!$A$2:$A$3819,bunker_daily_raw!$B$2:$B$3819)</f>
        <v>146</v>
      </c>
      <c r="C1809" s="6">
        <v>37.11</v>
      </c>
    </row>
    <row r="1810" spans="1:3" x14ac:dyDescent="0.25">
      <c r="A1810" s="4">
        <v>38329</v>
      </c>
      <c r="B1810" s="5">
        <f>_xlfn.XLOOKUP(A1810,bunker_daily_raw!$A$2:$A$3819,bunker_daily_raw!$B$2:$B$3819)</f>
        <v>138.75</v>
      </c>
      <c r="C1810" s="6">
        <v>36.9</v>
      </c>
    </row>
    <row r="1811" spans="1:3" x14ac:dyDescent="0.25">
      <c r="A1811" s="4">
        <v>38330</v>
      </c>
      <c r="B1811" s="5">
        <f>_xlfn.XLOOKUP(A1811,bunker_daily_raw!$A$2:$A$3819,bunker_daily_raw!$B$2:$B$3819)</f>
        <v>140.5</v>
      </c>
      <c r="C1811" s="6">
        <v>38.33</v>
      </c>
    </row>
    <row r="1812" spans="1:3" x14ac:dyDescent="0.25">
      <c r="A1812" s="4">
        <v>38331</v>
      </c>
      <c r="B1812" s="5">
        <f>_xlfn.XLOOKUP(A1812,bunker_daily_raw!$A$2:$A$3819,bunker_daily_raw!$B$2:$B$3819)</f>
        <v>136.5</v>
      </c>
      <c r="C1812" s="6">
        <v>37.24</v>
      </c>
    </row>
    <row r="1813" spans="1:3" x14ac:dyDescent="0.25">
      <c r="A1813" s="4">
        <v>38334</v>
      </c>
      <c r="B1813" s="5">
        <f>_xlfn.XLOOKUP(A1813,bunker_daily_raw!$A$2:$A$3819,bunker_daily_raw!$B$2:$B$3819)</f>
        <v>131</v>
      </c>
      <c r="C1813" s="6">
        <v>36.770000000000003</v>
      </c>
    </row>
    <row r="1814" spans="1:3" x14ac:dyDescent="0.25">
      <c r="A1814" s="4">
        <v>38335</v>
      </c>
      <c r="B1814" s="5">
        <f>_xlfn.XLOOKUP(A1814,bunker_daily_raw!$A$2:$A$3819,bunker_daily_raw!$B$2:$B$3819)</f>
        <v>131.5</v>
      </c>
      <c r="C1814" s="6">
        <v>37.03</v>
      </c>
    </row>
    <row r="1815" spans="1:3" x14ac:dyDescent="0.25">
      <c r="A1815" s="4">
        <v>38336</v>
      </c>
      <c r="B1815" s="5">
        <f>_xlfn.XLOOKUP(A1815,bunker_daily_raw!$A$2:$A$3819,bunker_daily_raw!$B$2:$B$3819)</f>
        <v>149</v>
      </c>
      <c r="C1815" s="6">
        <v>41.53</v>
      </c>
    </row>
    <row r="1816" spans="1:3" x14ac:dyDescent="0.25">
      <c r="A1816" s="4">
        <v>38337</v>
      </c>
      <c r="B1816" s="5">
        <f>_xlfn.XLOOKUP(A1816,bunker_daily_raw!$A$2:$A$3819,bunker_daily_raw!$B$2:$B$3819)</f>
        <v>141</v>
      </c>
      <c r="C1816" s="6">
        <v>41.49</v>
      </c>
    </row>
    <row r="1817" spans="1:3" x14ac:dyDescent="0.25">
      <c r="A1817" s="4">
        <v>38338</v>
      </c>
      <c r="B1817" s="5">
        <f>_xlfn.XLOOKUP(A1817,bunker_daily_raw!$A$2:$A$3819,bunker_daily_raw!$B$2:$B$3819)</f>
        <v>144.5</v>
      </c>
      <c r="C1817" s="6">
        <v>43.06</v>
      </c>
    </row>
    <row r="1818" spans="1:3" x14ac:dyDescent="0.25">
      <c r="A1818" s="4">
        <v>38341</v>
      </c>
      <c r="B1818" s="5">
        <f>_xlfn.XLOOKUP(A1818,bunker_daily_raw!$A$2:$A$3819,bunker_daily_raw!$B$2:$B$3819)</f>
        <v>141.5</v>
      </c>
      <c r="C1818" s="6">
        <v>42.67</v>
      </c>
    </row>
    <row r="1819" spans="1:3" x14ac:dyDescent="0.25">
      <c r="A1819" s="4">
        <v>38342</v>
      </c>
      <c r="B1819" s="5">
        <f>_xlfn.XLOOKUP(A1819,bunker_daily_raw!$A$2:$A$3819,bunker_daily_raw!$B$2:$B$3819)</f>
        <v>144.25</v>
      </c>
      <c r="C1819" s="6">
        <v>42.76</v>
      </c>
    </row>
    <row r="1820" spans="1:3" x14ac:dyDescent="0.25">
      <c r="A1820" s="4">
        <v>38343</v>
      </c>
      <c r="B1820" s="5">
        <f>_xlfn.XLOOKUP(A1820,bunker_daily_raw!$A$2:$A$3819,bunker_daily_raw!$B$2:$B$3819)</f>
        <v>142</v>
      </c>
      <c r="C1820" s="6">
        <v>40.44</v>
      </c>
    </row>
    <row r="1821" spans="1:3" x14ac:dyDescent="0.25">
      <c r="A1821" s="4">
        <v>38344</v>
      </c>
      <c r="B1821" s="5">
        <f>_xlfn.XLOOKUP(A1821,bunker_daily_raw!$A$2:$A$3819,bunker_daily_raw!$B$2:$B$3819)</f>
        <v>143</v>
      </c>
      <c r="C1821" s="6">
        <v>40.29</v>
      </c>
    </row>
    <row r="1822" spans="1:3" x14ac:dyDescent="0.25">
      <c r="A1822" s="4">
        <v>38345</v>
      </c>
      <c r="B1822" s="5">
        <f>_xlfn.XLOOKUP(A1822,bunker_daily_raw!$A$2:$A$3819,bunker_daily_raw!$B$2:$B$3819)</f>
        <v>138.5</v>
      </c>
      <c r="C1822" s="6">
        <v>39.6</v>
      </c>
    </row>
    <row r="1823" spans="1:3" x14ac:dyDescent="0.25">
      <c r="A1823" s="4">
        <v>38348</v>
      </c>
      <c r="B1823" s="5" t="e">
        <f>_xlfn.XLOOKUP(A1823,bunker_daily_raw!$A$2:$A$3819,bunker_daily_raw!$B$2:$B$3819)</f>
        <v>#N/A</v>
      </c>
      <c r="C1823" s="6">
        <v>39.6</v>
      </c>
    </row>
    <row r="1824" spans="1:3" x14ac:dyDescent="0.25">
      <c r="A1824" s="4">
        <v>38349</v>
      </c>
      <c r="B1824" s="5" t="e">
        <f>_xlfn.XLOOKUP(A1824,bunker_daily_raw!$A$2:$A$3819,bunker_daily_raw!$B$2:$B$3819)</f>
        <v>#N/A</v>
      </c>
      <c r="C1824" s="6">
        <v>40.24</v>
      </c>
    </row>
    <row r="1825" spans="1:3" x14ac:dyDescent="0.25">
      <c r="A1825" s="4">
        <v>38350</v>
      </c>
      <c r="B1825" s="5">
        <f>_xlfn.XLOOKUP(A1825,bunker_daily_raw!$A$2:$A$3819,bunker_daily_raw!$B$2:$B$3819)</f>
        <v>138</v>
      </c>
      <c r="C1825" s="6">
        <v>38.93</v>
      </c>
    </row>
    <row r="1826" spans="1:3" x14ac:dyDescent="0.25">
      <c r="A1826" s="4">
        <v>38351</v>
      </c>
      <c r="B1826" s="5">
        <f>_xlfn.XLOOKUP(A1826,bunker_daily_raw!$A$2:$A$3819,bunker_daily_raw!$B$2:$B$3819)</f>
        <v>142.5</v>
      </c>
      <c r="C1826" s="6">
        <v>39.799999999999997</v>
      </c>
    </row>
    <row r="1827" spans="1:3" x14ac:dyDescent="0.25">
      <c r="A1827" s="4">
        <v>38352</v>
      </c>
      <c r="B1827" s="5">
        <f>_xlfn.XLOOKUP(A1827,bunker_daily_raw!$A$2:$A$3819,bunker_daily_raw!$B$2:$B$3819)</f>
        <v>138.5</v>
      </c>
      <c r="C1827" s="6">
        <v>40.380000000000003</v>
      </c>
    </row>
    <row r="1828" spans="1:3" x14ac:dyDescent="0.25">
      <c r="A1828" s="4">
        <v>38355</v>
      </c>
      <c r="B1828" s="5" t="e">
        <f>_xlfn.XLOOKUP(A1828,bunker_daily_raw!$A$2:$A$3819,bunker_daily_raw!$B$2:$B$3819)</f>
        <v>#N/A</v>
      </c>
      <c r="C1828" s="5"/>
    </row>
    <row r="1829" spans="1:3" x14ac:dyDescent="0.25">
      <c r="A1829" s="4">
        <v>38356</v>
      </c>
      <c r="B1829" s="5">
        <f>_xlfn.XLOOKUP(A1829,bunker_daily_raw!$A$2:$A$3819,bunker_daily_raw!$B$2:$B$3819)</f>
        <v>144.875</v>
      </c>
      <c r="C1829" s="6">
        <v>40.75</v>
      </c>
    </row>
    <row r="1830" spans="1:3" x14ac:dyDescent="0.25">
      <c r="A1830" s="4">
        <v>38357</v>
      </c>
      <c r="B1830" s="5">
        <f>_xlfn.XLOOKUP(A1830,bunker_daily_raw!$A$2:$A$3819,bunker_daily_raw!$B$2:$B$3819)</f>
        <v>142.875</v>
      </c>
      <c r="C1830" s="6">
        <v>41</v>
      </c>
    </row>
    <row r="1831" spans="1:3" x14ac:dyDescent="0.25">
      <c r="A1831" s="4">
        <v>38358</v>
      </c>
      <c r="B1831" s="5">
        <f>_xlfn.XLOOKUP(A1831,bunker_daily_raw!$A$2:$A$3819,bunker_daily_raw!$B$2:$B$3819)</f>
        <v>145</v>
      </c>
      <c r="C1831" s="6">
        <v>43.25</v>
      </c>
    </row>
    <row r="1832" spans="1:3" x14ac:dyDescent="0.25">
      <c r="A1832" s="4">
        <v>38359</v>
      </c>
      <c r="B1832" s="5">
        <f>_xlfn.XLOOKUP(A1832,bunker_daily_raw!$A$2:$A$3819,bunker_daily_raw!$B$2:$B$3819)</f>
        <v>144</v>
      </c>
      <c r="C1832" s="6">
        <v>43.28</v>
      </c>
    </row>
    <row r="1833" spans="1:3" x14ac:dyDescent="0.25">
      <c r="A1833" s="4">
        <v>38362</v>
      </c>
      <c r="B1833" s="5">
        <f>_xlfn.XLOOKUP(A1833,bunker_daily_raw!$A$2:$A$3819,bunker_daily_raw!$B$2:$B$3819)</f>
        <v>148.75</v>
      </c>
      <c r="C1833" s="6">
        <v>44.71</v>
      </c>
    </row>
    <row r="1834" spans="1:3" x14ac:dyDescent="0.25">
      <c r="A1834" s="4">
        <v>38363</v>
      </c>
      <c r="B1834" s="5">
        <f>_xlfn.XLOOKUP(A1834,bunker_daily_raw!$A$2:$A$3819,bunker_daily_raw!$B$2:$B$3819)</f>
        <v>148.75</v>
      </c>
      <c r="C1834" s="6">
        <v>43.45</v>
      </c>
    </row>
    <row r="1835" spans="1:3" x14ac:dyDescent="0.25">
      <c r="A1835" s="4">
        <v>38364</v>
      </c>
      <c r="B1835" s="5">
        <f>_xlfn.XLOOKUP(A1835,bunker_daily_raw!$A$2:$A$3819,bunker_daily_raw!$B$2:$B$3819)</f>
        <v>151.5</v>
      </c>
      <c r="C1835" s="6">
        <v>43.75</v>
      </c>
    </row>
    <row r="1836" spans="1:3" x14ac:dyDescent="0.25">
      <c r="A1836" s="4">
        <v>38365</v>
      </c>
      <c r="B1836" s="5">
        <f>_xlfn.XLOOKUP(A1836,bunker_daily_raw!$A$2:$A$3819,bunker_daily_raw!$B$2:$B$3819)</f>
        <v>158</v>
      </c>
      <c r="C1836" s="6">
        <v>45.76</v>
      </c>
    </row>
    <row r="1837" spans="1:3" x14ac:dyDescent="0.25">
      <c r="A1837" s="4">
        <v>38366</v>
      </c>
      <c r="B1837" s="5">
        <f>_xlfn.XLOOKUP(A1837,bunker_daily_raw!$A$2:$A$3819,bunker_daily_raw!$B$2:$B$3819)</f>
        <v>157.5</v>
      </c>
      <c r="C1837" s="6">
        <v>45.26</v>
      </c>
    </row>
    <row r="1838" spans="1:3" x14ac:dyDescent="0.25">
      <c r="A1838" s="4">
        <v>38369</v>
      </c>
      <c r="B1838" s="5">
        <f>_xlfn.XLOOKUP(A1838,bunker_daily_raw!$A$2:$A$3819,bunker_daily_raw!$B$2:$B$3819)</f>
        <v>164.25</v>
      </c>
      <c r="C1838" s="6">
        <v>45.1</v>
      </c>
    </row>
    <row r="1839" spans="1:3" x14ac:dyDescent="0.25">
      <c r="A1839" s="4">
        <v>38370</v>
      </c>
      <c r="B1839" s="5">
        <f>_xlfn.XLOOKUP(A1839,bunker_daily_raw!$A$2:$A$3819,bunker_daily_raw!$B$2:$B$3819)</f>
        <v>164</v>
      </c>
      <c r="C1839" s="6">
        <v>45.18</v>
      </c>
    </row>
    <row r="1840" spans="1:3" x14ac:dyDescent="0.25">
      <c r="A1840" s="4">
        <v>38371</v>
      </c>
      <c r="B1840" s="5">
        <f>_xlfn.XLOOKUP(A1840,bunker_daily_raw!$A$2:$A$3819,bunker_daily_raw!$B$2:$B$3819)</f>
        <v>164</v>
      </c>
      <c r="C1840" s="6">
        <v>45.16</v>
      </c>
    </row>
    <row r="1841" spans="1:3" x14ac:dyDescent="0.25">
      <c r="A1841" s="4">
        <v>38372</v>
      </c>
      <c r="B1841" s="5">
        <f>_xlfn.XLOOKUP(A1841,bunker_daily_raw!$A$2:$A$3819,bunker_daily_raw!$B$2:$B$3819)</f>
        <v>158</v>
      </c>
      <c r="C1841" s="6">
        <v>44.06</v>
      </c>
    </row>
    <row r="1842" spans="1:3" x14ac:dyDescent="0.25">
      <c r="A1842" s="4">
        <v>38373</v>
      </c>
      <c r="B1842" s="5">
        <f>_xlfn.XLOOKUP(A1842,bunker_daily_raw!$A$2:$A$3819,bunker_daily_raw!$B$2:$B$3819)</f>
        <v>162.25</v>
      </c>
      <c r="C1842" s="6">
        <v>45.88</v>
      </c>
    </row>
    <row r="1843" spans="1:3" x14ac:dyDescent="0.25">
      <c r="A1843" s="4">
        <v>38376</v>
      </c>
      <c r="B1843" s="5">
        <f>_xlfn.XLOOKUP(A1843,bunker_daily_raw!$A$2:$A$3819,bunker_daily_raw!$B$2:$B$3819)</f>
        <v>162</v>
      </c>
      <c r="C1843" s="6">
        <v>45.74</v>
      </c>
    </row>
    <row r="1844" spans="1:3" x14ac:dyDescent="0.25">
      <c r="A1844" s="4">
        <v>38377</v>
      </c>
      <c r="B1844" s="5">
        <f>_xlfn.XLOOKUP(A1844,bunker_daily_raw!$A$2:$A$3819,bunker_daily_raw!$B$2:$B$3819)</f>
        <v>161.125</v>
      </c>
      <c r="C1844" s="6">
        <v>46.14</v>
      </c>
    </row>
    <row r="1845" spans="1:3" x14ac:dyDescent="0.25">
      <c r="A1845" s="4">
        <v>38378</v>
      </c>
      <c r="B1845" s="5">
        <f>_xlfn.XLOOKUP(A1845,bunker_daily_raw!$A$2:$A$3819,bunker_daily_raw!$B$2:$B$3819)</f>
        <v>160.5</v>
      </c>
      <c r="C1845" s="6">
        <v>45.94</v>
      </c>
    </row>
    <row r="1846" spans="1:3" x14ac:dyDescent="0.25">
      <c r="A1846" s="4">
        <v>38379</v>
      </c>
      <c r="B1846" s="5">
        <f>_xlfn.XLOOKUP(A1846,bunker_daily_raw!$A$2:$A$3819,bunker_daily_raw!$B$2:$B$3819)</f>
        <v>163.5</v>
      </c>
      <c r="C1846" s="6">
        <v>46.51</v>
      </c>
    </row>
    <row r="1847" spans="1:3" x14ac:dyDescent="0.25">
      <c r="A1847" s="4">
        <v>38380</v>
      </c>
      <c r="B1847" s="5">
        <f>_xlfn.XLOOKUP(A1847,bunker_daily_raw!$A$2:$A$3819,bunker_daily_raw!$B$2:$B$3819)</f>
        <v>157.25</v>
      </c>
      <c r="C1847" s="6">
        <v>44.75</v>
      </c>
    </row>
    <row r="1848" spans="1:3" x14ac:dyDescent="0.25">
      <c r="A1848" s="4">
        <v>38383</v>
      </c>
      <c r="B1848" s="5">
        <f>_xlfn.XLOOKUP(A1848,bunker_daily_raw!$A$2:$A$3819,bunker_daily_raw!$B$2:$B$3819)</f>
        <v>159.5</v>
      </c>
      <c r="C1848" s="6">
        <v>44.51</v>
      </c>
    </row>
    <row r="1849" spans="1:3" x14ac:dyDescent="0.25">
      <c r="A1849" s="4">
        <v>38384</v>
      </c>
      <c r="B1849" s="5">
        <f>_xlfn.XLOOKUP(A1849,bunker_daily_raw!$A$2:$A$3819,bunker_daily_raw!$B$2:$B$3819)</f>
        <v>162.75</v>
      </c>
      <c r="C1849" s="6">
        <v>45.12</v>
      </c>
    </row>
    <row r="1850" spans="1:3" x14ac:dyDescent="0.25">
      <c r="A1850" s="4">
        <v>38385</v>
      </c>
      <c r="B1850" s="5">
        <f>_xlfn.XLOOKUP(A1850,bunker_daily_raw!$A$2:$A$3819,bunker_daily_raw!$B$2:$B$3819)</f>
        <v>163.5</v>
      </c>
      <c r="C1850" s="6">
        <v>44.17</v>
      </c>
    </row>
    <row r="1851" spans="1:3" x14ac:dyDescent="0.25">
      <c r="A1851" s="4">
        <v>38386</v>
      </c>
      <c r="B1851" s="5">
        <f>_xlfn.XLOOKUP(A1851,bunker_daily_raw!$A$2:$A$3819,bunker_daily_raw!$B$2:$B$3819)</f>
        <v>160.75</v>
      </c>
      <c r="C1851" s="6">
        <v>43.13</v>
      </c>
    </row>
    <row r="1852" spans="1:3" x14ac:dyDescent="0.25">
      <c r="A1852" s="4">
        <v>38387</v>
      </c>
      <c r="B1852" s="5">
        <f>_xlfn.XLOOKUP(A1852,bunker_daily_raw!$A$2:$A$3819,bunker_daily_raw!$B$2:$B$3819)</f>
        <v>163.5</v>
      </c>
      <c r="C1852" s="6">
        <v>43.26</v>
      </c>
    </row>
    <row r="1853" spans="1:3" x14ac:dyDescent="0.25">
      <c r="A1853" s="4">
        <v>38390</v>
      </c>
      <c r="B1853" s="5">
        <f>_xlfn.XLOOKUP(A1853,bunker_daily_raw!$A$2:$A$3819,bunker_daily_raw!$B$2:$B$3819)</f>
        <v>163</v>
      </c>
      <c r="C1853" s="6">
        <v>42.7</v>
      </c>
    </row>
    <row r="1854" spans="1:3" x14ac:dyDescent="0.25">
      <c r="A1854" s="4">
        <v>38391</v>
      </c>
      <c r="B1854" s="5">
        <f>_xlfn.XLOOKUP(A1854,bunker_daily_raw!$A$2:$A$3819,bunker_daily_raw!$B$2:$B$3819)</f>
        <v>161</v>
      </c>
      <c r="C1854" s="6">
        <v>42.79</v>
      </c>
    </row>
    <row r="1855" spans="1:3" x14ac:dyDescent="0.25">
      <c r="A1855" s="4">
        <v>38392</v>
      </c>
      <c r="B1855" s="5">
        <f>_xlfn.XLOOKUP(A1855,bunker_daily_raw!$A$2:$A$3819,bunker_daily_raw!$B$2:$B$3819)</f>
        <v>162.625</v>
      </c>
      <c r="C1855" s="6">
        <v>42.49</v>
      </c>
    </row>
    <row r="1856" spans="1:3" x14ac:dyDescent="0.25">
      <c r="A1856" s="4">
        <v>38393</v>
      </c>
      <c r="B1856" s="5">
        <f>_xlfn.XLOOKUP(A1856,bunker_daily_raw!$A$2:$A$3819,bunker_daily_raw!$B$2:$B$3819)</f>
        <v>165</v>
      </c>
      <c r="C1856" s="6">
        <v>44.04</v>
      </c>
    </row>
    <row r="1857" spans="1:3" x14ac:dyDescent="0.25">
      <c r="A1857" s="4">
        <v>38394</v>
      </c>
      <c r="B1857" s="5">
        <f>_xlfn.XLOOKUP(A1857,bunker_daily_raw!$A$2:$A$3819,bunker_daily_raw!$B$2:$B$3819)</f>
        <v>164.125</v>
      </c>
      <c r="C1857" s="6">
        <v>44.41</v>
      </c>
    </row>
    <row r="1858" spans="1:3" x14ac:dyDescent="0.25">
      <c r="A1858" s="4">
        <v>38397</v>
      </c>
      <c r="B1858" s="5">
        <f>_xlfn.XLOOKUP(A1858,bunker_daily_raw!$A$2:$A$3819,bunker_daily_raw!$B$2:$B$3819)</f>
        <v>165.75</v>
      </c>
      <c r="C1858" s="6">
        <v>44.51</v>
      </c>
    </row>
    <row r="1859" spans="1:3" x14ac:dyDescent="0.25">
      <c r="A1859" s="4">
        <v>38398</v>
      </c>
      <c r="B1859" s="5">
        <f>_xlfn.XLOOKUP(A1859,bunker_daily_raw!$A$2:$A$3819,bunker_daily_raw!$B$2:$B$3819)</f>
        <v>165.875</v>
      </c>
      <c r="C1859" s="6">
        <v>44.91</v>
      </c>
    </row>
    <row r="1860" spans="1:3" x14ac:dyDescent="0.25">
      <c r="A1860" s="4">
        <v>38399</v>
      </c>
      <c r="B1860" s="5">
        <f>_xlfn.XLOOKUP(A1860,bunker_daily_raw!$A$2:$A$3819,bunker_daily_raw!$B$2:$B$3819)</f>
        <v>166.125</v>
      </c>
      <c r="C1860" s="6">
        <v>45.42</v>
      </c>
    </row>
    <row r="1861" spans="1:3" x14ac:dyDescent="0.25">
      <c r="A1861" s="4">
        <v>38400</v>
      </c>
      <c r="B1861" s="5">
        <f>_xlfn.XLOOKUP(A1861,bunker_daily_raw!$A$2:$A$3819,bunker_daily_raw!$B$2:$B$3819)</f>
        <v>168.75</v>
      </c>
      <c r="C1861" s="6">
        <v>45.42</v>
      </c>
    </row>
    <row r="1862" spans="1:3" x14ac:dyDescent="0.25">
      <c r="A1862" s="4">
        <v>38401</v>
      </c>
      <c r="B1862" s="5">
        <f>_xlfn.XLOOKUP(A1862,bunker_daily_raw!$A$2:$A$3819,bunker_daily_raw!$B$2:$B$3819)</f>
        <v>168.25</v>
      </c>
      <c r="C1862" s="6">
        <v>45.86</v>
      </c>
    </row>
    <row r="1863" spans="1:3" x14ac:dyDescent="0.25">
      <c r="A1863" s="4">
        <v>38404</v>
      </c>
      <c r="B1863" s="5">
        <f>_xlfn.XLOOKUP(A1863,bunker_daily_raw!$A$2:$A$3819,bunker_daily_raw!$B$2:$B$3819)</f>
        <v>173.25</v>
      </c>
      <c r="C1863" s="6">
        <v>46.09</v>
      </c>
    </row>
    <row r="1864" spans="1:3" x14ac:dyDescent="0.25">
      <c r="A1864" s="4">
        <v>38405</v>
      </c>
      <c r="B1864" s="5">
        <f>_xlfn.XLOOKUP(A1864,bunker_daily_raw!$A$2:$A$3819,bunker_daily_raw!$B$2:$B$3819)</f>
        <v>179</v>
      </c>
      <c r="C1864" s="6">
        <v>47.6</v>
      </c>
    </row>
    <row r="1865" spans="1:3" x14ac:dyDescent="0.25">
      <c r="A1865" s="4">
        <v>38406</v>
      </c>
      <c r="B1865" s="5">
        <f>_xlfn.XLOOKUP(A1865,bunker_daily_raw!$A$2:$A$3819,bunker_daily_raw!$B$2:$B$3819)</f>
        <v>177.75</v>
      </c>
      <c r="C1865" s="6">
        <v>48.16</v>
      </c>
    </row>
    <row r="1866" spans="1:3" x14ac:dyDescent="0.25">
      <c r="A1866" s="4">
        <v>38407</v>
      </c>
      <c r="B1866" s="5">
        <f>_xlfn.XLOOKUP(A1866,bunker_daily_raw!$A$2:$A$3819,bunker_daily_raw!$B$2:$B$3819)</f>
        <v>180.5</v>
      </c>
      <c r="C1866" s="6">
        <v>49.24</v>
      </c>
    </row>
    <row r="1867" spans="1:3" x14ac:dyDescent="0.25">
      <c r="A1867" s="4">
        <v>38408</v>
      </c>
      <c r="B1867" s="5">
        <f>_xlfn.XLOOKUP(A1867,bunker_daily_raw!$A$2:$A$3819,bunker_daily_raw!$B$2:$B$3819)</f>
        <v>179.5</v>
      </c>
      <c r="C1867" s="6">
        <v>50.05</v>
      </c>
    </row>
    <row r="1868" spans="1:3" x14ac:dyDescent="0.25">
      <c r="A1868" s="4">
        <v>38411</v>
      </c>
      <c r="B1868" s="5">
        <f>_xlfn.XLOOKUP(A1868,bunker_daily_raw!$A$2:$A$3819,bunker_daily_raw!$B$2:$B$3819)</f>
        <v>182.75</v>
      </c>
      <c r="C1868" s="6">
        <v>50.13</v>
      </c>
    </row>
    <row r="1869" spans="1:3" x14ac:dyDescent="0.25">
      <c r="A1869" s="4">
        <v>38412</v>
      </c>
      <c r="B1869" s="5">
        <f>_xlfn.XLOOKUP(A1869,bunker_daily_raw!$A$2:$A$3819,bunker_daily_raw!$B$2:$B$3819)</f>
        <v>181</v>
      </c>
      <c r="C1869" s="6">
        <v>50.47</v>
      </c>
    </row>
    <row r="1870" spans="1:3" x14ac:dyDescent="0.25">
      <c r="A1870" s="4">
        <v>38413</v>
      </c>
      <c r="B1870" s="5">
        <f>_xlfn.XLOOKUP(A1870,bunker_daily_raw!$A$2:$A$3819,bunker_daily_raw!$B$2:$B$3819)</f>
        <v>182.375</v>
      </c>
      <c r="C1870" s="6">
        <v>51.05</v>
      </c>
    </row>
    <row r="1871" spans="1:3" x14ac:dyDescent="0.25">
      <c r="A1871" s="4">
        <v>38414</v>
      </c>
      <c r="B1871" s="5">
        <f>_xlfn.XLOOKUP(A1871,bunker_daily_raw!$A$2:$A$3819,bunker_daily_raw!$B$2:$B$3819)</f>
        <v>190.75</v>
      </c>
      <c r="C1871" s="6">
        <v>52.89</v>
      </c>
    </row>
    <row r="1872" spans="1:3" x14ac:dyDescent="0.25">
      <c r="A1872" s="4">
        <v>38415</v>
      </c>
      <c r="B1872" s="5">
        <f>_xlfn.XLOOKUP(A1872,bunker_daily_raw!$A$2:$A$3819,bunker_daily_raw!$B$2:$B$3819)</f>
        <v>190.75</v>
      </c>
      <c r="C1872" s="6">
        <v>52.1</v>
      </c>
    </row>
    <row r="1873" spans="1:3" x14ac:dyDescent="0.25">
      <c r="A1873" s="4">
        <v>38418</v>
      </c>
      <c r="B1873" s="5">
        <f>_xlfn.XLOOKUP(A1873,bunker_daily_raw!$A$2:$A$3819,bunker_daily_raw!$B$2:$B$3819)</f>
        <v>187</v>
      </c>
      <c r="C1873" s="6">
        <v>51.87</v>
      </c>
    </row>
    <row r="1874" spans="1:3" x14ac:dyDescent="0.25">
      <c r="A1874" s="4">
        <v>38419</v>
      </c>
      <c r="B1874" s="5">
        <f>_xlfn.XLOOKUP(A1874,bunker_daily_raw!$A$2:$A$3819,bunker_daily_raw!$B$2:$B$3819)</f>
        <v>192.25</v>
      </c>
      <c r="C1874" s="6">
        <v>53.29</v>
      </c>
    </row>
    <row r="1875" spans="1:3" x14ac:dyDescent="0.25">
      <c r="A1875" s="4">
        <v>38420</v>
      </c>
      <c r="B1875" s="5">
        <f>_xlfn.XLOOKUP(A1875,bunker_daily_raw!$A$2:$A$3819,bunker_daily_raw!$B$2:$B$3819)</f>
        <v>202.25</v>
      </c>
      <c r="C1875" s="6">
        <v>54.11</v>
      </c>
    </row>
    <row r="1876" spans="1:3" x14ac:dyDescent="0.25">
      <c r="A1876" s="4">
        <v>38421</v>
      </c>
      <c r="B1876" s="5">
        <f>_xlfn.XLOOKUP(A1876,bunker_daily_raw!$A$2:$A$3819,bunker_daily_raw!$B$2:$B$3819)</f>
        <v>193.25</v>
      </c>
      <c r="C1876" s="6">
        <v>53.04</v>
      </c>
    </row>
    <row r="1877" spans="1:3" x14ac:dyDescent="0.25">
      <c r="A1877" s="4">
        <v>38422</v>
      </c>
      <c r="B1877" s="5">
        <f>_xlfn.XLOOKUP(A1877,bunker_daily_raw!$A$2:$A$3819,bunker_daily_raw!$B$2:$B$3819)</f>
        <v>196.5</v>
      </c>
      <c r="C1877" s="6">
        <v>53.15</v>
      </c>
    </row>
    <row r="1878" spans="1:3" x14ac:dyDescent="0.25">
      <c r="A1878" s="4">
        <v>38425</v>
      </c>
      <c r="B1878" s="5">
        <f>_xlfn.XLOOKUP(A1878,bunker_daily_raw!$A$2:$A$3819,bunker_daily_raw!$B$2:$B$3819)</f>
        <v>197.125</v>
      </c>
      <c r="C1878" s="6">
        <v>53.68</v>
      </c>
    </row>
    <row r="1879" spans="1:3" x14ac:dyDescent="0.25">
      <c r="A1879" s="4">
        <v>38426</v>
      </c>
      <c r="B1879" s="5">
        <f>_xlfn.XLOOKUP(A1879,bunker_daily_raw!$A$2:$A$3819,bunker_daily_raw!$B$2:$B$3819)</f>
        <v>199</v>
      </c>
      <c r="C1879" s="6">
        <v>53.97</v>
      </c>
    </row>
    <row r="1880" spans="1:3" x14ac:dyDescent="0.25">
      <c r="A1880" s="4">
        <v>38427</v>
      </c>
      <c r="B1880" s="5">
        <f>_xlfn.XLOOKUP(A1880,bunker_daily_raw!$A$2:$A$3819,bunker_daily_raw!$B$2:$B$3819)</f>
        <v>202.75</v>
      </c>
      <c r="C1880" s="6">
        <v>54.61</v>
      </c>
    </row>
    <row r="1881" spans="1:3" x14ac:dyDescent="0.25">
      <c r="A1881" s="4">
        <v>38428</v>
      </c>
      <c r="B1881" s="5">
        <f>_xlfn.XLOOKUP(A1881,bunker_daily_raw!$A$2:$A$3819,bunker_daily_raw!$B$2:$B$3819)</f>
        <v>208.5</v>
      </c>
      <c r="C1881" s="6">
        <v>56.03</v>
      </c>
    </row>
    <row r="1882" spans="1:3" x14ac:dyDescent="0.25">
      <c r="A1882" s="4">
        <v>38429</v>
      </c>
      <c r="B1882" s="5">
        <f>_xlfn.XLOOKUP(A1882,bunker_daily_raw!$A$2:$A$3819,bunker_daily_raw!$B$2:$B$3819)</f>
        <v>207.5</v>
      </c>
      <c r="C1882" s="6">
        <v>55.97</v>
      </c>
    </row>
    <row r="1883" spans="1:3" x14ac:dyDescent="0.25">
      <c r="A1883" s="4">
        <v>38432</v>
      </c>
      <c r="B1883" s="5">
        <f>_xlfn.XLOOKUP(A1883,bunker_daily_raw!$A$2:$A$3819,bunker_daily_raw!$B$2:$B$3819)</f>
        <v>211.25</v>
      </c>
      <c r="C1883" s="6">
        <v>55.79</v>
      </c>
    </row>
    <row r="1884" spans="1:3" x14ac:dyDescent="0.25">
      <c r="A1884" s="4">
        <v>38433</v>
      </c>
      <c r="B1884" s="5">
        <f>_xlfn.XLOOKUP(A1884,bunker_daily_raw!$A$2:$A$3819,bunker_daily_raw!$B$2:$B$3819)</f>
        <v>211.75</v>
      </c>
      <c r="C1884" s="6">
        <v>55.39</v>
      </c>
    </row>
    <row r="1885" spans="1:3" x14ac:dyDescent="0.25">
      <c r="A1885" s="4">
        <v>38434</v>
      </c>
      <c r="B1885" s="5">
        <f>_xlfn.XLOOKUP(A1885,bunker_daily_raw!$A$2:$A$3819,bunker_daily_raw!$B$2:$B$3819)</f>
        <v>205.75</v>
      </c>
      <c r="C1885" s="6">
        <v>51.52</v>
      </c>
    </row>
    <row r="1886" spans="1:3" x14ac:dyDescent="0.25">
      <c r="A1886" s="4">
        <v>38435</v>
      </c>
      <c r="B1886" s="5">
        <f>_xlfn.XLOOKUP(A1886,bunker_daily_raw!$A$2:$A$3819,bunker_daily_raw!$B$2:$B$3819)</f>
        <v>205</v>
      </c>
      <c r="C1886" s="6">
        <v>52.35</v>
      </c>
    </row>
    <row r="1887" spans="1:3" x14ac:dyDescent="0.25">
      <c r="A1887" s="4">
        <v>38436</v>
      </c>
      <c r="B1887" s="5" t="e">
        <f>_xlfn.XLOOKUP(A1887,bunker_daily_raw!$A$2:$A$3819,bunker_daily_raw!$B$2:$B$3819)</f>
        <v>#N/A</v>
      </c>
      <c r="C1887" s="5"/>
    </row>
    <row r="1888" spans="1:3" x14ac:dyDescent="0.25">
      <c r="A1888" s="4">
        <v>38439</v>
      </c>
      <c r="B1888" s="5" t="e">
        <f>_xlfn.XLOOKUP(A1888,bunker_daily_raw!$A$2:$A$3819,bunker_daily_raw!$B$2:$B$3819)</f>
        <v>#N/A</v>
      </c>
      <c r="C1888" s="6">
        <v>51.75</v>
      </c>
    </row>
    <row r="1889" spans="1:3" x14ac:dyDescent="0.25">
      <c r="A1889" s="4">
        <v>38440</v>
      </c>
      <c r="B1889" s="5">
        <f>_xlfn.XLOOKUP(A1889,bunker_daily_raw!$A$2:$A$3819,bunker_daily_raw!$B$2:$B$3819)</f>
        <v>203.75</v>
      </c>
      <c r="C1889" s="6">
        <v>51.42</v>
      </c>
    </row>
    <row r="1890" spans="1:3" x14ac:dyDescent="0.25">
      <c r="A1890" s="4">
        <v>38441</v>
      </c>
      <c r="B1890" s="5">
        <f>_xlfn.XLOOKUP(A1890,bunker_daily_raw!$A$2:$A$3819,bunker_daily_raw!$B$2:$B$3819)</f>
        <v>204.25</v>
      </c>
      <c r="C1890" s="6">
        <v>50.63</v>
      </c>
    </row>
    <row r="1891" spans="1:3" x14ac:dyDescent="0.25">
      <c r="A1891" s="4">
        <v>38442</v>
      </c>
      <c r="B1891" s="5">
        <f>_xlfn.XLOOKUP(A1891,bunker_daily_raw!$A$2:$A$3819,bunker_daily_raw!$B$2:$B$3819)</f>
        <v>211.25</v>
      </c>
      <c r="C1891" s="6">
        <v>53.22</v>
      </c>
    </row>
    <row r="1892" spans="1:3" x14ac:dyDescent="0.25">
      <c r="A1892" s="4">
        <v>38443</v>
      </c>
      <c r="B1892" s="5">
        <f>_xlfn.XLOOKUP(A1892,bunker_daily_raw!$A$2:$A$3819,bunker_daily_raw!$B$2:$B$3819)</f>
        <v>221.5</v>
      </c>
      <c r="C1892" s="6">
        <v>54.14</v>
      </c>
    </row>
    <row r="1893" spans="1:3" x14ac:dyDescent="0.25">
      <c r="A1893" s="4">
        <v>38446</v>
      </c>
      <c r="B1893" s="5">
        <f>_xlfn.XLOOKUP(A1893,bunker_daily_raw!$A$2:$A$3819,bunker_daily_raw!$B$2:$B$3819)</f>
        <v>236.5</v>
      </c>
      <c r="C1893" s="6">
        <v>55.92</v>
      </c>
    </row>
    <row r="1894" spans="1:3" x14ac:dyDescent="0.25">
      <c r="A1894" s="4">
        <v>38447</v>
      </c>
      <c r="B1894" s="5">
        <f>_xlfn.XLOOKUP(A1894,bunker_daily_raw!$A$2:$A$3819,bunker_daily_raw!$B$2:$B$3819)</f>
        <v>235</v>
      </c>
      <c r="C1894" s="6">
        <v>54.53</v>
      </c>
    </row>
    <row r="1895" spans="1:3" x14ac:dyDescent="0.25">
      <c r="A1895" s="4">
        <v>38448</v>
      </c>
      <c r="B1895" s="5">
        <f>_xlfn.XLOOKUP(A1895,bunker_daily_raw!$A$2:$A$3819,bunker_daily_raw!$B$2:$B$3819)</f>
        <v>240</v>
      </c>
      <c r="C1895" s="6">
        <v>54.08</v>
      </c>
    </row>
    <row r="1896" spans="1:3" x14ac:dyDescent="0.25">
      <c r="A1896" s="4">
        <v>38449</v>
      </c>
      <c r="B1896" s="5">
        <f>_xlfn.XLOOKUP(A1896,bunker_daily_raw!$A$2:$A$3819,bunker_daily_raw!$B$2:$B$3819)</f>
        <v>254.75</v>
      </c>
      <c r="C1896" s="6">
        <v>52.57</v>
      </c>
    </row>
    <row r="1897" spans="1:3" x14ac:dyDescent="0.25">
      <c r="A1897" s="4">
        <v>38450</v>
      </c>
      <c r="B1897" s="5">
        <f>_xlfn.XLOOKUP(A1897,bunker_daily_raw!$A$2:$A$3819,bunker_daily_raw!$B$2:$B$3819)</f>
        <v>229.5</v>
      </c>
      <c r="C1897" s="6">
        <v>51.83</v>
      </c>
    </row>
    <row r="1898" spans="1:3" x14ac:dyDescent="0.25">
      <c r="A1898" s="4">
        <v>38453</v>
      </c>
      <c r="B1898" s="5">
        <f>_xlfn.XLOOKUP(A1898,bunker_daily_raw!$A$2:$A$3819,bunker_daily_raw!$B$2:$B$3819)</f>
        <v>213.75</v>
      </c>
      <c r="C1898" s="6">
        <v>51.21</v>
      </c>
    </row>
    <row r="1899" spans="1:3" x14ac:dyDescent="0.25">
      <c r="A1899" s="4">
        <v>38454</v>
      </c>
      <c r="B1899" s="5">
        <f>_xlfn.XLOOKUP(A1899,bunker_daily_raw!$A$2:$A$3819,bunker_daily_raw!$B$2:$B$3819)</f>
        <v>217.25</v>
      </c>
      <c r="C1899" s="6">
        <v>51.53</v>
      </c>
    </row>
    <row r="1900" spans="1:3" x14ac:dyDescent="0.25">
      <c r="A1900" s="4">
        <v>38455</v>
      </c>
      <c r="B1900" s="5">
        <f>_xlfn.XLOOKUP(A1900,bunker_daily_raw!$A$2:$A$3819,bunker_daily_raw!$B$2:$B$3819)</f>
        <v>209.75</v>
      </c>
      <c r="C1900" s="6">
        <v>49.67</v>
      </c>
    </row>
    <row r="1901" spans="1:3" x14ac:dyDescent="0.25">
      <c r="A1901" s="4">
        <v>38456</v>
      </c>
      <c r="B1901" s="5">
        <f>_xlfn.XLOOKUP(A1901,bunker_daily_raw!$A$2:$A$3819,bunker_daily_raw!$B$2:$B$3819)</f>
        <v>210.5</v>
      </c>
      <c r="C1901" s="6">
        <v>50.21</v>
      </c>
    </row>
    <row r="1902" spans="1:3" x14ac:dyDescent="0.25">
      <c r="A1902" s="4">
        <v>38457</v>
      </c>
      <c r="B1902" s="5">
        <f>_xlfn.XLOOKUP(A1902,bunker_daily_raw!$A$2:$A$3819,bunker_daily_raw!$B$2:$B$3819)</f>
        <v>209.5</v>
      </c>
      <c r="C1902" s="6">
        <v>49.52</v>
      </c>
    </row>
    <row r="1903" spans="1:3" x14ac:dyDescent="0.25">
      <c r="A1903" s="4">
        <v>38460</v>
      </c>
      <c r="B1903" s="5">
        <f>_xlfn.XLOOKUP(A1903,bunker_daily_raw!$A$2:$A$3819,bunker_daily_raw!$B$2:$B$3819)</f>
        <v>212.75</v>
      </c>
      <c r="C1903" s="6">
        <v>48.58</v>
      </c>
    </row>
    <row r="1904" spans="1:3" x14ac:dyDescent="0.25">
      <c r="A1904" s="4">
        <v>38461</v>
      </c>
      <c r="B1904" s="5">
        <f>_xlfn.XLOOKUP(A1904,bunker_daily_raw!$A$2:$A$3819,bunker_daily_raw!$B$2:$B$3819)</f>
        <v>221.5</v>
      </c>
      <c r="C1904" s="6">
        <v>50.79</v>
      </c>
    </row>
    <row r="1905" spans="1:3" x14ac:dyDescent="0.25">
      <c r="A1905" s="4">
        <v>38462</v>
      </c>
      <c r="B1905" s="5">
        <f>_xlfn.XLOOKUP(A1905,bunker_daily_raw!$A$2:$A$3819,bunker_daily_raw!$B$2:$B$3819)</f>
        <v>235.25</v>
      </c>
      <c r="C1905" s="6">
        <v>51.53</v>
      </c>
    </row>
    <row r="1906" spans="1:3" x14ac:dyDescent="0.25">
      <c r="A1906" s="4">
        <v>38463</v>
      </c>
      <c r="B1906" s="5">
        <f>_xlfn.XLOOKUP(A1906,bunker_daily_raw!$A$2:$A$3819,bunker_daily_raw!$B$2:$B$3819)</f>
        <v>228.5</v>
      </c>
      <c r="C1906" s="6">
        <v>51.73</v>
      </c>
    </row>
    <row r="1907" spans="1:3" x14ac:dyDescent="0.25">
      <c r="A1907" s="4">
        <v>38464</v>
      </c>
      <c r="B1907" s="5">
        <f>_xlfn.XLOOKUP(A1907,bunker_daily_raw!$A$2:$A$3819,bunker_daily_raw!$B$2:$B$3819)</f>
        <v>239.25</v>
      </c>
      <c r="C1907" s="6">
        <v>53.51</v>
      </c>
    </row>
    <row r="1908" spans="1:3" x14ac:dyDescent="0.25">
      <c r="A1908" s="4">
        <v>38467</v>
      </c>
      <c r="B1908" s="5">
        <f>_xlfn.XLOOKUP(A1908,bunker_daily_raw!$A$2:$A$3819,bunker_daily_raw!$B$2:$B$3819)</f>
        <v>246</v>
      </c>
      <c r="C1908" s="6">
        <v>53.1</v>
      </c>
    </row>
    <row r="1909" spans="1:3" x14ac:dyDescent="0.25">
      <c r="A1909" s="4">
        <v>38468</v>
      </c>
      <c r="B1909" s="5">
        <f>_xlfn.XLOOKUP(A1909,bunker_daily_raw!$A$2:$A$3819,bunker_daily_raw!$B$2:$B$3819)</f>
        <v>238.5</v>
      </c>
      <c r="C1909" s="6">
        <v>52.47</v>
      </c>
    </row>
    <row r="1910" spans="1:3" x14ac:dyDescent="0.25">
      <c r="A1910" s="4">
        <v>38469</v>
      </c>
      <c r="B1910" s="5">
        <f>_xlfn.XLOOKUP(A1910,bunker_daily_raw!$A$2:$A$3819,bunker_daily_raw!$B$2:$B$3819)</f>
        <v>232.25</v>
      </c>
      <c r="C1910" s="6">
        <v>51.29</v>
      </c>
    </row>
    <row r="1911" spans="1:3" x14ac:dyDescent="0.25">
      <c r="A1911" s="4">
        <v>38470</v>
      </c>
      <c r="B1911" s="5">
        <f>_xlfn.XLOOKUP(A1911,bunker_daily_raw!$A$2:$A$3819,bunker_daily_raw!$B$2:$B$3819)</f>
        <v>233.75</v>
      </c>
      <c r="C1911" s="6">
        <v>50.74</v>
      </c>
    </row>
    <row r="1912" spans="1:3" x14ac:dyDescent="0.25">
      <c r="A1912" s="4">
        <v>38471</v>
      </c>
      <c r="B1912" s="5">
        <f>_xlfn.XLOOKUP(A1912,bunker_daily_raw!$A$2:$A$3819,bunker_daily_raw!$B$2:$B$3819)</f>
        <v>234.5</v>
      </c>
      <c r="C1912" s="6">
        <v>50.61</v>
      </c>
    </row>
    <row r="1913" spans="1:3" x14ac:dyDescent="0.25">
      <c r="A1913" s="4">
        <v>38474</v>
      </c>
      <c r="B1913" s="5" t="e">
        <f>_xlfn.XLOOKUP(A1913,bunker_daily_raw!$A$2:$A$3819,bunker_daily_raw!$B$2:$B$3819)</f>
        <v>#N/A</v>
      </c>
      <c r="C1913" s="6">
        <v>50.89</v>
      </c>
    </row>
    <row r="1914" spans="1:3" x14ac:dyDescent="0.25">
      <c r="A1914" s="4">
        <v>38475</v>
      </c>
      <c r="B1914" s="5">
        <f>_xlfn.XLOOKUP(A1914,bunker_daily_raw!$A$2:$A$3819,bunker_daily_raw!$B$2:$B$3819)</f>
        <v>233</v>
      </c>
      <c r="C1914" s="6">
        <v>49.48</v>
      </c>
    </row>
    <row r="1915" spans="1:3" x14ac:dyDescent="0.25">
      <c r="A1915" s="4">
        <v>38476</v>
      </c>
      <c r="B1915" s="5">
        <f>_xlfn.XLOOKUP(A1915,bunker_daily_raw!$A$2:$A$3819,bunker_daily_raw!$B$2:$B$3819)</f>
        <v>232.5</v>
      </c>
      <c r="C1915" s="6">
        <v>50.36</v>
      </c>
    </row>
    <row r="1916" spans="1:3" x14ac:dyDescent="0.25">
      <c r="A1916" s="4">
        <v>38477</v>
      </c>
      <c r="B1916" s="5">
        <f>_xlfn.XLOOKUP(A1916,bunker_daily_raw!$A$2:$A$3819,bunker_daily_raw!$B$2:$B$3819)</f>
        <v>231.875</v>
      </c>
      <c r="C1916" s="6">
        <v>49.81</v>
      </c>
    </row>
    <row r="1917" spans="1:3" x14ac:dyDescent="0.25">
      <c r="A1917" s="4">
        <v>38478</v>
      </c>
      <c r="B1917" s="5">
        <f>_xlfn.XLOOKUP(A1917,bunker_daily_raw!$A$2:$A$3819,bunker_daily_raw!$B$2:$B$3819)</f>
        <v>233.5</v>
      </c>
      <c r="C1917" s="6">
        <v>49.7</v>
      </c>
    </row>
    <row r="1918" spans="1:3" x14ac:dyDescent="0.25">
      <c r="A1918" s="4">
        <v>38481</v>
      </c>
      <c r="B1918" s="5">
        <f>_xlfn.XLOOKUP(A1918,bunker_daily_raw!$A$2:$A$3819,bunker_daily_raw!$B$2:$B$3819)</f>
        <v>228.5</v>
      </c>
      <c r="C1918" s="6">
        <v>49.71</v>
      </c>
    </row>
    <row r="1919" spans="1:3" x14ac:dyDescent="0.25">
      <c r="A1919" s="4">
        <v>38482</v>
      </c>
      <c r="B1919" s="5">
        <f>_xlfn.XLOOKUP(A1919,bunker_daily_raw!$A$2:$A$3819,bunker_daily_raw!$B$2:$B$3819)</f>
        <v>233</v>
      </c>
      <c r="C1919" s="6">
        <v>50.61</v>
      </c>
    </row>
    <row r="1920" spans="1:3" x14ac:dyDescent="0.25">
      <c r="A1920" s="4">
        <v>38483</v>
      </c>
      <c r="B1920" s="5">
        <f>_xlfn.XLOOKUP(A1920,bunker_daily_raw!$A$2:$A$3819,bunker_daily_raw!$B$2:$B$3819)</f>
        <v>227.5</v>
      </c>
      <c r="C1920" s="6">
        <v>48.91</v>
      </c>
    </row>
    <row r="1921" spans="1:3" x14ac:dyDescent="0.25">
      <c r="A1921" s="4">
        <v>38484</v>
      </c>
      <c r="B1921" s="5">
        <f>_xlfn.XLOOKUP(A1921,bunker_daily_raw!$A$2:$A$3819,bunker_daily_raw!$B$2:$B$3819)</f>
        <v>223.5</v>
      </c>
      <c r="C1921" s="6">
        <v>47.4</v>
      </c>
    </row>
    <row r="1922" spans="1:3" x14ac:dyDescent="0.25">
      <c r="A1922" s="4">
        <v>38485</v>
      </c>
      <c r="B1922" s="5">
        <f>_xlfn.XLOOKUP(A1922,bunker_daily_raw!$A$2:$A$3819,bunker_daily_raw!$B$2:$B$3819)</f>
        <v>219</v>
      </c>
      <c r="C1922" s="6">
        <v>46.85</v>
      </c>
    </row>
    <row r="1923" spans="1:3" x14ac:dyDescent="0.25">
      <c r="A1923" s="4">
        <v>38488</v>
      </c>
      <c r="B1923" s="5">
        <f>_xlfn.XLOOKUP(A1923,bunker_daily_raw!$A$2:$A$3819,bunker_daily_raw!$B$2:$B$3819)</f>
        <v>220.5</v>
      </c>
      <c r="C1923" s="6">
        <v>46.42</v>
      </c>
    </row>
    <row r="1924" spans="1:3" x14ac:dyDescent="0.25">
      <c r="A1924" s="4">
        <v>38489</v>
      </c>
      <c r="B1924" s="5">
        <f>_xlfn.XLOOKUP(A1924,bunker_daily_raw!$A$2:$A$3819,bunker_daily_raw!$B$2:$B$3819)</f>
        <v>223.75</v>
      </c>
      <c r="C1924" s="6">
        <v>47.31</v>
      </c>
    </row>
    <row r="1925" spans="1:3" x14ac:dyDescent="0.25">
      <c r="A1925" s="4">
        <v>38490</v>
      </c>
      <c r="B1925" s="5">
        <f>_xlfn.XLOOKUP(A1925,bunker_daily_raw!$A$2:$A$3819,bunker_daily_raw!$B$2:$B$3819)</f>
        <v>226</v>
      </c>
      <c r="C1925" s="6">
        <v>47.35</v>
      </c>
    </row>
    <row r="1926" spans="1:3" x14ac:dyDescent="0.25">
      <c r="A1926" s="4">
        <v>38491</v>
      </c>
      <c r="B1926" s="5">
        <f>_xlfn.XLOOKUP(A1926,bunker_daily_raw!$A$2:$A$3819,bunker_daily_raw!$B$2:$B$3819)</f>
        <v>228.5</v>
      </c>
      <c r="C1926" s="6">
        <v>46.92</v>
      </c>
    </row>
    <row r="1927" spans="1:3" x14ac:dyDescent="0.25">
      <c r="A1927" s="4">
        <v>38492</v>
      </c>
      <c r="B1927" s="5">
        <f>_xlfn.XLOOKUP(A1927,bunker_daily_raw!$A$2:$A$3819,bunker_daily_raw!$B$2:$B$3819)</f>
        <v>223.125</v>
      </c>
      <c r="C1927" s="6">
        <v>46.91</v>
      </c>
    </row>
    <row r="1928" spans="1:3" x14ac:dyDescent="0.25">
      <c r="A1928" s="4">
        <v>38495</v>
      </c>
      <c r="B1928" s="5">
        <f>_xlfn.XLOOKUP(A1928,bunker_daily_raw!$A$2:$A$3819,bunker_daily_raw!$B$2:$B$3819)</f>
        <v>217.75</v>
      </c>
      <c r="C1928" s="6">
        <v>47.28</v>
      </c>
    </row>
    <row r="1929" spans="1:3" x14ac:dyDescent="0.25">
      <c r="A1929" s="4">
        <v>38496</v>
      </c>
      <c r="B1929" s="5">
        <f>_xlfn.XLOOKUP(A1929,bunker_daily_raw!$A$2:$A$3819,bunker_daily_raw!$B$2:$B$3819)</f>
        <v>216.25</v>
      </c>
      <c r="C1929" s="6">
        <v>47.29</v>
      </c>
    </row>
    <row r="1930" spans="1:3" x14ac:dyDescent="0.25">
      <c r="A1930" s="4">
        <v>38497</v>
      </c>
      <c r="B1930" s="5">
        <f>_xlfn.XLOOKUP(A1930,bunker_daily_raw!$A$2:$A$3819,bunker_daily_raw!$B$2:$B$3819)</f>
        <v>221.5</v>
      </c>
      <c r="C1930" s="6">
        <v>49.24</v>
      </c>
    </row>
    <row r="1931" spans="1:3" x14ac:dyDescent="0.25">
      <c r="A1931" s="4">
        <v>38498</v>
      </c>
      <c r="B1931" s="5">
        <f>_xlfn.XLOOKUP(A1931,bunker_daily_raw!$A$2:$A$3819,bunker_daily_raw!$B$2:$B$3819)</f>
        <v>216.5</v>
      </c>
      <c r="C1931" s="6">
        <v>49.71</v>
      </c>
    </row>
    <row r="1932" spans="1:3" x14ac:dyDescent="0.25">
      <c r="A1932" s="4">
        <v>38499</v>
      </c>
      <c r="B1932" s="5">
        <f>_xlfn.XLOOKUP(A1932,bunker_daily_raw!$A$2:$A$3819,bunker_daily_raw!$B$2:$B$3819)</f>
        <v>206</v>
      </c>
      <c r="C1932" s="6">
        <v>49.42</v>
      </c>
    </row>
    <row r="1933" spans="1:3" x14ac:dyDescent="0.25">
      <c r="A1933" s="4">
        <v>38502</v>
      </c>
      <c r="B1933" s="5" t="e">
        <f>_xlfn.XLOOKUP(A1933,bunker_daily_raw!$A$2:$A$3819,bunker_daily_raw!$B$2:$B$3819)</f>
        <v>#N/A</v>
      </c>
      <c r="C1933" s="6">
        <v>49.33</v>
      </c>
    </row>
    <row r="1934" spans="1:3" x14ac:dyDescent="0.25">
      <c r="A1934" s="4">
        <v>38503</v>
      </c>
      <c r="B1934" s="5">
        <f>_xlfn.XLOOKUP(A1934,bunker_daily_raw!$A$2:$A$3819,bunker_daily_raw!$B$2:$B$3819)</f>
        <v>212</v>
      </c>
      <c r="C1934" s="6">
        <v>49.3</v>
      </c>
    </row>
    <row r="1935" spans="1:3" x14ac:dyDescent="0.25">
      <c r="A1935" s="4">
        <v>38504</v>
      </c>
      <c r="B1935" s="5">
        <f>_xlfn.XLOOKUP(A1935,bunker_daily_raw!$A$2:$A$3819,bunker_daily_raw!$B$2:$B$3819)</f>
        <v>223.75</v>
      </c>
      <c r="C1935" s="6">
        <v>50.46</v>
      </c>
    </row>
    <row r="1936" spans="1:3" x14ac:dyDescent="0.25">
      <c r="A1936" s="4">
        <v>38505</v>
      </c>
      <c r="B1936" s="5">
        <f>_xlfn.XLOOKUP(A1936,bunker_daily_raw!$A$2:$A$3819,bunker_daily_raw!$B$2:$B$3819)</f>
        <v>226.5</v>
      </c>
      <c r="C1936" s="6">
        <v>51.3</v>
      </c>
    </row>
    <row r="1937" spans="1:3" x14ac:dyDescent="0.25">
      <c r="A1937" s="4">
        <v>38506</v>
      </c>
      <c r="B1937" s="5">
        <f>_xlfn.XLOOKUP(A1937,bunker_daily_raw!$A$2:$A$3819,bunker_daily_raw!$B$2:$B$3819)</f>
        <v>230.25</v>
      </c>
      <c r="C1937" s="6">
        <v>51.9</v>
      </c>
    </row>
    <row r="1938" spans="1:3" x14ac:dyDescent="0.25">
      <c r="A1938" s="4">
        <v>38509</v>
      </c>
      <c r="B1938" s="5">
        <f>_xlfn.XLOOKUP(A1938,bunker_daily_raw!$A$2:$A$3819,bunker_daily_raw!$B$2:$B$3819)</f>
        <v>233</v>
      </c>
      <c r="C1938" s="6">
        <v>52.61</v>
      </c>
    </row>
    <row r="1939" spans="1:3" x14ac:dyDescent="0.25">
      <c r="A1939" s="4">
        <v>38510</v>
      </c>
      <c r="B1939" s="5">
        <f>_xlfn.XLOOKUP(A1939,bunker_daily_raw!$A$2:$A$3819,bunker_daily_raw!$B$2:$B$3819)</f>
        <v>227</v>
      </c>
      <c r="C1939" s="6">
        <v>51.62</v>
      </c>
    </row>
    <row r="1940" spans="1:3" x14ac:dyDescent="0.25">
      <c r="A1940" s="4">
        <v>38511</v>
      </c>
      <c r="B1940" s="5">
        <f>_xlfn.XLOOKUP(A1940,bunker_daily_raw!$A$2:$A$3819,bunker_daily_raw!$B$2:$B$3819)</f>
        <v>224.5</v>
      </c>
      <c r="C1940" s="6">
        <v>51.92</v>
      </c>
    </row>
    <row r="1941" spans="1:3" x14ac:dyDescent="0.25">
      <c r="A1941" s="4">
        <v>38512</v>
      </c>
      <c r="B1941" s="5">
        <f>_xlfn.XLOOKUP(A1941,bunker_daily_raw!$A$2:$A$3819,bunker_daily_raw!$B$2:$B$3819)</f>
        <v>218.5</v>
      </c>
      <c r="C1941" s="6">
        <v>51.36</v>
      </c>
    </row>
    <row r="1942" spans="1:3" x14ac:dyDescent="0.25">
      <c r="A1942" s="4">
        <v>38513</v>
      </c>
      <c r="B1942" s="5">
        <f>_xlfn.XLOOKUP(A1942,bunker_daily_raw!$A$2:$A$3819,bunker_daily_raw!$B$2:$B$3819)</f>
        <v>217.5</v>
      </c>
      <c r="C1942" s="6">
        <v>51.98</v>
      </c>
    </row>
    <row r="1943" spans="1:3" x14ac:dyDescent="0.25">
      <c r="A1943" s="4">
        <v>38516</v>
      </c>
      <c r="B1943" s="5">
        <f>_xlfn.XLOOKUP(A1943,bunker_daily_raw!$A$2:$A$3819,bunker_daily_raw!$B$2:$B$3819)</f>
        <v>218</v>
      </c>
      <c r="C1943" s="6">
        <v>52</v>
      </c>
    </row>
    <row r="1944" spans="1:3" x14ac:dyDescent="0.25">
      <c r="A1944" s="4">
        <v>38517</v>
      </c>
      <c r="B1944" s="5">
        <f>_xlfn.XLOOKUP(A1944,bunker_daily_raw!$A$2:$A$3819,bunker_daily_raw!$B$2:$B$3819)</f>
        <v>229</v>
      </c>
      <c r="C1944" s="6">
        <v>53.52</v>
      </c>
    </row>
    <row r="1945" spans="1:3" x14ac:dyDescent="0.25">
      <c r="A1945" s="4">
        <v>38518</v>
      </c>
      <c r="B1945" s="5">
        <f>_xlfn.XLOOKUP(A1945,bunker_daily_raw!$A$2:$A$3819,bunker_daily_raw!$B$2:$B$3819)</f>
        <v>230.5</v>
      </c>
      <c r="C1945" s="6">
        <v>54.12</v>
      </c>
    </row>
    <row r="1946" spans="1:3" x14ac:dyDescent="0.25">
      <c r="A1946" s="4">
        <v>38519</v>
      </c>
      <c r="B1946" s="5">
        <f>_xlfn.XLOOKUP(A1946,bunker_daily_raw!$A$2:$A$3819,bunker_daily_raw!$B$2:$B$3819)</f>
        <v>228.5</v>
      </c>
      <c r="C1946" s="6">
        <v>54.3</v>
      </c>
    </row>
    <row r="1947" spans="1:3" x14ac:dyDescent="0.25">
      <c r="A1947" s="4">
        <v>38520</v>
      </c>
      <c r="B1947" s="5">
        <f>_xlfn.XLOOKUP(A1947,bunker_daily_raw!$A$2:$A$3819,bunker_daily_raw!$B$2:$B$3819)</f>
        <v>232.5</v>
      </c>
      <c r="C1947" s="6">
        <v>56.92</v>
      </c>
    </row>
    <row r="1948" spans="1:3" x14ac:dyDescent="0.25">
      <c r="A1948" s="4">
        <v>38523</v>
      </c>
      <c r="B1948" s="5">
        <f>_xlfn.XLOOKUP(A1948,bunker_daily_raw!$A$2:$A$3819,bunker_daily_raw!$B$2:$B$3819)</f>
        <v>235.5</v>
      </c>
      <c r="C1948" s="6">
        <v>57.1</v>
      </c>
    </row>
    <row r="1949" spans="1:3" x14ac:dyDescent="0.25">
      <c r="A1949" s="4">
        <v>38524</v>
      </c>
      <c r="B1949" s="5">
        <f>_xlfn.XLOOKUP(A1949,bunker_daily_raw!$A$2:$A$3819,bunker_daily_raw!$B$2:$B$3819)</f>
        <v>236.5</v>
      </c>
      <c r="C1949" s="6">
        <v>57.36</v>
      </c>
    </row>
    <row r="1950" spans="1:3" x14ac:dyDescent="0.25">
      <c r="A1950" s="4">
        <v>38525</v>
      </c>
      <c r="B1950" s="5">
        <f>_xlfn.XLOOKUP(A1950,bunker_daily_raw!$A$2:$A$3819,bunker_daily_raw!$B$2:$B$3819)</f>
        <v>238</v>
      </c>
      <c r="C1950" s="6">
        <v>56.06</v>
      </c>
    </row>
    <row r="1951" spans="1:3" x14ac:dyDescent="0.25">
      <c r="A1951" s="4">
        <v>38526</v>
      </c>
      <c r="B1951" s="5">
        <f>_xlfn.XLOOKUP(A1951,bunker_daily_raw!$A$2:$A$3819,bunker_daily_raw!$B$2:$B$3819)</f>
        <v>243.125</v>
      </c>
      <c r="C1951" s="6">
        <v>57.03</v>
      </c>
    </row>
    <row r="1952" spans="1:3" x14ac:dyDescent="0.25">
      <c r="A1952" s="4">
        <v>38527</v>
      </c>
      <c r="B1952" s="5">
        <f>_xlfn.XLOOKUP(A1952,bunker_daily_raw!$A$2:$A$3819,bunker_daily_raw!$B$2:$B$3819)</f>
        <v>241.75</v>
      </c>
      <c r="C1952" s="6">
        <v>57.21</v>
      </c>
    </row>
    <row r="1953" spans="1:3" x14ac:dyDescent="0.25">
      <c r="A1953" s="4">
        <v>38530</v>
      </c>
      <c r="B1953" s="5">
        <f>_xlfn.XLOOKUP(A1953,bunker_daily_raw!$A$2:$A$3819,bunker_daily_raw!$B$2:$B$3819)</f>
        <v>243</v>
      </c>
      <c r="C1953" s="6">
        <v>58.5</v>
      </c>
    </row>
    <row r="1954" spans="1:3" x14ac:dyDescent="0.25">
      <c r="A1954" s="4">
        <v>38531</v>
      </c>
      <c r="B1954" s="5">
        <f>_xlfn.XLOOKUP(A1954,bunker_daily_raw!$A$2:$A$3819,bunker_daily_raw!$B$2:$B$3819)</f>
        <v>239.5</v>
      </c>
      <c r="C1954" s="6">
        <v>57.75</v>
      </c>
    </row>
    <row r="1955" spans="1:3" x14ac:dyDescent="0.25">
      <c r="A1955" s="4">
        <v>38532</v>
      </c>
      <c r="B1955" s="5">
        <f>_xlfn.XLOOKUP(A1955,bunker_daily_raw!$A$2:$A$3819,bunker_daily_raw!$B$2:$B$3819)</f>
        <v>230</v>
      </c>
      <c r="C1955" s="6">
        <v>55.42</v>
      </c>
    </row>
    <row r="1956" spans="1:3" x14ac:dyDescent="0.25">
      <c r="A1956" s="4">
        <v>38533</v>
      </c>
      <c r="B1956" s="5">
        <f>_xlfn.XLOOKUP(A1956,bunker_daily_raw!$A$2:$A$3819,bunker_daily_raw!$B$2:$B$3819)</f>
        <v>231.25</v>
      </c>
      <c r="C1956" s="6">
        <v>55.36</v>
      </c>
    </row>
    <row r="1957" spans="1:3" x14ac:dyDescent="0.25">
      <c r="A1957" s="4">
        <v>38534</v>
      </c>
      <c r="B1957" s="5">
        <f>_xlfn.XLOOKUP(A1957,bunker_daily_raw!$A$2:$A$3819,bunker_daily_raw!$B$2:$B$3819)</f>
        <v>235</v>
      </c>
      <c r="C1957" s="6">
        <v>56.41</v>
      </c>
    </row>
    <row r="1958" spans="1:3" x14ac:dyDescent="0.25">
      <c r="A1958" s="4">
        <v>38537</v>
      </c>
      <c r="B1958" s="5">
        <f>_xlfn.XLOOKUP(A1958,bunker_daily_raw!$A$2:$A$3819,bunker_daily_raw!$B$2:$B$3819)</f>
        <v>241</v>
      </c>
      <c r="C1958" s="6">
        <v>57.13</v>
      </c>
    </row>
    <row r="1959" spans="1:3" x14ac:dyDescent="0.25">
      <c r="A1959" s="4">
        <v>38538</v>
      </c>
      <c r="B1959" s="5">
        <f>_xlfn.XLOOKUP(A1959,bunker_daily_raw!$A$2:$A$3819,bunker_daily_raw!$B$2:$B$3819)</f>
        <v>253.25</v>
      </c>
      <c r="C1959" s="6">
        <v>57.86</v>
      </c>
    </row>
    <row r="1960" spans="1:3" x14ac:dyDescent="0.25">
      <c r="A1960" s="4">
        <v>38539</v>
      </c>
      <c r="B1960" s="5">
        <f>_xlfn.XLOOKUP(A1960,bunker_daily_raw!$A$2:$A$3819,bunker_daily_raw!$B$2:$B$3819)</f>
        <v>255.5</v>
      </c>
      <c r="C1960" s="6">
        <v>58.38</v>
      </c>
    </row>
    <row r="1961" spans="1:3" x14ac:dyDescent="0.25">
      <c r="A1961" s="4">
        <v>38540</v>
      </c>
      <c r="B1961" s="5">
        <f>_xlfn.XLOOKUP(A1961,bunker_daily_raw!$A$2:$A$3819,bunker_daily_raw!$B$2:$B$3819)</f>
        <v>256.5</v>
      </c>
      <c r="C1961" s="6">
        <v>57.55</v>
      </c>
    </row>
    <row r="1962" spans="1:3" x14ac:dyDescent="0.25">
      <c r="A1962" s="4">
        <v>38541</v>
      </c>
      <c r="B1962" s="5">
        <f>_xlfn.XLOOKUP(A1962,bunker_daily_raw!$A$2:$A$3819,bunker_daily_raw!$B$2:$B$3819)</f>
        <v>254</v>
      </c>
      <c r="C1962" s="6">
        <v>59</v>
      </c>
    </row>
    <row r="1963" spans="1:3" x14ac:dyDescent="0.25">
      <c r="A1963" s="4">
        <v>38544</v>
      </c>
      <c r="B1963" s="5">
        <f>_xlfn.XLOOKUP(A1963,bunker_daily_raw!$A$2:$A$3819,bunker_daily_raw!$B$2:$B$3819)</f>
        <v>245.75</v>
      </c>
      <c r="C1963" s="6">
        <v>56.1</v>
      </c>
    </row>
    <row r="1964" spans="1:3" x14ac:dyDescent="0.25">
      <c r="A1964" s="4">
        <v>38545</v>
      </c>
      <c r="B1964" s="5">
        <f>_xlfn.XLOOKUP(A1964,bunker_daily_raw!$A$2:$A$3819,bunker_daily_raw!$B$2:$B$3819)</f>
        <v>254.25</v>
      </c>
      <c r="C1964" s="6">
        <v>58.95</v>
      </c>
    </row>
    <row r="1965" spans="1:3" x14ac:dyDescent="0.25">
      <c r="A1965" s="4">
        <v>38546</v>
      </c>
      <c r="B1965" s="5">
        <f>_xlfn.XLOOKUP(A1965,bunker_daily_raw!$A$2:$A$3819,bunker_daily_raw!$B$2:$B$3819)</f>
        <v>251</v>
      </c>
      <c r="C1965" s="6">
        <v>58.33</v>
      </c>
    </row>
    <row r="1966" spans="1:3" x14ac:dyDescent="0.25">
      <c r="A1966" s="4">
        <v>38547</v>
      </c>
      <c r="B1966" s="5">
        <f>_xlfn.XLOOKUP(A1966,bunker_daily_raw!$A$2:$A$3819,bunker_daily_raw!$B$2:$B$3819)</f>
        <v>238.25</v>
      </c>
      <c r="C1966" s="6">
        <v>56.79</v>
      </c>
    </row>
    <row r="1967" spans="1:3" x14ac:dyDescent="0.25">
      <c r="A1967" s="4">
        <v>38548</v>
      </c>
      <c r="B1967" s="5">
        <f>_xlfn.XLOOKUP(A1967,bunker_daily_raw!$A$2:$A$3819,bunker_daily_raw!$B$2:$B$3819)</f>
        <v>241.5</v>
      </c>
      <c r="C1967" s="6">
        <v>56.98</v>
      </c>
    </row>
    <row r="1968" spans="1:3" x14ac:dyDescent="0.25">
      <c r="A1968" s="4">
        <v>38551</v>
      </c>
      <c r="B1968" s="5">
        <f>_xlfn.XLOOKUP(A1968,bunker_daily_raw!$A$2:$A$3819,bunker_daily_raw!$B$2:$B$3819)</f>
        <v>237.625</v>
      </c>
      <c r="C1968" s="6">
        <v>56.25</v>
      </c>
    </row>
    <row r="1969" spans="1:3" x14ac:dyDescent="0.25">
      <c r="A1969" s="4">
        <v>38552</v>
      </c>
      <c r="B1969" s="5">
        <f>_xlfn.XLOOKUP(A1969,bunker_daily_raw!$A$2:$A$3819,bunker_daily_raw!$B$2:$B$3819)</f>
        <v>237</v>
      </c>
      <c r="C1969" s="6">
        <v>56.75</v>
      </c>
    </row>
    <row r="1970" spans="1:3" x14ac:dyDescent="0.25">
      <c r="A1970" s="4">
        <v>38553</v>
      </c>
      <c r="B1970" s="5">
        <f>_xlfn.XLOOKUP(A1970,bunker_daily_raw!$A$2:$A$3819,bunker_daily_raw!$B$2:$B$3819)</f>
        <v>236.75</v>
      </c>
      <c r="C1970" s="6">
        <v>56.39</v>
      </c>
    </row>
    <row r="1971" spans="1:3" x14ac:dyDescent="0.25">
      <c r="A1971" s="4">
        <v>38554</v>
      </c>
      <c r="B1971" s="5">
        <f>_xlfn.XLOOKUP(A1971,bunker_daily_raw!$A$2:$A$3819,bunker_daily_raw!$B$2:$B$3819)</f>
        <v>231.75</v>
      </c>
      <c r="C1971" s="6">
        <v>55.59</v>
      </c>
    </row>
    <row r="1972" spans="1:3" x14ac:dyDescent="0.25">
      <c r="A1972" s="4">
        <v>38555</v>
      </c>
      <c r="B1972" s="5">
        <f>_xlfn.XLOOKUP(A1972,bunker_daily_raw!$A$2:$A$3819,bunker_daily_raw!$B$2:$B$3819)</f>
        <v>236.75</v>
      </c>
      <c r="C1972" s="6">
        <v>56.98</v>
      </c>
    </row>
    <row r="1973" spans="1:3" x14ac:dyDescent="0.25">
      <c r="A1973" s="4">
        <v>38558</v>
      </c>
      <c r="B1973" s="5">
        <f>_xlfn.XLOOKUP(A1973,bunker_daily_raw!$A$2:$A$3819,bunker_daily_raw!$B$2:$B$3819)</f>
        <v>241.25</v>
      </c>
      <c r="C1973" s="6">
        <v>57.51</v>
      </c>
    </row>
    <row r="1974" spans="1:3" x14ac:dyDescent="0.25">
      <c r="A1974" s="4">
        <v>38559</v>
      </c>
      <c r="B1974" s="5">
        <f>_xlfn.XLOOKUP(A1974,bunker_daily_raw!$A$2:$A$3819,bunker_daily_raw!$B$2:$B$3819)</f>
        <v>245</v>
      </c>
      <c r="C1974" s="6">
        <v>58.58</v>
      </c>
    </row>
    <row r="1975" spans="1:3" x14ac:dyDescent="0.25">
      <c r="A1975" s="4">
        <v>38560</v>
      </c>
      <c r="B1975" s="5">
        <f>_xlfn.XLOOKUP(A1975,bunker_daily_raw!$A$2:$A$3819,bunker_daily_raw!$B$2:$B$3819)</f>
        <v>239.5</v>
      </c>
      <c r="C1975" s="6">
        <v>58.34</v>
      </c>
    </row>
    <row r="1976" spans="1:3" x14ac:dyDescent="0.25">
      <c r="A1976" s="4">
        <v>38561</v>
      </c>
      <c r="B1976" s="5">
        <f>_xlfn.XLOOKUP(A1976,bunker_daily_raw!$A$2:$A$3819,bunker_daily_raw!$B$2:$B$3819)</f>
        <v>235.75</v>
      </c>
      <c r="C1976" s="6">
        <v>58.28</v>
      </c>
    </row>
    <row r="1977" spans="1:3" x14ac:dyDescent="0.25">
      <c r="A1977" s="4">
        <v>38562</v>
      </c>
      <c r="B1977" s="5">
        <f>_xlfn.XLOOKUP(A1977,bunker_daily_raw!$A$2:$A$3819,bunker_daily_raw!$B$2:$B$3819)</f>
        <v>237.25</v>
      </c>
      <c r="C1977" s="6">
        <v>59.77</v>
      </c>
    </row>
    <row r="1978" spans="1:3" x14ac:dyDescent="0.25">
      <c r="A1978" s="4">
        <v>38565</v>
      </c>
      <c r="B1978" s="5">
        <f>_xlfn.XLOOKUP(A1978,bunker_daily_raw!$A$2:$A$3819,bunker_daily_raw!$B$2:$B$3819)</f>
        <v>243.75</v>
      </c>
      <c r="C1978" s="6">
        <v>60.56</v>
      </c>
    </row>
    <row r="1979" spans="1:3" x14ac:dyDescent="0.25">
      <c r="A1979" s="4">
        <v>38566</v>
      </c>
      <c r="B1979" s="5">
        <f>_xlfn.XLOOKUP(A1979,bunker_daily_raw!$A$2:$A$3819,bunker_daily_raw!$B$2:$B$3819)</f>
        <v>243</v>
      </c>
      <c r="C1979" s="6">
        <v>60.13</v>
      </c>
    </row>
    <row r="1980" spans="1:3" x14ac:dyDescent="0.25">
      <c r="A1980" s="4">
        <v>38567</v>
      </c>
      <c r="B1980" s="5">
        <f>_xlfn.XLOOKUP(A1980,bunker_daily_raw!$A$2:$A$3819,bunker_daily_raw!$B$2:$B$3819)</f>
        <v>241.75</v>
      </c>
      <c r="C1980" s="6">
        <v>60.04</v>
      </c>
    </row>
    <row r="1981" spans="1:3" x14ac:dyDescent="0.25">
      <c r="A1981" s="4">
        <v>38568</v>
      </c>
      <c r="B1981" s="5">
        <f>_xlfn.XLOOKUP(A1981,bunker_daily_raw!$A$2:$A$3819,bunker_daily_raw!$B$2:$B$3819)</f>
        <v>244.75</v>
      </c>
      <c r="C1981" s="6">
        <v>60.62</v>
      </c>
    </row>
    <row r="1982" spans="1:3" x14ac:dyDescent="0.25">
      <c r="A1982" s="4">
        <v>38569</v>
      </c>
      <c r="B1982" s="5">
        <f>_xlfn.XLOOKUP(A1982,bunker_daily_raw!$A$2:$A$3819,bunker_daily_raw!$B$2:$B$3819)</f>
        <v>247.75</v>
      </c>
      <c r="C1982" s="6">
        <v>60.73</v>
      </c>
    </row>
    <row r="1983" spans="1:3" x14ac:dyDescent="0.25">
      <c r="A1983" s="4">
        <v>38572</v>
      </c>
      <c r="B1983" s="5">
        <f>_xlfn.XLOOKUP(A1983,bunker_daily_raw!$A$2:$A$3819,bunker_daily_raw!$B$2:$B$3819)</f>
        <v>259</v>
      </c>
      <c r="C1983" s="6">
        <v>62.56</v>
      </c>
    </row>
    <row r="1984" spans="1:3" x14ac:dyDescent="0.25">
      <c r="A1984" s="4">
        <v>38573</v>
      </c>
      <c r="B1984" s="5">
        <f>_xlfn.XLOOKUP(A1984,bunker_daily_raw!$A$2:$A$3819,bunker_daily_raw!$B$2:$B$3819)</f>
        <v>257</v>
      </c>
      <c r="C1984" s="6">
        <v>62.79</v>
      </c>
    </row>
    <row r="1985" spans="1:3" x14ac:dyDescent="0.25">
      <c r="A1985" s="4">
        <v>38574</v>
      </c>
      <c r="B1985" s="5">
        <f>_xlfn.XLOOKUP(A1985,bunker_daily_raw!$A$2:$A$3819,bunker_daily_raw!$B$2:$B$3819)</f>
        <v>258</v>
      </c>
      <c r="C1985" s="6">
        <v>63.77</v>
      </c>
    </row>
    <row r="1986" spans="1:3" x14ac:dyDescent="0.25">
      <c r="A1986" s="4">
        <v>38575</v>
      </c>
      <c r="B1986" s="5">
        <f>_xlfn.XLOOKUP(A1986,bunker_daily_raw!$A$2:$A$3819,bunker_daily_raw!$B$2:$B$3819)</f>
        <v>264.5</v>
      </c>
      <c r="C1986" s="6">
        <v>65.900000000000006</v>
      </c>
    </row>
    <row r="1987" spans="1:3" x14ac:dyDescent="0.25">
      <c r="A1987" s="4">
        <v>38576</v>
      </c>
      <c r="B1987" s="5">
        <f>_xlfn.XLOOKUP(A1987,bunker_daily_raw!$A$2:$A$3819,bunker_daily_raw!$B$2:$B$3819)</f>
        <v>265</v>
      </c>
      <c r="C1987" s="6">
        <v>67.260000000000005</v>
      </c>
    </row>
    <row r="1988" spans="1:3" x14ac:dyDescent="0.25">
      <c r="A1988" s="4">
        <v>38579</v>
      </c>
      <c r="B1988" s="5">
        <f>_xlfn.XLOOKUP(A1988,bunker_daily_raw!$A$2:$A$3819,bunker_daily_raw!$B$2:$B$3819)</f>
        <v>262.25</v>
      </c>
      <c r="C1988" s="6">
        <v>66.680000000000007</v>
      </c>
    </row>
    <row r="1989" spans="1:3" x14ac:dyDescent="0.25">
      <c r="A1989" s="4">
        <v>38580</v>
      </c>
      <c r="B1989" s="5">
        <f>_xlfn.XLOOKUP(A1989,bunker_daily_raw!$A$2:$A$3819,bunker_daily_raw!$B$2:$B$3819)</f>
        <v>260.75</v>
      </c>
      <c r="C1989" s="6">
        <v>65.099999999999994</v>
      </c>
    </row>
    <row r="1990" spans="1:3" x14ac:dyDescent="0.25">
      <c r="A1990" s="4">
        <v>38581</v>
      </c>
      <c r="B1990" s="5">
        <f>_xlfn.XLOOKUP(A1990,bunker_daily_raw!$A$2:$A$3819,bunker_daily_raw!$B$2:$B$3819)</f>
        <v>255</v>
      </c>
      <c r="C1990" s="6">
        <v>63.41</v>
      </c>
    </row>
    <row r="1991" spans="1:3" x14ac:dyDescent="0.25">
      <c r="A1991" s="4">
        <v>38582</v>
      </c>
      <c r="B1991" s="5">
        <f>_xlfn.XLOOKUP(A1991,bunker_daily_raw!$A$2:$A$3819,bunker_daily_raw!$B$2:$B$3819)</f>
        <v>255</v>
      </c>
      <c r="C1991" s="6">
        <v>61.75</v>
      </c>
    </row>
    <row r="1992" spans="1:3" x14ac:dyDescent="0.25">
      <c r="A1992" s="4">
        <v>38583</v>
      </c>
      <c r="B1992" s="5">
        <f>_xlfn.XLOOKUP(A1992,bunker_daily_raw!$A$2:$A$3819,bunker_daily_raw!$B$2:$B$3819)</f>
        <v>264</v>
      </c>
      <c r="C1992" s="6">
        <v>64.209999999999994</v>
      </c>
    </row>
    <row r="1993" spans="1:3" x14ac:dyDescent="0.25">
      <c r="A1993" s="4">
        <v>38586</v>
      </c>
      <c r="B1993" s="5">
        <f>_xlfn.XLOOKUP(A1993,bunker_daily_raw!$A$2:$A$3819,bunker_daily_raw!$B$2:$B$3819)</f>
        <v>266.75</v>
      </c>
      <c r="C1993" s="6">
        <v>65.87</v>
      </c>
    </row>
    <row r="1994" spans="1:3" x14ac:dyDescent="0.25">
      <c r="A1994" s="4">
        <v>38587</v>
      </c>
      <c r="B1994" s="5">
        <f>_xlfn.XLOOKUP(A1994,bunker_daily_raw!$A$2:$A$3819,bunker_daily_raw!$B$2:$B$3819)</f>
        <v>267.25</v>
      </c>
      <c r="C1994" s="6">
        <v>65.16</v>
      </c>
    </row>
    <row r="1995" spans="1:3" x14ac:dyDescent="0.25">
      <c r="A1995" s="4">
        <v>38588</v>
      </c>
      <c r="B1995" s="5">
        <f>_xlfn.XLOOKUP(A1995,bunker_daily_raw!$A$2:$A$3819,bunker_daily_raw!$B$2:$B$3819)</f>
        <v>268</v>
      </c>
      <c r="C1995" s="6">
        <v>65.25</v>
      </c>
    </row>
    <row r="1996" spans="1:3" x14ac:dyDescent="0.25">
      <c r="A1996" s="4">
        <v>38589</v>
      </c>
      <c r="B1996" s="5">
        <f>_xlfn.XLOOKUP(A1996,bunker_daily_raw!$A$2:$A$3819,bunker_daily_raw!$B$2:$B$3819)</f>
        <v>268.75</v>
      </c>
      <c r="C1996" s="6">
        <v>65.88</v>
      </c>
    </row>
    <row r="1997" spans="1:3" x14ac:dyDescent="0.25">
      <c r="A1997" s="4">
        <v>38590</v>
      </c>
      <c r="B1997" s="5">
        <f>_xlfn.XLOOKUP(A1997,bunker_daily_raw!$A$2:$A$3819,bunker_daily_raw!$B$2:$B$3819)</f>
        <v>268</v>
      </c>
      <c r="C1997" s="6">
        <v>66.23</v>
      </c>
    </row>
    <row r="1998" spans="1:3" x14ac:dyDescent="0.25">
      <c r="A1998" s="4">
        <v>38593</v>
      </c>
      <c r="B1998" s="5" t="e">
        <f>_xlfn.XLOOKUP(A1998,bunker_daily_raw!$A$2:$A$3819,bunker_daily_raw!$B$2:$B$3819)</f>
        <v>#N/A</v>
      </c>
      <c r="C1998" s="6">
        <v>64.77</v>
      </c>
    </row>
    <row r="1999" spans="1:3" x14ac:dyDescent="0.25">
      <c r="A1999" s="4">
        <v>38594</v>
      </c>
      <c r="B1999" s="5">
        <f>_xlfn.XLOOKUP(A1999,bunker_daily_raw!$A$2:$A$3819,bunker_daily_raw!$B$2:$B$3819)</f>
        <v>275.75</v>
      </c>
      <c r="C1999" s="6">
        <v>66.150000000000006</v>
      </c>
    </row>
    <row r="2000" spans="1:3" x14ac:dyDescent="0.25">
      <c r="A2000" s="4">
        <v>38595</v>
      </c>
      <c r="B2000" s="5">
        <f>_xlfn.XLOOKUP(A2000,bunker_daily_raw!$A$2:$A$3819,bunker_daily_raw!$B$2:$B$3819)</f>
        <v>281.25</v>
      </c>
      <c r="C2000" s="6">
        <v>66.8</v>
      </c>
    </row>
    <row r="2001" spans="1:3" x14ac:dyDescent="0.25">
      <c r="A2001" s="4">
        <v>38596</v>
      </c>
      <c r="B2001" s="5">
        <f>_xlfn.XLOOKUP(A2001,bunker_daily_raw!$A$2:$A$3819,bunker_daily_raw!$B$2:$B$3819)</f>
        <v>291.5</v>
      </c>
      <c r="C2001" s="6">
        <v>66.790000000000006</v>
      </c>
    </row>
    <row r="2002" spans="1:3" x14ac:dyDescent="0.25">
      <c r="A2002" s="4">
        <v>38597</v>
      </c>
      <c r="B2002" s="5">
        <f>_xlfn.XLOOKUP(A2002,bunker_daily_raw!$A$2:$A$3819,bunker_daily_raw!$B$2:$B$3819)</f>
        <v>284.25</v>
      </c>
      <c r="C2002" s="6">
        <v>65.95</v>
      </c>
    </row>
    <row r="2003" spans="1:3" x14ac:dyDescent="0.25">
      <c r="A2003" s="4">
        <v>38600</v>
      </c>
      <c r="B2003" s="5">
        <f>_xlfn.XLOOKUP(A2003,bunker_daily_raw!$A$2:$A$3819,bunker_daily_raw!$B$2:$B$3819)</f>
        <v>288.75</v>
      </c>
      <c r="C2003" s="6">
        <v>64.16</v>
      </c>
    </row>
    <row r="2004" spans="1:3" x14ac:dyDescent="0.25">
      <c r="A2004" s="4">
        <v>38601</v>
      </c>
      <c r="B2004" s="5">
        <f>_xlfn.XLOOKUP(A2004,bunker_daily_raw!$A$2:$A$3819,bunker_daily_raw!$B$2:$B$3819)</f>
        <v>291.5</v>
      </c>
      <c r="C2004" s="6">
        <v>64.16</v>
      </c>
    </row>
    <row r="2005" spans="1:3" x14ac:dyDescent="0.25">
      <c r="A2005" s="4">
        <v>38602</v>
      </c>
      <c r="B2005" s="5">
        <f>_xlfn.XLOOKUP(A2005,bunker_daily_raw!$A$2:$A$3819,bunker_daily_raw!$B$2:$B$3819)</f>
        <v>286</v>
      </c>
      <c r="C2005" s="6">
        <v>63.6</v>
      </c>
    </row>
    <row r="2006" spans="1:3" x14ac:dyDescent="0.25">
      <c r="A2006" s="4">
        <v>38603</v>
      </c>
      <c r="B2006" s="5">
        <f>_xlfn.XLOOKUP(A2006,bunker_daily_raw!$A$2:$A$3819,bunker_daily_raw!$B$2:$B$3819)</f>
        <v>271.5</v>
      </c>
      <c r="C2006" s="6">
        <v>61.66</v>
      </c>
    </row>
    <row r="2007" spans="1:3" x14ac:dyDescent="0.25">
      <c r="A2007" s="4">
        <v>38604</v>
      </c>
      <c r="B2007" s="5">
        <f>_xlfn.XLOOKUP(A2007,bunker_daily_raw!$A$2:$A$3819,bunker_daily_raw!$B$2:$B$3819)</f>
        <v>263.75</v>
      </c>
      <c r="C2007" s="6">
        <v>62.62</v>
      </c>
    </row>
    <row r="2008" spans="1:3" x14ac:dyDescent="0.25">
      <c r="A2008" s="4">
        <v>38607</v>
      </c>
      <c r="B2008" s="5">
        <f>_xlfn.XLOOKUP(A2008,bunker_daily_raw!$A$2:$A$3819,bunker_daily_raw!$B$2:$B$3819)</f>
        <v>254.5</v>
      </c>
      <c r="C2008" s="6">
        <v>60.69</v>
      </c>
    </row>
    <row r="2009" spans="1:3" x14ac:dyDescent="0.25">
      <c r="A2009" s="4">
        <v>38608</v>
      </c>
      <c r="B2009" s="5">
        <f>_xlfn.XLOOKUP(A2009,bunker_daily_raw!$A$2:$A$3819,bunker_daily_raw!$B$2:$B$3819)</f>
        <v>258.25</v>
      </c>
      <c r="C2009" s="6">
        <v>61.31</v>
      </c>
    </row>
    <row r="2010" spans="1:3" x14ac:dyDescent="0.25">
      <c r="A2010" s="4">
        <v>38609</v>
      </c>
      <c r="B2010" s="5">
        <f>_xlfn.XLOOKUP(A2010,bunker_daily_raw!$A$2:$A$3819,bunker_daily_raw!$B$2:$B$3819)</f>
        <v>273.25</v>
      </c>
      <c r="C2010" s="6">
        <v>61.7</v>
      </c>
    </row>
    <row r="2011" spans="1:3" x14ac:dyDescent="0.25">
      <c r="A2011" s="4">
        <v>38610</v>
      </c>
      <c r="B2011" s="5">
        <f>_xlfn.XLOOKUP(A2011,bunker_daily_raw!$A$2:$A$3819,bunker_daily_raw!$B$2:$B$3819)</f>
        <v>278.25</v>
      </c>
      <c r="C2011" s="6">
        <v>61.9</v>
      </c>
    </row>
    <row r="2012" spans="1:3" x14ac:dyDescent="0.25">
      <c r="A2012" s="4">
        <v>38611</v>
      </c>
      <c r="B2012" s="5">
        <f>_xlfn.XLOOKUP(A2012,bunker_daily_raw!$A$2:$A$3819,bunker_daily_raw!$B$2:$B$3819)</f>
        <v>263</v>
      </c>
      <c r="C2012" s="6">
        <v>60.48</v>
      </c>
    </row>
    <row r="2013" spans="1:3" x14ac:dyDescent="0.25">
      <c r="A2013" s="4">
        <v>38614</v>
      </c>
      <c r="B2013" s="5">
        <f>_xlfn.XLOOKUP(A2013,bunker_daily_raw!$A$2:$A$3819,bunker_daily_raw!$B$2:$B$3819)</f>
        <v>277.25</v>
      </c>
      <c r="C2013" s="6">
        <v>64.040000000000006</v>
      </c>
    </row>
    <row r="2014" spans="1:3" x14ac:dyDescent="0.25">
      <c r="A2014" s="4">
        <v>38615</v>
      </c>
      <c r="B2014" s="5">
        <f>_xlfn.XLOOKUP(A2014,bunker_daily_raw!$A$2:$A$3819,bunker_daily_raw!$B$2:$B$3819)</f>
        <v>272.875</v>
      </c>
      <c r="C2014" s="6">
        <v>62.98</v>
      </c>
    </row>
    <row r="2015" spans="1:3" x14ac:dyDescent="0.25">
      <c r="A2015" s="4">
        <v>38616</v>
      </c>
      <c r="B2015" s="5">
        <f>_xlfn.XLOOKUP(A2015,bunker_daily_raw!$A$2:$A$3819,bunker_daily_raw!$B$2:$B$3819)</f>
        <v>282.5</v>
      </c>
      <c r="C2015" s="6">
        <v>64.31</v>
      </c>
    </row>
    <row r="2016" spans="1:3" x14ac:dyDescent="0.25">
      <c r="A2016" s="4">
        <v>38617</v>
      </c>
      <c r="B2016" s="5">
        <f>_xlfn.XLOOKUP(A2016,bunker_daily_raw!$A$2:$A$3819,bunker_daily_raw!$B$2:$B$3819)</f>
        <v>288.5</v>
      </c>
      <c r="C2016" s="6">
        <v>64.64</v>
      </c>
    </row>
    <row r="2017" spans="1:3" x14ac:dyDescent="0.25">
      <c r="A2017" s="4">
        <v>38618</v>
      </c>
      <c r="B2017" s="5">
        <f>_xlfn.XLOOKUP(A2017,bunker_daily_raw!$A$2:$A$3819,bunker_daily_raw!$B$2:$B$3819)</f>
        <v>274</v>
      </c>
      <c r="C2017" s="6">
        <v>62.17</v>
      </c>
    </row>
    <row r="2018" spans="1:3" x14ac:dyDescent="0.25">
      <c r="A2018" s="4">
        <v>38621</v>
      </c>
      <c r="B2018" s="5">
        <f>_xlfn.XLOOKUP(A2018,bunker_daily_raw!$A$2:$A$3819,bunker_daily_raw!$B$2:$B$3819)</f>
        <v>277</v>
      </c>
      <c r="C2018" s="6">
        <v>61.73</v>
      </c>
    </row>
    <row r="2019" spans="1:3" x14ac:dyDescent="0.25">
      <c r="A2019" s="4">
        <v>38622</v>
      </c>
      <c r="B2019" s="5">
        <f>_xlfn.XLOOKUP(A2019,bunker_daily_raw!$A$2:$A$3819,bunker_daily_raw!$B$2:$B$3819)</f>
        <v>277</v>
      </c>
      <c r="C2019" s="6">
        <v>62.56</v>
      </c>
    </row>
    <row r="2020" spans="1:3" x14ac:dyDescent="0.25">
      <c r="A2020" s="4">
        <v>38623</v>
      </c>
      <c r="B2020" s="5">
        <f>_xlfn.XLOOKUP(A2020,bunker_daily_raw!$A$2:$A$3819,bunker_daily_raw!$B$2:$B$3819)</f>
        <v>283</v>
      </c>
      <c r="C2020" s="6">
        <v>62.81</v>
      </c>
    </row>
    <row r="2021" spans="1:3" x14ac:dyDescent="0.25">
      <c r="A2021" s="4">
        <v>38624</v>
      </c>
      <c r="B2021" s="5">
        <f>_xlfn.XLOOKUP(A2021,bunker_daily_raw!$A$2:$A$3819,bunker_daily_raw!$B$2:$B$3819)</f>
        <v>280.75</v>
      </c>
      <c r="C2021" s="6">
        <v>62.02</v>
      </c>
    </row>
    <row r="2022" spans="1:3" x14ac:dyDescent="0.25">
      <c r="A2022" s="4">
        <v>38625</v>
      </c>
      <c r="B2022" s="5">
        <f>_xlfn.XLOOKUP(A2022,bunker_daily_raw!$A$2:$A$3819,bunker_daily_raw!$B$2:$B$3819)</f>
        <v>279.5</v>
      </c>
      <c r="C2022" s="6">
        <v>61.7</v>
      </c>
    </row>
    <row r="2023" spans="1:3" x14ac:dyDescent="0.25">
      <c r="A2023" s="4">
        <v>38628</v>
      </c>
      <c r="B2023" s="5">
        <f>_xlfn.XLOOKUP(A2023,bunker_daily_raw!$A$2:$A$3819,bunker_daily_raw!$B$2:$B$3819)</f>
        <v>278</v>
      </c>
      <c r="C2023" s="6">
        <v>61.64</v>
      </c>
    </row>
    <row r="2024" spans="1:3" x14ac:dyDescent="0.25">
      <c r="A2024" s="4">
        <v>38629</v>
      </c>
      <c r="B2024" s="5">
        <f>_xlfn.XLOOKUP(A2024,bunker_daily_raw!$A$2:$A$3819,bunker_daily_raw!$B$2:$B$3819)</f>
        <v>265</v>
      </c>
      <c r="C2024" s="6">
        <v>59.17</v>
      </c>
    </row>
    <row r="2025" spans="1:3" x14ac:dyDescent="0.25">
      <c r="A2025" s="4">
        <v>38630</v>
      </c>
      <c r="B2025" s="5">
        <f>_xlfn.XLOOKUP(A2025,bunker_daily_raw!$A$2:$A$3819,bunker_daily_raw!$B$2:$B$3819)</f>
        <v>266.5</v>
      </c>
      <c r="C2025" s="6">
        <v>59.33</v>
      </c>
    </row>
    <row r="2026" spans="1:3" x14ac:dyDescent="0.25">
      <c r="A2026" s="4">
        <v>38631</v>
      </c>
      <c r="B2026" s="5">
        <f>_xlfn.XLOOKUP(A2026,bunker_daily_raw!$A$2:$A$3819,bunker_daily_raw!$B$2:$B$3819)</f>
        <v>257.5</v>
      </c>
      <c r="C2026" s="6">
        <v>57.2</v>
      </c>
    </row>
    <row r="2027" spans="1:3" x14ac:dyDescent="0.25">
      <c r="A2027" s="4">
        <v>38632</v>
      </c>
      <c r="B2027" s="5">
        <f>_xlfn.XLOOKUP(A2027,bunker_daily_raw!$A$2:$A$3819,bunker_daily_raw!$B$2:$B$3819)</f>
        <v>262</v>
      </c>
      <c r="C2027" s="6">
        <v>57.29</v>
      </c>
    </row>
    <row r="2028" spans="1:3" x14ac:dyDescent="0.25">
      <c r="A2028" s="4">
        <v>38635</v>
      </c>
      <c r="B2028" s="5">
        <f>_xlfn.XLOOKUP(A2028,bunker_daily_raw!$A$2:$A$3819,bunker_daily_raw!$B$2:$B$3819)</f>
        <v>263.75</v>
      </c>
      <c r="C2028" s="6">
        <v>57.01</v>
      </c>
    </row>
    <row r="2029" spans="1:3" x14ac:dyDescent="0.25">
      <c r="A2029" s="4">
        <v>38636</v>
      </c>
      <c r="B2029" s="5">
        <f>_xlfn.XLOOKUP(A2029,bunker_daily_raw!$A$2:$A$3819,bunker_daily_raw!$B$2:$B$3819)</f>
        <v>274</v>
      </c>
      <c r="C2029" s="6">
        <v>58.1</v>
      </c>
    </row>
    <row r="2030" spans="1:3" x14ac:dyDescent="0.25">
      <c r="A2030" s="4">
        <v>38637</v>
      </c>
      <c r="B2030" s="5">
        <f>_xlfn.XLOOKUP(A2030,bunker_daily_raw!$A$2:$A$3819,bunker_daily_raw!$B$2:$B$3819)</f>
        <v>276</v>
      </c>
      <c r="C2030" s="6">
        <v>59.91</v>
      </c>
    </row>
    <row r="2031" spans="1:3" x14ac:dyDescent="0.25">
      <c r="A2031" s="4">
        <v>38638</v>
      </c>
      <c r="B2031" s="5">
        <f>_xlfn.XLOOKUP(A2031,bunker_daily_raw!$A$2:$A$3819,bunker_daily_raw!$B$2:$B$3819)</f>
        <v>275.5</v>
      </c>
      <c r="C2031" s="6">
        <v>59.48</v>
      </c>
    </row>
    <row r="2032" spans="1:3" x14ac:dyDescent="0.25">
      <c r="A2032" s="4">
        <v>38639</v>
      </c>
      <c r="B2032" s="5">
        <f>_xlfn.XLOOKUP(A2032,bunker_daily_raw!$A$2:$A$3819,bunker_daily_raw!$B$2:$B$3819)</f>
        <v>261.75</v>
      </c>
      <c r="C2032" s="6">
        <v>58.45</v>
      </c>
    </row>
    <row r="2033" spans="1:3" x14ac:dyDescent="0.25">
      <c r="A2033" s="4">
        <v>38642</v>
      </c>
      <c r="B2033" s="5">
        <f>_xlfn.XLOOKUP(A2033,bunker_daily_raw!$A$2:$A$3819,bunker_daily_raw!$B$2:$B$3819)</f>
        <v>266.5</v>
      </c>
      <c r="C2033" s="6">
        <v>59.81</v>
      </c>
    </row>
    <row r="2034" spans="1:3" x14ac:dyDescent="0.25">
      <c r="A2034" s="4">
        <v>38643</v>
      </c>
      <c r="B2034" s="5">
        <f>_xlfn.XLOOKUP(A2034,bunker_daily_raw!$A$2:$A$3819,bunker_daily_raw!$B$2:$B$3819)</f>
        <v>261</v>
      </c>
      <c r="C2034" s="6">
        <v>58.85</v>
      </c>
    </row>
    <row r="2035" spans="1:3" x14ac:dyDescent="0.25">
      <c r="A2035" s="4">
        <v>38644</v>
      </c>
      <c r="B2035" s="5">
        <f>_xlfn.XLOOKUP(A2035,bunker_daily_raw!$A$2:$A$3819,bunker_daily_raw!$B$2:$B$3819)</f>
        <v>257</v>
      </c>
      <c r="C2035" s="6">
        <v>58.13</v>
      </c>
    </row>
    <row r="2036" spans="1:3" x14ac:dyDescent="0.25">
      <c r="A2036" s="4">
        <v>38645</v>
      </c>
      <c r="B2036" s="5">
        <f>_xlfn.XLOOKUP(A2036,bunker_daily_raw!$A$2:$A$3819,bunker_daily_raw!$B$2:$B$3819)</f>
        <v>257</v>
      </c>
      <c r="C2036" s="6">
        <v>57.04</v>
      </c>
    </row>
    <row r="2037" spans="1:3" x14ac:dyDescent="0.25">
      <c r="A2037" s="4">
        <v>38646</v>
      </c>
      <c r="B2037" s="5">
        <f>_xlfn.XLOOKUP(A2037,bunker_daily_raw!$A$2:$A$3819,bunker_daily_raw!$B$2:$B$3819)</f>
        <v>257.25</v>
      </c>
      <c r="C2037" s="6">
        <v>56.94</v>
      </c>
    </row>
    <row r="2038" spans="1:3" x14ac:dyDescent="0.25">
      <c r="A2038" s="4">
        <v>38649</v>
      </c>
      <c r="B2038" s="5">
        <f>_xlfn.XLOOKUP(A2038,bunker_daily_raw!$A$2:$A$3819,bunker_daily_raw!$B$2:$B$3819)</f>
        <v>261.25</v>
      </c>
      <c r="C2038" s="6">
        <v>57.64</v>
      </c>
    </row>
    <row r="2039" spans="1:3" x14ac:dyDescent="0.25">
      <c r="A2039" s="4">
        <v>38650</v>
      </c>
      <c r="B2039" s="5">
        <f>_xlfn.XLOOKUP(A2039,bunker_daily_raw!$A$2:$A$3819,bunker_daily_raw!$B$2:$B$3819)</f>
        <v>266.5</v>
      </c>
      <c r="C2039" s="6">
        <v>58.72</v>
      </c>
    </row>
    <row r="2040" spans="1:3" x14ac:dyDescent="0.25">
      <c r="A2040" s="4">
        <v>38651</v>
      </c>
      <c r="B2040" s="5">
        <f>_xlfn.XLOOKUP(A2040,bunker_daily_raw!$A$2:$A$3819,bunker_daily_raw!$B$2:$B$3819)</f>
        <v>271</v>
      </c>
      <c r="C2040" s="6">
        <v>58.56</v>
      </c>
    </row>
    <row r="2041" spans="1:3" x14ac:dyDescent="0.25">
      <c r="A2041" s="4">
        <v>38652</v>
      </c>
      <c r="B2041" s="5">
        <f>_xlfn.XLOOKUP(A2041,bunker_daily_raw!$A$2:$A$3819,bunker_daily_raw!$B$2:$B$3819)</f>
        <v>264</v>
      </c>
      <c r="C2041" s="6">
        <v>58.1</v>
      </c>
    </row>
    <row r="2042" spans="1:3" x14ac:dyDescent="0.25">
      <c r="A2042" s="4">
        <v>38653</v>
      </c>
      <c r="B2042" s="5">
        <f>_xlfn.XLOOKUP(A2042,bunker_daily_raw!$A$2:$A$3819,bunker_daily_raw!$B$2:$B$3819)</f>
        <v>259.75</v>
      </c>
      <c r="C2042" s="6">
        <v>59.47</v>
      </c>
    </row>
    <row r="2043" spans="1:3" x14ac:dyDescent="0.25">
      <c r="A2043" s="4">
        <v>38656</v>
      </c>
      <c r="B2043" s="5">
        <f>_xlfn.XLOOKUP(A2043,bunker_daily_raw!$A$2:$A$3819,bunker_daily_raw!$B$2:$B$3819)</f>
        <v>257</v>
      </c>
      <c r="C2043" s="6">
        <v>58.47</v>
      </c>
    </row>
    <row r="2044" spans="1:3" x14ac:dyDescent="0.25">
      <c r="A2044" s="4">
        <v>38657</v>
      </c>
      <c r="B2044" s="5">
        <f>_xlfn.XLOOKUP(A2044,bunker_daily_raw!$A$2:$A$3819,bunker_daily_raw!$B$2:$B$3819)</f>
        <v>256.25</v>
      </c>
      <c r="C2044" s="6">
        <v>56.69</v>
      </c>
    </row>
    <row r="2045" spans="1:3" x14ac:dyDescent="0.25">
      <c r="A2045" s="4">
        <v>38658</v>
      </c>
      <c r="B2045" s="5">
        <f>_xlfn.XLOOKUP(A2045,bunker_daily_raw!$A$2:$A$3819,bunker_daily_raw!$B$2:$B$3819)</f>
        <v>259</v>
      </c>
      <c r="C2045" s="6">
        <v>58.53</v>
      </c>
    </row>
    <row r="2046" spans="1:3" x14ac:dyDescent="0.25">
      <c r="A2046" s="4">
        <v>38659</v>
      </c>
      <c r="B2046" s="5">
        <f>_xlfn.XLOOKUP(A2046,bunker_daily_raw!$A$2:$A$3819,bunker_daily_raw!$B$2:$B$3819)</f>
        <v>258.5</v>
      </c>
      <c r="C2046" s="6">
        <v>59.55</v>
      </c>
    </row>
    <row r="2047" spans="1:3" x14ac:dyDescent="0.25">
      <c r="A2047" s="4">
        <v>38660</v>
      </c>
      <c r="B2047" s="5">
        <f>_xlfn.XLOOKUP(A2047,bunker_daily_raw!$A$2:$A$3819,bunker_daily_raw!$B$2:$B$3819)</f>
        <v>257</v>
      </c>
      <c r="C2047" s="6">
        <v>60.48</v>
      </c>
    </row>
    <row r="2048" spans="1:3" x14ac:dyDescent="0.25">
      <c r="A2048" s="4">
        <v>38663</v>
      </c>
      <c r="B2048" s="5">
        <f>_xlfn.XLOOKUP(A2048,bunker_daily_raw!$A$2:$A$3819,bunker_daily_raw!$B$2:$B$3819)</f>
        <v>251.25</v>
      </c>
      <c r="C2048" s="6">
        <v>58.19</v>
      </c>
    </row>
    <row r="2049" spans="1:3" x14ac:dyDescent="0.25">
      <c r="A2049" s="4">
        <v>38664</v>
      </c>
      <c r="B2049" s="5">
        <f>_xlfn.XLOOKUP(A2049,bunker_daily_raw!$A$2:$A$3819,bunker_daily_raw!$B$2:$B$3819)</f>
        <v>253.25</v>
      </c>
      <c r="C2049" s="6">
        <v>57.89</v>
      </c>
    </row>
    <row r="2050" spans="1:3" x14ac:dyDescent="0.25">
      <c r="A2050" s="4">
        <v>38665</v>
      </c>
      <c r="B2050" s="5">
        <f>_xlfn.XLOOKUP(A2050,bunker_daily_raw!$A$2:$A$3819,bunker_daily_raw!$B$2:$B$3819)</f>
        <v>253.5</v>
      </c>
      <c r="C2050" s="6">
        <v>57.71</v>
      </c>
    </row>
    <row r="2051" spans="1:3" x14ac:dyDescent="0.25">
      <c r="A2051" s="4">
        <v>38666</v>
      </c>
      <c r="B2051" s="5">
        <f>_xlfn.XLOOKUP(A2051,bunker_daily_raw!$A$2:$A$3819,bunker_daily_raw!$B$2:$B$3819)</f>
        <v>246</v>
      </c>
      <c r="C2051" s="6">
        <v>55.85</v>
      </c>
    </row>
    <row r="2052" spans="1:3" x14ac:dyDescent="0.25">
      <c r="A2052" s="4">
        <v>38667</v>
      </c>
      <c r="B2052" s="5">
        <f>_xlfn.XLOOKUP(A2052,bunker_daily_raw!$A$2:$A$3819,bunker_daily_raw!$B$2:$B$3819)</f>
        <v>241.5</v>
      </c>
      <c r="C2052" s="6">
        <v>54.3</v>
      </c>
    </row>
    <row r="2053" spans="1:3" x14ac:dyDescent="0.25">
      <c r="A2053" s="4">
        <v>38670</v>
      </c>
      <c r="B2053" s="5">
        <f>_xlfn.XLOOKUP(A2053,bunker_daily_raw!$A$2:$A$3819,bunker_daily_raw!$B$2:$B$3819)</f>
        <v>244</v>
      </c>
      <c r="C2053" s="6">
        <v>54.1</v>
      </c>
    </row>
    <row r="2054" spans="1:3" x14ac:dyDescent="0.25">
      <c r="A2054" s="4">
        <v>38671</v>
      </c>
      <c r="B2054" s="5">
        <f>_xlfn.XLOOKUP(A2054,bunker_daily_raw!$A$2:$A$3819,bunker_daily_raw!$B$2:$B$3819)</f>
        <v>247.5</v>
      </c>
      <c r="C2054" s="6">
        <v>54.45</v>
      </c>
    </row>
    <row r="2055" spans="1:3" x14ac:dyDescent="0.25">
      <c r="A2055" s="4">
        <v>38672</v>
      </c>
      <c r="B2055" s="5">
        <f>_xlfn.XLOOKUP(A2055,bunker_daily_raw!$A$2:$A$3819,bunker_daily_raw!$B$2:$B$3819)</f>
        <v>247.25</v>
      </c>
      <c r="C2055" s="6">
        <v>53.68</v>
      </c>
    </row>
    <row r="2056" spans="1:3" x14ac:dyDescent="0.25">
      <c r="A2056" s="4">
        <v>38673</v>
      </c>
      <c r="B2056" s="5">
        <f>_xlfn.XLOOKUP(A2056,bunker_daily_raw!$A$2:$A$3819,bunker_daily_raw!$B$2:$B$3819)</f>
        <v>249</v>
      </c>
      <c r="C2056" s="6">
        <v>53.8</v>
      </c>
    </row>
    <row r="2057" spans="1:3" x14ac:dyDescent="0.25">
      <c r="A2057" s="4">
        <v>38674</v>
      </c>
      <c r="B2057" s="5">
        <f>_xlfn.XLOOKUP(A2057,bunker_daily_raw!$A$2:$A$3819,bunker_daily_raw!$B$2:$B$3819)</f>
        <v>243.25</v>
      </c>
      <c r="C2057" s="6">
        <v>52.84</v>
      </c>
    </row>
    <row r="2058" spans="1:3" x14ac:dyDescent="0.25">
      <c r="A2058" s="4">
        <v>38677</v>
      </c>
      <c r="B2058" s="5">
        <f>_xlfn.XLOOKUP(A2058,bunker_daily_raw!$A$2:$A$3819,bunker_daily_raw!$B$2:$B$3819)</f>
        <v>245.5</v>
      </c>
      <c r="C2058" s="6">
        <v>53.36</v>
      </c>
    </row>
    <row r="2059" spans="1:3" x14ac:dyDescent="0.25">
      <c r="A2059" s="4">
        <v>38678</v>
      </c>
      <c r="B2059" s="5">
        <f>_xlfn.XLOOKUP(A2059,bunker_daily_raw!$A$2:$A$3819,bunker_daily_raw!$B$2:$B$3819)</f>
        <v>252.5</v>
      </c>
      <c r="C2059" s="6">
        <v>54.21</v>
      </c>
    </row>
    <row r="2060" spans="1:3" x14ac:dyDescent="0.25">
      <c r="A2060" s="4">
        <v>38679</v>
      </c>
      <c r="B2060" s="5">
        <f>_xlfn.XLOOKUP(A2060,bunker_daily_raw!$A$2:$A$3819,bunker_daily_raw!$B$2:$B$3819)</f>
        <v>248.5</v>
      </c>
      <c r="C2060" s="6">
        <v>53.73</v>
      </c>
    </row>
    <row r="2061" spans="1:3" x14ac:dyDescent="0.25">
      <c r="A2061" s="4">
        <v>38680</v>
      </c>
      <c r="B2061" s="5">
        <f>_xlfn.XLOOKUP(A2061,bunker_daily_raw!$A$2:$A$3819,bunker_daily_raw!$B$2:$B$3819)</f>
        <v>244.25</v>
      </c>
      <c r="C2061" s="6">
        <v>53.41</v>
      </c>
    </row>
    <row r="2062" spans="1:3" x14ac:dyDescent="0.25">
      <c r="A2062" s="4">
        <v>38681</v>
      </c>
      <c r="B2062" s="5">
        <f>_xlfn.XLOOKUP(A2062,bunker_daily_raw!$A$2:$A$3819,bunker_daily_raw!$B$2:$B$3819)</f>
        <v>237</v>
      </c>
      <c r="C2062" s="6">
        <v>53.15</v>
      </c>
    </row>
    <row r="2063" spans="1:3" x14ac:dyDescent="0.25">
      <c r="A2063" s="4">
        <v>38684</v>
      </c>
      <c r="B2063" s="5">
        <f>_xlfn.XLOOKUP(A2063,bunker_daily_raw!$A$2:$A$3819,bunker_daily_raw!$B$2:$B$3819)</f>
        <v>238</v>
      </c>
      <c r="C2063" s="6">
        <v>52.91</v>
      </c>
    </row>
    <row r="2064" spans="1:3" x14ac:dyDescent="0.25">
      <c r="A2064" s="4">
        <v>38685</v>
      </c>
      <c r="B2064" s="5">
        <f>_xlfn.XLOOKUP(A2064,bunker_daily_raw!$A$2:$A$3819,bunker_daily_raw!$B$2:$B$3819)</f>
        <v>242</v>
      </c>
      <c r="C2064" s="6">
        <v>53.24</v>
      </c>
    </row>
    <row r="2065" spans="1:3" x14ac:dyDescent="0.25">
      <c r="A2065" s="4">
        <v>38686</v>
      </c>
      <c r="B2065" s="5">
        <f>_xlfn.XLOOKUP(A2065,bunker_daily_raw!$A$2:$A$3819,bunker_daily_raw!$B$2:$B$3819)</f>
        <v>247.75</v>
      </c>
      <c r="C2065" s="6">
        <v>53.25</v>
      </c>
    </row>
    <row r="2066" spans="1:3" x14ac:dyDescent="0.25">
      <c r="A2066" s="4">
        <v>38687</v>
      </c>
      <c r="B2066" s="5">
        <f>_xlfn.XLOOKUP(A2066,bunker_daily_raw!$A$2:$A$3819,bunker_daily_raw!$B$2:$B$3819)</f>
        <v>252</v>
      </c>
      <c r="C2066" s="6">
        <v>53.65</v>
      </c>
    </row>
    <row r="2067" spans="1:3" x14ac:dyDescent="0.25">
      <c r="A2067" s="4">
        <v>38688</v>
      </c>
      <c r="B2067" s="5">
        <f>_xlfn.XLOOKUP(A2067,bunker_daily_raw!$A$2:$A$3819,bunker_daily_raw!$B$2:$B$3819)</f>
        <v>250.5</v>
      </c>
      <c r="C2067" s="6">
        <v>54.91</v>
      </c>
    </row>
    <row r="2068" spans="1:3" x14ac:dyDescent="0.25">
      <c r="A2068" s="4">
        <v>38691</v>
      </c>
      <c r="B2068" s="5">
        <f>_xlfn.XLOOKUP(A2068,bunker_daily_raw!$A$2:$A$3819,bunker_daily_raw!$B$2:$B$3819)</f>
        <v>258.25</v>
      </c>
      <c r="C2068" s="6">
        <v>56.05</v>
      </c>
    </row>
    <row r="2069" spans="1:3" x14ac:dyDescent="0.25">
      <c r="A2069" s="4">
        <v>38692</v>
      </c>
      <c r="B2069" s="5">
        <f>_xlfn.XLOOKUP(A2069,bunker_daily_raw!$A$2:$A$3819,bunker_daily_raw!$B$2:$B$3819)</f>
        <v>258.5</v>
      </c>
      <c r="C2069" s="6">
        <v>55.68</v>
      </c>
    </row>
    <row r="2070" spans="1:3" x14ac:dyDescent="0.25">
      <c r="A2070" s="4">
        <v>38693</v>
      </c>
      <c r="B2070" s="5">
        <f>_xlfn.XLOOKUP(A2070,bunker_daily_raw!$A$2:$A$3819,bunker_daily_raw!$B$2:$B$3819)</f>
        <v>260.75</v>
      </c>
      <c r="C2070" s="6">
        <v>55.17</v>
      </c>
    </row>
    <row r="2071" spans="1:3" x14ac:dyDescent="0.25">
      <c r="A2071" s="4">
        <v>38694</v>
      </c>
      <c r="B2071" s="5">
        <f>_xlfn.XLOOKUP(A2071,bunker_daily_raw!$A$2:$A$3819,bunker_daily_raw!$B$2:$B$3819)</f>
        <v>258.75</v>
      </c>
      <c r="C2071" s="6">
        <v>56.26</v>
      </c>
    </row>
    <row r="2072" spans="1:3" x14ac:dyDescent="0.25">
      <c r="A2072" s="4">
        <v>38695</v>
      </c>
      <c r="B2072" s="5">
        <f>_xlfn.XLOOKUP(A2072,bunker_daily_raw!$A$2:$A$3819,bunker_daily_raw!$B$2:$B$3819)</f>
        <v>256</v>
      </c>
      <c r="C2072" s="6">
        <v>57.18</v>
      </c>
    </row>
    <row r="2073" spans="1:3" x14ac:dyDescent="0.25">
      <c r="A2073" s="4">
        <v>38698</v>
      </c>
      <c r="B2073" s="5">
        <f>_xlfn.XLOOKUP(A2073,bunker_daily_raw!$A$2:$A$3819,bunker_daily_raw!$B$2:$B$3819)</f>
        <v>253</v>
      </c>
      <c r="C2073" s="6">
        <v>57.23</v>
      </c>
    </row>
    <row r="2074" spans="1:3" x14ac:dyDescent="0.25">
      <c r="A2074" s="4">
        <v>38699</v>
      </c>
      <c r="B2074" s="5">
        <f>_xlfn.XLOOKUP(A2074,bunker_daily_raw!$A$2:$A$3819,bunker_daily_raw!$B$2:$B$3819)</f>
        <v>248</v>
      </c>
      <c r="C2074" s="6">
        <v>59.16</v>
      </c>
    </row>
    <row r="2075" spans="1:3" x14ac:dyDescent="0.25">
      <c r="A2075" s="4">
        <v>38700</v>
      </c>
      <c r="B2075" s="5">
        <f>_xlfn.XLOOKUP(A2075,bunker_daily_raw!$A$2:$A$3819,bunker_daily_raw!$B$2:$B$3819)</f>
        <v>249.25</v>
      </c>
      <c r="C2075" s="6">
        <v>59.59</v>
      </c>
    </row>
    <row r="2076" spans="1:3" x14ac:dyDescent="0.25">
      <c r="A2076" s="4">
        <v>38701</v>
      </c>
      <c r="B2076" s="5">
        <f>_xlfn.XLOOKUP(A2076,bunker_daily_raw!$A$2:$A$3819,bunker_daily_raw!$B$2:$B$3819)</f>
        <v>247.5</v>
      </c>
      <c r="C2076" s="6">
        <v>59.67</v>
      </c>
    </row>
    <row r="2077" spans="1:3" x14ac:dyDescent="0.25">
      <c r="A2077" s="4">
        <v>38702</v>
      </c>
      <c r="B2077" s="5">
        <f>_xlfn.XLOOKUP(A2077,bunker_daily_raw!$A$2:$A$3819,bunker_daily_raw!$B$2:$B$3819)</f>
        <v>243.25</v>
      </c>
      <c r="C2077" s="6">
        <v>58.11</v>
      </c>
    </row>
    <row r="2078" spans="1:3" x14ac:dyDescent="0.25">
      <c r="A2078" s="4">
        <v>38705</v>
      </c>
      <c r="B2078" s="5">
        <f>_xlfn.XLOOKUP(A2078,bunker_daily_raw!$A$2:$A$3819,bunker_daily_raw!$B$2:$B$3819)</f>
        <v>241.25</v>
      </c>
      <c r="C2078" s="6">
        <v>56.09</v>
      </c>
    </row>
    <row r="2079" spans="1:3" x14ac:dyDescent="0.25">
      <c r="A2079" s="4">
        <v>38706</v>
      </c>
      <c r="B2079" s="5">
        <f>_xlfn.XLOOKUP(A2079,bunker_daily_raw!$A$2:$A$3819,bunker_daily_raw!$B$2:$B$3819)</f>
        <v>237.5</v>
      </c>
      <c r="C2079" s="6">
        <v>56.08</v>
      </c>
    </row>
    <row r="2080" spans="1:3" x14ac:dyDescent="0.25">
      <c r="A2080" s="4">
        <v>38707</v>
      </c>
      <c r="B2080" s="5">
        <f>_xlfn.XLOOKUP(A2080,bunker_daily_raw!$A$2:$A$3819,bunker_daily_raw!$B$2:$B$3819)</f>
        <v>236.25</v>
      </c>
      <c r="C2080" s="6">
        <v>56.05</v>
      </c>
    </row>
    <row r="2081" spans="1:3" x14ac:dyDescent="0.25">
      <c r="A2081" s="4">
        <v>38708</v>
      </c>
      <c r="B2081" s="5">
        <f>_xlfn.XLOOKUP(A2081,bunker_daily_raw!$A$2:$A$3819,bunker_daily_raw!$B$2:$B$3819)</f>
        <v>241</v>
      </c>
      <c r="C2081" s="6">
        <v>57.3</v>
      </c>
    </row>
    <row r="2082" spans="1:3" x14ac:dyDescent="0.25">
      <c r="A2082" s="4">
        <v>38709</v>
      </c>
      <c r="B2082" s="5">
        <f>_xlfn.XLOOKUP(A2082,bunker_daily_raw!$A$2:$A$3819,bunker_daily_raw!$B$2:$B$3819)</f>
        <v>236.5</v>
      </c>
      <c r="C2082" s="6">
        <v>56.28</v>
      </c>
    </row>
    <row r="2083" spans="1:3" x14ac:dyDescent="0.25">
      <c r="A2083" s="4">
        <v>38712</v>
      </c>
      <c r="B2083" s="5" t="e">
        <f>_xlfn.XLOOKUP(A2083,bunker_daily_raw!$A$2:$A$3819,bunker_daily_raw!$B$2:$B$3819)</f>
        <v>#N/A</v>
      </c>
      <c r="C2083" s="6">
        <v>56.54</v>
      </c>
    </row>
    <row r="2084" spans="1:3" x14ac:dyDescent="0.25">
      <c r="A2084" s="4">
        <v>38713</v>
      </c>
      <c r="B2084" s="5" t="e">
        <f>_xlfn.XLOOKUP(A2084,bunker_daily_raw!$A$2:$A$3819,bunker_daily_raw!$B$2:$B$3819)</f>
        <v>#N/A</v>
      </c>
      <c r="C2084" s="5"/>
    </row>
    <row r="2085" spans="1:3" x14ac:dyDescent="0.25">
      <c r="A2085" s="4">
        <v>38714</v>
      </c>
      <c r="B2085" s="5">
        <f>_xlfn.XLOOKUP(A2085,bunker_daily_raw!$A$2:$A$3819,bunker_daily_raw!$B$2:$B$3819)</f>
        <v>246.5</v>
      </c>
      <c r="C2085" s="6">
        <v>56.91</v>
      </c>
    </row>
    <row r="2086" spans="1:3" x14ac:dyDescent="0.25">
      <c r="A2086" s="4">
        <v>38715</v>
      </c>
      <c r="B2086" s="5">
        <f>_xlfn.XLOOKUP(A2086,bunker_daily_raw!$A$2:$A$3819,bunker_daily_raw!$B$2:$B$3819)</f>
        <v>247</v>
      </c>
      <c r="C2086" s="6">
        <v>57.72</v>
      </c>
    </row>
    <row r="2087" spans="1:3" x14ac:dyDescent="0.25">
      <c r="A2087" s="4">
        <v>38716</v>
      </c>
      <c r="B2087" s="5">
        <f>_xlfn.XLOOKUP(A2087,bunker_daily_raw!$A$2:$A$3819,bunker_daily_raw!$B$2:$B$3819)</f>
        <v>249.25</v>
      </c>
      <c r="C2087" s="6">
        <v>58.34</v>
      </c>
    </row>
    <row r="2088" spans="1:3" x14ac:dyDescent="0.25">
      <c r="A2088" s="4">
        <v>38719</v>
      </c>
      <c r="B2088" s="5" t="e">
        <f>_xlfn.XLOOKUP(A2088,bunker_daily_raw!$A$2:$A$3819,bunker_daily_raw!$B$2:$B$3819)</f>
        <v>#N/A</v>
      </c>
      <c r="C2088" s="5"/>
    </row>
    <row r="2089" spans="1:3" x14ac:dyDescent="0.25">
      <c r="A2089" s="4">
        <v>38720</v>
      </c>
      <c r="B2089" s="5">
        <f>_xlfn.XLOOKUP(A2089,bunker_daily_raw!$A$2:$A$3819,bunker_daily_raw!$B$2:$B$3819)</f>
        <v>269.5</v>
      </c>
      <c r="C2089" s="6">
        <v>61.51</v>
      </c>
    </row>
    <row r="2090" spans="1:3" x14ac:dyDescent="0.25">
      <c r="A2090" s="4">
        <v>38721</v>
      </c>
      <c r="B2090" s="5">
        <f>_xlfn.XLOOKUP(A2090,bunker_daily_raw!$A$2:$A$3819,bunker_daily_raw!$B$2:$B$3819)</f>
        <v>267.75</v>
      </c>
      <c r="C2090" s="6">
        <v>61.25</v>
      </c>
    </row>
    <row r="2091" spans="1:3" x14ac:dyDescent="0.25">
      <c r="A2091" s="4">
        <v>38722</v>
      </c>
      <c r="B2091" s="5">
        <f>_xlfn.XLOOKUP(A2091,bunker_daily_raw!$A$2:$A$3819,bunker_daily_raw!$B$2:$B$3819)</f>
        <v>267.75</v>
      </c>
      <c r="C2091" s="6">
        <v>61.68</v>
      </c>
    </row>
    <row r="2092" spans="1:3" x14ac:dyDescent="0.25">
      <c r="A2092" s="4">
        <v>38723</v>
      </c>
      <c r="B2092" s="5">
        <f>_xlfn.XLOOKUP(A2092,bunker_daily_raw!$A$2:$A$3819,bunker_daily_raw!$B$2:$B$3819)</f>
        <v>269.625</v>
      </c>
      <c r="C2092" s="6">
        <v>62.43</v>
      </c>
    </row>
    <row r="2093" spans="1:3" x14ac:dyDescent="0.25">
      <c r="A2093" s="4">
        <v>38726</v>
      </c>
      <c r="B2093" s="5">
        <f>_xlfn.XLOOKUP(A2093,bunker_daily_raw!$A$2:$A$3819,bunker_daily_raw!$B$2:$B$3819)</f>
        <v>269.5</v>
      </c>
      <c r="C2093" s="6">
        <v>62.51</v>
      </c>
    </row>
    <row r="2094" spans="1:3" x14ac:dyDescent="0.25">
      <c r="A2094" s="4">
        <v>38727</v>
      </c>
      <c r="B2094" s="5">
        <f>_xlfn.XLOOKUP(A2094,bunker_daily_raw!$A$2:$A$3819,bunker_daily_raw!$B$2:$B$3819)</f>
        <v>267.75</v>
      </c>
      <c r="C2094" s="6">
        <v>62.32</v>
      </c>
    </row>
    <row r="2095" spans="1:3" x14ac:dyDescent="0.25">
      <c r="A2095" s="4">
        <v>38728</v>
      </c>
      <c r="B2095" s="5">
        <f>_xlfn.XLOOKUP(A2095,bunker_daily_raw!$A$2:$A$3819,bunker_daily_raw!$B$2:$B$3819)</f>
        <v>266.25</v>
      </c>
      <c r="C2095" s="6">
        <v>61.54</v>
      </c>
    </row>
    <row r="2096" spans="1:3" x14ac:dyDescent="0.25">
      <c r="A2096" s="4">
        <v>38729</v>
      </c>
      <c r="B2096" s="5">
        <f>_xlfn.XLOOKUP(A2096,bunker_daily_raw!$A$2:$A$3819,bunker_daily_raw!$B$2:$B$3819)</f>
        <v>275.75</v>
      </c>
      <c r="C2096" s="6">
        <v>62.95</v>
      </c>
    </row>
    <row r="2097" spans="1:3" x14ac:dyDescent="0.25">
      <c r="A2097" s="4">
        <v>38730</v>
      </c>
      <c r="B2097" s="5">
        <f>_xlfn.XLOOKUP(A2097,bunker_daily_raw!$A$2:$A$3819,bunker_daily_raw!$B$2:$B$3819)</f>
        <v>271.25</v>
      </c>
      <c r="C2097" s="6">
        <v>61.58</v>
      </c>
    </row>
    <row r="2098" spans="1:3" x14ac:dyDescent="0.25">
      <c r="A2098" s="4">
        <v>38733</v>
      </c>
      <c r="B2098" s="5">
        <f>_xlfn.XLOOKUP(A2098,bunker_daily_raw!$A$2:$A$3819,bunker_daily_raw!$B$2:$B$3819)</f>
        <v>276.5</v>
      </c>
      <c r="C2098" s="6">
        <v>62.34</v>
      </c>
    </row>
    <row r="2099" spans="1:3" x14ac:dyDescent="0.25">
      <c r="A2099" s="4">
        <v>38734</v>
      </c>
      <c r="B2099" s="5">
        <f>_xlfn.XLOOKUP(A2099,bunker_daily_raw!$A$2:$A$3819,bunker_daily_raw!$B$2:$B$3819)</f>
        <v>282</v>
      </c>
      <c r="C2099" s="6">
        <v>63.22</v>
      </c>
    </row>
    <row r="2100" spans="1:3" x14ac:dyDescent="0.25">
      <c r="A2100" s="4">
        <v>38735</v>
      </c>
      <c r="B2100" s="5">
        <f>_xlfn.XLOOKUP(A2100,bunker_daily_raw!$A$2:$A$3819,bunker_daily_raw!$B$2:$B$3819)</f>
        <v>286</v>
      </c>
      <c r="C2100" s="6">
        <v>63.6</v>
      </c>
    </row>
    <row r="2101" spans="1:3" x14ac:dyDescent="0.25">
      <c r="A2101" s="4">
        <v>38736</v>
      </c>
      <c r="B2101" s="5">
        <f>_xlfn.XLOOKUP(A2101,bunker_daily_raw!$A$2:$A$3819,bunker_daily_raw!$B$2:$B$3819)</f>
        <v>283.75</v>
      </c>
      <c r="C2101" s="6">
        <v>63.64</v>
      </c>
    </row>
    <row r="2102" spans="1:3" x14ac:dyDescent="0.25">
      <c r="A2102" s="4">
        <v>38737</v>
      </c>
      <c r="B2102" s="5">
        <f>_xlfn.XLOOKUP(A2102,bunker_daily_raw!$A$2:$A$3819,bunker_daily_raw!$B$2:$B$3819)</f>
        <v>295.75</v>
      </c>
      <c r="C2102" s="6">
        <v>64.92</v>
      </c>
    </row>
    <row r="2103" spans="1:3" x14ac:dyDescent="0.25">
      <c r="A2103" s="4">
        <v>38740</v>
      </c>
      <c r="B2103" s="5">
        <f>_xlfn.XLOOKUP(A2103,bunker_daily_raw!$A$2:$A$3819,bunker_daily_raw!$B$2:$B$3819)</f>
        <v>294.5</v>
      </c>
      <c r="C2103" s="6">
        <v>64.56</v>
      </c>
    </row>
    <row r="2104" spans="1:3" x14ac:dyDescent="0.25">
      <c r="A2104" s="4">
        <v>38741</v>
      </c>
      <c r="B2104" s="5">
        <f>_xlfn.XLOOKUP(A2104,bunker_daily_raw!$A$2:$A$3819,bunker_daily_raw!$B$2:$B$3819)</f>
        <v>288.5</v>
      </c>
      <c r="C2104" s="6">
        <v>63.82</v>
      </c>
    </row>
    <row r="2105" spans="1:3" x14ac:dyDescent="0.25">
      <c r="A2105" s="4">
        <v>38742</v>
      </c>
      <c r="B2105" s="5">
        <f>_xlfn.XLOOKUP(A2105,bunker_daily_raw!$A$2:$A$3819,bunker_daily_raw!$B$2:$B$3819)</f>
        <v>282</v>
      </c>
      <c r="C2105" s="6">
        <v>62.61</v>
      </c>
    </row>
    <row r="2106" spans="1:3" x14ac:dyDescent="0.25">
      <c r="A2106" s="4">
        <v>38743</v>
      </c>
      <c r="B2106" s="5">
        <f>_xlfn.XLOOKUP(A2106,bunker_daily_raw!$A$2:$A$3819,bunker_daily_raw!$B$2:$B$3819)</f>
        <v>283.25</v>
      </c>
      <c r="C2106" s="6">
        <v>62.93</v>
      </c>
    </row>
    <row r="2107" spans="1:3" x14ac:dyDescent="0.25">
      <c r="A2107" s="4">
        <v>38744</v>
      </c>
      <c r="B2107" s="5">
        <f>_xlfn.XLOOKUP(A2107,bunker_daily_raw!$A$2:$A$3819,bunker_daily_raw!$B$2:$B$3819)</f>
        <v>287.75</v>
      </c>
      <c r="C2107" s="6">
        <v>64.95</v>
      </c>
    </row>
    <row r="2108" spans="1:3" x14ac:dyDescent="0.25">
      <c r="A2108" s="4">
        <v>38747</v>
      </c>
      <c r="B2108" s="5">
        <f>_xlfn.XLOOKUP(A2108,bunker_daily_raw!$A$2:$A$3819,bunker_daily_raw!$B$2:$B$3819)</f>
        <v>291.25</v>
      </c>
      <c r="C2108" s="6">
        <v>65.14</v>
      </c>
    </row>
    <row r="2109" spans="1:3" x14ac:dyDescent="0.25">
      <c r="A2109" s="4">
        <v>38748</v>
      </c>
      <c r="B2109" s="5">
        <f>_xlfn.XLOOKUP(A2109,bunker_daily_raw!$A$2:$A$3819,bunker_daily_raw!$B$2:$B$3819)</f>
        <v>291.75</v>
      </c>
      <c r="C2109" s="6">
        <v>63.19</v>
      </c>
    </row>
    <row r="2110" spans="1:3" x14ac:dyDescent="0.25">
      <c r="A2110" s="4">
        <v>38749</v>
      </c>
      <c r="B2110" s="5">
        <f>_xlfn.XLOOKUP(A2110,bunker_daily_raw!$A$2:$A$3819,bunker_daily_raw!$B$2:$B$3819)</f>
        <v>292.75</v>
      </c>
      <c r="C2110" s="6">
        <v>65.64</v>
      </c>
    </row>
    <row r="2111" spans="1:3" x14ac:dyDescent="0.25">
      <c r="A2111" s="4">
        <v>38750</v>
      </c>
      <c r="B2111" s="5">
        <f>_xlfn.XLOOKUP(A2111,bunker_daily_raw!$A$2:$A$3819,bunker_daily_raw!$B$2:$B$3819)</f>
        <v>288.75</v>
      </c>
      <c r="C2111" s="6">
        <v>63.49</v>
      </c>
    </row>
    <row r="2112" spans="1:3" x14ac:dyDescent="0.25">
      <c r="A2112" s="4">
        <v>38751</v>
      </c>
      <c r="B2112" s="5">
        <f>_xlfn.XLOOKUP(A2112,bunker_daily_raw!$A$2:$A$3819,bunker_daily_raw!$B$2:$B$3819)</f>
        <v>293</v>
      </c>
      <c r="C2112" s="6">
        <v>62.54</v>
      </c>
    </row>
    <row r="2113" spans="1:3" x14ac:dyDescent="0.25">
      <c r="A2113" s="4">
        <v>38754</v>
      </c>
      <c r="B2113" s="5">
        <f>_xlfn.XLOOKUP(A2113,bunker_daily_raw!$A$2:$A$3819,bunker_daily_raw!$B$2:$B$3819)</f>
        <v>301</v>
      </c>
      <c r="C2113" s="6">
        <v>63.32</v>
      </c>
    </row>
    <row r="2114" spans="1:3" x14ac:dyDescent="0.25">
      <c r="A2114" s="4">
        <v>38755</v>
      </c>
      <c r="B2114" s="5">
        <f>_xlfn.XLOOKUP(A2114,bunker_daily_raw!$A$2:$A$3819,bunker_daily_raw!$B$2:$B$3819)</f>
        <v>297</v>
      </c>
      <c r="C2114" s="6">
        <v>61.64</v>
      </c>
    </row>
    <row r="2115" spans="1:3" x14ac:dyDescent="0.25">
      <c r="A2115" s="4">
        <v>38756</v>
      </c>
      <c r="B2115" s="5">
        <f>_xlfn.XLOOKUP(A2115,bunker_daily_raw!$A$2:$A$3819,bunker_daily_raw!$B$2:$B$3819)</f>
        <v>293</v>
      </c>
      <c r="C2115" s="6">
        <v>60.82</v>
      </c>
    </row>
    <row r="2116" spans="1:3" x14ac:dyDescent="0.25">
      <c r="A2116" s="4">
        <v>38757</v>
      </c>
      <c r="B2116" s="5">
        <f>_xlfn.XLOOKUP(A2116,bunker_daily_raw!$A$2:$A$3819,bunker_daily_raw!$B$2:$B$3819)</f>
        <v>299.5</v>
      </c>
      <c r="C2116" s="6">
        <v>60.7</v>
      </c>
    </row>
    <row r="2117" spans="1:3" x14ac:dyDescent="0.25">
      <c r="A2117" s="4">
        <v>38758</v>
      </c>
      <c r="B2117" s="5">
        <f>_xlfn.XLOOKUP(A2117,bunker_daily_raw!$A$2:$A$3819,bunker_daily_raw!$B$2:$B$3819)</f>
        <v>295</v>
      </c>
      <c r="C2117" s="6">
        <v>59.66</v>
      </c>
    </row>
    <row r="2118" spans="1:3" x14ac:dyDescent="0.25">
      <c r="A2118" s="4">
        <v>38761</v>
      </c>
      <c r="B2118" s="5">
        <f>_xlfn.XLOOKUP(A2118,bunker_daily_raw!$A$2:$A$3819,bunker_daily_raw!$B$2:$B$3819)</f>
        <v>295.75</v>
      </c>
      <c r="C2118" s="6">
        <v>59.16</v>
      </c>
    </row>
    <row r="2119" spans="1:3" x14ac:dyDescent="0.25">
      <c r="A2119" s="4">
        <v>38762</v>
      </c>
      <c r="B2119" s="5">
        <f>_xlfn.XLOOKUP(A2119,bunker_daily_raw!$A$2:$A$3819,bunker_daily_raw!$B$2:$B$3819)</f>
        <v>294.625</v>
      </c>
      <c r="C2119" s="6">
        <v>58.27</v>
      </c>
    </row>
    <row r="2120" spans="1:3" x14ac:dyDescent="0.25">
      <c r="A2120" s="4">
        <v>38763</v>
      </c>
      <c r="B2120" s="5">
        <f>_xlfn.XLOOKUP(A2120,bunker_daily_raw!$A$2:$A$3819,bunker_daily_raw!$B$2:$B$3819)</f>
        <v>290</v>
      </c>
      <c r="C2120" s="6">
        <v>57.67</v>
      </c>
    </row>
    <row r="2121" spans="1:3" x14ac:dyDescent="0.25">
      <c r="A2121" s="4">
        <v>38764</v>
      </c>
      <c r="B2121" s="5">
        <f>_xlfn.XLOOKUP(A2121,bunker_daily_raw!$A$2:$A$3819,bunker_daily_raw!$B$2:$B$3819)</f>
        <v>287.25</v>
      </c>
      <c r="C2121" s="6">
        <v>56.78</v>
      </c>
    </row>
    <row r="2122" spans="1:3" x14ac:dyDescent="0.25">
      <c r="A2122" s="4">
        <v>38765</v>
      </c>
      <c r="B2122" s="5">
        <f>_xlfn.XLOOKUP(A2122,bunker_daily_raw!$A$2:$A$3819,bunker_daily_raw!$B$2:$B$3819)</f>
        <v>281.5</v>
      </c>
      <c r="C2122" s="6">
        <v>58.34</v>
      </c>
    </row>
    <row r="2123" spans="1:3" x14ac:dyDescent="0.25">
      <c r="A2123" s="4">
        <v>38768</v>
      </c>
      <c r="B2123" s="5">
        <f>_xlfn.XLOOKUP(A2123,bunker_daily_raw!$A$2:$A$3819,bunker_daily_raw!$B$2:$B$3819)</f>
        <v>288.5</v>
      </c>
      <c r="C2123" s="6">
        <v>60.05</v>
      </c>
    </row>
    <row r="2124" spans="1:3" x14ac:dyDescent="0.25">
      <c r="A2124" s="4">
        <v>38769</v>
      </c>
      <c r="B2124" s="5">
        <f>_xlfn.XLOOKUP(A2124,bunker_daily_raw!$A$2:$A$3819,bunker_daily_raw!$B$2:$B$3819)</f>
        <v>293</v>
      </c>
      <c r="C2124" s="6">
        <v>59.35</v>
      </c>
    </row>
    <row r="2125" spans="1:3" x14ac:dyDescent="0.25">
      <c r="A2125" s="4">
        <v>38770</v>
      </c>
      <c r="B2125" s="5">
        <f>_xlfn.XLOOKUP(A2125,bunker_daily_raw!$A$2:$A$3819,bunker_daily_raw!$B$2:$B$3819)</f>
        <v>287.5</v>
      </c>
      <c r="C2125" s="6">
        <v>58.71</v>
      </c>
    </row>
    <row r="2126" spans="1:3" x14ac:dyDescent="0.25">
      <c r="A2126" s="4">
        <v>38771</v>
      </c>
      <c r="B2126" s="5">
        <f>_xlfn.XLOOKUP(A2126,bunker_daily_raw!$A$2:$A$3819,bunker_daily_raw!$B$2:$B$3819)</f>
        <v>289.25</v>
      </c>
      <c r="C2126" s="6">
        <v>58.71</v>
      </c>
    </row>
    <row r="2127" spans="1:3" x14ac:dyDescent="0.25">
      <c r="A2127" s="4">
        <v>38772</v>
      </c>
      <c r="B2127" s="5">
        <f>_xlfn.XLOOKUP(A2127,bunker_daily_raw!$A$2:$A$3819,bunker_daily_raw!$B$2:$B$3819)</f>
        <v>291.75</v>
      </c>
      <c r="C2127" s="6">
        <v>60.13</v>
      </c>
    </row>
    <row r="2128" spans="1:3" x14ac:dyDescent="0.25">
      <c r="A2128" s="4">
        <v>38775</v>
      </c>
      <c r="B2128" s="5">
        <f>_xlfn.XLOOKUP(A2128,bunker_daily_raw!$A$2:$A$3819,bunker_daily_raw!$B$2:$B$3819)</f>
        <v>285</v>
      </c>
      <c r="C2128" s="6">
        <v>59.44</v>
      </c>
    </row>
    <row r="2129" spans="1:3" x14ac:dyDescent="0.25">
      <c r="A2129" s="4">
        <v>38776</v>
      </c>
      <c r="B2129" s="5">
        <f>_xlfn.XLOOKUP(A2129,bunker_daily_raw!$A$2:$A$3819,bunker_daily_raw!$B$2:$B$3819)</f>
        <v>285.75</v>
      </c>
      <c r="C2129" s="6">
        <v>59.78</v>
      </c>
    </row>
    <row r="2130" spans="1:3" x14ac:dyDescent="0.25">
      <c r="A2130" s="4">
        <v>38777</v>
      </c>
      <c r="B2130" s="5">
        <f>_xlfn.XLOOKUP(A2130,bunker_daily_raw!$A$2:$A$3819,bunker_daily_raw!$B$2:$B$3819)</f>
        <v>293.5</v>
      </c>
      <c r="C2130" s="6">
        <v>61.12</v>
      </c>
    </row>
    <row r="2131" spans="1:3" x14ac:dyDescent="0.25">
      <c r="A2131" s="4">
        <v>38778</v>
      </c>
      <c r="B2131" s="5">
        <f>_xlfn.XLOOKUP(A2131,bunker_daily_raw!$A$2:$A$3819,bunker_daily_raw!$B$2:$B$3819)</f>
        <v>292</v>
      </c>
      <c r="C2131" s="6">
        <v>62.27</v>
      </c>
    </row>
    <row r="2132" spans="1:3" x14ac:dyDescent="0.25">
      <c r="A2132" s="4">
        <v>38779</v>
      </c>
      <c r="B2132" s="5">
        <f>_xlfn.XLOOKUP(A2132,bunker_daily_raw!$A$2:$A$3819,bunker_daily_raw!$B$2:$B$3819)</f>
        <v>286.25</v>
      </c>
      <c r="C2132" s="6">
        <v>62.69</v>
      </c>
    </row>
    <row r="2133" spans="1:3" x14ac:dyDescent="0.25">
      <c r="A2133" s="4">
        <v>38782</v>
      </c>
      <c r="B2133" s="5">
        <f>_xlfn.XLOOKUP(A2133,bunker_daily_raw!$A$2:$A$3819,bunker_daily_raw!$B$2:$B$3819)</f>
        <v>286.5</v>
      </c>
      <c r="C2133" s="6">
        <v>61.41</v>
      </c>
    </row>
    <row r="2134" spans="1:3" x14ac:dyDescent="0.25">
      <c r="A2134" s="4">
        <v>38783</v>
      </c>
      <c r="B2134" s="5">
        <f>_xlfn.XLOOKUP(A2134,bunker_daily_raw!$A$2:$A$3819,bunker_daily_raw!$B$2:$B$3819)</f>
        <v>282.25</v>
      </c>
      <c r="C2134" s="6">
        <v>59.79</v>
      </c>
    </row>
    <row r="2135" spans="1:3" x14ac:dyDescent="0.25">
      <c r="A2135" s="4">
        <v>38784</v>
      </c>
      <c r="B2135" s="5">
        <f>_xlfn.XLOOKUP(A2135,bunker_daily_raw!$A$2:$A$3819,bunker_daily_raw!$B$2:$B$3819)</f>
        <v>277.5</v>
      </c>
      <c r="C2135" s="6">
        <v>58.42</v>
      </c>
    </row>
    <row r="2136" spans="1:3" x14ac:dyDescent="0.25">
      <c r="A2136" s="4">
        <v>38785</v>
      </c>
      <c r="B2136" s="5">
        <f>_xlfn.XLOOKUP(A2136,bunker_daily_raw!$A$2:$A$3819,bunker_daily_raw!$B$2:$B$3819)</f>
        <v>278</v>
      </c>
      <c r="C2136" s="6">
        <v>58.82</v>
      </c>
    </row>
    <row r="2137" spans="1:3" x14ac:dyDescent="0.25">
      <c r="A2137" s="4">
        <v>38786</v>
      </c>
      <c r="B2137" s="5">
        <f>_xlfn.XLOOKUP(A2137,bunker_daily_raw!$A$2:$A$3819,bunker_daily_raw!$B$2:$B$3819)</f>
        <v>277.25</v>
      </c>
      <c r="C2137" s="6">
        <v>59.04</v>
      </c>
    </row>
    <row r="2138" spans="1:3" x14ac:dyDescent="0.25">
      <c r="A2138" s="4">
        <v>38789</v>
      </c>
      <c r="B2138" s="5">
        <f>_xlfn.XLOOKUP(A2138,bunker_daily_raw!$A$2:$A$3819,bunker_daily_raw!$B$2:$B$3819)</f>
        <v>287</v>
      </c>
      <c r="C2138" s="6">
        <v>60.99</v>
      </c>
    </row>
    <row r="2139" spans="1:3" x14ac:dyDescent="0.25">
      <c r="A2139" s="4">
        <v>38790</v>
      </c>
      <c r="B2139" s="5">
        <f>_xlfn.XLOOKUP(A2139,bunker_daily_raw!$A$2:$A$3819,bunker_daily_raw!$B$2:$B$3819)</f>
        <v>292.5</v>
      </c>
      <c r="C2139" s="6">
        <v>62.39</v>
      </c>
    </row>
    <row r="2140" spans="1:3" x14ac:dyDescent="0.25">
      <c r="A2140" s="4">
        <v>38791</v>
      </c>
      <c r="B2140" s="5">
        <f>_xlfn.XLOOKUP(A2140,bunker_daily_raw!$A$2:$A$3819,bunker_daily_raw!$B$2:$B$3819)</f>
        <v>294</v>
      </c>
      <c r="C2140" s="6">
        <v>63.12</v>
      </c>
    </row>
    <row r="2141" spans="1:3" x14ac:dyDescent="0.25">
      <c r="A2141" s="4">
        <v>38792</v>
      </c>
      <c r="B2141" s="5">
        <f>_xlfn.XLOOKUP(A2141,bunker_daily_raw!$A$2:$A$3819,bunker_daily_raw!$B$2:$B$3819)</f>
        <v>287</v>
      </c>
      <c r="C2141" s="6">
        <v>62.07</v>
      </c>
    </row>
    <row r="2142" spans="1:3" x14ac:dyDescent="0.25">
      <c r="A2142" s="4">
        <v>38793</v>
      </c>
      <c r="B2142" s="5">
        <f>_xlfn.XLOOKUP(A2142,bunker_daily_raw!$A$2:$A$3819,bunker_daily_raw!$B$2:$B$3819)</f>
        <v>292.25</v>
      </c>
      <c r="C2142" s="6">
        <v>63.54</v>
      </c>
    </row>
    <row r="2143" spans="1:3" x14ac:dyDescent="0.25">
      <c r="A2143" s="4">
        <v>38796</v>
      </c>
      <c r="B2143" s="5">
        <f>_xlfn.XLOOKUP(A2143,bunker_daily_raw!$A$2:$A$3819,bunker_daily_raw!$B$2:$B$3819)</f>
        <v>291.75</v>
      </c>
      <c r="C2143" s="6">
        <v>62.3</v>
      </c>
    </row>
    <row r="2144" spans="1:3" x14ac:dyDescent="0.25">
      <c r="A2144" s="4">
        <v>38797</v>
      </c>
      <c r="B2144" s="5">
        <f>_xlfn.XLOOKUP(A2144,bunker_daily_raw!$A$2:$A$3819,bunker_daily_raw!$B$2:$B$3819)</f>
        <v>287.5</v>
      </c>
      <c r="C2144" s="6">
        <v>59.96</v>
      </c>
    </row>
    <row r="2145" spans="1:3" x14ac:dyDescent="0.25">
      <c r="A2145" s="4">
        <v>38798</v>
      </c>
      <c r="B2145" s="5">
        <f>_xlfn.XLOOKUP(A2145,bunker_daily_raw!$A$2:$A$3819,bunker_daily_raw!$B$2:$B$3819)</f>
        <v>290.25</v>
      </c>
      <c r="C2145" s="6">
        <v>61.23</v>
      </c>
    </row>
    <row r="2146" spans="1:3" x14ac:dyDescent="0.25">
      <c r="A2146" s="4">
        <v>38799</v>
      </c>
      <c r="B2146" s="5">
        <f>_xlfn.XLOOKUP(A2146,bunker_daily_raw!$A$2:$A$3819,bunker_daily_raw!$B$2:$B$3819)</f>
        <v>296.5</v>
      </c>
      <c r="C2146" s="6">
        <v>61.76</v>
      </c>
    </row>
    <row r="2147" spans="1:3" x14ac:dyDescent="0.25">
      <c r="A2147" s="4">
        <v>38800</v>
      </c>
      <c r="B2147" s="5">
        <f>_xlfn.XLOOKUP(A2147,bunker_daily_raw!$A$2:$A$3819,bunker_daily_raw!$B$2:$B$3819)</f>
        <v>296.75</v>
      </c>
      <c r="C2147" s="6">
        <v>62.78</v>
      </c>
    </row>
    <row r="2148" spans="1:3" x14ac:dyDescent="0.25">
      <c r="A2148" s="4">
        <v>38803</v>
      </c>
      <c r="B2148" s="5">
        <f>_xlfn.XLOOKUP(A2148,bunker_daily_raw!$A$2:$A$3819,bunker_daily_raw!$B$2:$B$3819)</f>
        <v>296.25</v>
      </c>
      <c r="C2148" s="6">
        <v>62.59</v>
      </c>
    </row>
    <row r="2149" spans="1:3" x14ac:dyDescent="0.25">
      <c r="A2149" s="4">
        <v>38804</v>
      </c>
      <c r="B2149" s="5">
        <f>_xlfn.XLOOKUP(A2149,bunker_daily_raw!$A$2:$A$3819,bunker_daily_raw!$B$2:$B$3819)</f>
        <v>299.25</v>
      </c>
      <c r="C2149" s="6">
        <v>64.31</v>
      </c>
    </row>
    <row r="2150" spans="1:3" x14ac:dyDescent="0.25">
      <c r="A2150" s="4">
        <v>38805</v>
      </c>
      <c r="B2150" s="5">
        <f>_xlfn.XLOOKUP(A2150,bunker_daily_raw!$A$2:$A$3819,bunker_daily_raw!$B$2:$B$3819)</f>
        <v>301.75</v>
      </c>
      <c r="C2150" s="6">
        <v>64.88</v>
      </c>
    </row>
    <row r="2151" spans="1:3" x14ac:dyDescent="0.25">
      <c r="A2151" s="4">
        <v>38806</v>
      </c>
      <c r="B2151" s="5">
        <f>_xlfn.XLOOKUP(A2151,bunker_daily_raw!$A$2:$A$3819,bunker_daily_raw!$B$2:$B$3819)</f>
        <v>308.25</v>
      </c>
      <c r="C2151" s="6">
        <v>65.95</v>
      </c>
    </row>
    <row r="2152" spans="1:3" x14ac:dyDescent="0.25">
      <c r="A2152" s="4">
        <v>38807</v>
      </c>
      <c r="B2152" s="5">
        <f>_xlfn.XLOOKUP(A2152,bunker_daily_raw!$A$2:$A$3819,bunker_daily_raw!$B$2:$B$3819)</f>
        <v>306.5</v>
      </c>
      <c r="C2152" s="6">
        <v>66.06</v>
      </c>
    </row>
    <row r="2153" spans="1:3" x14ac:dyDescent="0.25">
      <c r="A2153" s="4">
        <v>38810</v>
      </c>
      <c r="B2153" s="5">
        <f>_xlfn.XLOOKUP(A2153,bunker_daily_raw!$A$2:$A$3819,bunker_daily_raw!$B$2:$B$3819)</f>
        <v>310.25</v>
      </c>
      <c r="C2153" s="6">
        <v>67.28</v>
      </c>
    </row>
    <row r="2154" spans="1:3" x14ac:dyDescent="0.25">
      <c r="A2154" s="4">
        <v>38811</v>
      </c>
      <c r="B2154" s="5">
        <f>_xlfn.XLOOKUP(A2154,bunker_daily_raw!$A$2:$A$3819,bunker_daily_raw!$B$2:$B$3819)</f>
        <v>302.25</v>
      </c>
      <c r="C2154" s="6">
        <v>65.930000000000007</v>
      </c>
    </row>
    <row r="2155" spans="1:3" x14ac:dyDescent="0.25">
      <c r="A2155" s="4">
        <v>38812</v>
      </c>
      <c r="B2155" s="5">
        <f>_xlfn.XLOOKUP(A2155,bunker_daily_raw!$A$2:$A$3819,bunker_daily_raw!$B$2:$B$3819)</f>
        <v>306.25</v>
      </c>
      <c r="C2155" s="6">
        <v>66.739999999999995</v>
      </c>
    </row>
    <row r="2156" spans="1:3" x14ac:dyDescent="0.25">
      <c r="A2156" s="4">
        <v>38813</v>
      </c>
      <c r="B2156" s="5">
        <f>_xlfn.XLOOKUP(A2156,bunker_daily_raw!$A$2:$A$3819,bunker_daily_raw!$B$2:$B$3819)</f>
        <v>314</v>
      </c>
      <c r="C2156" s="6">
        <v>67.58</v>
      </c>
    </row>
    <row r="2157" spans="1:3" x14ac:dyDescent="0.25">
      <c r="A2157" s="4">
        <v>38814</v>
      </c>
      <c r="B2157" s="5">
        <f>_xlfn.XLOOKUP(A2157,bunker_daily_raw!$A$2:$A$3819,bunker_daily_raw!$B$2:$B$3819)</f>
        <v>308.25</v>
      </c>
      <c r="C2157" s="6">
        <v>67.11</v>
      </c>
    </row>
    <row r="2158" spans="1:3" x14ac:dyDescent="0.25">
      <c r="A2158" s="4">
        <v>38817</v>
      </c>
      <c r="B2158" s="5">
        <f>_xlfn.XLOOKUP(A2158,bunker_daily_raw!$A$2:$A$3819,bunker_daily_raw!$B$2:$B$3819)</f>
        <v>312.5</v>
      </c>
      <c r="C2158" s="6">
        <v>68.2</v>
      </c>
    </row>
    <row r="2159" spans="1:3" x14ac:dyDescent="0.25">
      <c r="A2159" s="4">
        <v>38818</v>
      </c>
      <c r="B2159" s="5">
        <f>_xlfn.XLOOKUP(A2159,bunker_daily_raw!$A$2:$A$3819,bunker_daily_raw!$B$2:$B$3819)</f>
        <v>311.75</v>
      </c>
      <c r="C2159" s="6">
        <v>68.52</v>
      </c>
    </row>
    <row r="2160" spans="1:3" x14ac:dyDescent="0.25">
      <c r="A2160" s="4">
        <v>38819</v>
      </c>
      <c r="B2160" s="5">
        <f>_xlfn.XLOOKUP(A2160,bunker_daily_raw!$A$2:$A$3819,bunker_daily_raw!$B$2:$B$3819)</f>
        <v>313.75</v>
      </c>
      <c r="C2160" s="6">
        <v>69.540000000000006</v>
      </c>
    </row>
    <row r="2161" spans="1:3" x14ac:dyDescent="0.25">
      <c r="A2161" s="4">
        <v>38820</v>
      </c>
      <c r="B2161" s="5">
        <f>_xlfn.XLOOKUP(A2161,bunker_daily_raw!$A$2:$A$3819,bunker_daily_raw!$B$2:$B$3819)</f>
        <v>308.25</v>
      </c>
      <c r="C2161" s="6">
        <v>69.39</v>
      </c>
    </row>
    <row r="2162" spans="1:3" x14ac:dyDescent="0.25">
      <c r="A2162" s="4">
        <v>38821</v>
      </c>
      <c r="B2162" s="5" t="e">
        <f>_xlfn.XLOOKUP(A2162,bunker_daily_raw!$A$2:$A$3819,bunker_daily_raw!$B$2:$B$3819)</f>
        <v>#N/A</v>
      </c>
      <c r="C2162" s="5"/>
    </row>
    <row r="2163" spans="1:3" x14ac:dyDescent="0.25">
      <c r="A2163" s="4">
        <v>38824</v>
      </c>
      <c r="B2163" s="5" t="e">
        <f>_xlfn.XLOOKUP(A2163,bunker_daily_raw!$A$2:$A$3819,bunker_daily_raw!$B$2:$B$3819)</f>
        <v>#N/A</v>
      </c>
      <c r="C2163" s="5"/>
    </row>
    <row r="2164" spans="1:3" x14ac:dyDescent="0.25">
      <c r="A2164" s="4">
        <v>38825</v>
      </c>
      <c r="B2164" s="5">
        <f>_xlfn.XLOOKUP(A2164,bunker_daily_raw!$A$2:$A$3819,bunker_daily_raw!$B$2:$B$3819)</f>
        <v>315.5</v>
      </c>
      <c r="C2164" s="6">
        <v>70.97</v>
      </c>
    </row>
    <row r="2165" spans="1:3" x14ac:dyDescent="0.25">
      <c r="A2165" s="4">
        <v>38826</v>
      </c>
      <c r="B2165" s="5">
        <f>_xlfn.XLOOKUP(A2165,bunker_daily_raw!$A$2:$A$3819,bunker_daily_raw!$B$2:$B$3819)</f>
        <v>321.5</v>
      </c>
      <c r="C2165" s="6">
        <v>72.69</v>
      </c>
    </row>
    <row r="2166" spans="1:3" x14ac:dyDescent="0.25">
      <c r="A2166" s="4">
        <v>38827</v>
      </c>
      <c r="B2166" s="5">
        <f>_xlfn.XLOOKUP(A2166,bunker_daily_raw!$A$2:$A$3819,bunker_daily_raw!$B$2:$B$3819)</f>
        <v>319.25</v>
      </c>
      <c r="C2166" s="6">
        <v>72.569999999999993</v>
      </c>
    </row>
    <row r="2167" spans="1:3" x14ac:dyDescent="0.25">
      <c r="A2167" s="4">
        <v>38828</v>
      </c>
      <c r="B2167" s="5">
        <f>_xlfn.XLOOKUP(A2167,bunker_daily_raw!$A$2:$A$3819,bunker_daily_raw!$B$2:$B$3819)</f>
        <v>318.75</v>
      </c>
      <c r="C2167" s="6">
        <v>73.94</v>
      </c>
    </row>
    <row r="2168" spans="1:3" x14ac:dyDescent="0.25">
      <c r="A2168" s="4">
        <v>38831</v>
      </c>
      <c r="B2168" s="5">
        <f>_xlfn.XLOOKUP(A2168,bunker_daily_raw!$A$2:$A$3819,bunker_daily_raw!$B$2:$B$3819)</f>
        <v>323.5</v>
      </c>
      <c r="C2168" s="6">
        <v>73.959999999999994</v>
      </c>
    </row>
    <row r="2169" spans="1:3" x14ac:dyDescent="0.25">
      <c r="A2169" s="4">
        <v>38832</v>
      </c>
      <c r="B2169" s="5">
        <f>_xlfn.XLOOKUP(A2169,bunker_daily_raw!$A$2:$A$3819,bunker_daily_raw!$B$2:$B$3819)</f>
        <v>321.5</v>
      </c>
      <c r="C2169" s="6">
        <v>72.86</v>
      </c>
    </row>
    <row r="2170" spans="1:3" x14ac:dyDescent="0.25">
      <c r="A2170" s="4">
        <v>38833</v>
      </c>
      <c r="B2170" s="5">
        <f>_xlfn.XLOOKUP(A2170,bunker_daily_raw!$A$2:$A$3819,bunker_daily_raw!$B$2:$B$3819)</f>
        <v>328</v>
      </c>
      <c r="C2170" s="6">
        <v>73.459999999999994</v>
      </c>
    </row>
    <row r="2171" spans="1:3" x14ac:dyDescent="0.25">
      <c r="A2171" s="4">
        <v>38834</v>
      </c>
      <c r="B2171" s="5">
        <f>_xlfn.XLOOKUP(A2171,bunker_daily_raw!$A$2:$A$3819,bunker_daily_raw!$B$2:$B$3819)</f>
        <v>322.5</v>
      </c>
      <c r="C2171" s="6">
        <v>71.790000000000006</v>
      </c>
    </row>
    <row r="2172" spans="1:3" x14ac:dyDescent="0.25">
      <c r="A2172" s="4">
        <v>38835</v>
      </c>
      <c r="B2172" s="5">
        <f>_xlfn.XLOOKUP(A2172,bunker_daily_raw!$A$2:$A$3819,bunker_daily_raw!$B$2:$B$3819)</f>
        <v>323</v>
      </c>
      <c r="C2172" s="6">
        <v>72.150000000000006</v>
      </c>
    </row>
    <row r="2173" spans="1:3" x14ac:dyDescent="0.25">
      <c r="A2173" s="4">
        <v>38838</v>
      </c>
      <c r="B2173" s="5" t="e">
        <f>_xlfn.XLOOKUP(A2173,bunker_daily_raw!$A$2:$A$3819,bunker_daily_raw!$B$2:$B$3819)</f>
        <v>#N/A</v>
      </c>
      <c r="C2173" s="6">
        <v>73.37</v>
      </c>
    </row>
    <row r="2174" spans="1:3" x14ac:dyDescent="0.25">
      <c r="A2174" s="4">
        <v>38839</v>
      </c>
      <c r="B2174" s="5">
        <f>_xlfn.XLOOKUP(A2174,bunker_daily_raw!$A$2:$A$3819,bunker_daily_raw!$B$2:$B$3819)</f>
        <v>331</v>
      </c>
      <c r="C2174" s="6">
        <v>74.45</v>
      </c>
    </row>
    <row r="2175" spans="1:3" x14ac:dyDescent="0.25">
      <c r="A2175" s="4">
        <v>38840</v>
      </c>
      <c r="B2175" s="5">
        <f>_xlfn.XLOOKUP(A2175,bunker_daily_raw!$A$2:$A$3819,bunker_daily_raw!$B$2:$B$3819)</f>
        <v>333.5</v>
      </c>
      <c r="C2175" s="6">
        <v>73.73</v>
      </c>
    </row>
    <row r="2176" spans="1:3" x14ac:dyDescent="0.25">
      <c r="A2176" s="4">
        <v>38841</v>
      </c>
      <c r="B2176" s="5">
        <f>_xlfn.XLOOKUP(A2176,bunker_daily_raw!$A$2:$A$3819,bunker_daily_raw!$B$2:$B$3819)</f>
        <v>319.25</v>
      </c>
      <c r="C2176" s="6">
        <v>71.84</v>
      </c>
    </row>
    <row r="2177" spans="1:3" x14ac:dyDescent="0.25">
      <c r="A2177" s="4">
        <v>38842</v>
      </c>
      <c r="B2177" s="5">
        <f>_xlfn.XLOOKUP(A2177,bunker_daily_raw!$A$2:$A$3819,bunker_daily_raw!$B$2:$B$3819)</f>
        <v>322</v>
      </c>
      <c r="C2177" s="6">
        <v>71.22</v>
      </c>
    </row>
    <row r="2178" spans="1:3" x14ac:dyDescent="0.25">
      <c r="A2178" s="4">
        <v>38845</v>
      </c>
      <c r="B2178" s="5">
        <f>_xlfn.XLOOKUP(A2178,bunker_daily_raw!$A$2:$A$3819,bunker_daily_raw!$B$2:$B$3819)</f>
        <v>313.25</v>
      </c>
      <c r="C2178" s="6">
        <v>68.260000000000005</v>
      </c>
    </row>
    <row r="2179" spans="1:3" x14ac:dyDescent="0.25">
      <c r="A2179" s="4">
        <v>38846</v>
      </c>
      <c r="B2179" s="5">
        <f>_xlfn.XLOOKUP(A2179,bunker_daily_raw!$A$2:$A$3819,bunker_daily_raw!$B$2:$B$3819)</f>
        <v>324</v>
      </c>
      <c r="C2179" s="6">
        <v>70.599999999999994</v>
      </c>
    </row>
    <row r="2180" spans="1:3" x14ac:dyDescent="0.25">
      <c r="A2180" s="4">
        <v>38847</v>
      </c>
      <c r="B2180" s="5">
        <f>_xlfn.XLOOKUP(A2180,bunker_daily_raw!$A$2:$A$3819,bunker_daily_raw!$B$2:$B$3819)</f>
        <v>320</v>
      </c>
      <c r="C2180" s="6">
        <v>69.83</v>
      </c>
    </row>
    <row r="2181" spans="1:3" x14ac:dyDescent="0.25">
      <c r="A2181" s="4">
        <v>38848</v>
      </c>
      <c r="B2181" s="5">
        <f>_xlfn.XLOOKUP(A2181,bunker_daily_raw!$A$2:$A$3819,bunker_daily_raw!$B$2:$B$3819)</f>
        <v>328.25</v>
      </c>
      <c r="C2181" s="6">
        <v>72.2</v>
      </c>
    </row>
    <row r="2182" spans="1:3" x14ac:dyDescent="0.25">
      <c r="A2182" s="4">
        <v>38849</v>
      </c>
      <c r="B2182" s="5">
        <f>_xlfn.XLOOKUP(A2182,bunker_daily_raw!$A$2:$A$3819,bunker_daily_raw!$B$2:$B$3819)</f>
        <v>323.25</v>
      </c>
      <c r="C2182" s="6">
        <v>71.3</v>
      </c>
    </row>
    <row r="2183" spans="1:3" x14ac:dyDescent="0.25">
      <c r="A2183" s="4">
        <v>38852</v>
      </c>
      <c r="B2183" s="5">
        <f>_xlfn.XLOOKUP(A2183,bunker_daily_raw!$A$2:$A$3819,bunker_daily_raw!$B$2:$B$3819)</f>
        <v>312</v>
      </c>
      <c r="C2183" s="6">
        <v>68.69</v>
      </c>
    </row>
    <row r="2184" spans="1:3" x14ac:dyDescent="0.25">
      <c r="A2184" s="4">
        <v>38853</v>
      </c>
      <c r="B2184" s="5">
        <f>_xlfn.XLOOKUP(A2184,bunker_daily_raw!$A$2:$A$3819,bunker_daily_raw!$B$2:$B$3819)</f>
        <v>315.5</v>
      </c>
      <c r="C2184" s="6">
        <v>68.66</v>
      </c>
    </row>
    <row r="2185" spans="1:3" x14ac:dyDescent="0.25">
      <c r="A2185" s="4">
        <v>38854</v>
      </c>
      <c r="B2185" s="5">
        <f>_xlfn.XLOOKUP(A2185,bunker_daily_raw!$A$2:$A$3819,bunker_daily_raw!$B$2:$B$3819)</f>
        <v>315.25</v>
      </c>
      <c r="C2185" s="6">
        <v>67.52</v>
      </c>
    </row>
    <row r="2186" spans="1:3" x14ac:dyDescent="0.25">
      <c r="A2186" s="4">
        <v>38855</v>
      </c>
      <c r="B2186" s="5">
        <f>_xlfn.XLOOKUP(A2186,bunker_daily_raw!$A$2:$A$3819,bunker_daily_raw!$B$2:$B$3819)</f>
        <v>313</v>
      </c>
      <c r="C2186" s="6">
        <v>67.39</v>
      </c>
    </row>
    <row r="2187" spans="1:3" x14ac:dyDescent="0.25">
      <c r="A2187" s="4">
        <v>38856</v>
      </c>
      <c r="B2187" s="5">
        <f>_xlfn.XLOOKUP(A2187,bunker_daily_raw!$A$2:$A$3819,bunker_daily_raw!$B$2:$B$3819)</f>
        <v>314.5</v>
      </c>
      <c r="C2187" s="6">
        <v>66.930000000000007</v>
      </c>
    </row>
    <row r="2188" spans="1:3" x14ac:dyDescent="0.25">
      <c r="A2188" s="4">
        <v>38859</v>
      </c>
      <c r="B2188" s="5">
        <f>_xlfn.XLOOKUP(A2188,bunker_daily_raw!$A$2:$A$3819,bunker_daily_raw!$B$2:$B$3819)</f>
        <v>313.25</v>
      </c>
      <c r="C2188" s="6">
        <v>66.52</v>
      </c>
    </row>
    <row r="2189" spans="1:3" x14ac:dyDescent="0.25">
      <c r="A2189" s="4">
        <v>38860</v>
      </c>
      <c r="B2189" s="5">
        <f>_xlfn.XLOOKUP(A2189,bunker_daily_raw!$A$2:$A$3819,bunker_daily_raw!$B$2:$B$3819)</f>
        <v>323.5</v>
      </c>
      <c r="C2189" s="6">
        <v>68.97</v>
      </c>
    </row>
    <row r="2190" spans="1:3" x14ac:dyDescent="0.25">
      <c r="A2190" s="4">
        <v>38861</v>
      </c>
      <c r="B2190" s="5">
        <f>_xlfn.XLOOKUP(A2190,bunker_daily_raw!$A$2:$A$3819,bunker_daily_raw!$B$2:$B$3819)</f>
        <v>317.75</v>
      </c>
      <c r="C2190" s="6">
        <v>68.45</v>
      </c>
    </row>
    <row r="2191" spans="1:3" x14ac:dyDescent="0.25">
      <c r="A2191" s="4">
        <v>38862</v>
      </c>
      <c r="B2191" s="5">
        <f>_xlfn.XLOOKUP(A2191,bunker_daily_raw!$A$2:$A$3819,bunker_daily_raw!$B$2:$B$3819)</f>
        <v>316.25</v>
      </c>
      <c r="C2191" s="6">
        <v>68.510000000000005</v>
      </c>
    </row>
    <row r="2192" spans="1:3" x14ac:dyDescent="0.25">
      <c r="A2192" s="4">
        <v>38863</v>
      </c>
      <c r="B2192" s="5">
        <f>_xlfn.XLOOKUP(A2192,bunker_daily_raw!$A$2:$A$3819,bunker_daily_raw!$B$2:$B$3819)</f>
        <v>311.5</v>
      </c>
      <c r="C2192" s="6">
        <v>69.88</v>
      </c>
    </row>
    <row r="2193" spans="1:3" x14ac:dyDescent="0.25">
      <c r="A2193" s="4">
        <v>38866</v>
      </c>
      <c r="B2193" s="5" t="e">
        <f>_xlfn.XLOOKUP(A2193,bunker_daily_raw!$A$2:$A$3819,bunker_daily_raw!$B$2:$B$3819)</f>
        <v>#N/A</v>
      </c>
      <c r="C2193" s="6">
        <v>69.16</v>
      </c>
    </row>
    <row r="2194" spans="1:3" x14ac:dyDescent="0.25">
      <c r="A2194" s="4">
        <v>38867</v>
      </c>
      <c r="B2194" s="5">
        <f>_xlfn.XLOOKUP(A2194,bunker_daily_raw!$A$2:$A$3819,bunker_daily_raw!$B$2:$B$3819)</f>
        <v>316.5</v>
      </c>
      <c r="C2194" s="6">
        <v>69.819999999999993</v>
      </c>
    </row>
    <row r="2195" spans="1:3" x14ac:dyDescent="0.25">
      <c r="A2195" s="4">
        <v>38868</v>
      </c>
      <c r="B2195" s="5">
        <f>_xlfn.XLOOKUP(A2195,bunker_daily_raw!$A$2:$A$3819,bunker_daily_raw!$B$2:$B$3819)</f>
        <v>310.5</v>
      </c>
      <c r="C2195" s="6">
        <v>67.569999999999993</v>
      </c>
    </row>
    <row r="2196" spans="1:3" x14ac:dyDescent="0.25">
      <c r="A2196" s="4">
        <v>38869</v>
      </c>
      <c r="B2196" s="5">
        <f>_xlfn.XLOOKUP(A2196,bunker_daily_raw!$A$2:$A$3819,bunker_daily_raw!$B$2:$B$3819)</f>
        <v>311</v>
      </c>
      <c r="C2196" s="6">
        <v>68.77</v>
      </c>
    </row>
    <row r="2197" spans="1:3" x14ac:dyDescent="0.25">
      <c r="A2197" s="4">
        <v>38870</v>
      </c>
      <c r="B2197" s="5">
        <f>_xlfn.XLOOKUP(A2197,bunker_daily_raw!$A$2:$A$3819,bunker_daily_raw!$B$2:$B$3819)</f>
        <v>312</v>
      </c>
      <c r="C2197" s="6">
        <v>68.42</v>
      </c>
    </row>
    <row r="2198" spans="1:3" x14ac:dyDescent="0.25">
      <c r="A2198" s="4">
        <v>38873</v>
      </c>
      <c r="B2198" s="5">
        <f>_xlfn.XLOOKUP(A2198,bunker_daily_raw!$A$2:$A$3819,bunker_daily_raw!$B$2:$B$3819)</f>
        <v>315</v>
      </c>
      <c r="C2198" s="6">
        <v>69.13</v>
      </c>
    </row>
    <row r="2199" spans="1:3" x14ac:dyDescent="0.25">
      <c r="A2199" s="4">
        <v>38874</v>
      </c>
      <c r="B2199" s="5">
        <f>_xlfn.XLOOKUP(A2199,bunker_daily_raw!$A$2:$A$3819,bunker_daily_raw!$B$2:$B$3819)</f>
        <v>306</v>
      </c>
      <c r="C2199" s="6">
        <v>68.25</v>
      </c>
    </row>
    <row r="2200" spans="1:3" x14ac:dyDescent="0.25">
      <c r="A2200" s="4">
        <v>38875</v>
      </c>
      <c r="B2200" s="5">
        <f>_xlfn.XLOOKUP(A2200,bunker_daily_raw!$A$2:$A$3819,bunker_daily_raw!$B$2:$B$3819)</f>
        <v>298.25</v>
      </c>
      <c r="C2200" s="6">
        <v>67.17</v>
      </c>
    </row>
    <row r="2201" spans="1:3" x14ac:dyDescent="0.25">
      <c r="A2201" s="4">
        <v>38876</v>
      </c>
      <c r="B2201" s="5">
        <f>_xlfn.XLOOKUP(A2201,bunker_daily_raw!$A$2:$A$3819,bunker_daily_raw!$B$2:$B$3819)</f>
        <v>293.5</v>
      </c>
      <c r="C2201" s="6">
        <v>65.760000000000005</v>
      </c>
    </row>
    <row r="2202" spans="1:3" x14ac:dyDescent="0.25">
      <c r="A2202" s="4">
        <v>38877</v>
      </c>
      <c r="B2202" s="5">
        <f>_xlfn.XLOOKUP(A2202,bunker_daily_raw!$A$2:$A$3819,bunker_daily_raw!$B$2:$B$3819)</f>
        <v>301.5</v>
      </c>
      <c r="C2202" s="6">
        <v>69.13</v>
      </c>
    </row>
    <row r="2203" spans="1:3" x14ac:dyDescent="0.25">
      <c r="A2203" s="4">
        <v>38880</v>
      </c>
      <c r="B2203" s="5">
        <f>_xlfn.XLOOKUP(A2203,bunker_daily_raw!$A$2:$A$3819,bunker_daily_raw!$B$2:$B$3819)</f>
        <v>301.75</v>
      </c>
      <c r="C2203" s="6">
        <v>68.62</v>
      </c>
    </row>
    <row r="2204" spans="1:3" x14ac:dyDescent="0.25">
      <c r="A2204" s="4">
        <v>38881</v>
      </c>
      <c r="B2204" s="5">
        <f>_xlfn.XLOOKUP(A2204,bunker_daily_raw!$A$2:$A$3819,bunker_daily_raw!$B$2:$B$3819)</f>
        <v>292.5</v>
      </c>
      <c r="C2204" s="6">
        <v>65.67</v>
      </c>
    </row>
    <row r="2205" spans="1:3" x14ac:dyDescent="0.25">
      <c r="A2205" s="4">
        <v>38882</v>
      </c>
      <c r="B2205" s="5">
        <f>_xlfn.XLOOKUP(A2205,bunker_daily_raw!$A$2:$A$3819,bunker_daily_raw!$B$2:$B$3819)</f>
        <v>293.75</v>
      </c>
      <c r="C2205" s="6">
        <v>65.52</v>
      </c>
    </row>
    <row r="2206" spans="1:3" x14ac:dyDescent="0.25">
      <c r="A2206" s="4">
        <v>38883</v>
      </c>
      <c r="B2206" s="5">
        <f>_xlfn.XLOOKUP(A2206,bunker_daily_raw!$A$2:$A$3819,bunker_daily_raw!$B$2:$B$3819)</f>
        <v>294</v>
      </c>
      <c r="C2206" s="6">
        <v>66.040000000000006</v>
      </c>
    </row>
    <row r="2207" spans="1:3" x14ac:dyDescent="0.25">
      <c r="A2207" s="4">
        <v>38884</v>
      </c>
      <c r="B2207" s="5">
        <f>_xlfn.XLOOKUP(A2207,bunker_daily_raw!$A$2:$A$3819,bunker_daily_raw!$B$2:$B$3819)</f>
        <v>285.5</v>
      </c>
      <c r="C2207" s="6">
        <v>65.010000000000005</v>
      </c>
    </row>
    <row r="2208" spans="1:3" x14ac:dyDescent="0.25">
      <c r="A2208" s="4">
        <v>38887</v>
      </c>
      <c r="B2208" s="5">
        <f>_xlfn.XLOOKUP(A2208,bunker_daily_raw!$A$2:$A$3819,bunker_daily_raw!$B$2:$B$3819)</f>
        <v>281</v>
      </c>
      <c r="C2208" s="6">
        <v>66.400000000000006</v>
      </c>
    </row>
    <row r="2209" spans="1:3" x14ac:dyDescent="0.25">
      <c r="A2209" s="4">
        <v>38888</v>
      </c>
      <c r="B2209" s="5">
        <f>_xlfn.XLOOKUP(A2209,bunker_daily_raw!$A$2:$A$3819,bunker_daily_raw!$B$2:$B$3819)</f>
        <v>283.75</v>
      </c>
      <c r="C2209" s="6">
        <v>67.569999999999993</v>
      </c>
    </row>
    <row r="2210" spans="1:3" x14ac:dyDescent="0.25">
      <c r="A2210" s="4">
        <v>38889</v>
      </c>
      <c r="B2210" s="5">
        <f>_xlfn.XLOOKUP(A2210,bunker_daily_raw!$A$2:$A$3819,bunker_daily_raw!$B$2:$B$3819)</f>
        <v>280.25</v>
      </c>
      <c r="C2210" s="6">
        <v>68.17</v>
      </c>
    </row>
    <row r="2211" spans="1:3" x14ac:dyDescent="0.25">
      <c r="A2211" s="4">
        <v>38890</v>
      </c>
      <c r="B2211" s="5">
        <f>_xlfn.XLOOKUP(A2211,bunker_daily_raw!$A$2:$A$3819,bunker_daily_raw!$B$2:$B$3819)</f>
        <v>285.5</v>
      </c>
      <c r="C2211" s="6">
        <v>69.599999999999994</v>
      </c>
    </row>
    <row r="2212" spans="1:3" x14ac:dyDescent="0.25">
      <c r="A2212" s="4">
        <v>38891</v>
      </c>
      <c r="B2212" s="5">
        <f>_xlfn.XLOOKUP(A2212,bunker_daily_raw!$A$2:$A$3819,bunker_daily_raw!$B$2:$B$3819)</f>
        <v>290</v>
      </c>
      <c r="C2212" s="6">
        <v>69.91</v>
      </c>
    </row>
    <row r="2213" spans="1:3" x14ac:dyDescent="0.25">
      <c r="A2213" s="4">
        <v>38894</v>
      </c>
      <c r="B2213" s="5">
        <f>_xlfn.XLOOKUP(A2213,bunker_daily_raw!$A$2:$A$3819,bunker_daily_raw!$B$2:$B$3819)</f>
        <v>291</v>
      </c>
      <c r="C2213" s="6">
        <v>69.849999999999994</v>
      </c>
    </row>
    <row r="2214" spans="1:3" x14ac:dyDescent="0.25">
      <c r="A2214" s="4">
        <v>38895</v>
      </c>
      <c r="B2214" s="5">
        <f>_xlfn.XLOOKUP(A2214,bunker_daily_raw!$A$2:$A$3819,bunker_daily_raw!$B$2:$B$3819)</f>
        <v>295</v>
      </c>
      <c r="C2214" s="6">
        <v>71.260000000000005</v>
      </c>
    </row>
    <row r="2215" spans="1:3" x14ac:dyDescent="0.25">
      <c r="A2215" s="4">
        <v>38896</v>
      </c>
      <c r="B2215" s="5">
        <f>_xlfn.XLOOKUP(A2215,bunker_daily_raw!$A$2:$A$3819,bunker_daily_raw!$B$2:$B$3819)</f>
        <v>297.5</v>
      </c>
      <c r="C2215" s="6">
        <v>71.760000000000005</v>
      </c>
    </row>
    <row r="2216" spans="1:3" x14ac:dyDescent="0.25">
      <c r="A2216" s="4">
        <v>38897</v>
      </c>
      <c r="B2216" s="5">
        <f>_xlfn.XLOOKUP(A2216,bunker_daily_raw!$A$2:$A$3819,bunker_daily_raw!$B$2:$B$3819)</f>
        <v>297.5</v>
      </c>
      <c r="C2216" s="6">
        <v>73.02</v>
      </c>
    </row>
    <row r="2217" spans="1:3" x14ac:dyDescent="0.25">
      <c r="A2217" s="4">
        <v>38898</v>
      </c>
      <c r="B2217" s="5">
        <f>_xlfn.XLOOKUP(A2217,bunker_daily_raw!$A$2:$A$3819,bunker_daily_raw!$B$2:$B$3819)</f>
        <v>298</v>
      </c>
      <c r="C2217" s="6">
        <v>73.2</v>
      </c>
    </row>
    <row r="2218" spans="1:3" x14ac:dyDescent="0.25">
      <c r="A2218" s="4">
        <v>38901</v>
      </c>
      <c r="B2218" s="5">
        <f>_xlfn.XLOOKUP(A2218,bunker_daily_raw!$A$2:$A$3819,bunker_daily_raw!$B$2:$B$3819)</f>
        <v>295.25</v>
      </c>
      <c r="C2218" s="6">
        <v>73.94</v>
      </c>
    </row>
    <row r="2219" spans="1:3" x14ac:dyDescent="0.25">
      <c r="A2219" s="4">
        <v>38902</v>
      </c>
      <c r="B2219" s="5">
        <f>_xlfn.XLOOKUP(A2219,bunker_daily_raw!$A$2:$A$3819,bunker_daily_raw!$B$2:$B$3819)</f>
        <v>295.25</v>
      </c>
      <c r="C2219" s="6">
        <v>73.17</v>
      </c>
    </row>
    <row r="2220" spans="1:3" x14ac:dyDescent="0.25">
      <c r="A2220" s="4">
        <v>38903</v>
      </c>
      <c r="B2220" s="5">
        <f>_xlfn.XLOOKUP(A2220,bunker_daily_raw!$A$2:$A$3819,bunker_daily_raw!$B$2:$B$3819)</f>
        <v>293</v>
      </c>
      <c r="C2220" s="6">
        <v>72.88</v>
      </c>
    </row>
    <row r="2221" spans="1:3" x14ac:dyDescent="0.25">
      <c r="A2221" s="4">
        <v>38904</v>
      </c>
      <c r="B2221" s="5">
        <f>_xlfn.XLOOKUP(A2221,bunker_daily_raw!$A$2:$A$3819,bunker_daily_raw!$B$2:$B$3819)</f>
        <v>297</v>
      </c>
      <c r="C2221" s="6">
        <v>73.12</v>
      </c>
    </row>
    <row r="2222" spans="1:3" x14ac:dyDescent="0.25">
      <c r="A2222" s="4">
        <v>38905</v>
      </c>
      <c r="B2222" s="5">
        <f>_xlfn.XLOOKUP(A2222,bunker_daily_raw!$A$2:$A$3819,bunker_daily_raw!$B$2:$B$3819)</f>
        <v>300.5</v>
      </c>
      <c r="C2222" s="6">
        <v>74.14</v>
      </c>
    </row>
    <row r="2223" spans="1:3" x14ac:dyDescent="0.25">
      <c r="A2223" s="4">
        <v>38908</v>
      </c>
      <c r="B2223" s="5">
        <f>_xlfn.XLOOKUP(A2223,bunker_daily_raw!$A$2:$A$3819,bunker_daily_raw!$B$2:$B$3819)</f>
        <v>299</v>
      </c>
      <c r="C2223" s="6">
        <v>72.39</v>
      </c>
    </row>
    <row r="2224" spans="1:3" x14ac:dyDescent="0.25">
      <c r="A2224" s="4">
        <v>38909</v>
      </c>
      <c r="B2224" s="5">
        <f>_xlfn.XLOOKUP(A2224,bunker_daily_raw!$A$2:$A$3819,bunker_daily_raw!$B$2:$B$3819)</f>
        <v>300</v>
      </c>
      <c r="C2224" s="6">
        <v>73.14</v>
      </c>
    </row>
    <row r="2225" spans="1:3" x14ac:dyDescent="0.25">
      <c r="A2225" s="4">
        <v>38910</v>
      </c>
      <c r="B2225" s="5">
        <f>_xlfn.XLOOKUP(A2225,bunker_daily_raw!$A$2:$A$3819,bunker_daily_raw!$B$2:$B$3819)</f>
        <v>308.5</v>
      </c>
      <c r="C2225" s="6">
        <v>73.040000000000006</v>
      </c>
    </row>
    <row r="2226" spans="1:3" x14ac:dyDescent="0.25">
      <c r="A2226" s="4">
        <v>38911</v>
      </c>
      <c r="B2226" s="5">
        <f>_xlfn.XLOOKUP(A2226,bunker_daily_raw!$A$2:$A$3819,bunker_daily_raw!$B$2:$B$3819)</f>
        <v>324</v>
      </c>
      <c r="C2226" s="6">
        <v>75.23</v>
      </c>
    </row>
    <row r="2227" spans="1:3" x14ac:dyDescent="0.25">
      <c r="A2227" s="4">
        <v>38912</v>
      </c>
      <c r="B2227" s="5">
        <f>_xlfn.XLOOKUP(A2227,bunker_daily_raw!$A$2:$A$3819,bunker_daily_raw!$B$2:$B$3819)</f>
        <v>326.5</v>
      </c>
      <c r="C2227" s="6">
        <v>76.13</v>
      </c>
    </row>
    <row r="2228" spans="1:3" x14ac:dyDescent="0.25">
      <c r="A2228" s="4">
        <v>38915</v>
      </c>
      <c r="B2228" s="5">
        <f>_xlfn.XLOOKUP(A2228,bunker_daily_raw!$A$2:$A$3819,bunker_daily_raw!$B$2:$B$3819)</f>
        <v>326</v>
      </c>
      <c r="C2228" s="6">
        <v>75.12</v>
      </c>
    </row>
    <row r="2229" spans="1:3" x14ac:dyDescent="0.25">
      <c r="A2229" s="4">
        <v>38916</v>
      </c>
      <c r="B2229" s="5">
        <f>_xlfn.XLOOKUP(A2229,bunker_daily_raw!$A$2:$A$3819,bunker_daily_raw!$B$2:$B$3819)</f>
        <v>324</v>
      </c>
      <c r="C2229" s="6">
        <v>75.319999999999993</v>
      </c>
    </row>
    <row r="2230" spans="1:3" x14ac:dyDescent="0.25">
      <c r="A2230" s="4">
        <v>38917</v>
      </c>
      <c r="B2230" s="5">
        <f>_xlfn.XLOOKUP(A2230,bunker_daily_raw!$A$2:$A$3819,bunker_daily_raw!$B$2:$B$3819)</f>
        <v>311</v>
      </c>
      <c r="C2230" s="6">
        <v>71.62</v>
      </c>
    </row>
    <row r="2231" spans="1:3" x14ac:dyDescent="0.25">
      <c r="A2231" s="4">
        <v>38918</v>
      </c>
      <c r="B2231" s="5">
        <f>_xlfn.XLOOKUP(A2231,bunker_daily_raw!$A$2:$A$3819,bunker_daily_raw!$B$2:$B$3819)</f>
        <v>314.75</v>
      </c>
      <c r="C2231" s="6">
        <v>72.56</v>
      </c>
    </row>
    <row r="2232" spans="1:3" x14ac:dyDescent="0.25">
      <c r="A2232" s="4">
        <v>38919</v>
      </c>
      <c r="B2232" s="5">
        <f>_xlfn.XLOOKUP(A2232,bunker_daily_raw!$A$2:$A$3819,bunker_daily_raw!$B$2:$B$3819)</f>
        <v>313.5</v>
      </c>
      <c r="C2232" s="6">
        <v>72.959999999999994</v>
      </c>
    </row>
    <row r="2233" spans="1:3" x14ac:dyDescent="0.25">
      <c r="A2233" s="4">
        <v>38922</v>
      </c>
      <c r="B2233" s="5">
        <f>_xlfn.XLOOKUP(A2233,bunker_daily_raw!$A$2:$A$3819,bunker_daily_raw!$B$2:$B$3819)</f>
        <v>307.5</v>
      </c>
      <c r="C2233" s="6">
        <v>72.09</v>
      </c>
    </row>
    <row r="2234" spans="1:3" x14ac:dyDescent="0.25">
      <c r="A2234" s="4">
        <v>38923</v>
      </c>
      <c r="B2234" s="5">
        <f>_xlfn.XLOOKUP(A2234,bunker_daily_raw!$A$2:$A$3819,bunker_daily_raw!$B$2:$B$3819)</f>
        <v>312</v>
      </c>
      <c r="C2234" s="6">
        <v>72.489999999999995</v>
      </c>
    </row>
    <row r="2235" spans="1:3" x14ac:dyDescent="0.25">
      <c r="A2235" s="4">
        <v>38924</v>
      </c>
      <c r="B2235" s="5">
        <f>_xlfn.XLOOKUP(A2235,bunker_daily_raw!$A$2:$A$3819,bunker_daily_raw!$B$2:$B$3819)</f>
        <v>313</v>
      </c>
      <c r="C2235" s="6">
        <v>73.760000000000005</v>
      </c>
    </row>
    <row r="2236" spans="1:3" x14ac:dyDescent="0.25">
      <c r="A2236" s="4">
        <v>38925</v>
      </c>
      <c r="B2236" s="5">
        <f>_xlfn.XLOOKUP(A2236,bunker_daily_raw!$A$2:$A$3819,bunker_daily_raw!$B$2:$B$3819)</f>
        <v>313</v>
      </c>
      <c r="C2236" s="6">
        <v>75.36</v>
      </c>
    </row>
    <row r="2237" spans="1:3" x14ac:dyDescent="0.25">
      <c r="A2237" s="4">
        <v>38926</v>
      </c>
      <c r="B2237" s="5">
        <f>_xlfn.XLOOKUP(A2237,bunker_daily_raw!$A$2:$A$3819,bunker_daily_raw!$B$2:$B$3819)</f>
        <v>311.5</v>
      </c>
      <c r="C2237" s="6">
        <v>73.95</v>
      </c>
    </row>
    <row r="2238" spans="1:3" x14ac:dyDescent="0.25">
      <c r="A2238" s="4">
        <v>38929</v>
      </c>
      <c r="B2238" s="5">
        <f>_xlfn.XLOOKUP(A2238,bunker_daily_raw!$A$2:$A$3819,bunker_daily_raw!$B$2:$B$3819)</f>
        <v>313</v>
      </c>
      <c r="C2238" s="6">
        <v>74.75</v>
      </c>
    </row>
    <row r="2239" spans="1:3" x14ac:dyDescent="0.25">
      <c r="A2239" s="4">
        <v>38930</v>
      </c>
      <c r="B2239" s="5">
        <f>_xlfn.XLOOKUP(A2239,bunker_daily_raw!$A$2:$A$3819,bunker_daily_raw!$B$2:$B$3819)</f>
        <v>315.5</v>
      </c>
      <c r="C2239" s="6">
        <v>76.39</v>
      </c>
    </row>
    <row r="2240" spans="1:3" x14ac:dyDescent="0.25">
      <c r="A2240" s="4">
        <v>38931</v>
      </c>
      <c r="B2240" s="5">
        <f>_xlfn.XLOOKUP(A2240,bunker_daily_raw!$A$2:$A$3819,bunker_daily_raw!$B$2:$B$3819)</f>
        <v>320</v>
      </c>
      <c r="C2240" s="6">
        <v>77.63</v>
      </c>
    </row>
    <row r="2241" spans="1:3" x14ac:dyDescent="0.25">
      <c r="A2241" s="4">
        <v>38932</v>
      </c>
      <c r="B2241" s="5">
        <f>_xlfn.XLOOKUP(A2241,bunker_daily_raw!$A$2:$A$3819,bunker_daily_raw!$B$2:$B$3819)</f>
        <v>314.75</v>
      </c>
      <c r="C2241" s="6">
        <v>76.28</v>
      </c>
    </row>
    <row r="2242" spans="1:3" x14ac:dyDescent="0.25">
      <c r="A2242" s="4">
        <v>38933</v>
      </c>
      <c r="B2242" s="5">
        <f>_xlfn.XLOOKUP(A2242,bunker_daily_raw!$A$2:$A$3819,bunker_daily_raw!$B$2:$B$3819)</f>
        <v>313.5</v>
      </c>
      <c r="C2242" s="6">
        <v>76.53</v>
      </c>
    </row>
    <row r="2243" spans="1:3" x14ac:dyDescent="0.25">
      <c r="A2243" s="4">
        <v>38936</v>
      </c>
      <c r="B2243" s="5">
        <f>_xlfn.XLOOKUP(A2243,bunker_daily_raw!$A$2:$A$3819,bunker_daily_raw!$B$2:$B$3819)</f>
        <v>319</v>
      </c>
      <c r="C2243" s="6">
        <v>77.819999999999993</v>
      </c>
    </row>
    <row r="2244" spans="1:3" x14ac:dyDescent="0.25">
      <c r="A2244" s="4">
        <v>38937</v>
      </c>
      <c r="B2244" s="5">
        <f>_xlfn.XLOOKUP(A2244,bunker_daily_raw!$A$2:$A$3819,bunker_daily_raw!$B$2:$B$3819)</f>
        <v>322</v>
      </c>
      <c r="C2244" s="6">
        <v>77.930000000000007</v>
      </c>
    </row>
    <row r="2245" spans="1:3" x14ac:dyDescent="0.25">
      <c r="A2245" s="4">
        <v>38938</v>
      </c>
      <c r="B2245" s="5">
        <f>_xlfn.XLOOKUP(A2245,bunker_daily_raw!$A$2:$A$3819,bunker_daily_raw!$B$2:$B$3819)</f>
        <v>326.5</v>
      </c>
      <c r="C2245" s="6">
        <v>78.260000000000005</v>
      </c>
    </row>
    <row r="2246" spans="1:3" x14ac:dyDescent="0.25">
      <c r="A2246" s="4">
        <v>38939</v>
      </c>
      <c r="B2246" s="5">
        <f>_xlfn.XLOOKUP(A2246,bunker_daily_raw!$A$2:$A$3819,bunker_daily_raw!$B$2:$B$3819)</f>
        <v>316</v>
      </c>
      <c r="C2246" s="6">
        <v>75.69</v>
      </c>
    </row>
    <row r="2247" spans="1:3" x14ac:dyDescent="0.25">
      <c r="A2247" s="4">
        <v>38940</v>
      </c>
      <c r="B2247" s="5">
        <f>_xlfn.XLOOKUP(A2247,bunker_daily_raw!$A$2:$A$3819,bunker_daily_raw!$B$2:$B$3819)</f>
        <v>314</v>
      </c>
      <c r="C2247" s="6">
        <v>75.19</v>
      </c>
    </row>
    <row r="2248" spans="1:3" x14ac:dyDescent="0.25">
      <c r="A2248" s="4">
        <v>38943</v>
      </c>
      <c r="B2248" s="5">
        <f>_xlfn.XLOOKUP(A2248,bunker_daily_raw!$A$2:$A$3819,bunker_daily_raw!$B$2:$B$3819)</f>
        <v>306</v>
      </c>
      <c r="C2248" s="6">
        <v>73.78</v>
      </c>
    </row>
    <row r="2249" spans="1:3" x14ac:dyDescent="0.25">
      <c r="A2249" s="4">
        <v>38944</v>
      </c>
      <c r="B2249" s="5">
        <f>_xlfn.XLOOKUP(A2249,bunker_daily_raw!$A$2:$A$3819,bunker_daily_raw!$B$2:$B$3819)</f>
        <v>306</v>
      </c>
      <c r="C2249" s="6">
        <v>73.569999999999993</v>
      </c>
    </row>
    <row r="2250" spans="1:3" x14ac:dyDescent="0.25">
      <c r="A2250" s="4">
        <v>38945</v>
      </c>
      <c r="B2250" s="5">
        <f>_xlfn.XLOOKUP(A2250,bunker_daily_raw!$A$2:$A$3819,bunker_daily_raw!$B$2:$B$3819)</f>
        <v>306.75</v>
      </c>
      <c r="C2250" s="6">
        <v>72.67</v>
      </c>
    </row>
    <row r="2251" spans="1:3" x14ac:dyDescent="0.25">
      <c r="A2251" s="4">
        <v>38946</v>
      </c>
      <c r="B2251" s="5">
        <f>_xlfn.XLOOKUP(A2251,bunker_daily_raw!$A$2:$A$3819,bunker_daily_raw!$B$2:$B$3819)</f>
        <v>304</v>
      </c>
      <c r="C2251" s="6">
        <v>70.42</v>
      </c>
    </row>
    <row r="2252" spans="1:3" x14ac:dyDescent="0.25">
      <c r="A2252" s="4">
        <v>38947</v>
      </c>
      <c r="B2252" s="5">
        <f>_xlfn.XLOOKUP(A2252,bunker_daily_raw!$A$2:$A$3819,bunker_daily_raw!$B$2:$B$3819)</f>
        <v>305</v>
      </c>
      <c r="C2252" s="6">
        <v>71.3</v>
      </c>
    </row>
    <row r="2253" spans="1:3" x14ac:dyDescent="0.25">
      <c r="A2253" s="4">
        <v>38950</v>
      </c>
      <c r="B2253" s="5">
        <f>_xlfn.XLOOKUP(A2253,bunker_daily_raw!$A$2:$A$3819,bunker_daily_raw!$B$2:$B$3819)</f>
        <v>309</v>
      </c>
      <c r="C2253" s="6">
        <v>72.42</v>
      </c>
    </row>
    <row r="2254" spans="1:3" x14ac:dyDescent="0.25">
      <c r="A2254" s="4">
        <v>38951</v>
      </c>
      <c r="B2254" s="5">
        <f>_xlfn.XLOOKUP(A2254,bunker_daily_raw!$A$2:$A$3819,bunker_daily_raw!$B$2:$B$3819)</f>
        <v>306.5</v>
      </c>
      <c r="C2254" s="6">
        <v>72.06</v>
      </c>
    </row>
    <row r="2255" spans="1:3" x14ac:dyDescent="0.25">
      <c r="A2255" s="4">
        <v>38952</v>
      </c>
      <c r="B2255" s="5">
        <f>_xlfn.XLOOKUP(A2255,bunker_daily_raw!$A$2:$A$3819,bunker_daily_raw!$B$2:$B$3819)</f>
        <v>297.75</v>
      </c>
      <c r="C2255" s="6">
        <v>71.12</v>
      </c>
    </row>
    <row r="2256" spans="1:3" x14ac:dyDescent="0.25">
      <c r="A2256" s="4">
        <v>38953</v>
      </c>
      <c r="B2256" s="5">
        <f>_xlfn.XLOOKUP(A2256,bunker_daily_raw!$A$2:$A$3819,bunker_daily_raw!$B$2:$B$3819)</f>
        <v>299.5</v>
      </c>
      <c r="C2256" s="6">
        <v>71.400000000000006</v>
      </c>
    </row>
    <row r="2257" spans="1:3" x14ac:dyDescent="0.25">
      <c r="A2257" s="4">
        <v>38954</v>
      </c>
      <c r="B2257" s="5">
        <f>_xlfn.XLOOKUP(A2257,bunker_daily_raw!$A$2:$A$3819,bunker_daily_raw!$B$2:$B$3819)</f>
        <v>297.5</v>
      </c>
      <c r="C2257" s="6">
        <v>72.58</v>
      </c>
    </row>
    <row r="2258" spans="1:3" x14ac:dyDescent="0.25">
      <c r="A2258" s="4">
        <v>38957</v>
      </c>
      <c r="B2258" s="5" t="e">
        <f>_xlfn.XLOOKUP(A2258,bunker_daily_raw!$A$2:$A$3819,bunker_daily_raw!$B$2:$B$3819)</f>
        <v>#N/A</v>
      </c>
      <c r="C2258" s="6">
        <v>69.44</v>
      </c>
    </row>
    <row r="2259" spans="1:3" x14ac:dyDescent="0.25">
      <c r="A2259" s="4">
        <v>38958</v>
      </c>
      <c r="B2259" s="5">
        <f>_xlfn.XLOOKUP(A2259,bunker_daily_raw!$A$2:$A$3819,bunker_daily_raw!$B$2:$B$3819)</f>
        <v>291.75</v>
      </c>
      <c r="C2259" s="6">
        <v>67.010000000000005</v>
      </c>
    </row>
    <row r="2260" spans="1:3" x14ac:dyDescent="0.25">
      <c r="A2260" s="4">
        <v>38959</v>
      </c>
      <c r="B2260" s="5">
        <f>_xlfn.XLOOKUP(A2260,bunker_daily_raw!$A$2:$A$3819,bunker_daily_raw!$B$2:$B$3819)</f>
        <v>287.5</v>
      </c>
      <c r="C2260" s="6">
        <v>67.150000000000006</v>
      </c>
    </row>
    <row r="2261" spans="1:3" x14ac:dyDescent="0.25">
      <c r="A2261" s="4">
        <v>38960</v>
      </c>
      <c r="B2261" s="5">
        <f>_xlfn.XLOOKUP(A2261,bunker_daily_raw!$A$2:$A$3819,bunker_daily_raw!$B$2:$B$3819)</f>
        <v>289.5</v>
      </c>
      <c r="C2261" s="6">
        <v>67.66</v>
      </c>
    </row>
    <row r="2262" spans="1:3" x14ac:dyDescent="0.25">
      <c r="A2262" s="4">
        <v>38961</v>
      </c>
      <c r="B2262" s="5">
        <f>_xlfn.XLOOKUP(A2262,bunker_daily_raw!$A$2:$A$3819,bunker_daily_raw!$B$2:$B$3819)</f>
        <v>285.75</v>
      </c>
      <c r="C2262" s="6">
        <v>70.489999999999995</v>
      </c>
    </row>
    <row r="2263" spans="1:3" x14ac:dyDescent="0.25">
      <c r="A2263" s="4">
        <v>38964</v>
      </c>
      <c r="B2263" s="5">
        <f>_xlfn.XLOOKUP(A2263,bunker_daily_raw!$A$2:$A$3819,bunker_daily_raw!$B$2:$B$3819)</f>
        <v>275.5</v>
      </c>
      <c r="C2263" s="6">
        <v>68.62</v>
      </c>
    </row>
    <row r="2264" spans="1:3" x14ac:dyDescent="0.25">
      <c r="A2264" s="4">
        <v>38965</v>
      </c>
      <c r="B2264" s="5">
        <f>_xlfn.XLOOKUP(A2264,bunker_daily_raw!$A$2:$A$3819,bunker_daily_raw!$B$2:$B$3819)</f>
        <v>280.75</v>
      </c>
      <c r="C2264" s="6">
        <v>65.94</v>
      </c>
    </row>
    <row r="2265" spans="1:3" x14ac:dyDescent="0.25">
      <c r="A2265" s="4">
        <v>38966</v>
      </c>
      <c r="B2265" s="5">
        <f>_xlfn.XLOOKUP(A2265,bunker_daily_raw!$A$2:$A$3819,bunker_daily_raw!$B$2:$B$3819)</f>
        <v>284.5</v>
      </c>
      <c r="C2265" s="6">
        <v>65.41</v>
      </c>
    </row>
    <row r="2266" spans="1:3" x14ac:dyDescent="0.25">
      <c r="A2266" s="4">
        <v>38967</v>
      </c>
      <c r="B2266" s="5">
        <f>_xlfn.XLOOKUP(A2266,bunker_daily_raw!$A$2:$A$3819,bunker_daily_raw!$B$2:$B$3819)</f>
        <v>282.5</v>
      </c>
      <c r="C2266" s="6">
        <v>64.52</v>
      </c>
    </row>
    <row r="2267" spans="1:3" x14ac:dyDescent="0.25">
      <c r="A2267" s="4">
        <v>38968</v>
      </c>
      <c r="B2267" s="5">
        <f>_xlfn.XLOOKUP(A2267,bunker_daily_raw!$A$2:$A$3819,bunker_daily_raw!$B$2:$B$3819)</f>
        <v>278</v>
      </c>
      <c r="C2267" s="6">
        <v>64.3</v>
      </c>
    </row>
    <row r="2268" spans="1:3" x14ac:dyDescent="0.25">
      <c r="A2268" s="4">
        <v>38971</v>
      </c>
      <c r="B2268" s="5">
        <f>_xlfn.XLOOKUP(A2268,bunker_daily_raw!$A$2:$A$3819,bunker_daily_raw!$B$2:$B$3819)</f>
        <v>276</v>
      </c>
      <c r="C2268" s="6">
        <v>62.41</v>
      </c>
    </row>
    <row r="2269" spans="1:3" x14ac:dyDescent="0.25">
      <c r="A2269" s="4">
        <v>38972</v>
      </c>
      <c r="B2269" s="5">
        <f>_xlfn.XLOOKUP(A2269,bunker_daily_raw!$A$2:$A$3819,bunker_daily_raw!$B$2:$B$3819)</f>
        <v>278.75</v>
      </c>
      <c r="C2269" s="6">
        <v>62.23</v>
      </c>
    </row>
    <row r="2270" spans="1:3" x14ac:dyDescent="0.25">
      <c r="A2270" s="4">
        <v>38973</v>
      </c>
      <c r="B2270" s="5">
        <f>_xlfn.XLOOKUP(A2270,bunker_daily_raw!$A$2:$A$3819,bunker_daily_raw!$B$2:$B$3819)</f>
        <v>277</v>
      </c>
      <c r="C2270" s="6">
        <v>61.28</v>
      </c>
    </row>
    <row r="2271" spans="1:3" x14ac:dyDescent="0.25">
      <c r="A2271" s="4">
        <v>38974</v>
      </c>
      <c r="B2271" s="5">
        <f>_xlfn.XLOOKUP(A2271,bunker_daily_raw!$A$2:$A$3819,bunker_daily_raw!$B$2:$B$3819)</f>
        <v>275.75</v>
      </c>
      <c r="C2271" s="6">
        <v>60.75</v>
      </c>
    </row>
    <row r="2272" spans="1:3" x14ac:dyDescent="0.25">
      <c r="A2272" s="4">
        <v>38975</v>
      </c>
      <c r="B2272" s="5">
        <f>_xlfn.XLOOKUP(A2272,bunker_daily_raw!$A$2:$A$3819,bunker_daily_raw!$B$2:$B$3819)</f>
        <v>266</v>
      </c>
      <c r="C2272" s="6">
        <v>60.23</v>
      </c>
    </row>
    <row r="2273" spans="1:3" x14ac:dyDescent="0.25">
      <c r="A2273" s="4">
        <v>38978</v>
      </c>
      <c r="B2273" s="5">
        <f>_xlfn.XLOOKUP(A2273,bunker_daily_raw!$A$2:$A$3819,bunker_daily_raw!$B$2:$B$3819)</f>
        <v>265.25</v>
      </c>
      <c r="C2273" s="6">
        <v>61.47</v>
      </c>
    </row>
    <row r="2274" spans="1:3" x14ac:dyDescent="0.25">
      <c r="A2274" s="4">
        <v>38979</v>
      </c>
      <c r="B2274" s="5">
        <f>_xlfn.XLOOKUP(A2274,bunker_daily_raw!$A$2:$A$3819,bunker_daily_raw!$B$2:$B$3819)</f>
        <v>265.75</v>
      </c>
      <c r="C2274" s="6">
        <v>62.52</v>
      </c>
    </row>
    <row r="2275" spans="1:3" x14ac:dyDescent="0.25">
      <c r="A2275" s="4">
        <v>38980</v>
      </c>
      <c r="B2275" s="5">
        <f>_xlfn.XLOOKUP(A2275,bunker_daily_raw!$A$2:$A$3819,bunker_daily_raw!$B$2:$B$3819)</f>
        <v>253</v>
      </c>
      <c r="C2275" s="6">
        <v>59.09</v>
      </c>
    </row>
    <row r="2276" spans="1:3" x14ac:dyDescent="0.25">
      <c r="A2276" s="4">
        <v>38981</v>
      </c>
      <c r="B2276" s="5">
        <f>_xlfn.XLOOKUP(A2276,bunker_daily_raw!$A$2:$A$3819,bunker_daily_raw!$B$2:$B$3819)</f>
        <v>256.75</v>
      </c>
      <c r="C2276" s="6">
        <v>59.27</v>
      </c>
    </row>
    <row r="2277" spans="1:3" x14ac:dyDescent="0.25">
      <c r="A2277" s="4">
        <v>38982</v>
      </c>
      <c r="B2277" s="5">
        <f>_xlfn.XLOOKUP(A2277,bunker_daily_raw!$A$2:$A$3819,bunker_daily_raw!$B$2:$B$3819)</f>
        <v>258</v>
      </c>
      <c r="C2277" s="6">
        <v>58.81</v>
      </c>
    </row>
    <row r="2278" spans="1:3" x14ac:dyDescent="0.25">
      <c r="A2278" s="4">
        <v>38985</v>
      </c>
      <c r="B2278" s="5">
        <f>_xlfn.XLOOKUP(A2278,bunker_daily_raw!$A$2:$A$3819,bunker_daily_raw!$B$2:$B$3819)</f>
        <v>253.25</v>
      </c>
      <c r="C2278" s="6">
        <v>57.89</v>
      </c>
    </row>
    <row r="2279" spans="1:3" x14ac:dyDescent="0.25">
      <c r="A2279" s="4">
        <v>38986</v>
      </c>
      <c r="B2279" s="5">
        <f>_xlfn.XLOOKUP(A2279,bunker_daily_raw!$A$2:$A$3819,bunker_daily_raw!$B$2:$B$3819)</f>
        <v>260</v>
      </c>
      <c r="C2279" s="6">
        <v>58.53</v>
      </c>
    </row>
    <row r="2280" spans="1:3" x14ac:dyDescent="0.25">
      <c r="A2280" s="4">
        <v>38987</v>
      </c>
      <c r="B2280" s="5">
        <f>_xlfn.XLOOKUP(A2280,bunker_daily_raw!$A$2:$A$3819,bunker_daily_raw!$B$2:$B$3819)</f>
        <v>261</v>
      </c>
      <c r="C2280" s="6">
        <v>57.6</v>
      </c>
    </row>
    <row r="2281" spans="1:3" x14ac:dyDescent="0.25">
      <c r="A2281" s="4">
        <v>38988</v>
      </c>
      <c r="B2281" s="5">
        <f>_xlfn.XLOOKUP(A2281,bunker_daily_raw!$A$2:$A$3819,bunker_daily_raw!$B$2:$B$3819)</f>
        <v>265</v>
      </c>
      <c r="C2281" s="6">
        <v>60.68</v>
      </c>
    </row>
    <row r="2282" spans="1:3" x14ac:dyDescent="0.25">
      <c r="A2282" s="4">
        <v>38989</v>
      </c>
      <c r="B2282" s="5">
        <f>_xlfn.XLOOKUP(A2282,bunker_daily_raw!$A$2:$A$3819,bunker_daily_raw!$B$2:$B$3819)</f>
        <v>258.25</v>
      </c>
      <c r="C2282" s="6">
        <v>59.09</v>
      </c>
    </row>
    <row r="2283" spans="1:3" x14ac:dyDescent="0.25">
      <c r="A2283" s="4">
        <v>38992</v>
      </c>
      <c r="B2283" s="5">
        <f>_xlfn.XLOOKUP(A2283,bunker_daily_raw!$A$2:$A$3819,bunker_daily_raw!$B$2:$B$3819)</f>
        <v>262.5</v>
      </c>
      <c r="C2283" s="6">
        <v>58.8</v>
      </c>
    </row>
    <row r="2284" spans="1:3" x14ac:dyDescent="0.25">
      <c r="A2284" s="4">
        <v>38993</v>
      </c>
      <c r="B2284" s="5">
        <f>_xlfn.XLOOKUP(A2284,bunker_daily_raw!$A$2:$A$3819,bunker_daily_raw!$B$2:$B$3819)</f>
        <v>256.5</v>
      </c>
      <c r="C2284" s="6">
        <v>56.28</v>
      </c>
    </row>
    <row r="2285" spans="1:3" x14ac:dyDescent="0.25">
      <c r="A2285" s="4">
        <v>38994</v>
      </c>
      <c r="B2285" s="5">
        <f>_xlfn.XLOOKUP(A2285,bunker_daily_raw!$A$2:$A$3819,bunker_daily_raw!$B$2:$B$3819)</f>
        <v>256.5</v>
      </c>
      <c r="C2285" s="6">
        <v>55.82</v>
      </c>
    </row>
    <row r="2286" spans="1:3" x14ac:dyDescent="0.25">
      <c r="A2286" s="4">
        <v>38995</v>
      </c>
      <c r="B2286" s="5">
        <f>_xlfn.XLOOKUP(A2286,bunker_daily_raw!$A$2:$A$3819,bunker_daily_raw!$B$2:$B$3819)</f>
        <v>264</v>
      </c>
      <c r="C2286" s="6">
        <v>57.93</v>
      </c>
    </row>
    <row r="2287" spans="1:3" x14ac:dyDescent="0.25">
      <c r="A2287" s="4">
        <v>38996</v>
      </c>
      <c r="B2287" s="5">
        <f>_xlfn.XLOOKUP(A2287,bunker_daily_raw!$A$2:$A$3819,bunker_daily_raw!$B$2:$B$3819)</f>
        <v>256</v>
      </c>
      <c r="C2287" s="6">
        <v>56.9</v>
      </c>
    </row>
    <row r="2288" spans="1:3" x14ac:dyDescent="0.25">
      <c r="A2288" s="4">
        <v>38999</v>
      </c>
      <c r="B2288" s="5">
        <f>_xlfn.XLOOKUP(A2288,bunker_daily_raw!$A$2:$A$3819,bunker_daily_raw!$B$2:$B$3819)</f>
        <v>268</v>
      </c>
      <c r="C2288" s="6">
        <v>59.25</v>
      </c>
    </row>
    <row r="2289" spans="1:3" x14ac:dyDescent="0.25">
      <c r="A2289" s="4">
        <v>39000</v>
      </c>
      <c r="B2289" s="5">
        <f>_xlfn.XLOOKUP(A2289,bunker_daily_raw!$A$2:$A$3819,bunker_daily_raw!$B$2:$B$3819)</f>
        <v>263.75</v>
      </c>
      <c r="C2289" s="6">
        <v>57.8</v>
      </c>
    </row>
    <row r="2290" spans="1:3" x14ac:dyDescent="0.25">
      <c r="A2290" s="4">
        <v>39001</v>
      </c>
      <c r="B2290" s="5">
        <f>_xlfn.XLOOKUP(A2290,bunker_daily_raw!$A$2:$A$3819,bunker_daily_raw!$B$2:$B$3819)</f>
        <v>263.75</v>
      </c>
      <c r="C2290" s="6">
        <v>57.75</v>
      </c>
    </row>
    <row r="2291" spans="1:3" x14ac:dyDescent="0.25">
      <c r="A2291" s="4">
        <v>39002</v>
      </c>
      <c r="B2291" s="5">
        <f>_xlfn.XLOOKUP(A2291,bunker_daily_raw!$A$2:$A$3819,bunker_daily_raw!$B$2:$B$3819)</f>
        <v>265.25</v>
      </c>
      <c r="C2291" s="6">
        <v>57.87</v>
      </c>
    </row>
    <row r="2292" spans="1:3" x14ac:dyDescent="0.25">
      <c r="A2292" s="4">
        <v>39003</v>
      </c>
      <c r="B2292" s="5">
        <f>_xlfn.XLOOKUP(A2292,bunker_daily_raw!$A$2:$A$3819,bunker_daily_raw!$B$2:$B$3819)</f>
        <v>265.25</v>
      </c>
      <c r="C2292" s="6">
        <v>58.97</v>
      </c>
    </row>
    <row r="2293" spans="1:3" x14ac:dyDescent="0.25">
      <c r="A2293" s="4">
        <v>39006</v>
      </c>
      <c r="B2293" s="5">
        <f>_xlfn.XLOOKUP(A2293,bunker_daily_raw!$A$2:$A$3819,bunker_daily_raw!$B$2:$B$3819)</f>
        <v>265.25</v>
      </c>
      <c r="C2293" s="6">
        <v>58.22</v>
      </c>
    </row>
    <row r="2294" spans="1:3" x14ac:dyDescent="0.25">
      <c r="A2294" s="4">
        <v>39007</v>
      </c>
      <c r="B2294" s="5">
        <f>_xlfn.XLOOKUP(A2294,bunker_daily_raw!$A$2:$A$3819,bunker_daily_raw!$B$2:$B$3819)</f>
        <v>265.5</v>
      </c>
      <c r="C2294" s="6">
        <v>60.13</v>
      </c>
    </row>
    <row r="2295" spans="1:3" x14ac:dyDescent="0.25">
      <c r="A2295" s="4">
        <v>39008</v>
      </c>
      <c r="B2295" s="5">
        <f>_xlfn.XLOOKUP(A2295,bunker_daily_raw!$A$2:$A$3819,bunker_daily_raw!$B$2:$B$3819)</f>
        <v>264.25</v>
      </c>
      <c r="C2295" s="6">
        <v>58.51</v>
      </c>
    </row>
    <row r="2296" spans="1:3" x14ac:dyDescent="0.25">
      <c r="A2296" s="4">
        <v>39009</v>
      </c>
      <c r="B2296" s="5">
        <f>_xlfn.XLOOKUP(A2296,bunker_daily_raw!$A$2:$A$3819,bunker_daily_raw!$B$2:$B$3819)</f>
        <v>259</v>
      </c>
      <c r="C2296" s="6">
        <v>57.74</v>
      </c>
    </row>
    <row r="2297" spans="1:3" x14ac:dyDescent="0.25">
      <c r="A2297" s="4">
        <v>39010</v>
      </c>
      <c r="B2297" s="5">
        <f>_xlfn.XLOOKUP(A2297,bunker_daily_raw!$A$2:$A$3819,bunker_daily_raw!$B$2:$B$3819)</f>
        <v>258.75</v>
      </c>
      <c r="C2297" s="6">
        <v>57.94</v>
      </c>
    </row>
    <row r="2298" spans="1:3" x14ac:dyDescent="0.25">
      <c r="A2298" s="4">
        <v>39013</v>
      </c>
      <c r="B2298" s="5">
        <f>_xlfn.XLOOKUP(A2298,bunker_daily_raw!$A$2:$A$3819,bunker_daily_raw!$B$2:$B$3819)</f>
        <v>252.25</v>
      </c>
      <c r="C2298" s="6">
        <v>56.56</v>
      </c>
    </row>
    <row r="2299" spans="1:3" x14ac:dyDescent="0.25">
      <c r="A2299" s="4">
        <v>39014</v>
      </c>
      <c r="B2299" s="5">
        <f>_xlfn.XLOOKUP(A2299,bunker_daily_raw!$A$2:$A$3819,bunker_daily_raw!$B$2:$B$3819)</f>
        <v>254.25</v>
      </c>
      <c r="C2299" s="6">
        <v>56.56</v>
      </c>
    </row>
    <row r="2300" spans="1:3" x14ac:dyDescent="0.25">
      <c r="A2300" s="4">
        <v>39015</v>
      </c>
      <c r="B2300" s="5">
        <f>_xlfn.XLOOKUP(A2300,bunker_daily_raw!$A$2:$A$3819,bunker_daily_raw!$B$2:$B$3819)</f>
        <v>263</v>
      </c>
      <c r="C2300" s="6">
        <v>58.79</v>
      </c>
    </row>
    <row r="2301" spans="1:3" x14ac:dyDescent="0.25">
      <c r="A2301" s="4">
        <v>39016</v>
      </c>
      <c r="B2301" s="5">
        <f>_xlfn.XLOOKUP(A2301,bunker_daily_raw!$A$2:$A$3819,bunker_daily_raw!$B$2:$B$3819)</f>
        <v>259</v>
      </c>
      <c r="C2301" s="6">
        <v>58.76</v>
      </c>
    </row>
    <row r="2302" spans="1:3" x14ac:dyDescent="0.25">
      <c r="A2302" s="4">
        <v>39017</v>
      </c>
      <c r="B2302" s="5">
        <f>_xlfn.XLOOKUP(A2302,bunker_daily_raw!$A$2:$A$3819,bunker_daily_raw!$B$2:$B$3819)</f>
        <v>257</v>
      </c>
      <c r="C2302" s="6">
        <v>57.99</v>
      </c>
    </row>
    <row r="2303" spans="1:3" x14ac:dyDescent="0.25">
      <c r="A2303" s="4">
        <v>39020</v>
      </c>
      <c r="B2303" s="5">
        <f>_xlfn.XLOOKUP(A2303,bunker_daily_raw!$A$2:$A$3819,bunker_daily_raw!$B$2:$B$3819)</f>
        <v>253</v>
      </c>
      <c r="C2303" s="6">
        <v>57.08</v>
      </c>
    </row>
    <row r="2304" spans="1:3" x14ac:dyDescent="0.25">
      <c r="A2304" s="4">
        <v>39021</v>
      </c>
      <c r="B2304" s="5">
        <f>_xlfn.XLOOKUP(A2304,bunker_daily_raw!$A$2:$A$3819,bunker_daily_raw!$B$2:$B$3819)</f>
        <v>255.75</v>
      </c>
      <c r="C2304" s="6">
        <v>56.13</v>
      </c>
    </row>
    <row r="2305" spans="1:3" x14ac:dyDescent="0.25">
      <c r="A2305" s="4">
        <v>39022</v>
      </c>
      <c r="B2305" s="5">
        <f>_xlfn.XLOOKUP(A2305,bunker_daily_raw!$A$2:$A$3819,bunker_daily_raw!$B$2:$B$3819)</f>
        <v>256.25</v>
      </c>
      <c r="C2305" s="6">
        <v>56.37</v>
      </c>
    </row>
    <row r="2306" spans="1:3" x14ac:dyDescent="0.25">
      <c r="A2306" s="4">
        <v>39023</v>
      </c>
      <c r="B2306" s="5">
        <f>_xlfn.XLOOKUP(A2306,bunker_daily_raw!$A$2:$A$3819,bunker_daily_raw!$B$2:$B$3819)</f>
        <v>252</v>
      </c>
      <c r="C2306" s="6">
        <v>56.26</v>
      </c>
    </row>
    <row r="2307" spans="1:3" x14ac:dyDescent="0.25">
      <c r="A2307" s="4">
        <v>39024</v>
      </c>
      <c r="B2307" s="5">
        <f>_xlfn.XLOOKUP(A2307,bunker_daily_raw!$A$2:$A$3819,bunker_daily_raw!$B$2:$B$3819)</f>
        <v>257.5</v>
      </c>
      <c r="C2307" s="6">
        <v>56.55</v>
      </c>
    </row>
    <row r="2308" spans="1:3" x14ac:dyDescent="0.25">
      <c r="A2308" s="4">
        <v>39027</v>
      </c>
      <c r="B2308" s="5">
        <f>_xlfn.XLOOKUP(A2308,bunker_daily_raw!$A$2:$A$3819,bunker_daily_raw!$B$2:$B$3819)</f>
        <v>265.5</v>
      </c>
      <c r="C2308" s="6">
        <v>57.02</v>
      </c>
    </row>
    <row r="2309" spans="1:3" x14ac:dyDescent="0.25">
      <c r="A2309" s="4">
        <v>39028</v>
      </c>
      <c r="B2309" s="5">
        <f>_xlfn.XLOOKUP(A2309,bunker_daily_raw!$A$2:$A$3819,bunker_daily_raw!$B$2:$B$3819)</f>
        <v>264.75</v>
      </c>
      <c r="C2309" s="6">
        <v>56.99</v>
      </c>
    </row>
    <row r="2310" spans="1:3" x14ac:dyDescent="0.25">
      <c r="A2310" s="4">
        <v>39029</v>
      </c>
      <c r="B2310" s="5">
        <f>_xlfn.XLOOKUP(A2310,bunker_daily_raw!$A$2:$A$3819,bunker_daily_raw!$B$2:$B$3819)</f>
        <v>267</v>
      </c>
      <c r="C2310" s="6">
        <v>57.18</v>
      </c>
    </row>
    <row r="2311" spans="1:3" x14ac:dyDescent="0.25">
      <c r="A2311" s="4">
        <v>39030</v>
      </c>
      <c r="B2311" s="5">
        <f>_xlfn.XLOOKUP(A2311,bunker_daily_raw!$A$2:$A$3819,bunker_daily_raw!$B$2:$B$3819)</f>
        <v>270</v>
      </c>
      <c r="C2311" s="6">
        <v>59.72</v>
      </c>
    </row>
    <row r="2312" spans="1:3" x14ac:dyDescent="0.25">
      <c r="A2312" s="4">
        <v>39031</v>
      </c>
      <c r="B2312" s="5">
        <f>_xlfn.XLOOKUP(A2312,bunker_daily_raw!$A$2:$A$3819,bunker_daily_raw!$B$2:$B$3819)</f>
        <v>260.25</v>
      </c>
      <c r="C2312" s="6">
        <v>59.18</v>
      </c>
    </row>
    <row r="2313" spans="1:3" x14ac:dyDescent="0.25">
      <c r="A2313" s="4">
        <v>39034</v>
      </c>
      <c r="B2313" s="5">
        <f>_xlfn.XLOOKUP(A2313,bunker_daily_raw!$A$2:$A$3819,bunker_daily_raw!$B$2:$B$3819)</f>
        <v>256.5</v>
      </c>
      <c r="C2313" s="6">
        <v>56.88</v>
      </c>
    </row>
    <row r="2314" spans="1:3" x14ac:dyDescent="0.25">
      <c r="A2314" s="4">
        <v>39035</v>
      </c>
      <c r="B2314" s="5">
        <f>_xlfn.XLOOKUP(A2314,bunker_daily_raw!$A$2:$A$3819,bunker_daily_raw!$B$2:$B$3819)</f>
        <v>254</v>
      </c>
      <c r="C2314" s="6">
        <v>57.9</v>
      </c>
    </row>
    <row r="2315" spans="1:3" x14ac:dyDescent="0.25">
      <c r="A2315" s="4">
        <v>39036</v>
      </c>
      <c r="B2315" s="5">
        <f>_xlfn.XLOOKUP(A2315,bunker_daily_raw!$A$2:$A$3819,bunker_daily_raw!$B$2:$B$3819)</f>
        <v>256</v>
      </c>
      <c r="C2315" s="6">
        <v>57.97</v>
      </c>
    </row>
    <row r="2316" spans="1:3" x14ac:dyDescent="0.25">
      <c r="A2316" s="4">
        <v>39037</v>
      </c>
      <c r="B2316" s="5">
        <f>_xlfn.XLOOKUP(A2316,bunker_daily_raw!$A$2:$A$3819,bunker_daily_raw!$B$2:$B$3819)</f>
        <v>259.5</v>
      </c>
      <c r="C2316" s="6">
        <v>59.5</v>
      </c>
    </row>
    <row r="2317" spans="1:3" x14ac:dyDescent="0.25">
      <c r="A2317" s="4">
        <v>39038</v>
      </c>
      <c r="B2317" s="5">
        <f>_xlfn.XLOOKUP(A2317,bunker_daily_raw!$A$2:$A$3819,bunker_daily_raw!$B$2:$B$3819)</f>
        <v>248.25</v>
      </c>
      <c r="C2317" s="6">
        <v>57.01</v>
      </c>
    </row>
    <row r="2318" spans="1:3" x14ac:dyDescent="0.25">
      <c r="A2318" s="4">
        <v>39041</v>
      </c>
      <c r="B2318" s="5">
        <f>_xlfn.XLOOKUP(A2318,bunker_daily_raw!$A$2:$A$3819,bunker_daily_raw!$B$2:$B$3819)</f>
        <v>252</v>
      </c>
      <c r="C2318" s="6">
        <v>57.38</v>
      </c>
    </row>
    <row r="2319" spans="1:3" x14ac:dyDescent="0.25">
      <c r="A2319" s="4">
        <v>39042</v>
      </c>
      <c r="B2319" s="5">
        <f>_xlfn.XLOOKUP(A2319,bunker_daily_raw!$A$2:$A$3819,bunker_daily_raw!$B$2:$B$3819)</f>
        <v>253</v>
      </c>
      <c r="C2319" s="6">
        <v>59.53</v>
      </c>
    </row>
    <row r="2320" spans="1:3" x14ac:dyDescent="0.25">
      <c r="A2320" s="4">
        <v>39043</v>
      </c>
      <c r="B2320" s="5">
        <f>_xlfn.XLOOKUP(A2320,bunker_daily_raw!$A$2:$A$3819,bunker_daily_raw!$B$2:$B$3819)</f>
        <v>251</v>
      </c>
      <c r="C2320" s="6">
        <v>58.66</v>
      </c>
    </row>
    <row r="2321" spans="1:3" x14ac:dyDescent="0.25">
      <c r="A2321" s="4">
        <v>39044</v>
      </c>
      <c r="B2321" s="5">
        <f>_xlfn.XLOOKUP(A2321,bunker_daily_raw!$A$2:$A$3819,bunker_daily_raw!$B$2:$B$3819)</f>
        <v>250.5</v>
      </c>
      <c r="C2321" s="6">
        <v>59.7</v>
      </c>
    </row>
    <row r="2322" spans="1:3" x14ac:dyDescent="0.25">
      <c r="A2322" s="4">
        <v>39045</v>
      </c>
      <c r="B2322" s="5">
        <f>_xlfn.XLOOKUP(A2322,bunker_daily_raw!$A$2:$A$3819,bunker_daily_raw!$B$2:$B$3819)</f>
        <v>250.5</v>
      </c>
      <c r="C2322" s="6">
        <v>60.72</v>
      </c>
    </row>
    <row r="2323" spans="1:3" x14ac:dyDescent="0.25">
      <c r="A2323" s="4">
        <v>39048</v>
      </c>
      <c r="B2323" s="5">
        <f>_xlfn.XLOOKUP(A2323,bunker_daily_raw!$A$2:$A$3819,bunker_daily_raw!$B$2:$B$3819)</f>
        <v>249</v>
      </c>
      <c r="C2323" s="6">
        <v>60.52</v>
      </c>
    </row>
    <row r="2324" spans="1:3" x14ac:dyDescent="0.25">
      <c r="A2324" s="4">
        <v>39049</v>
      </c>
      <c r="B2324" s="5">
        <f>_xlfn.XLOOKUP(A2324,bunker_daily_raw!$A$2:$A$3819,bunker_daily_raw!$B$2:$B$3819)</f>
        <v>250.5</v>
      </c>
      <c r="C2324" s="6">
        <v>61.22</v>
      </c>
    </row>
    <row r="2325" spans="1:3" x14ac:dyDescent="0.25">
      <c r="A2325" s="4">
        <v>39050</v>
      </c>
      <c r="B2325" s="5">
        <f>_xlfn.XLOOKUP(A2325,bunker_daily_raw!$A$2:$A$3819,bunker_daily_raw!$B$2:$B$3819)</f>
        <v>254</v>
      </c>
      <c r="C2325" s="6">
        <v>62.13</v>
      </c>
    </row>
    <row r="2326" spans="1:3" x14ac:dyDescent="0.25">
      <c r="A2326" s="4">
        <v>39051</v>
      </c>
      <c r="B2326" s="5">
        <f>_xlfn.XLOOKUP(A2326,bunker_daily_raw!$A$2:$A$3819,bunker_daily_raw!$B$2:$B$3819)</f>
        <v>263</v>
      </c>
      <c r="C2326" s="6">
        <v>64.36</v>
      </c>
    </row>
    <row r="2327" spans="1:3" x14ac:dyDescent="0.25">
      <c r="A2327" s="4">
        <v>39052</v>
      </c>
      <c r="B2327" s="5">
        <f>_xlfn.XLOOKUP(A2327,bunker_daily_raw!$A$2:$A$3819,bunker_daily_raw!$B$2:$B$3819)</f>
        <v>253.5</v>
      </c>
      <c r="C2327" s="6">
        <v>64.739999999999995</v>
      </c>
    </row>
    <row r="2328" spans="1:3" x14ac:dyDescent="0.25">
      <c r="A2328" s="4">
        <v>39055</v>
      </c>
      <c r="B2328" s="5">
        <f>_xlfn.XLOOKUP(A2328,bunker_daily_raw!$A$2:$A$3819,bunker_daily_raw!$B$2:$B$3819)</f>
        <v>251</v>
      </c>
      <c r="C2328" s="6">
        <v>63.97</v>
      </c>
    </row>
    <row r="2329" spans="1:3" x14ac:dyDescent="0.25">
      <c r="A2329" s="4">
        <v>39056</v>
      </c>
      <c r="B2329" s="5">
        <f>_xlfn.XLOOKUP(A2329,bunker_daily_raw!$A$2:$A$3819,bunker_daily_raw!$B$2:$B$3819)</f>
        <v>252.75</v>
      </c>
      <c r="C2329" s="6">
        <v>63.65</v>
      </c>
    </row>
    <row r="2330" spans="1:3" x14ac:dyDescent="0.25">
      <c r="A2330" s="4">
        <v>39057</v>
      </c>
      <c r="B2330" s="5">
        <f>_xlfn.XLOOKUP(A2330,bunker_daily_raw!$A$2:$A$3819,bunker_daily_raw!$B$2:$B$3819)</f>
        <v>255</v>
      </c>
      <c r="C2330" s="6">
        <v>63.7</v>
      </c>
    </row>
    <row r="2331" spans="1:3" x14ac:dyDescent="0.25">
      <c r="A2331" s="4">
        <v>39058</v>
      </c>
      <c r="B2331" s="5">
        <f>_xlfn.XLOOKUP(A2331,bunker_daily_raw!$A$2:$A$3819,bunker_daily_raw!$B$2:$B$3819)</f>
        <v>257</v>
      </c>
      <c r="C2331" s="6">
        <v>63.17</v>
      </c>
    </row>
    <row r="2332" spans="1:3" x14ac:dyDescent="0.25">
      <c r="A2332" s="4">
        <v>39059</v>
      </c>
      <c r="B2332" s="5">
        <f>_xlfn.XLOOKUP(A2332,bunker_daily_raw!$A$2:$A$3819,bunker_daily_raw!$B$2:$B$3819)</f>
        <v>259</v>
      </c>
      <c r="C2332" s="6">
        <v>63.67</v>
      </c>
    </row>
    <row r="2333" spans="1:3" x14ac:dyDescent="0.25">
      <c r="A2333" s="4">
        <v>39062</v>
      </c>
      <c r="B2333" s="5">
        <f>_xlfn.XLOOKUP(A2333,bunker_daily_raw!$A$2:$A$3819,bunker_daily_raw!$B$2:$B$3819)</f>
        <v>255.5</v>
      </c>
      <c r="C2333" s="6">
        <v>62.59</v>
      </c>
    </row>
    <row r="2334" spans="1:3" x14ac:dyDescent="0.25">
      <c r="A2334" s="4">
        <v>39063</v>
      </c>
      <c r="B2334" s="5">
        <f>_xlfn.XLOOKUP(A2334,bunker_daily_raw!$A$2:$A$3819,bunker_daily_raw!$B$2:$B$3819)</f>
        <v>254.75</v>
      </c>
      <c r="C2334" s="6">
        <v>62.58</v>
      </c>
    </row>
    <row r="2335" spans="1:3" x14ac:dyDescent="0.25">
      <c r="A2335" s="4">
        <v>39064</v>
      </c>
      <c r="B2335" s="5">
        <f>_xlfn.XLOOKUP(A2335,bunker_daily_raw!$A$2:$A$3819,bunker_daily_raw!$B$2:$B$3819)</f>
        <v>254</v>
      </c>
      <c r="C2335" s="6">
        <v>61.89</v>
      </c>
    </row>
    <row r="2336" spans="1:3" x14ac:dyDescent="0.25">
      <c r="A2336" s="4">
        <v>39065</v>
      </c>
      <c r="B2336" s="5">
        <f>_xlfn.XLOOKUP(A2336,bunker_daily_raw!$A$2:$A$3819,bunker_daily_raw!$B$2:$B$3819)</f>
        <v>257</v>
      </c>
      <c r="C2336" s="6">
        <v>62.85</v>
      </c>
    </row>
    <row r="2337" spans="1:3" x14ac:dyDescent="0.25">
      <c r="A2337" s="4">
        <v>39066</v>
      </c>
      <c r="B2337" s="5">
        <f>_xlfn.XLOOKUP(A2337,bunker_daily_raw!$A$2:$A$3819,bunker_daily_raw!$B$2:$B$3819)</f>
        <v>255</v>
      </c>
      <c r="C2337" s="6">
        <v>62.91</v>
      </c>
    </row>
    <row r="2338" spans="1:3" x14ac:dyDescent="0.25">
      <c r="A2338" s="4">
        <v>39069</v>
      </c>
      <c r="B2338" s="5">
        <f>_xlfn.XLOOKUP(A2338,bunker_daily_raw!$A$2:$A$3819,bunker_daily_raw!$B$2:$B$3819)</f>
        <v>250.5</v>
      </c>
      <c r="C2338" s="6">
        <v>62.81</v>
      </c>
    </row>
    <row r="2339" spans="1:3" x14ac:dyDescent="0.25">
      <c r="A2339" s="4">
        <v>39070</v>
      </c>
      <c r="B2339" s="5">
        <f>_xlfn.XLOOKUP(A2339,bunker_daily_raw!$A$2:$A$3819,bunker_daily_raw!$B$2:$B$3819)</f>
        <v>244.5</v>
      </c>
      <c r="C2339" s="6">
        <v>62.19</v>
      </c>
    </row>
    <row r="2340" spans="1:3" x14ac:dyDescent="0.25">
      <c r="A2340" s="4">
        <v>39071</v>
      </c>
      <c r="B2340" s="5">
        <f>_xlfn.XLOOKUP(A2340,bunker_daily_raw!$A$2:$A$3819,bunker_daily_raw!$B$2:$B$3819)</f>
        <v>247</v>
      </c>
      <c r="C2340" s="6">
        <v>63.13</v>
      </c>
    </row>
    <row r="2341" spans="1:3" x14ac:dyDescent="0.25">
      <c r="A2341" s="4">
        <v>39072</v>
      </c>
      <c r="B2341" s="5">
        <f>_xlfn.XLOOKUP(A2341,bunker_daily_raw!$A$2:$A$3819,bunker_daily_raw!$B$2:$B$3819)</f>
        <v>243</v>
      </c>
      <c r="C2341" s="6">
        <v>62.13</v>
      </c>
    </row>
    <row r="2342" spans="1:3" x14ac:dyDescent="0.25">
      <c r="A2342" s="4">
        <v>39073</v>
      </c>
      <c r="B2342" s="5">
        <f>_xlfn.XLOOKUP(A2342,bunker_daily_raw!$A$2:$A$3819,bunker_daily_raw!$B$2:$B$3819)</f>
        <v>243</v>
      </c>
      <c r="C2342" s="6">
        <v>61.92</v>
      </c>
    </row>
    <row r="2343" spans="1:3" x14ac:dyDescent="0.25">
      <c r="A2343" s="4">
        <v>39076</v>
      </c>
      <c r="B2343" s="5" t="e">
        <f>_xlfn.XLOOKUP(A2343,bunker_daily_raw!$A$2:$A$3819,bunker_daily_raw!$B$2:$B$3819)</f>
        <v>#N/A</v>
      </c>
      <c r="C2343" s="5"/>
    </row>
    <row r="2344" spans="1:3" x14ac:dyDescent="0.25">
      <c r="A2344" s="4">
        <v>39077</v>
      </c>
      <c r="B2344" s="5" t="e">
        <f>_xlfn.XLOOKUP(A2344,bunker_daily_raw!$A$2:$A$3819,bunker_daily_raw!$B$2:$B$3819)</f>
        <v>#N/A</v>
      </c>
      <c r="C2344" s="5"/>
    </row>
    <row r="2345" spans="1:3" x14ac:dyDescent="0.25">
      <c r="A2345" s="4">
        <v>39078</v>
      </c>
      <c r="B2345" s="5" t="e">
        <f>_xlfn.XLOOKUP(A2345,bunker_daily_raw!$A$2:$A$3819,bunker_daily_raw!$B$2:$B$3819)</f>
        <v>#N/A</v>
      </c>
      <c r="C2345" s="6">
        <v>60.7</v>
      </c>
    </row>
    <row r="2346" spans="1:3" x14ac:dyDescent="0.25">
      <c r="A2346" s="4">
        <v>39079</v>
      </c>
      <c r="B2346" s="5" t="e">
        <f>_xlfn.XLOOKUP(A2346,bunker_daily_raw!$A$2:$A$3819,bunker_daily_raw!$B$2:$B$3819)</f>
        <v>#N/A</v>
      </c>
      <c r="C2346" s="6">
        <v>59.41</v>
      </c>
    </row>
    <row r="2347" spans="1:3" x14ac:dyDescent="0.25">
      <c r="A2347" s="4">
        <v>39080</v>
      </c>
      <c r="B2347" s="5" t="e">
        <f>_xlfn.XLOOKUP(A2347,bunker_daily_raw!$A$2:$A$3819,bunker_daily_raw!$B$2:$B$3819)</f>
        <v>#N/A</v>
      </c>
      <c r="C2347" s="6">
        <v>58.96</v>
      </c>
    </row>
    <row r="2348" spans="1:3" x14ac:dyDescent="0.25">
      <c r="A2348" s="4">
        <v>39083</v>
      </c>
      <c r="B2348" s="5" t="e">
        <f>_xlfn.XLOOKUP(A2348,bunker_daily_raw!$A$2:$A$3819,bunker_daily_raw!$B$2:$B$3819)</f>
        <v>#N/A</v>
      </c>
      <c r="C2348" s="5"/>
    </row>
    <row r="2349" spans="1:3" x14ac:dyDescent="0.25">
      <c r="A2349" s="4">
        <v>39084</v>
      </c>
      <c r="B2349" s="5">
        <f>_xlfn.XLOOKUP(A2349,bunker_daily_raw!$A$2:$A$3819,bunker_daily_raw!$B$2:$B$3819)</f>
        <v>243</v>
      </c>
      <c r="C2349" s="6">
        <v>58.49</v>
      </c>
    </row>
    <row r="2350" spans="1:3" x14ac:dyDescent="0.25">
      <c r="A2350" s="4">
        <v>39085</v>
      </c>
      <c r="B2350" s="5">
        <f>_xlfn.XLOOKUP(A2350,bunker_daily_raw!$A$2:$A$3819,bunker_daily_raw!$B$2:$B$3819)</f>
        <v>237.5</v>
      </c>
      <c r="C2350" s="6">
        <v>56.63</v>
      </c>
    </row>
    <row r="2351" spans="1:3" x14ac:dyDescent="0.25">
      <c r="A2351" s="4">
        <v>39086</v>
      </c>
      <c r="B2351" s="5">
        <f>_xlfn.XLOOKUP(A2351,bunker_daily_raw!$A$2:$A$3819,bunker_daily_raw!$B$2:$B$3819)</f>
        <v>227.5</v>
      </c>
      <c r="C2351" s="6">
        <v>54.58</v>
      </c>
    </row>
    <row r="2352" spans="1:3" x14ac:dyDescent="0.25">
      <c r="A2352" s="4">
        <v>39087</v>
      </c>
      <c r="B2352" s="5">
        <f>_xlfn.XLOOKUP(A2352,bunker_daily_raw!$A$2:$A$3819,bunker_daily_raw!$B$2:$B$3819)</f>
        <v>224</v>
      </c>
      <c r="C2352" s="6">
        <v>52.82</v>
      </c>
    </row>
    <row r="2353" spans="1:3" x14ac:dyDescent="0.25">
      <c r="A2353" s="4">
        <v>39090</v>
      </c>
      <c r="B2353" s="5">
        <f>_xlfn.XLOOKUP(A2353,bunker_daily_raw!$A$2:$A$3819,bunker_daily_raw!$B$2:$B$3819)</f>
        <v>225</v>
      </c>
      <c r="C2353" s="6">
        <v>52.82</v>
      </c>
    </row>
    <row r="2354" spans="1:3" x14ac:dyDescent="0.25">
      <c r="A2354" s="4">
        <v>39091</v>
      </c>
      <c r="B2354" s="5">
        <f>_xlfn.XLOOKUP(A2354,bunker_daily_raw!$A$2:$A$3819,bunker_daily_raw!$B$2:$B$3819)</f>
        <v>228.5</v>
      </c>
      <c r="C2354" s="6">
        <v>52.38</v>
      </c>
    </row>
    <row r="2355" spans="1:3" x14ac:dyDescent="0.25">
      <c r="A2355" s="4">
        <v>39092</v>
      </c>
      <c r="B2355" s="5">
        <f>_xlfn.XLOOKUP(A2355,bunker_daily_raw!$A$2:$A$3819,bunker_daily_raw!$B$2:$B$3819)</f>
        <v>229.5</v>
      </c>
      <c r="C2355" s="6">
        <v>52.11</v>
      </c>
    </row>
    <row r="2356" spans="1:3" x14ac:dyDescent="0.25">
      <c r="A2356" s="4">
        <v>39093</v>
      </c>
      <c r="B2356" s="5">
        <f>_xlfn.XLOOKUP(A2356,bunker_daily_raw!$A$2:$A$3819,bunker_daily_raw!$B$2:$B$3819)</f>
        <v>229.5</v>
      </c>
      <c r="C2356" s="6">
        <v>51.68</v>
      </c>
    </row>
    <row r="2357" spans="1:3" x14ac:dyDescent="0.25">
      <c r="A2357" s="4">
        <v>39094</v>
      </c>
      <c r="B2357" s="5">
        <f>_xlfn.XLOOKUP(A2357,bunker_daily_raw!$A$2:$A$3819,bunker_daily_raw!$B$2:$B$3819)</f>
        <v>221</v>
      </c>
      <c r="C2357" s="6">
        <v>49.95</v>
      </c>
    </row>
    <row r="2358" spans="1:3" x14ac:dyDescent="0.25">
      <c r="A2358" s="4">
        <v>39097</v>
      </c>
      <c r="B2358" s="5">
        <f>_xlfn.XLOOKUP(A2358,bunker_daily_raw!$A$2:$A$3819,bunker_daily_raw!$B$2:$B$3819)</f>
        <v>225</v>
      </c>
      <c r="C2358" s="5"/>
    </row>
    <row r="2359" spans="1:3" x14ac:dyDescent="0.25">
      <c r="A2359" s="4">
        <v>39098</v>
      </c>
      <c r="B2359" s="5">
        <f>_xlfn.XLOOKUP(A2359,bunker_daily_raw!$A$2:$A$3819,bunker_daily_raw!$B$2:$B$3819)</f>
        <v>222</v>
      </c>
      <c r="C2359" s="6">
        <v>51.28</v>
      </c>
    </row>
    <row r="2360" spans="1:3" x14ac:dyDescent="0.25">
      <c r="A2360" s="4">
        <v>39099</v>
      </c>
      <c r="B2360" s="5">
        <f>_xlfn.XLOOKUP(A2360,bunker_daily_raw!$A$2:$A$3819,bunker_daily_raw!$B$2:$B$3819)</f>
        <v>212.75</v>
      </c>
      <c r="C2360" s="6">
        <v>51.19</v>
      </c>
    </row>
    <row r="2361" spans="1:3" x14ac:dyDescent="0.25">
      <c r="A2361" s="4">
        <v>39100</v>
      </c>
      <c r="B2361" s="5">
        <f>_xlfn.XLOOKUP(A2361,bunker_daily_raw!$A$2:$A$3819,bunker_daily_raw!$B$2:$B$3819)</f>
        <v>205</v>
      </c>
      <c r="C2361" s="6">
        <v>50.83</v>
      </c>
    </row>
    <row r="2362" spans="1:3" x14ac:dyDescent="0.25">
      <c r="A2362" s="4">
        <v>39101</v>
      </c>
      <c r="B2362" s="5">
        <f>_xlfn.XLOOKUP(A2362,bunker_daily_raw!$A$2:$A$3819,bunker_daily_raw!$B$2:$B$3819)</f>
        <v>202</v>
      </c>
      <c r="C2362" s="6">
        <v>52.29</v>
      </c>
    </row>
    <row r="2363" spans="1:3" x14ac:dyDescent="0.25">
      <c r="A2363" s="4">
        <v>39104</v>
      </c>
      <c r="B2363" s="5">
        <f>_xlfn.XLOOKUP(A2363,bunker_daily_raw!$A$2:$A$3819,bunker_daily_raw!$B$2:$B$3819)</f>
        <v>223</v>
      </c>
      <c r="C2363" s="6">
        <v>54.34</v>
      </c>
    </row>
    <row r="2364" spans="1:3" x14ac:dyDescent="0.25">
      <c r="A2364" s="4">
        <v>39105</v>
      </c>
      <c r="B2364" s="5">
        <f>_xlfn.XLOOKUP(A2364,bunker_daily_raw!$A$2:$A$3819,bunker_daily_raw!$B$2:$B$3819)</f>
        <v>217.5</v>
      </c>
      <c r="C2364" s="6">
        <v>53.93</v>
      </c>
    </row>
    <row r="2365" spans="1:3" x14ac:dyDescent="0.25">
      <c r="A2365" s="4">
        <v>39106</v>
      </c>
      <c r="B2365" s="5">
        <f>_xlfn.XLOOKUP(A2365,bunker_daily_raw!$A$2:$A$3819,bunker_daily_raw!$B$2:$B$3819)</f>
        <v>225</v>
      </c>
      <c r="C2365" s="6">
        <v>55.11</v>
      </c>
    </row>
    <row r="2366" spans="1:3" x14ac:dyDescent="0.25">
      <c r="A2366" s="4">
        <v>39107</v>
      </c>
      <c r="B2366" s="5">
        <f>_xlfn.XLOOKUP(A2366,bunker_daily_raw!$A$2:$A$3819,bunker_daily_raw!$B$2:$B$3819)</f>
        <v>225</v>
      </c>
      <c r="C2366" s="6">
        <v>55.67</v>
      </c>
    </row>
    <row r="2367" spans="1:3" x14ac:dyDescent="0.25">
      <c r="A2367" s="4">
        <v>39108</v>
      </c>
      <c r="B2367" s="5">
        <f>_xlfn.XLOOKUP(A2367,bunker_daily_raw!$A$2:$A$3819,bunker_daily_raw!$B$2:$B$3819)</f>
        <v>231</v>
      </c>
      <c r="C2367" s="6">
        <v>55.29</v>
      </c>
    </row>
    <row r="2368" spans="1:3" x14ac:dyDescent="0.25">
      <c r="A2368" s="4">
        <v>39111</v>
      </c>
      <c r="B2368" s="5">
        <f>_xlfn.XLOOKUP(A2368,bunker_daily_raw!$A$2:$A$3819,bunker_daily_raw!$B$2:$B$3819)</f>
        <v>231</v>
      </c>
      <c r="C2368" s="6">
        <v>54.71</v>
      </c>
    </row>
    <row r="2369" spans="1:3" x14ac:dyDescent="0.25">
      <c r="A2369" s="4">
        <v>39112</v>
      </c>
      <c r="B2369" s="5">
        <f>_xlfn.XLOOKUP(A2369,bunker_daily_raw!$A$2:$A$3819,bunker_daily_raw!$B$2:$B$3819)</f>
        <v>231</v>
      </c>
      <c r="C2369" s="6">
        <v>54.69</v>
      </c>
    </row>
    <row r="2370" spans="1:3" x14ac:dyDescent="0.25">
      <c r="A2370" s="4">
        <v>39113</v>
      </c>
      <c r="B2370" s="5">
        <f>_xlfn.XLOOKUP(A2370,bunker_daily_raw!$A$2:$A$3819,bunker_daily_raw!$B$2:$B$3819)</f>
        <v>236</v>
      </c>
      <c r="C2370" s="6">
        <v>56.52</v>
      </c>
    </row>
    <row r="2371" spans="1:3" x14ac:dyDescent="0.25">
      <c r="A2371" s="4">
        <v>39114</v>
      </c>
      <c r="B2371" s="5">
        <f>_xlfn.XLOOKUP(A2371,bunker_daily_raw!$A$2:$A$3819,bunker_daily_raw!$B$2:$B$3819)</f>
        <v>245</v>
      </c>
      <c r="C2371" s="6">
        <v>56.74</v>
      </c>
    </row>
    <row r="2372" spans="1:3" x14ac:dyDescent="0.25">
      <c r="A2372" s="4">
        <v>39115</v>
      </c>
      <c r="B2372" s="5">
        <f>_xlfn.XLOOKUP(A2372,bunker_daily_raw!$A$2:$A$3819,bunker_daily_raw!$B$2:$B$3819)</f>
        <v>242.5</v>
      </c>
      <c r="C2372" s="6">
        <v>56.93</v>
      </c>
    </row>
    <row r="2373" spans="1:3" x14ac:dyDescent="0.25">
      <c r="A2373" s="4">
        <v>39118</v>
      </c>
      <c r="B2373" s="5">
        <f>_xlfn.XLOOKUP(A2373,bunker_daily_raw!$A$2:$A$3819,bunker_daily_raw!$B$2:$B$3819)</f>
        <v>255.5</v>
      </c>
      <c r="C2373" s="6">
        <v>58.67</v>
      </c>
    </row>
    <row r="2374" spans="1:3" x14ac:dyDescent="0.25">
      <c r="A2374" s="4">
        <v>39119</v>
      </c>
      <c r="B2374" s="5">
        <f>_xlfn.XLOOKUP(A2374,bunker_daily_raw!$A$2:$A$3819,bunker_daily_raw!$B$2:$B$3819)</f>
        <v>261</v>
      </c>
      <c r="C2374" s="6">
        <v>58.04</v>
      </c>
    </row>
    <row r="2375" spans="1:3" x14ac:dyDescent="0.25">
      <c r="A2375" s="4">
        <v>39120</v>
      </c>
      <c r="B2375" s="5">
        <f>_xlfn.XLOOKUP(A2375,bunker_daily_raw!$A$2:$A$3819,bunker_daily_raw!$B$2:$B$3819)</f>
        <v>261</v>
      </c>
      <c r="C2375" s="6">
        <v>58.35</v>
      </c>
    </row>
    <row r="2376" spans="1:3" x14ac:dyDescent="0.25">
      <c r="A2376" s="4">
        <v>39121</v>
      </c>
      <c r="B2376" s="5">
        <f>_xlfn.XLOOKUP(A2376,bunker_daily_raw!$A$2:$A$3819,bunker_daily_raw!$B$2:$B$3819)</f>
        <v>255.5</v>
      </c>
      <c r="C2376" s="6">
        <v>57.24</v>
      </c>
    </row>
    <row r="2377" spans="1:3" x14ac:dyDescent="0.25">
      <c r="A2377" s="4">
        <v>39122</v>
      </c>
      <c r="B2377" s="5">
        <f>_xlfn.XLOOKUP(A2377,bunker_daily_raw!$A$2:$A$3819,bunker_daily_raw!$B$2:$B$3819)</f>
        <v>255.5</v>
      </c>
      <c r="C2377" s="6">
        <v>57.21</v>
      </c>
    </row>
    <row r="2378" spans="1:3" x14ac:dyDescent="0.25">
      <c r="A2378" s="4">
        <v>39125</v>
      </c>
      <c r="B2378" s="5">
        <f>_xlfn.XLOOKUP(A2378,bunker_daily_raw!$A$2:$A$3819,bunker_daily_raw!$B$2:$B$3819)</f>
        <v>252.5</v>
      </c>
      <c r="C2378" s="6">
        <v>55.52</v>
      </c>
    </row>
    <row r="2379" spans="1:3" x14ac:dyDescent="0.25">
      <c r="A2379" s="4">
        <v>39126</v>
      </c>
      <c r="B2379" s="5">
        <f>_xlfn.XLOOKUP(A2379,bunker_daily_raw!$A$2:$A$3819,bunker_daily_raw!$B$2:$B$3819)</f>
        <v>252</v>
      </c>
      <c r="C2379" s="6">
        <v>56.12</v>
      </c>
    </row>
    <row r="2380" spans="1:3" x14ac:dyDescent="0.25">
      <c r="A2380" s="4">
        <v>39127</v>
      </c>
      <c r="B2380" s="5">
        <f>_xlfn.XLOOKUP(A2380,bunker_daily_raw!$A$2:$A$3819,bunker_daily_raw!$B$2:$B$3819)</f>
        <v>248.5</v>
      </c>
      <c r="C2380" s="6">
        <v>55.05</v>
      </c>
    </row>
    <row r="2381" spans="1:3" x14ac:dyDescent="0.25">
      <c r="A2381" s="4">
        <v>39128</v>
      </c>
      <c r="B2381" s="5">
        <f>_xlfn.XLOOKUP(A2381,bunker_daily_raw!$A$2:$A$3819,bunker_daily_raw!$B$2:$B$3819)</f>
        <v>244</v>
      </c>
      <c r="C2381" s="6">
        <v>54.25</v>
      </c>
    </row>
    <row r="2382" spans="1:3" x14ac:dyDescent="0.25">
      <c r="A2382" s="4">
        <v>39129</v>
      </c>
      <c r="B2382" s="5">
        <f>_xlfn.XLOOKUP(A2382,bunker_daily_raw!$A$2:$A$3819,bunker_daily_raw!$B$2:$B$3819)</f>
        <v>243</v>
      </c>
      <c r="C2382" s="6">
        <v>56.78</v>
      </c>
    </row>
    <row r="2383" spans="1:3" x14ac:dyDescent="0.25">
      <c r="A2383" s="4">
        <v>39132</v>
      </c>
      <c r="B2383" s="5">
        <f>_xlfn.XLOOKUP(A2383,bunker_daily_raw!$A$2:$A$3819,bunker_daily_raw!$B$2:$B$3819)</f>
        <v>240</v>
      </c>
      <c r="C2383" s="5"/>
    </row>
    <row r="2384" spans="1:3" x14ac:dyDescent="0.25">
      <c r="A2384" s="4">
        <v>39133</v>
      </c>
      <c r="B2384" s="5">
        <f>_xlfn.XLOOKUP(A2384,bunker_daily_raw!$A$2:$A$3819,bunker_daily_raw!$B$2:$B$3819)</f>
        <v>237</v>
      </c>
      <c r="C2384" s="6">
        <v>55.91</v>
      </c>
    </row>
    <row r="2385" spans="1:3" x14ac:dyDescent="0.25">
      <c r="A2385" s="4">
        <v>39134</v>
      </c>
      <c r="B2385" s="5">
        <f>_xlfn.XLOOKUP(A2385,bunker_daily_raw!$A$2:$A$3819,bunker_daily_raw!$B$2:$B$3819)</f>
        <v>247.75</v>
      </c>
      <c r="C2385" s="6">
        <v>57.74</v>
      </c>
    </row>
    <row r="2386" spans="1:3" x14ac:dyDescent="0.25">
      <c r="A2386" s="4">
        <v>39135</v>
      </c>
      <c r="B2386" s="5">
        <f>_xlfn.XLOOKUP(A2386,bunker_daily_raw!$A$2:$A$3819,bunker_daily_raw!$B$2:$B$3819)</f>
        <v>251.75</v>
      </c>
      <c r="C2386" s="6">
        <v>58.62</v>
      </c>
    </row>
    <row r="2387" spans="1:3" x14ac:dyDescent="0.25">
      <c r="A2387" s="4">
        <v>39136</v>
      </c>
      <c r="B2387" s="5">
        <f>_xlfn.XLOOKUP(A2387,bunker_daily_raw!$A$2:$A$3819,bunker_daily_raw!$B$2:$B$3819)</f>
        <v>259.25</v>
      </c>
      <c r="C2387" s="6">
        <v>60.38</v>
      </c>
    </row>
    <row r="2388" spans="1:3" x14ac:dyDescent="0.25">
      <c r="A2388" s="4">
        <v>39139</v>
      </c>
      <c r="B2388" s="5">
        <f>_xlfn.XLOOKUP(A2388,bunker_daily_raw!$A$2:$A$3819,bunker_daily_raw!$B$2:$B$3819)</f>
        <v>261</v>
      </c>
      <c r="C2388" s="6">
        <v>60.34</v>
      </c>
    </row>
    <row r="2389" spans="1:3" x14ac:dyDescent="0.25">
      <c r="A2389" s="4">
        <v>39140</v>
      </c>
      <c r="B2389" s="5">
        <f>_xlfn.XLOOKUP(A2389,bunker_daily_raw!$A$2:$A$3819,bunker_daily_raw!$B$2:$B$3819)</f>
        <v>262</v>
      </c>
      <c r="C2389" s="6">
        <v>60.28</v>
      </c>
    </row>
    <row r="2390" spans="1:3" x14ac:dyDescent="0.25">
      <c r="A2390" s="4">
        <v>39141</v>
      </c>
      <c r="B2390" s="5">
        <f>_xlfn.XLOOKUP(A2390,bunker_daily_raw!$A$2:$A$3819,bunker_daily_raw!$B$2:$B$3819)</f>
        <v>256.5</v>
      </c>
      <c r="C2390" s="6">
        <v>59.39</v>
      </c>
    </row>
    <row r="2391" spans="1:3" x14ac:dyDescent="0.25">
      <c r="A2391" s="4">
        <v>39142</v>
      </c>
      <c r="B2391" s="5">
        <f>_xlfn.XLOOKUP(A2391,bunker_daily_raw!$A$2:$A$3819,bunker_daily_raw!$B$2:$B$3819)</f>
        <v>262</v>
      </c>
      <c r="C2391" s="6">
        <v>61.18</v>
      </c>
    </row>
    <row r="2392" spans="1:3" x14ac:dyDescent="0.25">
      <c r="A2392" s="4">
        <v>39143</v>
      </c>
      <c r="B2392" s="5">
        <f>_xlfn.XLOOKUP(A2392,bunker_daily_raw!$A$2:$A$3819,bunker_daily_raw!$B$2:$B$3819)</f>
        <v>260.5</v>
      </c>
      <c r="C2392" s="6">
        <v>61.92</v>
      </c>
    </row>
    <row r="2393" spans="1:3" x14ac:dyDescent="0.25">
      <c r="A2393" s="4">
        <v>39146</v>
      </c>
      <c r="B2393" s="5">
        <f>_xlfn.XLOOKUP(A2393,bunker_daily_raw!$A$2:$A$3819,bunker_daily_raw!$B$2:$B$3819)</f>
        <v>256</v>
      </c>
      <c r="C2393" s="6">
        <v>59.78</v>
      </c>
    </row>
    <row r="2394" spans="1:3" x14ac:dyDescent="0.25">
      <c r="A2394" s="4">
        <v>39147</v>
      </c>
      <c r="B2394" s="5">
        <f>_xlfn.XLOOKUP(A2394,bunker_daily_raw!$A$2:$A$3819,bunker_daily_raw!$B$2:$B$3819)</f>
        <v>256.25</v>
      </c>
      <c r="C2394" s="6">
        <v>59.68</v>
      </c>
    </row>
    <row r="2395" spans="1:3" x14ac:dyDescent="0.25">
      <c r="A2395" s="4">
        <v>39148</v>
      </c>
      <c r="B2395" s="5">
        <f>_xlfn.XLOOKUP(A2395,bunker_daily_raw!$A$2:$A$3819,bunker_daily_raw!$B$2:$B$3819)</f>
        <v>261</v>
      </c>
      <c r="C2395" s="6">
        <v>61.13</v>
      </c>
    </row>
    <row r="2396" spans="1:3" x14ac:dyDescent="0.25">
      <c r="A2396" s="4">
        <v>39149</v>
      </c>
      <c r="B2396" s="5">
        <f>_xlfn.XLOOKUP(A2396,bunker_daily_raw!$A$2:$A$3819,bunker_daily_raw!$B$2:$B$3819)</f>
        <v>261.5</v>
      </c>
      <c r="C2396" s="6">
        <v>60.9</v>
      </c>
    </row>
    <row r="2397" spans="1:3" x14ac:dyDescent="0.25">
      <c r="A2397" s="4">
        <v>39150</v>
      </c>
      <c r="B2397" s="5">
        <f>_xlfn.XLOOKUP(A2397,bunker_daily_raw!$A$2:$A$3819,bunker_daily_raw!$B$2:$B$3819)</f>
        <v>259.5</v>
      </c>
      <c r="C2397" s="6">
        <v>60.25</v>
      </c>
    </row>
    <row r="2398" spans="1:3" x14ac:dyDescent="0.25">
      <c r="A2398" s="4">
        <v>39153</v>
      </c>
      <c r="B2398" s="5">
        <f>_xlfn.XLOOKUP(A2398,bunker_daily_raw!$A$2:$A$3819,bunker_daily_raw!$B$2:$B$3819)</f>
        <v>256</v>
      </c>
      <c r="C2398" s="6">
        <v>60.59</v>
      </c>
    </row>
    <row r="2399" spans="1:3" x14ac:dyDescent="0.25">
      <c r="A2399" s="4">
        <v>39154</v>
      </c>
      <c r="B2399" s="5">
        <f>_xlfn.XLOOKUP(A2399,bunker_daily_raw!$A$2:$A$3819,bunker_daily_raw!$B$2:$B$3819)</f>
        <v>259.5</v>
      </c>
      <c r="C2399" s="6">
        <v>61.52</v>
      </c>
    </row>
    <row r="2400" spans="1:3" x14ac:dyDescent="0.25">
      <c r="A2400" s="4">
        <v>39155</v>
      </c>
      <c r="B2400" s="5">
        <f>_xlfn.XLOOKUP(A2400,bunker_daily_raw!$A$2:$A$3819,bunker_daily_raw!$B$2:$B$3819)</f>
        <v>259</v>
      </c>
      <c r="C2400" s="6">
        <v>60.89</v>
      </c>
    </row>
    <row r="2401" spans="1:3" x14ac:dyDescent="0.25">
      <c r="A2401" s="4">
        <v>39156</v>
      </c>
      <c r="B2401" s="5">
        <f>_xlfn.XLOOKUP(A2401,bunker_daily_raw!$A$2:$A$3819,bunker_daily_raw!$B$2:$B$3819)</f>
        <v>261</v>
      </c>
      <c r="C2401" s="6">
        <v>60.4</v>
      </c>
    </row>
    <row r="2402" spans="1:3" x14ac:dyDescent="0.25">
      <c r="A2402" s="4">
        <v>39157</v>
      </c>
      <c r="B2402" s="5">
        <f>_xlfn.XLOOKUP(A2402,bunker_daily_raw!$A$2:$A$3819,bunker_daily_raw!$B$2:$B$3819)</f>
        <v>261</v>
      </c>
      <c r="C2402" s="6">
        <v>60.93</v>
      </c>
    </row>
    <row r="2403" spans="1:3" x14ac:dyDescent="0.25">
      <c r="A2403" s="4">
        <v>39160</v>
      </c>
      <c r="B2403" s="5">
        <f>_xlfn.XLOOKUP(A2403,bunker_daily_raw!$A$2:$A$3819,bunker_daily_raw!$B$2:$B$3819)</f>
        <v>259.25</v>
      </c>
      <c r="C2403" s="6">
        <v>60.49</v>
      </c>
    </row>
    <row r="2404" spans="1:3" x14ac:dyDescent="0.25">
      <c r="A2404" s="4">
        <v>39161</v>
      </c>
      <c r="B2404" s="5">
        <f>_xlfn.XLOOKUP(A2404,bunker_daily_raw!$A$2:$A$3819,bunker_daily_raw!$B$2:$B$3819)</f>
        <v>258.25</v>
      </c>
      <c r="C2404" s="6">
        <v>60.11</v>
      </c>
    </row>
    <row r="2405" spans="1:3" x14ac:dyDescent="0.25">
      <c r="A2405" s="4">
        <v>39162</v>
      </c>
      <c r="B2405" s="5">
        <f>_xlfn.XLOOKUP(A2405,bunker_daily_raw!$A$2:$A$3819,bunker_daily_raw!$B$2:$B$3819)</f>
        <v>266</v>
      </c>
      <c r="C2405" s="6">
        <v>60.18</v>
      </c>
    </row>
    <row r="2406" spans="1:3" x14ac:dyDescent="0.25">
      <c r="A2406" s="4">
        <v>39163</v>
      </c>
      <c r="B2406" s="5">
        <f>_xlfn.XLOOKUP(A2406,bunker_daily_raw!$A$2:$A$3819,bunker_daily_raw!$B$2:$B$3819)</f>
        <v>274</v>
      </c>
      <c r="C2406" s="6">
        <v>61.57</v>
      </c>
    </row>
    <row r="2407" spans="1:3" x14ac:dyDescent="0.25">
      <c r="A2407" s="4">
        <v>39164</v>
      </c>
      <c r="B2407" s="5">
        <f>_xlfn.XLOOKUP(A2407,bunker_daily_raw!$A$2:$A$3819,bunker_daily_raw!$B$2:$B$3819)</f>
        <v>274.5</v>
      </c>
      <c r="C2407" s="6">
        <v>63.1</v>
      </c>
    </row>
    <row r="2408" spans="1:3" x14ac:dyDescent="0.25">
      <c r="A2408" s="4">
        <v>39167</v>
      </c>
      <c r="B2408" s="5">
        <f>_xlfn.XLOOKUP(A2408,bunker_daily_raw!$A$2:$A$3819,bunker_daily_raw!$B$2:$B$3819)</f>
        <v>278</v>
      </c>
      <c r="C2408" s="6">
        <v>64.430000000000007</v>
      </c>
    </row>
    <row r="2409" spans="1:3" x14ac:dyDescent="0.25">
      <c r="A2409" s="4">
        <v>39168</v>
      </c>
      <c r="B2409" s="5">
        <f>_xlfn.XLOOKUP(A2409,bunker_daily_raw!$A$2:$A$3819,bunker_daily_raw!$B$2:$B$3819)</f>
        <v>279</v>
      </c>
      <c r="C2409" s="6">
        <v>64.25</v>
      </c>
    </row>
    <row r="2410" spans="1:3" x14ac:dyDescent="0.25">
      <c r="A2410" s="4">
        <v>39169</v>
      </c>
      <c r="B2410" s="5">
        <f>_xlfn.XLOOKUP(A2410,bunker_daily_raw!$A$2:$A$3819,bunker_daily_raw!$B$2:$B$3819)</f>
        <v>291.5</v>
      </c>
      <c r="C2410" s="6">
        <v>66.150000000000006</v>
      </c>
    </row>
    <row r="2411" spans="1:3" x14ac:dyDescent="0.25">
      <c r="A2411" s="4">
        <v>39170</v>
      </c>
      <c r="B2411" s="5">
        <f>_xlfn.XLOOKUP(A2411,bunker_daily_raw!$A$2:$A$3819,bunker_daily_raw!$B$2:$B$3819)</f>
        <v>292.5</v>
      </c>
      <c r="C2411" s="6">
        <v>67.19</v>
      </c>
    </row>
    <row r="2412" spans="1:3" x14ac:dyDescent="0.25">
      <c r="A2412" s="4">
        <v>39171</v>
      </c>
      <c r="B2412" s="5">
        <f>_xlfn.XLOOKUP(A2412,bunker_daily_raw!$A$2:$A$3819,bunker_daily_raw!$B$2:$B$3819)</f>
        <v>294</v>
      </c>
      <c r="C2412" s="6">
        <v>68.47</v>
      </c>
    </row>
    <row r="2413" spans="1:3" x14ac:dyDescent="0.25">
      <c r="A2413" s="4">
        <v>39174</v>
      </c>
      <c r="B2413" s="5">
        <f>_xlfn.XLOOKUP(A2413,bunker_daily_raw!$A$2:$A$3819,bunker_daily_raw!$B$2:$B$3819)</f>
        <v>295</v>
      </c>
      <c r="C2413" s="6">
        <v>68.94</v>
      </c>
    </row>
    <row r="2414" spans="1:3" x14ac:dyDescent="0.25">
      <c r="A2414" s="4">
        <v>39175</v>
      </c>
      <c r="B2414" s="5">
        <f>_xlfn.XLOOKUP(A2414,bunker_daily_raw!$A$2:$A$3819,bunker_daily_raw!$B$2:$B$3819)</f>
        <v>292</v>
      </c>
      <c r="C2414" s="6">
        <v>68</v>
      </c>
    </row>
    <row r="2415" spans="1:3" x14ac:dyDescent="0.25">
      <c r="A2415" s="4">
        <v>39176</v>
      </c>
      <c r="B2415" s="5">
        <f>_xlfn.XLOOKUP(A2415,bunker_daily_raw!$A$2:$A$3819,bunker_daily_raw!$B$2:$B$3819)</f>
        <v>293.5</v>
      </c>
      <c r="C2415" s="6">
        <v>68.09</v>
      </c>
    </row>
    <row r="2416" spans="1:3" x14ac:dyDescent="0.25">
      <c r="A2416" s="4">
        <v>39177</v>
      </c>
      <c r="B2416" s="5">
        <f>_xlfn.XLOOKUP(A2416,bunker_daily_raw!$A$2:$A$3819,bunker_daily_raw!$B$2:$B$3819)</f>
        <v>296.5</v>
      </c>
      <c r="C2416" s="6">
        <v>69.150000000000006</v>
      </c>
    </row>
    <row r="2417" spans="1:3" x14ac:dyDescent="0.25">
      <c r="A2417" s="4">
        <v>39178</v>
      </c>
      <c r="B2417" s="5" t="e">
        <f>_xlfn.XLOOKUP(A2417,bunker_daily_raw!$A$2:$A$3819,bunker_daily_raw!$B$2:$B$3819)</f>
        <v>#N/A</v>
      </c>
      <c r="C2417" s="5"/>
    </row>
    <row r="2418" spans="1:3" x14ac:dyDescent="0.25">
      <c r="A2418" s="4">
        <v>39181</v>
      </c>
      <c r="B2418" s="5" t="e">
        <f>_xlfn.XLOOKUP(A2418,bunker_daily_raw!$A$2:$A$3819,bunker_daily_raw!$B$2:$B$3819)</f>
        <v>#N/A</v>
      </c>
      <c r="C2418" s="5"/>
    </row>
    <row r="2419" spans="1:3" x14ac:dyDescent="0.25">
      <c r="A2419" s="4">
        <v>39182</v>
      </c>
      <c r="B2419" s="5">
        <f>_xlfn.XLOOKUP(A2419,bunker_daily_raw!$A$2:$A$3819,bunker_daily_raw!$B$2:$B$3819)</f>
        <v>295</v>
      </c>
      <c r="C2419" s="6">
        <v>67.64</v>
      </c>
    </row>
    <row r="2420" spans="1:3" x14ac:dyDescent="0.25">
      <c r="A2420" s="4">
        <v>39183</v>
      </c>
      <c r="B2420" s="5">
        <f>_xlfn.XLOOKUP(A2420,bunker_daily_raw!$A$2:$A$3819,bunker_daily_raw!$B$2:$B$3819)</f>
        <v>300</v>
      </c>
      <c r="C2420" s="6">
        <v>68.599999999999994</v>
      </c>
    </row>
    <row r="2421" spans="1:3" x14ac:dyDescent="0.25">
      <c r="A2421" s="4">
        <v>39184</v>
      </c>
      <c r="B2421" s="5">
        <f>_xlfn.XLOOKUP(A2421,bunker_daily_raw!$A$2:$A$3819,bunker_daily_raw!$B$2:$B$3819)</f>
        <v>306</v>
      </c>
      <c r="C2421" s="6">
        <v>67.790000000000006</v>
      </c>
    </row>
    <row r="2422" spans="1:3" x14ac:dyDescent="0.25">
      <c r="A2422" s="4">
        <v>39185</v>
      </c>
      <c r="B2422" s="5">
        <f>_xlfn.XLOOKUP(A2422,bunker_daily_raw!$A$2:$A$3819,bunker_daily_raw!$B$2:$B$3819)</f>
        <v>310</v>
      </c>
      <c r="C2422" s="6">
        <v>68.78</v>
      </c>
    </row>
    <row r="2423" spans="1:3" x14ac:dyDescent="0.25">
      <c r="A2423" s="4">
        <v>39188</v>
      </c>
      <c r="B2423" s="5">
        <f>_xlfn.XLOOKUP(A2423,bunker_daily_raw!$A$2:$A$3819,bunker_daily_raw!$B$2:$B$3819)</f>
        <v>311.5</v>
      </c>
      <c r="C2423" s="6">
        <v>67.099999999999994</v>
      </c>
    </row>
    <row r="2424" spans="1:3" x14ac:dyDescent="0.25">
      <c r="A2424" s="4">
        <v>39189</v>
      </c>
      <c r="B2424" s="5">
        <f>_xlfn.XLOOKUP(A2424,bunker_daily_raw!$A$2:$A$3819,bunker_daily_raw!$B$2:$B$3819)</f>
        <v>310</v>
      </c>
      <c r="C2424" s="6">
        <v>66.34</v>
      </c>
    </row>
    <row r="2425" spans="1:3" x14ac:dyDescent="0.25">
      <c r="A2425" s="4">
        <v>39190</v>
      </c>
      <c r="B2425" s="5">
        <f>_xlfn.XLOOKUP(A2425,bunker_daily_raw!$A$2:$A$3819,bunker_daily_raw!$B$2:$B$3819)</f>
        <v>304</v>
      </c>
      <c r="C2425" s="6">
        <v>65.09</v>
      </c>
    </row>
    <row r="2426" spans="1:3" x14ac:dyDescent="0.25">
      <c r="A2426" s="4">
        <v>39191</v>
      </c>
      <c r="B2426" s="5">
        <f>_xlfn.XLOOKUP(A2426,bunker_daily_raw!$A$2:$A$3819,bunker_daily_raw!$B$2:$B$3819)</f>
        <v>303.5</v>
      </c>
      <c r="C2426" s="6">
        <v>66.17</v>
      </c>
    </row>
    <row r="2427" spans="1:3" x14ac:dyDescent="0.25">
      <c r="A2427" s="4">
        <v>39192</v>
      </c>
      <c r="B2427" s="5">
        <f>_xlfn.XLOOKUP(A2427,bunker_daily_raw!$A$2:$A$3819,bunker_daily_raw!$B$2:$B$3819)</f>
        <v>303.25</v>
      </c>
      <c r="C2427" s="6">
        <v>66.34</v>
      </c>
    </row>
    <row r="2428" spans="1:3" x14ac:dyDescent="0.25">
      <c r="A2428" s="4">
        <v>39195</v>
      </c>
      <c r="B2428" s="5">
        <f>_xlfn.XLOOKUP(A2428,bunker_daily_raw!$A$2:$A$3819,bunker_daily_raw!$B$2:$B$3819)</f>
        <v>309</v>
      </c>
      <c r="C2428" s="6">
        <v>66.8</v>
      </c>
    </row>
    <row r="2429" spans="1:3" x14ac:dyDescent="0.25">
      <c r="A2429" s="4">
        <v>39196</v>
      </c>
      <c r="B2429" s="5">
        <f>_xlfn.XLOOKUP(A2429,bunker_daily_raw!$A$2:$A$3819,bunker_daily_raw!$B$2:$B$3819)</f>
        <v>314</v>
      </c>
      <c r="C2429" s="6">
        <v>67.94</v>
      </c>
    </row>
    <row r="2430" spans="1:3" x14ac:dyDescent="0.25">
      <c r="A2430" s="4">
        <v>39197</v>
      </c>
      <c r="B2430" s="5">
        <f>_xlfn.XLOOKUP(A2430,bunker_daily_raw!$A$2:$A$3819,bunker_daily_raw!$B$2:$B$3819)</f>
        <v>324.5</v>
      </c>
      <c r="C2430" s="6">
        <v>67.44</v>
      </c>
    </row>
    <row r="2431" spans="1:3" x14ac:dyDescent="0.25">
      <c r="A2431" s="4">
        <v>39198</v>
      </c>
      <c r="B2431" s="5">
        <f>_xlfn.XLOOKUP(A2431,bunker_daily_raw!$A$2:$A$3819,bunker_daily_raw!$B$2:$B$3819)</f>
        <v>329.25</v>
      </c>
      <c r="C2431" s="6">
        <v>67.510000000000005</v>
      </c>
    </row>
    <row r="2432" spans="1:3" x14ac:dyDescent="0.25">
      <c r="A2432" s="4">
        <v>39199</v>
      </c>
      <c r="B2432" s="5">
        <f>_xlfn.XLOOKUP(A2432,bunker_daily_raw!$A$2:$A$3819,bunker_daily_raw!$B$2:$B$3819)</f>
        <v>328.5</v>
      </c>
      <c r="C2432" s="6">
        <v>67.28</v>
      </c>
    </row>
    <row r="2433" spans="1:3" x14ac:dyDescent="0.25">
      <c r="A2433" s="4">
        <v>39202</v>
      </c>
      <c r="B2433" s="5">
        <f>_xlfn.XLOOKUP(A2433,bunker_daily_raw!$A$2:$A$3819,bunker_daily_raw!$B$2:$B$3819)</f>
        <v>324</v>
      </c>
      <c r="C2433" s="6">
        <v>67.23</v>
      </c>
    </row>
    <row r="2434" spans="1:3" x14ac:dyDescent="0.25">
      <c r="A2434" s="4">
        <v>39203</v>
      </c>
      <c r="B2434" s="5">
        <f>_xlfn.XLOOKUP(A2434,bunker_daily_raw!$A$2:$A$3819,bunker_daily_raw!$B$2:$B$3819)</f>
        <v>327.5</v>
      </c>
      <c r="C2434" s="6">
        <v>67.400000000000006</v>
      </c>
    </row>
    <row r="2435" spans="1:3" x14ac:dyDescent="0.25">
      <c r="A2435" s="4">
        <v>39204</v>
      </c>
      <c r="B2435" s="5">
        <f>_xlfn.XLOOKUP(A2435,bunker_daily_raw!$A$2:$A$3819,bunker_daily_raw!$B$2:$B$3819)</f>
        <v>334.25</v>
      </c>
      <c r="C2435" s="6">
        <v>65.569999999999993</v>
      </c>
    </row>
    <row r="2436" spans="1:3" x14ac:dyDescent="0.25">
      <c r="A2436" s="4">
        <v>39205</v>
      </c>
      <c r="B2436" s="5">
        <f>_xlfn.XLOOKUP(A2436,bunker_daily_raw!$A$2:$A$3819,bunker_daily_raw!$B$2:$B$3819)</f>
        <v>325</v>
      </c>
      <c r="C2436" s="6">
        <v>64.849999999999994</v>
      </c>
    </row>
    <row r="2437" spans="1:3" x14ac:dyDescent="0.25">
      <c r="A2437" s="4">
        <v>39206</v>
      </c>
      <c r="B2437" s="5">
        <f>_xlfn.XLOOKUP(A2437,bunker_daily_raw!$A$2:$A$3819,bunker_daily_raw!$B$2:$B$3819)</f>
        <v>321</v>
      </c>
      <c r="C2437" s="6">
        <v>65.14</v>
      </c>
    </row>
    <row r="2438" spans="1:3" x14ac:dyDescent="0.25">
      <c r="A2438" s="4">
        <v>39209</v>
      </c>
      <c r="B2438" s="5" t="e">
        <f>_xlfn.XLOOKUP(A2438,bunker_daily_raw!$A$2:$A$3819,bunker_daily_raw!$B$2:$B$3819)</f>
        <v>#N/A</v>
      </c>
      <c r="C2438" s="6">
        <v>62.7</v>
      </c>
    </row>
    <row r="2439" spans="1:3" x14ac:dyDescent="0.25">
      <c r="A2439" s="4">
        <v>39210</v>
      </c>
      <c r="B2439" s="5">
        <f>_xlfn.XLOOKUP(A2439,bunker_daily_raw!$A$2:$A$3819,bunker_daily_raw!$B$2:$B$3819)</f>
        <v>315</v>
      </c>
      <c r="C2439" s="6">
        <v>63.55</v>
      </c>
    </row>
    <row r="2440" spans="1:3" x14ac:dyDescent="0.25">
      <c r="A2440" s="4">
        <v>39211</v>
      </c>
      <c r="B2440" s="5">
        <f>_xlfn.XLOOKUP(A2440,bunker_daily_raw!$A$2:$A$3819,bunker_daily_raw!$B$2:$B$3819)</f>
        <v>315.25</v>
      </c>
      <c r="C2440" s="6">
        <v>63.5</v>
      </c>
    </row>
    <row r="2441" spans="1:3" x14ac:dyDescent="0.25">
      <c r="A2441" s="4">
        <v>39212</v>
      </c>
      <c r="B2441" s="5">
        <f>_xlfn.XLOOKUP(A2441,bunker_daily_raw!$A$2:$A$3819,bunker_daily_raw!$B$2:$B$3819)</f>
        <v>316.5</v>
      </c>
      <c r="C2441" s="6">
        <v>64.63</v>
      </c>
    </row>
    <row r="2442" spans="1:3" x14ac:dyDescent="0.25">
      <c r="A2442" s="4">
        <v>39213</v>
      </c>
      <c r="B2442" s="5">
        <f>_xlfn.XLOOKUP(A2442,bunker_daily_raw!$A$2:$A$3819,bunker_daily_raw!$B$2:$B$3819)</f>
        <v>314</v>
      </c>
      <c r="C2442" s="6">
        <v>65.180000000000007</v>
      </c>
    </row>
    <row r="2443" spans="1:3" x14ac:dyDescent="0.25">
      <c r="A2443" s="4">
        <v>39216</v>
      </c>
      <c r="B2443" s="5">
        <f>_xlfn.XLOOKUP(A2443,bunker_daily_raw!$A$2:$A$3819,bunker_daily_raw!$B$2:$B$3819)</f>
        <v>313.5</v>
      </c>
      <c r="C2443" s="6">
        <v>65.86</v>
      </c>
    </row>
    <row r="2444" spans="1:3" x14ac:dyDescent="0.25">
      <c r="A2444" s="4">
        <v>39217</v>
      </c>
      <c r="B2444" s="5">
        <f>_xlfn.XLOOKUP(A2444,bunker_daily_raw!$A$2:$A$3819,bunker_daily_raw!$B$2:$B$3819)</f>
        <v>312</v>
      </c>
      <c r="C2444" s="6">
        <v>66.739999999999995</v>
      </c>
    </row>
    <row r="2445" spans="1:3" x14ac:dyDescent="0.25">
      <c r="A2445" s="4">
        <v>39218</v>
      </c>
      <c r="B2445" s="5">
        <f>_xlfn.XLOOKUP(A2445,bunker_daily_raw!$A$2:$A$3819,bunker_daily_raw!$B$2:$B$3819)</f>
        <v>305</v>
      </c>
      <c r="C2445" s="6">
        <v>66.83</v>
      </c>
    </row>
    <row r="2446" spans="1:3" x14ac:dyDescent="0.25">
      <c r="A2446" s="4">
        <v>39219</v>
      </c>
      <c r="B2446" s="5">
        <f>_xlfn.XLOOKUP(A2446,bunker_daily_raw!$A$2:$A$3819,bunker_daily_raw!$B$2:$B$3819)</f>
        <v>307</v>
      </c>
      <c r="C2446" s="6">
        <v>69.08</v>
      </c>
    </row>
    <row r="2447" spans="1:3" x14ac:dyDescent="0.25">
      <c r="A2447" s="4">
        <v>39220</v>
      </c>
      <c r="B2447" s="5">
        <f>_xlfn.XLOOKUP(A2447,bunker_daily_raw!$A$2:$A$3819,bunker_daily_raw!$B$2:$B$3819)</f>
        <v>306.5</v>
      </c>
      <c r="C2447" s="6">
        <v>69.260000000000005</v>
      </c>
    </row>
    <row r="2448" spans="1:3" x14ac:dyDescent="0.25">
      <c r="A2448" s="4">
        <v>39223</v>
      </c>
      <c r="B2448" s="5">
        <f>_xlfn.XLOOKUP(A2448,bunker_daily_raw!$A$2:$A$3819,bunker_daily_raw!$B$2:$B$3819)</f>
        <v>306.5</v>
      </c>
      <c r="C2448" s="6">
        <v>69.510000000000005</v>
      </c>
    </row>
    <row r="2449" spans="1:3" x14ac:dyDescent="0.25">
      <c r="A2449" s="4">
        <v>39224</v>
      </c>
      <c r="B2449" s="5">
        <f>_xlfn.XLOOKUP(A2449,bunker_daily_raw!$A$2:$A$3819,bunker_daily_raw!$B$2:$B$3819)</f>
        <v>310.5</v>
      </c>
      <c r="C2449" s="6">
        <v>70.05</v>
      </c>
    </row>
    <row r="2450" spans="1:3" x14ac:dyDescent="0.25">
      <c r="A2450" s="4">
        <v>39225</v>
      </c>
      <c r="B2450" s="5">
        <f>_xlfn.XLOOKUP(A2450,bunker_daily_raw!$A$2:$A$3819,bunker_daily_raw!$B$2:$B$3819)</f>
        <v>315</v>
      </c>
      <c r="C2450" s="6">
        <v>71.010000000000005</v>
      </c>
    </row>
    <row r="2451" spans="1:3" x14ac:dyDescent="0.25">
      <c r="A2451" s="4">
        <v>39226</v>
      </c>
      <c r="B2451" s="5">
        <f>_xlfn.XLOOKUP(A2451,bunker_daily_raw!$A$2:$A$3819,bunker_daily_raw!$B$2:$B$3819)</f>
        <v>321.5</v>
      </c>
      <c r="C2451" s="6">
        <v>71.959999999999994</v>
      </c>
    </row>
    <row r="2452" spans="1:3" x14ac:dyDescent="0.25">
      <c r="A2452" s="4">
        <v>39227</v>
      </c>
      <c r="B2452" s="5">
        <f>_xlfn.XLOOKUP(A2452,bunker_daily_raw!$A$2:$A$3819,bunker_daily_raw!$B$2:$B$3819)</f>
        <v>311.75</v>
      </c>
      <c r="C2452" s="6">
        <v>70.72</v>
      </c>
    </row>
    <row r="2453" spans="1:3" x14ac:dyDescent="0.25">
      <c r="A2453" s="4">
        <v>39230</v>
      </c>
      <c r="B2453" s="5" t="e">
        <f>_xlfn.XLOOKUP(A2453,bunker_daily_raw!$A$2:$A$3819,bunker_daily_raw!$B$2:$B$3819)</f>
        <v>#N/A</v>
      </c>
      <c r="C2453" s="5"/>
    </row>
    <row r="2454" spans="1:3" x14ac:dyDescent="0.25">
      <c r="A2454" s="4">
        <v>39231</v>
      </c>
      <c r="B2454" s="5">
        <f>_xlfn.XLOOKUP(A2454,bunker_daily_raw!$A$2:$A$3819,bunker_daily_raw!$B$2:$B$3819)</f>
        <v>303</v>
      </c>
      <c r="C2454" s="6">
        <v>69.31</v>
      </c>
    </row>
    <row r="2455" spans="1:3" x14ac:dyDescent="0.25">
      <c r="A2455" s="4">
        <v>39232</v>
      </c>
      <c r="B2455" s="5">
        <f>_xlfn.XLOOKUP(A2455,bunker_daily_raw!$A$2:$A$3819,bunker_daily_raw!$B$2:$B$3819)</f>
        <v>300</v>
      </c>
      <c r="C2455" s="6">
        <v>67.64</v>
      </c>
    </row>
    <row r="2456" spans="1:3" x14ac:dyDescent="0.25">
      <c r="A2456" s="4">
        <v>39233</v>
      </c>
      <c r="B2456" s="5">
        <f>_xlfn.XLOOKUP(A2456,bunker_daily_raw!$A$2:$A$3819,bunker_daily_raw!$B$2:$B$3819)</f>
        <v>302.75</v>
      </c>
      <c r="C2456" s="6">
        <v>68.180000000000007</v>
      </c>
    </row>
    <row r="2457" spans="1:3" x14ac:dyDescent="0.25">
      <c r="A2457" s="4">
        <v>39234</v>
      </c>
      <c r="B2457" s="5">
        <f>_xlfn.XLOOKUP(A2457,bunker_daily_raw!$A$2:$A$3819,bunker_daily_raw!$B$2:$B$3819)</f>
        <v>305</v>
      </c>
      <c r="C2457" s="6">
        <v>68.650000000000006</v>
      </c>
    </row>
    <row r="2458" spans="1:3" x14ac:dyDescent="0.25">
      <c r="A2458" s="4">
        <v>39237</v>
      </c>
      <c r="B2458" s="5">
        <f>_xlfn.XLOOKUP(A2458,bunker_daily_raw!$A$2:$A$3819,bunker_daily_raw!$B$2:$B$3819)</f>
        <v>311</v>
      </c>
      <c r="C2458" s="6">
        <v>70.900000000000006</v>
      </c>
    </row>
    <row r="2459" spans="1:3" x14ac:dyDescent="0.25">
      <c r="A2459" s="4">
        <v>39238</v>
      </c>
      <c r="B2459" s="5">
        <f>_xlfn.XLOOKUP(A2459,bunker_daily_raw!$A$2:$A$3819,bunker_daily_raw!$B$2:$B$3819)</f>
        <v>314.25</v>
      </c>
      <c r="C2459" s="6">
        <v>71.36</v>
      </c>
    </row>
    <row r="2460" spans="1:3" x14ac:dyDescent="0.25">
      <c r="A2460" s="4">
        <v>39239</v>
      </c>
      <c r="B2460" s="5">
        <f>_xlfn.XLOOKUP(A2460,bunker_daily_raw!$A$2:$A$3819,bunker_daily_raw!$B$2:$B$3819)</f>
        <v>314</v>
      </c>
      <c r="C2460" s="6">
        <v>71.5</v>
      </c>
    </row>
    <row r="2461" spans="1:3" x14ac:dyDescent="0.25">
      <c r="A2461" s="4">
        <v>39240</v>
      </c>
      <c r="B2461" s="5">
        <f>_xlfn.XLOOKUP(A2461,bunker_daily_raw!$A$2:$A$3819,bunker_daily_raw!$B$2:$B$3819)</f>
        <v>320</v>
      </c>
      <c r="C2461" s="6">
        <v>72.36</v>
      </c>
    </row>
    <row r="2462" spans="1:3" x14ac:dyDescent="0.25">
      <c r="A2462" s="4">
        <v>39241</v>
      </c>
      <c r="B2462" s="5">
        <f>_xlfn.XLOOKUP(A2462,bunker_daily_raw!$A$2:$A$3819,bunker_daily_raw!$B$2:$B$3819)</f>
        <v>315.5</v>
      </c>
      <c r="C2462" s="6">
        <v>70.040000000000006</v>
      </c>
    </row>
    <row r="2463" spans="1:3" x14ac:dyDescent="0.25">
      <c r="A2463" s="4">
        <v>39244</v>
      </c>
      <c r="B2463" s="5">
        <f>_xlfn.XLOOKUP(A2463,bunker_daily_raw!$A$2:$A$3819,bunker_daily_raw!$B$2:$B$3819)</f>
        <v>315</v>
      </c>
      <c r="C2463" s="6">
        <v>68.849999999999994</v>
      </c>
    </row>
    <row r="2464" spans="1:3" x14ac:dyDescent="0.25">
      <c r="A2464" s="4">
        <v>39245</v>
      </c>
      <c r="B2464" s="5">
        <f>_xlfn.XLOOKUP(A2464,bunker_daily_raw!$A$2:$A$3819,bunker_daily_raw!$B$2:$B$3819)</f>
        <v>324.5</v>
      </c>
      <c r="C2464" s="6">
        <v>68.56</v>
      </c>
    </row>
    <row r="2465" spans="1:3" x14ac:dyDescent="0.25">
      <c r="A2465" s="4">
        <v>39246</v>
      </c>
      <c r="B2465" s="5">
        <f>_xlfn.XLOOKUP(A2465,bunker_daily_raw!$A$2:$A$3819,bunker_daily_raw!$B$2:$B$3819)</f>
        <v>328.5</v>
      </c>
      <c r="C2465" s="6">
        <v>69.239999999999995</v>
      </c>
    </row>
    <row r="2466" spans="1:3" x14ac:dyDescent="0.25">
      <c r="A2466" s="4">
        <v>39247</v>
      </c>
      <c r="B2466" s="5">
        <f>_xlfn.XLOOKUP(A2466,bunker_daily_raw!$A$2:$A$3819,bunker_daily_raw!$B$2:$B$3819)</f>
        <v>335</v>
      </c>
      <c r="C2466" s="6">
        <v>71.180000000000007</v>
      </c>
    </row>
    <row r="2467" spans="1:3" x14ac:dyDescent="0.25">
      <c r="A2467" s="4">
        <v>39248</v>
      </c>
      <c r="B2467" s="5">
        <f>_xlfn.XLOOKUP(A2467,bunker_daily_raw!$A$2:$A$3819,bunker_daily_raw!$B$2:$B$3819)</f>
        <v>324.75</v>
      </c>
      <c r="C2467" s="6">
        <v>71.63</v>
      </c>
    </row>
    <row r="2468" spans="1:3" x14ac:dyDescent="0.25">
      <c r="A2468" s="4">
        <v>39251</v>
      </c>
      <c r="B2468" s="5">
        <f>_xlfn.XLOOKUP(A2468,bunker_daily_raw!$A$2:$A$3819,bunker_daily_raw!$B$2:$B$3819)</f>
        <v>332.25</v>
      </c>
      <c r="C2468" s="6">
        <v>72.33</v>
      </c>
    </row>
    <row r="2469" spans="1:3" x14ac:dyDescent="0.25">
      <c r="A2469" s="4">
        <v>39252</v>
      </c>
      <c r="B2469" s="5">
        <f>_xlfn.XLOOKUP(A2469,bunker_daily_raw!$A$2:$A$3819,bunker_daily_raw!$B$2:$B$3819)</f>
        <v>331.5</v>
      </c>
      <c r="C2469" s="6">
        <v>72.17</v>
      </c>
    </row>
    <row r="2470" spans="1:3" x14ac:dyDescent="0.25">
      <c r="A2470" s="4">
        <v>39253</v>
      </c>
      <c r="B2470" s="5">
        <f>_xlfn.XLOOKUP(A2470,bunker_daily_raw!$A$2:$A$3819,bunker_daily_raw!$B$2:$B$3819)</f>
        <v>319</v>
      </c>
      <c r="C2470" s="6">
        <v>70.55</v>
      </c>
    </row>
    <row r="2471" spans="1:3" x14ac:dyDescent="0.25">
      <c r="A2471" s="4">
        <v>39254</v>
      </c>
      <c r="B2471" s="5">
        <f>_xlfn.XLOOKUP(A2471,bunker_daily_raw!$A$2:$A$3819,bunker_daily_raw!$B$2:$B$3819)</f>
        <v>327</v>
      </c>
      <c r="C2471" s="6">
        <v>71.81</v>
      </c>
    </row>
    <row r="2472" spans="1:3" x14ac:dyDescent="0.25">
      <c r="A2472" s="4">
        <v>39255</v>
      </c>
      <c r="B2472" s="5">
        <f>_xlfn.XLOOKUP(A2472,bunker_daily_raw!$A$2:$A$3819,bunker_daily_raw!$B$2:$B$3819)</f>
        <v>328</v>
      </c>
      <c r="C2472" s="6">
        <v>72.040000000000006</v>
      </c>
    </row>
    <row r="2473" spans="1:3" x14ac:dyDescent="0.25">
      <c r="A2473" s="4">
        <v>39258</v>
      </c>
      <c r="B2473" s="5">
        <f>_xlfn.XLOOKUP(A2473,bunker_daily_raw!$A$2:$A$3819,bunker_daily_raw!$B$2:$B$3819)</f>
        <v>329</v>
      </c>
      <c r="C2473" s="6">
        <v>71.36</v>
      </c>
    </row>
    <row r="2474" spans="1:3" x14ac:dyDescent="0.25">
      <c r="A2474" s="4">
        <v>39259</v>
      </c>
      <c r="B2474" s="5">
        <f>_xlfn.XLOOKUP(A2474,bunker_daily_raw!$A$2:$A$3819,bunker_daily_raw!$B$2:$B$3819)</f>
        <v>326</v>
      </c>
      <c r="C2474" s="6">
        <v>71.41</v>
      </c>
    </row>
    <row r="2475" spans="1:3" x14ac:dyDescent="0.25">
      <c r="A2475" s="4">
        <v>39260</v>
      </c>
      <c r="B2475" s="5">
        <f>_xlfn.XLOOKUP(A2475,bunker_daily_raw!$A$2:$A$3819,bunker_daily_raw!$B$2:$B$3819)</f>
        <v>330</v>
      </c>
      <c r="C2475" s="6">
        <v>71.84</v>
      </c>
    </row>
    <row r="2476" spans="1:3" x14ac:dyDescent="0.25">
      <c r="A2476" s="4">
        <v>39261</v>
      </c>
      <c r="B2476" s="5">
        <f>_xlfn.XLOOKUP(A2476,bunker_daily_raw!$A$2:$A$3819,bunker_daily_raw!$B$2:$B$3819)</f>
        <v>328.25</v>
      </c>
      <c r="C2476" s="6">
        <v>71.959999999999994</v>
      </c>
    </row>
    <row r="2477" spans="1:3" x14ac:dyDescent="0.25">
      <c r="A2477" s="4">
        <v>39262</v>
      </c>
      <c r="B2477" s="5">
        <f>_xlfn.XLOOKUP(A2477,bunker_daily_raw!$A$2:$A$3819,bunker_daily_raw!$B$2:$B$3819)</f>
        <v>329</v>
      </c>
      <c r="C2477" s="6">
        <v>72.22</v>
      </c>
    </row>
    <row r="2478" spans="1:3" x14ac:dyDescent="0.25">
      <c r="A2478" s="4">
        <v>39265</v>
      </c>
      <c r="B2478" s="5">
        <f>_xlfn.XLOOKUP(A2478,bunker_daily_raw!$A$2:$A$3819,bunker_daily_raw!$B$2:$B$3819)</f>
        <v>331.5</v>
      </c>
      <c r="C2478" s="6">
        <v>72.900000000000006</v>
      </c>
    </row>
    <row r="2479" spans="1:3" x14ac:dyDescent="0.25">
      <c r="A2479" s="4">
        <v>39266</v>
      </c>
      <c r="B2479" s="5">
        <f>_xlfn.XLOOKUP(A2479,bunker_daily_raw!$A$2:$A$3819,bunker_daily_raw!$B$2:$B$3819)</f>
        <v>337</v>
      </c>
      <c r="C2479" s="6">
        <v>74.260000000000005</v>
      </c>
    </row>
    <row r="2480" spans="1:3" x14ac:dyDescent="0.25">
      <c r="A2480" s="4">
        <v>39267</v>
      </c>
      <c r="B2480" s="5">
        <f>_xlfn.XLOOKUP(A2480,bunker_daily_raw!$A$2:$A$3819,bunker_daily_raw!$B$2:$B$3819)</f>
        <v>338.75</v>
      </c>
      <c r="C2480" s="5"/>
    </row>
    <row r="2481" spans="1:3" x14ac:dyDescent="0.25">
      <c r="A2481" s="4">
        <v>39268</v>
      </c>
      <c r="B2481" s="5">
        <f>_xlfn.XLOOKUP(A2481,bunker_daily_raw!$A$2:$A$3819,bunker_daily_raw!$B$2:$B$3819)</f>
        <v>344.75</v>
      </c>
      <c r="C2481" s="6">
        <v>75.400000000000006</v>
      </c>
    </row>
    <row r="2482" spans="1:3" x14ac:dyDescent="0.25">
      <c r="A2482" s="4">
        <v>39269</v>
      </c>
      <c r="B2482" s="5">
        <f>_xlfn.XLOOKUP(A2482,bunker_daily_raw!$A$2:$A$3819,bunker_daily_raw!$B$2:$B$3819)</f>
        <v>347.5</v>
      </c>
      <c r="C2482" s="6">
        <v>76.58</v>
      </c>
    </row>
    <row r="2483" spans="1:3" x14ac:dyDescent="0.25">
      <c r="A2483" s="4">
        <v>39272</v>
      </c>
      <c r="B2483" s="5">
        <f>_xlfn.XLOOKUP(A2483,bunker_daily_raw!$A$2:$A$3819,bunker_daily_raw!$B$2:$B$3819)</f>
        <v>350</v>
      </c>
      <c r="C2483" s="6">
        <v>77.099999999999994</v>
      </c>
    </row>
    <row r="2484" spans="1:3" x14ac:dyDescent="0.25">
      <c r="A2484" s="4">
        <v>39273</v>
      </c>
      <c r="B2484" s="5">
        <f>_xlfn.XLOOKUP(A2484,bunker_daily_raw!$A$2:$A$3819,bunker_daily_raw!$B$2:$B$3819)</f>
        <v>350</v>
      </c>
      <c r="C2484" s="6">
        <v>77.88</v>
      </c>
    </row>
    <row r="2485" spans="1:3" x14ac:dyDescent="0.25">
      <c r="A2485" s="4">
        <v>39274</v>
      </c>
      <c r="B2485" s="5">
        <f>_xlfn.XLOOKUP(A2485,bunker_daily_raw!$A$2:$A$3819,bunker_daily_raw!$B$2:$B$3819)</f>
        <v>354.5</v>
      </c>
      <c r="C2485" s="6">
        <v>77.44</v>
      </c>
    </row>
    <row r="2486" spans="1:3" x14ac:dyDescent="0.25">
      <c r="A2486" s="4">
        <v>39275</v>
      </c>
      <c r="B2486" s="5">
        <f>_xlfn.XLOOKUP(A2486,bunker_daily_raw!$A$2:$A$3819,bunker_daily_raw!$B$2:$B$3819)</f>
        <v>356.5</v>
      </c>
      <c r="C2486" s="6">
        <v>78.239999999999995</v>
      </c>
    </row>
    <row r="2487" spans="1:3" x14ac:dyDescent="0.25">
      <c r="A2487" s="4">
        <v>39276</v>
      </c>
      <c r="B2487" s="5">
        <f>_xlfn.XLOOKUP(A2487,bunker_daily_raw!$A$2:$A$3819,bunker_daily_raw!$B$2:$B$3819)</f>
        <v>349.5</v>
      </c>
      <c r="C2487" s="6">
        <v>78.12</v>
      </c>
    </row>
    <row r="2488" spans="1:3" x14ac:dyDescent="0.25">
      <c r="A2488" s="4">
        <v>39279</v>
      </c>
      <c r="B2488" s="5">
        <f>_xlfn.XLOOKUP(A2488,bunker_daily_raw!$A$2:$A$3819,bunker_daily_raw!$B$2:$B$3819)</f>
        <v>351</v>
      </c>
      <c r="C2488" s="6">
        <v>78.17</v>
      </c>
    </row>
    <row r="2489" spans="1:3" x14ac:dyDescent="0.25">
      <c r="A2489" s="4">
        <v>39280</v>
      </c>
      <c r="B2489" s="5">
        <f>_xlfn.XLOOKUP(A2489,bunker_daily_raw!$A$2:$A$3819,bunker_daily_raw!$B$2:$B$3819)</f>
        <v>353</v>
      </c>
      <c r="C2489" s="6">
        <v>77.59</v>
      </c>
    </row>
    <row r="2490" spans="1:3" x14ac:dyDescent="0.25">
      <c r="A2490" s="4">
        <v>39281</v>
      </c>
      <c r="B2490" s="5">
        <f>_xlfn.XLOOKUP(A2490,bunker_daily_raw!$A$2:$A$3819,bunker_daily_raw!$B$2:$B$3819)</f>
        <v>362.5</v>
      </c>
      <c r="C2490" s="6">
        <v>78</v>
      </c>
    </row>
    <row r="2491" spans="1:3" x14ac:dyDescent="0.25">
      <c r="A2491" s="4">
        <v>39282</v>
      </c>
      <c r="B2491" s="5">
        <f>_xlfn.XLOOKUP(A2491,bunker_daily_raw!$A$2:$A$3819,bunker_daily_raw!$B$2:$B$3819)</f>
        <v>373.5</v>
      </c>
      <c r="C2491" s="6">
        <v>78.37</v>
      </c>
    </row>
    <row r="2492" spans="1:3" x14ac:dyDescent="0.25">
      <c r="A2492" s="4">
        <v>39283</v>
      </c>
      <c r="B2492" s="5">
        <f>_xlfn.XLOOKUP(A2492,bunker_daily_raw!$A$2:$A$3819,bunker_daily_raw!$B$2:$B$3819)</f>
        <v>371.5</v>
      </c>
      <c r="C2492" s="6">
        <v>79.09</v>
      </c>
    </row>
    <row r="2493" spans="1:3" x14ac:dyDescent="0.25">
      <c r="A2493" s="4">
        <v>39286</v>
      </c>
      <c r="B2493" s="5">
        <f>_xlfn.XLOOKUP(A2493,bunker_daily_raw!$A$2:$A$3819,bunker_daily_raw!$B$2:$B$3819)</f>
        <v>369</v>
      </c>
      <c r="C2493" s="6">
        <v>78.36</v>
      </c>
    </row>
    <row r="2494" spans="1:3" x14ac:dyDescent="0.25">
      <c r="A2494" s="4">
        <v>39287</v>
      </c>
      <c r="B2494" s="5">
        <f>_xlfn.XLOOKUP(A2494,bunker_daily_raw!$A$2:$A$3819,bunker_daily_raw!$B$2:$B$3819)</f>
        <v>360.5</v>
      </c>
      <c r="C2494" s="6">
        <v>75.88</v>
      </c>
    </row>
    <row r="2495" spans="1:3" x14ac:dyDescent="0.25">
      <c r="A2495" s="4">
        <v>39288</v>
      </c>
      <c r="B2495" s="5">
        <f>_xlfn.XLOOKUP(A2495,bunker_daily_raw!$A$2:$A$3819,bunker_daily_raw!$B$2:$B$3819)</f>
        <v>363.5</v>
      </c>
      <c r="C2495" s="6">
        <v>75.209999999999994</v>
      </c>
    </row>
    <row r="2496" spans="1:3" x14ac:dyDescent="0.25">
      <c r="A2496" s="4">
        <v>39289</v>
      </c>
      <c r="B2496" s="5">
        <f>_xlfn.XLOOKUP(A2496,bunker_daily_raw!$A$2:$A$3819,bunker_daily_raw!$B$2:$B$3819)</f>
        <v>375</v>
      </c>
      <c r="C2496" s="6">
        <v>77.28</v>
      </c>
    </row>
    <row r="2497" spans="1:3" x14ac:dyDescent="0.25">
      <c r="A2497" s="4">
        <v>39290</v>
      </c>
      <c r="B2497" s="5">
        <f>_xlfn.XLOOKUP(A2497,bunker_daily_raw!$A$2:$A$3819,bunker_daily_raw!$B$2:$B$3819)</f>
        <v>371</v>
      </c>
      <c r="C2497" s="6">
        <v>76.58</v>
      </c>
    </row>
    <row r="2498" spans="1:3" x14ac:dyDescent="0.25">
      <c r="A2498" s="4">
        <v>39293</v>
      </c>
      <c r="B2498" s="5">
        <f>_xlfn.XLOOKUP(A2498,bunker_daily_raw!$A$2:$A$3819,bunker_daily_raw!$B$2:$B$3819)</f>
        <v>368.5</v>
      </c>
      <c r="C2498" s="6">
        <v>76.069999999999993</v>
      </c>
    </row>
    <row r="2499" spans="1:3" x14ac:dyDescent="0.25">
      <c r="A2499" s="4">
        <v>39294</v>
      </c>
      <c r="B2499" s="5">
        <f>_xlfn.XLOOKUP(A2499,bunker_daily_raw!$A$2:$A$3819,bunker_daily_raw!$B$2:$B$3819)</f>
        <v>370.5</v>
      </c>
      <c r="C2499" s="6">
        <v>77.010000000000005</v>
      </c>
    </row>
    <row r="2500" spans="1:3" x14ac:dyDescent="0.25">
      <c r="A2500" s="4">
        <v>39295</v>
      </c>
      <c r="B2500" s="5">
        <f>_xlfn.XLOOKUP(A2500,bunker_daily_raw!$A$2:$A$3819,bunker_daily_raw!$B$2:$B$3819)</f>
        <v>375.75</v>
      </c>
      <c r="C2500" s="6">
        <v>77.11</v>
      </c>
    </row>
    <row r="2501" spans="1:3" x14ac:dyDescent="0.25">
      <c r="A2501" s="4">
        <v>39296</v>
      </c>
      <c r="B2501" s="5">
        <f>_xlfn.XLOOKUP(A2501,bunker_daily_raw!$A$2:$A$3819,bunker_daily_raw!$B$2:$B$3819)</f>
        <v>375.5</v>
      </c>
      <c r="C2501" s="6">
        <v>76.14</v>
      </c>
    </row>
    <row r="2502" spans="1:3" x14ac:dyDescent="0.25">
      <c r="A2502" s="4">
        <v>39297</v>
      </c>
      <c r="B2502" s="5">
        <f>_xlfn.XLOOKUP(A2502,bunker_daily_raw!$A$2:$A$3819,bunker_daily_raw!$B$2:$B$3819)</f>
        <v>372.75</v>
      </c>
      <c r="C2502" s="6">
        <v>75.36</v>
      </c>
    </row>
    <row r="2503" spans="1:3" x14ac:dyDescent="0.25">
      <c r="A2503" s="4">
        <v>39300</v>
      </c>
      <c r="B2503" s="5">
        <f>_xlfn.XLOOKUP(A2503,bunker_daily_raw!$A$2:$A$3819,bunker_daily_raw!$B$2:$B$3819)</f>
        <v>363.5</v>
      </c>
      <c r="C2503" s="6">
        <v>72.69</v>
      </c>
    </row>
    <row r="2504" spans="1:3" x14ac:dyDescent="0.25">
      <c r="A2504" s="4">
        <v>39301</v>
      </c>
      <c r="B2504" s="5">
        <f>_xlfn.XLOOKUP(A2504,bunker_daily_raw!$A$2:$A$3819,bunker_daily_raw!$B$2:$B$3819)</f>
        <v>349</v>
      </c>
      <c r="C2504" s="6">
        <v>70.42</v>
      </c>
    </row>
    <row r="2505" spans="1:3" x14ac:dyDescent="0.25">
      <c r="A2505" s="4">
        <v>39302</v>
      </c>
      <c r="B2505" s="5">
        <f>_xlfn.XLOOKUP(A2505,bunker_daily_raw!$A$2:$A$3819,bunker_daily_raw!$B$2:$B$3819)</f>
        <v>349.5</v>
      </c>
      <c r="C2505" s="6">
        <v>70.73</v>
      </c>
    </row>
    <row r="2506" spans="1:3" x14ac:dyDescent="0.25">
      <c r="A2506" s="4">
        <v>39303</v>
      </c>
      <c r="B2506" s="5">
        <f>_xlfn.XLOOKUP(A2506,bunker_daily_raw!$A$2:$A$3819,bunker_daily_raw!$B$2:$B$3819)</f>
        <v>343.5</v>
      </c>
      <c r="C2506" s="6">
        <v>70.08</v>
      </c>
    </row>
    <row r="2507" spans="1:3" x14ac:dyDescent="0.25">
      <c r="A2507" s="4">
        <v>39304</v>
      </c>
      <c r="B2507" s="5">
        <f>_xlfn.XLOOKUP(A2507,bunker_daily_raw!$A$2:$A$3819,bunker_daily_raw!$B$2:$B$3819)</f>
        <v>338.5</v>
      </c>
      <c r="C2507" s="6">
        <v>69.569999999999993</v>
      </c>
    </row>
    <row r="2508" spans="1:3" x14ac:dyDescent="0.25">
      <c r="A2508" s="4">
        <v>39307</v>
      </c>
      <c r="B2508" s="5">
        <f>_xlfn.XLOOKUP(A2508,bunker_daily_raw!$A$2:$A$3819,bunker_daily_raw!$B$2:$B$3819)</f>
        <v>348.5</v>
      </c>
      <c r="C2508" s="6">
        <v>71.3</v>
      </c>
    </row>
    <row r="2509" spans="1:3" x14ac:dyDescent="0.25">
      <c r="A2509" s="4">
        <v>39308</v>
      </c>
      <c r="B2509" s="5">
        <f>_xlfn.XLOOKUP(A2509,bunker_daily_raw!$A$2:$A$3819,bunker_daily_raw!$B$2:$B$3819)</f>
        <v>341.25</v>
      </c>
      <c r="C2509" s="6">
        <v>69.290000000000006</v>
      </c>
    </row>
    <row r="2510" spans="1:3" x14ac:dyDescent="0.25">
      <c r="A2510" s="4">
        <v>39309</v>
      </c>
      <c r="B2510" s="5">
        <f>_xlfn.XLOOKUP(A2510,bunker_daily_raw!$A$2:$A$3819,bunker_daily_raw!$B$2:$B$3819)</f>
        <v>346.75</v>
      </c>
      <c r="C2510" s="6">
        <v>71.3</v>
      </c>
    </row>
    <row r="2511" spans="1:3" x14ac:dyDescent="0.25">
      <c r="A2511" s="4">
        <v>39310</v>
      </c>
      <c r="B2511" s="5">
        <f>_xlfn.XLOOKUP(A2511,bunker_daily_raw!$A$2:$A$3819,bunker_daily_raw!$B$2:$B$3819)</f>
        <v>340</v>
      </c>
      <c r="C2511" s="6">
        <v>68.77</v>
      </c>
    </row>
    <row r="2512" spans="1:3" x14ac:dyDescent="0.25">
      <c r="A2512" s="4">
        <v>39311</v>
      </c>
      <c r="B2512" s="5">
        <f>_xlfn.XLOOKUP(A2512,bunker_daily_raw!$A$2:$A$3819,bunker_daily_raw!$B$2:$B$3819)</f>
        <v>340</v>
      </c>
      <c r="C2512" s="6">
        <v>69.8</v>
      </c>
    </row>
    <row r="2513" spans="1:3" x14ac:dyDescent="0.25">
      <c r="A2513" s="4">
        <v>39314</v>
      </c>
      <c r="B2513" s="5">
        <f>_xlfn.XLOOKUP(A2513,bunker_daily_raw!$A$2:$A$3819,bunker_daily_raw!$B$2:$B$3819)</f>
        <v>334.5</v>
      </c>
      <c r="C2513" s="6">
        <v>68.37</v>
      </c>
    </row>
    <row r="2514" spans="1:3" x14ac:dyDescent="0.25">
      <c r="A2514" s="4">
        <v>39315</v>
      </c>
      <c r="B2514" s="5">
        <f>_xlfn.XLOOKUP(A2514,bunker_daily_raw!$A$2:$A$3819,bunker_daily_raw!$B$2:$B$3819)</f>
        <v>334</v>
      </c>
      <c r="C2514" s="6">
        <v>67.88</v>
      </c>
    </row>
    <row r="2515" spans="1:3" x14ac:dyDescent="0.25">
      <c r="A2515" s="4">
        <v>39316</v>
      </c>
      <c r="B2515" s="5">
        <f>_xlfn.XLOOKUP(A2515,bunker_daily_raw!$A$2:$A$3819,bunker_daily_raw!$B$2:$B$3819)</f>
        <v>332</v>
      </c>
      <c r="C2515" s="6">
        <v>67.73</v>
      </c>
    </row>
    <row r="2516" spans="1:3" x14ac:dyDescent="0.25">
      <c r="A2516" s="4">
        <v>39317</v>
      </c>
      <c r="B2516" s="5">
        <f>_xlfn.XLOOKUP(A2516,bunker_daily_raw!$A$2:$A$3819,bunker_daily_raw!$B$2:$B$3819)</f>
        <v>331</v>
      </c>
      <c r="C2516" s="6">
        <v>68.73</v>
      </c>
    </row>
    <row r="2517" spans="1:3" x14ac:dyDescent="0.25">
      <c r="A2517" s="4">
        <v>39318</v>
      </c>
      <c r="B2517" s="5">
        <f>_xlfn.XLOOKUP(A2517,bunker_daily_raw!$A$2:$A$3819,bunker_daily_raw!$B$2:$B$3819)</f>
        <v>333</v>
      </c>
      <c r="C2517" s="6">
        <v>69.489999999999995</v>
      </c>
    </row>
    <row r="2518" spans="1:3" x14ac:dyDescent="0.25">
      <c r="A2518" s="4">
        <v>39321</v>
      </c>
      <c r="B2518" s="5" t="e">
        <f>_xlfn.XLOOKUP(A2518,bunker_daily_raw!$A$2:$A$3819,bunker_daily_raw!$B$2:$B$3819)</f>
        <v>#N/A</v>
      </c>
      <c r="C2518" s="6">
        <v>68.849999999999994</v>
      </c>
    </row>
    <row r="2519" spans="1:3" x14ac:dyDescent="0.25">
      <c r="A2519" s="4">
        <v>39322</v>
      </c>
      <c r="B2519" s="5">
        <f>_xlfn.XLOOKUP(A2519,bunker_daily_raw!$A$2:$A$3819,bunker_daily_raw!$B$2:$B$3819)</f>
        <v>336</v>
      </c>
      <c r="C2519" s="6">
        <v>69.66</v>
      </c>
    </row>
    <row r="2520" spans="1:3" x14ac:dyDescent="0.25">
      <c r="A2520" s="4">
        <v>39323</v>
      </c>
      <c r="B2520" s="5">
        <f>_xlfn.XLOOKUP(A2520,bunker_daily_raw!$A$2:$A$3819,bunker_daily_raw!$B$2:$B$3819)</f>
        <v>340</v>
      </c>
      <c r="C2520" s="6">
        <v>70.48</v>
      </c>
    </row>
    <row r="2521" spans="1:3" x14ac:dyDescent="0.25">
      <c r="A2521" s="4">
        <v>39324</v>
      </c>
      <c r="B2521" s="5">
        <f>_xlfn.XLOOKUP(A2521,bunker_daily_raw!$A$2:$A$3819,bunker_daily_raw!$B$2:$B$3819)</f>
        <v>346</v>
      </c>
      <c r="C2521" s="6">
        <v>71.459999999999994</v>
      </c>
    </row>
    <row r="2522" spans="1:3" x14ac:dyDescent="0.25">
      <c r="A2522" s="4">
        <v>39325</v>
      </c>
      <c r="B2522" s="5">
        <f>_xlfn.XLOOKUP(A2522,bunker_daily_raw!$A$2:$A$3819,bunker_daily_raw!$B$2:$B$3819)</f>
        <v>351</v>
      </c>
      <c r="C2522" s="6">
        <v>72.290000000000006</v>
      </c>
    </row>
    <row r="2523" spans="1:3" x14ac:dyDescent="0.25">
      <c r="A2523" s="4">
        <v>39328</v>
      </c>
      <c r="B2523" s="5">
        <f>_xlfn.XLOOKUP(A2523,bunker_daily_raw!$A$2:$A$3819,bunker_daily_raw!$B$2:$B$3819)</f>
        <v>359.5</v>
      </c>
      <c r="C2523" s="5"/>
    </row>
    <row r="2524" spans="1:3" x14ac:dyDescent="0.25">
      <c r="A2524" s="4">
        <v>39329</v>
      </c>
      <c r="B2524" s="5">
        <f>_xlfn.XLOOKUP(A2524,bunker_daily_raw!$A$2:$A$3819,bunker_daily_raw!$B$2:$B$3819)</f>
        <v>364.5</v>
      </c>
      <c r="C2524" s="6">
        <v>74.22</v>
      </c>
    </row>
    <row r="2525" spans="1:3" x14ac:dyDescent="0.25">
      <c r="A2525" s="4">
        <v>39330</v>
      </c>
      <c r="B2525" s="5">
        <f>_xlfn.XLOOKUP(A2525,bunker_daily_raw!$A$2:$A$3819,bunker_daily_raw!$B$2:$B$3819)</f>
        <v>359.5</v>
      </c>
      <c r="C2525" s="6">
        <v>74.72</v>
      </c>
    </row>
    <row r="2526" spans="1:3" x14ac:dyDescent="0.25">
      <c r="A2526" s="4">
        <v>39331</v>
      </c>
      <c r="B2526" s="5">
        <f>_xlfn.XLOOKUP(A2526,bunker_daily_raw!$A$2:$A$3819,bunker_daily_raw!$B$2:$B$3819)</f>
        <v>361.5</v>
      </c>
      <c r="C2526" s="6">
        <v>76.209999999999994</v>
      </c>
    </row>
    <row r="2527" spans="1:3" x14ac:dyDescent="0.25">
      <c r="A2527" s="4">
        <v>39332</v>
      </c>
      <c r="B2527" s="5">
        <f>_xlfn.XLOOKUP(A2527,bunker_daily_raw!$A$2:$A$3819,bunker_daily_raw!$B$2:$B$3819)</f>
        <v>356</v>
      </c>
      <c r="C2527" s="6">
        <v>75.08</v>
      </c>
    </row>
    <row r="2528" spans="1:3" x14ac:dyDescent="0.25">
      <c r="A2528" s="4">
        <v>39335</v>
      </c>
      <c r="B2528" s="5">
        <f>_xlfn.XLOOKUP(A2528,bunker_daily_raw!$A$2:$A$3819,bunker_daily_raw!$B$2:$B$3819)</f>
        <v>354.5</v>
      </c>
      <c r="C2528" s="6">
        <v>74.97</v>
      </c>
    </row>
    <row r="2529" spans="1:3" x14ac:dyDescent="0.25">
      <c r="A2529" s="4">
        <v>39336</v>
      </c>
      <c r="B2529" s="5">
        <f>_xlfn.XLOOKUP(A2529,bunker_daily_raw!$A$2:$A$3819,bunker_daily_raw!$B$2:$B$3819)</f>
        <v>359.5</v>
      </c>
      <c r="C2529" s="6">
        <v>76.23</v>
      </c>
    </row>
    <row r="2530" spans="1:3" x14ac:dyDescent="0.25">
      <c r="A2530" s="4">
        <v>39337</v>
      </c>
      <c r="B2530" s="5">
        <f>_xlfn.XLOOKUP(A2530,bunker_daily_raw!$A$2:$A$3819,bunker_daily_raw!$B$2:$B$3819)</f>
        <v>364</v>
      </c>
      <c r="C2530" s="6">
        <v>77.150000000000006</v>
      </c>
    </row>
    <row r="2531" spans="1:3" x14ac:dyDescent="0.25">
      <c r="A2531" s="4">
        <v>39338</v>
      </c>
      <c r="B2531" s="5">
        <f>_xlfn.XLOOKUP(A2531,bunker_daily_raw!$A$2:$A$3819,bunker_daily_raw!$B$2:$B$3819)</f>
        <v>369</v>
      </c>
      <c r="C2531" s="6">
        <v>77.84</v>
      </c>
    </row>
    <row r="2532" spans="1:3" x14ac:dyDescent="0.25">
      <c r="A2532" s="4">
        <v>39339</v>
      </c>
      <c r="B2532" s="5">
        <f>_xlfn.XLOOKUP(A2532,bunker_daily_raw!$A$2:$A$3819,bunker_daily_raw!$B$2:$B$3819)</f>
        <v>368.5</v>
      </c>
      <c r="C2532" s="6">
        <v>78.27</v>
      </c>
    </row>
    <row r="2533" spans="1:3" x14ac:dyDescent="0.25">
      <c r="A2533" s="4">
        <v>39342</v>
      </c>
      <c r="B2533" s="5">
        <f>_xlfn.XLOOKUP(A2533,bunker_daily_raw!$A$2:$A$3819,bunker_daily_raw!$B$2:$B$3819)</f>
        <v>368.5</v>
      </c>
      <c r="C2533" s="6">
        <v>77.989999999999995</v>
      </c>
    </row>
    <row r="2534" spans="1:3" x14ac:dyDescent="0.25">
      <c r="A2534" s="4">
        <v>39343</v>
      </c>
      <c r="B2534" s="5">
        <f>_xlfn.XLOOKUP(A2534,bunker_daily_raw!$A$2:$A$3819,bunker_daily_raw!$B$2:$B$3819)</f>
        <v>369</v>
      </c>
      <c r="C2534" s="6">
        <v>77</v>
      </c>
    </row>
    <row r="2535" spans="1:3" x14ac:dyDescent="0.25">
      <c r="A2535" s="4">
        <v>39344</v>
      </c>
      <c r="B2535" s="5">
        <f>_xlfn.XLOOKUP(A2535,bunker_daily_raw!$A$2:$A$3819,bunker_daily_raw!$B$2:$B$3819)</f>
        <v>375.5</v>
      </c>
      <c r="C2535" s="6">
        <v>78.47</v>
      </c>
    </row>
    <row r="2536" spans="1:3" x14ac:dyDescent="0.25">
      <c r="A2536" s="4">
        <v>39345</v>
      </c>
      <c r="B2536" s="5">
        <f>_xlfn.XLOOKUP(A2536,bunker_daily_raw!$A$2:$A$3819,bunker_daily_raw!$B$2:$B$3819)</f>
        <v>377.5</v>
      </c>
      <c r="C2536" s="6">
        <v>78.48</v>
      </c>
    </row>
    <row r="2537" spans="1:3" x14ac:dyDescent="0.25">
      <c r="A2537" s="4">
        <v>39346</v>
      </c>
      <c r="B2537" s="5">
        <f>_xlfn.XLOOKUP(A2537,bunker_daily_raw!$A$2:$A$3819,bunker_daily_raw!$B$2:$B$3819)</f>
        <v>382</v>
      </c>
      <c r="C2537" s="6">
        <v>78.91</v>
      </c>
    </row>
    <row r="2538" spans="1:3" x14ac:dyDescent="0.25">
      <c r="A2538" s="4">
        <v>39349</v>
      </c>
      <c r="B2538" s="5">
        <f>_xlfn.XLOOKUP(A2538,bunker_daily_raw!$A$2:$A$3819,bunker_daily_raw!$B$2:$B$3819)</f>
        <v>380</v>
      </c>
      <c r="C2538" s="6">
        <v>77.87</v>
      </c>
    </row>
    <row r="2539" spans="1:3" x14ac:dyDescent="0.25">
      <c r="A2539" s="4">
        <v>39350</v>
      </c>
      <c r="B2539" s="5">
        <f>_xlfn.XLOOKUP(A2539,bunker_daily_raw!$A$2:$A$3819,bunker_daily_raw!$B$2:$B$3819)</f>
        <v>373.75</v>
      </c>
      <c r="C2539" s="6">
        <v>76.819999999999993</v>
      </c>
    </row>
    <row r="2540" spans="1:3" x14ac:dyDescent="0.25">
      <c r="A2540" s="4">
        <v>39351</v>
      </c>
      <c r="B2540" s="5">
        <f>_xlfn.XLOOKUP(A2540,bunker_daily_raw!$A$2:$A$3819,bunker_daily_raw!$B$2:$B$3819)</f>
        <v>371</v>
      </c>
      <c r="C2540" s="6">
        <v>76.209999999999994</v>
      </c>
    </row>
    <row r="2541" spans="1:3" x14ac:dyDescent="0.25">
      <c r="A2541" s="4">
        <v>39352</v>
      </c>
      <c r="B2541" s="5">
        <f>_xlfn.XLOOKUP(A2541,bunker_daily_raw!$A$2:$A$3819,bunker_daily_raw!$B$2:$B$3819)</f>
        <v>376.5</v>
      </c>
      <c r="C2541" s="6">
        <v>78.88</v>
      </c>
    </row>
    <row r="2542" spans="1:3" x14ac:dyDescent="0.25">
      <c r="A2542" s="4">
        <v>39353</v>
      </c>
      <c r="B2542" s="5">
        <f>_xlfn.XLOOKUP(A2542,bunker_daily_raw!$A$2:$A$3819,bunker_daily_raw!$B$2:$B$3819)</f>
        <v>385</v>
      </c>
      <c r="C2542" s="6">
        <v>80.97</v>
      </c>
    </row>
    <row r="2543" spans="1:3" x14ac:dyDescent="0.25">
      <c r="A2543" s="4">
        <v>39356</v>
      </c>
      <c r="B2543" s="5">
        <f>_xlfn.XLOOKUP(A2543,bunker_daily_raw!$A$2:$A$3819,bunker_daily_raw!$B$2:$B$3819)</f>
        <v>377</v>
      </c>
      <c r="C2543" s="6">
        <v>78.33</v>
      </c>
    </row>
    <row r="2544" spans="1:3" x14ac:dyDescent="0.25">
      <c r="A2544" s="4">
        <v>39357</v>
      </c>
      <c r="B2544" s="5">
        <f>_xlfn.XLOOKUP(A2544,bunker_daily_raw!$A$2:$A$3819,bunker_daily_raw!$B$2:$B$3819)</f>
        <v>375</v>
      </c>
      <c r="C2544" s="6">
        <v>76.87</v>
      </c>
    </row>
    <row r="2545" spans="1:3" x14ac:dyDescent="0.25">
      <c r="A2545" s="4">
        <v>39358</v>
      </c>
      <c r="B2545" s="5">
        <f>_xlfn.XLOOKUP(A2545,bunker_daily_raw!$A$2:$A$3819,bunker_daily_raw!$B$2:$B$3819)</f>
        <v>379.5</v>
      </c>
      <c r="C2545" s="6">
        <v>77.8</v>
      </c>
    </row>
    <row r="2546" spans="1:3" x14ac:dyDescent="0.25">
      <c r="A2546" s="4">
        <v>39359</v>
      </c>
      <c r="B2546" s="5">
        <f>_xlfn.XLOOKUP(A2546,bunker_daily_raw!$A$2:$A$3819,bunker_daily_raw!$B$2:$B$3819)</f>
        <v>377.5</v>
      </c>
      <c r="C2546" s="6">
        <v>77.84</v>
      </c>
    </row>
    <row r="2547" spans="1:3" x14ac:dyDescent="0.25">
      <c r="A2547" s="4">
        <v>39360</v>
      </c>
      <c r="B2547" s="5">
        <f>_xlfn.XLOOKUP(A2547,bunker_daily_raw!$A$2:$A$3819,bunker_daily_raw!$B$2:$B$3819)</f>
        <v>386</v>
      </c>
      <c r="C2547" s="6">
        <v>79.05</v>
      </c>
    </row>
    <row r="2548" spans="1:3" x14ac:dyDescent="0.25">
      <c r="A2548" s="4">
        <v>39363</v>
      </c>
      <c r="B2548" s="5">
        <f>_xlfn.XLOOKUP(A2548,bunker_daily_raw!$A$2:$A$3819,bunker_daily_raw!$B$2:$B$3819)</f>
        <v>377.75</v>
      </c>
      <c r="C2548" s="6">
        <v>76.94</v>
      </c>
    </row>
    <row r="2549" spans="1:3" x14ac:dyDescent="0.25">
      <c r="A2549" s="4">
        <v>39364</v>
      </c>
      <c r="B2549" s="5">
        <f>_xlfn.XLOOKUP(A2549,bunker_daily_raw!$A$2:$A$3819,bunker_daily_raw!$B$2:$B$3819)</f>
        <v>378</v>
      </c>
      <c r="C2549" s="6">
        <v>77.819999999999993</v>
      </c>
    </row>
    <row r="2550" spans="1:3" x14ac:dyDescent="0.25">
      <c r="A2550" s="4">
        <v>39365</v>
      </c>
      <c r="B2550" s="5">
        <f>_xlfn.XLOOKUP(A2550,bunker_daily_raw!$A$2:$A$3819,bunker_daily_raw!$B$2:$B$3819)</f>
        <v>382.5</v>
      </c>
      <c r="C2550" s="6">
        <v>77.849999999999994</v>
      </c>
    </row>
    <row r="2551" spans="1:3" x14ac:dyDescent="0.25">
      <c r="A2551" s="4">
        <v>39366</v>
      </c>
      <c r="B2551" s="5">
        <f>_xlfn.XLOOKUP(A2551,bunker_daily_raw!$A$2:$A$3819,bunker_daily_raw!$B$2:$B$3819)</f>
        <v>395.5</v>
      </c>
      <c r="C2551" s="6">
        <v>80.83</v>
      </c>
    </row>
    <row r="2552" spans="1:3" x14ac:dyDescent="0.25">
      <c r="A2552" s="4">
        <v>39367</v>
      </c>
      <c r="B2552" s="5">
        <f>_xlfn.XLOOKUP(A2552,bunker_daily_raw!$A$2:$A$3819,bunker_daily_raw!$B$2:$B$3819)</f>
        <v>397</v>
      </c>
      <c r="C2552" s="6">
        <v>80.819999999999993</v>
      </c>
    </row>
    <row r="2553" spans="1:3" x14ac:dyDescent="0.25">
      <c r="A2553" s="4">
        <v>39370</v>
      </c>
      <c r="B2553" s="5">
        <f>_xlfn.XLOOKUP(A2553,bunker_daily_raw!$A$2:$A$3819,bunker_daily_raw!$B$2:$B$3819)</f>
        <v>410</v>
      </c>
      <c r="C2553" s="6">
        <v>82.5</v>
      </c>
    </row>
    <row r="2554" spans="1:3" x14ac:dyDescent="0.25">
      <c r="A2554" s="4">
        <v>39371</v>
      </c>
      <c r="B2554" s="5">
        <f>_xlfn.XLOOKUP(A2554,bunker_daily_raw!$A$2:$A$3819,bunker_daily_raw!$B$2:$B$3819)</f>
        <v>426.5</v>
      </c>
      <c r="C2554" s="6">
        <v>84.43</v>
      </c>
    </row>
    <row r="2555" spans="1:3" x14ac:dyDescent="0.25">
      <c r="A2555" s="4">
        <v>39372</v>
      </c>
      <c r="B2555" s="5">
        <f>_xlfn.XLOOKUP(A2555,bunker_daily_raw!$A$2:$A$3819,bunker_daily_raw!$B$2:$B$3819)</f>
        <v>427.5</v>
      </c>
      <c r="C2555" s="6">
        <v>85.24</v>
      </c>
    </row>
    <row r="2556" spans="1:3" x14ac:dyDescent="0.25">
      <c r="A2556" s="4">
        <v>39373</v>
      </c>
      <c r="B2556" s="5">
        <f>_xlfn.XLOOKUP(A2556,bunker_daily_raw!$A$2:$A$3819,bunker_daily_raw!$B$2:$B$3819)</f>
        <v>427.5</v>
      </c>
      <c r="C2556" s="6">
        <v>85.03</v>
      </c>
    </row>
    <row r="2557" spans="1:3" x14ac:dyDescent="0.25">
      <c r="A2557" s="4">
        <v>39374</v>
      </c>
      <c r="B2557" s="5">
        <f>_xlfn.XLOOKUP(A2557,bunker_daily_raw!$A$2:$A$3819,bunker_daily_raw!$B$2:$B$3819)</f>
        <v>425</v>
      </c>
      <c r="C2557" s="6">
        <v>84.25</v>
      </c>
    </row>
    <row r="2558" spans="1:3" x14ac:dyDescent="0.25">
      <c r="A2558" s="4">
        <v>39377</v>
      </c>
      <c r="B2558" s="5">
        <f>_xlfn.XLOOKUP(A2558,bunker_daily_raw!$A$2:$A$3819,bunker_daily_raw!$B$2:$B$3819)</f>
        <v>415</v>
      </c>
      <c r="C2558" s="6">
        <v>82.72</v>
      </c>
    </row>
    <row r="2559" spans="1:3" x14ac:dyDescent="0.25">
      <c r="A2559" s="4">
        <v>39378</v>
      </c>
      <c r="B2559" s="5">
        <f>_xlfn.XLOOKUP(A2559,bunker_daily_raw!$A$2:$A$3819,bunker_daily_raw!$B$2:$B$3819)</f>
        <v>418.5</v>
      </c>
      <c r="C2559" s="6">
        <v>82.31</v>
      </c>
    </row>
    <row r="2560" spans="1:3" x14ac:dyDescent="0.25">
      <c r="A2560" s="4">
        <v>39379</v>
      </c>
      <c r="B2560" s="5">
        <f>_xlfn.XLOOKUP(A2560,bunker_daily_raw!$A$2:$A$3819,bunker_daily_raw!$B$2:$B$3819)</f>
        <v>427</v>
      </c>
      <c r="C2560" s="6">
        <v>83.47</v>
      </c>
    </row>
    <row r="2561" spans="1:3" x14ac:dyDescent="0.25">
      <c r="A2561" s="4">
        <v>39380</v>
      </c>
      <c r="B2561" s="5">
        <f>_xlfn.XLOOKUP(A2561,bunker_daily_raw!$A$2:$A$3819,bunker_daily_raw!$B$2:$B$3819)</f>
        <v>440</v>
      </c>
      <c r="C2561" s="6">
        <v>85.4</v>
      </c>
    </row>
    <row r="2562" spans="1:3" x14ac:dyDescent="0.25">
      <c r="A2562" s="4">
        <v>39381</v>
      </c>
      <c r="B2562" s="5">
        <f>_xlfn.XLOOKUP(A2562,bunker_daily_raw!$A$2:$A$3819,bunker_daily_raw!$B$2:$B$3819)</f>
        <v>449</v>
      </c>
      <c r="C2562" s="6">
        <v>84.71</v>
      </c>
    </row>
    <row r="2563" spans="1:3" x14ac:dyDescent="0.25">
      <c r="A2563" s="4">
        <v>39384</v>
      </c>
      <c r="B2563" s="5">
        <f>_xlfn.XLOOKUP(A2563,bunker_daily_raw!$A$2:$A$3819,bunker_daily_raw!$B$2:$B$3819)</f>
        <v>458.25</v>
      </c>
      <c r="C2563" s="6">
        <v>89.87</v>
      </c>
    </row>
    <row r="2564" spans="1:3" x14ac:dyDescent="0.25">
      <c r="A2564" s="4">
        <v>39385</v>
      </c>
      <c r="B2564" s="5">
        <f>_xlfn.XLOOKUP(A2564,bunker_daily_raw!$A$2:$A$3819,bunker_daily_raw!$B$2:$B$3819)</f>
        <v>458</v>
      </c>
      <c r="C2564" s="6">
        <v>89.87</v>
      </c>
    </row>
    <row r="2565" spans="1:3" x14ac:dyDescent="0.25">
      <c r="A2565" s="4">
        <v>39386</v>
      </c>
      <c r="B2565" s="5">
        <f>_xlfn.XLOOKUP(A2565,bunker_daily_raw!$A$2:$A$3819,bunker_daily_raw!$B$2:$B$3819)</f>
        <v>467</v>
      </c>
      <c r="C2565" s="6">
        <v>89.87</v>
      </c>
    </row>
    <row r="2566" spans="1:3" x14ac:dyDescent="0.25">
      <c r="A2566" s="4">
        <v>39387</v>
      </c>
      <c r="B2566" s="5">
        <f>_xlfn.XLOOKUP(A2566,bunker_daily_raw!$A$2:$A$3819,bunker_daily_raw!$B$2:$B$3819)</f>
        <v>467</v>
      </c>
      <c r="C2566" s="6">
        <v>90.36</v>
      </c>
    </row>
    <row r="2567" spans="1:3" x14ac:dyDescent="0.25">
      <c r="A2567" s="4">
        <v>39388</v>
      </c>
      <c r="B2567" s="5">
        <f>_xlfn.XLOOKUP(A2567,bunker_daily_raw!$A$2:$A$3819,bunker_daily_raw!$B$2:$B$3819)</f>
        <v>479.75</v>
      </c>
      <c r="C2567" s="6">
        <v>92.11</v>
      </c>
    </row>
    <row r="2568" spans="1:3" x14ac:dyDescent="0.25">
      <c r="A2568" s="4">
        <v>39391</v>
      </c>
      <c r="B2568" s="5">
        <f>_xlfn.XLOOKUP(A2568,bunker_daily_raw!$A$2:$A$3819,bunker_daily_raw!$B$2:$B$3819)</f>
        <v>484.5</v>
      </c>
      <c r="C2568" s="6">
        <v>92.16</v>
      </c>
    </row>
    <row r="2569" spans="1:3" x14ac:dyDescent="0.25">
      <c r="A2569" s="4">
        <v>39392</v>
      </c>
      <c r="B2569" s="5">
        <f>_xlfn.XLOOKUP(A2569,bunker_daily_raw!$A$2:$A$3819,bunker_daily_raw!$B$2:$B$3819)</f>
        <v>491.25</v>
      </c>
      <c r="C2569" s="6">
        <v>93.99</v>
      </c>
    </row>
    <row r="2570" spans="1:3" x14ac:dyDescent="0.25">
      <c r="A2570" s="4">
        <v>39393</v>
      </c>
      <c r="B2570" s="5">
        <f>_xlfn.XLOOKUP(A2570,bunker_daily_raw!$A$2:$A$3819,bunker_daily_raw!$B$2:$B$3819)</f>
        <v>496.25</v>
      </c>
      <c r="C2570" s="6">
        <v>94.85</v>
      </c>
    </row>
    <row r="2571" spans="1:3" x14ac:dyDescent="0.25">
      <c r="A2571" s="4">
        <v>39394</v>
      </c>
      <c r="B2571" s="5">
        <f>_xlfn.XLOOKUP(A2571,bunker_daily_raw!$A$2:$A$3819,bunker_daily_raw!$B$2:$B$3819)</f>
        <v>494.5</v>
      </c>
      <c r="C2571" s="6">
        <v>94.4</v>
      </c>
    </row>
    <row r="2572" spans="1:3" x14ac:dyDescent="0.25">
      <c r="A2572" s="4">
        <v>39395</v>
      </c>
      <c r="B2572" s="5">
        <f>_xlfn.XLOOKUP(A2572,bunker_daily_raw!$A$2:$A$3819,bunker_daily_raw!$B$2:$B$3819)</f>
        <v>483.5</v>
      </c>
      <c r="C2572" s="6">
        <v>92.32</v>
      </c>
    </row>
    <row r="2573" spans="1:3" x14ac:dyDescent="0.25">
      <c r="A2573" s="4">
        <v>39398</v>
      </c>
      <c r="B2573" s="5">
        <f>_xlfn.XLOOKUP(A2573,bunker_daily_raw!$A$2:$A$3819,bunker_daily_raw!$B$2:$B$3819)</f>
        <v>479</v>
      </c>
      <c r="C2573" s="6">
        <v>91.56</v>
      </c>
    </row>
    <row r="2574" spans="1:3" x14ac:dyDescent="0.25">
      <c r="A2574" s="4">
        <v>39399</v>
      </c>
      <c r="B2574" s="5">
        <f>_xlfn.XLOOKUP(A2574,bunker_daily_raw!$A$2:$A$3819,bunker_daily_raw!$B$2:$B$3819)</f>
        <v>465</v>
      </c>
      <c r="C2574" s="6">
        <v>89.09</v>
      </c>
    </row>
    <row r="2575" spans="1:3" x14ac:dyDescent="0.25">
      <c r="A2575" s="4">
        <v>39400</v>
      </c>
      <c r="B2575" s="5">
        <f>_xlfn.XLOOKUP(A2575,bunker_daily_raw!$A$2:$A$3819,bunker_daily_raw!$B$2:$B$3819)</f>
        <v>462</v>
      </c>
      <c r="C2575" s="6">
        <v>90.73</v>
      </c>
    </row>
    <row r="2576" spans="1:3" x14ac:dyDescent="0.25">
      <c r="A2576" s="4">
        <v>39401</v>
      </c>
      <c r="B2576" s="5">
        <f>_xlfn.XLOOKUP(A2576,bunker_daily_raw!$A$2:$A$3819,bunker_daily_raw!$B$2:$B$3819)</f>
        <v>453</v>
      </c>
      <c r="C2576" s="6">
        <v>90.32</v>
      </c>
    </row>
    <row r="2577" spans="1:3" x14ac:dyDescent="0.25">
      <c r="A2577" s="4">
        <v>39402</v>
      </c>
      <c r="B2577" s="5">
        <f>_xlfn.XLOOKUP(A2577,bunker_daily_raw!$A$2:$A$3819,bunker_daily_raw!$B$2:$B$3819)</f>
        <v>460.5</v>
      </c>
      <c r="C2577" s="6">
        <v>91.99</v>
      </c>
    </row>
    <row r="2578" spans="1:3" x14ac:dyDescent="0.25">
      <c r="A2578" s="4">
        <v>39405</v>
      </c>
      <c r="B2578" s="5">
        <f>_xlfn.XLOOKUP(A2578,bunker_daily_raw!$A$2:$A$3819,bunker_daily_raw!$B$2:$B$3819)</f>
        <v>462</v>
      </c>
      <c r="C2578" s="6">
        <v>91.59</v>
      </c>
    </row>
    <row r="2579" spans="1:3" x14ac:dyDescent="0.25">
      <c r="A2579" s="4">
        <v>39406</v>
      </c>
      <c r="B2579" s="5">
        <f>_xlfn.XLOOKUP(A2579,bunker_daily_raw!$A$2:$A$3819,bunker_daily_raw!$B$2:$B$3819)</f>
        <v>475.5</v>
      </c>
      <c r="C2579" s="6">
        <v>94.13</v>
      </c>
    </row>
    <row r="2580" spans="1:3" x14ac:dyDescent="0.25">
      <c r="A2580" s="4">
        <v>39407</v>
      </c>
      <c r="B2580" s="5">
        <f>_xlfn.XLOOKUP(A2580,bunker_daily_raw!$A$2:$A$3819,bunker_daily_raw!$B$2:$B$3819)</f>
        <v>477</v>
      </c>
      <c r="C2580" s="6">
        <v>94.97</v>
      </c>
    </row>
    <row r="2581" spans="1:3" x14ac:dyDescent="0.25">
      <c r="A2581" s="4">
        <v>39408</v>
      </c>
      <c r="B2581" s="5">
        <f>_xlfn.XLOOKUP(A2581,bunker_daily_raw!$A$2:$A$3819,bunker_daily_raw!$B$2:$B$3819)</f>
        <v>470</v>
      </c>
      <c r="C2581" s="5"/>
    </row>
    <row r="2582" spans="1:3" x14ac:dyDescent="0.25">
      <c r="A2582" s="4">
        <v>39409</v>
      </c>
      <c r="B2582" s="5">
        <f>_xlfn.XLOOKUP(A2582,bunker_daily_raw!$A$2:$A$3819,bunker_daily_raw!$B$2:$B$3819)</f>
        <v>456</v>
      </c>
      <c r="C2582" s="6">
        <v>95.33</v>
      </c>
    </row>
    <row r="2583" spans="1:3" x14ac:dyDescent="0.25">
      <c r="A2583" s="4">
        <v>39412</v>
      </c>
      <c r="B2583" s="5">
        <f>_xlfn.XLOOKUP(A2583,bunker_daily_raw!$A$2:$A$3819,bunker_daily_raw!$B$2:$B$3819)</f>
        <v>460</v>
      </c>
      <c r="C2583" s="6">
        <v>94.88</v>
      </c>
    </row>
    <row r="2584" spans="1:3" x14ac:dyDescent="0.25">
      <c r="A2584" s="4">
        <v>39413</v>
      </c>
      <c r="B2584" s="5">
        <f>_xlfn.XLOOKUP(A2584,bunker_daily_raw!$A$2:$A$3819,bunker_daily_raw!$B$2:$B$3819)</f>
        <v>458</v>
      </c>
      <c r="C2584" s="6">
        <v>93.23</v>
      </c>
    </row>
    <row r="2585" spans="1:3" x14ac:dyDescent="0.25">
      <c r="A2585" s="4">
        <v>39414</v>
      </c>
      <c r="B2585" s="5">
        <f>_xlfn.XLOOKUP(A2585,bunker_daily_raw!$A$2:$A$3819,bunker_daily_raw!$B$2:$B$3819)</f>
        <v>446</v>
      </c>
      <c r="C2585" s="6">
        <v>91.64</v>
      </c>
    </row>
    <row r="2586" spans="1:3" x14ac:dyDescent="0.25">
      <c r="A2586" s="4">
        <v>39415</v>
      </c>
      <c r="B2586" s="5">
        <f>_xlfn.XLOOKUP(A2586,bunker_daily_raw!$A$2:$A$3819,bunker_daily_raw!$B$2:$B$3819)</f>
        <v>441</v>
      </c>
      <c r="C2586" s="6">
        <v>92.34</v>
      </c>
    </row>
    <row r="2587" spans="1:3" x14ac:dyDescent="0.25">
      <c r="A2587" s="4">
        <v>39416</v>
      </c>
      <c r="B2587" s="5">
        <f>_xlfn.XLOOKUP(A2587,bunker_daily_raw!$A$2:$A$3819,bunker_daily_raw!$B$2:$B$3819)</f>
        <v>422</v>
      </c>
      <c r="C2587" s="6">
        <v>88.71</v>
      </c>
    </row>
    <row r="2588" spans="1:3" x14ac:dyDescent="0.25">
      <c r="A2588" s="4">
        <v>39419</v>
      </c>
      <c r="B2588" s="5">
        <f>_xlfn.XLOOKUP(A2588,bunker_daily_raw!$A$2:$A$3819,bunker_daily_raw!$B$2:$B$3819)</f>
        <v>424</v>
      </c>
      <c r="C2588" s="6">
        <v>87.85</v>
      </c>
    </row>
    <row r="2589" spans="1:3" x14ac:dyDescent="0.25">
      <c r="A2589" s="4">
        <v>39420</v>
      </c>
      <c r="B2589" s="5">
        <f>_xlfn.XLOOKUP(A2589,bunker_daily_raw!$A$2:$A$3819,bunker_daily_raw!$B$2:$B$3819)</f>
        <v>433</v>
      </c>
      <c r="C2589" s="6">
        <v>89.97</v>
      </c>
    </row>
    <row r="2590" spans="1:3" x14ac:dyDescent="0.25">
      <c r="A2590" s="4">
        <v>39421</v>
      </c>
      <c r="B2590" s="5">
        <f>_xlfn.XLOOKUP(A2590,bunker_daily_raw!$A$2:$A$3819,bunker_daily_raw!$B$2:$B$3819)</f>
        <v>437</v>
      </c>
      <c r="C2590" s="6">
        <v>90.7</v>
      </c>
    </row>
    <row r="2591" spans="1:3" x14ac:dyDescent="0.25">
      <c r="A2591" s="4">
        <v>39422</v>
      </c>
      <c r="B2591" s="5">
        <f>_xlfn.XLOOKUP(A2591,bunker_daily_raw!$A$2:$A$3819,bunker_daily_raw!$B$2:$B$3819)</f>
        <v>426.5</v>
      </c>
      <c r="C2591" s="6">
        <v>88.46</v>
      </c>
    </row>
    <row r="2592" spans="1:3" x14ac:dyDescent="0.25">
      <c r="A2592" s="4">
        <v>39423</v>
      </c>
      <c r="B2592" s="5">
        <f>_xlfn.XLOOKUP(A2592,bunker_daily_raw!$A$2:$A$3819,bunker_daily_raw!$B$2:$B$3819)</f>
        <v>425</v>
      </c>
      <c r="C2592" s="6">
        <v>88.46</v>
      </c>
    </row>
    <row r="2593" spans="1:3" x14ac:dyDescent="0.25">
      <c r="A2593" s="4">
        <v>39426</v>
      </c>
      <c r="B2593" s="5">
        <f>_xlfn.XLOOKUP(A2593,bunker_daily_raw!$A$2:$A$3819,bunker_daily_raw!$B$2:$B$3819)</f>
        <v>424</v>
      </c>
      <c r="C2593" s="6">
        <v>87.33</v>
      </c>
    </row>
    <row r="2594" spans="1:3" x14ac:dyDescent="0.25">
      <c r="A2594" s="4">
        <v>39427</v>
      </c>
      <c r="B2594" s="5">
        <f>_xlfn.XLOOKUP(A2594,bunker_daily_raw!$A$2:$A$3819,bunker_daily_raw!$B$2:$B$3819)</f>
        <v>424</v>
      </c>
      <c r="C2594" s="6">
        <v>87.77</v>
      </c>
    </row>
    <row r="2595" spans="1:3" x14ac:dyDescent="0.25">
      <c r="A2595" s="4">
        <v>39428</v>
      </c>
      <c r="B2595" s="5">
        <f>_xlfn.XLOOKUP(A2595,bunker_daily_raw!$A$2:$A$3819,bunker_daily_raw!$B$2:$B$3819)</f>
        <v>436</v>
      </c>
      <c r="C2595" s="6">
        <v>91.69</v>
      </c>
    </row>
    <row r="2596" spans="1:3" x14ac:dyDescent="0.25">
      <c r="A2596" s="4">
        <v>39429</v>
      </c>
      <c r="B2596" s="5">
        <f>_xlfn.XLOOKUP(A2596,bunker_daily_raw!$A$2:$A$3819,bunker_daily_raw!$B$2:$B$3819)</f>
        <v>446</v>
      </c>
      <c r="C2596" s="6">
        <v>92.57</v>
      </c>
    </row>
    <row r="2597" spans="1:3" x14ac:dyDescent="0.25">
      <c r="A2597" s="4">
        <v>39430</v>
      </c>
      <c r="B2597" s="5">
        <f>_xlfn.XLOOKUP(A2597,bunker_daily_raw!$A$2:$A$3819,bunker_daily_raw!$B$2:$B$3819)</f>
        <v>443.5</v>
      </c>
      <c r="C2597" s="6">
        <v>91.86</v>
      </c>
    </row>
    <row r="2598" spans="1:3" x14ac:dyDescent="0.25">
      <c r="A2598" s="4">
        <v>39433</v>
      </c>
      <c r="B2598" s="5">
        <f>_xlfn.XLOOKUP(A2598,bunker_daily_raw!$A$2:$A$3819,bunker_daily_raw!$B$2:$B$3819)</f>
        <v>442</v>
      </c>
      <c r="C2598" s="6">
        <v>90.32</v>
      </c>
    </row>
    <row r="2599" spans="1:3" x14ac:dyDescent="0.25">
      <c r="A2599" s="4">
        <v>39434</v>
      </c>
      <c r="B2599" s="5">
        <f>_xlfn.XLOOKUP(A2599,bunker_daily_raw!$A$2:$A$3819,bunker_daily_raw!$B$2:$B$3819)</f>
        <v>445</v>
      </c>
      <c r="C2599" s="6">
        <v>90.71</v>
      </c>
    </row>
    <row r="2600" spans="1:3" x14ac:dyDescent="0.25">
      <c r="A2600" s="4">
        <v>39435</v>
      </c>
      <c r="B2600" s="5">
        <f>_xlfn.XLOOKUP(A2600,bunker_daily_raw!$A$2:$A$3819,bunker_daily_raw!$B$2:$B$3819)</f>
        <v>444</v>
      </c>
      <c r="C2600" s="6">
        <v>90.98</v>
      </c>
    </row>
    <row r="2601" spans="1:3" x14ac:dyDescent="0.25">
      <c r="A2601" s="4">
        <v>39436</v>
      </c>
      <c r="B2601" s="5">
        <f>_xlfn.XLOOKUP(A2601,bunker_daily_raw!$A$2:$A$3819,bunker_daily_raw!$B$2:$B$3819)</f>
        <v>442.5</v>
      </c>
      <c r="C2601" s="6">
        <v>91.06</v>
      </c>
    </row>
    <row r="2602" spans="1:3" x14ac:dyDescent="0.25">
      <c r="A2602" s="4">
        <v>39437</v>
      </c>
      <c r="B2602" s="5">
        <f>_xlfn.XLOOKUP(A2602,bunker_daily_raw!$A$2:$A$3819,bunker_daily_raw!$B$2:$B$3819)</f>
        <v>436</v>
      </c>
      <c r="C2602" s="6">
        <v>91.03</v>
      </c>
    </row>
    <row r="2603" spans="1:3" x14ac:dyDescent="0.25">
      <c r="A2603" s="4">
        <v>39440</v>
      </c>
      <c r="B2603" s="5">
        <f>_xlfn.XLOOKUP(A2603,bunker_daily_raw!$A$2:$A$3819,bunker_daily_raw!$B$2:$B$3819)</f>
        <v>439</v>
      </c>
      <c r="C2603" s="6">
        <v>91.59</v>
      </c>
    </row>
    <row r="2604" spans="1:3" x14ac:dyDescent="0.25">
      <c r="A2604" s="4">
        <v>39441</v>
      </c>
      <c r="B2604" s="5" t="e">
        <f>_xlfn.XLOOKUP(A2604,bunker_daily_raw!$A$2:$A$3819,bunker_daily_raw!$B$2:$B$3819)</f>
        <v>#N/A</v>
      </c>
      <c r="C2604" s="5"/>
    </row>
    <row r="2605" spans="1:3" x14ac:dyDescent="0.25">
      <c r="A2605" s="4">
        <v>39442</v>
      </c>
      <c r="B2605" s="5" t="e">
        <f>_xlfn.XLOOKUP(A2605,bunker_daily_raw!$A$2:$A$3819,bunker_daily_raw!$B$2:$B$3819)</f>
        <v>#N/A</v>
      </c>
      <c r="C2605" s="5"/>
    </row>
    <row r="2606" spans="1:3" x14ac:dyDescent="0.25">
      <c r="A2606" s="4">
        <v>39443</v>
      </c>
      <c r="B2606" s="5" t="e">
        <f>_xlfn.XLOOKUP(A2606,bunker_daily_raw!$A$2:$A$3819,bunker_daily_raw!$B$2:$B$3819)</f>
        <v>#N/A</v>
      </c>
      <c r="C2606" s="6">
        <v>95.66</v>
      </c>
    </row>
    <row r="2607" spans="1:3" x14ac:dyDescent="0.25">
      <c r="A2607" s="4">
        <v>39444</v>
      </c>
      <c r="B2607" s="5" t="e">
        <f>_xlfn.XLOOKUP(A2607,bunker_daily_raw!$A$2:$A$3819,bunker_daily_raw!$B$2:$B$3819)</f>
        <v>#N/A</v>
      </c>
      <c r="C2607" s="6">
        <v>95.92</v>
      </c>
    </row>
    <row r="2608" spans="1:3" x14ac:dyDescent="0.25">
      <c r="A2608" s="4">
        <v>39447</v>
      </c>
      <c r="B2608" s="5" t="e">
        <f>_xlfn.XLOOKUP(A2608,bunker_daily_raw!$A$2:$A$3819,bunker_daily_raw!$B$2:$B$3819)</f>
        <v>#N/A</v>
      </c>
      <c r="C2608" s="6">
        <v>93.68</v>
      </c>
    </row>
    <row r="2609" spans="1:3" x14ac:dyDescent="0.25">
      <c r="A2609" s="4">
        <v>39448</v>
      </c>
      <c r="B2609" s="5" t="e">
        <f>_xlfn.XLOOKUP(A2609,bunker_daily_raw!$A$2:$A$3819,bunker_daily_raw!$B$2:$B$3819)</f>
        <v>#N/A</v>
      </c>
      <c r="C2609" s="5"/>
    </row>
    <row r="2610" spans="1:3" x14ac:dyDescent="0.25">
      <c r="A2610" s="4">
        <v>39449</v>
      </c>
      <c r="B2610" s="5">
        <f>_xlfn.XLOOKUP(A2610,bunker_daily_raw!$A$2:$A$3819,bunker_daily_raw!$B$2:$B$3819)</f>
        <v>469</v>
      </c>
      <c r="C2610" s="6">
        <v>97.01</v>
      </c>
    </row>
    <row r="2611" spans="1:3" x14ac:dyDescent="0.25">
      <c r="A2611" s="4">
        <v>39450</v>
      </c>
      <c r="B2611" s="5">
        <f>_xlfn.XLOOKUP(A2611,bunker_daily_raw!$A$2:$A$3819,bunker_daily_raw!$B$2:$B$3819)</f>
        <v>473.5</v>
      </c>
      <c r="C2611" s="6">
        <v>98.45</v>
      </c>
    </row>
    <row r="2612" spans="1:3" x14ac:dyDescent="0.25">
      <c r="A2612" s="4">
        <v>39451</v>
      </c>
      <c r="B2612" s="5">
        <f>_xlfn.XLOOKUP(A2612,bunker_daily_raw!$A$2:$A$3819,bunker_daily_raw!$B$2:$B$3819)</f>
        <v>466</v>
      </c>
      <c r="C2612" s="6">
        <v>96.87</v>
      </c>
    </row>
    <row r="2613" spans="1:3" x14ac:dyDescent="0.25">
      <c r="A2613" s="4">
        <v>39454</v>
      </c>
      <c r="B2613" s="5">
        <f>_xlfn.XLOOKUP(A2613,bunker_daily_raw!$A$2:$A$3819,bunker_daily_raw!$B$2:$B$3819)</f>
        <v>453.5</v>
      </c>
      <c r="C2613" s="6">
        <v>94.19</v>
      </c>
    </row>
    <row r="2614" spans="1:3" x14ac:dyDescent="0.25">
      <c r="A2614" s="4">
        <v>39455</v>
      </c>
      <c r="B2614" s="5">
        <f>_xlfn.XLOOKUP(A2614,bunker_daily_raw!$A$2:$A$3819,bunker_daily_raw!$B$2:$B$3819)</f>
        <v>459</v>
      </c>
      <c r="C2614" s="6">
        <v>96.37</v>
      </c>
    </row>
    <row r="2615" spans="1:3" x14ac:dyDescent="0.25">
      <c r="A2615" s="4">
        <v>39456</v>
      </c>
      <c r="B2615" s="5">
        <f>_xlfn.XLOOKUP(A2615,bunker_daily_raw!$A$2:$A$3819,bunker_daily_raw!$B$2:$B$3819)</f>
        <v>456</v>
      </c>
      <c r="C2615" s="6">
        <v>96.76</v>
      </c>
    </row>
    <row r="2616" spans="1:3" x14ac:dyDescent="0.25">
      <c r="A2616" s="4">
        <v>39457</v>
      </c>
      <c r="B2616" s="5">
        <f>_xlfn.XLOOKUP(A2616,bunker_daily_raw!$A$2:$A$3819,bunker_daily_raw!$B$2:$B$3819)</f>
        <v>436</v>
      </c>
      <c r="C2616" s="6">
        <v>92.8</v>
      </c>
    </row>
    <row r="2617" spans="1:3" x14ac:dyDescent="0.25">
      <c r="A2617" s="4">
        <v>39458</v>
      </c>
      <c r="B2617" s="5">
        <f>_xlfn.XLOOKUP(A2617,bunker_daily_raw!$A$2:$A$3819,bunker_daily_raw!$B$2:$B$3819)</f>
        <v>429.5</v>
      </c>
      <c r="C2617" s="6">
        <v>91.86</v>
      </c>
    </row>
    <row r="2618" spans="1:3" x14ac:dyDescent="0.25">
      <c r="A2618" s="4">
        <v>39461</v>
      </c>
      <c r="B2618" s="5">
        <f>_xlfn.XLOOKUP(A2618,bunker_daily_raw!$A$2:$A$3819,bunker_daily_raw!$B$2:$B$3819)</f>
        <v>439</v>
      </c>
      <c r="C2618" s="6">
        <v>92.58</v>
      </c>
    </row>
    <row r="2619" spans="1:3" x14ac:dyDescent="0.25">
      <c r="A2619" s="4">
        <v>39462</v>
      </c>
      <c r="B2619" s="5">
        <f>_xlfn.XLOOKUP(A2619,bunker_daily_raw!$A$2:$A$3819,bunker_daily_raw!$B$2:$B$3819)</f>
        <v>435</v>
      </c>
      <c r="C2619" s="6">
        <v>90.87</v>
      </c>
    </row>
    <row r="2620" spans="1:3" x14ac:dyDescent="0.25">
      <c r="A2620" s="4">
        <v>39463</v>
      </c>
      <c r="B2620" s="5">
        <f>_xlfn.XLOOKUP(A2620,bunker_daily_raw!$A$2:$A$3819,bunker_daily_raw!$B$2:$B$3819)</f>
        <v>420</v>
      </c>
      <c r="C2620" s="6">
        <v>88.1</v>
      </c>
    </row>
    <row r="2621" spans="1:3" x14ac:dyDescent="0.25">
      <c r="A2621" s="4">
        <v>39464</v>
      </c>
      <c r="B2621" s="5">
        <f>_xlfn.XLOOKUP(A2621,bunker_daily_raw!$A$2:$A$3819,bunker_daily_raw!$B$2:$B$3819)</f>
        <v>419</v>
      </c>
      <c r="C2621" s="6">
        <v>88.96</v>
      </c>
    </row>
    <row r="2622" spans="1:3" x14ac:dyDescent="0.25">
      <c r="A2622" s="4">
        <v>39465</v>
      </c>
      <c r="B2622" s="5">
        <f>_xlfn.XLOOKUP(A2622,bunker_daily_raw!$A$2:$A$3819,bunker_daily_raw!$B$2:$B$3819)</f>
        <v>419</v>
      </c>
      <c r="C2622" s="6">
        <v>89.66</v>
      </c>
    </row>
    <row r="2623" spans="1:3" x14ac:dyDescent="0.25">
      <c r="A2623" s="4">
        <v>39468</v>
      </c>
      <c r="B2623" s="5">
        <f>_xlfn.XLOOKUP(A2623,bunker_daily_raw!$A$2:$A$3819,bunker_daily_raw!$B$2:$B$3819)</f>
        <v>414.5</v>
      </c>
      <c r="C2623" s="5"/>
    </row>
    <row r="2624" spans="1:3" x14ac:dyDescent="0.25">
      <c r="A2624" s="4">
        <v>39469</v>
      </c>
      <c r="B2624" s="5">
        <f>_xlfn.XLOOKUP(A2624,bunker_daily_raw!$A$2:$A$3819,bunker_daily_raw!$B$2:$B$3819)</f>
        <v>411</v>
      </c>
      <c r="C2624" s="6">
        <v>88.11</v>
      </c>
    </row>
    <row r="2625" spans="1:3" x14ac:dyDescent="0.25">
      <c r="A2625" s="4">
        <v>39470</v>
      </c>
      <c r="B2625" s="5">
        <f>_xlfn.XLOOKUP(A2625,bunker_daily_raw!$A$2:$A$3819,bunker_daily_raw!$B$2:$B$3819)</f>
        <v>410.25</v>
      </c>
      <c r="C2625" s="6">
        <v>87.06</v>
      </c>
    </row>
    <row r="2626" spans="1:3" x14ac:dyDescent="0.25">
      <c r="A2626" s="4">
        <v>39471</v>
      </c>
      <c r="B2626" s="5">
        <f>_xlfn.XLOOKUP(A2626,bunker_daily_raw!$A$2:$A$3819,bunker_daily_raw!$B$2:$B$3819)</f>
        <v>413</v>
      </c>
      <c r="C2626" s="6">
        <v>87.69</v>
      </c>
    </row>
    <row r="2627" spans="1:3" x14ac:dyDescent="0.25">
      <c r="A2627" s="4">
        <v>39472</v>
      </c>
      <c r="B2627" s="5">
        <f>_xlfn.XLOOKUP(A2627,bunker_daily_raw!$A$2:$A$3819,bunker_daily_raw!$B$2:$B$3819)</f>
        <v>433</v>
      </c>
      <c r="C2627" s="6">
        <v>90.96</v>
      </c>
    </row>
    <row r="2628" spans="1:3" x14ac:dyDescent="0.25">
      <c r="A2628" s="4">
        <v>39475</v>
      </c>
      <c r="B2628" s="5">
        <f>_xlfn.XLOOKUP(A2628,bunker_daily_raw!$A$2:$A$3819,bunker_daily_raw!$B$2:$B$3819)</f>
        <v>426</v>
      </c>
      <c r="C2628" s="6">
        <v>90.91</v>
      </c>
    </row>
    <row r="2629" spans="1:3" x14ac:dyDescent="0.25">
      <c r="A2629" s="4">
        <v>39476</v>
      </c>
      <c r="B2629" s="5">
        <f>_xlfn.XLOOKUP(A2629,bunker_daily_raw!$A$2:$A$3819,bunker_daily_raw!$B$2:$B$3819)</f>
        <v>435</v>
      </c>
      <c r="C2629" s="6">
        <v>92.49</v>
      </c>
    </row>
    <row r="2630" spans="1:3" x14ac:dyDescent="0.25">
      <c r="A2630" s="4">
        <v>39477</v>
      </c>
      <c r="B2630" s="5">
        <f>_xlfn.XLOOKUP(A2630,bunker_daily_raw!$A$2:$A$3819,bunker_daily_raw!$B$2:$B$3819)</f>
        <v>432</v>
      </c>
      <c r="C2630" s="6">
        <v>92.46</v>
      </c>
    </row>
    <row r="2631" spans="1:3" x14ac:dyDescent="0.25">
      <c r="A2631" s="4">
        <v>39478</v>
      </c>
      <c r="B2631" s="5">
        <f>_xlfn.XLOOKUP(A2631,bunker_daily_raw!$A$2:$A$3819,bunker_daily_raw!$B$2:$B$3819)</f>
        <v>419</v>
      </c>
      <c r="C2631" s="6">
        <v>91.58</v>
      </c>
    </row>
    <row r="2632" spans="1:3" x14ac:dyDescent="0.25">
      <c r="A2632" s="4">
        <v>39479</v>
      </c>
      <c r="B2632" s="5">
        <f>_xlfn.XLOOKUP(A2632,bunker_daily_raw!$A$2:$A$3819,bunker_daily_raw!$B$2:$B$3819)</f>
        <v>412</v>
      </c>
      <c r="C2632" s="6">
        <v>91.41</v>
      </c>
    </row>
    <row r="2633" spans="1:3" x14ac:dyDescent="0.25">
      <c r="A2633" s="4">
        <v>39482</v>
      </c>
      <c r="B2633" s="5">
        <f>_xlfn.XLOOKUP(A2633,bunker_daily_raw!$A$2:$A$3819,bunker_daily_raw!$B$2:$B$3819)</f>
        <v>411.5</v>
      </c>
      <c r="C2633" s="6">
        <v>91.09</v>
      </c>
    </row>
    <row r="2634" spans="1:3" x14ac:dyDescent="0.25">
      <c r="A2634" s="4">
        <v>39483</v>
      </c>
      <c r="B2634" s="5">
        <f>_xlfn.XLOOKUP(A2634,bunker_daily_raw!$A$2:$A$3819,bunker_daily_raw!$B$2:$B$3819)</f>
        <v>405.5</v>
      </c>
      <c r="C2634" s="6">
        <v>89.6</v>
      </c>
    </row>
    <row r="2635" spans="1:3" x14ac:dyDescent="0.25">
      <c r="A2635" s="4">
        <v>39484</v>
      </c>
      <c r="B2635" s="5">
        <f>_xlfn.XLOOKUP(A2635,bunker_daily_raw!$A$2:$A$3819,bunker_daily_raw!$B$2:$B$3819)</f>
        <v>397</v>
      </c>
      <c r="C2635" s="6">
        <v>88.73</v>
      </c>
    </row>
    <row r="2636" spans="1:3" x14ac:dyDescent="0.25">
      <c r="A2636" s="4">
        <v>39485</v>
      </c>
      <c r="B2636" s="5">
        <f>_xlfn.XLOOKUP(A2636,bunker_daily_raw!$A$2:$A$3819,bunker_daily_raw!$B$2:$B$3819)</f>
        <v>391</v>
      </c>
      <c r="C2636" s="6">
        <v>88.55</v>
      </c>
    </row>
    <row r="2637" spans="1:3" x14ac:dyDescent="0.25">
      <c r="A2637" s="4">
        <v>39486</v>
      </c>
      <c r="B2637" s="5">
        <f>_xlfn.XLOOKUP(A2637,bunker_daily_raw!$A$2:$A$3819,bunker_daily_raw!$B$2:$B$3819)</f>
        <v>397</v>
      </c>
      <c r="C2637" s="6">
        <v>91.45</v>
      </c>
    </row>
    <row r="2638" spans="1:3" x14ac:dyDescent="0.25">
      <c r="A2638" s="4">
        <v>39489</v>
      </c>
      <c r="B2638" s="5">
        <f>_xlfn.XLOOKUP(A2638,bunker_daily_raw!$A$2:$A$3819,bunker_daily_raw!$B$2:$B$3819)</f>
        <v>410</v>
      </c>
      <c r="C2638" s="6">
        <v>93.93</v>
      </c>
    </row>
    <row r="2639" spans="1:3" x14ac:dyDescent="0.25">
      <c r="A2639" s="4">
        <v>39490</v>
      </c>
      <c r="B2639" s="5">
        <f>_xlfn.XLOOKUP(A2639,bunker_daily_raw!$A$2:$A$3819,bunker_daily_raw!$B$2:$B$3819)</f>
        <v>421</v>
      </c>
      <c r="C2639" s="6">
        <v>94.28</v>
      </c>
    </row>
    <row r="2640" spans="1:3" x14ac:dyDescent="0.25">
      <c r="A2640" s="4">
        <v>39491</v>
      </c>
      <c r="B2640" s="5">
        <f>_xlfn.XLOOKUP(A2640,bunker_daily_raw!$A$2:$A$3819,bunker_daily_raw!$B$2:$B$3819)</f>
        <v>427</v>
      </c>
      <c r="C2640" s="6">
        <v>93.82</v>
      </c>
    </row>
    <row r="2641" spans="1:3" x14ac:dyDescent="0.25">
      <c r="A2641" s="4">
        <v>39492</v>
      </c>
      <c r="B2641" s="5">
        <f>_xlfn.XLOOKUP(A2641,bunker_daily_raw!$A$2:$A$3819,bunker_daily_raw!$B$2:$B$3819)</f>
        <v>449</v>
      </c>
      <c r="C2641" s="6">
        <v>95.92</v>
      </c>
    </row>
    <row r="2642" spans="1:3" x14ac:dyDescent="0.25">
      <c r="A2642" s="4">
        <v>39493</v>
      </c>
      <c r="B2642" s="5">
        <f>_xlfn.XLOOKUP(A2642,bunker_daily_raw!$A$2:$A$3819,bunker_daily_raw!$B$2:$B$3819)</f>
        <v>439</v>
      </c>
      <c r="C2642" s="6">
        <v>96.96</v>
      </c>
    </row>
    <row r="2643" spans="1:3" x14ac:dyDescent="0.25">
      <c r="A2643" s="4">
        <v>39496</v>
      </c>
      <c r="B2643" s="5">
        <f>_xlfn.XLOOKUP(A2643,bunker_daily_raw!$A$2:$A$3819,bunker_daily_raw!$B$2:$B$3819)</f>
        <v>444</v>
      </c>
      <c r="C2643" s="5"/>
    </row>
    <row r="2644" spans="1:3" x14ac:dyDescent="0.25">
      <c r="A2644" s="4">
        <v>39497</v>
      </c>
      <c r="B2644" s="5">
        <f>_xlfn.XLOOKUP(A2644,bunker_daily_raw!$A$2:$A$3819,bunker_daily_raw!$B$2:$B$3819)</f>
        <v>447</v>
      </c>
      <c r="C2644" s="6">
        <v>97.03</v>
      </c>
    </row>
    <row r="2645" spans="1:3" x14ac:dyDescent="0.25">
      <c r="A2645" s="4">
        <v>39498</v>
      </c>
      <c r="B2645" s="5">
        <f>_xlfn.XLOOKUP(A2645,bunker_daily_raw!$A$2:$A$3819,bunker_daily_raw!$B$2:$B$3819)</f>
        <v>450</v>
      </c>
      <c r="C2645" s="6">
        <v>97.88</v>
      </c>
    </row>
    <row r="2646" spans="1:3" x14ac:dyDescent="0.25">
      <c r="A2646" s="4">
        <v>39499</v>
      </c>
      <c r="B2646" s="5">
        <f>_xlfn.XLOOKUP(A2646,bunker_daily_raw!$A$2:$A$3819,bunker_daily_raw!$B$2:$B$3819)</f>
        <v>447</v>
      </c>
      <c r="C2646" s="6">
        <v>97.52</v>
      </c>
    </row>
    <row r="2647" spans="1:3" x14ac:dyDescent="0.25">
      <c r="A2647" s="4">
        <v>39500</v>
      </c>
      <c r="B2647" s="5">
        <f>_xlfn.XLOOKUP(A2647,bunker_daily_raw!$A$2:$A$3819,bunker_daily_raw!$B$2:$B$3819)</f>
        <v>445</v>
      </c>
      <c r="C2647" s="6">
        <v>96.07</v>
      </c>
    </row>
    <row r="2648" spans="1:3" x14ac:dyDescent="0.25">
      <c r="A2648" s="4">
        <v>39503</v>
      </c>
      <c r="B2648" s="5">
        <f>_xlfn.XLOOKUP(A2648,bunker_daily_raw!$A$2:$A$3819,bunker_daily_raw!$B$2:$B$3819)</f>
        <v>438</v>
      </c>
      <c r="C2648" s="6">
        <v>97.43</v>
      </c>
    </row>
    <row r="2649" spans="1:3" x14ac:dyDescent="0.25">
      <c r="A2649" s="4">
        <v>39504</v>
      </c>
      <c r="B2649" s="5">
        <f>_xlfn.XLOOKUP(A2649,bunker_daily_raw!$A$2:$A$3819,bunker_daily_raw!$B$2:$B$3819)</f>
        <v>441</v>
      </c>
      <c r="C2649" s="6">
        <v>99.05</v>
      </c>
    </row>
    <row r="2650" spans="1:3" x14ac:dyDescent="0.25">
      <c r="A2650" s="4">
        <v>39505</v>
      </c>
      <c r="B2650" s="5">
        <f>_xlfn.XLOOKUP(A2650,bunker_daily_raw!$A$2:$A$3819,bunker_daily_raw!$B$2:$B$3819)</f>
        <v>442</v>
      </c>
      <c r="C2650" s="6">
        <v>98.28</v>
      </c>
    </row>
    <row r="2651" spans="1:3" x14ac:dyDescent="0.25">
      <c r="A2651" s="4">
        <v>39506</v>
      </c>
      <c r="B2651" s="5">
        <f>_xlfn.XLOOKUP(A2651,bunker_daily_raw!$A$2:$A$3819,bunker_daily_raw!$B$2:$B$3819)</f>
        <v>454</v>
      </c>
      <c r="C2651" s="6">
        <v>99.83</v>
      </c>
    </row>
    <row r="2652" spans="1:3" x14ac:dyDescent="0.25">
      <c r="A2652" s="4">
        <v>39507</v>
      </c>
      <c r="B2652" s="5">
        <f>_xlfn.XLOOKUP(A2652,bunker_daily_raw!$A$2:$A$3819,bunker_daily_raw!$B$2:$B$3819)</f>
        <v>456</v>
      </c>
      <c r="C2652" s="6">
        <v>100.9</v>
      </c>
    </row>
    <row r="2653" spans="1:3" x14ac:dyDescent="0.25">
      <c r="A2653" s="4">
        <v>39510</v>
      </c>
      <c r="B2653" s="5">
        <f>_xlfn.XLOOKUP(A2653,bunker_daily_raw!$A$2:$A$3819,bunker_daily_raw!$B$2:$B$3819)</f>
        <v>467</v>
      </c>
      <c r="C2653" s="6">
        <v>101.83</v>
      </c>
    </row>
    <row r="2654" spans="1:3" x14ac:dyDescent="0.25">
      <c r="A2654" s="4">
        <v>39511</v>
      </c>
      <c r="B2654" s="5">
        <f>_xlfn.XLOOKUP(A2654,bunker_daily_raw!$A$2:$A$3819,bunker_daily_raw!$B$2:$B$3819)</f>
        <v>457</v>
      </c>
      <c r="C2654" s="6">
        <v>98.6</v>
      </c>
    </row>
    <row r="2655" spans="1:3" x14ac:dyDescent="0.25">
      <c r="A2655" s="4">
        <v>39512</v>
      </c>
      <c r="B2655" s="5">
        <f>_xlfn.XLOOKUP(A2655,bunker_daily_raw!$A$2:$A$3819,bunker_daily_raw!$B$2:$B$3819)</f>
        <v>466.5</v>
      </c>
      <c r="C2655" s="6">
        <v>100.95</v>
      </c>
    </row>
    <row r="2656" spans="1:3" x14ac:dyDescent="0.25">
      <c r="A2656" s="4">
        <v>39513</v>
      </c>
      <c r="B2656" s="5">
        <f>_xlfn.XLOOKUP(A2656,bunker_daily_raw!$A$2:$A$3819,bunker_daily_raw!$B$2:$B$3819)</f>
        <v>468</v>
      </c>
      <c r="C2656" s="6">
        <v>103.47</v>
      </c>
    </row>
    <row r="2657" spans="1:3" x14ac:dyDescent="0.25">
      <c r="A2657" s="4">
        <v>39514</v>
      </c>
      <c r="B2657" s="5">
        <f>_xlfn.XLOOKUP(A2657,bunker_daily_raw!$A$2:$A$3819,bunker_daily_raw!$B$2:$B$3819)</f>
        <v>460</v>
      </c>
      <c r="C2657" s="6">
        <v>104.66</v>
      </c>
    </row>
    <row r="2658" spans="1:3" x14ac:dyDescent="0.25">
      <c r="A2658" s="4">
        <v>39517</v>
      </c>
      <c r="B2658" s="5">
        <f>_xlfn.XLOOKUP(A2658,bunker_daily_raw!$A$2:$A$3819,bunker_daily_raw!$B$2:$B$3819)</f>
        <v>464</v>
      </c>
      <c r="C2658" s="6">
        <v>105.33</v>
      </c>
    </row>
    <row r="2659" spans="1:3" x14ac:dyDescent="0.25">
      <c r="A2659" s="4">
        <v>39518</v>
      </c>
      <c r="B2659" s="5">
        <f>_xlfn.XLOOKUP(A2659,bunker_daily_raw!$A$2:$A$3819,bunker_daily_raw!$B$2:$B$3819)</f>
        <v>464.5</v>
      </c>
      <c r="C2659" s="6">
        <v>106.78</v>
      </c>
    </row>
    <row r="2660" spans="1:3" x14ac:dyDescent="0.25">
      <c r="A2660" s="4">
        <v>39519</v>
      </c>
      <c r="B2660" s="5">
        <f>_xlfn.XLOOKUP(A2660,bunker_daily_raw!$A$2:$A$3819,bunker_daily_raw!$B$2:$B$3819)</f>
        <v>466.5</v>
      </c>
      <c r="C2660" s="6">
        <v>107.99</v>
      </c>
    </row>
    <row r="2661" spans="1:3" x14ac:dyDescent="0.25">
      <c r="A2661" s="4">
        <v>39520</v>
      </c>
      <c r="B2661" s="5">
        <f>_xlfn.XLOOKUP(A2661,bunker_daily_raw!$A$2:$A$3819,bunker_daily_raw!$B$2:$B$3819)</f>
        <v>475</v>
      </c>
      <c r="C2661" s="6">
        <v>109.18</v>
      </c>
    </row>
    <row r="2662" spans="1:3" x14ac:dyDescent="0.25">
      <c r="A2662" s="4">
        <v>39521</v>
      </c>
      <c r="B2662" s="5">
        <f>_xlfn.XLOOKUP(A2662,bunker_daily_raw!$A$2:$A$3819,bunker_daily_raw!$B$2:$B$3819)</f>
        <v>470</v>
      </c>
      <c r="C2662" s="6">
        <v>109.16</v>
      </c>
    </row>
    <row r="2663" spans="1:3" x14ac:dyDescent="0.25">
      <c r="A2663" s="4">
        <v>39524</v>
      </c>
      <c r="B2663" s="5">
        <f>_xlfn.XLOOKUP(A2663,bunker_daily_raw!$A$2:$A$3819,bunker_daily_raw!$B$2:$B$3819)</f>
        <v>461</v>
      </c>
      <c r="C2663" s="6">
        <v>104.41</v>
      </c>
    </row>
    <row r="2664" spans="1:3" x14ac:dyDescent="0.25">
      <c r="A2664" s="4">
        <v>39525</v>
      </c>
      <c r="B2664" s="5">
        <f>_xlfn.XLOOKUP(A2664,bunker_daily_raw!$A$2:$A$3819,bunker_daily_raw!$B$2:$B$3819)</f>
        <v>471.75</v>
      </c>
      <c r="C2664" s="6">
        <v>105.35</v>
      </c>
    </row>
    <row r="2665" spans="1:3" x14ac:dyDescent="0.25">
      <c r="A2665" s="4">
        <v>39526</v>
      </c>
      <c r="B2665" s="5">
        <f>_xlfn.XLOOKUP(A2665,bunker_daily_raw!$A$2:$A$3819,bunker_daily_raw!$B$2:$B$3819)</f>
        <v>463</v>
      </c>
      <c r="C2665" s="6">
        <v>102.65</v>
      </c>
    </row>
    <row r="2666" spans="1:3" x14ac:dyDescent="0.25">
      <c r="A2666" s="4">
        <v>39527</v>
      </c>
      <c r="B2666" s="5">
        <f>_xlfn.XLOOKUP(A2666,bunker_daily_raw!$A$2:$A$3819,bunker_daily_raw!$B$2:$B$3819)</f>
        <v>452</v>
      </c>
      <c r="C2666" s="6">
        <v>99.78</v>
      </c>
    </row>
    <row r="2667" spans="1:3" x14ac:dyDescent="0.25">
      <c r="A2667" s="4">
        <v>39528</v>
      </c>
      <c r="B2667" s="5" t="e">
        <f>_xlfn.XLOOKUP(A2667,bunker_daily_raw!$A$2:$A$3819,bunker_daily_raw!$B$2:$B$3819)</f>
        <v>#N/A</v>
      </c>
      <c r="C2667" s="5"/>
    </row>
    <row r="2668" spans="1:3" x14ac:dyDescent="0.25">
      <c r="A2668" s="4">
        <v>39531</v>
      </c>
      <c r="B2668" s="5" t="e">
        <f>_xlfn.XLOOKUP(A2668,bunker_daily_raw!$A$2:$A$3819,bunker_daily_raw!$B$2:$B$3819)</f>
        <v>#N/A</v>
      </c>
      <c r="C2668" s="6">
        <v>100.93</v>
      </c>
    </row>
    <row r="2669" spans="1:3" x14ac:dyDescent="0.25">
      <c r="A2669" s="4">
        <v>39532</v>
      </c>
      <c r="B2669" s="5">
        <f>_xlfn.XLOOKUP(A2669,bunker_daily_raw!$A$2:$A$3819,bunker_daily_raw!$B$2:$B$3819)</f>
        <v>460</v>
      </c>
      <c r="C2669" s="6">
        <v>99.91</v>
      </c>
    </row>
    <row r="2670" spans="1:3" x14ac:dyDescent="0.25">
      <c r="A2670" s="4">
        <v>39533</v>
      </c>
      <c r="B2670" s="5">
        <f>_xlfn.XLOOKUP(A2670,bunker_daily_raw!$A$2:$A$3819,bunker_daily_raw!$B$2:$B$3819)</f>
        <v>474</v>
      </c>
      <c r="C2670" s="6">
        <v>102.83</v>
      </c>
    </row>
    <row r="2671" spans="1:3" x14ac:dyDescent="0.25">
      <c r="A2671" s="4">
        <v>39534</v>
      </c>
      <c r="B2671" s="5">
        <f>_xlfn.XLOOKUP(A2671,bunker_daily_raw!$A$2:$A$3819,bunker_daily_raw!$B$2:$B$3819)</f>
        <v>474</v>
      </c>
      <c r="C2671" s="6">
        <v>103.89</v>
      </c>
    </row>
    <row r="2672" spans="1:3" x14ac:dyDescent="0.25">
      <c r="A2672" s="4">
        <v>39535</v>
      </c>
      <c r="B2672" s="5">
        <f>_xlfn.XLOOKUP(A2672,bunker_daily_raw!$A$2:$A$3819,bunker_daily_raw!$B$2:$B$3819)</f>
        <v>464</v>
      </c>
      <c r="C2672" s="6">
        <v>102.68</v>
      </c>
    </row>
    <row r="2673" spans="1:3" x14ac:dyDescent="0.25">
      <c r="A2673" s="4">
        <v>39538</v>
      </c>
      <c r="B2673" s="5">
        <f>_xlfn.XLOOKUP(A2673,bunker_daily_raw!$A$2:$A$3819,bunker_daily_raw!$B$2:$B$3819)</f>
        <v>466.5</v>
      </c>
      <c r="C2673" s="6">
        <v>102.33</v>
      </c>
    </row>
    <row r="2674" spans="1:3" x14ac:dyDescent="0.25">
      <c r="A2674" s="4">
        <v>39539</v>
      </c>
      <c r="B2674" s="5">
        <f>_xlfn.XLOOKUP(A2674,bunker_daily_raw!$A$2:$A$3819,bunker_daily_raw!$B$2:$B$3819)</f>
        <v>458</v>
      </c>
      <c r="C2674" s="6">
        <v>98.69</v>
      </c>
    </row>
    <row r="2675" spans="1:3" x14ac:dyDescent="0.25">
      <c r="A2675" s="4">
        <v>39540</v>
      </c>
      <c r="B2675" s="5">
        <f>_xlfn.XLOOKUP(A2675,bunker_daily_raw!$A$2:$A$3819,bunker_daily_raw!$B$2:$B$3819)</f>
        <v>459</v>
      </c>
      <c r="C2675" s="6">
        <v>98.85</v>
      </c>
    </row>
    <row r="2676" spans="1:3" x14ac:dyDescent="0.25">
      <c r="A2676" s="4">
        <v>39541</v>
      </c>
      <c r="B2676" s="5">
        <f>_xlfn.XLOOKUP(A2676,bunker_daily_raw!$A$2:$A$3819,bunker_daily_raw!$B$2:$B$3819)</f>
        <v>468.5</v>
      </c>
      <c r="C2676" s="6">
        <v>102.31</v>
      </c>
    </row>
    <row r="2677" spans="1:3" x14ac:dyDescent="0.25">
      <c r="A2677" s="4">
        <v>39542</v>
      </c>
      <c r="B2677" s="5">
        <f>_xlfn.XLOOKUP(A2677,bunker_daily_raw!$A$2:$A$3819,bunker_daily_raw!$B$2:$B$3819)</f>
        <v>471.5</v>
      </c>
      <c r="C2677" s="6">
        <v>102.21</v>
      </c>
    </row>
    <row r="2678" spans="1:3" x14ac:dyDescent="0.25">
      <c r="A2678" s="4">
        <v>39545</v>
      </c>
      <c r="B2678" s="5">
        <f>_xlfn.XLOOKUP(A2678,bunker_daily_raw!$A$2:$A$3819,bunker_daily_raw!$B$2:$B$3819)</f>
        <v>488.75</v>
      </c>
      <c r="C2678" s="6">
        <v>105.98</v>
      </c>
    </row>
    <row r="2679" spans="1:3" x14ac:dyDescent="0.25">
      <c r="A2679" s="4">
        <v>39546</v>
      </c>
      <c r="B2679" s="5">
        <f>_xlfn.XLOOKUP(A2679,bunker_daily_raw!$A$2:$A$3819,bunker_daily_raw!$B$2:$B$3819)</f>
        <v>482.5</v>
      </c>
      <c r="C2679" s="6">
        <v>105.05</v>
      </c>
    </row>
    <row r="2680" spans="1:3" x14ac:dyDescent="0.25">
      <c r="A2680" s="4">
        <v>39547</v>
      </c>
      <c r="B2680" s="5">
        <f>_xlfn.XLOOKUP(A2680,bunker_daily_raw!$A$2:$A$3819,bunker_daily_raw!$B$2:$B$3819)</f>
        <v>488</v>
      </c>
      <c r="C2680" s="6">
        <v>107.46</v>
      </c>
    </row>
    <row r="2681" spans="1:3" x14ac:dyDescent="0.25">
      <c r="A2681" s="4">
        <v>39548</v>
      </c>
      <c r="B2681" s="5">
        <f>_xlfn.XLOOKUP(A2681,bunker_daily_raw!$A$2:$A$3819,bunker_daily_raw!$B$2:$B$3819)</f>
        <v>487</v>
      </c>
      <c r="C2681" s="6">
        <v>107.37</v>
      </c>
    </row>
    <row r="2682" spans="1:3" x14ac:dyDescent="0.25">
      <c r="A2682" s="4">
        <v>39549</v>
      </c>
      <c r="B2682" s="5">
        <f>_xlfn.XLOOKUP(A2682,bunker_daily_raw!$A$2:$A$3819,bunker_daily_raw!$B$2:$B$3819)</f>
        <v>487.5</v>
      </c>
      <c r="C2682" s="6">
        <v>107.15</v>
      </c>
    </row>
    <row r="2683" spans="1:3" x14ac:dyDescent="0.25">
      <c r="A2683" s="4">
        <v>39552</v>
      </c>
      <c r="B2683" s="5">
        <f>_xlfn.XLOOKUP(A2683,bunker_daily_raw!$A$2:$A$3819,bunker_daily_raw!$B$2:$B$3819)</f>
        <v>493</v>
      </c>
      <c r="C2683" s="6">
        <v>108.32</v>
      </c>
    </row>
    <row r="2684" spans="1:3" x14ac:dyDescent="0.25">
      <c r="A2684" s="4">
        <v>39553</v>
      </c>
      <c r="B2684" s="5">
        <f>_xlfn.XLOOKUP(A2684,bunker_daily_raw!$A$2:$A$3819,bunker_daily_raw!$B$2:$B$3819)</f>
        <v>500</v>
      </c>
      <c r="C2684" s="6">
        <v>110.84</v>
      </c>
    </row>
    <row r="2685" spans="1:3" x14ac:dyDescent="0.25">
      <c r="A2685" s="4">
        <v>39554</v>
      </c>
      <c r="B2685" s="5">
        <f>_xlfn.XLOOKUP(A2685,bunker_daily_raw!$A$2:$A$3819,bunker_daily_raw!$B$2:$B$3819)</f>
        <v>502.5</v>
      </c>
      <c r="C2685" s="6">
        <v>110.95</v>
      </c>
    </row>
    <row r="2686" spans="1:3" x14ac:dyDescent="0.25">
      <c r="A2686" s="4">
        <v>39555</v>
      </c>
      <c r="B2686" s="5">
        <f>_xlfn.XLOOKUP(A2686,bunker_daily_raw!$A$2:$A$3819,bunker_daily_raw!$B$2:$B$3819)</f>
        <v>497.5</v>
      </c>
      <c r="C2686" s="6">
        <v>111.34</v>
      </c>
    </row>
    <row r="2687" spans="1:3" x14ac:dyDescent="0.25">
      <c r="A2687" s="4">
        <v>39556</v>
      </c>
      <c r="B2687" s="5">
        <f>_xlfn.XLOOKUP(A2687,bunker_daily_raw!$A$2:$A$3819,bunker_daily_raw!$B$2:$B$3819)</f>
        <v>491.5</v>
      </c>
      <c r="C2687" s="6">
        <v>110.67</v>
      </c>
    </row>
    <row r="2688" spans="1:3" x14ac:dyDescent="0.25">
      <c r="A2688" s="4">
        <v>39559</v>
      </c>
      <c r="B2688" s="5">
        <f>_xlfn.XLOOKUP(A2688,bunker_daily_raw!$A$2:$A$3819,bunker_daily_raw!$B$2:$B$3819)</f>
        <v>494</v>
      </c>
      <c r="C2688" s="6">
        <v>111.35</v>
      </c>
    </row>
    <row r="2689" spans="1:3" x14ac:dyDescent="0.25">
      <c r="A2689" s="4">
        <v>39560</v>
      </c>
      <c r="B2689" s="5">
        <f>_xlfn.XLOOKUP(A2689,bunker_daily_raw!$A$2:$A$3819,bunker_daily_raw!$B$2:$B$3819)</f>
        <v>496</v>
      </c>
      <c r="C2689" s="6">
        <v>113.54</v>
      </c>
    </row>
    <row r="2690" spans="1:3" x14ac:dyDescent="0.25">
      <c r="A2690" s="4">
        <v>39561</v>
      </c>
      <c r="B2690" s="5">
        <f>_xlfn.XLOOKUP(A2690,bunker_daily_raw!$A$2:$A$3819,bunker_daily_raw!$B$2:$B$3819)</f>
        <v>496.5</v>
      </c>
      <c r="C2690" s="6">
        <v>115.34</v>
      </c>
    </row>
    <row r="2691" spans="1:3" x14ac:dyDescent="0.25">
      <c r="A2691" s="4">
        <v>39562</v>
      </c>
      <c r="B2691" s="5">
        <f>_xlfn.XLOOKUP(A2691,bunker_daily_raw!$A$2:$A$3819,bunker_daily_raw!$B$2:$B$3819)</f>
        <v>490</v>
      </c>
      <c r="C2691" s="6">
        <v>114.85</v>
      </c>
    </row>
    <row r="2692" spans="1:3" x14ac:dyDescent="0.25">
      <c r="A2692" s="4">
        <v>39563</v>
      </c>
      <c r="B2692" s="5">
        <f>_xlfn.XLOOKUP(A2692,bunker_daily_raw!$A$2:$A$3819,bunker_daily_raw!$B$2:$B$3819)</f>
        <v>497</v>
      </c>
      <c r="C2692" s="6">
        <v>116.62</v>
      </c>
    </row>
    <row r="2693" spans="1:3" x14ac:dyDescent="0.25">
      <c r="A2693" s="4">
        <v>39566</v>
      </c>
      <c r="B2693" s="5">
        <f>_xlfn.XLOOKUP(A2693,bunker_daily_raw!$A$2:$A$3819,bunker_daily_raw!$B$2:$B$3819)</f>
        <v>498</v>
      </c>
      <c r="C2693" s="6">
        <v>115.7</v>
      </c>
    </row>
    <row r="2694" spans="1:3" x14ac:dyDescent="0.25">
      <c r="A2694" s="4">
        <v>39567</v>
      </c>
      <c r="B2694" s="5">
        <f>_xlfn.XLOOKUP(A2694,bunker_daily_raw!$A$2:$A$3819,bunker_daily_raw!$B$2:$B$3819)</f>
        <v>488.5</v>
      </c>
      <c r="C2694" s="6">
        <v>113.86</v>
      </c>
    </row>
    <row r="2695" spans="1:3" x14ac:dyDescent="0.25">
      <c r="A2695" s="4">
        <v>39568</v>
      </c>
      <c r="B2695" s="5">
        <f>_xlfn.XLOOKUP(A2695,bunker_daily_raw!$A$2:$A$3819,bunker_daily_raw!$B$2:$B$3819)</f>
        <v>481</v>
      </c>
      <c r="C2695" s="6">
        <v>111.12</v>
      </c>
    </row>
    <row r="2696" spans="1:3" x14ac:dyDescent="0.25">
      <c r="A2696" s="4">
        <v>39569</v>
      </c>
      <c r="B2696" s="5">
        <f>_xlfn.XLOOKUP(A2696,bunker_daily_raw!$A$2:$A$3819,bunker_daily_raw!$B$2:$B$3819)</f>
        <v>461</v>
      </c>
      <c r="C2696" s="6">
        <v>107.3</v>
      </c>
    </row>
    <row r="2697" spans="1:3" x14ac:dyDescent="0.25">
      <c r="A2697" s="4">
        <v>39570</v>
      </c>
      <c r="B2697" s="5">
        <f>_xlfn.XLOOKUP(A2697,bunker_daily_raw!$A$2:$A$3819,bunker_daily_raw!$B$2:$B$3819)</f>
        <v>482</v>
      </c>
      <c r="C2697" s="6">
        <v>111.92</v>
      </c>
    </row>
    <row r="2698" spans="1:3" x14ac:dyDescent="0.25">
      <c r="A2698" s="4">
        <v>39573</v>
      </c>
      <c r="B2698" s="5" t="e">
        <f>_xlfn.XLOOKUP(A2698,bunker_daily_raw!$A$2:$A$3819,bunker_daily_raw!$B$2:$B$3819)</f>
        <v>#N/A</v>
      </c>
      <c r="C2698" s="6">
        <v>115.68</v>
      </c>
    </row>
    <row r="2699" spans="1:3" x14ac:dyDescent="0.25">
      <c r="A2699" s="4">
        <v>39574</v>
      </c>
      <c r="B2699" s="5">
        <f>_xlfn.XLOOKUP(A2699,bunker_daily_raw!$A$2:$A$3819,bunker_daily_raw!$B$2:$B$3819)</f>
        <v>521</v>
      </c>
      <c r="C2699" s="6">
        <v>119.88</v>
      </c>
    </row>
    <row r="2700" spans="1:3" x14ac:dyDescent="0.25">
      <c r="A2700" s="4">
        <v>39575</v>
      </c>
      <c r="B2700" s="5">
        <f>_xlfn.XLOOKUP(A2700,bunker_daily_raw!$A$2:$A$3819,bunker_daily_raw!$B$2:$B$3819)</f>
        <v>522</v>
      </c>
      <c r="C2700" s="6">
        <v>120.27</v>
      </c>
    </row>
    <row r="2701" spans="1:3" x14ac:dyDescent="0.25">
      <c r="A2701" s="4">
        <v>39576</v>
      </c>
      <c r="B2701" s="5">
        <f>_xlfn.XLOOKUP(A2701,bunker_daily_raw!$A$2:$A$3819,bunker_daily_raw!$B$2:$B$3819)</f>
        <v>520</v>
      </c>
      <c r="C2701" s="6">
        <v>119.85</v>
      </c>
    </row>
    <row r="2702" spans="1:3" x14ac:dyDescent="0.25">
      <c r="A2702" s="4">
        <v>39577</v>
      </c>
      <c r="B2702" s="5">
        <f>_xlfn.XLOOKUP(A2702,bunker_daily_raw!$A$2:$A$3819,bunker_daily_raw!$B$2:$B$3819)</f>
        <v>528</v>
      </c>
      <c r="C2702" s="6">
        <v>123.54</v>
      </c>
    </row>
    <row r="2703" spans="1:3" x14ac:dyDescent="0.25">
      <c r="A2703" s="4">
        <v>39580</v>
      </c>
      <c r="B2703" s="5">
        <f>_xlfn.XLOOKUP(A2703,bunker_daily_raw!$A$2:$A$3819,bunker_daily_raw!$B$2:$B$3819)</f>
        <v>515</v>
      </c>
      <c r="C2703" s="6">
        <v>122.89</v>
      </c>
    </row>
    <row r="2704" spans="1:3" x14ac:dyDescent="0.25">
      <c r="A2704" s="4">
        <v>39581</v>
      </c>
      <c r="B2704" s="5">
        <f>_xlfn.XLOOKUP(A2704,bunker_daily_raw!$A$2:$A$3819,bunker_daily_raw!$B$2:$B$3819)</f>
        <v>524</v>
      </c>
      <c r="C2704" s="6">
        <v>123.11</v>
      </c>
    </row>
    <row r="2705" spans="1:3" x14ac:dyDescent="0.25">
      <c r="A2705" s="4">
        <v>39582</v>
      </c>
      <c r="B2705" s="5">
        <f>_xlfn.XLOOKUP(A2705,bunker_daily_raw!$A$2:$A$3819,bunker_daily_raw!$B$2:$B$3819)</f>
        <v>527</v>
      </c>
      <c r="C2705" s="6">
        <v>121.18</v>
      </c>
    </row>
    <row r="2706" spans="1:3" x14ac:dyDescent="0.25">
      <c r="A2706" s="4">
        <v>39583</v>
      </c>
      <c r="B2706" s="5">
        <f>_xlfn.XLOOKUP(A2706,bunker_daily_raw!$A$2:$A$3819,bunker_daily_raw!$B$2:$B$3819)</f>
        <v>537</v>
      </c>
      <c r="C2706" s="6">
        <v>122.76</v>
      </c>
    </row>
    <row r="2707" spans="1:3" x14ac:dyDescent="0.25">
      <c r="A2707" s="4">
        <v>39584</v>
      </c>
      <c r="B2707" s="5">
        <f>_xlfn.XLOOKUP(A2707,bunker_daily_raw!$A$2:$A$3819,bunker_daily_raw!$B$2:$B$3819)</f>
        <v>537</v>
      </c>
      <c r="C2707" s="6">
        <v>122.98</v>
      </c>
    </row>
    <row r="2708" spans="1:3" x14ac:dyDescent="0.25">
      <c r="A2708" s="4">
        <v>39587</v>
      </c>
      <c r="B2708" s="5">
        <f>_xlfn.XLOOKUP(A2708,bunker_daily_raw!$A$2:$A$3819,bunker_daily_raw!$B$2:$B$3819)</f>
        <v>530</v>
      </c>
      <c r="C2708" s="6">
        <v>122.19</v>
      </c>
    </row>
    <row r="2709" spans="1:3" x14ac:dyDescent="0.25">
      <c r="A2709" s="4">
        <v>39588</v>
      </c>
      <c r="B2709" s="5">
        <f>_xlfn.XLOOKUP(A2709,bunker_daily_raw!$A$2:$A$3819,bunker_daily_raw!$B$2:$B$3819)</f>
        <v>543</v>
      </c>
      <c r="C2709" s="6">
        <v>124.12</v>
      </c>
    </row>
    <row r="2710" spans="1:3" x14ac:dyDescent="0.25">
      <c r="A2710" s="4">
        <v>39589</v>
      </c>
      <c r="B2710" s="5">
        <f>_xlfn.XLOOKUP(A2710,bunker_daily_raw!$A$2:$A$3819,bunker_daily_raw!$B$2:$B$3819)</f>
        <v>561</v>
      </c>
      <c r="C2710" s="6">
        <v>127.28</v>
      </c>
    </row>
    <row r="2711" spans="1:3" x14ac:dyDescent="0.25">
      <c r="A2711" s="4">
        <v>39590</v>
      </c>
      <c r="B2711" s="5">
        <f>_xlfn.XLOOKUP(A2711,bunker_daily_raw!$A$2:$A$3819,bunker_daily_raw!$B$2:$B$3819)</f>
        <v>569</v>
      </c>
      <c r="C2711" s="6">
        <v>129.04</v>
      </c>
    </row>
    <row r="2712" spans="1:3" x14ac:dyDescent="0.25">
      <c r="A2712" s="4">
        <v>39591</v>
      </c>
      <c r="B2712" s="5">
        <f>_xlfn.XLOOKUP(A2712,bunker_daily_raw!$A$2:$A$3819,bunker_daily_raw!$B$2:$B$3819)</f>
        <v>570</v>
      </c>
      <c r="C2712" s="6">
        <v>129.72</v>
      </c>
    </row>
    <row r="2713" spans="1:3" x14ac:dyDescent="0.25">
      <c r="A2713" s="4">
        <v>39594</v>
      </c>
      <c r="B2713" s="5" t="e">
        <f>_xlfn.XLOOKUP(A2713,bunker_daily_raw!$A$2:$A$3819,bunker_daily_raw!$B$2:$B$3819)</f>
        <v>#N/A</v>
      </c>
      <c r="C2713" s="5"/>
    </row>
    <row r="2714" spans="1:3" x14ac:dyDescent="0.25">
      <c r="A2714" s="4">
        <v>39595</v>
      </c>
      <c r="B2714" s="5">
        <f>_xlfn.XLOOKUP(A2714,bunker_daily_raw!$A$2:$A$3819,bunker_daily_raw!$B$2:$B$3819)</f>
        <v>559</v>
      </c>
      <c r="C2714" s="6">
        <v>128.91999999999999</v>
      </c>
    </row>
    <row r="2715" spans="1:3" x14ac:dyDescent="0.25">
      <c r="A2715" s="4">
        <v>39596</v>
      </c>
      <c r="B2715" s="5">
        <f>_xlfn.XLOOKUP(A2715,bunker_daily_raw!$A$2:$A$3819,bunker_daily_raw!$B$2:$B$3819)</f>
        <v>545</v>
      </c>
      <c r="C2715" s="6">
        <v>128.93</v>
      </c>
    </row>
    <row r="2716" spans="1:3" x14ac:dyDescent="0.25">
      <c r="A2716" s="4">
        <v>39597</v>
      </c>
      <c r="B2716" s="5">
        <f>_xlfn.XLOOKUP(A2716,bunker_daily_raw!$A$2:$A$3819,bunker_daily_raw!$B$2:$B$3819)</f>
        <v>550</v>
      </c>
      <c r="C2716" s="6">
        <v>129.33000000000001</v>
      </c>
    </row>
    <row r="2717" spans="1:3" x14ac:dyDescent="0.25">
      <c r="A2717" s="4">
        <v>39598</v>
      </c>
      <c r="B2717" s="5">
        <f>_xlfn.XLOOKUP(A2717,bunker_daily_raw!$A$2:$A$3819,bunker_daily_raw!$B$2:$B$3819)</f>
        <v>532</v>
      </c>
      <c r="C2717" s="6">
        <v>127.85</v>
      </c>
    </row>
    <row r="2718" spans="1:3" x14ac:dyDescent="0.25">
      <c r="A2718" s="4">
        <v>39601</v>
      </c>
      <c r="B2718" s="5">
        <f>_xlfn.XLOOKUP(A2718,bunker_daily_raw!$A$2:$A$3819,bunker_daily_raw!$B$2:$B$3819)</f>
        <v>532</v>
      </c>
      <c r="C2718" s="6">
        <v>128.5</v>
      </c>
    </row>
    <row r="2719" spans="1:3" x14ac:dyDescent="0.25">
      <c r="A2719" s="4">
        <v>39602</v>
      </c>
      <c r="B2719" s="5">
        <f>_xlfn.XLOOKUP(A2719,bunker_daily_raw!$A$2:$A$3819,bunker_daily_raw!$B$2:$B$3819)</f>
        <v>531</v>
      </c>
      <c r="C2719" s="6">
        <v>126.28</v>
      </c>
    </row>
    <row r="2720" spans="1:3" x14ac:dyDescent="0.25">
      <c r="A2720" s="4">
        <v>39603</v>
      </c>
      <c r="B2720" s="5">
        <f>_xlfn.XLOOKUP(A2720,bunker_daily_raw!$A$2:$A$3819,bunker_daily_raw!$B$2:$B$3819)</f>
        <v>527.5</v>
      </c>
      <c r="C2720" s="6">
        <v>121.72</v>
      </c>
    </row>
    <row r="2721" spans="1:3" x14ac:dyDescent="0.25">
      <c r="A2721" s="4">
        <v>39604</v>
      </c>
      <c r="B2721" s="5">
        <f>_xlfn.XLOOKUP(A2721,bunker_daily_raw!$A$2:$A$3819,bunker_daily_raw!$B$2:$B$3819)</f>
        <v>534</v>
      </c>
      <c r="C2721" s="6">
        <v>122.36</v>
      </c>
    </row>
    <row r="2722" spans="1:3" x14ac:dyDescent="0.25">
      <c r="A2722" s="4">
        <v>39605</v>
      </c>
      <c r="B2722" s="5">
        <f>_xlfn.XLOOKUP(A2722,bunker_daily_raw!$A$2:$A$3819,bunker_daily_raw!$B$2:$B$3819)</f>
        <v>575</v>
      </c>
      <c r="C2722" s="6">
        <v>132.81</v>
      </c>
    </row>
    <row r="2723" spans="1:3" x14ac:dyDescent="0.25">
      <c r="A2723" s="4">
        <v>39608</v>
      </c>
      <c r="B2723" s="5">
        <f>_xlfn.XLOOKUP(A2723,bunker_daily_raw!$A$2:$A$3819,bunker_daily_raw!$B$2:$B$3819)</f>
        <v>583</v>
      </c>
      <c r="C2723" s="6">
        <v>134.43</v>
      </c>
    </row>
    <row r="2724" spans="1:3" x14ac:dyDescent="0.25">
      <c r="A2724" s="4">
        <v>39609</v>
      </c>
      <c r="B2724" s="5">
        <f>_xlfn.XLOOKUP(A2724,bunker_daily_raw!$A$2:$A$3819,bunker_daily_raw!$B$2:$B$3819)</f>
        <v>590</v>
      </c>
      <c r="C2724" s="6">
        <v>135.24</v>
      </c>
    </row>
    <row r="2725" spans="1:3" x14ac:dyDescent="0.25">
      <c r="A2725" s="4">
        <v>39610</v>
      </c>
      <c r="B2725" s="5">
        <f>_xlfn.XLOOKUP(A2725,bunker_daily_raw!$A$2:$A$3819,bunker_daily_raw!$B$2:$B$3819)</f>
        <v>593</v>
      </c>
      <c r="C2725" s="6">
        <v>134.52000000000001</v>
      </c>
    </row>
    <row r="2726" spans="1:3" x14ac:dyDescent="0.25">
      <c r="A2726" s="4">
        <v>39611</v>
      </c>
      <c r="B2726" s="5">
        <f>_xlfn.XLOOKUP(A2726,bunker_daily_raw!$A$2:$A$3819,bunker_daily_raw!$B$2:$B$3819)</f>
        <v>595</v>
      </c>
      <c r="C2726" s="6">
        <v>132.11000000000001</v>
      </c>
    </row>
    <row r="2727" spans="1:3" x14ac:dyDescent="0.25">
      <c r="A2727" s="4">
        <v>39612</v>
      </c>
      <c r="B2727" s="5">
        <f>_xlfn.XLOOKUP(A2727,bunker_daily_raw!$A$2:$A$3819,bunker_daily_raw!$B$2:$B$3819)</f>
        <v>600</v>
      </c>
      <c r="C2727" s="6">
        <v>134.29</v>
      </c>
    </row>
    <row r="2728" spans="1:3" x14ac:dyDescent="0.25">
      <c r="A2728" s="4">
        <v>39615</v>
      </c>
      <c r="B2728" s="5">
        <f>_xlfn.XLOOKUP(A2728,bunker_daily_raw!$A$2:$A$3819,bunker_daily_raw!$B$2:$B$3819)</f>
        <v>612</v>
      </c>
      <c r="C2728" s="6">
        <v>133.9</v>
      </c>
    </row>
    <row r="2729" spans="1:3" x14ac:dyDescent="0.25">
      <c r="A2729" s="4">
        <v>39616</v>
      </c>
      <c r="B2729" s="5">
        <f>_xlfn.XLOOKUP(A2729,bunker_daily_raw!$A$2:$A$3819,bunker_daily_raw!$B$2:$B$3819)</f>
        <v>607</v>
      </c>
      <c r="C2729" s="6">
        <v>131.27000000000001</v>
      </c>
    </row>
    <row r="2730" spans="1:3" x14ac:dyDescent="0.25">
      <c r="A2730" s="4">
        <v>39617</v>
      </c>
      <c r="B2730" s="5">
        <f>_xlfn.XLOOKUP(A2730,bunker_daily_raw!$A$2:$A$3819,bunker_daily_raw!$B$2:$B$3819)</f>
        <v>597.5</v>
      </c>
      <c r="C2730" s="6">
        <v>129.12</v>
      </c>
    </row>
    <row r="2731" spans="1:3" x14ac:dyDescent="0.25">
      <c r="A2731" s="4">
        <v>39618</v>
      </c>
      <c r="B2731" s="5">
        <f>_xlfn.XLOOKUP(A2731,bunker_daily_raw!$A$2:$A$3819,bunker_daily_raw!$B$2:$B$3819)</f>
        <v>607</v>
      </c>
      <c r="C2731" s="6">
        <v>131.84</v>
      </c>
    </row>
    <row r="2732" spans="1:3" x14ac:dyDescent="0.25">
      <c r="A2732" s="4">
        <v>39619</v>
      </c>
      <c r="B2732" s="5">
        <f>_xlfn.XLOOKUP(A2732,bunker_daily_raw!$A$2:$A$3819,bunker_daily_raw!$B$2:$B$3819)</f>
        <v>605.5</v>
      </c>
      <c r="C2732" s="6">
        <v>134.28</v>
      </c>
    </row>
    <row r="2733" spans="1:3" x14ac:dyDescent="0.25">
      <c r="A2733" s="4">
        <v>39622</v>
      </c>
      <c r="B2733" s="5">
        <f>_xlfn.XLOOKUP(A2733,bunker_daily_raw!$A$2:$A$3819,bunker_daily_raw!$B$2:$B$3819)</f>
        <v>612.5</v>
      </c>
      <c r="C2733" s="6">
        <v>134.54</v>
      </c>
    </row>
    <row r="2734" spans="1:3" x14ac:dyDescent="0.25">
      <c r="A2734" s="4">
        <v>39623</v>
      </c>
      <c r="B2734" s="5">
        <f>_xlfn.XLOOKUP(A2734,bunker_daily_raw!$A$2:$A$3819,bunker_daily_raw!$B$2:$B$3819)</f>
        <v>618</v>
      </c>
      <c r="C2734" s="6">
        <v>135.37</v>
      </c>
    </row>
    <row r="2735" spans="1:3" x14ac:dyDescent="0.25">
      <c r="A2735" s="4">
        <v>39624</v>
      </c>
      <c r="B2735" s="5">
        <f>_xlfn.XLOOKUP(A2735,bunker_daily_raw!$A$2:$A$3819,bunker_daily_raw!$B$2:$B$3819)</f>
        <v>603</v>
      </c>
      <c r="C2735" s="6">
        <v>131.59</v>
      </c>
    </row>
    <row r="2736" spans="1:3" x14ac:dyDescent="0.25">
      <c r="A2736" s="4">
        <v>39625</v>
      </c>
      <c r="B2736" s="5">
        <f>_xlfn.XLOOKUP(A2736,bunker_daily_raw!$A$2:$A$3819,bunker_daily_raw!$B$2:$B$3819)</f>
        <v>624</v>
      </c>
      <c r="C2736" s="6">
        <v>136.82</v>
      </c>
    </row>
    <row r="2737" spans="1:3" x14ac:dyDescent="0.25">
      <c r="A2737" s="4">
        <v>39626</v>
      </c>
      <c r="B2737" s="5">
        <f>_xlfn.XLOOKUP(A2737,bunker_daily_raw!$A$2:$A$3819,bunker_daily_raw!$B$2:$B$3819)</f>
        <v>634</v>
      </c>
      <c r="C2737" s="6">
        <v>139.38</v>
      </c>
    </row>
    <row r="2738" spans="1:3" x14ac:dyDescent="0.25">
      <c r="A2738" s="4">
        <v>39629</v>
      </c>
      <c r="B2738" s="5">
        <f>_xlfn.XLOOKUP(A2738,bunker_daily_raw!$A$2:$A$3819,bunker_daily_raw!$B$2:$B$3819)</f>
        <v>653</v>
      </c>
      <c r="C2738" s="6">
        <v>138.4</v>
      </c>
    </row>
    <row r="2739" spans="1:3" x14ac:dyDescent="0.25">
      <c r="A2739" s="4">
        <v>39630</v>
      </c>
      <c r="B2739" s="5">
        <f>_xlfn.XLOOKUP(A2739,bunker_daily_raw!$A$2:$A$3819,bunker_daily_raw!$B$2:$B$3819)</f>
        <v>663</v>
      </c>
      <c r="C2739" s="6">
        <v>140.66999999999999</v>
      </c>
    </row>
    <row r="2740" spans="1:3" x14ac:dyDescent="0.25">
      <c r="A2740" s="4">
        <v>39631</v>
      </c>
      <c r="B2740" s="5">
        <f>_xlfn.XLOOKUP(A2740,bunker_daily_raw!$A$2:$A$3819,bunker_daily_raw!$B$2:$B$3819)</f>
        <v>668</v>
      </c>
      <c r="C2740" s="6">
        <v>141.24</v>
      </c>
    </row>
    <row r="2741" spans="1:3" x14ac:dyDescent="0.25">
      <c r="A2741" s="4">
        <v>39632</v>
      </c>
      <c r="B2741" s="5">
        <f>_xlfn.XLOOKUP(A2741,bunker_daily_raw!$A$2:$A$3819,bunker_daily_raw!$B$2:$B$3819)</f>
        <v>691</v>
      </c>
      <c r="C2741" s="6">
        <v>143.94999999999999</v>
      </c>
    </row>
    <row r="2742" spans="1:3" x14ac:dyDescent="0.25">
      <c r="A2742" s="4">
        <v>39633</v>
      </c>
      <c r="B2742" s="5">
        <f>_xlfn.XLOOKUP(A2742,bunker_daily_raw!$A$2:$A$3819,bunker_daily_raw!$B$2:$B$3819)</f>
        <v>691</v>
      </c>
      <c r="C2742" s="5"/>
    </row>
    <row r="2743" spans="1:3" x14ac:dyDescent="0.25">
      <c r="A2743" s="4">
        <v>39636</v>
      </c>
      <c r="B2743" s="5">
        <f>_xlfn.XLOOKUP(A2743,bunker_daily_raw!$A$2:$A$3819,bunker_daily_raw!$B$2:$B$3819)</f>
        <v>683</v>
      </c>
      <c r="C2743" s="6">
        <v>139.62</v>
      </c>
    </row>
    <row r="2744" spans="1:3" x14ac:dyDescent="0.25">
      <c r="A2744" s="4">
        <v>39637</v>
      </c>
      <c r="B2744" s="5">
        <f>_xlfn.XLOOKUP(A2744,bunker_daily_raw!$A$2:$A$3819,bunker_daily_raw!$B$2:$B$3819)</f>
        <v>660</v>
      </c>
      <c r="C2744" s="6">
        <v>134.15</v>
      </c>
    </row>
    <row r="2745" spans="1:3" x14ac:dyDescent="0.25">
      <c r="A2745" s="4">
        <v>39638</v>
      </c>
      <c r="B2745" s="5">
        <f>_xlfn.XLOOKUP(A2745,bunker_daily_raw!$A$2:$A$3819,bunker_daily_raw!$B$2:$B$3819)</f>
        <v>679</v>
      </c>
      <c r="C2745" s="6">
        <v>133.91</v>
      </c>
    </row>
    <row r="2746" spans="1:3" x14ac:dyDescent="0.25">
      <c r="A2746" s="4">
        <v>39639</v>
      </c>
      <c r="B2746" s="5">
        <f>_xlfn.XLOOKUP(A2746,bunker_daily_raw!$A$2:$A$3819,bunker_daily_raw!$B$2:$B$3819)</f>
        <v>689</v>
      </c>
      <c r="C2746" s="6">
        <v>135.81</v>
      </c>
    </row>
    <row r="2747" spans="1:3" x14ac:dyDescent="0.25">
      <c r="A2747" s="4">
        <v>39640</v>
      </c>
      <c r="B2747" s="5">
        <f>_xlfn.XLOOKUP(A2747,bunker_daily_raw!$A$2:$A$3819,bunker_daily_raw!$B$2:$B$3819)</f>
        <v>712</v>
      </c>
      <c r="C2747" s="6">
        <v>143.68</v>
      </c>
    </row>
    <row r="2748" spans="1:3" x14ac:dyDescent="0.25">
      <c r="A2748" s="4">
        <v>39643</v>
      </c>
      <c r="B2748" s="5">
        <f>_xlfn.XLOOKUP(A2748,bunker_daily_raw!$A$2:$A$3819,bunker_daily_raw!$B$2:$B$3819)</f>
        <v>717</v>
      </c>
      <c r="C2748" s="6">
        <v>142.43</v>
      </c>
    </row>
    <row r="2749" spans="1:3" x14ac:dyDescent="0.25">
      <c r="A2749" s="4">
        <v>39644</v>
      </c>
      <c r="B2749" s="5">
        <f>_xlfn.XLOOKUP(A2749,bunker_daily_raw!$A$2:$A$3819,bunker_daily_raw!$B$2:$B$3819)</f>
        <v>703</v>
      </c>
      <c r="C2749" s="6">
        <v>136.02000000000001</v>
      </c>
    </row>
    <row r="2750" spans="1:3" x14ac:dyDescent="0.25">
      <c r="A2750" s="4">
        <v>39645</v>
      </c>
      <c r="B2750" s="5">
        <f>_xlfn.XLOOKUP(A2750,bunker_daily_raw!$A$2:$A$3819,bunker_daily_raw!$B$2:$B$3819)</f>
        <v>701</v>
      </c>
      <c r="C2750" s="6">
        <v>133.31</v>
      </c>
    </row>
    <row r="2751" spans="1:3" x14ac:dyDescent="0.25">
      <c r="A2751" s="4">
        <v>39646</v>
      </c>
      <c r="B2751" s="5">
        <f>_xlfn.XLOOKUP(A2751,bunker_daily_raw!$A$2:$A$3819,bunker_daily_raw!$B$2:$B$3819)</f>
        <v>689</v>
      </c>
      <c r="C2751" s="6">
        <v>134.16</v>
      </c>
    </row>
    <row r="2752" spans="1:3" x14ac:dyDescent="0.25">
      <c r="A2752" s="4">
        <v>39647</v>
      </c>
      <c r="B2752" s="5">
        <f>_xlfn.XLOOKUP(A2752,bunker_daily_raw!$A$2:$A$3819,bunker_daily_raw!$B$2:$B$3819)</f>
        <v>662</v>
      </c>
      <c r="C2752" s="6">
        <v>129.34</v>
      </c>
    </row>
    <row r="2753" spans="1:3" x14ac:dyDescent="0.25">
      <c r="A2753" s="4">
        <v>39650</v>
      </c>
      <c r="B2753" s="5">
        <f>_xlfn.XLOOKUP(A2753,bunker_daily_raw!$A$2:$A$3819,bunker_daily_raw!$B$2:$B$3819)</f>
        <v>662</v>
      </c>
      <c r="C2753" s="6">
        <v>129.34</v>
      </c>
    </row>
    <row r="2754" spans="1:3" x14ac:dyDescent="0.25">
      <c r="A2754" s="4">
        <v>39651</v>
      </c>
      <c r="B2754" s="5">
        <f>_xlfn.XLOOKUP(A2754,bunker_daily_raw!$A$2:$A$3819,bunker_daily_raw!$B$2:$B$3819)</f>
        <v>645</v>
      </c>
      <c r="C2754" s="6">
        <v>127.18</v>
      </c>
    </row>
    <row r="2755" spans="1:3" x14ac:dyDescent="0.25">
      <c r="A2755" s="4">
        <v>39652</v>
      </c>
      <c r="B2755" s="5">
        <f>_xlfn.XLOOKUP(A2755,bunker_daily_raw!$A$2:$A$3819,bunker_daily_raw!$B$2:$B$3819)</f>
        <v>623</v>
      </c>
      <c r="C2755" s="6">
        <v>126.86</v>
      </c>
    </row>
    <row r="2756" spans="1:3" x14ac:dyDescent="0.25">
      <c r="A2756" s="4">
        <v>39653</v>
      </c>
      <c r="B2756" s="5">
        <f>_xlfn.XLOOKUP(A2756,bunker_daily_raw!$A$2:$A$3819,bunker_daily_raw!$B$2:$B$3819)</f>
        <v>624</v>
      </c>
      <c r="C2756" s="6">
        <v>125.43</v>
      </c>
    </row>
    <row r="2757" spans="1:3" x14ac:dyDescent="0.25">
      <c r="A2757" s="4">
        <v>39654</v>
      </c>
      <c r="B2757" s="5">
        <f>_xlfn.XLOOKUP(A2757,bunker_daily_raw!$A$2:$A$3819,bunker_daily_raw!$B$2:$B$3819)</f>
        <v>623.5</v>
      </c>
      <c r="C2757" s="6">
        <v>124.7</v>
      </c>
    </row>
    <row r="2758" spans="1:3" x14ac:dyDescent="0.25">
      <c r="A2758" s="4">
        <v>39657</v>
      </c>
      <c r="B2758" s="5">
        <f>_xlfn.XLOOKUP(A2758,bunker_daily_raw!$A$2:$A$3819,bunker_daily_raw!$B$2:$B$3819)</f>
        <v>641</v>
      </c>
      <c r="C2758" s="6">
        <v>125.67</v>
      </c>
    </row>
    <row r="2759" spans="1:3" x14ac:dyDescent="0.25">
      <c r="A2759" s="4">
        <v>39658</v>
      </c>
      <c r="B2759" s="5">
        <f>_xlfn.XLOOKUP(A2759,bunker_daily_raw!$A$2:$A$3819,bunker_daily_raw!$B$2:$B$3819)</f>
        <v>641</v>
      </c>
      <c r="C2759" s="6">
        <v>125.77</v>
      </c>
    </row>
    <row r="2760" spans="1:3" x14ac:dyDescent="0.25">
      <c r="A2760" s="4">
        <v>39659</v>
      </c>
      <c r="B2760" s="5">
        <f>_xlfn.XLOOKUP(A2760,bunker_daily_raw!$A$2:$A$3819,bunker_daily_raw!$B$2:$B$3819)</f>
        <v>636</v>
      </c>
      <c r="C2760" s="6">
        <v>122.46</v>
      </c>
    </row>
    <row r="2761" spans="1:3" x14ac:dyDescent="0.25">
      <c r="A2761" s="4">
        <v>39660</v>
      </c>
      <c r="B2761" s="5">
        <f>_xlfn.XLOOKUP(A2761,bunker_daily_raw!$A$2:$A$3819,bunker_daily_raw!$B$2:$B$3819)</f>
        <v>648</v>
      </c>
      <c r="C2761" s="6">
        <v>124.1</v>
      </c>
    </row>
    <row r="2762" spans="1:3" x14ac:dyDescent="0.25">
      <c r="A2762" s="4">
        <v>39661</v>
      </c>
      <c r="B2762" s="5">
        <f>_xlfn.XLOOKUP(A2762,bunker_daily_raw!$A$2:$A$3819,bunker_daily_raw!$B$2:$B$3819)</f>
        <v>663.5</v>
      </c>
      <c r="C2762" s="6">
        <v>124.16</v>
      </c>
    </row>
    <row r="2763" spans="1:3" x14ac:dyDescent="0.25">
      <c r="A2763" s="4">
        <v>39664</v>
      </c>
      <c r="B2763" s="5">
        <f>_xlfn.XLOOKUP(A2763,bunker_daily_raw!$A$2:$A$3819,bunker_daily_raw!$B$2:$B$3819)</f>
        <v>659</v>
      </c>
      <c r="C2763" s="6">
        <v>121.87</v>
      </c>
    </row>
    <row r="2764" spans="1:3" x14ac:dyDescent="0.25">
      <c r="A2764" s="4">
        <v>39665</v>
      </c>
      <c r="B2764" s="5">
        <f>_xlfn.XLOOKUP(A2764,bunker_daily_raw!$A$2:$A$3819,bunker_daily_raw!$B$2:$B$3819)</f>
        <v>631</v>
      </c>
      <c r="C2764" s="6">
        <v>116.5</v>
      </c>
    </row>
    <row r="2765" spans="1:3" x14ac:dyDescent="0.25">
      <c r="A2765" s="4">
        <v>39666</v>
      </c>
      <c r="B2765" s="5">
        <f>_xlfn.XLOOKUP(A2765,bunker_daily_raw!$A$2:$A$3819,bunker_daily_raw!$B$2:$B$3819)</f>
        <v>623</v>
      </c>
      <c r="C2765" s="6">
        <v>114.47</v>
      </c>
    </row>
    <row r="2766" spans="1:3" x14ac:dyDescent="0.25">
      <c r="A2766" s="4">
        <v>39667</v>
      </c>
      <c r="B2766" s="5">
        <f>_xlfn.XLOOKUP(A2766,bunker_daily_raw!$A$2:$A$3819,bunker_daily_raw!$B$2:$B$3819)</f>
        <v>619</v>
      </c>
      <c r="C2766" s="6">
        <v>116.94</v>
      </c>
    </row>
    <row r="2767" spans="1:3" x14ac:dyDescent="0.25">
      <c r="A2767" s="4">
        <v>39668</v>
      </c>
      <c r="B2767" s="5">
        <f>_xlfn.XLOOKUP(A2767,bunker_daily_raw!$A$2:$A$3819,bunker_daily_raw!$B$2:$B$3819)</f>
        <v>572</v>
      </c>
      <c r="C2767" s="6">
        <v>113.03</v>
      </c>
    </row>
    <row r="2768" spans="1:3" x14ac:dyDescent="0.25">
      <c r="A2768" s="4">
        <v>39671</v>
      </c>
      <c r="B2768" s="5">
        <f>_xlfn.XLOOKUP(A2768,bunker_daily_raw!$A$2:$A$3819,bunker_daily_raw!$B$2:$B$3819)</f>
        <v>575</v>
      </c>
      <c r="C2768" s="6">
        <v>110.54</v>
      </c>
    </row>
    <row r="2769" spans="1:3" x14ac:dyDescent="0.25">
      <c r="A2769" s="4">
        <v>39672</v>
      </c>
      <c r="B2769" s="5">
        <f>_xlfn.XLOOKUP(A2769,bunker_daily_raw!$A$2:$A$3819,bunker_daily_raw!$B$2:$B$3819)</f>
        <v>569</v>
      </c>
      <c r="C2769" s="6">
        <v>108.98</v>
      </c>
    </row>
    <row r="2770" spans="1:3" x14ac:dyDescent="0.25">
      <c r="A2770" s="4">
        <v>39673</v>
      </c>
      <c r="B2770" s="5">
        <f>_xlfn.XLOOKUP(A2770,bunker_daily_raw!$A$2:$A$3819,bunker_daily_raw!$B$2:$B$3819)</f>
        <v>581</v>
      </c>
      <c r="C2770" s="6">
        <v>110.68</v>
      </c>
    </row>
    <row r="2771" spans="1:3" x14ac:dyDescent="0.25">
      <c r="A2771" s="4">
        <v>39674</v>
      </c>
      <c r="B2771" s="5">
        <f>_xlfn.XLOOKUP(A2771,bunker_daily_raw!$A$2:$A$3819,bunker_daily_raw!$B$2:$B$3819)</f>
        <v>603</v>
      </c>
      <c r="C2771" s="6">
        <v>111.82</v>
      </c>
    </row>
    <row r="2772" spans="1:3" x14ac:dyDescent="0.25">
      <c r="A2772" s="4">
        <v>39675</v>
      </c>
      <c r="B2772" s="5">
        <f>_xlfn.XLOOKUP(A2772,bunker_daily_raw!$A$2:$A$3819,bunker_daily_raw!$B$2:$B$3819)</f>
        <v>579</v>
      </c>
      <c r="C2772" s="6">
        <v>108.8</v>
      </c>
    </row>
    <row r="2773" spans="1:3" x14ac:dyDescent="0.25">
      <c r="A2773" s="4">
        <v>39678</v>
      </c>
      <c r="B2773" s="5">
        <f>_xlfn.XLOOKUP(A2773,bunker_daily_raw!$A$2:$A$3819,bunker_daily_raw!$B$2:$B$3819)</f>
        <v>590</v>
      </c>
      <c r="C2773" s="6">
        <v>109.33</v>
      </c>
    </row>
    <row r="2774" spans="1:3" x14ac:dyDescent="0.25">
      <c r="A2774" s="4">
        <v>39679</v>
      </c>
      <c r="B2774" s="5">
        <f>_xlfn.XLOOKUP(A2774,bunker_daily_raw!$A$2:$A$3819,bunker_daily_raw!$B$2:$B$3819)</f>
        <v>605</v>
      </c>
      <c r="C2774" s="6">
        <v>109.02</v>
      </c>
    </row>
    <row r="2775" spans="1:3" x14ac:dyDescent="0.25">
      <c r="A2775" s="4">
        <v>39680</v>
      </c>
      <c r="B2775" s="5">
        <f>_xlfn.XLOOKUP(A2775,bunker_daily_raw!$A$2:$A$3819,bunker_daily_raw!$B$2:$B$3819)</f>
        <v>602</v>
      </c>
      <c r="C2775" s="6">
        <v>108.72</v>
      </c>
    </row>
    <row r="2776" spans="1:3" x14ac:dyDescent="0.25">
      <c r="A2776" s="4">
        <v>39681</v>
      </c>
      <c r="B2776" s="5">
        <f>_xlfn.XLOOKUP(A2776,bunker_daily_raw!$A$2:$A$3819,bunker_daily_raw!$B$2:$B$3819)</f>
        <v>634</v>
      </c>
      <c r="C2776" s="6">
        <v>117.24</v>
      </c>
    </row>
    <row r="2777" spans="1:3" x14ac:dyDescent="0.25">
      <c r="A2777" s="4">
        <v>39682</v>
      </c>
      <c r="B2777" s="5">
        <f>_xlfn.XLOOKUP(A2777,bunker_daily_raw!$A$2:$A$3819,bunker_daily_raw!$B$2:$B$3819)</f>
        <v>614</v>
      </c>
      <c r="C2777" s="6">
        <v>113.99</v>
      </c>
    </row>
    <row r="2778" spans="1:3" x14ac:dyDescent="0.25">
      <c r="A2778" s="4">
        <v>39685</v>
      </c>
      <c r="B2778" s="5" t="e">
        <f>_xlfn.XLOOKUP(A2778,bunker_daily_raw!$A$2:$A$3819,bunker_daily_raw!$B$2:$B$3819)</f>
        <v>#N/A</v>
      </c>
      <c r="C2778" s="6">
        <v>109.74</v>
      </c>
    </row>
    <row r="2779" spans="1:3" x14ac:dyDescent="0.25">
      <c r="A2779" s="4">
        <v>39686</v>
      </c>
      <c r="B2779" s="5">
        <f>_xlfn.XLOOKUP(A2779,bunker_daily_raw!$A$2:$A$3819,bunker_daily_raw!$B$2:$B$3819)</f>
        <v>623</v>
      </c>
      <c r="C2779" s="6">
        <v>112.2</v>
      </c>
    </row>
    <row r="2780" spans="1:3" x14ac:dyDescent="0.25">
      <c r="A2780" s="4">
        <v>39687</v>
      </c>
      <c r="B2780" s="5">
        <f>_xlfn.XLOOKUP(A2780,bunker_daily_raw!$A$2:$A$3819,bunker_daily_raw!$B$2:$B$3819)</f>
        <v>623</v>
      </c>
      <c r="C2780" s="6">
        <v>113.05</v>
      </c>
    </row>
    <row r="2781" spans="1:3" x14ac:dyDescent="0.25">
      <c r="A2781" s="4">
        <v>39688</v>
      </c>
      <c r="B2781" s="5">
        <f>_xlfn.XLOOKUP(A2781,bunker_daily_raw!$A$2:$A$3819,bunker_daily_raw!$B$2:$B$3819)</f>
        <v>635.5</v>
      </c>
      <c r="C2781" s="6">
        <v>113.54</v>
      </c>
    </row>
    <row r="2782" spans="1:3" x14ac:dyDescent="0.25">
      <c r="A2782" s="4">
        <v>39689</v>
      </c>
      <c r="B2782" s="5">
        <f>_xlfn.XLOOKUP(A2782,bunker_daily_raw!$A$2:$A$3819,bunker_daily_raw!$B$2:$B$3819)</f>
        <v>635.5</v>
      </c>
      <c r="C2782" s="6">
        <v>113.49</v>
      </c>
    </row>
    <row r="2783" spans="1:3" x14ac:dyDescent="0.25">
      <c r="A2783" s="4">
        <v>39692</v>
      </c>
      <c r="B2783" s="5">
        <f>_xlfn.XLOOKUP(A2783,bunker_daily_raw!$A$2:$A$3819,bunker_daily_raw!$B$2:$B$3819)</f>
        <v>612</v>
      </c>
      <c r="C2783" s="5"/>
    </row>
    <row r="2784" spans="1:3" x14ac:dyDescent="0.25">
      <c r="A2784" s="4">
        <v>39693</v>
      </c>
      <c r="B2784" s="5">
        <f>_xlfn.XLOOKUP(A2784,bunker_daily_raw!$A$2:$A$3819,bunker_daily_raw!$B$2:$B$3819)</f>
        <v>602</v>
      </c>
      <c r="C2784" s="6">
        <v>104.94</v>
      </c>
    </row>
    <row r="2785" spans="1:3" x14ac:dyDescent="0.25">
      <c r="A2785" s="4">
        <v>39694</v>
      </c>
      <c r="B2785" s="5">
        <f>_xlfn.XLOOKUP(A2785,bunker_daily_raw!$A$2:$A$3819,bunker_daily_raw!$B$2:$B$3819)</f>
        <v>586.5</v>
      </c>
      <c r="C2785" s="6">
        <v>103.88</v>
      </c>
    </row>
    <row r="2786" spans="1:3" x14ac:dyDescent="0.25">
      <c r="A2786" s="4">
        <v>39695</v>
      </c>
      <c r="B2786" s="5">
        <f>_xlfn.XLOOKUP(A2786,bunker_daily_raw!$A$2:$A$3819,bunker_daily_raw!$B$2:$B$3819)</f>
        <v>576</v>
      </c>
      <c r="C2786" s="6">
        <v>103.41</v>
      </c>
    </row>
    <row r="2787" spans="1:3" x14ac:dyDescent="0.25">
      <c r="A2787" s="4">
        <v>39696</v>
      </c>
      <c r="B2787" s="5">
        <f>_xlfn.XLOOKUP(A2787,bunker_daily_raw!$A$2:$A$3819,bunker_daily_raw!$B$2:$B$3819)</f>
        <v>560</v>
      </c>
      <c r="C2787" s="6">
        <v>102.51</v>
      </c>
    </row>
    <row r="2788" spans="1:3" x14ac:dyDescent="0.25">
      <c r="A2788" s="4">
        <v>39699</v>
      </c>
      <c r="B2788" s="5">
        <f>_xlfn.XLOOKUP(A2788,bunker_daily_raw!$A$2:$A$3819,bunker_daily_raw!$B$2:$B$3819)</f>
        <v>561</v>
      </c>
      <c r="C2788" s="6">
        <v>101.08</v>
      </c>
    </row>
    <row r="2789" spans="1:3" x14ac:dyDescent="0.25">
      <c r="A2789" s="4">
        <v>39700</v>
      </c>
      <c r="B2789" s="5">
        <f>_xlfn.XLOOKUP(A2789,bunker_daily_raw!$A$2:$A$3819,bunker_daily_raw!$B$2:$B$3819)</f>
        <v>540</v>
      </c>
      <c r="C2789" s="6">
        <v>98.94</v>
      </c>
    </row>
    <row r="2790" spans="1:3" x14ac:dyDescent="0.25">
      <c r="A2790" s="4">
        <v>39701</v>
      </c>
      <c r="B2790" s="5">
        <f>_xlfn.XLOOKUP(A2790,bunker_daily_raw!$A$2:$A$3819,bunker_daily_raw!$B$2:$B$3819)</f>
        <v>534</v>
      </c>
      <c r="C2790" s="6">
        <v>96</v>
      </c>
    </row>
    <row r="2791" spans="1:3" x14ac:dyDescent="0.25">
      <c r="A2791" s="4">
        <v>39702</v>
      </c>
      <c r="B2791" s="5">
        <f>_xlfn.XLOOKUP(A2791,bunker_daily_raw!$A$2:$A$3819,bunker_daily_raw!$B$2:$B$3819)</f>
        <v>527</v>
      </c>
      <c r="C2791" s="6">
        <v>96.01</v>
      </c>
    </row>
    <row r="2792" spans="1:3" x14ac:dyDescent="0.25">
      <c r="A2792" s="4">
        <v>39703</v>
      </c>
      <c r="B2792" s="5">
        <f>_xlfn.XLOOKUP(A2792,bunker_daily_raw!$A$2:$A$3819,bunker_daily_raw!$B$2:$B$3819)</f>
        <v>528</v>
      </c>
      <c r="C2792" s="6">
        <v>94.37</v>
      </c>
    </row>
    <row r="2793" spans="1:3" x14ac:dyDescent="0.25">
      <c r="A2793" s="4">
        <v>39706</v>
      </c>
      <c r="B2793" s="5">
        <f>_xlfn.XLOOKUP(A2793,bunker_daily_raw!$A$2:$A$3819,bunker_daily_raw!$B$2:$B$3819)</f>
        <v>494</v>
      </c>
      <c r="C2793" s="6">
        <v>90.45</v>
      </c>
    </row>
    <row r="2794" spans="1:3" x14ac:dyDescent="0.25">
      <c r="A2794" s="4">
        <v>39707</v>
      </c>
      <c r="B2794" s="5">
        <f>_xlfn.XLOOKUP(A2794,bunker_daily_raw!$A$2:$A$3819,bunker_daily_raw!$B$2:$B$3819)</f>
        <v>461</v>
      </c>
      <c r="C2794" s="6">
        <v>85.85</v>
      </c>
    </row>
    <row r="2795" spans="1:3" x14ac:dyDescent="0.25">
      <c r="A2795" s="4">
        <v>39708</v>
      </c>
      <c r="B2795" s="5">
        <f>_xlfn.XLOOKUP(A2795,bunker_daily_raw!$A$2:$A$3819,bunker_daily_raw!$B$2:$B$3819)</f>
        <v>458</v>
      </c>
      <c r="C2795" s="6">
        <v>86.09</v>
      </c>
    </row>
    <row r="2796" spans="1:3" x14ac:dyDescent="0.25">
      <c r="A2796" s="4">
        <v>39709</v>
      </c>
      <c r="B2796" s="5">
        <f>_xlfn.XLOOKUP(A2796,bunker_daily_raw!$A$2:$A$3819,bunker_daily_raw!$B$2:$B$3819)</f>
        <v>486</v>
      </c>
      <c r="C2796" s="6">
        <v>90.89</v>
      </c>
    </row>
    <row r="2797" spans="1:3" x14ac:dyDescent="0.25">
      <c r="A2797" s="4">
        <v>39710</v>
      </c>
      <c r="B2797" s="5">
        <f>_xlfn.XLOOKUP(A2797,bunker_daily_raw!$A$2:$A$3819,bunker_daily_raw!$B$2:$B$3819)</f>
        <v>503</v>
      </c>
      <c r="C2797" s="6">
        <v>93.46</v>
      </c>
    </row>
    <row r="2798" spans="1:3" x14ac:dyDescent="0.25">
      <c r="A2798" s="4">
        <v>39713</v>
      </c>
      <c r="B2798" s="5">
        <f>_xlfn.XLOOKUP(A2798,bunker_daily_raw!$A$2:$A$3819,bunker_daily_raw!$B$2:$B$3819)</f>
        <v>551</v>
      </c>
      <c r="C2798" s="6">
        <v>100.43</v>
      </c>
    </row>
    <row r="2799" spans="1:3" x14ac:dyDescent="0.25">
      <c r="A2799" s="4">
        <v>39714</v>
      </c>
      <c r="B2799" s="5">
        <f>_xlfn.XLOOKUP(A2799,bunker_daily_raw!$A$2:$A$3819,bunker_daily_raw!$B$2:$B$3819)</f>
        <v>553</v>
      </c>
      <c r="C2799" s="6">
        <v>100.72</v>
      </c>
    </row>
    <row r="2800" spans="1:3" x14ac:dyDescent="0.25">
      <c r="A2800" s="4">
        <v>39715</v>
      </c>
      <c r="B2800" s="5">
        <f>_xlfn.XLOOKUP(A2800,bunker_daily_raw!$A$2:$A$3819,bunker_daily_raw!$B$2:$B$3819)</f>
        <v>551</v>
      </c>
      <c r="C2800" s="6">
        <v>102.09</v>
      </c>
    </row>
    <row r="2801" spans="1:3" x14ac:dyDescent="0.25">
      <c r="A2801" s="4">
        <v>39716</v>
      </c>
      <c r="B2801" s="5">
        <f>_xlfn.XLOOKUP(A2801,bunker_daily_raw!$A$2:$A$3819,bunker_daily_raw!$B$2:$B$3819)</f>
        <v>546</v>
      </c>
      <c r="C2801" s="6">
        <v>100.45</v>
      </c>
    </row>
    <row r="2802" spans="1:3" x14ac:dyDescent="0.25">
      <c r="A2802" s="4">
        <v>39717</v>
      </c>
      <c r="B2802" s="5">
        <f>_xlfn.XLOOKUP(A2802,bunker_daily_raw!$A$2:$A$3819,bunker_daily_raw!$B$2:$B$3819)</f>
        <v>550</v>
      </c>
      <c r="C2802" s="6">
        <v>100.88</v>
      </c>
    </row>
    <row r="2803" spans="1:3" x14ac:dyDescent="0.25">
      <c r="A2803" s="4">
        <v>39720</v>
      </c>
      <c r="B2803" s="5">
        <f>_xlfn.XLOOKUP(A2803,bunker_daily_raw!$A$2:$A$3819,bunker_daily_raw!$B$2:$B$3819)</f>
        <v>534</v>
      </c>
      <c r="C2803" s="6">
        <v>95.96</v>
      </c>
    </row>
    <row r="2804" spans="1:3" x14ac:dyDescent="0.25">
      <c r="A2804" s="4">
        <v>39721</v>
      </c>
      <c r="B2804" s="5">
        <f>_xlfn.XLOOKUP(A2804,bunker_daily_raw!$A$2:$A$3819,bunker_daily_raw!$B$2:$B$3819)</f>
        <v>542</v>
      </c>
      <c r="C2804" s="6">
        <v>93.52</v>
      </c>
    </row>
    <row r="2805" spans="1:3" x14ac:dyDescent="0.25">
      <c r="A2805" s="4">
        <v>39722</v>
      </c>
      <c r="B2805" s="5">
        <f>_xlfn.XLOOKUP(A2805,bunker_daily_raw!$A$2:$A$3819,bunker_daily_raw!$B$2:$B$3819)</f>
        <v>524</v>
      </c>
      <c r="C2805" s="6">
        <v>92.19</v>
      </c>
    </row>
    <row r="2806" spans="1:3" x14ac:dyDescent="0.25">
      <c r="A2806" s="4">
        <v>39723</v>
      </c>
      <c r="B2806" s="5">
        <f>_xlfn.XLOOKUP(A2806,bunker_daily_raw!$A$2:$A$3819,bunker_daily_raw!$B$2:$B$3819)</f>
        <v>500</v>
      </c>
      <c r="C2806" s="6">
        <v>88.88</v>
      </c>
    </row>
    <row r="2807" spans="1:3" x14ac:dyDescent="0.25">
      <c r="A2807" s="4">
        <v>39724</v>
      </c>
      <c r="B2807" s="5">
        <f>_xlfn.XLOOKUP(A2807,bunker_daily_raw!$A$2:$A$3819,bunker_daily_raw!$B$2:$B$3819)</f>
        <v>493</v>
      </c>
      <c r="C2807" s="6">
        <v>88.95</v>
      </c>
    </row>
    <row r="2808" spans="1:3" x14ac:dyDescent="0.25">
      <c r="A2808" s="4">
        <v>39727</v>
      </c>
      <c r="B2808" s="5">
        <f>_xlfn.XLOOKUP(A2808,bunker_daily_raw!$A$2:$A$3819,bunker_daily_raw!$B$2:$B$3819)</f>
        <v>460</v>
      </c>
      <c r="C2808" s="6">
        <v>84.71</v>
      </c>
    </row>
    <row r="2809" spans="1:3" x14ac:dyDescent="0.25">
      <c r="A2809" s="4">
        <v>39728</v>
      </c>
      <c r="B2809" s="5">
        <f>_xlfn.XLOOKUP(A2809,bunker_daily_raw!$A$2:$A$3819,bunker_daily_raw!$B$2:$B$3819)</f>
        <v>462</v>
      </c>
      <c r="C2809" s="6">
        <v>83.17</v>
      </c>
    </row>
    <row r="2810" spans="1:3" x14ac:dyDescent="0.25">
      <c r="A2810" s="4">
        <v>39729</v>
      </c>
      <c r="B2810" s="5">
        <f>_xlfn.XLOOKUP(A2810,bunker_daily_raw!$A$2:$A$3819,bunker_daily_raw!$B$2:$B$3819)</f>
        <v>426</v>
      </c>
      <c r="C2810" s="6">
        <v>80.77</v>
      </c>
    </row>
    <row r="2811" spans="1:3" x14ac:dyDescent="0.25">
      <c r="A2811" s="4">
        <v>39730</v>
      </c>
      <c r="B2811" s="5">
        <f>_xlfn.XLOOKUP(A2811,bunker_daily_raw!$A$2:$A$3819,bunker_daily_raw!$B$2:$B$3819)</f>
        <v>418</v>
      </c>
      <c r="C2811" s="6">
        <v>81.650000000000006</v>
      </c>
    </row>
    <row r="2812" spans="1:3" x14ac:dyDescent="0.25">
      <c r="A2812" s="4">
        <v>39731</v>
      </c>
      <c r="B2812" s="5">
        <f>_xlfn.XLOOKUP(A2812,bunker_daily_raw!$A$2:$A$3819,bunker_daily_raw!$B$2:$B$3819)</f>
        <v>393</v>
      </c>
      <c r="C2812" s="6">
        <v>74.58</v>
      </c>
    </row>
    <row r="2813" spans="1:3" x14ac:dyDescent="0.25">
      <c r="A2813" s="4">
        <v>39734</v>
      </c>
      <c r="B2813" s="5">
        <f>_xlfn.XLOOKUP(A2813,bunker_daily_raw!$A$2:$A$3819,bunker_daily_raw!$B$2:$B$3819)</f>
        <v>394</v>
      </c>
      <c r="C2813" s="6">
        <v>74.37</v>
      </c>
    </row>
    <row r="2814" spans="1:3" x14ac:dyDescent="0.25">
      <c r="A2814" s="4">
        <v>39735</v>
      </c>
      <c r="B2814" s="5">
        <f>_xlfn.XLOOKUP(A2814,bunker_daily_raw!$A$2:$A$3819,bunker_daily_raw!$B$2:$B$3819)</f>
        <v>388</v>
      </c>
      <c r="C2814" s="6">
        <v>74.98</v>
      </c>
    </row>
    <row r="2815" spans="1:3" x14ac:dyDescent="0.25">
      <c r="A2815" s="4">
        <v>39736</v>
      </c>
      <c r="B2815" s="5">
        <f>_xlfn.XLOOKUP(A2815,bunker_daily_raw!$A$2:$A$3819,bunker_daily_raw!$B$2:$B$3819)</f>
        <v>357</v>
      </c>
      <c r="C2815" s="6">
        <v>66.86</v>
      </c>
    </row>
    <row r="2816" spans="1:3" x14ac:dyDescent="0.25">
      <c r="A2816" s="4">
        <v>39737</v>
      </c>
      <c r="B2816" s="5">
        <f>_xlfn.XLOOKUP(A2816,bunker_daily_raw!$A$2:$A$3819,bunker_daily_raw!$B$2:$B$3819)</f>
        <v>325</v>
      </c>
      <c r="C2816" s="6">
        <v>64.14</v>
      </c>
    </row>
    <row r="2817" spans="1:3" x14ac:dyDescent="0.25">
      <c r="A2817" s="4">
        <v>39738</v>
      </c>
      <c r="B2817" s="5">
        <f>_xlfn.XLOOKUP(A2817,bunker_daily_raw!$A$2:$A$3819,bunker_daily_raw!$B$2:$B$3819)</f>
        <v>319</v>
      </c>
      <c r="C2817" s="6">
        <v>66.05</v>
      </c>
    </row>
    <row r="2818" spans="1:3" x14ac:dyDescent="0.25">
      <c r="A2818" s="4">
        <v>39741</v>
      </c>
      <c r="B2818" s="5">
        <f>_xlfn.XLOOKUP(A2818,bunker_daily_raw!$A$2:$A$3819,bunker_daily_raw!$B$2:$B$3819)</f>
        <v>333</v>
      </c>
      <c r="C2818" s="6">
        <v>67.45</v>
      </c>
    </row>
    <row r="2819" spans="1:3" x14ac:dyDescent="0.25">
      <c r="A2819" s="4">
        <v>39742</v>
      </c>
      <c r="B2819" s="5">
        <f>_xlfn.XLOOKUP(A2819,bunker_daily_raw!$A$2:$A$3819,bunker_daily_raw!$B$2:$B$3819)</f>
        <v>324</v>
      </c>
      <c r="C2819" s="6">
        <v>65.989999999999995</v>
      </c>
    </row>
    <row r="2820" spans="1:3" x14ac:dyDescent="0.25">
      <c r="A2820" s="4">
        <v>39743</v>
      </c>
      <c r="B2820" s="5">
        <f>_xlfn.XLOOKUP(A2820,bunker_daily_raw!$A$2:$A$3819,bunker_daily_raw!$B$2:$B$3819)</f>
        <v>307</v>
      </c>
      <c r="C2820" s="6">
        <v>62.95</v>
      </c>
    </row>
    <row r="2821" spans="1:3" x14ac:dyDescent="0.25">
      <c r="A2821" s="4">
        <v>39744</v>
      </c>
      <c r="B2821" s="5">
        <f>_xlfn.XLOOKUP(A2821,bunker_daily_raw!$A$2:$A$3819,bunker_daily_raw!$B$2:$B$3819)</f>
        <v>308</v>
      </c>
      <c r="C2821" s="6">
        <v>65.06</v>
      </c>
    </row>
    <row r="2822" spans="1:3" x14ac:dyDescent="0.25">
      <c r="A2822" s="4">
        <v>39745</v>
      </c>
      <c r="B2822" s="5">
        <f>_xlfn.XLOOKUP(A2822,bunker_daily_raw!$A$2:$A$3819,bunker_daily_raw!$B$2:$B$3819)</f>
        <v>272</v>
      </c>
      <c r="C2822" s="6">
        <v>60.57</v>
      </c>
    </row>
    <row r="2823" spans="1:3" x14ac:dyDescent="0.25">
      <c r="A2823" s="4">
        <v>39748</v>
      </c>
      <c r="B2823" s="5">
        <f>_xlfn.XLOOKUP(A2823,bunker_daily_raw!$A$2:$A$3819,bunker_daily_raw!$B$2:$B$3819)</f>
        <v>271</v>
      </c>
      <c r="C2823" s="6">
        <v>59.34</v>
      </c>
    </row>
    <row r="2824" spans="1:3" x14ac:dyDescent="0.25">
      <c r="A2824" s="4">
        <v>39749</v>
      </c>
      <c r="B2824" s="5">
        <f>_xlfn.XLOOKUP(A2824,bunker_daily_raw!$A$2:$A$3819,bunker_daily_raw!$B$2:$B$3819)</f>
        <v>271</v>
      </c>
      <c r="C2824" s="6">
        <v>58.87</v>
      </c>
    </row>
    <row r="2825" spans="1:3" x14ac:dyDescent="0.25">
      <c r="A2825" s="4">
        <v>39750</v>
      </c>
      <c r="B2825" s="5">
        <f>_xlfn.XLOOKUP(A2825,bunker_daily_raw!$A$2:$A$3819,bunker_daily_raw!$B$2:$B$3819)</f>
        <v>285</v>
      </c>
      <c r="C2825" s="6">
        <v>64</v>
      </c>
    </row>
    <row r="2826" spans="1:3" x14ac:dyDescent="0.25">
      <c r="A2826" s="4">
        <v>39751</v>
      </c>
      <c r="B2826" s="5">
        <f>_xlfn.XLOOKUP(A2826,bunker_daily_raw!$A$2:$A$3819,bunker_daily_raw!$B$2:$B$3819)</f>
        <v>250.5</v>
      </c>
      <c r="C2826" s="6">
        <v>60.86</v>
      </c>
    </row>
    <row r="2827" spans="1:3" x14ac:dyDescent="0.25">
      <c r="A2827" s="4">
        <v>39752</v>
      </c>
      <c r="B2827" s="5">
        <f>_xlfn.XLOOKUP(A2827,bunker_daily_raw!$A$2:$A$3819,bunker_daily_raw!$B$2:$B$3819)</f>
        <v>236</v>
      </c>
      <c r="C2827" s="6">
        <v>60</v>
      </c>
    </row>
    <row r="2828" spans="1:3" x14ac:dyDescent="0.25">
      <c r="A2828" s="4">
        <v>39755</v>
      </c>
      <c r="B2828" s="5">
        <f>_xlfn.XLOOKUP(A2828,bunker_daily_raw!$A$2:$A$3819,bunker_daily_raw!$B$2:$B$3819)</f>
        <v>241</v>
      </c>
      <c r="C2828" s="6">
        <v>60.32</v>
      </c>
    </row>
    <row r="2829" spans="1:3" x14ac:dyDescent="0.25">
      <c r="A2829" s="4">
        <v>39756</v>
      </c>
      <c r="B2829" s="5">
        <f>_xlfn.XLOOKUP(A2829,bunker_daily_raw!$A$2:$A$3819,bunker_daily_raw!$B$2:$B$3819)</f>
        <v>254</v>
      </c>
      <c r="C2829" s="6">
        <v>62.78</v>
      </c>
    </row>
    <row r="2830" spans="1:3" x14ac:dyDescent="0.25">
      <c r="A2830" s="4">
        <v>39757</v>
      </c>
      <c r="B2830" s="5">
        <f>_xlfn.XLOOKUP(A2830,bunker_daily_raw!$A$2:$A$3819,bunker_daily_raw!$B$2:$B$3819)</f>
        <v>236</v>
      </c>
      <c r="C2830" s="6">
        <v>61.09</v>
      </c>
    </row>
    <row r="2831" spans="1:3" x14ac:dyDescent="0.25">
      <c r="A2831" s="4">
        <v>39758</v>
      </c>
      <c r="B2831" s="5">
        <f>_xlfn.XLOOKUP(A2831,bunker_daily_raw!$A$2:$A$3819,bunker_daily_raw!$B$2:$B$3819)</f>
        <v>220</v>
      </c>
      <c r="C2831" s="6">
        <v>56.14</v>
      </c>
    </row>
    <row r="2832" spans="1:3" x14ac:dyDescent="0.25">
      <c r="A2832" s="4">
        <v>39759</v>
      </c>
      <c r="B2832" s="5">
        <f>_xlfn.XLOOKUP(A2832,bunker_daily_raw!$A$2:$A$3819,bunker_daily_raw!$B$2:$B$3819)</f>
        <v>213</v>
      </c>
      <c r="C2832" s="6">
        <v>56.84</v>
      </c>
    </row>
    <row r="2833" spans="1:3" x14ac:dyDescent="0.25">
      <c r="A2833" s="4">
        <v>39762</v>
      </c>
      <c r="B2833" s="5">
        <f>_xlfn.XLOOKUP(A2833,bunker_daily_raw!$A$2:$A$3819,bunker_daily_raw!$B$2:$B$3819)</f>
        <v>220</v>
      </c>
      <c r="C2833" s="6">
        <v>57.08</v>
      </c>
    </row>
    <row r="2834" spans="1:3" x14ac:dyDescent="0.25">
      <c r="A2834" s="4">
        <v>39763</v>
      </c>
      <c r="B2834" s="5">
        <f>_xlfn.XLOOKUP(A2834,bunker_daily_raw!$A$2:$A$3819,bunker_daily_raw!$B$2:$B$3819)</f>
        <v>201</v>
      </c>
      <c r="C2834" s="6">
        <v>54.76</v>
      </c>
    </row>
    <row r="2835" spans="1:3" x14ac:dyDescent="0.25">
      <c r="A2835" s="4">
        <v>39764</v>
      </c>
      <c r="B2835" s="5">
        <f>_xlfn.XLOOKUP(A2835,bunker_daily_raw!$A$2:$A$3819,bunker_daily_raw!$B$2:$B$3819)</f>
        <v>196</v>
      </c>
      <c r="C2835" s="6">
        <v>52.47</v>
      </c>
    </row>
    <row r="2836" spans="1:3" x14ac:dyDescent="0.25">
      <c r="A2836" s="4">
        <v>39765</v>
      </c>
      <c r="B2836" s="5">
        <f>_xlfn.XLOOKUP(A2836,bunker_daily_raw!$A$2:$A$3819,bunker_daily_raw!$B$2:$B$3819)</f>
        <v>192.5</v>
      </c>
      <c r="C2836" s="6">
        <v>51.32</v>
      </c>
    </row>
    <row r="2837" spans="1:3" x14ac:dyDescent="0.25">
      <c r="A2837" s="4">
        <v>39766</v>
      </c>
      <c r="B2837" s="5">
        <f>_xlfn.XLOOKUP(A2837,bunker_daily_raw!$A$2:$A$3819,bunker_daily_raw!$B$2:$B$3819)</f>
        <v>187</v>
      </c>
      <c r="C2837" s="6">
        <v>50.7</v>
      </c>
    </row>
    <row r="2838" spans="1:3" x14ac:dyDescent="0.25">
      <c r="A2838" s="4">
        <v>39769</v>
      </c>
      <c r="B2838" s="5">
        <f>_xlfn.XLOOKUP(A2838,bunker_daily_raw!$A$2:$A$3819,bunker_daily_raw!$B$2:$B$3819)</f>
        <v>206</v>
      </c>
      <c r="C2838" s="6">
        <v>50.82</v>
      </c>
    </row>
    <row r="2839" spans="1:3" x14ac:dyDescent="0.25">
      <c r="A2839" s="4">
        <v>39770</v>
      </c>
      <c r="B2839" s="5">
        <f>_xlfn.XLOOKUP(A2839,bunker_daily_raw!$A$2:$A$3819,bunker_daily_raw!$B$2:$B$3819)</f>
        <v>202</v>
      </c>
      <c r="C2839" s="6">
        <v>49.1</v>
      </c>
    </row>
    <row r="2840" spans="1:3" x14ac:dyDescent="0.25">
      <c r="A2840" s="4">
        <v>39771</v>
      </c>
      <c r="B2840" s="5">
        <f>_xlfn.XLOOKUP(A2840,bunker_daily_raw!$A$2:$A$3819,bunker_daily_raw!$B$2:$B$3819)</f>
        <v>204</v>
      </c>
      <c r="C2840" s="6">
        <v>48.35</v>
      </c>
    </row>
    <row r="2841" spans="1:3" x14ac:dyDescent="0.25">
      <c r="A2841" s="4">
        <v>39772</v>
      </c>
      <c r="B2841" s="5">
        <f>_xlfn.XLOOKUP(A2841,bunker_daily_raw!$A$2:$A$3819,bunker_daily_raw!$B$2:$B$3819)</f>
        <v>188</v>
      </c>
      <c r="C2841" s="6">
        <v>45.79</v>
      </c>
    </row>
    <row r="2842" spans="1:3" x14ac:dyDescent="0.25">
      <c r="A2842" s="4">
        <v>39773</v>
      </c>
      <c r="B2842" s="5">
        <f>_xlfn.XLOOKUP(A2842,bunker_daily_raw!$A$2:$A$3819,bunker_daily_raw!$B$2:$B$3819)</f>
        <v>182.5</v>
      </c>
      <c r="C2842" s="6">
        <v>44.91</v>
      </c>
    </row>
    <row r="2843" spans="1:3" x14ac:dyDescent="0.25">
      <c r="A2843" s="4">
        <v>39776</v>
      </c>
      <c r="B2843" s="5">
        <f>_xlfn.XLOOKUP(A2843,bunker_daily_raw!$A$2:$A$3819,bunker_daily_raw!$B$2:$B$3819)</f>
        <v>208</v>
      </c>
      <c r="C2843" s="6">
        <v>49.51</v>
      </c>
    </row>
    <row r="2844" spans="1:3" x14ac:dyDescent="0.25">
      <c r="A2844" s="4">
        <v>39777</v>
      </c>
      <c r="B2844" s="5">
        <f>_xlfn.XLOOKUP(A2844,bunker_daily_raw!$A$2:$A$3819,bunker_daily_raw!$B$2:$B$3819)</f>
        <v>203</v>
      </c>
      <c r="C2844" s="6">
        <v>47.51</v>
      </c>
    </row>
    <row r="2845" spans="1:3" x14ac:dyDescent="0.25">
      <c r="A2845" s="4">
        <v>39778</v>
      </c>
      <c r="B2845" s="5">
        <f>_xlfn.XLOOKUP(A2845,bunker_daily_raw!$A$2:$A$3819,bunker_daily_raw!$B$2:$B$3819)</f>
        <v>214</v>
      </c>
      <c r="C2845" s="6">
        <v>49.39</v>
      </c>
    </row>
    <row r="2846" spans="1:3" x14ac:dyDescent="0.25">
      <c r="A2846" s="4">
        <v>39779</v>
      </c>
      <c r="B2846" s="5">
        <f>_xlfn.XLOOKUP(A2846,bunker_daily_raw!$A$2:$A$3819,bunker_daily_raw!$B$2:$B$3819)</f>
        <v>218</v>
      </c>
      <c r="C2846" s="5"/>
    </row>
    <row r="2847" spans="1:3" x14ac:dyDescent="0.25">
      <c r="A2847" s="4">
        <v>39780</v>
      </c>
      <c r="B2847" s="5">
        <f>_xlfn.XLOOKUP(A2847,bunker_daily_raw!$A$2:$A$3819,bunker_daily_raw!$B$2:$B$3819)</f>
        <v>201</v>
      </c>
      <c r="C2847" s="6">
        <v>47.72</v>
      </c>
    </row>
    <row r="2848" spans="1:3" x14ac:dyDescent="0.25">
      <c r="A2848" s="4">
        <v>39783</v>
      </c>
      <c r="B2848" s="5">
        <f>_xlfn.XLOOKUP(A2848,bunker_daily_raw!$A$2:$A$3819,bunker_daily_raw!$B$2:$B$3819)</f>
        <v>209</v>
      </c>
      <c r="C2848" s="6">
        <v>47.58</v>
      </c>
    </row>
    <row r="2849" spans="1:3" x14ac:dyDescent="0.25">
      <c r="A2849" s="4">
        <v>39784</v>
      </c>
      <c r="B2849" s="5">
        <f>_xlfn.XLOOKUP(A2849,bunker_daily_raw!$A$2:$A$3819,bunker_daily_raw!$B$2:$B$3819)</f>
        <v>196</v>
      </c>
      <c r="C2849" s="6">
        <v>45.64</v>
      </c>
    </row>
    <row r="2850" spans="1:3" x14ac:dyDescent="0.25">
      <c r="A2850" s="4">
        <v>39785</v>
      </c>
      <c r="B2850" s="5">
        <f>_xlfn.XLOOKUP(A2850,bunker_daily_raw!$A$2:$A$3819,bunker_daily_raw!$B$2:$B$3819)</f>
        <v>191</v>
      </c>
      <c r="C2850" s="6">
        <v>44.39</v>
      </c>
    </row>
    <row r="2851" spans="1:3" x14ac:dyDescent="0.25">
      <c r="A2851" s="4">
        <v>39786</v>
      </c>
      <c r="B2851" s="5">
        <f>_xlfn.XLOOKUP(A2851,bunker_daily_raw!$A$2:$A$3819,bunker_daily_raw!$B$2:$B$3819)</f>
        <v>184</v>
      </c>
      <c r="C2851" s="6">
        <v>43.83</v>
      </c>
    </row>
    <row r="2852" spans="1:3" x14ac:dyDescent="0.25">
      <c r="A2852" s="4">
        <v>39787</v>
      </c>
      <c r="B2852" s="5">
        <f>_xlfn.XLOOKUP(A2852,bunker_daily_raw!$A$2:$A$3819,bunker_daily_raw!$B$2:$B$3819)</f>
        <v>166</v>
      </c>
      <c r="C2852" s="6">
        <v>37.04</v>
      </c>
    </row>
    <row r="2853" spans="1:3" x14ac:dyDescent="0.25">
      <c r="A2853" s="4">
        <v>39790</v>
      </c>
      <c r="B2853" s="5">
        <f>_xlfn.XLOOKUP(A2853,bunker_daily_raw!$A$2:$A$3819,bunker_daily_raw!$B$2:$B$3819)</f>
        <v>183</v>
      </c>
      <c r="C2853" s="6">
        <v>40.020000000000003</v>
      </c>
    </row>
    <row r="2854" spans="1:3" x14ac:dyDescent="0.25">
      <c r="A2854" s="4">
        <v>39791</v>
      </c>
      <c r="B2854" s="5">
        <f>_xlfn.XLOOKUP(A2854,bunker_daily_raw!$A$2:$A$3819,bunker_daily_raw!$B$2:$B$3819)</f>
        <v>183</v>
      </c>
      <c r="C2854" s="6">
        <v>39.770000000000003</v>
      </c>
    </row>
    <row r="2855" spans="1:3" x14ac:dyDescent="0.25">
      <c r="A2855" s="4">
        <v>39792</v>
      </c>
      <c r="B2855" s="5">
        <f>_xlfn.XLOOKUP(A2855,bunker_daily_raw!$A$2:$A$3819,bunker_daily_raw!$B$2:$B$3819)</f>
        <v>179</v>
      </c>
      <c r="C2855" s="6">
        <v>39.340000000000003</v>
      </c>
    </row>
    <row r="2856" spans="1:3" x14ac:dyDescent="0.25">
      <c r="A2856" s="4">
        <v>39793</v>
      </c>
      <c r="B2856" s="5">
        <f>_xlfn.XLOOKUP(A2856,bunker_daily_raw!$A$2:$A$3819,bunker_daily_raw!$B$2:$B$3819)</f>
        <v>210</v>
      </c>
      <c r="C2856" s="6">
        <v>43.54</v>
      </c>
    </row>
    <row r="2857" spans="1:3" x14ac:dyDescent="0.25">
      <c r="A2857" s="4">
        <v>39794</v>
      </c>
      <c r="B2857" s="5">
        <f>_xlfn.XLOOKUP(A2857,bunker_daily_raw!$A$2:$A$3819,bunker_daily_raw!$B$2:$B$3819)</f>
        <v>194</v>
      </c>
      <c r="C2857" s="6">
        <v>42.38</v>
      </c>
    </row>
    <row r="2858" spans="1:3" x14ac:dyDescent="0.25">
      <c r="A2858" s="4">
        <v>39797</v>
      </c>
      <c r="B2858" s="5">
        <f>_xlfn.XLOOKUP(A2858,bunker_daily_raw!$A$2:$A$3819,bunker_daily_raw!$B$2:$B$3819)</f>
        <v>211</v>
      </c>
      <c r="C2858" s="6">
        <v>45.02</v>
      </c>
    </row>
    <row r="2859" spans="1:3" x14ac:dyDescent="0.25">
      <c r="A2859" s="4">
        <v>39798</v>
      </c>
      <c r="B2859" s="5">
        <f>_xlfn.XLOOKUP(A2859,bunker_daily_raw!$A$2:$A$3819,bunker_daily_raw!$B$2:$B$3819)</f>
        <v>193</v>
      </c>
      <c r="C2859" s="6">
        <v>42</v>
      </c>
    </row>
    <row r="2860" spans="1:3" x14ac:dyDescent="0.25">
      <c r="A2860" s="4">
        <v>39799</v>
      </c>
      <c r="B2860" s="5">
        <f>_xlfn.XLOOKUP(A2860,bunker_daily_raw!$A$2:$A$3819,bunker_daily_raw!$B$2:$B$3819)</f>
        <v>191</v>
      </c>
      <c r="C2860" s="6">
        <v>41.84</v>
      </c>
    </row>
    <row r="2861" spans="1:3" x14ac:dyDescent="0.25">
      <c r="A2861" s="4">
        <v>39800</v>
      </c>
      <c r="B2861" s="5">
        <f>_xlfn.XLOOKUP(A2861,bunker_daily_raw!$A$2:$A$3819,bunker_daily_raw!$B$2:$B$3819)</f>
        <v>182.5</v>
      </c>
      <c r="C2861" s="6">
        <v>40.19</v>
      </c>
    </row>
    <row r="2862" spans="1:3" x14ac:dyDescent="0.25">
      <c r="A2862" s="4">
        <v>39801</v>
      </c>
      <c r="B2862" s="5">
        <f>_xlfn.XLOOKUP(A2862,bunker_daily_raw!$A$2:$A$3819,bunker_daily_raw!$B$2:$B$3819)</f>
        <v>168.5</v>
      </c>
      <c r="C2862" s="6">
        <v>39.520000000000003</v>
      </c>
    </row>
    <row r="2863" spans="1:3" x14ac:dyDescent="0.25">
      <c r="A2863" s="4">
        <v>39804</v>
      </c>
      <c r="B2863" s="5">
        <f>_xlfn.XLOOKUP(A2863,bunker_daily_raw!$A$2:$A$3819,bunker_daily_raw!$B$2:$B$3819)</f>
        <v>166</v>
      </c>
      <c r="C2863" s="6">
        <v>38.08</v>
      </c>
    </row>
    <row r="2864" spans="1:3" x14ac:dyDescent="0.25">
      <c r="A2864" s="4">
        <v>39805</v>
      </c>
      <c r="B2864" s="5">
        <f>_xlfn.XLOOKUP(A2864,bunker_daily_raw!$A$2:$A$3819,bunker_daily_raw!$B$2:$B$3819)</f>
        <v>156</v>
      </c>
      <c r="C2864" s="6">
        <v>35.270000000000003</v>
      </c>
    </row>
    <row r="2865" spans="1:3" x14ac:dyDescent="0.25">
      <c r="A2865" s="4">
        <v>39806</v>
      </c>
      <c r="B2865" s="5">
        <f>_xlfn.XLOOKUP(A2865,bunker_daily_raw!$A$2:$A$3819,bunker_daily_raw!$B$2:$B$3819)</f>
        <v>136</v>
      </c>
      <c r="C2865" s="6">
        <v>34.450000000000003</v>
      </c>
    </row>
    <row r="2866" spans="1:3" x14ac:dyDescent="0.25">
      <c r="A2866" s="4">
        <v>39807</v>
      </c>
      <c r="B2866" s="5" t="e">
        <f>_xlfn.XLOOKUP(A2866,bunker_daily_raw!$A$2:$A$3819,bunker_daily_raw!$B$2:$B$3819)</f>
        <v>#N/A</v>
      </c>
      <c r="C2866" s="5"/>
    </row>
    <row r="2867" spans="1:3" x14ac:dyDescent="0.25">
      <c r="A2867" s="4">
        <v>39808</v>
      </c>
      <c r="B2867" s="5" t="e">
        <f>_xlfn.XLOOKUP(A2867,bunker_daily_raw!$A$2:$A$3819,bunker_daily_raw!$B$2:$B$3819)</f>
        <v>#N/A</v>
      </c>
      <c r="C2867" s="6">
        <v>33.729999999999997</v>
      </c>
    </row>
    <row r="2868" spans="1:3" x14ac:dyDescent="0.25">
      <c r="A2868" s="4">
        <v>39811</v>
      </c>
      <c r="B2868" s="5" t="e">
        <f>_xlfn.XLOOKUP(A2868,bunker_daily_raw!$A$2:$A$3819,bunker_daily_raw!$B$2:$B$3819)</f>
        <v>#N/A</v>
      </c>
      <c r="C2868" s="6">
        <v>34.159999999999997</v>
      </c>
    </row>
    <row r="2869" spans="1:3" x14ac:dyDescent="0.25">
      <c r="A2869" s="4">
        <v>39812</v>
      </c>
      <c r="B2869" s="5" t="e">
        <f>_xlfn.XLOOKUP(A2869,bunker_daily_raw!$A$2:$A$3819,bunker_daily_raw!$B$2:$B$3819)</f>
        <v>#N/A</v>
      </c>
      <c r="C2869" s="6">
        <v>35.22</v>
      </c>
    </row>
    <row r="2870" spans="1:3" x14ac:dyDescent="0.25">
      <c r="A2870" s="4">
        <v>39813</v>
      </c>
      <c r="B2870" s="5" t="e">
        <f>_xlfn.XLOOKUP(A2870,bunker_daily_raw!$A$2:$A$3819,bunker_daily_raw!$B$2:$B$3819)</f>
        <v>#N/A</v>
      </c>
      <c r="C2870" s="6">
        <v>35.82</v>
      </c>
    </row>
    <row r="2871" spans="1:3" x14ac:dyDescent="0.25">
      <c r="A2871" s="4">
        <v>39814</v>
      </c>
      <c r="B2871" s="5" t="e">
        <f>_xlfn.XLOOKUP(A2871,bunker_daily_raw!$A$2:$A$3819,bunker_daily_raw!$B$2:$B$3819)</f>
        <v>#N/A</v>
      </c>
      <c r="C2871" s="5"/>
    </row>
    <row r="2872" spans="1:3" x14ac:dyDescent="0.25">
      <c r="A2872" s="4">
        <v>39815</v>
      </c>
      <c r="B2872" s="5">
        <f>_xlfn.XLOOKUP(A2872,bunker_daily_raw!$A$2:$A$3819,bunker_daily_raw!$B$2:$B$3819)</f>
        <v>167</v>
      </c>
      <c r="C2872" s="6">
        <v>42.94</v>
      </c>
    </row>
    <row r="2873" spans="1:3" x14ac:dyDescent="0.25">
      <c r="A2873" s="4">
        <v>39818</v>
      </c>
      <c r="B2873" s="5">
        <f>_xlfn.XLOOKUP(A2873,bunker_daily_raw!$A$2:$A$3819,bunker_daily_raw!$B$2:$B$3819)</f>
        <v>205.5</v>
      </c>
      <c r="C2873" s="6">
        <v>45.84</v>
      </c>
    </row>
    <row r="2874" spans="1:3" x14ac:dyDescent="0.25">
      <c r="A2874" s="4">
        <v>39819</v>
      </c>
      <c r="B2874" s="5">
        <f>_xlfn.XLOOKUP(A2874,bunker_daily_raw!$A$2:$A$3819,bunker_daily_raw!$B$2:$B$3819)</f>
        <v>229</v>
      </c>
      <c r="C2874" s="6">
        <v>48.89</v>
      </c>
    </row>
    <row r="2875" spans="1:3" x14ac:dyDescent="0.25">
      <c r="A2875" s="4">
        <v>39820</v>
      </c>
      <c r="B2875" s="5">
        <f>_xlfn.XLOOKUP(A2875,bunker_daily_raw!$A$2:$A$3819,bunker_daily_raw!$B$2:$B$3819)</f>
        <v>219</v>
      </c>
      <c r="C2875" s="6">
        <v>46.23</v>
      </c>
    </row>
    <row r="2876" spans="1:3" x14ac:dyDescent="0.25">
      <c r="A2876" s="4">
        <v>39821</v>
      </c>
      <c r="B2876" s="5">
        <f>_xlfn.XLOOKUP(A2876,bunker_daily_raw!$A$2:$A$3819,bunker_daily_raw!$B$2:$B$3819)</f>
        <v>207</v>
      </c>
      <c r="C2876" s="6">
        <v>42.94</v>
      </c>
    </row>
    <row r="2877" spans="1:3" x14ac:dyDescent="0.25">
      <c r="A2877" s="4">
        <v>39822</v>
      </c>
      <c r="B2877" s="5">
        <f>_xlfn.XLOOKUP(A2877,bunker_daily_raw!$A$2:$A$3819,bunker_daily_raw!$B$2:$B$3819)</f>
        <v>198</v>
      </c>
      <c r="C2877" s="6">
        <v>42.34</v>
      </c>
    </row>
    <row r="2878" spans="1:3" x14ac:dyDescent="0.25">
      <c r="A2878" s="4">
        <v>39825</v>
      </c>
      <c r="B2878" s="5">
        <f>_xlfn.XLOOKUP(A2878,bunker_daily_raw!$A$2:$A$3819,bunker_daily_raw!$B$2:$B$3819)</f>
        <v>200</v>
      </c>
      <c r="C2878" s="6">
        <v>40.86</v>
      </c>
    </row>
    <row r="2879" spans="1:3" x14ac:dyDescent="0.25">
      <c r="A2879" s="4">
        <v>39826</v>
      </c>
      <c r="B2879" s="5">
        <f>_xlfn.XLOOKUP(A2879,bunker_daily_raw!$A$2:$A$3819,bunker_daily_raw!$B$2:$B$3819)</f>
        <v>231</v>
      </c>
      <c r="C2879" s="6">
        <v>43.05</v>
      </c>
    </row>
    <row r="2880" spans="1:3" x14ac:dyDescent="0.25">
      <c r="A2880" s="4">
        <v>39827</v>
      </c>
      <c r="B2880" s="5">
        <f>_xlfn.XLOOKUP(A2880,bunker_daily_raw!$A$2:$A$3819,bunker_daily_raw!$B$2:$B$3819)</f>
        <v>220</v>
      </c>
      <c r="C2880" s="6">
        <v>42.27</v>
      </c>
    </row>
    <row r="2881" spans="1:3" x14ac:dyDescent="0.25">
      <c r="A2881" s="4">
        <v>39828</v>
      </c>
      <c r="B2881" s="5">
        <f>_xlfn.XLOOKUP(A2881,bunker_daily_raw!$A$2:$A$3819,bunker_daily_raw!$B$2:$B$3819)</f>
        <v>219.5</v>
      </c>
      <c r="C2881" s="6">
        <v>42.32</v>
      </c>
    </row>
    <row r="2882" spans="1:3" x14ac:dyDescent="0.25">
      <c r="A2882" s="4">
        <v>39829</v>
      </c>
      <c r="B2882" s="5">
        <f>_xlfn.XLOOKUP(A2882,bunker_daily_raw!$A$2:$A$3819,bunker_daily_raw!$B$2:$B$3819)</f>
        <v>224</v>
      </c>
      <c r="C2882" s="6">
        <v>43.42</v>
      </c>
    </row>
    <row r="2883" spans="1:3" x14ac:dyDescent="0.25">
      <c r="A2883" s="4">
        <v>39832</v>
      </c>
      <c r="B2883" s="5">
        <f>_xlfn.XLOOKUP(A2883,bunker_daily_raw!$A$2:$A$3819,bunker_daily_raw!$B$2:$B$3819)</f>
        <v>220</v>
      </c>
      <c r="C2883" s="5"/>
    </row>
    <row r="2884" spans="1:3" x14ac:dyDescent="0.25">
      <c r="A2884" s="4">
        <v>39833</v>
      </c>
      <c r="B2884" s="5">
        <f>_xlfn.XLOOKUP(A2884,bunker_daily_raw!$A$2:$A$3819,bunker_daily_raw!$B$2:$B$3819)</f>
        <v>219</v>
      </c>
      <c r="C2884" s="6">
        <v>41.22</v>
      </c>
    </row>
    <row r="2885" spans="1:3" x14ac:dyDescent="0.25">
      <c r="A2885" s="4">
        <v>39834</v>
      </c>
      <c r="B2885" s="5">
        <f>_xlfn.XLOOKUP(A2885,bunker_daily_raw!$A$2:$A$3819,bunker_daily_raw!$B$2:$B$3819)</f>
        <v>217</v>
      </c>
      <c r="C2885" s="6">
        <v>39.9</v>
      </c>
    </row>
    <row r="2886" spans="1:3" x14ac:dyDescent="0.25">
      <c r="A2886" s="4">
        <v>39835</v>
      </c>
      <c r="B2886" s="5">
        <f>_xlfn.XLOOKUP(A2886,bunker_daily_raw!$A$2:$A$3819,bunker_daily_raw!$B$2:$B$3819)</f>
        <v>213</v>
      </c>
      <c r="C2886" s="6">
        <v>42.42</v>
      </c>
    </row>
    <row r="2887" spans="1:3" x14ac:dyDescent="0.25">
      <c r="A2887" s="4">
        <v>39836</v>
      </c>
      <c r="B2887" s="5">
        <f>_xlfn.XLOOKUP(A2887,bunker_daily_raw!$A$2:$A$3819,bunker_daily_raw!$B$2:$B$3819)</f>
        <v>220</v>
      </c>
      <c r="C2887" s="6">
        <v>43.13</v>
      </c>
    </row>
    <row r="2888" spans="1:3" x14ac:dyDescent="0.25">
      <c r="A2888" s="4">
        <v>39839</v>
      </c>
      <c r="B2888" s="5">
        <f>_xlfn.XLOOKUP(A2888,bunker_daily_raw!$A$2:$A$3819,bunker_daily_raw!$B$2:$B$3819)</f>
        <v>252.5</v>
      </c>
      <c r="C2888" s="6">
        <v>48</v>
      </c>
    </row>
    <row r="2889" spans="1:3" x14ac:dyDescent="0.25">
      <c r="A2889" s="4">
        <v>39840</v>
      </c>
      <c r="B2889" s="5">
        <f>_xlfn.XLOOKUP(A2889,bunker_daily_raw!$A$2:$A$3819,bunker_daily_raw!$B$2:$B$3819)</f>
        <v>239</v>
      </c>
      <c r="C2889" s="6">
        <v>42.86</v>
      </c>
    </row>
    <row r="2890" spans="1:3" x14ac:dyDescent="0.25">
      <c r="A2890" s="4">
        <v>39841</v>
      </c>
      <c r="B2890" s="5">
        <f>_xlfn.XLOOKUP(A2890,bunker_daily_raw!$A$2:$A$3819,bunker_daily_raw!$B$2:$B$3819)</f>
        <v>242</v>
      </c>
      <c r="C2890" s="6">
        <v>42.86</v>
      </c>
    </row>
    <row r="2891" spans="1:3" x14ac:dyDescent="0.25">
      <c r="A2891" s="4">
        <v>39842</v>
      </c>
      <c r="B2891" s="5">
        <f>_xlfn.XLOOKUP(A2891,bunker_daily_raw!$A$2:$A$3819,bunker_daily_raw!$B$2:$B$3819)</f>
        <v>243</v>
      </c>
      <c r="C2891" s="6">
        <v>43.13</v>
      </c>
    </row>
    <row r="2892" spans="1:3" x14ac:dyDescent="0.25">
      <c r="A2892" s="4">
        <v>39843</v>
      </c>
      <c r="B2892" s="5">
        <f>_xlfn.XLOOKUP(A2892,bunker_daily_raw!$A$2:$A$3819,bunker_daily_raw!$B$2:$B$3819)</f>
        <v>245</v>
      </c>
      <c r="C2892" s="6">
        <v>44.17</v>
      </c>
    </row>
    <row r="2893" spans="1:3" x14ac:dyDescent="0.25">
      <c r="A2893" s="4">
        <v>39846</v>
      </c>
      <c r="B2893" s="5">
        <f>_xlfn.XLOOKUP(A2893,bunker_daily_raw!$A$2:$A$3819,bunker_daily_raw!$B$2:$B$3819)</f>
        <v>235</v>
      </c>
      <c r="C2893" s="6">
        <v>42.96</v>
      </c>
    </row>
    <row r="2894" spans="1:3" x14ac:dyDescent="0.25">
      <c r="A2894" s="4">
        <v>39847</v>
      </c>
      <c r="B2894" s="5">
        <f>_xlfn.XLOOKUP(A2894,bunker_daily_raw!$A$2:$A$3819,bunker_daily_raw!$B$2:$B$3819)</f>
        <v>237</v>
      </c>
      <c r="C2894" s="6">
        <v>43.15</v>
      </c>
    </row>
    <row r="2895" spans="1:3" x14ac:dyDescent="0.25">
      <c r="A2895" s="4">
        <v>39848</v>
      </c>
      <c r="B2895" s="5">
        <f>_xlfn.XLOOKUP(A2895,bunker_daily_raw!$A$2:$A$3819,bunker_daily_raw!$B$2:$B$3819)</f>
        <v>240</v>
      </c>
      <c r="C2895" s="6">
        <v>43.68</v>
      </c>
    </row>
    <row r="2896" spans="1:3" x14ac:dyDescent="0.25">
      <c r="A2896" s="4">
        <v>39849</v>
      </c>
      <c r="B2896" s="5">
        <f>_xlfn.XLOOKUP(A2896,bunker_daily_raw!$A$2:$A$3819,bunker_daily_raw!$B$2:$B$3819)</f>
        <v>242</v>
      </c>
      <c r="C2896" s="6">
        <v>43.92</v>
      </c>
    </row>
    <row r="2897" spans="1:3" x14ac:dyDescent="0.25">
      <c r="A2897" s="4">
        <v>39850</v>
      </c>
      <c r="B2897" s="5">
        <f>_xlfn.XLOOKUP(A2897,bunker_daily_raw!$A$2:$A$3819,bunker_daily_raw!$B$2:$B$3819)</f>
        <v>238</v>
      </c>
      <c r="C2897" s="6">
        <v>44.49</v>
      </c>
    </row>
    <row r="2898" spans="1:3" x14ac:dyDescent="0.25">
      <c r="A2898" s="4">
        <v>39853</v>
      </c>
      <c r="B2898" s="5">
        <f>_xlfn.XLOOKUP(A2898,bunker_daily_raw!$A$2:$A$3819,bunker_daily_raw!$B$2:$B$3819)</f>
        <v>253</v>
      </c>
      <c r="C2898" s="6">
        <v>47.23</v>
      </c>
    </row>
    <row r="2899" spans="1:3" x14ac:dyDescent="0.25">
      <c r="A2899" s="4">
        <v>39854</v>
      </c>
      <c r="B2899" s="5">
        <f>_xlfn.XLOOKUP(A2899,bunker_daily_raw!$A$2:$A$3819,bunker_daily_raw!$B$2:$B$3819)</f>
        <v>247.5</v>
      </c>
      <c r="C2899" s="6">
        <v>45.88</v>
      </c>
    </row>
    <row r="2900" spans="1:3" x14ac:dyDescent="0.25">
      <c r="A2900" s="4">
        <v>39855</v>
      </c>
      <c r="B2900" s="5">
        <f>_xlfn.XLOOKUP(A2900,bunker_daily_raw!$A$2:$A$3819,bunker_daily_raw!$B$2:$B$3819)</f>
        <v>241.5</v>
      </c>
      <c r="C2900" s="6">
        <v>44.24</v>
      </c>
    </row>
    <row r="2901" spans="1:3" x14ac:dyDescent="0.25">
      <c r="A2901" s="4">
        <v>39856</v>
      </c>
      <c r="B2901" s="5">
        <f>_xlfn.XLOOKUP(A2901,bunker_daily_raw!$A$2:$A$3819,bunker_daily_raw!$B$2:$B$3819)</f>
        <v>238</v>
      </c>
      <c r="C2901" s="6">
        <v>47.23</v>
      </c>
    </row>
    <row r="2902" spans="1:3" x14ac:dyDescent="0.25">
      <c r="A2902" s="4">
        <v>39857</v>
      </c>
      <c r="B2902" s="5">
        <f>_xlfn.XLOOKUP(A2902,bunker_daily_raw!$A$2:$A$3819,bunker_daily_raw!$B$2:$B$3819)</f>
        <v>235</v>
      </c>
      <c r="C2902" s="6">
        <v>43.36</v>
      </c>
    </row>
    <row r="2903" spans="1:3" x14ac:dyDescent="0.25">
      <c r="A2903" s="4">
        <v>39860</v>
      </c>
      <c r="B2903" s="5">
        <f>_xlfn.XLOOKUP(A2903,bunker_daily_raw!$A$2:$A$3819,bunker_daily_raw!$B$2:$B$3819)</f>
        <v>239</v>
      </c>
      <c r="C2903" s="5"/>
    </row>
    <row r="2904" spans="1:3" x14ac:dyDescent="0.25">
      <c r="A2904" s="4">
        <v>39861</v>
      </c>
      <c r="B2904" s="5">
        <f>_xlfn.XLOOKUP(A2904,bunker_daily_raw!$A$2:$A$3819,bunker_daily_raw!$B$2:$B$3819)</f>
        <v>222</v>
      </c>
      <c r="C2904" s="6">
        <v>39.69</v>
      </c>
    </row>
    <row r="2905" spans="1:3" x14ac:dyDescent="0.25">
      <c r="A2905" s="4">
        <v>39862</v>
      </c>
      <c r="B2905" s="5">
        <f>_xlfn.XLOOKUP(A2905,bunker_daily_raw!$A$2:$A$3819,bunker_daily_raw!$B$2:$B$3819)</f>
        <v>210</v>
      </c>
      <c r="C2905" s="6">
        <v>39.409999999999997</v>
      </c>
    </row>
    <row r="2906" spans="1:3" x14ac:dyDescent="0.25">
      <c r="A2906" s="4">
        <v>39863</v>
      </c>
      <c r="B2906" s="5">
        <f>_xlfn.XLOOKUP(A2906,bunker_daily_raw!$A$2:$A$3819,bunker_daily_raw!$B$2:$B$3819)</f>
        <v>219.5</v>
      </c>
      <c r="C2906" s="6">
        <v>42.36</v>
      </c>
    </row>
    <row r="2907" spans="1:3" x14ac:dyDescent="0.25">
      <c r="A2907" s="4">
        <v>39864</v>
      </c>
      <c r="B2907" s="5">
        <f>_xlfn.XLOOKUP(A2907,bunker_daily_raw!$A$2:$A$3819,bunker_daily_raw!$B$2:$B$3819)</f>
        <v>215</v>
      </c>
      <c r="C2907" s="6">
        <v>42.19</v>
      </c>
    </row>
    <row r="2908" spans="1:3" x14ac:dyDescent="0.25">
      <c r="A2908" s="4">
        <v>39867</v>
      </c>
      <c r="B2908" s="5">
        <f>_xlfn.XLOOKUP(A2908,bunker_daily_raw!$A$2:$A$3819,bunker_daily_raw!$B$2:$B$3819)</f>
        <v>217</v>
      </c>
      <c r="C2908" s="6">
        <v>41.27</v>
      </c>
    </row>
    <row r="2909" spans="1:3" x14ac:dyDescent="0.25">
      <c r="A2909" s="4">
        <v>39868</v>
      </c>
      <c r="B2909" s="5">
        <f>_xlfn.XLOOKUP(A2909,bunker_daily_raw!$A$2:$A$3819,bunker_daily_raw!$B$2:$B$3819)</f>
        <v>209</v>
      </c>
      <c r="C2909" s="6">
        <v>40.18</v>
      </c>
    </row>
    <row r="2910" spans="1:3" x14ac:dyDescent="0.25">
      <c r="A2910" s="4">
        <v>39869</v>
      </c>
      <c r="B2910" s="5">
        <f>_xlfn.XLOOKUP(A2910,bunker_daily_raw!$A$2:$A$3819,bunker_daily_raw!$B$2:$B$3819)</f>
        <v>213</v>
      </c>
      <c r="C2910" s="6">
        <v>42.37</v>
      </c>
    </row>
    <row r="2911" spans="1:3" x14ac:dyDescent="0.25">
      <c r="A2911" s="4">
        <v>39870</v>
      </c>
      <c r="B2911" s="5">
        <f>_xlfn.XLOOKUP(A2911,bunker_daily_raw!$A$2:$A$3819,bunker_daily_raw!$B$2:$B$3819)</f>
        <v>234</v>
      </c>
      <c r="C2911" s="6">
        <v>45.15</v>
      </c>
    </row>
    <row r="2912" spans="1:3" x14ac:dyDescent="0.25">
      <c r="A2912" s="4">
        <v>39871</v>
      </c>
      <c r="B2912" s="5">
        <f>_xlfn.XLOOKUP(A2912,bunker_daily_raw!$A$2:$A$3819,bunker_daily_raw!$B$2:$B$3819)</f>
        <v>224</v>
      </c>
      <c r="C2912" s="6">
        <v>44.41</v>
      </c>
    </row>
    <row r="2913" spans="1:3" x14ac:dyDescent="0.25">
      <c r="A2913" s="4">
        <v>39874</v>
      </c>
      <c r="B2913" s="5">
        <f>_xlfn.XLOOKUP(A2913,bunker_daily_raw!$A$2:$A$3819,bunker_daily_raw!$B$2:$B$3819)</f>
        <v>210</v>
      </c>
      <c r="C2913" s="6">
        <v>42.6</v>
      </c>
    </row>
    <row r="2914" spans="1:3" x14ac:dyDescent="0.25">
      <c r="A2914" s="4">
        <v>39875</v>
      </c>
      <c r="B2914" s="5">
        <f>_xlfn.XLOOKUP(A2914,bunker_daily_raw!$A$2:$A$3819,bunker_daily_raw!$B$2:$B$3819)</f>
        <v>208</v>
      </c>
      <c r="C2914" s="6">
        <v>42.72</v>
      </c>
    </row>
    <row r="2915" spans="1:3" x14ac:dyDescent="0.25">
      <c r="A2915" s="4">
        <v>39876</v>
      </c>
      <c r="B2915" s="5">
        <f>_xlfn.XLOOKUP(A2915,bunker_daily_raw!$A$2:$A$3819,bunker_daily_raw!$B$2:$B$3819)</f>
        <v>232</v>
      </c>
      <c r="C2915" s="6">
        <v>46.07</v>
      </c>
    </row>
    <row r="2916" spans="1:3" x14ac:dyDescent="0.25">
      <c r="A2916" s="4">
        <v>39877</v>
      </c>
      <c r="B2916" s="5">
        <f>_xlfn.XLOOKUP(A2916,bunker_daily_raw!$A$2:$A$3819,bunker_daily_raw!$B$2:$B$3819)</f>
        <v>220</v>
      </c>
      <c r="C2916" s="6">
        <v>44.45</v>
      </c>
    </row>
    <row r="2917" spans="1:3" x14ac:dyDescent="0.25">
      <c r="A2917" s="4">
        <v>39878</v>
      </c>
      <c r="B2917" s="5">
        <f>_xlfn.XLOOKUP(A2917,bunker_daily_raw!$A$2:$A$3819,bunker_daily_raw!$B$2:$B$3819)</f>
        <v>220</v>
      </c>
      <c r="C2917" s="6">
        <v>43.48</v>
      </c>
    </row>
    <row r="2918" spans="1:3" x14ac:dyDescent="0.25">
      <c r="A2918" s="4">
        <v>39881</v>
      </c>
      <c r="B2918" s="5">
        <f>_xlfn.XLOOKUP(A2918,bunker_daily_raw!$A$2:$A$3819,bunker_daily_raw!$B$2:$B$3819)</f>
        <v>232</v>
      </c>
      <c r="C2918" s="6">
        <v>44.55</v>
      </c>
    </row>
    <row r="2919" spans="1:3" x14ac:dyDescent="0.25">
      <c r="A2919" s="4">
        <v>39882</v>
      </c>
      <c r="B2919" s="5">
        <f>_xlfn.XLOOKUP(A2919,bunker_daily_raw!$A$2:$A$3819,bunker_daily_raw!$B$2:$B$3819)</f>
        <v>236</v>
      </c>
      <c r="C2919" s="6">
        <v>44.99</v>
      </c>
    </row>
    <row r="2920" spans="1:3" x14ac:dyDescent="0.25">
      <c r="A2920" s="4">
        <v>39883</v>
      </c>
      <c r="B2920" s="5">
        <f>_xlfn.XLOOKUP(A2920,bunker_daily_raw!$A$2:$A$3819,bunker_daily_raw!$B$2:$B$3819)</f>
        <v>223</v>
      </c>
      <c r="C2920" s="6">
        <v>43.2</v>
      </c>
    </row>
    <row r="2921" spans="1:3" x14ac:dyDescent="0.25">
      <c r="A2921" s="4">
        <v>39884</v>
      </c>
      <c r="B2921" s="5">
        <f>_xlfn.XLOOKUP(A2921,bunker_daily_raw!$A$2:$A$3819,bunker_daily_raw!$B$2:$B$3819)</f>
        <v>220</v>
      </c>
      <c r="C2921" s="6">
        <v>42.19</v>
      </c>
    </row>
    <row r="2922" spans="1:3" x14ac:dyDescent="0.25">
      <c r="A2922" s="4">
        <v>39885</v>
      </c>
      <c r="B2922" s="5">
        <f>_xlfn.XLOOKUP(A2922,bunker_daily_raw!$A$2:$A$3819,bunker_daily_raw!$B$2:$B$3819)</f>
        <v>235</v>
      </c>
      <c r="C2922" s="6">
        <v>44.97</v>
      </c>
    </row>
    <row r="2923" spans="1:3" x14ac:dyDescent="0.25">
      <c r="A2923" s="4">
        <v>39888</v>
      </c>
      <c r="B2923" s="5">
        <f>_xlfn.XLOOKUP(A2923,bunker_daily_raw!$A$2:$A$3819,bunker_daily_raw!$B$2:$B$3819)</f>
        <v>228</v>
      </c>
      <c r="C2923" s="6">
        <v>44.12</v>
      </c>
    </row>
    <row r="2924" spans="1:3" x14ac:dyDescent="0.25">
      <c r="A2924" s="4">
        <v>39889</v>
      </c>
      <c r="B2924" s="5">
        <f>_xlfn.XLOOKUP(A2924,bunker_daily_raw!$A$2:$A$3819,bunker_daily_raw!$B$2:$B$3819)</f>
        <v>231</v>
      </c>
      <c r="C2924" s="6">
        <v>45.53</v>
      </c>
    </row>
    <row r="2925" spans="1:3" x14ac:dyDescent="0.25">
      <c r="A2925" s="4">
        <v>39890</v>
      </c>
      <c r="B2925" s="5">
        <f>_xlfn.XLOOKUP(A2925,bunker_daily_raw!$A$2:$A$3819,bunker_daily_raw!$B$2:$B$3819)</f>
        <v>229</v>
      </c>
      <c r="C2925" s="6">
        <v>45.22</v>
      </c>
    </row>
    <row r="2926" spans="1:3" x14ac:dyDescent="0.25">
      <c r="A2926" s="4">
        <v>39891</v>
      </c>
      <c r="B2926" s="5">
        <f>_xlfn.XLOOKUP(A2926,bunker_daily_raw!$A$2:$A$3819,bunker_daily_raw!$B$2:$B$3819)</f>
        <v>239</v>
      </c>
      <c r="C2926" s="6">
        <v>48.03</v>
      </c>
    </row>
    <row r="2927" spans="1:3" x14ac:dyDescent="0.25">
      <c r="A2927" s="4">
        <v>39892</v>
      </c>
      <c r="B2927" s="5">
        <f>_xlfn.XLOOKUP(A2927,bunker_daily_raw!$A$2:$A$3819,bunker_daily_raw!$B$2:$B$3819)</f>
        <v>240</v>
      </c>
      <c r="C2927" s="6">
        <v>49.27</v>
      </c>
    </row>
    <row r="2928" spans="1:3" x14ac:dyDescent="0.25">
      <c r="A2928" s="4">
        <v>39895</v>
      </c>
      <c r="B2928" s="5">
        <f>_xlfn.XLOOKUP(A2928,bunker_daily_raw!$A$2:$A$3819,bunker_daily_raw!$B$2:$B$3819)</f>
        <v>253</v>
      </c>
      <c r="C2928" s="6">
        <v>51.84</v>
      </c>
    </row>
    <row r="2929" spans="1:3" x14ac:dyDescent="0.25">
      <c r="A2929" s="4">
        <v>39896</v>
      </c>
      <c r="B2929" s="5">
        <f>_xlfn.XLOOKUP(A2929,bunker_daily_raw!$A$2:$A$3819,bunker_daily_raw!$B$2:$B$3819)</f>
        <v>253</v>
      </c>
      <c r="C2929" s="6">
        <v>51.32</v>
      </c>
    </row>
    <row r="2930" spans="1:3" x14ac:dyDescent="0.25">
      <c r="A2930" s="4">
        <v>39897</v>
      </c>
      <c r="B2930" s="5">
        <f>_xlfn.XLOOKUP(A2930,bunker_daily_raw!$A$2:$A$3819,bunker_daily_raw!$B$2:$B$3819)</f>
        <v>258</v>
      </c>
      <c r="C2930" s="6">
        <v>51.46</v>
      </c>
    </row>
    <row r="2931" spans="1:3" x14ac:dyDescent="0.25">
      <c r="A2931" s="4">
        <v>39898</v>
      </c>
      <c r="B2931" s="5">
        <f>_xlfn.XLOOKUP(A2931,bunker_daily_raw!$A$2:$A$3819,bunker_daily_raw!$B$2:$B$3819)</f>
        <v>262</v>
      </c>
      <c r="C2931" s="6">
        <v>51.89</v>
      </c>
    </row>
    <row r="2932" spans="1:3" x14ac:dyDescent="0.25">
      <c r="A2932" s="4">
        <v>39899</v>
      </c>
      <c r="B2932" s="5">
        <f>_xlfn.XLOOKUP(A2932,bunker_daily_raw!$A$2:$A$3819,bunker_daily_raw!$B$2:$B$3819)</f>
        <v>251</v>
      </c>
      <c r="C2932" s="6">
        <v>50.81</v>
      </c>
    </row>
    <row r="2933" spans="1:3" x14ac:dyDescent="0.25">
      <c r="A2933" s="4">
        <v>39902</v>
      </c>
      <c r="B2933" s="5">
        <f>_xlfn.XLOOKUP(A2933,bunker_daily_raw!$A$2:$A$3819,bunker_daily_raw!$B$2:$B$3819)</f>
        <v>246</v>
      </c>
      <c r="C2933" s="6">
        <v>49.05</v>
      </c>
    </row>
    <row r="2934" spans="1:3" x14ac:dyDescent="0.25">
      <c r="A2934" s="4">
        <v>39903</v>
      </c>
      <c r="B2934" s="5">
        <f>_xlfn.XLOOKUP(A2934,bunker_daily_raw!$A$2:$A$3819,bunker_daily_raw!$B$2:$B$3819)</f>
        <v>245</v>
      </c>
      <c r="C2934" s="6">
        <v>46.13</v>
      </c>
    </row>
    <row r="2935" spans="1:3" x14ac:dyDescent="0.25">
      <c r="A2935" s="4">
        <v>39904</v>
      </c>
      <c r="B2935" s="5">
        <f>_xlfn.XLOOKUP(A2935,bunker_daily_raw!$A$2:$A$3819,bunker_daily_raw!$B$2:$B$3819)</f>
        <v>245</v>
      </c>
      <c r="C2935" s="6">
        <v>45.92</v>
      </c>
    </row>
    <row r="2936" spans="1:3" x14ac:dyDescent="0.25">
      <c r="A2936" s="4">
        <v>39905</v>
      </c>
      <c r="B2936" s="5">
        <f>_xlfn.XLOOKUP(A2936,bunker_daily_raw!$A$2:$A$3819,bunker_daily_raw!$B$2:$B$3819)</f>
        <v>267</v>
      </c>
      <c r="C2936" s="6">
        <v>50.89</v>
      </c>
    </row>
    <row r="2937" spans="1:3" x14ac:dyDescent="0.25">
      <c r="A2937" s="4">
        <v>39906</v>
      </c>
      <c r="B2937" s="5">
        <f>_xlfn.XLOOKUP(A2937,bunker_daily_raw!$A$2:$A$3819,bunker_daily_raw!$B$2:$B$3819)</f>
        <v>263</v>
      </c>
      <c r="C2937" s="6">
        <v>50.48</v>
      </c>
    </row>
    <row r="2938" spans="1:3" x14ac:dyDescent="0.25">
      <c r="A2938" s="4">
        <v>39909</v>
      </c>
      <c r="B2938" s="5">
        <f>_xlfn.XLOOKUP(A2938,bunker_daily_raw!$A$2:$A$3819,bunker_daily_raw!$B$2:$B$3819)</f>
        <v>267</v>
      </c>
      <c r="C2938" s="6">
        <v>50.91</v>
      </c>
    </row>
    <row r="2939" spans="1:3" x14ac:dyDescent="0.25">
      <c r="A2939" s="4">
        <v>39910</v>
      </c>
      <c r="B2939" s="5">
        <f>_xlfn.XLOOKUP(A2939,bunker_daily_raw!$A$2:$A$3819,bunker_daily_raw!$B$2:$B$3819)</f>
        <v>269</v>
      </c>
      <c r="C2939" s="6">
        <v>50.62</v>
      </c>
    </row>
    <row r="2940" spans="1:3" x14ac:dyDescent="0.25">
      <c r="A2940" s="4">
        <v>39911</v>
      </c>
      <c r="B2940" s="5">
        <f>_xlfn.XLOOKUP(A2940,bunker_daily_raw!$A$2:$A$3819,bunker_daily_raw!$B$2:$B$3819)</f>
        <v>269</v>
      </c>
      <c r="C2940" s="6">
        <v>52.06</v>
      </c>
    </row>
    <row r="2941" spans="1:3" x14ac:dyDescent="0.25">
      <c r="A2941" s="4">
        <v>39912</v>
      </c>
      <c r="B2941" s="5">
        <f>_xlfn.XLOOKUP(A2941,bunker_daily_raw!$A$2:$A$3819,bunker_daily_raw!$B$2:$B$3819)</f>
        <v>270</v>
      </c>
      <c r="C2941" s="6">
        <v>52.33</v>
      </c>
    </row>
    <row r="2942" spans="1:3" x14ac:dyDescent="0.25">
      <c r="A2942" s="4">
        <v>39913</v>
      </c>
      <c r="B2942" s="5" t="e">
        <f>_xlfn.XLOOKUP(A2942,bunker_daily_raw!$A$2:$A$3819,bunker_daily_raw!$B$2:$B$3819)</f>
        <v>#N/A</v>
      </c>
      <c r="C2942" s="5"/>
    </row>
    <row r="2943" spans="1:3" x14ac:dyDescent="0.25">
      <c r="A2943" s="4">
        <v>39916</v>
      </c>
      <c r="B2943" s="5" t="e">
        <f>_xlfn.XLOOKUP(A2943,bunker_daily_raw!$A$2:$A$3819,bunker_daily_raw!$B$2:$B$3819)</f>
        <v>#N/A</v>
      </c>
      <c r="C2943" s="6">
        <v>50.73</v>
      </c>
    </row>
    <row r="2944" spans="1:3" x14ac:dyDescent="0.25">
      <c r="A2944" s="4">
        <v>39917</v>
      </c>
      <c r="B2944" s="5">
        <f>_xlfn.XLOOKUP(A2944,bunker_daily_raw!$A$2:$A$3819,bunker_daily_raw!$B$2:$B$3819)</f>
        <v>276</v>
      </c>
      <c r="C2944" s="6">
        <v>52.06</v>
      </c>
    </row>
    <row r="2945" spans="1:3" x14ac:dyDescent="0.25">
      <c r="A2945" s="4">
        <v>39918</v>
      </c>
      <c r="B2945" s="5">
        <f>_xlfn.XLOOKUP(A2945,bunker_daily_raw!$A$2:$A$3819,bunker_daily_raw!$B$2:$B$3819)</f>
        <v>274</v>
      </c>
      <c r="C2945" s="6">
        <v>51.31</v>
      </c>
    </row>
    <row r="2946" spans="1:3" x14ac:dyDescent="0.25">
      <c r="A2946" s="4">
        <v>39919</v>
      </c>
      <c r="B2946" s="5">
        <f>_xlfn.XLOOKUP(A2946,bunker_daily_raw!$A$2:$A$3819,bunker_daily_raw!$B$2:$B$3819)</f>
        <v>276</v>
      </c>
      <c r="C2946" s="6">
        <v>51.83</v>
      </c>
    </row>
    <row r="2947" spans="1:3" x14ac:dyDescent="0.25">
      <c r="A2947" s="4">
        <v>39920</v>
      </c>
      <c r="B2947" s="5">
        <f>_xlfn.XLOOKUP(A2947,bunker_daily_raw!$A$2:$A$3819,bunker_daily_raw!$B$2:$B$3819)</f>
        <v>273</v>
      </c>
      <c r="C2947" s="6">
        <v>52.02</v>
      </c>
    </row>
    <row r="2948" spans="1:3" x14ac:dyDescent="0.25">
      <c r="A2948" s="4">
        <v>39923</v>
      </c>
      <c r="B2948" s="5">
        <f>_xlfn.XLOOKUP(A2948,bunker_daily_raw!$A$2:$A$3819,bunker_daily_raw!$B$2:$B$3819)</f>
        <v>258</v>
      </c>
      <c r="C2948" s="6">
        <v>49.06</v>
      </c>
    </row>
    <row r="2949" spans="1:3" x14ac:dyDescent="0.25">
      <c r="A2949" s="4">
        <v>39924</v>
      </c>
      <c r="B2949" s="5">
        <f>_xlfn.XLOOKUP(A2949,bunker_daily_raw!$A$2:$A$3819,bunker_daily_raw!$B$2:$B$3819)</f>
        <v>257</v>
      </c>
      <c r="C2949" s="6">
        <v>48.69</v>
      </c>
    </row>
    <row r="2950" spans="1:3" x14ac:dyDescent="0.25">
      <c r="A2950" s="4">
        <v>39925</v>
      </c>
      <c r="B2950" s="5">
        <f>_xlfn.XLOOKUP(A2950,bunker_daily_raw!$A$2:$A$3819,bunker_daily_raw!$B$2:$B$3819)</f>
        <v>257</v>
      </c>
      <c r="C2950" s="6">
        <v>48.5</v>
      </c>
    </row>
    <row r="2951" spans="1:3" x14ac:dyDescent="0.25">
      <c r="A2951" s="4">
        <v>39926</v>
      </c>
      <c r="B2951" s="5">
        <f>_xlfn.XLOOKUP(A2951,bunker_daily_raw!$A$2:$A$3819,bunker_daily_raw!$B$2:$B$3819)</f>
        <v>260</v>
      </c>
      <c r="C2951" s="6">
        <v>48.29</v>
      </c>
    </row>
    <row r="2952" spans="1:3" x14ac:dyDescent="0.25">
      <c r="A2952" s="4">
        <v>39927</v>
      </c>
      <c r="B2952" s="5">
        <f>_xlfn.XLOOKUP(A2952,bunker_daily_raw!$A$2:$A$3819,bunker_daily_raw!$B$2:$B$3819)</f>
        <v>273</v>
      </c>
      <c r="C2952" s="6">
        <v>50.29</v>
      </c>
    </row>
    <row r="2953" spans="1:3" x14ac:dyDescent="0.25">
      <c r="A2953" s="4">
        <v>39930</v>
      </c>
      <c r="B2953" s="5">
        <f>_xlfn.XLOOKUP(A2953,bunker_daily_raw!$A$2:$A$3819,bunker_daily_raw!$B$2:$B$3819)</f>
        <v>263</v>
      </c>
      <c r="C2953" s="6">
        <v>48.67</v>
      </c>
    </row>
    <row r="2954" spans="1:3" x14ac:dyDescent="0.25">
      <c r="A2954" s="4">
        <v>39931</v>
      </c>
      <c r="B2954" s="5">
        <f>_xlfn.XLOOKUP(A2954,bunker_daily_raw!$A$2:$A$3819,bunker_daily_raw!$B$2:$B$3819)</f>
        <v>263</v>
      </c>
      <c r="C2954" s="6">
        <v>48.64</v>
      </c>
    </row>
    <row r="2955" spans="1:3" x14ac:dyDescent="0.25">
      <c r="A2955" s="4">
        <v>39932</v>
      </c>
      <c r="B2955" s="5">
        <f>_xlfn.XLOOKUP(A2955,bunker_daily_raw!$A$2:$A$3819,bunker_daily_raw!$B$2:$B$3819)</f>
        <v>270</v>
      </c>
      <c r="C2955" s="6">
        <v>50.22</v>
      </c>
    </row>
    <row r="2956" spans="1:3" x14ac:dyDescent="0.25">
      <c r="A2956" s="4">
        <v>39933</v>
      </c>
      <c r="B2956" s="5">
        <f>_xlfn.XLOOKUP(A2956,bunker_daily_raw!$A$2:$A$3819,bunker_daily_raw!$B$2:$B$3819)</f>
        <v>273</v>
      </c>
      <c r="C2956" s="6">
        <v>50.3</v>
      </c>
    </row>
    <row r="2957" spans="1:3" x14ac:dyDescent="0.25">
      <c r="A2957" s="4">
        <v>39934</v>
      </c>
      <c r="B2957" s="5">
        <f>_xlfn.XLOOKUP(A2957,bunker_daily_raw!$A$2:$A$3819,bunker_daily_raw!$B$2:$B$3819)</f>
        <v>285</v>
      </c>
      <c r="C2957" s="6">
        <v>51.75</v>
      </c>
    </row>
    <row r="2958" spans="1:3" x14ac:dyDescent="0.25">
      <c r="A2958" s="4">
        <v>39937</v>
      </c>
      <c r="B2958" s="5" t="e">
        <f>_xlfn.XLOOKUP(A2958,bunker_daily_raw!$A$2:$A$3819,bunker_daily_raw!$B$2:$B$3819)</f>
        <v>#N/A</v>
      </c>
      <c r="C2958" s="6">
        <v>53.26</v>
      </c>
    </row>
    <row r="2959" spans="1:3" x14ac:dyDescent="0.25">
      <c r="A2959" s="4">
        <v>39938</v>
      </c>
      <c r="B2959" s="5">
        <f>_xlfn.XLOOKUP(A2959,bunker_daily_raw!$A$2:$A$3819,bunker_daily_raw!$B$2:$B$3819)</f>
        <v>297</v>
      </c>
      <c r="C2959" s="6">
        <v>53.16</v>
      </c>
    </row>
    <row r="2960" spans="1:3" x14ac:dyDescent="0.25">
      <c r="A2960" s="4">
        <v>39939</v>
      </c>
      <c r="B2960" s="5">
        <f>_xlfn.XLOOKUP(A2960,bunker_daily_raw!$A$2:$A$3819,bunker_daily_raw!$B$2:$B$3819)</f>
        <v>309</v>
      </c>
      <c r="C2960" s="6">
        <v>55.07</v>
      </c>
    </row>
    <row r="2961" spans="1:3" x14ac:dyDescent="0.25">
      <c r="A2961" s="4">
        <v>39940</v>
      </c>
      <c r="B2961" s="5">
        <f>_xlfn.XLOOKUP(A2961,bunker_daily_raw!$A$2:$A$3819,bunker_daily_raw!$B$2:$B$3819)</f>
        <v>316</v>
      </c>
      <c r="C2961" s="6">
        <v>56.63</v>
      </c>
    </row>
    <row r="2962" spans="1:3" x14ac:dyDescent="0.25">
      <c r="A2962" s="4">
        <v>39941</v>
      </c>
      <c r="B2962" s="5">
        <f>_xlfn.XLOOKUP(A2962,bunker_daily_raw!$A$2:$A$3819,bunker_daily_raw!$B$2:$B$3819)</f>
        <v>318</v>
      </c>
      <c r="C2962" s="6">
        <v>56.02</v>
      </c>
    </row>
    <row r="2963" spans="1:3" x14ac:dyDescent="0.25">
      <c r="A2963" s="4">
        <v>39944</v>
      </c>
      <c r="B2963" s="5">
        <f>_xlfn.XLOOKUP(A2963,bunker_daily_raw!$A$2:$A$3819,bunker_daily_raw!$B$2:$B$3819)</f>
        <v>318</v>
      </c>
      <c r="C2963" s="6">
        <v>55.99</v>
      </c>
    </row>
    <row r="2964" spans="1:3" x14ac:dyDescent="0.25">
      <c r="A2964" s="4">
        <v>39945</v>
      </c>
      <c r="B2964" s="5">
        <f>_xlfn.XLOOKUP(A2964,bunker_daily_raw!$A$2:$A$3819,bunker_daily_raw!$B$2:$B$3819)</f>
        <v>325</v>
      </c>
      <c r="C2964" s="6">
        <v>56.52</v>
      </c>
    </row>
    <row r="2965" spans="1:3" x14ac:dyDescent="0.25">
      <c r="A2965" s="4">
        <v>39946</v>
      </c>
      <c r="B2965" s="5">
        <f>_xlfn.XLOOKUP(A2965,bunker_daily_raw!$A$2:$A$3819,bunker_daily_raw!$B$2:$B$3819)</f>
        <v>333</v>
      </c>
      <c r="C2965" s="6">
        <v>56.84</v>
      </c>
    </row>
    <row r="2966" spans="1:3" x14ac:dyDescent="0.25">
      <c r="A2966" s="4">
        <v>39947</v>
      </c>
      <c r="B2966" s="5">
        <f>_xlfn.XLOOKUP(A2966,bunker_daily_raw!$A$2:$A$3819,bunker_daily_raw!$B$2:$B$3819)</f>
        <v>318</v>
      </c>
      <c r="C2966" s="6">
        <v>56.25</v>
      </c>
    </row>
    <row r="2967" spans="1:3" x14ac:dyDescent="0.25">
      <c r="A2967" s="4">
        <v>39948</v>
      </c>
      <c r="B2967" s="5">
        <f>_xlfn.XLOOKUP(A2967,bunker_daily_raw!$A$2:$A$3819,bunker_daily_raw!$B$2:$B$3819)</f>
        <v>318</v>
      </c>
      <c r="C2967" s="6">
        <v>56.33</v>
      </c>
    </row>
    <row r="2968" spans="1:3" x14ac:dyDescent="0.25">
      <c r="A2968" s="4">
        <v>39951</v>
      </c>
      <c r="B2968" s="5">
        <f>_xlfn.XLOOKUP(A2968,bunker_daily_raw!$A$2:$A$3819,bunker_daily_raw!$B$2:$B$3819)</f>
        <v>322</v>
      </c>
      <c r="C2968" s="6">
        <v>56.51</v>
      </c>
    </row>
    <row r="2969" spans="1:3" x14ac:dyDescent="0.25">
      <c r="A2969" s="4">
        <v>39952</v>
      </c>
      <c r="B2969" s="5">
        <f>_xlfn.XLOOKUP(A2969,bunker_daily_raw!$A$2:$A$3819,bunker_daily_raw!$B$2:$B$3819)</f>
        <v>324</v>
      </c>
      <c r="C2969" s="6">
        <v>57.12</v>
      </c>
    </row>
    <row r="2970" spans="1:3" x14ac:dyDescent="0.25">
      <c r="A2970" s="4">
        <v>39953</v>
      </c>
      <c r="B2970" s="5">
        <f>_xlfn.XLOOKUP(A2970,bunker_daily_raw!$A$2:$A$3819,bunker_daily_raw!$B$2:$B$3819)</f>
        <v>337</v>
      </c>
      <c r="C2970" s="6">
        <v>59.1</v>
      </c>
    </row>
    <row r="2971" spans="1:3" x14ac:dyDescent="0.25">
      <c r="A2971" s="4">
        <v>39954</v>
      </c>
      <c r="B2971" s="5">
        <f>_xlfn.XLOOKUP(A2971,bunker_daily_raw!$A$2:$A$3819,bunker_daily_raw!$B$2:$B$3819)</f>
        <v>326</v>
      </c>
      <c r="C2971" s="6">
        <v>58.02</v>
      </c>
    </row>
    <row r="2972" spans="1:3" x14ac:dyDescent="0.25">
      <c r="A2972" s="4">
        <v>39955</v>
      </c>
      <c r="B2972" s="5">
        <f>_xlfn.XLOOKUP(A2972,bunker_daily_raw!$A$2:$A$3819,bunker_daily_raw!$B$2:$B$3819)</f>
        <v>326</v>
      </c>
      <c r="C2972" s="6">
        <v>58.7</v>
      </c>
    </row>
    <row r="2973" spans="1:3" x14ac:dyDescent="0.25">
      <c r="A2973" s="4">
        <v>39958</v>
      </c>
      <c r="B2973" s="5" t="e">
        <f>_xlfn.XLOOKUP(A2973,bunker_daily_raw!$A$2:$A$3819,bunker_daily_raw!$B$2:$B$3819)</f>
        <v>#N/A</v>
      </c>
      <c r="C2973" s="5"/>
    </row>
    <row r="2974" spans="1:3" x14ac:dyDescent="0.25">
      <c r="A2974" s="4">
        <v>39959</v>
      </c>
      <c r="B2974" s="5">
        <f>_xlfn.XLOOKUP(A2974,bunker_daily_raw!$A$2:$A$3819,bunker_daily_raw!$B$2:$B$3819)</f>
        <v>327</v>
      </c>
      <c r="C2974" s="6">
        <v>59.05</v>
      </c>
    </row>
    <row r="2975" spans="1:3" x14ac:dyDescent="0.25">
      <c r="A2975" s="4">
        <v>39960</v>
      </c>
      <c r="B2975" s="5">
        <f>_xlfn.XLOOKUP(A2975,bunker_daily_raw!$A$2:$A$3819,bunker_daily_raw!$B$2:$B$3819)</f>
        <v>336</v>
      </c>
      <c r="C2975" s="6">
        <v>61.28</v>
      </c>
    </row>
    <row r="2976" spans="1:3" x14ac:dyDescent="0.25">
      <c r="A2976" s="4">
        <v>39961</v>
      </c>
      <c r="B2976" s="5">
        <f>_xlfn.XLOOKUP(A2976,bunker_daily_raw!$A$2:$A$3819,bunker_daily_raw!$B$2:$B$3819)</f>
        <v>346</v>
      </c>
      <c r="C2976" s="6">
        <v>63.47</v>
      </c>
    </row>
    <row r="2977" spans="1:3" x14ac:dyDescent="0.25">
      <c r="A2977" s="4">
        <v>39962</v>
      </c>
      <c r="B2977" s="5">
        <f>_xlfn.XLOOKUP(A2977,bunker_daily_raw!$A$2:$A$3819,bunker_daily_raw!$B$2:$B$3819)</f>
        <v>355</v>
      </c>
      <c r="C2977" s="6">
        <v>64.98</v>
      </c>
    </row>
    <row r="2978" spans="1:3" x14ac:dyDescent="0.25">
      <c r="A2978" s="4">
        <v>39965</v>
      </c>
      <c r="B2978" s="5">
        <f>_xlfn.XLOOKUP(A2978,bunker_daily_raw!$A$2:$A$3819,bunker_daily_raw!$B$2:$B$3819)</f>
        <v>378</v>
      </c>
      <c r="C2978" s="6">
        <v>66.599999999999994</v>
      </c>
    </row>
    <row r="2979" spans="1:3" x14ac:dyDescent="0.25">
      <c r="A2979" s="4">
        <v>39966</v>
      </c>
      <c r="B2979" s="5">
        <f>_xlfn.XLOOKUP(A2979,bunker_daily_raw!$A$2:$A$3819,bunker_daily_raw!$B$2:$B$3819)</f>
        <v>384</v>
      </c>
      <c r="C2979" s="6">
        <v>67.67</v>
      </c>
    </row>
    <row r="2980" spans="1:3" x14ac:dyDescent="0.25">
      <c r="A2980" s="4">
        <v>39967</v>
      </c>
      <c r="B2980" s="5">
        <f>_xlfn.XLOOKUP(A2980,bunker_daily_raw!$A$2:$A$3819,bunker_daily_raw!$B$2:$B$3819)</f>
        <v>365</v>
      </c>
      <c r="C2980" s="6">
        <v>66.150000000000006</v>
      </c>
    </row>
    <row r="2981" spans="1:3" x14ac:dyDescent="0.25">
      <c r="A2981" s="4">
        <v>39968</v>
      </c>
      <c r="B2981" s="5">
        <f>_xlfn.XLOOKUP(A2981,bunker_daily_raw!$A$2:$A$3819,bunker_daily_raw!$B$2:$B$3819)</f>
        <v>375</v>
      </c>
      <c r="C2981" s="6">
        <v>67.680000000000007</v>
      </c>
    </row>
    <row r="2982" spans="1:3" x14ac:dyDescent="0.25">
      <c r="A2982" s="4">
        <v>39969</v>
      </c>
      <c r="B2982" s="5">
        <f>_xlfn.XLOOKUP(A2982,bunker_daily_raw!$A$2:$A$3819,bunker_daily_raw!$B$2:$B$3819)</f>
        <v>375</v>
      </c>
      <c r="C2982" s="6">
        <v>67.77</v>
      </c>
    </row>
    <row r="2983" spans="1:3" x14ac:dyDescent="0.25">
      <c r="A2983" s="4">
        <v>39972</v>
      </c>
      <c r="B2983" s="5">
        <f>_xlfn.XLOOKUP(A2983,bunker_daily_raw!$A$2:$A$3819,bunker_daily_raw!$B$2:$B$3819)</f>
        <v>380</v>
      </c>
      <c r="C2983" s="6">
        <v>67.61</v>
      </c>
    </row>
    <row r="2984" spans="1:3" x14ac:dyDescent="0.25">
      <c r="A2984" s="4">
        <v>39973</v>
      </c>
      <c r="B2984" s="5">
        <f>_xlfn.XLOOKUP(A2984,bunker_daily_raw!$A$2:$A$3819,bunker_daily_raw!$B$2:$B$3819)</f>
        <v>384</v>
      </c>
      <c r="C2984" s="6">
        <v>68.94</v>
      </c>
    </row>
    <row r="2985" spans="1:3" x14ac:dyDescent="0.25">
      <c r="A2985" s="4">
        <v>39974</v>
      </c>
      <c r="B2985" s="5">
        <f>_xlfn.XLOOKUP(A2985,bunker_daily_raw!$A$2:$A$3819,bunker_daily_raw!$B$2:$B$3819)</f>
        <v>379</v>
      </c>
      <c r="C2985" s="6">
        <v>70.52</v>
      </c>
    </row>
    <row r="2986" spans="1:3" x14ac:dyDescent="0.25">
      <c r="A2986" s="4">
        <v>39975</v>
      </c>
      <c r="B2986" s="5">
        <f>_xlfn.XLOOKUP(A2986,bunker_daily_raw!$A$2:$A$3819,bunker_daily_raw!$B$2:$B$3819)</f>
        <v>384</v>
      </c>
      <c r="C2986" s="6">
        <v>71.709999999999994</v>
      </c>
    </row>
    <row r="2987" spans="1:3" x14ac:dyDescent="0.25">
      <c r="A2987" s="4">
        <v>39976</v>
      </c>
      <c r="B2987" s="5">
        <f>_xlfn.XLOOKUP(A2987,bunker_daily_raw!$A$2:$A$3819,bunker_daily_raw!$B$2:$B$3819)</f>
        <v>371</v>
      </c>
      <c r="C2987" s="6">
        <v>70.62</v>
      </c>
    </row>
    <row r="2988" spans="1:3" x14ac:dyDescent="0.25">
      <c r="A2988" s="4">
        <v>39979</v>
      </c>
      <c r="B2988" s="5">
        <f>_xlfn.XLOOKUP(A2988,bunker_daily_raw!$A$2:$A$3819,bunker_daily_raw!$B$2:$B$3819)</f>
        <v>355</v>
      </c>
      <c r="C2988" s="6">
        <v>68.489999999999995</v>
      </c>
    </row>
    <row r="2989" spans="1:3" x14ac:dyDescent="0.25">
      <c r="A2989" s="4">
        <v>39980</v>
      </c>
      <c r="B2989" s="5">
        <f>_xlfn.XLOOKUP(A2989,bunker_daily_raw!$A$2:$A$3819,bunker_daily_raw!$B$2:$B$3819)</f>
        <v>375</v>
      </c>
      <c r="C2989" s="6">
        <v>70.52</v>
      </c>
    </row>
    <row r="2990" spans="1:3" x14ac:dyDescent="0.25">
      <c r="A2990" s="4">
        <v>39981</v>
      </c>
      <c r="B2990" s="5">
        <f>_xlfn.XLOOKUP(A2990,bunker_daily_raw!$A$2:$A$3819,bunker_daily_raw!$B$2:$B$3819)</f>
        <v>368</v>
      </c>
      <c r="C2990" s="6">
        <v>68.95</v>
      </c>
    </row>
    <row r="2991" spans="1:3" x14ac:dyDescent="0.25">
      <c r="A2991" s="4">
        <v>39982</v>
      </c>
      <c r="B2991" s="5">
        <f>_xlfn.XLOOKUP(A2991,bunker_daily_raw!$A$2:$A$3819,bunker_daily_raw!$B$2:$B$3819)</f>
        <v>381</v>
      </c>
      <c r="C2991" s="6">
        <v>69.959999999999994</v>
      </c>
    </row>
    <row r="2992" spans="1:3" x14ac:dyDescent="0.25">
      <c r="A2992" s="4">
        <v>39983</v>
      </c>
      <c r="B2992" s="5">
        <f>_xlfn.XLOOKUP(A2992,bunker_daily_raw!$A$2:$A$3819,bunker_daily_raw!$B$2:$B$3819)</f>
        <v>380</v>
      </c>
      <c r="C2992" s="6">
        <v>70.48</v>
      </c>
    </row>
    <row r="2993" spans="1:3" x14ac:dyDescent="0.25">
      <c r="A2993" s="4">
        <v>39986</v>
      </c>
      <c r="B2993" s="5">
        <f>_xlfn.XLOOKUP(A2993,bunker_daily_raw!$A$2:$A$3819,bunker_daily_raw!$B$2:$B$3819)</f>
        <v>360</v>
      </c>
      <c r="C2993" s="6">
        <v>66.13</v>
      </c>
    </row>
    <row r="2994" spans="1:3" x14ac:dyDescent="0.25">
      <c r="A2994" s="4">
        <v>39987</v>
      </c>
      <c r="B2994" s="5">
        <f>_xlfn.XLOOKUP(A2994,bunker_daily_raw!$A$2:$A$3819,bunker_daily_raw!$B$2:$B$3819)</f>
        <v>364</v>
      </c>
      <c r="C2994" s="6">
        <v>66.36</v>
      </c>
    </row>
    <row r="2995" spans="1:3" x14ac:dyDescent="0.25">
      <c r="A2995" s="4">
        <v>39988</v>
      </c>
      <c r="B2995" s="5">
        <f>_xlfn.XLOOKUP(A2995,bunker_daily_raw!$A$2:$A$3819,bunker_daily_raw!$B$2:$B$3819)</f>
        <v>373</v>
      </c>
      <c r="C2995" s="6">
        <v>68.47</v>
      </c>
    </row>
    <row r="2996" spans="1:3" x14ac:dyDescent="0.25">
      <c r="A2996" s="4">
        <v>39989</v>
      </c>
      <c r="B2996" s="5">
        <f>_xlfn.XLOOKUP(A2996,bunker_daily_raw!$A$2:$A$3819,bunker_daily_raw!$B$2:$B$3819)</f>
        <v>378</v>
      </c>
      <c r="C2996" s="6">
        <v>68.819999999999993</v>
      </c>
    </row>
    <row r="2997" spans="1:3" x14ac:dyDescent="0.25">
      <c r="A2997" s="4">
        <v>39990</v>
      </c>
      <c r="B2997" s="5">
        <f>_xlfn.XLOOKUP(A2997,bunker_daily_raw!$A$2:$A$3819,bunker_daily_raw!$B$2:$B$3819)</f>
        <v>371</v>
      </c>
      <c r="C2997" s="6">
        <v>68.099999999999994</v>
      </c>
    </row>
    <row r="2998" spans="1:3" x14ac:dyDescent="0.25">
      <c r="A2998" s="4">
        <v>39993</v>
      </c>
      <c r="B2998" s="5">
        <f>_xlfn.XLOOKUP(A2998,bunker_daily_raw!$A$2:$A$3819,bunker_daily_raw!$B$2:$B$3819)</f>
        <v>386</v>
      </c>
      <c r="C2998" s="6">
        <v>69.75</v>
      </c>
    </row>
    <row r="2999" spans="1:3" x14ac:dyDescent="0.25">
      <c r="A2999" s="4">
        <v>39994</v>
      </c>
      <c r="B2999" s="5">
        <f>_xlfn.XLOOKUP(A2999,bunker_daily_raw!$A$2:$A$3819,bunker_daily_raw!$B$2:$B$3819)</f>
        <v>378</v>
      </c>
      <c r="C2999" s="6">
        <v>68.11</v>
      </c>
    </row>
    <row r="3000" spans="1:3" x14ac:dyDescent="0.25">
      <c r="A3000" s="4">
        <v>39995</v>
      </c>
      <c r="B3000" s="5">
        <f>_xlfn.XLOOKUP(A3000,bunker_daily_raw!$A$2:$A$3819,bunker_daily_raw!$B$2:$B$3819)</f>
        <v>397</v>
      </c>
      <c r="C3000" s="6">
        <v>68.52</v>
      </c>
    </row>
    <row r="3001" spans="1:3" x14ac:dyDescent="0.25">
      <c r="A3001" s="4">
        <v>39996</v>
      </c>
      <c r="B3001" s="5">
        <f>_xlfn.XLOOKUP(A3001,bunker_daily_raw!$A$2:$A$3819,bunker_daily_raw!$B$2:$B$3819)</f>
        <v>377</v>
      </c>
      <c r="C3001" s="6">
        <v>65.739999999999995</v>
      </c>
    </row>
    <row r="3002" spans="1:3" x14ac:dyDescent="0.25">
      <c r="A3002" s="4">
        <v>39997</v>
      </c>
      <c r="B3002" s="5">
        <f>_xlfn.XLOOKUP(A3002,bunker_daily_raw!$A$2:$A$3819,bunker_daily_raw!$B$2:$B$3819)</f>
        <v>371</v>
      </c>
      <c r="C3002" s="5"/>
    </row>
    <row r="3003" spans="1:3" x14ac:dyDescent="0.25">
      <c r="A3003" s="4">
        <v>40000</v>
      </c>
      <c r="B3003" s="5">
        <f>_xlfn.XLOOKUP(A3003,bunker_daily_raw!$A$2:$A$3819,bunker_daily_raw!$B$2:$B$3819)</f>
        <v>371</v>
      </c>
      <c r="C3003" s="6">
        <v>63.12</v>
      </c>
    </row>
    <row r="3004" spans="1:3" x14ac:dyDescent="0.25">
      <c r="A3004" s="4">
        <v>40001</v>
      </c>
      <c r="B3004" s="5">
        <f>_xlfn.XLOOKUP(A3004,bunker_daily_raw!$A$2:$A$3819,bunker_daily_raw!$B$2:$B$3819)</f>
        <v>356</v>
      </c>
      <c r="C3004" s="6">
        <v>61.54</v>
      </c>
    </row>
    <row r="3005" spans="1:3" x14ac:dyDescent="0.25">
      <c r="A3005" s="4">
        <v>40002</v>
      </c>
      <c r="B3005" s="5">
        <f>_xlfn.XLOOKUP(A3005,bunker_daily_raw!$A$2:$A$3819,bunker_daily_raw!$B$2:$B$3819)</f>
        <v>353</v>
      </c>
      <c r="C3005" s="6">
        <v>59.71</v>
      </c>
    </row>
    <row r="3006" spans="1:3" x14ac:dyDescent="0.25">
      <c r="A3006" s="4">
        <v>40003</v>
      </c>
      <c r="B3006" s="5">
        <f>_xlfn.XLOOKUP(A3006,bunker_daily_raw!$A$2:$A$3819,bunker_daily_raw!$B$2:$B$3819)</f>
        <v>352</v>
      </c>
      <c r="C3006" s="6">
        <v>59.17</v>
      </c>
    </row>
    <row r="3007" spans="1:3" x14ac:dyDescent="0.25">
      <c r="A3007" s="4">
        <v>40004</v>
      </c>
      <c r="B3007" s="5">
        <f>_xlfn.XLOOKUP(A3007,bunker_daily_raw!$A$2:$A$3819,bunker_daily_raw!$B$2:$B$3819)</f>
        <v>347</v>
      </c>
      <c r="C3007" s="6">
        <v>58.43</v>
      </c>
    </row>
    <row r="3008" spans="1:3" x14ac:dyDescent="0.25">
      <c r="A3008" s="4">
        <v>40007</v>
      </c>
      <c r="B3008" s="5">
        <f>_xlfn.XLOOKUP(A3008,bunker_daily_raw!$A$2:$A$3819,bunker_daily_raw!$B$2:$B$3819)</f>
        <v>351</v>
      </c>
      <c r="C3008" s="6">
        <v>58.25</v>
      </c>
    </row>
    <row r="3009" spans="1:3" x14ac:dyDescent="0.25">
      <c r="A3009" s="4">
        <v>40008</v>
      </c>
      <c r="B3009" s="5">
        <f>_xlfn.XLOOKUP(A3009,bunker_daily_raw!$A$2:$A$3819,bunker_daily_raw!$B$2:$B$3819)</f>
        <v>362</v>
      </c>
      <c r="C3009" s="6">
        <v>60.48</v>
      </c>
    </row>
    <row r="3010" spans="1:3" x14ac:dyDescent="0.25">
      <c r="A3010" s="4">
        <v>40009</v>
      </c>
      <c r="B3010" s="5">
        <f>_xlfn.XLOOKUP(A3010,bunker_daily_raw!$A$2:$A$3819,bunker_daily_raw!$B$2:$B$3819)</f>
        <v>376</v>
      </c>
      <c r="C3010" s="6">
        <v>61.25</v>
      </c>
    </row>
    <row r="3011" spans="1:3" x14ac:dyDescent="0.25">
      <c r="A3011" s="4">
        <v>40010</v>
      </c>
      <c r="B3011" s="5">
        <f>_xlfn.XLOOKUP(A3011,bunker_daily_raw!$A$2:$A$3819,bunker_daily_raw!$B$2:$B$3819)</f>
        <v>376</v>
      </c>
      <c r="C3011" s="6">
        <v>62.02</v>
      </c>
    </row>
    <row r="3012" spans="1:3" x14ac:dyDescent="0.25">
      <c r="A3012" s="4">
        <v>40011</v>
      </c>
      <c r="B3012" s="5">
        <f>_xlfn.XLOOKUP(A3012,bunker_daily_raw!$A$2:$A$3819,bunker_daily_raw!$B$2:$B$3819)</f>
        <v>374</v>
      </c>
      <c r="C3012" s="6">
        <v>63.54</v>
      </c>
    </row>
    <row r="3013" spans="1:3" x14ac:dyDescent="0.25">
      <c r="A3013" s="4">
        <v>40014</v>
      </c>
      <c r="B3013" s="5">
        <f>_xlfn.XLOOKUP(A3013,bunker_daily_raw!$A$2:$A$3819,bunker_daily_raw!$B$2:$B$3819)</f>
        <v>374</v>
      </c>
      <c r="C3013" s="6">
        <v>64.64</v>
      </c>
    </row>
    <row r="3014" spans="1:3" x14ac:dyDescent="0.25">
      <c r="A3014" s="4">
        <v>40015</v>
      </c>
      <c r="B3014" s="5">
        <f>_xlfn.XLOOKUP(A3014,bunker_daily_raw!$A$2:$A$3819,bunker_daily_raw!$B$2:$B$3819)</f>
        <v>388</v>
      </c>
      <c r="C3014" s="6">
        <v>65.930000000000007</v>
      </c>
    </row>
    <row r="3015" spans="1:3" x14ac:dyDescent="0.25">
      <c r="A3015" s="4">
        <v>40016</v>
      </c>
      <c r="B3015" s="5">
        <f>_xlfn.XLOOKUP(A3015,bunker_daily_raw!$A$2:$A$3819,bunker_daily_raw!$B$2:$B$3819)</f>
        <v>386</v>
      </c>
      <c r="C3015" s="6">
        <v>65.36</v>
      </c>
    </row>
    <row r="3016" spans="1:3" x14ac:dyDescent="0.25">
      <c r="A3016" s="4">
        <v>40017</v>
      </c>
      <c r="B3016" s="5">
        <f>_xlfn.XLOOKUP(A3016,bunker_daily_raw!$A$2:$A$3819,bunker_daily_raw!$B$2:$B$3819)</f>
        <v>391</v>
      </c>
      <c r="C3016" s="6">
        <v>68.06</v>
      </c>
    </row>
    <row r="3017" spans="1:3" x14ac:dyDescent="0.25">
      <c r="A3017" s="4">
        <v>40018</v>
      </c>
      <c r="B3017" s="5">
        <f>_xlfn.XLOOKUP(A3017,bunker_daily_raw!$A$2:$A$3819,bunker_daily_raw!$B$2:$B$3819)</f>
        <v>392</v>
      </c>
      <c r="C3017" s="6">
        <v>68.819999999999993</v>
      </c>
    </row>
    <row r="3018" spans="1:3" x14ac:dyDescent="0.25">
      <c r="A3018" s="4">
        <v>40021</v>
      </c>
      <c r="B3018" s="5">
        <f>_xlfn.XLOOKUP(A3018,bunker_daily_raw!$A$2:$A$3819,bunker_daily_raw!$B$2:$B$3819)</f>
        <v>399</v>
      </c>
      <c r="C3018" s="6">
        <v>69.78</v>
      </c>
    </row>
    <row r="3019" spans="1:3" x14ac:dyDescent="0.25">
      <c r="A3019" s="4">
        <v>40022</v>
      </c>
      <c r="B3019" s="5">
        <f>_xlfn.XLOOKUP(A3019,bunker_daily_raw!$A$2:$A$3819,bunker_daily_raw!$B$2:$B$3819)</f>
        <v>390</v>
      </c>
      <c r="C3019" s="6">
        <v>68.53</v>
      </c>
    </row>
    <row r="3020" spans="1:3" x14ac:dyDescent="0.25">
      <c r="A3020" s="4">
        <v>40023</v>
      </c>
      <c r="B3020" s="5">
        <f>_xlfn.XLOOKUP(A3020,bunker_daily_raw!$A$2:$A$3819,bunker_daily_raw!$B$2:$B$3819)</f>
        <v>375</v>
      </c>
      <c r="C3020" s="6">
        <v>65.790000000000006</v>
      </c>
    </row>
    <row r="3021" spans="1:3" x14ac:dyDescent="0.25">
      <c r="A3021" s="4">
        <v>40024</v>
      </c>
      <c r="B3021" s="5">
        <f>_xlfn.XLOOKUP(A3021,bunker_daily_raw!$A$2:$A$3819,bunker_daily_raw!$B$2:$B$3819)</f>
        <v>375</v>
      </c>
      <c r="C3021" s="6">
        <v>68.819999999999993</v>
      </c>
    </row>
    <row r="3022" spans="1:3" x14ac:dyDescent="0.25">
      <c r="A3022" s="4">
        <v>40025</v>
      </c>
      <c r="B3022" s="5">
        <f>_xlfn.XLOOKUP(A3022,bunker_daily_raw!$A$2:$A$3819,bunker_daily_raw!$B$2:$B$3819)</f>
        <v>400</v>
      </c>
      <c r="C3022" s="6">
        <v>70.08</v>
      </c>
    </row>
    <row r="3023" spans="1:3" x14ac:dyDescent="0.25">
      <c r="A3023" s="4">
        <v>40028</v>
      </c>
      <c r="B3023" s="5">
        <f>_xlfn.XLOOKUP(A3023,bunker_daily_raw!$A$2:$A$3819,bunker_daily_raw!$B$2:$B$3819)</f>
        <v>425</v>
      </c>
      <c r="C3023" s="6">
        <v>72.900000000000006</v>
      </c>
    </row>
    <row r="3024" spans="1:3" x14ac:dyDescent="0.25">
      <c r="A3024" s="4">
        <v>40029</v>
      </c>
      <c r="B3024" s="5">
        <f>_xlfn.XLOOKUP(A3024,bunker_daily_raw!$A$2:$A$3819,bunker_daily_raw!$B$2:$B$3819)</f>
        <v>431</v>
      </c>
      <c r="C3024" s="6">
        <v>73.819999999999993</v>
      </c>
    </row>
    <row r="3025" spans="1:3" x14ac:dyDescent="0.25">
      <c r="A3025" s="4">
        <v>40030</v>
      </c>
      <c r="B3025" s="5">
        <f>_xlfn.XLOOKUP(A3025,bunker_daily_raw!$A$2:$A$3819,bunker_daily_raw!$B$2:$B$3819)</f>
        <v>429</v>
      </c>
      <c r="C3025" s="6">
        <v>74.39</v>
      </c>
    </row>
    <row r="3026" spans="1:3" x14ac:dyDescent="0.25">
      <c r="A3026" s="4">
        <v>40031</v>
      </c>
      <c r="B3026" s="5">
        <f>_xlfn.XLOOKUP(A3026,bunker_daily_raw!$A$2:$A$3819,bunker_daily_raw!$B$2:$B$3819)</f>
        <v>417</v>
      </c>
      <c r="C3026" s="6">
        <v>74.61</v>
      </c>
    </row>
    <row r="3027" spans="1:3" x14ac:dyDescent="0.25">
      <c r="A3027" s="4">
        <v>40032</v>
      </c>
      <c r="B3027" s="5">
        <f>_xlfn.XLOOKUP(A3027,bunker_daily_raw!$A$2:$A$3819,bunker_daily_raw!$B$2:$B$3819)</f>
        <v>407</v>
      </c>
      <c r="C3027" s="6">
        <v>74.209999999999994</v>
      </c>
    </row>
    <row r="3028" spans="1:3" x14ac:dyDescent="0.25">
      <c r="A3028" s="4">
        <v>40035</v>
      </c>
      <c r="B3028" s="5">
        <f>_xlfn.XLOOKUP(A3028,bunker_daily_raw!$A$2:$A$3819,bunker_daily_raw!$B$2:$B$3819)</f>
        <v>412</v>
      </c>
      <c r="C3028" s="6">
        <v>73.790000000000006</v>
      </c>
    </row>
    <row r="3029" spans="1:3" x14ac:dyDescent="0.25">
      <c r="A3029" s="4">
        <v>40036</v>
      </c>
      <c r="B3029" s="5">
        <f>_xlfn.XLOOKUP(A3029,bunker_daily_raw!$A$2:$A$3819,bunker_daily_raw!$B$2:$B$3819)</f>
        <v>407</v>
      </c>
      <c r="C3029" s="6">
        <v>71.58</v>
      </c>
    </row>
    <row r="3030" spans="1:3" x14ac:dyDescent="0.25">
      <c r="A3030" s="4">
        <v>40037</v>
      </c>
      <c r="B3030" s="5">
        <f>_xlfn.XLOOKUP(A3030,bunker_daily_raw!$A$2:$A$3819,bunker_daily_raw!$B$2:$B$3819)</f>
        <v>432</v>
      </c>
      <c r="C3030" s="6">
        <v>74.03</v>
      </c>
    </row>
    <row r="3031" spans="1:3" x14ac:dyDescent="0.25">
      <c r="A3031" s="4">
        <v>40038</v>
      </c>
      <c r="B3031" s="5">
        <f>_xlfn.XLOOKUP(A3031,bunker_daily_raw!$A$2:$A$3819,bunker_daily_raw!$B$2:$B$3819)</f>
        <v>423</v>
      </c>
      <c r="C3031" s="6">
        <v>73.760000000000005</v>
      </c>
    </row>
    <row r="3032" spans="1:3" x14ac:dyDescent="0.25">
      <c r="A3032" s="4">
        <v>40039</v>
      </c>
      <c r="B3032" s="5">
        <f>_xlfn.XLOOKUP(A3032,bunker_daily_raw!$A$2:$A$3819,bunker_daily_raw!$B$2:$B$3819)</f>
        <v>409</v>
      </c>
      <c r="C3032" s="6">
        <v>71.33</v>
      </c>
    </row>
    <row r="3033" spans="1:3" x14ac:dyDescent="0.25">
      <c r="A3033" s="4">
        <v>40042</v>
      </c>
      <c r="B3033" s="5">
        <f>_xlfn.XLOOKUP(A3033,bunker_daily_raw!$A$2:$A$3819,bunker_daily_raw!$B$2:$B$3819)</f>
        <v>396.75</v>
      </c>
      <c r="C3033" s="6">
        <v>68.650000000000006</v>
      </c>
    </row>
    <row r="3034" spans="1:3" x14ac:dyDescent="0.25">
      <c r="A3034" s="4">
        <v>40043</v>
      </c>
      <c r="B3034" s="5">
        <f>_xlfn.XLOOKUP(A3034,bunker_daily_raw!$A$2:$A$3819,bunker_daily_raw!$B$2:$B$3819)</f>
        <v>408</v>
      </c>
      <c r="C3034" s="6">
        <v>68.66</v>
      </c>
    </row>
    <row r="3035" spans="1:3" x14ac:dyDescent="0.25">
      <c r="A3035" s="4">
        <v>40044</v>
      </c>
      <c r="B3035" s="5">
        <f>_xlfn.XLOOKUP(A3035,bunker_daily_raw!$A$2:$A$3819,bunker_daily_raw!$B$2:$B$3819)</f>
        <v>427</v>
      </c>
      <c r="C3035" s="6">
        <v>72.81</v>
      </c>
    </row>
    <row r="3036" spans="1:3" x14ac:dyDescent="0.25">
      <c r="A3036" s="4">
        <v>40045</v>
      </c>
      <c r="B3036" s="5">
        <f>_xlfn.XLOOKUP(A3036,bunker_daily_raw!$A$2:$A$3819,bunker_daily_raw!$B$2:$B$3819)</f>
        <v>425</v>
      </c>
      <c r="C3036" s="6">
        <v>73.75</v>
      </c>
    </row>
    <row r="3037" spans="1:3" x14ac:dyDescent="0.25">
      <c r="A3037" s="4">
        <v>40046</v>
      </c>
      <c r="B3037" s="5">
        <f>_xlfn.XLOOKUP(A3037,bunker_daily_raw!$A$2:$A$3819,bunker_daily_raw!$B$2:$B$3819)</f>
        <v>426</v>
      </c>
      <c r="C3037" s="6">
        <v>73.709999999999994</v>
      </c>
    </row>
    <row r="3038" spans="1:3" x14ac:dyDescent="0.25">
      <c r="A3038" s="4">
        <v>40049</v>
      </c>
      <c r="B3038" s="5">
        <f>_xlfn.XLOOKUP(A3038,bunker_daily_raw!$A$2:$A$3819,bunker_daily_raw!$B$2:$B$3819)</f>
        <v>448</v>
      </c>
      <c r="C3038" s="6">
        <v>74.34</v>
      </c>
    </row>
    <row r="3039" spans="1:3" x14ac:dyDescent="0.25">
      <c r="A3039" s="4">
        <v>40050</v>
      </c>
      <c r="B3039" s="5">
        <f>_xlfn.XLOOKUP(A3039,bunker_daily_raw!$A$2:$A$3819,bunker_daily_raw!$B$2:$B$3819)</f>
        <v>444</v>
      </c>
      <c r="C3039" s="6">
        <v>73.099999999999994</v>
      </c>
    </row>
    <row r="3040" spans="1:3" x14ac:dyDescent="0.25">
      <c r="A3040" s="4">
        <v>40051</v>
      </c>
      <c r="B3040" s="5">
        <f>_xlfn.XLOOKUP(A3040,bunker_daily_raw!$A$2:$A$3819,bunker_daily_raw!$B$2:$B$3819)</f>
        <v>416</v>
      </c>
      <c r="C3040" s="6">
        <v>70.739999999999995</v>
      </c>
    </row>
    <row r="3041" spans="1:3" x14ac:dyDescent="0.25">
      <c r="A3041" s="4">
        <v>40052</v>
      </c>
      <c r="B3041" s="5">
        <f>_xlfn.XLOOKUP(A3041,bunker_daily_raw!$A$2:$A$3819,bunker_daily_raw!$B$2:$B$3819)</f>
        <v>414</v>
      </c>
      <c r="C3041" s="6">
        <v>70.680000000000007</v>
      </c>
    </row>
    <row r="3042" spans="1:3" x14ac:dyDescent="0.25">
      <c r="A3042" s="4">
        <v>40053</v>
      </c>
      <c r="B3042" s="5">
        <f>_xlfn.XLOOKUP(A3042,bunker_daily_raw!$A$2:$A$3819,bunker_daily_raw!$B$2:$B$3819)</f>
        <v>424</v>
      </c>
      <c r="C3042" s="6">
        <v>72.8</v>
      </c>
    </row>
    <row r="3043" spans="1:3" x14ac:dyDescent="0.25">
      <c r="A3043" s="4">
        <v>40056</v>
      </c>
      <c r="B3043" s="5" t="e">
        <f>_xlfn.XLOOKUP(A3043,bunker_daily_raw!$A$2:$A$3819,bunker_daily_raw!$B$2:$B$3819)</f>
        <v>#N/A</v>
      </c>
      <c r="C3043" s="6">
        <v>69.02</v>
      </c>
    </row>
    <row r="3044" spans="1:3" x14ac:dyDescent="0.25">
      <c r="A3044" s="4">
        <v>40057</v>
      </c>
      <c r="B3044" s="5">
        <f>_xlfn.XLOOKUP(A3044,bunker_daily_raw!$A$2:$A$3819,bunker_daily_raw!$B$2:$B$3819)</f>
        <v>408</v>
      </c>
      <c r="C3044" s="6">
        <v>68.78</v>
      </c>
    </row>
    <row r="3045" spans="1:3" x14ac:dyDescent="0.25">
      <c r="A3045" s="4">
        <v>40058</v>
      </c>
      <c r="B3045" s="5">
        <f>_xlfn.XLOOKUP(A3045,bunker_daily_raw!$A$2:$A$3819,bunker_daily_raw!$B$2:$B$3819)</f>
        <v>399</v>
      </c>
      <c r="C3045" s="6">
        <v>67.599999999999994</v>
      </c>
    </row>
    <row r="3046" spans="1:3" x14ac:dyDescent="0.25">
      <c r="A3046" s="4">
        <v>40059</v>
      </c>
      <c r="B3046" s="5">
        <f>_xlfn.XLOOKUP(A3046,bunker_daily_raw!$A$2:$A$3819,bunker_daily_raw!$B$2:$B$3819)</f>
        <v>395</v>
      </c>
      <c r="C3046" s="6">
        <v>66.78</v>
      </c>
    </row>
    <row r="3047" spans="1:3" x14ac:dyDescent="0.25">
      <c r="A3047" s="4">
        <v>40060</v>
      </c>
      <c r="B3047" s="5">
        <f>_xlfn.XLOOKUP(A3047,bunker_daily_raw!$A$2:$A$3819,bunker_daily_raw!$B$2:$B$3819)</f>
        <v>385</v>
      </c>
      <c r="C3047" s="6">
        <v>65.84</v>
      </c>
    </row>
    <row r="3048" spans="1:3" x14ac:dyDescent="0.25">
      <c r="A3048" s="4">
        <v>40063</v>
      </c>
      <c r="B3048" s="5">
        <f>_xlfn.XLOOKUP(A3048,bunker_daily_raw!$A$2:$A$3819,bunker_daily_raw!$B$2:$B$3819)</f>
        <v>394</v>
      </c>
      <c r="C3048" s="5"/>
    </row>
    <row r="3049" spans="1:3" x14ac:dyDescent="0.25">
      <c r="A3049" s="4">
        <v>40064</v>
      </c>
      <c r="B3049" s="5">
        <f>_xlfn.XLOOKUP(A3049,bunker_daily_raw!$A$2:$A$3819,bunker_daily_raw!$B$2:$B$3819)</f>
        <v>420</v>
      </c>
      <c r="C3049" s="6">
        <v>69.2</v>
      </c>
    </row>
    <row r="3050" spans="1:3" x14ac:dyDescent="0.25">
      <c r="A3050" s="4">
        <v>40065</v>
      </c>
      <c r="B3050" s="5">
        <f>_xlfn.XLOOKUP(A3050,bunker_daily_raw!$A$2:$A$3819,bunker_daily_raw!$B$2:$B$3819)</f>
        <v>410</v>
      </c>
      <c r="C3050" s="6">
        <v>69.760000000000005</v>
      </c>
    </row>
    <row r="3051" spans="1:3" x14ac:dyDescent="0.25">
      <c r="A3051" s="4">
        <v>40066</v>
      </c>
      <c r="B3051" s="5">
        <f>_xlfn.XLOOKUP(A3051,bunker_daily_raw!$A$2:$A$3819,bunker_daily_raw!$B$2:$B$3819)</f>
        <v>405</v>
      </c>
      <c r="C3051" s="6">
        <v>68.959999999999994</v>
      </c>
    </row>
    <row r="3052" spans="1:3" x14ac:dyDescent="0.25">
      <c r="A3052" s="4">
        <v>40067</v>
      </c>
      <c r="B3052" s="5">
        <f>_xlfn.XLOOKUP(A3052,bunker_daily_raw!$A$2:$A$3819,bunker_daily_raw!$B$2:$B$3819)</f>
        <v>401</v>
      </c>
      <c r="C3052" s="6">
        <v>68.760000000000005</v>
      </c>
    </row>
    <row r="3053" spans="1:3" x14ac:dyDescent="0.25">
      <c r="A3053" s="4">
        <v>40070</v>
      </c>
      <c r="B3053" s="5">
        <f>_xlfn.XLOOKUP(A3053,bunker_daily_raw!$A$2:$A$3819,bunker_daily_raw!$B$2:$B$3819)</f>
        <v>392</v>
      </c>
      <c r="C3053" s="6">
        <v>66.91</v>
      </c>
    </row>
    <row r="3054" spans="1:3" x14ac:dyDescent="0.25">
      <c r="A3054" s="4">
        <v>40071</v>
      </c>
      <c r="B3054" s="5">
        <f>_xlfn.XLOOKUP(A3054,bunker_daily_raw!$A$2:$A$3819,bunker_daily_raw!$B$2:$B$3819)</f>
        <v>395</v>
      </c>
      <c r="C3054" s="6">
        <v>66.53</v>
      </c>
    </row>
    <row r="3055" spans="1:3" x14ac:dyDescent="0.25">
      <c r="A3055" s="4">
        <v>40072</v>
      </c>
      <c r="B3055" s="5">
        <f>_xlfn.XLOOKUP(A3055,bunker_daily_raw!$A$2:$A$3819,bunker_daily_raw!$B$2:$B$3819)</f>
        <v>395</v>
      </c>
      <c r="C3055" s="6">
        <v>68.510000000000005</v>
      </c>
    </row>
    <row r="3056" spans="1:3" x14ac:dyDescent="0.25">
      <c r="A3056" s="4">
        <v>40073</v>
      </c>
      <c r="B3056" s="5">
        <f>_xlfn.XLOOKUP(A3056,bunker_daily_raw!$A$2:$A$3819,bunker_daily_raw!$B$2:$B$3819)</f>
        <v>413</v>
      </c>
      <c r="C3056" s="6">
        <v>71.56</v>
      </c>
    </row>
    <row r="3057" spans="1:3" x14ac:dyDescent="0.25">
      <c r="A3057" s="4">
        <v>40074</v>
      </c>
      <c r="B3057" s="5">
        <f>_xlfn.XLOOKUP(A3057,bunker_daily_raw!$A$2:$A$3819,bunker_daily_raw!$B$2:$B$3819)</f>
        <v>413</v>
      </c>
      <c r="C3057" s="6">
        <v>70.72</v>
      </c>
    </row>
    <row r="3058" spans="1:3" x14ac:dyDescent="0.25">
      <c r="A3058" s="4">
        <v>40077</v>
      </c>
      <c r="B3058" s="5">
        <f>_xlfn.XLOOKUP(A3058,bunker_daily_raw!$A$2:$A$3819,bunker_daily_raw!$B$2:$B$3819)</f>
        <v>397</v>
      </c>
      <c r="C3058" s="6">
        <v>68.11</v>
      </c>
    </row>
    <row r="3059" spans="1:3" x14ac:dyDescent="0.25">
      <c r="A3059" s="4">
        <v>40078</v>
      </c>
      <c r="B3059" s="5">
        <f>_xlfn.XLOOKUP(A3059,bunker_daily_raw!$A$2:$A$3819,bunker_daily_raw!$B$2:$B$3819)</f>
        <v>407</v>
      </c>
      <c r="C3059" s="6">
        <v>69.650000000000006</v>
      </c>
    </row>
    <row r="3060" spans="1:3" x14ac:dyDescent="0.25">
      <c r="A3060" s="4">
        <v>40079</v>
      </c>
      <c r="B3060" s="5">
        <f>_xlfn.XLOOKUP(A3060,bunker_daily_raw!$A$2:$A$3819,bunker_daily_raw!$B$2:$B$3819)</f>
        <v>392</v>
      </c>
      <c r="C3060" s="6">
        <v>67.430000000000007</v>
      </c>
    </row>
    <row r="3061" spans="1:3" x14ac:dyDescent="0.25">
      <c r="A3061" s="4">
        <v>40080</v>
      </c>
      <c r="B3061" s="5">
        <f>_xlfn.XLOOKUP(A3061,bunker_daily_raw!$A$2:$A$3819,bunker_daily_raw!$B$2:$B$3819)</f>
        <v>388</v>
      </c>
      <c r="C3061" s="6">
        <v>64.989999999999995</v>
      </c>
    </row>
    <row r="3062" spans="1:3" x14ac:dyDescent="0.25">
      <c r="A3062" s="4">
        <v>40081</v>
      </c>
      <c r="B3062" s="5">
        <f>_xlfn.XLOOKUP(A3062,bunker_daily_raw!$A$2:$A$3819,bunker_daily_raw!$B$2:$B$3819)</f>
        <v>378</v>
      </c>
      <c r="C3062" s="6">
        <v>64.599999999999994</v>
      </c>
    </row>
    <row r="3063" spans="1:3" x14ac:dyDescent="0.25">
      <c r="A3063" s="4">
        <v>40084</v>
      </c>
      <c r="B3063" s="5">
        <f>_xlfn.XLOOKUP(A3063,bunker_daily_raw!$A$2:$A$3819,bunker_daily_raw!$B$2:$B$3819)</f>
        <v>387</v>
      </c>
      <c r="C3063" s="6">
        <v>65.430000000000007</v>
      </c>
    </row>
    <row r="3064" spans="1:3" x14ac:dyDescent="0.25">
      <c r="A3064" s="4">
        <v>40085</v>
      </c>
      <c r="B3064" s="5">
        <f>_xlfn.XLOOKUP(A3064,bunker_daily_raw!$A$2:$A$3819,bunker_daily_raw!$B$2:$B$3819)</f>
        <v>381</v>
      </c>
      <c r="C3064" s="6">
        <v>64.63</v>
      </c>
    </row>
    <row r="3065" spans="1:3" x14ac:dyDescent="0.25">
      <c r="A3065" s="4">
        <v>40086</v>
      </c>
      <c r="B3065" s="5">
        <f>_xlfn.XLOOKUP(A3065,bunker_daily_raw!$A$2:$A$3819,bunker_daily_raw!$B$2:$B$3819)</f>
        <v>385</v>
      </c>
      <c r="C3065" s="6">
        <v>65.819999999999993</v>
      </c>
    </row>
    <row r="3066" spans="1:3" x14ac:dyDescent="0.25">
      <c r="A3066" s="4">
        <v>40087</v>
      </c>
      <c r="B3066" s="5">
        <f>_xlfn.XLOOKUP(A3066,bunker_daily_raw!$A$2:$A$3819,bunker_daily_raw!$B$2:$B$3819)</f>
        <v>395</v>
      </c>
      <c r="C3066" s="6">
        <v>67.12</v>
      </c>
    </row>
    <row r="3067" spans="1:3" x14ac:dyDescent="0.25">
      <c r="A3067" s="4">
        <v>40088</v>
      </c>
      <c r="B3067" s="5">
        <f>_xlfn.XLOOKUP(A3067,bunker_daily_raw!$A$2:$A$3819,bunker_daily_raw!$B$2:$B$3819)</f>
        <v>382</v>
      </c>
      <c r="C3067" s="6">
        <v>66.5</v>
      </c>
    </row>
    <row r="3068" spans="1:3" x14ac:dyDescent="0.25">
      <c r="A3068" s="4">
        <v>40091</v>
      </c>
      <c r="B3068" s="5">
        <f>_xlfn.XLOOKUP(A3068,bunker_daily_raw!$A$2:$A$3819,bunker_daily_raw!$B$2:$B$3819)</f>
        <v>386</v>
      </c>
      <c r="C3068" s="6">
        <v>65.260000000000005</v>
      </c>
    </row>
    <row r="3069" spans="1:3" x14ac:dyDescent="0.25">
      <c r="A3069" s="4">
        <v>40092</v>
      </c>
      <c r="B3069" s="5">
        <f>_xlfn.XLOOKUP(A3069,bunker_daily_raw!$A$2:$A$3819,bunker_daily_raw!$B$2:$B$3819)</f>
        <v>406</v>
      </c>
      <c r="C3069" s="6">
        <v>68.510000000000005</v>
      </c>
    </row>
    <row r="3070" spans="1:3" x14ac:dyDescent="0.25">
      <c r="A3070" s="4">
        <v>40093</v>
      </c>
      <c r="B3070" s="5">
        <f>_xlfn.XLOOKUP(A3070,bunker_daily_raw!$A$2:$A$3819,bunker_daily_raw!$B$2:$B$3819)</f>
        <v>410</v>
      </c>
      <c r="C3070" s="6">
        <v>67.650000000000006</v>
      </c>
    </row>
    <row r="3071" spans="1:3" x14ac:dyDescent="0.25">
      <c r="A3071" s="4">
        <v>40094</v>
      </c>
      <c r="B3071" s="5">
        <f>_xlfn.XLOOKUP(A3071,bunker_daily_raw!$A$2:$A$3819,bunker_daily_raw!$B$2:$B$3819)</f>
        <v>406</v>
      </c>
      <c r="C3071" s="6">
        <v>68.47</v>
      </c>
    </row>
    <row r="3072" spans="1:3" x14ac:dyDescent="0.25">
      <c r="A3072" s="4">
        <v>40095</v>
      </c>
      <c r="B3072" s="5">
        <f>_xlfn.XLOOKUP(A3072,bunker_daily_raw!$A$2:$A$3819,bunker_daily_raw!$B$2:$B$3819)</f>
        <v>410</v>
      </c>
      <c r="C3072" s="6">
        <v>69.45</v>
      </c>
    </row>
    <row r="3073" spans="1:3" x14ac:dyDescent="0.25">
      <c r="A3073" s="4">
        <v>40098</v>
      </c>
      <c r="B3073" s="5">
        <f>_xlfn.XLOOKUP(A3073,bunker_daily_raw!$A$2:$A$3819,bunker_daily_raw!$B$2:$B$3819)</f>
        <v>417</v>
      </c>
      <c r="C3073" s="6">
        <v>70.75</v>
      </c>
    </row>
    <row r="3074" spans="1:3" x14ac:dyDescent="0.25">
      <c r="A3074" s="4">
        <v>40099</v>
      </c>
      <c r="B3074" s="5">
        <f>_xlfn.XLOOKUP(A3074,bunker_daily_raw!$A$2:$A$3819,bunker_daily_raw!$B$2:$B$3819)</f>
        <v>411</v>
      </c>
      <c r="C3074" s="6">
        <v>70.81</v>
      </c>
    </row>
    <row r="3075" spans="1:3" x14ac:dyDescent="0.25">
      <c r="A3075" s="4">
        <v>40100</v>
      </c>
      <c r="B3075" s="5">
        <f>_xlfn.XLOOKUP(A3075,bunker_daily_raw!$A$2:$A$3819,bunker_daily_raw!$B$2:$B$3819)</f>
        <v>406</v>
      </c>
      <c r="C3075" s="6">
        <v>72.16</v>
      </c>
    </row>
    <row r="3076" spans="1:3" x14ac:dyDescent="0.25">
      <c r="A3076" s="4">
        <v>40101</v>
      </c>
      <c r="B3076" s="5">
        <f>_xlfn.XLOOKUP(A3076,bunker_daily_raw!$A$2:$A$3819,bunker_daily_raw!$B$2:$B$3819)</f>
        <v>420</v>
      </c>
      <c r="C3076" s="6">
        <v>73.14</v>
      </c>
    </row>
    <row r="3077" spans="1:3" x14ac:dyDescent="0.25">
      <c r="A3077" s="4">
        <v>40102</v>
      </c>
      <c r="B3077" s="5">
        <f>_xlfn.XLOOKUP(A3077,bunker_daily_raw!$A$2:$A$3819,bunker_daily_raw!$B$2:$B$3819)</f>
        <v>427</v>
      </c>
      <c r="C3077" s="6">
        <v>74.58</v>
      </c>
    </row>
    <row r="3078" spans="1:3" x14ac:dyDescent="0.25">
      <c r="A3078" s="4">
        <v>40105</v>
      </c>
      <c r="B3078" s="5">
        <f>_xlfn.XLOOKUP(A3078,bunker_daily_raw!$A$2:$A$3819,bunker_daily_raw!$B$2:$B$3819)</f>
        <v>434</v>
      </c>
      <c r="C3078" s="6">
        <v>75.86</v>
      </c>
    </row>
    <row r="3079" spans="1:3" x14ac:dyDescent="0.25">
      <c r="A3079" s="4">
        <v>40106</v>
      </c>
      <c r="B3079" s="5">
        <f>_xlfn.XLOOKUP(A3079,bunker_daily_raw!$A$2:$A$3819,bunker_daily_raw!$B$2:$B$3819)</f>
        <v>437</v>
      </c>
      <c r="C3079" s="6">
        <v>76.510000000000005</v>
      </c>
    </row>
    <row r="3080" spans="1:3" x14ac:dyDescent="0.25">
      <c r="A3080" s="4">
        <v>40107</v>
      </c>
      <c r="B3080" s="5">
        <f>_xlfn.XLOOKUP(A3080,bunker_daily_raw!$A$2:$A$3819,bunker_daily_raw!$B$2:$B$3819)</f>
        <v>442</v>
      </c>
      <c r="C3080" s="6">
        <v>77.739999999999995</v>
      </c>
    </row>
    <row r="3081" spans="1:3" x14ac:dyDescent="0.25">
      <c r="A3081" s="4">
        <v>40108</v>
      </c>
      <c r="B3081" s="5">
        <f>_xlfn.XLOOKUP(A3081,bunker_daily_raw!$A$2:$A$3819,bunker_daily_raw!$B$2:$B$3819)</f>
        <v>450</v>
      </c>
      <c r="C3081" s="6">
        <v>78.36</v>
      </c>
    </row>
    <row r="3082" spans="1:3" x14ac:dyDescent="0.25">
      <c r="A3082" s="4">
        <v>40109</v>
      </c>
      <c r="B3082" s="5">
        <f>_xlfn.XLOOKUP(A3082,bunker_daily_raw!$A$2:$A$3819,bunker_daily_raw!$B$2:$B$3819)</f>
        <v>447</v>
      </c>
      <c r="C3082" s="6">
        <v>77.72</v>
      </c>
    </row>
    <row r="3083" spans="1:3" x14ac:dyDescent="0.25">
      <c r="A3083" s="4">
        <v>40112</v>
      </c>
      <c r="B3083" s="5">
        <f>_xlfn.XLOOKUP(A3083,bunker_daily_raw!$A$2:$A$3819,bunker_daily_raw!$B$2:$B$3819)</f>
        <v>444</v>
      </c>
      <c r="C3083" s="6">
        <v>76.45</v>
      </c>
    </row>
    <row r="3084" spans="1:3" x14ac:dyDescent="0.25">
      <c r="A3084" s="4">
        <v>40113</v>
      </c>
      <c r="B3084" s="5">
        <f>_xlfn.XLOOKUP(A3084,bunker_daily_raw!$A$2:$A$3819,bunker_daily_raw!$B$2:$B$3819)</f>
        <v>445</v>
      </c>
      <c r="C3084" s="6">
        <v>76.69</v>
      </c>
    </row>
    <row r="3085" spans="1:3" x14ac:dyDescent="0.25">
      <c r="A3085" s="4">
        <v>40114</v>
      </c>
      <c r="B3085" s="5">
        <f>_xlfn.XLOOKUP(A3085,bunker_daily_raw!$A$2:$A$3819,bunker_daily_raw!$B$2:$B$3819)</f>
        <v>446</v>
      </c>
      <c r="C3085" s="6">
        <v>75.11</v>
      </c>
    </row>
    <row r="3086" spans="1:3" x14ac:dyDescent="0.25">
      <c r="A3086" s="4">
        <v>40115</v>
      </c>
      <c r="B3086" s="5">
        <f>_xlfn.XLOOKUP(A3086,bunker_daily_raw!$A$2:$A$3819,bunker_daily_raw!$B$2:$B$3819)</f>
        <v>445</v>
      </c>
      <c r="C3086" s="6">
        <v>77.180000000000007</v>
      </c>
    </row>
    <row r="3087" spans="1:3" x14ac:dyDescent="0.25">
      <c r="A3087" s="4">
        <v>40116</v>
      </c>
      <c r="B3087" s="5">
        <f>_xlfn.XLOOKUP(A3087,bunker_daily_raw!$A$2:$A$3819,bunker_daily_raw!$B$2:$B$3819)</f>
        <v>438</v>
      </c>
      <c r="C3087" s="6">
        <v>74.91</v>
      </c>
    </row>
    <row r="3088" spans="1:3" x14ac:dyDescent="0.25">
      <c r="A3088" s="4">
        <v>40119</v>
      </c>
      <c r="B3088" s="5">
        <f>_xlfn.XLOOKUP(A3088,bunker_daily_raw!$A$2:$A$3819,bunker_daily_raw!$B$2:$B$3819)</f>
        <v>440</v>
      </c>
      <c r="C3088" s="6">
        <v>75.56</v>
      </c>
    </row>
    <row r="3089" spans="1:3" x14ac:dyDescent="0.25">
      <c r="A3089" s="4">
        <v>40120</v>
      </c>
      <c r="B3089" s="5">
        <f>_xlfn.XLOOKUP(A3089,bunker_daily_raw!$A$2:$A$3819,bunker_daily_raw!$B$2:$B$3819)</f>
        <v>444</v>
      </c>
      <c r="C3089" s="6">
        <v>75.680000000000007</v>
      </c>
    </row>
    <row r="3090" spans="1:3" x14ac:dyDescent="0.25">
      <c r="A3090" s="4">
        <v>40121</v>
      </c>
      <c r="B3090" s="5">
        <f>_xlfn.XLOOKUP(A3090,bunker_daily_raw!$A$2:$A$3819,bunker_daily_raw!$B$2:$B$3819)</f>
        <v>458</v>
      </c>
      <c r="C3090" s="6">
        <v>78.209999999999994</v>
      </c>
    </row>
    <row r="3091" spans="1:3" x14ac:dyDescent="0.25">
      <c r="A3091" s="4">
        <v>40122</v>
      </c>
      <c r="B3091" s="5">
        <f>_xlfn.XLOOKUP(A3091,bunker_daily_raw!$A$2:$A$3819,bunker_daily_raw!$B$2:$B$3819)</f>
        <v>457</v>
      </c>
      <c r="C3091" s="6">
        <v>78.02</v>
      </c>
    </row>
    <row r="3092" spans="1:3" x14ac:dyDescent="0.25">
      <c r="A3092" s="4">
        <v>40123</v>
      </c>
      <c r="B3092" s="5">
        <f>_xlfn.XLOOKUP(A3092,bunker_daily_raw!$A$2:$A$3819,bunker_daily_raw!$B$2:$B$3819)</f>
        <v>444</v>
      </c>
      <c r="C3092" s="6">
        <v>75.510000000000005</v>
      </c>
    </row>
    <row r="3093" spans="1:3" x14ac:dyDescent="0.25">
      <c r="A3093" s="4">
        <v>40126</v>
      </c>
      <c r="B3093" s="5">
        <f>_xlfn.XLOOKUP(A3093,bunker_daily_raw!$A$2:$A$3819,bunker_daily_raw!$B$2:$B$3819)</f>
        <v>452</v>
      </c>
      <c r="C3093" s="6">
        <v>77.180000000000007</v>
      </c>
    </row>
    <row r="3094" spans="1:3" x14ac:dyDescent="0.25">
      <c r="A3094" s="4">
        <v>40127</v>
      </c>
      <c r="B3094" s="5">
        <f>_xlfn.XLOOKUP(A3094,bunker_daily_raw!$A$2:$A$3819,bunker_daily_raw!$B$2:$B$3819)</f>
        <v>454</v>
      </c>
      <c r="C3094" s="6">
        <v>77.069999999999993</v>
      </c>
    </row>
    <row r="3095" spans="1:3" x14ac:dyDescent="0.25">
      <c r="A3095" s="4">
        <v>40128</v>
      </c>
      <c r="B3095" s="5">
        <f>_xlfn.XLOOKUP(A3095,bunker_daily_raw!$A$2:$A$3819,bunker_daily_raw!$B$2:$B$3819)</f>
        <v>453</v>
      </c>
      <c r="C3095" s="6">
        <v>76.989999999999995</v>
      </c>
    </row>
    <row r="3096" spans="1:3" x14ac:dyDescent="0.25">
      <c r="A3096" s="4">
        <v>40129</v>
      </c>
      <c r="B3096" s="5">
        <f>_xlfn.XLOOKUP(A3096,bunker_daily_raw!$A$2:$A$3819,bunker_daily_raw!$B$2:$B$3819)</f>
        <v>437</v>
      </c>
      <c r="C3096" s="6">
        <v>75.180000000000007</v>
      </c>
    </row>
    <row r="3097" spans="1:3" x14ac:dyDescent="0.25">
      <c r="A3097" s="4">
        <v>40130</v>
      </c>
      <c r="B3097" s="5">
        <f>_xlfn.XLOOKUP(A3097,bunker_daily_raw!$A$2:$A$3819,bunker_daily_raw!$B$2:$B$3819)</f>
        <v>437</v>
      </c>
      <c r="C3097" s="6">
        <v>74.81</v>
      </c>
    </row>
    <row r="3098" spans="1:3" x14ac:dyDescent="0.25">
      <c r="A3098" s="4">
        <v>40133</v>
      </c>
      <c r="B3098" s="5">
        <f>_xlfn.XLOOKUP(A3098,bunker_daily_raw!$A$2:$A$3819,bunker_daily_raw!$B$2:$B$3819)</f>
        <v>454.5</v>
      </c>
      <c r="C3098" s="6">
        <v>77.14</v>
      </c>
    </row>
    <row r="3099" spans="1:3" x14ac:dyDescent="0.25">
      <c r="A3099" s="4">
        <v>40134</v>
      </c>
      <c r="B3099" s="5">
        <f>_xlfn.XLOOKUP(A3099,bunker_daily_raw!$A$2:$A$3819,bunker_daily_raw!$B$2:$B$3819)</f>
        <v>453</v>
      </c>
      <c r="C3099" s="6">
        <v>77.36</v>
      </c>
    </row>
    <row r="3100" spans="1:3" x14ac:dyDescent="0.25">
      <c r="A3100" s="4">
        <v>40135</v>
      </c>
      <c r="B3100" s="5">
        <f>_xlfn.XLOOKUP(A3100,bunker_daily_raw!$A$2:$A$3819,bunker_daily_raw!$B$2:$B$3819)</f>
        <v>461</v>
      </c>
      <c r="C3100" s="6">
        <v>78.64</v>
      </c>
    </row>
    <row r="3101" spans="1:3" x14ac:dyDescent="0.25">
      <c r="A3101" s="4">
        <v>40136</v>
      </c>
      <c r="B3101" s="5">
        <f>_xlfn.XLOOKUP(A3101,bunker_daily_raw!$A$2:$A$3819,bunker_daily_raw!$B$2:$B$3819)</f>
        <v>449</v>
      </c>
      <c r="C3101" s="6">
        <v>76.45</v>
      </c>
    </row>
    <row r="3102" spans="1:3" x14ac:dyDescent="0.25">
      <c r="A3102" s="4">
        <v>40137</v>
      </c>
      <c r="B3102" s="5">
        <f>_xlfn.XLOOKUP(A3102,bunker_daily_raw!$A$2:$A$3819,bunker_daily_raw!$B$2:$B$3819)</f>
        <v>440</v>
      </c>
      <c r="C3102" s="6">
        <v>75.61</v>
      </c>
    </row>
    <row r="3103" spans="1:3" x14ac:dyDescent="0.25">
      <c r="A3103" s="4">
        <v>40140</v>
      </c>
      <c r="B3103" s="5">
        <f>_xlfn.XLOOKUP(A3103,bunker_daily_raw!$A$2:$A$3819,bunker_daily_raw!$B$2:$B$3819)</f>
        <v>454</v>
      </c>
      <c r="C3103" s="6">
        <v>78.14</v>
      </c>
    </row>
    <row r="3104" spans="1:3" x14ac:dyDescent="0.25">
      <c r="A3104" s="4">
        <v>40141</v>
      </c>
      <c r="B3104" s="5">
        <f>_xlfn.XLOOKUP(A3104,bunker_daily_raw!$A$2:$A$3819,bunker_daily_raw!$B$2:$B$3819)</f>
        <v>442</v>
      </c>
      <c r="C3104" s="6">
        <v>75.349999999999994</v>
      </c>
    </row>
    <row r="3105" spans="1:3" x14ac:dyDescent="0.25">
      <c r="A3105" s="4">
        <v>40142</v>
      </c>
      <c r="B3105" s="5">
        <f>_xlfn.XLOOKUP(A3105,bunker_daily_raw!$A$2:$A$3819,bunker_daily_raw!$B$2:$B$3819)</f>
        <v>446.5</v>
      </c>
      <c r="C3105" s="6">
        <v>76.569999999999993</v>
      </c>
    </row>
    <row r="3106" spans="1:3" x14ac:dyDescent="0.25">
      <c r="A3106" s="4">
        <v>40143</v>
      </c>
      <c r="B3106" s="5">
        <f>_xlfn.XLOOKUP(A3106,bunker_daily_raw!$A$2:$A$3819,bunker_daily_raw!$B$2:$B$3819)</f>
        <v>448.25</v>
      </c>
      <c r="C3106" s="5"/>
    </row>
    <row r="3107" spans="1:3" x14ac:dyDescent="0.25">
      <c r="A3107" s="4">
        <v>40144</v>
      </c>
      <c r="B3107" s="5">
        <f>_xlfn.XLOOKUP(A3107,bunker_daily_raw!$A$2:$A$3819,bunker_daily_raw!$B$2:$B$3819)</f>
        <v>440</v>
      </c>
      <c r="C3107" s="6">
        <v>76</v>
      </c>
    </row>
    <row r="3108" spans="1:3" x14ac:dyDescent="0.25">
      <c r="A3108" s="4">
        <v>40147</v>
      </c>
      <c r="B3108" s="5">
        <f>_xlfn.XLOOKUP(A3108,bunker_daily_raw!$A$2:$A$3819,bunker_daily_raw!$B$2:$B$3819)</f>
        <v>442</v>
      </c>
      <c r="C3108" s="6">
        <v>77.77</v>
      </c>
    </row>
    <row r="3109" spans="1:3" x14ac:dyDescent="0.25">
      <c r="A3109" s="4">
        <v>40148</v>
      </c>
      <c r="B3109" s="5">
        <f>_xlfn.XLOOKUP(A3109,bunker_daily_raw!$A$2:$A$3819,bunker_daily_raw!$B$2:$B$3819)</f>
        <v>454</v>
      </c>
      <c r="C3109" s="6">
        <v>78.680000000000007</v>
      </c>
    </row>
    <row r="3110" spans="1:3" x14ac:dyDescent="0.25">
      <c r="A3110" s="4">
        <v>40149</v>
      </c>
      <c r="B3110" s="5">
        <f>_xlfn.XLOOKUP(A3110,bunker_daily_raw!$A$2:$A$3819,bunker_daily_raw!$B$2:$B$3819)</f>
        <v>442</v>
      </c>
      <c r="C3110" s="6">
        <v>76.959999999999994</v>
      </c>
    </row>
    <row r="3111" spans="1:3" x14ac:dyDescent="0.25">
      <c r="A3111" s="4">
        <v>40150</v>
      </c>
      <c r="B3111" s="5">
        <f>_xlfn.XLOOKUP(A3111,bunker_daily_raw!$A$2:$A$3819,bunker_daily_raw!$B$2:$B$3819)</f>
        <v>448</v>
      </c>
      <c r="C3111" s="6">
        <v>77.760000000000005</v>
      </c>
    </row>
    <row r="3112" spans="1:3" x14ac:dyDescent="0.25">
      <c r="A3112" s="4">
        <v>40151</v>
      </c>
      <c r="B3112" s="5">
        <f>_xlfn.XLOOKUP(A3112,bunker_daily_raw!$A$2:$A$3819,bunker_daily_raw!$B$2:$B$3819)</f>
        <v>449</v>
      </c>
      <c r="C3112" s="6">
        <v>77.739999999999995</v>
      </c>
    </row>
    <row r="3113" spans="1:3" x14ac:dyDescent="0.25">
      <c r="A3113" s="4">
        <v>40154</v>
      </c>
      <c r="B3113" s="5">
        <f>_xlfn.XLOOKUP(A3113,bunker_daily_raw!$A$2:$A$3819,bunker_daily_raw!$B$2:$B$3819)</f>
        <v>441</v>
      </c>
      <c r="C3113" s="6">
        <v>76.180000000000007</v>
      </c>
    </row>
    <row r="3114" spans="1:3" x14ac:dyDescent="0.25">
      <c r="A3114" s="4">
        <v>40155</v>
      </c>
      <c r="B3114" s="5">
        <f>_xlfn.XLOOKUP(A3114,bunker_daily_raw!$A$2:$A$3819,bunker_daily_raw!$B$2:$B$3819)</f>
        <v>438</v>
      </c>
      <c r="C3114" s="6">
        <v>74.930000000000007</v>
      </c>
    </row>
    <row r="3115" spans="1:3" x14ac:dyDescent="0.25">
      <c r="A3115" s="4">
        <v>40156</v>
      </c>
      <c r="B3115" s="5">
        <f>_xlfn.XLOOKUP(A3115,bunker_daily_raw!$A$2:$A$3819,bunker_daily_raw!$B$2:$B$3819)</f>
        <v>435.25</v>
      </c>
      <c r="C3115" s="6">
        <v>73.63</v>
      </c>
    </row>
    <row r="3116" spans="1:3" x14ac:dyDescent="0.25">
      <c r="A3116" s="4">
        <v>40157</v>
      </c>
      <c r="B3116" s="5">
        <f>_xlfn.XLOOKUP(A3116,bunker_daily_raw!$A$2:$A$3819,bunker_daily_raw!$B$2:$B$3819)</f>
        <v>413</v>
      </c>
      <c r="C3116" s="6">
        <v>70.91</v>
      </c>
    </row>
    <row r="3117" spans="1:3" x14ac:dyDescent="0.25">
      <c r="A3117" s="4">
        <v>40158</v>
      </c>
      <c r="B3117" s="5">
        <f>_xlfn.XLOOKUP(A3117,bunker_daily_raw!$A$2:$A$3819,bunker_daily_raw!$B$2:$B$3819)</f>
        <v>404</v>
      </c>
      <c r="C3117" s="6">
        <v>70.069999999999993</v>
      </c>
    </row>
    <row r="3118" spans="1:3" x14ac:dyDescent="0.25">
      <c r="A3118" s="4">
        <v>40161</v>
      </c>
      <c r="B3118" s="5">
        <f>_xlfn.XLOOKUP(A3118,bunker_daily_raw!$A$2:$A$3819,bunker_daily_raw!$B$2:$B$3819)</f>
        <v>412</v>
      </c>
      <c r="C3118" s="6">
        <v>71.19</v>
      </c>
    </row>
    <row r="3119" spans="1:3" x14ac:dyDescent="0.25">
      <c r="A3119" s="4">
        <v>40162</v>
      </c>
      <c r="B3119" s="5">
        <f>_xlfn.XLOOKUP(A3119,bunker_daily_raw!$A$2:$A$3819,bunker_daily_raw!$B$2:$B$3819)</f>
        <v>415.25</v>
      </c>
      <c r="C3119" s="6">
        <v>71.33</v>
      </c>
    </row>
    <row r="3120" spans="1:3" x14ac:dyDescent="0.25">
      <c r="A3120" s="4">
        <v>40163</v>
      </c>
      <c r="B3120" s="5">
        <f>_xlfn.XLOOKUP(A3120,bunker_daily_raw!$A$2:$A$3819,bunker_daily_raw!$B$2:$B$3819)</f>
        <v>424</v>
      </c>
      <c r="C3120" s="6">
        <v>73.34</v>
      </c>
    </row>
    <row r="3121" spans="1:3" x14ac:dyDescent="0.25">
      <c r="A3121" s="4">
        <v>40164</v>
      </c>
      <c r="B3121" s="5">
        <f>_xlfn.XLOOKUP(A3121,bunker_daily_raw!$A$2:$A$3819,bunker_daily_raw!$B$2:$B$3819)</f>
        <v>417</v>
      </c>
      <c r="C3121" s="6">
        <v>71.28</v>
      </c>
    </row>
    <row r="3122" spans="1:3" x14ac:dyDescent="0.25">
      <c r="A3122" s="4">
        <v>40165</v>
      </c>
      <c r="B3122" s="5">
        <f>_xlfn.XLOOKUP(A3122,bunker_daily_raw!$A$2:$A$3819,bunker_daily_raw!$B$2:$B$3819)</f>
        <v>418.5</v>
      </c>
      <c r="C3122" s="6">
        <v>71.87</v>
      </c>
    </row>
    <row r="3123" spans="1:3" x14ac:dyDescent="0.25">
      <c r="A3123" s="4">
        <v>40168</v>
      </c>
      <c r="B3123" s="5">
        <f>_xlfn.XLOOKUP(A3123,bunker_daily_raw!$A$2:$A$3819,bunker_daily_raw!$B$2:$B$3819)</f>
        <v>415</v>
      </c>
      <c r="C3123" s="6">
        <v>72.739999999999995</v>
      </c>
    </row>
    <row r="3124" spans="1:3" x14ac:dyDescent="0.25">
      <c r="A3124" s="4">
        <v>40169</v>
      </c>
      <c r="B3124" s="5">
        <f>_xlfn.XLOOKUP(A3124,bunker_daily_raw!$A$2:$A$3819,bunker_daily_raw!$B$2:$B$3819)</f>
        <v>408</v>
      </c>
      <c r="C3124" s="6">
        <v>71.64</v>
      </c>
    </row>
    <row r="3125" spans="1:3" x14ac:dyDescent="0.25">
      <c r="A3125" s="4">
        <v>40170</v>
      </c>
      <c r="B3125" s="5">
        <f>_xlfn.XLOOKUP(A3125,bunker_daily_raw!$A$2:$A$3819,bunker_daily_raw!$B$2:$B$3819)</f>
        <v>425</v>
      </c>
      <c r="C3125" s="6">
        <v>73.87</v>
      </c>
    </row>
    <row r="3126" spans="1:3" x14ac:dyDescent="0.25">
      <c r="A3126" s="4">
        <v>40171</v>
      </c>
      <c r="B3126" s="5">
        <f>_xlfn.XLOOKUP(A3126,bunker_daily_raw!$A$2:$A$3819,bunker_daily_raw!$B$2:$B$3819)</f>
        <v>421.5</v>
      </c>
      <c r="C3126" s="6">
        <v>75.150000000000006</v>
      </c>
    </row>
    <row r="3127" spans="1:3" x14ac:dyDescent="0.25">
      <c r="A3127" s="4">
        <v>40172</v>
      </c>
      <c r="B3127" s="5" t="e">
        <f>_xlfn.XLOOKUP(A3127,bunker_daily_raw!$A$2:$A$3819,bunker_daily_raw!$B$2:$B$3819)</f>
        <v>#N/A</v>
      </c>
      <c r="C3127" s="5"/>
    </row>
    <row r="3128" spans="1:3" x14ac:dyDescent="0.25">
      <c r="A3128" s="4">
        <v>40175</v>
      </c>
      <c r="B3128" s="5" t="e">
        <f>_xlfn.XLOOKUP(A3128,bunker_daily_raw!$A$2:$A$3819,bunker_daily_raw!$B$2:$B$3819)</f>
        <v>#N/A</v>
      </c>
      <c r="C3128" s="6">
        <v>76.59</v>
      </c>
    </row>
    <row r="3129" spans="1:3" x14ac:dyDescent="0.25">
      <c r="A3129" s="4">
        <v>40176</v>
      </c>
      <c r="B3129" s="5" t="e">
        <f>_xlfn.XLOOKUP(A3129,bunker_daily_raw!$A$2:$A$3819,bunker_daily_raw!$B$2:$B$3819)</f>
        <v>#N/A</v>
      </c>
      <c r="C3129" s="6">
        <v>76.650000000000006</v>
      </c>
    </row>
    <row r="3130" spans="1:3" x14ac:dyDescent="0.25">
      <c r="A3130" s="4">
        <v>40177</v>
      </c>
      <c r="B3130" s="5" t="e">
        <f>_xlfn.XLOOKUP(A3130,bunker_daily_raw!$A$2:$A$3819,bunker_daily_raw!$B$2:$B$3819)</f>
        <v>#N/A</v>
      </c>
      <c r="C3130" s="6">
        <v>77.62</v>
      </c>
    </row>
    <row r="3131" spans="1:3" x14ac:dyDescent="0.25">
      <c r="A3131" s="4">
        <v>40178</v>
      </c>
      <c r="B3131" s="5" t="e">
        <f>_xlfn.XLOOKUP(A3131,bunker_daily_raw!$A$2:$A$3819,bunker_daily_raw!$B$2:$B$3819)</f>
        <v>#N/A</v>
      </c>
      <c r="C3131" s="6">
        <v>77.91</v>
      </c>
    </row>
    <row r="3132" spans="1:3" x14ac:dyDescent="0.25">
      <c r="A3132" s="4">
        <v>40179</v>
      </c>
      <c r="B3132" s="5" t="e">
        <f>_xlfn.XLOOKUP(A3132,bunker_daily_raw!$A$2:$A$3819,bunker_daily_raw!$B$2:$B$3819)</f>
        <v>#N/A</v>
      </c>
      <c r="C3132" s="5"/>
    </row>
    <row r="3133" spans="1:3" x14ac:dyDescent="0.25">
      <c r="A3133" s="4">
        <v>40182</v>
      </c>
      <c r="B3133" s="5">
        <f>_xlfn.XLOOKUP(A3133,bunker_daily_raw!$A$2:$A$3819,bunker_daily_raw!$B$2:$B$3819)</f>
        <v>455</v>
      </c>
      <c r="C3133" s="6">
        <v>79.05</v>
      </c>
    </row>
    <row r="3134" spans="1:3" x14ac:dyDescent="0.25">
      <c r="A3134" s="4">
        <v>40183</v>
      </c>
      <c r="B3134" s="5">
        <f>_xlfn.XLOOKUP(A3134,bunker_daily_raw!$A$2:$A$3819,bunker_daily_raw!$B$2:$B$3819)</f>
        <v>463</v>
      </c>
      <c r="C3134" s="6">
        <v>79.27</v>
      </c>
    </row>
    <row r="3135" spans="1:3" x14ac:dyDescent="0.25">
      <c r="A3135" s="4">
        <v>40184</v>
      </c>
      <c r="B3135" s="5">
        <f>_xlfn.XLOOKUP(A3135,bunker_daily_raw!$A$2:$A$3819,bunker_daily_raw!$B$2:$B$3819)</f>
        <v>466</v>
      </c>
      <c r="C3135" s="6">
        <v>80.14</v>
      </c>
    </row>
    <row r="3136" spans="1:3" x14ac:dyDescent="0.25">
      <c r="A3136" s="4">
        <v>40185</v>
      </c>
      <c r="B3136" s="5">
        <f>_xlfn.XLOOKUP(A3136,bunker_daily_raw!$A$2:$A$3819,bunker_daily_raw!$B$2:$B$3819)</f>
        <v>470</v>
      </c>
      <c r="C3136" s="6">
        <v>80.569999999999993</v>
      </c>
    </row>
    <row r="3137" spans="1:3" x14ac:dyDescent="0.25">
      <c r="A3137" s="4">
        <v>40186</v>
      </c>
      <c r="B3137" s="5">
        <f>_xlfn.XLOOKUP(A3137,bunker_daily_raw!$A$2:$A$3819,bunker_daily_raw!$B$2:$B$3819)</f>
        <v>469</v>
      </c>
      <c r="C3137" s="6">
        <v>80.06</v>
      </c>
    </row>
    <row r="3138" spans="1:3" x14ac:dyDescent="0.25">
      <c r="A3138" s="4">
        <v>40189</v>
      </c>
      <c r="B3138" s="5">
        <f>_xlfn.XLOOKUP(A3138,bunker_daily_raw!$A$2:$A$3819,bunker_daily_raw!$B$2:$B$3819)</f>
        <v>470.75</v>
      </c>
      <c r="C3138" s="6">
        <v>80.14</v>
      </c>
    </row>
    <row r="3139" spans="1:3" x14ac:dyDescent="0.25">
      <c r="A3139" s="4">
        <v>40190</v>
      </c>
      <c r="B3139" s="5">
        <f>_xlfn.XLOOKUP(A3139,bunker_daily_raw!$A$2:$A$3819,bunker_daily_raw!$B$2:$B$3819)</f>
        <v>465</v>
      </c>
      <c r="C3139" s="6">
        <v>79.38</v>
      </c>
    </row>
    <row r="3140" spans="1:3" x14ac:dyDescent="0.25">
      <c r="A3140" s="4">
        <v>40191</v>
      </c>
      <c r="B3140" s="5">
        <f>_xlfn.XLOOKUP(A3140,bunker_daily_raw!$A$2:$A$3819,bunker_daily_raw!$B$2:$B$3819)</f>
        <v>449</v>
      </c>
      <c r="C3140" s="6">
        <v>77.569999999999993</v>
      </c>
    </row>
    <row r="3141" spans="1:3" x14ac:dyDescent="0.25">
      <c r="A3141" s="4">
        <v>40192</v>
      </c>
      <c r="B3141" s="5">
        <f>_xlfn.XLOOKUP(A3141,bunker_daily_raw!$A$2:$A$3819,bunker_daily_raw!$B$2:$B$3819)</f>
        <v>455</v>
      </c>
      <c r="C3141" s="6">
        <v>77.61</v>
      </c>
    </row>
    <row r="3142" spans="1:3" x14ac:dyDescent="0.25">
      <c r="A3142" s="4">
        <v>40193</v>
      </c>
      <c r="B3142" s="5">
        <f>_xlfn.XLOOKUP(A3142,bunker_daily_raw!$A$2:$A$3819,bunker_daily_raw!$B$2:$B$3819)</f>
        <v>451</v>
      </c>
      <c r="C3142" s="6">
        <v>76.849999999999994</v>
      </c>
    </row>
    <row r="3143" spans="1:3" x14ac:dyDescent="0.25">
      <c r="A3143" s="4">
        <v>40196</v>
      </c>
      <c r="B3143" s="5">
        <f>_xlfn.XLOOKUP(A3143,bunker_daily_raw!$A$2:$A$3819,bunker_daily_raw!$B$2:$B$3819)</f>
        <v>449</v>
      </c>
      <c r="C3143" s="5"/>
    </row>
    <row r="3144" spans="1:3" x14ac:dyDescent="0.25">
      <c r="A3144" s="4">
        <v>40197</v>
      </c>
      <c r="B3144" s="5">
        <f>_xlfn.XLOOKUP(A3144,bunker_daily_raw!$A$2:$A$3819,bunker_daily_raw!$B$2:$B$3819)</f>
        <v>440</v>
      </c>
      <c r="C3144" s="6">
        <v>75.180000000000007</v>
      </c>
    </row>
    <row r="3145" spans="1:3" x14ac:dyDescent="0.25">
      <c r="A3145" s="4">
        <v>40198</v>
      </c>
      <c r="B3145" s="5">
        <f>_xlfn.XLOOKUP(A3145,bunker_daily_raw!$A$2:$A$3819,bunker_daily_raw!$B$2:$B$3819)</f>
        <v>439.5</v>
      </c>
      <c r="C3145" s="6">
        <v>75.09</v>
      </c>
    </row>
    <row r="3146" spans="1:3" x14ac:dyDescent="0.25">
      <c r="A3146" s="4">
        <v>40199</v>
      </c>
      <c r="B3146" s="5">
        <f>_xlfn.XLOOKUP(A3146,bunker_daily_raw!$A$2:$A$3819,bunker_daily_raw!$B$2:$B$3819)</f>
        <v>439.5</v>
      </c>
      <c r="C3146" s="6">
        <v>74.13</v>
      </c>
    </row>
    <row r="3147" spans="1:3" x14ac:dyDescent="0.25">
      <c r="A3147" s="4">
        <v>40200</v>
      </c>
      <c r="B3147" s="5">
        <f>_xlfn.XLOOKUP(A3147,bunker_daily_raw!$A$2:$A$3819,bunker_daily_raw!$B$2:$B$3819)</f>
        <v>428.5</v>
      </c>
      <c r="C3147" s="6">
        <v>72.73</v>
      </c>
    </row>
    <row r="3148" spans="1:3" x14ac:dyDescent="0.25">
      <c r="A3148" s="4">
        <v>40203</v>
      </c>
      <c r="B3148" s="5">
        <f>_xlfn.XLOOKUP(A3148,bunker_daily_raw!$A$2:$A$3819,bunker_daily_raw!$B$2:$B$3819)</f>
        <v>426</v>
      </c>
      <c r="C3148" s="6">
        <v>72.180000000000007</v>
      </c>
    </row>
    <row r="3149" spans="1:3" x14ac:dyDescent="0.25">
      <c r="A3149" s="4">
        <v>40204</v>
      </c>
      <c r="B3149" s="5">
        <f>_xlfn.XLOOKUP(A3149,bunker_daily_raw!$A$2:$A$3819,bunker_daily_raw!$B$2:$B$3819)</f>
        <v>430</v>
      </c>
      <c r="C3149" s="6">
        <v>72.63</v>
      </c>
    </row>
    <row r="3150" spans="1:3" x14ac:dyDescent="0.25">
      <c r="A3150" s="4">
        <v>40205</v>
      </c>
      <c r="B3150" s="5">
        <f>_xlfn.XLOOKUP(A3150,bunker_daily_raw!$A$2:$A$3819,bunker_daily_raw!$B$2:$B$3819)</f>
        <v>434</v>
      </c>
      <c r="C3150" s="6">
        <v>72.75</v>
      </c>
    </row>
    <row r="3151" spans="1:3" x14ac:dyDescent="0.25">
      <c r="A3151" s="4">
        <v>40206</v>
      </c>
      <c r="B3151" s="5">
        <f>_xlfn.XLOOKUP(A3151,bunker_daily_raw!$A$2:$A$3819,bunker_daily_raw!$B$2:$B$3819)</f>
        <v>428</v>
      </c>
      <c r="C3151" s="6">
        <v>70.650000000000006</v>
      </c>
    </row>
    <row r="3152" spans="1:3" x14ac:dyDescent="0.25">
      <c r="A3152" s="4">
        <v>40207</v>
      </c>
      <c r="B3152" s="5">
        <f>_xlfn.XLOOKUP(A3152,bunker_daily_raw!$A$2:$A$3819,bunker_daily_raw!$B$2:$B$3819)</f>
        <v>429</v>
      </c>
      <c r="C3152" s="6">
        <v>71.2</v>
      </c>
    </row>
    <row r="3153" spans="1:3" x14ac:dyDescent="0.25">
      <c r="A3153" s="4">
        <v>40210</v>
      </c>
      <c r="B3153" s="5">
        <f>_xlfn.XLOOKUP(A3153,bunker_daily_raw!$A$2:$A$3819,bunker_daily_raw!$B$2:$B$3819)</f>
        <v>429</v>
      </c>
      <c r="C3153" s="6">
        <v>71.58</v>
      </c>
    </row>
    <row r="3154" spans="1:3" x14ac:dyDescent="0.25">
      <c r="A3154" s="4">
        <v>40211</v>
      </c>
      <c r="B3154" s="5">
        <f>_xlfn.XLOOKUP(A3154,bunker_daily_raw!$A$2:$A$3819,bunker_daily_raw!$B$2:$B$3819)</f>
        <v>436</v>
      </c>
      <c r="C3154" s="6">
        <v>73.94</v>
      </c>
    </row>
    <row r="3155" spans="1:3" x14ac:dyDescent="0.25">
      <c r="A3155" s="4">
        <v>40212</v>
      </c>
      <c r="B3155" s="5">
        <f>_xlfn.XLOOKUP(A3155,bunker_daily_raw!$A$2:$A$3819,bunker_daily_raw!$B$2:$B$3819)</f>
        <v>445.5</v>
      </c>
      <c r="C3155" s="6">
        <v>75.77</v>
      </c>
    </row>
    <row r="3156" spans="1:3" x14ac:dyDescent="0.25">
      <c r="A3156" s="4">
        <v>40213</v>
      </c>
      <c r="B3156" s="5">
        <f>_xlfn.XLOOKUP(A3156,bunker_daily_raw!$A$2:$A$3819,bunker_daily_raw!$B$2:$B$3819)</f>
        <v>427.25</v>
      </c>
      <c r="C3156" s="6">
        <v>71.3</v>
      </c>
    </row>
    <row r="3157" spans="1:3" x14ac:dyDescent="0.25">
      <c r="A3157" s="4">
        <v>40214</v>
      </c>
      <c r="B3157" s="5">
        <f>_xlfn.XLOOKUP(A3157,bunker_daily_raw!$A$2:$A$3819,bunker_daily_raw!$B$2:$B$3819)</f>
        <v>414.5</v>
      </c>
      <c r="C3157" s="6">
        <v>70.11</v>
      </c>
    </row>
    <row r="3158" spans="1:3" x14ac:dyDescent="0.25">
      <c r="A3158" s="4">
        <v>40217</v>
      </c>
      <c r="B3158" s="5">
        <f>_xlfn.XLOOKUP(A3158,bunker_daily_raw!$A$2:$A$3819,bunker_daily_raw!$B$2:$B$3819)</f>
        <v>410.5</v>
      </c>
      <c r="C3158" s="6">
        <v>69.62</v>
      </c>
    </row>
    <row r="3159" spans="1:3" x14ac:dyDescent="0.25">
      <c r="A3159" s="4">
        <v>40218</v>
      </c>
      <c r="B3159" s="5">
        <f>_xlfn.XLOOKUP(A3159,bunker_daily_raw!$A$2:$A$3819,bunker_daily_raw!$B$2:$B$3819)</f>
        <v>416.5</v>
      </c>
      <c r="C3159" s="6">
        <v>70.400000000000006</v>
      </c>
    </row>
    <row r="3160" spans="1:3" x14ac:dyDescent="0.25">
      <c r="A3160" s="4">
        <v>40219</v>
      </c>
      <c r="B3160" s="5">
        <f>_xlfn.XLOOKUP(A3160,bunker_daily_raw!$A$2:$A$3819,bunker_daily_raw!$B$2:$B$3819)</f>
        <v>421</v>
      </c>
      <c r="C3160" s="6">
        <v>70.400000000000006</v>
      </c>
    </row>
    <row r="3161" spans="1:3" x14ac:dyDescent="0.25">
      <c r="A3161" s="4">
        <v>40220</v>
      </c>
      <c r="B3161" s="5">
        <f>_xlfn.XLOOKUP(A3161,bunker_daily_raw!$A$2:$A$3819,bunker_daily_raw!$B$2:$B$3819)</f>
        <v>434</v>
      </c>
      <c r="C3161" s="6">
        <v>72.349999999999994</v>
      </c>
    </row>
    <row r="3162" spans="1:3" x14ac:dyDescent="0.25">
      <c r="A3162" s="4">
        <v>40221</v>
      </c>
      <c r="B3162" s="5">
        <f>_xlfn.XLOOKUP(A3162,bunker_daily_raw!$A$2:$A$3819,bunker_daily_raw!$B$2:$B$3819)</f>
        <v>427</v>
      </c>
      <c r="C3162" s="6">
        <v>71.489999999999995</v>
      </c>
    </row>
    <row r="3163" spans="1:3" x14ac:dyDescent="0.25">
      <c r="A3163" s="4">
        <v>40224</v>
      </c>
      <c r="B3163" s="5">
        <f>_xlfn.XLOOKUP(A3163,bunker_daily_raw!$A$2:$A$3819,bunker_daily_raw!$B$2:$B$3819)</f>
        <v>424</v>
      </c>
      <c r="C3163" s="5"/>
    </row>
    <row r="3164" spans="1:3" x14ac:dyDescent="0.25">
      <c r="A3164" s="4">
        <v>40225</v>
      </c>
      <c r="B3164" s="5">
        <f>_xlfn.XLOOKUP(A3164,bunker_daily_raw!$A$2:$A$3819,bunker_daily_raw!$B$2:$B$3819)</f>
        <v>440</v>
      </c>
      <c r="C3164" s="6">
        <v>74.819999999999993</v>
      </c>
    </row>
    <row r="3165" spans="1:3" x14ac:dyDescent="0.25">
      <c r="A3165" s="4">
        <v>40226</v>
      </c>
      <c r="B3165" s="5">
        <f>_xlfn.XLOOKUP(A3165,bunker_daily_raw!$A$2:$A$3819,bunker_daily_raw!$B$2:$B$3819)</f>
        <v>442</v>
      </c>
      <c r="C3165" s="6">
        <v>74.89</v>
      </c>
    </row>
    <row r="3166" spans="1:3" x14ac:dyDescent="0.25">
      <c r="A3166" s="4">
        <v>40227</v>
      </c>
      <c r="B3166" s="5">
        <f>_xlfn.XLOOKUP(A3166,bunker_daily_raw!$A$2:$A$3819,bunker_daily_raw!$B$2:$B$3819)</f>
        <v>448</v>
      </c>
      <c r="C3166" s="6">
        <v>76.61</v>
      </c>
    </row>
    <row r="3167" spans="1:3" x14ac:dyDescent="0.25">
      <c r="A3167" s="4">
        <v>40228</v>
      </c>
      <c r="B3167" s="5">
        <f>_xlfn.XLOOKUP(A3167,bunker_daily_raw!$A$2:$A$3819,bunker_daily_raw!$B$2:$B$3819)</f>
        <v>447.5</v>
      </c>
      <c r="C3167" s="6">
        <v>76.88</v>
      </c>
    </row>
    <row r="3168" spans="1:3" x14ac:dyDescent="0.25">
      <c r="A3168" s="4">
        <v>40231</v>
      </c>
      <c r="B3168" s="5">
        <f>_xlfn.XLOOKUP(A3168,bunker_daily_raw!$A$2:$A$3819,bunker_daily_raw!$B$2:$B$3819)</f>
        <v>454</v>
      </c>
      <c r="C3168" s="6">
        <v>76.95</v>
      </c>
    </row>
    <row r="3169" spans="1:3" x14ac:dyDescent="0.25">
      <c r="A3169" s="4">
        <v>40232</v>
      </c>
      <c r="B3169" s="5">
        <f>_xlfn.XLOOKUP(A3169,bunker_daily_raw!$A$2:$A$3819,bunker_daily_raw!$B$2:$B$3819)</f>
        <v>448</v>
      </c>
      <c r="C3169" s="6">
        <v>76.44</v>
      </c>
    </row>
    <row r="3170" spans="1:3" x14ac:dyDescent="0.25">
      <c r="A3170" s="4">
        <v>40233</v>
      </c>
      <c r="B3170" s="5">
        <f>_xlfn.XLOOKUP(A3170,bunker_daily_raw!$A$2:$A$3819,bunker_daily_raw!$B$2:$B$3819)</f>
        <v>453</v>
      </c>
      <c r="C3170" s="6">
        <v>77</v>
      </c>
    </row>
    <row r="3171" spans="1:3" x14ac:dyDescent="0.25">
      <c r="A3171" s="4">
        <v>40234</v>
      </c>
      <c r="B3171" s="5">
        <f>_xlfn.XLOOKUP(A3171,bunker_daily_raw!$A$2:$A$3819,bunker_daily_raw!$B$2:$B$3819)</f>
        <v>434</v>
      </c>
      <c r="C3171" s="6">
        <v>74.38</v>
      </c>
    </row>
    <row r="3172" spans="1:3" x14ac:dyDescent="0.25">
      <c r="A3172" s="4">
        <v>40235</v>
      </c>
      <c r="B3172" s="5">
        <f>_xlfn.XLOOKUP(A3172,bunker_daily_raw!$A$2:$A$3819,bunker_daily_raw!$B$2:$B$3819)</f>
        <v>439</v>
      </c>
      <c r="C3172" s="6">
        <v>76.36</v>
      </c>
    </row>
    <row r="3173" spans="1:3" x14ac:dyDescent="0.25">
      <c r="A3173" s="4">
        <v>40238</v>
      </c>
      <c r="B3173" s="5">
        <f>_xlfn.XLOOKUP(A3173,bunker_daily_raw!$A$2:$A$3819,bunker_daily_raw!$B$2:$B$3819)</f>
        <v>446</v>
      </c>
      <c r="C3173" s="6">
        <v>76.069999999999993</v>
      </c>
    </row>
    <row r="3174" spans="1:3" x14ac:dyDescent="0.25">
      <c r="A3174" s="4">
        <v>40239</v>
      </c>
      <c r="B3174" s="5">
        <f>_xlfn.XLOOKUP(A3174,bunker_daily_raw!$A$2:$A$3819,bunker_daily_raw!$B$2:$B$3819)</f>
        <v>450.5</v>
      </c>
      <c r="C3174" s="6">
        <v>77.5</v>
      </c>
    </row>
    <row r="3175" spans="1:3" x14ac:dyDescent="0.25">
      <c r="A3175" s="4">
        <v>40240</v>
      </c>
      <c r="B3175" s="5">
        <f>_xlfn.XLOOKUP(A3175,bunker_daily_raw!$A$2:$A$3819,bunker_daily_raw!$B$2:$B$3819)</f>
        <v>455</v>
      </c>
      <c r="C3175" s="6">
        <v>78.66</v>
      </c>
    </row>
    <row r="3176" spans="1:3" x14ac:dyDescent="0.25">
      <c r="A3176" s="4">
        <v>40241</v>
      </c>
      <c r="B3176" s="5">
        <f>_xlfn.XLOOKUP(A3176,bunker_daily_raw!$A$2:$A$3819,bunker_daily_raw!$B$2:$B$3819)</f>
        <v>448</v>
      </c>
      <c r="C3176" s="6">
        <v>77.88</v>
      </c>
    </row>
    <row r="3177" spans="1:3" x14ac:dyDescent="0.25">
      <c r="A3177" s="4">
        <v>40242</v>
      </c>
      <c r="B3177" s="5">
        <f>_xlfn.XLOOKUP(A3177,bunker_daily_raw!$A$2:$A$3819,bunker_daily_raw!$B$2:$B$3819)</f>
        <v>452</v>
      </c>
      <c r="C3177" s="6">
        <v>79.2</v>
      </c>
    </row>
    <row r="3178" spans="1:3" x14ac:dyDescent="0.25">
      <c r="A3178" s="4">
        <v>40245</v>
      </c>
      <c r="B3178" s="5">
        <f>_xlfn.XLOOKUP(A3178,bunker_daily_raw!$A$2:$A$3819,bunker_daily_raw!$B$2:$B$3819)</f>
        <v>450</v>
      </c>
      <c r="C3178" s="6">
        <v>78.94</v>
      </c>
    </row>
    <row r="3179" spans="1:3" x14ac:dyDescent="0.25">
      <c r="A3179" s="4">
        <v>40246</v>
      </c>
      <c r="B3179" s="5">
        <f>_xlfn.XLOOKUP(A3179,bunker_daily_raw!$A$2:$A$3819,bunker_daily_raw!$B$2:$B$3819)</f>
        <v>445.5</v>
      </c>
      <c r="C3179" s="6">
        <v>78.77</v>
      </c>
    </row>
    <row r="3180" spans="1:3" x14ac:dyDescent="0.25">
      <c r="A3180" s="4">
        <v>40247</v>
      </c>
      <c r="B3180" s="5">
        <f>_xlfn.XLOOKUP(A3180,bunker_daily_raw!$A$2:$A$3819,bunker_daily_raw!$B$2:$B$3819)</f>
        <v>453.5</v>
      </c>
      <c r="C3180" s="6">
        <v>80.290000000000006</v>
      </c>
    </row>
    <row r="3181" spans="1:3" x14ac:dyDescent="0.25">
      <c r="A3181" s="4">
        <v>40248</v>
      </c>
      <c r="B3181" s="5">
        <f>_xlfn.XLOOKUP(A3181,bunker_daily_raw!$A$2:$A$3819,bunker_daily_raw!$B$2:$B$3819)</f>
        <v>444</v>
      </c>
      <c r="C3181" s="6">
        <v>79.44</v>
      </c>
    </row>
    <row r="3182" spans="1:3" x14ac:dyDescent="0.25">
      <c r="A3182" s="4">
        <v>40249</v>
      </c>
      <c r="B3182" s="5">
        <f>_xlfn.XLOOKUP(A3182,bunker_daily_raw!$A$2:$A$3819,bunker_daily_raw!$B$2:$B$3819)</f>
        <v>438</v>
      </c>
      <c r="C3182" s="6">
        <v>79.38</v>
      </c>
    </row>
    <row r="3183" spans="1:3" x14ac:dyDescent="0.25">
      <c r="A3183" s="4">
        <v>40252</v>
      </c>
      <c r="B3183" s="5">
        <f>_xlfn.XLOOKUP(A3183,bunker_daily_raw!$A$2:$A$3819,bunker_daily_raw!$B$2:$B$3819)</f>
        <v>426</v>
      </c>
      <c r="C3183" s="6">
        <v>77.08</v>
      </c>
    </row>
    <row r="3184" spans="1:3" x14ac:dyDescent="0.25">
      <c r="A3184" s="4">
        <v>40253</v>
      </c>
      <c r="B3184" s="5">
        <f>_xlfn.XLOOKUP(A3184,bunker_daily_raw!$A$2:$A$3819,bunker_daily_raw!$B$2:$B$3819)</f>
        <v>440</v>
      </c>
      <c r="C3184" s="6">
        <v>79.45</v>
      </c>
    </row>
    <row r="3185" spans="1:3" x14ac:dyDescent="0.25">
      <c r="A3185" s="4">
        <v>40254</v>
      </c>
      <c r="B3185" s="5">
        <f>_xlfn.XLOOKUP(A3185,bunker_daily_raw!$A$2:$A$3819,bunker_daily_raw!$B$2:$B$3819)</f>
        <v>443</v>
      </c>
      <c r="C3185" s="6">
        <v>80.28</v>
      </c>
    </row>
    <row r="3186" spans="1:3" x14ac:dyDescent="0.25">
      <c r="A3186" s="4">
        <v>40255</v>
      </c>
      <c r="B3186" s="5">
        <f>_xlfn.XLOOKUP(A3186,bunker_daily_raw!$A$2:$A$3819,bunker_daily_raw!$B$2:$B$3819)</f>
        <v>439</v>
      </c>
      <c r="C3186" s="6">
        <v>80.09</v>
      </c>
    </row>
    <row r="3187" spans="1:3" x14ac:dyDescent="0.25">
      <c r="A3187" s="4">
        <v>40256</v>
      </c>
      <c r="B3187" s="5">
        <f>_xlfn.XLOOKUP(A3187,bunker_daily_raw!$A$2:$A$3819,bunker_daily_raw!$B$2:$B$3819)</f>
        <v>431</v>
      </c>
      <c r="C3187" s="6">
        <v>78.37</v>
      </c>
    </row>
    <row r="3188" spans="1:3" x14ac:dyDescent="0.25">
      <c r="A3188" s="4">
        <v>40259</v>
      </c>
      <c r="B3188" s="5">
        <f>_xlfn.XLOOKUP(A3188,bunker_daily_raw!$A$2:$A$3819,bunker_daily_raw!$B$2:$B$3819)</f>
        <v>439</v>
      </c>
      <c r="C3188" s="6">
        <v>78.09</v>
      </c>
    </row>
    <row r="3189" spans="1:3" x14ac:dyDescent="0.25">
      <c r="A3189" s="4">
        <v>40260</v>
      </c>
      <c r="B3189" s="5">
        <f>_xlfn.XLOOKUP(A3189,bunker_daily_raw!$A$2:$A$3819,bunker_daily_raw!$B$2:$B$3819)</f>
        <v>446</v>
      </c>
      <c r="C3189" s="6">
        <v>79.17</v>
      </c>
    </row>
    <row r="3190" spans="1:3" x14ac:dyDescent="0.25">
      <c r="A3190" s="4">
        <v>40261</v>
      </c>
      <c r="B3190" s="5">
        <f>_xlfn.XLOOKUP(A3190,bunker_daily_raw!$A$2:$A$3819,bunker_daily_raw!$B$2:$B$3819)</f>
        <v>440.75</v>
      </c>
      <c r="C3190" s="6">
        <v>78.03</v>
      </c>
    </row>
    <row r="3191" spans="1:3" x14ac:dyDescent="0.25">
      <c r="A3191" s="4">
        <v>40262</v>
      </c>
      <c r="B3191" s="5">
        <f>_xlfn.XLOOKUP(A3191,bunker_daily_raw!$A$2:$A$3819,bunker_daily_raw!$B$2:$B$3819)</f>
        <v>443.5</v>
      </c>
      <c r="C3191" s="6">
        <v>78.64</v>
      </c>
    </row>
    <row r="3192" spans="1:3" x14ac:dyDescent="0.25">
      <c r="A3192" s="4">
        <v>40263</v>
      </c>
      <c r="B3192" s="5">
        <f>_xlfn.XLOOKUP(A3192,bunker_daily_raw!$A$2:$A$3819,bunker_daily_raw!$B$2:$B$3819)</f>
        <v>435</v>
      </c>
      <c r="C3192" s="6">
        <v>77.98</v>
      </c>
    </row>
    <row r="3193" spans="1:3" x14ac:dyDescent="0.25">
      <c r="A3193" s="4">
        <v>40266</v>
      </c>
      <c r="B3193" s="5">
        <f>_xlfn.XLOOKUP(A3193,bunker_daily_raw!$A$2:$A$3819,bunker_daily_raw!$B$2:$B$3819)</f>
        <v>448</v>
      </c>
      <c r="C3193" s="6">
        <v>79.89</v>
      </c>
    </row>
    <row r="3194" spans="1:3" x14ac:dyDescent="0.25">
      <c r="A3194" s="4">
        <v>40267</v>
      </c>
      <c r="B3194" s="5">
        <f>_xlfn.XLOOKUP(A3194,bunker_daily_raw!$A$2:$A$3819,bunker_daily_raw!$B$2:$B$3819)</f>
        <v>443</v>
      </c>
      <c r="C3194" s="6">
        <v>79.459999999999994</v>
      </c>
    </row>
    <row r="3195" spans="1:3" x14ac:dyDescent="0.25">
      <c r="A3195" s="4">
        <v>40268</v>
      </c>
      <c r="B3195" s="5">
        <f>_xlfn.XLOOKUP(A3195,bunker_daily_raw!$A$2:$A$3819,bunker_daily_raw!$B$2:$B$3819)</f>
        <v>441</v>
      </c>
      <c r="C3195" s="6">
        <v>80.37</v>
      </c>
    </row>
    <row r="3196" spans="1:3" x14ac:dyDescent="0.25">
      <c r="A3196" s="4">
        <v>40269</v>
      </c>
      <c r="B3196" s="5">
        <f>_xlfn.XLOOKUP(A3196,bunker_daily_raw!$A$2:$A$3819,bunker_daily_raw!$B$2:$B$3819)</f>
        <v>443.75</v>
      </c>
      <c r="C3196" s="6">
        <v>82.63</v>
      </c>
    </row>
    <row r="3197" spans="1:3" x14ac:dyDescent="0.25">
      <c r="A3197" s="4">
        <v>40270</v>
      </c>
      <c r="B3197" s="5" t="e">
        <f>_xlfn.XLOOKUP(A3197,bunker_daily_raw!$A$2:$A$3819,bunker_daily_raw!$B$2:$B$3819)</f>
        <v>#N/A</v>
      </c>
      <c r="C3197" s="5"/>
    </row>
    <row r="3198" spans="1:3" x14ac:dyDescent="0.25">
      <c r="A3198" s="4">
        <v>40273</v>
      </c>
      <c r="B3198" s="5" t="e">
        <f>_xlfn.XLOOKUP(A3198,bunker_daily_raw!$A$2:$A$3819,bunker_daily_raw!$B$2:$B$3819)</f>
        <v>#N/A</v>
      </c>
      <c r="C3198" s="6">
        <v>84.48</v>
      </c>
    </row>
    <row r="3199" spans="1:3" x14ac:dyDescent="0.25">
      <c r="A3199" s="4">
        <v>40274</v>
      </c>
      <c r="B3199" s="5">
        <f>_xlfn.XLOOKUP(A3199,bunker_daily_raw!$A$2:$A$3819,bunker_daily_raw!$B$2:$B$3819)</f>
        <v>452.5</v>
      </c>
      <c r="C3199" s="6">
        <v>85.05</v>
      </c>
    </row>
    <row r="3200" spans="1:3" x14ac:dyDescent="0.25">
      <c r="A3200" s="4">
        <v>40275</v>
      </c>
      <c r="B3200" s="5">
        <f>_xlfn.XLOOKUP(A3200,bunker_daily_raw!$A$2:$A$3819,bunker_daily_raw!$B$2:$B$3819)</f>
        <v>450.5</v>
      </c>
      <c r="C3200" s="6">
        <v>84.49</v>
      </c>
    </row>
    <row r="3201" spans="1:3" x14ac:dyDescent="0.25">
      <c r="A3201" s="4">
        <v>40276</v>
      </c>
      <c r="B3201" s="5">
        <f>_xlfn.XLOOKUP(A3201,bunker_daily_raw!$A$2:$A$3819,bunker_daily_raw!$B$2:$B$3819)</f>
        <v>450.25</v>
      </c>
      <c r="C3201" s="6">
        <v>82.63</v>
      </c>
    </row>
    <row r="3202" spans="1:3" x14ac:dyDescent="0.25">
      <c r="A3202" s="4">
        <v>40277</v>
      </c>
      <c r="B3202" s="5">
        <f>_xlfn.XLOOKUP(A3202,bunker_daily_raw!$A$2:$A$3819,bunker_daily_raw!$B$2:$B$3819)</f>
        <v>450.25</v>
      </c>
      <c r="C3202" s="6">
        <v>82.77</v>
      </c>
    </row>
    <row r="3203" spans="1:3" x14ac:dyDescent="0.25">
      <c r="A3203" s="4">
        <v>40280</v>
      </c>
      <c r="B3203" s="5">
        <f>_xlfn.XLOOKUP(A3203,bunker_daily_raw!$A$2:$A$3819,bunker_daily_raw!$B$2:$B$3819)</f>
        <v>462</v>
      </c>
      <c r="C3203" s="6">
        <v>85.21</v>
      </c>
    </row>
    <row r="3204" spans="1:3" x14ac:dyDescent="0.25">
      <c r="A3204" s="4">
        <v>40281</v>
      </c>
      <c r="B3204" s="5">
        <f>_xlfn.XLOOKUP(A3204,bunker_daily_raw!$A$2:$A$3819,bunker_daily_raw!$B$2:$B$3819)</f>
        <v>457</v>
      </c>
      <c r="C3204" s="6">
        <v>83.44</v>
      </c>
    </row>
    <row r="3205" spans="1:3" x14ac:dyDescent="0.25">
      <c r="A3205" s="4">
        <v>40282</v>
      </c>
      <c r="B3205" s="5">
        <f>_xlfn.XLOOKUP(A3205,bunker_daily_raw!$A$2:$A$3819,bunker_daily_raw!$B$2:$B$3819)</f>
        <v>467</v>
      </c>
      <c r="C3205" s="6">
        <v>85.81</v>
      </c>
    </row>
    <row r="3206" spans="1:3" x14ac:dyDescent="0.25">
      <c r="A3206" s="4">
        <v>40283</v>
      </c>
      <c r="B3206" s="5">
        <f>_xlfn.XLOOKUP(A3206,bunker_daily_raw!$A$2:$A$3819,bunker_daily_raw!$B$2:$B$3819)</f>
        <v>468</v>
      </c>
      <c r="C3206" s="6">
        <v>86.9</v>
      </c>
    </row>
    <row r="3207" spans="1:3" x14ac:dyDescent="0.25">
      <c r="A3207" s="4">
        <v>40284</v>
      </c>
      <c r="B3207" s="5">
        <f>_xlfn.XLOOKUP(A3207,bunker_daily_raw!$A$2:$A$3819,bunker_daily_raw!$B$2:$B$3819)</f>
        <v>468</v>
      </c>
      <c r="C3207" s="6">
        <v>84.81</v>
      </c>
    </row>
    <row r="3208" spans="1:3" x14ac:dyDescent="0.25">
      <c r="A3208" s="4">
        <v>40287</v>
      </c>
      <c r="B3208" s="5">
        <f>_xlfn.XLOOKUP(A3208,bunker_daily_raw!$A$2:$A$3819,bunker_daily_raw!$B$2:$B$3819)</f>
        <v>450.25</v>
      </c>
      <c r="C3208" s="6">
        <v>83.09</v>
      </c>
    </row>
    <row r="3209" spans="1:3" x14ac:dyDescent="0.25">
      <c r="A3209" s="4">
        <v>40288</v>
      </c>
      <c r="B3209" s="5">
        <f>_xlfn.XLOOKUP(A3209,bunker_daily_raw!$A$2:$A$3819,bunker_daily_raw!$B$2:$B$3819)</f>
        <v>460.5</v>
      </c>
      <c r="C3209" s="6">
        <v>84.73</v>
      </c>
    </row>
    <row r="3210" spans="1:3" x14ac:dyDescent="0.25">
      <c r="A3210" s="4">
        <v>40289</v>
      </c>
      <c r="B3210" s="5">
        <f>_xlfn.XLOOKUP(A3210,bunker_daily_raw!$A$2:$A$3819,bunker_daily_raw!$B$2:$B$3819)</f>
        <v>461.5</v>
      </c>
      <c r="C3210" s="6">
        <v>84.55</v>
      </c>
    </row>
    <row r="3211" spans="1:3" x14ac:dyDescent="0.25">
      <c r="A3211" s="4">
        <v>40290</v>
      </c>
      <c r="B3211" s="5">
        <f>_xlfn.XLOOKUP(A3211,bunker_daily_raw!$A$2:$A$3819,bunker_daily_raw!$B$2:$B$3819)</f>
        <v>466</v>
      </c>
      <c r="C3211" s="6">
        <v>84.58</v>
      </c>
    </row>
    <row r="3212" spans="1:3" x14ac:dyDescent="0.25">
      <c r="A3212" s="4">
        <v>40291</v>
      </c>
      <c r="B3212" s="5">
        <f>_xlfn.XLOOKUP(A3212,bunker_daily_raw!$A$2:$A$3819,bunker_daily_raw!$B$2:$B$3819)</f>
        <v>469.75</v>
      </c>
      <c r="C3212" s="6">
        <v>86.09</v>
      </c>
    </row>
    <row r="3213" spans="1:3" x14ac:dyDescent="0.25">
      <c r="A3213" s="4">
        <v>40294</v>
      </c>
      <c r="B3213" s="5">
        <f>_xlfn.XLOOKUP(A3213,bunker_daily_raw!$A$2:$A$3819,bunker_daily_raw!$B$2:$B$3819)</f>
        <v>470</v>
      </c>
      <c r="C3213" s="6">
        <v>86.72</v>
      </c>
    </row>
    <row r="3214" spans="1:3" x14ac:dyDescent="0.25">
      <c r="A3214" s="4">
        <v>40295</v>
      </c>
      <c r="B3214" s="5">
        <f>_xlfn.XLOOKUP(A3214,bunker_daily_raw!$A$2:$A$3819,bunker_daily_raw!$B$2:$B$3819)</f>
        <v>467.75</v>
      </c>
      <c r="C3214" s="6">
        <v>85.59</v>
      </c>
    </row>
    <row r="3215" spans="1:3" x14ac:dyDescent="0.25">
      <c r="A3215" s="4">
        <v>40296</v>
      </c>
      <c r="B3215" s="5">
        <f>_xlfn.XLOOKUP(A3215,bunker_daily_raw!$A$2:$A$3819,bunker_daily_raw!$B$2:$B$3819)</f>
        <v>457.5</v>
      </c>
      <c r="C3215" s="6">
        <v>84.59</v>
      </c>
    </row>
    <row r="3216" spans="1:3" x14ac:dyDescent="0.25">
      <c r="A3216" s="4">
        <v>40297</v>
      </c>
      <c r="B3216" s="5">
        <f>_xlfn.XLOOKUP(A3216,bunker_daily_raw!$A$2:$A$3819,bunker_daily_raw!$B$2:$B$3819)</f>
        <v>473</v>
      </c>
      <c r="C3216" s="6">
        <v>86.82</v>
      </c>
    </row>
    <row r="3217" spans="1:3" x14ac:dyDescent="0.25">
      <c r="A3217" s="4">
        <v>40298</v>
      </c>
      <c r="B3217" s="5">
        <f>_xlfn.XLOOKUP(A3217,bunker_daily_raw!$A$2:$A$3819,bunker_daily_raw!$B$2:$B$3819)</f>
        <v>471.75</v>
      </c>
      <c r="C3217" s="6">
        <v>86.19</v>
      </c>
    </row>
    <row r="3218" spans="1:3" x14ac:dyDescent="0.25">
      <c r="A3218" s="4">
        <v>40301</v>
      </c>
      <c r="B3218" s="5" t="e">
        <f>_xlfn.XLOOKUP(A3218,bunker_daily_raw!$A$2:$A$3819,bunker_daily_raw!$B$2:$B$3819)</f>
        <v>#N/A</v>
      </c>
      <c r="C3218" s="6">
        <v>88.09</v>
      </c>
    </row>
    <row r="3219" spans="1:3" x14ac:dyDescent="0.25">
      <c r="A3219" s="4">
        <v>40302</v>
      </c>
      <c r="B3219" s="5">
        <f>_xlfn.XLOOKUP(A3219,bunker_daily_raw!$A$2:$A$3819,bunker_daily_raw!$B$2:$B$3819)</f>
        <v>468</v>
      </c>
      <c r="C3219" s="6">
        <v>85.39</v>
      </c>
    </row>
    <row r="3220" spans="1:3" x14ac:dyDescent="0.25">
      <c r="A3220" s="4">
        <v>40303</v>
      </c>
      <c r="B3220" s="5">
        <f>_xlfn.XLOOKUP(A3220,bunker_daily_raw!$A$2:$A$3819,bunker_daily_raw!$B$2:$B$3819)</f>
        <v>454</v>
      </c>
      <c r="C3220" s="6">
        <v>82.31</v>
      </c>
    </row>
    <row r="3221" spans="1:3" x14ac:dyDescent="0.25">
      <c r="A3221" s="4">
        <v>40304</v>
      </c>
      <c r="B3221" s="5">
        <f>_xlfn.XLOOKUP(A3221,bunker_daily_raw!$A$2:$A$3819,bunker_daily_raw!$B$2:$B$3819)</f>
        <v>450</v>
      </c>
      <c r="C3221" s="6">
        <v>80.209999999999994</v>
      </c>
    </row>
    <row r="3222" spans="1:3" x14ac:dyDescent="0.25">
      <c r="A3222" s="4">
        <v>40305</v>
      </c>
      <c r="B3222" s="5">
        <f>_xlfn.XLOOKUP(A3222,bunker_daily_raw!$A$2:$A$3819,bunker_daily_raw!$B$2:$B$3819)</f>
        <v>427</v>
      </c>
      <c r="C3222" s="6">
        <v>76.48</v>
      </c>
    </row>
    <row r="3223" spans="1:3" x14ac:dyDescent="0.25">
      <c r="A3223" s="4">
        <v>40308</v>
      </c>
      <c r="B3223" s="5">
        <f>_xlfn.XLOOKUP(A3223,bunker_daily_raw!$A$2:$A$3819,bunker_daily_raw!$B$2:$B$3819)</f>
        <v>443.5</v>
      </c>
      <c r="C3223" s="6">
        <v>78.08</v>
      </c>
    </row>
    <row r="3224" spans="1:3" x14ac:dyDescent="0.25">
      <c r="A3224" s="4">
        <v>40309</v>
      </c>
      <c r="B3224" s="5">
        <f>_xlfn.XLOOKUP(A3224,bunker_daily_raw!$A$2:$A$3819,bunker_daily_raw!$B$2:$B$3819)</f>
        <v>450</v>
      </c>
      <c r="C3224" s="6">
        <v>79</v>
      </c>
    </row>
    <row r="3225" spans="1:3" x14ac:dyDescent="0.25">
      <c r="A3225" s="4">
        <v>40310</v>
      </c>
      <c r="B3225" s="5">
        <f>_xlfn.XLOOKUP(A3225,bunker_daily_raw!$A$2:$A$3819,bunker_daily_raw!$B$2:$B$3819)</f>
        <v>451</v>
      </c>
      <c r="C3225" s="6">
        <v>78.7</v>
      </c>
    </row>
    <row r="3226" spans="1:3" x14ac:dyDescent="0.25">
      <c r="A3226" s="4">
        <v>40311</v>
      </c>
      <c r="B3226" s="5">
        <f>_xlfn.XLOOKUP(A3226,bunker_daily_raw!$A$2:$A$3819,bunker_daily_raw!$B$2:$B$3819)</f>
        <v>450.5</v>
      </c>
      <c r="C3226" s="6">
        <v>79.41</v>
      </c>
    </row>
    <row r="3227" spans="1:3" x14ac:dyDescent="0.25">
      <c r="A3227" s="4">
        <v>40312</v>
      </c>
      <c r="B3227" s="5">
        <f>_xlfn.XLOOKUP(A3227,bunker_daily_raw!$A$2:$A$3819,bunker_daily_raw!$B$2:$B$3819)</f>
        <v>437</v>
      </c>
      <c r="C3227" s="6">
        <v>76.430000000000007</v>
      </c>
    </row>
    <row r="3228" spans="1:3" x14ac:dyDescent="0.25">
      <c r="A3228" s="4">
        <v>40315</v>
      </c>
      <c r="B3228" s="5">
        <f>_xlfn.XLOOKUP(A3228,bunker_daily_raw!$A$2:$A$3819,bunker_daily_raw!$B$2:$B$3819)</f>
        <v>417</v>
      </c>
      <c r="C3228" s="6">
        <v>73.87</v>
      </c>
    </row>
    <row r="3229" spans="1:3" x14ac:dyDescent="0.25">
      <c r="A3229" s="4">
        <v>40316</v>
      </c>
      <c r="B3229" s="5">
        <f>_xlfn.XLOOKUP(A3229,bunker_daily_raw!$A$2:$A$3819,bunker_daily_raw!$B$2:$B$3819)</f>
        <v>422</v>
      </c>
      <c r="C3229" s="6">
        <v>75.12</v>
      </c>
    </row>
    <row r="3230" spans="1:3" x14ac:dyDescent="0.25">
      <c r="A3230" s="4">
        <v>40317</v>
      </c>
      <c r="B3230" s="5">
        <f>_xlfn.XLOOKUP(A3230,bunker_daily_raw!$A$2:$A$3819,bunker_daily_raw!$B$2:$B$3819)</f>
        <v>409</v>
      </c>
      <c r="C3230" s="6">
        <v>71.86</v>
      </c>
    </row>
    <row r="3231" spans="1:3" x14ac:dyDescent="0.25">
      <c r="A3231" s="4">
        <v>40318</v>
      </c>
      <c r="B3231" s="5">
        <f>_xlfn.XLOOKUP(A3231,bunker_daily_raw!$A$2:$A$3819,bunker_daily_raw!$B$2:$B$3819)</f>
        <v>397</v>
      </c>
      <c r="C3231" s="6">
        <v>69.56</v>
      </c>
    </row>
    <row r="3232" spans="1:3" x14ac:dyDescent="0.25">
      <c r="A3232" s="4">
        <v>40319</v>
      </c>
      <c r="B3232" s="5">
        <f>_xlfn.XLOOKUP(A3232,bunker_daily_raw!$A$2:$A$3819,bunker_daily_raw!$B$2:$B$3819)</f>
        <v>398</v>
      </c>
      <c r="C3232" s="6">
        <v>70.45</v>
      </c>
    </row>
    <row r="3233" spans="1:3" x14ac:dyDescent="0.25">
      <c r="A3233" s="4">
        <v>40322</v>
      </c>
      <c r="B3233" s="5">
        <f>_xlfn.XLOOKUP(A3233,bunker_daily_raw!$A$2:$A$3819,bunker_daily_raw!$B$2:$B$3819)</f>
        <v>390</v>
      </c>
      <c r="C3233" s="6">
        <v>69.62</v>
      </c>
    </row>
    <row r="3234" spans="1:3" x14ac:dyDescent="0.25">
      <c r="A3234" s="4">
        <v>40323</v>
      </c>
      <c r="B3234" s="5">
        <f>_xlfn.XLOOKUP(A3234,bunker_daily_raw!$A$2:$A$3819,bunker_daily_raw!$B$2:$B$3819)</f>
        <v>383</v>
      </c>
      <c r="C3234" s="6">
        <v>67.180000000000007</v>
      </c>
    </row>
    <row r="3235" spans="1:3" x14ac:dyDescent="0.25">
      <c r="A3235" s="4">
        <v>40324</v>
      </c>
      <c r="B3235" s="5">
        <f>_xlfn.XLOOKUP(A3235,bunker_daily_raw!$A$2:$A$3819,bunker_daily_raw!$B$2:$B$3819)</f>
        <v>392.5</v>
      </c>
      <c r="C3235" s="6">
        <v>70.59</v>
      </c>
    </row>
    <row r="3236" spans="1:3" x14ac:dyDescent="0.25">
      <c r="A3236" s="4">
        <v>40325</v>
      </c>
      <c r="B3236" s="5">
        <f>_xlfn.XLOOKUP(A3236,bunker_daily_raw!$A$2:$A$3819,bunker_daily_raw!$B$2:$B$3819)</f>
        <v>407</v>
      </c>
      <c r="C3236" s="6">
        <v>73.56</v>
      </c>
    </row>
    <row r="3237" spans="1:3" x14ac:dyDescent="0.25">
      <c r="A3237" s="4">
        <v>40326</v>
      </c>
      <c r="B3237" s="5">
        <f>_xlfn.XLOOKUP(A3237,bunker_daily_raw!$A$2:$A$3819,bunker_daily_raw!$B$2:$B$3819)</f>
        <v>409</v>
      </c>
      <c r="C3237" s="6">
        <v>73</v>
      </c>
    </row>
    <row r="3238" spans="1:3" x14ac:dyDescent="0.25">
      <c r="A3238" s="4">
        <v>40329</v>
      </c>
      <c r="B3238" s="5" t="e">
        <f>_xlfn.XLOOKUP(A3238,bunker_daily_raw!$A$2:$A$3819,bunker_daily_raw!$B$2:$B$3819)</f>
        <v>#N/A</v>
      </c>
      <c r="C3238" s="5"/>
    </row>
    <row r="3239" spans="1:3" x14ac:dyDescent="0.25">
      <c r="A3239" s="4">
        <v>40330</v>
      </c>
      <c r="B3239" s="5">
        <f>_xlfn.XLOOKUP(A3239,bunker_daily_raw!$A$2:$A$3819,bunker_daily_raw!$B$2:$B$3819)</f>
        <v>417</v>
      </c>
      <c r="C3239" s="6">
        <v>73.08</v>
      </c>
    </row>
    <row r="3240" spans="1:3" x14ac:dyDescent="0.25">
      <c r="A3240" s="4">
        <v>40331</v>
      </c>
      <c r="B3240" s="5">
        <f>_xlfn.XLOOKUP(A3240,bunker_daily_raw!$A$2:$A$3819,bunker_daily_raw!$B$2:$B$3819)</f>
        <v>416</v>
      </c>
      <c r="C3240" s="6">
        <v>72.78</v>
      </c>
    </row>
    <row r="3241" spans="1:3" x14ac:dyDescent="0.25">
      <c r="A3241" s="4">
        <v>40332</v>
      </c>
      <c r="B3241" s="5">
        <f>_xlfn.XLOOKUP(A3241,bunker_daily_raw!$A$2:$A$3819,bunker_daily_raw!$B$2:$B$3819)</f>
        <v>417</v>
      </c>
      <c r="C3241" s="6">
        <v>73.12</v>
      </c>
    </row>
    <row r="3242" spans="1:3" x14ac:dyDescent="0.25">
      <c r="A3242" s="4">
        <v>40333</v>
      </c>
      <c r="B3242" s="5">
        <f>_xlfn.XLOOKUP(A3242,bunker_daily_raw!$A$2:$A$3819,bunker_daily_raw!$B$2:$B$3819)</f>
        <v>411</v>
      </c>
      <c r="C3242" s="6">
        <v>71.84</v>
      </c>
    </row>
    <row r="3243" spans="1:3" x14ac:dyDescent="0.25">
      <c r="A3243" s="4">
        <v>40336</v>
      </c>
      <c r="B3243" s="5">
        <f>_xlfn.XLOOKUP(A3243,bunker_daily_raw!$A$2:$A$3819,bunker_daily_raw!$B$2:$B$3819)</f>
        <v>404.5</v>
      </c>
      <c r="C3243" s="6">
        <v>71.09</v>
      </c>
    </row>
    <row r="3244" spans="1:3" x14ac:dyDescent="0.25">
      <c r="A3244" s="4">
        <v>40337</v>
      </c>
      <c r="B3244" s="5">
        <f>_xlfn.XLOOKUP(A3244,bunker_daily_raw!$A$2:$A$3819,bunker_daily_raw!$B$2:$B$3819)</f>
        <v>406</v>
      </c>
      <c r="C3244" s="6">
        <v>71.430000000000007</v>
      </c>
    </row>
    <row r="3245" spans="1:3" x14ac:dyDescent="0.25">
      <c r="A3245" s="4">
        <v>40338</v>
      </c>
      <c r="B3245" s="5">
        <f>_xlfn.XLOOKUP(A3245,bunker_daily_raw!$A$2:$A$3819,bunker_daily_raw!$B$2:$B$3819)</f>
        <v>415.75</v>
      </c>
      <c r="C3245" s="6">
        <v>73.680000000000007</v>
      </c>
    </row>
    <row r="3246" spans="1:3" x14ac:dyDescent="0.25">
      <c r="A3246" s="4">
        <v>40339</v>
      </c>
      <c r="B3246" s="5">
        <f>_xlfn.XLOOKUP(A3246,bunker_daily_raw!$A$2:$A$3819,bunker_daily_raw!$B$2:$B$3819)</f>
        <v>415</v>
      </c>
      <c r="C3246" s="6">
        <v>74.33</v>
      </c>
    </row>
    <row r="3247" spans="1:3" x14ac:dyDescent="0.25">
      <c r="A3247" s="4">
        <v>40340</v>
      </c>
      <c r="B3247" s="5">
        <f>_xlfn.XLOOKUP(A3247,bunker_daily_raw!$A$2:$A$3819,bunker_daily_raw!$B$2:$B$3819)</f>
        <v>411</v>
      </c>
      <c r="C3247" s="6">
        <v>73.28</v>
      </c>
    </row>
    <row r="3248" spans="1:3" x14ac:dyDescent="0.25">
      <c r="A3248" s="4">
        <v>40343</v>
      </c>
      <c r="B3248" s="5">
        <f>_xlfn.XLOOKUP(A3248,bunker_daily_raw!$A$2:$A$3819,bunker_daily_raw!$B$2:$B$3819)</f>
        <v>421</v>
      </c>
      <c r="C3248" s="6">
        <v>75.11</v>
      </c>
    </row>
    <row r="3249" spans="1:3" x14ac:dyDescent="0.25">
      <c r="A3249" s="4">
        <v>40344</v>
      </c>
      <c r="B3249" s="5">
        <f>_xlfn.XLOOKUP(A3249,bunker_daily_raw!$A$2:$A$3819,bunker_daily_raw!$B$2:$B$3819)</f>
        <v>420.5</v>
      </c>
      <c r="C3249" s="6">
        <v>75.290000000000006</v>
      </c>
    </row>
    <row r="3250" spans="1:3" x14ac:dyDescent="0.25">
      <c r="A3250" s="4">
        <v>40345</v>
      </c>
      <c r="B3250" s="5">
        <f>_xlfn.XLOOKUP(A3250,bunker_daily_raw!$A$2:$A$3819,bunker_daily_raw!$B$2:$B$3819)</f>
        <v>419.5</v>
      </c>
      <c r="C3250" s="6">
        <v>76.12</v>
      </c>
    </row>
    <row r="3251" spans="1:3" x14ac:dyDescent="0.25">
      <c r="A3251" s="4">
        <v>40346</v>
      </c>
      <c r="B3251" s="5">
        <f>_xlfn.XLOOKUP(A3251,bunker_daily_raw!$A$2:$A$3819,bunker_daily_raw!$B$2:$B$3819)</f>
        <v>427.5</v>
      </c>
      <c r="C3251" s="6">
        <v>77.52</v>
      </c>
    </row>
    <row r="3252" spans="1:3" x14ac:dyDescent="0.25">
      <c r="A3252" s="4">
        <v>40347</v>
      </c>
      <c r="B3252" s="5">
        <f>_xlfn.XLOOKUP(A3252,bunker_daily_raw!$A$2:$A$3819,bunker_daily_raw!$B$2:$B$3819)</f>
        <v>420</v>
      </c>
      <c r="C3252" s="6">
        <v>77.05</v>
      </c>
    </row>
    <row r="3253" spans="1:3" x14ac:dyDescent="0.25">
      <c r="A3253" s="4">
        <v>40350</v>
      </c>
      <c r="B3253" s="5">
        <f>_xlfn.XLOOKUP(A3253,bunker_daily_raw!$A$2:$A$3819,bunker_daily_raw!$B$2:$B$3819)</f>
        <v>430</v>
      </c>
      <c r="C3253" s="6">
        <v>78.53</v>
      </c>
    </row>
    <row r="3254" spans="1:3" x14ac:dyDescent="0.25">
      <c r="A3254" s="4">
        <v>40351</v>
      </c>
      <c r="B3254" s="5">
        <f>_xlfn.XLOOKUP(A3254,bunker_daily_raw!$A$2:$A$3819,bunker_daily_raw!$B$2:$B$3819)</f>
        <v>428</v>
      </c>
      <c r="C3254" s="6">
        <v>78.08</v>
      </c>
    </row>
    <row r="3255" spans="1:3" x14ac:dyDescent="0.25">
      <c r="A3255" s="4">
        <v>40352</v>
      </c>
      <c r="B3255" s="5">
        <f>_xlfn.XLOOKUP(A3255,bunker_daily_raw!$A$2:$A$3819,bunker_daily_raw!$B$2:$B$3819)</f>
        <v>419</v>
      </c>
      <c r="C3255" s="6">
        <v>75.22</v>
      </c>
    </row>
    <row r="3256" spans="1:3" x14ac:dyDescent="0.25">
      <c r="A3256" s="4">
        <v>40353</v>
      </c>
      <c r="B3256" s="5">
        <f>_xlfn.XLOOKUP(A3256,bunker_daily_raw!$A$2:$A$3819,bunker_daily_raw!$B$2:$B$3819)</f>
        <v>416</v>
      </c>
      <c r="C3256" s="6">
        <v>75.17</v>
      </c>
    </row>
    <row r="3257" spans="1:3" x14ac:dyDescent="0.25">
      <c r="A3257" s="4">
        <v>40354</v>
      </c>
      <c r="B3257" s="5">
        <f>_xlfn.XLOOKUP(A3257,bunker_daily_raw!$A$2:$A$3819,bunker_daily_raw!$B$2:$B$3819)</f>
        <v>418</v>
      </c>
      <c r="C3257" s="6">
        <v>76.209999999999994</v>
      </c>
    </row>
    <row r="3258" spans="1:3" x14ac:dyDescent="0.25">
      <c r="A3258" s="4">
        <v>40357</v>
      </c>
      <c r="B3258" s="5">
        <f>_xlfn.XLOOKUP(A3258,bunker_daily_raw!$A$2:$A$3819,bunker_daily_raw!$B$2:$B$3819)</f>
        <v>421.25</v>
      </c>
      <c r="C3258" s="6">
        <v>76.66</v>
      </c>
    </row>
    <row r="3259" spans="1:3" x14ac:dyDescent="0.25">
      <c r="A3259" s="4">
        <v>40358</v>
      </c>
      <c r="B3259" s="5">
        <f>_xlfn.XLOOKUP(A3259,bunker_daily_raw!$A$2:$A$3819,bunker_daily_raw!$B$2:$B$3819)</f>
        <v>408</v>
      </c>
      <c r="C3259" s="6">
        <v>74.209999999999994</v>
      </c>
    </row>
    <row r="3260" spans="1:3" x14ac:dyDescent="0.25">
      <c r="A3260" s="4">
        <v>40359</v>
      </c>
      <c r="B3260" s="5">
        <f>_xlfn.XLOOKUP(A3260,bunker_daily_raw!$A$2:$A$3819,bunker_daily_raw!$B$2:$B$3819)</f>
        <v>410</v>
      </c>
      <c r="C3260" s="6">
        <v>74.94</v>
      </c>
    </row>
    <row r="3261" spans="1:3" x14ac:dyDescent="0.25">
      <c r="A3261" s="4">
        <v>40360</v>
      </c>
      <c r="B3261" s="5">
        <f>_xlfn.XLOOKUP(A3261,bunker_daily_raw!$A$2:$A$3819,bunker_daily_raw!$B$2:$B$3819)</f>
        <v>390.5</v>
      </c>
      <c r="C3261" s="6">
        <v>71.73</v>
      </c>
    </row>
    <row r="3262" spans="1:3" x14ac:dyDescent="0.25">
      <c r="A3262" s="4">
        <v>40361</v>
      </c>
      <c r="B3262" s="5">
        <f>_xlfn.XLOOKUP(A3262,bunker_daily_raw!$A$2:$A$3819,bunker_daily_raw!$B$2:$B$3819)</f>
        <v>388.5</v>
      </c>
      <c r="C3262" s="6">
        <v>71.75</v>
      </c>
    </row>
    <row r="3263" spans="1:3" x14ac:dyDescent="0.25">
      <c r="A3263" s="4">
        <v>40364</v>
      </c>
      <c r="B3263" s="5">
        <f>_xlfn.XLOOKUP(A3263,bunker_daily_raw!$A$2:$A$3819,bunker_daily_raw!$B$2:$B$3819)</f>
        <v>389.5</v>
      </c>
      <c r="C3263" s="5"/>
    </row>
    <row r="3264" spans="1:3" x14ac:dyDescent="0.25">
      <c r="A3264" s="4">
        <v>40365</v>
      </c>
      <c r="B3264" s="5">
        <f>_xlfn.XLOOKUP(A3264,bunker_daily_raw!$A$2:$A$3819,bunker_daily_raw!$B$2:$B$3819)</f>
        <v>396</v>
      </c>
      <c r="C3264" s="6">
        <v>73.08</v>
      </c>
    </row>
    <row r="3265" spans="1:3" x14ac:dyDescent="0.25">
      <c r="A3265" s="4">
        <v>40366</v>
      </c>
      <c r="B3265" s="5">
        <f>_xlfn.XLOOKUP(A3265,bunker_daily_raw!$A$2:$A$3819,bunker_daily_raw!$B$2:$B$3819)</f>
        <v>401</v>
      </c>
      <c r="C3265" s="6">
        <v>72.97</v>
      </c>
    </row>
    <row r="3266" spans="1:3" x14ac:dyDescent="0.25">
      <c r="A3266" s="4">
        <v>40367</v>
      </c>
      <c r="B3266" s="5">
        <f>_xlfn.XLOOKUP(A3266,bunker_daily_raw!$A$2:$A$3819,bunker_daily_raw!$B$2:$B$3819)</f>
        <v>412</v>
      </c>
      <c r="C3266" s="6">
        <v>74.56</v>
      </c>
    </row>
    <row r="3267" spans="1:3" x14ac:dyDescent="0.25">
      <c r="A3267" s="4">
        <v>40368</v>
      </c>
      <c r="B3267" s="5">
        <f>_xlfn.XLOOKUP(A3267,bunker_daily_raw!$A$2:$A$3819,bunker_daily_raw!$B$2:$B$3819)</f>
        <v>414.5</v>
      </c>
      <c r="C3267" s="6">
        <v>75.2</v>
      </c>
    </row>
    <row r="3268" spans="1:3" x14ac:dyDescent="0.25">
      <c r="A3268" s="4">
        <v>40371</v>
      </c>
      <c r="B3268" s="5">
        <f>_xlfn.XLOOKUP(A3268,bunker_daily_raw!$A$2:$A$3819,bunker_daily_raw!$B$2:$B$3819)</f>
        <v>412.5</v>
      </c>
      <c r="C3268" s="6">
        <v>74.349999999999994</v>
      </c>
    </row>
    <row r="3269" spans="1:3" x14ac:dyDescent="0.25">
      <c r="A3269" s="4">
        <v>40372</v>
      </c>
      <c r="B3269" s="5">
        <f>_xlfn.XLOOKUP(A3269,bunker_daily_raw!$A$2:$A$3819,bunker_daily_raw!$B$2:$B$3819)</f>
        <v>426.5</v>
      </c>
      <c r="C3269" s="6">
        <v>76.45</v>
      </c>
    </row>
    <row r="3270" spans="1:3" x14ac:dyDescent="0.25">
      <c r="A3270" s="4">
        <v>40373</v>
      </c>
      <c r="B3270" s="5">
        <f>_xlfn.XLOOKUP(A3270,bunker_daily_raw!$A$2:$A$3819,bunker_daily_raw!$B$2:$B$3819)</f>
        <v>430</v>
      </c>
      <c r="C3270" s="6">
        <v>76.63</v>
      </c>
    </row>
    <row r="3271" spans="1:3" x14ac:dyDescent="0.25">
      <c r="A3271" s="4">
        <v>40374</v>
      </c>
      <c r="B3271" s="5">
        <f>_xlfn.XLOOKUP(A3271,bunker_daily_raw!$A$2:$A$3819,bunker_daily_raw!$B$2:$B$3819)</f>
        <v>418</v>
      </c>
      <c r="C3271" s="6">
        <v>75.52</v>
      </c>
    </row>
    <row r="3272" spans="1:3" x14ac:dyDescent="0.25">
      <c r="A3272" s="4">
        <v>40375</v>
      </c>
      <c r="B3272" s="5">
        <f>_xlfn.XLOOKUP(A3272,bunker_daily_raw!$A$2:$A$3819,bunker_daily_raw!$B$2:$B$3819)</f>
        <v>419</v>
      </c>
      <c r="C3272" s="6">
        <v>75.55</v>
      </c>
    </row>
    <row r="3273" spans="1:3" x14ac:dyDescent="0.25">
      <c r="A3273" s="4">
        <v>40378</v>
      </c>
      <c r="B3273" s="5">
        <f>_xlfn.XLOOKUP(A3273,bunker_daily_raw!$A$2:$A$3819,bunker_daily_raw!$B$2:$B$3819)</f>
        <v>426.5</v>
      </c>
      <c r="C3273" s="6">
        <v>76.290000000000006</v>
      </c>
    </row>
    <row r="3274" spans="1:3" x14ac:dyDescent="0.25">
      <c r="A3274" s="4">
        <v>40379</v>
      </c>
      <c r="B3274" s="5">
        <f>_xlfn.XLOOKUP(A3274,bunker_daily_raw!$A$2:$A$3819,bunker_daily_raw!$B$2:$B$3819)</f>
        <v>425</v>
      </c>
      <c r="C3274" s="6">
        <v>76.31</v>
      </c>
    </row>
    <row r="3275" spans="1:3" x14ac:dyDescent="0.25">
      <c r="A3275" s="4">
        <v>40380</v>
      </c>
      <c r="B3275" s="5">
        <f>_xlfn.XLOOKUP(A3275,bunker_daily_raw!$A$2:$A$3819,bunker_daily_raw!$B$2:$B$3819)</f>
        <v>422</v>
      </c>
      <c r="C3275" s="6">
        <v>75.75</v>
      </c>
    </row>
    <row r="3276" spans="1:3" x14ac:dyDescent="0.25">
      <c r="A3276" s="4">
        <v>40381</v>
      </c>
      <c r="B3276" s="5">
        <f>_xlfn.XLOOKUP(A3276,bunker_daily_raw!$A$2:$A$3819,bunker_daily_raw!$B$2:$B$3819)</f>
        <v>432.5</v>
      </c>
      <c r="C3276" s="6">
        <v>77.59</v>
      </c>
    </row>
    <row r="3277" spans="1:3" x14ac:dyDescent="0.25">
      <c r="A3277" s="4">
        <v>40382</v>
      </c>
      <c r="B3277" s="5">
        <f>_xlfn.XLOOKUP(A3277,bunker_daily_raw!$A$2:$A$3819,bunker_daily_raw!$B$2:$B$3819)</f>
        <v>428</v>
      </c>
      <c r="C3277" s="6">
        <v>77.27</v>
      </c>
    </row>
    <row r="3278" spans="1:3" x14ac:dyDescent="0.25">
      <c r="A3278" s="4">
        <v>40385</v>
      </c>
      <c r="B3278" s="5">
        <f>_xlfn.XLOOKUP(A3278,bunker_daily_raw!$A$2:$A$3819,bunker_daily_raw!$B$2:$B$3819)</f>
        <v>434.5</v>
      </c>
      <c r="C3278" s="6">
        <v>77.900000000000006</v>
      </c>
    </row>
    <row r="3279" spans="1:3" x14ac:dyDescent="0.25">
      <c r="A3279" s="4">
        <v>40386</v>
      </c>
      <c r="B3279" s="5">
        <f>_xlfn.XLOOKUP(A3279,bunker_daily_raw!$A$2:$A$3819,bunker_daily_raw!$B$2:$B$3819)</f>
        <v>434.5</v>
      </c>
      <c r="C3279" s="6">
        <v>75.52</v>
      </c>
    </row>
    <row r="3280" spans="1:3" x14ac:dyDescent="0.25">
      <c r="A3280" s="4">
        <v>40387</v>
      </c>
      <c r="B3280" s="5">
        <f>_xlfn.XLOOKUP(A3280,bunker_daily_raw!$A$2:$A$3819,bunker_daily_raw!$B$2:$B$3819)</f>
        <v>424</v>
      </c>
      <c r="C3280" s="6">
        <v>76.66</v>
      </c>
    </row>
    <row r="3281" spans="1:3" x14ac:dyDescent="0.25">
      <c r="A3281" s="4">
        <v>40388</v>
      </c>
      <c r="B3281" s="5">
        <f>_xlfn.XLOOKUP(A3281,bunker_daily_raw!$A$2:$A$3819,bunker_daily_raw!$B$2:$B$3819)</f>
        <v>434.5</v>
      </c>
      <c r="C3281" s="6">
        <v>78.599999999999994</v>
      </c>
    </row>
    <row r="3282" spans="1:3" x14ac:dyDescent="0.25">
      <c r="A3282" s="4">
        <v>40389</v>
      </c>
      <c r="B3282" s="5">
        <f>_xlfn.XLOOKUP(A3282,bunker_daily_raw!$A$2:$A$3819,bunker_daily_raw!$B$2:$B$3819)</f>
        <v>431.5</v>
      </c>
      <c r="C3282" s="6">
        <v>77.5</v>
      </c>
    </row>
    <row r="3283" spans="1:3" x14ac:dyDescent="0.25">
      <c r="A3283" s="4">
        <v>40392</v>
      </c>
      <c r="B3283" s="5">
        <f>_xlfn.XLOOKUP(A3283,bunker_daily_raw!$A$2:$A$3819,bunker_daily_raw!$B$2:$B$3819)</f>
        <v>431.5</v>
      </c>
      <c r="C3283" s="6">
        <v>81.93</v>
      </c>
    </row>
    <row r="3284" spans="1:3" x14ac:dyDescent="0.25">
      <c r="A3284" s="4">
        <v>40393</v>
      </c>
      <c r="B3284" s="5">
        <f>_xlfn.XLOOKUP(A3284,bunker_daily_raw!$A$2:$A$3819,bunker_daily_raw!$B$2:$B$3819)</f>
        <v>457</v>
      </c>
      <c r="C3284" s="6">
        <v>83.6</v>
      </c>
    </row>
    <row r="3285" spans="1:3" x14ac:dyDescent="0.25">
      <c r="A3285" s="4">
        <v>40394</v>
      </c>
      <c r="B3285" s="5">
        <f>_xlfn.XLOOKUP(A3285,bunker_daily_raw!$A$2:$A$3819,bunker_daily_raw!$B$2:$B$3819)</f>
        <v>458</v>
      </c>
      <c r="C3285" s="6">
        <v>83.76</v>
      </c>
    </row>
    <row r="3286" spans="1:3" x14ac:dyDescent="0.25">
      <c r="A3286" s="4">
        <v>40395</v>
      </c>
      <c r="B3286" s="5">
        <f>_xlfn.XLOOKUP(A3286,bunker_daily_raw!$A$2:$A$3819,bunker_daily_raw!$B$2:$B$3819)</f>
        <v>453</v>
      </c>
      <c r="C3286" s="6">
        <v>82.9</v>
      </c>
    </row>
    <row r="3287" spans="1:3" x14ac:dyDescent="0.25">
      <c r="A3287" s="4">
        <v>40396</v>
      </c>
      <c r="B3287" s="5">
        <f>_xlfn.XLOOKUP(A3287,bunker_daily_raw!$A$2:$A$3819,bunker_daily_raw!$B$2:$B$3819)</f>
        <v>450.75</v>
      </c>
      <c r="C3287" s="6">
        <v>81.28</v>
      </c>
    </row>
    <row r="3288" spans="1:3" x14ac:dyDescent="0.25">
      <c r="A3288" s="4">
        <v>40399</v>
      </c>
      <c r="B3288" s="5">
        <f>_xlfn.XLOOKUP(A3288,bunker_daily_raw!$A$2:$A$3819,bunker_daily_raw!$B$2:$B$3819)</f>
        <v>451.75</v>
      </c>
      <c r="C3288" s="6">
        <v>81.540000000000006</v>
      </c>
    </row>
    <row r="3289" spans="1:3" x14ac:dyDescent="0.25">
      <c r="A3289" s="4">
        <v>40400</v>
      </c>
      <c r="B3289" s="5">
        <f>_xlfn.XLOOKUP(A3289,bunker_daily_raw!$A$2:$A$3819,bunker_daily_raw!$B$2:$B$3819)</f>
        <v>447.5</v>
      </c>
      <c r="C3289" s="6">
        <v>79.89</v>
      </c>
    </row>
    <row r="3290" spans="1:3" x14ac:dyDescent="0.25">
      <c r="A3290" s="4">
        <v>40401</v>
      </c>
      <c r="B3290" s="5">
        <f>_xlfn.XLOOKUP(A3290,bunker_daily_raw!$A$2:$A$3819,bunker_daily_raw!$B$2:$B$3819)</f>
        <v>438</v>
      </c>
      <c r="C3290" s="6">
        <v>77.83</v>
      </c>
    </row>
    <row r="3291" spans="1:3" x14ac:dyDescent="0.25">
      <c r="A3291" s="4">
        <v>40402</v>
      </c>
      <c r="B3291" s="5">
        <f>_xlfn.XLOOKUP(A3291,bunker_daily_raw!$A$2:$A$3819,bunker_daily_raw!$B$2:$B$3819)</f>
        <v>429</v>
      </c>
      <c r="C3291" s="6">
        <v>76.63</v>
      </c>
    </row>
    <row r="3292" spans="1:3" x14ac:dyDescent="0.25">
      <c r="A3292" s="4">
        <v>40403</v>
      </c>
      <c r="B3292" s="5">
        <f>_xlfn.XLOOKUP(A3292,bunker_daily_raw!$A$2:$A$3819,bunker_daily_raw!$B$2:$B$3819)</f>
        <v>421</v>
      </c>
      <c r="C3292" s="6">
        <v>75.14</v>
      </c>
    </row>
    <row r="3293" spans="1:3" x14ac:dyDescent="0.25">
      <c r="A3293" s="4">
        <v>40406</v>
      </c>
      <c r="B3293" s="5">
        <f>_xlfn.XLOOKUP(A3293,bunker_daily_raw!$A$2:$A$3819,bunker_daily_raw!$B$2:$B$3819)</f>
        <v>421</v>
      </c>
      <c r="C3293" s="6">
        <v>74.56</v>
      </c>
    </row>
    <row r="3294" spans="1:3" x14ac:dyDescent="0.25">
      <c r="A3294" s="4">
        <v>40407</v>
      </c>
      <c r="B3294" s="5">
        <f>_xlfn.XLOOKUP(A3294,bunker_daily_raw!$A$2:$A$3819,bunker_daily_raw!$B$2:$B$3819)</f>
        <v>432</v>
      </c>
      <c r="C3294" s="6">
        <v>76.739999999999995</v>
      </c>
    </row>
    <row r="3295" spans="1:3" x14ac:dyDescent="0.25">
      <c r="A3295" s="4">
        <v>40408</v>
      </c>
      <c r="B3295" s="5">
        <f>_xlfn.XLOOKUP(A3295,bunker_daily_raw!$A$2:$A$3819,bunker_daily_raw!$B$2:$B$3819)</f>
        <v>424.75</v>
      </c>
      <c r="C3295" s="6">
        <v>75.099999999999994</v>
      </c>
    </row>
    <row r="3296" spans="1:3" x14ac:dyDescent="0.25">
      <c r="A3296" s="4">
        <v>40409</v>
      </c>
      <c r="B3296" s="5">
        <f>_xlfn.XLOOKUP(A3296,bunker_daily_raw!$A$2:$A$3819,bunker_daily_raw!$B$2:$B$3819)</f>
        <v>425.5</v>
      </c>
      <c r="C3296" s="6">
        <v>74.84</v>
      </c>
    </row>
    <row r="3297" spans="1:3" x14ac:dyDescent="0.25">
      <c r="A3297" s="4">
        <v>40410</v>
      </c>
      <c r="B3297" s="5">
        <f>_xlfn.XLOOKUP(A3297,bunker_daily_raw!$A$2:$A$3819,bunker_daily_raw!$B$2:$B$3819)</f>
        <v>419</v>
      </c>
      <c r="C3297" s="6">
        <v>73.48</v>
      </c>
    </row>
    <row r="3298" spans="1:3" x14ac:dyDescent="0.25">
      <c r="A3298" s="4">
        <v>40413</v>
      </c>
      <c r="B3298" s="5">
        <f>_xlfn.XLOOKUP(A3298,bunker_daily_raw!$A$2:$A$3819,bunker_daily_raw!$B$2:$B$3819)</f>
        <v>416</v>
      </c>
      <c r="C3298" s="6">
        <v>73.08</v>
      </c>
    </row>
    <row r="3299" spans="1:3" x14ac:dyDescent="0.25">
      <c r="A3299" s="4">
        <v>40414</v>
      </c>
      <c r="B3299" s="5">
        <f>_xlfn.XLOOKUP(A3299,bunker_daily_raw!$A$2:$A$3819,bunker_daily_raw!$B$2:$B$3819)</f>
        <v>410</v>
      </c>
      <c r="C3299" s="6">
        <v>70.61</v>
      </c>
    </row>
    <row r="3300" spans="1:3" x14ac:dyDescent="0.25">
      <c r="A3300" s="4">
        <v>40415</v>
      </c>
      <c r="B3300" s="5">
        <f>_xlfn.XLOOKUP(A3300,bunker_daily_raw!$A$2:$A$3819,bunker_daily_raw!$B$2:$B$3819)</f>
        <v>410</v>
      </c>
      <c r="C3300" s="6">
        <v>70.739999999999995</v>
      </c>
    </row>
    <row r="3301" spans="1:3" x14ac:dyDescent="0.25">
      <c r="A3301" s="4">
        <v>40416</v>
      </c>
      <c r="B3301" s="5">
        <f>_xlfn.XLOOKUP(A3301,bunker_daily_raw!$A$2:$A$3819,bunker_daily_raw!$B$2:$B$3819)</f>
        <v>424</v>
      </c>
      <c r="C3301" s="6">
        <v>74.5</v>
      </c>
    </row>
    <row r="3302" spans="1:3" x14ac:dyDescent="0.25">
      <c r="A3302" s="4">
        <v>40417</v>
      </c>
      <c r="B3302" s="5">
        <f>_xlfn.XLOOKUP(A3302,bunker_daily_raw!$A$2:$A$3819,bunker_daily_raw!$B$2:$B$3819)</f>
        <v>422.25</v>
      </c>
      <c r="C3302" s="6">
        <v>75.16</v>
      </c>
    </row>
    <row r="3303" spans="1:3" x14ac:dyDescent="0.25">
      <c r="A3303" s="4">
        <v>40420</v>
      </c>
      <c r="B3303" s="5" t="e">
        <f>_xlfn.XLOOKUP(A3303,bunker_daily_raw!$A$2:$A$3819,bunker_daily_raw!$B$2:$B$3819)</f>
        <v>#N/A</v>
      </c>
      <c r="C3303" s="6">
        <v>76.05</v>
      </c>
    </row>
    <row r="3304" spans="1:3" x14ac:dyDescent="0.25">
      <c r="A3304" s="4">
        <v>40421</v>
      </c>
      <c r="B3304" s="5">
        <f>_xlfn.XLOOKUP(A3304,bunker_daily_raw!$A$2:$A$3819,bunker_daily_raw!$B$2:$B$3819)</f>
        <v>422.25</v>
      </c>
      <c r="C3304" s="6">
        <v>75.510000000000005</v>
      </c>
    </row>
    <row r="3305" spans="1:3" x14ac:dyDescent="0.25">
      <c r="A3305" s="4">
        <v>40422</v>
      </c>
      <c r="B3305" s="5">
        <f>_xlfn.XLOOKUP(A3305,bunker_daily_raw!$A$2:$A$3819,bunker_daily_raw!$B$2:$B$3819)</f>
        <v>424</v>
      </c>
      <c r="C3305" s="6">
        <v>75.53</v>
      </c>
    </row>
    <row r="3306" spans="1:3" x14ac:dyDescent="0.25">
      <c r="A3306" s="4">
        <v>40423</v>
      </c>
      <c r="B3306" s="5">
        <f>_xlfn.XLOOKUP(A3306,bunker_daily_raw!$A$2:$A$3819,bunker_daily_raw!$B$2:$B$3819)</f>
        <v>421</v>
      </c>
      <c r="C3306" s="6">
        <v>74.930000000000007</v>
      </c>
    </row>
    <row r="3307" spans="1:3" x14ac:dyDescent="0.25">
      <c r="A3307" s="4">
        <v>40424</v>
      </c>
      <c r="B3307" s="5">
        <f>_xlfn.XLOOKUP(A3307,bunker_daily_raw!$A$2:$A$3819,bunker_daily_raw!$B$2:$B$3819)</f>
        <v>417.5</v>
      </c>
      <c r="C3307" s="6">
        <v>75.03</v>
      </c>
    </row>
    <row r="3308" spans="1:3" x14ac:dyDescent="0.25">
      <c r="A3308" s="4">
        <v>40427</v>
      </c>
      <c r="B3308" s="5">
        <f>_xlfn.XLOOKUP(A3308,bunker_daily_raw!$A$2:$A$3819,bunker_daily_raw!$B$2:$B$3819)</f>
        <v>422.5</v>
      </c>
      <c r="C3308" s="5"/>
    </row>
    <row r="3309" spans="1:3" x14ac:dyDescent="0.25">
      <c r="A3309" s="4">
        <v>40428</v>
      </c>
      <c r="B3309" s="5">
        <f>_xlfn.XLOOKUP(A3309,bunker_daily_raw!$A$2:$A$3819,bunker_daily_raw!$B$2:$B$3819)</f>
        <v>419.75</v>
      </c>
      <c r="C3309" s="6">
        <v>75.78</v>
      </c>
    </row>
    <row r="3310" spans="1:3" x14ac:dyDescent="0.25">
      <c r="A3310" s="4">
        <v>40429</v>
      </c>
      <c r="B3310" s="5">
        <f>_xlfn.XLOOKUP(A3310,bunker_daily_raw!$A$2:$A$3819,bunker_daily_raw!$B$2:$B$3819)</f>
        <v>426.5</v>
      </c>
      <c r="C3310" s="6">
        <v>77.48</v>
      </c>
    </row>
    <row r="3311" spans="1:3" x14ac:dyDescent="0.25">
      <c r="A3311" s="4">
        <v>40430</v>
      </c>
      <c r="B3311" s="5">
        <f>_xlfn.XLOOKUP(A3311,bunker_daily_raw!$A$2:$A$3819,bunker_daily_raw!$B$2:$B$3819)</f>
        <v>427</v>
      </c>
      <c r="C3311" s="6">
        <v>77.87</v>
      </c>
    </row>
    <row r="3312" spans="1:3" x14ac:dyDescent="0.25">
      <c r="A3312" s="4">
        <v>40431</v>
      </c>
      <c r="B3312" s="5">
        <f>_xlfn.XLOOKUP(A3312,bunker_daily_raw!$A$2:$A$3819,bunker_daily_raw!$B$2:$B$3819)</f>
        <v>423.5</v>
      </c>
      <c r="C3312" s="6">
        <v>77.540000000000006</v>
      </c>
    </row>
    <row r="3313" spans="1:3" x14ac:dyDescent="0.25">
      <c r="A3313" s="4">
        <v>40434</v>
      </c>
      <c r="B3313" s="5">
        <f>_xlfn.XLOOKUP(A3313,bunker_daily_raw!$A$2:$A$3819,bunker_daily_raw!$B$2:$B$3819)</f>
        <v>427</v>
      </c>
      <c r="C3313" s="6">
        <v>78.52</v>
      </c>
    </row>
    <row r="3314" spans="1:3" x14ac:dyDescent="0.25">
      <c r="A3314" s="4">
        <v>40435</v>
      </c>
      <c r="B3314" s="5">
        <f>_xlfn.XLOOKUP(A3314,bunker_daily_raw!$A$2:$A$3819,bunker_daily_raw!$B$2:$B$3819)</f>
        <v>433</v>
      </c>
      <c r="C3314" s="6">
        <v>78.89</v>
      </c>
    </row>
    <row r="3315" spans="1:3" x14ac:dyDescent="0.25">
      <c r="A3315" s="4">
        <v>40436</v>
      </c>
      <c r="B3315" s="5">
        <f>_xlfn.XLOOKUP(A3315,bunker_daily_raw!$A$2:$A$3819,bunker_daily_raw!$B$2:$B$3819)</f>
        <v>432</v>
      </c>
      <c r="C3315" s="6">
        <v>78.459999999999994</v>
      </c>
    </row>
    <row r="3316" spans="1:3" x14ac:dyDescent="0.25">
      <c r="A3316" s="4">
        <v>40437</v>
      </c>
      <c r="B3316" s="5">
        <f>_xlfn.XLOOKUP(A3316,bunker_daily_raw!$A$2:$A$3819,bunker_daily_raw!$B$2:$B$3819)</f>
        <v>431.75</v>
      </c>
      <c r="C3316" s="6">
        <v>78.89</v>
      </c>
    </row>
    <row r="3317" spans="1:3" x14ac:dyDescent="0.25">
      <c r="A3317" s="4">
        <v>40438</v>
      </c>
      <c r="B3317" s="5">
        <f>_xlfn.XLOOKUP(A3317,bunker_daily_raw!$A$2:$A$3819,bunker_daily_raw!$B$2:$B$3819)</f>
        <v>426.75</v>
      </c>
      <c r="C3317" s="6">
        <v>77.430000000000007</v>
      </c>
    </row>
    <row r="3318" spans="1:3" x14ac:dyDescent="0.25">
      <c r="A3318" s="4">
        <v>40441</v>
      </c>
      <c r="B3318" s="5">
        <f>_xlfn.XLOOKUP(A3318,bunker_daily_raw!$A$2:$A$3819,bunker_daily_raw!$B$2:$B$3819)</f>
        <v>434</v>
      </c>
      <c r="C3318" s="6">
        <v>79.42</v>
      </c>
    </row>
    <row r="3319" spans="1:3" x14ac:dyDescent="0.25">
      <c r="A3319" s="4">
        <v>40442</v>
      </c>
      <c r="B3319" s="5">
        <f>_xlfn.XLOOKUP(A3319,bunker_daily_raw!$A$2:$A$3819,bunker_daily_raw!$B$2:$B$3819)</f>
        <v>427.75</v>
      </c>
      <c r="C3319" s="6">
        <v>78.760000000000005</v>
      </c>
    </row>
    <row r="3320" spans="1:3" x14ac:dyDescent="0.25">
      <c r="A3320" s="4">
        <v>40443</v>
      </c>
      <c r="B3320" s="5">
        <f>_xlfn.XLOOKUP(A3320,bunker_daily_raw!$A$2:$A$3819,bunker_daily_raw!$B$2:$B$3819)</f>
        <v>425</v>
      </c>
      <c r="C3320" s="6">
        <v>77.290000000000006</v>
      </c>
    </row>
    <row r="3321" spans="1:3" x14ac:dyDescent="0.25">
      <c r="A3321" s="4">
        <v>40444</v>
      </c>
      <c r="B3321" s="5">
        <f>_xlfn.XLOOKUP(A3321,bunker_daily_raw!$A$2:$A$3819,bunker_daily_raw!$B$2:$B$3819)</f>
        <v>425</v>
      </c>
      <c r="C3321" s="6">
        <v>77.69</v>
      </c>
    </row>
    <row r="3322" spans="1:3" x14ac:dyDescent="0.25">
      <c r="A3322" s="4">
        <v>40445</v>
      </c>
      <c r="B3322" s="5">
        <f>_xlfn.XLOOKUP(A3322,bunker_daily_raw!$A$2:$A$3819,bunker_daily_raw!$B$2:$B$3819)</f>
        <v>430.5</v>
      </c>
      <c r="C3322" s="6">
        <v>78.73</v>
      </c>
    </row>
    <row r="3323" spans="1:3" x14ac:dyDescent="0.25">
      <c r="A3323" s="4">
        <v>40448</v>
      </c>
      <c r="B3323" s="5">
        <f>_xlfn.XLOOKUP(A3323,bunker_daily_raw!$A$2:$A$3819,bunker_daily_raw!$B$2:$B$3819)</f>
        <v>423.75</v>
      </c>
      <c r="C3323" s="6">
        <v>77.709999999999994</v>
      </c>
    </row>
    <row r="3324" spans="1:3" x14ac:dyDescent="0.25">
      <c r="A3324" s="4">
        <v>40449</v>
      </c>
      <c r="B3324" s="5">
        <f>_xlfn.XLOOKUP(A3324,bunker_daily_raw!$A$2:$A$3819,bunker_daily_raw!$B$2:$B$3819)</f>
        <v>428</v>
      </c>
      <c r="C3324" s="6">
        <v>79.14</v>
      </c>
    </row>
    <row r="3325" spans="1:3" x14ac:dyDescent="0.25">
      <c r="A3325" s="4">
        <v>40450</v>
      </c>
      <c r="B3325" s="5">
        <f>_xlfn.XLOOKUP(A3325,bunker_daily_raw!$A$2:$A$3819,bunker_daily_raw!$B$2:$B$3819)</f>
        <v>430</v>
      </c>
      <c r="C3325" s="6">
        <v>78.790000000000006</v>
      </c>
    </row>
    <row r="3326" spans="1:3" x14ac:dyDescent="0.25">
      <c r="A3326" s="4">
        <v>40451</v>
      </c>
      <c r="B3326" s="5">
        <f>_xlfn.XLOOKUP(A3326,bunker_daily_raw!$A$2:$A$3819,bunker_daily_raw!$B$2:$B$3819)</f>
        <v>437.5</v>
      </c>
      <c r="C3326" s="6">
        <v>80.77</v>
      </c>
    </row>
    <row r="3327" spans="1:3" x14ac:dyDescent="0.25">
      <c r="A3327" s="4">
        <v>40452</v>
      </c>
      <c r="B3327" s="5">
        <f>_xlfn.XLOOKUP(A3327,bunker_daily_raw!$A$2:$A$3819,bunker_daily_raw!$B$2:$B$3819)</f>
        <v>452</v>
      </c>
      <c r="C3327" s="6">
        <v>82.69</v>
      </c>
    </row>
    <row r="3328" spans="1:3" x14ac:dyDescent="0.25">
      <c r="A3328" s="4">
        <v>40455</v>
      </c>
      <c r="B3328" s="5">
        <f>_xlfn.XLOOKUP(A3328,bunker_daily_raw!$A$2:$A$3819,bunker_daily_raw!$B$2:$B$3819)</f>
        <v>467.25</v>
      </c>
      <c r="C3328" s="6">
        <v>83.42</v>
      </c>
    </row>
    <row r="3329" spans="1:3" x14ac:dyDescent="0.25">
      <c r="A3329" s="4">
        <v>40456</v>
      </c>
      <c r="B3329" s="5">
        <f>_xlfn.XLOOKUP(A3329,bunker_daily_raw!$A$2:$A$3819,bunker_daily_raw!$B$2:$B$3819)</f>
        <v>457.5</v>
      </c>
      <c r="C3329" s="6">
        <v>83.35</v>
      </c>
    </row>
    <row r="3330" spans="1:3" x14ac:dyDescent="0.25">
      <c r="A3330" s="4">
        <v>40457</v>
      </c>
      <c r="B3330" s="5">
        <f>_xlfn.XLOOKUP(A3330,bunker_daily_raw!$A$2:$A$3819,bunker_daily_raw!$B$2:$B$3819)</f>
        <v>467</v>
      </c>
      <c r="C3330" s="6">
        <v>85.01</v>
      </c>
    </row>
    <row r="3331" spans="1:3" x14ac:dyDescent="0.25">
      <c r="A3331" s="4">
        <v>40458</v>
      </c>
      <c r="B3331" s="5">
        <f>_xlfn.XLOOKUP(A3331,bunker_daily_raw!$A$2:$A$3819,bunker_daily_raw!$B$2:$B$3819)</f>
        <v>459</v>
      </c>
      <c r="C3331" s="6">
        <v>83.67</v>
      </c>
    </row>
    <row r="3332" spans="1:3" x14ac:dyDescent="0.25">
      <c r="A3332" s="4">
        <v>40459</v>
      </c>
      <c r="B3332" s="5">
        <f>_xlfn.XLOOKUP(A3332,bunker_daily_raw!$A$2:$A$3819,bunker_daily_raw!$B$2:$B$3819)</f>
        <v>459.75</v>
      </c>
      <c r="C3332" s="6">
        <v>83.88</v>
      </c>
    </row>
    <row r="3333" spans="1:3" x14ac:dyDescent="0.25">
      <c r="A3333" s="4">
        <v>40462</v>
      </c>
      <c r="B3333" s="5">
        <f>_xlfn.XLOOKUP(A3333,bunker_daily_raw!$A$2:$A$3819,bunker_daily_raw!$B$2:$B$3819)</f>
        <v>457.5</v>
      </c>
      <c r="C3333" s="6">
        <v>83.08</v>
      </c>
    </row>
    <row r="3334" spans="1:3" x14ac:dyDescent="0.25">
      <c r="A3334" s="4">
        <v>40463</v>
      </c>
      <c r="B3334" s="5">
        <f>_xlfn.XLOOKUP(A3334,bunker_daily_raw!$A$2:$A$3819,bunker_daily_raw!$B$2:$B$3819)</f>
        <v>453.5</v>
      </c>
      <c r="C3334" s="6">
        <v>82.99</v>
      </c>
    </row>
    <row r="3335" spans="1:3" x14ac:dyDescent="0.25">
      <c r="A3335" s="4">
        <v>40464</v>
      </c>
      <c r="B3335" s="5">
        <f>_xlfn.XLOOKUP(A3335,bunker_daily_raw!$A$2:$A$3819,bunker_daily_raw!$B$2:$B$3819)</f>
        <v>459.5</v>
      </c>
      <c r="C3335" s="6">
        <v>84.01</v>
      </c>
    </row>
    <row r="3336" spans="1:3" x14ac:dyDescent="0.25">
      <c r="A3336" s="4">
        <v>40465</v>
      </c>
      <c r="B3336" s="5">
        <f>_xlfn.XLOOKUP(A3336,bunker_daily_raw!$A$2:$A$3819,bunker_daily_raw!$B$2:$B$3819)</f>
        <v>454.5</v>
      </c>
      <c r="C3336" s="6">
        <v>83.55</v>
      </c>
    </row>
    <row r="3337" spans="1:3" x14ac:dyDescent="0.25">
      <c r="A3337" s="4">
        <v>40466</v>
      </c>
      <c r="B3337" s="5">
        <f>_xlfn.XLOOKUP(A3337,bunker_daily_raw!$A$2:$A$3819,bunker_daily_raw!$B$2:$B$3819)</f>
        <v>449</v>
      </c>
      <c r="C3337" s="6">
        <v>81.94</v>
      </c>
    </row>
    <row r="3338" spans="1:3" x14ac:dyDescent="0.25">
      <c r="A3338" s="4">
        <v>40469</v>
      </c>
      <c r="B3338" s="5">
        <f>_xlfn.XLOOKUP(A3338,bunker_daily_raw!$A$2:$A$3819,bunker_daily_raw!$B$2:$B$3819)</f>
        <v>454.5</v>
      </c>
      <c r="C3338" s="6">
        <v>82.3</v>
      </c>
    </row>
    <row r="3339" spans="1:3" x14ac:dyDescent="0.25">
      <c r="A3339" s="4">
        <v>40470</v>
      </c>
      <c r="B3339" s="5">
        <f>_xlfn.XLOOKUP(A3339,bunker_daily_raw!$A$2:$A$3819,bunker_daily_raw!$B$2:$B$3819)</f>
        <v>447</v>
      </c>
      <c r="C3339" s="6">
        <v>81.12</v>
      </c>
    </row>
    <row r="3340" spans="1:3" x14ac:dyDescent="0.25">
      <c r="A3340" s="4">
        <v>40471</v>
      </c>
      <c r="B3340" s="5">
        <f>_xlfn.XLOOKUP(A3340,bunker_daily_raw!$A$2:$A$3819,bunker_daily_raw!$B$2:$B$3819)</f>
        <v>449</v>
      </c>
      <c r="C3340" s="6">
        <v>81.680000000000007</v>
      </c>
    </row>
    <row r="3341" spans="1:3" x14ac:dyDescent="0.25">
      <c r="A3341" s="4">
        <v>40472</v>
      </c>
      <c r="B3341" s="5">
        <f>_xlfn.XLOOKUP(A3341,bunker_daily_raw!$A$2:$A$3819,bunker_daily_raw!$B$2:$B$3819)</f>
        <v>446</v>
      </c>
      <c r="C3341" s="6">
        <v>81.28</v>
      </c>
    </row>
    <row r="3342" spans="1:3" x14ac:dyDescent="0.25">
      <c r="A3342" s="4">
        <v>40473</v>
      </c>
      <c r="B3342" s="5">
        <f>_xlfn.XLOOKUP(A3342,bunker_daily_raw!$A$2:$A$3819,bunker_daily_raw!$B$2:$B$3819)</f>
        <v>442.5</v>
      </c>
      <c r="C3342" s="6">
        <v>80.75</v>
      </c>
    </row>
    <row r="3343" spans="1:3" x14ac:dyDescent="0.25">
      <c r="A3343" s="4">
        <v>40476</v>
      </c>
      <c r="B3343" s="5">
        <f>_xlfn.XLOOKUP(A3343,bunker_daily_raw!$A$2:$A$3819,bunker_daily_raw!$B$2:$B$3819)</f>
        <v>450</v>
      </c>
      <c r="C3343" s="6">
        <v>81.91</v>
      </c>
    </row>
    <row r="3344" spans="1:3" x14ac:dyDescent="0.25">
      <c r="A3344" s="4">
        <v>40477</v>
      </c>
      <c r="B3344" s="5">
        <f>_xlfn.XLOOKUP(A3344,bunker_daily_raw!$A$2:$A$3819,bunker_daily_raw!$B$2:$B$3819)</f>
        <v>455</v>
      </c>
      <c r="C3344" s="6">
        <v>82.62</v>
      </c>
    </row>
    <row r="3345" spans="1:3" x14ac:dyDescent="0.25">
      <c r="A3345" s="4">
        <v>40478</v>
      </c>
      <c r="B3345" s="5">
        <f>_xlfn.XLOOKUP(A3345,bunker_daily_raw!$A$2:$A$3819,bunker_daily_raw!$B$2:$B$3819)</f>
        <v>443.75</v>
      </c>
      <c r="C3345" s="6">
        <v>81.27</v>
      </c>
    </row>
    <row r="3346" spans="1:3" x14ac:dyDescent="0.25">
      <c r="A3346" s="4">
        <v>40479</v>
      </c>
      <c r="B3346" s="5">
        <f>_xlfn.XLOOKUP(A3346,bunker_daily_raw!$A$2:$A$3819,bunker_daily_raw!$B$2:$B$3819)</f>
        <v>454.5</v>
      </c>
      <c r="C3346" s="6">
        <v>82.97</v>
      </c>
    </row>
    <row r="3347" spans="1:3" x14ac:dyDescent="0.25">
      <c r="A3347" s="4">
        <v>40480</v>
      </c>
      <c r="B3347" s="5">
        <f>_xlfn.XLOOKUP(A3347,bunker_daily_raw!$A$2:$A$3819,bunker_daily_raw!$B$2:$B$3819)</f>
        <v>448</v>
      </c>
      <c r="C3347" s="6">
        <v>82.47</v>
      </c>
    </row>
    <row r="3348" spans="1:3" x14ac:dyDescent="0.25">
      <c r="A3348" s="4">
        <v>40483</v>
      </c>
      <c r="B3348" s="5">
        <f>_xlfn.XLOOKUP(A3348,bunker_daily_raw!$A$2:$A$3819,bunker_daily_raw!$B$2:$B$3819)</f>
        <v>459.5</v>
      </c>
      <c r="C3348" s="6">
        <v>84.06</v>
      </c>
    </row>
    <row r="3349" spans="1:3" x14ac:dyDescent="0.25">
      <c r="A3349" s="4">
        <v>40484</v>
      </c>
      <c r="B3349" s="5">
        <f>_xlfn.XLOOKUP(A3349,bunker_daily_raw!$A$2:$A$3819,bunker_daily_raw!$B$2:$B$3819)</f>
        <v>465</v>
      </c>
      <c r="C3349" s="6">
        <v>84.71</v>
      </c>
    </row>
    <row r="3350" spans="1:3" x14ac:dyDescent="0.25">
      <c r="A3350" s="4">
        <v>40485</v>
      </c>
      <c r="B3350" s="5">
        <f>_xlfn.XLOOKUP(A3350,bunker_daily_raw!$A$2:$A$3819,bunker_daily_raw!$B$2:$B$3819)</f>
        <v>469</v>
      </c>
      <c r="C3350" s="6">
        <v>85.33</v>
      </c>
    </row>
    <row r="3351" spans="1:3" x14ac:dyDescent="0.25">
      <c r="A3351" s="4">
        <v>40486</v>
      </c>
      <c r="B3351" s="5">
        <f>_xlfn.XLOOKUP(A3351,bunker_daily_raw!$A$2:$A$3819,bunker_daily_raw!$B$2:$B$3819)</f>
        <v>479.5</v>
      </c>
      <c r="C3351" s="6">
        <v>86.83</v>
      </c>
    </row>
    <row r="3352" spans="1:3" x14ac:dyDescent="0.25">
      <c r="A3352" s="4">
        <v>40487</v>
      </c>
      <c r="B3352" s="5">
        <f>_xlfn.XLOOKUP(A3352,bunker_daily_raw!$A$2:$A$3819,bunker_daily_raw!$B$2:$B$3819)</f>
        <v>477</v>
      </c>
      <c r="C3352" s="6">
        <v>87.05</v>
      </c>
    </row>
    <row r="3353" spans="1:3" x14ac:dyDescent="0.25">
      <c r="A3353" s="4">
        <v>40490</v>
      </c>
      <c r="B3353" s="5">
        <f>_xlfn.XLOOKUP(A3353,bunker_daily_raw!$A$2:$A$3819,bunker_daily_raw!$B$2:$B$3819)</f>
        <v>479</v>
      </c>
      <c r="C3353" s="6">
        <v>87.15</v>
      </c>
    </row>
    <row r="3354" spans="1:3" x14ac:dyDescent="0.25">
      <c r="A3354" s="4">
        <v>40491</v>
      </c>
      <c r="B3354" s="5">
        <f>_xlfn.XLOOKUP(A3354,bunker_daily_raw!$A$2:$A$3819,bunker_daily_raw!$B$2:$B$3819)</f>
        <v>481.5</v>
      </c>
      <c r="C3354" s="6">
        <v>87.93</v>
      </c>
    </row>
    <row r="3355" spans="1:3" x14ac:dyDescent="0.25">
      <c r="A3355" s="4">
        <v>40492</v>
      </c>
      <c r="B3355" s="5">
        <f>_xlfn.XLOOKUP(A3355,bunker_daily_raw!$A$2:$A$3819,bunker_daily_raw!$B$2:$B$3819)</f>
        <v>479.5</v>
      </c>
      <c r="C3355" s="6">
        <v>87.92</v>
      </c>
    </row>
    <row r="3356" spans="1:3" x14ac:dyDescent="0.25">
      <c r="A3356" s="4">
        <v>40493</v>
      </c>
      <c r="B3356" s="5">
        <f>_xlfn.XLOOKUP(A3356,bunker_daily_raw!$A$2:$A$3819,bunker_daily_raw!$B$2:$B$3819)</f>
        <v>485.5</v>
      </c>
      <c r="C3356" s="6">
        <v>88.08</v>
      </c>
    </row>
    <row r="3357" spans="1:3" x14ac:dyDescent="0.25">
      <c r="A3357" s="4">
        <v>40494</v>
      </c>
      <c r="B3357" s="5">
        <f>_xlfn.XLOOKUP(A3357,bunker_daily_raw!$A$2:$A$3819,bunker_daily_raw!$B$2:$B$3819)</f>
        <v>472.75</v>
      </c>
      <c r="C3357" s="6">
        <v>86.07</v>
      </c>
    </row>
    <row r="3358" spans="1:3" x14ac:dyDescent="0.25">
      <c r="A3358" s="4">
        <v>40497</v>
      </c>
      <c r="B3358" s="5">
        <f>_xlfn.XLOOKUP(A3358,bunker_daily_raw!$A$2:$A$3819,bunker_daily_raw!$B$2:$B$3819)</f>
        <v>471</v>
      </c>
      <c r="C3358" s="6">
        <v>85.49</v>
      </c>
    </row>
    <row r="3359" spans="1:3" x14ac:dyDescent="0.25">
      <c r="A3359" s="4">
        <v>40498</v>
      </c>
      <c r="B3359" s="5">
        <f>_xlfn.XLOOKUP(A3359,bunker_daily_raw!$A$2:$A$3819,bunker_daily_raw!$B$2:$B$3819)</f>
        <v>458.5</v>
      </c>
      <c r="C3359" s="6">
        <v>83.98</v>
      </c>
    </row>
    <row r="3360" spans="1:3" x14ac:dyDescent="0.25">
      <c r="A3360" s="4">
        <v>40499</v>
      </c>
      <c r="B3360" s="5">
        <f>_xlfn.XLOOKUP(A3360,bunker_daily_raw!$A$2:$A$3819,bunker_daily_raw!$B$2:$B$3819)</f>
        <v>453.75</v>
      </c>
      <c r="C3360" s="6">
        <v>83.36</v>
      </c>
    </row>
    <row r="3361" spans="1:3" x14ac:dyDescent="0.25">
      <c r="A3361" s="4">
        <v>40500</v>
      </c>
      <c r="B3361" s="5">
        <f>_xlfn.XLOOKUP(A3361,bunker_daily_raw!$A$2:$A$3819,bunker_daily_raw!$B$2:$B$3819)</f>
        <v>456</v>
      </c>
      <c r="C3361" s="6">
        <v>83.7</v>
      </c>
    </row>
    <row r="3362" spans="1:3" x14ac:dyDescent="0.25">
      <c r="A3362" s="4">
        <v>40501</v>
      </c>
      <c r="B3362" s="5">
        <f>_xlfn.XLOOKUP(A3362,bunker_daily_raw!$A$2:$A$3819,bunker_daily_raw!$B$2:$B$3819)</f>
        <v>450.5</v>
      </c>
      <c r="C3362" s="6">
        <v>83.17</v>
      </c>
    </row>
    <row r="3363" spans="1:3" x14ac:dyDescent="0.25">
      <c r="A3363" s="4">
        <v>40504</v>
      </c>
      <c r="B3363" s="5">
        <f>_xlfn.XLOOKUP(A3363,bunker_daily_raw!$A$2:$A$3819,bunker_daily_raw!$B$2:$B$3819)</f>
        <v>449.75</v>
      </c>
      <c r="C3363" s="6">
        <v>82.34</v>
      </c>
    </row>
    <row r="3364" spans="1:3" x14ac:dyDescent="0.25">
      <c r="A3364" s="4">
        <v>40505</v>
      </c>
      <c r="B3364" s="5">
        <f>_xlfn.XLOOKUP(A3364,bunker_daily_raw!$A$2:$A$3819,bunker_daily_raw!$B$2:$B$3819)</f>
        <v>449</v>
      </c>
      <c r="C3364" s="6">
        <v>82.37</v>
      </c>
    </row>
    <row r="3365" spans="1:3" x14ac:dyDescent="0.25">
      <c r="A3365" s="4">
        <v>40506</v>
      </c>
      <c r="B3365" s="5">
        <f>_xlfn.XLOOKUP(A3365,bunker_daily_raw!$A$2:$A$3819,bunker_daily_raw!$B$2:$B$3819)</f>
        <v>463</v>
      </c>
      <c r="C3365" s="6">
        <v>84.53</v>
      </c>
    </row>
    <row r="3366" spans="1:3" x14ac:dyDescent="0.25">
      <c r="A3366" s="4">
        <v>40507</v>
      </c>
      <c r="B3366" s="5">
        <f>_xlfn.XLOOKUP(A3366,bunker_daily_raw!$A$2:$A$3819,bunker_daily_raw!$B$2:$B$3819)</f>
        <v>469.5</v>
      </c>
      <c r="C3366" s="5"/>
    </row>
    <row r="3367" spans="1:3" x14ac:dyDescent="0.25">
      <c r="A3367" s="4">
        <v>40508</v>
      </c>
      <c r="B3367" s="5">
        <f>_xlfn.XLOOKUP(A3367,bunker_daily_raw!$A$2:$A$3819,bunker_daily_raw!$B$2:$B$3819)</f>
        <v>464</v>
      </c>
      <c r="C3367" s="6">
        <v>84.78</v>
      </c>
    </row>
    <row r="3368" spans="1:3" x14ac:dyDescent="0.25">
      <c r="A3368" s="4">
        <v>40511</v>
      </c>
      <c r="B3368" s="5">
        <f>_xlfn.XLOOKUP(A3368,bunker_daily_raw!$A$2:$A$3819,bunker_daily_raw!$B$2:$B$3819)</f>
        <v>471</v>
      </c>
      <c r="C3368" s="6">
        <v>85.9</v>
      </c>
    </row>
    <row r="3369" spans="1:3" x14ac:dyDescent="0.25">
      <c r="A3369" s="4">
        <v>40512</v>
      </c>
      <c r="B3369" s="5">
        <f>_xlfn.XLOOKUP(A3369,bunker_daily_raw!$A$2:$A$3819,bunker_daily_raw!$B$2:$B$3819)</f>
        <v>467</v>
      </c>
      <c r="C3369" s="6">
        <v>86.02</v>
      </c>
    </row>
    <row r="3370" spans="1:3" x14ac:dyDescent="0.25">
      <c r="A3370" s="4">
        <v>40513</v>
      </c>
      <c r="B3370" s="5">
        <f>_xlfn.XLOOKUP(A3370,bunker_daily_raw!$A$2:$A$3819,bunker_daily_raw!$B$2:$B$3819)</f>
        <v>468</v>
      </c>
      <c r="C3370" s="6">
        <v>88.56</v>
      </c>
    </row>
    <row r="3371" spans="1:3" x14ac:dyDescent="0.25">
      <c r="A3371" s="4">
        <v>40514</v>
      </c>
      <c r="B3371" s="5">
        <f>_xlfn.XLOOKUP(A3371,bunker_daily_raw!$A$2:$A$3819,bunker_daily_raw!$B$2:$B$3819)</f>
        <v>475</v>
      </c>
      <c r="C3371" s="6">
        <v>89.37</v>
      </c>
    </row>
    <row r="3372" spans="1:3" x14ac:dyDescent="0.25">
      <c r="A3372" s="4">
        <v>40515</v>
      </c>
      <c r="B3372" s="5">
        <f>_xlfn.XLOOKUP(A3372,bunker_daily_raw!$A$2:$A$3819,bunker_daily_raw!$B$2:$B$3819)</f>
        <v>478.5</v>
      </c>
      <c r="C3372" s="6">
        <v>90.65</v>
      </c>
    </row>
    <row r="3373" spans="1:3" x14ac:dyDescent="0.25">
      <c r="A3373" s="4">
        <v>40518</v>
      </c>
      <c r="B3373" s="5">
        <f>_xlfn.XLOOKUP(A3373,bunker_daily_raw!$A$2:$A$3819,bunker_daily_raw!$B$2:$B$3819)</f>
        <v>476.5</v>
      </c>
      <c r="C3373" s="6">
        <v>91.25</v>
      </c>
    </row>
    <row r="3374" spans="1:3" x14ac:dyDescent="0.25">
      <c r="A3374" s="4">
        <v>40519</v>
      </c>
      <c r="B3374" s="5">
        <f>_xlfn.XLOOKUP(A3374,bunker_daily_raw!$A$2:$A$3819,bunker_daily_raw!$B$2:$B$3819)</f>
        <v>473.25</v>
      </c>
      <c r="C3374" s="6">
        <v>90.78</v>
      </c>
    </row>
    <row r="3375" spans="1:3" x14ac:dyDescent="0.25">
      <c r="A3375" s="4">
        <v>40520</v>
      </c>
      <c r="B3375" s="5">
        <f>_xlfn.XLOOKUP(A3375,bunker_daily_raw!$A$2:$A$3819,bunker_daily_raw!$B$2:$B$3819)</f>
        <v>469</v>
      </c>
      <c r="C3375" s="6">
        <v>89.74</v>
      </c>
    </row>
    <row r="3376" spans="1:3" x14ac:dyDescent="0.25">
      <c r="A3376" s="4">
        <v>40521</v>
      </c>
      <c r="B3376" s="5">
        <f>_xlfn.XLOOKUP(A3376,bunker_daily_raw!$A$2:$A$3819,bunker_daily_raw!$B$2:$B$3819)</f>
        <v>472</v>
      </c>
      <c r="C3376" s="6">
        <v>89.93</v>
      </c>
    </row>
    <row r="3377" spans="1:3" x14ac:dyDescent="0.25">
      <c r="A3377" s="4">
        <v>40522</v>
      </c>
      <c r="B3377" s="5">
        <f>_xlfn.XLOOKUP(A3377,bunker_daily_raw!$A$2:$A$3819,bunker_daily_raw!$B$2:$B$3819)</f>
        <v>464.75</v>
      </c>
      <c r="C3377" s="6">
        <v>89.54</v>
      </c>
    </row>
    <row r="3378" spans="1:3" x14ac:dyDescent="0.25">
      <c r="A3378" s="4">
        <v>40525</v>
      </c>
      <c r="B3378" s="5">
        <f>_xlfn.XLOOKUP(A3378,bunker_daily_raw!$A$2:$A$3819,bunker_daily_raw!$B$2:$B$3819)</f>
        <v>472.25</v>
      </c>
      <c r="C3378" s="6">
        <v>90.4</v>
      </c>
    </row>
    <row r="3379" spans="1:3" x14ac:dyDescent="0.25">
      <c r="A3379" s="4">
        <v>40526</v>
      </c>
      <c r="B3379" s="5">
        <f>_xlfn.XLOOKUP(A3379,bunker_daily_raw!$A$2:$A$3819,bunker_daily_raw!$B$2:$B$3819)</f>
        <v>474.75</v>
      </c>
      <c r="C3379" s="6">
        <v>90.63</v>
      </c>
    </row>
    <row r="3380" spans="1:3" x14ac:dyDescent="0.25">
      <c r="A3380" s="4">
        <v>40527</v>
      </c>
      <c r="B3380" s="5">
        <f>_xlfn.XLOOKUP(A3380,bunker_daily_raw!$A$2:$A$3819,bunker_daily_raw!$B$2:$B$3819)</f>
        <v>481</v>
      </c>
      <c r="C3380" s="6">
        <v>91.33</v>
      </c>
    </row>
    <row r="3381" spans="1:3" x14ac:dyDescent="0.25">
      <c r="A3381" s="4">
        <v>40528</v>
      </c>
      <c r="B3381" s="5">
        <f>_xlfn.XLOOKUP(A3381,bunker_daily_raw!$A$2:$A$3819,bunker_daily_raw!$B$2:$B$3819)</f>
        <v>487</v>
      </c>
      <c r="C3381" s="6">
        <v>91.09</v>
      </c>
    </row>
    <row r="3382" spans="1:3" x14ac:dyDescent="0.25">
      <c r="A3382" s="4">
        <v>40529</v>
      </c>
      <c r="B3382" s="5">
        <f>_xlfn.XLOOKUP(A3382,bunker_daily_raw!$A$2:$A$3819,bunker_daily_raw!$B$2:$B$3819)</f>
        <v>483.5</v>
      </c>
      <c r="C3382" s="6">
        <v>91.11</v>
      </c>
    </row>
    <row r="3383" spans="1:3" x14ac:dyDescent="0.25">
      <c r="A3383" s="4">
        <v>40532</v>
      </c>
      <c r="B3383" s="5">
        <f>_xlfn.XLOOKUP(A3383,bunker_daily_raw!$A$2:$A$3819,bunker_daily_raw!$B$2:$B$3819)</f>
        <v>484.5</v>
      </c>
      <c r="C3383" s="6">
        <v>91.31</v>
      </c>
    </row>
    <row r="3384" spans="1:3" x14ac:dyDescent="0.25">
      <c r="A3384" s="4">
        <v>40533</v>
      </c>
      <c r="B3384" s="5">
        <f>_xlfn.XLOOKUP(A3384,bunker_daily_raw!$A$2:$A$3819,bunker_daily_raw!$B$2:$B$3819)</f>
        <v>489</v>
      </c>
      <c r="C3384" s="6">
        <v>93.11</v>
      </c>
    </row>
    <row r="3385" spans="1:3" x14ac:dyDescent="0.25">
      <c r="A3385" s="4">
        <v>40534</v>
      </c>
      <c r="B3385" s="5">
        <f>_xlfn.XLOOKUP(A3385,bunker_daily_raw!$A$2:$A$3819,bunker_daily_raw!$B$2:$B$3819)</f>
        <v>490.75</v>
      </c>
      <c r="C3385" s="6">
        <v>93.55</v>
      </c>
    </row>
    <row r="3386" spans="1:3" x14ac:dyDescent="0.25">
      <c r="A3386" s="4">
        <v>40535</v>
      </c>
      <c r="B3386" s="5">
        <f>_xlfn.XLOOKUP(A3386,bunker_daily_raw!$A$2:$A$3819,bunker_daily_raw!$B$2:$B$3819)</f>
        <v>488</v>
      </c>
      <c r="C3386" s="6">
        <v>93.63</v>
      </c>
    </row>
    <row r="3387" spans="1:3" x14ac:dyDescent="0.25">
      <c r="A3387" s="4">
        <v>40536</v>
      </c>
      <c r="B3387" s="5">
        <f>_xlfn.XLOOKUP(A3387,bunker_daily_raw!$A$2:$A$3819,bunker_daily_raw!$B$2:$B$3819)</f>
        <v>488</v>
      </c>
      <c r="C3387" s="5"/>
    </row>
    <row r="3388" spans="1:3" x14ac:dyDescent="0.25">
      <c r="A3388" s="4">
        <v>40539</v>
      </c>
      <c r="B3388" s="5" t="e">
        <f>_xlfn.XLOOKUP(A3388,bunker_daily_raw!$A$2:$A$3819,bunker_daily_raw!$B$2:$B$3819)</f>
        <v>#N/A</v>
      </c>
      <c r="C3388" s="6">
        <v>93.08</v>
      </c>
    </row>
    <row r="3389" spans="1:3" x14ac:dyDescent="0.25">
      <c r="A3389" s="4">
        <v>40540</v>
      </c>
      <c r="B3389" s="5" t="e">
        <f>_xlfn.XLOOKUP(A3389,bunker_daily_raw!$A$2:$A$3819,bunker_daily_raw!$B$2:$B$3819)</f>
        <v>#N/A</v>
      </c>
      <c r="C3389" s="6">
        <v>93.52</v>
      </c>
    </row>
    <row r="3390" spans="1:3" x14ac:dyDescent="0.25">
      <c r="A3390" s="4">
        <v>40541</v>
      </c>
      <c r="B3390" s="5" t="e">
        <f>_xlfn.XLOOKUP(A3390,bunker_daily_raw!$A$2:$A$3819,bunker_daily_raw!$B$2:$B$3819)</f>
        <v>#N/A</v>
      </c>
      <c r="C3390" s="6">
        <v>93.52</v>
      </c>
    </row>
    <row r="3391" spans="1:3" x14ac:dyDescent="0.25">
      <c r="A3391" s="4">
        <v>40542</v>
      </c>
      <c r="B3391" s="5" t="e">
        <f>_xlfn.XLOOKUP(A3391,bunker_daily_raw!$A$2:$A$3819,bunker_daily_raw!$B$2:$B$3819)</f>
        <v>#N/A</v>
      </c>
      <c r="C3391" s="6">
        <v>92.5</v>
      </c>
    </row>
    <row r="3392" spans="1:3" x14ac:dyDescent="0.25">
      <c r="A3392" s="4">
        <v>40543</v>
      </c>
      <c r="B3392" s="5" t="e">
        <f>_xlfn.XLOOKUP(A3392,bunker_daily_raw!$A$2:$A$3819,bunker_daily_raw!$B$2:$B$3819)</f>
        <v>#N/A</v>
      </c>
      <c r="C3392" s="6">
        <v>93.23</v>
      </c>
    </row>
    <row r="3393" spans="1:3" x14ac:dyDescent="0.25">
      <c r="A3393" s="4">
        <v>40546</v>
      </c>
      <c r="B3393" s="5" t="e">
        <f>_xlfn.XLOOKUP(A3393,bunker_daily_raw!$A$2:$A$3819,bunker_daily_raw!$B$2:$B$3819)</f>
        <v>#N/A</v>
      </c>
      <c r="C3393" s="6">
        <v>95.82</v>
      </c>
    </row>
    <row r="3394" spans="1:3" x14ac:dyDescent="0.25">
      <c r="A3394" s="4">
        <v>40547</v>
      </c>
      <c r="B3394" s="5">
        <f>_xlfn.XLOOKUP(A3394,bunker_daily_raw!$A$2:$A$3819,bunker_daily_raw!$B$2:$B$3819)</f>
        <v>492</v>
      </c>
      <c r="C3394" s="6">
        <v>93.52</v>
      </c>
    </row>
    <row r="3395" spans="1:3" x14ac:dyDescent="0.25">
      <c r="A3395" s="4">
        <v>40548</v>
      </c>
      <c r="B3395" s="5">
        <f>_xlfn.XLOOKUP(A3395,bunker_daily_raw!$A$2:$A$3819,bunker_daily_raw!$B$2:$B$3819)</f>
        <v>492</v>
      </c>
      <c r="C3395" s="6">
        <v>95.07</v>
      </c>
    </row>
    <row r="3396" spans="1:3" x14ac:dyDescent="0.25">
      <c r="A3396" s="4">
        <v>40549</v>
      </c>
      <c r="B3396" s="5">
        <f>_xlfn.XLOOKUP(A3396,bunker_daily_raw!$A$2:$A$3819,bunker_daily_raw!$B$2:$B$3819)</f>
        <v>492</v>
      </c>
      <c r="C3396" s="6">
        <v>94.95</v>
      </c>
    </row>
    <row r="3397" spans="1:3" x14ac:dyDescent="0.25">
      <c r="A3397" s="4">
        <v>40550</v>
      </c>
      <c r="B3397" s="5">
        <f>_xlfn.XLOOKUP(A3397,bunker_daily_raw!$A$2:$A$3819,bunker_daily_raw!$B$2:$B$3819)</f>
        <v>497.5</v>
      </c>
      <c r="C3397" s="6">
        <v>94.25</v>
      </c>
    </row>
    <row r="3398" spans="1:3" x14ac:dyDescent="0.25">
      <c r="A3398" s="4">
        <v>40553</v>
      </c>
      <c r="B3398" s="5">
        <f>_xlfn.XLOOKUP(A3398,bunker_daily_raw!$A$2:$A$3819,bunker_daily_raw!$B$2:$B$3819)</f>
        <v>512</v>
      </c>
      <c r="C3398" s="6">
        <v>95.05</v>
      </c>
    </row>
    <row r="3399" spans="1:3" x14ac:dyDescent="0.25">
      <c r="A3399" s="4">
        <v>40554</v>
      </c>
      <c r="B3399" s="5">
        <f>_xlfn.XLOOKUP(A3399,bunker_daily_raw!$A$2:$A$3819,bunker_daily_raw!$B$2:$B$3819)</f>
        <v>497.5</v>
      </c>
      <c r="C3399" s="6">
        <v>96.8</v>
      </c>
    </row>
    <row r="3400" spans="1:3" x14ac:dyDescent="0.25">
      <c r="A3400" s="4">
        <v>40555</v>
      </c>
      <c r="B3400" s="5">
        <f>_xlfn.XLOOKUP(A3400,bunker_daily_raw!$A$2:$A$3819,bunker_daily_raw!$B$2:$B$3819)</f>
        <v>509</v>
      </c>
      <c r="C3400" s="6">
        <v>97.86</v>
      </c>
    </row>
    <row r="3401" spans="1:3" x14ac:dyDescent="0.25">
      <c r="A3401" s="4">
        <v>40556</v>
      </c>
      <c r="B3401" s="5">
        <f>_xlfn.XLOOKUP(A3401,bunker_daily_raw!$A$2:$A$3819,bunker_daily_raw!$B$2:$B$3819)</f>
        <v>509</v>
      </c>
      <c r="C3401" s="6">
        <v>97.86</v>
      </c>
    </row>
    <row r="3402" spans="1:3" x14ac:dyDescent="0.25">
      <c r="A3402" s="4">
        <v>40557</v>
      </c>
      <c r="B3402" s="5">
        <f>_xlfn.XLOOKUP(A3402,bunker_daily_raw!$A$2:$A$3819,bunker_daily_raw!$B$2:$B$3819)</f>
        <v>515.5</v>
      </c>
      <c r="C3402" s="6">
        <v>97.86</v>
      </c>
    </row>
    <row r="3403" spans="1:3" x14ac:dyDescent="0.25">
      <c r="A3403" s="4">
        <v>40560</v>
      </c>
      <c r="B3403" s="5">
        <f>_xlfn.XLOOKUP(A3403,bunker_daily_raw!$A$2:$A$3819,bunker_daily_raw!$B$2:$B$3819)</f>
        <v>515.5</v>
      </c>
      <c r="C3403" s="5"/>
    </row>
    <row r="3404" spans="1:3" x14ac:dyDescent="0.25">
      <c r="A3404" s="4">
        <v>40561</v>
      </c>
      <c r="B3404" s="5">
        <f>_xlfn.XLOOKUP(A3404,bunker_daily_raw!$A$2:$A$3819,bunker_daily_raw!$B$2:$B$3819)</f>
        <v>516</v>
      </c>
      <c r="C3404" s="6">
        <v>97.83</v>
      </c>
    </row>
    <row r="3405" spans="1:3" x14ac:dyDescent="0.25">
      <c r="A3405" s="4">
        <v>40562</v>
      </c>
      <c r="B3405" s="5">
        <f>_xlfn.XLOOKUP(A3405,bunker_daily_raw!$A$2:$A$3819,bunker_daily_raw!$B$2:$B$3819)</f>
        <v>514</v>
      </c>
      <c r="C3405" s="6">
        <v>98.42</v>
      </c>
    </row>
    <row r="3406" spans="1:3" x14ac:dyDescent="0.25">
      <c r="A3406" s="4">
        <v>40563</v>
      </c>
      <c r="B3406" s="5">
        <f>_xlfn.XLOOKUP(A3406,bunker_daily_raw!$A$2:$A$3819,bunker_daily_raw!$B$2:$B$3819)</f>
        <v>516</v>
      </c>
      <c r="C3406" s="6">
        <v>96.27</v>
      </c>
    </row>
    <row r="3407" spans="1:3" x14ac:dyDescent="0.25">
      <c r="A3407" s="4">
        <v>40564</v>
      </c>
      <c r="B3407" s="5">
        <f>_xlfn.XLOOKUP(A3407,bunker_daily_raw!$A$2:$A$3819,bunker_daily_raw!$B$2:$B$3819)</f>
        <v>513.5</v>
      </c>
      <c r="C3407" s="6">
        <v>96.84</v>
      </c>
    </row>
    <row r="3408" spans="1:3" x14ac:dyDescent="0.25">
      <c r="A3408" s="4">
        <v>40567</v>
      </c>
      <c r="B3408" s="5">
        <f>_xlfn.XLOOKUP(A3408,bunker_daily_raw!$A$2:$A$3819,bunker_daily_raw!$B$2:$B$3819)</f>
        <v>516</v>
      </c>
      <c r="C3408" s="6">
        <v>96.76</v>
      </c>
    </row>
    <row r="3409" spans="1:3" x14ac:dyDescent="0.25">
      <c r="A3409" s="4">
        <v>40568</v>
      </c>
      <c r="B3409" s="5">
        <f>_xlfn.XLOOKUP(A3409,bunker_daily_raw!$A$2:$A$3819,bunker_daily_raw!$B$2:$B$3819)</f>
        <v>516</v>
      </c>
      <c r="C3409" s="6">
        <v>96.76</v>
      </c>
    </row>
    <row r="3410" spans="1:3" x14ac:dyDescent="0.25">
      <c r="A3410" s="4">
        <v>40569</v>
      </c>
      <c r="B3410" s="5">
        <f>_xlfn.XLOOKUP(A3410,bunker_daily_raw!$A$2:$A$3819,bunker_daily_raw!$B$2:$B$3819)</f>
        <v>511</v>
      </c>
      <c r="C3410" s="6">
        <v>96.04</v>
      </c>
    </row>
    <row r="3411" spans="1:3" x14ac:dyDescent="0.25">
      <c r="A3411" s="4">
        <v>40570</v>
      </c>
      <c r="B3411" s="5">
        <f>_xlfn.XLOOKUP(A3411,bunker_daily_raw!$A$2:$A$3819,bunker_daily_raw!$B$2:$B$3819)</f>
        <v>511</v>
      </c>
      <c r="C3411" s="6">
        <v>96.48</v>
      </c>
    </row>
    <row r="3412" spans="1:3" x14ac:dyDescent="0.25">
      <c r="A3412" s="4">
        <v>40571</v>
      </c>
      <c r="B3412" s="5">
        <f>_xlfn.XLOOKUP(A3412,bunker_daily_raw!$A$2:$A$3819,bunker_daily_raw!$B$2:$B$3819)</f>
        <v>511</v>
      </c>
      <c r="C3412" s="6">
        <v>97.06</v>
      </c>
    </row>
    <row r="3413" spans="1:3" x14ac:dyDescent="0.25">
      <c r="A3413" s="4">
        <v>40574</v>
      </c>
      <c r="B3413" s="5">
        <f>_xlfn.XLOOKUP(A3413,bunker_daily_raw!$A$2:$A$3819,bunker_daily_raw!$B$2:$B$3819)</f>
        <v>515</v>
      </c>
      <c r="C3413" s="6">
        <v>98.97</v>
      </c>
    </row>
    <row r="3414" spans="1:3" x14ac:dyDescent="0.25">
      <c r="A3414" s="4">
        <v>40575</v>
      </c>
      <c r="B3414" s="5">
        <f>_xlfn.XLOOKUP(A3414,bunker_daily_raw!$A$2:$A$3819,bunker_daily_raw!$B$2:$B$3819)</f>
        <v>518.5</v>
      </c>
      <c r="C3414" s="6">
        <v>100.4</v>
      </c>
    </row>
    <row r="3415" spans="1:3" x14ac:dyDescent="0.25">
      <c r="A3415" s="4">
        <v>40576</v>
      </c>
      <c r="B3415" s="5">
        <f>_xlfn.XLOOKUP(A3415,bunker_daily_raw!$A$2:$A$3819,bunker_daily_raw!$B$2:$B$3819)</f>
        <v>529</v>
      </c>
      <c r="C3415" s="6">
        <v>101.3</v>
      </c>
    </row>
    <row r="3416" spans="1:3" x14ac:dyDescent="0.25">
      <c r="A3416" s="4">
        <v>40577</v>
      </c>
      <c r="B3416" s="5">
        <f>_xlfn.XLOOKUP(A3416,bunker_daily_raw!$A$2:$A$3819,bunker_daily_raw!$B$2:$B$3819)</f>
        <v>531</v>
      </c>
      <c r="C3416" s="6">
        <v>101.69</v>
      </c>
    </row>
    <row r="3417" spans="1:3" x14ac:dyDescent="0.25">
      <c r="A3417" s="4">
        <v>40578</v>
      </c>
      <c r="B3417" s="5">
        <f>_xlfn.XLOOKUP(A3417,bunker_daily_raw!$A$2:$A$3819,bunker_daily_raw!$B$2:$B$3819)</f>
        <v>543</v>
      </c>
      <c r="C3417" s="6">
        <v>99.43</v>
      </c>
    </row>
    <row r="3418" spans="1:3" x14ac:dyDescent="0.25">
      <c r="A3418" s="4">
        <v>40581</v>
      </c>
      <c r="B3418" s="5">
        <f>_xlfn.XLOOKUP(A3418,bunker_daily_raw!$A$2:$A$3819,bunker_daily_raw!$B$2:$B$3819)</f>
        <v>543</v>
      </c>
      <c r="C3418" s="6">
        <v>99.44</v>
      </c>
    </row>
    <row r="3419" spans="1:3" x14ac:dyDescent="0.25">
      <c r="A3419" s="4">
        <v>40582</v>
      </c>
      <c r="B3419" s="5">
        <f>_xlfn.XLOOKUP(A3419,bunker_daily_raw!$A$2:$A$3819,bunker_daily_raw!$B$2:$B$3819)</f>
        <v>542</v>
      </c>
      <c r="C3419" s="6">
        <v>99.25</v>
      </c>
    </row>
    <row r="3420" spans="1:3" x14ac:dyDescent="0.25">
      <c r="A3420" s="4">
        <v>40583</v>
      </c>
      <c r="B3420" s="5">
        <f>_xlfn.XLOOKUP(A3420,bunker_daily_raw!$A$2:$A$3819,bunker_daily_raw!$B$2:$B$3819)</f>
        <v>541.5</v>
      </c>
      <c r="C3420" s="6">
        <v>100.16</v>
      </c>
    </row>
    <row r="3421" spans="1:3" x14ac:dyDescent="0.25">
      <c r="A3421" s="4">
        <v>40584</v>
      </c>
      <c r="B3421" s="5">
        <f>_xlfn.XLOOKUP(A3421,bunker_daily_raw!$A$2:$A$3819,bunker_daily_raw!$B$2:$B$3819)</f>
        <v>543</v>
      </c>
      <c r="C3421" s="6">
        <v>100.74</v>
      </c>
    </row>
    <row r="3422" spans="1:3" x14ac:dyDescent="0.25">
      <c r="A3422" s="4">
        <v>40585</v>
      </c>
      <c r="B3422" s="5">
        <f>_xlfn.XLOOKUP(A3422,bunker_daily_raw!$A$2:$A$3819,bunker_daily_raw!$B$2:$B$3819)</f>
        <v>546</v>
      </c>
      <c r="C3422" s="6">
        <v>99.93</v>
      </c>
    </row>
    <row r="3423" spans="1:3" x14ac:dyDescent="0.25">
      <c r="A3423" s="4">
        <v>40588</v>
      </c>
      <c r="B3423" s="5">
        <f>_xlfn.XLOOKUP(A3423,bunker_daily_raw!$A$2:$A$3819,bunker_daily_raw!$B$2:$B$3819)</f>
        <v>547</v>
      </c>
      <c r="C3423" s="6">
        <v>103.12</v>
      </c>
    </row>
    <row r="3424" spans="1:3" x14ac:dyDescent="0.25">
      <c r="A3424" s="4">
        <v>40589</v>
      </c>
      <c r="B3424" s="5">
        <f>_xlfn.XLOOKUP(A3424,bunker_daily_raw!$A$2:$A$3819,bunker_daily_raw!$B$2:$B$3819)</f>
        <v>547</v>
      </c>
      <c r="C3424" s="6">
        <v>102.48</v>
      </c>
    </row>
    <row r="3425" spans="1:3" x14ac:dyDescent="0.25">
      <c r="A3425" s="4">
        <v>40590</v>
      </c>
      <c r="B3425" s="5">
        <f>_xlfn.XLOOKUP(A3425,bunker_daily_raw!$A$2:$A$3819,bunker_daily_raw!$B$2:$B$3819)</f>
        <v>563.5</v>
      </c>
      <c r="C3425" s="6">
        <v>102.78</v>
      </c>
    </row>
    <row r="3426" spans="1:3" x14ac:dyDescent="0.25">
      <c r="A3426" s="4">
        <v>40591</v>
      </c>
      <c r="B3426" s="5">
        <f>_xlfn.XLOOKUP(A3426,bunker_daily_raw!$A$2:$A$3819,bunker_daily_raw!$B$2:$B$3819)</f>
        <v>566</v>
      </c>
      <c r="C3426" s="6">
        <v>103.45</v>
      </c>
    </row>
    <row r="3427" spans="1:3" x14ac:dyDescent="0.25">
      <c r="A3427" s="4">
        <v>40592</v>
      </c>
      <c r="B3427" s="5">
        <f>_xlfn.XLOOKUP(A3427,bunker_daily_raw!$A$2:$A$3819,bunker_daily_raw!$B$2:$B$3819)</f>
        <v>568</v>
      </c>
      <c r="C3427" s="6">
        <v>102.2</v>
      </c>
    </row>
    <row r="3428" spans="1:3" x14ac:dyDescent="0.25">
      <c r="A3428" s="4">
        <v>40595</v>
      </c>
      <c r="B3428" s="5">
        <f>_xlfn.XLOOKUP(A3428,bunker_daily_raw!$A$2:$A$3819,bunker_daily_raw!$B$2:$B$3819)</f>
        <v>570</v>
      </c>
      <c r="C3428" s="5"/>
    </row>
    <row r="3429" spans="1:3" x14ac:dyDescent="0.25">
      <c r="A3429" s="4">
        <v>40596</v>
      </c>
      <c r="B3429" s="5">
        <f>_xlfn.XLOOKUP(A3429,bunker_daily_raw!$A$2:$A$3819,bunker_daily_raw!$B$2:$B$3819)</f>
        <v>571.5</v>
      </c>
      <c r="C3429" s="6">
        <v>106.82</v>
      </c>
    </row>
    <row r="3430" spans="1:3" x14ac:dyDescent="0.25">
      <c r="A3430" s="4">
        <v>40597</v>
      </c>
      <c r="B3430" s="5">
        <f>_xlfn.XLOOKUP(A3430,bunker_daily_raw!$A$2:$A$3819,bunker_daily_raw!$B$2:$B$3819)</f>
        <v>583.5</v>
      </c>
      <c r="C3430" s="6">
        <v>109.77</v>
      </c>
    </row>
    <row r="3431" spans="1:3" x14ac:dyDescent="0.25">
      <c r="A3431" s="4">
        <v>40598</v>
      </c>
      <c r="B3431" s="5">
        <f>_xlfn.XLOOKUP(A3431,bunker_daily_raw!$A$2:$A$3819,bunker_daily_raw!$B$2:$B$3819)</f>
        <v>595</v>
      </c>
      <c r="C3431" s="6">
        <v>113.91</v>
      </c>
    </row>
    <row r="3432" spans="1:3" x14ac:dyDescent="0.25">
      <c r="A3432" s="4">
        <v>40599</v>
      </c>
      <c r="B3432" s="5">
        <f>_xlfn.XLOOKUP(A3432,bunker_daily_raw!$A$2:$A$3819,bunker_daily_raw!$B$2:$B$3819)</f>
        <v>606.5</v>
      </c>
      <c r="C3432" s="6">
        <v>111.47</v>
      </c>
    </row>
    <row r="3433" spans="1:3" x14ac:dyDescent="0.25">
      <c r="A3433" s="4">
        <v>40602</v>
      </c>
      <c r="B3433" s="5">
        <f>_xlfn.XLOOKUP(A3433,bunker_daily_raw!$A$2:$A$3819,bunker_daily_raw!$B$2:$B$3819)</f>
        <v>595</v>
      </c>
      <c r="C3433" s="6">
        <v>112.27</v>
      </c>
    </row>
    <row r="3434" spans="1:3" x14ac:dyDescent="0.25">
      <c r="A3434" s="4">
        <v>40603</v>
      </c>
      <c r="B3434" s="5">
        <f>_xlfn.XLOOKUP(A3434,bunker_daily_raw!$A$2:$A$3819,bunker_daily_raw!$B$2:$B$3819)</f>
        <v>599</v>
      </c>
      <c r="C3434" s="6">
        <v>113.34</v>
      </c>
    </row>
    <row r="3435" spans="1:3" x14ac:dyDescent="0.25">
      <c r="A3435" s="4">
        <v>40604</v>
      </c>
      <c r="B3435" s="5">
        <f>_xlfn.XLOOKUP(A3435,bunker_daily_raw!$A$2:$A$3819,bunker_daily_raw!$B$2:$B$3819)</f>
        <v>587.5</v>
      </c>
      <c r="C3435" s="6">
        <v>116.89</v>
      </c>
    </row>
    <row r="3436" spans="1:3" x14ac:dyDescent="0.25">
      <c r="A3436" s="4">
        <v>40605</v>
      </c>
      <c r="B3436" s="5">
        <f>_xlfn.XLOOKUP(A3436,bunker_daily_raw!$A$2:$A$3819,bunker_daily_raw!$B$2:$B$3819)</f>
        <v>590</v>
      </c>
      <c r="C3436" s="6">
        <v>114.42</v>
      </c>
    </row>
    <row r="3437" spans="1:3" x14ac:dyDescent="0.25">
      <c r="A3437" s="4">
        <v>40606</v>
      </c>
      <c r="B3437" s="5">
        <f>_xlfn.XLOOKUP(A3437,bunker_daily_raw!$A$2:$A$3819,bunker_daily_raw!$B$2:$B$3819)</f>
        <v>596.5</v>
      </c>
      <c r="C3437" s="6">
        <v>115.71</v>
      </c>
    </row>
    <row r="3438" spans="1:3" x14ac:dyDescent="0.25">
      <c r="A3438" s="4">
        <v>40609</v>
      </c>
      <c r="B3438" s="5">
        <f>_xlfn.XLOOKUP(A3438,bunker_daily_raw!$A$2:$A$3819,bunker_daily_raw!$B$2:$B$3819)</f>
        <v>594</v>
      </c>
      <c r="C3438" s="6">
        <v>116.58</v>
      </c>
    </row>
    <row r="3439" spans="1:3" x14ac:dyDescent="0.25">
      <c r="A3439" s="4">
        <v>40610</v>
      </c>
      <c r="B3439" s="5">
        <f>_xlfn.XLOOKUP(A3439,bunker_daily_raw!$A$2:$A$3819,bunker_daily_raw!$B$2:$B$3819)</f>
        <v>611.5</v>
      </c>
      <c r="C3439" s="6">
        <v>112.32</v>
      </c>
    </row>
    <row r="3440" spans="1:3" x14ac:dyDescent="0.25">
      <c r="A3440" s="4">
        <v>40611</v>
      </c>
      <c r="B3440" s="5">
        <f>_xlfn.XLOOKUP(A3440,bunker_daily_raw!$A$2:$A$3819,bunker_daily_raw!$B$2:$B$3819)</f>
        <v>609</v>
      </c>
      <c r="C3440" s="6">
        <v>115.19</v>
      </c>
    </row>
    <row r="3441" spans="1:3" x14ac:dyDescent="0.25">
      <c r="A3441" s="4">
        <v>40612</v>
      </c>
      <c r="B3441" s="5">
        <f>_xlfn.XLOOKUP(A3441,bunker_daily_raw!$A$2:$A$3819,bunker_daily_raw!$B$2:$B$3819)</f>
        <v>606</v>
      </c>
      <c r="C3441" s="6">
        <v>114.07</v>
      </c>
    </row>
    <row r="3442" spans="1:3" x14ac:dyDescent="0.25">
      <c r="A3442" s="4">
        <v>40613</v>
      </c>
      <c r="B3442" s="5">
        <f>_xlfn.XLOOKUP(A3442,bunker_daily_raw!$A$2:$A$3819,bunker_daily_raw!$B$2:$B$3819)</f>
        <v>607.5</v>
      </c>
      <c r="C3442" s="6">
        <v>114.07</v>
      </c>
    </row>
    <row r="3443" spans="1:3" x14ac:dyDescent="0.25">
      <c r="A3443" s="4">
        <v>40616</v>
      </c>
      <c r="B3443" s="5">
        <f>_xlfn.XLOOKUP(A3443,bunker_daily_raw!$A$2:$A$3819,bunker_daily_raw!$B$2:$B$3819)</f>
        <v>604</v>
      </c>
      <c r="C3443" s="6">
        <v>112.95</v>
      </c>
    </row>
    <row r="3444" spans="1:3" x14ac:dyDescent="0.25">
      <c r="A3444" s="4">
        <v>40617</v>
      </c>
      <c r="B3444" s="5">
        <f>_xlfn.XLOOKUP(A3444,bunker_daily_raw!$A$2:$A$3819,bunker_daily_raw!$B$2:$B$3819)</f>
        <v>607</v>
      </c>
      <c r="C3444" s="6">
        <v>111.11</v>
      </c>
    </row>
    <row r="3445" spans="1:3" x14ac:dyDescent="0.25">
      <c r="A3445" s="4">
        <v>40618</v>
      </c>
      <c r="B3445" s="5">
        <f>_xlfn.XLOOKUP(A3445,bunker_daily_raw!$A$2:$A$3819,bunker_daily_raw!$B$2:$B$3819)</f>
        <v>604.5</v>
      </c>
      <c r="C3445" s="6">
        <v>110.96</v>
      </c>
    </row>
    <row r="3446" spans="1:3" x14ac:dyDescent="0.25">
      <c r="A3446" s="4">
        <v>40619</v>
      </c>
      <c r="B3446" s="5">
        <f>_xlfn.XLOOKUP(A3446,bunker_daily_raw!$A$2:$A$3819,bunker_daily_raw!$B$2:$B$3819)</f>
        <v>599.5</v>
      </c>
      <c r="C3446" s="6">
        <v>114.18</v>
      </c>
    </row>
    <row r="3447" spans="1:3" x14ac:dyDescent="0.25">
      <c r="A3447" s="4">
        <v>40620</v>
      </c>
      <c r="B3447" s="5">
        <f>_xlfn.XLOOKUP(A3447,bunker_daily_raw!$A$2:$A$3819,bunker_daily_raw!$B$2:$B$3819)</f>
        <v>602</v>
      </c>
      <c r="C3447" s="6">
        <v>114.13</v>
      </c>
    </row>
    <row r="3448" spans="1:3" x14ac:dyDescent="0.25">
      <c r="A3448" s="4">
        <v>40623</v>
      </c>
      <c r="B3448" s="5">
        <f>_xlfn.XLOOKUP(A3448,bunker_daily_raw!$A$2:$A$3819,bunker_daily_raw!$B$2:$B$3819)</f>
        <v>609.5</v>
      </c>
      <c r="C3448" s="6">
        <v>114.92</v>
      </c>
    </row>
    <row r="3449" spans="1:3" x14ac:dyDescent="0.25">
      <c r="A3449" s="4">
        <v>40624</v>
      </c>
      <c r="B3449" s="5">
        <f>_xlfn.XLOOKUP(A3449,bunker_daily_raw!$A$2:$A$3819,bunker_daily_raw!$B$2:$B$3819)</f>
        <v>609.5</v>
      </c>
      <c r="C3449" s="6">
        <v>115.63</v>
      </c>
    </row>
    <row r="3450" spans="1:3" x14ac:dyDescent="0.25">
      <c r="A3450" s="4">
        <v>40625</v>
      </c>
      <c r="B3450" s="5">
        <f>_xlfn.XLOOKUP(A3450,bunker_daily_raw!$A$2:$A$3819,bunker_daily_raw!$B$2:$B$3819)</f>
        <v>607</v>
      </c>
      <c r="C3450" s="6">
        <v>115.65</v>
      </c>
    </row>
    <row r="3451" spans="1:3" x14ac:dyDescent="0.25">
      <c r="A3451" s="4">
        <v>40626</v>
      </c>
      <c r="B3451" s="5">
        <f>_xlfn.XLOOKUP(A3451,bunker_daily_raw!$A$2:$A$3819,bunker_daily_raw!$B$2:$B$3819)</f>
        <v>601.5</v>
      </c>
      <c r="C3451" s="6">
        <v>115.41</v>
      </c>
    </row>
    <row r="3452" spans="1:3" x14ac:dyDescent="0.25">
      <c r="A3452" s="4">
        <v>40627</v>
      </c>
      <c r="B3452" s="5">
        <f>_xlfn.XLOOKUP(A3452,bunker_daily_raw!$A$2:$A$3819,bunker_daily_raw!$B$2:$B$3819)</f>
        <v>610.5</v>
      </c>
      <c r="C3452" s="6">
        <v>115.45</v>
      </c>
    </row>
    <row r="3453" spans="1:3" x14ac:dyDescent="0.25">
      <c r="A3453" s="4">
        <v>40630</v>
      </c>
      <c r="B3453" s="5">
        <f>_xlfn.XLOOKUP(A3453,bunker_daily_raw!$A$2:$A$3819,bunker_daily_raw!$B$2:$B$3819)</f>
        <v>611.5</v>
      </c>
      <c r="C3453" s="6">
        <v>115.95</v>
      </c>
    </row>
    <row r="3454" spans="1:3" x14ac:dyDescent="0.25">
      <c r="A3454" s="4">
        <v>40631</v>
      </c>
      <c r="B3454" s="5">
        <f>_xlfn.XLOOKUP(A3454,bunker_daily_raw!$A$2:$A$3819,bunker_daily_raw!$B$2:$B$3819)</f>
        <v>610</v>
      </c>
      <c r="C3454" s="6">
        <v>115.58</v>
      </c>
    </row>
    <row r="3455" spans="1:3" x14ac:dyDescent="0.25">
      <c r="A3455" s="4">
        <v>40632</v>
      </c>
      <c r="B3455" s="5">
        <f>_xlfn.XLOOKUP(A3455,bunker_daily_raw!$A$2:$A$3819,bunker_daily_raw!$B$2:$B$3819)</f>
        <v>610</v>
      </c>
      <c r="C3455" s="6">
        <v>115.35</v>
      </c>
    </row>
    <row r="3456" spans="1:3" x14ac:dyDescent="0.25">
      <c r="A3456" s="4">
        <v>40633</v>
      </c>
      <c r="B3456" s="5">
        <f>_xlfn.XLOOKUP(A3456,bunker_daily_raw!$A$2:$A$3819,bunker_daily_raw!$B$2:$B$3819)</f>
        <v>612</v>
      </c>
      <c r="C3456" s="6">
        <v>116.94</v>
      </c>
    </row>
    <row r="3457" spans="1:3" x14ac:dyDescent="0.25">
      <c r="A3457" s="4">
        <v>40634</v>
      </c>
      <c r="B3457" s="5">
        <f>_xlfn.XLOOKUP(A3457,bunker_daily_raw!$A$2:$A$3819,bunker_daily_raw!$B$2:$B$3819)</f>
        <v>621.5</v>
      </c>
      <c r="C3457" s="6">
        <v>118.63</v>
      </c>
    </row>
    <row r="3458" spans="1:3" x14ac:dyDescent="0.25">
      <c r="A3458" s="4">
        <v>40637</v>
      </c>
      <c r="B3458" s="5">
        <f>_xlfn.XLOOKUP(A3458,bunker_daily_raw!$A$2:$A$3819,bunker_daily_raw!$B$2:$B$3819)</f>
        <v>627.5</v>
      </c>
      <c r="C3458" s="6">
        <v>120.07</v>
      </c>
    </row>
    <row r="3459" spans="1:3" x14ac:dyDescent="0.25">
      <c r="A3459" s="4">
        <v>40638</v>
      </c>
      <c r="B3459" s="5">
        <f>_xlfn.XLOOKUP(A3459,bunker_daily_raw!$A$2:$A$3819,bunker_daily_raw!$B$2:$B$3819)</f>
        <v>632.5</v>
      </c>
      <c r="C3459" s="6">
        <v>122.87</v>
      </c>
    </row>
    <row r="3460" spans="1:3" x14ac:dyDescent="0.25">
      <c r="A3460" s="4">
        <v>40639</v>
      </c>
      <c r="B3460" s="5">
        <f>_xlfn.XLOOKUP(A3460,bunker_daily_raw!$A$2:$A$3819,bunker_daily_raw!$B$2:$B$3819)</f>
        <v>647</v>
      </c>
      <c r="C3460" s="6">
        <v>123.01</v>
      </c>
    </row>
    <row r="3461" spans="1:3" x14ac:dyDescent="0.25">
      <c r="A3461" s="4">
        <v>40640</v>
      </c>
      <c r="B3461" s="5">
        <f>_xlfn.XLOOKUP(A3461,bunker_daily_raw!$A$2:$A$3819,bunker_daily_raw!$B$2:$B$3819)</f>
        <v>653</v>
      </c>
      <c r="C3461" s="6">
        <v>122.9</v>
      </c>
    </row>
    <row r="3462" spans="1:3" x14ac:dyDescent="0.25">
      <c r="A3462" s="4">
        <v>40641</v>
      </c>
      <c r="B3462" s="5">
        <f>_xlfn.XLOOKUP(A3462,bunker_daily_raw!$A$2:$A$3819,bunker_daily_raw!$B$2:$B$3819)</f>
        <v>652.5</v>
      </c>
      <c r="C3462" s="6">
        <v>126.3</v>
      </c>
    </row>
    <row r="3463" spans="1:3" x14ac:dyDescent="0.25">
      <c r="A3463" s="4">
        <v>40644</v>
      </c>
      <c r="B3463" s="5">
        <f>_xlfn.XLOOKUP(A3463,bunker_daily_raw!$A$2:$A$3819,bunker_daily_raw!$B$2:$B$3819)</f>
        <v>655.5</v>
      </c>
      <c r="C3463" s="6">
        <v>126.46</v>
      </c>
    </row>
    <row r="3464" spans="1:3" x14ac:dyDescent="0.25">
      <c r="A3464" s="4">
        <v>40645</v>
      </c>
      <c r="B3464" s="5">
        <f>_xlfn.XLOOKUP(A3464,bunker_daily_raw!$A$2:$A$3819,bunker_daily_raw!$B$2:$B$3819)</f>
        <v>657</v>
      </c>
      <c r="C3464" s="6">
        <v>121.33</v>
      </c>
    </row>
    <row r="3465" spans="1:3" x14ac:dyDescent="0.25">
      <c r="A3465" s="4">
        <v>40646</v>
      </c>
      <c r="B3465" s="5">
        <f>_xlfn.XLOOKUP(A3465,bunker_daily_raw!$A$2:$A$3819,bunker_daily_raw!$B$2:$B$3819)</f>
        <v>658</v>
      </c>
      <c r="C3465" s="6">
        <v>122.7</v>
      </c>
    </row>
    <row r="3466" spans="1:3" x14ac:dyDescent="0.25">
      <c r="A3466" s="4">
        <v>40647</v>
      </c>
      <c r="B3466" s="5">
        <f>_xlfn.XLOOKUP(A3466,bunker_daily_raw!$A$2:$A$3819,bunker_daily_raw!$B$2:$B$3819)</f>
        <v>650</v>
      </c>
      <c r="C3466" s="6">
        <v>122.74</v>
      </c>
    </row>
    <row r="3467" spans="1:3" x14ac:dyDescent="0.25">
      <c r="A3467" s="4">
        <v>40648</v>
      </c>
      <c r="B3467" s="5">
        <f>_xlfn.XLOOKUP(A3467,bunker_daily_raw!$A$2:$A$3819,bunker_daily_raw!$B$2:$B$3819)</f>
        <v>656</v>
      </c>
      <c r="C3467" s="6">
        <v>124.63</v>
      </c>
    </row>
    <row r="3468" spans="1:3" x14ac:dyDescent="0.25">
      <c r="A3468" s="4">
        <v>40651</v>
      </c>
      <c r="B3468" s="5">
        <f>_xlfn.XLOOKUP(A3468,bunker_daily_raw!$A$2:$A$3819,bunker_daily_raw!$B$2:$B$3819)</f>
        <v>652</v>
      </c>
      <c r="C3468" s="6">
        <v>121.69</v>
      </c>
    </row>
    <row r="3469" spans="1:3" x14ac:dyDescent="0.25">
      <c r="A3469" s="4">
        <v>40652</v>
      </c>
      <c r="B3469" s="5">
        <f>_xlfn.XLOOKUP(A3469,bunker_daily_raw!$A$2:$A$3819,bunker_daily_raw!$B$2:$B$3819)</f>
        <v>652</v>
      </c>
      <c r="C3469" s="6">
        <v>121.35</v>
      </c>
    </row>
    <row r="3470" spans="1:3" x14ac:dyDescent="0.25">
      <c r="A3470" s="4">
        <v>40653</v>
      </c>
      <c r="B3470" s="5">
        <f>_xlfn.XLOOKUP(A3470,bunker_daily_raw!$A$2:$A$3819,bunker_daily_raw!$B$2:$B$3819)</f>
        <v>636</v>
      </c>
      <c r="C3470" s="6">
        <v>124.26</v>
      </c>
    </row>
    <row r="3471" spans="1:3" x14ac:dyDescent="0.25">
      <c r="A3471" s="4">
        <v>40654</v>
      </c>
      <c r="B3471" s="5">
        <f>_xlfn.XLOOKUP(A3471,bunker_daily_raw!$A$2:$A$3819,bunker_daily_raw!$B$2:$B$3819)</f>
        <v>642</v>
      </c>
      <c r="C3471" s="6">
        <v>123.64</v>
      </c>
    </row>
    <row r="3472" spans="1:3" x14ac:dyDescent="0.25">
      <c r="A3472" s="4">
        <v>40655</v>
      </c>
      <c r="B3472" s="5" t="e">
        <f>_xlfn.XLOOKUP(A3472,bunker_daily_raw!$A$2:$A$3819,bunker_daily_raw!$B$2:$B$3819)</f>
        <v>#N/A</v>
      </c>
      <c r="C3472" s="5"/>
    </row>
    <row r="3473" spans="1:3" x14ac:dyDescent="0.25">
      <c r="A3473" s="4">
        <v>40658</v>
      </c>
      <c r="B3473" s="5" t="e">
        <f>_xlfn.XLOOKUP(A3473,bunker_daily_raw!$A$2:$A$3819,bunker_daily_raw!$B$2:$B$3819)</f>
        <v>#N/A</v>
      </c>
      <c r="C3473" s="5"/>
    </row>
    <row r="3474" spans="1:3" x14ac:dyDescent="0.25">
      <c r="A3474" s="4">
        <v>40659</v>
      </c>
      <c r="B3474" s="5">
        <f>_xlfn.XLOOKUP(A3474,bunker_daily_raw!$A$2:$A$3819,bunker_daily_raw!$B$2:$B$3819)</f>
        <v>645.5</v>
      </c>
      <c r="C3474" s="6">
        <v>124.55</v>
      </c>
    </row>
    <row r="3475" spans="1:3" x14ac:dyDescent="0.25">
      <c r="A3475" s="4">
        <v>40660</v>
      </c>
      <c r="B3475" s="5">
        <f>_xlfn.XLOOKUP(A3475,bunker_daily_raw!$A$2:$A$3819,bunker_daily_raw!$B$2:$B$3819)</f>
        <v>647</v>
      </c>
      <c r="C3475" s="6">
        <v>124.94</v>
      </c>
    </row>
    <row r="3476" spans="1:3" x14ac:dyDescent="0.25">
      <c r="A3476" s="4">
        <v>40661</v>
      </c>
      <c r="B3476" s="5">
        <f>_xlfn.XLOOKUP(A3476,bunker_daily_raw!$A$2:$A$3819,bunker_daily_raw!$B$2:$B$3819)</f>
        <v>648</v>
      </c>
      <c r="C3476" s="6">
        <v>126.59</v>
      </c>
    </row>
    <row r="3477" spans="1:3" x14ac:dyDescent="0.25">
      <c r="A3477" s="4">
        <v>40662</v>
      </c>
      <c r="B3477" s="5" t="e">
        <f>_xlfn.XLOOKUP(A3477,bunker_daily_raw!$A$2:$A$3819,bunker_daily_raw!$B$2:$B$3819)</f>
        <v>#N/A</v>
      </c>
      <c r="C3477" s="5"/>
    </row>
    <row r="3478" spans="1:3" x14ac:dyDescent="0.25">
      <c r="A3478" s="4">
        <v>40665</v>
      </c>
      <c r="B3478" s="5" t="e">
        <f>_xlfn.XLOOKUP(A3478,bunker_daily_raw!$A$2:$A$3819,bunker_daily_raw!$B$2:$B$3819)</f>
        <v>#N/A</v>
      </c>
      <c r="C3478" s="6">
        <v>126.64</v>
      </c>
    </row>
    <row r="3479" spans="1:3" x14ac:dyDescent="0.25">
      <c r="A3479" s="4">
        <v>40666</v>
      </c>
      <c r="B3479" s="5">
        <f>_xlfn.XLOOKUP(A3479,bunker_daily_raw!$A$2:$A$3819,bunker_daily_raw!$B$2:$B$3819)</f>
        <v>654.5</v>
      </c>
      <c r="C3479" s="6">
        <v>124.01</v>
      </c>
    </row>
    <row r="3480" spans="1:3" x14ac:dyDescent="0.25">
      <c r="A3480" s="4">
        <v>40667</v>
      </c>
      <c r="B3480" s="5">
        <f>_xlfn.XLOOKUP(A3480,bunker_daily_raw!$A$2:$A$3819,bunker_daily_raw!$B$2:$B$3819)</f>
        <v>650</v>
      </c>
      <c r="C3480" s="6">
        <v>121.55</v>
      </c>
    </row>
    <row r="3481" spans="1:3" x14ac:dyDescent="0.25">
      <c r="A3481" s="4">
        <v>40668</v>
      </c>
      <c r="B3481" s="5">
        <f>_xlfn.XLOOKUP(A3481,bunker_daily_raw!$A$2:$A$3819,bunker_daily_raw!$B$2:$B$3819)</f>
        <v>650.5</v>
      </c>
      <c r="C3481" s="6">
        <v>111.93</v>
      </c>
    </row>
    <row r="3482" spans="1:3" x14ac:dyDescent="0.25">
      <c r="A3482" s="4">
        <v>40669</v>
      </c>
      <c r="B3482" s="5">
        <f>_xlfn.XLOOKUP(A3482,bunker_daily_raw!$A$2:$A$3819,bunker_daily_raw!$B$2:$B$3819)</f>
        <v>646.5</v>
      </c>
      <c r="C3482" s="6">
        <v>113.69</v>
      </c>
    </row>
    <row r="3483" spans="1:3" x14ac:dyDescent="0.25">
      <c r="A3483" s="4">
        <v>40672</v>
      </c>
      <c r="B3483" s="5">
        <f>_xlfn.XLOOKUP(A3483,bunker_daily_raw!$A$2:$A$3819,bunker_daily_raw!$B$2:$B$3819)</f>
        <v>610</v>
      </c>
      <c r="C3483" s="6">
        <v>113.21</v>
      </c>
    </row>
    <row r="3484" spans="1:3" x14ac:dyDescent="0.25">
      <c r="A3484" s="4">
        <v>40673</v>
      </c>
      <c r="B3484" s="5">
        <f>_xlfn.XLOOKUP(A3484,bunker_daily_raw!$A$2:$A$3819,bunker_daily_raw!$B$2:$B$3819)</f>
        <v>618</v>
      </c>
      <c r="C3484" s="6">
        <v>117.82</v>
      </c>
    </row>
    <row r="3485" spans="1:3" x14ac:dyDescent="0.25">
      <c r="A3485" s="4">
        <v>40674</v>
      </c>
      <c r="B3485" s="5">
        <f>_xlfn.XLOOKUP(A3485,bunker_daily_raw!$A$2:$A$3819,bunker_daily_raw!$B$2:$B$3819)</f>
        <v>627</v>
      </c>
      <c r="C3485" s="6">
        <v>115.66</v>
      </c>
    </row>
    <row r="3486" spans="1:3" x14ac:dyDescent="0.25">
      <c r="A3486" s="4">
        <v>40675</v>
      </c>
      <c r="B3486" s="5">
        <f>_xlfn.XLOOKUP(A3486,bunker_daily_raw!$A$2:$A$3819,bunker_daily_raw!$B$2:$B$3819)</f>
        <v>636.5</v>
      </c>
      <c r="C3486" s="6">
        <v>112.87</v>
      </c>
    </row>
    <row r="3487" spans="1:3" x14ac:dyDescent="0.25">
      <c r="A3487" s="4">
        <v>40676</v>
      </c>
      <c r="B3487" s="5">
        <f>_xlfn.XLOOKUP(A3487,bunker_daily_raw!$A$2:$A$3819,bunker_daily_raw!$B$2:$B$3819)</f>
        <v>628.5</v>
      </c>
      <c r="C3487" s="6">
        <v>113.08</v>
      </c>
    </row>
    <row r="3488" spans="1:3" x14ac:dyDescent="0.25">
      <c r="A3488" s="4">
        <v>40679</v>
      </c>
      <c r="B3488" s="5">
        <f>_xlfn.XLOOKUP(A3488,bunker_daily_raw!$A$2:$A$3819,bunker_daily_raw!$B$2:$B$3819)</f>
        <v>627</v>
      </c>
      <c r="C3488" s="6">
        <v>113.72</v>
      </c>
    </row>
    <row r="3489" spans="1:3" x14ac:dyDescent="0.25">
      <c r="A3489" s="4">
        <v>40680</v>
      </c>
      <c r="B3489" s="5">
        <f>_xlfn.XLOOKUP(A3489,bunker_daily_raw!$A$2:$A$3819,bunker_daily_raw!$B$2:$B$3819)</f>
        <v>628</v>
      </c>
      <c r="C3489" s="6">
        <v>109.39</v>
      </c>
    </row>
    <row r="3490" spans="1:3" x14ac:dyDescent="0.25">
      <c r="A3490" s="4">
        <v>40681</v>
      </c>
      <c r="B3490" s="5">
        <f>_xlfn.XLOOKUP(A3490,bunker_daily_raw!$A$2:$A$3819,bunker_daily_raw!$B$2:$B$3819)</f>
        <v>614</v>
      </c>
      <c r="C3490" s="6">
        <v>112.54</v>
      </c>
    </row>
    <row r="3491" spans="1:3" x14ac:dyDescent="0.25">
      <c r="A3491" s="4">
        <v>40682</v>
      </c>
      <c r="B3491" s="5">
        <f>_xlfn.XLOOKUP(A3491,bunker_daily_raw!$A$2:$A$3819,bunker_daily_raw!$B$2:$B$3819)</f>
        <v>613.5</v>
      </c>
      <c r="C3491" s="6">
        <v>113.2</v>
      </c>
    </row>
    <row r="3492" spans="1:3" x14ac:dyDescent="0.25">
      <c r="A3492" s="4">
        <v>40683</v>
      </c>
      <c r="B3492" s="5">
        <f>_xlfn.XLOOKUP(A3492,bunker_daily_raw!$A$2:$A$3819,bunker_daily_raw!$B$2:$B$3819)</f>
        <v>612.5</v>
      </c>
      <c r="C3492" s="6">
        <v>111.25</v>
      </c>
    </row>
    <row r="3493" spans="1:3" x14ac:dyDescent="0.25">
      <c r="A3493" s="4">
        <v>40686</v>
      </c>
      <c r="B3493" s="5">
        <f>_xlfn.XLOOKUP(A3493,bunker_daily_raw!$A$2:$A$3819,bunker_daily_raw!$B$2:$B$3819)</f>
        <v>612.5</v>
      </c>
      <c r="C3493" s="6">
        <v>110.13</v>
      </c>
    </row>
    <row r="3494" spans="1:3" x14ac:dyDescent="0.25">
      <c r="A3494" s="4">
        <v>40687</v>
      </c>
      <c r="B3494" s="5">
        <f>_xlfn.XLOOKUP(A3494,bunker_daily_raw!$A$2:$A$3819,bunker_daily_raw!$B$2:$B$3819)</f>
        <v>602.5</v>
      </c>
      <c r="C3494" s="6">
        <v>112.52</v>
      </c>
    </row>
    <row r="3495" spans="1:3" x14ac:dyDescent="0.25">
      <c r="A3495" s="4">
        <v>40688</v>
      </c>
      <c r="B3495" s="5">
        <f>_xlfn.XLOOKUP(A3495,bunker_daily_raw!$A$2:$A$3819,bunker_daily_raw!$B$2:$B$3819)</f>
        <v>603</v>
      </c>
      <c r="C3495" s="6">
        <v>114.47</v>
      </c>
    </row>
    <row r="3496" spans="1:3" x14ac:dyDescent="0.25">
      <c r="A3496" s="4">
        <v>40689</v>
      </c>
      <c r="B3496" s="5">
        <f>_xlfn.XLOOKUP(A3496,bunker_daily_raw!$A$2:$A$3819,bunker_daily_raw!$B$2:$B$3819)</f>
        <v>608</v>
      </c>
      <c r="C3496" s="6">
        <v>115.06</v>
      </c>
    </row>
    <row r="3497" spans="1:3" x14ac:dyDescent="0.25">
      <c r="A3497" s="4">
        <v>40690</v>
      </c>
      <c r="B3497" s="5">
        <f>_xlfn.XLOOKUP(A3497,bunker_daily_raw!$A$2:$A$3819,bunker_daily_raw!$B$2:$B$3819)</f>
        <v>623</v>
      </c>
      <c r="C3497" s="6">
        <v>114.85</v>
      </c>
    </row>
    <row r="3498" spans="1:3" x14ac:dyDescent="0.25">
      <c r="A3498" s="4">
        <v>40693</v>
      </c>
      <c r="B3498" s="5" t="e">
        <f>_xlfn.XLOOKUP(A3498,bunker_daily_raw!$A$2:$A$3819,bunker_daily_raw!$B$2:$B$3819)</f>
        <v>#N/A</v>
      </c>
      <c r="C3498" s="5"/>
    </row>
    <row r="3499" spans="1:3" x14ac:dyDescent="0.25">
      <c r="A3499" s="4">
        <v>40694</v>
      </c>
      <c r="B3499" s="5">
        <f>_xlfn.XLOOKUP(A3499,bunker_daily_raw!$A$2:$A$3819,bunker_daily_raw!$B$2:$B$3819)</f>
        <v>624</v>
      </c>
      <c r="C3499" s="6">
        <v>117.18</v>
      </c>
    </row>
    <row r="3500" spans="1:3" x14ac:dyDescent="0.25">
      <c r="A3500" s="4">
        <v>40695</v>
      </c>
      <c r="B3500" s="5">
        <f>_xlfn.XLOOKUP(A3500,bunker_daily_raw!$A$2:$A$3819,bunker_daily_raw!$B$2:$B$3819)</f>
        <v>628</v>
      </c>
      <c r="C3500" s="6">
        <v>116.15</v>
      </c>
    </row>
    <row r="3501" spans="1:3" x14ac:dyDescent="0.25">
      <c r="A3501" s="4">
        <v>40696</v>
      </c>
      <c r="B3501" s="5">
        <f>_xlfn.XLOOKUP(A3501,bunker_daily_raw!$A$2:$A$3819,bunker_daily_raw!$B$2:$B$3819)</f>
        <v>631.5</v>
      </c>
      <c r="C3501" s="6">
        <v>114.3</v>
      </c>
    </row>
    <row r="3502" spans="1:3" x14ac:dyDescent="0.25">
      <c r="A3502" s="4">
        <v>40697</v>
      </c>
      <c r="B3502" s="5">
        <f>_xlfn.XLOOKUP(A3502,bunker_daily_raw!$A$2:$A$3819,bunker_daily_raw!$B$2:$B$3819)</f>
        <v>629</v>
      </c>
      <c r="C3502" s="6">
        <v>115.09</v>
      </c>
    </row>
    <row r="3503" spans="1:3" x14ac:dyDescent="0.25">
      <c r="A3503" s="4">
        <v>40700</v>
      </c>
      <c r="B3503" s="5">
        <f>_xlfn.XLOOKUP(A3503,bunker_daily_raw!$A$2:$A$3819,bunker_daily_raw!$B$2:$B$3819)</f>
        <v>631.5</v>
      </c>
      <c r="C3503" s="6">
        <v>115.4</v>
      </c>
    </row>
    <row r="3504" spans="1:3" x14ac:dyDescent="0.25">
      <c r="A3504" s="4">
        <v>40701</v>
      </c>
      <c r="B3504" s="5">
        <f>_xlfn.XLOOKUP(A3504,bunker_daily_raw!$A$2:$A$3819,bunker_daily_raw!$B$2:$B$3819)</f>
        <v>630.5</v>
      </c>
      <c r="C3504" s="6">
        <v>116.14</v>
      </c>
    </row>
    <row r="3505" spans="1:3" x14ac:dyDescent="0.25">
      <c r="A3505" s="4">
        <v>40702</v>
      </c>
      <c r="B3505" s="5">
        <f>_xlfn.XLOOKUP(A3505,bunker_daily_raw!$A$2:$A$3819,bunker_daily_raw!$B$2:$B$3819)</f>
        <v>630.5</v>
      </c>
      <c r="C3505" s="6">
        <v>118.43</v>
      </c>
    </row>
    <row r="3506" spans="1:3" x14ac:dyDescent="0.25">
      <c r="A3506" s="4">
        <v>40703</v>
      </c>
      <c r="B3506" s="5">
        <f>_xlfn.XLOOKUP(A3506,bunker_daily_raw!$A$2:$A$3819,bunker_daily_raw!$B$2:$B$3819)</f>
        <v>637.5</v>
      </c>
      <c r="C3506" s="6">
        <v>119.95</v>
      </c>
    </row>
    <row r="3507" spans="1:3" x14ac:dyDescent="0.25">
      <c r="A3507" s="4">
        <v>40704</v>
      </c>
      <c r="B3507" s="5">
        <f>_xlfn.XLOOKUP(A3507,bunker_daily_raw!$A$2:$A$3819,bunker_daily_raw!$B$2:$B$3819)</f>
        <v>647</v>
      </c>
      <c r="C3507" s="6">
        <v>118.71</v>
      </c>
    </row>
    <row r="3508" spans="1:3" x14ac:dyDescent="0.25">
      <c r="A3508" s="4">
        <v>40707</v>
      </c>
      <c r="B3508" s="5">
        <f>_xlfn.XLOOKUP(A3508,bunker_daily_raw!$A$2:$A$3819,bunker_daily_raw!$B$2:$B$3819)</f>
        <v>653.5</v>
      </c>
      <c r="C3508" s="6">
        <v>120.49</v>
      </c>
    </row>
    <row r="3509" spans="1:3" x14ac:dyDescent="0.25">
      <c r="A3509" s="4">
        <v>40708</v>
      </c>
      <c r="B3509" s="5">
        <f>_xlfn.XLOOKUP(A3509,bunker_daily_raw!$A$2:$A$3819,bunker_daily_raw!$B$2:$B$3819)</f>
        <v>651</v>
      </c>
      <c r="C3509" s="6">
        <v>120.35</v>
      </c>
    </row>
    <row r="3510" spans="1:3" x14ac:dyDescent="0.25">
      <c r="A3510" s="4">
        <v>40709</v>
      </c>
      <c r="B3510" s="5">
        <f>_xlfn.XLOOKUP(A3510,bunker_daily_raw!$A$2:$A$3819,bunker_daily_raw!$B$2:$B$3819)</f>
        <v>653.5</v>
      </c>
      <c r="C3510" s="6">
        <v>114.67</v>
      </c>
    </row>
    <row r="3511" spans="1:3" x14ac:dyDescent="0.25">
      <c r="A3511" s="4">
        <v>40710</v>
      </c>
      <c r="B3511" s="5">
        <f>_xlfn.XLOOKUP(A3511,bunker_daily_raw!$A$2:$A$3819,bunker_daily_raw!$B$2:$B$3819)</f>
        <v>651.5</v>
      </c>
      <c r="C3511" s="6">
        <v>114.69</v>
      </c>
    </row>
    <row r="3512" spans="1:3" x14ac:dyDescent="0.25">
      <c r="A3512" s="4">
        <v>40711</v>
      </c>
      <c r="B3512" s="5">
        <f>_xlfn.XLOOKUP(A3512,bunker_daily_raw!$A$2:$A$3819,bunker_daily_raw!$B$2:$B$3819)</f>
        <v>629.5</v>
      </c>
      <c r="C3512" s="6">
        <v>113.74</v>
      </c>
    </row>
    <row r="3513" spans="1:3" x14ac:dyDescent="0.25">
      <c r="A3513" s="4">
        <v>40714</v>
      </c>
      <c r="B3513" s="5">
        <f>_xlfn.XLOOKUP(A3513,bunker_daily_raw!$A$2:$A$3819,bunker_daily_raw!$B$2:$B$3819)</f>
        <v>627</v>
      </c>
      <c r="C3513" s="6">
        <v>112.21</v>
      </c>
    </row>
    <row r="3514" spans="1:3" x14ac:dyDescent="0.25">
      <c r="A3514" s="4">
        <v>40715</v>
      </c>
      <c r="B3514" s="5">
        <f>_xlfn.XLOOKUP(A3514,bunker_daily_raw!$A$2:$A$3819,bunker_daily_raw!$B$2:$B$3819)</f>
        <v>630.5</v>
      </c>
      <c r="C3514" s="6">
        <v>112.02</v>
      </c>
    </row>
    <row r="3515" spans="1:3" x14ac:dyDescent="0.25">
      <c r="A3515" s="4">
        <v>40716</v>
      </c>
      <c r="B3515" s="5">
        <f>_xlfn.XLOOKUP(A3515,bunker_daily_raw!$A$2:$A$3819,bunker_daily_raw!$B$2:$B$3819)</f>
        <v>628.5</v>
      </c>
      <c r="C3515" s="6">
        <v>113.59</v>
      </c>
    </row>
    <row r="3516" spans="1:3" x14ac:dyDescent="0.25">
      <c r="A3516" s="4">
        <v>40717</v>
      </c>
      <c r="B3516" s="5">
        <f>_xlfn.XLOOKUP(A3516,bunker_daily_raw!$A$2:$A$3819,bunker_daily_raw!$B$2:$B$3819)</f>
        <v>628.5</v>
      </c>
      <c r="C3516" s="6">
        <v>108.27</v>
      </c>
    </row>
    <row r="3517" spans="1:3" x14ac:dyDescent="0.25">
      <c r="A3517" s="4">
        <v>40718</v>
      </c>
      <c r="B3517" s="5">
        <f>_xlfn.XLOOKUP(A3517,bunker_daily_raw!$A$2:$A$3819,bunker_daily_raw!$B$2:$B$3819)</f>
        <v>622</v>
      </c>
      <c r="C3517" s="6">
        <v>104.79</v>
      </c>
    </row>
    <row r="3518" spans="1:3" x14ac:dyDescent="0.25">
      <c r="A3518" s="4">
        <v>40721</v>
      </c>
      <c r="B3518" s="5">
        <f>_xlfn.XLOOKUP(A3518,bunker_daily_raw!$A$2:$A$3819,bunker_daily_raw!$B$2:$B$3819)</f>
        <v>614.5</v>
      </c>
      <c r="C3518" s="6">
        <v>104.57</v>
      </c>
    </row>
    <row r="3519" spans="1:3" x14ac:dyDescent="0.25">
      <c r="A3519" s="4">
        <v>40722</v>
      </c>
      <c r="B3519" s="5">
        <f>_xlfn.XLOOKUP(A3519,bunker_daily_raw!$A$2:$A$3819,bunker_daily_raw!$B$2:$B$3819)</f>
        <v>612</v>
      </c>
      <c r="C3519" s="6">
        <v>107.57</v>
      </c>
    </row>
    <row r="3520" spans="1:3" x14ac:dyDescent="0.25">
      <c r="A3520" s="4">
        <v>40723</v>
      </c>
      <c r="B3520" s="5">
        <f>_xlfn.XLOOKUP(A3520,bunker_daily_raw!$A$2:$A$3819,bunker_daily_raw!$B$2:$B$3819)</f>
        <v>614.5</v>
      </c>
      <c r="C3520" s="6">
        <v>111.49</v>
      </c>
    </row>
    <row r="3521" spans="1:3" x14ac:dyDescent="0.25">
      <c r="A3521" s="4">
        <v>40724</v>
      </c>
      <c r="B3521" s="5">
        <f>_xlfn.XLOOKUP(A3521,bunker_daily_raw!$A$2:$A$3819,bunker_daily_raw!$B$2:$B$3819)</f>
        <v>616.5</v>
      </c>
      <c r="C3521" s="6">
        <v>111.71</v>
      </c>
    </row>
    <row r="3522" spans="1:3" x14ac:dyDescent="0.25">
      <c r="A3522" s="4">
        <v>40725</v>
      </c>
      <c r="B3522" s="5">
        <f>_xlfn.XLOOKUP(A3522,bunker_daily_raw!$A$2:$A$3819,bunker_daily_raw!$B$2:$B$3819)</f>
        <v>627</v>
      </c>
      <c r="C3522" s="6">
        <v>109.82</v>
      </c>
    </row>
    <row r="3523" spans="1:3" x14ac:dyDescent="0.25">
      <c r="A3523" s="4">
        <v>40728</v>
      </c>
      <c r="B3523" s="5">
        <f>_xlfn.XLOOKUP(A3523,bunker_daily_raw!$A$2:$A$3819,bunker_daily_raw!$B$2:$B$3819)</f>
        <v>627.5</v>
      </c>
      <c r="C3523" s="5"/>
    </row>
    <row r="3524" spans="1:3" x14ac:dyDescent="0.25">
      <c r="A3524" s="4">
        <v>40729</v>
      </c>
      <c r="B3524" s="5">
        <f>_xlfn.XLOOKUP(A3524,bunker_daily_raw!$A$2:$A$3819,bunker_daily_raw!$B$2:$B$3819)</f>
        <v>628</v>
      </c>
      <c r="C3524" s="6">
        <v>113.21</v>
      </c>
    </row>
    <row r="3525" spans="1:3" x14ac:dyDescent="0.25">
      <c r="A3525" s="4">
        <v>40730</v>
      </c>
      <c r="B3525" s="5">
        <f>_xlfn.XLOOKUP(A3525,bunker_daily_raw!$A$2:$A$3819,bunker_daily_raw!$B$2:$B$3819)</f>
        <v>628</v>
      </c>
      <c r="C3525" s="6">
        <v>113.55</v>
      </c>
    </row>
    <row r="3526" spans="1:3" x14ac:dyDescent="0.25">
      <c r="A3526" s="4">
        <v>40731</v>
      </c>
      <c r="B3526" s="5">
        <f>_xlfn.XLOOKUP(A3526,bunker_daily_raw!$A$2:$A$3819,bunker_daily_raw!$B$2:$B$3819)</f>
        <v>629.5</v>
      </c>
      <c r="C3526" s="6">
        <v>117.4</v>
      </c>
    </row>
    <row r="3527" spans="1:3" x14ac:dyDescent="0.25">
      <c r="A3527" s="4">
        <v>40732</v>
      </c>
      <c r="B3527" s="5">
        <f>_xlfn.XLOOKUP(A3527,bunker_daily_raw!$A$2:$A$3819,bunker_daily_raw!$B$2:$B$3819)</f>
        <v>632.5</v>
      </c>
      <c r="C3527" s="6">
        <v>117.4</v>
      </c>
    </row>
    <row r="3528" spans="1:3" x14ac:dyDescent="0.25">
      <c r="A3528" s="4">
        <v>40735</v>
      </c>
      <c r="B3528" s="5">
        <f>_xlfn.XLOOKUP(A3528,bunker_daily_raw!$A$2:$A$3819,bunker_daily_raw!$B$2:$B$3819)</f>
        <v>640</v>
      </c>
      <c r="C3528" s="6">
        <v>117.35</v>
      </c>
    </row>
    <row r="3529" spans="1:3" x14ac:dyDescent="0.25">
      <c r="A3529" s="4">
        <v>40736</v>
      </c>
      <c r="B3529" s="5">
        <f>_xlfn.XLOOKUP(A3529,bunker_daily_raw!$A$2:$A$3819,bunker_daily_raw!$B$2:$B$3819)</f>
        <v>639.5</v>
      </c>
      <c r="C3529" s="6">
        <v>117.36</v>
      </c>
    </row>
    <row r="3530" spans="1:3" x14ac:dyDescent="0.25">
      <c r="A3530" s="4">
        <v>40737</v>
      </c>
      <c r="B3530" s="5">
        <f>_xlfn.XLOOKUP(A3530,bunker_daily_raw!$A$2:$A$3819,bunker_daily_raw!$B$2:$B$3819)</f>
        <v>642.5</v>
      </c>
      <c r="C3530" s="6">
        <v>118.46</v>
      </c>
    </row>
    <row r="3531" spans="1:3" x14ac:dyDescent="0.25">
      <c r="A3531" s="4">
        <v>40738</v>
      </c>
      <c r="B3531" s="5">
        <f>_xlfn.XLOOKUP(A3531,bunker_daily_raw!$A$2:$A$3819,bunker_daily_raw!$B$2:$B$3819)</f>
        <v>646.5</v>
      </c>
      <c r="C3531" s="6">
        <v>117.38</v>
      </c>
    </row>
    <row r="3532" spans="1:3" x14ac:dyDescent="0.25">
      <c r="A3532" s="4">
        <v>40739</v>
      </c>
      <c r="B3532" s="5">
        <f>_xlfn.XLOOKUP(A3532,bunker_daily_raw!$A$2:$A$3819,bunker_daily_raw!$B$2:$B$3819)</f>
        <v>655.5</v>
      </c>
      <c r="C3532" s="6">
        <v>118.06</v>
      </c>
    </row>
    <row r="3533" spans="1:3" x14ac:dyDescent="0.25">
      <c r="A3533" s="4">
        <v>40742</v>
      </c>
      <c r="B3533" s="5">
        <f>_xlfn.XLOOKUP(A3533,bunker_daily_raw!$A$2:$A$3819,bunker_daily_raw!$B$2:$B$3819)</f>
        <v>654</v>
      </c>
      <c r="C3533" s="6">
        <v>117.05</v>
      </c>
    </row>
    <row r="3534" spans="1:3" x14ac:dyDescent="0.25">
      <c r="A3534" s="4">
        <v>40743</v>
      </c>
      <c r="B3534" s="5">
        <f>_xlfn.XLOOKUP(A3534,bunker_daily_raw!$A$2:$A$3819,bunker_daily_raw!$B$2:$B$3819)</f>
        <v>655.5</v>
      </c>
      <c r="C3534" s="6">
        <v>118.18</v>
      </c>
    </row>
    <row r="3535" spans="1:3" x14ac:dyDescent="0.25">
      <c r="A3535" s="4">
        <v>40744</v>
      </c>
      <c r="B3535" s="5">
        <f>_xlfn.XLOOKUP(A3535,bunker_daily_raw!$A$2:$A$3819,bunker_daily_raw!$B$2:$B$3819)</f>
        <v>660.5</v>
      </c>
      <c r="C3535" s="6">
        <v>118.52</v>
      </c>
    </row>
    <row r="3536" spans="1:3" x14ac:dyDescent="0.25">
      <c r="A3536" s="4">
        <v>40745</v>
      </c>
      <c r="B3536" s="5">
        <f>_xlfn.XLOOKUP(A3536,bunker_daily_raw!$A$2:$A$3819,bunker_daily_raw!$B$2:$B$3819)</f>
        <v>659</v>
      </c>
      <c r="C3536" s="6">
        <v>118.25</v>
      </c>
    </row>
    <row r="3537" spans="1:3" x14ac:dyDescent="0.25">
      <c r="A3537" s="4">
        <v>40746</v>
      </c>
      <c r="B3537" s="5">
        <f>_xlfn.XLOOKUP(A3537,bunker_daily_raw!$A$2:$A$3819,bunker_daily_raw!$B$2:$B$3819)</f>
        <v>656.5</v>
      </c>
      <c r="C3537" s="6">
        <v>118.99</v>
      </c>
    </row>
    <row r="3538" spans="1:3" x14ac:dyDescent="0.25">
      <c r="A3538" s="4">
        <v>40749</v>
      </c>
      <c r="B3538" s="5">
        <f>_xlfn.XLOOKUP(A3538,bunker_daily_raw!$A$2:$A$3819,bunker_daily_raw!$B$2:$B$3819)</f>
        <v>656.5</v>
      </c>
      <c r="C3538" s="6">
        <v>118.27</v>
      </c>
    </row>
    <row r="3539" spans="1:3" x14ac:dyDescent="0.25">
      <c r="A3539" s="4">
        <v>40750</v>
      </c>
      <c r="B3539" s="5">
        <f>_xlfn.XLOOKUP(A3539,bunker_daily_raw!$A$2:$A$3819,bunker_daily_raw!$B$2:$B$3819)</f>
        <v>662.5</v>
      </c>
      <c r="C3539" s="6">
        <v>118.14</v>
      </c>
    </row>
    <row r="3540" spans="1:3" x14ac:dyDescent="0.25">
      <c r="A3540" s="4">
        <v>40751</v>
      </c>
      <c r="B3540" s="5">
        <f>_xlfn.XLOOKUP(A3540,bunker_daily_raw!$A$2:$A$3819,bunker_daily_raw!$B$2:$B$3819)</f>
        <v>668.5</v>
      </c>
      <c r="C3540" s="6">
        <v>117.99</v>
      </c>
    </row>
    <row r="3541" spans="1:3" x14ac:dyDescent="0.25">
      <c r="A3541" s="4">
        <v>40752</v>
      </c>
      <c r="B3541" s="5">
        <f>_xlfn.XLOOKUP(A3541,bunker_daily_raw!$A$2:$A$3819,bunker_daily_raw!$B$2:$B$3819)</f>
        <v>668.5</v>
      </c>
      <c r="C3541" s="6">
        <v>118.16</v>
      </c>
    </row>
    <row r="3542" spans="1:3" x14ac:dyDescent="0.25">
      <c r="A3542" s="4">
        <v>40753</v>
      </c>
      <c r="B3542" s="5">
        <f>_xlfn.XLOOKUP(A3542,bunker_daily_raw!$A$2:$A$3819,bunker_daily_raw!$B$2:$B$3819)</f>
        <v>666.5</v>
      </c>
      <c r="C3542" s="6">
        <v>115.93</v>
      </c>
    </row>
    <row r="3543" spans="1:3" x14ac:dyDescent="0.25">
      <c r="A3543" s="4">
        <v>40756</v>
      </c>
      <c r="B3543" s="5">
        <f>_xlfn.XLOOKUP(A3543,bunker_daily_raw!$A$2:$A$3819,bunker_daily_raw!$B$2:$B$3819)</f>
        <v>664.5</v>
      </c>
      <c r="C3543" s="6">
        <v>116.37</v>
      </c>
    </row>
    <row r="3544" spans="1:3" x14ac:dyDescent="0.25">
      <c r="A3544" s="4">
        <v>40757</v>
      </c>
      <c r="B3544" s="5">
        <f>_xlfn.XLOOKUP(A3544,bunker_daily_raw!$A$2:$A$3819,bunker_daily_raw!$B$2:$B$3819)</f>
        <v>665.5</v>
      </c>
      <c r="C3544" s="6">
        <v>116.02</v>
      </c>
    </row>
    <row r="3545" spans="1:3" x14ac:dyDescent="0.25">
      <c r="A3545" s="4">
        <v>40758</v>
      </c>
      <c r="B3545" s="5">
        <f>_xlfn.XLOOKUP(A3545,bunker_daily_raw!$A$2:$A$3819,bunker_daily_raw!$B$2:$B$3819)</f>
        <v>668</v>
      </c>
      <c r="C3545" s="6">
        <v>113.74</v>
      </c>
    </row>
    <row r="3546" spans="1:3" x14ac:dyDescent="0.25">
      <c r="A3546" s="4">
        <v>40759</v>
      </c>
      <c r="B3546" s="5">
        <f>_xlfn.XLOOKUP(A3546,bunker_daily_raw!$A$2:$A$3819,bunker_daily_raw!$B$2:$B$3819)</f>
        <v>666.5</v>
      </c>
      <c r="C3546" s="6">
        <v>110.22</v>
      </c>
    </row>
    <row r="3547" spans="1:3" x14ac:dyDescent="0.25">
      <c r="A3547" s="4">
        <v>40760</v>
      </c>
      <c r="B3547" s="5">
        <f>_xlfn.XLOOKUP(A3547,bunker_daily_raw!$A$2:$A$3819,bunker_daily_raw!$B$2:$B$3819)</f>
        <v>655.5</v>
      </c>
      <c r="C3547" s="6">
        <v>106.92</v>
      </c>
    </row>
    <row r="3548" spans="1:3" x14ac:dyDescent="0.25">
      <c r="A3548" s="4">
        <v>40763</v>
      </c>
      <c r="B3548" s="5">
        <f>_xlfn.XLOOKUP(A3548,bunker_daily_raw!$A$2:$A$3819,bunker_daily_raw!$B$2:$B$3819)</f>
        <v>652</v>
      </c>
      <c r="C3548" s="6">
        <v>103.06</v>
      </c>
    </row>
    <row r="3549" spans="1:3" x14ac:dyDescent="0.25">
      <c r="A3549" s="4">
        <v>40764</v>
      </c>
      <c r="B3549" s="5">
        <f>_xlfn.XLOOKUP(A3549,bunker_daily_raw!$A$2:$A$3819,bunker_daily_raw!$B$2:$B$3819)</f>
        <v>650</v>
      </c>
      <c r="C3549" s="6">
        <v>103.63</v>
      </c>
    </row>
    <row r="3550" spans="1:3" x14ac:dyDescent="0.25">
      <c r="A3550" s="4">
        <v>40765</v>
      </c>
      <c r="B3550" s="5">
        <f>_xlfn.XLOOKUP(A3550,bunker_daily_raw!$A$2:$A$3819,bunker_daily_raw!$B$2:$B$3819)</f>
        <v>616.5</v>
      </c>
      <c r="C3550" s="6">
        <v>103.84</v>
      </c>
    </row>
    <row r="3551" spans="1:3" x14ac:dyDescent="0.25">
      <c r="A3551" s="4">
        <v>40766</v>
      </c>
      <c r="B3551" s="5">
        <f>_xlfn.XLOOKUP(A3551,bunker_daily_raw!$A$2:$A$3819,bunker_daily_raw!$B$2:$B$3819)</f>
        <v>616.5</v>
      </c>
      <c r="C3551" s="6">
        <v>107.82</v>
      </c>
    </row>
    <row r="3552" spans="1:3" x14ac:dyDescent="0.25">
      <c r="A3552" s="4">
        <v>40767</v>
      </c>
      <c r="B3552" s="5">
        <f>_xlfn.XLOOKUP(A3552,bunker_daily_raw!$A$2:$A$3819,bunker_daily_raw!$B$2:$B$3819)</f>
        <v>616.5</v>
      </c>
      <c r="C3552" s="6">
        <v>108.17</v>
      </c>
    </row>
    <row r="3553" spans="1:3" x14ac:dyDescent="0.25">
      <c r="A3553" s="4">
        <v>40770</v>
      </c>
      <c r="B3553" s="5">
        <f>_xlfn.XLOOKUP(A3553,bunker_daily_raw!$A$2:$A$3819,bunker_daily_raw!$B$2:$B$3819)</f>
        <v>610.5</v>
      </c>
      <c r="C3553" s="6">
        <v>108.89</v>
      </c>
    </row>
    <row r="3554" spans="1:3" x14ac:dyDescent="0.25">
      <c r="A3554" s="4">
        <v>40771</v>
      </c>
      <c r="B3554" s="5">
        <f>_xlfn.XLOOKUP(A3554,bunker_daily_raw!$A$2:$A$3819,bunker_daily_raw!$B$2:$B$3819)</f>
        <v>613.5</v>
      </c>
      <c r="C3554" s="6">
        <v>109.69</v>
      </c>
    </row>
    <row r="3555" spans="1:3" x14ac:dyDescent="0.25">
      <c r="A3555" s="4">
        <v>40772</v>
      </c>
      <c r="B3555" s="5">
        <f>_xlfn.XLOOKUP(A3555,bunker_daily_raw!$A$2:$A$3819,bunker_daily_raw!$B$2:$B$3819)</f>
        <v>617.5</v>
      </c>
      <c r="C3555" s="6">
        <v>111.37</v>
      </c>
    </row>
    <row r="3556" spans="1:3" x14ac:dyDescent="0.25">
      <c r="A3556" s="4">
        <v>40773</v>
      </c>
      <c r="B3556" s="5">
        <f>_xlfn.XLOOKUP(A3556,bunker_daily_raw!$A$2:$A$3819,bunker_daily_raw!$B$2:$B$3819)</f>
        <v>626</v>
      </c>
      <c r="C3556" s="6">
        <v>108.36</v>
      </c>
    </row>
    <row r="3557" spans="1:3" x14ac:dyDescent="0.25">
      <c r="A3557" s="4">
        <v>40774</v>
      </c>
      <c r="B3557" s="5">
        <f>_xlfn.XLOOKUP(A3557,bunker_daily_raw!$A$2:$A$3819,bunker_daily_raw!$B$2:$B$3819)</f>
        <v>631</v>
      </c>
      <c r="C3557" s="6">
        <v>109.37</v>
      </c>
    </row>
    <row r="3558" spans="1:3" x14ac:dyDescent="0.25">
      <c r="A3558" s="4">
        <v>40777</v>
      </c>
      <c r="B3558" s="5">
        <f>_xlfn.XLOOKUP(A3558,bunker_daily_raw!$A$2:$A$3819,bunker_daily_raw!$B$2:$B$3819)</f>
        <v>616.5</v>
      </c>
      <c r="C3558" s="6">
        <v>108.83</v>
      </c>
    </row>
    <row r="3559" spans="1:3" x14ac:dyDescent="0.25">
      <c r="A3559" s="4">
        <v>40778</v>
      </c>
      <c r="B3559" s="5">
        <f>_xlfn.XLOOKUP(A3559,bunker_daily_raw!$A$2:$A$3819,bunker_daily_raw!$B$2:$B$3819)</f>
        <v>617.5</v>
      </c>
      <c r="C3559" s="6">
        <v>110.35</v>
      </c>
    </row>
    <row r="3560" spans="1:3" x14ac:dyDescent="0.25">
      <c r="A3560" s="4">
        <v>40779</v>
      </c>
      <c r="B3560" s="5">
        <f>_xlfn.XLOOKUP(A3560,bunker_daily_raw!$A$2:$A$3819,bunker_daily_raw!$B$2:$B$3819)</f>
        <v>622.5</v>
      </c>
      <c r="C3560" s="6">
        <v>111.91</v>
      </c>
    </row>
    <row r="3561" spans="1:3" x14ac:dyDescent="0.25">
      <c r="A3561" s="4">
        <v>40780</v>
      </c>
      <c r="B3561" s="5">
        <f>_xlfn.XLOOKUP(A3561,bunker_daily_raw!$A$2:$A$3819,bunker_daily_raw!$B$2:$B$3819)</f>
        <v>626.5</v>
      </c>
      <c r="C3561" s="6">
        <v>111.91</v>
      </c>
    </row>
    <row r="3562" spans="1:3" x14ac:dyDescent="0.25">
      <c r="A3562" s="4">
        <v>40781</v>
      </c>
      <c r="B3562" s="5">
        <f>_xlfn.XLOOKUP(A3562,bunker_daily_raw!$A$2:$A$3819,bunker_daily_raw!$B$2:$B$3819)</f>
        <v>636</v>
      </c>
      <c r="C3562" s="6">
        <v>112.29</v>
      </c>
    </row>
    <row r="3563" spans="1:3" x14ac:dyDescent="0.25">
      <c r="A3563" s="4">
        <v>40784</v>
      </c>
      <c r="B3563" s="5" t="e">
        <f>_xlfn.XLOOKUP(A3563,bunker_daily_raw!$A$2:$A$3819,bunker_daily_raw!$B$2:$B$3819)</f>
        <v>#N/A</v>
      </c>
      <c r="C3563" s="5"/>
    </row>
    <row r="3564" spans="1:3" x14ac:dyDescent="0.25">
      <c r="A3564" s="4">
        <v>40785</v>
      </c>
      <c r="B3564" s="5">
        <f>_xlfn.XLOOKUP(A3564,bunker_daily_raw!$A$2:$A$3819,bunker_daily_raw!$B$2:$B$3819)</f>
        <v>642</v>
      </c>
      <c r="C3564" s="6">
        <v>115.59</v>
      </c>
    </row>
    <row r="3565" spans="1:3" x14ac:dyDescent="0.25">
      <c r="A3565" s="4">
        <v>40786</v>
      </c>
      <c r="B3565" s="5">
        <f>_xlfn.XLOOKUP(A3565,bunker_daily_raw!$A$2:$A$3819,bunker_daily_raw!$B$2:$B$3819)</f>
        <v>643.5</v>
      </c>
      <c r="C3565" s="6">
        <v>116.48</v>
      </c>
    </row>
    <row r="3566" spans="1:3" x14ac:dyDescent="0.25">
      <c r="A3566" s="4">
        <v>40787</v>
      </c>
      <c r="B3566" s="5">
        <f>_xlfn.XLOOKUP(A3566,bunker_daily_raw!$A$2:$A$3819,bunker_daily_raw!$B$2:$B$3819)</f>
        <v>648.5</v>
      </c>
      <c r="C3566" s="6">
        <v>116.43</v>
      </c>
    </row>
    <row r="3567" spans="1:3" x14ac:dyDescent="0.25">
      <c r="A3567" s="4">
        <v>40788</v>
      </c>
      <c r="B3567" s="5">
        <f>_xlfn.XLOOKUP(A3567,bunker_daily_raw!$A$2:$A$3819,bunker_daily_raw!$B$2:$B$3819)</f>
        <v>650.5</v>
      </c>
      <c r="C3567" s="6">
        <v>115.92</v>
      </c>
    </row>
    <row r="3568" spans="1:3" x14ac:dyDescent="0.25">
      <c r="A3568" s="4">
        <v>40791</v>
      </c>
      <c r="B3568" s="5">
        <f>_xlfn.XLOOKUP(A3568,bunker_daily_raw!$A$2:$A$3819,bunker_daily_raw!$B$2:$B$3819)</f>
        <v>649</v>
      </c>
      <c r="C3568" s="5"/>
    </row>
    <row r="3569" spans="1:3" x14ac:dyDescent="0.25">
      <c r="A3569" s="4">
        <v>40792</v>
      </c>
      <c r="B3569" s="5">
        <f>_xlfn.XLOOKUP(A3569,bunker_daily_raw!$A$2:$A$3819,bunker_daily_raw!$B$2:$B$3819)</f>
        <v>647</v>
      </c>
      <c r="C3569" s="6">
        <v>113.29</v>
      </c>
    </row>
    <row r="3570" spans="1:3" x14ac:dyDescent="0.25">
      <c r="A3570" s="4">
        <v>40793</v>
      </c>
      <c r="B3570" s="5">
        <f>_xlfn.XLOOKUP(A3570,bunker_daily_raw!$A$2:$A$3819,bunker_daily_raw!$B$2:$B$3819)</f>
        <v>632.5</v>
      </c>
      <c r="C3570" s="6">
        <v>117.5</v>
      </c>
    </row>
    <row r="3571" spans="1:3" x14ac:dyDescent="0.25">
      <c r="A3571" s="4">
        <v>40794</v>
      </c>
      <c r="B3571" s="5">
        <f>_xlfn.XLOOKUP(A3571,bunker_daily_raw!$A$2:$A$3819,bunker_daily_raw!$B$2:$B$3819)</f>
        <v>643</v>
      </c>
      <c r="C3571" s="6">
        <v>117.99</v>
      </c>
    </row>
    <row r="3572" spans="1:3" x14ac:dyDescent="0.25">
      <c r="A3572" s="4">
        <v>40795</v>
      </c>
      <c r="B3572" s="5">
        <f>_xlfn.XLOOKUP(A3572,bunker_daily_raw!$A$2:$A$3819,bunker_daily_raw!$B$2:$B$3819)</f>
        <v>659</v>
      </c>
      <c r="C3572" s="6">
        <v>115.1</v>
      </c>
    </row>
    <row r="3573" spans="1:3" x14ac:dyDescent="0.25">
      <c r="A3573" s="4">
        <v>40798</v>
      </c>
      <c r="B3573" s="5">
        <f>_xlfn.XLOOKUP(A3573,bunker_daily_raw!$A$2:$A$3819,bunker_daily_raw!$B$2:$B$3819)</f>
        <v>657.5</v>
      </c>
      <c r="C3573" s="6">
        <v>114.75</v>
      </c>
    </row>
    <row r="3574" spans="1:3" x14ac:dyDescent="0.25">
      <c r="A3574" s="4">
        <v>40799</v>
      </c>
      <c r="B3574" s="5">
        <f>_xlfn.XLOOKUP(A3574,bunker_daily_raw!$A$2:$A$3819,bunker_daily_raw!$B$2:$B$3819)</f>
        <v>649.5</v>
      </c>
      <c r="C3574" s="6">
        <v>114.08</v>
      </c>
    </row>
    <row r="3575" spans="1:3" x14ac:dyDescent="0.25">
      <c r="A3575" s="4">
        <v>40800</v>
      </c>
      <c r="B3575" s="5">
        <f>_xlfn.XLOOKUP(A3575,bunker_daily_raw!$A$2:$A$3819,bunker_daily_raw!$B$2:$B$3819)</f>
        <v>630</v>
      </c>
      <c r="C3575" s="6">
        <v>113.1</v>
      </c>
    </row>
    <row r="3576" spans="1:3" x14ac:dyDescent="0.25">
      <c r="A3576" s="4">
        <v>40801</v>
      </c>
      <c r="B3576" s="5">
        <f>_xlfn.XLOOKUP(A3576,bunker_daily_raw!$A$2:$A$3819,bunker_daily_raw!$B$2:$B$3819)</f>
        <v>635</v>
      </c>
      <c r="C3576" s="6">
        <v>116.71</v>
      </c>
    </row>
    <row r="3577" spans="1:3" x14ac:dyDescent="0.25">
      <c r="A3577" s="4">
        <v>40802</v>
      </c>
      <c r="B3577" s="5">
        <f>_xlfn.XLOOKUP(A3577,bunker_daily_raw!$A$2:$A$3819,bunker_daily_raw!$B$2:$B$3819)</f>
        <v>639.5</v>
      </c>
      <c r="C3577" s="6">
        <v>116.26</v>
      </c>
    </row>
    <row r="3578" spans="1:3" x14ac:dyDescent="0.25">
      <c r="A3578" s="4">
        <v>40805</v>
      </c>
      <c r="B3578" s="5">
        <f>_xlfn.XLOOKUP(A3578,bunker_daily_raw!$A$2:$A$3819,bunker_daily_raw!$B$2:$B$3819)</f>
        <v>647.5</v>
      </c>
      <c r="C3578" s="6">
        <v>112.89</v>
      </c>
    </row>
    <row r="3579" spans="1:3" x14ac:dyDescent="0.25">
      <c r="A3579" s="4">
        <v>40806</v>
      </c>
      <c r="B3579" s="5">
        <f>_xlfn.XLOOKUP(A3579,bunker_daily_raw!$A$2:$A$3819,bunker_daily_raw!$B$2:$B$3819)</f>
        <v>644.5</v>
      </c>
      <c r="C3579" s="6">
        <v>114.39</v>
      </c>
    </row>
    <row r="3580" spans="1:3" x14ac:dyDescent="0.25">
      <c r="A3580" s="4">
        <v>40807</v>
      </c>
      <c r="B3580" s="5">
        <f>_xlfn.XLOOKUP(A3580,bunker_daily_raw!$A$2:$A$3819,bunker_daily_raw!$B$2:$B$3819)</f>
        <v>640.5</v>
      </c>
      <c r="C3580" s="6">
        <v>114.26</v>
      </c>
    </row>
    <row r="3581" spans="1:3" x14ac:dyDescent="0.25">
      <c r="A3581" s="4">
        <v>40808</v>
      </c>
      <c r="B3581" s="5">
        <f>_xlfn.XLOOKUP(A3581,bunker_daily_raw!$A$2:$A$3819,bunker_daily_raw!$B$2:$B$3819)</f>
        <v>644.5</v>
      </c>
      <c r="C3581" s="6">
        <v>109.21</v>
      </c>
    </row>
    <row r="3582" spans="1:3" x14ac:dyDescent="0.25">
      <c r="A3582" s="4">
        <v>40809</v>
      </c>
      <c r="B3582" s="5">
        <f>_xlfn.XLOOKUP(A3582,bunker_daily_raw!$A$2:$A$3819,bunker_daily_raw!$B$2:$B$3819)</f>
        <v>630</v>
      </c>
      <c r="C3582" s="6">
        <v>109.17</v>
      </c>
    </row>
    <row r="3583" spans="1:3" x14ac:dyDescent="0.25">
      <c r="A3583" s="4">
        <v>40812</v>
      </c>
      <c r="B3583" s="5">
        <f>_xlfn.XLOOKUP(A3583,bunker_daily_raw!$A$2:$A$3819,bunker_daily_raw!$B$2:$B$3819)</f>
        <v>619</v>
      </c>
      <c r="C3583" s="6">
        <v>107.9</v>
      </c>
    </row>
    <row r="3584" spans="1:3" x14ac:dyDescent="0.25">
      <c r="A3584" s="4">
        <v>40813</v>
      </c>
      <c r="B3584" s="5">
        <f>_xlfn.XLOOKUP(A3584,bunker_daily_raw!$A$2:$A$3819,bunker_daily_raw!$B$2:$B$3819)</f>
        <v>613</v>
      </c>
      <c r="C3584" s="6">
        <v>109.54</v>
      </c>
    </row>
    <row r="3585" spans="1:3" x14ac:dyDescent="0.25">
      <c r="A3585" s="4">
        <v>40814</v>
      </c>
      <c r="B3585" s="5">
        <f>_xlfn.XLOOKUP(A3585,bunker_daily_raw!$A$2:$A$3819,bunker_daily_raw!$B$2:$B$3819)</f>
        <v>621</v>
      </c>
      <c r="C3585" s="6">
        <v>108.52</v>
      </c>
    </row>
    <row r="3586" spans="1:3" x14ac:dyDescent="0.25">
      <c r="A3586" s="4">
        <v>40815</v>
      </c>
      <c r="B3586" s="5">
        <f>_xlfn.XLOOKUP(A3586,bunker_daily_raw!$A$2:$A$3819,bunker_daily_raw!$B$2:$B$3819)</f>
        <v>623</v>
      </c>
      <c r="C3586" s="6">
        <v>107.08</v>
      </c>
    </row>
    <row r="3587" spans="1:3" x14ac:dyDescent="0.25">
      <c r="A3587" s="4">
        <v>40816</v>
      </c>
      <c r="B3587" s="5">
        <f>_xlfn.XLOOKUP(A3587,bunker_daily_raw!$A$2:$A$3819,bunker_daily_raw!$B$2:$B$3819)</f>
        <v>622</v>
      </c>
      <c r="C3587" s="6">
        <v>105.42</v>
      </c>
    </row>
    <row r="3588" spans="1:3" x14ac:dyDescent="0.25">
      <c r="A3588" s="4">
        <v>40819</v>
      </c>
      <c r="B3588" s="5">
        <f>_xlfn.XLOOKUP(A3588,bunker_daily_raw!$A$2:$A$3819,bunker_daily_raw!$B$2:$B$3819)</f>
        <v>620</v>
      </c>
      <c r="C3588" s="6">
        <v>103.61</v>
      </c>
    </row>
    <row r="3589" spans="1:3" x14ac:dyDescent="0.25">
      <c r="A3589" s="4">
        <v>40820</v>
      </c>
      <c r="B3589" s="5">
        <f>_xlfn.XLOOKUP(A3589,bunker_daily_raw!$A$2:$A$3819,bunker_daily_raw!$B$2:$B$3819)</f>
        <v>603</v>
      </c>
      <c r="C3589" s="6">
        <v>101.84</v>
      </c>
    </row>
    <row r="3590" spans="1:3" x14ac:dyDescent="0.25">
      <c r="A3590" s="4">
        <v>40821</v>
      </c>
      <c r="B3590" s="5">
        <f>_xlfn.XLOOKUP(A3590,bunker_daily_raw!$A$2:$A$3819,bunker_daily_raw!$B$2:$B$3819)</f>
        <v>600</v>
      </c>
      <c r="C3590" s="6">
        <v>103.77</v>
      </c>
    </row>
    <row r="3591" spans="1:3" x14ac:dyDescent="0.25">
      <c r="A3591" s="4">
        <v>40822</v>
      </c>
      <c r="B3591" s="5">
        <f>_xlfn.XLOOKUP(A3591,bunker_daily_raw!$A$2:$A$3819,bunker_daily_raw!$B$2:$B$3819)</f>
        <v>607.5</v>
      </c>
      <c r="C3591" s="6">
        <v>104.38</v>
      </c>
    </row>
    <row r="3592" spans="1:3" x14ac:dyDescent="0.25">
      <c r="A3592" s="4">
        <v>40823</v>
      </c>
      <c r="B3592" s="5">
        <f>_xlfn.XLOOKUP(A3592,bunker_daily_raw!$A$2:$A$3819,bunker_daily_raw!$B$2:$B$3819)</f>
        <v>611</v>
      </c>
      <c r="C3592" s="6">
        <v>106.56</v>
      </c>
    </row>
    <row r="3593" spans="1:3" x14ac:dyDescent="0.25">
      <c r="A3593" s="4">
        <v>40826</v>
      </c>
      <c r="B3593" s="5">
        <f>_xlfn.XLOOKUP(A3593,bunker_daily_raw!$A$2:$A$3819,bunker_daily_raw!$B$2:$B$3819)</f>
        <v>613</v>
      </c>
      <c r="C3593" s="6">
        <v>109.49</v>
      </c>
    </row>
    <row r="3594" spans="1:3" x14ac:dyDescent="0.25">
      <c r="A3594" s="4">
        <v>40827</v>
      </c>
      <c r="B3594" s="5">
        <f>_xlfn.XLOOKUP(A3594,bunker_daily_raw!$A$2:$A$3819,bunker_daily_raw!$B$2:$B$3819)</f>
        <v>611.5</v>
      </c>
      <c r="C3594" s="6">
        <v>109.22</v>
      </c>
    </row>
    <row r="3595" spans="1:3" x14ac:dyDescent="0.25">
      <c r="A3595" s="4">
        <v>40828</v>
      </c>
      <c r="B3595" s="5">
        <f>_xlfn.XLOOKUP(A3595,bunker_daily_raw!$A$2:$A$3819,bunker_daily_raw!$B$2:$B$3819)</f>
        <v>614</v>
      </c>
      <c r="C3595" s="6">
        <v>112.44</v>
      </c>
    </row>
    <row r="3596" spans="1:3" x14ac:dyDescent="0.25">
      <c r="A3596" s="4">
        <v>40829</v>
      </c>
      <c r="B3596" s="5">
        <f>_xlfn.XLOOKUP(A3596,bunker_daily_raw!$A$2:$A$3819,bunker_daily_raw!$B$2:$B$3819)</f>
        <v>620</v>
      </c>
      <c r="C3596" s="6">
        <v>112.45</v>
      </c>
    </row>
    <row r="3597" spans="1:3" x14ac:dyDescent="0.25">
      <c r="A3597" s="4">
        <v>40830</v>
      </c>
      <c r="B3597" s="5">
        <f>_xlfn.XLOOKUP(A3597,bunker_daily_raw!$A$2:$A$3819,bunker_daily_raw!$B$2:$B$3819)</f>
        <v>643</v>
      </c>
      <c r="C3597" s="6">
        <v>114.33</v>
      </c>
    </row>
    <row r="3598" spans="1:3" x14ac:dyDescent="0.25">
      <c r="A3598" s="4">
        <v>40833</v>
      </c>
      <c r="B3598" s="5">
        <f>_xlfn.XLOOKUP(A3598,bunker_daily_raw!$A$2:$A$3819,bunker_daily_raw!$B$2:$B$3819)</f>
        <v>645.5</v>
      </c>
      <c r="C3598" s="6">
        <v>112.92</v>
      </c>
    </row>
    <row r="3599" spans="1:3" x14ac:dyDescent="0.25">
      <c r="A3599" s="4">
        <v>40834</v>
      </c>
      <c r="B3599" s="5">
        <f>_xlfn.XLOOKUP(A3599,bunker_daily_raw!$A$2:$A$3819,bunker_daily_raw!$B$2:$B$3819)</f>
        <v>646.5</v>
      </c>
      <c r="C3599" s="6">
        <v>112.08</v>
      </c>
    </row>
    <row r="3600" spans="1:3" x14ac:dyDescent="0.25">
      <c r="A3600" s="4">
        <v>40835</v>
      </c>
      <c r="B3600" s="5">
        <f>_xlfn.XLOOKUP(A3600,bunker_daily_raw!$A$2:$A$3819,bunker_daily_raw!$B$2:$B$3819)</f>
        <v>646.5</v>
      </c>
      <c r="C3600" s="6">
        <v>111.76</v>
      </c>
    </row>
    <row r="3601" spans="1:3" x14ac:dyDescent="0.25">
      <c r="A3601" s="4">
        <v>40836</v>
      </c>
      <c r="B3601" s="5">
        <f>_xlfn.XLOOKUP(A3601,bunker_daily_raw!$A$2:$A$3819,bunker_daily_raw!$B$2:$B$3819)</f>
        <v>646.5</v>
      </c>
      <c r="C3601" s="6">
        <v>109</v>
      </c>
    </row>
    <row r="3602" spans="1:3" x14ac:dyDescent="0.25">
      <c r="A3602" s="4">
        <v>40837</v>
      </c>
      <c r="B3602" s="5">
        <f>_xlfn.XLOOKUP(A3602,bunker_daily_raw!$A$2:$A$3819,bunker_daily_raw!$B$2:$B$3819)</f>
        <v>644.5</v>
      </c>
      <c r="C3602" s="6">
        <v>111.6</v>
      </c>
    </row>
    <row r="3603" spans="1:3" x14ac:dyDescent="0.25">
      <c r="A3603" s="4">
        <v>40840</v>
      </c>
      <c r="B3603" s="5">
        <f>_xlfn.XLOOKUP(A3603,bunker_daily_raw!$A$2:$A$3819,bunker_daily_raw!$B$2:$B$3819)</f>
        <v>644.5</v>
      </c>
      <c r="C3603" s="6">
        <v>111.67</v>
      </c>
    </row>
    <row r="3604" spans="1:3" x14ac:dyDescent="0.25">
      <c r="A3604" s="4">
        <v>40841</v>
      </c>
      <c r="B3604" s="5">
        <f>_xlfn.XLOOKUP(A3604,bunker_daily_raw!$A$2:$A$3819,bunker_daily_raw!$B$2:$B$3819)</f>
        <v>647</v>
      </c>
      <c r="C3604" s="6">
        <v>112.11</v>
      </c>
    </row>
    <row r="3605" spans="1:3" x14ac:dyDescent="0.25">
      <c r="A3605" s="4">
        <v>40842</v>
      </c>
      <c r="B3605" s="5">
        <f>_xlfn.XLOOKUP(A3605,bunker_daily_raw!$A$2:$A$3819,bunker_daily_raw!$B$2:$B$3819)</f>
        <v>646.5</v>
      </c>
      <c r="C3605" s="6">
        <v>110.43</v>
      </c>
    </row>
    <row r="3606" spans="1:3" x14ac:dyDescent="0.25">
      <c r="A3606" s="4">
        <v>40843</v>
      </c>
      <c r="B3606" s="5">
        <f>_xlfn.XLOOKUP(A3606,bunker_daily_raw!$A$2:$A$3819,bunker_daily_raw!$B$2:$B$3819)</f>
        <v>646.5</v>
      </c>
      <c r="C3606" s="6">
        <v>112.45</v>
      </c>
    </row>
    <row r="3607" spans="1:3" x14ac:dyDescent="0.25">
      <c r="A3607" s="4">
        <v>40844</v>
      </c>
      <c r="B3607" s="5">
        <f>_xlfn.XLOOKUP(A3607,bunker_daily_raw!$A$2:$A$3819,bunker_daily_raw!$B$2:$B$3819)</f>
        <v>646.5</v>
      </c>
      <c r="C3607" s="6">
        <v>110.01</v>
      </c>
    </row>
    <row r="3608" spans="1:3" x14ac:dyDescent="0.25">
      <c r="A3608" s="4">
        <v>40847</v>
      </c>
      <c r="B3608" s="5">
        <f>_xlfn.XLOOKUP(A3608,bunker_daily_raw!$A$2:$A$3819,bunker_daily_raw!$B$2:$B$3819)</f>
        <v>646.5</v>
      </c>
      <c r="C3608" s="6">
        <v>108.43</v>
      </c>
    </row>
    <row r="3609" spans="1:3" x14ac:dyDescent="0.25">
      <c r="A3609" s="4">
        <v>40848</v>
      </c>
      <c r="B3609" s="5">
        <f>_xlfn.XLOOKUP(A3609,bunker_daily_raw!$A$2:$A$3819,bunker_daily_raw!$B$2:$B$3819)</f>
        <v>645.5</v>
      </c>
      <c r="C3609" s="6">
        <v>106.97</v>
      </c>
    </row>
    <row r="3610" spans="1:3" x14ac:dyDescent="0.25">
      <c r="A3610" s="4">
        <v>40849</v>
      </c>
      <c r="B3610" s="5">
        <f>_xlfn.XLOOKUP(A3610,bunker_daily_raw!$A$2:$A$3819,bunker_daily_raw!$B$2:$B$3819)</f>
        <v>639</v>
      </c>
      <c r="C3610" s="6">
        <v>110.82</v>
      </c>
    </row>
    <row r="3611" spans="1:3" x14ac:dyDescent="0.25">
      <c r="A3611" s="4">
        <v>40850</v>
      </c>
      <c r="B3611" s="5">
        <f>_xlfn.XLOOKUP(A3611,bunker_daily_raw!$A$2:$A$3819,bunker_daily_raw!$B$2:$B$3819)</f>
        <v>649</v>
      </c>
      <c r="C3611" s="6">
        <v>110.76</v>
      </c>
    </row>
    <row r="3612" spans="1:3" x14ac:dyDescent="0.25">
      <c r="A3612" s="4">
        <v>40851</v>
      </c>
      <c r="B3612" s="5">
        <f>_xlfn.XLOOKUP(A3612,bunker_daily_raw!$A$2:$A$3819,bunker_daily_raw!$B$2:$B$3819)</f>
        <v>639.5</v>
      </c>
      <c r="C3612" s="6">
        <v>112.22</v>
      </c>
    </row>
    <row r="3613" spans="1:3" x14ac:dyDescent="0.25">
      <c r="A3613" s="4">
        <v>40854</v>
      </c>
      <c r="B3613" s="5">
        <f>_xlfn.XLOOKUP(A3613,bunker_daily_raw!$A$2:$A$3819,bunker_daily_raw!$B$2:$B$3819)</f>
        <v>645.5</v>
      </c>
      <c r="C3613" s="6">
        <v>114.75</v>
      </c>
    </row>
    <row r="3614" spans="1:3" x14ac:dyDescent="0.25">
      <c r="A3614" s="4">
        <v>40855</v>
      </c>
      <c r="B3614" s="5">
        <f>_xlfn.XLOOKUP(A3614,bunker_daily_raw!$A$2:$A$3819,bunker_daily_raw!$B$2:$B$3819)</f>
        <v>646</v>
      </c>
      <c r="C3614" s="6">
        <v>115.61</v>
      </c>
    </row>
    <row r="3615" spans="1:3" x14ac:dyDescent="0.25">
      <c r="A3615" s="4">
        <v>40856</v>
      </c>
      <c r="B3615" s="5">
        <f>_xlfn.XLOOKUP(A3615,bunker_daily_raw!$A$2:$A$3819,bunker_daily_raw!$B$2:$B$3819)</f>
        <v>646</v>
      </c>
      <c r="C3615" s="6">
        <v>115.29</v>
      </c>
    </row>
    <row r="3616" spans="1:3" x14ac:dyDescent="0.25">
      <c r="A3616" s="4">
        <v>40857</v>
      </c>
      <c r="B3616" s="5">
        <f>_xlfn.XLOOKUP(A3616,bunker_daily_raw!$A$2:$A$3819,bunker_daily_raw!$B$2:$B$3819)</f>
        <v>649</v>
      </c>
      <c r="C3616" s="6">
        <v>113.32</v>
      </c>
    </row>
    <row r="3617" spans="1:3" x14ac:dyDescent="0.25">
      <c r="A3617" s="4">
        <v>40858</v>
      </c>
      <c r="B3617" s="5">
        <f>_xlfn.XLOOKUP(A3617,bunker_daily_raw!$A$2:$A$3819,bunker_daily_raw!$B$2:$B$3819)</f>
        <v>665.5</v>
      </c>
      <c r="C3617" s="6">
        <v>114.43</v>
      </c>
    </row>
    <row r="3618" spans="1:3" x14ac:dyDescent="0.25">
      <c r="A3618" s="4">
        <v>40861</v>
      </c>
      <c r="B3618" s="5">
        <f>_xlfn.XLOOKUP(A3618,bunker_daily_raw!$A$2:$A$3819,bunker_daily_raw!$B$2:$B$3819)</f>
        <v>667.5</v>
      </c>
      <c r="C3618" s="6">
        <v>112.57</v>
      </c>
    </row>
    <row r="3619" spans="1:3" x14ac:dyDescent="0.25">
      <c r="A3619" s="4">
        <v>40862</v>
      </c>
      <c r="B3619" s="5">
        <f>_xlfn.XLOOKUP(A3619,bunker_daily_raw!$A$2:$A$3819,bunker_daily_raw!$B$2:$B$3819)</f>
        <v>667.5</v>
      </c>
      <c r="C3619" s="6">
        <v>111.9</v>
      </c>
    </row>
    <row r="3620" spans="1:3" x14ac:dyDescent="0.25">
      <c r="A3620" s="4">
        <v>40863</v>
      </c>
      <c r="B3620" s="5">
        <f>_xlfn.XLOOKUP(A3620,bunker_daily_raw!$A$2:$A$3819,bunker_daily_raw!$B$2:$B$3819)</f>
        <v>664.5</v>
      </c>
      <c r="C3620" s="6">
        <v>111.91</v>
      </c>
    </row>
    <row r="3621" spans="1:3" x14ac:dyDescent="0.25">
      <c r="A3621" s="4">
        <v>40864</v>
      </c>
      <c r="B3621" s="5">
        <f>_xlfn.XLOOKUP(A3621,bunker_daily_raw!$A$2:$A$3819,bunker_daily_raw!$B$2:$B$3819)</f>
        <v>665.5</v>
      </c>
      <c r="C3621" s="6">
        <v>109.25</v>
      </c>
    </row>
    <row r="3622" spans="1:3" x14ac:dyDescent="0.25">
      <c r="A3622" s="4">
        <v>40865</v>
      </c>
      <c r="B3622" s="5">
        <f>_xlfn.XLOOKUP(A3622,bunker_daily_raw!$A$2:$A$3819,bunker_daily_raw!$B$2:$B$3819)</f>
        <v>660.5</v>
      </c>
      <c r="C3622" s="6">
        <v>107.82</v>
      </c>
    </row>
    <row r="3623" spans="1:3" x14ac:dyDescent="0.25">
      <c r="A3623" s="4">
        <v>40868</v>
      </c>
      <c r="B3623" s="5">
        <f>_xlfn.XLOOKUP(A3623,bunker_daily_raw!$A$2:$A$3819,bunker_daily_raw!$B$2:$B$3819)</f>
        <v>656.5</v>
      </c>
      <c r="C3623" s="6">
        <v>105.98</v>
      </c>
    </row>
    <row r="3624" spans="1:3" x14ac:dyDescent="0.25">
      <c r="A3624" s="4">
        <v>40869</v>
      </c>
      <c r="B3624" s="5">
        <f>_xlfn.XLOOKUP(A3624,bunker_daily_raw!$A$2:$A$3819,bunker_daily_raw!$B$2:$B$3819)</f>
        <v>649.5</v>
      </c>
      <c r="C3624" s="6">
        <v>107.77</v>
      </c>
    </row>
    <row r="3625" spans="1:3" x14ac:dyDescent="0.25">
      <c r="A3625" s="4">
        <v>40870</v>
      </c>
      <c r="B3625" s="5">
        <f>_xlfn.XLOOKUP(A3625,bunker_daily_raw!$A$2:$A$3819,bunker_daily_raw!$B$2:$B$3819)</f>
        <v>648.5</v>
      </c>
      <c r="C3625" s="6">
        <v>106.83</v>
      </c>
    </row>
    <row r="3626" spans="1:3" x14ac:dyDescent="0.25">
      <c r="A3626" s="4">
        <v>40871</v>
      </c>
      <c r="B3626" s="5">
        <f>_xlfn.XLOOKUP(A3626,bunker_daily_raw!$A$2:$A$3819,bunker_daily_raw!$B$2:$B$3819)</f>
        <v>648.5</v>
      </c>
      <c r="C3626" s="5"/>
    </row>
    <row r="3627" spans="1:3" x14ac:dyDescent="0.25">
      <c r="A3627" s="4">
        <v>40872</v>
      </c>
      <c r="B3627" s="5">
        <f>_xlfn.XLOOKUP(A3627,bunker_daily_raw!$A$2:$A$3819,bunker_daily_raw!$B$2:$B$3819)</f>
        <v>623</v>
      </c>
      <c r="C3627" s="6">
        <v>106.08</v>
      </c>
    </row>
    <row r="3628" spans="1:3" x14ac:dyDescent="0.25">
      <c r="A3628" s="4">
        <v>40875</v>
      </c>
      <c r="B3628" s="5">
        <f>_xlfn.XLOOKUP(A3628,bunker_daily_raw!$A$2:$A$3819,bunker_daily_raw!$B$2:$B$3819)</f>
        <v>620.5</v>
      </c>
      <c r="C3628" s="6">
        <v>109.38</v>
      </c>
    </row>
    <row r="3629" spans="1:3" x14ac:dyDescent="0.25">
      <c r="A3629" s="4">
        <v>40876</v>
      </c>
      <c r="B3629" s="5">
        <f>_xlfn.XLOOKUP(A3629,bunker_daily_raw!$A$2:$A$3819,bunker_daily_raw!$B$2:$B$3819)</f>
        <v>624</v>
      </c>
      <c r="C3629" s="6">
        <v>111.25</v>
      </c>
    </row>
    <row r="3630" spans="1:3" x14ac:dyDescent="0.25">
      <c r="A3630" s="4">
        <v>40877</v>
      </c>
      <c r="B3630" s="5">
        <f>_xlfn.XLOOKUP(A3630,bunker_daily_raw!$A$2:$A$3819,bunker_daily_raw!$B$2:$B$3819)</f>
        <v>626.5</v>
      </c>
      <c r="C3630" s="6">
        <v>111.22</v>
      </c>
    </row>
    <row r="3631" spans="1:3" x14ac:dyDescent="0.25">
      <c r="A3631" s="4">
        <v>40878</v>
      </c>
      <c r="B3631" s="5">
        <f>_xlfn.XLOOKUP(A3631,bunker_daily_raw!$A$2:$A$3819,bunker_daily_raw!$B$2:$B$3819)</f>
        <v>626.5</v>
      </c>
      <c r="C3631" s="6">
        <v>108.83</v>
      </c>
    </row>
    <row r="3632" spans="1:3" x14ac:dyDescent="0.25">
      <c r="A3632" s="4">
        <v>40879</v>
      </c>
      <c r="B3632" s="5">
        <f>_xlfn.XLOOKUP(A3632,bunker_daily_raw!$A$2:$A$3819,bunker_daily_raw!$B$2:$B$3819)</f>
        <v>639.5</v>
      </c>
      <c r="C3632" s="6">
        <v>109.59</v>
      </c>
    </row>
    <row r="3633" spans="1:3" x14ac:dyDescent="0.25">
      <c r="A3633" s="4">
        <v>40882</v>
      </c>
      <c r="B3633" s="5">
        <f>_xlfn.XLOOKUP(A3633,bunker_daily_raw!$A$2:$A$3819,bunker_daily_raw!$B$2:$B$3819)</f>
        <v>638</v>
      </c>
      <c r="C3633" s="6">
        <v>110.18</v>
      </c>
    </row>
    <row r="3634" spans="1:3" x14ac:dyDescent="0.25">
      <c r="A3634" s="4">
        <v>40883</v>
      </c>
      <c r="B3634" s="5">
        <f>_xlfn.XLOOKUP(A3634,bunker_daily_raw!$A$2:$A$3819,bunker_daily_raw!$B$2:$B$3819)</f>
        <v>642</v>
      </c>
      <c r="C3634" s="6">
        <v>110.16</v>
      </c>
    </row>
    <row r="3635" spans="1:3" x14ac:dyDescent="0.25">
      <c r="A3635" s="4">
        <v>40884</v>
      </c>
      <c r="B3635" s="5">
        <f>_xlfn.XLOOKUP(A3635,bunker_daily_raw!$A$2:$A$3819,bunker_daily_raw!$B$2:$B$3819)</f>
        <v>639</v>
      </c>
      <c r="C3635" s="6">
        <v>110.07</v>
      </c>
    </row>
    <row r="3636" spans="1:3" x14ac:dyDescent="0.25">
      <c r="A3636" s="4">
        <v>40885</v>
      </c>
      <c r="B3636" s="5">
        <f>_xlfn.XLOOKUP(A3636,bunker_daily_raw!$A$2:$A$3819,bunker_daily_raw!$B$2:$B$3819)</f>
        <v>638.5</v>
      </c>
      <c r="C3636" s="6">
        <v>108.23</v>
      </c>
    </row>
    <row r="3637" spans="1:3" x14ac:dyDescent="0.25">
      <c r="A3637" s="4">
        <v>40886</v>
      </c>
      <c r="B3637" s="5">
        <f>_xlfn.XLOOKUP(A3637,bunker_daily_raw!$A$2:$A$3819,bunker_daily_raw!$B$2:$B$3819)</f>
        <v>638</v>
      </c>
      <c r="C3637" s="6">
        <v>107.91</v>
      </c>
    </row>
    <row r="3638" spans="1:3" x14ac:dyDescent="0.25">
      <c r="A3638" s="4">
        <v>40889</v>
      </c>
      <c r="B3638" s="5">
        <f>_xlfn.XLOOKUP(A3638,bunker_daily_raw!$A$2:$A$3819,bunker_daily_raw!$B$2:$B$3819)</f>
        <v>634</v>
      </c>
      <c r="C3638" s="6">
        <v>107.82</v>
      </c>
    </row>
    <row r="3639" spans="1:3" x14ac:dyDescent="0.25">
      <c r="A3639" s="4">
        <v>40890</v>
      </c>
      <c r="B3639" s="5">
        <f>_xlfn.XLOOKUP(A3639,bunker_daily_raw!$A$2:$A$3819,bunker_daily_raw!$B$2:$B$3819)</f>
        <v>633.5</v>
      </c>
      <c r="C3639" s="6">
        <v>109.25</v>
      </c>
    </row>
    <row r="3640" spans="1:3" x14ac:dyDescent="0.25">
      <c r="A3640" s="4">
        <v>40891</v>
      </c>
      <c r="B3640" s="5">
        <f>_xlfn.XLOOKUP(A3640,bunker_daily_raw!$A$2:$A$3819,bunker_daily_raw!$B$2:$B$3819)</f>
        <v>632.5</v>
      </c>
      <c r="C3640" s="6">
        <v>105.72</v>
      </c>
    </row>
    <row r="3641" spans="1:3" x14ac:dyDescent="0.25">
      <c r="A3641" s="4">
        <v>40892</v>
      </c>
      <c r="B3641" s="5">
        <f>_xlfn.XLOOKUP(A3641,bunker_daily_raw!$A$2:$A$3819,bunker_daily_raw!$B$2:$B$3819)</f>
        <v>634.5</v>
      </c>
      <c r="C3641" s="6">
        <v>104.52</v>
      </c>
    </row>
    <row r="3642" spans="1:3" x14ac:dyDescent="0.25">
      <c r="A3642" s="4">
        <v>40893</v>
      </c>
      <c r="B3642" s="5">
        <f>_xlfn.XLOOKUP(A3642,bunker_daily_raw!$A$2:$A$3819,bunker_daily_raw!$B$2:$B$3819)</f>
        <v>605.5</v>
      </c>
      <c r="C3642" s="6">
        <v>104</v>
      </c>
    </row>
    <row r="3643" spans="1:3" x14ac:dyDescent="0.25">
      <c r="A3643" s="4">
        <v>40896</v>
      </c>
      <c r="B3643" s="5">
        <f>_xlfn.XLOOKUP(A3643,bunker_daily_raw!$A$2:$A$3819,bunker_daily_raw!$B$2:$B$3819)</f>
        <v>606</v>
      </c>
      <c r="C3643" s="6">
        <v>104.55</v>
      </c>
    </row>
    <row r="3644" spans="1:3" x14ac:dyDescent="0.25">
      <c r="A3644" s="4">
        <v>40897</v>
      </c>
      <c r="B3644" s="5">
        <f>_xlfn.XLOOKUP(A3644,bunker_daily_raw!$A$2:$A$3819,bunker_daily_raw!$B$2:$B$3819)</f>
        <v>606</v>
      </c>
      <c r="C3644" s="6">
        <v>107.8</v>
      </c>
    </row>
    <row r="3645" spans="1:3" x14ac:dyDescent="0.25">
      <c r="A3645" s="4">
        <v>40898</v>
      </c>
      <c r="B3645" s="5">
        <f>_xlfn.XLOOKUP(A3645,bunker_daily_raw!$A$2:$A$3819,bunker_daily_raw!$B$2:$B$3819)</f>
        <v>614.5</v>
      </c>
      <c r="C3645" s="6">
        <v>108</v>
      </c>
    </row>
    <row r="3646" spans="1:3" x14ac:dyDescent="0.25">
      <c r="A3646" s="4">
        <v>40899</v>
      </c>
      <c r="B3646" s="5">
        <f>_xlfn.XLOOKUP(A3646,bunker_daily_raw!$A$2:$A$3819,bunker_daily_raw!$B$2:$B$3819)</f>
        <v>628.5</v>
      </c>
      <c r="C3646" s="6">
        <v>108.98</v>
      </c>
    </row>
    <row r="3647" spans="1:3" x14ac:dyDescent="0.25">
      <c r="A3647" s="4">
        <v>40900</v>
      </c>
      <c r="B3647" s="5">
        <f>_xlfn.XLOOKUP(A3647,bunker_daily_raw!$A$2:$A$3819,bunker_daily_raw!$B$2:$B$3819)</f>
        <v>629.5</v>
      </c>
      <c r="C3647" s="6">
        <v>109.28</v>
      </c>
    </row>
    <row r="3648" spans="1:3" x14ac:dyDescent="0.25">
      <c r="A3648" s="4">
        <v>40903</v>
      </c>
      <c r="B3648" s="5" t="e">
        <f>_xlfn.XLOOKUP(A3648,bunker_daily_raw!$A$2:$A$3819,bunker_daily_raw!$B$2:$B$3819)</f>
        <v>#N/A</v>
      </c>
      <c r="C3648" s="5"/>
    </row>
    <row r="3649" spans="1:3" x14ac:dyDescent="0.25">
      <c r="A3649" s="4">
        <v>40904</v>
      </c>
      <c r="B3649" s="5">
        <f>_xlfn.XLOOKUP(A3649,bunker_daily_raw!$A$2:$A$3819,bunker_daily_raw!$B$2:$B$3819)</f>
        <v>630</v>
      </c>
      <c r="C3649" s="5"/>
    </row>
    <row r="3650" spans="1:3" x14ac:dyDescent="0.25">
      <c r="A3650" s="4">
        <v>40905</v>
      </c>
      <c r="B3650" s="5">
        <f>_xlfn.XLOOKUP(A3650,bunker_daily_raw!$A$2:$A$3819,bunker_daily_raw!$B$2:$B$3819)</f>
        <v>630</v>
      </c>
      <c r="C3650" s="6">
        <v>107.54</v>
      </c>
    </row>
    <row r="3651" spans="1:3" x14ac:dyDescent="0.25">
      <c r="A3651" s="4">
        <v>40906</v>
      </c>
      <c r="B3651" s="5">
        <f>_xlfn.XLOOKUP(A3651,bunker_daily_raw!$A$2:$A$3819,bunker_daily_raw!$B$2:$B$3819)</f>
        <v>630.5</v>
      </c>
      <c r="C3651" s="6">
        <v>106.89</v>
      </c>
    </row>
    <row r="3652" spans="1:3" x14ac:dyDescent="0.25">
      <c r="A3652" s="4">
        <v>40907</v>
      </c>
      <c r="B3652" s="5">
        <f>_xlfn.XLOOKUP(A3652,bunker_daily_raw!$A$2:$A$3819,bunker_daily_raw!$B$2:$B$3819)</f>
        <v>628</v>
      </c>
      <c r="C3652" s="6">
        <v>108.09</v>
      </c>
    </row>
    <row r="3653" spans="1:3" x14ac:dyDescent="0.25">
      <c r="A3653" s="4">
        <v>40910</v>
      </c>
      <c r="B3653" s="5" t="e">
        <f>_xlfn.XLOOKUP(A3653,bunker_daily_raw!$A$2:$A$3819,bunker_daily_raw!$B$2:$B$3819)</f>
        <v>#N/A</v>
      </c>
      <c r="C3653" s="5"/>
    </row>
    <row r="3654" spans="1:3" x14ac:dyDescent="0.25">
      <c r="A3654" s="4">
        <v>40911</v>
      </c>
      <c r="B3654" s="5">
        <f>_xlfn.XLOOKUP(A3654,bunker_daily_raw!$A$2:$A$3819,bunker_daily_raw!$B$2:$B$3819)</f>
        <v>630.5</v>
      </c>
      <c r="C3654" s="6">
        <v>111.12</v>
      </c>
    </row>
    <row r="3655" spans="1:3" x14ac:dyDescent="0.25">
      <c r="A3655" s="4">
        <v>40912</v>
      </c>
      <c r="B3655" s="5">
        <f>_xlfn.XLOOKUP(A3655,bunker_daily_raw!$A$2:$A$3819,bunker_daily_raw!$B$2:$B$3819)</f>
        <v>634.5</v>
      </c>
      <c r="C3655" s="6">
        <v>113.37</v>
      </c>
    </row>
    <row r="3656" spans="1:3" x14ac:dyDescent="0.25">
      <c r="A3656" s="4">
        <v>40913</v>
      </c>
      <c r="B3656" s="5">
        <f>_xlfn.XLOOKUP(A3656,bunker_daily_raw!$A$2:$A$3819,bunker_daily_raw!$B$2:$B$3819)</f>
        <v>644</v>
      </c>
      <c r="C3656" s="6">
        <v>113.59</v>
      </c>
    </row>
    <row r="3657" spans="1:3" x14ac:dyDescent="0.25">
      <c r="A3657" s="4">
        <v>40914</v>
      </c>
      <c r="B3657" s="5">
        <f>_xlfn.XLOOKUP(A3657,bunker_daily_raw!$A$2:$A$3819,bunker_daily_raw!$B$2:$B$3819)</f>
        <v>673</v>
      </c>
      <c r="C3657" s="6">
        <v>111.96</v>
      </c>
    </row>
    <row r="3658" spans="1:3" x14ac:dyDescent="0.25">
      <c r="A3658" s="4">
        <v>40917</v>
      </c>
      <c r="B3658" s="5">
        <f>_xlfn.XLOOKUP(A3658,bunker_daily_raw!$A$2:$A$3819,bunker_daily_raw!$B$2:$B$3819)</f>
        <v>674.5</v>
      </c>
      <c r="C3658" s="6">
        <v>111.07</v>
      </c>
    </row>
    <row r="3659" spans="1:3" x14ac:dyDescent="0.25">
      <c r="A3659" s="4">
        <v>40918</v>
      </c>
      <c r="B3659" s="5">
        <f>_xlfn.XLOOKUP(A3659,bunker_daily_raw!$A$2:$A$3819,bunker_daily_raw!$B$2:$B$3819)</f>
        <v>672.5</v>
      </c>
      <c r="C3659" s="6">
        <v>113.3</v>
      </c>
    </row>
    <row r="3660" spans="1:3" x14ac:dyDescent="0.25">
      <c r="A3660" s="4">
        <v>40919</v>
      </c>
      <c r="B3660" s="5">
        <f>_xlfn.XLOOKUP(A3660,bunker_daily_raw!$A$2:$A$3819,bunker_daily_raw!$B$2:$B$3819)</f>
        <v>683</v>
      </c>
      <c r="C3660" s="6">
        <v>111.66</v>
      </c>
    </row>
    <row r="3661" spans="1:3" x14ac:dyDescent="0.25">
      <c r="A3661" s="4">
        <v>40920</v>
      </c>
      <c r="B3661" s="5">
        <f>_xlfn.XLOOKUP(A3661,bunker_daily_raw!$A$2:$A$3819,bunker_daily_raw!$B$2:$B$3819)</f>
        <v>689</v>
      </c>
      <c r="C3661" s="6">
        <v>112.97</v>
      </c>
    </row>
    <row r="3662" spans="1:3" x14ac:dyDescent="0.25">
      <c r="A3662" s="4">
        <v>40921</v>
      </c>
      <c r="B3662" s="5">
        <f>_xlfn.XLOOKUP(A3662,bunker_daily_raw!$A$2:$A$3819,bunker_daily_raw!$B$2:$B$3819)</f>
        <v>690.5</v>
      </c>
      <c r="C3662" s="6">
        <v>109.88</v>
      </c>
    </row>
    <row r="3663" spans="1:3" x14ac:dyDescent="0.25">
      <c r="A3663" s="4">
        <v>40924</v>
      </c>
      <c r="B3663" s="5">
        <f>_xlfn.XLOOKUP(A3663,bunker_daily_raw!$A$2:$A$3819,bunker_daily_raw!$B$2:$B$3819)</f>
        <v>688</v>
      </c>
      <c r="C3663" s="5"/>
    </row>
    <row r="3664" spans="1:3" x14ac:dyDescent="0.25">
      <c r="A3664" s="4">
        <v>40925</v>
      </c>
      <c r="B3664" s="5">
        <f>_xlfn.XLOOKUP(A3664,bunker_daily_raw!$A$2:$A$3819,bunker_daily_raw!$B$2:$B$3819)</f>
        <v>685</v>
      </c>
      <c r="C3664" s="6">
        <v>110.55</v>
      </c>
    </row>
    <row r="3665" spans="1:3" x14ac:dyDescent="0.25">
      <c r="A3665" s="4">
        <v>40926</v>
      </c>
      <c r="B3665" s="5">
        <f>_xlfn.XLOOKUP(A3665,bunker_daily_raw!$A$2:$A$3819,bunker_daily_raw!$B$2:$B$3819)</f>
        <v>687.5</v>
      </c>
      <c r="C3665" s="6">
        <v>109.81</v>
      </c>
    </row>
    <row r="3666" spans="1:3" x14ac:dyDescent="0.25">
      <c r="A3666" s="4">
        <v>40927</v>
      </c>
      <c r="B3666" s="5">
        <f>_xlfn.XLOOKUP(A3666,bunker_daily_raw!$A$2:$A$3819,bunker_daily_raw!$B$2:$B$3819)</f>
        <v>687.5</v>
      </c>
      <c r="C3666" s="6">
        <v>109.54</v>
      </c>
    </row>
    <row r="3667" spans="1:3" x14ac:dyDescent="0.25">
      <c r="A3667" s="4">
        <v>40928</v>
      </c>
      <c r="B3667" s="5">
        <f>_xlfn.XLOOKUP(A3667,bunker_daily_raw!$A$2:$A$3819,bunker_daily_raw!$B$2:$B$3819)</f>
        <v>680</v>
      </c>
      <c r="C3667" s="6">
        <v>108.5</v>
      </c>
    </row>
    <row r="3668" spans="1:3" x14ac:dyDescent="0.25">
      <c r="A3668" s="4">
        <v>40931</v>
      </c>
      <c r="B3668" s="5">
        <f>_xlfn.XLOOKUP(A3668,bunker_daily_raw!$A$2:$A$3819,bunker_daily_raw!$B$2:$B$3819)</f>
        <v>678</v>
      </c>
      <c r="C3668" s="6">
        <v>109.46</v>
      </c>
    </row>
    <row r="3669" spans="1:3" x14ac:dyDescent="0.25">
      <c r="A3669" s="4">
        <v>40932</v>
      </c>
      <c r="B3669" s="5">
        <f>_xlfn.XLOOKUP(A3669,bunker_daily_raw!$A$2:$A$3819,bunker_daily_raw!$B$2:$B$3819)</f>
        <v>676</v>
      </c>
      <c r="C3669" s="6">
        <v>108.38</v>
      </c>
    </row>
    <row r="3670" spans="1:3" x14ac:dyDescent="0.25">
      <c r="A3670" s="4">
        <v>40933</v>
      </c>
      <c r="B3670" s="5">
        <f>_xlfn.XLOOKUP(A3670,bunker_daily_raw!$A$2:$A$3819,bunker_daily_raw!$B$2:$B$3819)</f>
        <v>676.5</v>
      </c>
      <c r="C3670" s="6">
        <v>108.48</v>
      </c>
    </row>
    <row r="3671" spans="1:3" x14ac:dyDescent="0.25">
      <c r="A3671" s="4">
        <v>40934</v>
      </c>
      <c r="B3671" s="5">
        <f>_xlfn.XLOOKUP(A3671,bunker_daily_raw!$A$2:$A$3819,bunker_daily_raw!$B$2:$B$3819)</f>
        <v>678.5</v>
      </c>
      <c r="C3671" s="6">
        <v>109.08</v>
      </c>
    </row>
    <row r="3672" spans="1:3" x14ac:dyDescent="0.25">
      <c r="A3672" s="4">
        <v>40935</v>
      </c>
      <c r="B3672" s="5">
        <f>_xlfn.XLOOKUP(A3672,bunker_daily_raw!$A$2:$A$3819,bunker_daily_raw!$B$2:$B$3819)</f>
        <v>676.5</v>
      </c>
      <c r="C3672" s="6">
        <v>110.5</v>
      </c>
    </row>
    <row r="3673" spans="1:3" x14ac:dyDescent="0.25">
      <c r="A3673" s="4">
        <v>40938</v>
      </c>
      <c r="B3673" s="5">
        <f>_xlfn.XLOOKUP(A3673,bunker_daily_raw!$A$2:$A$3819,bunker_daily_raw!$B$2:$B$3819)</f>
        <v>677.5</v>
      </c>
      <c r="C3673" s="6">
        <v>110.24</v>
      </c>
    </row>
    <row r="3674" spans="1:3" x14ac:dyDescent="0.25">
      <c r="A3674" s="4">
        <v>40939</v>
      </c>
      <c r="B3674" s="5">
        <f>_xlfn.XLOOKUP(A3674,bunker_daily_raw!$A$2:$A$3819,bunker_daily_raw!$B$2:$B$3819)</f>
        <v>676.5</v>
      </c>
      <c r="C3674" s="6">
        <v>110.26</v>
      </c>
    </row>
    <row r="3675" spans="1:3" x14ac:dyDescent="0.25">
      <c r="A3675" s="4">
        <v>40940</v>
      </c>
      <c r="B3675" s="5">
        <f>_xlfn.XLOOKUP(A3675,bunker_daily_raw!$A$2:$A$3819,bunker_daily_raw!$B$2:$B$3819)</f>
        <v>676</v>
      </c>
      <c r="C3675" s="6">
        <v>111.96</v>
      </c>
    </row>
    <row r="3676" spans="1:3" x14ac:dyDescent="0.25">
      <c r="A3676" s="4">
        <v>40941</v>
      </c>
      <c r="B3676" s="5">
        <f>_xlfn.XLOOKUP(A3676,bunker_daily_raw!$A$2:$A$3819,bunker_daily_raw!$B$2:$B$3819)</f>
        <v>673.5</v>
      </c>
      <c r="C3676" s="6">
        <v>110.96</v>
      </c>
    </row>
    <row r="3677" spans="1:3" x14ac:dyDescent="0.25">
      <c r="A3677" s="4">
        <v>40942</v>
      </c>
      <c r="B3677" s="5">
        <f>_xlfn.XLOOKUP(A3677,bunker_daily_raw!$A$2:$A$3819,bunker_daily_raw!$B$2:$B$3819)</f>
        <v>677.5</v>
      </c>
      <c r="C3677" s="6">
        <v>112.56</v>
      </c>
    </row>
    <row r="3678" spans="1:3" x14ac:dyDescent="0.25">
      <c r="A3678" s="4">
        <v>40945</v>
      </c>
      <c r="B3678" s="5">
        <f>_xlfn.XLOOKUP(A3678,bunker_daily_raw!$A$2:$A$3819,bunker_daily_raw!$B$2:$B$3819)</f>
        <v>676.5</v>
      </c>
      <c r="C3678" s="6">
        <v>115.47</v>
      </c>
    </row>
    <row r="3679" spans="1:3" x14ac:dyDescent="0.25">
      <c r="A3679" s="4">
        <v>40946</v>
      </c>
      <c r="B3679" s="5">
        <f>_xlfn.XLOOKUP(A3679,bunker_daily_raw!$A$2:$A$3819,bunker_daily_raw!$B$2:$B$3819)</f>
        <v>680</v>
      </c>
      <c r="C3679" s="6">
        <v>116.86</v>
      </c>
    </row>
    <row r="3680" spans="1:3" x14ac:dyDescent="0.25">
      <c r="A3680" s="4">
        <v>40947</v>
      </c>
      <c r="B3680" s="5">
        <f>_xlfn.XLOOKUP(A3680,bunker_daily_raw!$A$2:$A$3819,bunker_daily_raw!$B$2:$B$3819)</f>
        <v>682.5</v>
      </c>
      <c r="C3680" s="6">
        <v>117.18</v>
      </c>
    </row>
    <row r="3681" spans="1:3" x14ac:dyDescent="0.25">
      <c r="A3681" s="4">
        <v>40948</v>
      </c>
      <c r="B3681" s="5">
        <f>_xlfn.XLOOKUP(A3681,bunker_daily_raw!$A$2:$A$3819,bunker_daily_raw!$B$2:$B$3819)</f>
        <v>682.5</v>
      </c>
      <c r="C3681" s="6">
        <v>118.4</v>
      </c>
    </row>
    <row r="3682" spans="1:3" x14ac:dyDescent="0.25">
      <c r="A3682" s="4">
        <v>40949</v>
      </c>
      <c r="B3682" s="5">
        <f>_xlfn.XLOOKUP(A3682,bunker_daily_raw!$A$2:$A$3819,bunker_daily_raw!$B$2:$B$3819)</f>
        <v>699</v>
      </c>
      <c r="C3682" s="6">
        <v>118.13</v>
      </c>
    </row>
    <row r="3683" spans="1:3" x14ac:dyDescent="0.25">
      <c r="A3683" s="4">
        <v>40952</v>
      </c>
      <c r="B3683" s="5">
        <f>_xlfn.XLOOKUP(A3683,bunker_daily_raw!$A$2:$A$3819,bunker_daily_raw!$B$2:$B$3819)</f>
        <v>700</v>
      </c>
      <c r="C3683" s="6">
        <v>118.73</v>
      </c>
    </row>
    <row r="3684" spans="1:3" x14ac:dyDescent="0.25">
      <c r="A3684" s="4">
        <v>40953</v>
      </c>
      <c r="B3684" s="5">
        <f>_xlfn.XLOOKUP(A3684,bunker_daily_raw!$A$2:$A$3819,bunker_daily_raw!$B$2:$B$3819)</f>
        <v>700</v>
      </c>
      <c r="C3684" s="6">
        <v>118.3</v>
      </c>
    </row>
    <row r="3685" spans="1:3" x14ac:dyDescent="0.25">
      <c r="A3685" s="4">
        <v>40954</v>
      </c>
      <c r="B3685" s="5">
        <f>_xlfn.XLOOKUP(A3685,bunker_daily_raw!$A$2:$A$3819,bunker_daily_raw!$B$2:$B$3819)</f>
        <v>697</v>
      </c>
      <c r="C3685" s="6">
        <v>120.25</v>
      </c>
    </row>
    <row r="3686" spans="1:3" x14ac:dyDescent="0.25">
      <c r="A3686" s="4">
        <v>40955</v>
      </c>
      <c r="B3686" s="5">
        <f>_xlfn.XLOOKUP(A3686,bunker_daily_raw!$A$2:$A$3819,bunker_daily_raw!$B$2:$B$3819)</f>
        <v>697</v>
      </c>
      <c r="C3686" s="6">
        <v>121</v>
      </c>
    </row>
    <row r="3687" spans="1:3" x14ac:dyDescent="0.25">
      <c r="A3687" s="4">
        <v>40956</v>
      </c>
      <c r="B3687" s="5">
        <f>_xlfn.XLOOKUP(A3687,bunker_daily_raw!$A$2:$A$3819,bunker_daily_raw!$B$2:$B$3819)</f>
        <v>696</v>
      </c>
      <c r="C3687" s="6">
        <v>120.69</v>
      </c>
    </row>
    <row r="3688" spans="1:3" x14ac:dyDescent="0.25">
      <c r="A3688" s="4">
        <v>40959</v>
      </c>
      <c r="B3688" s="5">
        <f>_xlfn.XLOOKUP(A3688,bunker_daily_raw!$A$2:$A$3819,bunker_daily_raw!$B$2:$B$3819)</f>
        <v>693.5</v>
      </c>
      <c r="C3688" s="5"/>
    </row>
    <row r="3689" spans="1:3" x14ac:dyDescent="0.25">
      <c r="A3689" s="4">
        <v>40960</v>
      </c>
      <c r="B3689" s="5">
        <f>_xlfn.XLOOKUP(A3689,bunker_daily_raw!$A$2:$A$3819,bunker_daily_raw!$B$2:$B$3819)</f>
        <v>695.5</v>
      </c>
      <c r="C3689" s="6">
        <v>120.85</v>
      </c>
    </row>
    <row r="3690" spans="1:3" x14ac:dyDescent="0.25">
      <c r="A3690" s="4">
        <v>40961</v>
      </c>
      <c r="B3690" s="5">
        <f>_xlfn.XLOOKUP(A3690,bunker_daily_raw!$A$2:$A$3819,bunker_daily_raw!$B$2:$B$3819)</f>
        <v>692</v>
      </c>
      <c r="C3690" s="6">
        <v>123.07</v>
      </c>
    </row>
    <row r="3691" spans="1:3" x14ac:dyDescent="0.25">
      <c r="A3691" s="4">
        <v>40962</v>
      </c>
      <c r="B3691" s="5">
        <f>_xlfn.XLOOKUP(A3691,bunker_daily_raw!$A$2:$A$3819,bunker_daily_raw!$B$2:$B$3819)</f>
        <v>697.5</v>
      </c>
      <c r="C3691" s="6">
        <v>124.53</v>
      </c>
    </row>
    <row r="3692" spans="1:3" x14ac:dyDescent="0.25">
      <c r="A3692" s="4">
        <v>40963</v>
      </c>
      <c r="B3692" s="5">
        <f>_xlfn.XLOOKUP(A3692,bunker_daily_raw!$A$2:$A$3819,bunker_daily_raw!$B$2:$B$3819)</f>
        <v>704</v>
      </c>
      <c r="C3692" s="6">
        <v>124.89</v>
      </c>
    </row>
    <row r="3693" spans="1:3" x14ac:dyDescent="0.25">
      <c r="A3693" s="4">
        <v>40966</v>
      </c>
      <c r="B3693" s="5">
        <f>_xlfn.XLOOKUP(A3693,bunker_daily_raw!$A$2:$A$3819,bunker_daily_raw!$B$2:$B$3819)</f>
        <v>708</v>
      </c>
      <c r="C3693" s="6">
        <v>126.46</v>
      </c>
    </row>
    <row r="3694" spans="1:3" x14ac:dyDescent="0.25">
      <c r="A3694" s="4">
        <v>40967</v>
      </c>
      <c r="B3694" s="5">
        <f>_xlfn.XLOOKUP(A3694,bunker_daily_raw!$A$2:$A$3819,bunker_daily_raw!$B$2:$B$3819)</f>
        <v>707</v>
      </c>
      <c r="C3694" s="6">
        <v>124.02</v>
      </c>
    </row>
    <row r="3695" spans="1:3" x14ac:dyDescent="0.25">
      <c r="A3695" s="4">
        <v>40968</v>
      </c>
      <c r="B3695" s="5">
        <f>_xlfn.XLOOKUP(A3695,bunker_daily_raw!$A$2:$A$3819,bunker_daily_raw!$B$2:$B$3819)</f>
        <v>702</v>
      </c>
      <c r="C3695" s="6">
        <v>122.23</v>
      </c>
    </row>
    <row r="3696" spans="1:3" x14ac:dyDescent="0.25">
      <c r="A3696" s="4">
        <v>40969</v>
      </c>
      <c r="B3696" s="5">
        <f>_xlfn.XLOOKUP(A3696,bunker_daily_raw!$A$2:$A$3819,bunker_daily_raw!$B$2:$B$3819)</f>
        <v>698.5</v>
      </c>
      <c r="C3696" s="6">
        <v>125.76</v>
      </c>
    </row>
    <row r="3697" spans="1:3" x14ac:dyDescent="0.25">
      <c r="A3697" s="4">
        <v>40970</v>
      </c>
      <c r="B3697" s="5">
        <f>_xlfn.XLOOKUP(A3697,bunker_daily_raw!$A$2:$A$3819,bunker_daily_raw!$B$2:$B$3819)</f>
        <v>701.5</v>
      </c>
      <c r="C3697" s="6">
        <v>125.93</v>
      </c>
    </row>
    <row r="3698" spans="1:3" x14ac:dyDescent="0.25">
      <c r="A3698" s="4">
        <v>40973</v>
      </c>
      <c r="B3698" s="5">
        <f>_xlfn.XLOOKUP(A3698,bunker_daily_raw!$A$2:$A$3819,bunker_daily_raw!$B$2:$B$3819)</f>
        <v>716.5</v>
      </c>
      <c r="C3698" s="6">
        <v>126.68</v>
      </c>
    </row>
    <row r="3699" spans="1:3" x14ac:dyDescent="0.25">
      <c r="A3699" s="4">
        <v>40974</v>
      </c>
      <c r="B3699" s="5">
        <f>_xlfn.XLOOKUP(A3699,bunker_daily_raw!$A$2:$A$3819,bunker_daily_raw!$B$2:$B$3819)</f>
        <v>708.5</v>
      </c>
      <c r="C3699" s="6">
        <v>125.03</v>
      </c>
    </row>
    <row r="3700" spans="1:3" x14ac:dyDescent="0.25">
      <c r="A3700" s="4">
        <v>40975</v>
      </c>
      <c r="B3700" s="5">
        <f>_xlfn.XLOOKUP(A3700,bunker_daily_raw!$A$2:$A$3819,bunker_daily_raw!$B$2:$B$3819)</f>
        <v>706.5</v>
      </c>
      <c r="C3700" s="6">
        <v>125.37</v>
      </c>
    </row>
    <row r="3701" spans="1:3" x14ac:dyDescent="0.25">
      <c r="A3701" s="4">
        <v>40976</v>
      </c>
      <c r="B3701" s="5">
        <f>_xlfn.XLOOKUP(A3701,bunker_daily_raw!$A$2:$A$3819,bunker_daily_raw!$B$2:$B$3819)</f>
        <v>708</v>
      </c>
      <c r="C3701" s="6">
        <v>127.96</v>
      </c>
    </row>
    <row r="3702" spans="1:3" x14ac:dyDescent="0.25">
      <c r="A3702" s="4">
        <v>40977</v>
      </c>
      <c r="B3702" s="5">
        <f>_xlfn.XLOOKUP(A3702,bunker_daily_raw!$A$2:$A$3819,bunker_daily_raw!$B$2:$B$3819)</f>
        <v>714</v>
      </c>
      <c r="C3702" s="6">
        <v>128.08000000000001</v>
      </c>
    </row>
    <row r="3703" spans="1:3" x14ac:dyDescent="0.25">
      <c r="A3703" s="4">
        <v>40980</v>
      </c>
      <c r="B3703" s="5">
        <f>_xlfn.XLOOKUP(A3703,bunker_daily_raw!$A$2:$A$3819,bunker_daily_raw!$B$2:$B$3819)</f>
        <v>710</v>
      </c>
      <c r="C3703" s="6">
        <v>127.27</v>
      </c>
    </row>
    <row r="3704" spans="1:3" x14ac:dyDescent="0.25">
      <c r="A3704" s="4">
        <v>40981</v>
      </c>
      <c r="B3704" s="5">
        <f>_xlfn.XLOOKUP(A3704,bunker_daily_raw!$A$2:$A$3819,bunker_daily_raw!$B$2:$B$3819)</f>
        <v>706.5</v>
      </c>
      <c r="C3704" s="6">
        <v>128.13999999999999</v>
      </c>
    </row>
    <row r="3705" spans="1:3" x14ac:dyDescent="0.25">
      <c r="A3705" s="4">
        <v>40982</v>
      </c>
      <c r="B3705" s="5">
        <f>_xlfn.XLOOKUP(A3705,bunker_daily_raw!$A$2:$A$3819,bunker_daily_raw!$B$2:$B$3819)</f>
        <v>710.5</v>
      </c>
      <c r="C3705" s="6">
        <v>126.98</v>
      </c>
    </row>
    <row r="3706" spans="1:3" x14ac:dyDescent="0.25">
      <c r="A3706" s="4">
        <v>40983</v>
      </c>
      <c r="B3706" s="5">
        <f>_xlfn.XLOOKUP(A3706,bunker_daily_raw!$A$2:$A$3819,bunker_daily_raw!$B$2:$B$3819)</f>
        <v>721.5</v>
      </c>
      <c r="C3706" s="6">
        <v>123.63</v>
      </c>
    </row>
    <row r="3707" spans="1:3" x14ac:dyDescent="0.25">
      <c r="A3707" s="4">
        <v>40984</v>
      </c>
      <c r="B3707" s="5">
        <f>_xlfn.XLOOKUP(A3707,bunker_daily_raw!$A$2:$A$3819,bunker_daily_raw!$B$2:$B$3819)</f>
        <v>716</v>
      </c>
      <c r="C3707" s="6">
        <v>125.09</v>
      </c>
    </row>
    <row r="3708" spans="1:3" x14ac:dyDescent="0.25">
      <c r="A3708" s="4">
        <v>40987</v>
      </c>
      <c r="B3708" s="5">
        <f>_xlfn.XLOOKUP(A3708,bunker_daily_raw!$A$2:$A$3819,bunker_daily_raw!$B$2:$B$3819)</f>
        <v>709.5</v>
      </c>
      <c r="C3708" s="6">
        <v>125.76</v>
      </c>
    </row>
    <row r="3709" spans="1:3" x14ac:dyDescent="0.25">
      <c r="A3709" s="4">
        <v>40988</v>
      </c>
      <c r="B3709" s="5">
        <f>_xlfn.XLOOKUP(A3709,bunker_daily_raw!$A$2:$A$3819,bunker_daily_raw!$B$2:$B$3819)</f>
        <v>715</v>
      </c>
      <c r="C3709" s="6">
        <v>124.38</v>
      </c>
    </row>
    <row r="3710" spans="1:3" x14ac:dyDescent="0.25">
      <c r="A3710" s="4">
        <v>40989</v>
      </c>
      <c r="B3710" s="5">
        <f>_xlfn.XLOOKUP(A3710,bunker_daily_raw!$A$2:$A$3819,bunker_daily_raw!$B$2:$B$3819)</f>
        <v>705.5</v>
      </c>
      <c r="C3710" s="6">
        <v>123.89</v>
      </c>
    </row>
    <row r="3711" spans="1:3" x14ac:dyDescent="0.25">
      <c r="A3711" s="4">
        <v>40990</v>
      </c>
      <c r="B3711" s="5">
        <f>_xlfn.XLOOKUP(A3711,bunker_daily_raw!$A$2:$A$3819,bunker_daily_raw!$B$2:$B$3819)</f>
        <v>708.5</v>
      </c>
      <c r="C3711" s="6">
        <v>122.49</v>
      </c>
    </row>
    <row r="3712" spans="1:3" x14ac:dyDescent="0.25">
      <c r="A3712" s="4">
        <v>40991</v>
      </c>
      <c r="B3712" s="5">
        <f>_xlfn.XLOOKUP(A3712,bunker_daily_raw!$A$2:$A$3819,bunker_daily_raw!$B$2:$B$3819)</f>
        <v>695.5</v>
      </c>
      <c r="C3712" s="6">
        <v>125.21</v>
      </c>
    </row>
    <row r="3713" spans="1:3" x14ac:dyDescent="0.25">
      <c r="A3713" s="4">
        <v>40994</v>
      </c>
      <c r="B3713" s="5">
        <f>_xlfn.XLOOKUP(A3713,bunker_daily_raw!$A$2:$A$3819,bunker_daily_raw!$B$2:$B$3819)</f>
        <v>700</v>
      </c>
      <c r="C3713" s="6">
        <v>125.85</v>
      </c>
    </row>
    <row r="3714" spans="1:3" x14ac:dyDescent="0.25">
      <c r="A3714" s="4">
        <v>40995</v>
      </c>
      <c r="B3714" s="5">
        <f>_xlfn.XLOOKUP(A3714,bunker_daily_raw!$A$2:$A$3819,bunker_daily_raw!$B$2:$B$3819)</f>
        <v>705.5</v>
      </c>
      <c r="C3714" s="6">
        <v>125.25</v>
      </c>
    </row>
    <row r="3715" spans="1:3" x14ac:dyDescent="0.25">
      <c r="A3715" s="4">
        <v>40996</v>
      </c>
      <c r="B3715" s="5">
        <f>_xlfn.XLOOKUP(A3715,bunker_daily_raw!$A$2:$A$3819,bunker_daily_raw!$B$2:$B$3819)</f>
        <v>704.5</v>
      </c>
      <c r="C3715" s="6">
        <v>124.41</v>
      </c>
    </row>
    <row r="3716" spans="1:3" x14ac:dyDescent="0.25">
      <c r="A3716" s="4">
        <v>40997</v>
      </c>
      <c r="B3716" s="5">
        <f>_xlfn.XLOOKUP(A3716,bunker_daily_raw!$A$2:$A$3819,bunker_daily_raw!$B$2:$B$3819)</f>
        <v>704.5</v>
      </c>
      <c r="C3716" s="6">
        <v>123.23</v>
      </c>
    </row>
    <row r="3717" spans="1:3" x14ac:dyDescent="0.25">
      <c r="A3717" s="4">
        <v>40998</v>
      </c>
      <c r="B3717" s="5">
        <f>_xlfn.XLOOKUP(A3717,bunker_daily_raw!$A$2:$A$3819,bunker_daily_raw!$B$2:$B$3819)</f>
        <v>710</v>
      </c>
      <c r="C3717" s="6">
        <v>123.41</v>
      </c>
    </row>
    <row r="3718" spans="1:3" x14ac:dyDescent="0.25">
      <c r="A3718" s="4">
        <v>41001</v>
      </c>
      <c r="B3718" s="5">
        <f>_xlfn.XLOOKUP(A3718,bunker_daily_raw!$A$2:$A$3819,bunker_daily_raw!$B$2:$B$3819)</f>
        <v>703.5</v>
      </c>
      <c r="C3718" s="6">
        <v>124.44</v>
      </c>
    </row>
    <row r="3719" spans="1:3" x14ac:dyDescent="0.25">
      <c r="A3719" s="4">
        <v>41002</v>
      </c>
      <c r="B3719" s="5">
        <f>_xlfn.XLOOKUP(A3719,bunker_daily_raw!$A$2:$A$3819,bunker_daily_raw!$B$2:$B$3819)</f>
        <v>704</v>
      </c>
      <c r="C3719" s="5"/>
    </row>
    <row r="3720" spans="1:3" x14ac:dyDescent="0.25">
      <c r="A3720" s="4">
        <v>41003</v>
      </c>
      <c r="B3720" s="5">
        <f>_xlfn.XLOOKUP(A3720,bunker_daily_raw!$A$2:$A$3819,bunker_daily_raw!$B$2:$B$3819)</f>
        <v>710</v>
      </c>
      <c r="C3720" s="6">
        <v>123.04</v>
      </c>
    </row>
    <row r="3721" spans="1:3" x14ac:dyDescent="0.25">
      <c r="A3721" s="4">
        <v>41004</v>
      </c>
      <c r="B3721" s="5">
        <f>_xlfn.XLOOKUP(A3721,bunker_daily_raw!$A$2:$A$3819,bunker_daily_raw!$B$2:$B$3819)</f>
        <v>709.5</v>
      </c>
      <c r="C3721" s="6">
        <v>123.58</v>
      </c>
    </row>
    <row r="3722" spans="1:3" x14ac:dyDescent="0.25">
      <c r="A3722" s="4">
        <v>41005</v>
      </c>
      <c r="B3722" s="5" t="e">
        <f>_xlfn.XLOOKUP(A3722,bunker_daily_raw!$A$2:$A$3819,bunker_daily_raw!$B$2:$B$3819)</f>
        <v>#N/A</v>
      </c>
      <c r="C3722" s="5"/>
    </row>
    <row r="3723" spans="1:3" x14ac:dyDescent="0.25">
      <c r="A3723" s="4">
        <v>41008</v>
      </c>
      <c r="B3723" s="5" t="e">
        <f>_xlfn.XLOOKUP(A3723,bunker_daily_raw!$A$2:$A$3819,bunker_daily_raw!$B$2:$B$3819)</f>
        <v>#N/A</v>
      </c>
      <c r="C3723" s="5"/>
    </row>
    <row r="3724" spans="1:3" x14ac:dyDescent="0.25">
      <c r="A3724" s="4">
        <v>41009</v>
      </c>
      <c r="B3724" s="5">
        <f>_xlfn.XLOOKUP(A3724,bunker_daily_raw!$A$2:$A$3819,bunker_daily_raw!$B$2:$B$3819)</f>
        <v>702.5</v>
      </c>
      <c r="C3724" s="6">
        <v>121.89</v>
      </c>
    </row>
    <row r="3725" spans="1:3" x14ac:dyDescent="0.25">
      <c r="A3725" s="4">
        <v>41010</v>
      </c>
      <c r="B3725" s="5">
        <f>_xlfn.XLOOKUP(A3725,bunker_daily_raw!$A$2:$A$3819,bunker_daily_raw!$B$2:$B$3819)</f>
        <v>695</v>
      </c>
      <c r="C3725" s="6">
        <v>120.41</v>
      </c>
    </row>
    <row r="3726" spans="1:3" x14ac:dyDescent="0.25">
      <c r="A3726" s="4">
        <v>41011</v>
      </c>
      <c r="B3726" s="5">
        <f>_xlfn.XLOOKUP(A3726,bunker_daily_raw!$A$2:$A$3819,bunker_daily_raw!$B$2:$B$3819)</f>
        <v>688</v>
      </c>
      <c r="C3726" s="6">
        <v>120.57</v>
      </c>
    </row>
    <row r="3727" spans="1:3" x14ac:dyDescent="0.25">
      <c r="A3727" s="4">
        <v>41012</v>
      </c>
      <c r="B3727" s="5">
        <f>_xlfn.XLOOKUP(A3727,bunker_daily_raw!$A$2:$A$3819,bunker_daily_raw!$B$2:$B$3819)</f>
        <v>690</v>
      </c>
      <c r="C3727" s="6">
        <v>120.62</v>
      </c>
    </row>
    <row r="3728" spans="1:3" x14ac:dyDescent="0.25">
      <c r="A3728" s="4">
        <v>41015</v>
      </c>
      <c r="B3728" s="5">
        <f>_xlfn.XLOOKUP(A3728,bunker_daily_raw!$A$2:$A$3819,bunker_daily_raw!$B$2:$B$3819)</f>
        <v>698</v>
      </c>
      <c r="C3728" s="6">
        <v>118.23</v>
      </c>
    </row>
    <row r="3729" spans="1:3" x14ac:dyDescent="0.25">
      <c r="A3729" s="4">
        <v>41016</v>
      </c>
      <c r="B3729" s="5">
        <f>_xlfn.XLOOKUP(A3729,bunker_daily_raw!$A$2:$A$3819,bunker_daily_raw!$B$2:$B$3819)</f>
        <v>688.5</v>
      </c>
      <c r="C3729" s="6">
        <v>117.41</v>
      </c>
    </row>
    <row r="3730" spans="1:3" x14ac:dyDescent="0.25">
      <c r="A3730" s="4">
        <v>41017</v>
      </c>
      <c r="B3730" s="5">
        <f>_xlfn.XLOOKUP(A3730,bunker_daily_raw!$A$2:$A$3819,bunker_daily_raw!$B$2:$B$3819)</f>
        <v>684.5</v>
      </c>
      <c r="C3730" s="6">
        <v>115.18</v>
      </c>
    </row>
    <row r="3731" spans="1:3" x14ac:dyDescent="0.25">
      <c r="A3731" s="4">
        <v>41018</v>
      </c>
      <c r="B3731" s="5">
        <f>_xlfn.XLOOKUP(A3731,bunker_daily_raw!$A$2:$A$3819,bunker_daily_raw!$B$2:$B$3819)</f>
        <v>685</v>
      </c>
      <c r="C3731" s="6">
        <v>117</v>
      </c>
    </row>
    <row r="3732" spans="1:3" x14ac:dyDescent="0.25">
      <c r="A3732" s="4">
        <v>41019</v>
      </c>
      <c r="B3732" s="5">
        <f>_xlfn.XLOOKUP(A3732,bunker_daily_raw!$A$2:$A$3819,bunker_daily_raw!$B$2:$B$3819)</f>
        <v>688</v>
      </c>
      <c r="C3732" s="6">
        <v>118.08</v>
      </c>
    </row>
    <row r="3733" spans="1:3" x14ac:dyDescent="0.25">
      <c r="A3733" s="4">
        <v>41022</v>
      </c>
      <c r="B3733" s="5">
        <f>_xlfn.XLOOKUP(A3733,bunker_daily_raw!$A$2:$A$3819,bunker_daily_raw!$B$2:$B$3819)</f>
        <v>684</v>
      </c>
      <c r="C3733" s="6">
        <v>116.66</v>
      </c>
    </row>
    <row r="3734" spans="1:3" x14ac:dyDescent="0.25">
      <c r="A3734" s="4">
        <v>41023</v>
      </c>
      <c r="B3734" s="5">
        <f>_xlfn.XLOOKUP(A3734,bunker_daily_raw!$A$2:$A$3819,bunker_daily_raw!$B$2:$B$3819)</f>
        <v>682</v>
      </c>
      <c r="C3734" s="6">
        <v>117.74</v>
      </c>
    </row>
    <row r="3735" spans="1:3" x14ac:dyDescent="0.25">
      <c r="A3735" s="4">
        <v>41024</v>
      </c>
      <c r="B3735" s="5">
        <f>_xlfn.XLOOKUP(A3735,bunker_daily_raw!$A$2:$A$3819,bunker_daily_raw!$B$2:$B$3819)</f>
        <v>682.5</v>
      </c>
      <c r="C3735" s="6">
        <v>117.45</v>
      </c>
    </row>
    <row r="3736" spans="1:3" x14ac:dyDescent="0.25">
      <c r="A3736" s="4">
        <v>41025</v>
      </c>
      <c r="B3736" s="5">
        <f>_xlfn.XLOOKUP(A3736,bunker_daily_raw!$A$2:$A$3819,bunker_daily_raw!$B$2:$B$3819)</f>
        <v>690.5</v>
      </c>
      <c r="C3736" s="6">
        <v>119.33</v>
      </c>
    </row>
    <row r="3737" spans="1:3" x14ac:dyDescent="0.25">
      <c r="A3737" s="4">
        <v>41026</v>
      </c>
      <c r="B3737" s="5">
        <f>_xlfn.XLOOKUP(A3737,bunker_daily_raw!$A$2:$A$3819,bunker_daily_raw!$B$2:$B$3819)</f>
        <v>694.5</v>
      </c>
      <c r="C3737" s="6">
        <v>119.3</v>
      </c>
    </row>
    <row r="3738" spans="1:3" x14ac:dyDescent="0.25">
      <c r="A3738" s="4">
        <v>41029</v>
      </c>
      <c r="B3738" s="5">
        <f>_xlfn.XLOOKUP(A3738,bunker_daily_raw!$A$2:$A$3819,bunker_daily_raw!$B$2:$B$3819)</f>
        <v>694.5</v>
      </c>
      <c r="C3738" s="6">
        <v>118.66</v>
      </c>
    </row>
    <row r="3739" spans="1:3" x14ac:dyDescent="0.25">
      <c r="A3739" s="4">
        <v>41030</v>
      </c>
      <c r="B3739" s="5">
        <f>_xlfn.XLOOKUP(A3739,bunker_daily_raw!$A$2:$A$3819,bunker_daily_raw!$B$2:$B$3819)</f>
        <v>691.5</v>
      </c>
      <c r="C3739" s="6">
        <v>119.57</v>
      </c>
    </row>
    <row r="3740" spans="1:3" x14ac:dyDescent="0.25">
      <c r="A3740" s="4">
        <v>41031</v>
      </c>
      <c r="B3740" s="5">
        <f>_xlfn.XLOOKUP(A3740,bunker_daily_raw!$A$2:$A$3819,bunker_daily_raw!$B$2:$B$3819)</f>
        <v>691.5</v>
      </c>
      <c r="C3740" s="6">
        <v>117.57</v>
      </c>
    </row>
    <row r="3741" spans="1:3" x14ac:dyDescent="0.25">
      <c r="A3741" s="4">
        <v>41032</v>
      </c>
      <c r="B3741" s="5">
        <f>_xlfn.XLOOKUP(A3741,bunker_daily_raw!$A$2:$A$3819,bunker_daily_raw!$B$2:$B$3819)</f>
        <v>694.5</v>
      </c>
      <c r="C3741" s="6">
        <v>115.91</v>
      </c>
    </row>
    <row r="3742" spans="1:3" x14ac:dyDescent="0.25">
      <c r="A3742" s="4">
        <v>41033</v>
      </c>
      <c r="B3742" s="5">
        <f>_xlfn.XLOOKUP(A3742,bunker_daily_raw!$A$2:$A$3819,bunker_daily_raw!$B$2:$B$3819)</f>
        <v>684</v>
      </c>
      <c r="C3742" s="6">
        <v>111.66</v>
      </c>
    </row>
    <row r="3743" spans="1:3" x14ac:dyDescent="0.25">
      <c r="A3743" s="4">
        <v>41036</v>
      </c>
      <c r="B3743" s="5" t="e">
        <f>_xlfn.XLOOKUP(A3743,bunker_daily_raw!$A$2:$A$3819,bunker_daily_raw!$B$2:$B$3819)</f>
        <v>#N/A</v>
      </c>
      <c r="C3743" s="5"/>
    </row>
    <row r="3744" spans="1:3" x14ac:dyDescent="0.25">
      <c r="A3744" s="4">
        <v>41037</v>
      </c>
      <c r="B3744" s="5">
        <f>_xlfn.XLOOKUP(A3744,bunker_daily_raw!$A$2:$A$3819,bunker_daily_raw!$B$2:$B$3819)</f>
        <v>653</v>
      </c>
      <c r="C3744" s="6">
        <v>110.48</v>
      </c>
    </row>
    <row r="3745" spans="1:3" x14ac:dyDescent="0.25">
      <c r="A3745" s="4">
        <v>41038</v>
      </c>
      <c r="B3745" s="5">
        <f>_xlfn.XLOOKUP(A3745,bunker_daily_raw!$A$2:$A$3819,bunker_daily_raw!$B$2:$B$3819)</f>
        <v>653</v>
      </c>
      <c r="C3745" s="6">
        <v>111.89</v>
      </c>
    </row>
    <row r="3746" spans="1:3" x14ac:dyDescent="0.25">
      <c r="A3746" s="4">
        <v>41039</v>
      </c>
      <c r="B3746" s="5">
        <f>_xlfn.XLOOKUP(A3746,bunker_daily_raw!$A$2:$A$3819,bunker_daily_raw!$B$2:$B$3819)</f>
        <v>647</v>
      </c>
      <c r="C3746" s="6">
        <v>112.24</v>
      </c>
    </row>
    <row r="3747" spans="1:3" x14ac:dyDescent="0.25">
      <c r="A3747" s="4">
        <v>41040</v>
      </c>
      <c r="B3747" s="5">
        <f>_xlfn.XLOOKUP(A3747,bunker_daily_raw!$A$2:$A$3819,bunker_daily_raw!$B$2:$B$3819)</f>
        <v>649.5</v>
      </c>
      <c r="C3747" s="6">
        <v>112.5</v>
      </c>
    </row>
    <row r="3748" spans="1:3" x14ac:dyDescent="0.25">
      <c r="A3748" s="4">
        <v>41043</v>
      </c>
      <c r="B3748" s="5">
        <f>_xlfn.XLOOKUP(A3748,bunker_daily_raw!$A$2:$A$3819,bunker_daily_raw!$B$2:$B$3819)</f>
        <v>637.5</v>
      </c>
      <c r="C3748" s="6">
        <v>110.79</v>
      </c>
    </row>
    <row r="3749" spans="1:3" x14ac:dyDescent="0.25">
      <c r="A3749" s="4">
        <v>41044</v>
      </c>
      <c r="B3749" s="5">
        <f>_xlfn.XLOOKUP(A3749,bunker_daily_raw!$A$2:$A$3819,bunker_daily_raw!$B$2:$B$3819)</f>
        <v>632</v>
      </c>
      <c r="C3749" s="6">
        <v>111.4</v>
      </c>
    </row>
    <row r="3750" spans="1:3" x14ac:dyDescent="0.25">
      <c r="A3750" s="4">
        <v>41045</v>
      </c>
      <c r="B3750" s="5">
        <f>_xlfn.XLOOKUP(A3750,bunker_daily_raw!$A$2:$A$3819,bunker_daily_raw!$B$2:$B$3819)</f>
        <v>637</v>
      </c>
      <c r="C3750" s="6">
        <v>109.8</v>
      </c>
    </row>
    <row r="3751" spans="1:3" x14ac:dyDescent="0.25">
      <c r="A3751" s="4">
        <v>41046</v>
      </c>
      <c r="B3751" s="5">
        <f>_xlfn.XLOOKUP(A3751,bunker_daily_raw!$A$2:$A$3819,bunker_daily_raw!$B$2:$B$3819)</f>
        <v>633.5</v>
      </c>
      <c r="C3751" s="6">
        <v>109.31</v>
      </c>
    </row>
    <row r="3752" spans="1:3" x14ac:dyDescent="0.25">
      <c r="A3752" s="4">
        <v>41047</v>
      </c>
      <c r="B3752" s="5">
        <f>_xlfn.XLOOKUP(A3752,bunker_daily_raw!$A$2:$A$3819,bunker_daily_raw!$B$2:$B$3819)</f>
        <v>633.5</v>
      </c>
      <c r="C3752" s="6">
        <v>108.03</v>
      </c>
    </row>
    <row r="3753" spans="1:3" x14ac:dyDescent="0.25">
      <c r="A3753" s="4">
        <v>41050</v>
      </c>
      <c r="B3753" s="5">
        <f>_xlfn.XLOOKUP(A3753,bunker_daily_raw!$A$2:$A$3819,bunker_daily_raw!$B$2:$B$3819)</f>
        <v>615</v>
      </c>
      <c r="C3753" s="6">
        <v>109.02</v>
      </c>
    </row>
    <row r="3754" spans="1:3" x14ac:dyDescent="0.25">
      <c r="A3754" s="4">
        <v>41051</v>
      </c>
      <c r="B3754" s="5">
        <f>_xlfn.XLOOKUP(A3754,bunker_daily_raw!$A$2:$A$3819,bunker_daily_raw!$B$2:$B$3819)</f>
        <v>621</v>
      </c>
      <c r="C3754" s="6">
        <v>109.76</v>
      </c>
    </row>
    <row r="3755" spans="1:3" x14ac:dyDescent="0.25">
      <c r="A3755" s="4">
        <v>41052</v>
      </c>
      <c r="B3755" s="5">
        <f>_xlfn.XLOOKUP(A3755,bunker_daily_raw!$A$2:$A$3819,bunker_daily_raw!$B$2:$B$3819)</f>
        <v>622.5</v>
      </c>
      <c r="C3755" s="6">
        <v>106.88</v>
      </c>
    </row>
    <row r="3756" spans="1:3" x14ac:dyDescent="0.25">
      <c r="A3756" s="4">
        <v>41053</v>
      </c>
      <c r="B3756" s="5">
        <f>_xlfn.XLOOKUP(A3756,bunker_daily_raw!$A$2:$A$3819,bunker_daily_raw!$B$2:$B$3819)</f>
        <v>619</v>
      </c>
      <c r="C3756" s="6">
        <v>107.2</v>
      </c>
    </row>
    <row r="3757" spans="1:3" x14ac:dyDescent="0.25">
      <c r="A3757" s="4">
        <v>41054</v>
      </c>
      <c r="B3757" s="5">
        <f>_xlfn.XLOOKUP(A3757,bunker_daily_raw!$A$2:$A$3819,bunker_daily_raw!$B$2:$B$3819)</f>
        <v>612.5</v>
      </c>
      <c r="C3757" s="6">
        <v>107.86</v>
      </c>
    </row>
    <row r="3758" spans="1:3" x14ac:dyDescent="0.25">
      <c r="A3758" s="4">
        <v>41057</v>
      </c>
      <c r="B3758" s="5" t="e">
        <f>_xlfn.XLOOKUP(A3758,bunker_daily_raw!$A$2:$A$3819,bunker_daily_raw!$B$2:$B$3819)</f>
        <v>#N/A</v>
      </c>
      <c r="C3758" s="5"/>
    </row>
    <row r="3759" spans="1:3" x14ac:dyDescent="0.25">
      <c r="A3759" s="4">
        <v>41058</v>
      </c>
      <c r="B3759" s="5" t="e">
        <f>_xlfn.XLOOKUP(A3759,bunker_daily_raw!$A$2:$A$3819,bunker_daily_raw!$B$2:$B$3819)</f>
        <v>#N/A</v>
      </c>
      <c r="C3759" s="6">
        <v>107.55</v>
      </c>
    </row>
    <row r="3760" spans="1:3" x14ac:dyDescent="0.25">
      <c r="A3760" s="4">
        <v>41059</v>
      </c>
      <c r="B3760" s="5" t="e">
        <f>_xlfn.XLOOKUP(A3760,bunker_daily_raw!$A$2:$A$3819,bunker_daily_raw!$B$2:$B$3819)</f>
        <v>#N/A</v>
      </c>
      <c r="C3760" s="6">
        <v>103.85</v>
      </c>
    </row>
    <row r="3761" spans="1:3" x14ac:dyDescent="0.25">
      <c r="A3761" s="4">
        <v>41060</v>
      </c>
      <c r="B3761" s="5" t="e">
        <f>_xlfn.XLOOKUP(A3761,bunker_daily_raw!$A$2:$A$3819,bunker_daily_raw!$B$2:$B$3819)</f>
        <v>#N/A</v>
      </c>
      <c r="C3761" s="6">
        <v>103.86</v>
      </c>
    </row>
    <row r="3762" spans="1:3" x14ac:dyDescent="0.25">
      <c r="A3762" s="4">
        <v>41061</v>
      </c>
      <c r="B3762" s="5" t="e">
        <f>_xlfn.XLOOKUP(A3762,bunker_daily_raw!$A$2:$A$3819,bunker_daily_raw!$B$2:$B$3819)</f>
        <v>#N/A</v>
      </c>
      <c r="C3762" s="6">
        <v>98.63</v>
      </c>
    </row>
    <row r="3763" spans="1:3" x14ac:dyDescent="0.25">
      <c r="A3763" s="4">
        <v>41064</v>
      </c>
      <c r="B3763" s="5" t="e">
        <f>_xlfn.XLOOKUP(A3763,bunker_daily_raw!$A$2:$A$3819,bunker_daily_raw!$B$2:$B$3819)</f>
        <v>#N/A</v>
      </c>
      <c r="C3763" s="6">
        <v>97.74</v>
      </c>
    </row>
    <row r="3764" spans="1:3" x14ac:dyDescent="0.25">
      <c r="A3764" s="4">
        <v>41065</v>
      </c>
      <c r="B3764" s="5" t="e">
        <f>_xlfn.XLOOKUP(A3764,bunker_daily_raw!$A$2:$A$3819,bunker_daily_raw!$B$2:$B$3819)</f>
        <v>#N/A</v>
      </c>
      <c r="C3764" s="6">
        <v>98.65</v>
      </c>
    </row>
    <row r="3765" spans="1:3" x14ac:dyDescent="0.25">
      <c r="A3765" s="4">
        <v>41066</v>
      </c>
      <c r="B3765" s="5" t="e">
        <f>_xlfn.XLOOKUP(A3765,bunker_daily_raw!$A$2:$A$3819,bunker_daily_raw!$B$2:$B$3819)</f>
        <v>#N/A</v>
      </c>
      <c r="C3765" s="6">
        <v>101.14</v>
      </c>
    </row>
    <row r="3766" spans="1:3" x14ac:dyDescent="0.25">
      <c r="A3766" s="4">
        <v>41067</v>
      </c>
      <c r="B3766" s="5" t="e">
        <f>_xlfn.XLOOKUP(A3766,bunker_daily_raw!$A$2:$A$3819,bunker_daily_raw!$B$2:$B$3819)</f>
        <v>#N/A</v>
      </c>
      <c r="C3766" s="6">
        <v>100.05</v>
      </c>
    </row>
    <row r="3767" spans="1:3" x14ac:dyDescent="0.25">
      <c r="A3767" s="4">
        <v>41068</v>
      </c>
      <c r="B3767" s="5" t="e">
        <f>_xlfn.XLOOKUP(A3767,bunker_daily_raw!$A$2:$A$3819,bunker_daily_raw!$B$2:$B$3819)</f>
        <v>#N/A</v>
      </c>
      <c r="C3767" s="6">
        <v>97.57</v>
      </c>
    </row>
    <row r="3768" spans="1:3" x14ac:dyDescent="0.25">
      <c r="A3768" s="4">
        <v>41071</v>
      </c>
      <c r="B3768" s="5" t="e">
        <f>_xlfn.XLOOKUP(A3768,bunker_daily_raw!$A$2:$A$3819,bunker_daily_raw!$B$2:$B$3819)</f>
        <v>#N/A</v>
      </c>
      <c r="C3768" s="6">
        <v>98.6</v>
      </c>
    </row>
    <row r="3769" spans="1:3" x14ac:dyDescent="0.25">
      <c r="A3769" s="4">
        <v>41072</v>
      </c>
      <c r="B3769" s="5" t="e">
        <f>_xlfn.XLOOKUP(A3769,bunker_daily_raw!$A$2:$A$3819,bunker_daily_raw!$B$2:$B$3819)</f>
        <v>#N/A</v>
      </c>
      <c r="C3769" s="6">
        <v>96.59</v>
      </c>
    </row>
    <row r="3770" spans="1:3" x14ac:dyDescent="0.25">
      <c r="A3770" s="4">
        <v>41073</v>
      </c>
      <c r="B3770" s="5" t="e">
        <f>_xlfn.XLOOKUP(A3770,bunker_daily_raw!$A$2:$A$3819,bunker_daily_raw!$B$2:$B$3819)</f>
        <v>#N/A</v>
      </c>
      <c r="C3770" s="6">
        <v>97.29</v>
      </c>
    </row>
    <row r="3771" spans="1:3" x14ac:dyDescent="0.25">
      <c r="A3771" s="4">
        <v>41074</v>
      </c>
      <c r="B3771" s="5" t="e">
        <f>_xlfn.XLOOKUP(A3771,bunker_daily_raw!$A$2:$A$3819,bunker_daily_raw!$B$2:$B$3819)</f>
        <v>#N/A</v>
      </c>
      <c r="C3771" s="6">
        <v>96.46</v>
      </c>
    </row>
    <row r="3772" spans="1:3" x14ac:dyDescent="0.25">
      <c r="A3772" s="4">
        <v>41075</v>
      </c>
      <c r="B3772" s="5" t="e">
        <f>_xlfn.XLOOKUP(A3772,bunker_daily_raw!$A$2:$A$3819,bunker_daily_raw!$B$2:$B$3819)</f>
        <v>#N/A</v>
      </c>
      <c r="C3772" s="6">
        <v>97.13</v>
      </c>
    </row>
    <row r="3773" spans="1:3" x14ac:dyDescent="0.25">
      <c r="A3773" s="4">
        <v>41078</v>
      </c>
      <c r="B3773" s="5" t="e">
        <f>_xlfn.XLOOKUP(A3773,bunker_daily_raw!$A$2:$A$3819,bunker_daily_raw!$B$2:$B$3819)</f>
        <v>#N/A</v>
      </c>
      <c r="C3773" s="6">
        <v>95.21</v>
      </c>
    </row>
    <row r="3774" spans="1:3" x14ac:dyDescent="0.25">
      <c r="A3774" s="4">
        <v>41079</v>
      </c>
      <c r="B3774" s="5" t="e">
        <f>_xlfn.XLOOKUP(A3774,bunker_daily_raw!$A$2:$A$3819,bunker_daily_raw!$B$2:$B$3819)</f>
        <v>#N/A</v>
      </c>
      <c r="C3774" s="6">
        <v>95.14</v>
      </c>
    </row>
    <row r="3775" spans="1:3" x14ac:dyDescent="0.25">
      <c r="A3775" s="4">
        <v>41080</v>
      </c>
      <c r="B3775" s="5" t="e">
        <f>_xlfn.XLOOKUP(A3775,bunker_daily_raw!$A$2:$A$3819,bunker_daily_raw!$B$2:$B$3819)</f>
        <v>#N/A</v>
      </c>
      <c r="C3775" s="6">
        <v>93.5</v>
      </c>
    </row>
    <row r="3776" spans="1:3" x14ac:dyDescent="0.25">
      <c r="A3776" s="4">
        <v>41081</v>
      </c>
      <c r="B3776" s="5" t="e">
        <f>_xlfn.XLOOKUP(A3776,bunker_daily_raw!$A$2:$A$3819,bunker_daily_raw!$B$2:$B$3819)</f>
        <v>#N/A</v>
      </c>
      <c r="C3776" s="6">
        <v>89.22</v>
      </c>
    </row>
    <row r="3777" spans="1:3" x14ac:dyDescent="0.25">
      <c r="A3777" s="4">
        <v>41082</v>
      </c>
      <c r="B3777" s="5" t="e">
        <f>_xlfn.XLOOKUP(A3777,bunker_daily_raw!$A$2:$A$3819,bunker_daily_raw!$B$2:$B$3819)</f>
        <v>#N/A</v>
      </c>
      <c r="C3777" s="6">
        <v>89.22</v>
      </c>
    </row>
    <row r="3778" spans="1:3" x14ac:dyDescent="0.25">
      <c r="A3778" s="4">
        <v>41085</v>
      </c>
      <c r="B3778" s="5" t="e">
        <f>_xlfn.XLOOKUP(A3778,bunker_daily_raw!$A$2:$A$3819,bunker_daily_raw!$B$2:$B$3819)</f>
        <v>#N/A</v>
      </c>
      <c r="C3778" s="6">
        <v>88.69</v>
      </c>
    </row>
    <row r="3779" spans="1:3" x14ac:dyDescent="0.25">
      <c r="A3779" s="4">
        <v>41086</v>
      </c>
      <c r="B3779" s="5" t="e">
        <f>_xlfn.XLOOKUP(A3779,bunker_daily_raw!$A$2:$A$3819,bunker_daily_raw!$B$2:$B$3819)</f>
        <v>#N/A</v>
      </c>
      <c r="C3779" s="6">
        <v>90.19</v>
      </c>
    </row>
    <row r="3780" spans="1:3" x14ac:dyDescent="0.25">
      <c r="A3780" s="4">
        <v>41087</v>
      </c>
      <c r="B3780" s="5" t="e">
        <f>_xlfn.XLOOKUP(A3780,bunker_daily_raw!$A$2:$A$3819,bunker_daily_raw!$B$2:$B$3819)</f>
        <v>#N/A</v>
      </c>
      <c r="C3780" s="6">
        <v>92.06</v>
      </c>
    </row>
    <row r="3781" spans="1:3" x14ac:dyDescent="0.25">
      <c r="A3781" s="4">
        <v>41088</v>
      </c>
      <c r="B3781" s="5" t="e">
        <f>_xlfn.XLOOKUP(A3781,bunker_daily_raw!$A$2:$A$3819,bunker_daily_raw!$B$2:$B$3819)</f>
        <v>#N/A</v>
      </c>
      <c r="C3781" s="6">
        <v>91.02</v>
      </c>
    </row>
    <row r="3782" spans="1:3" x14ac:dyDescent="0.25">
      <c r="A3782" s="4">
        <v>41089</v>
      </c>
      <c r="B3782" s="5" t="e">
        <f>_xlfn.XLOOKUP(A3782,bunker_daily_raw!$A$2:$A$3819,bunker_daily_raw!$B$2:$B$3819)</f>
        <v>#N/A</v>
      </c>
      <c r="C3782" s="6">
        <v>94.17</v>
      </c>
    </row>
    <row r="3783" spans="1:3" x14ac:dyDescent="0.25">
      <c r="A3783" s="4">
        <v>41092</v>
      </c>
      <c r="B3783" s="5" t="e">
        <f>_xlfn.XLOOKUP(A3783,bunker_daily_raw!$A$2:$A$3819,bunker_daily_raw!$B$2:$B$3819)</f>
        <v>#N/A</v>
      </c>
      <c r="C3783" s="6">
        <v>95.28</v>
      </c>
    </row>
    <row r="3784" spans="1:3" x14ac:dyDescent="0.25">
      <c r="A3784" s="4">
        <v>41093</v>
      </c>
      <c r="B3784" s="5" t="e">
        <f>_xlfn.XLOOKUP(A3784,bunker_daily_raw!$A$2:$A$3819,bunker_daily_raw!$B$2:$B$3819)</f>
        <v>#N/A</v>
      </c>
      <c r="C3784" s="6">
        <v>99.89</v>
      </c>
    </row>
    <row r="3785" spans="1:3" x14ac:dyDescent="0.25">
      <c r="A3785" s="4">
        <v>41094</v>
      </c>
      <c r="B3785" s="5" t="e">
        <f>_xlfn.XLOOKUP(A3785,bunker_daily_raw!$A$2:$A$3819,bunker_daily_raw!$B$2:$B$3819)</f>
        <v>#N/A</v>
      </c>
      <c r="C3785" s="5"/>
    </row>
    <row r="3786" spans="1:3" x14ac:dyDescent="0.25">
      <c r="A3786" s="4">
        <v>41095</v>
      </c>
      <c r="B3786" s="5" t="e">
        <f>_xlfn.XLOOKUP(A3786,bunker_daily_raw!$A$2:$A$3819,bunker_daily_raw!$B$2:$B$3819)</f>
        <v>#N/A</v>
      </c>
      <c r="C3786" s="6">
        <v>101.54</v>
      </c>
    </row>
    <row r="3787" spans="1:3" x14ac:dyDescent="0.25">
      <c r="A3787" s="4">
        <v>41096</v>
      </c>
      <c r="B3787" s="5" t="e">
        <f>_xlfn.XLOOKUP(A3787,bunker_daily_raw!$A$2:$A$3819,bunker_daily_raw!$B$2:$B$3819)</f>
        <v>#N/A</v>
      </c>
      <c r="C3787" s="6">
        <v>98.5</v>
      </c>
    </row>
    <row r="3788" spans="1:3" x14ac:dyDescent="0.25">
      <c r="A3788" s="4">
        <v>41099</v>
      </c>
      <c r="B3788" s="5" t="e">
        <f>_xlfn.XLOOKUP(A3788,bunker_daily_raw!$A$2:$A$3819,bunker_daily_raw!$B$2:$B$3819)</f>
        <v>#N/A</v>
      </c>
      <c r="C3788" s="6">
        <v>99.94</v>
      </c>
    </row>
    <row r="3789" spans="1:3" x14ac:dyDescent="0.25">
      <c r="A3789" s="4">
        <v>41100</v>
      </c>
      <c r="B3789" s="5" t="e">
        <f>_xlfn.XLOOKUP(A3789,bunker_daily_raw!$A$2:$A$3819,bunker_daily_raw!$B$2:$B$3819)</f>
        <v>#N/A</v>
      </c>
      <c r="C3789" s="6">
        <v>99.15</v>
      </c>
    </row>
    <row r="3790" spans="1:3" x14ac:dyDescent="0.25">
      <c r="A3790" s="4">
        <v>41101</v>
      </c>
      <c r="B3790" s="5" t="e">
        <f>_xlfn.XLOOKUP(A3790,bunker_daily_raw!$A$2:$A$3819,bunker_daily_raw!$B$2:$B$3819)</f>
        <v>#N/A</v>
      </c>
      <c r="C3790" s="6">
        <v>99.23</v>
      </c>
    </row>
    <row r="3791" spans="1:3" x14ac:dyDescent="0.25">
      <c r="A3791" s="4">
        <v>41102</v>
      </c>
      <c r="B3791" s="5" t="e">
        <f>_xlfn.XLOOKUP(A3791,bunker_daily_raw!$A$2:$A$3819,bunker_daily_raw!$B$2:$B$3819)</f>
        <v>#N/A</v>
      </c>
      <c r="C3791" s="6">
        <v>99.18</v>
      </c>
    </row>
    <row r="3792" spans="1:3" x14ac:dyDescent="0.25">
      <c r="A3792" s="4">
        <v>41103</v>
      </c>
      <c r="B3792" s="5" t="e">
        <f>_xlfn.XLOOKUP(A3792,bunker_daily_raw!$A$2:$A$3819,bunker_daily_raw!$B$2:$B$3819)</f>
        <v>#N/A</v>
      </c>
      <c r="C3792" s="6">
        <v>101.91</v>
      </c>
    </row>
    <row r="3793" spans="1:3" x14ac:dyDescent="0.25">
      <c r="A3793" s="4">
        <v>41106</v>
      </c>
      <c r="B3793" s="5" t="e">
        <f>_xlfn.XLOOKUP(A3793,bunker_daily_raw!$A$2:$A$3819,bunker_daily_raw!$B$2:$B$3819)</f>
        <v>#N/A</v>
      </c>
      <c r="C3793" s="6">
        <v>102.1</v>
      </c>
    </row>
    <row r="3794" spans="1:3" x14ac:dyDescent="0.25">
      <c r="A3794" s="4">
        <v>41107</v>
      </c>
      <c r="B3794" s="5" t="e">
        <f>_xlfn.XLOOKUP(A3794,bunker_daily_raw!$A$2:$A$3819,bunker_daily_raw!$B$2:$B$3819)</f>
        <v>#N/A</v>
      </c>
      <c r="C3794" s="6">
        <v>104.21</v>
      </c>
    </row>
    <row r="3795" spans="1:3" x14ac:dyDescent="0.25">
      <c r="A3795" s="4">
        <v>41108</v>
      </c>
      <c r="B3795" s="5" t="e">
        <f>_xlfn.XLOOKUP(A3795,bunker_daily_raw!$A$2:$A$3819,bunker_daily_raw!$B$2:$B$3819)</f>
        <v>#N/A</v>
      </c>
      <c r="C3795" s="6">
        <v>105.92</v>
      </c>
    </row>
    <row r="3796" spans="1:3" x14ac:dyDescent="0.25">
      <c r="A3796" s="4">
        <v>41109</v>
      </c>
      <c r="B3796" s="5" t="e">
        <f>_xlfn.XLOOKUP(A3796,bunker_daily_raw!$A$2:$A$3819,bunker_daily_raw!$B$2:$B$3819)</f>
        <v>#N/A</v>
      </c>
      <c r="C3796" s="6">
        <v>107.79</v>
      </c>
    </row>
    <row r="3797" spans="1:3" x14ac:dyDescent="0.25">
      <c r="A3797" s="4">
        <v>41110</v>
      </c>
      <c r="B3797" s="5" t="e">
        <f>_xlfn.XLOOKUP(A3797,bunker_daily_raw!$A$2:$A$3819,bunker_daily_raw!$B$2:$B$3819)</f>
        <v>#N/A</v>
      </c>
      <c r="C3797" s="6">
        <v>106.98</v>
      </c>
    </row>
    <row r="3798" spans="1:3" x14ac:dyDescent="0.25">
      <c r="A3798" s="4">
        <v>41113</v>
      </c>
      <c r="B3798" s="5" t="e">
        <f>_xlfn.XLOOKUP(A3798,bunker_daily_raw!$A$2:$A$3819,bunker_daily_raw!$B$2:$B$3819)</f>
        <v>#N/A</v>
      </c>
      <c r="C3798" s="6">
        <v>103.91</v>
      </c>
    </row>
    <row r="3799" spans="1:3" x14ac:dyDescent="0.25">
      <c r="A3799" s="4">
        <v>41114</v>
      </c>
      <c r="B3799" s="5" t="e">
        <f>_xlfn.XLOOKUP(A3799,bunker_daily_raw!$A$2:$A$3819,bunker_daily_raw!$B$2:$B$3819)</f>
        <v>#N/A</v>
      </c>
      <c r="C3799" s="6">
        <v>103.57</v>
      </c>
    </row>
    <row r="3800" spans="1:3" x14ac:dyDescent="0.25">
      <c r="A3800" s="4">
        <v>41115</v>
      </c>
      <c r="B3800" s="5" t="e">
        <f>_xlfn.XLOOKUP(A3800,bunker_daily_raw!$A$2:$A$3819,bunker_daily_raw!$B$2:$B$3819)</f>
        <v>#N/A</v>
      </c>
      <c r="C3800" s="6">
        <v>102.35</v>
      </c>
    </row>
    <row r="3801" spans="1:3" x14ac:dyDescent="0.25">
      <c r="A3801" s="4">
        <v>41116</v>
      </c>
      <c r="B3801" s="5" t="e">
        <f>_xlfn.XLOOKUP(A3801,bunker_daily_raw!$A$2:$A$3819,bunker_daily_raw!$B$2:$B$3819)</f>
        <v>#N/A</v>
      </c>
      <c r="C3801" s="6">
        <v>104.77</v>
      </c>
    </row>
    <row r="3802" spans="1:3" x14ac:dyDescent="0.25">
      <c r="A3802" s="4">
        <v>41117</v>
      </c>
      <c r="B3802" s="5" t="e">
        <f>_xlfn.XLOOKUP(A3802,bunker_daily_raw!$A$2:$A$3819,bunker_daily_raw!$B$2:$B$3819)</f>
        <v>#N/A</v>
      </c>
      <c r="C3802" s="6">
        <v>106.3</v>
      </c>
    </row>
    <row r="3803" spans="1:3" x14ac:dyDescent="0.25">
      <c r="A3803" s="4">
        <v>41120</v>
      </c>
      <c r="B3803" s="5" t="e">
        <f>_xlfn.XLOOKUP(A3803,bunker_daily_raw!$A$2:$A$3819,bunker_daily_raw!$B$2:$B$3819)</f>
        <v>#N/A</v>
      </c>
      <c r="C3803" s="6">
        <v>106.54</v>
      </c>
    </row>
    <row r="3804" spans="1:3" x14ac:dyDescent="0.25">
      <c r="A3804" s="4">
        <v>41121</v>
      </c>
      <c r="B3804" s="5">
        <f>_xlfn.XLOOKUP(A3804,bunker_daily_raw!$A$2:$A$3819,bunker_daily_raw!$B$2:$B$3819)</f>
        <v>605</v>
      </c>
      <c r="C3804" s="6">
        <v>105.93</v>
      </c>
    </row>
    <row r="3805" spans="1:3" x14ac:dyDescent="0.25">
      <c r="A3805" s="4">
        <v>41122</v>
      </c>
      <c r="B3805" s="5">
        <f>_xlfn.XLOOKUP(A3805,bunker_daily_raw!$A$2:$A$3819,bunker_daily_raw!$B$2:$B$3819)</f>
        <v>607</v>
      </c>
      <c r="C3805" s="6">
        <v>106.78</v>
      </c>
    </row>
    <row r="3806" spans="1:3" x14ac:dyDescent="0.25">
      <c r="A3806" s="4">
        <v>41123</v>
      </c>
      <c r="B3806" s="5">
        <f>_xlfn.XLOOKUP(A3806,bunker_daily_raw!$A$2:$A$3819,bunker_daily_raw!$B$2:$B$3819)</f>
        <v>609</v>
      </c>
      <c r="C3806" s="6">
        <v>107.55</v>
      </c>
    </row>
    <row r="3807" spans="1:3" x14ac:dyDescent="0.25">
      <c r="A3807" s="4">
        <v>41124</v>
      </c>
      <c r="B3807" s="5">
        <f>_xlfn.XLOOKUP(A3807,bunker_daily_raw!$A$2:$A$3819,bunker_daily_raw!$B$2:$B$3819)</f>
        <v>625</v>
      </c>
      <c r="C3807" s="6">
        <v>109.57</v>
      </c>
    </row>
    <row r="3808" spans="1:3" x14ac:dyDescent="0.25">
      <c r="A3808" s="4">
        <v>41127</v>
      </c>
      <c r="B3808" s="5">
        <f>_xlfn.XLOOKUP(A3808,bunker_daily_raw!$A$2:$A$3819,bunker_daily_raw!$B$2:$B$3819)</f>
        <v>628</v>
      </c>
      <c r="C3808" s="6">
        <v>110.01</v>
      </c>
    </row>
    <row r="3809" spans="1:3" x14ac:dyDescent="0.25">
      <c r="A3809" s="4">
        <v>41128</v>
      </c>
      <c r="B3809" s="5">
        <f>_xlfn.XLOOKUP(A3809,bunker_daily_raw!$A$2:$A$3819,bunker_daily_raw!$B$2:$B$3819)</f>
        <v>641</v>
      </c>
      <c r="C3809" s="6">
        <v>112.39</v>
      </c>
    </row>
    <row r="3810" spans="1:3" x14ac:dyDescent="0.25">
      <c r="A3810" s="4">
        <v>41129</v>
      </c>
      <c r="B3810" s="5">
        <f>_xlfn.XLOOKUP(A3810,bunker_daily_raw!$A$2:$A$3819,bunker_daily_raw!$B$2:$B$3819)</f>
        <v>643</v>
      </c>
      <c r="C3810" s="6">
        <v>113.42</v>
      </c>
    </row>
    <row r="3811" spans="1:3" x14ac:dyDescent="0.25">
      <c r="A3811" s="4">
        <v>41130</v>
      </c>
      <c r="B3811" s="5">
        <f>_xlfn.XLOOKUP(A3811,bunker_daily_raw!$A$2:$A$3819,bunker_daily_raw!$B$2:$B$3819)</f>
        <v>647</v>
      </c>
      <c r="C3811" s="6">
        <v>113.52</v>
      </c>
    </row>
    <row r="3812" spans="1:3" x14ac:dyDescent="0.25">
      <c r="A3812" s="4">
        <v>41131</v>
      </c>
      <c r="B3812" s="5">
        <f>_xlfn.XLOOKUP(A3812,bunker_daily_raw!$A$2:$A$3819,bunker_daily_raw!$B$2:$B$3819)</f>
        <v>645</v>
      </c>
      <c r="C3812" s="6">
        <v>113.13</v>
      </c>
    </row>
    <row r="3813" spans="1:3" x14ac:dyDescent="0.25">
      <c r="A3813" s="4">
        <v>41134</v>
      </c>
      <c r="B3813" s="5">
        <f>_xlfn.XLOOKUP(A3813,bunker_daily_raw!$A$2:$A$3819,bunker_daily_raw!$B$2:$B$3819)</f>
        <v>651</v>
      </c>
      <c r="C3813" s="6">
        <v>114.48</v>
      </c>
    </row>
    <row r="3814" spans="1:3" x14ac:dyDescent="0.25">
      <c r="A3814" s="4">
        <v>41135</v>
      </c>
      <c r="B3814" s="5">
        <f>_xlfn.XLOOKUP(A3814,bunker_daily_raw!$A$2:$A$3819,bunker_daily_raw!$B$2:$B$3819)</f>
        <v>653</v>
      </c>
      <c r="C3814" s="6">
        <v>113.9</v>
      </c>
    </row>
    <row r="3815" spans="1:3" x14ac:dyDescent="0.25">
      <c r="A3815" s="4">
        <v>41136</v>
      </c>
      <c r="B3815" s="5">
        <f>_xlfn.XLOOKUP(A3815,bunker_daily_raw!$A$2:$A$3819,bunker_daily_raw!$B$2:$B$3819)</f>
        <v>660</v>
      </c>
      <c r="C3815" s="6">
        <v>115.51</v>
      </c>
    </row>
    <row r="3816" spans="1:3" x14ac:dyDescent="0.25">
      <c r="A3816" s="4">
        <v>41137</v>
      </c>
      <c r="B3816" s="5">
        <f>_xlfn.XLOOKUP(A3816,bunker_daily_raw!$A$2:$A$3819,bunker_daily_raw!$B$2:$B$3819)</f>
        <v>669</v>
      </c>
      <c r="C3816" s="6">
        <v>116.12</v>
      </c>
    </row>
    <row r="3817" spans="1:3" x14ac:dyDescent="0.25">
      <c r="A3817" s="4">
        <v>41138</v>
      </c>
      <c r="B3817" s="5">
        <f>_xlfn.XLOOKUP(A3817,bunker_daily_raw!$A$2:$A$3819,bunker_daily_raw!$B$2:$B$3819)</f>
        <v>667</v>
      </c>
      <c r="C3817" s="6">
        <v>115.2</v>
      </c>
    </row>
    <row r="3818" spans="1:3" x14ac:dyDescent="0.25">
      <c r="A3818" s="4">
        <v>41141</v>
      </c>
      <c r="B3818" s="5" t="e">
        <f>_xlfn.XLOOKUP(A3818,bunker_daily_raw!$A$2:$A$3819,bunker_daily_raw!$B$2:$B$3819)</f>
        <v>#N/A</v>
      </c>
      <c r="C3818" s="6">
        <v>115.5</v>
      </c>
    </row>
    <row r="3819" spans="1:3" x14ac:dyDescent="0.25">
      <c r="A3819" s="4">
        <v>41142</v>
      </c>
      <c r="B3819" s="5" t="e">
        <f>_xlfn.XLOOKUP(A3819,bunker_daily_raw!$A$2:$A$3819,bunker_daily_raw!$B$2:$B$3819)</f>
        <v>#N/A</v>
      </c>
      <c r="C3819" s="6">
        <v>116.03</v>
      </c>
    </row>
    <row r="3820" spans="1:3" x14ac:dyDescent="0.25">
      <c r="A3820" s="4">
        <v>41143</v>
      </c>
      <c r="B3820" s="5" t="e">
        <f>_xlfn.XLOOKUP(A3820,bunker_daily_raw!$A$2:$A$3819,bunker_daily_raw!$B$2:$B$3819)</f>
        <v>#N/A</v>
      </c>
      <c r="C3820" s="6">
        <v>115.77</v>
      </c>
    </row>
    <row r="3821" spans="1:3" x14ac:dyDescent="0.25">
      <c r="A3821" s="4">
        <v>41144</v>
      </c>
      <c r="B3821" s="5" t="e">
        <f>_xlfn.XLOOKUP(A3821,bunker_daily_raw!$A$2:$A$3819,bunker_daily_raw!$B$2:$B$3819)</f>
        <v>#N/A</v>
      </c>
      <c r="C3821" s="6">
        <v>117.45</v>
      </c>
    </row>
    <row r="3822" spans="1:3" x14ac:dyDescent="0.25">
      <c r="A3822" s="4">
        <v>41145</v>
      </c>
      <c r="B3822" s="5" t="e">
        <f>_xlfn.XLOOKUP(A3822,bunker_daily_raw!$A$2:$A$3819,bunker_daily_raw!$B$2:$B$3819)</f>
        <v>#N/A</v>
      </c>
      <c r="C3822" s="6">
        <v>115.76</v>
      </c>
    </row>
    <row r="3823" spans="1:3" x14ac:dyDescent="0.25">
      <c r="A3823" s="4">
        <v>41148</v>
      </c>
      <c r="B3823" s="5" t="e">
        <f>_xlfn.XLOOKUP(A3823,bunker_daily_raw!$A$2:$A$3819,bunker_daily_raw!$B$2:$B$3819)</f>
        <v>#N/A</v>
      </c>
      <c r="C3823" s="6">
        <v>113.74</v>
      </c>
    </row>
    <row r="3824" spans="1:3" x14ac:dyDescent="0.25">
      <c r="A3824" s="4">
        <v>41149</v>
      </c>
      <c r="B3824" s="5" t="e">
        <f>_xlfn.XLOOKUP(A3824,bunker_daily_raw!$A$2:$A$3819,bunker_daily_raw!$B$2:$B$3819)</f>
        <v>#N/A</v>
      </c>
      <c r="C3824" s="6">
        <v>112.62</v>
      </c>
    </row>
    <row r="3825" spans="1:3" x14ac:dyDescent="0.25">
      <c r="A3825" s="4">
        <v>41150</v>
      </c>
      <c r="B3825" s="5" t="e">
        <f>_xlfn.XLOOKUP(A3825,bunker_daily_raw!$A$2:$A$3819,bunker_daily_raw!$B$2:$B$3819)</f>
        <v>#N/A</v>
      </c>
      <c r="C3825" s="6">
        <v>112.53</v>
      </c>
    </row>
    <row r="3826" spans="1:3" x14ac:dyDescent="0.25">
      <c r="A3826" s="4">
        <v>41151</v>
      </c>
      <c r="B3826" s="5" t="e">
        <f>_xlfn.XLOOKUP(A3826,bunker_daily_raw!$A$2:$A$3819,bunker_daily_raw!$B$2:$B$3819)</f>
        <v>#N/A</v>
      </c>
      <c r="C3826" s="6">
        <v>112.28</v>
      </c>
    </row>
    <row r="3827" spans="1:3" x14ac:dyDescent="0.25">
      <c r="A3827" s="4">
        <v>41152</v>
      </c>
      <c r="B3827" s="5" t="e">
        <f>_xlfn.XLOOKUP(A3827,bunker_daily_raw!$A$2:$A$3819,bunker_daily_raw!$B$2:$B$3819)</f>
        <v>#N/A</v>
      </c>
      <c r="C3827" s="6">
        <v>113.93</v>
      </c>
    </row>
    <row r="3828" spans="1:3" x14ac:dyDescent="0.25">
      <c r="A3828" s="4">
        <v>41155</v>
      </c>
      <c r="B3828" s="5" t="e">
        <f>_xlfn.XLOOKUP(A3828,bunker_daily_raw!$A$2:$A$3819,bunker_daily_raw!$B$2:$B$3819)</f>
        <v>#N/A</v>
      </c>
      <c r="C3828" s="5"/>
    </row>
    <row r="3829" spans="1:3" x14ac:dyDescent="0.25">
      <c r="A3829" s="4">
        <v>41156</v>
      </c>
      <c r="B3829" s="5" t="e">
        <f>_xlfn.XLOOKUP(A3829,bunker_daily_raw!$A$2:$A$3819,bunker_daily_raw!$B$2:$B$3819)</f>
        <v>#N/A</v>
      </c>
      <c r="C3829" s="6">
        <v>114.98</v>
      </c>
    </row>
    <row r="3830" spans="1:3" x14ac:dyDescent="0.25">
      <c r="A3830" s="4">
        <v>41157</v>
      </c>
      <c r="B3830" s="5" t="e">
        <f>_xlfn.XLOOKUP(A3830,bunker_daily_raw!$A$2:$A$3819,bunker_daily_raw!$B$2:$B$3819)</f>
        <v>#N/A</v>
      </c>
      <c r="C3830" s="6">
        <v>113.32</v>
      </c>
    </row>
    <row r="3831" spans="1:3" x14ac:dyDescent="0.25">
      <c r="A3831" s="4">
        <v>41158</v>
      </c>
      <c r="B3831" s="5" t="e">
        <f>_xlfn.XLOOKUP(A3831,bunker_daily_raw!$A$2:$A$3819,bunker_daily_raw!$B$2:$B$3819)</f>
        <v>#N/A</v>
      </c>
      <c r="C3831" s="6">
        <v>114.5</v>
      </c>
    </row>
    <row r="3832" spans="1:3" x14ac:dyDescent="0.25">
      <c r="A3832" s="4">
        <v>41159</v>
      </c>
      <c r="B3832" s="5" t="e">
        <f>_xlfn.XLOOKUP(A3832,bunker_daily_raw!$A$2:$A$3819,bunker_daily_raw!$B$2:$B$3819)</f>
        <v>#N/A</v>
      </c>
      <c r="C3832" s="6">
        <v>113.64</v>
      </c>
    </row>
    <row r="3833" spans="1:3" x14ac:dyDescent="0.25">
      <c r="A3833" s="4">
        <v>41162</v>
      </c>
      <c r="B3833" s="5" t="e">
        <f>_xlfn.XLOOKUP(A3833,bunker_daily_raw!$A$2:$A$3819,bunker_daily_raw!$B$2:$B$3819)</f>
        <v>#N/A</v>
      </c>
      <c r="C3833" s="6">
        <v>113.84</v>
      </c>
    </row>
    <row r="3834" spans="1:3" x14ac:dyDescent="0.25">
      <c r="A3834" s="4">
        <v>41163</v>
      </c>
      <c r="B3834" s="5" t="e">
        <f>_xlfn.XLOOKUP(A3834,bunker_daily_raw!$A$2:$A$3819,bunker_daily_raw!$B$2:$B$3819)</f>
        <v>#N/A</v>
      </c>
      <c r="C3834" s="6">
        <v>114.86</v>
      </c>
    </row>
    <row r="3835" spans="1:3" x14ac:dyDescent="0.25">
      <c r="A3835" s="4">
        <v>41164</v>
      </c>
      <c r="B3835" s="5" t="e">
        <f>_xlfn.XLOOKUP(A3835,bunker_daily_raw!$A$2:$A$3819,bunker_daily_raw!$B$2:$B$3819)</f>
        <v>#N/A</v>
      </c>
      <c r="C3835" s="6">
        <v>114.86</v>
      </c>
    </row>
    <row r="3836" spans="1:3" x14ac:dyDescent="0.25">
      <c r="A3836" s="4">
        <v>41165</v>
      </c>
      <c r="B3836" s="5" t="e">
        <f>_xlfn.XLOOKUP(A3836,bunker_daily_raw!$A$2:$A$3819,bunker_daily_raw!$B$2:$B$3819)</f>
        <v>#N/A</v>
      </c>
      <c r="C3836" s="6">
        <v>116</v>
      </c>
    </row>
    <row r="3837" spans="1:3" x14ac:dyDescent="0.25">
      <c r="A3837" s="4">
        <v>41166</v>
      </c>
      <c r="B3837" s="5" t="e">
        <f>_xlfn.XLOOKUP(A3837,bunker_daily_raw!$A$2:$A$3819,bunker_daily_raw!$B$2:$B$3819)</f>
        <v>#N/A</v>
      </c>
      <c r="C3837" s="6">
        <v>117.48</v>
      </c>
    </row>
    <row r="3838" spans="1:3" x14ac:dyDescent="0.25">
      <c r="A3838" s="4">
        <v>41169</v>
      </c>
      <c r="B3838" s="5" t="e">
        <f>_xlfn.XLOOKUP(A3838,bunker_daily_raw!$A$2:$A$3819,bunker_daily_raw!$B$2:$B$3819)</f>
        <v>#N/A</v>
      </c>
      <c r="C3838" s="6">
        <v>116.7</v>
      </c>
    </row>
    <row r="3839" spans="1:3" x14ac:dyDescent="0.25">
      <c r="A3839" s="4">
        <v>41170</v>
      </c>
      <c r="B3839" s="5" t="e">
        <f>_xlfn.XLOOKUP(A3839,bunker_daily_raw!$A$2:$A$3819,bunker_daily_raw!$B$2:$B$3819)</f>
        <v>#N/A</v>
      </c>
      <c r="C3839" s="6">
        <v>113.29</v>
      </c>
    </row>
    <row r="3840" spans="1:3" x14ac:dyDescent="0.25">
      <c r="A3840" s="4">
        <v>41171</v>
      </c>
      <c r="B3840" s="5">
        <f>_xlfn.XLOOKUP(A3840,bunker_daily_raw!$A$2:$A$3819,bunker_daily_raw!$B$2:$B$3819)</f>
        <v>638</v>
      </c>
      <c r="C3840" s="6">
        <v>108.49</v>
      </c>
    </row>
    <row r="3841" spans="1:3" x14ac:dyDescent="0.25">
      <c r="A3841" s="4">
        <v>41172</v>
      </c>
      <c r="B3841" s="5" t="e">
        <f>_xlfn.XLOOKUP(A3841,bunker_daily_raw!$A$2:$A$3819,bunker_daily_raw!$B$2:$B$3819)</f>
        <v>#N/A</v>
      </c>
      <c r="C3841" s="6">
        <v>109.41</v>
      </c>
    </row>
    <row r="3842" spans="1:3" x14ac:dyDescent="0.25">
      <c r="A3842" s="4">
        <v>41173</v>
      </c>
      <c r="B3842" s="5" t="e">
        <f>_xlfn.XLOOKUP(A3842,bunker_daily_raw!$A$2:$A$3819,bunker_daily_raw!$B$2:$B$3819)</f>
        <v>#N/A</v>
      </c>
      <c r="C3842" s="6">
        <v>111.27</v>
      </c>
    </row>
    <row r="3843" spans="1:3" x14ac:dyDescent="0.25">
      <c r="A3843" s="4">
        <v>41176</v>
      </c>
      <c r="B3843" s="5" t="e">
        <f>_xlfn.XLOOKUP(A3843,bunker_daily_raw!$A$2:$A$3819,bunker_daily_raw!$B$2:$B$3819)</f>
        <v>#N/A</v>
      </c>
      <c r="C3843" s="6">
        <v>109.2</v>
      </c>
    </row>
    <row r="3844" spans="1:3" x14ac:dyDescent="0.25">
      <c r="A3844" s="4">
        <v>41177</v>
      </c>
      <c r="B3844" s="5" t="e">
        <f>_xlfn.XLOOKUP(A3844,bunker_daily_raw!$A$2:$A$3819,bunker_daily_raw!$B$2:$B$3819)</f>
        <v>#N/A</v>
      </c>
      <c r="C3844" s="6">
        <v>110.77</v>
      </c>
    </row>
    <row r="3845" spans="1:3" x14ac:dyDescent="0.25">
      <c r="A3845" s="4">
        <v>41178</v>
      </c>
      <c r="B3845" s="5" t="e">
        <f>_xlfn.XLOOKUP(A3845,bunker_daily_raw!$A$2:$A$3819,bunker_daily_raw!$B$2:$B$3819)</f>
        <v>#N/A</v>
      </c>
      <c r="C3845" s="6">
        <v>108.99</v>
      </c>
    </row>
    <row r="3846" spans="1:3" x14ac:dyDescent="0.25">
      <c r="A3846" s="4">
        <v>41179</v>
      </c>
      <c r="B3846" s="5" t="e">
        <f>_xlfn.XLOOKUP(A3846,bunker_daily_raw!$A$2:$A$3819,bunker_daily_raw!$B$2:$B$3819)</f>
        <v>#N/A</v>
      </c>
      <c r="C3846" s="6">
        <v>111.45</v>
      </c>
    </row>
    <row r="3847" spans="1:3" x14ac:dyDescent="0.25">
      <c r="A3847" s="4">
        <v>41180</v>
      </c>
      <c r="B3847" s="5" t="e">
        <f>_xlfn.XLOOKUP(A3847,bunker_daily_raw!$A$2:$A$3819,bunker_daily_raw!$B$2:$B$3819)</f>
        <v>#N/A</v>
      </c>
      <c r="C3847" s="6">
        <v>111.36</v>
      </c>
    </row>
    <row r="3848" spans="1:3" x14ac:dyDescent="0.25">
      <c r="A3848" s="4">
        <v>41183</v>
      </c>
      <c r="B3848" s="5" t="e">
        <f>_xlfn.XLOOKUP(A3848,bunker_daily_raw!$A$2:$A$3819,bunker_daily_raw!$B$2:$B$3819)</f>
        <v>#N/A</v>
      </c>
      <c r="C3848" s="6">
        <v>112.58</v>
      </c>
    </row>
    <row r="3849" spans="1:3" x14ac:dyDescent="0.25">
      <c r="A3849" s="4">
        <v>41184</v>
      </c>
      <c r="B3849" s="5" t="e">
        <f>_xlfn.XLOOKUP(A3849,bunker_daily_raw!$A$2:$A$3819,bunker_daily_raw!$B$2:$B$3819)</f>
        <v>#N/A</v>
      </c>
      <c r="C3849" s="6">
        <v>112.49</v>
      </c>
    </row>
    <row r="3850" spans="1:3" x14ac:dyDescent="0.25">
      <c r="A3850" s="4">
        <v>41185</v>
      </c>
      <c r="B3850" s="5" t="e">
        <f>_xlfn.XLOOKUP(A3850,bunker_daily_raw!$A$2:$A$3819,bunker_daily_raw!$B$2:$B$3819)</f>
        <v>#N/A</v>
      </c>
      <c r="C3850" s="6">
        <v>109.32</v>
      </c>
    </row>
    <row r="3851" spans="1:3" x14ac:dyDescent="0.25">
      <c r="A3851" s="4">
        <v>41186</v>
      </c>
      <c r="B3851" s="5" t="e">
        <f>_xlfn.XLOOKUP(A3851,bunker_daily_raw!$A$2:$A$3819,bunker_daily_raw!$B$2:$B$3819)</f>
        <v>#N/A</v>
      </c>
      <c r="C3851" s="6">
        <v>110.48</v>
      </c>
    </row>
    <row r="3852" spans="1:3" x14ac:dyDescent="0.25">
      <c r="A3852" s="4">
        <v>41187</v>
      </c>
      <c r="B3852" s="5" t="e">
        <f>_xlfn.XLOOKUP(A3852,bunker_daily_raw!$A$2:$A$3819,bunker_daily_raw!$B$2:$B$3819)</f>
        <v>#N/A</v>
      </c>
      <c r="C3852" s="6">
        <v>112.17</v>
      </c>
    </row>
    <row r="3853" spans="1:3" x14ac:dyDescent="0.25">
      <c r="A3853" s="4">
        <v>41190</v>
      </c>
      <c r="B3853" s="5" t="e">
        <f>_xlfn.XLOOKUP(A3853,bunker_daily_raw!$A$2:$A$3819,bunker_daily_raw!$B$2:$B$3819)</f>
        <v>#N/A</v>
      </c>
      <c r="C3853" s="6">
        <v>112.6</v>
      </c>
    </row>
    <row r="3854" spans="1:3" x14ac:dyDescent="0.25">
      <c r="A3854" s="4">
        <v>41191</v>
      </c>
      <c r="B3854" s="5" t="e">
        <f>_xlfn.XLOOKUP(A3854,bunker_daily_raw!$A$2:$A$3819,bunker_daily_raw!$B$2:$B$3819)</f>
        <v>#N/A</v>
      </c>
      <c r="C3854" s="6">
        <v>114.32</v>
      </c>
    </row>
    <row r="3855" spans="1:3" x14ac:dyDescent="0.25">
      <c r="A3855" s="4">
        <v>41192</v>
      </c>
      <c r="B3855" s="5" t="e">
        <f>_xlfn.XLOOKUP(A3855,bunker_daily_raw!$A$2:$A$3819,bunker_daily_raw!$B$2:$B$3819)</f>
        <v>#N/A</v>
      </c>
      <c r="C3855" s="6">
        <v>116.11</v>
      </c>
    </row>
    <row r="3856" spans="1:3" x14ac:dyDescent="0.25">
      <c r="A3856" s="4">
        <v>41193</v>
      </c>
      <c r="B3856" s="5" t="e">
        <f>_xlfn.XLOOKUP(A3856,bunker_daily_raw!$A$2:$A$3819,bunker_daily_raw!$B$2:$B$3819)</f>
        <v>#N/A</v>
      </c>
      <c r="C3856" s="6">
        <v>116.18</v>
      </c>
    </row>
    <row r="3857" spans="1:3" x14ac:dyDescent="0.25">
      <c r="A3857" s="4">
        <v>41194</v>
      </c>
      <c r="B3857" s="5" t="e">
        <f>_xlfn.XLOOKUP(A3857,bunker_daily_raw!$A$2:$A$3819,bunker_daily_raw!$B$2:$B$3819)</f>
        <v>#N/A</v>
      </c>
      <c r="C3857" s="6">
        <v>115.17</v>
      </c>
    </row>
    <row r="3858" spans="1:3" x14ac:dyDescent="0.25">
      <c r="A3858" s="4">
        <v>41197</v>
      </c>
      <c r="B3858" s="5" t="e">
        <f>_xlfn.XLOOKUP(A3858,bunker_daily_raw!$A$2:$A$3819,bunker_daily_raw!$B$2:$B$3819)</f>
        <v>#N/A</v>
      </c>
      <c r="C3858" s="6">
        <v>115</v>
      </c>
    </row>
    <row r="3859" spans="1:3" x14ac:dyDescent="0.25">
      <c r="A3859" s="4">
        <v>41198</v>
      </c>
      <c r="B3859" s="5" t="e">
        <f>_xlfn.XLOOKUP(A3859,bunker_daily_raw!$A$2:$A$3819,bunker_daily_raw!$B$2:$B$3819)</f>
        <v>#N/A</v>
      </c>
      <c r="C3859" s="6">
        <v>115</v>
      </c>
    </row>
    <row r="3860" spans="1:3" x14ac:dyDescent="0.25">
      <c r="A3860" s="4">
        <v>41199</v>
      </c>
      <c r="B3860" s="5" t="e">
        <f>_xlfn.XLOOKUP(A3860,bunker_daily_raw!$A$2:$A$3819,bunker_daily_raw!$B$2:$B$3819)</f>
        <v>#N/A</v>
      </c>
      <c r="C3860" s="6">
        <v>113.49</v>
      </c>
    </row>
    <row r="3861" spans="1:3" x14ac:dyDescent="0.25">
      <c r="A3861" s="4">
        <v>41200</v>
      </c>
      <c r="B3861" s="5" t="e">
        <f>_xlfn.XLOOKUP(A3861,bunker_daily_raw!$A$2:$A$3819,bunker_daily_raw!$B$2:$B$3819)</f>
        <v>#N/A</v>
      </c>
      <c r="C3861" s="6">
        <v>112.58</v>
      </c>
    </row>
    <row r="3862" spans="1:3" x14ac:dyDescent="0.25">
      <c r="A3862" s="4">
        <v>41201</v>
      </c>
      <c r="B3862" s="5" t="e">
        <f>_xlfn.XLOOKUP(A3862,bunker_daily_raw!$A$2:$A$3819,bunker_daily_raw!$B$2:$B$3819)</f>
        <v>#N/A</v>
      </c>
      <c r="C3862" s="6">
        <v>111.89</v>
      </c>
    </row>
    <row r="3863" spans="1:3" x14ac:dyDescent="0.25">
      <c r="A3863" s="4">
        <v>41204</v>
      </c>
      <c r="B3863" s="5" t="e">
        <f>_xlfn.XLOOKUP(A3863,bunker_daily_raw!$A$2:$A$3819,bunker_daily_raw!$B$2:$B$3819)</f>
        <v>#N/A</v>
      </c>
      <c r="C3863" s="6">
        <v>109.62</v>
      </c>
    </row>
    <row r="3864" spans="1:3" x14ac:dyDescent="0.25">
      <c r="A3864" s="4">
        <v>41205</v>
      </c>
      <c r="B3864" s="5" t="e">
        <f>_xlfn.XLOOKUP(A3864,bunker_daily_raw!$A$2:$A$3819,bunker_daily_raw!$B$2:$B$3819)</f>
        <v>#N/A</v>
      </c>
      <c r="C3864" s="6">
        <v>107.53</v>
      </c>
    </row>
    <row r="3865" spans="1:3" x14ac:dyDescent="0.25">
      <c r="A3865" s="4">
        <v>41206</v>
      </c>
      <c r="B3865" s="5" t="e">
        <f>_xlfn.XLOOKUP(A3865,bunker_daily_raw!$A$2:$A$3819,bunker_daily_raw!$B$2:$B$3819)</f>
        <v>#N/A</v>
      </c>
      <c r="C3865" s="6">
        <v>107.66</v>
      </c>
    </row>
    <row r="3866" spans="1:3" x14ac:dyDescent="0.25">
      <c r="A3866" s="4">
        <v>41207</v>
      </c>
      <c r="B3866" s="5" t="e">
        <f>_xlfn.XLOOKUP(A3866,bunker_daily_raw!$A$2:$A$3819,bunker_daily_raw!$B$2:$B$3819)</f>
        <v>#N/A</v>
      </c>
      <c r="C3866" s="6">
        <v>107.64</v>
      </c>
    </row>
    <row r="3867" spans="1:3" x14ac:dyDescent="0.25">
      <c r="A3867" s="4">
        <v>41208</v>
      </c>
      <c r="B3867" s="5" t="e">
        <f>_xlfn.XLOOKUP(A3867,bunker_daily_raw!$A$2:$A$3819,bunker_daily_raw!$B$2:$B$3819)</f>
        <v>#N/A</v>
      </c>
      <c r="C3867" s="6">
        <v>108.9</v>
      </c>
    </row>
    <row r="3868" spans="1:3" x14ac:dyDescent="0.25">
      <c r="A3868" s="4">
        <v>41211</v>
      </c>
      <c r="B3868" s="5" t="e">
        <f>_xlfn.XLOOKUP(A3868,bunker_daily_raw!$A$2:$A$3819,bunker_daily_raw!$B$2:$B$3819)</f>
        <v>#N/A</v>
      </c>
      <c r="C3868" s="6">
        <v>109.33</v>
      </c>
    </row>
    <row r="3869" spans="1:3" x14ac:dyDescent="0.25">
      <c r="A3869" s="4">
        <v>41212</v>
      </c>
      <c r="B3869" s="5" t="e">
        <f>_xlfn.XLOOKUP(A3869,bunker_daily_raw!$A$2:$A$3819,bunker_daily_raw!$B$2:$B$3819)</f>
        <v>#N/A</v>
      </c>
      <c r="C3869" s="6">
        <v>109.4</v>
      </c>
    </row>
    <row r="3870" spans="1:3" x14ac:dyDescent="0.25">
      <c r="A3870" s="4">
        <v>41213</v>
      </c>
      <c r="B3870" s="5" t="e">
        <f>_xlfn.XLOOKUP(A3870,bunker_daily_raw!$A$2:$A$3819,bunker_daily_raw!$B$2:$B$3819)</f>
        <v>#N/A</v>
      </c>
      <c r="C3870" s="6">
        <v>109.89</v>
      </c>
    </row>
    <row r="3871" spans="1:3" x14ac:dyDescent="0.25">
      <c r="A3871" s="4">
        <v>41214</v>
      </c>
      <c r="B3871" s="5" t="e">
        <f>_xlfn.XLOOKUP(A3871,bunker_daily_raw!$A$2:$A$3819,bunker_daily_raw!$B$2:$B$3819)</f>
        <v>#N/A</v>
      </c>
      <c r="C3871" s="6">
        <v>108.84</v>
      </c>
    </row>
    <row r="3872" spans="1:3" x14ac:dyDescent="0.25">
      <c r="A3872" s="4">
        <v>41215</v>
      </c>
      <c r="B3872" s="5" t="e">
        <f>_xlfn.XLOOKUP(A3872,bunker_daily_raw!$A$2:$A$3819,bunker_daily_raw!$B$2:$B$3819)</f>
        <v>#N/A</v>
      </c>
      <c r="C3872" s="6">
        <v>106.79</v>
      </c>
    </row>
    <row r="3873" spans="1:3" x14ac:dyDescent="0.25">
      <c r="A3873" s="4">
        <v>41218</v>
      </c>
      <c r="B3873" s="5" t="e">
        <f>_xlfn.XLOOKUP(A3873,bunker_daily_raw!$A$2:$A$3819,bunker_daily_raw!$B$2:$B$3819)</f>
        <v>#N/A</v>
      </c>
      <c r="C3873" s="6">
        <v>105.59</v>
      </c>
    </row>
    <row r="3874" spans="1:3" x14ac:dyDescent="0.25">
      <c r="A3874" s="4">
        <v>41219</v>
      </c>
      <c r="B3874" s="5" t="e">
        <f>_xlfn.XLOOKUP(A3874,bunker_daily_raw!$A$2:$A$3819,bunker_daily_raw!$B$2:$B$3819)</f>
        <v>#N/A</v>
      </c>
      <c r="C3874" s="6">
        <v>109.27</v>
      </c>
    </row>
    <row r="3875" spans="1:3" x14ac:dyDescent="0.25">
      <c r="A3875" s="4">
        <v>41220</v>
      </c>
      <c r="B3875" s="5" t="e">
        <f>_xlfn.XLOOKUP(A3875,bunker_daily_raw!$A$2:$A$3819,bunker_daily_raw!$B$2:$B$3819)</f>
        <v>#N/A</v>
      </c>
      <c r="C3875" s="6">
        <v>108.21</v>
      </c>
    </row>
    <row r="3876" spans="1:3" x14ac:dyDescent="0.25">
      <c r="A3876" s="4">
        <v>41221</v>
      </c>
      <c r="B3876" s="5" t="e">
        <f>_xlfn.XLOOKUP(A3876,bunker_daily_raw!$A$2:$A$3819,bunker_daily_raw!$B$2:$B$3819)</f>
        <v>#N/A</v>
      </c>
      <c r="C3876" s="6">
        <v>107.23</v>
      </c>
    </row>
    <row r="3877" spans="1:3" x14ac:dyDescent="0.25">
      <c r="A3877" s="4">
        <v>41222</v>
      </c>
      <c r="B3877" s="5" t="e">
        <f>_xlfn.XLOOKUP(A3877,bunker_daily_raw!$A$2:$A$3819,bunker_daily_raw!$B$2:$B$3819)</f>
        <v>#N/A</v>
      </c>
      <c r="C3877" s="6">
        <v>108.61</v>
      </c>
    </row>
    <row r="3878" spans="1:3" x14ac:dyDescent="0.25">
      <c r="A3878" s="4">
        <v>41225</v>
      </c>
      <c r="B3878" s="5" t="e">
        <f>_xlfn.XLOOKUP(A3878,bunker_daily_raw!$A$2:$A$3819,bunker_daily_raw!$B$2:$B$3819)</f>
        <v>#N/A</v>
      </c>
      <c r="C3878" s="6">
        <v>110.23</v>
      </c>
    </row>
    <row r="3879" spans="1:3" x14ac:dyDescent="0.25">
      <c r="A3879" s="4">
        <v>41226</v>
      </c>
      <c r="B3879" s="5" t="e">
        <f>_xlfn.XLOOKUP(A3879,bunker_daily_raw!$A$2:$A$3819,bunker_daily_raw!$B$2:$B$3819)</f>
        <v>#N/A</v>
      </c>
      <c r="C3879" s="6">
        <v>108.82</v>
      </c>
    </row>
    <row r="3880" spans="1:3" x14ac:dyDescent="0.25">
      <c r="A3880" s="4">
        <v>41227</v>
      </c>
      <c r="B3880" s="5" t="e">
        <f>_xlfn.XLOOKUP(A3880,bunker_daily_raw!$A$2:$A$3819,bunker_daily_raw!$B$2:$B$3819)</f>
        <v>#N/A</v>
      </c>
      <c r="C3880" s="6">
        <v>109.66</v>
      </c>
    </row>
    <row r="3881" spans="1:3" x14ac:dyDescent="0.25">
      <c r="A3881" s="4">
        <v>41228</v>
      </c>
      <c r="B3881" s="5" t="e">
        <f>_xlfn.XLOOKUP(A3881,bunker_daily_raw!$A$2:$A$3819,bunker_daily_raw!$B$2:$B$3819)</f>
        <v>#N/A</v>
      </c>
      <c r="C3881" s="6">
        <v>110.07</v>
      </c>
    </row>
    <row r="3882" spans="1:3" x14ac:dyDescent="0.25">
      <c r="A3882" s="4">
        <v>41229</v>
      </c>
      <c r="B3882" s="5" t="e">
        <f>_xlfn.XLOOKUP(A3882,bunker_daily_raw!$A$2:$A$3819,bunker_daily_raw!$B$2:$B$3819)</f>
        <v>#N/A</v>
      </c>
      <c r="C3882" s="6">
        <v>106.81</v>
      </c>
    </row>
    <row r="3883" spans="1:3" x14ac:dyDescent="0.25">
      <c r="A3883" s="4">
        <v>41232</v>
      </c>
      <c r="B3883" s="5" t="e">
        <f>_xlfn.XLOOKUP(A3883,bunker_daily_raw!$A$2:$A$3819,bunker_daily_raw!$B$2:$B$3819)</f>
        <v>#N/A</v>
      </c>
      <c r="C3883" s="6">
        <v>110.06</v>
      </c>
    </row>
    <row r="3884" spans="1:3" x14ac:dyDescent="0.25">
      <c r="A3884" s="4">
        <v>41233</v>
      </c>
      <c r="B3884" s="5" t="e">
        <f>_xlfn.XLOOKUP(A3884,bunker_daily_raw!$A$2:$A$3819,bunker_daily_raw!$B$2:$B$3819)</f>
        <v>#N/A</v>
      </c>
      <c r="C3884" s="6">
        <v>110.01</v>
      </c>
    </row>
    <row r="3885" spans="1:3" x14ac:dyDescent="0.25">
      <c r="A3885" s="4">
        <v>41234</v>
      </c>
      <c r="B3885" s="5" t="e">
        <f>_xlfn.XLOOKUP(A3885,bunker_daily_raw!$A$2:$A$3819,bunker_daily_raw!$B$2:$B$3819)</f>
        <v>#N/A</v>
      </c>
      <c r="C3885" s="6">
        <v>110.81</v>
      </c>
    </row>
    <row r="3886" spans="1:3" x14ac:dyDescent="0.25">
      <c r="A3886" s="4">
        <v>41235</v>
      </c>
      <c r="B3886" s="5" t="e">
        <f>_xlfn.XLOOKUP(A3886,bunker_daily_raw!$A$2:$A$3819,bunker_daily_raw!$B$2:$B$3819)</f>
        <v>#N/A</v>
      </c>
      <c r="C3886" s="5"/>
    </row>
    <row r="3887" spans="1:3" x14ac:dyDescent="0.25">
      <c r="A3887" s="4">
        <v>41236</v>
      </c>
      <c r="B3887" s="5" t="e">
        <f>_xlfn.XLOOKUP(A3887,bunker_daily_raw!$A$2:$A$3819,bunker_daily_raw!$B$2:$B$3819)</f>
        <v>#N/A</v>
      </c>
      <c r="C3887" s="6">
        <v>110.14</v>
      </c>
    </row>
    <row r="3888" spans="1:3" x14ac:dyDescent="0.25">
      <c r="A3888" s="4">
        <v>41239</v>
      </c>
      <c r="B3888" s="5" t="e">
        <f>_xlfn.XLOOKUP(A3888,bunker_daily_raw!$A$2:$A$3819,bunker_daily_raw!$B$2:$B$3819)</f>
        <v>#N/A</v>
      </c>
      <c r="C3888" s="6">
        <v>110.18</v>
      </c>
    </row>
    <row r="3889" spans="1:3" x14ac:dyDescent="0.25">
      <c r="A3889" s="4">
        <v>41240</v>
      </c>
      <c r="B3889" s="5" t="e">
        <f>_xlfn.XLOOKUP(A3889,bunker_daily_raw!$A$2:$A$3819,bunker_daily_raw!$B$2:$B$3819)</f>
        <v>#N/A</v>
      </c>
      <c r="C3889" s="6">
        <v>109.33</v>
      </c>
    </row>
    <row r="3890" spans="1:3" x14ac:dyDescent="0.25">
      <c r="A3890" s="4">
        <v>41241</v>
      </c>
      <c r="B3890" s="5" t="e">
        <f>_xlfn.XLOOKUP(A3890,bunker_daily_raw!$A$2:$A$3819,bunker_daily_raw!$B$2:$B$3819)</f>
        <v>#N/A</v>
      </c>
      <c r="C3890" s="6">
        <v>108.26</v>
      </c>
    </row>
    <row r="3891" spans="1:3" x14ac:dyDescent="0.25">
      <c r="A3891" s="4">
        <v>41242</v>
      </c>
      <c r="B3891" s="5" t="e">
        <f>_xlfn.XLOOKUP(A3891,bunker_daily_raw!$A$2:$A$3819,bunker_daily_raw!$B$2:$B$3819)</f>
        <v>#N/A</v>
      </c>
      <c r="C3891" s="6">
        <v>110.47</v>
      </c>
    </row>
    <row r="3892" spans="1:3" x14ac:dyDescent="0.25">
      <c r="A3892" s="4">
        <v>41243</v>
      </c>
      <c r="B3892" s="5" t="e">
        <f>_xlfn.XLOOKUP(A3892,bunker_daily_raw!$A$2:$A$3819,bunker_daily_raw!$B$2:$B$3819)</f>
        <v>#N/A</v>
      </c>
      <c r="C3892" s="6">
        <v>110.84</v>
      </c>
    </row>
    <row r="3893" spans="1:3" x14ac:dyDescent="0.25">
      <c r="A3893" s="4">
        <v>41246</v>
      </c>
      <c r="B3893" s="5" t="e">
        <f>_xlfn.XLOOKUP(A3893,bunker_daily_raw!$A$2:$A$3819,bunker_daily_raw!$B$2:$B$3819)</f>
        <v>#N/A</v>
      </c>
      <c r="C3893" s="6">
        <v>111.27</v>
      </c>
    </row>
    <row r="3894" spans="1:3" x14ac:dyDescent="0.25">
      <c r="A3894" s="4">
        <v>41247</v>
      </c>
      <c r="B3894" s="5" t="e">
        <f>_xlfn.XLOOKUP(A3894,bunker_daily_raw!$A$2:$A$3819,bunker_daily_raw!$B$2:$B$3819)</f>
        <v>#N/A</v>
      </c>
      <c r="C3894" s="6">
        <v>109.99</v>
      </c>
    </row>
    <row r="3895" spans="1:3" x14ac:dyDescent="0.25">
      <c r="A3895" s="4">
        <v>41248</v>
      </c>
      <c r="B3895" s="5" t="e">
        <f>_xlfn.XLOOKUP(A3895,bunker_daily_raw!$A$2:$A$3819,bunker_daily_raw!$B$2:$B$3819)</f>
        <v>#N/A</v>
      </c>
      <c r="C3895" s="6">
        <v>108.96</v>
      </c>
    </row>
    <row r="3896" spans="1:3" x14ac:dyDescent="0.25">
      <c r="A3896" s="4">
        <v>41249</v>
      </c>
      <c r="B3896" s="5" t="e">
        <f>_xlfn.XLOOKUP(A3896,bunker_daily_raw!$A$2:$A$3819,bunker_daily_raw!$B$2:$B$3819)</f>
        <v>#N/A</v>
      </c>
      <c r="C3896" s="6">
        <v>108.01</v>
      </c>
    </row>
    <row r="3897" spans="1:3" x14ac:dyDescent="0.25">
      <c r="A3897" s="4">
        <v>41250</v>
      </c>
      <c r="B3897" s="5" t="e">
        <f>_xlfn.XLOOKUP(A3897,bunker_daily_raw!$A$2:$A$3819,bunker_daily_raw!$B$2:$B$3819)</f>
        <v>#N/A</v>
      </c>
      <c r="C3897" s="6">
        <v>107.16</v>
      </c>
    </row>
    <row r="3898" spans="1:3" x14ac:dyDescent="0.25">
      <c r="A3898" s="4">
        <v>41253</v>
      </c>
      <c r="B3898" s="5" t="e">
        <f>_xlfn.XLOOKUP(A3898,bunker_daily_raw!$A$2:$A$3819,bunker_daily_raw!$B$2:$B$3819)</f>
        <v>#N/A</v>
      </c>
      <c r="C3898" s="6">
        <v>108.25</v>
      </c>
    </row>
    <row r="3899" spans="1:3" x14ac:dyDescent="0.25">
      <c r="A3899" s="4">
        <v>41254</v>
      </c>
      <c r="B3899" s="5" t="e">
        <f>_xlfn.XLOOKUP(A3899,bunker_daily_raw!$A$2:$A$3819,bunker_daily_raw!$B$2:$B$3819)</f>
        <v>#N/A</v>
      </c>
      <c r="C3899" s="6">
        <v>107.6</v>
      </c>
    </row>
    <row r="3900" spans="1:3" x14ac:dyDescent="0.25">
      <c r="A3900" s="4">
        <v>41255</v>
      </c>
      <c r="B3900" s="5" t="e">
        <f>_xlfn.XLOOKUP(A3900,bunker_daily_raw!$A$2:$A$3819,bunker_daily_raw!$B$2:$B$3819)</f>
        <v>#N/A</v>
      </c>
      <c r="C3900" s="6">
        <v>110.17</v>
      </c>
    </row>
    <row r="3901" spans="1:3" x14ac:dyDescent="0.25">
      <c r="A3901" s="4">
        <v>41256</v>
      </c>
      <c r="B3901" s="5">
        <f>_xlfn.XLOOKUP(A3901,bunker_daily_raw!$A$2:$A$3819,bunker_daily_raw!$B$2:$B$3819)</f>
        <v>571</v>
      </c>
      <c r="C3901" s="6">
        <v>110.18</v>
      </c>
    </row>
    <row r="3902" spans="1:3" x14ac:dyDescent="0.25">
      <c r="A3902" s="4">
        <v>41257</v>
      </c>
      <c r="B3902" s="5">
        <f>_xlfn.XLOOKUP(A3902,bunker_daily_raw!$A$2:$A$3819,bunker_daily_raw!$B$2:$B$3819)</f>
        <v>564</v>
      </c>
      <c r="C3902" s="6">
        <v>109.28</v>
      </c>
    </row>
    <row r="3903" spans="1:3" x14ac:dyDescent="0.25">
      <c r="A3903" s="4">
        <v>41260</v>
      </c>
      <c r="B3903" s="5">
        <f>_xlfn.XLOOKUP(A3903,bunker_daily_raw!$A$2:$A$3819,bunker_daily_raw!$B$2:$B$3819)</f>
        <v>569</v>
      </c>
      <c r="C3903" s="6">
        <v>109.35</v>
      </c>
    </row>
    <row r="3904" spans="1:3" x14ac:dyDescent="0.25">
      <c r="A3904" s="4">
        <v>41261</v>
      </c>
      <c r="B3904" s="5">
        <f>_xlfn.XLOOKUP(A3904,bunker_daily_raw!$A$2:$A$3819,bunker_daily_raw!$B$2:$B$3819)</f>
        <v>577</v>
      </c>
      <c r="C3904" s="6">
        <v>109.96</v>
      </c>
    </row>
    <row r="3905" spans="1:3" x14ac:dyDescent="0.25">
      <c r="A3905" s="4">
        <v>41262</v>
      </c>
      <c r="B3905" s="5">
        <f>_xlfn.XLOOKUP(A3905,bunker_daily_raw!$A$2:$A$3819,bunker_daily_raw!$B$2:$B$3819)</f>
        <v>586</v>
      </c>
      <c r="C3905" s="6">
        <v>109.95</v>
      </c>
    </row>
    <row r="3906" spans="1:3" x14ac:dyDescent="0.25">
      <c r="A3906" s="4">
        <v>41263</v>
      </c>
      <c r="B3906" s="5">
        <f>_xlfn.XLOOKUP(A3906,bunker_daily_raw!$A$2:$A$3819,bunker_daily_raw!$B$2:$B$3819)</f>
        <v>578</v>
      </c>
      <c r="C3906" s="6">
        <v>110.57</v>
      </c>
    </row>
    <row r="3907" spans="1:3" x14ac:dyDescent="0.25">
      <c r="A3907" s="4">
        <v>41264</v>
      </c>
      <c r="B3907" s="5">
        <f>_xlfn.XLOOKUP(A3907,bunker_daily_raw!$A$2:$A$3819,bunker_daily_raw!$B$2:$B$3819)</f>
        <v>573</v>
      </c>
      <c r="C3907" s="6">
        <v>109.13</v>
      </c>
    </row>
    <row r="3908" spans="1:3" x14ac:dyDescent="0.25">
      <c r="A3908" s="4">
        <v>41267</v>
      </c>
      <c r="B3908" s="5" t="e">
        <f>_xlfn.XLOOKUP(A3908,bunker_daily_raw!$A$2:$A$3819,bunker_daily_raw!$B$2:$B$3819)</f>
        <v>#N/A</v>
      </c>
      <c r="C3908" s="6">
        <v>108.44</v>
      </c>
    </row>
    <row r="3909" spans="1:3" x14ac:dyDescent="0.25">
      <c r="A3909" s="4">
        <v>41268</v>
      </c>
      <c r="B3909" s="5" t="e">
        <f>_xlfn.XLOOKUP(A3909,bunker_daily_raw!$A$2:$A$3819,bunker_daily_raw!$B$2:$B$3819)</f>
        <v>#N/A</v>
      </c>
      <c r="C3909" s="5"/>
    </row>
    <row r="3910" spans="1:3" x14ac:dyDescent="0.25">
      <c r="A3910" s="4">
        <v>41269</v>
      </c>
      <c r="B3910" s="5" t="e">
        <f>_xlfn.XLOOKUP(A3910,bunker_daily_raw!$A$2:$A$3819,bunker_daily_raw!$B$2:$B$3819)</f>
        <v>#N/A</v>
      </c>
      <c r="C3910" s="6">
        <v>110.72</v>
      </c>
    </row>
    <row r="3911" spans="1:3" x14ac:dyDescent="0.25">
      <c r="A3911" s="4">
        <v>41270</v>
      </c>
      <c r="B3911" s="5" t="e">
        <f>_xlfn.XLOOKUP(A3911,bunker_daily_raw!$A$2:$A$3819,bunker_daily_raw!$B$2:$B$3819)</f>
        <v>#N/A</v>
      </c>
      <c r="C3911" s="6">
        <v>110.04</v>
      </c>
    </row>
    <row r="3912" spans="1:3" x14ac:dyDescent="0.25">
      <c r="A3912" s="4">
        <v>41271</v>
      </c>
      <c r="B3912" s="5" t="e">
        <f>_xlfn.XLOOKUP(A3912,bunker_daily_raw!$A$2:$A$3819,bunker_daily_raw!$B$2:$B$3819)</f>
        <v>#N/A</v>
      </c>
      <c r="C3912" s="6">
        <v>110.05</v>
      </c>
    </row>
    <row r="3913" spans="1:3" x14ac:dyDescent="0.25">
      <c r="A3913" s="4">
        <v>41274</v>
      </c>
      <c r="B3913" s="5" t="e">
        <f>_xlfn.XLOOKUP(A3913,bunker_daily_raw!$A$2:$A$3819,bunker_daily_raw!$B$2:$B$3819)</f>
        <v>#N/A</v>
      </c>
      <c r="C3913" s="6">
        <v>110.8</v>
      </c>
    </row>
    <row r="3914" spans="1:3" x14ac:dyDescent="0.25">
      <c r="A3914" s="4">
        <v>41275</v>
      </c>
      <c r="B3914" s="5" t="e">
        <f>_xlfn.XLOOKUP(A3914,bunker_daily_raw!$A$2:$A$3819,bunker_daily_raw!$B$2:$B$3819)</f>
        <v>#N/A</v>
      </c>
      <c r="C3914" s="5"/>
    </row>
    <row r="3915" spans="1:3" x14ac:dyDescent="0.25">
      <c r="A3915" s="4">
        <v>41276</v>
      </c>
      <c r="B3915" s="5" t="e">
        <f>_xlfn.XLOOKUP(A3915,bunker_daily_raw!$A$2:$A$3819,bunker_daily_raw!$B$2:$B$3819)</f>
        <v>#N/A</v>
      </c>
      <c r="C3915" s="6">
        <v>112.98</v>
      </c>
    </row>
    <row r="3916" spans="1:3" x14ac:dyDescent="0.25">
      <c r="A3916" s="4">
        <v>41277</v>
      </c>
      <c r="B3916" s="5" t="e">
        <f>_xlfn.XLOOKUP(A3916,bunker_daily_raw!$A$2:$A$3819,bunker_daily_raw!$B$2:$B$3819)</f>
        <v>#N/A</v>
      </c>
      <c r="C3916" s="6">
        <v>113.03</v>
      </c>
    </row>
    <row r="3917" spans="1:3" x14ac:dyDescent="0.25">
      <c r="A3917" s="4">
        <v>41278</v>
      </c>
      <c r="B3917" s="5" t="e">
        <f>_xlfn.XLOOKUP(A3917,bunker_daily_raw!$A$2:$A$3819,bunker_daily_raw!$B$2:$B$3819)</f>
        <v>#N/A</v>
      </c>
      <c r="C3917" s="6">
        <v>112.58</v>
      </c>
    </row>
    <row r="3918" spans="1:3" x14ac:dyDescent="0.25">
      <c r="A3918" s="4">
        <v>41281</v>
      </c>
      <c r="B3918" s="5" t="e">
        <f>_xlfn.XLOOKUP(A3918,bunker_daily_raw!$A$2:$A$3819,bunker_daily_raw!$B$2:$B$3819)</f>
        <v>#N/A</v>
      </c>
      <c r="C3918" s="6">
        <v>112.49</v>
      </c>
    </row>
    <row r="3919" spans="1:3" x14ac:dyDescent="0.25">
      <c r="A3919" s="4">
        <v>41282</v>
      </c>
      <c r="B3919" s="5" t="e">
        <f>_xlfn.XLOOKUP(A3919,bunker_daily_raw!$A$2:$A$3819,bunker_daily_raw!$B$2:$B$3819)</f>
        <v>#N/A</v>
      </c>
      <c r="C3919" s="6">
        <v>113.03</v>
      </c>
    </row>
    <row r="3920" spans="1:3" x14ac:dyDescent="0.25">
      <c r="A3920" s="4">
        <v>41283</v>
      </c>
      <c r="B3920" s="5" t="e">
        <f>_xlfn.XLOOKUP(A3920,bunker_daily_raw!$A$2:$A$3819,bunker_daily_raw!$B$2:$B$3819)</f>
        <v>#N/A</v>
      </c>
      <c r="C3920" s="6">
        <v>113.07</v>
      </c>
    </row>
    <row r="3921" spans="1:3" x14ac:dyDescent="0.25">
      <c r="A3921" s="4">
        <v>41284</v>
      </c>
      <c r="B3921" s="5" t="e">
        <f>_xlfn.XLOOKUP(A3921,bunker_daily_raw!$A$2:$A$3819,bunker_daily_raw!$B$2:$B$3819)</f>
        <v>#N/A</v>
      </c>
      <c r="C3921" s="6">
        <v>112.97</v>
      </c>
    </row>
    <row r="3922" spans="1:3" x14ac:dyDescent="0.25">
      <c r="A3922" s="4">
        <v>41285</v>
      </c>
      <c r="B3922" s="5" t="e">
        <f>_xlfn.XLOOKUP(A3922,bunker_daily_raw!$A$2:$A$3819,bunker_daily_raw!$B$2:$B$3819)</f>
        <v>#N/A</v>
      </c>
      <c r="C3922" s="6">
        <v>110.3</v>
      </c>
    </row>
    <row r="3923" spans="1:3" x14ac:dyDescent="0.25">
      <c r="A3923" s="4">
        <v>41288</v>
      </c>
      <c r="B3923" s="5" t="e">
        <f>_xlfn.XLOOKUP(A3923,bunker_daily_raw!$A$2:$A$3819,bunker_daily_raw!$B$2:$B$3819)</f>
        <v>#N/A</v>
      </c>
      <c r="C3923" s="6">
        <v>111.32</v>
      </c>
    </row>
    <row r="3924" spans="1:3" x14ac:dyDescent="0.25">
      <c r="A3924" s="4">
        <v>41289</v>
      </c>
      <c r="B3924" s="5" t="e">
        <f>_xlfn.XLOOKUP(A3924,bunker_daily_raw!$A$2:$A$3819,bunker_daily_raw!$B$2:$B$3819)</f>
        <v>#N/A</v>
      </c>
      <c r="C3924" s="6">
        <v>111.72</v>
      </c>
    </row>
    <row r="3925" spans="1:3" x14ac:dyDescent="0.25">
      <c r="A3925" s="4">
        <v>41290</v>
      </c>
      <c r="B3925" s="5" t="e">
        <f>_xlfn.XLOOKUP(A3925,bunker_daily_raw!$A$2:$A$3819,bunker_daily_raw!$B$2:$B$3819)</f>
        <v>#N/A</v>
      </c>
      <c r="C3925" s="6">
        <v>110.97</v>
      </c>
    </row>
    <row r="3926" spans="1:3" x14ac:dyDescent="0.25">
      <c r="A3926" s="4">
        <v>41291</v>
      </c>
      <c r="B3926" s="5" t="e">
        <f>_xlfn.XLOOKUP(A3926,bunker_daily_raw!$A$2:$A$3819,bunker_daily_raw!$B$2:$B$3819)</f>
        <v>#N/A</v>
      </c>
      <c r="C3926" s="6">
        <v>111.01</v>
      </c>
    </row>
    <row r="3927" spans="1:3" x14ac:dyDescent="0.25">
      <c r="A3927" s="4">
        <v>41292</v>
      </c>
      <c r="B3927" s="5" t="e">
        <f>_xlfn.XLOOKUP(A3927,bunker_daily_raw!$A$2:$A$3819,bunker_daily_raw!$B$2:$B$3819)</f>
        <v>#N/A</v>
      </c>
      <c r="C3927" s="6">
        <v>111.71</v>
      </c>
    </row>
    <row r="3928" spans="1:3" x14ac:dyDescent="0.25">
      <c r="A3928" s="4">
        <v>41295</v>
      </c>
      <c r="B3928" s="5" t="e">
        <f>_xlfn.XLOOKUP(A3928,bunker_daily_raw!$A$2:$A$3819,bunker_daily_raw!$B$2:$B$3819)</f>
        <v>#N/A</v>
      </c>
      <c r="C3928" s="5"/>
    </row>
    <row r="3929" spans="1:3" x14ac:dyDescent="0.25">
      <c r="A3929" s="4">
        <v>41296</v>
      </c>
      <c r="B3929" s="5" t="e">
        <f>_xlfn.XLOOKUP(A3929,bunker_daily_raw!$A$2:$A$3819,bunker_daily_raw!$B$2:$B$3819)</f>
        <v>#N/A</v>
      </c>
      <c r="C3929" s="6">
        <v>112.72</v>
      </c>
    </row>
    <row r="3930" spans="1:3" x14ac:dyDescent="0.25">
      <c r="A3930" s="4">
        <v>41297</v>
      </c>
      <c r="B3930" s="5" t="e">
        <f>_xlfn.XLOOKUP(A3930,bunker_daily_raw!$A$2:$A$3819,bunker_daily_raw!$B$2:$B$3819)</f>
        <v>#N/A</v>
      </c>
      <c r="C3930" s="6">
        <v>113.68</v>
      </c>
    </row>
    <row r="3931" spans="1:3" x14ac:dyDescent="0.25">
      <c r="A3931" s="4">
        <v>41298</v>
      </c>
      <c r="B3931" s="5" t="e">
        <f>_xlfn.XLOOKUP(A3931,bunker_daily_raw!$A$2:$A$3819,bunker_daily_raw!$B$2:$B$3819)</f>
        <v>#N/A</v>
      </c>
      <c r="C3931" s="6">
        <v>114.59</v>
      </c>
    </row>
    <row r="3932" spans="1:3" x14ac:dyDescent="0.25">
      <c r="A3932" s="4">
        <v>41299</v>
      </c>
      <c r="B3932" s="5" t="e">
        <f>_xlfn.XLOOKUP(A3932,bunker_daily_raw!$A$2:$A$3819,bunker_daily_raw!$B$2:$B$3819)</f>
        <v>#N/A</v>
      </c>
      <c r="C3932" s="6">
        <v>113.88</v>
      </c>
    </row>
    <row r="3933" spans="1:3" x14ac:dyDescent="0.25">
      <c r="A3933" s="4">
        <v>41302</v>
      </c>
      <c r="B3933" s="5" t="e">
        <f>_xlfn.XLOOKUP(A3933,bunker_daily_raw!$A$2:$A$3819,bunker_daily_raw!$B$2:$B$3819)</f>
        <v>#N/A</v>
      </c>
      <c r="C3933" s="6">
        <v>113.92</v>
      </c>
    </row>
    <row r="3934" spans="1:3" x14ac:dyDescent="0.25">
      <c r="A3934" s="4">
        <v>41303</v>
      </c>
      <c r="B3934" s="5" t="e">
        <f>_xlfn.XLOOKUP(A3934,bunker_daily_raw!$A$2:$A$3819,bunker_daily_raw!$B$2:$B$3819)</f>
        <v>#N/A</v>
      </c>
      <c r="C3934" s="6">
        <v>115.22</v>
      </c>
    </row>
    <row r="3935" spans="1:3" x14ac:dyDescent="0.25">
      <c r="A3935" s="4">
        <v>41304</v>
      </c>
      <c r="B3935" s="5" t="e">
        <f>_xlfn.XLOOKUP(A3935,bunker_daily_raw!$A$2:$A$3819,bunker_daily_raw!$B$2:$B$3819)</f>
        <v>#N/A</v>
      </c>
      <c r="C3935" s="6">
        <v>115.42</v>
      </c>
    </row>
    <row r="3936" spans="1:3" x14ac:dyDescent="0.25">
      <c r="A3936" s="4">
        <v>41305</v>
      </c>
      <c r="B3936" s="5" t="e">
        <f>_xlfn.XLOOKUP(A3936,bunker_daily_raw!$A$2:$A$3819,bunker_daily_raw!$B$2:$B$3819)</f>
        <v>#N/A</v>
      </c>
      <c r="C3936" s="6">
        <v>115.55</v>
      </c>
    </row>
    <row r="3937" spans="1:3" x14ac:dyDescent="0.25">
      <c r="A3937" s="4">
        <v>41306</v>
      </c>
      <c r="B3937" s="5" t="e">
        <f>_xlfn.XLOOKUP(A3937,bunker_daily_raw!$A$2:$A$3819,bunker_daily_raw!$B$2:$B$3819)</f>
        <v>#N/A</v>
      </c>
      <c r="C3937" s="6">
        <v>115.55</v>
      </c>
    </row>
    <row r="3938" spans="1:3" x14ac:dyDescent="0.25">
      <c r="A3938" s="4">
        <v>41309</v>
      </c>
      <c r="B3938" s="5" t="e">
        <f>_xlfn.XLOOKUP(A3938,bunker_daily_raw!$A$2:$A$3819,bunker_daily_raw!$B$2:$B$3819)</f>
        <v>#N/A</v>
      </c>
      <c r="C3938" s="6">
        <v>116.06</v>
      </c>
    </row>
    <row r="3939" spans="1:3" x14ac:dyDescent="0.25">
      <c r="A3939" s="4">
        <v>41310</v>
      </c>
      <c r="B3939" s="5" t="e">
        <f>_xlfn.XLOOKUP(A3939,bunker_daily_raw!$A$2:$A$3819,bunker_daily_raw!$B$2:$B$3819)</f>
        <v>#N/A</v>
      </c>
      <c r="C3939" s="6">
        <v>117.03</v>
      </c>
    </row>
    <row r="3940" spans="1:3" x14ac:dyDescent="0.25">
      <c r="A3940" s="4">
        <v>41311</v>
      </c>
      <c r="B3940" s="5" t="e">
        <f>_xlfn.XLOOKUP(A3940,bunker_daily_raw!$A$2:$A$3819,bunker_daily_raw!$B$2:$B$3819)</f>
        <v>#N/A</v>
      </c>
      <c r="C3940" s="6">
        <v>116.61</v>
      </c>
    </row>
    <row r="3941" spans="1:3" x14ac:dyDescent="0.25">
      <c r="A3941" s="4">
        <v>41312</v>
      </c>
      <c r="B3941" s="5" t="e">
        <f>_xlfn.XLOOKUP(A3941,bunker_daily_raw!$A$2:$A$3819,bunker_daily_raw!$B$2:$B$3819)</f>
        <v>#N/A</v>
      </c>
      <c r="C3941" s="6">
        <v>117.17</v>
      </c>
    </row>
    <row r="3942" spans="1:3" x14ac:dyDescent="0.25">
      <c r="A3942" s="4">
        <v>41313</v>
      </c>
      <c r="B3942" s="5" t="e">
        <f>_xlfn.XLOOKUP(A3942,bunker_daily_raw!$A$2:$A$3819,bunker_daily_raw!$B$2:$B$3819)</f>
        <v>#N/A</v>
      </c>
      <c r="C3942" s="6">
        <v>118.9</v>
      </c>
    </row>
    <row r="3943" spans="1:3" x14ac:dyDescent="0.25">
      <c r="A3943" s="4">
        <v>41316</v>
      </c>
      <c r="B3943" s="5">
        <f>_xlfn.XLOOKUP(A3943,bunker_daily_raw!$A$2:$A$3819,bunker_daily_raw!$B$2:$B$3819)</f>
        <v>637.5</v>
      </c>
      <c r="C3943" s="6">
        <v>118.29</v>
      </c>
    </row>
    <row r="3944" spans="1:3" x14ac:dyDescent="0.25">
      <c r="A3944" s="4">
        <v>41317</v>
      </c>
      <c r="B3944" s="5">
        <f>_xlfn.XLOOKUP(A3944,bunker_daily_raw!$A$2:$A$3819,bunker_daily_raw!$B$2:$B$3819)</f>
        <v>645.5</v>
      </c>
      <c r="C3944" s="6">
        <v>117.89</v>
      </c>
    </row>
    <row r="3945" spans="1:3" x14ac:dyDescent="0.25">
      <c r="A3945" s="4">
        <v>41318</v>
      </c>
      <c r="B3945" s="5">
        <f>_xlfn.XLOOKUP(A3945,bunker_daily_raw!$A$2:$A$3819,bunker_daily_raw!$B$2:$B$3819)</f>
        <v>641</v>
      </c>
      <c r="C3945" s="6">
        <v>118.43</v>
      </c>
    </row>
    <row r="3946" spans="1:3" x14ac:dyDescent="0.25">
      <c r="A3946" s="4">
        <v>41319</v>
      </c>
      <c r="B3946" s="5">
        <f>_xlfn.XLOOKUP(A3946,bunker_daily_raw!$A$2:$A$3819,bunker_daily_raw!$B$2:$B$3819)</f>
        <v>642.5</v>
      </c>
      <c r="C3946" s="6">
        <v>118.48</v>
      </c>
    </row>
    <row r="3947" spans="1:3" x14ac:dyDescent="0.25">
      <c r="A3947" s="4">
        <v>41320</v>
      </c>
      <c r="B3947" s="5">
        <f>_xlfn.XLOOKUP(A3947,bunker_daily_raw!$A$2:$A$3819,bunker_daily_raw!$B$2:$B$3819)</f>
        <v>643.5</v>
      </c>
      <c r="C3947" s="6">
        <v>117.4</v>
      </c>
    </row>
    <row r="3948" spans="1:3" x14ac:dyDescent="0.25">
      <c r="A3948" s="4">
        <v>41323</v>
      </c>
      <c r="B3948" s="5">
        <f>_xlfn.XLOOKUP(A3948,bunker_daily_raw!$A$2:$A$3819,bunker_daily_raw!$B$2:$B$3819)</f>
        <v>638.5</v>
      </c>
      <c r="C3948" s="5"/>
    </row>
    <row r="3949" spans="1:3" x14ac:dyDescent="0.25">
      <c r="A3949" s="4">
        <v>41324</v>
      </c>
      <c r="B3949" s="5">
        <f>_xlfn.XLOOKUP(A3949,bunker_daily_raw!$A$2:$A$3819,bunker_daily_raw!$B$2:$B$3819)</f>
        <v>635.5</v>
      </c>
      <c r="C3949" s="6">
        <v>117.04</v>
      </c>
    </row>
    <row r="3950" spans="1:3" x14ac:dyDescent="0.25">
      <c r="A3950" s="4">
        <v>41325</v>
      </c>
      <c r="B3950" s="5">
        <f>_xlfn.XLOOKUP(A3950,bunker_daily_raw!$A$2:$A$3819,bunker_daily_raw!$B$2:$B$3819)</f>
        <v>634.5</v>
      </c>
      <c r="C3950" s="6">
        <v>116.23</v>
      </c>
    </row>
    <row r="3951" spans="1:3" x14ac:dyDescent="0.25">
      <c r="A3951" s="4">
        <v>41326</v>
      </c>
      <c r="B3951" s="5">
        <f>_xlfn.XLOOKUP(A3951,bunker_daily_raw!$A$2:$A$3819,bunker_daily_raw!$B$2:$B$3819)</f>
        <v>633.5</v>
      </c>
      <c r="C3951" s="6">
        <v>114.19</v>
      </c>
    </row>
    <row r="3952" spans="1:3" x14ac:dyDescent="0.25">
      <c r="A3952" s="4">
        <v>41327</v>
      </c>
      <c r="B3952" s="5">
        <f>_xlfn.XLOOKUP(A3952,bunker_daily_raw!$A$2:$A$3819,bunker_daily_raw!$B$2:$B$3819)</f>
        <v>623.5</v>
      </c>
      <c r="C3952" s="6">
        <v>113.74</v>
      </c>
    </row>
    <row r="3953" spans="1:3" x14ac:dyDescent="0.25">
      <c r="A3953" s="4">
        <v>41330</v>
      </c>
      <c r="B3953" s="5">
        <f>_xlfn.XLOOKUP(A3953,bunker_daily_raw!$A$2:$A$3819,bunker_daily_raw!$B$2:$B$3819)</f>
        <v>616</v>
      </c>
      <c r="C3953" s="6">
        <v>114.55</v>
      </c>
    </row>
    <row r="3954" spans="1:3" x14ac:dyDescent="0.25">
      <c r="A3954" s="4">
        <v>41331</v>
      </c>
      <c r="B3954" s="5">
        <f>_xlfn.XLOOKUP(A3954,bunker_daily_raw!$A$2:$A$3819,bunker_daily_raw!$B$2:$B$3819)</f>
        <v>619.5</v>
      </c>
      <c r="C3954" s="6">
        <v>112.96</v>
      </c>
    </row>
    <row r="3955" spans="1:3" x14ac:dyDescent="0.25">
      <c r="A3955" s="4">
        <v>41332</v>
      </c>
      <c r="B3955" s="5">
        <f>_xlfn.XLOOKUP(A3955,bunker_daily_raw!$A$2:$A$3819,bunker_daily_raw!$B$2:$B$3819)</f>
        <v>614.5</v>
      </c>
      <c r="C3955" s="6">
        <v>112.24</v>
      </c>
    </row>
    <row r="3956" spans="1:3" x14ac:dyDescent="0.25">
      <c r="A3956" s="4">
        <v>41333</v>
      </c>
      <c r="B3956" s="5">
        <f>_xlfn.XLOOKUP(A3956,bunker_daily_raw!$A$2:$A$3819,bunker_daily_raw!$B$2:$B$3819)</f>
        <v>613.5</v>
      </c>
      <c r="C3956" s="6">
        <v>112.2</v>
      </c>
    </row>
    <row r="3957" spans="1:3" x14ac:dyDescent="0.25">
      <c r="A3957" s="4">
        <v>41334</v>
      </c>
      <c r="B3957" s="5">
        <f>_xlfn.XLOOKUP(A3957,bunker_daily_raw!$A$2:$A$3819,bunker_daily_raw!$B$2:$B$3819)</f>
        <v>616</v>
      </c>
      <c r="C3957" s="6">
        <v>110.14</v>
      </c>
    </row>
    <row r="3958" spans="1:3" x14ac:dyDescent="0.25">
      <c r="A3958" s="4">
        <v>41337</v>
      </c>
      <c r="B3958" s="5">
        <f>_xlfn.XLOOKUP(A3958,bunker_daily_raw!$A$2:$A$3819,bunker_daily_raw!$B$2:$B$3819)</f>
        <v>603</v>
      </c>
      <c r="C3958" s="6">
        <v>109.9</v>
      </c>
    </row>
    <row r="3959" spans="1:3" x14ac:dyDescent="0.25">
      <c r="A3959" s="4">
        <v>41338</v>
      </c>
      <c r="B3959" s="5">
        <f>_xlfn.XLOOKUP(A3959,bunker_daily_raw!$A$2:$A$3819,bunker_daily_raw!$B$2:$B$3819)</f>
        <v>599.5</v>
      </c>
      <c r="C3959" s="6">
        <v>110.42</v>
      </c>
    </row>
    <row r="3960" spans="1:3" x14ac:dyDescent="0.25">
      <c r="A3960" s="4">
        <v>41339</v>
      </c>
      <c r="B3960" s="5">
        <f>_xlfn.XLOOKUP(A3960,bunker_daily_raw!$A$2:$A$3819,bunker_daily_raw!$B$2:$B$3819)</f>
        <v>599</v>
      </c>
      <c r="C3960" s="6">
        <v>110.27</v>
      </c>
    </row>
    <row r="3961" spans="1:3" x14ac:dyDescent="0.25">
      <c r="A3961" s="4">
        <v>41340</v>
      </c>
      <c r="B3961" s="5">
        <f>_xlfn.XLOOKUP(A3961,bunker_daily_raw!$A$2:$A$3819,bunker_daily_raw!$B$2:$B$3819)</f>
        <v>603</v>
      </c>
      <c r="C3961" s="6">
        <v>110.42</v>
      </c>
    </row>
    <row r="3962" spans="1:3" x14ac:dyDescent="0.25">
      <c r="A3962" s="4">
        <v>41341</v>
      </c>
      <c r="B3962" s="5">
        <f>_xlfn.XLOOKUP(A3962,bunker_daily_raw!$A$2:$A$3819,bunker_daily_raw!$B$2:$B$3819)</f>
        <v>604.5</v>
      </c>
      <c r="C3962" s="6">
        <v>108.91</v>
      </c>
    </row>
    <row r="3963" spans="1:3" x14ac:dyDescent="0.25">
      <c r="A3963" s="4">
        <v>41344</v>
      </c>
      <c r="B3963" s="5">
        <f>_xlfn.XLOOKUP(A3963,bunker_daily_raw!$A$2:$A$3819,bunker_daily_raw!$B$2:$B$3819)</f>
        <v>605.5</v>
      </c>
      <c r="C3963" s="6">
        <v>108.64</v>
      </c>
    </row>
    <row r="3964" spans="1:3" x14ac:dyDescent="0.25">
      <c r="A3964" s="4">
        <v>41345</v>
      </c>
      <c r="B3964" s="5">
        <f>_xlfn.XLOOKUP(A3964,bunker_daily_raw!$A$2:$A$3819,bunker_daily_raw!$B$2:$B$3819)</f>
        <v>605</v>
      </c>
      <c r="C3964" s="6">
        <v>108.48</v>
      </c>
    </row>
    <row r="3965" spans="1:3" x14ac:dyDescent="0.25">
      <c r="A3965" s="4">
        <v>41346</v>
      </c>
      <c r="B3965" s="5">
        <f>_xlfn.XLOOKUP(A3965,bunker_daily_raw!$A$2:$A$3819,bunker_daily_raw!$B$2:$B$3819)</f>
        <v>604</v>
      </c>
      <c r="C3965" s="6">
        <v>107.51</v>
      </c>
    </row>
    <row r="3966" spans="1:3" x14ac:dyDescent="0.25">
      <c r="A3966" s="4">
        <v>41347</v>
      </c>
      <c r="B3966" s="5">
        <f>_xlfn.XLOOKUP(A3966,bunker_daily_raw!$A$2:$A$3819,bunker_daily_raw!$B$2:$B$3819)</f>
        <v>603</v>
      </c>
      <c r="C3966" s="6">
        <v>108.1</v>
      </c>
    </row>
    <row r="3967" spans="1:3" x14ac:dyDescent="0.25">
      <c r="A3967" s="4">
        <v>41348</v>
      </c>
      <c r="B3967" s="5">
        <f>_xlfn.XLOOKUP(A3967,bunker_daily_raw!$A$2:$A$3819,bunker_daily_raw!$B$2:$B$3819)</f>
        <v>599.5</v>
      </c>
      <c r="C3967" s="6">
        <v>109.32</v>
      </c>
    </row>
    <row r="3968" spans="1:3" x14ac:dyDescent="0.25">
      <c r="A3968" s="4">
        <v>41351</v>
      </c>
      <c r="B3968" s="5">
        <f>_xlfn.XLOOKUP(A3968,bunker_daily_raw!$A$2:$A$3819,bunker_daily_raw!$B$2:$B$3819)</f>
        <v>601.5</v>
      </c>
      <c r="C3968" s="6">
        <v>108.54</v>
      </c>
    </row>
    <row r="3969" spans="1:3" x14ac:dyDescent="0.25">
      <c r="A3969" s="4">
        <v>41352</v>
      </c>
      <c r="B3969" s="5">
        <f>_xlfn.XLOOKUP(A3969,bunker_daily_raw!$A$2:$A$3819,bunker_daily_raw!$B$2:$B$3819)</f>
        <v>602</v>
      </c>
      <c r="C3969" s="6">
        <v>106.91</v>
      </c>
    </row>
    <row r="3970" spans="1:3" x14ac:dyDescent="0.25">
      <c r="A3970" s="4">
        <v>41353</v>
      </c>
      <c r="B3970" s="5">
        <f>_xlfn.XLOOKUP(A3970,bunker_daily_raw!$A$2:$A$3819,bunker_daily_raw!$B$2:$B$3819)</f>
        <v>604</v>
      </c>
      <c r="C3970" s="6">
        <v>108.27</v>
      </c>
    </row>
    <row r="3971" spans="1:3" x14ac:dyDescent="0.25">
      <c r="A3971" s="4">
        <v>41354</v>
      </c>
      <c r="B3971" s="5">
        <f>_xlfn.XLOOKUP(A3971,bunker_daily_raw!$A$2:$A$3819,bunker_daily_raw!$B$2:$B$3819)</f>
        <v>602</v>
      </c>
      <c r="C3971" s="6">
        <v>106.41</v>
      </c>
    </row>
    <row r="3972" spans="1:3" x14ac:dyDescent="0.25">
      <c r="A3972" s="4">
        <v>41355</v>
      </c>
      <c r="B3972" s="5">
        <f>_xlfn.XLOOKUP(A3972,bunker_daily_raw!$A$2:$A$3819,bunker_daily_raw!$B$2:$B$3819)</f>
        <v>599.5</v>
      </c>
      <c r="C3972" s="6">
        <v>106.51</v>
      </c>
    </row>
    <row r="3973" spans="1:3" x14ac:dyDescent="0.25">
      <c r="A3973" s="4">
        <v>41358</v>
      </c>
      <c r="B3973" s="5">
        <f>_xlfn.XLOOKUP(A3973,bunker_daily_raw!$A$2:$A$3819,bunker_daily_raw!$B$2:$B$3819)</f>
        <v>596.5</v>
      </c>
      <c r="C3973" s="6">
        <v>106.66</v>
      </c>
    </row>
    <row r="3974" spans="1:3" x14ac:dyDescent="0.25">
      <c r="A3974" s="4">
        <v>41359</v>
      </c>
      <c r="B3974" s="5">
        <f>_xlfn.XLOOKUP(A3974,bunker_daily_raw!$A$2:$A$3819,bunker_daily_raw!$B$2:$B$3819)</f>
        <v>598.5</v>
      </c>
      <c r="C3974" s="6">
        <v>107.1</v>
      </c>
    </row>
    <row r="3975" spans="1:3" x14ac:dyDescent="0.25">
      <c r="A3975" s="4">
        <v>41360</v>
      </c>
      <c r="B3975" s="5">
        <f>_xlfn.XLOOKUP(A3975,bunker_daily_raw!$A$2:$A$3819,bunker_daily_raw!$B$2:$B$3819)</f>
        <v>599</v>
      </c>
      <c r="C3975" s="6">
        <v>108.51</v>
      </c>
    </row>
    <row r="3976" spans="1:3" x14ac:dyDescent="0.25">
      <c r="A3976" s="4">
        <v>41361</v>
      </c>
      <c r="B3976" s="5">
        <f>_xlfn.XLOOKUP(A3976,bunker_daily_raw!$A$2:$A$3819,bunker_daily_raw!$B$2:$B$3819)</f>
        <v>605</v>
      </c>
      <c r="C3976" s="6">
        <v>108.46</v>
      </c>
    </row>
    <row r="3977" spans="1:3" x14ac:dyDescent="0.25">
      <c r="A3977" s="4"/>
      <c r="B3977" s="5"/>
      <c r="C3977" s="5"/>
    </row>
    <row r="3978" spans="1:3" x14ac:dyDescent="0.25">
      <c r="A3978" s="4"/>
      <c r="B3978" s="5"/>
      <c r="C3978" s="6"/>
    </row>
    <row r="3979" spans="1:3" x14ac:dyDescent="0.25">
      <c r="A3979" s="4"/>
      <c r="B3979" s="5"/>
      <c r="C3979" s="6"/>
    </row>
    <row r="3980" spans="1:3" x14ac:dyDescent="0.25">
      <c r="A3980" s="4"/>
      <c r="B3980" s="5"/>
      <c r="C3980" s="6"/>
    </row>
    <row r="3981" spans="1:3" x14ac:dyDescent="0.25">
      <c r="A3981" s="4"/>
      <c r="B3981" s="5"/>
      <c r="C3981" s="6"/>
    </row>
    <row r="3982" spans="1:3" x14ac:dyDescent="0.25">
      <c r="A3982" s="4"/>
      <c r="B3982" s="5"/>
      <c r="C3982" s="6"/>
    </row>
    <row r="3983" spans="1:3" x14ac:dyDescent="0.25">
      <c r="A3983" s="4"/>
      <c r="B3983" s="5"/>
      <c r="C3983" s="6"/>
    </row>
    <row r="3984" spans="1:3" x14ac:dyDescent="0.25">
      <c r="A3984" s="4"/>
      <c r="B3984" s="5"/>
      <c r="C3984" s="6"/>
    </row>
    <row r="3985" spans="1:3" x14ac:dyDescent="0.25">
      <c r="A3985" s="4"/>
      <c r="B3985" s="5"/>
      <c r="C3985" s="6"/>
    </row>
    <row r="3986" spans="1:3" x14ac:dyDescent="0.25">
      <c r="A3986" s="4"/>
      <c r="B3986" s="5"/>
      <c r="C3986" s="6"/>
    </row>
    <row r="3987" spans="1:3" x14ac:dyDescent="0.25">
      <c r="A3987" s="4"/>
      <c r="B3987" s="5"/>
      <c r="C3987" s="6"/>
    </row>
    <row r="3988" spans="1:3" x14ac:dyDescent="0.25">
      <c r="A3988" s="4"/>
      <c r="B3988" s="5"/>
      <c r="C3988" s="6"/>
    </row>
    <row r="3989" spans="1:3" x14ac:dyDescent="0.25">
      <c r="A3989" s="4"/>
      <c r="B3989" s="5"/>
      <c r="C3989" s="6"/>
    </row>
    <row r="3990" spans="1:3" x14ac:dyDescent="0.25">
      <c r="A3990" s="4"/>
      <c r="B3990" s="5"/>
      <c r="C3990" s="6"/>
    </row>
    <row r="3991" spans="1:3" x14ac:dyDescent="0.25">
      <c r="A3991" s="4"/>
      <c r="B3991" s="5"/>
      <c r="C3991" s="6"/>
    </row>
    <row r="3992" spans="1:3" x14ac:dyDescent="0.25">
      <c r="A3992" s="4"/>
      <c r="B3992" s="5"/>
      <c r="C3992" s="6"/>
    </row>
    <row r="3993" spans="1:3" x14ac:dyDescent="0.25">
      <c r="A3993" s="4"/>
      <c r="B3993" s="5"/>
      <c r="C3993" s="6"/>
    </row>
    <row r="3994" spans="1:3" x14ac:dyDescent="0.25">
      <c r="A3994" s="4"/>
      <c r="B3994" s="5"/>
      <c r="C3994" s="6"/>
    </row>
    <row r="3995" spans="1:3" x14ac:dyDescent="0.25">
      <c r="A3995" s="4"/>
      <c r="B3995" s="5"/>
      <c r="C3995" s="6"/>
    </row>
    <row r="3996" spans="1:3" x14ac:dyDescent="0.25">
      <c r="A3996" s="4"/>
      <c r="B3996" s="5"/>
      <c r="C3996" s="6"/>
    </row>
    <row r="3997" spans="1:3" x14ac:dyDescent="0.25">
      <c r="A3997" s="4"/>
      <c r="B3997" s="5"/>
      <c r="C3997" s="6"/>
    </row>
    <row r="3998" spans="1:3" x14ac:dyDescent="0.25">
      <c r="A3998" s="4"/>
      <c r="B3998" s="5"/>
      <c r="C3998" s="6"/>
    </row>
    <row r="3999" spans="1:3" x14ac:dyDescent="0.25">
      <c r="A3999" s="4"/>
      <c r="B3999" s="5"/>
      <c r="C3999" s="6"/>
    </row>
    <row r="4000" spans="1:3" x14ac:dyDescent="0.25">
      <c r="A4000" s="4"/>
      <c r="B4000" s="5"/>
      <c r="C4000" s="6"/>
    </row>
    <row r="4001" spans="1:3" x14ac:dyDescent="0.25">
      <c r="A4001" s="4"/>
      <c r="B4001" s="5"/>
      <c r="C4001" s="6"/>
    </row>
    <row r="4002" spans="1:3" x14ac:dyDescent="0.25">
      <c r="A4002" s="4"/>
      <c r="B4002" s="5"/>
      <c r="C4002" s="6"/>
    </row>
    <row r="4003" spans="1:3" x14ac:dyDescent="0.25">
      <c r="A4003" s="4"/>
      <c r="B4003" s="5"/>
      <c r="C4003" s="6"/>
    </row>
    <row r="4004" spans="1:3" x14ac:dyDescent="0.25">
      <c r="A4004" s="4"/>
      <c r="B4004" s="5"/>
      <c r="C4004" s="6"/>
    </row>
    <row r="4005" spans="1:3" x14ac:dyDescent="0.25">
      <c r="A4005" s="4"/>
      <c r="B4005" s="5"/>
      <c r="C4005" s="6"/>
    </row>
    <row r="4006" spans="1:3" x14ac:dyDescent="0.25">
      <c r="A4006" s="4"/>
      <c r="B4006" s="5"/>
      <c r="C4006" s="6"/>
    </row>
    <row r="4007" spans="1:3" x14ac:dyDescent="0.25">
      <c r="A4007" s="4"/>
      <c r="B4007" s="5"/>
      <c r="C4007" s="6"/>
    </row>
    <row r="4008" spans="1:3" x14ac:dyDescent="0.25">
      <c r="A4008" s="4"/>
      <c r="B4008" s="5"/>
      <c r="C4008" s="6"/>
    </row>
    <row r="4009" spans="1:3" x14ac:dyDescent="0.25">
      <c r="A4009" s="4"/>
      <c r="B4009" s="5"/>
      <c r="C4009" s="6"/>
    </row>
    <row r="4010" spans="1:3" x14ac:dyDescent="0.25">
      <c r="A4010" s="4"/>
      <c r="B4010" s="5"/>
      <c r="C4010" s="6"/>
    </row>
    <row r="4011" spans="1:3" x14ac:dyDescent="0.25">
      <c r="A4011" s="4"/>
      <c r="B4011" s="5"/>
      <c r="C4011" s="6"/>
    </row>
    <row r="4012" spans="1:3" x14ac:dyDescent="0.25">
      <c r="A4012" s="4"/>
      <c r="B4012" s="5"/>
      <c r="C4012" s="6"/>
    </row>
    <row r="4013" spans="1:3" x14ac:dyDescent="0.25">
      <c r="A4013" s="4"/>
      <c r="B4013" s="5"/>
      <c r="C4013" s="6"/>
    </row>
    <row r="4014" spans="1:3" x14ac:dyDescent="0.25">
      <c r="A4014" s="4"/>
      <c r="B4014" s="5"/>
      <c r="C4014" s="6"/>
    </row>
    <row r="4015" spans="1:3" x14ac:dyDescent="0.25">
      <c r="A4015" s="4"/>
      <c r="B4015" s="5"/>
      <c r="C4015" s="6"/>
    </row>
    <row r="4016" spans="1:3" x14ac:dyDescent="0.25">
      <c r="A4016" s="4"/>
      <c r="B4016" s="5"/>
      <c r="C4016" s="6"/>
    </row>
    <row r="4017" spans="1:3" x14ac:dyDescent="0.25">
      <c r="A4017" s="4"/>
      <c r="B4017" s="5"/>
      <c r="C4017" s="6"/>
    </row>
    <row r="4018" spans="1:3" x14ac:dyDescent="0.25">
      <c r="A4018" s="4"/>
      <c r="B4018" s="5"/>
      <c r="C4018" s="5"/>
    </row>
    <row r="4019" spans="1:3" x14ac:dyDescent="0.25">
      <c r="A4019" s="4"/>
      <c r="B4019" s="5"/>
      <c r="C4019" s="6"/>
    </row>
    <row r="4020" spans="1:3" x14ac:dyDescent="0.25">
      <c r="A4020" s="4"/>
      <c r="B4020" s="5"/>
      <c r="C4020" s="6"/>
    </row>
    <row r="4021" spans="1:3" x14ac:dyDescent="0.25">
      <c r="A4021" s="4"/>
      <c r="B4021" s="5"/>
      <c r="C4021" s="6"/>
    </row>
    <row r="4022" spans="1:3" x14ac:dyDescent="0.25">
      <c r="A4022" s="4"/>
      <c r="B4022" s="5"/>
      <c r="C4022" s="6"/>
    </row>
    <row r="4023" spans="1:3" x14ac:dyDescent="0.25">
      <c r="A4023" s="4"/>
      <c r="B4023" s="5"/>
      <c r="C4023" s="6"/>
    </row>
    <row r="4024" spans="1:3" x14ac:dyDescent="0.25">
      <c r="A4024" s="4"/>
      <c r="B4024" s="5"/>
      <c r="C4024" s="6"/>
    </row>
    <row r="4025" spans="1:3" x14ac:dyDescent="0.25">
      <c r="A4025" s="4"/>
      <c r="B4025" s="5"/>
      <c r="C4025" s="6"/>
    </row>
    <row r="4026" spans="1:3" x14ac:dyDescent="0.25">
      <c r="A4026" s="4"/>
      <c r="B4026" s="5"/>
      <c r="C4026" s="6"/>
    </row>
    <row r="4027" spans="1:3" x14ac:dyDescent="0.25">
      <c r="A4027" s="4"/>
      <c r="B4027" s="5"/>
      <c r="C4027" s="6"/>
    </row>
    <row r="4028" spans="1:3" x14ac:dyDescent="0.25">
      <c r="A4028" s="4"/>
      <c r="B4028" s="5"/>
      <c r="C4028" s="6"/>
    </row>
    <row r="4029" spans="1:3" x14ac:dyDescent="0.25">
      <c r="A4029" s="4"/>
      <c r="B4029" s="5"/>
      <c r="C4029" s="6"/>
    </row>
    <row r="4030" spans="1:3" x14ac:dyDescent="0.25">
      <c r="A4030" s="4"/>
      <c r="B4030" s="5"/>
      <c r="C4030" s="6"/>
    </row>
    <row r="4031" spans="1:3" x14ac:dyDescent="0.25">
      <c r="A4031" s="4"/>
      <c r="B4031" s="5"/>
      <c r="C4031" s="6"/>
    </row>
    <row r="4032" spans="1:3" x14ac:dyDescent="0.25">
      <c r="A4032" s="4"/>
      <c r="B4032" s="5"/>
      <c r="C4032" s="6"/>
    </row>
    <row r="4033" spans="1:3" x14ac:dyDescent="0.25">
      <c r="A4033" s="4"/>
      <c r="B4033" s="5"/>
      <c r="C4033" s="6"/>
    </row>
    <row r="4034" spans="1:3" x14ac:dyDescent="0.25">
      <c r="A4034" s="4"/>
      <c r="B4034" s="5"/>
      <c r="C4034" s="6"/>
    </row>
    <row r="4035" spans="1:3" x14ac:dyDescent="0.25">
      <c r="A4035" s="4"/>
      <c r="B4035" s="5"/>
      <c r="C4035" s="6"/>
    </row>
    <row r="4036" spans="1:3" x14ac:dyDescent="0.25">
      <c r="A4036" s="4"/>
      <c r="B4036" s="5"/>
      <c r="C4036" s="6"/>
    </row>
    <row r="4037" spans="1:3" x14ac:dyDescent="0.25">
      <c r="A4037" s="4"/>
      <c r="B4037" s="5"/>
      <c r="C4037" s="6"/>
    </row>
    <row r="4038" spans="1:3" x14ac:dyDescent="0.25">
      <c r="A4038" s="4"/>
      <c r="B4038" s="5"/>
      <c r="C4038" s="6"/>
    </row>
    <row r="4039" spans="1:3" x14ac:dyDescent="0.25">
      <c r="A4039" s="4"/>
      <c r="B4039" s="5"/>
      <c r="C4039" s="6"/>
    </row>
    <row r="4040" spans="1:3" x14ac:dyDescent="0.25">
      <c r="A4040" s="4"/>
      <c r="B4040" s="5"/>
      <c r="C4040" s="6"/>
    </row>
    <row r="4041" spans="1:3" x14ac:dyDescent="0.25">
      <c r="A4041" s="4"/>
      <c r="B4041" s="5"/>
      <c r="C4041" s="6"/>
    </row>
    <row r="4042" spans="1:3" x14ac:dyDescent="0.25">
      <c r="A4042" s="4"/>
      <c r="B4042" s="5"/>
      <c r="C4042" s="6"/>
    </row>
    <row r="4043" spans="1:3" x14ac:dyDescent="0.25">
      <c r="A4043" s="4"/>
      <c r="B4043" s="5"/>
      <c r="C4043" s="6"/>
    </row>
    <row r="4044" spans="1:3" x14ac:dyDescent="0.25">
      <c r="A4044" s="4"/>
      <c r="B4044" s="5"/>
      <c r="C4044" s="6"/>
    </row>
    <row r="4045" spans="1:3" x14ac:dyDescent="0.25">
      <c r="A4045" s="4"/>
      <c r="B4045" s="5"/>
      <c r="C4045" s="6"/>
    </row>
    <row r="4046" spans="1:3" x14ac:dyDescent="0.25">
      <c r="A4046" s="4"/>
      <c r="B4046" s="5"/>
      <c r="C4046" s="5"/>
    </row>
    <row r="4047" spans="1:3" x14ac:dyDescent="0.25">
      <c r="A4047" s="4"/>
      <c r="B4047" s="5"/>
      <c r="C4047" s="6"/>
    </row>
    <row r="4048" spans="1:3" x14ac:dyDescent="0.25">
      <c r="A4048" s="4"/>
      <c r="B4048" s="5"/>
      <c r="C4048" s="6"/>
    </row>
    <row r="4049" spans="1:3" x14ac:dyDescent="0.25">
      <c r="A4049" s="4"/>
      <c r="B4049" s="5"/>
      <c r="C4049" s="6"/>
    </row>
    <row r="4050" spans="1:3" x14ac:dyDescent="0.25">
      <c r="A4050" s="4"/>
      <c r="B4050" s="5"/>
      <c r="C4050" s="6"/>
    </row>
    <row r="4051" spans="1:3" x14ac:dyDescent="0.25">
      <c r="A4051" s="4"/>
      <c r="B4051" s="5"/>
      <c r="C4051" s="6"/>
    </row>
    <row r="4052" spans="1:3" x14ac:dyDescent="0.25">
      <c r="A4052" s="4"/>
      <c r="B4052" s="5"/>
      <c r="C4052" s="6"/>
    </row>
    <row r="4053" spans="1:3" x14ac:dyDescent="0.25">
      <c r="A4053" s="4"/>
      <c r="B4053" s="5"/>
      <c r="C4053" s="6"/>
    </row>
    <row r="4054" spans="1:3" x14ac:dyDescent="0.25">
      <c r="A4054" s="4"/>
      <c r="B4054" s="5"/>
      <c r="C4054" s="6"/>
    </row>
    <row r="4055" spans="1:3" x14ac:dyDescent="0.25">
      <c r="A4055" s="4"/>
      <c r="B4055" s="5"/>
      <c r="C4055" s="6"/>
    </row>
    <row r="4056" spans="1:3" x14ac:dyDescent="0.25">
      <c r="A4056" s="4"/>
      <c r="B4056" s="5"/>
      <c r="C4056" s="6"/>
    </row>
    <row r="4057" spans="1:3" x14ac:dyDescent="0.25">
      <c r="A4057" s="4"/>
      <c r="B4057" s="5"/>
      <c r="C4057" s="6"/>
    </row>
    <row r="4058" spans="1:3" x14ac:dyDescent="0.25">
      <c r="A4058" s="4"/>
      <c r="B4058" s="5"/>
      <c r="C4058" s="6"/>
    </row>
    <row r="4059" spans="1:3" x14ac:dyDescent="0.25">
      <c r="A4059" s="4"/>
      <c r="B4059" s="5"/>
      <c r="C4059" s="6"/>
    </row>
    <row r="4060" spans="1:3" x14ac:dyDescent="0.25">
      <c r="A4060" s="4"/>
      <c r="B4060" s="5"/>
      <c r="C4060" s="6"/>
    </row>
    <row r="4061" spans="1:3" x14ac:dyDescent="0.25">
      <c r="A4061" s="4"/>
      <c r="B4061" s="5"/>
      <c r="C4061" s="6"/>
    </row>
    <row r="4062" spans="1:3" x14ac:dyDescent="0.25">
      <c r="A4062" s="4"/>
      <c r="B4062" s="5"/>
      <c r="C4062" s="6"/>
    </row>
    <row r="4063" spans="1:3" x14ac:dyDescent="0.25">
      <c r="A4063" s="4"/>
      <c r="B4063" s="5"/>
      <c r="C4063" s="6"/>
    </row>
    <row r="4064" spans="1:3" x14ac:dyDescent="0.25">
      <c r="A4064" s="4"/>
      <c r="B4064" s="5"/>
      <c r="C4064" s="6"/>
    </row>
    <row r="4065" spans="1:3" x14ac:dyDescent="0.25">
      <c r="A4065" s="4"/>
      <c r="B4065" s="5"/>
      <c r="C4065" s="6"/>
    </row>
    <row r="4066" spans="1:3" x14ac:dyDescent="0.25">
      <c r="A4066" s="4"/>
      <c r="B4066" s="5"/>
      <c r="C4066" s="6"/>
    </row>
    <row r="4067" spans="1:3" x14ac:dyDescent="0.25">
      <c r="A4067" s="4"/>
      <c r="B4067" s="5"/>
      <c r="C4067" s="6"/>
    </row>
    <row r="4068" spans="1:3" x14ac:dyDescent="0.25">
      <c r="A4068" s="4"/>
      <c r="B4068" s="5"/>
      <c r="C4068" s="6"/>
    </row>
    <row r="4069" spans="1:3" x14ac:dyDescent="0.25">
      <c r="A4069" s="4"/>
      <c r="B4069" s="5"/>
      <c r="C4069" s="6"/>
    </row>
    <row r="4070" spans="1:3" x14ac:dyDescent="0.25">
      <c r="A4070" s="4"/>
      <c r="B4070" s="5"/>
      <c r="C4070" s="6"/>
    </row>
    <row r="4071" spans="1:3" x14ac:dyDescent="0.25">
      <c r="A4071" s="4"/>
      <c r="B4071" s="5"/>
      <c r="C4071" s="6"/>
    </row>
    <row r="4072" spans="1:3" x14ac:dyDescent="0.25">
      <c r="A4072" s="4"/>
      <c r="B4072" s="5"/>
      <c r="C4072" s="6"/>
    </row>
    <row r="4073" spans="1:3" x14ac:dyDescent="0.25">
      <c r="A4073" s="4"/>
      <c r="B4073" s="5"/>
      <c r="C4073" s="6"/>
    </row>
    <row r="4074" spans="1:3" x14ac:dyDescent="0.25">
      <c r="A4074" s="4"/>
      <c r="B4074" s="5"/>
      <c r="C4074" s="6"/>
    </row>
    <row r="4075" spans="1:3" x14ac:dyDescent="0.25">
      <c r="A4075" s="4"/>
      <c r="B4075" s="5"/>
      <c r="C4075" s="6"/>
    </row>
    <row r="4076" spans="1:3" x14ac:dyDescent="0.25">
      <c r="A4076" s="4"/>
      <c r="B4076" s="5"/>
      <c r="C4076" s="6"/>
    </row>
    <row r="4077" spans="1:3" x14ac:dyDescent="0.25">
      <c r="A4077" s="4"/>
      <c r="B4077" s="5"/>
      <c r="C4077" s="6"/>
    </row>
    <row r="4078" spans="1:3" x14ac:dyDescent="0.25">
      <c r="A4078" s="4"/>
      <c r="B4078" s="5"/>
      <c r="C4078" s="6"/>
    </row>
    <row r="4079" spans="1:3" x14ac:dyDescent="0.25">
      <c r="A4079" s="4"/>
      <c r="B4079" s="5"/>
      <c r="C4079" s="6"/>
    </row>
    <row r="4080" spans="1:3" x14ac:dyDescent="0.25">
      <c r="A4080" s="4"/>
      <c r="B4080" s="5"/>
      <c r="C4080" s="6"/>
    </row>
    <row r="4081" spans="1:3" x14ac:dyDescent="0.25">
      <c r="A4081" s="4"/>
      <c r="B4081" s="5"/>
      <c r="C4081" s="6"/>
    </row>
    <row r="4082" spans="1:3" x14ac:dyDescent="0.25">
      <c r="A4082" s="4"/>
      <c r="B4082" s="5"/>
      <c r="C4082" s="6"/>
    </row>
    <row r="4083" spans="1:3" x14ac:dyDescent="0.25">
      <c r="A4083" s="4"/>
      <c r="B4083" s="5"/>
      <c r="C4083" s="6"/>
    </row>
    <row r="4084" spans="1:3" x14ac:dyDescent="0.25">
      <c r="A4084" s="4"/>
      <c r="B4084" s="5"/>
      <c r="C4084" s="6"/>
    </row>
    <row r="4085" spans="1:3" x14ac:dyDescent="0.25">
      <c r="A4085" s="4"/>
      <c r="B4085" s="5"/>
      <c r="C4085" s="6"/>
    </row>
    <row r="4086" spans="1:3" x14ac:dyDescent="0.25">
      <c r="A4086" s="4"/>
      <c r="B4086" s="5"/>
      <c r="C4086" s="6"/>
    </row>
    <row r="4087" spans="1:3" x14ac:dyDescent="0.25">
      <c r="A4087" s="4"/>
      <c r="B4087" s="5"/>
      <c r="C4087" s="6"/>
    </row>
    <row r="4088" spans="1:3" x14ac:dyDescent="0.25">
      <c r="A4088" s="4"/>
      <c r="B4088" s="5"/>
      <c r="C4088" s="5"/>
    </row>
    <row r="4089" spans="1:3" x14ac:dyDescent="0.25">
      <c r="A4089" s="4"/>
      <c r="B4089" s="5"/>
      <c r="C4089" s="6"/>
    </row>
    <row r="4090" spans="1:3" x14ac:dyDescent="0.25">
      <c r="A4090" s="4"/>
      <c r="B4090" s="5"/>
      <c r="C4090" s="6"/>
    </row>
    <row r="4091" spans="1:3" x14ac:dyDescent="0.25">
      <c r="A4091" s="4"/>
      <c r="B4091" s="5"/>
      <c r="C4091" s="6"/>
    </row>
    <row r="4092" spans="1:3" x14ac:dyDescent="0.25">
      <c r="A4092" s="4"/>
      <c r="B4092" s="5"/>
      <c r="C4092" s="6"/>
    </row>
    <row r="4093" spans="1:3" x14ac:dyDescent="0.25">
      <c r="A4093" s="4"/>
      <c r="B4093" s="5"/>
      <c r="C4093" s="6"/>
    </row>
    <row r="4094" spans="1:3" x14ac:dyDescent="0.25">
      <c r="A4094" s="4"/>
      <c r="B4094" s="5"/>
      <c r="C4094" s="6"/>
    </row>
    <row r="4095" spans="1:3" x14ac:dyDescent="0.25">
      <c r="A4095" s="4"/>
      <c r="B4095" s="5"/>
      <c r="C4095" s="6"/>
    </row>
    <row r="4096" spans="1:3" x14ac:dyDescent="0.25">
      <c r="A4096" s="4"/>
      <c r="B4096" s="5"/>
      <c r="C4096" s="6"/>
    </row>
    <row r="4097" spans="1:3" x14ac:dyDescent="0.25">
      <c r="A4097" s="4"/>
      <c r="B4097" s="5"/>
      <c r="C4097" s="6"/>
    </row>
    <row r="4098" spans="1:3" x14ac:dyDescent="0.25">
      <c r="A4098" s="4"/>
      <c r="B4098" s="5"/>
      <c r="C4098" s="6"/>
    </row>
    <row r="4099" spans="1:3" x14ac:dyDescent="0.25">
      <c r="A4099" s="4"/>
      <c r="B4099" s="5"/>
      <c r="C4099" s="6"/>
    </row>
    <row r="4100" spans="1:3" x14ac:dyDescent="0.25">
      <c r="A4100" s="4"/>
      <c r="B4100" s="5"/>
      <c r="C4100" s="6"/>
    </row>
    <row r="4101" spans="1:3" x14ac:dyDescent="0.25">
      <c r="A4101" s="4"/>
      <c r="B4101" s="5"/>
      <c r="C4101" s="6"/>
    </row>
    <row r="4102" spans="1:3" x14ac:dyDescent="0.25">
      <c r="A4102" s="4"/>
      <c r="B4102" s="5"/>
      <c r="C4102" s="6"/>
    </row>
    <row r="4103" spans="1:3" x14ac:dyDescent="0.25">
      <c r="A4103" s="4"/>
      <c r="B4103" s="5"/>
      <c r="C4103" s="6"/>
    </row>
    <row r="4104" spans="1:3" x14ac:dyDescent="0.25">
      <c r="A4104" s="4"/>
      <c r="B4104" s="5"/>
      <c r="C4104" s="6"/>
    </row>
    <row r="4105" spans="1:3" x14ac:dyDescent="0.25">
      <c r="A4105" s="4"/>
      <c r="B4105" s="5"/>
      <c r="C4105" s="6"/>
    </row>
    <row r="4106" spans="1:3" x14ac:dyDescent="0.25">
      <c r="A4106" s="4"/>
      <c r="B4106" s="5"/>
      <c r="C4106" s="6"/>
    </row>
    <row r="4107" spans="1:3" x14ac:dyDescent="0.25">
      <c r="A4107" s="4"/>
      <c r="B4107" s="5"/>
      <c r="C4107" s="6"/>
    </row>
    <row r="4108" spans="1:3" x14ac:dyDescent="0.25">
      <c r="A4108" s="4"/>
      <c r="B4108" s="5"/>
      <c r="C4108" s="6"/>
    </row>
    <row r="4109" spans="1:3" x14ac:dyDescent="0.25">
      <c r="A4109" s="4"/>
      <c r="B4109" s="5"/>
      <c r="C4109" s="6"/>
    </row>
    <row r="4110" spans="1:3" x14ac:dyDescent="0.25">
      <c r="A4110" s="4"/>
      <c r="B4110" s="5"/>
      <c r="C4110" s="6"/>
    </row>
    <row r="4111" spans="1:3" x14ac:dyDescent="0.25">
      <c r="A4111" s="4"/>
      <c r="B4111" s="5"/>
      <c r="C4111" s="6"/>
    </row>
    <row r="4112" spans="1:3" x14ac:dyDescent="0.25">
      <c r="A4112" s="4"/>
      <c r="B4112" s="5"/>
      <c r="C4112" s="6"/>
    </row>
    <row r="4113" spans="1:3" x14ac:dyDescent="0.25">
      <c r="A4113" s="4"/>
      <c r="B4113" s="5"/>
      <c r="C4113" s="6"/>
    </row>
    <row r="4114" spans="1:3" x14ac:dyDescent="0.25">
      <c r="A4114" s="4"/>
      <c r="B4114" s="5"/>
      <c r="C4114" s="6"/>
    </row>
    <row r="4115" spans="1:3" x14ac:dyDescent="0.25">
      <c r="A4115" s="4"/>
      <c r="B4115" s="5"/>
      <c r="C4115" s="6"/>
    </row>
    <row r="4116" spans="1:3" x14ac:dyDescent="0.25">
      <c r="A4116" s="4"/>
      <c r="B4116" s="5"/>
      <c r="C4116" s="6"/>
    </row>
    <row r="4117" spans="1:3" x14ac:dyDescent="0.25">
      <c r="A4117" s="4"/>
      <c r="B4117" s="5"/>
      <c r="C4117" s="6"/>
    </row>
    <row r="4118" spans="1:3" x14ac:dyDescent="0.25">
      <c r="A4118" s="4"/>
      <c r="B4118" s="5"/>
      <c r="C4118" s="6"/>
    </row>
    <row r="4119" spans="1:3" x14ac:dyDescent="0.25">
      <c r="A4119" s="4"/>
      <c r="B4119" s="5"/>
      <c r="C4119" s="6"/>
    </row>
    <row r="4120" spans="1:3" x14ac:dyDescent="0.25">
      <c r="A4120" s="4"/>
      <c r="B4120" s="5"/>
      <c r="C4120" s="6"/>
    </row>
    <row r="4121" spans="1:3" x14ac:dyDescent="0.25">
      <c r="A4121" s="4"/>
      <c r="B4121" s="5"/>
      <c r="C4121" s="6"/>
    </row>
    <row r="4122" spans="1:3" x14ac:dyDescent="0.25">
      <c r="A4122" s="4"/>
      <c r="B4122" s="5"/>
      <c r="C4122" s="6"/>
    </row>
    <row r="4123" spans="1:3" x14ac:dyDescent="0.25">
      <c r="A4123" s="4"/>
      <c r="B4123" s="5"/>
      <c r="C4123" s="6"/>
    </row>
    <row r="4124" spans="1:3" x14ac:dyDescent="0.25">
      <c r="A4124" s="4"/>
      <c r="B4124" s="5"/>
      <c r="C4124" s="6"/>
    </row>
    <row r="4125" spans="1:3" x14ac:dyDescent="0.25">
      <c r="A4125" s="4"/>
      <c r="B4125" s="5"/>
      <c r="C4125" s="6"/>
    </row>
    <row r="4126" spans="1:3" x14ac:dyDescent="0.25">
      <c r="A4126" s="4"/>
      <c r="B4126" s="5"/>
      <c r="C4126" s="6"/>
    </row>
    <row r="4127" spans="1:3" x14ac:dyDescent="0.25">
      <c r="A4127" s="4"/>
      <c r="B4127" s="5"/>
      <c r="C4127" s="6"/>
    </row>
    <row r="4128" spans="1:3" x14ac:dyDescent="0.25">
      <c r="A4128" s="4"/>
      <c r="B4128" s="5"/>
      <c r="C4128" s="6"/>
    </row>
    <row r="4129" spans="1:3" x14ac:dyDescent="0.25">
      <c r="A4129" s="4"/>
      <c r="B4129" s="5"/>
      <c r="C4129" s="6"/>
    </row>
    <row r="4130" spans="1:3" x14ac:dyDescent="0.25">
      <c r="A4130" s="4"/>
      <c r="B4130" s="5"/>
      <c r="C4130" s="6"/>
    </row>
    <row r="4131" spans="1:3" x14ac:dyDescent="0.25">
      <c r="A4131" s="4"/>
      <c r="B4131" s="5"/>
      <c r="C4131" s="6"/>
    </row>
    <row r="4132" spans="1:3" x14ac:dyDescent="0.25">
      <c r="A4132" s="4"/>
      <c r="B4132" s="5"/>
      <c r="C4132" s="6"/>
    </row>
    <row r="4133" spans="1:3" x14ac:dyDescent="0.25">
      <c r="A4133" s="4"/>
      <c r="B4133" s="5"/>
      <c r="C4133" s="6"/>
    </row>
    <row r="4134" spans="1:3" x14ac:dyDescent="0.25">
      <c r="A4134" s="4"/>
      <c r="B4134" s="5"/>
      <c r="C4134" s="6"/>
    </row>
    <row r="4135" spans="1:3" x14ac:dyDescent="0.25">
      <c r="A4135" s="4"/>
      <c r="B4135" s="5"/>
      <c r="C4135" s="6"/>
    </row>
    <row r="4136" spans="1:3" x14ac:dyDescent="0.25">
      <c r="A4136" s="4"/>
      <c r="B4136" s="5"/>
      <c r="C4136" s="6"/>
    </row>
    <row r="4137" spans="1:3" x14ac:dyDescent="0.25">
      <c r="A4137" s="4"/>
      <c r="B4137" s="5"/>
      <c r="C4137" s="6"/>
    </row>
    <row r="4138" spans="1:3" x14ac:dyDescent="0.25">
      <c r="A4138" s="4"/>
      <c r="B4138" s="5"/>
      <c r="C4138" s="6"/>
    </row>
    <row r="4139" spans="1:3" x14ac:dyDescent="0.25">
      <c r="A4139" s="4"/>
      <c r="B4139" s="5"/>
      <c r="C4139" s="6"/>
    </row>
    <row r="4140" spans="1:3" x14ac:dyDescent="0.25">
      <c r="A4140" s="4"/>
      <c r="B4140" s="5"/>
      <c r="C4140" s="6"/>
    </row>
    <row r="4141" spans="1:3" x14ac:dyDescent="0.25">
      <c r="A4141" s="4"/>
      <c r="B4141" s="5"/>
      <c r="C4141" s="6"/>
    </row>
    <row r="4142" spans="1:3" x14ac:dyDescent="0.25">
      <c r="A4142" s="4"/>
      <c r="B4142" s="5"/>
      <c r="C4142" s="6"/>
    </row>
    <row r="4143" spans="1:3" x14ac:dyDescent="0.25">
      <c r="A4143" s="4"/>
      <c r="B4143" s="5"/>
      <c r="C4143" s="6"/>
    </row>
    <row r="4144" spans="1:3" x14ac:dyDescent="0.25">
      <c r="A4144" s="4"/>
      <c r="B4144" s="5"/>
      <c r="C4144" s="6"/>
    </row>
    <row r="4145" spans="1:3" x14ac:dyDescent="0.25">
      <c r="A4145" s="4"/>
      <c r="B4145" s="5"/>
      <c r="C4145" s="6"/>
    </row>
    <row r="4146" spans="1:3" x14ac:dyDescent="0.25">
      <c r="A4146" s="4"/>
      <c r="B4146" s="5"/>
      <c r="C4146" s="6"/>
    </row>
    <row r="4147" spans="1:3" x14ac:dyDescent="0.25">
      <c r="A4147" s="4"/>
      <c r="B4147" s="5"/>
      <c r="C4147" s="6"/>
    </row>
    <row r="4148" spans="1:3" x14ac:dyDescent="0.25">
      <c r="A4148" s="4"/>
      <c r="B4148" s="5"/>
      <c r="C4148" s="6"/>
    </row>
    <row r="4149" spans="1:3" x14ac:dyDescent="0.25">
      <c r="A4149" s="4"/>
      <c r="B4149" s="5"/>
      <c r="C4149" s="6"/>
    </row>
    <row r="4150" spans="1:3" x14ac:dyDescent="0.25">
      <c r="A4150" s="4"/>
      <c r="B4150" s="5"/>
      <c r="C4150" s="6"/>
    </row>
    <row r="4151" spans="1:3" x14ac:dyDescent="0.25">
      <c r="A4151" s="4"/>
      <c r="B4151" s="5"/>
      <c r="C4151" s="5"/>
    </row>
    <row r="4152" spans="1:3" x14ac:dyDescent="0.25">
      <c r="A4152" s="4"/>
      <c r="B4152" s="5"/>
      <c r="C4152" s="6"/>
    </row>
    <row r="4153" spans="1:3" x14ac:dyDescent="0.25">
      <c r="A4153" s="4"/>
      <c r="B4153" s="5"/>
      <c r="C4153" s="6"/>
    </row>
    <row r="4154" spans="1:3" x14ac:dyDescent="0.25">
      <c r="A4154" s="4"/>
      <c r="B4154" s="5"/>
      <c r="C4154" s="6"/>
    </row>
    <row r="4155" spans="1:3" x14ac:dyDescent="0.25">
      <c r="A4155" s="4"/>
      <c r="B4155" s="5"/>
      <c r="C4155" s="6"/>
    </row>
    <row r="4156" spans="1:3" x14ac:dyDescent="0.25">
      <c r="A4156" s="4"/>
      <c r="B4156" s="5"/>
      <c r="C4156" s="6"/>
    </row>
    <row r="4157" spans="1:3" x14ac:dyDescent="0.25">
      <c r="A4157" s="4"/>
      <c r="B4157" s="5"/>
      <c r="C4157" s="6"/>
    </row>
    <row r="4158" spans="1:3" x14ac:dyDescent="0.25">
      <c r="A4158" s="4"/>
      <c r="B4158" s="5"/>
      <c r="C4158" s="6"/>
    </row>
    <row r="4159" spans="1:3" x14ac:dyDescent="0.25">
      <c r="A4159" s="4"/>
      <c r="B4159" s="5"/>
      <c r="C4159" s="6"/>
    </row>
    <row r="4160" spans="1:3" x14ac:dyDescent="0.25">
      <c r="A4160" s="4"/>
      <c r="B4160" s="5"/>
      <c r="C4160" s="6"/>
    </row>
    <row r="4161" spans="1:3" x14ac:dyDescent="0.25">
      <c r="A4161" s="4"/>
      <c r="B4161" s="5"/>
      <c r="C4161" s="6"/>
    </row>
    <row r="4162" spans="1:3" x14ac:dyDescent="0.25">
      <c r="A4162" s="4"/>
      <c r="B4162" s="5"/>
      <c r="C4162" s="6"/>
    </row>
    <row r="4163" spans="1:3" x14ac:dyDescent="0.25">
      <c r="A4163" s="4"/>
      <c r="B4163" s="5"/>
      <c r="C4163" s="6"/>
    </row>
    <row r="4164" spans="1:3" x14ac:dyDescent="0.25">
      <c r="A4164" s="4"/>
      <c r="B4164" s="5"/>
      <c r="C4164" s="6"/>
    </row>
    <row r="4165" spans="1:3" x14ac:dyDescent="0.25">
      <c r="A4165" s="4"/>
      <c r="B4165" s="5"/>
      <c r="C4165" s="6"/>
    </row>
    <row r="4166" spans="1:3" x14ac:dyDescent="0.25">
      <c r="A4166" s="4"/>
      <c r="B4166" s="5"/>
      <c r="C4166" s="6"/>
    </row>
    <row r="4167" spans="1:3" x14ac:dyDescent="0.25">
      <c r="A4167" s="4"/>
      <c r="B4167" s="5"/>
      <c r="C4167" s="6"/>
    </row>
    <row r="4168" spans="1:3" x14ac:dyDescent="0.25">
      <c r="A4168" s="4"/>
      <c r="B4168" s="5"/>
      <c r="C4168" s="6"/>
    </row>
    <row r="4169" spans="1:3" x14ac:dyDescent="0.25">
      <c r="A4169" s="4"/>
      <c r="B4169" s="5"/>
      <c r="C4169" s="6"/>
    </row>
    <row r="4170" spans="1:3" x14ac:dyDescent="0.25">
      <c r="A4170" s="4"/>
      <c r="B4170" s="5"/>
      <c r="C4170" s="5"/>
    </row>
    <row r="4171" spans="1:3" x14ac:dyDescent="0.25">
      <c r="A4171" s="4"/>
      <c r="B4171" s="5"/>
      <c r="C4171" s="6"/>
    </row>
    <row r="4172" spans="1:3" x14ac:dyDescent="0.25">
      <c r="A4172" s="4"/>
      <c r="B4172" s="5"/>
      <c r="C4172" s="6"/>
    </row>
    <row r="4173" spans="1:3" x14ac:dyDescent="0.25">
      <c r="A4173" s="4"/>
      <c r="B4173" s="5"/>
      <c r="C4173" s="6"/>
    </row>
    <row r="4174" spans="1:3" x14ac:dyDescent="0.25">
      <c r="A4174" s="4"/>
      <c r="B4174" s="5"/>
      <c r="C4174" s="6"/>
    </row>
    <row r="4175" spans="1:3" x14ac:dyDescent="0.25">
      <c r="A4175" s="4"/>
      <c r="B4175" s="5"/>
      <c r="C4175" s="5"/>
    </row>
    <row r="4176" spans="1:3" x14ac:dyDescent="0.25">
      <c r="A4176" s="4"/>
      <c r="B4176" s="5"/>
      <c r="C4176" s="6"/>
    </row>
    <row r="4177" spans="1:3" x14ac:dyDescent="0.25">
      <c r="A4177" s="4"/>
      <c r="B4177" s="5"/>
      <c r="C4177" s="6"/>
    </row>
    <row r="4178" spans="1:3" x14ac:dyDescent="0.25">
      <c r="A4178" s="4"/>
      <c r="B4178" s="5"/>
      <c r="C4178" s="6"/>
    </row>
    <row r="4179" spans="1:3" x14ac:dyDescent="0.25">
      <c r="A4179" s="4"/>
      <c r="B4179" s="5"/>
      <c r="C4179" s="6"/>
    </row>
    <row r="4180" spans="1:3" x14ac:dyDescent="0.25">
      <c r="A4180" s="4"/>
      <c r="B4180" s="5"/>
      <c r="C4180" s="6"/>
    </row>
    <row r="4181" spans="1:3" x14ac:dyDescent="0.25">
      <c r="A4181" s="4"/>
      <c r="B4181" s="5"/>
      <c r="C4181" s="6"/>
    </row>
    <row r="4182" spans="1:3" x14ac:dyDescent="0.25">
      <c r="A4182" s="4"/>
      <c r="B4182" s="5"/>
      <c r="C4182" s="6"/>
    </row>
    <row r="4183" spans="1:3" x14ac:dyDescent="0.25">
      <c r="A4183" s="4"/>
      <c r="B4183" s="5"/>
      <c r="C4183" s="6"/>
    </row>
    <row r="4184" spans="1:3" x14ac:dyDescent="0.25">
      <c r="A4184" s="4"/>
      <c r="B4184" s="5"/>
      <c r="C4184" s="6"/>
    </row>
    <row r="4185" spans="1:3" x14ac:dyDescent="0.25">
      <c r="A4185" s="4"/>
      <c r="B4185" s="5"/>
      <c r="C4185" s="6"/>
    </row>
    <row r="4186" spans="1:3" x14ac:dyDescent="0.25">
      <c r="A4186" s="4"/>
      <c r="B4186" s="5"/>
      <c r="C4186" s="6"/>
    </row>
    <row r="4187" spans="1:3" x14ac:dyDescent="0.25">
      <c r="A4187" s="4"/>
      <c r="B4187" s="5"/>
      <c r="C4187" s="6"/>
    </row>
    <row r="4188" spans="1:3" x14ac:dyDescent="0.25">
      <c r="A4188" s="4"/>
      <c r="B4188" s="5"/>
      <c r="C4188" s="6"/>
    </row>
    <row r="4189" spans="1:3" x14ac:dyDescent="0.25">
      <c r="A4189" s="4"/>
      <c r="B4189" s="5"/>
      <c r="C4189" s="6"/>
    </row>
    <row r="4190" spans="1:3" x14ac:dyDescent="0.25">
      <c r="A4190" s="4"/>
      <c r="B4190" s="5"/>
      <c r="C4190" s="6"/>
    </row>
    <row r="4191" spans="1:3" x14ac:dyDescent="0.25">
      <c r="A4191" s="4"/>
      <c r="B4191" s="5"/>
      <c r="C4191" s="6"/>
    </row>
    <row r="4192" spans="1:3" x14ac:dyDescent="0.25">
      <c r="A4192" s="4"/>
      <c r="B4192" s="5"/>
      <c r="C4192" s="6"/>
    </row>
    <row r="4193" spans="1:3" x14ac:dyDescent="0.25">
      <c r="A4193" s="4"/>
      <c r="B4193" s="5"/>
      <c r="C4193" s="6"/>
    </row>
    <row r="4194" spans="1:3" x14ac:dyDescent="0.25">
      <c r="A4194" s="4"/>
      <c r="B4194" s="5"/>
      <c r="C4194" s="6"/>
    </row>
    <row r="4195" spans="1:3" x14ac:dyDescent="0.25">
      <c r="A4195" s="4"/>
      <c r="B4195" s="5"/>
      <c r="C4195" s="6"/>
    </row>
    <row r="4196" spans="1:3" x14ac:dyDescent="0.25">
      <c r="A4196" s="4"/>
      <c r="B4196" s="5"/>
      <c r="C4196" s="6"/>
    </row>
    <row r="4197" spans="1:3" x14ac:dyDescent="0.25">
      <c r="A4197" s="4"/>
      <c r="B4197" s="5"/>
      <c r="C4197" s="6"/>
    </row>
    <row r="4198" spans="1:3" x14ac:dyDescent="0.25">
      <c r="A4198" s="4"/>
      <c r="B4198" s="5"/>
      <c r="C4198" s="6"/>
    </row>
    <row r="4199" spans="1:3" x14ac:dyDescent="0.25">
      <c r="A4199" s="4"/>
      <c r="B4199" s="5"/>
      <c r="C4199" s="6"/>
    </row>
    <row r="4200" spans="1:3" x14ac:dyDescent="0.25">
      <c r="A4200" s="4"/>
      <c r="B4200" s="5"/>
      <c r="C4200" s="6"/>
    </row>
    <row r="4201" spans="1:3" x14ac:dyDescent="0.25">
      <c r="A4201" s="4"/>
      <c r="B4201" s="5"/>
      <c r="C4201" s="6"/>
    </row>
    <row r="4202" spans="1:3" x14ac:dyDescent="0.25">
      <c r="A4202" s="4"/>
      <c r="B4202" s="5"/>
      <c r="C4202" s="6"/>
    </row>
    <row r="4203" spans="1:3" x14ac:dyDescent="0.25">
      <c r="A4203" s="4"/>
      <c r="B4203" s="5"/>
      <c r="C4203" s="6"/>
    </row>
    <row r="4204" spans="1:3" x14ac:dyDescent="0.25">
      <c r="A4204" s="4"/>
      <c r="B4204" s="5"/>
      <c r="C4204" s="6"/>
    </row>
    <row r="4205" spans="1:3" x14ac:dyDescent="0.25">
      <c r="A4205" s="4"/>
      <c r="B4205" s="5"/>
      <c r="C4205" s="6"/>
    </row>
    <row r="4206" spans="1:3" x14ac:dyDescent="0.25">
      <c r="A4206" s="4"/>
      <c r="B4206" s="5"/>
      <c r="C4206" s="6"/>
    </row>
    <row r="4207" spans="1:3" x14ac:dyDescent="0.25">
      <c r="A4207" s="4"/>
      <c r="B4207" s="5"/>
      <c r="C4207" s="6"/>
    </row>
    <row r="4208" spans="1:3" x14ac:dyDescent="0.25">
      <c r="A4208" s="4"/>
      <c r="B4208" s="5"/>
      <c r="C4208" s="5"/>
    </row>
    <row r="4209" spans="1:3" x14ac:dyDescent="0.25">
      <c r="A4209" s="4"/>
      <c r="B4209" s="5"/>
      <c r="C4209" s="6"/>
    </row>
    <row r="4210" spans="1:3" x14ac:dyDescent="0.25">
      <c r="A4210" s="4"/>
      <c r="B4210" s="5"/>
      <c r="C4210" s="6"/>
    </row>
    <row r="4211" spans="1:3" x14ac:dyDescent="0.25">
      <c r="A4211" s="4"/>
      <c r="B4211" s="5"/>
      <c r="C4211" s="6"/>
    </row>
    <row r="4212" spans="1:3" x14ac:dyDescent="0.25">
      <c r="A4212" s="4"/>
      <c r="B4212" s="5"/>
      <c r="C4212" s="6"/>
    </row>
    <row r="4213" spans="1:3" x14ac:dyDescent="0.25">
      <c r="A4213" s="4"/>
      <c r="B4213" s="5"/>
      <c r="C4213" s="6"/>
    </row>
    <row r="4214" spans="1:3" x14ac:dyDescent="0.25">
      <c r="A4214" s="4"/>
      <c r="B4214" s="5"/>
      <c r="C4214" s="6"/>
    </row>
    <row r="4215" spans="1:3" x14ac:dyDescent="0.25">
      <c r="A4215" s="4"/>
      <c r="B4215" s="5"/>
      <c r="C4215" s="6"/>
    </row>
    <row r="4216" spans="1:3" x14ac:dyDescent="0.25">
      <c r="A4216" s="4"/>
      <c r="B4216" s="5"/>
      <c r="C4216" s="6"/>
    </row>
    <row r="4217" spans="1:3" x14ac:dyDescent="0.25">
      <c r="A4217" s="4"/>
      <c r="B4217" s="5"/>
      <c r="C4217" s="6"/>
    </row>
    <row r="4218" spans="1:3" x14ac:dyDescent="0.25">
      <c r="A4218" s="4"/>
      <c r="B4218" s="5"/>
      <c r="C4218" s="6"/>
    </row>
    <row r="4219" spans="1:3" x14ac:dyDescent="0.25">
      <c r="A4219" s="4"/>
      <c r="B4219" s="5"/>
      <c r="C4219" s="6"/>
    </row>
    <row r="4220" spans="1:3" x14ac:dyDescent="0.25">
      <c r="A4220" s="4"/>
      <c r="B4220" s="5"/>
      <c r="C4220" s="6"/>
    </row>
    <row r="4221" spans="1:3" x14ac:dyDescent="0.25">
      <c r="A4221" s="4"/>
      <c r="B4221" s="5"/>
      <c r="C4221" s="6"/>
    </row>
    <row r="4222" spans="1:3" x14ac:dyDescent="0.25">
      <c r="A4222" s="4"/>
      <c r="B4222" s="5"/>
      <c r="C4222" s="6"/>
    </row>
    <row r="4223" spans="1:3" x14ac:dyDescent="0.25">
      <c r="A4223" s="4"/>
      <c r="B4223" s="5"/>
      <c r="C4223" s="6"/>
    </row>
    <row r="4224" spans="1:3" x14ac:dyDescent="0.25">
      <c r="A4224" s="4"/>
      <c r="B4224" s="5"/>
      <c r="C4224" s="6"/>
    </row>
    <row r="4225" spans="1:3" x14ac:dyDescent="0.25">
      <c r="A4225" s="4"/>
      <c r="B4225" s="5"/>
      <c r="C4225" s="6"/>
    </row>
    <row r="4226" spans="1:3" x14ac:dyDescent="0.25">
      <c r="A4226" s="4"/>
      <c r="B4226" s="5"/>
      <c r="C4226" s="6"/>
    </row>
    <row r="4227" spans="1:3" x14ac:dyDescent="0.25">
      <c r="A4227" s="4"/>
      <c r="B4227" s="5"/>
      <c r="C4227" s="6"/>
    </row>
    <row r="4228" spans="1:3" x14ac:dyDescent="0.25">
      <c r="A4228" s="4"/>
      <c r="B4228" s="5"/>
      <c r="C4228" s="6"/>
    </row>
    <row r="4229" spans="1:3" x14ac:dyDescent="0.25">
      <c r="A4229" s="4"/>
      <c r="B4229" s="5"/>
      <c r="C4229" s="6"/>
    </row>
    <row r="4230" spans="1:3" x14ac:dyDescent="0.25">
      <c r="A4230" s="4"/>
      <c r="B4230" s="5"/>
      <c r="C4230" s="6"/>
    </row>
    <row r="4231" spans="1:3" x14ac:dyDescent="0.25">
      <c r="A4231" s="4"/>
      <c r="B4231" s="5"/>
      <c r="C4231" s="6"/>
    </row>
    <row r="4232" spans="1:3" x14ac:dyDescent="0.25">
      <c r="A4232" s="4"/>
      <c r="B4232" s="5"/>
      <c r="C4232" s="6"/>
    </row>
    <row r="4233" spans="1:3" x14ac:dyDescent="0.25">
      <c r="A4233" s="4"/>
      <c r="B4233" s="5"/>
      <c r="C4233" s="6"/>
    </row>
    <row r="4234" spans="1:3" x14ac:dyDescent="0.25">
      <c r="A4234" s="4"/>
      <c r="B4234" s="5"/>
      <c r="C4234" s="6"/>
    </row>
    <row r="4235" spans="1:3" x14ac:dyDescent="0.25">
      <c r="A4235" s="4"/>
      <c r="B4235" s="5"/>
      <c r="C4235" s="6"/>
    </row>
    <row r="4236" spans="1:3" x14ac:dyDescent="0.25">
      <c r="A4236" s="4"/>
      <c r="B4236" s="5"/>
      <c r="C4236" s="6"/>
    </row>
    <row r="4237" spans="1:3" x14ac:dyDescent="0.25">
      <c r="A4237" s="4"/>
      <c r="B4237" s="5"/>
      <c r="C4237" s="6"/>
    </row>
    <row r="4238" spans="1:3" x14ac:dyDescent="0.25">
      <c r="A4238" s="4"/>
      <c r="B4238" s="5"/>
      <c r="C4238" s="6"/>
    </row>
    <row r="4239" spans="1:3" x14ac:dyDescent="0.25">
      <c r="A4239" s="4"/>
      <c r="B4239" s="5"/>
      <c r="C4239" s="6"/>
    </row>
    <row r="4240" spans="1:3" x14ac:dyDescent="0.25">
      <c r="A4240" s="4"/>
      <c r="B4240" s="5"/>
      <c r="C4240" s="6"/>
    </row>
    <row r="4241" spans="1:3" x14ac:dyDescent="0.25">
      <c r="A4241" s="4"/>
      <c r="B4241" s="5"/>
      <c r="C4241" s="6"/>
    </row>
    <row r="4242" spans="1:3" x14ac:dyDescent="0.25">
      <c r="A4242" s="4"/>
      <c r="B4242" s="5"/>
      <c r="C4242" s="6"/>
    </row>
    <row r="4243" spans="1:3" x14ac:dyDescent="0.25">
      <c r="A4243" s="4"/>
      <c r="B4243" s="5"/>
      <c r="C4243" s="6"/>
    </row>
    <row r="4244" spans="1:3" x14ac:dyDescent="0.25">
      <c r="A4244" s="4"/>
      <c r="B4244" s="5"/>
      <c r="C4244" s="6"/>
    </row>
    <row r="4245" spans="1:3" x14ac:dyDescent="0.25">
      <c r="A4245" s="4"/>
      <c r="B4245" s="5"/>
      <c r="C4245" s="6"/>
    </row>
    <row r="4246" spans="1:3" x14ac:dyDescent="0.25">
      <c r="A4246" s="4"/>
      <c r="B4246" s="5"/>
      <c r="C4246" s="6"/>
    </row>
    <row r="4247" spans="1:3" x14ac:dyDescent="0.25">
      <c r="A4247" s="4"/>
      <c r="B4247" s="5"/>
      <c r="C4247" s="6"/>
    </row>
    <row r="4248" spans="1:3" x14ac:dyDescent="0.25">
      <c r="A4248" s="4"/>
      <c r="B4248" s="5"/>
      <c r="C4248" s="6"/>
    </row>
    <row r="4249" spans="1:3" x14ac:dyDescent="0.25">
      <c r="A4249" s="4"/>
      <c r="B4249" s="5"/>
      <c r="C4249" s="6"/>
    </row>
    <row r="4250" spans="1:3" x14ac:dyDescent="0.25">
      <c r="A4250" s="4"/>
      <c r="B4250" s="5"/>
      <c r="C4250" s="6"/>
    </row>
    <row r="4251" spans="1:3" x14ac:dyDescent="0.25">
      <c r="A4251" s="4"/>
      <c r="B4251" s="5"/>
      <c r="C4251" s="6"/>
    </row>
    <row r="4252" spans="1:3" x14ac:dyDescent="0.25">
      <c r="A4252" s="4"/>
      <c r="B4252" s="5"/>
      <c r="C4252" s="5"/>
    </row>
    <row r="4253" spans="1:3" x14ac:dyDescent="0.25">
      <c r="A4253" s="4"/>
      <c r="B4253" s="5"/>
      <c r="C4253" s="6"/>
    </row>
    <row r="4254" spans="1:3" x14ac:dyDescent="0.25">
      <c r="A4254" s="4"/>
      <c r="B4254" s="5"/>
      <c r="C4254" s="6"/>
    </row>
    <row r="4255" spans="1:3" x14ac:dyDescent="0.25">
      <c r="A4255" s="4"/>
      <c r="B4255" s="5"/>
      <c r="C4255" s="6"/>
    </row>
    <row r="4256" spans="1:3" x14ac:dyDescent="0.25">
      <c r="A4256" s="4"/>
      <c r="B4256" s="5"/>
      <c r="C4256" s="6"/>
    </row>
    <row r="4257" spans="1:3" x14ac:dyDescent="0.25">
      <c r="A4257" s="4"/>
      <c r="B4257" s="5"/>
      <c r="C4257" s="6"/>
    </row>
    <row r="4258" spans="1:3" x14ac:dyDescent="0.25">
      <c r="A4258" s="4"/>
      <c r="B4258" s="5"/>
      <c r="C4258" s="6"/>
    </row>
    <row r="4259" spans="1:3" x14ac:dyDescent="0.25">
      <c r="A4259" s="4"/>
      <c r="B4259" s="5"/>
      <c r="C4259" s="6"/>
    </row>
    <row r="4260" spans="1:3" x14ac:dyDescent="0.25">
      <c r="A4260" s="4"/>
      <c r="B4260" s="5"/>
      <c r="C4260" s="6"/>
    </row>
    <row r="4261" spans="1:3" x14ac:dyDescent="0.25">
      <c r="A4261" s="4"/>
      <c r="B4261" s="5"/>
      <c r="C4261" s="6"/>
    </row>
    <row r="4262" spans="1:3" x14ac:dyDescent="0.25">
      <c r="A4262" s="4"/>
      <c r="B4262" s="5"/>
      <c r="C4262" s="6"/>
    </row>
    <row r="4263" spans="1:3" x14ac:dyDescent="0.25">
      <c r="A4263" s="4"/>
      <c r="B4263" s="5"/>
      <c r="C4263" s="6"/>
    </row>
    <row r="4264" spans="1:3" x14ac:dyDescent="0.25">
      <c r="A4264" s="4"/>
      <c r="B4264" s="5"/>
      <c r="C4264" s="6"/>
    </row>
    <row r="4265" spans="1:3" x14ac:dyDescent="0.25">
      <c r="A4265" s="4"/>
      <c r="B4265" s="5"/>
      <c r="C4265" s="6"/>
    </row>
    <row r="4266" spans="1:3" x14ac:dyDescent="0.25">
      <c r="A4266" s="4"/>
      <c r="B4266" s="5"/>
      <c r="C4266" s="6"/>
    </row>
    <row r="4267" spans="1:3" x14ac:dyDescent="0.25">
      <c r="A4267" s="4"/>
      <c r="B4267" s="5"/>
      <c r="C4267" s="6"/>
    </row>
    <row r="4268" spans="1:3" x14ac:dyDescent="0.25">
      <c r="A4268" s="4"/>
      <c r="B4268" s="5"/>
      <c r="C4268" s="6"/>
    </row>
    <row r="4269" spans="1:3" x14ac:dyDescent="0.25">
      <c r="A4269" s="4"/>
      <c r="B4269" s="5"/>
      <c r="C4269" s="6"/>
    </row>
    <row r="4270" spans="1:3" x14ac:dyDescent="0.25">
      <c r="A4270" s="4"/>
      <c r="B4270" s="5"/>
      <c r="C4270" s="6"/>
    </row>
    <row r="4271" spans="1:3" x14ac:dyDescent="0.25">
      <c r="A4271" s="4"/>
      <c r="B4271" s="5"/>
      <c r="C4271" s="6"/>
    </row>
    <row r="4272" spans="1:3" x14ac:dyDescent="0.25">
      <c r="A4272" s="4"/>
      <c r="B4272" s="5"/>
      <c r="C4272" s="6"/>
    </row>
    <row r="4273" spans="1:3" x14ac:dyDescent="0.25">
      <c r="A4273" s="4"/>
      <c r="B4273" s="5"/>
      <c r="C4273" s="6"/>
    </row>
    <row r="4274" spans="1:3" x14ac:dyDescent="0.25">
      <c r="A4274" s="4"/>
      <c r="B4274" s="5"/>
      <c r="C4274" s="6"/>
    </row>
    <row r="4275" spans="1:3" x14ac:dyDescent="0.25">
      <c r="A4275" s="4"/>
      <c r="B4275" s="5"/>
      <c r="C4275" s="6"/>
    </row>
    <row r="4276" spans="1:3" x14ac:dyDescent="0.25">
      <c r="A4276" s="4"/>
      <c r="B4276" s="5"/>
      <c r="C4276" s="6"/>
    </row>
    <row r="4277" spans="1:3" x14ac:dyDescent="0.25">
      <c r="A4277" s="4"/>
      <c r="B4277" s="5"/>
      <c r="C4277" s="6"/>
    </row>
    <row r="4278" spans="1:3" x14ac:dyDescent="0.25">
      <c r="A4278" s="4"/>
      <c r="B4278" s="5"/>
      <c r="C4278" s="6"/>
    </row>
    <row r="4279" spans="1:3" x14ac:dyDescent="0.25">
      <c r="A4279" s="4"/>
      <c r="B4279" s="5"/>
      <c r="C4279" s="6"/>
    </row>
    <row r="4280" spans="1:3" x14ac:dyDescent="0.25">
      <c r="A4280" s="4"/>
      <c r="B4280" s="5"/>
      <c r="C4280" s="6"/>
    </row>
    <row r="4281" spans="1:3" x14ac:dyDescent="0.25">
      <c r="A4281" s="4"/>
      <c r="B4281" s="5"/>
      <c r="C4281" s="6"/>
    </row>
    <row r="4282" spans="1:3" x14ac:dyDescent="0.25">
      <c r="A4282" s="4"/>
      <c r="B4282" s="5"/>
      <c r="C4282" s="6"/>
    </row>
    <row r="4283" spans="1:3" x14ac:dyDescent="0.25">
      <c r="A4283" s="4"/>
      <c r="B4283" s="5"/>
      <c r="C4283" s="6"/>
    </row>
    <row r="4284" spans="1:3" x14ac:dyDescent="0.25">
      <c r="A4284" s="4"/>
      <c r="B4284" s="5"/>
      <c r="C4284" s="6"/>
    </row>
    <row r="4285" spans="1:3" x14ac:dyDescent="0.25">
      <c r="A4285" s="4"/>
      <c r="B4285" s="5"/>
      <c r="C4285" s="6"/>
    </row>
    <row r="4286" spans="1:3" x14ac:dyDescent="0.25">
      <c r="A4286" s="4"/>
      <c r="B4286" s="5"/>
      <c r="C4286" s="6"/>
    </row>
    <row r="4287" spans="1:3" x14ac:dyDescent="0.25">
      <c r="A4287" s="4"/>
      <c r="B4287" s="5"/>
      <c r="C4287" s="6"/>
    </row>
    <row r="4288" spans="1:3" x14ac:dyDescent="0.25">
      <c r="A4288" s="4"/>
      <c r="B4288" s="5"/>
      <c r="C4288" s="6"/>
    </row>
    <row r="4289" spans="1:3" x14ac:dyDescent="0.25">
      <c r="A4289" s="4"/>
      <c r="B4289" s="5"/>
      <c r="C4289" s="6"/>
    </row>
    <row r="4290" spans="1:3" x14ac:dyDescent="0.25">
      <c r="A4290" s="4"/>
      <c r="B4290" s="5"/>
      <c r="C4290" s="6"/>
    </row>
    <row r="4291" spans="1:3" x14ac:dyDescent="0.25">
      <c r="A4291" s="4"/>
      <c r="B4291" s="5"/>
      <c r="C4291" s="6"/>
    </row>
    <row r="4292" spans="1:3" x14ac:dyDescent="0.25">
      <c r="A4292" s="4"/>
      <c r="B4292" s="5"/>
      <c r="C4292" s="6"/>
    </row>
    <row r="4293" spans="1:3" x14ac:dyDescent="0.25">
      <c r="A4293" s="4"/>
      <c r="B4293" s="5"/>
      <c r="C4293" s="6"/>
    </row>
    <row r="4294" spans="1:3" x14ac:dyDescent="0.25">
      <c r="A4294" s="4"/>
      <c r="B4294" s="5"/>
      <c r="C4294" s="6"/>
    </row>
    <row r="4295" spans="1:3" x14ac:dyDescent="0.25">
      <c r="A4295" s="4"/>
      <c r="B4295" s="5"/>
      <c r="C4295" s="6"/>
    </row>
    <row r="4296" spans="1:3" x14ac:dyDescent="0.25">
      <c r="A4296" s="4"/>
      <c r="B4296" s="5"/>
      <c r="C4296" s="6"/>
    </row>
    <row r="4297" spans="1:3" x14ac:dyDescent="0.25">
      <c r="A4297" s="4"/>
      <c r="B4297" s="5"/>
      <c r="C4297" s="6"/>
    </row>
    <row r="4298" spans="1:3" x14ac:dyDescent="0.25">
      <c r="A4298" s="4"/>
      <c r="B4298" s="5"/>
      <c r="C4298" s="6"/>
    </row>
    <row r="4299" spans="1:3" x14ac:dyDescent="0.25">
      <c r="A4299" s="4"/>
      <c r="B4299" s="5"/>
      <c r="C4299" s="6"/>
    </row>
    <row r="4300" spans="1:3" x14ac:dyDescent="0.25">
      <c r="A4300" s="4"/>
      <c r="B4300" s="5"/>
      <c r="C4300" s="6"/>
    </row>
    <row r="4301" spans="1:3" x14ac:dyDescent="0.25">
      <c r="A4301" s="4"/>
      <c r="B4301" s="5"/>
      <c r="C4301" s="6"/>
    </row>
    <row r="4302" spans="1:3" x14ac:dyDescent="0.25">
      <c r="A4302" s="4"/>
      <c r="B4302" s="5"/>
      <c r="C4302" s="6"/>
    </row>
    <row r="4303" spans="1:3" x14ac:dyDescent="0.25">
      <c r="A4303" s="4"/>
      <c r="B4303" s="5"/>
      <c r="C4303" s="6"/>
    </row>
    <row r="4304" spans="1:3" x14ac:dyDescent="0.25">
      <c r="A4304" s="4"/>
      <c r="B4304" s="5"/>
      <c r="C4304" s="6"/>
    </row>
    <row r="4305" spans="1:3" x14ac:dyDescent="0.25">
      <c r="A4305" s="4"/>
      <c r="B4305" s="5"/>
      <c r="C4305" s="6"/>
    </row>
    <row r="4306" spans="1:3" x14ac:dyDescent="0.25">
      <c r="A4306" s="4"/>
      <c r="B4306" s="5"/>
      <c r="C4306" s="6"/>
    </row>
    <row r="4307" spans="1:3" x14ac:dyDescent="0.25">
      <c r="A4307" s="4"/>
      <c r="B4307" s="5"/>
      <c r="C4307" s="5"/>
    </row>
    <row r="4308" spans="1:3" x14ac:dyDescent="0.25">
      <c r="A4308" s="4"/>
      <c r="B4308" s="5"/>
      <c r="C4308" s="6"/>
    </row>
    <row r="4309" spans="1:3" x14ac:dyDescent="0.25">
      <c r="A4309" s="4"/>
      <c r="B4309" s="5"/>
      <c r="C4309" s="6"/>
    </row>
    <row r="4310" spans="1:3" x14ac:dyDescent="0.25">
      <c r="A4310" s="4"/>
      <c r="B4310" s="5"/>
      <c r="C4310" s="6"/>
    </row>
    <row r="4311" spans="1:3" x14ac:dyDescent="0.25">
      <c r="A4311" s="4"/>
      <c r="B4311" s="5"/>
      <c r="C4311" s="6"/>
    </row>
    <row r="4312" spans="1:3" x14ac:dyDescent="0.25">
      <c r="A4312" s="4"/>
      <c r="B4312" s="5"/>
      <c r="C4312" s="6"/>
    </row>
    <row r="4313" spans="1:3" x14ac:dyDescent="0.25">
      <c r="A4313" s="4"/>
      <c r="B4313" s="5"/>
      <c r="C4313" s="6"/>
    </row>
    <row r="4314" spans="1:3" x14ac:dyDescent="0.25">
      <c r="A4314" s="4"/>
      <c r="B4314" s="5"/>
      <c r="C4314" s="6"/>
    </row>
    <row r="4315" spans="1:3" x14ac:dyDescent="0.25">
      <c r="A4315" s="4"/>
      <c r="B4315" s="5"/>
      <c r="C4315" s="6"/>
    </row>
    <row r="4316" spans="1:3" x14ac:dyDescent="0.25">
      <c r="A4316" s="4"/>
      <c r="B4316" s="5"/>
      <c r="C4316" s="6"/>
    </row>
    <row r="4317" spans="1:3" x14ac:dyDescent="0.25">
      <c r="A4317" s="4"/>
      <c r="B4317" s="5"/>
      <c r="C4317" s="6"/>
    </row>
    <row r="4318" spans="1:3" x14ac:dyDescent="0.25">
      <c r="A4318" s="4"/>
      <c r="B4318" s="5"/>
      <c r="C4318" s="6"/>
    </row>
    <row r="4319" spans="1:3" x14ac:dyDescent="0.25">
      <c r="A4319" s="4"/>
      <c r="B4319" s="5"/>
      <c r="C4319" s="6"/>
    </row>
    <row r="4320" spans="1:3" x14ac:dyDescent="0.25">
      <c r="A4320" s="4"/>
      <c r="B4320" s="5"/>
      <c r="C4320" s="6"/>
    </row>
    <row r="4321" spans="1:3" x14ac:dyDescent="0.25">
      <c r="A4321" s="4"/>
      <c r="B4321" s="5"/>
      <c r="C4321" s="6"/>
    </row>
    <row r="4322" spans="1:3" x14ac:dyDescent="0.25">
      <c r="A4322" s="4"/>
      <c r="B4322" s="5"/>
      <c r="C4322" s="6"/>
    </row>
    <row r="4323" spans="1:3" x14ac:dyDescent="0.25">
      <c r="A4323" s="4"/>
      <c r="B4323" s="5"/>
      <c r="C4323" s="6"/>
    </row>
    <row r="4324" spans="1:3" x14ac:dyDescent="0.25">
      <c r="A4324" s="4"/>
      <c r="B4324" s="5"/>
      <c r="C4324" s="6"/>
    </row>
    <row r="4325" spans="1:3" x14ac:dyDescent="0.25">
      <c r="A4325" s="4"/>
      <c r="B4325" s="5"/>
      <c r="C4325" s="6"/>
    </row>
    <row r="4326" spans="1:3" x14ac:dyDescent="0.25">
      <c r="A4326" s="4"/>
      <c r="B4326" s="5"/>
      <c r="C4326" s="6"/>
    </row>
    <row r="4327" spans="1:3" x14ac:dyDescent="0.25">
      <c r="A4327" s="4"/>
      <c r="B4327" s="5"/>
      <c r="C4327" s="6"/>
    </row>
    <row r="4328" spans="1:3" x14ac:dyDescent="0.25">
      <c r="A4328" s="4"/>
      <c r="B4328" s="5"/>
      <c r="C4328" s="6"/>
    </row>
    <row r="4329" spans="1:3" x14ac:dyDescent="0.25">
      <c r="A4329" s="4"/>
      <c r="B4329" s="5"/>
      <c r="C4329" s="6"/>
    </row>
    <row r="4330" spans="1:3" x14ac:dyDescent="0.25">
      <c r="A4330" s="4"/>
      <c r="B4330" s="5"/>
      <c r="C4330" s="6"/>
    </row>
    <row r="4331" spans="1:3" x14ac:dyDescent="0.25">
      <c r="A4331" s="4"/>
      <c r="B4331" s="5"/>
      <c r="C4331" s="6"/>
    </row>
    <row r="4332" spans="1:3" x14ac:dyDescent="0.25">
      <c r="A4332" s="4"/>
      <c r="B4332" s="5"/>
      <c r="C4332" s="6"/>
    </row>
    <row r="4333" spans="1:3" x14ac:dyDescent="0.25">
      <c r="A4333" s="4"/>
      <c r="B4333" s="5"/>
      <c r="C4333" s="6"/>
    </row>
    <row r="4334" spans="1:3" x14ac:dyDescent="0.25">
      <c r="A4334" s="4"/>
      <c r="B4334" s="5"/>
      <c r="C4334" s="6"/>
    </row>
    <row r="4335" spans="1:3" x14ac:dyDescent="0.25">
      <c r="A4335" s="4"/>
      <c r="B4335" s="5"/>
      <c r="C4335" s="6"/>
    </row>
    <row r="4336" spans="1:3" x14ac:dyDescent="0.25">
      <c r="A4336" s="4"/>
      <c r="B4336" s="5"/>
      <c r="C4336" s="6"/>
    </row>
    <row r="4337" spans="1:3" x14ac:dyDescent="0.25">
      <c r="A4337" s="4"/>
      <c r="B4337" s="5"/>
      <c r="C4337" s="6"/>
    </row>
    <row r="4338" spans="1:3" x14ac:dyDescent="0.25">
      <c r="A4338" s="4"/>
      <c r="B4338" s="5"/>
      <c r="C4338" s="6"/>
    </row>
    <row r="4339" spans="1:3" x14ac:dyDescent="0.25">
      <c r="A4339" s="4"/>
      <c r="B4339" s="5"/>
      <c r="C4339" s="6"/>
    </row>
    <row r="4340" spans="1:3" x14ac:dyDescent="0.25">
      <c r="A4340" s="4"/>
      <c r="B4340" s="5"/>
      <c r="C4340" s="6"/>
    </row>
    <row r="4341" spans="1:3" x14ac:dyDescent="0.25">
      <c r="A4341" s="4"/>
      <c r="B4341" s="5"/>
      <c r="C4341" s="6"/>
    </row>
    <row r="4342" spans="1:3" x14ac:dyDescent="0.25">
      <c r="A4342" s="4"/>
      <c r="B4342" s="5"/>
      <c r="C4342" s="6"/>
    </row>
    <row r="4343" spans="1:3" x14ac:dyDescent="0.25">
      <c r="A4343" s="4"/>
      <c r="B4343" s="5"/>
      <c r="C4343" s="6"/>
    </row>
    <row r="4344" spans="1:3" x14ac:dyDescent="0.25">
      <c r="A4344" s="4"/>
      <c r="B4344" s="5"/>
      <c r="C4344" s="6"/>
    </row>
    <row r="4345" spans="1:3" x14ac:dyDescent="0.25">
      <c r="A4345" s="4"/>
      <c r="B4345" s="5"/>
      <c r="C4345" s="6"/>
    </row>
    <row r="4346" spans="1:3" x14ac:dyDescent="0.25">
      <c r="A4346" s="4"/>
      <c r="B4346" s="5"/>
      <c r="C4346" s="6"/>
    </row>
    <row r="4347" spans="1:3" x14ac:dyDescent="0.25">
      <c r="A4347" s="4"/>
      <c r="B4347" s="5"/>
      <c r="C4347" s="6"/>
    </row>
    <row r="4348" spans="1:3" x14ac:dyDescent="0.25">
      <c r="A4348" s="4"/>
      <c r="B4348" s="5"/>
      <c r="C4348" s="5"/>
    </row>
    <row r="4349" spans="1:3" x14ac:dyDescent="0.25">
      <c r="A4349" s="4"/>
      <c r="B4349" s="5"/>
      <c r="C4349" s="6"/>
    </row>
    <row r="4350" spans="1:3" x14ac:dyDescent="0.25">
      <c r="A4350" s="4"/>
      <c r="B4350" s="5"/>
      <c r="C4350" s="6"/>
    </row>
    <row r="4351" spans="1:3" x14ac:dyDescent="0.25">
      <c r="A4351" s="4"/>
      <c r="B4351" s="5"/>
      <c r="C4351" s="6"/>
    </row>
    <row r="4352" spans="1:3" x14ac:dyDescent="0.25">
      <c r="A4352" s="4"/>
      <c r="B4352" s="5"/>
      <c r="C4352" s="6"/>
    </row>
    <row r="4353" spans="1:3" x14ac:dyDescent="0.25">
      <c r="A4353" s="4"/>
      <c r="B4353" s="5"/>
      <c r="C4353" s="6"/>
    </row>
    <row r="4354" spans="1:3" x14ac:dyDescent="0.25">
      <c r="A4354" s="4"/>
      <c r="B4354" s="5"/>
      <c r="C4354" s="6"/>
    </row>
    <row r="4355" spans="1:3" x14ac:dyDescent="0.25">
      <c r="A4355" s="4"/>
      <c r="B4355" s="5"/>
      <c r="C4355" s="6"/>
    </row>
    <row r="4356" spans="1:3" x14ac:dyDescent="0.25">
      <c r="A4356" s="4"/>
      <c r="B4356" s="5"/>
      <c r="C4356" s="6"/>
    </row>
    <row r="4357" spans="1:3" x14ac:dyDescent="0.25">
      <c r="A4357" s="4"/>
      <c r="B4357" s="5"/>
      <c r="C4357" s="6"/>
    </row>
    <row r="4358" spans="1:3" x14ac:dyDescent="0.25">
      <c r="A4358" s="4"/>
      <c r="B4358" s="5"/>
      <c r="C4358" s="6"/>
    </row>
    <row r="4359" spans="1:3" x14ac:dyDescent="0.25">
      <c r="A4359" s="4"/>
      <c r="B4359" s="5"/>
      <c r="C4359" s="6"/>
    </row>
    <row r="4360" spans="1:3" x14ac:dyDescent="0.25">
      <c r="A4360" s="4"/>
      <c r="B4360" s="5"/>
      <c r="C4360" s="6"/>
    </row>
    <row r="4361" spans="1:3" x14ac:dyDescent="0.25">
      <c r="A4361" s="4"/>
      <c r="B4361" s="5"/>
      <c r="C4361" s="6"/>
    </row>
    <row r="4362" spans="1:3" x14ac:dyDescent="0.25">
      <c r="A4362" s="4"/>
      <c r="B4362" s="5"/>
      <c r="C4362" s="6"/>
    </row>
    <row r="4363" spans="1:3" x14ac:dyDescent="0.25">
      <c r="A4363" s="4"/>
      <c r="B4363" s="5"/>
      <c r="C4363" s="6"/>
    </row>
    <row r="4364" spans="1:3" x14ac:dyDescent="0.25">
      <c r="A4364" s="4"/>
      <c r="B4364" s="5"/>
      <c r="C4364" s="6"/>
    </row>
    <row r="4365" spans="1:3" x14ac:dyDescent="0.25">
      <c r="A4365" s="4"/>
      <c r="B4365" s="5"/>
      <c r="C4365" s="6"/>
    </row>
    <row r="4366" spans="1:3" x14ac:dyDescent="0.25">
      <c r="A4366" s="4"/>
      <c r="B4366" s="5"/>
      <c r="C4366" s="6"/>
    </row>
    <row r="4367" spans="1:3" x14ac:dyDescent="0.25">
      <c r="A4367" s="4"/>
      <c r="B4367" s="5"/>
      <c r="C4367" s="6"/>
    </row>
    <row r="4368" spans="1:3" x14ac:dyDescent="0.25">
      <c r="A4368" s="4"/>
      <c r="B4368" s="5"/>
      <c r="C4368" s="6"/>
    </row>
    <row r="4369" spans="1:3" x14ac:dyDescent="0.25">
      <c r="A4369" s="4"/>
      <c r="B4369" s="5"/>
      <c r="C4369" s="6"/>
    </row>
    <row r="4370" spans="1:3" x14ac:dyDescent="0.25">
      <c r="A4370" s="4"/>
      <c r="B4370" s="5"/>
      <c r="C4370" s="6"/>
    </row>
    <row r="4371" spans="1:3" x14ac:dyDescent="0.25">
      <c r="A4371" s="4"/>
      <c r="B4371" s="5"/>
      <c r="C4371" s="6"/>
    </row>
    <row r="4372" spans="1:3" x14ac:dyDescent="0.25">
      <c r="A4372" s="4"/>
      <c r="B4372" s="5"/>
      <c r="C4372" s="6"/>
    </row>
    <row r="4373" spans="1:3" x14ac:dyDescent="0.25">
      <c r="A4373" s="4"/>
      <c r="B4373" s="5"/>
      <c r="C4373" s="6"/>
    </row>
    <row r="4374" spans="1:3" x14ac:dyDescent="0.25">
      <c r="A4374" s="4"/>
      <c r="B4374" s="5"/>
      <c r="C4374" s="6"/>
    </row>
    <row r="4375" spans="1:3" x14ac:dyDescent="0.25">
      <c r="A4375" s="4"/>
      <c r="B4375" s="5"/>
      <c r="C4375" s="6"/>
    </row>
    <row r="4376" spans="1:3" x14ac:dyDescent="0.25">
      <c r="A4376" s="4"/>
      <c r="B4376" s="5"/>
      <c r="C4376" s="6"/>
    </row>
    <row r="4377" spans="1:3" x14ac:dyDescent="0.25">
      <c r="A4377" s="4"/>
      <c r="B4377" s="5"/>
      <c r="C4377" s="6"/>
    </row>
    <row r="4378" spans="1:3" x14ac:dyDescent="0.25">
      <c r="A4378" s="4"/>
      <c r="B4378" s="5"/>
      <c r="C4378" s="6"/>
    </row>
    <row r="4379" spans="1:3" x14ac:dyDescent="0.25">
      <c r="A4379" s="4"/>
      <c r="B4379" s="5"/>
      <c r="C4379" s="6"/>
    </row>
    <row r="4380" spans="1:3" x14ac:dyDescent="0.25">
      <c r="A4380" s="4"/>
      <c r="B4380" s="5"/>
      <c r="C4380" s="6"/>
    </row>
    <row r="4381" spans="1:3" x14ac:dyDescent="0.25">
      <c r="A4381" s="4"/>
      <c r="B4381" s="5"/>
      <c r="C4381" s="6"/>
    </row>
    <row r="4382" spans="1:3" x14ac:dyDescent="0.25">
      <c r="A4382" s="4"/>
      <c r="B4382" s="5"/>
      <c r="C4382" s="6"/>
    </row>
    <row r="4383" spans="1:3" x14ac:dyDescent="0.25">
      <c r="A4383" s="4"/>
      <c r="B4383" s="5"/>
      <c r="C4383" s="6"/>
    </row>
    <row r="4384" spans="1:3" x14ac:dyDescent="0.25">
      <c r="A4384" s="4"/>
      <c r="B4384" s="5"/>
      <c r="C4384" s="6"/>
    </row>
    <row r="4385" spans="1:3" x14ac:dyDescent="0.25">
      <c r="A4385" s="4"/>
      <c r="B4385" s="5"/>
      <c r="C4385" s="6"/>
    </row>
    <row r="4386" spans="1:3" x14ac:dyDescent="0.25">
      <c r="A4386" s="4"/>
      <c r="B4386" s="5"/>
      <c r="C4386" s="6"/>
    </row>
    <row r="4387" spans="1:3" x14ac:dyDescent="0.25">
      <c r="A4387" s="4"/>
      <c r="B4387" s="5"/>
      <c r="C4387" s="6"/>
    </row>
    <row r="4388" spans="1:3" x14ac:dyDescent="0.25">
      <c r="A4388" s="4"/>
      <c r="B4388" s="5"/>
      <c r="C4388" s="6"/>
    </row>
    <row r="4389" spans="1:3" x14ac:dyDescent="0.25">
      <c r="A4389" s="4"/>
      <c r="B4389" s="5"/>
      <c r="C4389" s="6"/>
    </row>
    <row r="4390" spans="1:3" x14ac:dyDescent="0.25">
      <c r="A4390" s="4"/>
      <c r="B4390" s="5"/>
      <c r="C4390" s="6"/>
    </row>
    <row r="4391" spans="1:3" x14ac:dyDescent="0.25">
      <c r="A4391" s="4"/>
      <c r="B4391" s="5"/>
      <c r="C4391" s="6"/>
    </row>
    <row r="4392" spans="1:3" x14ac:dyDescent="0.25">
      <c r="A4392" s="4"/>
      <c r="B4392" s="5"/>
      <c r="C4392" s="6"/>
    </row>
    <row r="4393" spans="1:3" x14ac:dyDescent="0.25">
      <c r="A4393" s="4"/>
      <c r="B4393" s="5"/>
      <c r="C4393" s="6"/>
    </row>
    <row r="4394" spans="1:3" x14ac:dyDescent="0.25">
      <c r="A4394" s="4"/>
      <c r="B4394" s="5"/>
      <c r="C4394" s="6"/>
    </row>
    <row r="4395" spans="1:3" x14ac:dyDescent="0.25">
      <c r="A4395" s="4"/>
      <c r="B4395" s="5"/>
      <c r="C4395" s="6"/>
    </row>
    <row r="4396" spans="1:3" x14ac:dyDescent="0.25">
      <c r="A4396" s="4"/>
      <c r="B4396" s="5"/>
      <c r="C4396" s="6"/>
    </row>
    <row r="4397" spans="1:3" x14ac:dyDescent="0.25">
      <c r="A4397" s="4"/>
      <c r="B4397" s="5"/>
      <c r="C4397" s="6"/>
    </row>
    <row r="4398" spans="1:3" x14ac:dyDescent="0.25">
      <c r="A4398" s="4"/>
      <c r="B4398" s="5"/>
      <c r="C4398" s="6"/>
    </row>
    <row r="4399" spans="1:3" x14ac:dyDescent="0.25">
      <c r="A4399" s="4"/>
      <c r="B4399" s="5"/>
      <c r="C4399" s="6"/>
    </row>
    <row r="4400" spans="1:3" x14ac:dyDescent="0.25">
      <c r="A4400" s="4"/>
      <c r="B4400" s="5"/>
      <c r="C4400" s="6"/>
    </row>
    <row r="4401" spans="1:3" x14ac:dyDescent="0.25">
      <c r="A4401" s="4"/>
      <c r="B4401" s="5"/>
      <c r="C4401" s="6"/>
    </row>
    <row r="4402" spans="1:3" x14ac:dyDescent="0.25">
      <c r="A4402" s="4"/>
      <c r="B4402" s="5"/>
      <c r="C4402" s="6"/>
    </row>
    <row r="4403" spans="1:3" x14ac:dyDescent="0.25">
      <c r="A4403" s="4"/>
      <c r="B4403" s="5"/>
      <c r="C4403" s="6"/>
    </row>
    <row r="4404" spans="1:3" x14ac:dyDescent="0.25">
      <c r="A4404" s="4"/>
      <c r="B4404" s="5"/>
      <c r="C4404" s="6"/>
    </row>
    <row r="4405" spans="1:3" x14ac:dyDescent="0.25">
      <c r="A4405" s="4"/>
      <c r="B4405" s="5"/>
      <c r="C4405" s="6"/>
    </row>
    <row r="4406" spans="1:3" x14ac:dyDescent="0.25">
      <c r="A4406" s="4"/>
      <c r="B4406" s="5"/>
      <c r="C4406" s="6"/>
    </row>
    <row r="4407" spans="1:3" x14ac:dyDescent="0.25">
      <c r="A4407" s="4"/>
      <c r="B4407" s="5"/>
      <c r="C4407" s="6"/>
    </row>
    <row r="4408" spans="1:3" x14ac:dyDescent="0.25">
      <c r="A4408" s="4"/>
      <c r="B4408" s="5"/>
      <c r="C4408" s="6"/>
    </row>
    <row r="4409" spans="1:3" x14ac:dyDescent="0.25">
      <c r="A4409" s="4"/>
      <c r="B4409" s="5"/>
      <c r="C4409" s="6"/>
    </row>
    <row r="4410" spans="1:3" x14ac:dyDescent="0.25">
      <c r="A4410" s="4"/>
      <c r="B4410" s="5"/>
      <c r="C4410" s="6"/>
    </row>
    <row r="4411" spans="1:3" x14ac:dyDescent="0.25">
      <c r="A4411" s="4"/>
      <c r="B4411" s="5"/>
      <c r="C4411" s="5"/>
    </row>
    <row r="4412" spans="1:3" x14ac:dyDescent="0.25">
      <c r="A4412" s="4"/>
      <c r="B4412" s="5"/>
      <c r="C4412" s="6"/>
    </row>
    <row r="4413" spans="1:3" x14ac:dyDescent="0.25">
      <c r="A4413" s="4"/>
      <c r="B4413" s="5"/>
      <c r="C4413" s="6"/>
    </row>
    <row r="4414" spans="1:3" x14ac:dyDescent="0.25">
      <c r="A4414" s="4"/>
      <c r="B4414" s="5"/>
      <c r="C4414" s="6"/>
    </row>
    <row r="4415" spans="1:3" x14ac:dyDescent="0.25">
      <c r="A4415" s="4"/>
      <c r="B4415" s="5"/>
      <c r="C4415" s="6"/>
    </row>
    <row r="4416" spans="1:3" x14ac:dyDescent="0.25">
      <c r="A4416" s="4"/>
      <c r="B4416" s="5"/>
      <c r="C4416" s="6"/>
    </row>
    <row r="4417" spans="1:3" x14ac:dyDescent="0.25">
      <c r="A4417" s="4"/>
      <c r="B4417" s="5"/>
      <c r="C4417" s="6"/>
    </row>
    <row r="4418" spans="1:3" x14ac:dyDescent="0.25">
      <c r="A4418" s="4"/>
      <c r="B4418" s="5"/>
      <c r="C4418" s="6"/>
    </row>
    <row r="4419" spans="1:3" x14ac:dyDescent="0.25">
      <c r="A4419" s="4"/>
      <c r="B4419" s="5"/>
      <c r="C4419" s="6"/>
    </row>
    <row r="4420" spans="1:3" x14ac:dyDescent="0.25">
      <c r="A4420" s="4"/>
      <c r="B4420" s="5"/>
      <c r="C4420" s="6"/>
    </row>
    <row r="4421" spans="1:3" x14ac:dyDescent="0.25">
      <c r="A4421" s="4"/>
      <c r="B4421" s="5"/>
      <c r="C4421" s="6"/>
    </row>
    <row r="4422" spans="1:3" x14ac:dyDescent="0.25">
      <c r="A4422" s="4"/>
      <c r="B4422" s="5"/>
      <c r="C4422" s="6"/>
    </row>
    <row r="4423" spans="1:3" x14ac:dyDescent="0.25">
      <c r="A4423" s="4"/>
      <c r="B4423" s="5"/>
      <c r="C4423" s="6"/>
    </row>
    <row r="4424" spans="1:3" x14ac:dyDescent="0.25">
      <c r="A4424" s="4"/>
      <c r="B4424" s="5"/>
      <c r="C4424" s="6"/>
    </row>
    <row r="4425" spans="1:3" x14ac:dyDescent="0.25">
      <c r="A4425" s="4"/>
      <c r="B4425" s="5"/>
      <c r="C4425" s="6"/>
    </row>
    <row r="4426" spans="1:3" x14ac:dyDescent="0.25">
      <c r="A4426" s="4"/>
      <c r="B4426" s="5"/>
      <c r="C4426" s="6"/>
    </row>
    <row r="4427" spans="1:3" x14ac:dyDescent="0.25">
      <c r="A4427" s="4"/>
      <c r="B4427" s="5"/>
      <c r="C4427" s="6"/>
    </row>
    <row r="4428" spans="1:3" x14ac:dyDescent="0.25">
      <c r="A4428" s="4"/>
      <c r="B4428" s="5"/>
      <c r="C4428" s="6"/>
    </row>
    <row r="4429" spans="1:3" x14ac:dyDescent="0.25">
      <c r="A4429" s="4"/>
      <c r="B4429" s="5"/>
      <c r="C4429" s="6"/>
    </row>
    <row r="4430" spans="1:3" x14ac:dyDescent="0.25">
      <c r="A4430" s="4"/>
      <c r="B4430" s="5"/>
      <c r="C4430" s="6"/>
    </row>
    <row r="4431" spans="1:3" x14ac:dyDescent="0.25">
      <c r="A4431" s="4"/>
      <c r="B4431" s="5"/>
      <c r="C4431" s="5"/>
    </row>
    <row r="4432" spans="1:3" x14ac:dyDescent="0.25">
      <c r="A4432" s="4"/>
      <c r="B4432" s="5"/>
      <c r="C4432" s="6"/>
    </row>
    <row r="4433" spans="1:3" x14ac:dyDescent="0.25">
      <c r="A4433" s="4"/>
      <c r="B4433" s="5"/>
      <c r="C4433" s="6"/>
    </row>
    <row r="4434" spans="1:3" x14ac:dyDescent="0.25">
      <c r="A4434" s="4"/>
      <c r="B4434" s="5"/>
      <c r="C4434" s="6"/>
    </row>
    <row r="4435" spans="1:3" x14ac:dyDescent="0.25">
      <c r="A4435" s="4"/>
      <c r="B4435" s="5"/>
      <c r="C4435" s="6"/>
    </row>
    <row r="4436" spans="1:3" x14ac:dyDescent="0.25">
      <c r="A4436" s="4"/>
      <c r="B4436" s="5"/>
      <c r="C4436" s="5"/>
    </row>
    <row r="4437" spans="1:3" x14ac:dyDescent="0.25">
      <c r="A4437" s="4"/>
      <c r="B4437" s="5"/>
      <c r="C4437" s="6"/>
    </row>
    <row r="4438" spans="1:3" x14ac:dyDescent="0.25">
      <c r="A4438" s="4"/>
      <c r="B4438" s="5"/>
      <c r="C4438" s="6"/>
    </row>
    <row r="4439" spans="1:3" x14ac:dyDescent="0.25">
      <c r="A4439" s="4"/>
      <c r="B4439" s="5"/>
      <c r="C4439" s="6"/>
    </row>
    <row r="4440" spans="1:3" x14ac:dyDescent="0.25">
      <c r="A4440" s="4"/>
      <c r="B4440" s="5"/>
      <c r="C4440" s="6"/>
    </row>
    <row r="4441" spans="1:3" x14ac:dyDescent="0.25">
      <c r="A4441" s="4"/>
      <c r="B4441" s="5"/>
      <c r="C4441" s="6"/>
    </row>
    <row r="4442" spans="1:3" x14ac:dyDescent="0.25">
      <c r="A4442" s="4"/>
      <c r="B4442" s="5"/>
      <c r="C4442" s="6"/>
    </row>
    <row r="4443" spans="1:3" x14ac:dyDescent="0.25">
      <c r="A4443" s="4"/>
      <c r="B4443" s="5"/>
      <c r="C4443" s="6"/>
    </row>
    <row r="4444" spans="1:3" x14ac:dyDescent="0.25">
      <c r="A4444" s="4"/>
      <c r="B4444" s="5"/>
      <c r="C4444" s="6"/>
    </row>
    <row r="4445" spans="1:3" x14ac:dyDescent="0.25">
      <c r="A4445" s="4"/>
      <c r="B4445" s="5"/>
      <c r="C4445" s="6"/>
    </row>
    <row r="4446" spans="1:3" x14ac:dyDescent="0.25">
      <c r="A4446" s="4"/>
      <c r="B4446" s="5"/>
      <c r="C4446" s="6"/>
    </row>
    <row r="4447" spans="1:3" x14ac:dyDescent="0.25">
      <c r="A4447" s="4"/>
      <c r="B4447" s="5"/>
      <c r="C4447" s="6"/>
    </row>
    <row r="4448" spans="1:3" x14ac:dyDescent="0.25">
      <c r="A4448" s="4"/>
      <c r="B4448" s="5"/>
      <c r="C4448" s="5"/>
    </row>
    <row r="4449" spans="1:3" x14ac:dyDescent="0.25">
      <c r="A4449" s="4"/>
      <c r="B4449" s="5"/>
      <c r="C4449" s="6"/>
    </row>
    <row r="4450" spans="1:3" x14ac:dyDescent="0.25">
      <c r="A4450" s="4"/>
      <c r="B4450" s="5"/>
      <c r="C4450" s="6"/>
    </row>
    <row r="4451" spans="1:3" x14ac:dyDescent="0.25">
      <c r="A4451" s="4"/>
      <c r="B4451" s="5"/>
      <c r="C4451" s="6"/>
    </row>
    <row r="4452" spans="1:3" x14ac:dyDescent="0.25">
      <c r="A4452" s="4"/>
      <c r="B4452" s="5"/>
      <c r="C4452" s="6"/>
    </row>
    <row r="4453" spans="1:3" x14ac:dyDescent="0.25">
      <c r="A4453" s="4"/>
      <c r="B4453" s="5"/>
      <c r="C4453" s="6"/>
    </row>
    <row r="4454" spans="1:3" x14ac:dyDescent="0.25">
      <c r="A4454" s="4"/>
      <c r="B4454" s="5"/>
      <c r="C4454" s="6"/>
    </row>
    <row r="4455" spans="1:3" x14ac:dyDescent="0.25">
      <c r="A4455" s="4"/>
      <c r="B4455" s="5"/>
      <c r="C4455" s="6"/>
    </row>
    <row r="4456" spans="1:3" x14ac:dyDescent="0.25">
      <c r="A4456" s="4"/>
      <c r="B4456" s="5"/>
      <c r="C4456" s="6"/>
    </row>
    <row r="4457" spans="1:3" x14ac:dyDescent="0.25">
      <c r="A4457" s="4"/>
      <c r="B4457" s="5"/>
      <c r="C4457" s="6"/>
    </row>
    <row r="4458" spans="1:3" x14ac:dyDescent="0.25">
      <c r="A4458" s="4"/>
      <c r="B4458" s="5"/>
      <c r="C4458" s="6"/>
    </row>
    <row r="4459" spans="1:3" x14ac:dyDescent="0.25">
      <c r="A4459" s="4"/>
      <c r="B4459" s="5"/>
      <c r="C4459" s="6"/>
    </row>
    <row r="4460" spans="1:3" x14ac:dyDescent="0.25">
      <c r="A4460" s="4"/>
      <c r="B4460" s="5"/>
      <c r="C4460" s="6"/>
    </row>
    <row r="4461" spans="1:3" x14ac:dyDescent="0.25">
      <c r="A4461" s="4"/>
      <c r="B4461" s="5"/>
      <c r="C4461" s="6"/>
    </row>
    <row r="4462" spans="1:3" x14ac:dyDescent="0.25">
      <c r="A4462" s="4"/>
      <c r="B4462" s="5"/>
      <c r="C4462" s="6"/>
    </row>
    <row r="4463" spans="1:3" x14ac:dyDescent="0.25">
      <c r="A4463" s="4"/>
      <c r="B4463" s="5"/>
      <c r="C4463" s="6"/>
    </row>
    <row r="4464" spans="1:3" x14ac:dyDescent="0.25">
      <c r="A4464" s="4"/>
      <c r="B4464" s="5"/>
      <c r="C4464" s="6"/>
    </row>
    <row r="4465" spans="1:3" x14ac:dyDescent="0.25">
      <c r="A4465" s="4"/>
      <c r="B4465" s="5"/>
      <c r="C4465" s="6"/>
    </row>
    <row r="4466" spans="1:3" x14ac:dyDescent="0.25">
      <c r="A4466" s="4"/>
      <c r="B4466" s="5"/>
      <c r="C4466" s="6"/>
    </row>
    <row r="4467" spans="1:3" x14ac:dyDescent="0.25">
      <c r="A4467" s="4"/>
      <c r="B4467" s="5"/>
      <c r="C4467" s="6"/>
    </row>
    <row r="4468" spans="1:3" x14ac:dyDescent="0.25">
      <c r="A4468" s="4"/>
      <c r="B4468" s="5"/>
      <c r="C4468" s="6"/>
    </row>
    <row r="4469" spans="1:3" x14ac:dyDescent="0.25">
      <c r="A4469" s="4"/>
      <c r="B4469" s="5"/>
      <c r="C4469" s="6"/>
    </row>
    <row r="4470" spans="1:3" x14ac:dyDescent="0.25">
      <c r="A4470" s="4"/>
      <c r="B4470" s="5"/>
      <c r="C4470" s="6"/>
    </row>
    <row r="4471" spans="1:3" x14ac:dyDescent="0.25">
      <c r="A4471" s="4"/>
      <c r="B4471" s="5"/>
      <c r="C4471" s="6"/>
    </row>
    <row r="4472" spans="1:3" x14ac:dyDescent="0.25">
      <c r="A4472" s="4"/>
      <c r="B4472" s="5"/>
      <c r="C4472" s="6"/>
    </row>
    <row r="4473" spans="1:3" x14ac:dyDescent="0.25">
      <c r="A4473" s="4"/>
      <c r="B4473" s="5"/>
      <c r="C4473" s="6"/>
    </row>
    <row r="4474" spans="1:3" x14ac:dyDescent="0.25">
      <c r="A4474" s="4"/>
      <c r="B4474" s="5"/>
      <c r="C4474" s="6"/>
    </row>
    <row r="4475" spans="1:3" x14ac:dyDescent="0.25">
      <c r="A4475" s="4"/>
      <c r="B4475" s="5"/>
      <c r="C4475" s="6"/>
    </row>
    <row r="4476" spans="1:3" x14ac:dyDescent="0.25">
      <c r="A4476" s="4"/>
      <c r="B4476" s="5"/>
      <c r="C4476" s="6"/>
    </row>
    <row r="4477" spans="1:3" x14ac:dyDescent="0.25">
      <c r="A4477" s="4"/>
      <c r="B4477" s="5"/>
      <c r="C4477" s="6"/>
    </row>
    <row r="4478" spans="1:3" x14ac:dyDescent="0.25">
      <c r="A4478" s="4"/>
      <c r="B4478" s="5"/>
      <c r="C4478" s="6"/>
    </row>
    <row r="4479" spans="1:3" x14ac:dyDescent="0.25">
      <c r="A4479" s="4"/>
      <c r="B4479" s="5"/>
      <c r="C4479" s="6"/>
    </row>
    <row r="4480" spans="1:3" x14ac:dyDescent="0.25">
      <c r="A4480" s="4"/>
      <c r="B4480" s="5"/>
      <c r="C4480" s="6"/>
    </row>
    <row r="4481" spans="1:3" x14ac:dyDescent="0.25">
      <c r="A4481" s="4"/>
      <c r="B4481" s="5"/>
      <c r="C4481" s="6"/>
    </row>
    <row r="4482" spans="1:3" x14ac:dyDescent="0.25">
      <c r="A4482" s="4"/>
      <c r="B4482" s="5"/>
      <c r="C4482" s="6"/>
    </row>
    <row r="4483" spans="1:3" x14ac:dyDescent="0.25">
      <c r="A4483" s="4"/>
      <c r="B4483" s="5"/>
      <c r="C4483" s="6"/>
    </row>
    <row r="4484" spans="1:3" x14ac:dyDescent="0.25">
      <c r="A4484" s="4"/>
      <c r="B4484" s="5"/>
      <c r="C4484" s="6"/>
    </row>
    <row r="4485" spans="1:3" x14ac:dyDescent="0.25">
      <c r="A4485" s="4"/>
      <c r="B4485" s="5"/>
      <c r="C4485" s="6"/>
    </row>
    <row r="4486" spans="1:3" x14ac:dyDescent="0.25">
      <c r="A4486" s="4"/>
      <c r="B4486" s="5"/>
      <c r="C4486" s="6"/>
    </row>
    <row r="4487" spans="1:3" x14ac:dyDescent="0.25">
      <c r="A4487" s="4"/>
      <c r="B4487" s="5"/>
      <c r="C4487" s="6"/>
    </row>
    <row r="4488" spans="1:3" x14ac:dyDescent="0.25">
      <c r="A4488" s="4"/>
      <c r="B4488" s="5"/>
      <c r="C4488" s="6"/>
    </row>
    <row r="4489" spans="1:3" x14ac:dyDescent="0.25">
      <c r="A4489" s="4"/>
      <c r="B4489" s="5"/>
      <c r="C4489" s="6"/>
    </row>
    <row r="4490" spans="1:3" x14ac:dyDescent="0.25">
      <c r="A4490" s="4"/>
      <c r="B4490" s="5"/>
      <c r="C4490" s="6"/>
    </row>
    <row r="4491" spans="1:3" x14ac:dyDescent="0.25">
      <c r="A4491" s="4"/>
      <c r="B4491" s="5"/>
      <c r="C4491" s="6"/>
    </row>
    <row r="4492" spans="1:3" x14ac:dyDescent="0.25">
      <c r="A4492" s="4"/>
      <c r="B4492" s="5"/>
      <c r="C4492" s="6"/>
    </row>
    <row r="4493" spans="1:3" x14ac:dyDescent="0.25">
      <c r="A4493" s="4"/>
      <c r="B4493" s="5"/>
      <c r="C4493" s="6"/>
    </row>
    <row r="4494" spans="1:3" x14ac:dyDescent="0.25">
      <c r="A4494" s="4"/>
      <c r="B4494" s="5"/>
      <c r="C4494" s="6"/>
    </row>
    <row r="4495" spans="1:3" x14ac:dyDescent="0.25">
      <c r="A4495" s="4"/>
      <c r="B4495" s="5"/>
      <c r="C4495" s="6"/>
    </row>
    <row r="4496" spans="1:3" x14ac:dyDescent="0.25">
      <c r="A4496" s="4"/>
      <c r="B4496" s="5"/>
      <c r="C4496" s="6"/>
    </row>
    <row r="4497" spans="1:3" x14ac:dyDescent="0.25">
      <c r="A4497" s="4"/>
      <c r="B4497" s="5"/>
      <c r="C4497" s="6"/>
    </row>
    <row r="4498" spans="1:3" x14ac:dyDescent="0.25">
      <c r="A4498" s="4"/>
      <c r="B4498" s="5"/>
      <c r="C4498" s="6"/>
    </row>
    <row r="4499" spans="1:3" x14ac:dyDescent="0.25">
      <c r="A4499" s="4"/>
      <c r="B4499" s="5"/>
      <c r="C4499" s="6"/>
    </row>
    <row r="4500" spans="1:3" x14ac:dyDescent="0.25">
      <c r="A4500" s="4"/>
      <c r="B4500" s="5"/>
      <c r="C4500" s="6"/>
    </row>
    <row r="4501" spans="1:3" x14ac:dyDescent="0.25">
      <c r="A4501" s="4"/>
      <c r="B4501" s="5"/>
      <c r="C4501" s="6"/>
    </row>
    <row r="4502" spans="1:3" x14ac:dyDescent="0.25">
      <c r="A4502" s="4"/>
      <c r="B4502" s="5"/>
      <c r="C4502" s="5"/>
    </row>
    <row r="4503" spans="1:3" x14ac:dyDescent="0.25">
      <c r="A4503" s="4"/>
      <c r="B4503" s="5"/>
      <c r="C4503" s="6"/>
    </row>
    <row r="4504" spans="1:3" x14ac:dyDescent="0.25">
      <c r="A4504" s="4"/>
      <c r="B4504" s="5"/>
      <c r="C4504" s="6"/>
    </row>
    <row r="4505" spans="1:3" x14ac:dyDescent="0.25">
      <c r="A4505" s="4"/>
      <c r="B4505" s="5"/>
      <c r="C4505" s="6"/>
    </row>
    <row r="4506" spans="1:3" x14ac:dyDescent="0.25">
      <c r="A4506" s="4"/>
      <c r="B4506" s="5"/>
      <c r="C4506" s="6"/>
    </row>
    <row r="4507" spans="1:3" x14ac:dyDescent="0.25">
      <c r="A4507" s="4"/>
      <c r="B4507" s="5"/>
      <c r="C4507" s="6"/>
    </row>
    <row r="4508" spans="1:3" x14ac:dyDescent="0.25">
      <c r="A4508" s="4"/>
      <c r="B4508" s="5"/>
      <c r="C4508" s="6"/>
    </row>
    <row r="4509" spans="1:3" x14ac:dyDescent="0.25">
      <c r="A4509" s="4"/>
      <c r="B4509" s="5"/>
      <c r="C4509" s="6"/>
    </row>
    <row r="4510" spans="1:3" x14ac:dyDescent="0.25">
      <c r="A4510" s="4"/>
      <c r="B4510" s="5"/>
      <c r="C4510" s="6"/>
    </row>
    <row r="4511" spans="1:3" x14ac:dyDescent="0.25">
      <c r="A4511" s="4"/>
      <c r="B4511" s="5"/>
      <c r="C4511" s="6"/>
    </row>
    <row r="4512" spans="1:3" x14ac:dyDescent="0.25">
      <c r="A4512" s="4"/>
      <c r="B4512" s="5"/>
      <c r="C4512" s="6"/>
    </row>
    <row r="4513" spans="1:3" x14ac:dyDescent="0.25">
      <c r="A4513" s="4"/>
      <c r="B4513" s="5"/>
      <c r="C4513" s="6"/>
    </row>
    <row r="4514" spans="1:3" x14ac:dyDescent="0.25">
      <c r="A4514" s="4"/>
      <c r="B4514" s="5"/>
      <c r="C4514" s="6"/>
    </row>
    <row r="4515" spans="1:3" x14ac:dyDescent="0.25">
      <c r="A4515" s="4"/>
      <c r="B4515" s="5"/>
      <c r="C4515" s="6"/>
    </row>
    <row r="4516" spans="1:3" x14ac:dyDescent="0.25">
      <c r="A4516" s="4"/>
      <c r="B4516" s="5"/>
      <c r="C4516" s="6"/>
    </row>
    <row r="4517" spans="1:3" x14ac:dyDescent="0.25">
      <c r="A4517" s="4"/>
      <c r="B4517" s="5"/>
      <c r="C4517" s="6"/>
    </row>
    <row r="4518" spans="1:3" x14ac:dyDescent="0.25">
      <c r="A4518" s="4"/>
      <c r="B4518" s="5"/>
      <c r="C4518" s="6"/>
    </row>
    <row r="4519" spans="1:3" x14ac:dyDescent="0.25">
      <c r="A4519" s="4"/>
      <c r="B4519" s="5"/>
      <c r="C4519" s="6"/>
    </row>
    <row r="4520" spans="1:3" x14ac:dyDescent="0.25">
      <c r="A4520" s="4"/>
      <c r="B4520" s="5"/>
      <c r="C4520" s="6"/>
    </row>
    <row r="4521" spans="1:3" x14ac:dyDescent="0.25">
      <c r="A4521" s="4"/>
      <c r="B4521" s="5"/>
      <c r="C4521" s="6"/>
    </row>
    <row r="4522" spans="1:3" x14ac:dyDescent="0.25">
      <c r="A4522" s="4"/>
      <c r="B4522" s="5"/>
      <c r="C4522" s="6"/>
    </row>
    <row r="4523" spans="1:3" x14ac:dyDescent="0.25">
      <c r="A4523" s="4"/>
      <c r="B4523" s="5"/>
      <c r="C4523" s="6"/>
    </row>
    <row r="4524" spans="1:3" x14ac:dyDescent="0.25">
      <c r="A4524" s="4"/>
      <c r="B4524" s="5"/>
      <c r="C4524" s="6"/>
    </row>
    <row r="4525" spans="1:3" x14ac:dyDescent="0.25">
      <c r="A4525" s="4"/>
      <c r="B4525" s="5"/>
      <c r="C4525" s="6"/>
    </row>
    <row r="4526" spans="1:3" x14ac:dyDescent="0.25">
      <c r="A4526" s="4"/>
      <c r="B4526" s="5"/>
      <c r="C4526" s="6"/>
    </row>
    <row r="4527" spans="1:3" x14ac:dyDescent="0.25">
      <c r="A4527" s="4"/>
      <c r="B4527" s="5"/>
      <c r="C4527" s="6"/>
    </row>
    <row r="4528" spans="1:3" x14ac:dyDescent="0.25">
      <c r="A4528" s="4"/>
      <c r="B4528" s="5"/>
      <c r="C4528" s="6"/>
    </row>
    <row r="4529" spans="1:3" x14ac:dyDescent="0.25">
      <c r="A4529" s="4"/>
      <c r="B4529" s="5"/>
      <c r="C4529" s="6"/>
    </row>
    <row r="4530" spans="1:3" x14ac:dyDescent="0.25">
      <c r="A4530" s="4"/>
      <c r="B4530" s="5"/>
      <c r="C4530" s="6"/>
    </row>
    <row r="4531" spans="1:3" x14ac:dyDescent="0.25">
      <c r="A4531" s="4"/>
      <c r="B4531" s="5"/>
      <c r="C4531" s="6"/>
    </row>
    <row r="4532" spans="1:3" x14ac:dyDescent="0.25">
      <c r="A4532" s="4"/>
      <c r="B4532" s="5"/>
      <c r="C4532" s="6"/>
    </row>
    <row r="4533" spans="1:3" x14ac:dyDescent="0.25">
      <c r="A4533" s="4"/>
      <c r="B4533" s="5"/>
      <c r="C4533" s="6"/>
    </row>
    <row r="4534" spans="1:3" x14ac:dyDescent="0.25">
      <c r="A4534" s="4"/>
      <c r="B4534" s="5"/>
      <c r="C4534" s="6"/>
    </row>
    <row r="4535" spans="1:3" x14ac:dyDescent="0.25">
      <c r="A4535" s="4"/>
      <c r="B4535" s="5"/>
      <c r="C4535" s="6"/>
    </row>
    <row r="4536" spans="1:3" x14ac:dyDescent="0.25">
      <c r="A4536" s="4"/>
      <c r="B4536" s="5"/>
      <c r="C4536" s="6"/>
    </row>
    <row r="4537" spans="1:3" x14ac:dyDescent="0.25">
      <c r="A4537" s="4"/>
      <c r="B4537" s="5"/>
      <c r="C4537" s="6"/>
    </row>
    <row r="4538" spans="1:3" x14ac:dyDescent="0.25">
      <c r="A4538" s="4"/>
      <c r="B4538" s="5"/>
      <c r="C4538" s="5"/>
    </row>
    <row r="4539" spans="1:3" x14ac:dyDescent="0.25">
      <c r="A4539" s="4"/>
      <c r="B4539" s="5"/>
      <c r="C4539" s="6"/>
    </row>
    <row r="4540" spans="1:3" x14ac:dyDescent="0.25">
      <c r="A4540" s="4"/>
      <c r="B4540" s="5"/>
      <c r="C4540" s="6"/>
    </row>
    <row r="4541" spans="1:3" x14ac:dyDescent="0.25">
      <c r="A4541" s="4"/>
      <c r="B4541" s="5"/>
      <c r="C4541" s="6"/>
    </row>
    <row r="4542" spans="1:3" x14ac:dyDescent="0.25">
      <c r="A4542" s="4"/>
      <c r="B4542" s="5"/>
      <c r="C4542" s="6"/>
    </row>
    <row r="4543" spans="1:3" x14ac:dyDescent="0.25">
      <c r="A4543" s="4"/>
      <c r="B4543" s="5"/>
      <c r="C4543" s="6"/>
    </row>
    <row r="4544" spans="1:3" x14ac:dyDescent="0.25">
      <c r="A4544" s="4"/>
      <c r="B4544" s="5"/>
      <c r="C4544" s="6"/>
    </row>
    <row r="4545" spans="1:3" x14ac:dyDescent="0.25">
      <c r="A4545" s="4"/>
      <c r="B4545" s="5"/>
      <c r="C4545" s="6"/>
    </row>
    <row r="4546" spans="1:3" x14ac:dyDescent="0.25">
      <c r="A4546" s="4"/>
      <c r="B4546" s="5"/>
      <c r="C4546" s="6"/>
    </row>
    <row r="4547" spans="1:3" x14ac:dyDescent="0.25">
      <c r="A4547" s="4"/>
      <c r="B4547" s="5"/>
      <c r="C4547" s="6"/>
    </row>
    <row r="4548" spans="1:3" x14ac:dyDescent="0.25">
      <c r="A4548" s="4"/>
      <c r="B4548" s="5"/>
      <c r="C4548" s="6"/>
    </row>
    <row r="4549" spans="1:3" x14ac:dyDescent="0.25">
      <c r="A4549" s="4"/>
      <c r="B4549" s="5"/>
      <c r="C4549" s="6"/>
    </row>
    <row r="4550" spans="1:3" x14ac:dyDescent="0.25">
      <c r="A4550" s="4"/>
      <c r="B4550" s="5"/>
      <c r="C4550" s="6"/>
    </row>
    <row r="4551" spans="1:3" x14ac:dyDescent="0.25">
      <c r="A4551" s="4"/>
      <c r="B4551" s="5"/>
      <c r="C4551" s="6"/>
    </row>
    <row r="4552" spans="1:3" x14ac:dyDescent="0.25">
      <c r="A4552" s="4"/>
      <c r="B4552" s="5"/>
      <c r="C4552" s="6"/>
    </row>
    <row r="4553" spans="1:3" x14ac:dyDescent="0.25">
      <c r="A4553" s="4"/>
      <c r="B4553" s="5"/>
      <c r="C4553" s="6"/>
    </row>
    <row r="4554" spans="1:3" x14ac:dyDescent="0.25">
      <c r="A4554" s="4"/>
      <c r="B4554" s="5"/>
      <c r="C4554" s="6"/>
    </row>
    <row r="4555" spans="1:3" x14ac:dyDescent="0.25">
      <c r="A4555" s="4"/>
      <c r="B4555" s="5"/>
      <c r="C4555" s="6"/>
    </row>
    <row r="4556" spans="1:3" x14ac:dyDescent="0.25">
      <c r="A4556" s="4"/>
      <c r="B4556" s="5"/>
      <c r="C4556" s="6"/>
    </row>
    <row r="4557" spans="1:3" x14ac:dyDescent="0.25">
      <c r="A4557" s="4"/>
      <c r="B4557" s="5"/>
      <c r="C4557" s="6"/>
    </row>
    <row r="4558" spans="1:3" x14ac:dyDescent="0.25">
      <c r="A4558" s="4"/>
      <c r="B4558" s="5"/>
      <c r="C4558" s="6"/>
    </row>
    <row r="4559" spans="1:3" x14ac:dyDescent="0.25">
      <c r="A4559" s="4"/>
      <c r="B4559" s="5"/>
      <c r="C4559" s="6"/>
    </row>
    <row r="4560" spans="1:3" x14ac:dyDescent="0.25">
      <c r="A4560" s="4"/>
      <c r="B4560" s="5"/>
      <c r="C4560" s="6"/>
    </row>
    <row r="4561" spans="1:3" x14ac:dyDescent="0.25">
      <c r="A4561" s="4"/>
      <c r="B4561" s="5"/>
      <c r="C4561" s="6"/>
    </row>
    <row r="4562" spans="1:3" x14ac:dyDescent="0.25">
      <c r="A4562" s="4"/>
      <c r="B4562" s="5"/>
      <c r="C4562" s="6"/>
    </row>
    <row r="4563" spans="1:3" x14ac:dyDescent="0.25">
      <c r="A4563" s="4"/>
      <c r="B4563" s="5"/>
      <c r="C4563" s="6"/>
    </row>
    <row r="4564" spans="1:3" x14ac:dyDescent="0.25">
      <c r="A4564" s="4"/>
      <c r="B4564" s="5"/>
      <c r="C4564" s="6"/>
    </row>
    <row r="4565" spans="1:3" x14ac:dyDescent="0.25">
      <c r="A4565" s="4"/>
      <c r="B4565" s="5"/>
      <c r="C4565" s="6"/>
    </row>
    <row r="4566" spans="1:3" x14ac:dyDescent="0.25">
      <c r="A4566" s="4"/>
      <c r="B4566" s="5"/>
      <c r="C4566" s="6"/>
    </row>
    <row r="4567" spans="1:3" x14ac:dyDescent="0.25">
      <c r="A4567" s="4"/>
      <c r="B4567" s="5"/>
      <c r="C4567" s="6"/>
    </row>
    <row r="4568" spans="1:3" x14ac:dyDescent="0.25">
      <c r="A4568" s="4"/>
      <c r="B4568" s="5"/>
      <c r="C4568" s="6"/>
    </row>
    <row r="4569" spans="1:3" x14ac:dyDescent="0.25">
      <c r="A4569" s="4"/>
      <c r="B4569" s="5"/>
      <c r="C4569" s="6"/>
    </row>
    <row r="4570" spans="1:3" x14ac:dyDescent="0.25">
      <c r="A4570" s="4"/>
      <c r="B4570" s="5"/>
      <c r="C4570" s="6"/>
    </row>
    <row r="4571" spans="1:3" x14ac:dyDescent="0.25">
      <c r="A4571" s="4"/>
      <c r="B4571" s="5"/>
      <c r="C4571" s="6"/>
    </row>
    <row r="4572" spans="1:3" x14ac:dyDescent="0.25">
      <c r="A4572" s="4"/>
      <c r="B4572" s="5"/>
      <c r="C4572" s="6"/>
    </row>
    <row r="4573" spans="1:3" x14ac:dyDescent="0.25">
      <c r="A4573" s="4"/>
      <c r="B4573" s="5"/>
      <c r="C4573" s="6"/>
    </row>
    <row r="4574" spans="1:3" x14ac:dyDescent="0.25">
      <c r="A4574" s="4"/>
      <c r="B4574" s="5"/>
      <c r="C4574" s="6"/>
    </row>
    <row r="4575" spans="1:3" x14ac:dyDescent="0.25">
      <c r="A4575" s="4"/>
      <c r="B4575" s="5"/>
      <c r="C4575" s="6"/>
    </row>
    <row r="4576" spans="1:3" x14ac:dyDescent="0.25">
      <c r="A4576" s="4"/>
      <c r="B4576" s="5"/>
      <c r="C4576" s="6"/>
    </row>
    <row r="4577" spans="1:3" x14ac:dyDescent="0.25">
      <c r="A4577" s="4"/>
      <c r="B4577" s="5"/>
      <c r="C4577" s="6"/>
    </row>
    <row r="4578" spans="1:3" x14ac:dyDescent="0.25">
      <c r="A4578" s="4"/>
      <c r="B4578" s="5"/>
      <c r="C4578" s="6"/>
    </row>
    <row r="4579" spans="1:3" x14ac:dyDescent="0.25">
      <c r="A4579" s="4"/>
      <c r="B4579" s="5"/>
      <c r="C4579" s="6"/>
    </row>
    <row r="4580" spans="1:3" x14ac:dyDescent="0.25">
      <c r="A4580" s="4"/>
      <c r="B4580" s="5"/>
      <c r="C4580" s="6"/>
    </row>
    <row r="4581" spans="1:3" x14ac:dyDescent="0.25">
      <c r="A4581" s="4"/>
      <c r="B4581" s="5"/>
      <c r="C4581" s="6"/>
    </row>
    <row r="4582" spans="1:3" x14ac:dyDescent="0.25">
      <c r="A4582" s="4"/>
      <c r="B4582" s="5"/>
      <c r="C4582" s="6"/>
    </row>
    <row r="4583" spans="1:3" x14ac:dyDescent="0.25">
      <c r="A4583" s="4"/>
      <c r="B4583" s="5"/>
      <c r="C4583" s="6"/>
    </row>
    <row r="4584" spans="1:3" x14ac:dyDescent="0.25">
      <c r="A4584" s="4"/>
      <c r="B4584" s="5"/>
      <c r="C4584" s="6"/>
    </row>
    <row r="4585" spans="1:3" x14ac:dyDescent="0.25">
      <c r="A4585" s="4"/>
      <c r="B4585" s="5"/>
      <c r="C4585" s="6"/>
    </row>
    <row r="4586" spans="1:3" x14ac:dyDescent="0.25">
      <c r="A4586" s="4"/>
      <c r="B4586" s="5"/>
      <c r="C4586" s="6"/>
    </row>
    <row r="4587" spans="1:3" x14ac:dyDescent="0.25">
      <c r="A4587" s="4"/>
      <c r="B4587" s="5"/>
      <c r="C4587" s="6"/>
    </row>
    <row r="4588" spans="1:3" x14ac:dyDescent="0.25">
      <c r="A4588" s="4"/>
      <c r="B4588" s="5"/>
      <c r="C4588" s="6"/>
    </row>
    <row r="4589" spans="1:3" x14ac:dyDescent="0.25">
      <c r="A4589" s="4"/>
      <c r="B4589" s="5"/>
      <c r="C4589" s="6"/>
    </row>
    <row r="4590" spans="1:3" x14ac:dyDescent="0.25">
      <c r="A4590" s="4"/>
      <c r="B4590" s="5"/>
      <c r="C4590" s="6"/>
    </row>
    <row r="4591" spans="1:3" x14ac:dyDescent="0.25">
      <c r="A4591" s="4"/>
      <c r="B4591" s="5"/>
      <c r="C4591" s="6"/>
    </row>
    <row r="4592" spans="1:3" x14ac:dyDescent="0.25">
      <c r="A4592" s="4"/>
      <c r="B4592" s="5"/>
      <c r="C4592" s="6"/>
    </row>
    <row r="4593" spans="1:3" x14ac:dyDescent="0.25">
      <c r="A4593" s="4"/>
      <c r="B4593" s="5"/>
      <c r="C4593" s="6"/>
    </row>
    <row r="4594" spans="1:3" x14ac:dyDescent="0.25">
      <c r="A4594" s="4"/>
      <c r="B4594" s="5"/>
      <c r="C4594" s="6"/>
    </row>
    <row r="4595" spans="1:3" x14ac:dyDescent="0.25">
      <c r="A4595" s="4"/>
      <c r="B4595" s="5"/>
      <c r="C4595" s="6"/>
    </row>
    <row r="4596" spans="1:3" x14ac:dyDescent="0.25">
      <c r="A4596" s="4"/>
      <c r="B4596" s="5"/>
      <c r="C4596" s="6"/>
    </row>
    <row r="4597" spans="1:3" x14ac:dyDescent="0.25">
      <c r="A4597" s="4"/>
      <c r="B4597" s="5"/>
      <c r="C4597" s="6"/>
    </row>
    <row r="4598" spans="1:3" x14ac:dyDescent="0.25">
      <c r="A4598" s="4"/>
      <c r="B4598" s="5"/>
      <c r="C4598" s="6"/>
    </row>
    <row r="4599" spans="1:3" x14ac:dyDescent="0.25">
      <c r="A4599" s="4"/>
      <c r="B4599" s="5"/>
      <c r="C4599" s="6"/>
    </row>
    <row r="4600" spans="1:3" x14ac:dyDescent="0.25">
      <c r="A4600" s="4"/>
      <c r="B4600" s="5"/>
      <c r="C4600" s="6"/>
    </row>
    <row r="4601" spans="1:3" x14ac:dyDescent="0.25">
      <c r="A4601" s="4"/>
      <c r="B4601" s="5"/>
      <c r="C4601" s="6"/>
    </row>
    <row r="4602" spans="1:3" x14ac:dyDescent="0.25">
      <c r="A4602" s="4"/>
      <c r="B4602" s="5"/>
      <c r="C4602" s="6"/>
    </row>
    <row r="4603" spans="1:3" x14ac:dyDescent="0.25">
      <c r="A4603" s="4"/>
      <c r="B4603" s="5"/>
      <c r="C4603" s="6"/>
    </row>
    <row r="4604" spans="1:3" x14ac:dyDescent="0.25">
      <c r="A4604" s="4"/>
      <c r="B4604" s="5"/>
      <c r="C4604" s="6"/>
    </row>
    <row r="4605" spans="1:3" x14ac:dyDescent="0.25">
      <c r="A4605" s="4"/>
      <c r="B4605" s="5"/>
      <c r="C4605" s="6"/>
    </row>
    <row r="4606" spans="1:3" x14ac:dyDescent="0.25">
      <c r="A4606" s="4"/>
      <c r="B4606" s="5"/>
      <c r="C4606" s="6"/>
    </row>
    <row r="4607" spans="1:3" x14ac:dyDescent="0.25">
      <c r="A4607" s="4"/>
      <c r="B4607" s="5"/>
      <c r="C4607" s="6"/>
    </row>
    <row r="4608" spans="1:3" x14ac:dyDescent="0.25">
      <c r="A4608" s="4"/>
      <c r="B4608" s="5"/>
      <c r="C4608" s="5"/>
    </row>
    <row r="4609" spans="1:3" x14ac:dyDescent="0.25">
      <c r="A4609" s="4"/>
      <c r="B4609" s="5"/>
      <c r="C4609" s="6"/>
    </row>
    <row r="4610" spans="1:3" x14ac:dyDescent="0.25">
      <c r="A4610" s="4"/>
      <c r="B4610" s="5"/>
      <c r="C4610" s="6"/>
    </row>
    <row r="4611" spans="1:3" x14ac:dyDescent="0.25">
      <c r="A4611" s="4"/>
      <c r="B4611" s="5"/>
      <c r="C4611" s="6"/>
    </row>
    <row r="4612" spans="1:3" x14ac:dyDescent="0.25">
      <c r="A4612" s="4"/>
      <c r="B4612" s="5"/>
      <c r="C4612" s="6"/>
    </row>
    <row r="4613" spans="1:3" x14ac:dyDescent="0.25">
      <c r="A4613" s="4"/>
      <c r="B4613" s="5"/>
      <c r="C4613" s="6"/>
    </row>
    <row r="4614" spans="1:3" x14ac:dyDescent="0.25">
      <c r="A4614" s="4"/>
      <c r="B4614" s="5"/>
      <c r="C4614" s="6"/>
    </row>
    <row r="4615" spans="1:3" x14ac:dyDescent="0.25">
      <c r="A4615" s="4"/>
      <c r="B4615" s="5"/>
      <c r="C4615" s="6"/>
    </row>
    <row r="4616" spans="1:3" x14ac:dyDescent="0.25">
      <c r="A4616" s="4"/>
      <c r="B4616" s="5"/>
      <c r="C4616" s="6"/>
    </row>
    <row r="4617" spans="1:3" x14ac:dyDescent="0.25">
      <c r="A4617" s="4"/>
      <c r="B4617" s="5"/>
      <c r="C4617" s="6"/>
    </row>
    <row r="4618" spans="1:3" x14ac:dyDescent="0.25">
      <c r="A4618" s="4"/>
      <c r="B4618" s="5"/>
      <c r="C4618" s="6"/>
    </row>
    <row r="4619" spans="1:3" x14ac:dyDescent="0.25">
      <c r="A4619" s="4"/>
      <c r="B4619" s="5"/>
      <c r="C4619" s="6"/>
    </row>
    <row r="4620" spans="1:3" x14ac:dyDescent="0.25">
      <c r="A4620" s="4"/>
      <c r="B4620" s="5"/>
      <c r="C4620" s="6"/>
    </row>
    <row r="4621" spans="1:3" x14ac:dyDescent="0.25">
      <c r="A4621" s="4"/>
      <c r="B4621" s="5"/>
      <c r="C4621" s="6"/>
    </row>
    <row r="4622" spans="1:3" x14ac:dyDescent="0.25">
      <c r="A4622" s="4"/>
      <c r="B4622" s="5"/>
      <c r="C4622" s="6"/>
    </row>
    <row r="4623" spans="1:3" x14ac:dyDescent="0.25">
      <c r="A4623" s="4"/>
      <c r="B4623" s="5"/>
      <c r="C4623" s="6"/>
    </row>
    <row r="4624" spans="1:3" x14ac:dyDescent="0.25">
      <c r="A4624" s="4"/>
      <c r="B4624" s="5"/>
      <c r="C4624" s="6"/>
    </row>
    <row r="4625" spans="1:3" x14ac:dyDescent="0.25">
      <c r="A4625" s="4"/>
      <c r="B4625" s="5"/>
      <c r="C4625" s="6"/>
    </row>
    <row r="4626" spans="1:3" x14ac:dyDescent="0.25">
      <c r="A4626" s="4"/>
      <c r="B4626" s="5"/>
      <c r="C4626" s="6"/>
    </row>
    <row r="4627" spans="1:3" x14ac:dyDescent="0.25">
      <c r="A4627" s="4"/>
      <c r="B4627" s="5"/>
      <c r="C4627" s="6"/>
    </row>
    <row r="4628" spans="1:3" x14ac:dyDescent="0.25">
      <c r="A4628" s="4"/>
      <c r="B4628" s="5"/>
      <c r="C4628" s="6"/>
    </row>
    <row r="4629" spans="1:3" x14ac:dyDescent="0.25">
      <c r="A4629" s="4"/>
      <c r="B4629" s="5"/>
      <c r="C4629" s="6"/>
    </row>
    <row r="4630" spans="1:3" x14ac:dyDescent="0.25">
      <c r="A4630" s="4"/>
      <c r="B4630" s="5"/>
      <c r="C4630" s="6"/>
    </row>
    <row r="4631" spans="1:3" x14ac:dyDescent="0.25">
      <c r="A4631" s="4"/>
      <c r="B4631" s="5"/>
      <c r="C4631" s="6"/>
    </row>
    <row r="4632" spans="1:3" x14ac:dyDescent="0.25">
      <c r="A4632" s="4"/>
      <c r="B4632" s="5"/>
      <c r="C4632" s="6"/>
    </row>
    <row r="4633" spans="1:3" x14ac:dyDescent="0.25">
      <c r="A4633" s="4"/>
      <c r="B4633" s="5"/>
      <c r="C4633" s="6"/>
    </row>
    <row r="4634" spans="1:3" x14ac:dyDescent="0.25">
      <c r="A4634" s="4"/>
      <c r="B4634" s="5"/>
      <c r="C4634" s="6"/>
    </row>
    <row r="4635" spans="1:3" x14ac:dyDescent="0.25">
      <c r="A4635" s="4"/>
      <c r="B4635" s="5"/>
      <c r="C4635" s="6"/>
    </row>
    <row r="4636" spans="1:3" x14ac:dyDescent="0.25">
      <c r="A4636" s="4"/>
      <c r="B4636" s="5"/>
      <c r="C4636" s="6"/>
    </row>
    <row r="4637" spans="1:3" x14ac:dyDescent="0.25">
      <c r="A4637" s="4"/>
      <c r="B4637" s="5"/>
      <c r="C4637" s="6"/>
    </row>
    <row r="4638" spans="1:3" x14ac:dyDescent="0.25">
      <c r="A4638" s="4"/>
      <c r="B4638" s="5"/>
      <c r="C4638" s="6"/>
    </row>
    <row r="4639" spans="1:3" x14ac:dyDescent="0.25">
      <c r="A4639" s="4"/>
      <c r="B4639" s="5"/>
      <c r="C4639" s="6"/>
    </row>
    <row r="4640" spans="1:3" x14ac:dyDescent="0.25">
      <c r="A4640" s="4"/>
      <c r="B4640" s="5"/>
      <c r="C4640" s="6"/>
    </row>
    <row r="4641" spans="1:3" x14ac:dyDescent="0.25">
      <c r="A4641" s="4"/>
      <c r="B4641" s="5"/>
      <c r="C4641" s="6"/>
    </row>
    <row r="4642" spans="1:3" x14ac:dyDescent="0.25">
      <c r="A4642" s="4"/>
      <c r="B4642" s="5"/>
      <c r="C4642" s="6"/>
    </row>
    <row r="4643" spans="1:3" x14ac:dyDescent="0.25">
      <c r="A4643" s="4"/>
      <c r="B4643" s="5"/>
      <c r="C4643" s="6"/>
    </row>
    <row r="4644" spans="1:3" x14ac:dyDescent="0.25">
      <c r="A4644" s="4"/>
      <c r="B4644" s="5"/>
      <c r="C4644" s="6"/>
    </row>
    <row r="4645" spans="1:3" x14ac:dyDescent="0.25">
      <c r="A4645" s="4"/>
      <c r="B4645" s="5"/>
      <c r="C4645" s="6"/>
    </row>
    <row r="4646" spans="1:3" x14ac:dyDescent="0.25">
      <c r="A4646" s="4"/>
      <c r="B4646" s="5"/>
      <c r="C4646" s="6"/>
    </row>
    <row r="4647" spans="1:3" x14ac:dyDescent="0.25">
      <c r="A4647" s="4"/>
      <c r="B4647" s="5"/>
      <c r="C4647" s="6"/>
    </row>
    <row r="4648" spans="1:3" x14ac:dyDescent="0.25">
      <c r="A4648" s="4"/>
      <c r="B4648" s="5"/>
      <c r="C4648" s="6"/>
    </row>
    <row r="4649" spans="1:3" x14ac:dyDescent="0.25">
      <c r="A4649" s="4"/>
      <c r="B4649" s="5"/>
      <c r="C4649" s="6"/>
    </row>
    <row r="4650" spans="1:3" x14ac:dyDescent="0.25">
      <c r="A4650" s="4"/>
      <c r="B4650" s="5"/>
      <c r="C4650" s="6"/>
    </row>
    <row r="4651" spans="1:3" x14ac:dyDescent="0.25">
      <c r="A4651" s="4"/>
      <c r="B4651" s="5"/>
      <c r="C4651" s="6"/>
    </row>
    <row r="4652" spans="1:3" x14ac:dyDescent="0.25">
      <c r="A4652" s="4"/>
      <c r="B4652" s="5"/>
      <c r="C4652" s="6"/>
    </row>
    <row r="4653" spans="1:3" x14ac:dyDescent="0.25">
      <c r="A4653" s="4"/>
      <c r="B4653" s="5"/>
      <c r="C4653" s="6"/>
    </row>
    <row r="4654" spans="1:3" x14ac:dyDescent="0.25">
      <c r="A4654" s="4"/>
      <c r="B4654" s="5"/>
      <c r="C4654" s="6"/>
    </row>
    <row r="4655" spans="1:3" x14ac:dyDescent="0.25">
      <c r="A4655" s="4"/>
      <c r="B4655" s="5"/>
      <c r="C4655" s="6"/>
    </row>
    <row r="4656" spans="1:3" x14ac:dyDescent="0.25">
      <c r="A4656" s="4"/>
      <c r="B4656" s="5"/>
      <c r="C4656" s="6"/>
    </row>
    <row r="4657" spans="1:3" x14ac:dyDescent="0.25">
      <c r="A4657" s="4"/>
      <c r="B4657" s="5"/>
      <c r="C4657" s="6"/>
    </row>
    <row r="4658" spans="1:3" x14ac:dyDescent="0.25">
      <c r="A4658" s="4"/>
      <c r="B4658" s="5"/>
      <c r="C4658" s="6"/>
    </row>
    <row r="4659" spans="1:3" x14ac:dyDescent="0.25">
      <c r="A4659" s="4"/>
      <c r="B4659" s="5"/>
      <c r="C4659" s="6"/>
    </row>
    <row r="4660" spans="1:3" x14ac:dyDescent="0.25">
      <c r="A4660" s="4"/>
      <c r="B4660" s="5"/>
      <c r="C4660" s="6"/>
    </row>
    <row r="4661" spans="1:3" x14ac:dyDescent="0.25">
      <c r="A4661" s="4"/>
      <c r="B4661" s="5"/>
      <c r="C4661" s="6"/>
    </row>
    <row r="4662" spans="1:3" x14ac:dyDescent="0.25">
      <c r="A4662" s="4"/>
      <c r="B4662" s="5"/>
      <c r="C4662" s="6"/>
    </row>
    <row r="4663" spans="1:3" x14ac:dyDescent="0.25">
      <c r="A4663" s="4"/>
      <c r="B4663" s="5"/>
      <c r="C4663" s="6"/>
    </row>
    <row r="4664" spans="1:3" x14ac:dyDescent="0.25">
      <c r="A4664" s="4"/>
      <c r="B4664" s="5"/>
      <c r="C4664" s="6"/>
    </row>
    <row r="4665" spans="1:3" x14ac:dyDescent="0.25">
      <c r="A4665" s="4"/>
      <c r="B4665" s="5"/>
      <c r="C4665" s="6"/>
    </row>
    <row r="4666" spans="1:3" x14ac:dyDescent="0.25">
      <c r="A4666" s="4"/>
      <c r="B4666" s="5"/>
      <c r="C4666" s="6"/>
    </row>
    <row r="4667" spans="1:3" x14ac:dyDescent="0.25">
      <c r="A4667" s="4"/>
      <c r="B4667" s="5"/>
      <c r="C4667" s="6"/>
    </row>
    <row r="4668" spans="1:3" x14ac:dyDescent="0.25">
      <c r="A4668" s="4"/>
      <c r="B4668" s="5"/>
      <c r="C4668" s="6"/>
    </row>
    <row r="4669" spans="1:3" x14ac:dyDescent="0.25">
      <c r="A4669" s="4"/>
      <c r="B4669" s="5"/>
      <c r="C4669" s="6"/>
    </row>
    <row r="4670" spans="1:3" x14ac:dyDescent="0.25">
      <c r="A4670" s="4"/>
      <c r="B4670" s="5"/>
      <c r="C4670" s="6"/>
    </row>
    <row r="4671" spans="1:3" x14ac:dyDescent="0.25">
      <c r="A4671" s="4"/>
      <c r="B4671" s="5"/>
      <c r="C4671" s="6"/>
    </row>
    <row r="4672" spans="1:3" x14ac:dyDescent="0.25">
      <c r="A4672" s="4"/>
      <c r="B4672" s="5"/>
      <c r="C4672" s="6"/>
    </row>
    <row r="4673" spans="1:3" x14ac:dyDescent="0.25">
      <c r="A4673" s="4"/>
      <c r="B4673" s="5"/>
      <c r="C4673" s="6"/>
    </row>
    <row r="4674" spans="1:3" x14ac:dyDescent="0.25">
      <c r="A4674" s="4"/>
      <c r="B4674" s="5"/>
      <c r="C4674" s="6"/>
    </row>
    <row r="4675" spans="1:3" x14ac:dyDescent="0.25">
      <c r="A4675" s="4"/>
      <c r="B4675" s="5"/>
      <c r="C4675" s="6"/>
    </row>
    <row r="4676" spans="1:3" x14ac:dyDescent="0.25">
      <c r="A4676" s="4"/>
      <c r="B4676" s="5"/>
      <c r="C4676" s="6"/>
    </row>
    <row r="4677" spans="1:3" x14ac:dyDescent="0.25">
      <c r="A4677" s="4"/>
      <c r="B4677" s="5"/>
      <c r="C4677" s="6"/>
    </row>
    <row r="4678" spans="1:3" x14ac:dyDescent="0.25">
      <c r="A4678" s="4"/>
      <c r="B4678" s="5"/>
      <c r="C4678" s="6"/>
    </row>
    <row r="4679" spans="1:3" x14ac:dyDescent="0.25">
      <c r="A4679" s="4"/>
      <c r="B4679" s="5"/>
      <c r="C4679" s="6"/>
    </row>
    <row r="4680" spans="1:3" x14ac:dyDescent="0.25">
      <c r="A4680" s="4"/>
      <c r="B4680" s="5"/>
      <c r="C4680" s="6"/>
    </row>
    <row r="4681" spans="1:3" x14ac:dyDescent="0.25">
      <c r="A4681" s="4"/>
      <c r="B4681" s="5"/>
      <c r="C4681" s="6"/>
    </row>
    <row r="4682" spans="1:3" x14ac:dyDescent="0.25">
      <c r="A4682" s="4"/>
      <c r="B4682" s="5"/>
      <c r="C4682" s="6"/>
    </row>
    <row r="4683" spans="1:3" x14ac:dyDescent="0.25">
      <c r="A4683" s="4"/>
      <c r="B4683" s="5"/>
      <c r="C4683" s="6"/>
    </row>
    <row r="4684" spans="1:3" x14ac:dyDescent="0.25">
      <c r="A4684" s="4"/>
      <c r="B4684" s="5"/>
      <c r="C4684" s="6"/>
    </row>
    <row r="4685" spans="1:3" x14ac:dyDescent="0.25">
      <c r="A4685" s="4"/>
      <c r="B4685" s="5"/>
      <c r="C4685" s="6"/>
    </row>
    <row r="4686" spans="1:3" x14ac:dyDescent="0.25">
      <c r="A4686" s="4"/>
      <c r="B4686" s="5"/>
      <c r="C4686" s="6"/>
    </row>
    <row r="4687" spans="1:3" x14ac:dyDescent="0.25">
      <c r="A4687" s="4"/>
      <c r="B4687" s="5"/>
      <c r="C4687" s="6"/>
    </row>
    <row r="4688" spans="1:3" x14ac:dyDescent="0.25">
      <c r="A4688" s="4"/>
      <c r="B4688" s="5"/>
      <c r="C4688" s="6"/>
    </row>
    <row r="4689" spans="1:3" x14ac:dyDescent="0.25">
      <c r="A4689" s="4"/>
      <c r="B4689" s="5"/>
      <c r="C4689" s="6"/>
    </row>
    <row r="4690" spans="1:3" x14ac:dyDescent="0.25">
      <c r="A4690" s="4"/>
      <c r="B4690" s="5"/>
      <c r="C4690" s="6"/>
    </row>
    <row r="4691" spans="1:3" x14ac:dyDescent="0.25">
      <c r="A4691" s="4"/>
      <c r="B4691" s="5"/>
      <c r="C4691" s="6"/>
    </row>
    <row r="4692" spans="1:3" x14ac:dyDescent="0.25">
      <c r="A4692" s="4"/>
      <c r="B4692" s="5"/>
      <c r="C4692" s="5"/>
    </row>
    <row r="4693" spans="1:3" x14ac:dyDescent="0.25">
      <c r="A4693" s="4"/>
      <c r="B4693" s="5"/>
      <c r="C4693" s="6"/>
    </row>
    <row r="4694" spans="1:3" x14ac:dyDescent="0.25">
      <c r="A4694" s="4"/>
      <c r="B4694" s="5"/>
      <c r="C4694" s="6"/>
    </row>
    <row r="4695" spans="1:3" x14ac:dyDescent="0.25">
      <c r="A4695" s="4"/>
      <c r="B4695" s="5"/>
      <c r="C4695" s="6"/>
    </row>
    <row r="4696" spans="1:3" x14ac:dyDescent="0.25">
      <c r="A4696" s="4"/>
      <c r="B4696" s="5"/>
      <c r="C4696" s="6"/>
    </row>
    <row r="4697" spans="1:3" x14ac:dyDescent="0.25">
      <c r="A4697" s="4"/>
      <c r="B4697" s="5"/>
      <c r="C4697" s="5"/>
    </row>
    <row r="4698" spans="1:3" x14ac:dyDescent="0.25">
      <c r="A4698" s="4"/>
      <c r="B4698" s="5"/>
      <c r="C4698" s="6"/>
    </row>
    <row r="4699" spans="1:3" x14ac:dyDescent="0.25">
      <c r="A4699" s="4"/>
      <c r="B4699" s="5"/>
      <c r="C4699" s="6"/>
    </row>
    <row r="4700" spans="1:3" x14ac:dyDescent="0.25">
      <c r="A4700" s="4"/>
      <c r="B4700" s="5"/>
      <c r="C4700" s="6"/>
    </row>
    <row r="4701" spans="1:3" x14ac:dyDescent="0.25">
      <c r="A4701" s="4"/>
      <c r="B4701" s="5"/>
      <c r="C4701" s="6"/>
    </row>
    <row r="4702" spans="1:3" x14ac:dyDescent="0.25">
      <c r="A4702" s="4"/>
      <c r="B4702" s="5"/>
      <c r="C4702" s="6"/>
    </row>
    <row r="4703" spans="1:3" x14ac:dyDescent="0.25">
      <c r="A4703" s="4"/>
      <c r="B4703" s="5"/>
      <c r="C4703" s="6"/>
    </row>
    <row r="4704" spans="1:3" x14ac:dyDescent="0.25">
      <c r="A4704" s="4"/>
      <c r="B4704" s="5"/>
      <c r="C4704" s="6"/>
    </row>
    <row r="4705" spans="1:3" x14ac:dyDescent="0.25">
      <c r="A4705" s="4"/>
      <c r="B4705" s="5"/>
      <c r="C4705" s="6"/>
    </row>
    <row r="4706" spans="1:3" x14ac:dyDescent="0.25">
      <c r="A4706" s="4"/>
      <c r="B4706" s="5"/>
      <c r="C4706" s="6"/>
    </row>
    <row r="4707" spans="1:3" x14ac:dyDescent="0.25">
      <c r="A4707" s="4"/>
      <c r="B4707" s="5"/>
      <c r="C4707" s="6"/>
    </row>
    <row r="4708" spans="1:3" x14ac:dyDescent="0.25">
      <c r="A4708" s="4"/>
      <c r="B4708" s="5"/>
      <c r="C4708" s="6"/>
    </row>
    <row r="4709" spans="1:3" x14ac:dyDescent="0.25">
      <c r="A4709" s="4"/>
      <c r="B4709" s="5"/>
      <c r="C4709" s="6"/>
    </row>
    <row r="4710" spans="1:3" x14ac:dyDescent="0.25">
      <c r="A4710" s="4"/>
      <c r="B4710" s="5"/>
      <c r="C4710" s="6"/>
    </row>
    <row r="4711" spans="1:3" x14ac:dyDescent="0.25">
      <c r="A4711" s="4"/>
      <c r="B4711" s="5"/>
      <c r="C4711" s="6"/>
    </row>
    <row r="4712" spans="1:3" x14ac:dyDescent="0.25">
      <c r="A4712" s="4"/>
      <c r="B4712" s="5"/>
      <c r="C4712" s="6"/>
    </row>
    <row r="4713" spans="1:3" x14ac:dyDescent="0.25">
      <c r="A4713" s="4"/>
      <c r="B4713" s="5"/>
      <c r="C4713" s="6"/>
    </row>
    <row r="4714" spans="1:3" x14ac:dyDescent="0.25">
      <c r="A4714" s="4"/>
      <c r="B4714" s="5"/>
      <c r="C4714" s="6"/>
    </row>
    <row r="4715" spans="1:3" x14ac:dyDescent="0.25">
      <c r="A4715" s="4"/>
      <c r="B4715" s="5"/>
      <c r="C4715" s="6"/>
    </row>
    <row r="4716" spans="1:3" x14ac:dyDescent="0.25">
      <c r="A4716" s="4"/>
      <c r="B4716" s="5"/>
      <c r="C4716" s="6"/>
    </row>
    <row r="4717" spans="1:3" x14ac:dyDescent="0.25">
      <c r="A4717" s="4"/>
      <c r="B4717" s="5"/>
      <c r="C4717" s="6"/>
    </row>
    <row r="4718" spans="1:3" x14ac:dyDescent="0.25">
      <c r="A4718" s="4"/>
      <c r="B4718" s="5"/>
      <c r="C4718" s="6"/>
    </row>
    <row r="4719" spans="1:3" x14ac:dyDescent="0.25">
      <c r="A4719" s="4"/>
      <c r="B4719" s="5"/>
      <c r="C4719" s="6"/>
    </row>
    <row r="4720" spans="1:3" x14ac:dyDescent="0.25">
      <c r="A4720" s="4"/>
      <c r="B4720" s="5"/>
      <c r="C4720" s="6"/>
    </row>
    <row r="4721" spans="1:3" x14ac:dyDescent="0.25">
      <c r="A4721" s="4"/>
      <c r="B4721" s="5"/>
      <c r="C4721" s="6"/>
    </row>
    <row r="4722" spans="1:3" x14ac:dyDescent="0.25">
      <c r="A4722" s="4"/>
      <c r="B4722" s="5"/>
      <c r="C4722" s="6"/>
    </row>
    <row r="4723" spans="1:3" x14ac:dyDescent="0.25">
      <c r="A4723" s="4"/>
      <c r="B4723" s="5"/>
      <c r="C4723" s="6"/>
    </row>
    <row r="4724" spans="1:3" x14ac:dyDescent="0.25">
      <c r="A4724" s="4"/>
      <c r="B4724" s="5"/>
      <c r="C4724" s="6"/>
    </row>
    <row r="4725" spans="1:3" x14ac:dyDescent="0.25">
      <c r="A4725" s="4"/>
      <c r="B4725" s="5"/>
      <c r="C4725" s="6"/>
    </row>
    <row r="4726" spans="1:3" x14ac:dyDescent="0.25">
      <c r="A4726" s="4"/>
      <c r="B4726" s="5"/>
      <c r="C4726" s="6"/>
    </row>
    <row r="4727" spans="1:3" x14ac:dyDescent="0.25">
      <c r="A4727" s="4"/>
      <c r="B4727" s="5"/>
      <c r="C4727" s="6"/>
    </row>
    <row r="4728" spans="1:3" x14ac:dyDescent="0.25">
      <c r="A4728" s="4"/>
      <c r="B4728" s="5"/>
      <c r="C4728" s="5"/>
    </row>
    <row r="4729" spans="1:3" x14ac:dyDescent="0.25">
      <c r="A4729" s="4"/>
      <c r="B4729" s="5"/>
      <c r="C4729" s="6"/>
    </row>
    <row r="4730" spans="1:3" x14ac:dyDescent="0.25">
      <c r="A4730" s="4"/>
      <c r="B4730" s="5"/>
      <c r="C4730" s="6"/>
    </row>
    <row r="4731" spans="1:3" x14ac:dyDescent="0.25">
      <c r="A4731" s="4"/>
      <c r="B4731" s="5"/>
      <c r="C4731" s="6"/>
    </row>
    <row r="4732" spans="1:3" x14ac:dyDescent="0.25">
      <c r="A4732" s="4"/>
      <c r="B4732" s="5"/>
      <c r="C4732" s="6"/>
    </row>
    <row r="4733" spans="1:3" x14ac:dyDescent="0.25">
      <c r="A4733" s="4"/>
      <c r="B4733" s="5"/>
      <c r="C4733" s="6"/>
    </row>
    <row r="4734" spans="1:3" x14ac:dyDescent="0.25">
      <c r="A4734" s="4"/>
      <c r="B4734" s="5"/>
      <c r="C4734" s="6"/>
    </row>
    <row r="4735" spans="1:3" x14ac:dyDescent="0.25">
      <c r="A4735" s="4"/>
      <c r="B4735" s="5"/>
      <c r="C4735" s="6"/>
    </row>
    <row r="4736" spans="1:3" x14ac:dyDescent="0.25">
      <c r="A4736" s="4"/>
      <c r="B4736" s="5"/>
      <c r="C4736" s="6"/>
    </row>
    <row r="4737" spans="1:3" x14ac:dyDescent="0.25">
      <c r="A4737" s="4"/>
      <c r="B4737" s="5"/>
      <c r="C4737" s="6"/>
    </row>
    <row r="4738" spans="1:3" x14ac:dyDescent="0.25">
      <c r="A4738" s="4"/>
      <c r="B4738" s="5"/>
      <c r="C4738" s="6"/>
    </row>
    <row r="4739" spans="1:3" x14ac:dyDescent="0.25">
      <c r="A4739" s="4"/>
      <c r="B4739" s="5"/>
      <c r="C4739" s="6"/>
    </row>
    <row r="4740" spans="1:3" x14ac:dyDescent="0.25">
      <c r="A4740" s="4"/>
      <c r="B4740" s="5"/>
      <c r="C4740" s="6"/>
    </row>
    <row r="4741" spans="1:3" x14ac:dyDescent="0.25">
      <c r="A4741" s="4"/>
      <c r="B4741" s="5"/>
      <c r="C4741" s="6"/>
    </row>
    <row r="4742" spans="1:3" x14ac:dyDescent="0.25">
      <c r="A4742" s="4"/>
      <c r="B4742" s="5"/>
      <c r="C4742" s="6"/>
    </row>
    <row r="4743" spans="1:3" x14ac:dyDescent="0.25">
      <c r="A4743" s="4"/>
      <c r="B4743" s="5"/>
      <c r="C4743" s="6"/>
    </row>
    <row r="4744" spans="1:3" x14ac:dyDescent="0.25">
      <c r="A4744" s="4"/>
      <c r="B4744" s="5"/>
      <c r="C4744" s="6"/>
    </row>
    <row r="4745" spans="1:3" x14ac:dyDescent="0.25">
      <c r="A4745" s="4"/>
      <c r="B4745" s="5"/>
      <c r="C4745" s="6"/>
    </row>
    <row r="4746" spans="1:3" x14ac:dyDescent="0.25">
      <c r="A4746" s="4"/>
      <c r="B4746" s="5"/>
      <c r="C4746" s="6"/>
    </row>
    <row r="4747" spans="1:3" x14ac:dyDescent="0.25">
      <c r="A4747" s="4"/>
      <c r="B4747" s="5"/>
      <c r="C4747" s="6"/>
    </row>
    <row r="4748" spans="1:3" x14ac:dyDescent="0.25">
      <c r="A4748" s="4"/>
      <c r="B4748" s="5"/>
      <c r="C4748" s="6"/>
    </row>
    <row r="4749" spans="1:3" x14ac:dyDescent="0.25">
      <c r="A4749" s="4"/>
      <c r="B4749" s="5"/>
      <c r="C4749" s="6"/>
    </row>
    <row r="4750" spans="1:3" x14ac:dyDescent="0.25">
      <c r="A4750" s="4"/>
      <c r="B4750" s="5"/>
      <c r="C4750" s="6"/>
    </row>
    <row r="4751" spans="1:3" x14ac:dyDescent="0.25">
      <c r="A4751" s="4"/>
      <c r="B4751" s="5"/>
      <c r="C4751" s="6"/>
    </row>
    <row r="4752" spans="1:3" x14ac:dyDescent="0.25">
      <c r="A4752" s="4"/>
      <c r="B4752" s="5"/>
      <c r="C4752" s="6"/>
    </row>
    <row r="4753" spans="1:3" x14ac:dyDescent="0.25">
      <c r="A4753" s="4"/>
      <c r="B4753" s="5"/>
      <c r="C4753" s="6"/>
    </row>
    <row r="4754" spans="1:3" x14ac:dyDescent="0.25">
      <c r="A4754" s="4"/>
      <c r="B4754" s="5"/>
      <c r="C4754" s="6"/>
    </row>
    <row r="4755" spans="1:3" x14ac:dyDescent="0.25">
      <c r="A4755" s="4"/>
      <c r="B4755" s="5"/>
      <c r="C4755" s="6"/>
    </row>
    <row r="4756" spans="1:3" x14ac:dyDescent="0.25">
      <c r="A4756" s="4"/>
      <c r="B4756" s="5"/>
      <c r="C4756" s="6"/>
    </row>
    <row r="4757" spans="1:3" x14ac:dyDescent="0.25">
      <c r="A4757" s="4"/>
      <c r="B4757" s="5"/>
      <c r="C4757" s="5"/>
    </row>
    <row r="4758" spans="1:3" x14ac:dyDescent="0.25">
      <c r="A4758" s="4"/>
      <c r="B4758" s="5"/>
      <c r="C4758" s="6"/>
    </row>
    <row r="4759" spans="1:3" x14ac:dyDescent="0.25">
      <c r="A4759" s="4"/>
      <c r="B4759" s="5"/>
      <c r="C4759" s="6"/>
    </row>
    <row r="4760" spans="1:3" x14ac:dyDescent="0.25">
      <c r="A4760" s="4"/>
      <c r="B4760" s="5"/>
      <c r="C4760" s="6"/>
    </row>
    <row r="4761" spans="1:3" x14ac:dyDescent="0.25">
      <c r="A4761" s="4"/>
      <c r="B4761" s="5"/>
      <c r="C4761" s="6"/>
    </row>
    <row r="4762" spans="1:3" x14ac:dyDescent="0.25">
      <c r="A4762" s="4"/>
      <c r="B4762" s="5"/>
      <c r="C4762" s="6"/>
    </row>
    <row r="4763" spans="1:3" x14ac:dyDescent="0.25">
      <c r="A4763" s="4"/>
      <c r="B4763" s="5"/>
      <c r="C4763" s="6"/>
    </row>
    <row r="4764" spans="1:3" x14ac:dyDescent="0.25">
      <c r="A4764" s="4"/>
      <c r="B4764" s="5"/>
      <c r="C4764" s="6"/>
    </row>
    <row r="4765" spans="1:3" x14ac:dyDescent="0.25">
      <c r="A4765" s="4"/>
      <c r="B4765" s="5"/>
      <c r="C4765" s="6"/>
    </row>
    <row r="4766" spans="1:3" x14ac:dyDescent="0.25">
      <c r="A4766" s="4"/>
      <c r="B4766" s="5"/>
      <c r="C4766" s="6"/>
    </row>
    <row r="4767" spans="1:3" x14ac:dyDescent="0.25">
      <c r="A4767" s="4"/>
      <c r="B4767" s="5"/>
      <c r="C4767" s="6"/>
    </row>
    <row r="4768" spans="1:3" x14ac:dyDescent="0.25">
      <c r="A4768" s="4"/>
      <c r="B4768" s="5"/>
      <c r="C4768" s="6"/>
    </row>
    <row r="4769" spans="1:3" x14ac:dyDescent="0.25">
      <c r="A4769" s="4"/>
      <c r="B4769" s="5"/>
      <c r="C4769" s="6"/>
    </row>
    <row r="4770" spans="1:3" x14ac:dyDescent="0.25">
      <c r="A4770" s="4"/>
      <c r="B4770" s="5"/>
      <c r="C4770" s="6"/>
    </row>
    <row r="4771" spans="1:3" x14ac:dyDescent="0.25">
      <c r="A4771" s="4"/>
      <c r="B4771" s="5"/>
      <c r="C4771" s="6"/>
    </row>
    <row r="4772" spans="1:3" x14ac:dyDescent="0.25">
      <c r="A4772" s="4"/>
      <c r="B4772" s="5"/>
      <c r="C4772" s="6"/>
    </row>
    <row r="4773" spans="1:3" x14ac:dyDescent="0.25">
      <c r="A4773" s="4"/>
      <c r="B4773" s="5"/>
      <c r="C4773" s="6"/>
    </row>
    <row r="4774" spans="1:3" x14ac:dyDescent="0.25">
      <c r="A4774" s="4"/>
      <c r="B4774" s="5"/>
      <c r="C4774" s="6"/>
    </row>
    <row r="4775" spans="1:3" x14ac:dyDescent="0.25">
      <c r="A4775" s="4"/>
      <c r="B4775" s="5"/>
      <c r="C4775" s="6"/>
    </row>
    <row r="4776" spans="1:3" x14ac:dyDescent="0.25">
      <c r="A4776" s="4"/>
      <c r="B4776" s="5"/>
      <c r="C4776" s="6"/>
    </row>
    <row r="4777" spans="1:3" x14ac:dyDescent="0.25">
      <c r="A4777" s="4"/>
      <c r="B4777" s="5"/>
      <c r="C4777" s="6"/>
    </row>
    <row r="4778" spans="1:3" x14ac:dyDescent="0.25">
      <c r="A4778" s="4"/>
      <c r="B4778" s="5"/>
      <c r="C4778" s="6"/>
    </row>
    <row r="4779" spans="1:3" x14ac:dyDescent="0.25">
      <c r="A4779" s="4"/>
      <c r="B4779" s="5"/>
      <c r="C4779" s="6"/>
    </row>
    <row r="4780" spans="1:3" x14ac:dyDescent="0.25">
      <c r="A4780" s="4"/>
      <c r="B4780" s="5"/>
      <c r="C4780" s="6"/>
    </row>
    <row r="4781" spans="1:3" x14ac:dyDescent="0.25">
      <c r="A4781" s="4"/>
      <c r="B4781" s="5"/>
      <c r="C4781" s="6"/>
    </row>
    <row r="4782" spans="1:3" x14ac:dyDescent="0.25">
      <c r="A4782" s="4"/>
      <c r="B4782" s="5"/>
      <c r="C4782" s="6"/>
    </row>
    <row r="4783" spans="1:3" x14ac:dyDescent="0.25">
      <c r="A4783" s="4"/>
      <c r="B4783" s="5"/>
      <c r="C4783" s="6"/>
    </row>
    <row r="4784" spans="1:3" x14ac:dyDescent="0.25">
      <c r="A4784" s="4"/>
      <c r="B4784" s="5"/>
      <c r="C4784" s="6"/>
    </row>
    <row r="4785" spans="1:3" x14ac:dyDescent="0.25">
      <c r="A4785" s="4"/>
      <c r="B4785" s="5"/>
      <c r="C4785" s="6"/>
    </row>
    <row r="4786" spans="1:3" x14ac:dyDescent="0.25">
      <c r="A4786" s="4"/>
      <c r="B4786" s="5"/>
      <c r="C4786" s="6"/>
    </row>
    <row r="4787" spans="1:3" x14ac:dyDescent="0.25">
      <c r="A4787" s="4"/>
      <c r="B4787" s="5"/>
      <c r="C4787" s="6"/>
    </row>
    <row r="4788" spans="1:3" x14ac:dyDescent="0.25">
      <c r="A4788" s="4"/>
      <c r="B4788" s="5"/>
      <c r="C4788" s="6"/>
    </row>
    <row r="4789" spans="1:3" x14ac:dyDescent="0.25">
      <c r="A4789" s="4"/>
      <c r="B4789" s="5"/>
      <c r="C4789" s="6"/>
    </row>
    <row r="4790" spans="1:3" x14ac:dyDescent="0.25">
      <c r="A4790" s="4"/>
      <c r="B4790" s="5"/>
      <c r="C4790" s="6"/>
    </row>
    <row r="4791" spans="1:3" x14ac:dyDescent="0.25">
      <c r="A4791" s="4"/>
      <c r="B4791" s="5"/>
      <c r="C4791" s="6"/>
    </row>
    <row r="4792" spans="1:3" x14ac:dyDescent="0.25">
      <c r="A4792" s="4"/>
      <c r="B4792" s="5"/>
      <c r="C4792" s="6"/>
    </row>
    <row r="4793" spans="1:3" x14ac:dyDescent="0.25">
      <c r="A4793" s="4"/>
      <c r="B4793" s="5"/>
      <c r="C4793" s="6"/>
    </row>
    <row r="4794" spans="1:3" x14ac:dyDescent="0.25">
      <c r="A4794" s="4"/>
      <c r="B4794" s="5"/>
      <c r="C4794" s="6"/>
    </row>
    <row r="4795" spans="1:3" x14ac:dyDescent="0.25">
      <c r="A4795" s="4"/>
      <c r="B4795" s="5"/>
      <c r="C4795" s="6"/>
    </row>
    <row r="4796" spans="1:3" x14ac:dyDescent="0.25">
      <c r="A4796" s="4"/>
      <c r="B4796" s="5"/>
      <c r="C4796" s="6"/>
    </row>
    <row r="4797" spans="1:3" x14ac:dyDescent="0.25">
      <c r="A4797" s="4"/>
      <c r="B4797" s="5"/>
      <c r="C4797" s="6"/>
    </row>
    <row r="4798" spans="1:3" x14ac:dyDescent="0.25">
      <c r="A4798" s="4"/>
      <c r="B4798" s="5"/>
      <c r="C4798" s="6"/>
    </row>
    <row r="4799" spans="1:3" x14ac:dyDescent="0.25">
      <c r="A4799" s="4"/>
      <c r="B4799" s="5"/>
      <c r="C4799" s="6"/>
    </row>
    <row r="4800" spans="1:3" x14ac:dyDescent="0.25">
      <c r="A4800" s="4"/>
      <c r="B4800" s="5"/>
      <c r="C4800" s="6"/>
    </row>
    <row r="4801" spans="1:3" x14ac:dyDescent="0.25">
      <c r="A4801" s="4"/>
      <c r="B4801" s="5"/>
      <c r="C4801" s="6"/>
    </row>
    <row r="4802" spans="1:3" x14ac:dyDescent="0.25">
      <c r="A4802" s="4"/>
      <c r="B4802" s="5"/>
      <c r="C4802" s="6"/>
    </row>
    <row r="4803" spans="1:3" x14ac:dyDescent="0.25">
      <c r="A4803" s="4"/>
      <c r="B4803" s="5"/>
      <c r="C4803" s="5"/>
    </row>
    <row r="4804" spans="1:3" x14ac:dyDescent="0.25">
      <c r="A4804" s="4"/>
      <c r="B4804" s="5"/>
      <c r="C4804" s="6"/>
    </row>
    <row r="4805" spans="1:3" x14ac:dyDescent="0.25">
      <c r="A4805" s="4"/>
      <c r="B4805" s="5"/>
      <c r="C4805" s="6"/>
    </row>
    <row r="4806" spans="1:3" x14ac:dyDescent="0.25">
      <c r="A4806" s="4"/>
      <c r="B4806" s="5"/>
      <c r="C4806" s="6"/>
    </row>
    <row r="4807" spans="1:3" x14ac:dyDescent="0.25">
      <c r="A4807" s="4"/>
      <c r="B4807" s="5"/>
      <c r="C4807" s="6"/>
    </row>
    <row r="4808" spans="1:3" x14ac:dyDescent="0.25">
      <c r="A4808" s="4"/>
      <c r="B4808" s="5"/>
      <c r="C4808" s="6"/>
    </row>
    <row r="4809" spans="1:3" x14ac:dyDescent="0.25">
      <c r="A4809" s="4"/>
      <c r="B4809" s="5"/>
      <c r="C4809" s="6"/>
    </row>
    <row r="4810" spans="1:3" x14ac:dyDescent="0.25">
      <c r="A4810" s="4"/>
      <c r="B4810" s="5"/>
      <c r="C4810" s="6"/>
    </row>
    <row r="4811" spans="1:3" x14ac:dyDescent="0.25">
      <c r="A4811" s="4"/>
      <c r="B4811" s="5"/>
      <c r="C4811" s="6"/>
    </row>
    <row r="4812" spans="1:3" x14ac:dyDescent="0.25">
      <c r="A4812" s="4"/>
      <c r="B4812" s="5"/>
      <c r="C4812" s="6"/>
    </row>
    <row r="4813" spans="1:3" x14ac:dyDescent="0.25">
      <c r="A4813" s="4"/>
      <c r="B4813" s="5"/>
      <c r="C4813" s="6"/>
    </row>
    <row r="4814" spans="1:3" x14ac:dyDescent="0.25">
      <c r="A4814" s="4"/>
      <c r="B4814" s="5"/>
      <c r="C4814" s="6"/>
    </row>
    <row r="4815" spans="1:3" x14ac:dyDescent="0.25">
      <c r="A4815" s="4"/>
      <c r="B4815" s="5"/>
      <c r="C4815" s="6"/>
    </row>
    <row r="4816" spans="1:3" x14ac:dyDescent="0.25">
      <c r="A4816" s="4"/>
      <c r="B4816" s="5"/>
      <c r="C4816" s="6"/>
    </row>
    <row r="4817" spans="1:3" x14ac:dyDescent="0.25">
      <c r="A4817" s="4"/>
      <c r="B4817" s="5"/>
      <c r="C4817" s="6"/>
    </row>
    <row r="4818" spans="1:3" x14ac:dyDescent="0.25">
      <c r="A4818" s="4"/>
      <c r="B4818" s="5"/>
      <c r="C4818" s="6"/>
    </row>
    <row r="4819" spans="1:3" x14ac:dyDescent="0.25">
      <c r="A4819" s="4"/>
      <c r="B4819" s="5"/>
      <c r="C4819" s="6"/>
    </row>
    <row r="4820" spans="1:3" x14ac:dyDescent="0.25">
      <c r="A4820" s="4"/>
      <c r="B4820" s="5"/>
      <c r="C4820" s="6"/>
    </row>
    <row r="4821" spans="1:3" x14ac:dyDescent="0.25">
      <c r="A4821" s="4"/>
      <c r="B4821" s="5"/>
      <c r="C4821" s="6"/>
    </row>
    <row r="4822" spans="1:3" x14ac:dyDescent="0.25">
      <c r="A4822" s="4"/>
      <c r="B4822" s="5"/>
      <c r="C4822" s="6"/>
    </row>
    <row r="4823" spans="1:3" x14ac:dyDescent="0.25">
      <c r="A4823" s="4"/>
      <c r="B4823" s="5"/>
      <c r="C4823" s="6"/>
    </row>
    <row r="4824" spans="1:3" x14ac:dyDescent="0.25">
      <c r="A4824" s="4"/>
      <c r="B4824" s="5"/>
      <c r="C4824" s="6"/>
    </row>
    <row r="4825" spans="1:3" x14ac:dyDescent="0.25">
      <c r="A4825" s="4"/>
      <c r="B4825" s="5"/>
      <c r="C4825" s="6"/>
    </row>
    <row r="4826" spans="1:3" x14ac:dyDescent="0.25">
      <c r="A4826" s="4"/>
      <c r="B4826" s="5"/>
      <c r="C4826" s="6"/>
    </row>
    <row r="4827" spans="1:3" x14ac:dyDescent="0.25">
      <c r="A4827" s="4"/>
      <c r="B4827" s="5"/>
      <c r="C4827" s="6"/>
    </row>
    <row r="4828" spans="1:3" x14ac:dyDescent="0.25">
      <c r="A4828" s="4"/>
      <c r="B4828" s="5"/>
      <c r="C4828" s="6"/>
    </row>
    <row r="4829" spans="1:3" x14ac:dyDescent="0.25">
      <c r="A4829" s="4"/>
      <c r="B4829" s="5"/>
      <c r="C4829" s="6"/>
    </row>
    <row r="4830" spans="1:3" x14ac:dyDescent="0.25">
      <c r="A4830" s="4"/>
      <c r="B4830" s="5"/>
      <c r="C4830" s="6"/>
    </row>
    <row r="4831" spans="1:3" x14ac:dyDescent="0.25">
      <c r="A4831" s="4"/>
      <c r="B4831" s="5"/>
      <c r="C4831" s="6"/>
    </row>
    <row r="4832" spans="1:3" x14ac:dyDescent="0.25">
      <c r="A4832" s="4"/>
      <c r="B4832" s="5"/>
      <c r="C4832" s="6"/>
    </row>
    <row r="4833" spans="1:3" x14ac:dyDescent="0.25">
      <c r="A4833" s="4"/>
      <c r="B4833" s="5"/>
      <c r="C4833" s="6"/>
    </row>
    <row r="4834" spans="1:3" x14ac:dyDescent="0.25">
      <c r="A4834" s="4"/>
      <c r="B4834" s="5"/>
      <c r="C4834" s="6"/>
    </row>
    <row r="4835" spans="1:3" x14ac:dyDescent="0.25">
      <c r="A4835" s="4"/>
      <c r="B4835" s="5"/>
      <c r="C4835" s="6"/>
    </row>
    <row r="4836" spans="1:3" x14ac:dyDescent="0.25">
      <c r="A4836" s="4"/>
      <c r="B4836" s="5"/>
      <c r="C4836" s="6"/>
    </row>
    <row r="4837" spans="1:3" x14ac:dyDescent="0.25">
      <c r="A4837" s="4"/>
      <c r="B4837" s="5"/>
      <c r="C4837" s="6"/>
    </row>
    <row r="4838" spans="1:3" x14ac:dyDescent="0.25">
      <c r="A4838" s="4"/>
      <c r="B4838" s="5"/>
      <c r="C4838" s="6"/>
    </row>
    <row r="4839" spans="1:3" x14ac:dyDescent="0.25">
      <c r="A4839" s="4"/>
      <c r="B4839" s="5"/>
      <c r="C4839" s="6"/>
    </row>
    <row r="4840" spans="1:3" x14ac:dyDescent="0.25">
      <c r="A4840" s="4"/>
      <c r="B4840" s="5"/>
      <c r="C4840" s="6"/>
    </row>
    <row r="4841" spans="1:3" x14ac:dyDescent="0.25">
      <c r="A4841" s="4"/>
      <c r="B4841" s="5"/>
      <c r="C4841" s="6"/>
    </row>
    <row r="4842" spans="1:3" x14ac:dyDescent="0.25">
      <c r="A4842" s="4"/>
      <c r="B4842" s="5"/>
      <c r="C4842" s="6"/>
    </row>
    <row r="4843" spans="1:3" x14ac:dyDescent="0.25">
      <c r="A4843" s="4"/>
      <c r="B4843" s="5"/>
      <c r="C4843" s="6"/>
    </row>
    <row r="4844" spans="1:3" x14ac:dyDescent="0.25">
      <c r="A4844" s="4"/>
      <c r="B4844" s="5"/>
      <c r="C4844" s="6"/>
    </row>
    <row r="4845" spans="1:3" x14ac:dyDescent="0.25">
      <c r="A4845" s="4"/>
      <c r="B4845" s="5"/>
      <c r="C4845" s="6"/>
    </row>
    <row r="4846" spans="1:3" x14ac:dyDescent="0.25">
      <c r="A4846" s="4"/>
      <c r="B4846" s="5"/>
      <c r="C4846" s="6"/>
    </row>
    <row r="4847" spans="1:3" x14ac:dyDescent="0.25">
      <c r="A4847" s="4"/>
      <c r="B4847" s="5"/>
      <c r="C4847" s="6"/>
    </row>
    <row r="4848" spans="1:3" x14ac:dyDescent="0.25">
      <c r="A4848" s="4"/>
      <c r="B4848" s="5"/>
      <c r="C4848" s="6"/>
    </row>
    <row r="4849" spans="1:3" x14ac:dyDescent="0.25">
      <c r="A4849" s="4"/>
      <c r="B4849" s="5"/>
      <c r="C4849" s="6"/>
    </row>
    <row r="4850" spans="1:3" x14ac:dyDescent="0.25">
      <c r="A4850" s="4"/>
      <c r="B4850" s="5"/>
      <c r="C4850" s="6"/>
    </row>
    <row r="4851" spans="1:3" x14ac:dyDescent="0.25">
      <c r="A4851" s="4"/>
      <c r="B4851" s="5"/>
      <c r="C4851" s="6"/>
    </row>
    <row r="4852" spans="1:3" x14ac:dyDescent="0.25">
      <c r="A4852" s="4"/>
      <c r="B4852" s="5"/>
      <c r="C4852" s="6"/>
    </row>
    <row r="4853" spans="1:3" x14ac:dyDescent="0.25">
      <c r="A4853" s="4"/>
      <c r="B4853" s="5"/>
      <c r="C4853" s="6"/>
    </row>
    <row r="4854" spans="1:3" x14ac:dyDescent="0.25">
      <c r="A4854" s="4"/>
      <c r="B4854" s="5"/>
      <c r="C4854" s="6"/>
    </row>
    <row r="4855" spans="1:3" x14ac:dyDescent="0.25">
      <c r="A4855" s="4"/>
      <c r="B4855" s="5"/>
      <c r="C4855" s="6"/>
    </row>
    <row r="4856" spans="1:3" x14ac:dyDescent="0.25">
      <c r="A4856" s="4"/>
      <c r="B4856" s="5"/>
      <c r="C4856" s="6"/>
    </row>
    <row r="4857" spans="1:3" x14ac:dyDescent="0.25">
      <c r="A4857" s="4"/>
      <c r="B4857" s="5"/>
      <c r="C4857" s="6"/>
    </row>
    <row r="4858" spans="1:3" x14ac:dyDescent="0.25">
      <c r="A4858" s="4"/>
      <c r="B4858" s="5"/>
      <c r="C4858" s="6"/>
    </row>
    <row r="4859" spans="1:3" x14ac:dyDescent="0.25">
      <c r="A4859" s="4"/>
      <c r="B4859" s="5"/>
      <c r="C4859" s="6"/>
    </row>
    <row r="4860" spans="1:3" x14ac:dyDescent="0.25">
      <c r="A4860" s="4"/>
      <c r="B4860" s="5"/>
      <c r="C4860" s="6"/>
    </row>
    <row r="4861" spans="1:3" x14ac:dyDescent="0.25">
      <c r="A4861" s="4"/>
      <c r="B4861" s="5"/>
      <c r="C4861" s="6"/>
    </row>
    <row r="4862" spans="1:3" x14ac:dyDescent="0.25">
      <c r="A4862" s="4"/>
      <c r="B4862" s="5"/>
      <c r="C4862" s="6"/>
    </row>
    <row r="4863" spans="1:3" x14ac:dyDescent="0.25">
      <c r="A4863" s="4"/>
      <c r="B4863" s="5"/>
      <c r="C4863" s="6"/>
    </row>
    <row r="4864" spans="1:3" x14ac:dyDescent="0.25">
      <c r="A4864" s="4"/>
      <c r="B4864" s="5"/>
      <c r="C4864" s="6"/>
    </row>
    <row r="4865" spans="1:3" x14ac:dyDescent="0.25">
      <c r="A4865" s="4"/>
      <c r="B4865" s="5"/>
      <c r="C4865" s="6"/>
    </row>
    <row r="4866" spans="1:3" x14ac:dyDescent="0.25">
      <c r="A4866" s="4"/>
      <c r="B4866" s="5"/>
      <c r="C4866" s="6"/>
    </row>
    <row r="4867" spans="1:3" x14ac:dyDescent="0.25">
      <c r="A4867" s="4"/>
      <c r="B4867" s="5"/>
      <c r="C4867" s="6"/>
    </row>
    <row r="4868" spans="1:3" x14ac:dyDescent="0.25">
      <c r="A4868" s="4"/>
      <c r="B4868" s="5"/>
      <c r="C4868" s="6"/>
    </row>
    <row r="4869" spans="1:3" x14ac:dyDescent="0.25">
      <c r="A4869" s="4"/>
      <c r="B4869" s="5"/>
      <c r="C4869" s="6"/>
    </row>
    <row r="4870" spans="1:3" x14ac:dyDescent="0.25">
      <c r="A4870" s="4"/>
      <c r="B4870" s="5"/>
      <c r="C4870" s="6"/>
    </row>
    <row r="4871" spans="1:3" x14ac:dyDescent="0.25">
      <c r="A4871" s="4"/>
      <c r="B4871" s="5"/>
      <c r="C4871" s="6"/>
    </row>
    <row r="4872" spans="1:3" x14ac:dyDescent="0.25">
      <c r="A4872" s="4"/>
      <c r="B4872" s="5"/>
      <c r="C4872" s="6"/>
    </row>
    <row r="4873" spans="1:3" x14ac:dyDescent="0.25">
      <c r="A4873" s="4"/>
      <c r="B4873" s="5"/>
      <c r="C4873" s="6"/>
    </row>
    <row r="4874" spans="1:3" x14ac:dyDescent="0.25">
      <c r="A4874" s="4"/>
      <c r="B4874" s="5"/>
      <c r="C4874" s="6"/>
    </row>
    <row r="4875" spans="1:3" x14ac:dyDescent="0.25">
      <c r="A4875" s="4"/>
      <c r="B4875" s="5"/>
      <c r="C4875" s="6"/>
    </row>
    <row r="4876" spans="1:3" x14ac:dyDescent="0.25">
      <c r="A4876" s="4"/>
      <c r="B4876" s="5"/>
      <c r="C4876" s="6"/>
    </row>
    <row r="4877" spans="1:3" x14ac:dyDescent="0.25">
      <c r="A4877" s="4"/>
      <c r="B4877" s="5"/>
      <c r="C4877" s="6"/>
    </row>
    <row r="4878" spans="1:3" x14ac:dyDescent="0.25">
      <c r="A4878" s="4"/>
      <c r="B4878" s="5"/>
      <c r="C4878" s="6"/>
    </row>
    <row r="4879" spans="1:3" x14ac:dyDescent="0.25">
      <c r="A4879" s="4"/>
      <c r="B4879" s="5"/>
      <c r="C4879" s="6"/>
    </row>
    <row r="4880" spans="1:3" x14ac:dyDescent="0.25">
      <c r="A4880" s="4"/>
      <c r="B4880" s="5"/>
      <c r="C4880" s="6"/>
    </row>
    <row r="4881" spans="1:3" x14ac:dyDescent="0.25">
      <c r="A4881" s="4"/>
      <c r="B4881" s="5"/>
      <c r="C4881" s="6"/>
    </row>
    <row r="4882" spans="1:3" x14ac:dyDescent="0.25">
      <c r="A4882" s="4"/>
      <c r="B4882" s="5"/>
      <c r="C4882" s="6"/>
    </row>
    <row r="4883" spans="1:3" x14ac:dyDescent="0.25">
      <c r="A4883" s="4"/>
      <c r="B4883" s="5"/>
      <c r="C4883" s="6"/>
    </row>
    <row r="4884" spans="1:3" x14ac:dyDescent="0.25">
      <c r="A4884" s="4"/>
      <c r="B4884" s="5"/>
      <c r="C4884" s="6"/>
    </row>
    <row r="4885" spans="1:3" x14ac:dyDescent="0.25">
      <c r="A4885" s="4"/>
      <c r="B4885" s="5"/>
      <c r="C4885" s="6"/>
    </row>
    <row r="4886" spans="1:3" x14ac:dyDescent="0.25">
      <c r="A4886" s="4"/>
      <c r="B4886" s="5"/>
      <c r="C4886" s="6"/>
    </row>
    <row r="4887" spans="1:3" x14ac:dyDescent="0.25">
      <c r="A4887" s="4"/>
      <c r="B4887" s="5"/>
      <c r="C4887" s="6"/>
    </row>
    <row r="4888" spans="1:3" x14ac:dyDescent="0.25">
      <c r="A4888" s="4"/>
      <c r="B4888" s="5"/>
      <c r="C4888" s="6"/>
    </row>
    <row r="4889" spans="1:3" x14ac:dyDescent="0.25">
      <c r="A4889" s="4"/>
      <c r="B4889" s="5"/>
      <c r="C4889" s="6"/>
    </row>
    <row r="4890" spans="1:3" x14ac:dyDescent="0.25">
      <c r="A4890" s="4"/>
      <c r="B4890" s="5"/>
      <c r="C4890" s="6"/>
    </row>
    <row r="4891" spans="1:3" x14ac:dyDescent="0.25">
      <c r="A4891" s="4"/>
      <c r="B4891" s="5"/>
      <c r="C4891" s="6"/>
    </row>
    <row r="4892" spans="1:3" x14ac:dyDescent="0.25">
      <c r="A4892" s="4"/>
      <c r="B4892" s="5"/>
      <c r="C4892" s="6"/>
    </row>
    <row r="4893" spans="1:3" x14ac:dyDescent="0.25">
      <c r="A4893" s="4"/>
      <c r="B4893" s="5"/>
      <c r="C4893" s="6"/>
    </row>
    <row r="4894" spans="1:3" x14ac:dyDescent="0.25">
      <c r="A4894" s="4"/>
      <c r="B4894" s="5"/>
      <c r="C4894" s="6"/>
    </row>
    <row r="4895" spans="1:3" x14ac:dyDescent="0.25">
      <c r="A4895" s="4"/>
      <c r="B4895" s="5"/>
      <c r="C4895" s="6"/>
    </row>
    <row r="4896" spans="1:3" x14ac:dyDescent="0.25">
      <c r="A4896" s="4"/>
      <c r="B4896" s="5"/>
      <c r="C4896" s="6"/>
    </row>
    <row r="4897" spans="1:3" x14ac:dyDescent="0.25">
      <c r="A4897" s="4"/>
      <c r="B4897" s="5"/>
      <c r="C4897" s="6"/>
    </row>
    <row r="4898" spans="1:3" x14ac:dyDescent="0.25">
      <c r="A4898" s="4"/>
      <c r="B4898" s="5"/>
      <c r="C4898" s="6"/>
    </row>
    <row r="4899" spans="1:3" x14ac:dyDescent="0.25">
      <c r="A4899" s="4"/>
      <c r="B4899" s="5"/>
      <c r="C4899" s="6"/>
    </row>
    <row r="4900" spans="1:3" x14ac:dyDescent="0.25">
      <c r="A4900" s="4"/>
      <c r="B4900" s="5"/>
      <c r="C4900" s="6"/>
    </row>
    <row r="4901" spans="1:3" x14ac:dyDescent="0.25">
      <c r="A4901" s="4"/>
      <c r="B4901" s="5"/>
      <c r="C4901" s="6"/>
    </row>
    <row r="4902" spans="1:3" x14ac:dyDescent="0.25">
      <c r="A4902" s="4"/>
      <c r="B4902" s="5"/>
      <c r="C4902" s="6"/>
    </row>
    <row r="4903" spans="1:3" x14ac:dyDescent="0.25">
      <c r="A4903" s="4"/>
      <c r="B4903" s="5"/>
      <c r="C4903" s="6"/>
    </row>
    <row r="4904" spans="1:3" x14ac:dyDescent="0.25">
      <c r="A4904" s="4"/>
      <c r="B4904" s="5"/>
      <c r="C4904" s="6"/>
    </row>
    <row r="4905" spans="1:3" x14ac:dyDescent="0.25">
      <c r="A4905" s="4"/>
      <c r="B4905" s="5"/>
      <c r="C4905" s="6"/>
    </row>
    <row r="4906" spans="1:3" x14ac:dyDescent="0.25">
      <c r="A4906" s="4"/>
      <c r="B4906" s="5"/>
      <c r="C4906" s="6"/>
    </row>
    <row r="4907" spans="1:3" x14ac:dyDescent="0.25">
      <c r="A4907" s="4"/>
      <c r="B4907" s="5"/>
      <c r="C4907" s="6"/>
    </row>
    <row r="4908" spans="1:3" x14ac:dyDescent="0.25">
      <c r="A4908" s="4"/>
      <c r="B4908" s="5"/>
      <c r="C4908" s="6"/>
    </row>
    <row r="4909" spans="1:3" x14ac:dyDescent="0.25">
      <c r="A4909" s="4"/>
      <c r="B4909" s="5"/>
      <c r="C4909" s="6"/>
    </row>
    <row r="4910" spans="1:3" x14ac:dyDescent="0.25">
      <c r="A4910" s="4"/>
      <c r="B4910" s="5"/>
      <c r="C4910" s="6"/>
    </row>
    <row r="4911" spans="1:3" x14ac:dyDescent="0.25">
      <c r="A4911" s="4"/>
      <c r="B4911" s="5"/>
      <c r="C4911" s="6"/>
    </row>
    <row r="4912" spans="1:3" x14ac:dyDescent="0.25">
      <c r="A4912" s="4"/>
      <c r="B4912" s="5"/>
      <c r="C4912" s="6"/>
    </row>
    <row r="4913" spans="1:3" x14ac:dyDescent="0.25">
      <c r="A4913" s="4"/>
      <c r="B4913" s="5"/>
      <c r="C4913" s="6"/>
    </row>
    <row r="4914" spans="1:3" x14ac:dyDescent="0.25">
      <c r="A4914" s="4"/>
      <c r="B4914" s="5"/>
      <c r="C4914" s="6"/>
    </row>
    <row r="4915" spans="1:3" x14ac:dyDescent="0.25">
      <c r="A4915" s="4"/>
      <c r="B4915" s="5"/>
      <c r="C4915" s="6"/>
    </row>
    <row r="4916" spans="1:3" x14ac:dyDescent="0.25">
      <c r="A4916" s="4"/>
      <c r="B4916" s="5"/>
      <c r="C4916" s="6"/>
    </row>
    <row r="4917" spans="1:3" x14ac:dyDescent="0.25">
      <c r="A4917" s="4"/>
      <c r="B4917" s="5"/>
      <c r="C4917" s="6"/>
    </row>
    <row r="4918" spans="1:3" x14ac:dyDescent="0.25">
      <c r="A4918" s="4"/>
      <c r="B4918" s="5"/>
      <c r="C4918" s="6"/>
    </row>
    <row r="4919" spans="1:3" x14ac:dyDescent="0.25">
      <c r="A4919" s="4"/>
      <c r="B4919" s="5"/>
      <c r="C4919" s="6"/>
    </row>
    <row r="4920" spans="1:3" x14ac:dyDescent="0.25">
      <c r="A4920" s="4"/>
      <c r="B4920" s="5"/>
      <c r="C4920" s="6"/>
    </row>
    <row r="4921" spans="1:3" x14ac:dyDescent="0.25">
      <c r="A4921" s="4"/>
      <c r="B4921" s="5"/>
      <c r="C4921" s="6"/>
    </row>
    <row r="4922" spans="1:3" x14ac:dyDescent="0.25">
      <c r="A4922" s="4"/>
      <c r="B4922" s="5"/>
      <c r="C4922" s="6"/>
    </row>
    <row r="4923" spans="1:3" x14ac:dyDescent="0.25">
      <c r="A4923" s="4"/>
      <c r="B4923" s="5"/>
      <c r="C4923" s="6"/>
    </row>
    <row r="4924" spans="1:3" x14ac:dyDescent="0.25">
      <c r="A4924" s="4"/>
      <c r="B4924" s="5"/>
      <c r="C4924" s="6"/>
    </row>
    <row r="4925" spans="1:3" x14ac:dyDescent="0.25">
      <c r="A4925" s="4"/>
      <c r="B4925" s="5"/>
      <c r="C4925" s="6"/>
    </row>
    <row r="4926" spans="1:3" x14ac:dyDescent="0.25">
      <c r="A4926" s="4"/>
      <c r="B4926" s="5"/>
      <c r="C4926" s="6"/>
    </row>
    <row r="4927" spans="1:3" x14ac:dyDescent="0.25">
      <c r="A4927" s="4"/>
      <c r="B4927" s="5"/>
      <c r="C4927" s="6"/>
    </row>
    <row r="4928" spans="1:3" x14ac:dyDescent="0.25">
      <c r="A4928" s="4"/>
      <c r="B4928" s="5"/>
      <c r="C4928" s="6"/>
    </row>
    <row r="4929" spans="1:3" x14ac:dyDescent="0.25">
      <c r="A4929" s="4"/>
      <c r="B4929" s="5"/>
      <c r="C4929" s="6"/>
    </row>
    <row r="4930" spans="1:3" x14ac:dyDescent="0.25">
      <c r="A4930" s="4"/>
      <c r="B4930" s="5"/>
      <c r="C4930" s="6"/>
    </row>
    <row r="4931" spans="1:3" x14ac:dyDescent="0.25">
      <c r="A4931" s="4"/>
      <c r="B4931" s="5"/>
      <c r="C4931" s="6"/>
    </row>
    <row r="4932" spans="1:3" x14ac:dyDescent="0.25">
      <c r="A4932" s="4"/>
      <c r="B4932" s="5"/>
      <c r="C4932" s="6"/>
    </row>
    <row r="4933" spans="1:3" x14ac:dyDescent="0.25">
      <c r="A4933" s="4"/>
      <c r="B4933" s="5"/>
      <c r="C4933" s="6"/>
    </row>
    <row r="4934" spans="1:3" x14ac:dyDescent="0.25">
      <c r="A4934" s="4"/>
      <c r="B4934" s="5"/>
      <c r="C4934" s="6"/>
    </row>
    <row r="4935" spans="1:3" x14ac:dyDescent="0.25">
      <c r="A4935" s="4"/>
      <c r="B4935" s="5"/>
      <c r="C4935" s="6"/>
    </row>
    <row r="4936" spans="1:3" x14ac:dyDescent="0.25">
      <c r="A4936" s="4"/>
      <c r="B4936" s="5"/>
      <c r="C4936" s="6"/>
    </row>
    <row r="4937" spans="1:3" x14ac:dyDescent="0.25">
      <c r="A4937" s="4"/>
      <c r="B4937" s="5"/>
      <c r="C4937" s="6"/>
    </row>
    <row r="4938" spans="1:3" x14ac:dyDescent="0.25">
      <c r="A4938" s="4"/>
      <c r="B4938" s="5"/>
      <c r="C4938" s="6"/>
    </row>
    <row r="4939" spans="1:3" x14ac:dyDescent="0.25">
      <c r="A4939" s="4"/>
      <c r="B4939" s="5"/>
      <c r="C4939" s="6"/>
    </row>
    <row r="4940" spans="1:3" x14ac:dyDescent="0.25">
      <c r="A4940" s="4"/>
      <c r="B4940" s="5"/>
      <c r="C4940" s="6"/>
    </row>
    <row r="4941" spans="1:3" x14ac:dyDescent="0.25">
      <c r="A4941" s="4"/>
      <c r="B4941" s="5"/>
      <c r="C4941" s="6"/>
    </row>
    <row r="4942" spans="1:3" x14ac:dyDescent="0.25">
      <c r="A4942" s="4"/>
      <c r="B4942" s="5"/>
      <c r="C4942" s="6"/>
    </row>
    <row r="4943" spans="1:3" x14ac:dyDescent="0.25">
      <c r="A4943" s="4"/>
      <c r="B4943" s="5"/>
      <c r="C4943" s="6"/>
    </row>
    <row r="4944" spans="1:3" x14ac:dyDescent="0.25">
      <c r="A4944" s="4"/>
      <c r="B4944" s="5"/>
      <c r="C4944" s="6"/>
    </row>
    <row r="4945" spans="1:3" x14ac:dyDescent="0.25">
      <c r="A4945" s="4"/>
      <c r="B4945" s="5"/>
      <c r="C4945" s="6"/>
    </row>
    <row r="4946" spans="1:3" x14ac:dyDescent="0.25">
      <c r="A4946" s="4"/>
      <c r="B4946" s="5"/>
      <c r="C4946" s="6"/>
    </row>
    <row r="4947" spans="1:3" x14ac:dyDescent="0.25">
      <c r="A4947" s="4"/>
      <c r="B4947" s="5"/>
      <c r="C4947" s="6"/>
    </row>
    <row r="4948" spans="1:3" x14ac:dyDescent="0.25">
      <c r="A4948" s="4"/>
      <c r="B4948" s="5"/>
      <c r="C4948" s="6"/>
    </row>
    <row r="4949" spans="1:3" x14ac:dyDescent="0.25">
      <c r="A4949" s="4"/>
      <c r="B4949" s="5"/>
      <c r="C4949" s="6"/>
    </row>
    <row r="4950" spans="1:3" x14ac:dyDescent="0.25">
      <c r="A4950" s="4"/>
      <c r="B4950" s="5"/>
      <c r="C4950" s="6"/>
    </row>
    <row r="4951" spans="1:3" x14ac:dyDescent="0.25">
      <c r="A4951" s="4"/>
      <c r="B4951" s="5"/>
      <c r="C4951" s="6"/>
    </row>
    <row r="4952" spans="1:3" x14ac:dyDescent="0.25">
      <c r="A4952" s="4"/>
      <c r="B4952" s="5"/>
      <c r="C4952" s="6"/>
    </row>
    <row r="4953" spans="1:3" x14ac:dyDescent="0.25">
      <c r="A4953" s="4"/>
      <c r="B4953" s="5"/>
      <c r="C4953" s="5"/>
    </row>
    <row r="4954" spans="1:3" x14ac:dyDescent="0.25">
      <c r="A4954" s="4"/>
      <c r="B4954" s="5"/>
      <c r="C4954" s="5"/>
    </row>
    <row r="4955" spans="1:3" x14ac:dyDescent="0.25">
      <c r="A4955" s="4"/>
      <c r="B4955" s="5"/>
      <c r="C4955" s="6"/>
    </row>
    <row r="4956" spans="1:3" x14ac:dyDescent="0.25">
      <c r="A4956" s="4"/>
      <c r="B4956" s="5"/>
      <c r="C4956" s="6"/>
    </row>
    <row r="4957" spans="1:3" x14ac:dyDescent="0.25">
      <c r="A4957" s="4"/>
      <c r="B4957" s="5"/>
      <c r="C4957" s="6"/>
    </row>
    <row r="4958" spans="1:3" x14ac:dyDescent="0.25">
      <c r="A4958" s="4"/>
      <c r="B4958" s="5"/>
      <c r="C4958" s="5"/>
    </row>
    <row r="4959" spans="1:3" x14ac:dyDescent="0.25">
      <c r="A4959" s="4"/>
      <c r="B4959" s="5"/>
      <c r="C4959" s="6"/>
    </row>
    <row r="4960" spans="1:3" x14ac:dyDescent="0.25">
      <c r="A4960" s="4"/>
      <c r="B4960" s="5"/>
      <c r="C4960" s="6"/>
    </row>
    <row r="4961" spans="1:3" x14ac:dyDescent="0.25">
      <c r="A4961" s="4"/>
      <c r="B4961" s="5"/>
      <c r="C4961" s="6"/>
    </row>
    <row r="4962" spans="1:3" x14ac:dyDescent="0.25">
      <c r="A4962" s="4"/>
      <c r="B4962" s="5"/>
      <c r="C4962" s="6"/>
    </row>
    <row r="4963" spans="1:3" x14ac:dyDescent="0.25">
      <c r="A4963" s="4"/>
      <c r="B4963" s="5"/>
      <c r="C4963" s="6"/>
    </row>
    <row r="4964" spans="1:3" x14ac:dyDescent="0.25">
      <c r="A4964" s="4"/>
      <c r="B4964" s="5"/>
      <c r="C4964" s="6"/>
    </row>
    <row r="4965" spans="1:3" x14ac:dyDescent="0.25">
      <c r="A4965" s="4"/>
      <c r="B4965" s="5"/>
      <c r="C4965" s="6"/>
    </row>
    <row r="4966" spans="1:3" x14ac:dyDescent="0.25">
      <c r="A4966" s="4"/>
      <c r="B4966" s="5"/>
      <c r="C4966" s="6"/>
    </row>
    <row r="4967" spans="1:3" x14ac:dyDescent="0.25">
      <c r="A4967" s="4"/>
      <c r="B4967" s="5"/>
      <c r="C4967" s="6"/>
    </row>
    <row r="4968" spans="1:3" x14ac:dyDescent="0.25">
      <c r="A4968" s="4"/>
      <c r="B4968" s="5"/>
      <c r="C4968" s="6"/>
    </row>
    <row r="4969" spans="1:3" x14ac:dyDescent="0.25">
      <c r="A4969" s="4"/>
      <c r="B4969" s="5"/>
      <c r="C4969" s="6"/>
    </row>
    <row r="4970" spans="1:3" x14ac:dyDescent="0.25">
      <c r="A4970" s="4"/>
      <c r="B4970" s="5"/>
      <c r="C4970" s="6"/>
    </row>
    <row r="4971" spans="1:3" x14ac:dyDescent="0.25">
      <c r="A4971" s="4"/>
      <c r="B4971" s="5"/>
      <c r="C4971" s="6"/>
    </row>
    <row r="4972" spans="1:3" x14ac:dyDescent="0.25">
      <c r="A4972" s="4"/>
      <c r="B4972" s="5"/>
      <c r="C4972" s="6"/>
    </row>
    <row r="4973" spans="1:3" x14ac:dyDescent="0.25">
      <c r="A4973" s="4"/>
      <c r="B4973" s="5"/>
      <c r="C4973" s="6"/>
    </row>
    <row r="4974" spans="1:3" x14ac:dyDescent="0.25">
      <c r="A4974" s="4"/>
      <c r="B4974" s="5"/>
      <c r="C4974" s="6"/>
    </row>
    <row r="4975" spans="1:3" x14ac:dyDescent="0.25">
      <c r="A4975" s="4"/>
      <c r="B4975" s="5"/>
      <c r="C4975" s="6"/>
    </row>
    <row r="4976" spans="1:3" x14ac:dyDescent="0.25">
      <c r="A4976" s="4"/>
      <c r="B4976" s="5"/>
      <c r="C4976" s="6"/>
    </row>
    <row r="4977" spans="1:3" x14ac:dyDescent="0.25">
      <c r="A4977" s="4"/>
      <c r="B4977" s="5"/>
      <c r="C4977" s="6"/>
    </row>
    <row r="4978" spans="1:3" x14ac:dyDescent="0.25">
      <c r="A4978" s="4"/>
      <c r="B4978" s="5"/>
      <c r="C4978" s="6"/>
    </row>
    <row r="4979" spans="1:3" x14ac:dyDescent="0.25">
      <c r="A4979" s="4"/>
      <c r="B4979" s="5"/>
      <c r="C4979" s="6"/>
    </row>
    <row r="4980" spans="1:3" x14ac:dyDescent="0.25">
      <c r="A4980" s="4"/>
      <c r="B4980" s="5"/>
      <c r="C4980" s="6"/>
    </row>
    <row r="4981" spans="1:3" x14ac:dyDescent="0.25">
      <c r="A4981" s="4"/>
      <c r="B4981" s="5"/>
      <c r="C4981" s="6"/>
    </row>
    <row r="4982" spans="1:3" x14ac:dyDescent="0.25">
      <c r="A4982" s="4"/>
      <c r="B4982" s="5"/>
      <c r="C4982" s="6"/>
    </row>
    <row r="4983" spans="1:3" x14ac:dyDescent="0.25">
      <c r="A4983" s="4"/>
      <c r="B4983" s="5"/>
      <c r="C4983" s="6"/>
    </row>
    <row r="4984" spans="1:3" x14ac:dyDescent="0.25">
      <c r="A4984" s="4"/>
      <c r="B4984" s="5"/>
      <c r="C4984" s="6"/>
    </row>
    <row r="4985" spans="1:3" x14ac:dyDescent="0.25">
      <c r="A4985" s="4"/>
      <c r="B4985" s="5"/>
      <c r="C4985" s="6"/>
    </row>
    <row r="4986" spans="1:3" x14ac:dyDescent="0.25">
      <c r="A4986" s="4"/>
      <c r="B4986" s="5"/>
      <c r="C4986" s="6"/>
    </row>
    <row r="4987" spans="1:3" x14ac:dyDescent="0.25">
      <c r="A4987" s="4"/>
      <c r="B4987" s="5"/>
      <c r="C4987" s="6"/>
    </row>
    <row r="4988" spans="1:3" x14ac:dyDescent="0.25">
      <c r="A4988" s="4"/>
      <c r="B4988" s="5"/>
      <c r="C4988" s="6"/>
    </row>
    <row r="4989" spans="1:3" x14ac:dyDescent="0.25">
      <c r="A4989" s="4"/>
      <c r="B4989" s="5"/>
      <c r="C4989" s="6"/>
    </row>
    <row r="4990" spans="1:3" x14ac:dyDescent="0.25">
      <c r="A4990" s="4"/>
      <c r="B4990" s="5"/>
      <c r="C4990" s="6"/>
    </row>
    <row r="4991" spans="1:3" x14ac:dyDescent="0.25">
      <c r="A4991" s="4"/>
      <c r="B4991" s="5"/>
      <c r="C4991" s="6"/>
    </row>
    <row r="4992" spans="1:3" x14ac:dyDescent="0.25">
      <c r="A4992" s="4"/>
      <c r="B4992" s="5"/>
      <c r="C4992" s="6"/>
    </row>
    <row r="4993" spans="1:3" x14ac:dyDescent="0.25">
      <c r="A4993" s="4"/>
      <c r="B4993" s="5"/>
      <c r="C4993" s="6"/>
    </row>
    <row r="4994" spans="1:3" x14ac:dyDescent="0.25">
      <c r="A4994" s="4"/>
      <c r="B4994" s="5"/>
      <c r="C4994" s="6"/>
    </row>
    <row r="4995" spans="1:3" x14ac:dyDescent="0.25">
      <c r="A4995" s="4"/>
      <c r="B4995" s="5"/>
      <c r="C4995" s="6"/>
    </row>
    <row r="4996" spans="1:3" x14ac:dyDescent="0.25">
      <c r="A4996" s="4"/>
      <c r="B4996" s="5"/>
      <c r="C4996" s="6"/>
    </row>
    <row r="4997" spans="1:3" x14ac:dyDescent="0.25">
      <c r="A4997" s="4"/>
      <c r="B4997" s="5"/>
      <c r="C4997" s="6"/>
    </row>
    <row r="4998" spans="1:3" x14ac:dyDescent="0.25">
      <c r="A4998" s="4"/>
      <c r="B4998" s="5"/>
      <c r="C4998" s="6"/>
    </row>
    <row r="4999" spans="1:3" x14ac:dyDescent="0.25">
      <c r="A4999" s="4"/>
      <c r="B4999" s="5"/>
      <c r="C4999" s="6"/>
    </row>
    <row r="5000" spans="1:3" x14ac:dyDescent="0.25">
      <c r="A5000" s="4"/>
      <c r="B5000" s="5"/>
      <c r="C5000" s="6"/>
    </row>
    <row r="5001" spans="1:3" x14ac:dyDescent="0.25">
      <c r="A5001" s="4"/>
      <c r="B5001" s="5"/>
      <c r="C5001" s="6"/>
    </row>
    <row r="5002" spans="1:3" x14ac:dyDescent="0.25">
      <c r="A5002" s="4"/>
      <c r="B5002" s="5"/>
      <c r="C5002" s="6"/>
    </row>
    <row r="5003" spans="1:3" x14ac:dyDescent="0.25">
      <c r="A5003" s="4"/>
      <c r="B5003" s="5"/>
      <c r="C5003" s="6"/>
    </row>
    <row r="5004" spans="1:3" x14ac:dyDescent="0.25">
      <c r="A5004" s="4"/>
      <c r="B5004" s="5"/>
      <c r="C5004" s="6"/>
    </row>
    <row r="5005" spans="1:3" x14ac:dyDescent="0.25">
      <c r="A5005" s="4"/>
      <c r="B5005" s="5"/>
      <c r="C5005" s="6"/>
    </row>
    <row r="5006" spans="1:3" x14ac:dyDescent="0.25">
      <c r="A5006" s="4"/>
      <c r="B5006" s="5"/>
      <c r="C5006" s="6"/>
    </row>
    <row r="5007" spans="1:3" x14ac:dyDescent="0.25">
      <c r="A5007" s="4"/>
      <c r="B5007" s="5"/>
      <c r="C5007" s="6"/>
    </row>
    <row r="5008" spans="1:3" x14ac:dyDescent="0.25">
      <c r="A5008" s="4"/>
      <c r="B5008" s="5"/>
      <c r="C5008" s="6"/>
    </row>
    <row r="5009" spans="1:3" x14ac:dyDescent="0.25">
      <c r="A5009" s="4"/>
      <c r="B5009" s="5"/>
      <c r="C5009" s="6"/>
    </row>
    <row r="5010" spans="1:3" x14ac:dyDescent="0.25">
      <c r="A5010" s="4"/>
      <c r="B5010" s="5"/>
      <c r="C5010" s="6"/>
    </row>
    <row r="5011" spans="1:3" x14ac:dyDescent="0.25">
      <c r="A5011" s="4"/>
      <c r="B5011" s="5"/>
      <c r="C5011" s="6"/>
    </row>
    <row r="5012" spans="1:3" x14ac:dyDescent="0.25">
      <c r="A5012" s="4"/>
      <c r="B5012" s="5"/>
      <c r="C5012" s="6"/>
    </row>
    <row r="5013" spans="1:3" x14ac:dyDescent="0.25">
      <c r="A5013" s="4"/>
      <c r="B5013" s="5"/>
      <c r="C5013" s="6"/>
    </row>
    <row r="5014" spans="1:3" x14ac:dyDescent="0.25">
      <c r="A5014" s="4"/>
      <c r="B5014" s="5"/>
      <c r="C5014" s="6"/>
    </row>
    <row r="5015" spans="1:3" x14ac:dyDescent="0.25">
      <c r="A5015" s="4"/>
      <c r="B5015" s="5"/>
      <c r="C5015" s="6"/>
    </row>
    <row r="5016" spans="1:3" x14ac:dyDescent="0.25">
      <c r="A5016" s="4"/>
      <c r="B5016" s="5"/>
      <c r="C5016" s="6"/>
    </row>
    <row r="5017" spans="1:3" x14ac:dyDescent="0.25">
      <c r="A5017" s="4"/>
      <c r="B5017" s="5"/>
      <c r="C5017" s="6"/>
    </row>
    <row r="5018" spans="1:3" x14ac:dyDescent="0.25">
      <c r="A5018" s="4"/>
      <c r="B5018" s="5"/>
      <c r="C5018" s="6"/>
    </row>
    <row r="5019" spans="1:3" x14ac:dyDescent="0.25">
      <c r="A5019" s="4"/>
      <c r="B5019" s="5"/>
      <c r="C5019" s="6"/>
    </row>
    <row r="5020" spans="1:3" x14ac:dyDescent="0.25">
      <c r="A5020" s="4"/>
      <c r="B5020" s="5"/>
      <c r="C5020" s="6"/>
    </row>
    <row r="5021" spans="1:3" x14ac:dyDescent="0.25">
      <c r="A5021" s="4"/>
      <c r="B5021" s="5"/>
      <c r="C5021" s="6"/>
    </row>
    <row r="5022" spans="1:3" x14ac:dyDescent="0.25">
      <c r="A5022" s="4"/>
      <c r="B5022" s="5"/>
      <c r="C5022" s="6"/>
    </row>
    <row r="5023" spans="1:3" x14ac:dyDescent="0.25">
      <c r="A5023" s="4"/>
      <c r="B5023" s="5"/>
      <c r="C5023" s="6"/>
    </row>
    <row r="5024" spans="1:3" x14ac:dyDescent="0.25">
      <c r="A5024" s="4"/>
      <c r="B5024" s="5"/>
      <c r="C5024" s="6"/>
    </row>
    <row r="5025" spans="1:3" x14ac:dyDescent="0.25">
      <c r="A5025" s="4"/>
      <c r="B5025" s="5"/>
      <c r="C5025" s="6"/>
    </row>
    <row r="5026" spans="1:3" x14ac:dyDescent="0.25">
      <c r="A5026" s="4"/>
      <c r="B5026" s="5"/>
      <c r="C5026" s="6"/>
    </row>
    <row r="5027" spans="1:3" x14ac:dyDescent="0.25">
      <c r="A5027" s="4"/>
      <c r="B5027" s="5"/>
      <c r="C5027" s="6"/>
    </row>
    <row r="5028" spans="1:3" x14ac:dyDescent="0.25">
      <c r="A5028" s="4"/>
      <c r="B5028" s="5"/>
      <c r="C5028" s="6"/>
    </row>
    <row r="5029" spans="1:3" x14ac:dyDescent="0.25">
      <c r="A5029" s="4"/>
      <c r="B5029" s="5"/>
      <c r="C5029" s="6"/>
    </row>
    <row r="5030" spans="1:3" x14ac:dyDescent="0.25">
      <c r="A5030" s="4"/>
      <c r="B5030" s="5"/>
      <c r="C5030" s="6"/>
    </row>
    <row r="5031" spans="1:3" x14ac:dyDescent="0.25">
      <c r="A5031" s="4"/>
      <c r="B5031" s="5"/>
      <c r="C5031" s="6"/>
    </row>
    <row r="5032" spans="1:3" x14ac:dyDescent="0.25">
      <c r="A5032" s="4"/>
      <c r="B5032" s="5"/>
      <c r="C5032" s="5"/>
    </row>
    <row r="5033" spans="1:3" x14ac:dyDescent="0.25">
      <c r="A5033" s="4"/>
      <c r="B5033" s="5"/>
      <c r="C5033" s="6"/>
    </row>
    <row r="5034" spans="1:3" x14ac:dyDescent="0.25">
      <c r="A5034" s="4"/>
      <c r="B5034" s="5"/>
      <c r="C5034" s="6"/>
    </row>
    <row r="5035" spans="1:3" x14ac:dyDescent="0.25">
      <c r="A5035" s="4"/>
      <c r="B5035" s="5"/>
      <c r="C5035" s="6"/>
    </row>
    <row r="5036" spans="1:3" x14ac:dyDescent="0.25">
      <c r="A5036" s="4"/>
      <c r="B5036" s="5"/>
      <c r="C5036" s="6"/>
    </row>
    <row r="5037" spans="1:3" x14ac:dyDescent="0.25">
      <c r="A5037" s="4"/>
      <c r="B5037" s="5"/>
      <c r="C5037" s="6"/>
    </row>
    <row r="5038" spans="1:3" x14ac:dyDescent="0.25">
      <c r="A5038" s="4"/>
      <c r="B5038" s="5"/>
      <c r="C5038" s="6"/>
    </row>
    <row r="5039" spans="1:3" x14ac:dyDescent="0.25">
      <c r="A5039" s="4"/>
      <c r="B5039" s="5"/>
      <c r="C5039" s="6"/>
    </row>
    <row r="5040" spans="1:3" x14ac:dyDescent="0.25">
      <c r="A5040" s="4"/>
      <c r="B5040" s="5"/>
      <c r="C5040" s="6"/>
    </row>
    <row r="5041" spans="1:3" x14ac:dyDescent="0.25">
      <c r="A5041" s="4"/>
      <c r="B5041" s="5"/>
      <c r="C5041" s="6"/>
    </row>
    <row r="5042" spans="1:3" x14ac:dyDescent="0.25">
      <c r="A5042" s="4"/>
      <c r="B5042" s="5"/>
      <c r="C5042" s="6"/>
    </row>
    <row r="5043" spans="1:3" x14ac:dyDescent="0.25">
      <c r="A5043" s="4"/>
      <c r="B5043" s="5"/>
      <c r="C5043" s="6"/>
    </row>
    <row r="5044" spans="1:3" x14ac:dyDescent="0.25">
      <c r="A5044" s="4"/>
      <c r="B5044" s="5"/>
      <c r="C5044" s="6"/>
    </row>
    <row r="5045" spans="1:3" x14ac:dyDescent="0.25">
      <c r="A5045" s="4"/>
      <c r="B5045" s="5"/>
      <c r="C5045" s="6"/>
    </row>
    <row r="5046" spans="1:3" x14ac:dyDescent="0.25">
      <c r="A5046" s="4"/>
      <c r="B5046" s="5"/>
      <c r="C5046" s="6"/>
    </row>
    <row r="5047" spans="1:3" x14ac:dyDescent="0.25">
      <c r="A5047" s="4"/>
      <c r="B5047" s="5"/>
      <c r="C5047" s="6"/>
    </row>
    <row r="5048" spans="1:3" x14ac:dyDescent="0.25">
      <c r="A5048" s="4"/>
      <c r="B5048" s="5"/>
      <c r="C5048" s="6"/>
    </row>
    <row r="5049" spans="1:3" x14ac:dyDescent="0.25">
      <c r="A5049" s="4"/>
      <c r="B5049" s="5"/>
      <c r="C5049" s="6"/>
    </row>
    <row r="5050" spans="1:3" x14ac:dyDescent="0.25">
      <c r="A5050" s="4"/>
      <c r="B5050" s="5"/>
      <c r="C5050" s="6"/>
    </row>
    <row r="5051" spans="1:3" x14ac:dyDescent="0.25">
      <c r="A5051" s="4"/>
      <c r="B5051" s="5"/>
      <c r="C5051" s="6"/>
    </row>
    <row r="5052" spans="1:3" x14ac:dyDescent="0.25">
      <c r="A5052" s="4"/>
      <c r="B5052" s="5"/>
      <c r="C5052" s="6"/>
    </row>
    <row r="5053" spans="1:3" x14ac:dyDescent="0.25">
      <c r="A5053" s="4"/>
      <c r="B5053" s="5"/>
      <c r="C5053" s="6"/>
    </row>
    <row r="5054" spans="1:3" x14ac:dyDescent="0.25">
      <c r="A5054" s="4"/>
      <c r="B5054" s="5"/>
      <c r="C5054" s="6"/>
    </row>
    <row r="5055" spans="1:3" x14ac:dyDescent="0.25">
      <c r="A5055" s="4"/>
      <c r="B5055" s="5"/>
      <c r="C5055" s="6"/>
    </row>
    <row r="5056" spans="1:3" x14ac:dyDescent="0.25">
      <c r="A5056" s="4"/>
      <c r="B5056" s="5"/>
      <c r="C5056" s="6"/>
    </row>
    <row r="5057" spans="1:3" x14ac:dyDescent="0.25">
      <c r="A5057" s="4"/>
      <c r="B5057" s="5"/>
      <c r="C5057" s="6"/>
    </row>
    <row r="5058" spans="1:3" x14ac:dyDescent="0.25">
      <c r="A5058" s="4"/>
      <c r="B5058" s="5"/>
      <c r="C5058" s="6"/>
    </row>
    <row r="5059" spans="1:3" x14ac:dyDescent="0.25">
      <c r="A5059" s="4"/>
      <c r="B5059" s="5"/>
      <c r="C5059" s="6"/>
    </row>
    <row r="5060" spans="1:3" x14ac:dyDescent="0.25">
      <c r="A5060" s="4"/>
      <c r="B5060" s="5"/>
      <c r="C5060" s="6"/>
    </row>
    <row r="5061" spans="1:3" x14ac:dyDescent="0.25">
      <c r="A5061" s="4"/>
      <c r="B5061" s="5"/>
      <c r="C5061" s="6"/>
    </row>
    <row r="5062" spans="1:3" x14ac:dyDescent="0.25">
      <c r="A5062" s="4"/>
      <c r="B5062" s="5"/>
      <c r="C5062" s="6"/>
    </row>
    <row r="5063" spans="1:3" x14ac:dyDescent="0.25">
      <c r="A5063" s="4"/>
      <c r="B5063" s="5"/>
      <c r="C5063" s="6"/>
    </row>
    <row r="5064" spans="1:3" x14ac:dyDescent="0.25">
      <c r="A5064" s="4"/>
      <c r="B5064" s="5"/>
      <c r="C5064" s="6"/>
    </row>
    <row r="5065" spans="1:3" x14ac:dyDescent="0.25">
      <c r="A5065" s="4"/>
      <c r="B5065" s="5"/>
      <c r="C5065" s="6"/>
    </row>
    <row r="5066" spans="1:3" x14ac:dyDescent="0.25">
      <c r="A5066" s="4"/>
      <c r="B5066" s="5"/>
      <c r="C5066" s="6"/>
    </row>
    <row r="5067" spans="1:3" x14ac:dyDescent="0.25">
      <c r="A5067" s="4"/>
      <c r="B5067" s="5"/>
      <c r="C5067" s="6"/>
    </row>
    <row r="5068" spans="1:3" x14ac:dyDescent="0.25">
      <c r="A5068" s="4"/>
      <c r="B5068" s="5"/>
      <c r="C5068" s="6"/>
    </row>
    <row r="5069" spans="1:3" x14ac:dyDescent="0.25">
      <c r="A5069" s="4"/>
      <c r="B5069" s="5"/>
      <c r="C5069" s="6"/>
    </row>
    <row r="5070" spans="1:3" x14ac:dyDescent="0.25">
      <c r="A5070" s="4"/>
      <c r="B5070" s="5"/>
      <c r="C5070" s="6"/>
    </row>
    <row r="5071" spans="1:3" x14ac:dyDescent="0.25">
      <c r="A5071" s="4"/>
      <c r="B5071" s="5"/>
      <c r="C5071" s="6"/>
    </row>
    <row r="5072" spans="1:3" x14ac:dyDescent="0.25">
      <c r="A5072" s="4"/>
      <c r="B5072" s="5"/>
      <c r="C5072" s="6"/>
    </row>
    <row r="5073" spans="1:3" x14ac:dyDescent="0.25">
      <c r="A5073" s="4"/>
      <c r="B5073" s="5"/>
      <c r="C5073" s="6"/>
    </row>
    <row r="5074" spans="1:3" x14ac:dyDescent="0.25">
      <c r="A5074" s="4"/>
      <c r="B5074" s="5"/>
      <c r="C5074" s="6"/>
    </row>
    <row r="5075" spans="1:3" x14ac:dyDescent="0.25">
      <c r="A5075" s="4"/>
      <c r="B5075" s="5"/>
      <c r="C5075" s="6"/>
    </row>
    <row r="5076" spans="1:3" x14ac:dyDescent="0.25">
      <c r="A5076" s="4"/>
      <c r="B5076" s="5"/>
      <c r="C5076" s="6"/>
    </row>
    <row r="5077" spans="1:3" x14ac:dyDescent="0.25">
      <c r="A5077" s="4"/>
      <c r="B5077" s="5"/>
      <c r="C5077" s="6"/>
    </row>
    <row r="5078" spans="1:3" x14ac:dyDescent="0.25">
      <c r="A5078" s="4"/>
      <c r="B5078" s="5"/>
      <c r="C5078" s="6"/>
    </row>
    <row r="5079" spans="1:3" x14ac:dyDescent="0.25">
      <c r="A5079" s="4"/>
      <c r="B5079" s="5"/>
      <c r="C5079" s="6"/>
    </row>
    <row r="5080" spans="1:3" x14ac:dyDescent="0.25">
      <c r="A5080" s="4"/>
      <c r="B5080" s="5"/>
      <c r="C5080" s="6"/>
    </row>
    <row r="5081" spans="1:3" x14ac:dyDescent="0.25">
      <c r="A5081" s="4"/>
      <c r="B5081" s="5"/>
      <c r="C5081" s="6"/>
    </row>
    <row r="5082" spans="1:3" x14ac:dyDescent="0.25">
      <c r="A5082" s="4"/>
      <c r="B5082" s="5"/>
      <c r="C5082" s="6"/>
    </row>
    <row r="5083" spans="1:3" x14ac:dyDescent="0.25">
      <c r="A5083" s="4"/>
      <c r="B5083" s="5"/>
      <c r="C5083" s="6"/>
    </row>
    <row r="5084" spans="1:3" x14ac:dyDescent="0.25">
      <c r="A5084" s="4"/>
      <c r="B5084" s="5"/>
      <c r="C5084" s="6"/>
    </row>
    <row r="5085" spans="1:3" x14ac:dyDescent="0.25">
      <c r="A5085" s="4"/>
      <c r="B5085" s="5"/>
      <c r="C5085" s="6"/>
    </row>
    <row r="5086" spans="1:3" x14ac:dyDescent="0.25">
      <c r="A5086" s="4"/>
      <c r="B5086" s="5"/>
      <c r="C5086" s="6"/>
    </row>
    <row r="5087" spans="1:3" x14ac:dyDescent="0.25">
      <c r="A5087" s="4"/>
      <c r="B5087" s="5"/>
      <c r="C5087" s="6"/>
    </row>
    <row r="5088" spans="1:3" x14ac:dyDescent="0.25">
      <c r="A5088" s="4"/>
      <c r="B5088" s="5"/>
      <c r="C5088" s="6"/>
    </row>
    <row r="5089" spans="1:3" x14ac:dyDescent="0.25">
      <c r="A5089" s="4"/>
      <c r="B5089" s="5"/>
      <c r="C5089" s="6"/>
    </row>
    <row r="5090" spans="1:3" x14ac:dyDescent="0.25">
      <c r="A5090" s="4"/>
      <c r="B5090" s="5"/>
      <c r="C5090" s="6"/>
    </row>
    <row r="5091" spans="1:3" x14ac:dyDescent="0.25">
      <c r="A5091" s="4"/>
      <c r="B5091" s="5"/>
      <c r="C5091" s="6"/>
    </row>
    <row r="5092" spans="1:3" x14ac:dyDescent="0.25">
      <c r="A5092" s="4"/>
      <c r="B5092" s="5"/>
      <c r="C5092" s="6"/>
    </row>
    <row r="5093" spans="1:3" x14ac:dyDescent="0.25">
      <c r="A5093" s="4"/>
      <c r="B5093" s="5"/>
      <c r="C5093" s="6"/>
    </row>
    <row r="5094" spans="1:3" x14ac:dyDescent="0.25">
      <c r="A5094" s="4"/>
      <c r="B5094" s="5"/>
      <c r="C5094" s="6"/>
    </row>
    <row r="5095" spans="1:3" x14ac:dyDescent="0.25">
      <c r="A5095" s="4"/>
      <c r="B5095" s="5"/>
      <c r="C5095" s="6"/>
    </row>
    <row r="5096" spans="1:3" x14ac:dyDescent="0.25">
      <c r="A5096" s="4"/>
      <c r="B5096" s="5"/>
      <c r="C5096" s="6"/>
    </row>
    <row r="5097" spans="1:3" x14ac:dyDescent="0.25">
      <c r="A5097" s="4"/>
      <c r="B5097" s="5"/>
      <c r="C5097" s="6"/>
    </row>
    <row r="5098" spans="1:3" x14ac:dyDescent="0.25">
      <c r="A5098" s="4"/>
      <c r="B5098" s="5"/>
      <c r="C5098" s="6"/>
    </row>
    <row r="5099" spans="1:3" x14ac:dyDescent="0.25">
      <c r="A5099" s="4"/>
      <c r="B5099" s="5"/>
      <c r="C5099" s="6"/>
    </row>
    <row r="5100" spans="1:3" x14ac:dyDescent="0.25">
      <c r="A5100" s="4"/>
      <c r="B5100" s="5"/>
      <c r="C5100" s="6"/>
    </row>
    <row r="5101" spans="1:3" x14ac:dyDescent="0.25">
      <c r="A5101" s="4"/>
      <c r="B5101" s="5"/>
      <c r="C5101" s="6"/>
    </row>
    <row r="5102" spans="1:3" x14ac:dyDescent="0.25">
      <c r="A5102" s="4"/>
      <c r="B5102" s="5"/>
      <c r="C5102" s="6"/>
    </row>
    <row r="5103" spans="1:3" x14ac:dyDescent="0.25">
      <c r="A5103" s="4"/>
      <c r="B5103" s="5"/>
      <c r="C5103" s="6"/>
    </row>
    <row r="5104" spans="1:3" x14ac:dyDescent="0.25">
      <c r="A5104" s="4"/>
      <c r="B5104" s="5"/>
      <c r="C5104" s="6"/>
    </row>
    <row r="5105" spans="1:3" x14ac:dyDescent="0.25">
      <c r="A5105" s="4"/>
      <c r="B5105" s="5"/>
      <c r="C5105" s="6"/>
    </row>
    <row r="5106" spans="1:3" x14ac:dyDescent="0.25">
      <c r="A5106" s="4"/>
      <c r="B5106" s="5"/>
      <c r="C5106" s="6"/>
    </row>
    <row r="5107" spans="1:3" x14ac:dyDescent="0.25">
      <c r="A5107" s="4"/>
      <c r="B5107" s="5"/>
      <c r="C5107" s="6"/>
    </row>
    <row r="5108" spans="1:3" x14ac:dyDescent="0.25">
      <c r="A5108" s="4"/>
      <c r="B5108" s="5"/>
      <c r="C5108" s="6"/>
    </row>
    <row r="5109" spans="1:3" x14ac:dyDescent="0.25">
      <c r="A5109" s="4"/>
      <c r="B5109" s="5"/>
      <c r="C5109" s="6"/>
    </row>
    <row r="5110" spans="1:3" x14ac:dyDescent="0.25">
      <c r="A5110" s="4"/>
      <c r="B5110" s="5"/>
      <c r="C5110" s="6"/>
    </row>
    <row r="5111" spans="1:3" x14ac:dyDescent="0.25">
      <c r="A5111" s="4"/>
      <c r="B5111" s="5"/>
      <c r="C5111" s="6"/>
    </row>
    <row r="5112" spans="1:3" x14ac:dyDescent="0.25">
      <c r="A5112" s="4"/>
      <c r="B5112" s="5"/>
      <c r="C5112" s="6"/>
    </row>
    <row r="5113" spans="1:3" x14ac:dyDescent="0.25">
      <c r="A5113" s="4"/>
      <c r="B5113" s="5"/>
      <c r="C5113" s="6"/>
    </row>
    <row r="5114" spans="1:3" x14ac:dyDescent="0.25">
      <c r="A5114" s="4"/>
      <c r="B5114" s="5"/>
      <c r="C5114" s="6"/>
    </row>
    <row r="5115" spans="1:3" x14ac:dyDescent="0.25">
      <c r="A5115" s="4"/>
      <c r="B5115" s="5"/>
      <c r="C5115" s="6"/>
    </row>
    <row r="5116" spans="1:3" x14ac:dyDescent="0.25">
      <c r="A5116" s="4"/>
      <c r="B5116" s="5"/>
      <c r="C5116" s="6"/>
    </row>
    <row r="5117" spans="1:3" x14ac:dyDescent="0.25">
      <c r="A5117" s="4"/>
      <c r="B5117" s="5"/>
      <c r="C5117" s="6"/>
    </row>
    <row r="5118" spans="1:3" x14ac:dyDescent="0.25">
      <c r="A5118" s="4"/>
      <c r="B5118" s="5"/>
      <c r="C5118" s="6"/>
    </row>
    <row r="5119" spans="1:3" x14ac:dyDescent="0.25">
      <c r="A5119" s="4"/>
      <c r="B5119" s="5"/>
      <c r="C5119" s="6"/>
    </row>
    <row r="5120" spans="1:3" x14ac:dyDescent="0.25">
      <c r="A5120" s="4"/>
      <c r="B5120" s="5"/>
      <c r="C5120" s="6"/>
    </row>
    <row r="5121" spans="1:3" x14ac:dyDescent="0.25">
      <c r="A5121" s="4"/>
      <c r="B5121" s="5"/>
      <c r="C5121" s="6"/>
    </row>
    <row r="5122" spans="1:3" x14ac:dyDescent="0.25">
      <c r="A5122" s="4"/>
      <c r="B5122" s="5"/>
      <c r="C5122" s="6"/>
    </row>
    <row r="5123" spans="1:3" x14ac:dyDescent="0.25">
      <c r="A5123" s="4"/>
      <c r="B5123" s="5"/>
      <c r="C5123" s="6"/>
    </row>
    <row r="5124" spans="1:3" x14ac:dyDescent="0.25">
      <c r="A5124" s="4"/>
      <c r="B5124" s="5"/>
      <c r="C5124" s="6"/>
    </row>
    <row r="5125" spans="1:3" x14ac:dyDescent="0.25">
      <c r="A5125" s="4"/>
      <c r="B5125" s="5"/>
      <c r="C5125" s="6"/>
    </row>
    <row r="5126" spans="1:3" x14ac:dyDescent="0.25">
      <c r="A5126" s="4"/>
      <c r="B5126" s="5"/>
      <c r="C5126" s="6"/>
    </row>
    <row r="5127" spans="1:3" x14ac:dyDescent="0.25">
      <c r="A5127" s="4"/>
      <c r="B5127" s="5"/>
      <c r="C5127" s="6"/>
    </row>
    <row r="5128" spans="1:3" x14ac:dyDescent="0.25">
      <c r="A5128" s="4"/>
      <c r="B5128" s="5"/>
      <c r="C5128" s="6"/>
    </row>
    <row r="5129" spans="1:3" x14ac:dyDescent="0.25">
      <c r="A5129" s="4"/>
      <c r="B5129" s="5"/>
      <c r="C5129" s="6"/>
    </row>
    <row r="5130" spans="1:3" x14ac:dyDescent="0.25">
      <c r="A5130" s="4"/>
      <c r="B5130" s="5"/>
      <c r="C5130" s="6"/>
    </row>
    <row r="5131" spans="1:3" x14ac:dyDescent="0.25">
      <c r="A5131" s="4"/>
      <c r="B5131" s="5"/>
      <c r="C5131" s="6"/>
    </row>
    <row r="5132" spans="1:3" x14ac:dyDescent="0.25">
      <c r="A5132" s="4"/>
      <c r="B5132" s="5"/>
      <c r="C5132" s="6"/>
    </row>
    <row r="5133" spans="1:3" x14ac:dyDescent="0.25">
      <c r="A5133" s="4"/>
      <c r="B5133" s="5"/>
      <c r="C5133" s="6"/>
    </row>
    <row r="5134" spans="1:3" x14ac:dyDescent="0.25">
      <c r="A5134" s="4"/>
      <c r="B5134" s="5"/>
      <c r="C5134" s="6"/>
    </row>
    <row r="5135" spans="1:3" x14ac:dyDescent="0.25">
      <c r="A5135" s="4"/>
      <c r="B5135" s="5"/>
      <c r="C5135" s="6"/>
    </row>
    <row r="5136" spans="1:3" x14ac:dyDescent="0.25">
      <c r="A5136" s="4"/>
      <c r="B5136" s="5"/>
      <c r="C5136" s="6"/>
    </row>
    <row r="5137" spans="1:3" x14ac:dyDescent="0.25">
      <c r="A5137" s="4"/>
      <c r="B5137" s="5"/>
      <c r="C5137" s="6"/>
    </row>
    <row r="5138" spans="1:3" x14ac:dyDescent="0.25">
      <c r="A5138" s="4"/>
      <c r="B5138" s="5"/>
      <c r="C5138" s="6"/>
    </row>
    <row r="5139" spans="1:3" x14ac:dyDescent="0.25">
      <c r="A5139" s="4"/>
      <c r="B5139" s="5"/>
      <c r="C5139" s="6"/>
    </row>
    <row r="5140" spans="1:3" x14ac:dyDescent="0.25">
      <c r="A5140" s="4"/>
      <c r="B5140" s="5"/>
      <c r="C5140" s="6"/>
    </row>
    <row r="5141" spans="1:3" x14ac:dyDescent="0.25">
      <c r="A5141" s="4"/>
      <c r="B5141" s="5"/>
      <c r="C5141" s="6"/>
    </row>
    <row r="5142" spans="1:3" x14ac:dyDescent="0.25">
      <c r="A5142" s="4"/>
      <c r="B5142" s="5"/>
      <c r="C5142" s="6"/>
    </row>
    <row r="5143" spans="1:3" x14ac:dyDescent="0.25">
      <c r="A5143" s="4"/>
      <c r="B5143" s="5"/>
      <c r="C5143" s="6"/>
    </row>
    <row r="5144" spans="1:3" x14ac:dyDescent="0.25">
      <c r="A5144" s="4"/>
      <c r="B5144" s="5"/>
      <c r="C5144" s="6"/>
    </row>
    <row r="5145" spans="1:3" x14ac:dyDescent="0.25">
      <c r="A5145" s="4"/>
      <c r="B5145" s="5"/>
      <c r="C5145" s="6"/>
    </row>
    <row r="5146" spans="1:3" x14ac:dyDescent="0.25">
      <c r="A5146" s="4"/>
      <c r="B5146" s="5"/>
      <c r="C5146" s="6"/>
    </row>
    <row r="5147" spans="1:3" x14ac:dyDescent="0.25">
      <c r="A5147" s="4"/>
      <c r="B5147" s="5"/>
      <c r="C5147" s="6"/>
    </row>
    <row r="5148" spans="1:3" x14ac:dyDescent="0.25">
      <c r="A5148" s="4"/>
      <c r="B5148" s="5"/>
      <c r="C5148" s="6"/>
    </row>
    <row r="5149" spans="1:3" x14ac:dyDescent="0.25">
      <c r="A5149" s="4"/>
      <c r="B5149" s="5"/>
      <c r="C5149" s="6"/>
    </row>
    <row r="5150" spans="1:3" x14ac:dyDescent="0.25">
      <c r="A5150" s="4"/>
      <c r="B5150" s="5"/>
      <c r="C5150" s="6"/>
    </row>
    <row r="5151" spans="1:3" x14ac:dyDescent="0.25">
      <c r="A5151" s="4"/>
      <c r="B5151" s="5"/>
      <c r="C5151" s="6"/>
    </row>
    <row r="5152" spans="1:3" x14ac:dyDescent="0.25">
      <c r="A5152" s="4"/>
      <c r="B5152" s="5"/>
      <c r="C5152" s="6"/>
    </row>
    <row r="5153" spans="1:3" x14ac:dyDescent="0.25">
      <c r="A5153" s="4"/>
      <c r="B5153" s="5"/>
      <c r="C5153" s="6"/>
    </row>
    <row r="5154" spans="1:3" x14ac:dyDescent="0.25">
      <c r="A5154" s="4"/>
      <c r="B5154" s="5"/>
      <c r="C5154" s="6"/>
    </row>
    <row r="5155" spans="1:3" x14ac:dyDescent="0.25">
      <c r="A5155" s="4"/>
      <c r="B5155" s="5"/>
      <c r="C5155" s="6"/>
    </row>
    <row r="5156" spans="1:3" x14ac:dyDescent="0.25">
      <c r="A5156" s="4"/>
      <c r="B5156" s="5"/>
      <c r="C5156" s="6"/>
    </row>
    <row r="5157" spans="1:3" x14ac:dyDescent="0.25">
      <c r="A5157" s="4"/>
      <c r="B5157" s="5"/>
      <c r="C5157" s="6"/>
    </row>
    <row r="5158" spans="1:3" x14ac:dyDescent="0.25">
      <c r="A5158" s="4"/>
      <c r="B5158" s="5"/>
      <c r="C5158" s="6"/>
    </row>
    <row r="5159" spans="1:3" x14ac:dyDescent="0.25">
      <c r="A5159" s="4"/>
      <c r="B5159" s="5"/>
      <c r="C5159" s="6"/>
    </row>
    <row r="5160" spans="1:3" x14ac:dyDescent="0.25">
      <c r="A5160" s="4"/>
      <c r="B5160" s="5"/>
      <c r="C5160" s="6"/>
    </row>
    <row r="5161" spans="1:3" x14ac:dyDescent="0.25">
      <c r="A5161" s="4"/>
      <c r="B5161" s="5"/>
      <c r="C5161" s="6"/>
    </row>
    <row r="5162" spans="1:3" x14ac:dyDescent="0.25">
      <c r="A5162" s="4"/>
      <c r="B5162" s="5"/>
      <c r="C5162" s="6"/>
    </row>
    <row r="5163" spans="1:3" x14ac:dyDescent="0.25">
      <c r="A5163" s="4"/>
      <c r="B5163" s="5"/>
      <c r="C5163" s="6"/>
    </row>
    <row r="5164" spans="1:3" x14ac:dyDescent="0.25">
      <c r="A5164" s="4"/>
      <c r="B5164" s="5"/>
      <c r="C5164" s="6"/>
    </row>
    <row r="5165" spans="1:3" x14ac:dyDescent="0.25">
      <c r="A5165" s="4"/>
      <c r="B5165" s="5"/>
      <c r="C5165" s="6"/>
    </row>
    <row r="5166" spans="1:3" x14ac:dyDescent="0.25">
      <c r="A5166" s="4"/>
      <c r="B5166" s="5"/>
      <c r="C5166" s="6"/>
    </row>
    <row r="5167" spans="1:3" x14ac:dyDescent="0.25">
      <c r="A5167" s="4"/>
      <c r="B5167" s="5"/>
      <c r="C5167" s="6"/>
    </row>
    <row r="5168" spans="1:3" x14ac:dyDescent="0.25">
      <c r="A5168" s="4"/>
      <c r="B5168" s="5"/>
      <c r="C5168" s="6"/>
    </row>
    <row r="5169" spans="1:3" x14ac:dyDescent="0.25">
      <c r="A5169" s="4"/>
      <c r="B5169" s="5"/>
      <c r="C5169" s="6"/>
    </row>
    <row r="5170" spans="1:3" x14ac:dyDescent="0.25">
      <c r="A5170" s="4"/>
      <c r="B5170" s="5"/>
      <c r="C5170" s="6"/>
    </row>
    <row r="5171" spans="1:3" x14ac:dyDescent="0.25">
      <c r="A5171" s="4"/>
      <c r="B5171" s="5"/>
      <c r="C5171" s="6"/>
    </row>
    <row r="5172" spans="1:3" x14ac:dyDescent="0.25">
      <c r="A5172" s="4"/>
      <c r="B5172" s="5"/>
      <c r="C5172" s="6"/>
    </row>
    <row r="5173" spans="1:3" x14ac:dyDescent="0.25">
      <c r="A5173" s="4"/>
      <c r="B5173" s="5"/>
      <c r="C5173" s="6"/>
    </row>
    <row r="5174" spans="1:3" x14ac:dyDescent="0.25">
      <c r="A5174" s="4"/>
      <c r="B5174" s="5"/>
      <c r="C5174" s="6"/>
    </row>
    <row r="5175" spans="1:3" x14ac:dyDescent="0.25">
      <c r="A5175" s="4"/>
      <c r="B5175" s="5"/>
      <c r="C5175" s="6"/>
    </row>
    <row r="5176" spans="1:3" x14ac:dyDescent="0.25">
      <c r="A5176" s="4"/>
      <c r="B5176" s="5"/>
      <c r="C5176" s="6"/>
    </row>
    <row r="5177" spans="1:3" x14ac:dyDescent="0.25">
      <c r="A5177" s="4"/>
      <c r="B5177" s="5"/>
      <c r="C5177" s="6"/>
    </row>
    <row r="5178" spans="1:3" x14ac:dyDescent="0.25">
      <c r="A5178" s="4"/>
      <c r="B5178" s="5"/>
      <c r="C5178" s="6"/>
    </row>
    <row r="5179" spans="1:3" x14ac:dyDescent="0.25">
      <c r="A5179" s="4"/>
      <c r="B5179" s="5"/>
      <c r="C5179" s="6"/>
    </row>
    <row r="5180" spans="1:3" x14ac:dyDescent="0.25">
      <c r="A5180" s="4"/>
      <c r="B5180" s="5"/>
      <c r="C5180" s="6"/>
    </row>
    <row r="5181" spans="1:3" x14ac:dyDescent="0.25">
      <c r="A5181" s="4"/>
      <c r="B5181" s="5"/>
      <c r="C5181" s="6"/>
    </row>
    <row r="5182" spans="1:3" x14ac:dyDescent="0.25">
      <c r="A5182" s="4"/>
      <c r="B5182" s="5"/>
      <c r="C5182" s="6"/>
    </row>
    <row r="5183" spans="1:3" x14ac:dyDescent="0.25">
      <c r="A5183" s="4"/>
      <c r="B5183" s="5"/>
      <c r="C5183" s="6"/>
    </row>
    <row r="5184" spans="1:3" x14ac:dyDescent="0.25">
      <c r="A5184" s="4"/>
      <c r="B5184" s="5"/>
      <c r="C5184" s="6"/>
    </row>
    <row r="5185" spans="1:3" x14ac:dyDescent="0.25">
      <c r="A5185" s="4"/>
      <c r="B5185" s="5"/>
      <c r="C5185" s="6"/>
    </row>
    <row r="5186" spans="1:3" x14ac:dyDescent="0.25">
      <c r="A5186" s="4"/>
      <c r="B5186" s="5"/>
      <c r="C5186" s="6"/>
    </row>
    <row r="5187" spans="1:3" x14ac:dyDescent="0.25">
      <c r="A5187" s="4"/>
      <c r="B5187" s="5"/>
      <c r="C5187" s="6"/>
    </row>
    <row r="5188" spans="1:3" x14ac:dyDescent="0.25">
      <c r="A5188" s="4"/>
      <c r="B5188" s="5"/>
      <c r="C5188" s="6"/>
    </row>
    <row r="5189" spans="1:3" x14ac:dyDescent="0.25">
      <c r="A5189" s="4"/>
      <c r="B5189" s="5"/>
      <c r="C5189" s="6"/>
    </row>
    <row r="5190" spans="1:3" x14ac:dyDescent="0.25">
      <c r="A5190" s="4"/>
      <c r="B5190" s="5"/>
      <c r="C5190" s="6"/>
    </row>
    <row r="5191" spans="1:3" x14ac:dyDescent="0.25">
      <c r="A5191" s="4"/>
      <c r="B5191" s="5"/>
      <c r="C5191" s="6"/>
    </row>
    <row r="5192" spans="1:3" x14ac:dyDescent="0.25">
      <c r="A5192" s="4"/>
      <c r="B5192" s="5"/>
      <c r="C5192" s="6"/>
    </row>
    <row r="5193" spans="1:3" x14ac:dyDescent="0.25">
      <c r="A5193" s="4"/>
      <c r="B5193" s="5"/>
      <c r="C5193" s="6"/>
    </row>
    <row r="5194" spans="1:3" x14ac:dyDescent="0.25">
      <c r="A5194" s="4"/>
      <c r="B5194" s="5"/>
      <c r="C5194" s="6"/>
    </row>
    <row r="5195" spans="1:3" x14ac:dyDescent="0.25">
      <c r="A5195" s="4"/>
      <c r="B5195" s="5"/>
      <c r="C5195" s="6"/>
    </row>
    <row r="5196" spans="1:3" x14ac:dyDescent="0.25">
      <c r="A5196" s="4"/>
      <c r="B5196" s="5"/>
      <c r="C5196" s="6"/>
    </row>
    <row r="5197" spans="1:3" x14ac:dyDescent="0.25">
      <c r="A5197" s="4"/>
      <c r="B5197" s="5"/>
      <c r="C5197" s="6"/>
    </row>
    <row r="5198" spans="1:3" x14ac:dyDescent="0.25">
      <c r="A5198" s="4"/>
      <c r="B5198" s="5"/>
      <c r="C5198" s="6"/>
    </row>
    <row r="5199" spans="1:3" x14ac:dyDescent="0.25">
      <c r="A5199" s="4"/>
      <c r="B5199" s="5"/>
      <c r="C5199" s="6"/>
    </row>
    <row r="5200" spans="1:3" x14ac:dyDescent="0.25">
      <c r="A5200" s="4"/>
      <c r="B5200" s="5"/>
      <c r="C5200" s="6"/>
    </row>
    <row r="5201" spans="1:3" x14ac:dyDescent="0.25">
      <c r="A5201" s="4"/>
      <c r="B5201" s="5"/>
      <c r="C5201" s="6"/>
    </row>
    <row r="5202" spans="1:3" x14ac:dyDescent="0.25">
      <c r="A5202" s="4"/>
      <c r="B5202" s="5"/>
      <c r="C5202" s="6"/>
    </row>
    <row r="5203" spans="1:3" x14ac:dyDescent="0.25">
      <c r="A5203" s="4"/>
      <c r="B5203" s="5"/>
      <c r="C5203" s="6"/>
    </row>
    <row r="5204" spans="1:3" x14ac:dyDescent="0.25">
      <c r="A5204" s="4"/>
      <c r="B5204" s="5"/>
      <c r="C5204" s="6"/>
    </row>
    <row r="5205" spans="1:3" x14ac:dyDescent="0.25">
      <c r="A5205" s="4"/>
      <c r="B5205" s="5"/>
      <c r="C5205" s="6"/>
    </row>
    <row r="5206" spans="1:3" x14ac:dyDescent="0.25">
      <c r="A5206" s="4"/>
      <c r="B5206" s="5"/>
      <c r="C5206" s="6"/>
    </row>
    <row r="5207" spans="1:3" x14ac:dyDescent="0.25">
      <c r="A5207" s="4"/>
      <c r="B5207" s="5"/>
      <c r="C5207" s="6"/>
    </row>
    <row r="5208" spans="1:3" x14ac:dyDescent="0.25">
      <c r="A5208" s="4"/>
      <c r="B5208" s="5"/>
      <c r="C5208" s="6"/>
    </row>
    <row r="5209" spans="1:3" x14ac:dyDescent="0.25">
      <c r="A5209" s="4"/>
      <c r="B5209" s="5"/>
      <c r="C5209" s="6"/>
    </row>
    <row r="5210" spans="1:3" x14ac:dyDescent="0.25">
      <c r="A5210" s="4"/>
      <c r="B5210" s="5"/>
      <c r="C5210" s="6"/>
    </row>
    <row r="5211" spans="1:3" x14ac:dyDescent="0.25">
      <c r="A5211" s="4"/>
      <c r="B5211" s="5"/>
      <c r="C5211" s="6"/>
    </row>
    <row r="5212" spans="1:3" x14ac:dyDescent="0.25">
      <c r="A5212" s="4"/>
      <c r="B5212" s="5"/>
      <c r="C5212" s="6"/>
    </row>
    <row r="5213" spans="1:3" x14ac:dyDescent="0.25">
      <c r="A5213" s="4"/>
      <c r="B5213" s="5"/>
      <c r="C5213" s="5"/>
    </row>
    <row r="5214" spans="1:3" x14ac:dyDescent="0.25">
      <c r="A5214" s="4"/>
      <c r="B5214" s="5"/>
      <c r="C5214" s="5"/>
    </row>
    <row r="5215" spans="1:3" x14ac:dyDescent="0.25">
      <c r="A5215" s="4"/>
      <c r="B5215" s="5"/>
      <c r="C5215" s="6"/>
    </row>
    <row r="5216" spans="1:3" x14ac:dyDescent="0.25">
      <c r="A5216" s="4"/>
      <c r="B5216" s="5"/>
      <c r="C5216" s="6"/>
    </row>
    <row r="5217" spans="1:3" x14ac:dyDescent="0.25">
      <c r="A5217" s="4"/>
      <c r="B5217" s="5"/>
      <c r="C5217" s="6"/>
    </row>
    <row r="5218" spans="1:3" x14ac:dyDescent="0.25">
      <c r="A5218" s="4"/>
      <c r="B5218" s="5"/>
      <c r="C5218" s="5"/>
    </row>
    <row r="5219" spans="1:3" x14ac:dyDescent="0.25">
      <c r="A5219" s="4"/>
      <c r="B5219" s="5"/>
      <c r="C5219" s="6"/>
    </row>
    <row r="5220" spans="1:3" x14ac:dyDescent="0.25">
      <c r="A5220" s="4"/>
      <c r="B5220" s="5"/>
      <c r="C5220" s="6"/>
    </row>
    <row r="5221" spans="1:3" x14ac:dyDescent="0.25">
      <c r="A5221" s="4"/>
      <c r="B5221" s="5"/>
      <c r="C5221" s="6"/>
    </row>
    <row r="5222" spans="1:3" x14ac:dyDescent="0.25">
      <c r="A5222" s="4"/>
      <c r="B5222" s="5"/>
      <c r="C5222" s="6"/>
    </row>
    <row r="5223" spans="1:3" x14ac:dyDescent="0.25">
      <c r="A5223" s="4"/>
      <c r="B5223" s="5"/>
      <c r="C5223" s="6"/>
    </row>
    <row r="5224" spans="1:3" x14ac:dyDescent="0.25">
      <c r="A5224" s="4"/>
      <c r="B5224" s="5"/>
      <c r="C5224" s="6"/>
    </row>
    <row r="5225" spans="1:3" x14ac:dyDescent="0.25">
      <c r="A5225" s="4"/>
      <c r="B5225" s="5"/>
      <c r="C5225" s="6"/>
    </row>
    <row r="5226" spans="1:3" x14ac:dyDescent="0.25">
      <c r="A5226" s="4"/>
      <c r="B5226" s="5"/>
      <c r="C5226" s="6"/>
    </row>
    <row r="5227" spans="1:3" x14ac:dyDescent="0.25">
      <c r="A5227" s="4"/>
      <c r="B5227" s="5"/>
      <c r="C5227" s="6"/>
    </row>
    <row r="5228" spans="1:3" x14ac:dyDescent="0.25">
      <c r="A5228" s="4"/>
      <c r="B5228" s="5"/>
      <c r="C5228" s="6"/>
    </row>
    <row r="5229" spans="1:3" x14ac:dyDescent="0.25">
      <c r="A5229" s="4"/>
      <c r="B5229" s="5"/>
      <c r="C5229" s="6"/>
    </row>
    <row r="5230" spans="1:3" x14ac:dyDescent="0.25">
      <c r="A5230" s="4"/>
      <c r="B5230" s="5"/>
      <c r="C5230" s="6"/>
    </row>
    <row r="5231" spans="1:3" x14ac:dyDescent="0.25">
      <c r="A5231" s="4"/>
      <c r="B5231" s="5"/>
      <c r="C5231" s="6"/>
    </row>
    <row r="5232" spans="1:3" x14ac:dyDescent="0.25">
      <c r="A5232" s="4"/>
      <c r="B5232" s="5"/>
      <c r="C5232" s="6"/>
    </row>
    <row r="5233" spans="1:3" x14ac:dyDescent="0.25">
      <c r="A5233" s="4"/>
      <c r="B5233" s="5"/>
      <c r="C5233" s="6"/>
    </row>
    <row r="5234" spans="1:3" x14ac:dyDescent="0.25">
      <c r="A5234" s="4"/>
      <c r="B5234" s="5"/>
      <c r="C5234" s="6"/>
    </row>
    <row r="5235" spans="1:3" x14ac:dyDescent="0.25">
      <c r="A5235" s="4"/>
      <c r="B5235" s="5"/>
      <c r="C5235" s="6"/>
    </row>
    <row r="5236" spans="1:3" x14ac:dyDescent="0.25">
      <c r="A5236" s="4"/>
      <c r="B5236" s="5"/>
      <c r="C5236" s="6"/>
    </row>
    <row r="5237" spans="1:3" x14ac:dyDescent="0.25">
      <c r="A5237" s="4"/>
      <c r="B5237" s="5"/>
      <c r="C5237" s="6"/>
    </row>
    <row r="5238" spans="1:3" x14ac:dyDescent="0.25">
      <c r="A5238" s="4"/>
      <c r="B5238" s="5"/>
      <c r="C5238" s="6"/>
    </row>
    <row r="5239" spans="1:3" x14ac:dyDescent="0.25">
      <c r="A5239" s="4"/>
      <c r="B5239" s="5"/>
      <c r="C5239" s="6"/>
    </row>
    <row r="5240" spans="1:3" x14ac:dyDescent="0.25">
      <c r="A5240" s="4"/>
      <c r="B5240" s="5"/>
      <c r="C5240" s="6"/>
    </row>
    <row r="5241" spans="1:3" x14ac:dyDescent="0.25">
      <c r="A5241" s="4"/>
      <c r="B5241" s="5"/>
      <c r="C5241" s="6"/>
    </row>
    <row r="5242" spans="1:3" x14ac:dyDescent="0.25">
      <c r="A5242" s="4"/>
      <c r="B5242" s="5"/>
      <c r="C5242" s="6"/>
    </row>
    <row r="5243" spans="1:3" x14ac:dyDescent="0.25">
      <c r="A5243" s="4"/>
      <c r="B5243" s="5"/>
      <c r="C5243" s="6"/>
    </row>
    <row r="5244" spans="1:3" x14ac:dyDescent="0.25">
      <c r="A5244" s="4"/>
      <c r="B5244" s="5"/>
      <c r="C5244" s="6"/>
    </row>
    <row r="5245" spans="1:3" x14ac:dyDescent="0.25">
      <c r="A5245" s="4"/>
      <c r="B5245" s="5"/>
      <c r="C5245" s="6"/>
    </row>
    <row r="5246" spans="1:3" x14ac:dyDescent="0.25">
      <c r="A5246" s="4"/>
      <c r="B5246" s="5"/>
      <c r="C5246" s="6"/>
    </row>
    <row r="5247" spans="1:3" x14ac:dyDescent="0.25">
      <c r="A5247" s="4"/>
      <c r="B5247" s="5"/>
      <c r="C5247" s="6"/>
    </row>
    <row r="5248" spans="1:3" x14ac:dyDescent="0.25">
      <c r="A5248" s="4"/>
      <c r="B5248" s="5"/>
      <c r="C5248" s="6"/>
    </row>
    <row r="5249" spans="1:3" x14ac:dyDescent="0.25">
      <c r="A5249" s="4"/>
      <c r="B5249" s="5"/>
      <c r="C5249" s="6"/>
    </row>
    <row r="5250" spans="1:3" x14ac:dyDescent="0.25">
      <c r="A5250" s="4"/>
      <c r="B5250" s="5"/>
      <c r="C5250" s="6"/>
    </row>
    <row r="5251" spans="1:3" x14ac:dyDescent="0.25">
      <c r="A5251" s="4"/>
      <c r="B5251" s="5"/>
      <c r="C5251" s="6"/>
    </row>
    <row r="5252" spans="1:3" x14ac:dyDescent="0.25">
      <c r="A5252" s="4"/>
      <c r="B5252" s="5"/>
      <c r="C5252" s="6"/>
    </row>
    <row r="5253" spans="1:3" x14ac:dyDescent="0.25">
      <c r="A5253" s="4"/>
      <c r="B5253" s="5"/>
      <c r="C5253" s="6"/>
    </row>
    <row r="5254" spans="1:3" x14ac:dyDescent="0.25">
      <c r="A5254" s="4"/>
      <c r="B5254" s="5"/>
      <c r="C5254" s="6"/>
    </row>
    <row r="5255" spans="1:3" x14ac:dyDescent="0.25">
      <c r="A5255" s="4"/>
      <c r="B5255" s="5"/>
      <c r="C5255" s="6"/>
    </row>
    <row r="5256" spans="1:3" x14ac:dyDescent="0.25">
      <c r="A5256" s="4"/>
      <c r="B5256" s="5"/>
      <c r="C5256" s="6"/>
    </row>
    <row r="5257" spans="1:3" x14ac:dyDescent="0.25">
      <c r="A5257" s="4"/>
      <c r="B5257" s="5"/>
      <c r="C5257" s="6"/>
    </row>
    <row r="5258" spans="1:3" x14ac:dyDescent="0.25">
      <c r="A5258" s="4"/>
      <c r="B5258" s="5"/>
      <c r="C5258" s="6"/>
    </row>
    <row r="5259" spans="1:3" x14ac:dyDescent="0.25">
      <c r="A5259" s="4"/>
      <c r="B5259" s="5"/>
      <c r="C5259" s="6"/>
    </row>
    <row r="5260" spans="1:3" x14ac:dyDescent="0.25">
      <c r="A5260" s="4"/>
      <c r="B5260" s="5"/>
      <c r="C5260" s="6"/>
    </row>
    <row r="5261" spans="1:3" x14ac:dyDescent="0.25">
      <c r="A5261" s="4"/>
      <c r="B5261" s="5"/>
      <c r="C5261" s="6"/>
    </row>
    <row r="5262" spans="1:3" x14ac:dyDescent="0.25">
      <c r="A5262" s="4"/>
      <c r="B5262" s="5"/>
      <c r="C5262" s="6"/>
    </row>
    <row r="5263" spans="1:3" x14ac:dyDescent="0.25">
      <c r="A5263" s="4"/>
      <c r="B5263" s="5"/>
      <c r="C5263" s="6"/>
    </row>
    <row r="5264" spans="1:3" x14ac:dyDescent="0.25">
      <c r="A5264" s="4"/>
      <c r="B5264" s="5"/>
      <c r="C5264" s="6"/>
    </row>
    <row r="5265" spans="1:3" x14ac:dyDescent="0.25">
      <c r="A5265" s="4"/>
      <c r="B5265" s="5"/>
      <c r="C5265" s="6"/>
    </row>
    <row r="5266" spans="1:3" x14ac:dyDescent="0.25">
      <c r="A5266" s="4"/>
      <c r="B5266" s="5"/>
      <c r="C5266" s="6"/>
    </row>
    <row r="5267" spans="1:3" x14ac:dyDescent="0.25">
      <c r="A5267" s="4"/>
      <c r="B5267" s="5"/>
      <c r="C5267" s="6"/>
    </row>
    <row r="5268" spans="1:3" x14ac:dyDescent="0.25">
      <c r="A5268" s="4"/>
      <c r="B5268" s="5"/>
      <c r="C5268" s="6"/>
    </row>
    <row r="5269" spans="1:3" x14ac:dyDescent="0.25">
      <c r="A5269" s="4"/>
      <c r="B5269" s="5"/>
      <c r="C5269" s="6"/>
    </row>
    <row r="5270" spans="1:3" x14ac:dyDescent="0.25">
      <c r="A5270" s="4"/>
      <c r="B5270" s="5"/>
      <c r="C5270" s="6"/>
    </row>
    <row r="5271" spans="1:3" x14ac:dyDescent="0.25">
      <c r="A5271" s="4"/>
      <c r="B5271" s="5"/>
      <c r="C5271" s="6"/>
    </row>
    <row r="5272" spans="1:3" x14ac:dyDescent="0.25">
      <c r="A5272" s="4"/>
      <c r="B5272" s="5"/>
      <c r="C5272" s="6"/>
    </row>
    <row r="5273" spans="1:3" x14ac:dyDescent="0.25">
      <c r="A5273" s="4"/>
      <c r="B5273" s="5"/>
      <c r="C5273" s="6"/>
    </row>
    <row r="5274" spans="1:3" x14ac:dyDescent="0.25">
      <c r="A5274" s="4"/>
      <c r="B5274" s="5"/>
      <c r="C5274" s="6"/>
    </row>
    <row r="5275" spans="1:3" x14ac:dyDescent="0.25">
      <c r="A5275" s="4"/>
      <c r="B5275" s="5"/>
      <c r="C5275" s="6"/>
    </row>
    <row r="5276" spans="1:3" x14ac:dyDescent="0.25">
      <c r="A5276" s="4"/>
      <c r="B5276" s="5"/>
      <c r="C5276" s="6"/>
    </row>
    <row r="5277" spans="1:3" x14ac:dyDescent="0.25">
      <c r="A5277" s="4"/>
      <c r="B5277" s="5"/>
      <c r="C5277" s="6"/>
    </row>
    <row r="5278" spans="1:3" x14ac:dyDescent="0.25">
      <c r="A5278" s="4"/>
      <c r="B5278" s="5"/>
      <c r="C5278" s="6"/>
    </row>
    <row r="5279" spans="1:3" x14ac:dyDescent="0.25">
      <c r="A5279" s="4"/>
      <c r="B5279" s="5"/>
      <c r="C5279" s="6"/>
    </row>
    <row r="5280" spans="1:3" x14ac:dyDescent="0.25">
      <c r="A5280" s="4"/>
      <c r="B5280" s="5"/>
      <c r="C5280" s="6"/>
    </row>
    <row r="5281" spans="1:3" x14ac:dyDescent="0.25">
      <c r="A5281" s="4"/>
      <c r="B5281" s="5"/>
      <c r="C5281" s="6"/>
    </row>
    <row r="5282" spans="1:3" x14ac:dyDescent="0.25">
      <c r="A5282" s="4"/>
      <c r="B5282" s="5"/>
      <c r="C5282" s="5"/>
    </row>
    <row r="5283" spans="1:3" x14ac:dyDescent="0.25">
      <c r="A5283" s="4"/>
      <c r="B5283" s="5"/>
      <c r="C5283" s="5"/>
    </row>
    <row r="5284" spans="1:3" x14ac:dyDescent="0.25">
      <c r="A5284" s="4"/>
      <c r="B5284" s="5"/>
      <c r="C5284" s="6"/>
    </row>
    <row r="5285" spans="1:3" x14ac:dyDescent="0.25">
      <c r="A5285" s="4"/>
      <c r="B5285" s="5"/>
      <c r="C5285" s="6"/>
    </row>
    <row r="5286" spans="1:3" x14ac:dyDescent="0.25">
      <c r="A5286" s="4"/>
      <c r="B5286" s="5"/>
      <c r="C5286" s="6"/>
    </row>
    <row r="5287" spans="1:3" x14ac:dyDescent="0.25">
      <c r="A5287" s="4"/>
      <c r="B5287" s="5"/>
      <c r="C5287" s="6"/>
    </row>
    <row r="5288" spans="1:3" x14ac:dyDescent="0.25">
      <c r="A5288" s="4"/>
      <c r="B5288" s="5"/>
      <c r="C5288" s="6"/>
    </row>
    <row r="5289" spans="1:3" x14ac:dyDescent="0.25">
      <c r="A5289" s="4"/>
      <c r="B5289" s="5"/>
      <c r="C5289" s="6"/>
    </row>
    <row r="5290" spans="1:3" x14ac:dyDescent="0.25">
      <c r="A5290" s="4"/>
      <c r="B5290" s="5"/>
      <c r="C5290" s="6"/>
    </row>
    <row r="5291" spans="1:3" x14ac:dyDescent="0.25">
      <c r="A5291" s="4"/>
      <c r="B5291" s="5"/>
      <c r="C5291" s="6"/>
    </row>
    <row r="5292" spans="1:3" x14ac:dyDescent="0.25">
      <c r="A5292" s="4"/>
      <c r="B5292" s="5"/>
      <c r="C5292" s="6"/>
    </row>
    <row r="5293" spans="1:3" x14ac:dyDescent="0.25">
      <c r="A5293" s="4"/>
      <c r="B5293" s="5"/>
      <c r="C5293" s="6"/>
    </row>
    <row r="5294" spans="1:3" x14ac:dyDescent="0.25">
      <c r="A5294" s="4"/>
      <c r="B5294" s="5"/>
      <c r="C5294" s="6"/>
    </row>
    <row r="5295" spans="1:3" x14ac:dyDescent="0.25">
      <c r="A5295" s="4"/>
      <c r="B5295" s="5"/>
      <c r="C5295" s="6"/>
    </row>
    <row r="5296" spans="1:3" x14ac:dyDescent="0.25">
      <c r="A5296" s="4"/>
      <c r="B5296" s="5"/>
      <c r="C5296" s="6"/>
    </row>
    <row r="5297" spans="1:3" x14ac:dyDescent="0.25">
      <c r="A5297" s="4"/>
      <c r="B5297" s="5"/>
      <c r="C5297" s="6"/>
    </row>
    <row r="5298" spans="1:3" x14ac:dyDescent="0.25">
      <c r="A5298" s="4"/>
      <c r="B5298" s="5"/>
      <c r="C5298" s="6"/>
    </row>
    <row r="5299" spans="1:3" x14ac:dyDescent="0.25">
      <c r="A5299" s="4"/>
      <c r="B5299" s="5"/>
      <c r="C5299" s="6"/>
    </row>
    <row r="5300" spans="1:3" x14ac:dyDescent="0.25">
      <c r="A5300" s="4"/>
      <c r="B5300" s="5"/>
      <c r="C5300" s="6"/>
    </row>
    <row r="5301" spans="1:3" x14ac:dyDescent="0.25">
      <c r="A5301" s="4"/>
      <c r="B5301" s="5"/>
      <c r="C5301" s="6"/>
    </row>
    <row r="5302" spans="1:3" x14ac:dyDescent="0.25">
      <c r="A5302" s="4"/>
      <c r="B5302" s="5"/>
      <c r="C5302" s="6"/>
    </row>
    <row r="5303" spans="1:3" x14ac:dyDescent="0.25">
      <c r="A5303" s="4"/>
      <c r="B5303" s="5"/>
      <c r="C5303" s="6"/>
    </row>
    <row r="5304" spans="1:3" x14ac:dyDescent="0.25">
      <c r="A5304" s="4"/>
      <c r="B5304" s="5"/>
      <c r="C5304" s="6"/>
    </row>
    <row r="5305" spans="1:3" x14ac:dyDescent="0.25">
      <c r="A5305" s="4"/>
      <c r="B5305" s="5"/>
      <c r="C5305" s="6"/>
    </row>
    <row r="5306" spans="1:3" x14ac:dyDescent="0.25">
      <c r="A5306" s="4"/>
      <c r="B5306" s="5"/>
      <c r="C5306" s="6"/>
    </row>
    <row r="5307" spans="1:3" x14ac:dyDescent="0.25">
      <c r="A5307" s="4"/>
      <c r="B5307" s="5"/>
      <c r="C5307" s="6"/>
    </row>
    <row r="5308" spans="1:3" x14ac:dyDescent="0.25">
      <c r="A5308" s="4"/>
      <c r="B5308" s="5"/>
      <c r="C5308" s="5"/>
    </row>
    <row r="5309" spans="1:3" x14ac:dyDescent="0.25">
      <c r="A5309" s="4"/>
      <c r="B5309" s="5"/>
      <c r="C5309" s="6"/>
    </row>
    <row r="5310" spans="1:3" x14ac:dyDescent="0.25">
      <c r="A5310" s="4"/>
      <c r="B5310" s="5"/>
      <c r="C5310" s="6"/>
    </row>
    <row r="5311" spans="1:3" x14ac:dyDescent="0.25">
      <c r="A5311" s="4"/>
      <c r="B5311" s="5"/>
      <c r="C5311" s="6"/>
    </row>
    <row r="5312" spans="1:3" x14ac:dyDescent="0.25">
      <c r="A5312" s="4"/>
      <c r="B5312" s="5"/>
      <c r="C5312" s="6"/>
    </row>
    <row r="5313" spans="1:3" x14ac:dyDescent="0.25">
      <c r="A5313" s="4"/>
      <c r="B5313" s="5"/>
      <c r="C5313" s="6"/>
    </row>
    <row r="5314" spans="1:3" x14ac:dyDescent="0.25">
      <c r="A5314" s="4"/>
      <c r="B5314" s="5"/>
      <c r="C5314" s="6"/>
    </row>
    <row r="5315" spans="1:3" x14ac:dyDescent="0.25">
      <c r="A5315" s="4"/>
      <c r="B5315" s="5"/>
      <c r="C5315" s="6"/>
    </row>
    <row r="5316" spans="1:3" x14ac:dyDescent="0.25">
      <c r="A5316" s="4"/>
      <c r="B5316" s="5"/>
      <c r="C5316" s="6"/>
    </row>
    <row r="5317" spans="1:3" x14ac:dyDescent="0.25">
      <c r="A5317" s="4"/>
      <c r="B5317" s="5"/>
      <c r="C5317" s="6"/>
    </row>
    <row r="5318" spans="1:3" x14ac:dyDescent="0.25">
      <c r="A5318" s="4"/>
      <c r="B5318" s="5"/>
      <c r="C5318" s="6"/>
    </row>
    <row r="5319" spans="1:3" x14ac:dyDescent="0.25">
      <c r="A5319" s="4"/>
      <c r="B5319" s="5"/>
      <c r="C5319" s="6"/>
    </row>
    <row r="5320" spans="1:3" x14ac:dyDescent="0.25">
      <c r="A5320" s="4"/>
      <c r="B5320" s="5"/>
      <c r="C5320" s="6"/>
    </row>
    <row r="5321" spans="1:3" x14ac:dyDescent="0.25">
      <c r="A5321" s="4"/>
      <c r="B5321" s="5"/>
      <c r="C5321" s="6"/>
    </row>
    <row r="5322" spans="1:3" x14ac:dyDescent="0.25">
      <c r="A5322" s="4"/>
      <c r="B5322" s="5"/>
      <c r="C5322" s="6"/>
    </row>
    <row r="5323" spans="1:3" x14ac:dyDescent="0.25">
      <c r="A5323" s="4"/>
      <c r="B5323" s="5"/>
      <c r="C5323" s="5"/>
    </row>
    <row r="5324" spans="1:3" x14ac:dyDescent="0.25">
      <c r="A5324" s="4"/>
      <c r="B5324" s="5"/>
      <c r="C5324" s="6"/>
    </row>
    <row r="5325" spans="1:3" x14ac:dyDescent="0.25">
      <c r="A5325" s="4"/>
      <c r="B5325" s="5"/>
      <c r="C5325" s="6"/>
    </row>
    <row r="5326" spans="1:3" x14ac:dyDescent="0.25">
      <c r="A5326" s="4"/>
      <c r="B5326" s="5"/>
      <c r="C5326" s="6"/>
    </row>
    <row r="5327" spans="1:3" x14ac:dyDescent="0.25">
      <c r="A5327" s="4"/>
      <c r="B5327" s="5"/>
      <c r="C5327" s="6"/>
    </row>
    <row r="5328" spans="1:3" x14ac:dyDescent="0.25">
      <c r="A5328" s="4"/>
      <c r="B5328" s="5"/>
      <c r="C5328" s="6"/>
    </row>
    <row r="5329" spans="1:3" x14ac:dyDescent="0.25">
      <c r="A5329" s="4"/>
      <c r="B5329" s="5"/>
      <c r="C5329" s="6"/>
    </row>
    <row r="5330" spans="1:3" x14ac:dyDescent="0.25">
      <c r="A5330" s="4"/>
      <c r="B5330" s="5"/>
      <c r="C5330" s="6"/>
    </row>
    <row r="5331" spans="1:3" x14ac:dyDescent="0.25">
      <c r="A5331" s="4"/>
      <c r="B5331" s="5"/>
      <c r="C5331" s="6"/>
    </row>
    <row r="5332" spans="1:3" x14ac:dyDescent="0.25">
      <c r="A5332" s="4"/>
      <c r="B5332" s="5"/>
      <c r="C5332" s="6"/>
    </row>
    <row r="5333" spans="1:3" x14ac:dyDescent="0.25">
      <c r="A5333" s="4"/>
      <c r="B5333" s="5"/>
      <c r="C5333" s="6"/>
    </row>
    <row r="5334" spans="1:3" x14ac:dyDescent="0.25">
      <c r="A5334" s="4"/>
      <c r="B5334" s="5"/>
      <c r="C5334" s="6"/>
    </row>
    <row r="5335" spans="1:3" x14ac:dyDescent="0.25">
      <c r="A5335" s="4"/>
      <c r="B5335" s="5"/>
      <c r="C5335" s="6"/>
    </row>
    <row r="5336" spans="1:3" x14ac:dyDescent="0.25">
      <c r="A5336" s="4"/>
      <c r="B5336" s="5"/>
      <c r="C5336" s="6"/>
    </row>
    <row r="5337" spans="1:3" x14ac:dyDescent="0.25">
      <c r="A5337" s="4"/>
      <c r="B5337" s="5"/>
      <c r="C5337" s="6"/>
    </row>
    <row r="5338" spans="1:3" x14ac:dyDescent="0.25">
      <c r="A5338" s="4"/>
      <c r="B5338" s="5"/>
      <c r="C5338" s="6"/>
    </row>
    <row r="5339" spans="1:3" x14ac:dyDescent="0.25">
      <c r="A5339" s="4"/>
      <c r="B5339" s="5"/>
      <c r="C5339" s="6"/>
    </row>
    <row r="5340" spans="1:3" x14ac:dyDescent="0.25">
      <c r="A5340" s="4"/>
      <c r="B5340" s="5"/>
      <c r="C5340" s="6"/>
    </row>
    <row r="5341" spans="1:3" x14ac:dyDescent="0.25">
      <c r="A5341" s="4"/>
      <c r="B5341" s="5"/>
      <c r="C5341" s="6"/>
    </row>
    <row r="5342" spans="1:3" x14ac:dyDescent="0.25">
      <c r="A5342" s="4"/>
      <c r="B5342" s="5"/>
      <c r="C5342" s="6"/>
    </row>
    <row r="5343" spans="1:3" x14ac:dyDescent="0.25">
      <c r="A5343" s="4"/>
      <c r="B5343" s="5"/>
      <c r="C5343" s="6"/>
    </row>
    <row r="5344" spans="1:3" x14ac:dyDescent="0.25">
      <c r="A5344" s="4"/>
      <c r="B5344" s="5"/>
      <c r="C5344" s="6"/>
    </row>
    <row r="5345" spans="1:3" x14ac:dyDescent="0.25">
      <c r="A5345" s="4"/>
      <c r="B5345" s="5"/>
      <c r="C5345" s="6"/>
    </row>
    <row r="5346" spans="1:3" x14ac:dyDescent="0.25">
      <c r="A5346" s="4"/>
      <c r="B5346" s="5"/>
      <c r="C5346" s="6"/>
    </row>
    <row r="5347" spans="1:3" x14ac:dyDescent="0.25">
      <c r="A5347" s="4"/>
      <c r="B5347" s="5"/>
      <c r="C5347" s="6"/>
    </row>
    <row r="5348" spans="1:3" x14ac:dyDescent="0.25">
      <c r="A5348" s="4"/>
      <c r="B5348" s="5"/>
      <c r="C5348" s="6"/>
    </row>
    <row r="5349" spans="1:3" x14ac:dyDescent="0.25">
      <c r="A5349" s="4"/>
      <c r="B5349" s="5"/>
      <c r="C5349" s="6"/>
    </row>
    <row r="5350" spans="1:3" x14ac:dyDescent="0.25">
      <c r="A5350" s="4"/>
      <c r="B5350" s="5"/>
      <c r="C5350" s="6"/>
    </row>
    <row r="5351" spans="1:3" x14ac:dyDescent="0.25">
      <c r="A5351" s="4"/>
      <c r="B5351" s="5"/>
      <c r="C5351" s="6"/>
    </row>
    <row r="5352" spans="1:3" x14ac:dyDescent="0.25">
      <c r="A5352" s="4"/>
      <c r="B5352" s="5"/>
      <c r="C5352" s="6"/>
    </row>
    <row r="5353" spans="1:3" x14ac:dyDescent="0.25">
      <c r="A5353" s="4"/>
      <c r="B5353" s="5"/>
      <c r="C5353" s="6"/>
    </row>
    <row r="5354" spans="1:3" x14ac:dyDescent="0.25">
      <c r="A5354" s="4"/>
      <c r="B5354" s="5"/>
      <c r="C5354" s="6"/>
    </row>
    <row r="5355" spans="1:3" x14ac:dyDescent="0.25">
      <c r="A5355" s="4"/>
      <c r="B5355" s="5"/>
      <c r="C5355" s="6"/>
    </row>
    <row r="5356" spans="1:3" x14ac:dyDescent="0.25">
      <c r="A5356" s="4"/>
      <c r="B5356" s="5"/>
      <c r="C5356" s="6"/>
    </row>
    <row r="5357" spans="1:3" x14ac:dyDescent="0.25">
      <c r="A5357" s="4"/>
      <c r="B5357" s="5"/>
      <c r="C5357" s="6"/>
    </row>
    <row r="5358" spans="1:3" x14ac:dyDescent="0.25">
      <c r="A5358" s="4"/>
      <c r="B5358" s="5"/>
      <c r="C5358" s="6"/>
    </row>
    <row r="5359" spans="1:3" x14ac:dyDescent="0.25">
      <c r="A5359" s="4"/>
      <c r="B5359" s="5"/>
      <c r="C5359" s="6"/>
    </row>
    <row r="5360" spans="1:3" x14ac:dyDescent="0.25">
      <c r="A5360" s="4"/>
      <c r="B5360" s="5"/>
      <c r="C5360" s="6"/>
    </row>
    <row r="5361" spans="1:3" x14ac:dyDescent="0.25">
      <c r="A5361" s="4"/>
      <c r="B5361" s="5"/>
      <c r="C5361" s="6"/>
    </row>
    <row r="5362" spans="1:3" x14ac:dyDescent="0.25">
      <c r="A5362" s="4"/>
      <c r="B5362" s="5"/>
      <c r="C5362" s="6"/>
    </row>
    <row r="5363" spans="1:3" x14ac:dyDescent="0.25">
      <c r="A5363" s="4"/>
      <c r="B5363" s="5"/>
      <c r="C5363" s="6"/>
    </row>
    <row r="5364" spans="1:3" x14ac:dyDescent="0.25">
      <c r="A5364" s="4"/>
      <c r="B5364" s="5"/>
      <c r="C5364" s="6"/>
    </row>
    <row r="5365" spans="1:3" x14ac:dyDescent="0.25">
      <c r="A5365" s="4"/>
      <c r="B5365" s="5"/>
      <c r="C5365" s="6"/>
    </row>
    <row r="5366" spans="1:3" x14ac:dyDescent="0.25">
      <c r="A5366" s="4"/>
      <c r="B5366" s="5"/>
      <c r="C5366" s="6"/>
    </row>
    <row r="5367" spans="1:3" x14ac:dyDescent="0.25">
      <c r="A5367" s="4"/>
      <c r="B5367" s="5"/>
      <c r="C5367" s="6"/>
    </row>
    <row r="5368" spans="1:3" x14ac:dyDescent="0.25">
      <c r="A5368" s="4"/>
      <c r="B5368" s="5"/>
      <c r="C5368" s="6"/>
    </row>
    <row r="5369" spans="1:3" x14ac:dyDescent="0.25">
      <c r="A5369" s="4"/>
      <c r="B5369" s="5"/>
      <c r="C5369" s="6"/>
    </row>
    <row r="5370" spans="1:3" x14ac:dyDescent="0.25">
      <c r="A5370" s="4"/>
      <c r="B5370" s="5"/>
      <c r="C5370" s="6"/>
    </row>
    <row r="5371" spans="1:3" x14ac:dyDescent="0.25">
      <c r="A5371" s="4"/>
      <c r="B5371" s="5"/>
      <c r="C5371" s="6"/>
    </row>
    <row r="5372" spans="1:3" x14ac:dyDescent="0.25">
      <c r="A5372" s="4"/>
      <c r="B5372" s="5"/>
      <c r="C5372" s="6"/>
    </row>
    <row r="5373" spans="1:3" x14ac:dyDescent="0.25">
      <c r="A5373" s="4"/>
      <c r="B5373" s="5"/>
      <c r="C5373" s="6"/>
    </row>
    <row r="5374" spans="1:3" x14ac:dyDescent="0.25">
      <c r="A5374" s="4"/>
      <c r="B5374" s="5"/>
      <c r="C5374" s="6"/>
    </row>
    <row r="5375" spans="1:3" x14ac:dyDescent="0.25">
      <c r="A5375" s="4"/>
      <c r="B5375" s="5"/>
      <c r="C5375" s="6"/>
    </row>
    <row r="5376" spans="1:3" x14ac:dyDescent="0.25">
      <c r="A5376" s="4"/>
      <c r="B5376" s="5"/>
      <c r="C5376" s="6"/>
    </row>
    <row r="5377" spans="1:3" x14ac:dyDescent="0.25">
      <c r="A5377" s="4"/>
      <c r="B5377" s="5"/>
      <c r="C5377" s="6"/>
    </row>
    <row r="5378" spans="1:3" x14ac:dyDescent="0.25">
      <c r="A5378" s="4"/>
      <c r="B5378" s="5"/>
      <c r="C5378" s="6"/>
    </row>
    <row r="5379" spans="1:3" x14ac:dyDescent="0.25">
      <c r="A5379" s="4"/>
      <c r="B5379" s="5"/>
      <c r="C5379" s="6"/>
    </row>
    <row r="5380" spans="1:3" x14ac:dyDescent="0.25">
      <c r="A5380" s="4"/>
      <c r="B5380" s="5"/>
      <c r="C5380" s="6"/>
    </row>
    <row r="5381" spans="1:3" x14ac:dyDescent="0.25">
      <c r="A5381" s="4"/>
      <c r="B5381" s="5"/>
      <c r="C5381" s="6"/>
    </row>
    <row r="5382" spans="1:3" x14ac:dyDescent="0.25">
      <c r="A5382" s="4"/>
      <c r="B5382" s="5"/>
      <c r="C5382" s="6"/>
    </row>
    <row r="5383" spans="1:3" x14ac:dyDescent="0.25">
      <c r="A5383" s="4"/>
      <c r="B5383" s="5"/>
      <c r="C5383" s="6"/>
    </row>
    <row r="5384" spans="1:3" x14ac:dyDescent="0.25">
      <c r="A5384" s="4"/>
      <c r="B5384" s="5"/>
      <c r="C5384" s="6"/>
    </row>
    <row r="5385" spans="1:3" x14ac:dyDescent="0.25">
      <c r="A5385" s="4"/>
      <c r="B5385" s="5"/>
      <c r="C5385" s="6"/>
    </row>
    <row r="5386" spans="1:3" x14ac:dyDescent="0.25">
      <c r="A5386" s="4"/>
      <c r="B5386" s="5"/>
      <c r="C5386" s="6"/>
    </row>
    <row r="5387" spans="1:3" x14ac:dyDescent="0.25">
      <c r="A5387" s="4"/>
      <c r="B5387" s="5"/>
      <c r="C5387" s="6"/>
    </row>
    <row r="5388" spans="1:3" x14ac:dyDescent="0.25">
      <c r="A5388" s="4"/>
      <c r="B5388" s="5"/>
      <c r="C5388" s="6"/>
    </row>
    <row r="5389" spans="1:3" x14ac:dyDescent="0.25">
      <c r="A5389" s="4"/>
      <c r="B5389" s="5"/>
      <c r="C5389" s="6"/>
    </row>
    <row r="5390" spans="1:3" x14ac:dyDescent="0.25">
      <c r="A5390" s="4"/>
      <c r="B5390" s="5"/>
      <c r="C5390" s="6"/>
    </row>
    <row r="5391" spans="1:3" x14ac:dyDescent="0.25">
      <c r="A5391" s="4"/>
      <c r="B5391" s="5"/>
      <c r="C5391" s="6"/>
    </row>
    <row r="5392" spans="1:3" x14ac:dyDescent="0.25">
      <c r="A5392" s="4"/>
      <c r="B5392" s="5"/>
      <c r="C5392" s="6"/>
    </row>
    <row r="5393" spans="1:3" x14ac:dyDescent="0.25">
      <c r="A5393" s="4"/>
      <c r="B5393" s="5"/>
      <c r="C5393" s="6"/>
    </row>
    <row r="5394" spans="1:3" x14ac:dyDescent="0.25">
      <c r="A5394" s="4"/>
      <c r="B5394" s="5"/>
      <c r="C5394" s="6"/>
    </row>
    <row r="5395" spans="1:3" x14ac:dyDescent="0.25">
      <c r="A5395" s="4"/>
      <c r="B5395" s="5"/>
      <c r="C5395" s="6"/>
    </row>
    <row r="5396" spans="1:3" x14ac:dyDescent="0.25">
      <c r="A5396" s="4"/>
      <c r="B5396" s="5"/>
      <c r="C5396" s="6"/>
    </row>
    <row r="5397" spans="1:3" x14ac:dyDescent="0.25">
      <c r="A5397" s="4"/>
      <c r="B5397" s="5"/>
      <c r="C5397" s="6"/>
    </row>
    <row r="5398" spans="1:3" x14ac:dyDescent="0.25">
      <c r="A5398" s="4"/>
      <c r="B5398" s="5"/>
      <c r="C5398" s="6"/>
    </row>
    <row r="5399" spans="1:3" x14ac:dyDescent="0.25">
      <c r="A5399" s="4"/>
      <c r="B5399" s="5"/>
      <c r="C5399" s="6"/>
    </row>
    <row r="5400" spans="1:3" x14ac:dyDescent="0.25">
      <c r="A5400" s="4"/>
      <c r="B5400" s="5"/>
      <c r="C5400" s="6"/>
    </row>
    <row r="5401" spans="1:3" x14ac:dyDescent="0.25">
      <c r="A5401" s="4"/>
      <c r="B5401" s="5"/>
      <c r="C5401" s="6"/>
    </row>
    <row r="5402" spans="1:3" x14ac:dyDescent="0.25">
      <c r="A5402" s="4"/>
      <c r="B5402" s="5"/>
      <c r="C5402" s="6"/>
    </row>
    <row r="5403" spans="1:3" x14ac:dyDescent="0.25">
      <c r="A5403" s="4"/>
      <c r="B5403" s="5"/>
      <c r="C5403" s="6"/>
    </row>
    <row r="5404" spans="1:3" x14ac:dyDescent="0.25">
      <c r="A5404" s="4"/>
      <c r="B5404" s="5"/>
      <c r="C5404" s="6"/>
    </row>
    <row r="5405" spans="1:3" x14ac:dyDescent="0.25">
      <c r="A5405" s="4"/>
      <c r="B5405" s="5"/>
      <c r="C5405" s="6"/>
    </row>
    <row r="5406" spans="1:3" x14ac:dyDescent="0.25">
      <c r="A5406" s="4"/>
      <c r="B5406" s="5"/>
      <c r="C5406" s="6"/>
    </row>
    <row r="5407" spans="1:3" x14ac:dyDescent="0.25">
      <c r="A5407" s="4"/>
      <c r="B5407" s="5"/>
      <c r="C5407" s="6"/>
    </row>
    <row r="5408" spans="1:3" x14ac:dyDescent="0.25">
      <c r="A5408" s="4"/>
      <c r="B5408" s="5"/>
      <c r="C5408" s="6"/>
    </row>
    <row r="5409" spans="1:3" x14ac:dyDescent="0.25">
      <c r="A5409" s="4"/>
      <c r="B5409" s="5"/>
      <c r="C5409" s="6"/>
    </row>
    <row r="5410" spans="1:3" x14ac:dyDescent="0.25">
      <c r="A5410" s="4"/>
      <c r="B5410" s="5"/>
      <c r="C5410" s="6"/>
    </row>
    <row r="5411" spans="1:3" x14ac:dyDescent="0.25">
      <c r="A5411" s="4"/>
      <c r="B5411" s="5"/>
      <c r="C5411" s="6"/>
    </row>
    <row r="5412" spans="1:3" x14ac:dyDescent="0.25">
      <c r="A5412" s="4"/>
      <c r="B5412" s="5"/>
      <c r="C5412" s="6"/>
    </row>
    <row r="5413" spans="1:3" x14ac:dyDescent="0.25">
      <c r="A5413" s="4"/>
      <c r="B5413" s="5"/>
      <c r="C5413" s="6"/>
    </row>
    <row r="5414" spans="1:3" x14ac:dyDescent="0.25">
      <c r="A5414" s="4"/>
      <c r="B5414" s="5"/>
      <c r="C5414" s="6"/>
    </row>
    <row r="5415" spans="1:3" x14ac:dyDescent="0.25">
      <c r="A5415" s="4"/>
      <c r="B5415" s="5"/>
      <c r="C5415" s="6"/>
    </row>
    <row r="5416" spans="1:3" x14ac:dyDescent="0.25">
      <c r="A5416" s="4"/>
      <c r="B5416" s="5"/>
      <c r="C5416" s="6"/>
    </row>
    <row r="5417" spans="1:3" x14ac:dyDescent="0.25">
      <c r="A5417" s="4"/>
      <c r="B5417" s="5"/>
      <c r="C5417" s="6"/>
    </row>
    <row r="5418" spans="1:3" x14ac:dyDescent="0.25">
      <c r="A5418" s="4"/>
      <c r="B5418" s="5"/>
      <c r="C5418" s="6"/>
    </row>
    <row r="5419" spans="1:3" x14ac:dyDescent="0.25">
      <c r="A5419" s="4"/>
      <c r="B5419" s="5"/>
      <c r="C5419" s="6"/>
    </row>
    <row r="5420" spans="1:3" x14ac:dyDescent="0.25">
      <c r="A5420" s="4"/>
      <c r="B5420" s="5"/>
      <c r="C5420" s="6"/>
    </row>
    <row r="5421" spans="1:3" x14ac:dyDescent="0.25">
      <c r="A5421" s="4"/>
      <c r="B5421" s="5"/>
      <c r="C5421" s="6"/>
    </row>
    <row r="5422" spans="1:3" x14ac:dyDescent="0.25">
      <c r="A5422" s="4"/>
      <c r="B5422" s="5"/>
      <c r="C5422" s="6"/>
    </row>
    <row r="5423" spans="1:3" x14ac:dyDescent="0.25">
      <c r="A5423" s="4"/>
      <c r="B5423" s="5"/>
      <c r="C5423" s="6"/>
    </row>
    <row r="5424" spans="1:3" x14ac:dyDescent="0.25">
      <c r="A5424" s="4"/>
      <c r="B5424" s="5"/>
      <c r="C5424" s="6"/>
    </row>
    <row r="5425" spans="1:3" x14ac:dyDescent="0.25">
      <c r="A5425" s="4"/>
      <c r="B5425" s="5"/>
      <c r="C5425" s="6"/>
    </row>
    <row r="5426" spans="1:3" x14ac:dyDescent="0.25">
      <c r="A5426" s="4"/>
      <c r="B5426" s="5"/>
      <c r="C5426" s="6"/>
    </row>
    <row r="5427" spans="1:3" x14ac:dyDescent="0.25">
      <c r="A5427" s="4"/>
      <c r="B5427" s="5"/>
      <c r="C5427" s="6"/>
    </row>
    <row r="5428" spans="1:3" x14ac:dyDescent="0.25">
      <c r="A5428" s="4"/>
      <c r="B5428" s="5"/>
      <c r="C5428" s="6"/>
    </row>
    <row r="5429" spans="1:3" x14ac:dyDescent="0.25">
      <c r="A5429" s="4"/>
      <c r="B5429" s="5"/>
      <c r="C5429" s="6"/>
    </row>
    <row r="5430" spans="1:3" x14ac:dyDescent="0.25">
      <c r="A5430" s="4"/>
      <c r="B5430" s="5"/>
      <c r="C5430" s="6"/>
    </row>
    <row r="5431" spans="1:3" x14ac:dyDescent="0.25">
      <c r="A5431" s="4"/>
      <c r="B5431" s="5"/>
      <c r="C5431" s="6"/>
    </row>
    <row r="5432" spans="1:3" x14ac:dyDescent="0.25">
      <c r="A5432" s="4"/>
      <c r="B5432" s="5"/>
      <c r="C5432" s="6"/>
    </row>
    <row r="5433" spans="1:3" x14ac:dyDescent="0.25">
      <c r="A5433" s="4"/>
      <c r="B5433" s="5"/>
      <c r="C5433" s="6"/>
    </row>
    <row r="5434" spans="1:3" x14ac:dyDescent="0.25">
      <c r="A5434" s="4"/>
      <c r="B5434" s="5"/>
      <c r="C5434" s="6"/>
    </row>
    <row r="5435" spans="1:3" x14ac:dyDescent="0.25">
      <c r="A5435" s="4"/>
      <c r="B5435" s="5"/>
      <c r="C5435" s="6"/>
    </row>
    <row r="5436" spans="1:3" x14ac:dyDescent="0.25">
      <c r="A5436" s="4"/>
      <c r="B5436" s="5"/>
      <c r="C5436" s="6"/>
    </row>
    <row r="5437" spans="1:3" x14ac:dyDescent="0.25">
      <c r="A5437" s="4"/>
      <c r="B5437" s="5"/>
      <c r="C5437" s="6"/>
    </row>
    <row r="5438" spans="1:3" x14ac:dyDescent="0.25">
      <c r="A5438" s="4"/>
      <c r="B5438" s="5"/>
      <c r="C5438" s="6"/>
    </row>
    <row r="5439" spans="1:3" x14ac:dyDescent="0.25">
      <c r="A5439" s="4"/>
      <c r="B5439" s="5"/>
      <c r="C5439" s="6"/>
    </row>
    <row r="5440" spans="1:3" x14ac:dyDescent="0.25">
      <c r="A5440" s="4"/>
      <c r="B5440" s="5"/>
      <c r="C5440" s="6"/>
    </row>
    <row r="5441" spans="1:3" x14ac:dyDescent="0.25">
      <c r="A5441" s="4"/>
      <c r="B5441" s="5"/>
      <c r="C5441" s="6"/>
    </row>
    <row r="5442" spans="1:3" x14ac:dyDescent="0.25">
      <c r="A5442" s="4"/>
      <c r="B5442" s="5"/>
      <c r="C5442" s="6"/>
    </row>
    <row r="5443" spans="1:3" x14ac:dyDescent="0.25">
      <c r="A5443" s="4"/>
      <c r="B5443" s="5"/>
      <c r="C5443" s="6"/>
    </row>
    <row r="5444" spans="1:3" x14ac:dyDescent="0.25">
      <c r="A5444" s="4"/>
      <c r="B5444" s="5"/>
      <c r="C5444" s="6"/>
    </row>
    <row r="5445" spans="1:3" x14ac:dyDescent="0.25">
      <c r="A5445" s="4"/>
      <c r="B5445" s="5"/>
      <c r="C5445" s="6"/>
    </row>
    <row r="5446" spans="1:3" x14ac:dyDescent="0.25">
      <c r="A5446" s="4"/>
      <c r="B5446" s="5"/>
      <c r="C5446" s="6"/>
    </row>
    <row r="5447" spans="1:3" x14ac:dyDescent="0.25">
      <c r="A5447" s="4"/>
      <c r="B5447" s="5"/>
      <c r="C5447" s="6"/>
    </row>
    <row r="5448" spans="1:3" x14ac:dyDescent="0.25">
      <c r="A5448" s="4"/>
      <c r="B5448" s="5"/>
      <c r="C5448" s="6"/>
    </row>
    <row r="5449" spans="1:3" x14ac:dyDescent="0.25">
      <c r="A5449" s="4"/>
      <c r="B5449" s="5"/>
      <c r="C5449" s="6"/>
    </row>
    <row r="5450" spans="1:3" x14ac:dyDescent="0.25">
      <c r="A5450" s="4"/>
      <c r="B5450" s="5"/>
      <c r="C5450" s="6"/>
    </row>
    <row r="5451" spans="1:3" x14ac:dyDescent="0.25">
      <c r="A5451" s="4"/>
      <c r="B5451" s="5"/>
      <c r="C5451" s="6"/>
    </row>
    <row r="5452" spans="1:3" x14ac:dyDescent="0.25">
      <c r="A5452" s="4"/>
      <c r="B5452" s="5"/>
      <c r="C5452" s="6"/>
    </row>
    <row r="5453" spans="1:3" x14ac:dyDescent="0.25">
      <c r="A5453" s="4"/>
      <c r="B5453" s="5"/>
      <c r="C5453" s="6"/>
    </row>
    <row r="5454" spans="1:3" x14ac:dyDescent="0.25">
      <c r="A5454" s="4"/>
      <c r="B5454" s="5"/>
      <c r="C5454" s="6"/>
    </row>
    <row r="5455" spans="1:3" x14ac:dyDescent="0.25">
      <c r="A5455" s="4"/>
      <c r="B5455" s="5"/>
      <c r="C5455" s="6"/>
    </row>
    <row r="5456" spans="1:3" x14ac:dyDescent="0.25">
      <c r="A5456" s="4"/>
      <c r="B5456" s="5"/>
      <c r="C5456" s="6"/>
    </row>
    <row r="5457" spans="1:3" x14ac:dyDescent="0.25">
      <c r="A5457" s="4"/>
      <c r="B5457" s="5"/>
      <c r="C5457" s="6"/>
    </row>
    <row r="5458" spans="1:3" x14ac:dyDescent="0.25">
      <c r="A5458" s="4"/>
      <c r="B5458" s="5"/>
      <c r="C5458" s="6"/>
    </row>
    <row r="5459" spans="1:3" x14ac:dyDescent="0.25">
      <c r="A5459" s="4"/>
      <c r="B5459" s="5"/>
      <c r="C5459" s="6"/>
    </row>
    <row r="5460" spans="1:3" x14ac:dyDescent="0.25">
      <c r="A5460" s="4"/>
      <c r="B5460" s="5"/>
      <c r="C5460" s="6"/>
    </row>
    <row r="5461" spans="1:3" x14ac:dyDescent="0.25">
      <c r="A5461" s="4"/>
      <c r="B5461" s="5"/>
      <c r="C5461" s="6"/>
    </row>
    <row r="5462" spans="1:3" x14ac:dyDescent="0.25">
      <c r="A5462" s="4"/>
      <c r="B5462" s="5"/>
      <c r="C5462" s="6"/>
    </row>
    <row r="5463" spans="1:3" x14ac:dyDescent="0.25">
      <c r="A5463" s="4"/>
      <c r="B5463" s="5"/>
      <c r="C5463" s="6"/>
    </row>
    <row r="5464" spans="1:3" x14ac:dyDescent="0.25">
      <c r="A5464" s="4"/>
      <c r="B5464" s="5"/>
      <c r="C5464" s="6"/>
    </row>
    <row r="5465" spans="1:3" x14ac:dyDescent="0.25">
      <c r="A5465" s="4"/>
      <c r="B5465" s="5"/>
      <c r="C5465" s="6"/>
    </row>
    <row r="5466" spans="1:3" x14ac:dyDescent="0.25">
      <c r="A5466" s="4"/>
      <c r="B5466" s="5"/>
      <c r="C5466" s="6"/>
    </row>
    <row r="5467" spans="1:3" x14ac:dyDescent="0.25">
      <c r="A5467" s="4"/>
      <c r="B5467" s="5"/>
      <c r="C5467" s="6"/>
    </row>
    <row r="5468" spans="1:3" x14ac:dyDescent="0.25">
      <c r="A5468" s="4"/>
      <c r="B5468" s="5"/>
      <c r="C5468" s="6"/>
    </row>
    <row r="5469" spans="1:3" x14ac:dyDescent="0.25">
      <c r="A5469" s="4"/>
      <c r="B5469" s="5"/>
      <c r="C5469" s="6"/>
    </row>
    <row r="5470" spans="1:3" x14ac:dyDescent="0.25">
      <c r="A5470" s="4"/>
      <c r="B5470" s="5"/>
      <c r="C5470" s="6"/>
    </row>
    <row r="5471" spans="1:3" x14ac:dyDescent="0.25">
      <c r="A5471" s="4"/>
      <c r="B5471" s="5"/>
      <c r="C5471" s="6"/>
    </row>
    <row r="5472" spans="1:3" x14ac:dyDescent="0.25">
      <c r="A5472" s="4"/>
      <c r="B5472" s="5"/>
      <c r="C5472" s="6"/>
    </row>
    <row r="5473" spans="1:3" x14ac:dyDescent="0.25">
      <c r="A5473" s="4"/>
      <c r="B5473" s="5"/>
      <c r="C5473" s="5"/>
    </row>
    <row r="5474" spans="1:3" x14ac:dyDescent="0.25">
      <c r="A5474" s="4"/>
      <c r="B5474" s="5"/>
      <c r="C5474" s="5"/>
    </row>
    <row r="5475" spans="1:3" x14ac:dyDescent="0.25">
      <c r="A5475" s="4"/>
      <c r="B5475" s="5"/>
      <c r="C5475" s="5"/>
    </row>
    <row r="5476" spans="1:3" x14ac:dyDescent="0.25">
      <c r="A5476" s="4"/>
      <c r="B5476" s="5"/>
      <c r="C5476" s="6"/>
    </row>
    <row r="5477" spans="1:3" x14ac:dyDescent="0.25">
      <c r="A5477" s="4"/>
      <c r="B5477" s="5"/>
      <c r="C5477" s="6"/>
    </row>
    <row r="5478" spans="1:3" x14ac:dyDescent="0.25">
      <c r="A5478" s="4"/>
      <c r="B5478" s="5"/>
      <c r="C5478" s="5"/>
    </row>
    <row r="5479" spans="1:3" x14ac:dyDescent="0.25">
      <c r="A5479" s="4"/>
      <c r="B5479" s="5"/>
      <c r="C5479" s="5"/>
    </row>
    <row r="5480" spans="1:3" x14ac:dyDescent="0.25">
      <c r="A5480" s="4"/>
      <c r="B5480" s="5"/>
      <c r="C5480" s="6"/>
    </row>
    <row r="5481" spans="1:3" x14ac:dyDescent="0.25">
      <c r="A5481" s="4"/>
      <c r="B5481" s="5"/>
      <c r="C5481" s="6"/>
    </row>
    <row r="5482" spans="1:3" x14ac:dyDescent="0.25">
      <c r="A5482" s="4"/>
      <c r="B5482" s="5"/>
      <c r="C5482" s="6"/>
    </row>
    <row r="5483" spans="1:3" x14ac:dyDescent="0.25">
      <c r="A5483" s="4"/>
      <c r="B5483" s="5"/>
      <c r="C5483" s="6"/>
    </row>
    <row r="5484" spans="1:3" x14ac:dyDescent="0.25">
      <c r="A5484" s="4"/>
      <c r="B5484" s="5"/>
      <c r="C5484" s="6"/>
    </row>
    <row r="5485" spans="1:3" x14ac:dyDescent="0.25">
      <c r="A5485" s="4"/>
      <c r="B5485" s="5"/>
      <c r="C5485" s="6"/>
    </row>
    <row r="5486" spans="1:3" x14ac:dyDescent="0.25">
      <c r="A5486" s="4"/>
      <c r="B5486" s="5"/>
      <c r="C5486" s="6"/>
    </row>
    <row r="5487" spans="1:3" x14ac:dyDescent="0.25">
      <c r="A5487" s="4"/>
      <c r="B5487" s="5"/>
      <c r="C5487" s="6"/>
    </row>
    <row r="5488" spans="1:3" x14ac:dyDescent="0.25">
      <c r="A5488" s="4"/>
      <c r="B5488" s="5"/>
      <c r="C5488" s="6"/>
    </row>
    <row r="5489" spans="1:3" x14ac:dyDescent="0.25">
      <c r="A5489" s="4"/>
      <c r="B5489" s="5"/>
      <c r="C5489" s="6"/>
    </row>
    <row r="5490" spans="1:3" x14ac:dyDescent="0.25">
      <c r="A5490" s="4"/>
      <c r="B5490" s="5"/>
      <c r="C5490" s="6"/>
    </row>
    <row r="5491" spans="1:3" x14ac:dyDescent="0.25">
      <c r="A5491" s="4"/>
      <c r="B5491" s="5"/>
      <c r="C5491" s="6"/>
    </row>
    <row r="5492" spans="1:3" x14ac:dyDescent="0.25">
      <c r="A5492" s="4"/>
      <c r="B5492" s="5"/>
      <c r="C5492" s="6"/>
    </row>
    <row r="5493" spans="1:3" x14ac:dyDescent="0.25">
      <c r="A5493" s="4"/>
      <c r="B5493" s="5"/>
      <c r="C5493" s="6"/>
    </row>
    <row r="5494" spans="1:3" x14ac:dyDescent="0.25">
      <c r="A5494" s="4"/>
      <c r="B5494" s="5"/>
      <c r="C5494" s="6"/>
    </row>
    <row r="5495" spans="1:3" x14ac:dyDescent="0.25">
      <c r="A5495" s="4"/>
      <c r="B5495" s="5"/>
      <c r="C5495" s="6"/>
    </row>
    <row r="5496" spans="1:3" x14ac:dyDescent="0.25">
      <c r="A5496" s="4"/>
      <c r="B5496" s="5"/>
      <c r="C5496" s="6"/>
    </row>
    <row r="5497" spans="1:3" x14ac:dyDescent="0.25">
      <c r="A5497" s="4"/>
      <c r="B5497" s="5"/>
      <c r="C5497" s="6"/>
    </row>
    <row r="5498" spans="1:3" x14ac:dyDescent="0.25">
      <c r="A5498" s="4"/>
      <c r="B5498" s="5"/>
      <c r="C5498" s="6"/>
    </row>
    <row r="5499" spans="1:3" x14ac:dyDescent="0.25">
      <c r="A5499" s="4"/>
      <c r="B5499" s="5"/>
      <c r="C5499" s="6"/>
    </row>
    <row r="5500" spans="1:3" x14ac:dyDescent="0.25">
      <c r="A5500" s="4"/>
      <c r="B5500" s="5"/>
      <c r="C5500" s="6"/>
    </row>
    <row r="5501" spans="1:3" x14ac:dyDescent="0.25">
      <c r="A5501" s="4"/>
      <c r="B5501" s="5"/>
      <c r="C5501" s="6"/>
    </row>
    <row r="5502" spans="1:3" x14ac:dyDescent="0.25">
      <c r="A5502" s="4"/>
      <c r="B5502" s="5"/>
      <c r="C5502" s="6"/>
    </row>
    <row r="5503" spans="1:3" x14ac:dyDescent="0.25">
      <c r="A5503" s="4"/>
      <c r="B5503" s="5"/>
      <c r="C5503" s="6"/>
    </row>
    <row r="5504" spans="1:3" x14ac:dyDescent="0.25">
      <c r="A5504" s="4"/>
      <c r="B5504" s="5"/>
      <c r="C5504" s="6"/>
    </row>
    <row r="5505" spans="1:3" x14ac:dyDescent="0.25">
      <c r="A5505" s="4"/>
      <c r="B5505" s="5"/>
      <c r="C5505" s="6"/>
    </row>
    <row r="5506" spans="1:3" x14ac:dyDescent="0.25">
      <c r="A5506" s="4"/>
      <c r="B5506" s="5"/>
      <c r="C5506" s="6"/>
    </row>
    <row r="5507" spans="1:3" x14ac:dyDescent="0.25">
      <c r="A5507" s="4"/>
      <c r="B5507" s="5"/>
      <c r="C5507" s="6"/>
    </row>
    <row r="5508" spans="1:3" x14ac:dyDescent="0.25">
      <c r="A5508" s="4"/>
      <c r="B5508" s="5"/>
      <c r="C5508" s="6"/>
    </row>
    <row r="5509" spans="1:3" x14ac:dyDescent="0.25">
      <c r="A5509" s="4"/>
      <c r="B5509" s="5"/>
      <c r="C5509" s="6"/>
    </row>
    <row r="5510" spans="1:3" x14ac:dyDescent="0.25">
      <c r="A5510" s="4"/>
      <c r="B5510" s="5"/>
      <c r="C5510" s="6"/>
    </row>
    <row r="5511" spans="1:3" x14ac:dyDescent="0.25">
      <c r="A5511" s="4"/>
      <c r="B5511" s="5"/>
      <c r="C5511" s="6"/>
    </row>
    <row r="5512" spans="1:3" x14ac:dyDescent="0.25">
      <c r="A5512" s="4"/>
      <c r="B5512" s="5"/>
      <c r="C5512" s="6"/>
    </row>
    <row r="5513" spans="1:3" x14ac:dyDescent="0.25">
      <c r="A5513" s="4"/>
      <c r="B5513" s="5"/>
      <c r="C5513" s="6"/>
    </row>
    <row r="5514" spans="1:3" x14ac:dyDescent="0.25">
      <c r="A5514" s="4"/>
      <c r="B5514" s="5"/>
      <c r="C5514" s="6"/>
    </row>
    <row r="5515" spans="1:3" x14ac:dyDescent="0.25">
      <c r="A5515" s="4"/>
      <c r="B5515" s="5"/>
      <c r="C5515" s="6"/>
    </row>
    <row r="5516" spans="1:3" x14ac:dyDescent="0.25">
      <c r="A5516" s="4"/>
      <c r="B5516" s="5"/>
      <c r="C5516" s="6"/>
    </row>
    <row r="5517" spans="1:3" x14ac:dyDescent="0.25">
      <c r="A5517" s="4"/>
      <c r="B5517" s="5"/>
      <c r="C5517" s="6"/>
    </row>
    <row r="5518" spans="1:3" x14ac:dyDescent="0.25">
      <c r="A5518" s="4"/>
      <c r="B5518" s="5"/>
      <c r="C5518" s="6"/>
    </row>
    <row r="5519" spans="1:3" x14ac:dyDescent="0.25">
      <c r="A5519" s="4"/>
      <c r="B5519" s="5"/>
      <c r="C5519" s="6"/>
    </row>
    <row r="5520" spans="1:3" x14ac:dyDescent="0.25">
      <c r="A5520" s="4"/>
      <c r="B5520" s="5"/>
      <c r="C5520" s="6"/>
    </row>
    <row r="5521" spans="1:3" x14ac:dyDescent="0.25">
      <c r="A5521" s="4"/>
      <c r="B5521" s="5"/>
      <c r="C5521" s="6"/>
    </row>
    <row r="5522" spans="1:3" x14ac:dyDescent="0.25">
      <c r="A5522" s="4"/>
      <c r="B5522" s="5"/>
      <c r="C5522" s="6"/>
    </row>
    <row r="5523" spans="1:3" x14ac:dyDescent="0.25">
      <c r="A5523" s="4"/>
      <c r="B5523" s="5"/>
      <c r="C5523" s="6"/>
    </row>
    <row r="5524" spans="1:3" x14ac:dyDescent="0.25">
      <c r="A5524" s="4"/>
      <c r="B5524" s="5"/>
      <c r="C5524" s="6"/>
    </row>
    <row r="5525" spans="1:3" x14ac:dyDescent="0.25">
      <c r="A5525" s="4"/>
      <c r="B5525" s="5"/>
      <c r="C5525" s="6"/>
    </row>
    <row r="5526" spans="1:3" x14ac:dyDescent="0.25">
      <c r="A5526" s="4"/>
      <c r="B5526" s="5"/>
      <c r="C5526" s="6"/>
    </row>
    <row r="5527" spans="1:3" x14ac:dyDescent="0.25">
      <c r="A5527" s="4"/>
      <c r="B5527" s="5"/>
      <c r="C5527" s="6"/>
    </row>
    <row r="5528" spans="1:3" x14ac:dyDescent="0.25">
      <c r="A5528" s="4"/>
      <c r="B5528" s="5"/>
      <c r="C5528" s="6"/>
    </row>
    <row r="5529" spans="1:3" x14ac:dyDescent="0.25">
      <c r="A5529" s="4"/>
      <c r="B5529" s="5"/>
      <c r="C5529" s="6"/>
    </row>
    <row r="5530" spans="1:3" x14ac:dyDescent="0.25">
      <c r="A5530" s="4"/>
      <c r="B5530" s="5"/>
      <c r="C5530" s="6"/>
    </row>
    <row r="5531" spans="1:3" x14ac:dyDescent="0.25">
      <c r="A5531" s="4"/>
      <c r="B5531" s="5"/>
      <c r="C5531" s="6"/>
    </row>
    <row r="5532" spans="1:3" x14ac:dyDescent="0.25">
      <c r="A5532" s="4"/>
      <c r="B5532" s="5"/>
      <c r="C5532" s="6"/>
    </row>
    <row r="5533" spans="1:3" x14ac:dyDescent="0.25">
      <c r="A5533" s="4"/>
      <c r="B5533" s="5"/>
      <c r="C5533" s="6"/>
    </row>
    <row r="5534" spans="1:3" x14ac:dyDescent="0.25">
      <c r="A5534" s="4"/>
      <c r="B5534" s="5"/>
      <c r="C5534" s="6"/>
    </row>
    <row r="5535" spans="1:3" x14ac:dyDescent="0.25">
      <c r="A5535" s="4"/>
      <c r="B5535" s="5"/>
      <c r="C5535" s="6"/>
    </row>
    <row r="5536" spans="1:3" x14ac:dyDescent="0.25">
      <c r="A5536" s="4"/>
      <c r="B5536" s="5"/>
      <c r="C5536" s="6"/>
    </row>
    <row r="5537" spans="1:3" x14ac:dyDescent="0.25">
      <c r="A5537" s="4"/>
      <c r="B5537" s="5"/>
      <c r="C5537" s="6"/>
    </row>
    <row r="5538" spans="1:3" x14ac:dyDescent="0.25">
      <c r="A5538" s="4"/>
      <c r="B5538" s="5"/>
      <c r="C5538" s="6"/>
    </row>
    <row r="5539" spans="1:3" x14ac:dyDescent="0.25">
      <c r="A5539" s="4"/>
      <c r="B5539" s="5"/>
      <c r="C5539" s="6"/>
    </row>
    <row r="5540" spans="1:3" x14ac:dyDescent="0.25">
      <c r="A5540" s="4"/>
      <c r="B5540" s="5"/>
      <c r="C5540" s="6"/>
    </row>
    <row r="5541" spans="1:3" x14ac:dyDescent="0.25">
      <c r="A5541" s="4"/>
      <c r="B5541" s="5"/>
      <c r="C5541" s="6"/>
    </row>
    <row r="5542" spans="1:3" x14ac:dyDescent="0.25">
      <c r="A5542" s="4"/>
      <c r="B5542" s="5"/>
      <c r="C5542" s="6"/>
    </row>
    <row r="5543" spans="1:3" x14ac:dyDescent="0.25">
      <c r="A5543" s="4"/>
      <c r="B5543" s="5"/>
      <c r="C5543" s="6"/>
    </row>
    <row r="5544" spans="1:3" x14ac:dyDescent="0.25">
      <c r="A5544" s="4"/>
      <c r="B5544" s="5"/>
      <c r="C5544" s="6"/>
    </row>
    <row r="5545" spans="1:3" x14ac:dyDescent="0.25">
      <c r="A5545" s="4"/>
      <c r="B5545" s="5"/>
      <c r="C5545" s="6"/>
    </row>
    <row r="5546" spans="1:3" x14ac:dyDescent="0.25">
      <c r="A5546" s="4"/>
      <c r="B5546" s="5"/>
      <c r="C5546" s="6"/>
    </row>
    <row r="5547" spans="1:3" x14ac:dyDescent="0.25">
      <c r="A5547" s="4"/>
      <c r="B5547" s="5"/>
      <c r="C5547" s="6"/>
    </row>
    <row r="5548" spans="1:3" x14ac:dyDescent="0.25">
      <c r="A5548" s="4"/>
      <c r="B5548" s="5"/>
      <c r="C5548" s="6"/>
    </row>
    <row r="5549" spans="1:3" x14ac:dyDescent="0.25">
      <c r="A5549" s="4"/>
      <c r="B5549" s="5"/>
      <c r="C5549" s="6"/>
    </row>
    <row r="5550" spans="1:3" x14ac:dyDescent="0.25">
      <c r="A5550" s="4"/>
      <c r="B5550" s="5"/>
      <c r="C5550" s="6"/>
    </row>
    <row r="5551" spans="1:3" x14ac:dyDescent="0.25">
      <c r="A5551" s="4"/>
      <c r="B5551" s="5"/>
      <c r="C5551" s="6"/>
    </row>
    <row r="5552" spans="1:3" x14ac:dyDescent="0.25">
      <c r="A5552" s="4"/>
      <c r="B5552" s="5"/>
      <c r="C5552" s="6"/>
    </row>
    <row r="5553" spans="1:3" x14ac:dyDescent="0.25">
      <c r="A5553" s="4"/>
      <c r="B5553" s="5"/>
      <c r="C5553" s="6"/>
    </row>
    <row r="5554" spans="1:3" x14ac:dyDescent="0.25">
      <c r="A5554" s="4"/>
      <c r="B5554" s="5"/>
      <c r="C5554" s="6"/>
    </row>
    <row r="5555" spans="1:3" x14ac:dyDescent="0.25">
      <c r="A5555" s="4"/>
      <c r="B5555" s="5"/>
      <c r="C5555" s="6"/>
    </row>
    <row r="5556" spans="1:3" x14ac:dyDescent="0.25">
      <c r="A5556" s="4"/>
      <c r="B5556" s="5"/>
      <c r="C5556" s="6"/>
    </row>
    <row r="5557" spans="1:3" x14ac:dyDescent="0.25">
      <c r="A5557" s="4"/>
      <c r="B5557" s="5"/>
      <c r="C5557" s="5"/>
    </row>
    <row r="5558" spans="1:3" x14ac:dyDescent="0.25">
      <c r="A5558" s="4"/>
      <c r="B5558" s="5"/>
      <c r="C5558" s="6"/>
    </row>
    <row r="5559" spans="1:3" x14ac:dyDescent="0.25">
      <c r="A5559" s="4"/>
      <c r="B5559" s="5"/>
      <c r="C5559" s="6"/>
    </row>
    <row r="5560" spans="1:3" x14ac:dyDescent="0.25">
      <c r="A5560" s="4"/>
      <c r="B5560" s="5"/>
      <c r="C5560" s="6"/>
    </row>
    <row r="5561" spans="1:3" x14ac:dyDescent="0.25">
      <c r="A5561" s="4"/>
      <c r="B5561" s="5"/>
      <c r="C5561" s="6"/>
    </row>
    <row r="5562" spans="1:3" x14ac:dyDescent="0.25">
      <c r="A5562" s="4"/>
      <c r="B5562" s="5"/>
      <c r="C5562" s="6"/>
    </row>
    <row r="5563" spans="1:3" x14ac:dyDescent="0.25">
      <c r="A5563" s="4"/>
      <c r="B5563" s="5"/>
      <c r="C5563" s="6"/>
    </row>
    <row r="5564" spans="1:3" x14ac:dyDescent="0.25">
      <c r="A5564" s="4"/>
      <c r="B5564" s="5"/>
      <c r="C5564" s="6"/>
    </row>
    <row r="5565" spans="1:3" x14ac:dyDescent="0.25">
      <c r="A5565" s="4"/>
      <c r="B5565" s="5"/>
      <c r="C5565" s="6"/>
    </row>
    <row r="5566" spans="1:3" x14ac:dyDescent="0.25">
      <c r="A5566" s="4"/>
      <c r="B5566" s="5"/>
      <c r="C5566" s="6"/>
    </row>
    <row r="5567" spans="1:3" x14ac:dyDescent="0.25">
      <c r="A5567" s="4"/>
      <c r="B5567" s="5"/>
      <c r="C5567" s="6"/>
    </row>
    <row r="5568" spans="1:3" x14ac:dyDescent="0.25">
      <c r="A5568" s="4"/>
      <c r="B5568" s="5"/>
      <c r="C5568" s="6"/>
    </row>
    <row r="5569" spans="1:3" x14ac:dyDescent="0.25">
      <c r="A5569" s="4"/>
      <c r="B5569" s="5"/>
      <c r="C5569" s="6"/>
    </row>
    <row r="5570" spans="1:3" x14ac:dyDescent="0.25">
      <c r="A5570" s="4"/>
      <c r="B5570" s="5"/>
      <c r="C5570" s="6"/>
    </row>
    <row r="5571" spans="1:3" x14ac:dyDescent="0.25">
      <c r="A5571" s="4"/>
      <c r="B5571" s="5"/>
      <c r="C5571" s="6"/>
    </row>
    <row r="5572" spans="1:3" x14ac:dyDescent="0.25">
      <c r="A5572" s="4"/>
      <c r="B5572" s="5"/>
      <c r="C5572" s="6"/>
    </row>
    <row r="5573" spans="1:3" x14ac:dyDescent="0.25">
      <c r="A5573" s="4"/>
      <c r="B5573" s="5"/>
      <c r="C5573" s="6"/>
    </row>
    <row r="5574" spans="1:3" x14ac:dyDescent="0.25">
      <c r="A5574" s="4"/>
      <c r="B5574" s="5"/>
      <c r="C5574" s="6"/>
    </row>
    <row r="5575" spans="1:3" x14ac:dyDescent="0.25">
      <c r="A5575" s="4"/>
      <c r="B5575" s="5"/>
      <c r="C5575" s="6"/>
    </row>
    <row r="5576" spans="1:3" x14ac:dyDescent="0.25">
      <c r="A5576" s="4"/>
      <c r="B5576" s="5"/>
      <c r="C5576" s="6"/>
    </row>
    <row r="5577" spans="1:3" x14ac:dyDescent="0.25">
      <c r="A5577" s="4"/>
      <c r="B5577" s="5"/>
      <c r="C5577" s="6"/>
    </row>
    <row r="5578" spans="1:3" x14ac:dyDescent="0.25">
      <c r="A5578" s="4"/>
      <c r="B5578" s="5"/>
      <c r="C5578" s="6"/>
    </row>
    <row r="5579" spans="1:3" x14ac:dyDescent="0.25">
      <c r="A5579" s="4"/>
      <c r="B5579" s="5"/>
      <c r="C5579" s="6"/>
    </row>
    <row r="5580" spans="1:3" x14ac:dyDescent="0.25">
      <c r="A5580" s="4"/>
      <c r="B5580" s="5"/>
      <c r="C5580" s="6"/>
    </row>
    <row r="5581" spans="1:3" x14ac:dyDescent="0.25">
      <c r="A5581" s="4"/>
      <c r="B5581" s="5"/>
      <c r="C5581" s="6"/>
    </row>
    <row r="5582" spans="1:3" x14ac:dyDescent="0.25">
      <c r="A5582" s="4"/>
      <c r="B5582" s="5"/>
      <c r="C5582" s="6"/>
    </row>
    <row r="5583" spans="1:3" x14ac:dyDescent="0.25">
      <c r="A5583" s="4"/>
      <c r="B5583" s="5"/>
      <c r="C5583" s="5"/>
    </row>
    <row r="5584" spans="1:3" x14ac:dyDescent="0.25">
      <c r="A5584" s="4"/>
      <c r="B5584" s="5"/>
      <c r="C5584" s="6"/>
    </row>
    <row r="5585" spans="1:3" x14ac:dyDescent="0.25">
      <c r="A5585" s="4"/>
      <c r="B5585" s="5"/>
      <c r="C5585" s="6"/>
    </row>
    <row r="5586" spans="1:3" x14ac:dyDescent="0.25">
      <c r="A5586" s="4"/>
      <c r="B5586" s="5"/>
      <c r="C5586" s="6"/>
    </row>
    <row r="5587" spans="1:3" x14ac:dyDescent="0.25">
      <c r="A5587" s="4"/>
      <c r="B5587" s="5"/>
      <c r="C5587" s="6"/>
    </row>
    <row r="5588" spans="1:3" x14ac:dyDescent="0.25">
      <c r="A5588" s="4"/>
      <c r="B5588" s="5"/>
      <c r="C5588" s="6"/>
    </row>
    <row r="5589" spans="1:3" x14ac:dyDescent="0.25">
      <c r="A5589" s="4"/>
      <c r="B5589" s="5"/>
      <c r="C5589" s="6"/>
    </row>
    <row r="5590" spans="1:3" x14ac:dyDescent="0.25">
      <c r="A5590" s="4"/>
      <c r="B5590" s="5"/>
      <c r="C5590" s="6"/>
    </row>
    <row r="5591" spans="1:3" x14ac:dyDescent="0.25">
      <c r="A5591" s="4"/>
      <c r="B5591" s="5"/>
      <c r="C5591" s="6"/>
    </row>
    <row r="5592" spans="1:3" x14ac:dyDescent="0.25">
      <c r="A5592" s="4"/>
      <c r="B5592" s="5"/>
      <c r="C5592" s="6"/>
    </row>
    <row r="5593" spans="1:3" x14ac:dyDescent="0.25">
      <c r="A5593" s="4"/>
      <c r="B5593" s="5"/>
      <c r="C5593" s="6"/>
    </row>
    <row r="5594" spans="1:3" x14ac:dyDescent="0.25">
      <c r="A5594" s="4"/>
      <c r="B5594" s="5"/>
      <c r="C5594" s="6"/>
    </row>
    <row r="5595" spans="1:3" x14ac:dyDescent="0.25">
      <c r="A5595" s="4"/>
      <c r="B5595" s="5"/>
      <c r="C5595" s="6"/>
    </row>
    <row r="5596" spans="1:3" x14ac:dyDescent="0.25">
      <c r="A5596" s="4"/>
      <c r="B5596" s="5"/>
      <c r="C5596" s="6"/>
    </row>
    <row r="5597" spans="1:3" x14ac:dyDescent="0.25">
      <c r="A5597" s="4"/>
      <c r="B5597" s="5"/>
      <c r="C5597" s="6"/>
    </row>
    <row r="5598" spans="1:3" x14ac:dyDescent="0.25">
      <c r="A5598" s="4"/>
      <c r="B5598" s="5"/>
      <c r="C5598" s="6"/>
    </row>
    <row r="5599" spans="1:3" x14ac:dyDescent="0.25">
      <c r="A5599" s="4"/>
      <c r="B5599" s="5"/>
      <c r="C5599" s="6"/>
    </row>
    <row r="5600" spans="1:3" x14ac:dyDescent="0.25">
      <c r="A5600" s="4"/>
      <c r="B5600" s="5"/>
      <c r="C5600" s="6"/>
    </row>
    <row r="5601" spans="1:3" x14ac:dyDescent="0.25">
      <c r="A5601" s="4"/>
      <c r="B5601" s="5"/>
      <c r="C5601" s="6"/>
    </row>
    <row r="5602" spans="1:3" x14ac:dyDescent="0.25">
      <c r="A5602" s="4"/>
      <c r="B5602" s="5"/>
      <c r="C5602" s="6"/>
    </row>
    <row r="5603" spans="1:3" x14ac:dyDescent="0.25">
      <c r="A5603" s="4"/>
      <c r="B5603" s="5"/>
      <c r="C5603" s="6"/>
    </row>
    <row r="5604" spans="1:3" x14ac:dyDescent="0.25">
      <c r="A5604" s="4"/>
      <c r="B5604" s="5"/>
      <c r="C5604" s="6"/>
    </row>
    <row r="5605" spans="1:3" x14ac:dyDescent="0.25">
      <c r="A5605" s="4"/>
      <c r="B5605" s="5"/>
      <c r="C5605" s="6"/>
    </row>
    <row r="5606" spans="1:3" x14ac:dyDescent="0.25">
      <c r="A5606" s="4"/>
      <c r="B5606" s="5"/>
      <c r="C5606" s="6"/>
    </row>
    <row r="5607" spans="1:3" x14ac:dyDescent="0.25">
      <c r="A5607" s="4"/>
      <c r="B5607" s="5"/>
      <c r="C5607" s="6"/>
    </row>
    <row r="5608" spans="1:3" x14ac:dyDescent="0.25">
      <c r="A5608" s="4"/>
      <c r="B5608" s="5"/>
      <c r="C5608" s="6"/>
    </row>
    <row r="5609" spans="1:3" x14ac:dyDescent="0.25">
      <c r="A5609" s="4"/>
      <c r="B5609" s="5"/>
      <c r="C5609" s="6"/>
    </row>
    <row r="5610" spans="1:3" x14ac:dyDescent="0.25">
      <c r="A5610" s="4"/>
      <c r="B5610" s="5"/>
      <c r="C5610" s="6"/>
    </row>
    <row r="5611" spans="1:3" x14ac:dyDescent="0.25">
      <c r="A5611" s="4"/>
      <c r="B5611" s="5"/>
      <c r="C5611" s="6"/>
    </row>
    <row r="5612" spans="1:3" x14ac:dyDescent="0.25">
      <c r="A5612" s="4"/>
      <c r="B5612" s="5"/>
      <c r="C5612" s="6"/>
    </row>
    <row r="5613" spans="1:3" x14ac:dyDescent="0.25">
      <c r="A5613" s="4"/>
      <c r="B5613" s="5"/>
      <c r="C5613" s="6"/>
    </row>
    <row r="5614" spans="1:3" x14ac:dyDescent="0.25">
      <c r="A5614" s="4"/>
      <c r="B5614" s="5"/>
      <c r="C5614" s="6"/>
    </row>
    <row r="5615" spans="1:3" x14ac:dyDescent="0.25">
      <c r="A5615" s="4"/>
      <c r="B5615" s="5"/>
      <c r="C5615" s="6"/>
    </row>
    <row r="5616" spans="1:3" x14ac:dyDescent="0.25">
      <c r="A5616" s="4"/>
      <c r="B5616" s="5"/>
      <c r="C5616" s="6"/>
    </row>
    <row r="5617" spans="1:3" x14ac:dyDescent="0.25">
      <c r="A5617" s="4"/>
      <c r="B5617" s="5"/>
      <c r="C5617" s="6"/>
    </row>
    <row r="5618" spans="1:3" x14ac:dyDescent="0.25">
      <c r="A5618" s="4"/>
      <c r="B5618" s="5"/>
      <c r="C5618" s="6"/>
    </row>
    <row r="5619" spans="1:3" x14ac:dyDescent="0.25">
      <c r="A5619" s="4"/>
      <c r="B5619" s="5"/>
      <c r="C5619" s="6"/>
    </row>
    <row r="5620" spans="1:3" x14ac:dyDescent="0.25">
      <c r="A5620" s="4"/>
      <c r="B5620" s="5"/>
      <c r="C5620" s="6"/>
    </row>
    <row r="5621" spans="1:3" x14ac:dyDescent="0.25">
      <c r="A5621" s="4"/>
      <c r="B5621" s="5"/>
      <c r="C5621" s="6"/>
    </row>
    <row r="5622" spans="1:3" x14ac:dyDescent="0.25">
      <c r="A5622" s="4"/>
      <c r="B5622" s="5"/>
      <c r="C5622" s="6"/>
    </row>
    <row r="5623" spans="1:3" x14ac:dyDescent="0.25">
      <c r="A5623" s="4"/>
      <c r="B5623" s="5"/>
      <c r="C5623" s="6"/>
    </row>
    <row r="5624" spans="1:3" x14ac:dyDescent="0.25">
      <c r="A5624" s="4"/>
      <c r="B5624" s="5"/>
      <c r="C5624" s="6"/>
    </row>
    <row r="5625" spans="1:3" x14ac:dyDescent="0.25">
      <c r="A5625" s="4"/>
      <c r="B5625" s="5"/>
      <c r="C5625" s="6"/>
    </row>
    <row r="5626" spans="1:3" x14ac:dyDescent="0.25">
      <c r="A5626" s="4"/>
      <c r="B5626" s="5"/>
      <c r="C5626" s="6"/>
    </row>
    <row r="5627" spans="1:3" x14ac:dyDescent="0.25">
      <c r="A5627" s="4"/>
      <c r="B5627" s="5"/>
      <c r="C5627" s="6"/>
    </row>
    <row r="5628" spans="1:3" x14ac:dyDescent="0.25">
      <c r="A5628" s="4"/>
      <c r="B5628" s="5"/>
      <c r="C5628" s="6"/>
    </row>
    <row r="5629" spans="1:3" x14ac:dyDescent="0.25">
      <c r="A5629" s="4"/>
      <c r="B5629" s="5"/>
      <c r="C5629" s="6"/>
    </row>
    <row r="5630" spans="1:3" x14ac:dyDescent="0.25">
      <c r="A5630" s="4"/>
      <c r="B5630" s="5"/>
      <c r="C5630" s="6"/>
    </row>
    <row r="5631" spans="1:3" x14ac:dyDescent="0.25">
      <c r="A5631" s="4"/>
      <c r="B5631" s="5"/>
      <c r="C5631" s="6"/>
    </row>
    <row r="5632" spans="1:3" x14ac:dyDescent="0.25">
      <c r="A5632" s="4"/>
      <c r="B5632" s="5"/>
      <c r="C5632" s="6"/>
    </row>
    <row r="5633" spans="1:3" x14ac:dyDescent="0.25">
      <c r="A5633" s="4"/>
      <c r="B5633" s="5"/>
      <c r="C5633" s="6"/>
    </row>
    <row r="5634" spans="1:3" x14ac:dyDescent="0.25">
      <c r="A5634" s="4"/>
      <c r="B5634" s="5"/>
      <c r="C5634" s="6"/>
    </row>
    <row r="5635" spans="1:3" x14ac:dyDescent="0.25">
      <c r="A5635" s="4"/>
      <c r="B5635" s="5"/>
      <c r="C5635" s="6"/>
    </row>
    <row r="5636" spans="1:3" x14ac:dyDescent="0.25">
      <c r="A5636" s="4"/>
      <c r="B5636" s="5"/>
      <c r="C5636" s="6"/>
    </row>
    <row r="5637" spans="1:3" x14ac:dyDescent="0.25">
      <c r="A5637" s="4"/>
      <c r="B5637" s="5"/>
      <c r="C5637" s="6"/>
    </row>
    <row r="5638" spans="1:3" x14ac:dyDescent="0.25">
      <c r="A5638" s="4"/>
      <c r="B5638" s="5"/>
      <c r="C5638" s="6"/>
    </row>
    <row r="5639" spans="1:3" x14ac:dyDescent="0.25">
      <c r="A5639" s="4"/>
      <c r="B5639" s="5"/>
      <c r="C5639" s="6"/>
    </row>
    <row r="5640" spans="1:3" x14ac:dyDescent="0.25">
      <c r="A5640" s="4"/>
      <c r="B5640" s="5"/>
      <c r="C5640" s="6"/>
    </row>
    <row r="5641" spans="1:3" x14ac:dyDescent="0.25">
      <c r="A5641" s="4"/>
      <c r="B5641" s="5"/>
      <c r="C5641" s="6"/>
    </row>
    <row r="5642" spans="1:3" x14ac:dyDescent="0.25">
      <c r="A5642" s="4"/>
      <c r="B5642" s="5"/>
      <c r="C5642" s="6"/>
    </row>
    <row r="5643" spans="1:3" x14ac:dyDescent="0.25">
      <c r="A5643" s="4"/>
      <c r="B5643" s="5"/>
      <c r="C5643" s="6"/>
    </row>
    <row r="5644" spans="1:3" x14ac:dyDescent="0.25">
      <c r="A5644" s="4"/>
      <c r="B5644" s="5"/>
      <c r="C5644" s="6"/>
    </row>
    <row r="5645" spans="1:3" x14ac:dyDescent="0.25">
      <c r="A5645" s="4"/>
      <c r="B5645" s="5"/>
      <c r="C5645" s="6"/>
    </row>
    <row r="5646" spans="1:3" x14ac:dyDescent="0.25">
      <c r="A5646" s="4"/>
      <c r="B5646" s="5"/>
      <c r="C5646" s="6"/>
    </row>
    <row r="5647" spans="1:3" x14ac:dyDescent="0.25">
      <c r="A5647" s="4"/>
      <c r="B5647" s="5"/>
      <c r="C5647" s="6"/>
    </row>
    <row r="5648" spans="1:3" x14ac:dyDescent="0.25">
      <c r="A5648" s="4"/>
      <c r="B5648" s="5"/>
      <c r="C5648" s="6"/>
    </row>
    <row r="5649" spans="1:3" x14ac:dyDescent="0.25">
      <c r="A5649" s="4"/>
      <c r="B5649" s="5"/>
      <c r="C5649" s="6"/>
    </row>
    <row r="5650" spans="1:3" x14ac:dyDescent="0.25">
      <c r="A5650" s="4"/>
      <c r="B5650" s="5"/>
      <c r="C5650" s="6"/>
    </row>
    <row r="5651" spans="1:3" x14ac:dyDescent="0.25">
      <c r="A5651" s="4"/>
      <c r="B5651" s="5"/>
      <c r="C5651" s="6"/>
    </row>
    <row r="5652" spans="1:3" x14ac:dyDescent="0.25">
      <c r="A5652" s="4"/>
      <c r="B5652" s="5"/>
      <c r="C5652" s="6"/>
    </row>
    <row r="5653" spans="1:3" x14ac:dyDescent="0.25">
      <c r="A5653" s="4"/>
      <c r="B5653" s="5"/>
      <c r="C5653" s="6"/>
    </row>
    <row r="5654" spans="1:3" x14ac:dyDescent="0.25">
      <c r="A5654" s="4"/>
      <c r="B5654" s="5"/>
      <c r="C5654" s="6"/>
    </row>
    <row r="5655" spans="1:3" x14ac:dyDescent="0.25">
      <c r="A5655" s="4"/>
      <c r="B5655" s="5"/>
      <c r="C5655" s="6"/>
    </row>
    <row r="5656" spans="1:3" x14ac:dyDescent="0.25">
      <c r="A5656" s="4"/>
      <c r="B5656" s="5"/>
      <c r="C5656" s="6"/>
    </row>
    <row r="5657" spans="1:3" x14ac:dyDescent="0.25">
      <c r="A5657" s="4"/>
      <c r="B5657" s="5"/>
      <c r="C5657" s="6"/>
    </row>
    <row r="5658" spans="1:3" x14ac:dyDescent="0.25">
      <c r="A5658" s="4"/>
      <c r="B5658" s="5"/>
      <c r="C5658" s="6"/>
    </row>
    <row r="5659" spans="1:3" x14ac:dyDescent="0.25">
      <c r="A5659" s="4"/>
      <c r="B5659" s="5"/>
      <c r="C5659" s="6"/>
    </row>
    <row r="5660" spans="1:3" x14ac:dyDescent="0.25">
      <c r="A5660" s="4"/>
      <c r="B5660" s="5"/>
      <c r="C5660" s="6"/>
    </row>
    <row r="5661" spans="1:3" x14ac:dyDescent="0.25">
      <c r="A5661" s="4"/>
      <c r="B5661" s="5"/>
      <c r="C5661" s="6"/>
    </row>
    <row r="5662" spans="1:3" x14ac:dyDescent="0.25">
      <c r="A5662" s="4"/>
      <c r="B5662" s="5"/>
      <c r="C5662" s="6"/>
    </row>
    <row r="5663" spans="1:3" x14ac:dyDescent="0.25">
      <c r="A5663" s="4"/>
      <c r="B5663" s="5"/>
      <c r="C5663" s="6"/>
    </row>
    <row r="5664" spans="1:3" x14ac:dyDescent="0.25">
      <c r="A5664" s="4"/>
      <c r="B5664" s="5"/>
      <c r="C5664" s="6"/>
    </row>
    <row r="5665" spans="1:3" x14ac:dyDescent="0.25">
      <c r="A5665" s="4"/>
      <c r="B5665" s="5"/>
      <c r="C5665" s="6"/>
    </row>
    <row r="5666" spans="1:3" x14ac:dyDescent="0.25">
      <c r="A5666" s="4"/>
      <c r="B5666" s="5"/>
      <c r="C5666" s="6"/>
    </row>
    <row r="5667" spans="1:3" x14ac:dyDescent="0.25">
      <c r="A5667" s="4"/>
      <c r="B5667" s="5"/>
      <c r="C5667" s="6"/>
    </row>
    <row r="5668" spans="1:3" x14ac:dyDescent="0.25">
      <c r="A5668" s="4"/>
      <c r="B5668" s="5"/>
      <c r="C5668" s="6"/>
    </row>
    <row r="5669" spans="1:3" x14ac:dyDescent="0.25">
      <c r="A5669" s="4"/>
      <c r="B5669" s="5"/>
      <c r="C5669" s="6"/>
    </row>
    <row r="5670" spans="1:3" x14ac:dyDescent="0.25">
      <c r="A5670" s="4"/>
      <c r="B5670" s="5"/>
      <c r="C5670" s="6"/>
    </row>
    <row r="5671" spans="1:3" x14ac:dyDescent="0.25">
      <c r="A5671" s="4"/>
      <c r="B5671" s="5"/>
      <c r="C5671" s="6"/>
    </row>
    <row r="5672" spans="1:3" x14ac:dyDescent="0.25">
      <c r="A5672" s="4"/>
      <c r="B5672" s="5"/>
      <c r="C5672" s="6"/>
    </row>
    <row r="5673" spans="1:3" x14ac:dyDescent="0.25">
      <c r="A5673" s="4"/>
      <c r="B5673" s="5"/>
      <c r="C5673" s="6"/>
    </row>
    <row r="5674" spans="1:3" x14ac:dyDescent="0.25">
      <c r="A5674" s="4"/>
      <c r="B5674" s="5"/>
      <c r="C5674" s="6"/>
    </row>
    <row r="5675" spans="1:3" x14ac:dyDescent="0.25">
      <c r="A5675" s="4"/>
      <c r="B5675" s="5"/>
      <c r="C5675" s="6"/>
    </row>
    <row r="5676" spans="1:3" x14ac:dyDescent="0.25">
      <c r="A5676" s="4"/>
      <c r="B5676" s="5"/>
      <c r="C5676" s="6"/>
    </row>
    <row r="5677" spans="1:3" x14ac:dyDescent="0.25">
      <c r="A5677" s="4"/>
      <c r="B5677" s="5"/>
      <c r="C5677" s="6"/>
    </row>
    <row r="5678" spans="1:3" x14ac:dyDescent="0.25">
      <c r="A5678" s="4"/>
      <c r="B5678" s="5"/>
      <c r="C5678" s="6"/>
    </row>
    <row r="5679" spans="1:3" x14ac:dyDescent="0.25">
      <c r="A5679" s="4"/>
      <c r="B5679" s="5"/>
      <c r="C5679" s="6"/>
    </row>
    <row r="5680" spans="1:3" x14ac:dyDescent="0.25">
      <c r="A5680" s="4"/>
      <c r="B5680" s="5"/>
      <c r="C5680" s="6"/>
    </row>
    <row r="5681" spans="1:3" x14ac:dyDescent="0.25">
      <c r="A5681" s="4"/>
      <c r="B5681" s="5"/>
      <c r="C5681" s="6"/>
    </row>
    <row r="5682" spans="1:3" x14ac:dyDescent="0.25">
      <c r="A5682" s="4"/>
      <c r="B5682" s="5"/>
      <c r="C5682" s="6"/>
    </row>
    <row r="5683" spans="1:3" x14ac:dyDescent="0.25">
      <c r="A5683" s="4"/>
      <c r="B5683" s="5"/>
      <c r="C5683" s="6"/>
    </row>
    <row r="5684" spans="1:3" x14ac:dyDescent="0.25">
      <c r="A5684" s="4"/>
      <c r="B5684" s="5"/>
      <c r="C5684" s="6"/>
    </row>
    <row r="5685" spans="1:3" x14ac:dyDescent="0.25">
      <c r="A5685" s="4"/>
      <c r="B5685" s="5"/>
      <c r="C5685" s="6"/>
    </row>
    <row r="5686" spans="1:3" x14ac:dyDescent="0.25">
      <c r="A5686" s="4"/>
      <c r="B5686" s="5"/>
      <c r="C5686" s="6"/>
    </row>
    <row r="5687" spans="1:3" x14ac:dyDescent="0.25">
      <c r="A5687" s="4"/>
      <c r="B5687" s="5"/>
      <c r="C5687" s="6"/>
    </row>
    <row r="5688" spans="1:3" x14ac:dyDescent="0.25">
      <c r="A5688" s="4"/>
      <c r="B5688" s="5"/>
      <c r="C5688" s="6"/>
    </row>
    <row r="5689" spans="1:3" x14ac:dyDescent="0.25">
      <c r="A5689" s="4"/>
      <c r="B5689" s="5"/>
      <c r="C5689" s="6"/>
    </row>
    <row r="5690" spans="1:3" x14ac:dyDescent="0.25">
      <c r="A5690" s="4"/>
      <c r="B5690" s="5"/>
      <c r="C5690" s="6"/>
    </row>
    <row r="5691" spans="1:3" x14ac:dyDescent="0.25">
      <c r="A5691" s="4"/>
      <c r="B5691" s="5"/>
      <c r="C5691" s="6"/>
    </row>
    <row r="5692" spans="1:3" x14ac:dyDescent="0.25">
      <c r="A5692" s="4"/>
      <c r="B5692" s="5"/>
      <c r="C5692" s="6"/>
    </row>
    <row r="5693" spans="1:3" x14ac:dyDescent="0.25">
      <c r="A5693" s="4"/>
      <c r="B5693" s="5"/>
      <c r="C5693" s="6"/>
    </row>
    <row r="5694" spans="1:3" x14ac:dyDescent="0.25">
      <c r="A5694" s="4"/>
      <c r="B5694" s="5"/>
      <c r="C5694" s="6"/>
    </row>
    <row r="5695" spans="1:3" x14ac:dyDescent="0.25">
      <c r="A5695" s="4"/>
      <c r="B5695" s="5"/>
      <c r="C5695" s="6"/>
    </row>
    <row r="5696" spans="1:3" x14ac:dyDescent="0.25">
      <c r="A5696" s="4"/>
      <c r="B5696" s="5"/>
      <c r="C5696" s="6"/>
    </row>
    <row r="5697" spans="1:3" x14ac:dyDescent="0.25">
      <c r="A5697" s="4"/>
      <c r="B5697" s="5"/>
      <c r="C5697" s="6"/>
    </row>
    <row r="5698" spans="1:3" x14ac:dyDescent="0.25">
      <c r="A5698" s="4"/>
      <c r="B5698" s="5"/>
      <c r="C5698" s="6"/>
    </row>
    <row r="5699" spans="1:3" x14ac:dyDescent="0.25">
      <c r="A5699" s="4"/>
      <c r="B5699" s="5"/>
      <c r="C5699" s="6"/>
    </row>
    <row r="5700" spans="1:3" x14ac:dyDescent="0.25">
      <c r="A5700" s="4"/>
      <c r="B5700" s="5"/>
      <c r="C5700" s="6"/>
    </row>
    <row r="5701" spans="1:3" x14ac:dyDescent="0.25">
      <c r="A5701" s="4"/>
      <c r="B5701" s="5"/>
      <c r="C5701" s="6"/>
    </row>
    <row r="5702" spans="1:3" x14ac:dyDescent="0.25">
      <c r="A5702" s="4"/>
      <c r="B5702" s="5"/>
      <c r="C5702" s="6"/>
    </row>
    <row r="5703" spans="1:3" x14ac:dyDescent="0.25">
      <c r="A5703" s="4"/>
      <c r="B5703" s="5"/>
      <c r="C5703" s="6"/>
    </row>
    <row r="5704" spans="1:3" x14ac:dyDescent="0.25">
      <c r="A5704" s="4"/>
      <c r="B5704" s="5"/>
      <c r="C5704" s="6"/>
    </row>
    <row r="5705" spans="1:3" x14ac:dyDescent="0.25">
      <c r="A5705" s="4"/>
      <c r="B5705" s="5"/>
      <c r="C5705" s="6"/>
    </row>
    <row r="5706" spans="1:3" x14ac:dyDescent="0.25">
      <c r="A5706" s="4"/>
      <c r="B5706" s="5"/>
      <c r="C5706" s="6"/>
    </row>
    <row r="5707" spans="1:3" x14ac:dyDescent="0.25">
      <c r="A5707" s="4"/>
      <c r="B5707" s="5"/>
      <c r="C5707" s="6"/>
    </row>
    <row r="5708" spans="1:3" x14ac:dyDescent="0.25">
      <c r="A5708" s="4"/>
      <c r="B5708" s="5"/>
      <c r="C5708" s="6"/>
    </row>
    <row r="5709" spans="1:3" x14ac:dyDescent="0.25">
      <c r="A5709" s="4"/>
      <c r="B5709" s="5"/>
      <c r="C5709" s="6"/>
    </row>
    <row r="5710" spans="1:3" x14ac:dyDescent="0.25">
      <c r="A5710" s="4"/>
      <c r="B5710" s="5"/>
      <c r="C5710" s="6"/>
    </row>
    <row r="5711" spans="1:3" x14ac:dyDescent="0.25">
      <c r="A5711" s="4"/>
      <c r="B5711" s="5"/>
      <c r="C5711" s="6"/>
    </row>
    <row r="5712" spans="1:3" x14ac:dyDescent="0.25">
      <c r="A5712" s="4"/>
      <c r="B5712" s="5"/>
      <c r="C5712" s="6"/>
    </row>
    <row r="5713" spans="1:3" x14ac:dyDescent="0.25">
      <c r="A5713" s="4"/>
      <c r="B5713" s="5"/>
      <c r="C5713" s="6"/>
    </row>
    <row r="5714" spans="1:3" x14ac:dyDescent="0.25">
      <c r="A5714" s="4"/>
      <c r="B5714" s="5"/>
      <c r="C5714" s="6"/>
    </row>
    <row r="5715" spans="1:3" x14ac:dyDescent="0.25">
      <c r="A5715" s="4"/>
      <c r="B5715" s="5"/>
      <c r="C5715" s="6"/>
    </row>
    <row r="5716" spans="1:3" x14ac:dyDescent="0.25">
      <c r="A5716" s="4"/>
      <c r="B5716" s="5"/>
      <c r="C5716" s="6"/>
    </row>
    <row r="5717" spans="1:3" x14ac:dyDescent="0.25">
      <c r="A5717" s="4"/>
      <c r="B5717" s="5"/>
      <c r="C5717" s="6"/>
    </row>
    <row r="5718" spans="1:3" x14ac:dyDescent="0.25">
      <c r="A5718" s="4"/>
      <c r="B5718" s="5"/>
      <c r="C5718" s="6"/>
    </row>
    <row r="5719" spans="1:3" x14ac:dyDescent="0.25">
      <c r="A5719" s="4"/>
      <c r="B5719" s="5"/>
      <c r="C5719" s="6"/>
    </row>
    <row r="5720" spans="1:3" x14ac:dyDescent="0.25">
      <c r="A5720" s="4"/>
      <c r="B5720" s="5"/>
      <c r="C5720" s="6"/>
    </row>
    <row r="5721" spans="1:3" x14ac:dyDescent="0.25">
      <c r="A5721" s="4"/>
      <c r="B5721" s="5"/>
      <c r="C5721" s="6"/>
    </row>
    <row r="5722" spans="1:3" x14ac:dyDescent="0.25">
      <c r="A5722" s="4"/>
      <c r="B5722" s="5"/>
      <c r="C5722" s="6"/>
    </row>
    <row r="5723" spans="1:3" x14ac:dyDescent="0.25">
      <c r="A5723" s="4"/>
      <c r="B5723" s="5"/>
      <c r="C5723" s="6"/>
    </row>
    <row r="5724" spans="1:3" x14ac:dyDescent="0.25">
      <c r="A5724" s="4"/>
      <c r="B5724" s="5"/>
      <c r="C5724" s="6"/>
    </row>
    <row r="5725" spans="1:3" x14ac:dyDescent="0.25">
      <c r="A5725" s="4"/>
      <c r="B5725" s="5"/>
      <c r="C5725" s="6"/>
    </row>
    <row r="5726" spans="1:3" x14ac:dyDescent="0.25">
      <c r="A5726" s="4"/>
      <c r="B5726" s="5"/>
      <c r="C5726" s="6"/>
    </row>
    <row r="5727" spans="1:3" x14ac:dyDescent="0.25">
      <c r="A5727" s="4"/>
      <c r="B5727" s="5"/>
      <c r="C5727" s="6"/>
    </row>
    <row r="5728" spans="1:3" x14ac:dyDescent="0.25">
      <c r="A5728" s="4"/>
      <c r="B5728" s="5"/>
      <c r="C5728" s="6"/>
    </row>
    <row r="5729" spans="1:3" x14ac:dyDescent="0.25">
      <c r="A5729" s="4"/>
      <c r="B5729" s="5"/>
      <c r="C5729" s="6"/>
    </row>
    <row r="5730" spans="1:3" x14ac:dyDescent="0.25">
      <c r="A5730" s="4"/>
      <c r="B5730" s="5"/>
      <c r="C5730" s="6"/>
    </row>
    <row r="5731" spans="1:3" x14ac:dyDescent="0.25">
      <c r="A5731" s="4"/>
      <c r="B5731" s="5"/>
      <c r="C5731" s="6"/>
    </row>
    <row r="5732" spans="1:3" x14ac:dyDescent="0.25">
      <c r="A5732" s="4"/>
      <c r="B5732" s="5"/>
      <c r="C5732" s="6"/>
    </row>
    <row r="5733" spans="1:3" x14ac:dyDescent="0.25">
      <c r="A5733" s="4"/>
      <c r="B5733" s="5"/>
      <c r="C5733" s="6"/>
    </row>
    <row r="5734" spans="1:3" x14ac:dyDescent="0.25">
      <c r="A5734" s="4"/>
      <c r="B5734" s="5"/>
      <c r="C5734" s="6"/>
    </row>
    <row r="5735" spans="1:3" x14ac:dyDescent="0.25">
      <c r="A5735" s="4"/>
      <c r="B5735" s="5"/>
      <c r="C5735" s="5"/>
    </row>
    <row r="5736" spans="1:3" x14ac:dyDescent="0.25">
      <c r="A5736" s="4"/>
      <c r="B5736" s="5"/>
      <c r="C5736" s="6"/>
    </row>
    <row r="5737" spans="1:3" x14ac:dyDescent="0.25">
      <c r="A5737" s="4"/>
      <c r="B5737" s="5"/>
      <c r="C5737" s="6"/>
    </row>
    <row r="5738" spans="1:3" x14ac:dyDescent="0.25">
      <c r="A5738" s="4"/>
      <c r="B5738" s="5"/>
      <c r="C5738" s="6"/>
    </row>
    <row r="5739" spans="1:3" x14ac:dyDescent="0.25">
      <c r="A5739" s="4"/>
      <c r="B5739" s="5"/>
      <c r="C5739" s="6"/>
    </row>
    <row r="5740" spans="1:3" x14ac:dyDescent="0.25">
      <c r="A5740" s="4"/>
      <c r="B5740" s="5"/>
      <c r="C5740" s="5"/>
    </row>
    <row r="5741" spans="1:3" x14ac:dyDescent="0.25">
      <c r="A5741" s="4"/>
      <c r="B5741" s="5"/>
      <c r="C5741" s="6"/>
    </row>
    <row r="5742" spans="1:3" x14ac:dyDescent="0.25">
      <c r="A5742" s="4"/>
      <c r="B5742" s="5"/>
      <c r="C5742" s="6"/>
    </row>
    <row r="5743" spans="1:3" x14ac:dyDescent="0.25">
      <c r="A5743" s="4"/>
      <c r="B5743" s="5"/>
      <c r="C5743" s="6"/>
    </row>
    <row r="5744" spans="1:3" x14ac:dyDescent="0.25">
      <c r="A5744" s="4"/>
      <c r="B5744" s="5"/>
      <c r="C5744" s="6"/>
    </row>
    <row r="5745" spans="1:3" x14ac:dyDescent="0.25">
      <c r="A5745" s="4"/>
      <c r="B5745" s="5"/>
      <c r="C5745" s="6"/>
    </row>
    <row r="5746" spans="1:3" x14ac:dyDescent="0.25">
      <c r="A5746" s="4"/>
      <c r="B5746" s="5"/>
      <c r="C5746" s="6"/>
    </row>
    <row r="5747" spans="1:3" x14ac:dyDescent="0.25">
      <c r="A5747" s="4"/>
      <c r="B5747" s="5"/>
      <c r="C5747" s="6"/>
    </row>
    <row r="5748" spans="1:3" x14ac:dyDescent="0.25">
      <c r="A5748" s="4"/>
      <c r="B5748" s="5"/>
      <c r="C5748" s="6"/>
    </row>
    <row r="5749" spans="1:3" x14ac:dyDescent="0.25">
      <c r="A5749" s="4"/>
      <c r="B5749" s="5"/>
      <c r="C5749" s="6"/>
    </row>
    <row r="5750" spans="1:3" x14ac:dyDescent="0.25">
      <c r="A5750" s="4"/>
      <c r="B5750" s="5"/>
      <c r="C5750" s="6"/>
    </row>
    <row r="5751" spans="1:3" x14ac:dyDescent="0.25">
      <c r="A5751" s="4"/>
      <c r="B5751" s="5"/>
      <c r="C5751" s="6"/>
    </row>
    <row r="5752" spans="1:3" x14ac:dyDescent="0.25">
      <c r="A5752" s="4"/>
      <c r="B5752" s="5"/>
      <c r="C5752" s="6"/>
    </row>
    <row r="5753" spans="1:3" x14ac:dyDescent="0.25">
      <c r="A5753" s="4"/>
      <c r="B5753" s="5"/>
      <c r="C5753" s="6"/>
    </row>
    <row r="5754" spans="1:3" x14ac:dyDescent="0.25">
      <c r="A5754" s="4"/>
      <c r="B5754" s="5"/>
      <c r="C5754" s="6"/>
    </row>
    <row r="5755" spans="1:3" x14ac:dyDescent="0.25">
      <c r="A5755" s="4"/>
      <c r="B5755" s="5"/>
      <c r="C5755" s="6"/>
    </row>
    <row r="5756" spans="1:3" x14ac:dyDescent="0.25">
      <c r="A5756" s="4"/>
      <c r="B5756" s="5"/>
      <c r="C5756" s="6"/>
    </row>
    <row r="5757" spans="1:3" x14ac:dyDescent="0.25">
      <c r="A5757" s="4"/>
      <c r="B5757" s="5"/>
      <c r="C5757" s="6"/>
    </row>
    <row r="5758" spans="1:3" x14ac:dyDescent="0.25">
      <c r="A5758" s="4"/>
      <c r="B5758" s="5"/>
      <c r="C5758" s="6"/>
    </row>
    <row r="5759" spans="1:3" x14ac:dyDescent="0.25">
      <c r="A5759" s="4"/>
      <c r="B5759" s="5"/>
      <c r="C5759" s="6"/>
    </row>
    <row r="5760" spans="1:3" x14ac:dyDescent="0.25">
      <c r="A5760" s="4"/>
      <c r="B5760" s="5"/>
      <c r="C5760" s="6"/>
    </row>
    <row r="5761" spans="1:3" x14ac:dyDescent="0.25">
      <c r="A5761" s="4"/>
      <c r="B5761" s="5"/>
      <c r="C5761" s="6"/>
    </row>
    <row r="5762" spans="1:3" x14ac:dyDescent="0.25">
      <c r="A5762" s="4"/>
      <c r="B5762" s="5"/>
      <c r="C5762" s="6"/>
    </row>
    <row r="5763" spans="1:3" x14ac:dyDescent="0.25">
      <c r="A5763" s="4"/>
      <c r="B5763" s="5"/>
      <c r="C5763" s="6"/>
    </row>
    <row r="5764" spans="1:3" x14ac:dyDescent="0.25">
      <c r="A5764" s="4"/>
      <c r="B5764" s="5"/>
      <c r="C5764" s="6"/>
    </row>
    <row r="5765" spans="1:3" x14ac:dyDescent="0.25">
      <c r="A5765" s="4"/>
      <c r="B5765" s="5"/>
      <c r="C5765" s="6"/>
    </row>
    <row r="5766" spans="1:3" x14ac:dyDescent="0.25">
      <c r="A5766" s="4"/>
      <c r="B5766" s="5"/>
      <c r="C5766" s="6"/>
    </row>
    <row r="5767" spans="1:3" x14ac:dyDescent="0.25">
      <c r="A5767" s="4"/>
      <c r="B5767" s="5"/>
      <c r="C5767" s="6"/>
    </row>
    <row r="5768" spans="1:3" x14ac:dyDescent="0.25">
      <c r="A5768" s="4"/>
      <c r="B5768" s="5"/>
      <c r="C5768" s="6"/>
    </row>
    <row r="5769" spans="1:3" x14ac:dyDescent="0.25">
      <c r="A5769" s="4"/>
      <c r="B5769" s="5"/>
      <c r="C5769" s="6"/>
    </row>
    <row r="5770" spans="1:3" x14ac:dyDescent="0.25">
      <c r="A5770" s="4"/>
      <c r="B5770" s="5"/>
      <c r="C5770" s="6"/>
    </row>
    <row r="5771" spans="1:3" x14ac:dyDescent="0.25">
      <c r="A5771" s="4"/>
      <c r="B5771" s="5"/>
      <c r="C5771" s="6"/>
    </row>
    <row r="5772" spans="1:3" x14ac:dyDescent="0.25">
      <c r="A5772" s="4"/>
      <c r="B5772" s="5"/>
      <c r="C5772" s="6"/>
    </row>
    <row r="5773" spans="1:3" x14ac:dyDescent="0.25">
      <c r="A5773" s="4"/>
      <c r="B5773" s="5"/>
      <c r="C5773" s="6"/>
    </row>
    <row r="5774" spans="1:3" x14ac:dyDescent="0.25">
      <c r="A5774" s="4"/>
      <c r="B5774" s="5"/>
      <c r="C5774" s="6"/>
    </row>
    <row r="5775" spans="1:3" x14ac:dyDescent="0.25">
      <c r="A5775" s="4"/>
      <c r="B5775" s="5"/>
      <c r="C5775" s="6"/>
    </row>
    <row r="5776" spans="1:3" x14ac:dyDescent="0.25">
      <c r="A5776" s="4"/>
      <c r="B5776" s="5"/>
      <c r="C5776" s="6"/>
    </row>
    <row r="5777" spans="1:3" x14ac:dyDescent="0.25">
      <c r="A5777" s="4"/>
      <c r="B5777" s="5"/>
      <c r="C5777" s="6"/>
    </row>
    <row r="5778" spans="1:3" x14ac:dyDescent="0.25">
      <c r="A5778" s="4"/>
      <c r="B5778" s="5"/>
      <c r="C5778" s="6"/>
    </row>
    <row r="5779" spans="1:3" x14ac:dyDescent="0.25">
      <c r="A5779" s="4"/>
      <c r="B5779" s="5"/>
      <c r="C5779" s="6"/>
    </row>
    <row r="5780" spans="1:3" x14ac:dyDescent="0.25">
      <c r="A5780" s="4"/>
      <c r="B5780" s="5"/>
      <c r="C5780" s="6"/>
    </row>
    <row r="5781" spans="1:3" x14ac:dyDescent="0.25">
      <c r="A5781" s="4"/>
      <c r="B5781" s="5"/>
      <c r="C5781" s="6"/>
    </row>
    <row r="5782" spans="1:3" x14ac:dyDescent="0.25">
      <c r="A5782" s="4"/>
      <c r="B5782" s="5"/>
      <c r="C5782" s="6"/>
    </row>
    <row r="5783" spans="1:3" x14ac:dyDescent="0.25">
      <c r="A5783" s="4"/>
      <c r="B5783" s="5"/>
      <c r="C5783" s="6"/>
    </row>
    <row r="5784" spans="1:3" x14ac:dyDescent="0.25">
      <c r="A5784" s="4"/>
      <c r="B5784" s="5"/>
      <c r="C5784" s="6"/>
    </row>
    <row r="5785" spans="1:3" x14ac:dyDescent="0.25">
      <c r="A5785" s="4"/>
      <c r="B5785" s="5"/>
      <c r="C5785" s="6"/>
    </row>
    <row r="5786" spans="1:3" x14ac:dyDescent="0.25">
      <c r="A5786" s="4"/>
      <c r="B5786" s="5"/>
      <c r="C5786" s="6"/>
    </row>
    <row r="5787" spans="1:3" x14ac:dyDescent="0.25">
      <c r="A5787" s="4"/>
      <c r="B5787" s="5"/>
      <c r="C5787" s="6"/>
    </row>
    <row r="5788" spans="1:3" x14ac:dyDescent="0.25">
      <c r="A5788" s="4"/>
      <c r="B5788" s="5"/>
      <c r="C5788" s="6"/>
    </row>
    <row r="5789" spans="1:3" x14ac:dyDescent="0.25">
      <c r="A5789" s="4"/>
      <c r="B5789" s="5"/>
      <c r="C5789" s="6"/>
    </row>
    <row r="5790" spans="1:3" x14ac:dyDescent="0.25">
      <c r="A5790" s="4"/>
      <c r="B5790" s="5"/>
      <c r="C5790" s="6"/>
    </row>
    <row r="5791" spans="1:3" x14ac:dyDescent="0.25">
      <c r="A5791" s="4"/>
      <c r="B5791" s="5"/>
      <c r="C5791" s="6"/>
    </row>
    <row r="5792" spans="1:3" x14ac:dyDescent="0.25">
      <c r="A5792" s="4"/>
      <c r="B5792" s="5"/>
      <c r="C5792" s="6"/>
    </row>
    <row r="5793" spans="1:3" x14ac:dyDescent="0.25">
      <c r="A5793" s="4"/>
      <c r="B5793" s="5"/>
      <c r="C5793" s="6"/>
    </row>
    <row r="5794" spans="1:3" x14ac:dyDescent="0.25">
      <c r="A5794" s="4"/>
      <c r="B5794" s="5"/>
      <c r="C5794" s="6"/>
    </row>
    <row r="5795" spans="1:3" x14ac:dyDescent="0.25">
      <c r="A5795" s="4"/>
      <c r="B5795" s="5"/>
      <c r="C5795" s="6"/>
    </row>
    <row r="5796" spans="1:3" x14ac:dyDescent="0.25">
      <c r="A5796" s="4"/>
      <c r="B5796" s="5"/>
      <c r="C5796" s="6"/>
    </row>
    <row r="5797" spans="1:3" x14ac:dyDescent="0.25">
      <c r="A5797" s="4"/>
      <c r="B5797" s="5"/>
      <c r="C5797" s="6"/>
    </row>
    <row r="5798" spans="1:3" x14ac:dyDescent="0.25">
      <c r="A5798" s="4"/>
      <c r="B5798" s="5"/>
      <c r="C5798" s="6"/>
    </row>
    <row r="5799" spans="1:3" x14ac:dyDescent="0.25">
      <c r="A5799" s="4"/>
      <c r="B5799" s="5"/>
      <c r="C5799" s="6"/>
    </row>
    <row r="5800" spans="1:3" x14ac:dyDescent="0.25">
      <c r="A5800" s="4"/>
      <c r="B5800" s="5"/>
      <c r="C5800" s="6"/>
    </row>
    <row r="5801" spans="1:3" x14ac:dyDescent="0.25">
      <c r="A5801" s="4"/>
      <c r="B5801" s="5"/>
      <c r="C5801" s="6"/>
    </row>
    <row r="5802" spans="1:3" x14ac:dyDescent="0.25">
      <c r="A5802" s="4"/>
      <c r="B5802" s="5"/>
      <c r="C5802" s="6"/>
    </row>
    <row r="5803" spans="1:3" x14ac:dyDescent="0.25">
      <c r="A5803" s="4"/>
      <c r="B5803" s="5"/>
      <c r="C5803" s="6"/>
    </row>
    <row r="5804" spans="1:3" x14ac:dyDescent="0.25">
      <c r="A5804" s="4"/>
      <c r="B5804" s="5"/>
      <c r="C5804" s="6"/>
    </row>
    <row r="5805" spans="1:3" x14ac:dyDescent="0.25">
      <c r="A5805" s="4"/>
      <c r="B5805" s="5"/>
      <c r="C5805" s="6"/>
    </row>
    <row r="5806" spans="1:3" x14ac:dyDescent="0.25">
      <c r="A5806" s="4"/>
      <c r="B5806" s="5"/>
      <c r="C5806" s="6"/>
    </row>
    <row r="5807" spans="1:3" x14ac:dyDescent="0.25">
      <c r="A5807" s="4"/>
      <c r="B5807" s="5"/>
      <c r="C5807" s="6"/>
    </row>
    <row r="5808" spans="1:3" x14ac:dyDescent="0.25">
      <c r="A5808" s="4"/>
      <c r="B5808" s="5"/>
      <c r="C5808" s="6"/>
    </row>
    <row r="5809" spans="1:3" x14ac:dyDescent="0.25">
      <c r="A5809" s="4"/>
      <c r="B5809" s="5"/>
      <c r="C5809" s="6"/>
    </row>
    <row r="5810" spans="1:3" x14ac:dyDescent="0.25">
      <c r="A5810" s="4"/>
      <c r="B5810" s="5"/>
      <c r="C5810" s="6"/>
    </row>
    <row r="5811" spans="1:3" x14ac:dyDescent="0.25">
      <c r="A5811" s="4"/>
      <c r="B5811" s="5"/>
      <c r="C5811" s="6"/>
    </row>
    <row r="5812" spans="1:3" x14ac:dyDescent="0.25">
      <c r="A5812" s="4"/>
      <c r="B5812" s="5"/>
      <c r="C5812" s="5"/>
    </row>
    <row r="5813" spans="1:3" x14ac:dyDescent="0.25">
      <c r="A5813" s="4"/>
      <c r="B5813" s="5"/>
      <c r="C5813" s="5"/>
    </row>
    <row r="5814" spans="1:3" x14ac:dyDescent="0.25">
      <c r="A5814" s="4"/>
      <c r="B5814" s="5"/>
      <c r="C5814" s="6"/>
    </row>
    <row r="5815" spans="1:3" x14ac:dyDescent="0.25">
      <c r="A5815" s="4"/>
      <c r="B5815" s="5"/>
      <c r="C5815" s="6"/>
    </row>
    <row r="5816" spans="1:3" x14ac:dyDescent="0.25">
      <c r="A5816" s="4"/>
      <c r="B5816" s="5"/>
      <c r="C5816" s="6"/>
    </row>
    <row r="5817" spans="1:3" x14ac:dyDescent="0.25">
      <c r="A5817" s="4"/>
      <c r="B5817" s="5"/>
      <c r="C5817" s="6"/>
    </row>
    <row r="5818" spans="1:3" x14ac:dyDescent="0.25">
      <c r="A5818" s="4"/>
      <c r="B5818" s="5"/>
      <c r="C5818" s="6"/>
    </row>
    <row r="5819" spans="1:3" x14ac:dyDescent="0.25">
      <c r="A5819" s="4"/>
      <c r="B5819" s="5"/>
      <c r="C5819" s="6"/>
    </row>
    <row r="5820" spans="1:3" x14ac:dyDescent="0.25">
      <c r="A5820" s="4"/>
      <c r="B5820" s="5"/>
      <c r="C5820" s="6"/>
    </row>
    <row r="5821" spans="1:3" x14ac:dyDescent="0.25">
      <c r="A5821" s="4"/>
      <c r="B5821" s="5"/>
      <c r="C5821" s="6"/>
    </row>
    <row r="5822" spans="1:3" x14ac:dyDescent="0.25">
      <c r="A5822" s="4"/>
      <c r="B5822" s="5"/>
      <c r="C5822" s="6"/>
    </row>
    <row r="5823" spans="1:3" x14ac:dyDescent="0.25">
      <c r="A5823" s="4"/>
      <c r="B5823" s="5"/>
      <c r="C5823" s="6"/>
    </row>
    <row r="5824" spans="1:3" x14ac:dyDescent="0.25">
      <c r="A5824" s="4"/>
      <c r="B5824" s="5"/>
      <c r="C5824" s="6"/>
    </row>
    <row r="5825" spans="1:3" x14ac:dyDescent="0.25">
      <c r="A5825" s="4"/>
      <c r="B5825" s="5"/>
      <c r="C5825" s="6"/>
    </row>
    <row r="5826" spans="1:3" x14ac:dyDescent="0.25">
      <c r="A5826" s="4"/>
      <c r="B5826" s="5"/>
      <c r="C5826" s="6"/>
    </row>
    <row r="5827" spans="1:3" x14ac:dyDescent="0.25">
      <c r="A5827" s="4"/>
      <c r="B5827" s="5"/>
      <c r="C5827" s="6"/>
    </row>
    <row r="5828" spans="1:3" x14ac:dyDescent="0.25">
      <c r="A5828" s="4"/>
      <c r="B5828" s="5"/>
      <c r="C5828" s="6"/>
    </row>
    <row r="5829" spans="1:3" x14ac:dyDescent="0.25">
      <c r="A5829" s="4"/>
      <c r="B5829" s="5"/>
      <c r="C5829" s="6"/>
    </row>
    <row r="5830" spans="1:3" x14ac:dyDescent="0.25">
      <c r="A5830" s="4"/>
      <c r="B5830" s="5"/>
      <c r="C5830" s="6"/>
    </row>
    <row r="5831" spans="1:3" x14ac:dyDescent="0.25">
      <c r="A5831" s="4"/>
      <c r="B5831" s="5"/>
      <c r="C5831" s="6"/>
    </row>
    <row r="5832" spans="1:3" x14ac:dyDescent="0.25">
      <c r="A5832" s="4"/>
      <c r="B5832" s="5"/>
      <c r="C5832" s="5"/>
    </row>
    <row r="5833" spans="1:3" x14ac:dyDescent="0.25">
      <c r="A5833" s="4"/>
      <c r="B5833" s="5"/>
      <c r="C5833" s="6"/>
    </row>
    <row r="5834" spans="1:3" x14ac:dyDescent="0.25">
      <c r="A5834" s="4"/>
      <c r="B5834" s="5"/>
      <c r="C5834" s="6"/>
    </row>
    <row r="5835" spans="1:3" x14ac:dyDescent="0.25">
      <c r="A5835" s="4"/>
      <c r="B5835" s="5"/>
      <c r="C5835" s="6"/>
    </row>
    <row r="5836" spans="1:3" x14ac:dyDescent="0.25">
      <c r="A5836" s="4"/>
      <c r="B5836" s="5"/>
      <c r="C5836" s="6"/>
    </row>
    <row r="5837" spans="1:3" x14ac:dyDescent="0.25">
      <c r="A5837" s="4"/>
      <c r="B5837" s="5"/>
      <c r="C5837" s="6"/>
    </row>
    <row r="5838" spans="1:3" x14ac:dyDescent="0.25">
      <c r="A5838" s="4"/>
      <c r="B5838" s="5"/>
      <c r="C5838" s="6"/>
    </row>
    <row r="5839" spans="1:3" x14ac:dyDescent="0.25">
      <c r="A5839" s="4"/>
      <c r="B5839" s="5"/>
      <c r="C5839" s="6"/>
    </row>
    <row r="5840" spans="1:3" x14ac:dyDescent="0.25">
      <c r="A5840" s="4"/>
      <c r="B5840" s="5"/>
      <c r="C5840" s="6"/>
    </row>
    <row r="5841" spans="1:3" x14ac:dyDescent="0.25">
      <c r="A5841" s="4"/>
      <c r="B5841" s="5"/>
      <c r="C5841" s="6"/>
    </row>
    <row r="5842" spans="1:3" x14ac:dyDescent="0.25">
      <c r="A5842" s="4"/>
      <c r="B5842" s="5"/>
      <c r="C5842" s="6"/>
    </row>
    <row r="5843" spans="1:3" x14ac:dyDescent="0.25">
      <c r="A5843" s="4"/>
      <c r="B5843" s="5"/>
      <c r="C5843" s="5"/>
    </row>
    <row r="5844" spans="1:3" x14ac:dyDescent="0.25">
      <c r="A5844" s="4"/>
      <c r="B5844" s="5"/>
      <c r="C5844" s="6"/>
    </row>
    <row r="5845" spans="1:3" x14ac:dyDescent="0.25">
      <c r="A5845" s="4"/>
      <c r="B5845" s="5"/>
      <c r="C5845" s="6"/>
    </row>
    <row r="5846" spans="1:3" x14ac:dyDescent="0.25">
      <c r="A5846" s="4"/>
      <c r="B5846" s="5"/>
      <c r="C5846" s="6"/>
    </row>
    <row r="5847" spans="1:3" x14ac:dyDescent="0.25">
      <c r="A5847" s="4"/>
      <c r="B5847" s="5"/>
      <c r="C5847" s="6"/>
    </row>
    <row r="5848" spans="1:3" x14ac:dyDescent="0.25">
      <c r="A5848" s="4"/>
      <c r="B5848" s="5"/>
      <c r="C5848" s="6"/>
    </row>
    <row r="5849" spans="1:3" x14ac:dyDescent="0.25">
      <c r="A5849" s="4"/>
      <c r="B5849" s="5"/>
      <c r="C5849" s="6"/>
    </row>
    <row r="5850" spans="1:3" x14ac:dyDescent="0.25">
      <c r="A5850" s="4"/>
      <c r="B5850" s="5"/>
      <c r="C5850" s="6"/>
    </row>
    <row r="5851" spans="1:3" x14ac:dyDescent="0.25">
      <c r="A5851" s="4"/>
      <c r="B5851" s="5"/>
      <c r="C5851" s="6"/>
    </row>
    <row r="5852" spans="1:3" x14ac:dyDescent="0.25">
      <c r="A5852" s="4"/>
      <c r="B5852" s="5"/>
      <c r="C5852" s="6"/>
    </row>
    <row r="5853" spans="1:3" x14ac:dyDescent="0.25">
      <c r="A5853" s="4"/>
      <c r="B5853" s="5"/>
      <c r="C5853" s="6"/>
    </row>
    <row r="5854" spans="1:3" x14ac:dyDescent="0.25">
      <c r="A5854" s="4"/>
      <c r="B5854" s="5"/>
      <c r="C5854" s="6"/>
    </row>
    <row r="5855" spans="1:3" x14ac:dyDescent="0.25">
      <c r="A5855" s="4"/>
      <c r="B5855" s="5"/>
      <c r="C5855" s="6"/>
    </row>
    <row r="5856" spans="1:3" x14ac:dyDescent="0.25">
      <c r="A5856" s="4"/>
      <c r="B5856" s="5"/>
      <c r="C5856" s="6"/>
    </row>
    <row r="5857" spans="1:3" x14ac:dyDescent="0.25">
      <c r="A5857" s="4"/>
      <c r="B5857" s="5"/>
      <c r="C5857" s="6"/>
    </row>
    <row r="5858" spans="1:3" x14ac:dyDescent="0.25">
      <c r="A5858" s="4"/>
      <c r="B5858" s="5"/>
      <c r="C5858" s="6"/>
    </row>
    <row r="5859" spans="1:3" x14ac:dyDescent="0.25">
      <c r="A5859" s="4"/>
      <c r="B5859" s="5"/>
      <c r="C5859" s="6"/>
    </row>
    <row r="5860" spans="1:3" x14ac:dyDescent="0.25">
      <c r="A5860" s="4"/>
      <c r="B5860" s="5"/>
      <c r="C5860" s="6"/>
    </row>
    <row r="5861" spans="1:3" x14ac:dyDescent="0.25">
      <c r="A5861" s="4"/>
      <c r="B5861" s="5"/>
      <c r="C5861" s="6"/>
    </row>
    <row r="5862" spans="1:3" x14ac:dyDescent="0.25">
      <c r="A5862" s="4"/>
      <c r="B5862" s="5"/>
      <c r="C5862" s="6"/>
    </row>
    <row r="5863" spans="1:3" x14ac:dyDescent="0.25">
      <c r="A5863" s="4"/>
      <c r="B5863" s="5"/>
      <c r="C5863" s="6"/>
    </row>
    <row r="5864" spans="1:3" x14ac:dyDescent="0.25">
      <c r="A5864" s="4"/>
      <c r="B5864" s="5"/>
      <c r="C5864" s="6"/>
    </row>
    <row r="5865" spans="1:3" x14ac:dyDescent="0.25">
      <c r="A5865" s="4"/>
      <c r="B5865" s="5"/>
      <c r="C5865" s="6"/>
    </row>
    <row r="5866" spans="1:3" x14ac:dyDescent="0.25">
      <c r="A5866" s="4"/>
      <c r="B5866" s="5"/>
      <c r="C5866" s="6"/>
    </row>
    <row r="5867" spans="1:3" x14ac:dyDescent="0.25">
      <c r="A5867" s="4"/>
      <c r="B5867" s="5"/>
      <c r="C5867" s="6"/>
    </row>
    <row r="5868" spans="1:3" x14ac:dyDescent="0.25">
      <c r="A5868" s="4"/>
      <c r="B5868" s="5"/>
      <c r="C5868" s="6"/>
    </row>
    <row r="5869" spans="1:3" x14ac:dyDescent="0.25">
      <c r="A5869" s="4"/>
      <c r="B5869" s="5"/>
      <c r="C5869" s="6"/>
    </row>
    <row r="5870" spans="1:3" x14ac:dyDescent="0.25">
      <c r="A5870" s="4"/>
      <c r="B5870" s="5"/>
      <c r="C5870" s="6"/>
    </row>
    <row r="5871" spans="1:3" x14ac:dyDescent="0.25">
      <c r="A5871" s="4"/>
      <c r="B5871" s="5"/>
      <c r="C5871" s="6"/>
    </row>
    <row r="5872" spans="1:3" x14ac:dyDescent="0.25">
      <c r="A5872" s="4"/>
      <c r="B5872" s="5"/>
      <c r="C5872" s="6"/>
    </row>
    <row r="5873" spans="1:3" x14ac:dyDescent="0.25">
      <c r="A5873" s="4"/>
      <c r="B5873" s="5"/>
      <c r="C5873" s="6"/>
    </row>
    <row r="5874" spans="1:3" x14ac:dyDescent="0.25">
      <c r="A5874" s="4"/>
      <c r="B5874" s="5"/>
      <c r="C5874" s="6"/>
    </row>
    <row r="5875" spans="1:3" x14ac:dyDescent="0.25">
      <c r="A5875" s="4"/>
      <c r="B5875" s="5"/>
      <c r="C5875" s="6"/>
    </row>
    <row r="5876" spans="1:3" x14ac:dyDescent="0.25">
      <c r="A5876" s="4"/>
      <c r="B5876" s="5"/>
      <c r="C5876" s="6"/>
    </row>
    <row r="5877" spans="1:3" x14ac:dyDescent="0.25">
      <c r="A5877" s="4"/>
      <c r="B5877" s="5"/>
      <c r="C5877" s="6"/>
    </row>
    <row r="5878" spans="1:3" x14ac:dyDescent="0.25">
      <c r="A5878" s="4"/>
      <c r="B5878" s="5"/>
      <c r="C5878" s="6"/>
    </row>
    <row r="5879" spans="1:3" x14ac:dyDescent="0.25">
      <c r="A5879" s="4"/>
      <c r="B5879" s="5"/>
      <c r="C5879" s="6"/>
    </row>
    <row r="5880" spans="1:3" x14ac:dyDescent="0.25">
      <c r="A5880" s="4"/>
      <c r="B5880" s="5"/>
      <c r="C5880" s="6"/>
    </row>
    <row r="5881" spans="1:3" x14ac:dyDescent="0.25">
      <c r="A5881" s="4"/>
      <c r="B5881" s="5"/>
      <c r="C5881" s="6"/>
    </row>
    <row r="5882" spans="1:3" x14ac:dyDescent="0.25">
      <c r="A5882" s="4"/>
      <c r="B5882" s="5"/>
      <c r="C5882" s="6"/>
    </row>
    <row r="5883" spans="1:3" x14ac:dyDescent="0.25">
      <c r="A5883" s="4"/>
      <c r="B5883" s="5"/>
      <c r="C5883" s="6"/>
    </row>
    <row r="5884" spans="1:3" x14ac:dyDescent="0.25">
      <c r="A5884" s="4"/>
      <c r="B5884" s="5"/>
      <c r="C5884" s="6"/>
    </row>
    <row r="5885" spans="1:3" x14ac:dyDescent="0.25">
      <c r="A5885" s="4"/>
      <c r="B5885" s="5"/>
      <c r="C5885" s="6"/>
    </row>
    <row r="5886" spans="1:3" x14ac:dyDescent="0.25">
      <c r="A5886" s="4"/>
      <c r="B5886" s="5"/>
      <c r="C5886" s="6"/>
    </row>
    <row r="5887" spans="1:3" x14ac:dyDescent="0.25">
      <c r="A5887" s="4"/>
      <c r="B5887" s="5"/>
      <c r="C5887" s="6"/>
    </row>
    <row r="5888" spans="1:3" x14ac:dyDescent="0.25">
      <c r="A5888" s="4"/>
      <c r="B5888" s="5"/>
      <c r="C5888" s="6"/>
    </row>
    <row r="5889" spans="1:3" x14ac:dyDescent="0.25">
      <c r="A5889" s="4"/>
      <c r="B5889" s="5"/>
      <c r="C5889" s="6"/>
    </row>
    <row r="5890" spans="1:3" x14ac:dyDescent="0.25">
      <c r="A5890" s="4"/>
      <c r="B5890" s="5"/>
      <c r="C5890" s="6"/>
    </row>
    <row r="5891" spans="1:3" x14ac:dyDescent="0.25">
      <c r="A5891" s="4"/>
      <c r="B5891" s="5"/>
      <c r="C5891" s="6"/>
    </row>
    <row r="5892" spans="1:3" x14ac:dyDescent="0.25">
      <c r="A5892" s="4"/>
      <c r="B5892" s="5"/>
      <c r="C5892" s="6"/>
    </row>
    <row r="5893" spans="1:3" x14ac:dyDescent="0.25">
      <c r="A5893" s="4"/>
      <c r="B5893" s="5"/>
      <c r="C5893" s="6"/>
    </row>
    <row r="5894" spans="1:3" x14ac:dyDescent="0.25">
      <c r="A5894" s="4"/>
      <c r="B5894" s="5"/>
      <c r="C5894" s="6"/>
    </row>
    <row r="5895" spans="1:3" x14ac:dyDescent="0.25">
      <c r="A5895" s="4"/>
      <c r="B5895" s="5"/>
      <c r="C5895" s="6"/>
    </row>
    <row r="5896" spans="1:3" x14ac:dyDescent="0.25">
      <c r="A5896" s="4"/>
      <c r="B5896" s="5"/>
      <c r="C5896" s="6"/>
    </row>
    <row r="5897" spans="1:3" x14ac:dyDescent="0.25">
      <c r="A5897" s="4"/>
      <c r="B5897" s="5"/>
      <c r="C5897" s="6"/>
    </row>
    <row r="5898" spans="1:3" x14ac:dyDescent="0.25">
      <c r="A5898" s="4"/>
      <c r="B5898" s="5"/>
      <c r="C5898" s="6"/>
    </row>
    <row r="5899" spans="1:3" x14ac:dyDescent="0.25">
      <c r="A5899" s="4"/>
      <c r="B5899" s="5"/>
      <c r="C5899" s="6"/>
    </row>
    <row r="5900" spans="1:3" x14ac:dyDescent="0.25">
      <c r="A5900" s="4"/>
      <c r="B5900" s="5"/>
      <c r="C5900" s="6"/>
    </row>
    <row r="5901" spans="1:3" x14ac:dyDescent="0.25">
      <c r="A5901" s="4"/>
      <c r="B5901" s="5"/>
      <c r="C5901" s="6"/>
    </row>
    <row r="5902" spans="1:3" x14ac:dyDescent="0.25">
      <c r="A5902" s="4"/>
      <c r="B5902" s="5"/>
      <c r="C5902" s="6"/>
    </row>
    <row r="5903" spans="1:3" x14ac:dyDescent="0.25">
      <c r="A5903" s="4"/>
      <c r="B5903" s="5"/>
      <c r="C5903" s="6"/>
    </row>
    <row r="5904" spans="1:3" x14ac:dyDescent="0.25">
      <c r="A5904" s="4"/>
      <c r="B5904" s="5"/>
      <c r="C5904" s="6"/>
    </row>
    <row r="5905" spans="1:3" x14ac:dyDescent="0.25">
      <c r="A5905" s="4"/>
      <c r="B5905" s="5"/>
      <c r="C5905" s="6"/>
    </row>
    <row r="5906" spans="1:3" x14ac:dyDescent="0.25">
      <c r="A5906" s="4"/>
      <c r="B5906" s="5"/>
      <c r="C5906" s="6"/>
    </row>
    <row r="5907" spans="1:3" x14ac:dyDescent="0.25">
      <c r="A5907" s="4"/>
      <c r="B5907" s="5"/>
      <c r="C5907" s="6"/>
    </row>
    <row r="5908" spans="1:3" x14ac:dyDescent="0.25">
      <c r="A5908" s="4"/>
      <c r="B5908" s="5"/>
      <c r="C5908" s="6"/>
    </row>
    <row r="5909" spans="1:3" x14ac:dyDescent="0.25">
      <c r="A5909" s="4"/>
      <c r="B5909" s="5"/>
      <c r="C5909" s="6"/>
    </row>
    <row r="5910" spans="1:3" x14ac:dyDescent="0.25">
      <c r="A5910" s="4"/>
      <c r="B5910" s="5"/>
      <c r="C5910" s="6"/>
    </row>
    <row r="5911" spans="1:3" x14ac:dyDescent="0.25">
      <c r="A5911" s="4"/>
      <c r="B5911" s="5"/>
      <c r="C5911" s="6"/>
    </row>
    <row r="5912" spans="1:3" x14ac:dyDescent="0.25">
      <c r="A5912" s="4"/>
      <c r="B5912" s="5"/>
      <c r="C5912" s="6"/>
    </row>
    <row r="5913" spans="1:3" x14ac:dyDescent="0.25">
      <c r="A5913" s="4"/>
      <c r="B5913" s="5"/>
      <c r="C5913" s="5"/>
    </row>
    <row r="5914" spans="1:3" x14ac:dyDescent="0.25">
      <c r="A5914" s="4"/>
      <c r="B5914" s="5"/>
      <c r="C5914" s="6"/>
    </row>
    <row r="5915" spans="1:3" x14ac:dyDescent="0.25">
      <c r="A5915" s="4"/>
      <c r="B5915" s="5"/>
      <c r="C5915" s="6"/>
    </row>
    <row r="5916" spans="1:3" x14ac:dyDescent="0.25">
      <c r="A5916" s="4"/>
      <c r="B5916" s="5"/>
      <c r="C5916" s="6"/>
    </row>
    <row r="5917" spans="1:3" x14ac:dyDescent="0.25">
      <c r="A5917" s="4"/>
      <c r="B5917" s="5"/>
      <c r="C5917" s="6"/>
    </row>
    <row r="5918" spans="1:3" x14ac:dyDescent="0.25">
      <c r="A5918" s="4"/>
      <c r="B5918" s="5"/>
      <c r="C5918" s="6"/>
    </row>
    <row r="5919" spans="1:3" x14ac:dyDescent="0.25">
      <c r="A5919" s="4"/>
      <c r="B5919" s="5"/>
      <c r="C5919" s="6"/>
    </row>
    <row r="5920" spans="1:3" x14ac:dyDescent="0.25">
      <c r="A5920" s="4"/>
      <c r="B5920" s="5"/>
      <c r="C5920" s="6"/>
    </row>
    <row r="5921" spans="1:3" x14ac:dyDescent="0.25">
      <c r="A5921" s="4"/>
      <c r="B5921" s="5"/>
      <c r="C5921" s="6"/>
    </row>
    <row r="5922" spans="1:3" x14ac:dyDescent="0.25">
      <c r="A5922" s="4"/>
      <c r="B5922" s="5"/>
      <c r="C5922" s="6"/>
    </row>
    <row r="5923" spans="1:3" x14ac:dyDescent="0.25">
      <c r="A5923" s="4"/>
      <c r="B5923" s="5"/>
      <c r="C5923" s="6"/>
    </row>
    <row r="5924" spans="1:3" x14ac:dyDescent="0.25">
      <c r="A5924" s="4"/>
      <c r="B5924" s="5"/>
      <c r="C5924" s="6"/>
    </row>
    <row r="5925" spans="1:3" x14ac:dyDescent="0.25">
      <c r="A5925" s="4"/>
      <c r="B5925" s="5"/>
      <c r="C5925" s="6"/>
    </row>
    <row r="5926" spans="1:3" x14ac:dyDescent="0.25">
      <c r="A5926" s="4"/>
      <c r="B5926" s="5"/>
      <c r="C5926" s="6"/>
    </row>
    <row r="5927" spans="1:3" x14ac:dyDescent="0.25">
      <c r="A5927" s="4"/>
      <c r="B5927" s="5"/>
      <c r="C5927" s="6"/>
    </row>
    <row r="5928" spans="1:3" x14ac:dyDescent="0.25">
      <c r="A5928" s="4"/>
      <c r="B5928" s="5"/>
      <c r="C5928" s="6"/>
    </row>
    <row r="5929" spans="1:3" x14ac:dyDescent="0.25">
      <c r="A5929" s="4"/>
      <c r="B5929" s="5"/>
      <c r="C5929" s="6"/>
    </row>
    <row r="5930" spans="1:3" x14ac:dyDescent="0.25">
      <c r="A5930" s="4"/>
      <c r="B5930" s="5"/>
      <c r="C5930" s="6"/>
    </row>
    <row r="5931" spans="1:3" x14ac:dyDescent="0.25">
      <c r="A5931" s="4"/>
      <c r="B5931" s="5"/>
      <c r="C5931" s="6"/>
    </row>
    <row r="5932" spans="1:3" x14ac:dyDescent="0.25">
      <c r="A5932" s="4"/>
      <c r="B5932" s="5"/>
      <c r="C5932" s="6"/>
    </row>
    <row r="5933" spans="1:3" x14ac:dyDescent="0.25">
      <c r="A5933" s="4"/>
      <c r="B5933" s="5"/>
      <c r="C5933" s="6"/>
    </row>
    <row r="5934" spans="1:3" x14ac:dyDescent="0.25">
      <c r="A5934" s="4"/>
      <c r="B5934" s="5"/>
      <c r="C5934" s="6"/>
    </row>
    <row r="5935" spans="1:3" x14ac:dyDescent="0.25">
      <c r="A5935" s="4"/>
      <c r="B5935" s="5"/>
      <c r="C5935" s="6"/>
    </row>
    <row r="5936" spans="1:3" x14ac:dyDescent="0.25">
      <c r="A5936" s="4"/>
      <c r="B5936" s="5"/>
      <c r="C5936" s="6"/>
    </row>
    <row r="5937" spans="1:3" x14ac:dyDescent="0.25">
      <c r="A5937" s="4"/>
      <c r="B5937" s="5"/>
      <c r="C5937" s="6"/>
    </row>
    <row r="5938" spans="1:3" x14ac:dyDescent="0.25">
      <c r="A5938" s="4"/>
      <c r="B5938" s="5"/>
      <c r="C5938" s="6"/>
    </row>
    <row r="5939" spans="1:3" x14ac:dyDescent="0.25">
      <c r="A5939" s="4"/>
      <c r="B5939" s="5"/>
      <c r="C5939" s="6"/>
    </row>
    <row r="5940" spans="1:3" x14ac:dyDescent="0.25">
      <c r="A5940" s="4"/>
      <c r="B5940" s="5"/>
      <c r="C5940" s="6"/>
    </row>
    <row r="5941" spans="1:3" x14ac:dyDescent="0.25">
      <c r="A5941" s="4"/>
      <c r="B5941" s="5"/>
      <c r="C5941" s="6"/>
    </row>
    <row r="5942" spans="1:3" x14ac:dyDescent="0.25">
      <c r="A5942" s="4"/>
      <c r="B5942" s="5"/>
      <c r="C5942" s="6"/>
    </row>
    <row r="5943" spans="1:3" x14ac:dyDescent="0.25">
      <c r="A5943" s="4"/>
      <c r="B5943" s="5"/>
      <c r="C5943" s="6"/>
    </row>
    <row r="5944" spans="1:3" x14ac:dyDescent="0.25">
      <c r="A5944" s="4"/>
      <c r="B5944" s="5"/>
      <c r="C5944" s="6"/>
    </row>
    <row r="5945" spans="1:3" x14ac:dyDescent="0.25">
      <c r="A5945" s="4"/>
      <c r="B5945" s="5"/>
      <c r="C5945" s="6"/>
    </row>
    <row r="5946" spans="1:3" x14ac:dyDescent="0.25">
      <c r="A5946" s="4"/>
      <c r="B5946" s="5"/>
      <c r="C5946" s="6"/>
    </row>
    <row r="5947" spans="1:3" x14ac:dyDescent="0.25">
      <c r="A5947" s="4"/>
      <c r="B5947" s="5"/>
      <c r="C5947" s="6"/>
    </row>
    <row r="5948" spans="1:3" x14ac:dyDescent="0.25">
      <c r="A5948" s="4"/>
      <c r="B5948" s="5"/>
      <c r="C5948" s="6"/>
    </row>
    <row r="5949" spans="1:3" x14ac:dyDescent="0.25">
      <c r="A5949" s="4"/>
      <c r="B5949" s="5"/>
      <c r="C5949" s="6"/>
    </row>
    <row r="5950" spans="1:3" x14ac:dyDescent="0.25">
      <c r="A5950" s="4"/>
      <c r="B5950" s="5"/>
      <c r="C5950" s="6"/>
    </row>
    <row r="5951" spans="1:3" x14ac:dyDescent="0.25">
      <c r="A5951" s="4"/>
      <c r="B5951" s="5"/>
      <c r="C5951" s="6"/>
    </row>
    <row r="5952" spans="1:3" x14ac:dyDescent="0.25">
      <c r="A5952" s="4"/>
      <c r="B5952" s="5"/>
      <c r="C5952" s="6"/>
    </row>
    <row r="5953" spans="1:3" x14ac:dyDescent="0.25">
      <c r="A5953" s="4"/>
      <c r="B5953" s="5"/>
      <c r="C5953" s="6"/>
    </row>
    <row r="5954" spans="1:3" x14ac:dyDescent="0.25">
      <c r="A5954" s="4"/>
      <c r="B5954" s="5"/>
      <c r="C5954" s="6"/>
    </row>
    <row r="5955" spans="1:3" x14ac:dyDescent="0.25">
      <c r="A5955" s="4"/>
      <c r="B5955" s="5"/>
      <c r="C5955" s="6"/>
    </row>
    <row r="5956" spans="1:3" x14ac:dyDescent="0.25">
      <c r="A5956" s="4"/>
      <c r="B5956" s="5"/>
      <c r="C5956" s="6"/>
    </row>
    <row r="5957" spans="1:3" x14ac:dyDescent="0.25">
      <c r="A5957" s="4"/>
      <c r="B5957" s="5"/>
      <c r="C5957" s="6"/>
    </row>
    <row r="5958" spans="1:3" x14ac:dyDescent="0.25">
      <c r="A5958" s="4"/>
      <c r="B5958" s="5"/>
      <c r="C5958" s="6"/>
    </row>
    <row r="5959" spans="1:3" x14ac:dyDescent="0.25">
      <c r="A5959" s="4"/>
      <c r="B5959" s="5"/>
      <c r="C5959" s="6"/>
    </row>
    <row r="5960" spans="1:3" x14ac:dyDescent="0.25">
      <c r="A5960" s="4"/>
      <c r="B5960" s="5"/>
      <c r="C5960" s="6"/>
    </row>
    <row r="5961" spans="1:3" x14ac:dyDescent="0.25">
      <c r="A5961" s="4"/>
      <c r="B5961" s="5"/>
      <c r="C5961" s="6"/>
    </row>
    <row r="5962" spans="1:3" x14ac:dyDescent="0.25">
      <c r="A5962" s="4"/>
      <c r="B5962" s="5"/>
      <c r="C5962" s="6"/>
    </row>
    <row r="5963" spans="1:3" x14ac:dyDescent="0.25">
      <c r="A5963" s="4"/>
      <c r="B5963" s="5"/>
      <c r="C5963" s="6"/>
    </row>
    <row r="5964" spans="1:3" x14ac:dyDescent="0.25">
      <c r="A5964" s="4"/>
      <c r="B5964" s="5"/>
      <c r="C5964" s="6"/>
    </row>
    <row r="5965" spans="1:3" x14ac:dyDescent="0.25">
      <c r="A5965" s="4"/>
      <c r="B5965" s="5"/>
      <c r="C5965" s="6"/>
    </row>
    <row r="5966" spans="1:3" x14ac:dyDescent="0.25">
      <c r="A5966" s="4"/>
      <c r="B5966" s="5"/>
      <c r="C5966" s="6"/>
    </row>
    <row r="5967" spans="1:3" x14ac:dyDescent="0.25">
      <c r="A5967" s="4"/>
      <c r="B5967" s="5"/>
      <c r="C5967" s="6"/>
    </row>
    <row r="5968" spans="1:3" x14ac:dyDescent="0.25">
      <c r="A5968" s="4"/>
      <c r="B5968" s="5"/>
      <c r="C5968" s="6"/>
    </row>
    <row r="5969" spans="1:3" x14ac:dyDescent="0.25">
      <c r="A5969" s="4"/>
      <c r="B5969" s="5"/>
      <c r="C5969" s="6"/>
    </row>
    <row r="5970" spans="1:3" x14ac:dyDescent="0.25">
      <c r="A5970" s="4"/>
      <c r="B5970" s="5"/>
      <c r="C5970" s="6"/>
    </row>
    <row r="5971" spans="1:3" x14ac:dyDescent="0.25">
      <c r="A5971" s="4"/>
      <c r="B5971" s="5"/>
      <c r="C5971" s="6"/>
    </row>
    <row r="5972" spans="1:3" x14ac:dyDescent="0.25">
      <c r="A5972" s="4"/>
      <c r="B5972" s="5"/>
      <c r="C5972" s="6"/>
    </row>
    <row r="5973" spans="1:3" x14ac:dyDescent="0.25">
      <c r="A5973" s="4"/>
      <c r="B5973" s="5"/>
      <c r="C5973" s="6"/>
    </row>
    <row r="5974" spans="1:3" x14ac:dyDescent="0.25">
      <c r="A5974" s="4"/>
      <c r="B5974" s="5"/>
      <c r="C5974" s="6"/>
    </row>
    <row r="5975" spans="1:3" x14ac:dyDescent="0.25">
      <c r="A5975" s="4"/>
      <c r="B5975" s="5"/>
      <c r="C5975" s="6"/>
    </row>
    <row r="5976" spans="1:3" x14ac:dyDescent="0.25">
      <c r="A5976" s="4"/>
      <c r="B5976" s="5"/>
      <c r="C5976" s="6"/>
    </row>
    <row r="5977" spans="1:3" x14ac:dyDescent="0.25">
      <c r="A5977" s="4"/>
      <c r="B5977" s="5"/>
      <c r="C5977" s="6"/>
    </row>
    <row r="5978" spans="1:3" x14ac:dyDescent="0.25">
      <c r="A5978" s="4"/>
      <c r="B5978" s="5"/>
      <c r="C5978" s="6"/>
    </row>
    <row r="5979" spans="1:3" x14ac:dyDescent="0.25">
      <c r="A5979" s="4"/>
      <c r="B5979" s="5"/>
      <c r="C5979" s="6"/>
    </row>
    <row r="5980" spans="1:3" x14ac:dyDescent="0.25">
      <c r="A5980" s="4"/>
      <c r="B5980" s="5"/>
      <c r="C5980" s="6"/>
    </row>
    <row r="5981" spans="1:3" x14ac:dyDescent="0.25">
      <c r="A5981" s="4"/>
      <c r="B5981" s="5"/>
      <c r="C5981" s="6"/>
    </row>
    <row r="5982" spans="1:3" x14ac:dyDescent="0.25">
      <c r="A5982" s="4"/>
      <c r="B5982" s="5"/>
      <c r="C5982" s="6"/>
    </row>
    <row r="5983" spans="1:3" x14ac:dyDescent="0.25">
      <c r="A5983" s="4"/>
      <c r="B5983" s="5"/>
      <c r="C5983" s="6"/>
    </row>
    <row r="5984" spans="1:3" x14ac:dyDescent="0.25">
      <c r="A5984" s="4"/>
      <c r="B5984" s="5"/>
      <c r="C5984" s="6"/>
    </row>
    <row r="5985" spans="1:3" x14ac:dyDescent="0.25">
      <c r="A5985" s="4"/>
      <c r="B5985" s="5"/>
      <c r="C5985" s="6"/>
    </row>
    <row r="5986" spans="1:3" x14ac:dyDescent="0.25">
      <c r="A5986" s="4"/>
      <c r="B5986" s="5"/>
      <c r="C5986" s="6"/>
    </row>
    <row r="5987" spans="1:3" x14ac:dyDescent="0.25">
      <c r="A5987" s="4"/>
      <c r="B5987" s="5"/>
      <c r="C5987" s="6"/>
    </row>
    <row r="5988" spans="1:3" x14ac:dyDescent="0.25">
      <c r="A5988" s="4"/>
      <c r="B5988" s="5"/>
      <c r="C5988" s="6"/>
    </row>
    <row r="5989" spans="1:3" x14ac:dyDescent="0.25">
      <c r="A5989" s="4"/>
      <c r="B5989" s="5"/>
      <c r="C5989" s="6"/>
    </row>
    <row r="5990" spans="1:3" x14ac:dyDescent="0.25">
      <c r="A5990" s="4"/>
      <c r="B5990" s="5"/>
      <c r="C5990" s="6"/>
    </row>
    <row r="5991" spans="1:3" x14ac:dyDescent="0.25">
      <c r="A5991" s="4"/>
      <c r="B5991" s="5"/>
      <c r="C5991" s="6"/>
    </row>
    <row r="5992" spans="1:3" x14ac:dyDescent="0.25">
      <c r="A5992" s="4"/>
      <c r="B5992" s="5"/>
      <c r="C5992" s="6"/>
    </row>
    <row r="5993" spans="1:3" x14ac:dyDescent="0.25">
      <c r="A5993" s="4"/>
      <c r="B5993" s="5"/>
      <c r="C5993" s="6"/>
    </row>
    <row r="5994" spans="1:3" x14ac:dyDescent="0.25">
      <c r="A5994" s="4"/>
      <c r="B5994" s="5"/>
      <c r="C5994" s="6"/>
    </row>
    <row r="5995" spans="1:3" x14ac:dyDescent="0.25">
      <c r="A5995" s="4"/>
      <c r="B5995" s="5"/>
      <c r="C5995" s="6"/>
    </row>
    <row r="5996" spans="1:3" x14ac:dyDescent="0.25">
      <c r="A5996" s="4"/>
      <c r="B5996" s="5"/>
      <c r="C5996" s="6"/>
    </row>
    <row r="5997" spans="1:3" x14ac:dyDescent="0.25">
      <c r="A5997" s="4"/>
      <c r="B5997" s="5"/>
      <c r="C5997" s="5"/>
    </row>
    <row r="5998" spans="1:3" x14ac:dyDescent="0.25">
      <c r="A5998" s="4"/>
      <c r="B5998" s="5"/>
      <c r="C5998" s="6"/>
    </row>
    <row r="5999" spans="1:3" x14ac:dyDescent="0.25">
      <c r="A5999" s="4"/>
      <c r="B5999" s="5"/>
      <c r="C5999" s="6"/>
    </row>
    <row r="6000" spans="1:3" x14ac:dyDescent="0.25">
      <c r="A6000" s="4"/>
      <c r="B6000" s="5"/>
      <c r="C6000" s="6"/>
    </row>
    <row r="6001" spans="1:3" x14ac:dyDescent="0.25">
      <c r="A6001" s="4"/>
      <c r="B6001" s="5"/>
      <c r="C6001" s="6"/>
    </row>
    <row r="6002" spans="1:3" x14ac:dyDescent="0.25">
      <c r="A6002" s="4"/>
      <c r="B6002" s="5"/>
      <c r="C6002" s="5"/>
    </row>
    <row r="6003" spans="1:3" x14ac:dyDescent="0.25">
      <c r="A6003" s="4"/>
      <c r="B6003" s="5"/>
      <c r="C6003" s="6"/>
    </row>
    <row r="6004" spans="1:3" x14ac:dyDescent="0.25">
      <c r="A6004" s="4"/>
      <c r="B6004" s="5"/>
      <c r="C6004" s="6"/>
    </row>
    <row r="6005" spans="1:3" x14ac:dyDescent="0.25">
      <c r="A6005" s="4"/>
      <c r="B6005" s="5"/>
      <c r="C6005" s="6"/>
    </row>
    <row r="6006" spans="1:3" x14ac:dyDescent="0.25">
      <c r="A6006" s="4"/>
      <c r="B6006" s="5"/>
      <c r="C6006" s="6"/>
    </row>
    <row r="6007" spans="1:3" x14ac:dyDescent="0.25">
      <c r="A6007" s="4"/>
      <c r="B6007" s="5"/>
      <c r="C6007" s="6"/>
    </row>
    <row r="6008" spans="1:3" x14ac:dyDescent="0.25">
      <c r="A6008" s="4"/>
      <c r="B6008" s="5"/>
      <c r="C6008" s="6"/>
    </row>
    <row r="6009" spans="1:3" x14ac:dyDescent="0.25">
      <c r="A6009" s="4"/>
      <c r="B6009" s="5"/>
      <c r="C6009" s="6"/>
    </row>
    <row r="6010" spans="1:3" x14ac:dyDescent="0.25">
      <c r="A6010" s="4"/>
      <c r="B6010" s="5"/>
      <c r="C6010" s="6"/>
    </row>
    <row r="6011" spans="1:3" x14ac:dyDescent="0.25">
      <c r="A6011" s="4"/>
      <c r="B6011" s="5"/>
      <c r="C6011" s="6"/>
    </row>
    <row r="6012" spans="1:3" x14ac:dyDescent="0.25">
      <c r="A6012" s="4"/>
      <c r="B6012" s="5"/>
      <c r="C6012" s="6"/>
    </row>
    <row r="6013" spans="1:3" x14ac:dyDescent="0.25">
      <c r="A6013" s="4"/>
      <c r="B6013" s="5"/>
      <c r="C6013" s="6"/>
    </row>
    <row r="6014" spans="1:3" x14ac:dyDescent="0.25">
      <c r="A6014" s="4"/>
      <c r="B6014" s="5"/>
      <c r="C6014" s="6"/>
    </row>
    <row r="6015" spans="1:3" x14ac:dyDescent="0.25">
      <c r="A6015" s="4"/>
      <c r="B6015" s="5"/>
      <c r="C6015" s="6"/>
    </row>
    <row r="6016" spans="1:3" x14ac:dyDescent="0.25">
      <c r="A6016" s="4"/>
      <c r="B6016" s="5"/>
      <c r="C6016" s="6"/>
    </row>
    <row r="6017" spans="1:3" x14ac:dyDescent="0.25">
      <c r="A6017" s="4"/>
      <c r="B6017" s="5"/>
      <c r="C6017" s="6"/>
    </row>
    <row r="6018" spans="1:3" x14ac:dyDescent="0.25">
      <c r="A6018" s="4"/>
      <c r="B6018" s="5"/>
      <c r="C6018" s="6"/>
    </row>
    <row r="6019" spans="1:3" x14ac:dyDescent="0.25">
      <c r="A6019" s="4"/>
      <c r="B6019" s="5"/>
      <c r="C6019" s="6"/>
    </row>
    <row r="6020" spans="1:3" x14ac:dyDescent="0.25">
      <c r="A6020" s="4"/>
      <c r="B6020" s="5"/>
      <c r="C6020" s="6"/>
    </row>
    <row r="6021" spans="1:3" x14ac:dyDescent="0.25">
      <c r="A6021" s="4"/>
      <c r="B6021" s="5"/>
      <c r="C6021" s="6"/>
    </row>
    <row r="6022" spans="1:3" x14ac:dyDescent="0.25">
      <c r="A6022" s="4"/>
      <c r="B6022" s="5"/>
      <c r="C6022" s="6"/>
    </row>
    <row r="6023" spans="1:3" x14ac:dyDescent="0.25">
      <c r="A6023" s="4"/>
      <c r="B6023" s="5"/>
      <c r="C6023" s="6"/>
    </row>
    <row r="6024" spans="1:3" x14ac:dyDescent="0.25">
      <c r="A6024" s="4"/>
      <c r="B6024" s="5"/>
      <c r="C6024" s="6"/>
    </row>
    <row r="6025" spans="1:3" x14ac:dyDescent="0.25">
      <c r="A6025" s="4"/>
      <c r="B6025" s="5"/>
      <c r="C6025" s="6"/>
    </row>
    <row r="6026" spans="1:3" x14ac:dyDescent="0.25">
      <c r="A6026" s="4"/>
      <c r="B6026" s="5"/>
      <c r="C6026" s="6"/>
    </row>
    <row r="6027" spans="1:3" x14ac:dyDescent="0.25">
      <c r="A6027" s="4"/>
      <c r="B6027" s="5"/>
      <c r="C6027" s="6"/>
    </row>
    <row r="6028" spans="1:3" x14ac:dyDescent="0.25">
      <c r="A6028" s="4"/>
      <c r="B6028" s="5"/>
      <c r="C6028" s="6"/>
    </row>
    <row r="6029" spans="1:3" x14ac:dyDescent="0.25">
      <c r="A6029" s="4"/>
      <c r="B6029" s="5"/>
      <c r="C6029" s="6"/>
    </row>
    <row r="6030" spans="1:3" x14ac:dyDescent="0.25">
      <c r="A6030" s="4"/>
      <c r="B6030" s="5"/>
      <c r="C6030" s="6"/>
    </row>
    <row r="6031" spans="1:3" x14ac:dyDescent="0.25">
      <c r="A6031" s="4"/>
      <c r="B6031" s="5"/>
      <c r="C6031" s="6"/>
    </row>
    <row r="6032" spans="1:3" x14ac:dyDescent="0.25">
      <c r="A6032" s="4"/>
      <c r="B6032" s="5"/>
      <c r="C6032" s="6"/>
    </row>
    <row r="6033" spans="1:3" x14ac:dyDescent="0.25">
      <c r="A6033" s="4"/>
      <c r="B6033" s="5"/>
      <c r="C6033" s="6"/>
    </row>
    <row r="6034" spans="1:3" x14ac:dyDescent="0.25">
      <c r="A6034" s="4"/>
      <c r="B6034" s="5"/>
      <c r="C6034" s="6"/>
    </row>
    <row r="6035" spans="1:3" x14ac:dyDescent="0.25">
      <c r="A6035" s="4"/>
      <c r="B6035" s="5"/>
      <c r="C6035" s="6"/>
    </row>
    <row r="6036" spans="1:3" x14ac:dyDescent="0.25">
      <c r="A6036" s="4"/>
      <c r="B6036" s="5"/>
      <c r="C6036" s="6"/>
    </row>
    <row r="6037" spans="1:3" x14ac:dyDescent="0.25">
      <c r="A6037" s="4"/>
      <c r="B6037" s="5"/>
      <c r="C6037" s="6"/>
    </row>
    <row r="6038" spans="1:3" x14ac:dyDescent="0.25">
      <c r="A6038" s="4"/>
      <c r="B6038" s="5"/>
      <c r="C6038" s="6"/>
    </row>
    <row r="6039" spans="1:3" x14ac:dyDescent="0.25">
      <c r="A6039" s="4"/>
      <c r="B6039" s="5"/>
      <c r="C6039" s="6"/>
    </row>
    <row r="6040" spans="1:3" x14ac:dyDescent="0.25">
      <c r="A6040" s="4"/>
      <c r="B6040" s="5"/>
      <c r="C6040" s="6"/>
    </row>
    <row r="6041" spans="1:3" x14ac:dyDescent="0.25">
      <c r="A6041" s="4"/>
      <c r="B6041" s="5"/>
      <c r="C6041" s="6"/>
    </row>
    <row r="6042" spans="1:3" x14ac:dyDescent="0.25">
      <c r="A6042" s="4"/>
      <c r="B6042" s="5"/>
      <c r="C6042" s="6"/>
    </row>
    <row r="6043" spans="1:3" x14ac:dyDescent="0.25">
      <c r="A6043" s="4"/>
      <c r="B6043" s="5"/>
      <c r="C6043" s="6"/>
    </row>
    <row r="6044" spans="1:3" x14ac:dyDescent="0.25">
      <c r="A6044" s="4"/>
      <c r="B6044" s="5"/>
      <c r="C6044" s="6"/>
    </row>
    <row r="6045" spans="1:3" x14ac:dyDescent="0.25">
      <c r="A6045" s="4"/>
      <c r="B6045" s="5"/>
      <c r="C6045" s="6"/>
    </row>
    <row r="6046" spans="1:3" x14ac:dyDescent="0.25">
      <c r="A6046" s="4"/>
      <c r="B6046" s="5"/>
      <c r="C6046" s="6"/>
    </row>
    <row r="6047" spans="1:3" x14ac:dyDescent="0.25">
      <c r="A6047" s="4"/>
      <c r="B6047" s="5"/>
      <c r="C6047" s="6"/>
    </row>
    <row r="6048" spans="1:3" x14ac:dyDescent="0.25">
      <c r="A6048" s="4"/>
      <c r="B6048" s="5"/>
      <c r="C6048" s="6"/>
    </row>
    <row r="6049" spans="1:3" x14ac:dyDescent="0.25">
      <c r="A6049" s="4"/>
      <c r="B6049" s="5"/>
      <c r="C6049" s="6"/>
    </row>
    <row r="6050" spans="1:3" x14ac:dyDescent="0.25">
      <c r="A6050" s="4"/>
      <c r="B6050" s="5"/>
      <c r="C6050" s="6"/>
    </row>
    <row r="6051" spans="1:3" x14ac:dyDescent="0.25">
      <c r="A6051" s="4"/>
      <c r="B6051" s="5"/>
      <c r="C6051" s="6"/>
    </row>
    <row r="6052" spans="1:3" x14ac:dyDescent="0.25">
      <c r="A6052" s="4"/>
      <c r="B6052" s="5"/>
      <c r="C6052" s="6"/>
    </row>
    <row r="6053" spans="1:3" x14ac:dyDescent="0.25">
      <c r="A6053" s="4"/>
      <c r="B6053" s="5"/>
      <c r="C6053" s="6"/>
    </row>
    <row r="6054" spans="1:3" x14ac:dyDescent="0.25">
      <c r="A6054" s="4"/>
      <c r="B6054" s="5"/>
      <c r="C6054" s="6"/>
    </row>
    <row r="6055" spans="1:3" x14ac:dyDescent="0.25">
      <c r="A6055" s="4"/>
      <c r="B6055" s="5"/>
      <c r="C6055" s="6"/>
    </row>
    <row r="6056" spans="1:3" x14ac:dyDescent="0.25">
      <c r="A6056" s="4"/>
      <c r="B6056" s="5"/>
      <c r="C6056" s="6"/>
    </row>
    <row r="6057" spans="1:3" x14ac:dyDescent="0.25">
      <c r="A6057" s="4"/>
      <c r="B6057" s="5"/>
      <c r="C6057" s="6"/>
    </row>
    <row r="6058" spans="1:3" x14ac:dyDescent="0.25">
      <c r="A6058" s="4"/>
      <c r="B6058" s="5"/>
      <c r="C6058" s="6"/>
    </row>
    <row r="6059" spans="1:3" x14ac:dyDescent="0.25">
      <c r="A6059" s="4"/>
      <c r="B6059" s="5"/>
      <c r="C6059" s="6"/>
    </row>
    <row r="6060" spans="1:3" x14ac:dyDescent="0.25">
      <c r="A6060" s="4"/>
      <c r="B6060" s="5"/>
      <c r="C6060" s="6"/>
    </row>
    <row r="6061" spans="1:3" x14ac:dyDescent="0.25">
      <c r="A6061" s="4"/>
      <c r="B6061" s="5"/>
      <c r="C6061" s="6"/>
    </row>
    <row r="6062" spans="1:3" x14ac:dyDescent="0.25">
      <c r="A6062" s="4"/>
      <c r="B6062" s="5"/>
      <c r="C6062" s="6"/>
    </row>
    <row r="6063" spans="1:3" x14ac:dyDescent="0.25">
      <c r="A6063" s="4"/>
      <c r="B6063" s="5"/>
      <c r="C6063" s="6"/>
    </row>
    <row r="6064" spans="1:3" x14ac:dyDescent="0.25">
      <c r="A6064" s="4"/>
      <c r="B6064" s="5"/>
      <c r="C6064" s="6"/>
    </row>
    <row r="6065" spans="1:3" x14ac:dyDescent="0.25">
      <c r="A6065" s="4"/>
      <c r="B6065" s="5"/>
      <c r="C6065" s="6"/>
    </row>
    <row r="6066" spans="1:3" x14ac:dyDescent="0.25">
      <c r="A6066" s="4"/>
      <c r="B6066" s="5"/>
      <c r="C6066" s="6"/>
    </row>
    <row r="6067" spans="1:3" x14ac:dyDescent="0.25">
      <c r="A6067" s="4"/>
      <c r="B6067" s="5"/>
      <c r="C6067" s="5"/>
    </row>
    <row r="6068" spans="1:3" x14ac:dyDescent="0.25">
      <c r="A6068" s="4"/>
      <c r="B6068" s="5"/>
      <c r="C6068" s="5"/>
    </row>
    <row r="6069" spans="1:3" x14ac:dyDescent="0.25">
      <c r="A6069" s="4"/>
      <c r="B6069" s="5"/>
      <c r="C6069" s="6"/>
    </row>
    <row r="6070" spans="1:3" x14ac:dyDescent="0.25">
      <c r="A6070" s="4"/>
      <c r="B6070" s="5"/>
      <c r="C6070" s="6"/>
    </row>
    <row r="6071" spans="1:3" x14ac:dyDescent="0.25">
      <c r="A6071" s="4"/>
      <c r="B6071" s="5"/>
      <c r="C6071" s="6"/>
    </row>
    <row r="6072" spans="1:3" x14ac:dyDescent="0.25">
      <c r="A6072" s="4"/>
      <c r="B6072" s="5"/>
      <c r="C6072" s="6"/>
    </row>
    <row r="6073" spans="1:3" x14ac:dyDescent="0.25">
      <c r="A6073" s="4"/>
      <c r="B6073" s="5"/>
      <c r="C6073" s="6"/>
    </row>
    <row r="6074" spans="1:3" x14ac:dyDescent="0.25">
      <c r="A6074" s="4"/>
      <c r="B6074" s="5"/>
      <c r="C6074" s="6"/>
    </row>
    <row r="6075" spans="1:3" x14ac:dyDescent="0.25">
      <c r="A6075" s="4"/>
      <c r="B6075" s="5"/>
      <c r="C6075" s="6"/>
    </row>
    <row r="6076" spans="1:3" x14ac:dyDescent="0.25">
      <c r="A6076" s="4"/>
      <c r="B6076" s="5"/>
      <c r="C6076" s="6"/>
    </row>
    <row r="6077" spans="1:3" x14ac:dyDescent="0.25">
      <c r="A6077" s="4"/>
      <c r="B6077" s="5"/>
      <c r="C6077" s="6"/>
    </row>
    <row r="6078" spans="1:3" x14ac:dyDescent="0.25">
      <c r="A6078" s="4"/>
      <c r="B6078" s="5"/>
      <c r="C6078" s="6"/>
    </row>
    <row r="6079" spans="1:3" x14ac:dyDescent="0.25">
      <c r="A6079" s="4"/>
      <c r="B6079" s="5"/>
      <c r="C6079" s="6"/>
    </row>
    <row r="6080" spans="1:3" x14ac:dyDescent="0.25">
      <c r="A6080" s="4"/>
      <c r="B6080" s="5"/>
      <c r="C6080" s="6"/>
    </row>
    <row r="6081" spans="1:3" x14ac:dyDescent="0.25">
      <c r="A6081" s="4"/>
      <c r="B6081" s="5"/>
      <c r="C6081" s="6"/>
    </row>
    <row r="6082" spans="1:3" x14ac:dyDescent="0.25">
      <c r="A6082" s="4"/>
      <c r="B6082" s="5"/>
      <c r="C6082" s="6"/>
    </row>
    <row r="6083" spans="1:3" x14ac:dyDescent="0.25">
      <c r="A6083" s="4"/>
      <c r="B6083" s="5"/>
      <c r="C6083" s="6"/>
    </row>
    <row r="6084" spans="1:3" x14ac:dyDescent="0.25">
      <c r="A6084" s="4"/>
      <c r="B6084" s="5"/>
      <c r="C6084" s="6"/>
    </row>
    <row r="6085" spans="1:3" x14ac:dyDescent="0.25">
      <c r="A6085" s="4"/>
      <c r="B6085" s="5"/>
      <c r="C6085" s="6"/>
    </row>
    <row r="6086" spans="1:3" x14ac:dyDescent="0.25">
      <c r="A6086" s="4"/>
      <c r="B6086" s="5"/>
      <c r="C6086" s="6"/>
    </row>
    <row r="6087" spans="1:3" x14ac:dyDescent="0.25">
      <c r="A6087" s="4"/>
      <c r="B6087" s="5"/>
      <c r="C6087" s="6"/>
    </row>
    <row r="6088" spans="1:3" x14ac:dyDescent="0.25">
      <c r="A6088" s="4"/>
      <c r="B6088" s="5"/>
      <c r="C6088" s="5"/>
    </row>
    <row r="6089" spans="1:3" x14ac:dyDescent="0.25">
      <c r="A6089" s="4"/>
      <c r="B6089" s="5"/>
      <c r="C6089" s="6"/>
    </row>
    <row r="6090" spans="1:3" x14ac:dyDescent="0.25">
      <c r="A6090" s="4"/>
      <c r="B6090" s="5"/>
      <c r="C6090" s="6"/>
    </row>
    <row r="6091" spans="1:3" x14ac:dyDescent="0.25">
      <c r="A6091" s="4"/>
      <c r="B6091" s="5"/>
      <c r="C6091" s="6"/>
    </row>
    <row r="6092" spans="1:3" x14ac:dyDescent="0.25">
      <c r="A6092" s="4"/>
      <c r="B6092" s="5"/>
      <c r="C6092" s="6"/>
    </row>
    <row r="6093" spans="1:3" x14ac:dyDescent="0.25">
      <c r="A6093" s="4"/>
      <c r="B6093" s="5"/>
      <c r="C6093" s="6"/>
    </row>
    <row r="6094" spans="1:3" x14ac:dyDescent="0.25">
      <c r="A6094" s="4"/>
      <c r="B6094" s="5"/>
      <c r="C6094" s="6"/>
    </row>
    <row r="6095" spans="1:3" x14ac:dyDescent="0.25">
      <c r="A6095" s="4"/>
      <c r="B6095" s="5"/>
      <c r="C6095" s="6"/>
    </row>
    <row r="6096" spans="1:3" x14ac:dyDescent="0.25">
      <c r="A6096" s="4"/>
      <c r="B6096" s="5"/>
      <c r="C6096" s="6"/>
    </row>
    <row r="6097" spans="1:3" x14ac:dyDescent="0.25">
      <c r="A6097" s="4"/>
      <c r="B6097" s="5"/>
      <c r="C6097" s="6"/>
    </row>
    <row r="6098" spans="1:3" x14ac:dyDescent="0.25">
      <c r="A6098" s="4"/>
      <c r="B6098" s="5"/>
      <c r="C6098" s="6"/>
    </row>
    <row r="6099" spans="1:3" x14ac:dyDescent="0.25">
      <c r="A6099" s="4"/>
      <c r="B6099" s="5"/>
      <c r="C6099" s="6"/>
    </row>
    <row r="6100" spans="1:3" x14ac:dyDescent="0.25">
      <c r="A6100" s="4"/>
      <c r="B6100" s="5"/>
      <c r="C6100" s="6"/>
    </row>
    <row r="6101" spans="1:3" x14ac:dyDescent="0.25">
      <c r="A6101" s="4"/>
      <c r="B6101" s="5"/>
      <c r="C6101" s="6"/>
    </row>
    <row r="6102" spans="1:3" x14ac:dyDescent="0.25">
      <c r="A6102" s="4"/>
      <c r="B6102" s="5"/>
      <c r="C6102" s="6"/>
    </row>
    <row r="6103" spans="1:3" x14ac:dyDescent="0.25">
      <c r="A6103" s="4"/>
      <c r="B6103" s="5"/>
      <c r="C6103" s="6"/>
    </row>
    <row r="6104" spans="1:3" x14ac:dyDescent="0.25">
      <c r="A6104" s="4"/>
      <c r="B6104" s="5"/>
      <c r="C6104" s="6"/>
    </row>
    <row r="6105" spans="1:3" x14ac:dyDescent="0.25">
      <c r="A6105" s="4"/>
      <c r="B6105" s="5"/>
      <c r="C6105" s="6"/>
    </row>
    <row r="6106" spans="1:3" x14ac:dyDescent="0.25">
      <c r="A6106" s="4"/>
      <c r="B6106" s="5"/>
      <c r="C6106" s="6"/>
    </row>
    <row r="6107" spans="1:3" x14ac:dyDescent="0.25">
      <c r="A6107" s="4"/>
      <c r="B6107" s="5"/>
      <c r="C6107" s="6"/>
    </row>
    <row r="6108" spans="1:3" x14ac:dyDescent="0.25">
      <c r="A6108" s="4"/>
      <c r="B6108" s="5"/>
      <c r="C6108" s="5"/>
    </row>
    <row r="6109" spans="1:3" x14ac:dyDescent="0.25">
      <c r="A6109" s="4"/>
      <c r="B6109" s="5"/>
      <c r="C6109" s="6"/>
    </row>
    <row r="6110" spans="1:3" x14ac:dyDescent="0.25">
      <c r="A6110" s="4"/>
      <c r="B6110" s="5"/>
      <c r="C6110" s="6"/>
    </row>
    <row r="6111" spans="1:3" x14ac:dyDescent="0.25">
      <c r="A6111" s="4"/>
      <c r="B6111" s="5"/>
      <c r="C6111" s="6"/>
    </row>
    <row r="6112" spans="1:3" x14ac:dyDescent="0.25">
      <c r="A6112" s="4"/>
      <c r="B6112" s="5"/>
      <c r="C6112" s="6"/>
    </row>
    <row r="6113" spans="1:3" x14ac:dyDescent="0.25">
      <c r="A6113" s="4"/>
      <c r="B6113" s="5"/>
      <c r="C6113" s="6"/>
    </row>
    <row r="6114" spans="1:3" x14ac:dyDescent="0.25">
      <c r="A6114" s="4"/>
      <c r="B6114" s="5"/>
      <c r="C6114" s="6"/>
    </row>
    <row r="6115" spans="1:3" x14ac:dyDescent="0.25">
      <c r="A6115" s="4"/>
      <c r="B6115" s="5"/>
      <c r="C6115" s="6"/>
    </row>
    <row r="6116" spans="1:3" x14ac:dyDescent="0.25">
      <c r="A6116" s="4"/>
      <c r="B6116" s="5"/>
      <c r="C6116" s="6"/>
    </row>
    <row r="6117" spans="1:3" x14ac:dyDescent="0.25">
      <c r="A6117" s="4"/>
      <c r="B6117" s="5"/>
      <c r="C6117" s="6"/>
    </row>
    <row r="6118" spans="1:3" x14ac:dyDescent="0.25">
      <c r="A6118" s="4"/>
      <c r="B6118" s="5"/>
      <c r="C6118" s="6"/>
    </row>
    <row r="6119" spans="1:3" x14ac:dyDescent="0.25">
      <c r="A6119" s="4"/>
      <c r="B6119" s="5"/>
      <c r="C6119" s="6"/>
    </row>
    <row r="6120" spans="1:3" x14ac:dyDescent="0.25">
      <c r="A6120" s="4"/>
      <c r="B6120" s="5"/>
      <c r="C6120" s="6"/>
    </row>
    <row r="6121" spans="1:3" x14ac:dyDescent="0.25">
      <c r="A6121" s="4"/>
      <c r="B6121" s="5"/>
      <c r="C6121" s="6"/>
    </row>
    <row r="6122" spans="1:3" x14ac:dyDescent="0.25">
      <c r="A6122" s="4"/>
      <c r="B6122" s="5"/>
      <c r="C6122" s="6"/>
    </row>
    <row r="6123" spans="1:3" x14ac:dyDescent="0.25">
      <c r="A6123" s="4"/>
      <c r="B6123" s="5"/>
      <c r="C6123" s="6"/>
    </row>
    <row r="6124" spans="1:3" x14ac:dyDescent="0.25">
      <c r="A6124" s="4"/>
      <c r="B6124" s="5"/>
      <c r="C6124" s="6"/>
    </row>
    <row r="6125" spans="1:3" x14ac:dyDescent="0.25">
      <c r="A6125" s="4"/>
      <c r="B6125" s="5"/>
      <c r="C6125" s="6"/>
    </row>
    <row r="6126" spans="1:3" x14ac:dyDescent="0.25">
      <c r="A6126" s="4"/>
      <c r="B6126" s="5"/>
      <c r="C6126" s="6"/>
    </row>
    <row r="6127" spans="1:3" x14ac:dyDescent="0.25">
      <c r="A6127" s="4"/>
      <c r="B6127" s="5"/>
      <c r="C6127" s="6"/>
    </row>
    <row r="6128" spans="1:3" x14ac:dyDescent="0.25">
      <c r="A6128" s="4"/>
      <c r="B6128" s="5"/>
      <c r="C6128" s="6"/>
    </row>
    <row r="6129" spans="1:3" x14ac:dyDescent="0.25">
      <c r="A6129" s="4"/>
      <c r="B6129" s="5"/>
      <c r="C6129" s="6"/>
    </row>
    <row r="6130" spans="1:3" x14ac:dyDescent="0.25">
      <c r="A6130" s="4"/>
      <c r="B6130" s="5"/>
      <c r="C6130" s="6"/>
    </row>
    <row r="6131" spans="1:3" x14ac:dyDescent="0.25">
      <c r="A6131" s="4"/>
      <c r="B6131" s="5"/>
      <c r="C6131" s="6"/>
    </row>
    <row r="6132" spans="1:3" x14ac:dyDescent="0.25">
      <c r="A6132" s="4"/>
      <c r="B6132" s="5"/>
      <c r="C6132" s="6"/>
    </row>
    <row r="6133" spans="1:3" x14ac:dyDescent="0.25">
      <c r="A6133" s="4"/>
      <c r="B6133" s="5"/>
      <c r="C6133" s="6"/>
    </row>
    <row r="6134" spans="1:3" x14ac:dyDescent="0.25">
      <c r="A6134" s="4"/>
      <c r="B6134" s="5"/>
      <c r="C6134" s="6"/>
    </row>
    <row r="6135" spans="1:3" x14ac:dyDescent="0.25">
      <c r="A6135" s="4"/>
      <c r="B6135" s="5"/>
      <c r="C6135" s="6"/>
    </row>
    <row r="6136" spans="1:3" x14ac:dyDescent="0.25">
      <c r="A6136" s="4"/>
      <c r="B6136" s="5"/>
      <c r="C6136" s="6"/>
    </row>
    <row r="6137" spans="1:3" x14ac:dyDescent="0.25">
      <c r="A6137" s="4"/>
      <c r="B6137" s="5"/>
      <c r="C6137" s="6"/>
    </row>
    <row r="6138" spans="1:3" x14ac:dyDescent="0.25">
      <c r="A6138" s="4"/>
      <c r="B6138" s="5"/>
      <c r="C6138" s="6"/>
    </row>
    <row r="6139" spans="1:3" x14ac:dyDescent="0.25">
      <c r="A6139" s="4"/>
      <c r="B6139" s="5"/>
      <c r="C6139" s="6"/>
    </row>
    <row r="6140" spans="1:3" x14ac:dyDescent="0.25">
      <c r="A6140" s="4"/>
      <c r="B6140" s="5"/>
      <c r="C6140" s="6"/>
    </row>
    <row r="6141" spans="1:3" x14ac:dyDescent="0.25">
      <c r="A6141" s="4"/>
      <c r="B6141" s="5"/>
      <c r="C6141" s="6"/>
    </row>
    <row r="6142" spans="1:3" x14ac:dyDescent="0.25">
      <c r="A6142" s="4"/>
      <c r="B6142" s="5"/>
      <c r="C6142" s="6"/>
    </row>
    <row r="6143" spans="1:3" x14ac:dyDescent="0.25">
      <c r="A6143" s="4"/>
      <c r="B6143" s="5"/>
      <c r="C6143" s="6"/>
    </row>
    <row r="6144" spans="1:3" x14ac:dyDescent="0.25">
      <c r="A6144" s="4"/>
      <c r="B6144" s="5"/>
      <c r="C6144" s="6"/>
    </row>
    <row r="6145" spans="1:3" x14ac:dyDescent="0.25">
      <c r="A6145" s="4"/>
      <c r="B6145" s="5"/>
      <c r="C6145" s="6"/>
    </row>
    <row r="6146" spans="1:3" x14ac:dyDescent="0.25">
      <c r="A6146" s="4"/>
      <c r="B6146" s="5"/>
      <c r="C6146" s="6"/>
    </row>
    <row r="6147" spans="1:3" x14ac:dyDescent="0.25">
      <c r="A6147" s="4"/>
      <c r="B6147" s="5"/>
      <c r="C6147" s="6"/>
    </row>
    <row r="6148" spans="1:3" x14ac:dyDescent="0.25">
      <c r="A6148" s="4"/>
      <c r="B6148" s="5"/>
      <c r="C6148" s="6"/>
    </row>
    <row r="6149" spans="1:3" x14ac:dyDescent="0.25">
      <c r="A6149" s="4"/>
      <c r="B6149" s="5"/>
      <c r="C6149" s="6"/>
    </row>
    <row r="6150" spans="1:3" x14ac:dyDescent="0.25">
      <c r="A6150" s="4"/>
      <c r="B6150" s="5"/>
      <c r="C6150" s="6"/>
    </row>
    <row r="6151" spans="1:3" x14ac:dyDescent="0.25">
      <c r="A6151" s="4"/>
      <c r="B6151" s="5"/>
      <c r="C6151" s="6"/>
    </row>
    <row r="6152" spans="1:3" x14ac:dyDescent="0.25">
      <c r="A6152" s="4"/>
      <c r="B6152" s="5"/>
      <c r="C6152" s="6"/>
    </row>
    <row r="6153" spans="1:3" x14ac:dyDescent="0.25">
      <c r="A6153" s="4"/>
      <c r="B6153" s="5"/>
      <c r="C6153" s="6"/>
    </row>
    <row r="6154" spans="1:3" x14ac:dyDescent="0.25">
      <c r="A6154" s="4"/>
      <c r="B6154" s="5"/>
      <c r="C6154" s="6"/>
    </row>
    <row r="6155" spans="1:3" x14ac:dyDescent="0.25">
      <c r="A6155" s="4"/>
      <c r="B6155" s="5"/>
      <c r="C6155" s="6"/>
    </row>
    <row r="6156" spans="1:3" x14ac:dyDescent="0.25">
      <c r="A6156" s="4"/>
      <c r="B6156" s="5"/>
      <c r="C6156" s="6"/>
    </row>
    <row r="6157" spans="1:3" x14ac:dyDescent="0.25">
      <c r="A6157" s="4"/>
      <c r="B6157" s="5"/>
      <c r="C6157" s="6"/>
    </row>
    <row r="6158" spans="1:3" x14ac:dyDescent="0.25">
      <c r="A6158" s="4"/>
      <c r="B6158" s="5"/>
      <c r="C6158" s="6"/>
    </row>
    <row r="6159" spans="1:3" x14ac:dyDescent="0.25">
      <c r="A6159" s="4"/>
      <c r="B6159" s="5"/>
      <c r="C6159" s="6"/>
    </row>
    <row r="6160" spans="1:3" x14ac:dyDescent="0.25">
      <c r="A6160" s="4"/>
      <c r="B6160" s="5"/>
      <c r="C6160" s="6"/>
    </row>
    <row r="6161" spans="1:3" x14ac:dyDescent="0.25">
      <c r="A6161" s="4"/>
      <c r="B6161" s="5"/>
      <c r="C6161" s="6"/>
    </row>
    <row r="6162" spans="1:3" x14ac:dyDescent="0.25">
      <c r="A6162" s="4"/>
      <c r="B6162" s="5"/>
      <c r="C6162" s="6"/>
    </row>
    <row r="6163" spans="1:3" x14ac:dyDescent="0.25">
      <c r="A6163" s="4"/>
      <c r="B6163" s="5"/>
      <c r="C6163" s="6"/>
    </row>
    <row r="6164" spans="1:3" x14ac:dyDescent="0.25">
      <c r="A6164" s="4"/>
      <c r="B6164" s="5"/>
      <c r="C6164" s="6"/>
    </row>
    <row r="6165" spans="1:3" x14ac:dyDescent="0.25">
      <c r="A6165" s="4"/>
      <c r="B6165" s="5"/>
      <c r="C6165" s="6"/>
    </row>
    <row r="6166" spans="1:3" x14ac:dyDescent="0.25">
      <c r="A6166" s="4"/>
      <c r="B6166" s="5"/>
      <c r="C6166" s="6"/>
    </row>
    <row r="6167" spans="1:3" x14ac:dyDescent="0.25">
      <c r="A6167" s="4"/>
      <c r="B6167" s="5"/>
      <c r="C6167" s="6"/>
    </row>
    <row r="6168" spans="1:3" x14ac:dyDescent="0.25">
      <c r="A6168" s="4"/>
      <c r="B6168" s="5"/>
      <c r="C6168" s="6"/>
    </row>
    <row r="6169" spans="1:3" x14ac:dyDescent="0.25">
      <c r="A6169" s="4"/>
      <c r="B6169" s="5"/>
      <c r="C6169" s="6"/>
    </row>
    <row r="6170" spans="1:3" x14ac:dyDescent="0.25">
      <c r="A6170" s="4"/>
      <c r="B6170" s="5"/>
      <c r="C6170" s="6"/>
    </row>
    <row r="6171" spans="1:3" x14ac:dyDescent="0.25">
      <c r="A6171" s="4"/>
      <c r="B6171" s="5"/>
      <c r="C6171" s="6"/>
    </row>
    <row r="6172" spans="1:3" x14ac:dyDescent="0.25">
      <c r="A6172" s="4"/>
      <c r="B6172" s="5"/>
      <c r="C6172" s="6"/>
    </row>
    <row r="6173" spans="1:3" x14ac:dyDescent="0.25">
      <c r="A6173" s="4"/>
      <c r="B6173" s="5"/>
      <c r="C6173" s="5"/>
    </row>
    <row r="6174" spans="1:3" x14ac:dyDescent="0.25">
      <c r="A6174" s="4"/>
      <c r="B6174" s="5"/>
      <c r="C6174" s="6"/>
    </row>
    <row r="6175" spans="1:3" x14ac:dyDescent="0.25">
      <c r="A6175" s="4"/>
      <c r="B6175" s="5"/>
      <c r="C6175" s="6"/>
    </row>
    <row r="6176" spans="1:3" x14ac:dyDescent="0.25">
      <c r="A6176" s="4"/>
      <c r="B6176" s="5"/>
      <c r="C6176" s="6"/>
    </row>
    <row r="6177" spans="1:3" x14ac:dyDescent="0.25">
      <c r="A6177" s="4"/>
      <c r="B6177" s="5"/>
      <c r="C6177" s="6"/>
    </row>
    <row r="6178" spans="1:3" x14ac:dyDescent="0.25">
      <c r="A6178" s="4"/>
      <c r="B6178" s="5"/>
      <c r="C6178" s="6"/>
    </row>
    <row r="6179" spans="1:3" x14ac:dyDescent="0.25">
      <c r="A6179" s="4"/>
      <c r="B6179" s="5"/>
      <c r="C6179" s="6"/>
    </row>
    <row r="6180" spans="1:3" x14ac:dyDescent="0.25">
      <c r="A6180" s="4"/>
      <c r="B6180" s="5"/>
      <c r="C6180" s="6"/>
    </row>
    <row r="6181" spans="1:3" x14ac:dyDescent="0.25">
      <c r="A6181" s="4"/>
      <c r="B6181" s="5"/>
      <c r="C6181" s="6"/>
    </row>
    <row r="6182" spans="1:3" x14ac:dyDescent="0.25">
      <c r="A6182" s="4"/>
      <c r="B6182" s="5"/>
      <c r="C6182" s="6"/>
    </row>
    <row r="6183" spans="1:3" x14ac:dyDescent="0.25">
      <c r="A6183" s="4"/>
      <c r="B6183" s="5"/>
      <c r="C6183" s="6"/>
    </row>
    <row r="6184" spans="1:3" x14ac:dyDescent="0.25">
      <c r="A6184" s="4"/>
      <c r="B6184" s="5"/>
      <c r="C6184" s="6"/>
    </row>
    <row r="6185" spans="1:3" x14ac:dyDescent="0.25">
      <c r="A6185" s="4"/>
      <c r="B6185" s="5"/>
      <c r="C6185" s="6"/>
    </row>
    <row r="6186" spans="1:3" x14ac:dyDescent="0.25">
      <c r="A6186" s="4"/>
      <c r="B6186" s="5"/>
      <c r="C6186" s="6"/>
    </row>
    <row r="6187" spans="1:3" x14ac:dyDescent="0.25">
      <c r="A6187" s="4"/>
      <c r="B6187" s="5"/>
      <c r="C6187" s="6"/>
    </row>
    <row r="6188" spans="1:3" x14ac:dyDescent="0.25">
      <c r="A6188" s="4"/>
      <c r="B6188" s="5"/>
      <c r="C6188" s="6"/>
    </row>
    <row r="6189" spans="1:3" x14ac:dyDescent="0.25">
      <c r="A6189" s="4"/>
      <c r="B6189" s="5"/>
      <c r="C6189" s="6"/>
    </row>
    <row r="6190" spans="1:3" x14ac:dyDescent="0.25">
      <c r="A6190" s="4"/>
      <c r="B6190" s="5"/>
      <c r="C6190" s="6"/>
    </row>
    <row r="6191" spans="1:3" x14ac:dyDescent="0.25">
      <c r="A6191" s="4"/>
      <c r="B6191" s="5"/>
      <c r="C6191" s="6"/>
    </row>
    <row r="6192" spans="1:3" x14ac:dyDescent="0.25">
      <c r="A6192" s="4"/>
      <c r="B6192" s="5"/>
      <c r="C6192" s="6"/>
    </row>
    <row r="6193" spans="1:3" x14ac:dyDescent="0.25">
      <c r="A6193" s="4"/>
      <c r="B6193" s="5"/>
      <c r="C6193" s="6"/>
    </row>
    <row r="6194" spans="1:3" x14ac:dyDescent="0.25">
      <c r="A6194" s="4"/>
      <c r="B6194" s="5"/>
      <c r="C6194" s="6"/>
    </row>
    <row r="6195" spans="1:3" x14ac:dyDescent="0.25">
      <c r="A6195" s="4"/>
      <c r="B6195" s="5"/>
      <c r="C6195" s="6"/>
    </row>
    <row r="6196" spans="1:3" x14ac:dyDescent="0.25">
      <c r="A6196" s="4"/>
      <c r="B6196" s="5"/>
      <c r="C6196" s="6"/>
    </row>
    <row r="6197" spans="1:3" x14ac:dyDescent="0.25">
      <c r="A6197" s="4"/>
      <c r="B6197" s="5"/>
      <c r="C6197" s="6"/>
    </row>
    <row r="6198" spans="1:3" x14ac:dyDescent="0.25">
      <c r="A6198" s="4"/>
      <c r="B6198" s="5"/>
      <c r="C6198" s="6"/>
    </row>
    <row r="6199" spans="1:3" x14ac:dyDescent="0.25">
      <c r="A6199" s="4"/>
      <c r="B6199" s="5"/>
      <c r="C6199" s="6"/>
    </row>
    <row r="6200" spans="1:3" x14ac:dyDescent="0.25">
      <c r="A6200" s="4"/>
      <c r="B6200" s="5"/>
      <c r="C6200" s="6"/>
    </row>
    <row r="6201" spans="1:3" x14ac:dyDescent="0.25">
      <c r="A6201" s="4"/>
      <c r="B6201" s="5"/>
      <c r="C6201" s="6"/>
    </row>
    <row r="6202" spans="1:3" x14ac:dyDescent="0.25">
      <c r="A6202" s="4"/>
      <c r="B6202" s="5"/>
      <c r="C6202" s="6"/>
    </row>
    <row r="6203" spans="1:3" x14ac:dyDescent="0.25">
      <c r="A6203" s="4"/>
      <c r="B6203" s="5"/>
      <c r="C6203" s="6"/>
    </row>
    <row r="6204" spans="1:3" x14ac:dyDescent="0.25">
      <c r="A6204" s="4"/>
      <c r="B6204" s="5"/>
      <c r="C6204" s="6"/>
    </row>
    <row r="6205" spans="1:3" x14ac:dyDescent="0.25">
      <c r="A6205" s="4"/>
      <c r="B6205" s="5"/>
      <c r="C6205" s="6"/>
    </row>
    <row r="6206" spans="1:3" x14ac:dyDescent="0.25">
      <c r="A6206" s="4"/>
      <c r="B6206" s="5"/>
      <c r="C6206" s="6"/>
    </row>
    <row r="6207" spans="1:3" x14ac:dyDescent="0.25">
      <c r="A6207" s="4"/>
      <c r="B6207" s="5"/>
      <c r="C6207" s="6"/>
    </row>
    <row r="6208" spans="1:3" x14ac:dyDescent="0.25">
      <c r="A6208" s="4"/>
      <c r="B6208" s="5"/>
      <c r="C6208" s="6"/>
    </row>
    <row r="6209" spans="1:3" x14ac:dyDescent="0.25">
      <c r="A6209" s="4"/>
      <c r="B6209" s="5"/>
      <c r="C6209" s="6"/>
    </row>
    <row r="6210" spans="1:3" x14ac:dyDescent="0.25">
      <c r="A6210" s="4"/>
      <c r="B6210" s="5"/>
      <c r="C6210" s="6"/>
    </row>
    <row r="6211" spans="1:3" x14ac:dyDescent="0.25">
      <c r="A6211" s="4"/>
      <c r="B6211" s="5"/>
      <c r="C6211" s="6"/>
    </row>
    <row r="6212" spans="1:3" x14ac:dyDescent="0.25">
      <c r="A6212" s="4"/>
      <c r="B6212" s="5"/>
      <c r="C6212" s="6"/>
    </row>
    <row r="6213" spans="1:3" x14ac:dyDescent="0.25">
      <c r="A6213" s="4"/>
      <c r="B6213" s="5"/>
      <c r="C6213" s="6"/>
    </row>
    <row r="6214" spans="1:3" x14ac:dyDescent="0.25">
      <c r="A6214" s="4"/>
      <c r="B6214" s="5"/>
      <c r="C6214" s="6"/>
    </row>
    <row r="6215" spans="1:3" x14ac:dyDescent="0.25">
      <c r="A6215" s="4"/>
      <c r="B6215" s="5"/>
      <c r="C6215" s="6"/>
    </row>
    <row r="6216" spans="1:3" x14ac:dyDescent="0.25">
      <c r="A6216" s="4"/>
      <c r="B6216" s="5"/>
      <c r="C6216" s="6"/>
    </row>
    <row r="6217" spans="1:3" x14ac:dyDescent="0.25">
      <c r="A6217" s="4"/>
      <c r="B6217" s="5"/>
      <c r="C6217" s="6"/>
    </row>
    <row r="6218" spans="1:3" x14ac:dyDescent="0.25">
      <c r="A6218" s="4"/>
      <c r="B6218" s="5"/>
      <c r="C6218" s="6"/>
    </row>
    <row r="6219" spans="1:3" x14ac:dyDescent="0.25">
      <c r="A6219" s="4"/>
      <c r="B6219" s="5"/>
      <c r="C6219" s="6"/>
    </row>
    <row r="6220" spans="1:3" x14ac:dyDescent="0.25">
      <c r="A6220" s="4"/>
      <c r="B6220" s="5"/>
      <c r="C6220" s="6"/>
    </row>
    <row r="6221" spans="1:3" x14ac:dyDescent="0.25">
      <c r="A6221" s="4"/>
      <c r="B6221" s="5"/>
      <c r="C6221" s="6"/>
    </row>
    <row r="6222" spans="1:3" x14ac:dyDescent="0.25">
      <c r="A6222" s="4"/>
      <c r="B6222" s="5"/>
      <c r="C6222" s="6"/>
    </row>
    <row r="6223" spans="1:3" x14ac:dyDescent="0.25">
      <c r="A6223" s="4"/>
      <c r="B6223" s="5"/>
      <c r="C6223" s="6"/>
    </row>
    <row r="6224" spans="1:3" x14ac:dyDescent="0.25">
      <c r="A6224" s="4"/>
      <c r="B6224" s="5"/>
      <c r="C6224" s="6"/>
    </row>
    <row r="6225" spans="1:3" x14ac:dyDescent="0.25">
      <c r="A6225" s="4"/>
      <c r="B6225" s="5"/>
      <c r="C6225" s="6"/>
    </row>
    <row r="6226" spans="1:3" x14ac:dyDescent="0.25">
      <c r="A6226" s="4"/>
      <c r="B6226" s="5"/>
      <c r="C6226" s="6"/>
    </row>
    <row r="6227" spans="1:3" x14ac:dyDescent="0.25">
      <c r="A6227" s="4"/>
      <c r="B6227" s="5"/>
      <c r="C6227" s="6"/>
    </row>
    <row r="6228" spans="1:3" x14ac:dyDescent="0.25">
      <c r="A6228" s="4"/>
      <c r="B6228" s="5"/>
      <c r="C6228" s="6"/>
    </row>
    <row r="6229" spans="1:3" x14ac:dyDescent="0.25">
      <c r="A6229" s="4"/>
      <c r="B6229" s="5"/>
      <c r="C6229" s="6"/>
    </row>
    <row r="6230" spans="1:3" x14ac:dyDescent="0.25">
      <c r="A6230" s="4"/>
      <c r="B6230" s="5"/>
      <c r="C6230" s="6"/>
    </row>
    <row r="6231" spans="1:3" x14ac:dyDescent="0.25">
      <c r="A6231" s="4"/>
      <c r="B6231" s="5"/>
      <c r="C6231" s="6"/>
    </row>
    <row r="6232" spans="1:3" x14ac:dyDescent="0.25">
      <c r="A6232" s="4"/>
      <c r="B6232" s="5"/>
      <c r="C6232" s="6"/>
    </row>
    <row r="6233" spans="1:3" x14ac:dyDescent="0.25">
      <c r="A6233" s="4"/>
      <c r="B6233" s="5"/>
      <c r="C6233" s="6"/>
    </row>
    <row r="6234" spans="1:3" x14ac:dyDescent="0.25">
      <c r="A6234" s="4"/>
      <c r="B6234" s="5"/>
      <c r="C6234" s="6"/>
    </row>
    <row r="6235" spans="1:3" x14ac:dyDescent="0.25">
      <c r="A6235" s="4"/>
      <c r="B6235" s="5"/>
      <c r="C6235" s="6"/>
    </row>
    <row r="6236" spans="1:3" x14ac:dyDescent="0.25">
      <c r="A6236" s="4"/>
      <c r="B6236" s="5"/>
      <c r="C6236" s="6"/>
    </row>
    <row r="6237" spans="1:3" x14ac:dyDescent="0.25">
      <c r="A6237" s="4"/>
      <c r="B6237" s="5"/>
      <c r="C6237" s="6"/>
    </row>
    <row r="6238" spans="1:3" x14ac:dyDescent="0.25">
      <c r="A6238" s="4"/>
      <c r="B6238" s="5"/>
      <c r="C6238" s="6"/>
    </row>
    <row r="6239" spans="1:3" x14ac:dyDescent="0.25">
      <c r="A6239" s="4"/>
      <c r="B6239" s="5"/>
      <c r="C6239" s="6"/>
    </row>
    <row r="6240" spans="1:3" x14ac:dyDescent="0.25">
      <c r="A6240" s="4"/>
      <c r="B6240" s="5"/>
      <c r="C6240" s="6"/>
    </row>
    <row r="6241" spans="1:3" x14ac:dyDescent="0.25">
      <c r="A6241" s="4"/>
      <c r="B6241" s="5"/>
      <c r="C6241" s="6"/>
    </row>
    <row r="6242" spans="1:3" x14ac:dyDescent="0.25">
      <c r="A6242" s="4"/>
      <c r="B6242" s="5"/>
      <c r="C6242" s="6"/>
    </row>
    <row r="6243" spans="1:3" x14ac:dyDescent="0.25">
      <c r="A6243" s="4"/>
      <c r="B6243" s="5"/>
      <c r="C6243" s="6"/>
    </row>
    <row r="6244" spans="1:3" x14ac:dyDescent="0.25">
      <c r="A6244" s="4"/>
      <c r="B6244" s="5"/>
      <c r="C6244" s="6"/>
    </row>
    <row r="6245" spans="1:3" x14ac:dyDescent="0.25">
      <c r="A6245" s="4"/>
      <c r="B6245" s="5"/>
      <c r="C6245" s="6"/>
    </row>
    <row r="6246" spans="1:3" x14ac:dyDescent="0.25">
      <c r="A6246" s="4"/>
      <c r="B6246" s="5"/>
      <c r="C6246" s="6"/>
    </row>
    <row r="6247" spans="1:3" x14ac:dyDescent="0.25">
      <c r="A6247" s="4"/>
      <c r="B6247" s="5"/>
      <c r="C6247" s="6"/>
    </row>
    <row r="6248" spans="1:3" x14ac:dyDescent="0.25">
      <c r="A6248" s="4"/>
      <c r="B6248" s="5"/>
      <c r="C6248" s="6"/>
    </row>
    <row r="6249" spans="1:3" x14ac:dyDescent="0.25">
      <c r="A6249" s="4"/>
      <c r="B6249" s="5"/>
      <c r="C6249" s="6"/>
    </row>
    <row r="6250" spans="1:3" x14ac:dyDescent="0.25">
      <c r="A6250" s="4"/>
      <c r="B6250" s="5"/>
      <c r="C6250" s="6"/>
    </row>
    <row r="6251" spans="1:3" x14ac:dyDescent="0.25">
      <c r="A6251" s="4"/>
      <c r="B6251" s="5"/>
      <c r="C6251" s="6"/>
    </row>
    <row r="6252" spans="1:3" x14ac:dyDescent="0.25">
      <c r="A6252" s="4"/>
      <c r="B6252" s="5"/>
      <c r="C6252" s="6"/>
    </row>
    <row r="6253" spans="1:3" x14ac:dyDescent="0.25">
      <c r="A6253" s="4"/>
      <c r="B6253" s="5"/>
      <c r="C6253" s="6"/>
    </row>
    <row r="6254" spans="1:3" x14ac:dyDescent="0.25">
      <c r="A6254" s="4"/>
      <c r="B6254" s="5"/>
      <c r="C6254" s="6"/>
    </row>
    <row r="6255" spans="1:3" x14ac:dyDescent="0.25">
      <c r="A6255" s="4"/>
      <c r="B6255" s="5"/>
      <c r="C6255" s="6"/>
    </row>
    <row r="6256" spans="1:3" x14ac:dyDescent="0.25">
      <c r="A6256" s="4"/>
      <c r="B6256" s="5"/>
      <c r="C6256" s="6"/>
    </row>
    <row r="6257" spans="1:3" x14ac:dyDescent="0.25">
      <c r="A6257" s="4"/>
      <c r="B6257" s="5"/>
      <c r="C6257" s="6"/>
    </row>
    <row r="6258" spans="1:3" x14ac:dyDescent="0.25">
      <c r="A6258" s="4"/>
      <c r="B6258" s="5"/>
      <c r="C6258" s="5"/>
    </row>
    <row r="6259" spans="1:3" x14ac:dyDescent="0.25">
      <c r="A6259" s="4"/>
      <c r="B6259" s="5"/>
      <c r="C6259" s="5"/>
    </row>
    <row r="6260" spans="1:3" x14ac:dyDescent="0.25">
      <c r="A6260" s="4"/>
      <c r="B6260" s="5"/>
      <c r="C6260" s="6"/>
    </row>
    <row r="6261" spans="1:3" x14ac:dyDescent="0.25">
      <c r="A6261" s="4"/>
      <c r="B6261" s="5"/>
      <c r="C6261" s="6"/>
    </row>
    <row r="6262" spans="1:3" x14ac:dyDescent="0.25">
      <c r="A6262" s="4"/>
      <c r="B6262" s="5"/>
      <c r="C6262" s="6"/>
    </row>
    <row r="6263" spans="1:3" x14ac:dyDescent="0.25">
      <c r="A6263" s="4"/>
      <c r="B6263" s="5"/>
      <c r="C6263" s="6"/>
    </row>
    <row r="6264" spans="1:3" x14ac:dyDescent="0.25">
      <c r="A6264" s="4"/>
      <c r="B6264" s="5"/>
      <c r="C6264" s="6"/>
    </row>
    <row r="6265" spans="1:3" x14ac:dyDescent="0.25">
      <c r="A6265" s="4"/>
      <c r="B6265" s="5"/>
      <c r="C6265" s="6"/>
    </row>
    <row r="6266" spans="1:3" x14ac:dyDescent="0.25">
      <c r="A6266" s="4"/>
      <c r="B6266" s="5"/>
      <c r="C6266" s="6"/>
    </row>
    <row r="6267" spans="1:3" x14ac:dyDescent="0.25">
      <c r="A6267" s="4"/>
      <c r="B6267" s="5"/>
      <c r="C6267" s="6"/>
    </row>
    <row r="6268" spans="1:3" x14ac:dyDescent="0.25">
      <c r="A6268" s="4"/>
      <c r="B6268" s="5"/>
      <c r="C6268" s="6"/>
    </row>
    <row r="6269" spans="1:3" x14ac:dyDescent="0.25">
      <c r="A6269" s="4"/>
      <c r="B6269" s="5"/>
      <c r="C6269" s="6"/>
    </row>
    <row r="6270" spans="1:3" x14ac:dyDescent="0.25">
      <c r="A6270" s="4"/>
      <c r="B6270" s="5"/>
      <c r="C6270" s="6"/>
    </row>
    <row r="6271" spans="1:3" x14ac:dyDescent="0.25">
      <c r="A6271" s="4"/>
      <c r="B6271" s="5"/>
      <c r="C6271" s="6"/>
    </row>
    <row r="6272" spans="1:3" x14ac:dyDescent="0.25">
      <c r="A6272" s="4"/>
      <c r="B6272" s="5"/>
      <c r="C6272" s="6"/>
    </row>
    <row r="6273" spans="1:3" x14ac:dyDescent="0.25">
      <c r="A6273" s="4"/>
      <c r="B6273" s="5"/>
      <c r="C6273" s="6"/>
    </row>
    <row r="6274" spans="1:3" x14ac:dyDescent="0.25">
      <c r="A6274" s="4"/>
      <c r="B6274" s="5"/>
      <c r="C6274" s="6"/>
    </row>
    <row r="6275" spans="1:3" x14ac:dyDescent="0.25">
      <c r="A6275" s="4"/>
      <c r="B6275" s="5"/>
      <c r="C6275" s="6"/>
    </row>
    <row r="6276" spans="1:3" x14ac:dyDescent="0.25">
      <c r="A6276" s="4"/>
      <c r="B6276" s="5"/>
      <c r="C6276" s="6"/>
    </row>
    <row r="6277" spans="1:3" x14ac:dyDescent="0.25">
      <c r="A6277" s="4"/>
      <c r="B6277" s="5"/>
      <c r="C6277" s="6"/>
    </row>
    <row r="6278" spans="1:3" x14ac:dyDescent="0.25">
      <c r="A6278" s="4"/>
      <c r="B6278" s="5"/>
      <c r="C6278" s="6"/>
    </row>
    <row r="6279" spans="1:3" x14ac:dyDescent="0.25">
      <c r="A6279" s="4"/>
      <c r="B6279" s="5"/>
      <c r="C6279" s="6"/>
    </row>
    <row r="6280" spans="1:3" x14ac:dyDescent="0.25">
      <c r="A6280" s="4"/>
      <c r="B6280" s="5"/>
      <c r="C6280" s="6"/>
    </row>
    <row r="6281" spans="1:3" x14ac:dyDescent="0.25">
      <c r="A6281" s="4"/>
      <c r="B6281" s="5"/>
      <c r="C6281" s="6"/>
    </row>
    <row r="6282" spans="1:3" x14ac:dyDescent="0.25">
      <c r="A6282" s="4"/>
      <c r="B6282" s="5"/>
      <c r="C6282" s="6"/>
    </row>
    <row r="6283" spans="1:3" x14ac:dyDescent="0.25">
      <c r="A6283" s="4"/>
      <c r="B6283" s="5"/>
      <c r="C6283" s="6"/>
    </row>
    <row r="6284" spans="1:3" x14ac:dyDescent="0.25">
      <c r="A6284" s="4"/>
      <c r="B6284" s="5"/>
      <c r="C6284" s="6"/>
    </row>
    <row r="6285" spans="1:3" x14ac:dyDescent="0.25">
      <c r="A6285" s="4"/>
      <c r="B6285" s="5"/>
      <c r="C6285" s="6"/>
    </row>
    <row r="6286" spans="1:3" x14ac:dyDescent="0.25">
      <c r="A6286" s="4"/>
      <c r="B6286" s="5"/>
      <c r="C6286" s="6"/>
    </row>
    <row r="6287" spans="1:3" x14ac:dyDescent="0.25">
      <c r="A6287" s="4"/>
      <c r="B6287" s="5"/>
      <c r="C6287" s="6"/>
    </row>
    <row r="6288" spans="1:3" x14ac:dyDescent="0.25">
      <c r="A6288" s="4"/>
      <c r="B6288" s="5"/>
      <c r="C6288" s="6"/>
    </row>
    <row r="6289" spans="1:3" x14ac:dyDescent="0.25">
      <c r="A6289" s="4"/>
      <c r="B6289" s="5"/>
      <c r="C6289" s="6"/>
    </row>
    <row r="6290" spans="1:3" x14ac:dyDescent="0.25">
      <c r="A6290" s="4"/>
      <c r="B6290" s="5"/>
      <c r="C6290" s="6"/>
    </row>
    <row r="6291" spans="1:3" x14ac:dyDescent="0.25">
      <c r="A6291" s="4"/>
      <c r="B6291" s="5"/>
      <c r="C6291" s="6"/>
    </row>
    <row r="6292" spans="1:3" x14ac:dyDescent="0.25">
      <c r="A6292" s="4"/>
      <c r="B6292" s="5"/>
      <c r="C6292" s="6"/>
    </row>
    <row r="6293" spans="1:3" x14ac:dyDescent="0.25">
      <c r="A6293" s="4"/>
      <c r="B6293" s="5"/>
      <c r="C6293" s="6"/>
    </row>
    <row r="6294" spans="1:3" x14ac:dyDescent="0.25">
      <c r="A6294" s="4"/>
      <c r="B6294" s="5"/>
      <c r="C6294" s="6"/>
    </row>
    <row r="6295" spans="1:3" x14ac:dyDescent="0.25">
      <c r="A6295" s="4"/>
      <c r="B6295" s="5"/>
      <c r="C6295" s="6"/>
    </row>
    <row r="6296" spans="1:3" x14ac:dyDescent="0.25">
      <c r="A6296" s="4"/>
      <c r="B6296" s="5"/>
      <c r="C6296" s="6"/>
    </row>
    <row r="6297" spans="1:3" x14ac:dyDescent="0.25">
      <c r="A6297" s="4"/>
      <c r="B6297" s="5"/>
      <c r="C6297" s="6"/>
    </row>
    <row r="6298" spans="1:3" x14ac:dyDescent="0.25">
      <c r="A6298" s="4"/>
      <c r="B6298" s="5"/>
      <c r="C6298" s="6"/>
    </row>
    <row r="6299" spans="1:3" x14ac:dyDescent="0.25">
      <c r="A6299" s="4"/>
      <c r="B6299" s="5"/>
      <c r="C6299" s="6"/>
    </row>
    <row r="6300" spans="1:3" x14ac:dyDescent="0.25">
      <c r="A6300" s="4"/>
      <c r="B6300" s="5"/>
      <c r="C6300" s="6"/>
    </row>
    <row r="6301" spans="1:3" x14ac:dyDescent="0.25">
      <c r="A6301" s="4"/>
      <c r="B6301" s="5"/>
      <c r="C6301" s="6"/>
    </row>
    <row r="6302" spans="1:3" x14ac:dyDescent="0.25">
      <c r="A6302" s="4"/>
      <c r="B6302" s="5"/>
      <c r="C6302" s="6"/>
    </row>
    <row r="6303" spans="1:3" x14ac:dyDescent="0.25">
      <c r="A6303" s="4"/>
      <c r="B6303" s="5"/>
      <c r="C6303" s="6"/>
    </row>
    <row r="6304" spans="1:3" x14ac:dyDescent="0.25">
      <c r="A6304" s="4"/>
      <c r="B6304" s="5"/>
      <c r="C6304" s="6"/>
    </row>
    <row r="6305" spans="1:3" x14ac:dyDescent="0.25">
      <c r="A6305" s="4"/>
      <c r="B6305" s="5"/>
      <c r="C6305" s="6"/>
    </row>
    <row r="6306" spans="1:3" x14ac:dyDescent="0.25">
      <c r="A6306" s="4"/>
      <c r="B6306" s="5"/>
      <c r="C6306" s="6"/>
    </row>
    <row r="6307" spans="1:3" x14ac:dyDescent="0.25">
      <c r="A6307" s="4"/>
      <c r="B6307" s="5"/>
      <c r="C6307" s="6"/>
    </row>
    <row r="6308" spans="1:3" x14ac:dyDescent="0.25">
      <c r="A6308" s="4"/>
      <c r="B6308" s="5"/>
      <c r="C6308" s="6"/>
    </row>
    <row r="6309" spans="1:3" x14ac:dyDescent="0.25">
      <c r="A6309" s="4"/>
      <c r="B6309" s="5"/>
      <c r="C6309" s="6"/>
    </row>
    <row r="6310" spans="1:3" x14ac:dyDescent="0.25">
      <c r="A6310" s="4"/>
      <c r="B6310" s="5"/>
      <c r="C6310" s="6"/>
    </row>
    <row r="6311" spans="1:3" x14ac:dyDescent="0.25">
      <c r="A6311" s="4"/>
      <c r="B6311" s="5"/>
      <c r="C6311" s="6"/>
    </row>
    <row r="6312" spans="1:3" x14ac:dyDescent="0.25">
      <c r="A6312" s="4"/>
      <c r="B6312" s="5"/>
      <c r="C6312" s="6"/>
    </row>
    <row r="6313" spans="1:3" x14ac:dyDescent="0.25">
      <c r="A6313" s="4"/>
      <c r="B6313" s="5"/>
      <c r="C6313" s="6"/>
    </row>
    <row r="6314" spans="1:3" x14ac:dyDescent="0.25">
      <c r="A6314" s="4"/>
      <c r="B6314" s="5"/>
      <c r="C6314" s="6"/>
    </row>
    <row r="6315" spans="1:3" x14ac:dyDescent="0.25">
      <c r="A6315" s="4"/>
      <c r="B6315" s="5"/>
      <c r="C6315" s="6"/>
    </row>
    <row r="6316" spans="1:3" x14ac:dyDescent="0.25">
      <c r="A6316" s="4"/>
      <c r="B6316" s="5"/>
      <c r="C6316" s="6"/>
    </row>
    <row r="6317" spans="1:3" x14ac:dyDescent="0.25">
      <c r="A6317" s="4"/>
      <c r="B6317" s="5"/>
      <c r="C6317" s="6"/>
    </row>
    <row r="6318" spans="1:3" x14ac:dyDescent="0.25">
      <c r="A6318" s="4"/>
      <c r="B6318" s="5"/>
      <c r="C6318" s="6"/>
    </row>
    <row r="6319" spans="1:3" x14ac:dyDescent="0.25">
      <c r="A6319" s="4"/>
      <c r="B6319" s="5"/>
      <c r="C6319" s="6"/>
    </row>
    <row r="6320" spans="1:3" x14ac:dyDescent="0.25">
      <c r="A6320" s="4"/>
      <c r="B6320" s="5"/>
      <c r="C6320" s="6"/>
    </row>
    <row r="6321" spans="1:3" x14ac:dyDescent="0.25">
      <c r="A6321" s="4"/>
      <c r="B6321" s="5"/>
      <c r="C6321" s="6"/>
    </row>
    <row r="6322" spans="1:3" x14ac:dyDescent="0.25">
      <c r="A6322" s="4"/>
      <c r="B6322" s="5"/>
      <c r="C6322" s="6"/>
    </row>
    <row r="6323" spans="1:3" x14ac:dyDescent="0.25">
      <c r="A6323" s="4"/>
      <c r="B6323" s="5"/>
      <c r="C6323" s="6"/>
    </row>
    <row r="6324" spans="1:3" x14ac:dyDescent="0.25">
      <c r="A6324" s="4"/>
      <c r="B6324" s="5"/>
      <c r="C6324" s="6"/>
    </row>
    <row r="6325" spans="1:3" x14ac:dyDescent="0.25">
      <c r="A6325" s="4"/>
      <c r="B6325" s="5"/>
      <c r="C6325" s="6"/>
    </row>
    <row r="6326" spans="1:3" x14ac:dyDescent="0.25">
      <c r="A6326" s="4"/>
      <c r="B6326" s="5"/>
      <c r="C6326" s="6"/>
    </row>
    <row r="6327" spans="1:3" x14ac:dyDescent="0.25">
      <c r="A6327" s="4"/>
      <c r="B6327" s="5"/>
      <c r="C6327" s="6"/>
    </row>
    <row r="6328" spans="1:3" x14ac:dyDescent="0.25">
      <c r="A6328" s="4"/>
      <c r="B6328" s="5"/>
      <c r="C6328" s="6"/>
    </row>
    <row r="6329" spans="1:3" x14ac:dyDescent="0.25">
      <c r="A6329" s="4"/>
      <c r="B6329" s="5"/>
      <c r="C6329" s="6"/>
    </row>
    <row r="6330" spans="1:3" x14ac:dyDescent="0.25">
      <c r="A6330" s="4"/>
      <c r="B6330" s="5"/>
      <c r="C6330" s="6"/>
    </row>
    <row r="6331" spans="1:3" x14ac:dyDescent="0.25">
      <c r="A6331" s="4"/>
      <c r="B6331" s="5"/>
      <c r="C6331" s="6"/>
    </row>
    <row r="6332" spans="1:3" x14ac:dyDescent="0.25">
      <c r="A6332" s="4"/>
      <c r="B6332" s="5"/>
      <c r="C6332" s="6"/>
    </row>
    <row r="6333" spans="1:3" x14ac:dyDescent="0.25">
      <c r="A6333" s="4"/>
      <c r="B6333" s="5"/>
      <c r="C6333" s="6"/>
    </row>
    <row r="6334" spans="1:3" x14ac:dyDescent="0.25">
      <c r="A6334" s="4"/>
      <c r="B6334" s="5"/>
      <c r="C6334" s="6"/>
    </row>
    <row r="6335" spans="1:3" x14ac:dyDescent="0.25">
      <c r="A6335" s="4"/>
      <c r="B6335" s="5"/>
      <c r="C6335" s="6"/>
    </row>
    <row r="6336" spans="1:3" x14ac:dyDescent="0.25">
      <c r="A6336" s="4"/>
      <c r="B6336" s="5"/>
      <c r="C6336" s="6"/>
    </row>
    <row r="6337" spans="1:3" x14ac:dyDescent="0.25">
      <c r="A6337" s="4"/>
      <c r="B6337" s="5"/>
      <c r="C6337" s="5"/>
    </row>
    <row r="6338" spans="1:3" x14ac:dyDescent="0.25">
      <c r="A6338" s="4"/>
      <c r="B6338" s="5"/>
      <c r="C6338" s="5"/>
    </row>
    <row r="6339" spans="1:3" x14ac:dyDescent="0.25">
      <c r="A6339" s="4"/>
      <c r="B6339" s="5"/>
      <c r="C6339" s="6"/>
    </row>
    <row r="6340" spans="1:3" x14ac:dyDescent="0.25">
      <c r="A6340" s="4"/>
      <c r="B6340" s="5"/>
      <c r="C6340" s="6"/>
    </row>
    <row r="6341" spans="1:3" x14ac:dyDescent="0.25">
      <c r="A6341" s="4"/>
      <c r="B6341" s="5"/>
      <c r="C6341" s="6"/>
    </row>
    <row r="6342" spans="1:3" x14ac:dyDescent="0.25">
      <c r="A6342" s="4"/>
      <c r="B6342" s="5"/>
      <c r="C6342" s="6"/>
    </row>
    <row r="6343" spans="1:3" x14ac:dyDescent="0.25">
      <c r="A6343" s="4"/>
      <c r="B6343" s="5"/>
      <c r="C6343" s="6"/>
    </row>
    <row r="6344" spans="1:3" x14ac:dyDescent="0.25">
      <c r="A6344" s="4"/>
      <c r="B6344" s="5"/>
      <c r="C6344" s="6"/>
    </row>
    <row r="6345" spans="1:3" x14ac:dyDescent="0.25">
      <c r="A6345" s="4"/>
      <c r="B6345" s="5"/>
      <c r="C6345" s="6"/>
    </row>
    <row r="6346" spans="1:3" x14ac:dyDescent="0.25">
      <c r="A6346" s="4"/>
      <c r="B6346" s="5"/>
      <c r="C6346" s="6"/>
    </row>
    <row r="6347" spans="1:3" x14ac:dyDescent="0.25">
      <c r="A6347" s="4"/>
      <c r="B6347" s="5"/>
      <c r="C6347" s="6"/>
    </row>
    <row r="6348" spans="1:3" x14ac:dyDescent="0.25">
      <c r="A6348" s="4"/>
      <c r="B6348" s="5"/>
      <c r="C6348" s="5"/>
    </row>
    <row r="6349" spans="1:3" x14ac:dyDescent="0.25">
      <c r="A6349" s="4"/>
      <c r="B6349" s="5"/>
      <c r="C6349" s="6"/>
    </row>
    <row r="6350" spans="1:3" x14ac:dyDescent="0.25">
      <c r="A6350" s="4"/>
      <c r="B6350" s="5"/>
      <c r="C6350" s="6"/>
    </row>
    <row r="6351" spans="1:3" x14ac:dyDescent="0.25">
      <c r="A6351" s="4"/>
      <c r="B6351" s="5"/>
      <c r="C6351" s="6"/>
    </row>
    <row r="6352" spans="1:3" x14ac:dyDescent="0.25">
      <c r="A6352" s="4"/>
      <c r="B6352" s="5"/>
      <c r="C6352" s="6"/>
    </row>
    <row r="6353" spans="1:3" x14ac:dyDescent="0.25">
      <c r="A6353" s="4"/>
      <c r="B6353" s="5"/>
      <c r="C6353" s="6"/>
    </row>
    <row r="6354" spans="1:3" x14ac:dyDescent="0.25">
      <c r="A6354" s="4"/>
      <c r="B6354" s="5"/>
      <c r="C6354" s="6"/>
    </row>
    <row r="6355" spans="1:3" x14ac:dyDescent="0.25">
      <c r="A6355" s="4"/>
      <c r="B6355" s="5"/>
      <c r="C6355" s="6"/>
    </row>
    <row r="6356" spans="1:3" x14ac:dyDescent="0.25">
      <c r="A6356" s="4"/>
      <c r="B6356" s="5"/>
      <c r="C6356" s="6"/>
    </row>
    <row r="6357" spans="1:3" x14ac:dyDescent="0.25">
      <c r="A6357" s="4"/>
      <c r="B6357" s="5"/>
      <c r="C6357" s="6"/>
    </row>
    <row r="6358" spans="1:3" x14ac:dyDescent="0.25">
      <c r="A6358" s="4"/>
      <c r="B6358" s="5"/>
      <c r="C6358" s="6"/>
    </row>
    <row r="6359" spans="1:3" x14ac:dyDescent="0.25">
      <c r="A6359" s="4"/>
      <c r="B6359" s="5"/>
      <c r="C6359" s="6"/>
    </row>
    <row r="6360" spans="1:3" x14ac:dyDescent="0.25">
      <c r="A6360" s="4"/>
      <c r="B6360" s="5"/>
      <c r="C6360" s="6"/>
    </row>
    <row r="6361" spans="1:3" x14ac:dyDescent="0.25">
      <c r="A6361" s="4"/>
      <c r="B6361" s="5"/>
      <c r="C6361" s="6"/>
    </row>
    <row r="6362" spans="1:3" x14ac:dyDescent="0.25">
      <c r="A6362" s="4"/>
      <c r="B6362" s="5"/>
      <c r="C6362" s="6"/>
    </row>
    <row r="6363" spans="1:3" x14ac:dyDescent="0.25">
      <c r="A6363" s="4"/>
      <c r="B6363" s="5"/>
      <c r="C6363" s="6"/>
    </row>
    <row r="6364" spans="1:3" x14ac:dyDescent="0.25">
      <c r="A6364" s="4"/>
      <c r="B6364" s="5"/>
      <c r="C6364" s="6"/>
    </row>
    <row r="6365" spans="1:3" x14ac:dyDescent="0.25">
      <c r="A6365" s="4"/>
      <c r="B6365" s="5"/>
      <c r="C6365" s="6"/>
    </row>
    <row r="6366" spans="1:3" x14ac:dyDescent="0.25">
      <c r="A6366" s="4"/>
      <c r="B6366" s="5"/>
      <c r="C6366" s="6"/>
    </row>
    <row r="6367" spans="1:3" x14ac:dyDescent="0.25">
      <c r="A6367" s="4"/>
      <c r="B6367" s="5"/>
      <c r="C6367" s="6"/>
    </row>
    <row r="6368" spans="1:3" x14ac:dyDescent="0.25">
      <c r="A6368" s="4"/>
      <c r="B6368" s="5"/>
      <c r="C6368" s="6"/>
    </row>
    <row r="6369" spans="1:3" x14ac:dyDescent="0.25">
      <c r="A6369" s="4"/>
      <c r="B6369" s="5"/>
      <c r="C6369" s="6"/>
    </row>
    <row r="6370" spans="1:3" x14ac:dyDescent="0.25">
      <c r="A6370" s="4"/>
      <c r="B6370" s="5"/>
      <c r="C6370" s="6"/>
    </row>
    <row r="6371" spans="1:3" x14ac:dyDescent="0.25">
      <c r="A6371" s="4"/>
      <c r="B6371" s="5"/>
      <c r="C6371" s="5"/>
    </row>
    <row r="6372" spans="1:3" x14ac:dyDescent="0.25">
      <c r="A6372" s="4"/>
      <c r="B6372" s="5"/>
      <c r="C6372" s="6"/>
    </row>
    <row r="6373" spans="1:3" x14ac:dyDescent="0.25">
      <c r="A6373" s="4"/>
      <c r="B6373" s="5"/>
      <c r="C6373" s="6"/>
    </row>
    <row r="6374" spans="1:3" x14ac:dyDescent="0.25">
      <c r="A6374" s="4"/>
      <c r="B6374" s="5"/>
      <c r="C6374" s="6"/>
    </row>
    <row r="6375" spans="1:3" x14ac:dyDescent="0.25">
      <c r="A6375" s="4"/>
      <c r="B6375" s="5"/>
      <c r="C6375" s="6"/>
    </row>
    <row r="6376" spans="1:3" x14ac:dyDescent="0.25">
      <c r="A6376" s="4"/>
      <c r="B6376" s="5"/>
      <c r="C6376" s="6"/>
    </row>
    <row r="6377" spans="1:3" x14ac:dyDescent="0.25">
      <c r="A6377" s="4"/>
      <c r="B6377" s="5"/>
      <c r="C6377" s="6"/>
    </row>
    <row r="6378" spans="1:3" x14ac:dyDescent="0.25">
      <c r="A6378" s="4"/>
      <c r="B6378" s="5"/>
      <c r="C6378" s="6"/>
    </row>
    <row r="6379" spans="1:3" x14ac:dyDescent="0.25">
      <c r="A6379" s="4"/>
      <c r="B6379" s="5"/>
      <c r="C6379" s="6"/>
    </row>
    <row r="6380" spans="1:3" x14ac:dyDescent="0.25">
      <c r="A6380" s="4"/>
      <c r="B6380" s="5"/>
      <c r="C6380" s="6"/>
    </row>
    <row r="6381" spans="1:3" x14ac:dyDescent="0.25">
      <c r="A6381" s="4"/>
      <c r="B6381" s="5"/>
      <c r="C6381" s="6"/>
    </row>
    <row r="6382" spans="1:3" x14ac:dyDescent="0.25">
      <c r="A6382" s="4"/>
      <c r="B6382" s="5"/>
      <c r="C6382" s="6"/>
    </row>
    <row r="6383" spans="1:3" x14ac:dyDescent="0.25">
      <c r="A6383" s="4"/>
      <c r="B6383" s="5"/>
      <c r="C6383" s="6"/>
    </row>
    <row r="6384" spans="1:3" x14ac:dyDescent="0.25">
      <c r="A6384" s="4"/>
      <c r="B6384" s="5"/>
      <c r="C6384" s="6"/>
    </row>
    <row r="6385" spans="1:3" x14ac:dyDescent="0.25">
      <c r="A6385" s="4"/>
      <c r="B6385" s="5"/>
      <c r="C6385" s="6"/>
    </row>
    <row r="6386" spans="1:3" x14ac:dyDescent="0.25">
      <c r="A6386" s="4"/>
      <c r="B6386" s="5"/>
      <c r="C6386" s="6"/>
    </row>
    <row r="6387" spans="1:3" x14ac:dyDescent="0.25">
      <c r="A6387" s="4"/>
      <c r="B6387" s="5"/>
      <c r="C6387" s="6"/>
    </row>
    <row r="6388" spans="1:3" x14ac:dyDescent="0.25">
      <c r="A6388" s="4"/>
      <c r="B6388" s="5"/>
      <c r="C6388" s="6"/>
    </row>
    <row r="6389" spans="1:3" x14ac:dyDescent="0.25">
      <c r="A6389" s="4"/>
      <c r="B6389" s="5"/>
      <c r="C6389" s="6"/>
    </row>
    <row r="6390" spans="1:3" x14ac:dyDescent="0.25">
      <c r="A6390" s="4"/>
      <c r="B6390" s="5"/>
      <c r="C6390" s="6"/>
    </row>
    <row r="6391" spans="1:3" x14ac:dyDescent="0.25">
      <c r="A6391" s="4"/>
      <c r="B6391" s="5"/>
      <c r="C6391" s="6"/>
    </row>
    <row r="6392" spans="1:3" x14ac:dyDescent="0.25">
      <c r="A6392" s="4"/>
      <c r="B6392" s="5"/>
      <c r="C6392" s="6"/>
    </row>
    <row r="6393" spans="1:3" x14ac:dyDescent="0.25">
      <c r="A6393" s="4"/>
      <c r="B6393" s="5"/>
      <c r="C6393" s="6"/>
    </row>
    <row r="6394" spans="1:3" x14ac:dyDescent="0.25">
      <c r="A6394" s="4"/>
      <c r="B6394" s="5"/>
      <c r="C6394" s="6"/>
    </row>
    <row r="6395" spans="1:3" x14ac:dyDescent="0.25">
      <c r="A6395" s="4"/>
      <c r="B6395" s="5"/>
      <c r="C6395" s="6"/>
    </row>
    <row r="6396" spans="1:3" x14ac:dyDescent="0.25">
      <c r="A6396" s="4"/>
      <c r="B6396" s="5"/>
      <c r="C6396" s="6"/>
    </row>
    <row r="6397" spans="1:3" x14ac:dyDescent="0.25">
      <c r="A6397" s="4"/>
      <c r="B6397" s="5"/>
      <c r="C6397" s="6"/>
    </row>
    <row r="6398" spans="1:3" x14ac:dyDescent="0.25">
      <c r="A6398" s="4"/>
      <c r="B6398" s="5"/>
      <c r="C6398" s="6"/>
    </row>
    <row r="6399" spans="1:3" x14ac:dyDescent="0.25">
      <c r="A6399" s="4"/>
      <c r="B6399" s="5"/>
      <c r="C6399" s="6"/>
    </row>
    <row r="6400" spans="1:3" x14ac:dyDescent="0.25">
      <c r="A6400" s="4"/>
      <c r="B6400" s="5"/>
      <c r="C6400" s="6"/>
    </row>
    <row r="6401" spans="1:3" x14ac:dyDescent="0.25">
      <c r="A6401" s="4"/>
      <c r="B6401" s="5"/>
      <c r="C6401" s="6"/>
    </row>
    <row r="6402" spans="1:3" x14ac:dyDescent="0.25">
      <c r="A6402" s="4"/>
      <c r="B6402" s="5"/>
      <c r="C6402" s="6"/>
    </row>
    <row r="6403" spans="1:3" x14ac:dyDescent="0.25">
      <c r="A6403" s="4"/>
      <c r="B6403" s="5"/>
      <c r="C6403" s="6"/>
    </row>
    <row r="6404" spans="1:3" x14ac:dyDescent="0.25">
      <c r="A6404" s="4"/>
      <c r="B6404" s="5"/>
      <c r="C6404" s="6"/>
    </row>
    <row r="6405" spans="1:3" x14ac:dyDescent="0.25">
      <c r="A6405" s="4"/>
      <c r="B6405" s="5"/>
      <c r="C6405" s="6"/>
    </row>
    <row r="6406" spans="1:3" x14ac:dyDescent="0.25">
      <c r="A6406" s="4"/>
      <c r="B6406" s="5"/>
      <c r="C6406" s="6"/>
    </row>
    <row r="6407" spans="1:3" x14ac:dyDescent="0.25">
      <c r="A6407" s="4"/>
      <c r="B6407" s="5"/>
      <c r="C6407" s="6"/>
    </row>
    <row r="6408" spans="1:3" x14ac:dyDescent="0.25">
      <c r="A6408" s="4"/>
      <c r="B6408" s="5"/>
      <c r="C6408" s="6"/>
    </row>
    <row r="6409" spans="1:3" x14ac:dyDescent="0.25">
      <c r="A6409" s="4"/>
      <c r="B6409" s="5"/>
      <c r="C6409" s="6"/>
    </row>
    <row r="6410" spans="1:3" x14ac:dyDescent="0.25">
      <c r="A6410" s="4"/>
      <c r="B6410" s="5"/>
      <c r="C6410" s="6"/>
    </row>
    <row r="6411" spans="1:3" x14ac:dyDescent="0.25">
      <c r="A6411" s="4"/>
      <c r="B6411" s="5"/>
      <c r="C6411" s="6"/>
    </row>
    <row r="6412" spans="1:3" x14ac:dyDescent="0.25">
      <c r="A6412" s="4"/>
      <c r="B6412" s="5"/>
      <c r="C6412" s="6"/>
    </row>
    <row r="6413" spans="1:3" x14ac:dyDescent="0.25">
      <c r="A6413" s="4"/>
      <c r="B6413" s="5"/>
      <c r="C6413" s="6"/>
    </row>
    <row r="6414" spans="1:3" x14ac:dyDescent="0.25">
      <c r="A6414" s="4"/>
      <c r="B6414" s="5"/>
      <c r="C6414" s="6"/>
    </row>
    <row r="6415" spans="1:3" x14ac:dyDescent="0.25">
      <c r="A6415" s="4"/>
      <c r="B6415" s="5"/>
      <c r="C6415" s="6"/>
    </row>
    <row r="6416" spans="1:3" x14ac:dyDescent="0.25">
      <c r="A6416" s="4"/>
      <c r="B6416" s="5"/>
      <c r="C6416" s="6"/>
    </row>
    <row r="6417" spans="1:3" x14ac:dyDescent="0.25">
      <c r="A6417" s="4"/>
      <c r="B6417" s="5"/>
      <c r="C6417" s="6"/>
    </row>
    <row r="6418" spans="1:3" x14ac:dyDescent="0.25">
      <c r="A6418" s="4"/>
      <c r="B6418" s="5"/>
      <c r="C6418" s="6"/>
    </row>
    <row r="6419" spans="1:3" x14ac:dyDescent="0.25">
      <c r="A6419" s="4"/>
      <c r="B6419" s="5"/>
      <c r="C6419" s="6"/>
    </row>
    <row r="6420" spans="1:3" x14ac:dyDescent="0.25">
      <c r="A6420" s="4"/>
      <c r="B6420" s="5"/>
      <c r="C6420" s="6"/>
    </row>
    <row r="6421" spans="1:3" x14ac:dyDescent="0.25">
      <c r="A6421" s="4"/>
      <c r="B6421" s="5"/>
      <c r="C6421" s="6"/>
    </row>
    <row r="6422" spans="1:3" x14ac:dyDescent="0.25">
      <c r="A6422" s="4"/>
      <c r="B6422" s="5"/>
      <c r="C6422" s="6"/>
    </row>
    <row r="6423" spans="1:3" x14ac:dyDescent="0.25">
      <c r="A6423" s="4"/>
      <c r="B6423" s="5"/>
      <c r="C6423" s="6"/>
    </row>
    <row r="6424" spans="1:3" x14ac:dyDescent="0.25">
      <c r="A6424" s="4"/>
      <c r="B6424" s="5"/>
      <c r="C6424" s="6"/>
    </row>
    <row r="6425" spans="1:3" x14ac:dyDescent="0.25">
      <c r="A6425" s="4"/>
      <c r="B6425" s="5"/>
      <c r="C6425" s="6"/>
    </row>
    <row r="6426" spans="1:3" x14ac:dyDescent="0.25">
      <c r="A6426" s="4"/>
      <c r="B6426" s="5"/>
      <c r="C6426" s="6"/>
    </row>
    <row r="6427" spans="1:3" x14ac:dyDescent="0.25">
      <c r="A6427" s="4"/>
      <c r="B6427" s="5"/>
      <c r="C6427" s="6"/>
    </row>
    <row r="6428" spans="1:3" x14ac:dyDescent="0.25">
      <c r="A6428" s="4"/>
      <c r="B6428" s="5"/>
      <c r="C6428" s="6"/>
    </row>
    <row r="6429" spans="1:3" x14ac:dyDescent="0.25">
      <c r="A6429" s="4"/>
      <c r="B6429" s="5"/>
      <c r="C6429" s="6"/>
    </row>
    <row r="6430" spans="1:3" x14ac:dyDescent="0.25">
      <c r="A6430" s="4"/>
      <c r="B6430" s="5"/>
      <c r="C6430" s="6"/>
    </row>
    <row r="6431" spans="1:3" x14ac:dyDescent="0.25">
      <c r="A6431" s="4"/>
      <c r="B6431" s="5"/>
      <c r="C6431" s="6"/>
    </row>
    <row r="6432" spans="1:3" x14ac:dyDescent="0.25">
      <c r="A6432" s="4"/>
      <c r="B6432" s="5"/>
      <c r="C6432" s="6"/>
    </row>
    <row r="6433" spans="1:3" x14ac:dyDescent="0.25">
      <c r="A6433" s="4"/>
      <c r="B6433" s="5"/>
      <c r="C6433" s="5"/>
    </row>
    <row r="6434" spans="1:3" x14ac:dyDescent="0.25">
      <c r="A6434" s="4"/>
      <c r="B6434" s="5"/>
      <c r="C6434" s="6"/>
    </row>
    <row r="6435" spans="1:3" x14ac:dyDescent="0.25">
      <c r="A6435" s="4"/>
      <c r="B6435" s="5"/>
      <c r="C6435" s="6"/>
    </row>
    <row r="6436" spans="1:3" x14ac:dyDescent="0.25">
      <c r="A6436" s="4"/>
      <c r="B6436" s="5"/>
      <c r="C6436" s="6"/>
    </row>
    <row r="6437" spans="1:3" x14ac:dyDescent="0.25">
      <c r="A6437" s="4"/>
      <c r="B6437" s="5"/>
      <c r="C6437" s="6"/>
    </row>
    <row r="6438" spans="1:3" x14ac:dyDescent="0.25">
      <c r="A6438" s="4"/>
      <c r="B6438" s="5"/>
      <c r="C6438" s="6"/>
    </row>
    <row r="6439" spans="1:3" x14ac:dyDescent="0.25">
      <c r="A6439" s="4"/>
      <c r="B6439" s="5"/>
      <c r="C6439" s="6"/>
    </row>
    <row r="6440" spans="1:3" x14ac:dyDescent="0.25">
      <c r="A6440" s="4"/>
      <c r="B6440" s="5"/>
      <c r="C6440" s="6"/>
    </row>
    <row r="6441" spans="1:3" x14ac:dyDescent="0.25">
      <c r="A6441" s="4"/>
      <c r="B6441" s="5"/>
      <c r="C6441" s="6"/>
    </row>
    <row r="6442" spans="1:3" x14ac:dyDescent="0.25">
      <c r="A6442" s="4"/>
      <c r="B6442" s="5"/>
      <c r="C6442" s="6"/>
    </row>
    <row r="6443" spans="1:3" x14ac:dyDescent="0.25">
      <c r="A6443" s="4"/>
      <c r="B6443" s="5"/>
      <c r="C6443" s="6"/>
    </row>
    <row r="6444" spans="1:3" x14ac:dyDescent="0.25">
      <c r="A6444" s="4"/>
      <c r="B6444" s="5"/>
      <c r="C6444" s="6"/>
    </row>
    <row r="6445" spans="1:3" x14ac:dyDescent="0.25">
      <c r="A6445" s="4"/>
      <c r="B6445" s="5"/>
      <c r="C6445" s="6"/>
    </row>
    <row r="6446" spans="1:3" x14ac:dyDescent="0.25">
      <c r="A6446" s="4"/>
      <c r="B6446" s="5"/>
      <c r="C6446" s="6"/>
    </row>
    <row r="6447" spans="1:3" x14ac:dyDescent="0.25">
      <c r="A6447" s="4"/>
      <c r="B6447" s="5"/>
      <c r="C6447" s="6"/>
    </row>
    <row r="6448" spans="1:3" x14ac:dyDescent="0.25">
      <c r="A6448" s="4"/>
      <c r="B6448" s="5"/>
      <c r="C6448" s="5"/>
    </row>
    <row r="6449" spans="1:3" x14ac:dyDescent="0.25">
      <c r="A6449" s="4"/>
      <c r="B6449" s="5"/>
      <c r="C6449" s="6"/>
    </row>
    <row r="6450" spans="1:3" x14ac:dyDescent="0.25">
      <c r="A6450" s="4"/>
      <c r="B6450" s="5"/>
      <c r="C6450" s="6"/>
    </row>
    <row r="6451" spans="1:3" x14ac:dyDescent="0.25">
      <c r="A6451" s="4"/>
      <c r="B6451" s="5"/>
      <c r="C6451" s="6"/>
    </row>
    <row r="6452" spans="1:3" x14ac:dyDescent="0.25">
      <c r="A6452" s="4"/>
      <c r="B6452" s="5"/>
      <c r="C6452" s="6"/>
    </row>
    <row r="6453" spans="1:3" x14ac:dyDescent="0.25">
      <c r="A6453" s="4"/>
      <c r="B6453" s="5"/>
      <c r="C6453" s="6"/>
    </row>
    <row r="6454" spans="1:3" x14ac:dyDescent="0.25">
      <c r="A6454" s="4"/>
      <c r="B6454" s="5"/>
      <c r="C6454" s="6"/>
    </row>
    <row r="6455" spans="1:3" x14ac:dyDescent="0.25">
      <c r="A6455" s="4"/>
      <c r="B6455" s="5"/>
      <c r="C6455" s="6"/>
    </row>
    <row r="6456" spans="1:3" x14ac:dyDescent="0.25">
      <c r="A6456" s="4"/>
      <c r="B6456" s="5"/>
      <c r="C6456" s="6"/>
    </row>
    <row r="6457" spans="1:3" x14ac:dyDescent="0.25">
      <c r="A6457" s="4"/>
      <c r="B6457" s="5"/>
      <c r="C6457" s="6"/>
    </row>
    <row r="6458" spans="1:3" x14ac:dyDescent="0.25">
      <c r="A6458" s="4"/>
      <c r="B6458" s="5"/>
      <c r="C6458" s="6"/>
    </row>
    <row r="6459" spans="1:3" x14ac:dyDescent="0.25">
      <c r="A6459" s="4"/>
      <c r="B6459" s="5"/>
      <c r="C6459" s="6"/>
    </row>
    <row r="6460" spans="1:3" x14ac:dyDescent="0.25">
      <c r="A6460" s="4"/>
      <c r="B6460" s="5"/>
      <c r="C6460" s="6"/>
    </row>
    <row r="6461" spans="1:3" x14ac:dyDescent="0.25">
      <c r="A6461" s="4"/>
      <c r="B6461" s="5"/>
      <c r="C6461" s="6"/>
    </row>
    <row r="6462" spans="1:3" x14ac:dyDescent="0.25">
      <c r="A6462" s="4"/>
      <c r="B6462" s="5"/>
      <c r="C6462" s="6"/>
    </row>
    <row r="6463" spans="1:3" x14ac:dyDescent="0.25">
      <c r="A6463" s="4"/>
      <c r="B6463" s="5"/>
      <c r="C6463" s="6"/>
    </row>
    <row r="6464" spans="1:3" x14ac:dyDescent="0.25">
      <c r="A6464" s="4"/>
      <c r="B6464" s="5"/>
      <c r="C6464" s="6"/>
    </row>
    <row r="6465" spans="1:3" x14ac:dyDescent="0.25">
      <c r="A6465" s="4"/>
      <c r="B6465" s="5"/>
      <c r="C6465" s="6"/>
    </row>
    <row r="6466" spans="1:3" x14ac:dyDescent="0.25">
      <c r="A6466" s="4"/>
      <c r="B6466" s="5"/>
      <c r="C6466" s="6"/>
    </row>
    <row r="6467" spans="1:3" x14ac:dyDescent="0.25">
      <c r="A6467" s="4"/>
      <c r="B6467" s="5"/>
      <c r="C6467" s="6"/>
    </row>
    <row r="6468" spans="1:3" x14ac:dyDescent="0.25">
      <c r="A6468" s="4"/>
      <c r="B6468" s="5"/>
      <c r="C6468" s="6"/>
    </row>
    <row r="6469" spans="1:3" x14ac:dyDescent="0.25">
      <c r="A6469" s="4"/>
      <c r="B6469" s="5"/>
      <c r="C6469" s="6"/>
    </row>
    <row r="6470" spans="1:3" x14ac:dyDescent="0.25">
      <c r="A6470" s="4"/>
      <c r="B6470" s="5"/>
      <c r="C6470" s="6"/>
    </row>
    <row r="6471" spans="1:3" x14ac:dyDescent="0.25">
      <c r="A6471" s="4"/>
      <c r="B6471" s="5"/>
      <c r="C6471" s="6"/>
    </row>
    <row r="6472" spans="1:3" x14ac:dyDescent="0.25">
      <c r="A6472" s="4"/>
      <c r="B6472" s="5"/>
      <c r="C6472" s="6"/>
    </row>
    <row r="6473" spans="1:3" x14ac:dyDescent="0.25">
      <c r="A6473" s="4"/>
      <c r="B6473" s="5"/>
      <c r="C6473" s="6"/>
    </row>
    <row r="6474" spans="1:3" x14ac:dyDescent="0.25">
      <c r="A6474" s="4"/>
      <c r="B6474" s="5"/>
      <c r="C6474" s="6"/>
    </row>
    <row r="6475" spans="1:3" x14ac:dyDescent="0.25">
      <c r="A6475" s="4"/>
      <c r="B6475" s="5"/>
      <c r="C6475" s="6"/>
    </row>
    <row r="6476" spans="1:3" x14ac:dyDescent="0.25">
      <c r="A6476" s="4"/>
      <c r="B6476" s="5"/>
      <c r="C6476" s="6"/>
    </row>
    <row r="6477" spans="1:3" x14ac:dyDescent="0.25">
      <c r="A6477" s="4"/>
      <c r="B6477" s="5"/>
      <c r="C6477" s="6"/>
    </row>
    <row r="6478" spans="1:3" x14ac:dyDescent="0.25">
      <c r="A6478" s="4"/>
      <c r="B6478" s="5"/>
      <c r="C6478" s="6"/>
    </row>
    <row r="6479" spans="1:3" x14ac:dyDescent="0.25">
      <c r="A6479" s="4"/>
      <c r="B6479" s="5"/>
      <c r="C6479" s="6"/>
    </row>
    <row r="6480" spans="1:3" x14ac:dyDescent="0.25">
      <c r="A6480" s="4"/>
      <c r="B6480" s="5"/>
      <c r="C6480" s="6"/>
    </row>
    <row r="6481" spans="1:3" x14ac:dyDescent="0.25">
      <c r="A6481" s="4"/>
      <c r="B6481" s="5"/>
      <c r="C6481" s="6"/>
    </row>
    <row r="6482" spans="1:3" x14ac:dyDescent="0.25">
      <c r="A6482" s="4"/>
      <c r="B6482" s="5"/>
      <c r="C6482" s="6"/>
    </row>
    <row r="6483" spans="1:3" x14ac:dyDescent="0.25">
      <c r="A6483" s="4"/>
      <c r="B6483" s="5"/>
      <c r="C6483" s="6"/>
    </row>
    <row r="6484" spans="1:3" x14ac:dyDescent="0.25">
      <c r="A6484" s="4"/>
      <c r="B6484" s="5"/>
      <c r="C6484" s="6"/>
    </row>
    <row r="6485" spans="1:3" x14ac:dyDescent="0.25">
      <c r="A6485" s="4"/>
      <c r="B6485" s="5"/>
      <c r="C6485" s="6"/>
    </row>
    <row r="6486" spans="1:3" x14ac:dyDescent="0.25">
      <c r="A6486" s="4"/>
      <c r="B6486" s="5"/>
      <c r="C6486" s="6"/>
    </row>
    <row r="6487" spans="1:3" x14ac:dyDescent="0.25">
      <c r="A6487" s="4"/>
      <c r="B6487" s="5"/>
      <c r="C6487" s="6"/>
    </row>
    <row r="6488" spans="1:3" x14ac:dyDescent="0.25">
      <c r="A6488" s="4"/>
      <c r="B6488" s="5"/>
      <c r="C6488" s="6"/>
    </row>
    <row r="6489" spans="1:3" x14ac:dyDescent="0.25">
      <c r="A6489" s="4"/>
      <c r="B6489" s="5"/>
      <c r="C6489" s="6"/>
    </row>
    <row r="6490" spans="1:3" x14ac:dyDescent="0.25">
      <c r="A6490" s="4"/>
      <c r="B6490" s="5"/>
      <c r="C6490" s="6"/>
    </row>
    <row r="6491" spans="1:3" x14ac:dyDescent="0.25">
      <c r="A6491" s="4"/>
      <c r="B6491" s="5"/>
      <c r="C6491" s="6"/>
    </row>
    <row r="6492" spans="1:3" x14ac:dyDescent="0.25">
      <c r="A6492" s="4"/>
      <c r="B6492" s="5"/>
      <c r="C6492" s="6"/>
    </row>
    <row r="6493" spans="1:3" x14ac:dyDescent="0.25">
      <c r="A6493" s="4"/>
      <c r="B6493" s="5"/>
      <c r="C6493" s="6"/>
    </row>
    <row r="6494" spans="1:3" x14ac:dyDescent="0.25">
      <c r="A6494" s="4"/>
      <c r="B6494" s="5"/>
      <c r="C6494" s="6"/>
    </row>
    <row r="6495" spans="1:3" x14ac:dyDescent="0.25">
      <c r="A6495" s="4"/>
      <c r="B6495" s="5"/>
      <c r="C6495" s="6"/>
    </row>
    <row r="6496" spans="1:3" x14ac:dyDescent="0.25">
      <c r="A6496" s="4"/>
      <c r="B6496" s="5"/>
      <c r="C6496" s="6"/>
    </row>
    <row r="6497" spans="1:3" x14ac:dyDescent="0.25">
      <c r="A6497" s="4"/>
      <c r="B6497" s="5"/>
      <c r="C6497" s="6"/>
    </row>
    <row r="6498" spans="1:3" x14ac:dyDescent="0.25">
      <c r="A6498" s="4"/>
      <c r="B6498" s="5"/>
      <c r="C6498" s="6"/>
    </row>
    <row r="6499" spans="1:3" x14ac:dyDescent="0.25">
      <c r="A6499" s="4"/>
      <c r="B6499" s="5"/>
      <c r="C6499" s="6"/>
    </row>
    <row r="6500" spans="1:3" x14ac:dyDescent="0.25">
      <c r="A6500" s="4"/>
      <c r="B6500" s="5"/>
      <c r="C6500" s="6"/>
    </row>
    <row r="6501" spans="1:3" x14ac:dyDescent="0.25">
      <c r="A6501" s="4"/>
      <c r="B6501" s="5"/>
      <c r="C6501" s="6"/>
    </row>
    <row r="6502" spans="1:3" x14ac:dyDescent="0.25">
      <c r="A6502" s="4"/>
      <c r="B6502" s="5"/>
      <c r="C6502" s="6"/>
    </row>
    <row r="6503" spans="1:3" x14ac:dyDescent="0.25">
      <c r="A6503" s="4"/>
      <c r="B6503" s="5"/>
      <c r="C6503" s="6"/>
    </row>
    <row r="6504" spans="1:3" x14ac:dyDescent="0.25">
      <c r="A6504" s="4"/>
      <c r="B6504" s="5"/>
      <c r="C6504" s="6"/>
    </row>
    <row r="6505" spans="1:3" x14ac:dyDescent="0.25">
      <c r="A6505" s="4"/>
      <c r="B6505" s="5"/>
      <c r="C6505" s="6"/>
    </row>
    <row r="6506" spans="1:3" x14ac:dyDescent="0.25">
      <c r="A6506" s="4"/>
      <c r="B6506" s="5"/>
      <c r="C6506" s="6"/>
    </row>
    <row r="6507" spans="1:3" x14ac:dyDescent="0.25">
      <c r="A6507" s="4"/>
      <c r="B6507" s="5"/>
      <c r="C6507" s="6"/>
    </row>
    <row r="6508" spans="1:3" x14ac:dyDescent="0.25">
      <c r="A6508" s="4"/>
      <c r="B6508" s="5"/>
      <c r="C6508" s="6"/>
    </row>
    <row r="6509" spans="1:3" x14ac:dyDescent="0.25">
      <c r="A6509" s="4"/>
      <c r="B6509" s="5"/>
      <c r="C6509" s="6"/>
    </row>
    <row r="6510" spans="1:3" x14ac:dyDescent="0.25">
      <c r="A6510" s="4"/>
      <c r="B6510" s="5"/>
      <c r="C6510" s="6"/>
    </row>
    <row r="6511" spans="1:3" x14ac:dyDescent="0.25">
      <c r="A6511" s="4"/>
      <c r="B6511" s="5"/>
      <c r="C6511" s="6"/>
    </row>
    <row r="6512" spans="1:3" x14ac:dyDescent="0.25">
      <c r="A6512" s="4"/>
      <c r="B6512" s="5"/>
      <c r="C6512" s="6"/>
    </row>
    <row r="6513" spans="1:3" x14ac:dyDescent="0.25">
      <c r="A6513" s="4"/>
      <c r="B6513" s="5"/>
      <c r="C6513" s="6"/>
    </row>
    <row r="6514" spans="1:3" x14ac:dyDescent="0.25">
      <c r="A6514" s="4"/>
      <c r="B6514" s="5"/>
      <c r="C6514" s="6"/>
    </row>
    <row r="6515" spans="1:3" x14ac:dyDescent="0.25">
      <c r="A6515" s="4"/>
      <c r="B6515" s="5"/>
      <c r="C6515" s="6"/>
    </row>
    <row r="6516" spans="1:3" x14ac:dyDescent="0.25">
      <c r="A6516" s="4"/>
      <c r="B6516" s="5"/>
      <c r="C6516" s="6"/>
    </row>
    <row r="6517" spans="1:3" x14ac:dyDescent="0.25">
      <c r="A6517" s="4"/>
      <c r="B6517" s="5"/>
      <c r="C6517" s="6"/>
    </row>
    <row r="6518" spans="1:3" x14ac:dyDescent="0.25">
      <c r="A6518" s="4"/>
      <c r="B6518" s="5"/>
      <c r="C6518" s="5"/>
    </row>
    <row r="6519" spans="1:3" x14ac:dyDescent="0.25">
      <c r="A6519" s="4"/>
      <c r="B6519" s="5"/>
      <c r="C6519" s="5"/>
    </row>
    <row r="6520" spans="1:3" x14ac:dyDescent="0.25">
      <c r="A6520" s="4"/>
      <c r="B6520" s="5"/>
      <c r="C6520" s="6"/>
    </row>
    <row r="6521" spans="1:3" x14ac:dyDescent="0.25">
      <c r="A6521" s="4"/>
      <c r="B6521" s="5"/>
      <c r="C6521" s="6"/>
    </row>
    <row r="6522" spans="1:3" x14ac:dyDescent="0.25">
      <c r="A6522" s="4"/>
      <c r="B6522" s="5"/>
      <c r="C6522" s="6"/>
    </row>
    <row r="6523" spans="1:3" x14ac:dyDescent="0.25">
      <c r="A6523" s="4"/>
      <c r="B6523" s="5"/>
      <c r="C6523" s="5"/>
    </row>
    <row r="6524" spans="1:3" x14ac:dyDescent="0.25">
      <c r="A6524" s="4"/>
      <c r="B6524" s="5"/>
      <c r="C6524" s="6"/>
    </row>
    <row r="6525" spans="1:3" x14ac:dyDescent="0.25">
      <c r="A6525" s="4"/>
      <c r="B6525" s="5"/>
      <c r="C6525" s="6"/>
    </row>
    <row r="6526" spans="1:3" x14ac:dyDescent="0.25">
      <c r="A6526" s="4"/>
      <c r="B6526" s="5"/>
      <c r="C6526" s="6"/>
    </row>
    <row r="6527" spans="1:3" x14ac:dyDescent="0.25">
      <c r="A6527" s="4"/>
      <c r="B6527" s="5"/>
      <c r="C6527" s="6"/>
    </row>
    <row r="6528" spans="1:3" x14ac:dyDescent="0.25">
      <c r="A6528" s="4"/>
      <c r="B6528" s="5"/>
      <c r="C6528" s="6"/>
    </row>
    <row r="6529" spans="1:3" x14ac:dyDescent="0.25">
      <c r="A6529" s="4"/>
      <c r="B6529" s="5"/>
      <c r="C6529" s="6"/>
    </row>
    <row r="6530" spans="1:3" x14ac:dyDescent="0.25">
      <c r="A6530" s="4"/>
      <c r="B6530" s="5"/>
      <c r="C6530" s="6"/>
    </row>
    <row r="6531" spans="1:3" x14ac:dyDescent="0.25">
      <c r="A6531" s="4"/>
      <c r="B6531" s="5"/>
      <c r="C6531" s="6"/>
    </row>
    <row r="6532" spans="1:3" x14ac:dyDescent="0.25">
      <c r="A6532" s="4"/>
      <c r="B6532" s="5"/>
      <c r="C6532" s="6"/>
    </row>
    <row r="6533" spans="1:3" x14ac:dyDescent="0.25">
      <c r="A6533" s="4"/>
      <c r="B6533" s="5"/>
      <c r="C6533" s="6"/>
    </row>
    <row r="6534" spans="1:3" x14ac:dyDescent="0.25">
      <c r="A6534" s="4"/>
      <c r="B6534" s="5"/>
      <c r="C6534" s="6"/>
    </row>
    <row r="6535" spans="1:3" x14ac:dyDescent="0.25">
      <c r="A6535" s="4"/>
      <c r="B6535" s="5"/>
      <c r="C6535" s="6"/>
    </row>
    <row r="6536" spans="1:3" x14ac:dyDescent="0.25">
      <c r="A6536" s="4"/>
      <c r="B6536" s="5"/>
      <c r="C6536" s="6"/>
    </row>
    <row r="6537" spans="1:3" x14ac:dyDescent="0.25">
      <c r="A6537" s="4"/>
      <c r="B6537" s="5"/>
      <c r="C6537" s="6"/>
    </row>
    <row r="6538" spans="1:3" x14ac:dyDescent="0.25">
      <c r="A6538" s="4"/>
      <c r="B6538" s="5"/>
      <c r="C6538" s="6"/>
    </row>
    <row r="6539" spans="1:3" x14ac:dyDescent="0.25">
      <c r="A6539" s="4"/>
      <c r="B6539" s="5"/>
      <c r="C6539" s="6"/>
    </row>
    <row r="6540" spans="1:3" x14ac:dyDescent="0.25">
      <c r="A6540" s="4"/>
      <c r="B6540" s="5"/>
      <c r="C6540" s="6"/>
    </row>
    <row r="6541" spans="1:3" x14ac:dyDescent="0.25">
      <c r="A6541" s="4"/>
      <c r="B6541" s="5"/>
      <c r="C6541" s="6"/>
    </row>
    <row r="6542" spans="1:3" x14ac:dyDescent="0.25">
      <c r="A6542" s="4"/>
      <c r="B6542" s="5"/>
      <c r="C6542" s="6"/>
    </row>
    <row r="6543" spans="1:3" x14ac:dyDescent="0.25">
      <c r="A6543" s="4"/>
      <c r="B6543" s="5"/>
      <c r="C6543" s="6"/>
    </row>
    <row r="6544" spans="1:3" x14ac:dyDescent="0.25">
      <c r="A6544" s="4"/>
      <c r="B6544" s="5"/>
      <c r="C6544" s="6"/>
    </row>
    <row r="6545" spans="1:3" x14ac:dyDescent="0.25">
      <c r="A6545" s="4"/>
      <c r="B6545" s="5"/>
      <c r="C6545" s="6"/>
    </row>
    <row r="6546" spans="1:3" x14ac:dyDescent="0.25">
      <c r="A6546" s="4"/>
      <c r="B6546" s="5"/>
      <c r="C6546" s="6"/>
    </row>
    <row r="6547" spans="1:3" x14ac:dyDescent="0.25">
      <c r="A6547" s="4"/>
      <c r="B6547" s="5"/>
      <c r="C6547" s="6"/>
    </row>
    <row r="6548" spans="1:3" x14ac:dyDescent="0.25">
      <c r="A6548" s="4"/>
      <c r="B6548" s="5"/>
      <c r="C6548" s="6"/>
    </row>
    <row r="6549" spans="1:3" x14ac:dyDescent="0.25">
      <c r="A6549" s="4"/>
      <c r="B6549" s="5"/>
      <c r="C6549" s="6"/>
    </row>
    <row r="6550" spans="1:3" x14ac:dyDescent="0.25">
      <c r="A6550" s="4"/>
      <c r="B6550" s="5"/>
      <c r="C6550" s="6"/>
    </row>
    <row r="6551" spans="1:3" x14ac:dyDescent="0.25">
      <c r="A6551" s="4"/>
      <c r="B6551" s="5"/>
      <c r="C6551" s="6"/>
    </row>
    <row r="6552" spans="1:3" x14ac:dyDescent="0.25">
      <c r="A6552" s="4"/>
      <c r="B6552" s="5"/>
      <c r="C6552" s="6"/>
    </row>
    <row r="6553" spans="1:3" x14ac:dyDescent="0.25">
      <c r="A6553" s="4"/>
      <c r="B6553" s="5"/>
      <c r="C6553" s="6"/>
    </row>
    <row r="6554" spans="1:3" x14ac:dyDescent="0.25">
      <c r="A6554" s="4"/>
      <c r="B6554" s="5"/>
      <c r="C6554" s="6"/>
    </row>
    <row r="6555" spans="1:3" x14ac:dyDescent="0.25">
      <c r="A6555" s="4"/>
      <c r="B6555" s="5"/>
      <c r="C6555" s="6"/>
    </row>
    <row r="6556" spans="1:3" x14ac:dyDescent="0.25">
      <c r="A6556" s="4"/>
      <c r="B6556" s="5"/>
      <c r="C6556" s="6"/>
    </row>
    <row r="6557" spans="1:3" x14ac:dyDescent="0.25">
      <c r="A6557" s="4"/>
      <c r="B6557" s="5"/>
      <c r="C6557" s="6"/>
    </row>
    <row r="6558" spans="1:3" x14ac:dyDescent="0.25">
      <c r="A6558" s="4"/>
      <c r="B6558" s="5"/>
      <c r="C6558" s="6"/>
    </row>
    <row r="6559" spans="1:3" x14ac:dyDescent="0.25">
      <c r="A6559" s="4"/>
      <c r="B6559" s="5"/>
      <c r="C6559" s="6"/>
    </row>
    <row r="6560" spans="1:3" x14ac:dyDescent="0.25">
      <c r="A6560" s="4"/>
      <c r="B6560" s="5"/>
      <c r="C6560" s="6"/>
    </row>
    <row r="6561" spans="1:3" x14ac:dyDescent="0.25">
      <c r="A6561" s="4"/>
      <c r="B6561" s="5"/>
      <c r="C6561" s="6"/>
    </row>
    <row r="6562" spans="1:3" x14ac:dyDescent="0.25">
      <c r="A6562" s="4"/>
      <c r="B6562" s="5"/>
      <c r="C6562" s="6"/>
    </row>
    <row r="6563" spans="1:3" x14ac:dyDescent="0.25">
      <c r="A6563" s="4"/>
      <c r="B6563" s="5"/>
      <c r="C6563" s="6"/>
    </row>
    <row r="6564" spans="1:3" x14ac:dyDescent="0.25">
      <c r="A6564" s="4"/>
      <c r="B6564" s="5"/>
      <c r="C6564" s="6"/>
    </row>
    <row r="6565" spans="1:3" x14ac:dyDescent="0.25">
      <c r="A6565" s="4"/>
      <c r="B6565" s="5"/>
      <c r="C6565" s="6"/>
    </row>
    <row r="6566" spans="1:3" x14ac:dyDescent="0.25">
      <c r="A6566" s="4"/>
      <c r="B6566" s="5"/>
      <c r="C6566" s="6"/>
    </row>
    <row r="6567" spans="1:3" x14ac:dyDescent="0.25">
      <c r="A6567" s="4"/>
      <c r="B6567" s="5"/>
      <c r="C6567" s="6"/>
    </row>
    <row r="6568" spans="1:3" x14ac:dyDescent="0.25">
      <c r="A6568" s="4"/>
      <c r="B6568" s="5"/>
      <c r="C6568" s="6"/>
    </row>
    <row r="6569" spans="1:3" x14ac:dyDescent="0.25">
      <c r="A6569" s="4"/>
      <c r="B6569" s="5"/>
      <c r="C6569" s="6"/>
    </row>
    <row r="6570" spans="1:3" x14ac:dyDescent="0.25">
      <c r="A6570" s="4"/>
      <c r="B6570" s="5"/>
      <c r="C6570" s="6"/>
    </row>
    <row r="6571" spans="1:3" x14ac:dyDescent="0.25">
      <c r="A6571" s="4"/>
      <c r="B6571" s="5"/>
      <c r="C6571" s="6"/>
    </row>
    <row r="6572" spans="1:3" x14ac:dyDescent="0.25">
      <c r="A6572" s="4"/>
      <c r="B6572" s="5"/>
      <c r="C6572" s="6"/>
    </row>
    <row r="6573" spans="1:3" x14ac:dyDescent="0.25">
      <c r="A6573" s="4"/>
      <c r="B6573" s="5"/>
      <c r="C6573" s="6"/>
    </row>
    <row r="6574" spans="1:3" x14ac:dyDescent="0.25">
      <c r="A6574" s="4"/>
      <c r="B6574" s="5"/>
      <c r="C6574" s="6"/>
    </row>
    <row r="6575" spans="1:3" x14ac:dyDescent="0.25">
      <c r="A6575" s="4"/>
      <c r="B6575" s="5"/>
      <c r="C6575" s="6"/>
    </row>
    <row r="6576" spans="1:3" x14ac:dyDescent="0.25">
      <c r="A6576" s="4"/>
      <c r="B6576" s="5"/>
      <c r="C6576" s="6"/>
    </row>
    <row r="6577" spans="1:3" x14ac:dyDescent="0.25">
      <c r="A6577" s="4"/>
      <c r="B6577" s="5"/>
      <c r="C6577" s="6"/>
    </row>
    <row r="6578" spans="1:3" x14ac:dyDescent="0.25">
      <c r="A6578" s="4"/>
      <c r="B6578" s="5"/>
      <c r="C6578" s="6"/>
    </row>
    <row r="6579" spans="1:3" x14ac:dyDescent="0.25">
      <c r="A6579" s="4"/>
      <c r="B6579" s="5"/>
      <c r="C6579" s="6"/>
    </row>
    <row r="6580" spans="1:3" x14ac:dyDescent="0.25">
      <c r="A6580" s="4"/>
      <c r="B6580" s="5"/>
      <c r="C6580" s="6"/>
    </row>
    <row r="6581" spans="1:3" x14ac:dyDescent="0.25">
      <c r="A6581" s="4"/>
      <c r="B6581" s="5"/>
      <c r="C6581" s="6"/>
    </row>
    <row r="6582" spans="1:3" x14ac:dyDescent="0.25">
      <c r="A6582" s="4"/>
      <c r="B6582" s="5"/>
      <c r="C6582" s="6"/>
    </row>
    <row r="6583" spans="1:3" x14ac:dyDescent="0.25">
      <c r="A6583" s="4"/>
      <c r="B6583" s="5"/>
      <c r="C6583" s="6"/>
    </row>
    <row r="6584" spans="1:3" x14ac:dyDescent="0.25">
      <c r="A6584" s="4"/>
      <c r="B6584" s="5"/>
      <c r="C6584" s="6"/>
    </row>
    <row r="6585" spans="1:3" x14ac:dyDescent="0.25">
      <c r="A6585" s="4"/>
      <c r="B6585" s="5"/>
      <c r="C6585" s="6"/>
    </row>
    <row r="6586" spans="1:3" x14ac:dyDescent="0.25">
      <c r="A6586" s="4"/>
      <c r="B6586" s="5"/>
      <c r="C6586" s="6"/>
    </row>
    <row r="6587" spans="1:3" x14ac:dyDescent="0.25">
      <c r="A6587" s="4"/>
      <c r="B6587" s="5"/>
      <c r="C6587" s="6"/>
    </row>
    <row r="6588" spans="1:3" x14ac:dyDescent="0.25">
      <c r="A6588" s="4"/>
      <c r="B6588" s="5"/>
      <c r="C6588" s="6"/>
    </row>
    <row r="6589" spans="1:3" x14ac:dyDescent="0.25">
      <c r="A6589" s="4"/>
      <c r="B6589" s="5"/>
      <c r="C6589" s="6"/>
    </row>
    <row r="6590" spans="1:3" x14ac:dyDescent="0.25">
      <c r="A6590" s="4"/>
      <c r="B6590" s="5"/>
      <c r="C6590" s="6"/>
    </row>
    <row r="6591" spans="1:3" x14ac:dyDescent="0.25">
      <c r="A6591" s="4"/>
      <c r="B6591" s="5"/>
      <c r="C6591" s="6"/>
    </row>
    <row r="6592" spans="1:3" x14ac:dyDescent="0.25">
      <c r="A6592" s="4"/>
      <c r="B6592" s="5"/>
      <c r="C6592" s="5"/>
    </row>
    <row r="6593" spans="1:3" x14ac:dyDescent="0.25">
      <c r="A6593" s="4"/>
      <c r="B6593" s="5"/>
      <c r="C6593" s="5"/>
    </row>
    <row r="6594" spans="1:3" x14ac:dyDescent="0.25">
      <c r="A6594" s="4"/>
      <c r="B6594" s="5"/>
      <c r="C6594" s="6"/>
    </row>
    <row r="6595" spans="1:3" x14ac:dyDescent="0.25">
      <c r="A6595" s="4"/>
      <c r="B6595" s="5"/>
      <c r="C6595" s="6"/>
    </row>
    <row r="6596" spans="1:3" x14ac:dyDescent="0.25">
      <c r="A6596" s="4"/>
      <c r="B6596" s="5"/>
      <c r="C6596" s="6"/>
    </row>
    <row r="6597" spans="1:3" x14ac:dyDescent="0.25">
      <c r="A6597" s="4"/>
      <c r="B6597" s="5"/>
      <c r="C6597" s="6"/>
    </row>
    <row r="6598" spans="1:3" x14ac:dyDescent="0.25">
      <c r="A6598" s="4"/>
      <c r="B6598" s="5"/>
      <c r="C6598" s="6"/>
    </row>
    <row r="6599" spans="1:3" x14ac:dyDescent="0.25">
      <c r="A6599" s="4"/>
      <c r="B6599" s="5"/>
      <c r="C6599" s="6"/>
    </row>
    <row r="6600" spans="1:3" x14ac:dyDescent="0.25">
      <c r="A6600" s="4"/>
      <c r="B6600" s="5"/>
      <c r="C6600" s="6"/>
    </row>
    <row r="6601" spans="1:3" x14ac:dyDescent="0.25">
      <c r="A6601" s="4"/>
      <c r="B6601" s="5"/>
      <c r="C6601" s="6"/>
    </row>
    <row r="6602" spans="1:3" x14ac:dyDescent="0.25">
      <c r="A6602" s="4"/>
      <c r="B6602" s="5"/>
      <c r="C6602" s="6"/>
    </row>
    <row r="6603" spans="1:3" x14ac:dyDescent="0.25">
      <c r="A6603" s="4"/>
      <c r="B6603" s="5"/>
      <c r="C6603" s="6"/>
    </row>
    <row r="6604" spans="1:3" x14ac:dyDescent="0.25">
      <c r="A6604" s="4"/>
      <c r="B6604" s="5"/>
      <c r="C6604" s="6"/>
    </row>
    <row r="6605" spans="1:3" x14ac:dyDescent="0.25">
      <c r="A6605" s="4"/>
      <c r="B6605" s="5"/>
      <c r="C6605" s="6"/>
    </row>
    <row r="6606" spans="1:3" x14ac:dyDescent="0.25">
      <c r="A6606" s="4"/>
      <c r="B6606" s="5"/>
      <c r="C6606" s="6"/>
    </row>
    <row r="6607" spans="1:3" x14ac:dyDescent="0.25">
      <c r="A6607" s="4"/>
      <c r="B6607" s="5"/>
      <c r="C6607" s="6"/>
    </row>
    <row r="6608" spans="1:3" x14ac:dyDescent="0.25">
      <c r="A6608" s="4"/>
      <c r="B6608" s="5"/>
      <c r="C6608" s="5"/>
    </row>
    <row r="6609" spans="1:3" x14ac:dyDescent="0.25">
      <c r="A6609" s="4"/>
      <c r="B6609" s="5"/>
      <c r="C6609" s="6"/>
    </row>
    <row r="6610" spans="1:3" x14ac:dyDescent="0.25">
      <c r="A6610" s="4"/>
      <c r="B6610" s="5"/>
      <c r="C6610" s="6"/>
    </row>
    <row r="6611" spans="1:3" x14ac:dyDescent="0.25">
      <c r="A6611" s="4"/>
      <c r="B6611" s="5"/>
      <c r="C6611" s="6"/>
    </row>
    <row r="6612" spans="1:3" x14ac:dyDescent="0.25">
      <c r="A6612" s="4"/>
      <c r="B6612" s="5"/>
      <c r="C6612" s="6"/>
    </row>
    <row r="6613" spans="1:3" x14ac:dyDescent="0.25">
      <c r="A6613" s="4"/>
      <c r="B6613" s="5"/>
      <c r="C6613" s="5"/>
    </row>
    <row r="6614" spans="1:3" x14ac:dyDescent="0.25">
      <c r="A6614" s="4"/>
      <c r="B6614" s="5"/>
      <c r="C6614" s="6"/>
    </row>
    <row r="6615" spans="1:3" x14ac:dyDescent="0.25">
      <c r="A6615" s="4"/>
      <c r="B6615" s="5"/>
      <c r="C6615" s="6"/>
    </row>
    <row r="6616" spans="1:3" x14ac:dyDescent="0.25">
      <c r="A6616" s="4"/>
      <c r="B6616" s="5"/>
      <c r="C6616" s="6"/>
    </row>
    <row r="6617" spans="1:3" x14ac:dyDescent="0.25">
      <c r="A6617" s="4"/>
      <c r="B6617" s="5"/>
      <c r="C6617" s="6"/>
    </row>
    <row r="6618" spans="1:3" x14ac:dyDescent="0.25">
      <c r="A6618" s="4"/>
      <c r="B6618" s="5"/>
      <c r="C6618" s="6"/>
    </row>
    <row r="6619" spans="1:3" x14ac:dyDescent="0.25">
      <c r="A6619" s="4"/>
      <c r="B6619" s="5"/>
      <c r="C6619" s="6"/>
    </row>
    <row r="6620" spans="1:3" x14ac:dyDescent="0.25">
      <c r="A6620" s="4"/>
      <c r="B6620" s="5"/>
      <c r="C6620" s="6"/>
    </row>
    <row r="6621" spans="1:3" x14ac:dyDescent="0.25">
      <c r="A6621" s="4"/>
      <c r="B6621" s="5"/>
      <c r="C6621" s="6"/>
    </row>
    <row r="6622" spans="1:3" x14ac:dyDescent="0.25">
      <c r="A6622" s="4"/>
      <c r="B6622" s="5"/>
      <c r="C6622" s="6"/>
    </row>
    <row r="6623" spans="1:3" x14ac:dyDescent="0.25">
      <c r="A6623" s="4"/>
      <c r="B6623" s="5"/>
      <c r="C6623" s="6"/>
    </row>
    <row r="6624" spans="1:3" x14ac:dyDescent="0.25">
      <c r="A6624" s="4"/>
      <c r="B6624" s="5"/>
      <c r="C6624" s="6"/>
    </row>
    <row r="6625" spans="1:3" x14ac:dyDescent="0.25">
      <c r="A6625" s="4"/>
      <c r="B6625" s="5"/>
      <c r="C6625" s="6"/>
    </row>
    <row r="6626" spans="1:3" x14ac:dyDescent="0.25">
      <c r="A6626" s="4"/>
      <c r="B6626" s="5"/>
      <c r="C6626" s="6"/>
    </row>
    <row r="6627" spans="1:3" x14ac:dyDescent="0.25">
      <c r="A6627" s="4"/>
      <c r="B6627" s="5"/>
      <c r="C6627" s="6"/>
    </row>
    <row r="6628" spans="1:3" x14ac:dyDescent="0.25">
      <c r="A6628" s="4"/>
      <c r="B6628" s="5"/>
      <c r="C6628" s="5"/>
    </row>
    <row r="6629" spans="1:3" x14ac:dyDescent="0.25">
      <c r="A6629" s="4"/>
      <c r="B6629" s="5"/>
      <c r="C6629" s="6"/>
    </row>
    <row r="6630" spans="1:3" x14ac:dyDescent="0.25">
      <c r="A6630" s="4"/>
      <c r="B6630" s="5"/>
      <c r="C6630" s="6"/>
    </row>
    <row r="6631" spans="1:3" x14ac:dyDescent="0.25">
      <c r="A6631" s="4"/>
      <c r="B6631" s="5"/>
      <c r="C6631" s="6"/>
    </row>
    <row r="6632" spans="1:3" x14ac:dyDescent="0.25">
      <c r="A6632" s="4"/>
      <c r="B6632" s="5"/>
      <c r="C6632" s="6"/>
    </row>
    <row r="6633" spans="1:3" x14ac:dyDescent="0.25">
      <c r="A6633" s="4"/>
      <c r="B6633" s="5"/>
      <c r="C6633" s="6"/>
    </row>
    <row r="6634" spans="1:3" x14ac:dyDescent="0.25">
      <c r="A6634" s="4"/>
      <c r="B6634" s="5"/>
      <c r="C6634" s="6"/>
    </row>
    <row r="6635" spans="1:3" x14ac:dyDescent="0.25">
      <c r="A6635" s="4"/>
      <c r="B6635" s="5"/>
      <c r="C6635" s="6"/>
    </row>
    <row r="6636" spans="1:3" x14ac:dyDescent="0.25">
      <c r="A6636" s="4"/>
      <c r="B6636" s="5"/>
      <c r="C6636" s="6"/>
    </row>
    <row r="6637" spans="1:3" x14ac:dyDescent="0.25">
      <c r="A6637" s="4"/>
      <c r="B6637" s="5"/>
      <c r="C6637" s="6"/>
    </row>
    <row r="6638" spans="1:3" x14ac:dyDescent="0.25">
      <c r="A6638" s="4"/>
      <c r="B6638" s="5"/>
      <c r="C6638" s="6"/>
    </row>
    <row r="6639" spans="1:3" x14ac:dyDescent="0.25">
      <c r="A6639" s="4"/>
      <c r="B6639" s="5"/>
      <c r="C6639" s="6"/>
    </row>
    <row r="6640" spans="1:3" x14ac:dyDescent="0.25">
      <c r="A6640" s="4"/>
      <c r="B6640" s="5"/>
      <c r="C6640" s="6"/>
    </row>
    <row r="6641" spans="1:3" x14ac:dyDescent="0.25">
      <c r="A6641" s="4"/>
      <c r="B6641" s="5"/>
      <c r="C6641" s="6"/>
    </row>
    <row r="6642" spans="1:3" x14ac:dyDescent="0.25">
      <c r="A6642" s="4"/>
      <c r="B6642" s="5"/>
      <c r="C6642" s="6"/>
    </row>
    <row r="6643" spans="1:3" x14ac:dyDescent="0.25">
      <c r="A6643" s="4"/>
      <c r="B6643" s="5"/>
      <c r="C6643" s="6"/>
    </row>
    <row r="6644" spans="1:3" x14ac:dyDescent="0.25">
      <c r="A6644" s="4"/>
      <c r="B6644" s="5"/>
      <c r="C6644" s="6"/>
    </row>
    <row r="6645" spans="1:3" x14ac:dyDescent="0.25">
      <c r="A6645" s="4"/>
      <c r="B6645" s="5"/>
      <c r="C6645" s="6"/>
    </row>
    <row r="6646" spans="1:3" x14ac:dyDescent="0.25">
      <c r="A6646" s="4"/>
      <c r="B6646" s="5"/>
      <c r="C6646" s="6"/>
    </row>
    <row r="6647" spans="1:3" x14ac:dyDescent="0.25">
      <c r="A6647" s="4"/>
      <c r="B6647" s="5"/>
      <c r="C6647" s="6"/>
    </row>
    <row r="6648" spans="1:3" x14ac:dyDescent="0.25">
      <c r="A6648" s="4"/>
      <c r="B6648" s="5"/>
      <c r="C6648" s="6"/>
    </row>
    <row r="6649" spans="1:3" x14ac:dyDescent="0.25">
      <c r="A6649" s="4"/>
      <c r="B6649" s="5"/>
      <c r="C6649" s="6"/>
    </row>
    <row r="6650" spans="1:3" x14ac:dyDescent="0.25">
      <c r="A6650" s="4"/>
      <c r="B6650" s="5"/>
      <c r="C6650" s="6"/>
    </row>
    <row r="6651" spans="1:3" x14ac:dyDescent="0.25">
      <c r="A6651" s="4"/>
      <c r="B6651" s="5"/>
      <c r="C6651" s="6"/>
    </row>
    <row r="6652" spans="1:3" x14ac:dyDescent="0.25">
      <c r="A6652" s="4"/>
      <c r="B6652" s="5"/>
      <c r="C6652" s="6"/>
    </row>
    <row r="6653" spans="1:3" x14ac:dyDescent="0.25">
      <c r="A6653" s="4"/>
      <c r="B6653" s="5"/>
      <c r="C6653" s="6"/>
    </row>
    <row r="6654" spans="1:3" x14ac:dyDescent="0.25">
      <c r="A6654" s="4"/>
      <c r="B6654" s="5"/>
      <c r="C6654" s="6"/>
    </row>
    <row r="6655" spans="1:3" x14ac:dyDescent="0.25">
      <c r="A6655" s="4"/>
      <c r="B6655" s="5"/>
      <c r="C6655" s="6"/>
    </row>
    <row r="6656" spans="1:3" x14ac:dyDescent="0.25">
      <c r="A6656" s="4"/>
      <c r="B6656" s="5"/>
      <c r="C6656" s="6"/>
    </row>
    <row r="6657" spans="1:3" x14ac:dyDescent="0.25">
      <c r="A6657" s="4"/>
      <c r="B6657" s="5"/>
      <c r="C6657" s="6"/>
    </row>
    <row r="6658" spans="1:3" x14ac:dyDescent="0.25">
      <c r="A6658" s="4"/>
      <c r="B6658" s="5"/>
      <c r="C6658" s="6"/>
    </row>
    <row r="6659" spans="1:3" x14ac:dyDescent="0.25">
      <c r="A6659" s="4"/>
      <c r="B6659" s="5"/>
      <c r="C6659" s="6"/>
    </row>
    <row r="6660" spans="1:3" x14ac:dyDescent="0.25">
      <c r="A6660" s="4"/>
      <c r="B6660" s="5"/>
      <c r="C6660" s="6"/>
    </row>
    <row r="6661" spans="1:3" x14ac:dyDescent="0.25">
      <c r="A6661" s="4"/>
      <c r="B6661" s="5"/>
      <c r="C6661" s="6"/>
    </row>
    <row r="6662" spans="1:3" x14ac:dyDescent="0.25">
      <c r="A6662" s="4"/>
      <c r="B6662" s="5"/>
      <c r="C6662" s="6"/>
    </row>
    <row r="6663" spans="1:3" x14ac:dyDescent="0.25">
      <c r="A6663" s="4"/>
      <c r="B6663" s="5"/>
      <c r="C6663" s="6"/>
    </row>
    <row r="6664" spans="1:3" x14ac:dyDescent="0.25">
      <c r="A6664" s="4"/>
      <c r="B6664" s="5"/>
      <c r="C6664" s="6"/>
    </row>
    <row r="6665" spans="1:3" x14ac:dyDescent="0.25">
      <c r="A6665" s="4"/>
      <c r="B6665" s="5"/>
      <c r="C6665" s="6"/>
    </row>
    <row r="6666" spans="1:3" x14ac:dyDescent="0.25">
      <c r="A6666" s="4"/>
      <c r="B6666" s="5"/>
      <c r="C6666" s="6"/>
    </row>
    <row r="6667" spans="1:3" x14ac:dyDescent="0.25">
      <c r="A6667" s="4"/>
      <c r="B6667" s="5"/>
      <c r="C6667" s="6"/>
    </row>
    <row r="6668" spans="1:3" x14ac:dyDescent="0.25">
      <c r="A6668" s="4"/>
      <c r="B6668" s="5"/>
      <c r="C6668" s="6"/>
    </row>
    <row r="6669" spans="1:3" x14ac:dyDescent="0.25">
      <c r="A6669" s="4"/>
      <c r="B6669" s="5"/>
      <c r="C6669" s="6"/>
    </row>
    <row r="6670" spans="1:3" x14ac:dyDescent="0.25">
      <c r="A6670" s="4"/>
      <c r="B6670" s="5"/>
      <c r="C6670" s="6"/>
    </row>
    <row r="6671" spans="1:3" x14ac:dyDescent="0.25">
      <c r="A6671" s="4"/>
      <c r="B6671" s="5"/>
      <c r="C6671" s="6"/>
    </row>
    <row r="6672" spans="1:3" x14ac:dyDescent="0.25">
      <c r="A6672" s="4"/>
      <c r="B6672" s="5"/>
      <c r="C6672" s="6"/>
    </row>
    <row r="6673" spans="1:3" x14ac:dyDescent="0.25">
      <c r="A6673" s="4"/>
      <c r="B6673" s="5"/>
      <c r="C6673" s="6"/>
    </row>
    <row r="6674" spans="1:3" x14ac:dyDescent="0.25">
      <c r="A6674" s="4"/>
      <c r="B6674" s="5"/>
      <c r="C6674" s="6"/>
    </row>
    <row r="6675" spans="1:3" x14ac:dyDescent="0.25">
      <c r="A6675" s="4"/>
      <c r="B6675" s="5"/>
      <c r="C6675" s="6"/>
    </row>
    <row r="6676" spans="1:3" x14ac:dyDescent="0.25">
      <c r="A6676" s="4"/>
      <c r="B6676" s="5"/>
      <c r="C6676" s="6"/>
    </row>
    <row r="6677" spans="1:3" x14ac:dyDescent="0.25">
      <c r="A6677" s="4"/>
      <c r="B6677" s="5"/>
      <c r="C6677" s="6"/>
    </row>
    <row r="6678" spans="1:3" x14ac:dyDescent="0.25">
      <c r="A6678" s="4"/>
      <c r="B6678" s="5"/>
      <c r="C6678" s="6"/>
    </row>
    <row r="6679" spans="1:3" x14ac:dyDescent="0.25">
      <c r="A6679" s="4"/>
      <c r="B6679" s="5"/>
      <c r="C6679" s="6"/>
    </row>
    <row r="6680" spans="1:3" x14ac:dyDescent="0.25">
      <c r="A6680" s="4"/>
      <c r="B6680" s="5"/>
      <c r="C6680" s="6"/>
    </row>
    <row r="6681" spans="1:3" x14ac:dyDescent="0.25">
      <c r="A6681" s="4"/>
      <c r="B6681" s="5"/>
      <c r="C6681" s="6"/>
    </row>
    <row r="6682" spans="1:3" x14ac:dyDescent="0.25">
      <c r="A6682" s="4"/>
      <c r="B6682" s="5"/>
      <c r="C6682" s="6"/>
    </row>
    <row r="6683" spans="1:3" x14ac:dyDescent="0.25">
      <c r="A6683" s="4"/>
      <c r="B6683" s="5"/>
      <c r="C6683" s="6"/>
    </row>
    <row r="6684" spans="1:3" x14ac:dyDescent="0.25">
      <c r="A6684" s="4"/>
      <c r="B6684" s="5"/>
      <c r="C6684" s="6"/>
    </row>
    <row r="6685" spans="1:3" x14ac:dyDescent="0.25">
      <c r="A6685" s="4"/>
      <c r="B6685" s="5"/>
      <c r="C6685" s="6"/>
    </row>
    <row r="6686" spans="1:3" x14ac:dyDescent="0.25">
      <c r="A6686" s="4"/>
      <c r="B6686" s="5"/>
      <c r="C6686" s="6"/>
    </row>
    <row r="6687" spans="1:3" x14ac:dyDescent="0.25">
      <c r="A6687" s="4"/>
      <c r="B6687" s="5"/>
      <c r="C6687" s="6"/>
    </row>
    <row r="6688" spans="1:3" x14ac:dyDescent="0.25">
      <c r="A6688" s="4"/>
      <c r="B6688" s="5"/>
      <c r="C6688" s="6"/>
    </row>
    <row r="6689" spans="1:3" x14ac:dyDescent="0.25">
      <c r="A6689" s="4"/>
      <c r="B6689" s="5"/>
      <c r="C6689" s="6"/>
    </row>
    <row r="6690" spans="1:3" x14ac:dyDescent="0.25">
      <c r="A6690" s="4"/>
      <c r="B6690" s="5"/>
      <c r="C6690" s="6"/>
    </row>
    <row r="6691" spans="1:3" x14ac:dyDescent="0.25">
      <c r="A6691" s="4"/>
      <c r="B6691" s="5"/>
      <c r="C6691" s="6"/>
    </row>
    <row r="6692" spans="1:3" x14ac:dyDescent="0.25">
      <c r="A6692" s="4"/>
      <c r="B6692" s="5"/>
      <c r="C6692" s="6"/>
    </row>
    <row r="6693" spans="1:3" x14ac:dyDescent="0.25">
      <c r="A6693" s="4"/>
      <c r="B6693" s="5"/>
      <c r="C6693" s="5"/>
    </row>
    <row r="6694" spans="1:3" x14ac:dyDescent="0.25">
      <c r="A6694" s="4"/>
      <c r="B6694" s="5"/>
      <c r="C6694" s="6"/>
    </row>
    <row r="6695" spans="1:3" x14ac:dyDescent="0.25">
      <c r="A6695" s="4"/>
      <c r="B6695" s="5"/>
      <c r="C6695" s="6"/>
    </row>
    <row r="6696" spans="1:3" x14ac:dyDescent="0.25">
      <c r="A6696" s="4"/>
      <c r="B6696" s="5"/>
      <c r="C6696" s="6"/>
    </row>
    <row r="6697" spans="1:3" x14ac:dyDescent="0.25">
      <c r="A6697" s="4"/>
      <c r="B6697" s="5"/>
      <c r="C6697" s="6"/>
    </row>
    <row r="6698" spans="1:3" x14ac:dyDescent="0.25">
      <c r="A6698" s="4"/>
      <c r="B6698" s="5"/>
      <c r="C6698" s="6"/>
    </row>
    <row r="6699" spans="1:3" x14ac:dyDescent="0.25">
      <c r="A6699" s="4"/>
      <c r="B6699" s="5"/>
      <c r="C6699" s="6"/>
    </row>
    <row r="6700" spans="1:3" x14ac:dyDescent="0.25">
      <c r="A6700" s="4"/>
      <c r="B6700" s="5"/>
      <c r="C6700" s="6"/>
    </row>
    <row r="6701" spans="1:3" x14ac:dyDescent="0.25">
      <c r="A6701" s="4"/>
      <c r="B6701" s="5"/>
      <c r="C6701" s="6"/>
    </row>
    <row r="6702" spans="1:3" x14ac:dyDescent="0.25">
      <c r="A6702" s="4"/>
      <c r="B6702" s="5"/>
      <c r="C6702" s="6"/>
    </row>
    <row r="6703" spans="1:3" x14ac:dyDescent="0.25">
      <c r="A6703" s="4"/>
      <c r="B6703" s="5"/>
      <c r="C6703" s="6"/>
    </row>
    <row r="6704" spans="1:3" x14ac:dyDescent="0.25">
      <c r="A6704" s="4"/>
      <c r="B6704" s="5"/>
      <c r="C6704" s="6"/>
    </row>
    <row r="6705" spans="1:3" x14ac:dyDescent="0.25">
      <c r="A6705" s="4"/>
      <c r="B6705" s="5"/>
      <c r="C6705" s="6"/>
    </row>
    <row r="6706" spans="1:3" x14ac:dyDescent="0.25">
      <c r="A6706" s="4"/>
      <c r="B6706" s="5"/>
      <c r="C6706" s="6"/>
    </row>
    <row r="6707" spans="1:3" x14ac:dyDescent="0.25">
      <c r="A6707" s="4"/>
      <c r="B6707" s="5"/>
      <c r="C6707" s="6"/>
    </row>
    <row r="6708" spans="1:3" x14ac:dyDescent="0.25">
      <c r="A6708" s="4"/>
      <c r="B6708" s="5"/>
      <c r="C6708" s="6"/>
    </row>
    <row r="6709" spans="1:3" x14ac:dyDescent="0.25">
      <c r="A6709" s="4"/>
      <c r="B6709" s="5"/>
      <c r="C6709" s="6"/>
    </row>
    <row r="6710" spans="1:3" x14ac:dyDescent="0.25">
      <c r="A6710" s="4"/>
      <c r="B6710" s="5"/>
      <c r="C6710" s="6"/>
    </row>
    <row r="6711" spans="1:3" x14ac:dyDescent="0.25">
      <c r="A6711" s="4"/>
      <c r="B6711" s="5"/>
      <c r="C6711" s="6"/>
    </row>
    <row r="6712" spans="1:3" x14ac:dyDescent="0.25">
      <c r="A6712" s="4"/>
      <c r="B6712" s="5"/>
      <c r="C6712" s="6"/>
    </row>
    <row r="6713" spans="1:3" x14ac:dyDescent="0.25">
      <c r="A6713" s="4"/>
      <c r="B6713" s="5"/>
      <c r="C6713" s="6"/>
    </row>
    <row r="6714" spans="1:3" x14ac:dyDescent="0.25">
      <c r="A6714" s="4"/>
      <c r="B6714" s="5"/>
      <c r="C6714" s="6"/>
    </row>
    <row r="6715" spans="1:3" x14ac:dyDescent="0.25">
      <c r="A6715" s="4"/>
      <c r="B6715" s="5"/>
      <c r="C6715" s="6"/>
    </row>
    <row r="6716" spans="1:3" x14ac:dyDescent="0.25">
      <c r="A6716" s="4"/>
      <c r="B6716" s="5"/>
      <c r="C6716" s="6"/>
    </row>
    <row r="6717" spans="1:3" x14ac:dyDescent="0.25">
      <c r="A6717" s="4"/>
      <c r="B6717" s="5"/>
      <c r="C6717" s="6"/>
    </row>
    <row r="6718" spans="1:3" x14ac:dyDescent="0.25">
      <c r="A6718" s="4"/>
      <c r="B6718" s="5"/>
      <c r="C6718" s="6"/>
    </row>
    <row r="6719" spans="1:3" x14ac:dyDescent="0.25">
      <c r="A6719" s="4"/>
      <c r="B6719" s="5"/>
      <c r="C6719" s="6"/>
    </row>
    <row r="6720" spans="1:3" x14ac:dyDescent="0.25">
      <c r="A6720" s="4"/>
      <c r="B6720" s="5"/>
      <c r="C6720" s="6"/>
    </row>
    <row r="6721" spans="1:3" x14ac:dyDescent="0.25">
      <c r="A6721" s="4"/>
      <c r="B6721" s="5"/>
      <c r="C6721" s="6"/>
    </row>
    <row r="6722" spans="1:3" x14ac:dyDescent="0.25">
      <c r="A6722" s="4"/>
      <c r="B6722" s="5"/>
      <c r="C6722" s="6"/>
    </row>
    <row r="6723" spans="1:3" x14ac:dyDescent="0.25">
      <c r="A6723" s="4"/>
      <c r="B6723" s="5"/>
      <c r="C6723" s="6"/>
    </row>
    <row r="6724" spans="1:3" x14ac:dyDescent="0.25">
      <c r="A6724" s="4"/>
      <c r="B6724" s="5"/>
      <c r="C6724" s="6"/>
    </row>
    <row r="6725" spans="1:3" x14ac:dyDescent="0.25">
      <c r="A6725" s="4"/>
      <c r="B6725" s="5"/>
      <c r="C6725" s="6"/>
    </row>
    <row r="6726" spans="1:3" x14ac:dyDescent="0.25">
      <c r="A6726" s="4"/>
      <c r="B6726" s="5"/>
      <c r="C6726" s="6"/>
    </row>
    <row r="6727" spans="1:3" x14ac:dyDescent="0.25">
      <c r="A6727" s="4"/>
      <c r="B6727" s="5"/>
      <c r="C6727" s="6"/>
    </row>
    <row r="6728" spans="1:3" x14ac:dyDescent="0.25">
      <c r="A6728" s="4"/>
      <c r="B6728" s="5"/>
      <c r="C6728" s="6"/>
    </row>
    <row r="6729" spans="1:3" x14ac:dyDescent="0.25">
      <c r="A6729" s="4"/>
      <c r="B6729" s="5"/>
      <c r="C6729" s="6"/>
    </row>
    <row r="6730" spans="1:3" x14ac:dyDescent="0.25">
      <c r="A6730" s="4"/>
      <c r="B6730" s="5"/>
      <c r="C6730" s="6"/>
    </row>
    <row r="6731" spans="1:3" x14ac:dyDescent="0.25">
      <c r="A6731" s="4"/>
      <c r="B6731" s="5"/>
      <c r="C6731" s="6"/>
    </row>
    <row r="6732" spans="1:3" x14ac:dyDescent="0.25">
      <c r="A6732" s="4"/>
      <c r="B6732" s="5"/>
      <c r="C6732" s="6"/>
    </row>
    <row r="6733" spans="1:3" x14ac:dyDescent="0.25">
      <c r="A6733" s="4"/>
      <c r="B6733" s="5"/>
      <c r="C6733" s="6"/>
    </row>
    <row r="6734" spans="1:3" x14ac:dyDescent="0.25">
      <c r="A6734" s="4"/>
      <c r="B6734" s="5"/>
      <c r="C6734" s="6"/>
    </row>
    <row r="6735" spans="1:3" x14ac:dyDescent="0.25">
      <c r="A6735" s="4"/>
      <c r="B6735" s="5"/>
      <c r="C6735" s="6"/>
    </row>
    <row r="6736" spans="1:3" x14ac:dyDescent="0.25">
      <c r="A6736" s="4"/>
      <c r="B6736" s="5"/>
      <c r="C6736" s="6"/>
    </row>
    <row r="6737" spans="1:3" x14ac:dyDescent="0.25">
      <c r="A6737" s="4"/>
      <c r="B6737" s="5"/>
      <c r="C6737" s="6"/>
    </row>
    <row r="6738" spans="1:3" x14ac:dyDescent="0.25">
      <c r="A6738" s="4"/>
      <c r="B6738" s="5"/>
      <c r="C6738" s="6"/>
    </row>
    <row r="6739" spans="1:3" x14ac:dyDescent="0.25">
      <c r="A6739" s="4"/>
      <c r="B6739" s="5"/>
      <c r="C6739" s="6"/>
    </row>
    <row r="6740" spans="1:3" x14ac:dyDescent="0.25">
      <c r="A6740" s="4"/>
      <c r="B6740" s="5"/>
      <c r="C6740" s="6"/>
    </row>
    <row r="6741" spans="1:3" x14ac:dyDescent="0.25">
      <c r="A6741" s="4"/>
      <c r="B6741" s="5"/>
      <c r="C6741" s="6"/>
    </row>
    <row r="6742" spans="1:3" x14ac:dyDescent="0.25">
      <c r="A6742" s="4"/>
      <c r="B6742" s="5"/>
      <c r="C6742" s="6"/>
    </row>
    <row r="6743" spans="1:3" x14ac:dyDescent="0.25">
      <c r="A6743" s="4"/>
      <c r="B6743" s="5"/>
      <c r="C6743" s="6"/>
    </row>
    <row r="6744" spans="1:3" x14ac:dyDescent="0.25">
      <c r="A6744" s="4"/>
      <c r="B6744" s="5"/>
      <c r="C6744" s="6"/>
    </row>
    <row r="6745" spans="1:3" x14ac:dyDescent="0.25">
      <c r="A6745" s="4"/>
      <c r="B6745" s="5"/>
      <c r="C6745" s="6"/>
    </row>
    <row r="6746" spans="1:3" x14ac:dyDescent="0.25">
      <c r="A6746" s="4"/>
      <c r="B6746" s="5"/>
      <c r="C6746" s="6"/>
    </row>
    <row r="6747" spans="1:3" x14ac:dyDescent="0.25">
      <c r="A6747" s="4"/>
      <c r="B6747" s="5"/>
      <c r="C6747" s="6"/>
    </row>
    <row r="6748" spans="1:3" x14ac:dyDescent="0.25">
      <c r="A6748" s="4"/>
      <c r="B6748" s="5"/>
      <c r="C6748" s="6"/>
    </row>
    <row r="6749" spans="1:3" x14ac:dyDescent="0.25">
      <c r="A6749" s="4"/>
      <c r="B6749" s="5"/>
      <c r="C6749" s="6"/>
    </row>
    <row r="6750" spans="1:3" x14ac:dyDescent="0.25">
      <c r="A6750" s="4"/>
      <c r="B6750" s="5"/>
      <c r="C6750" s="6"/>
    </row>
    <row r="6751" spans="1:3" x14ac:dyDescent="0.25">
      <c r="A6751" s="4"/>
      <c r="B6751" s="5"/>
      <c r="C6751" s="6"/>
    </row>
    <row r="6752" spans="1:3" x14ac:dyDescent="0.25">
      <c r="A6752" s="4"/>
      <c r="B6752" s="5"/>
      <c r="C6752" s="6"/>
    </row>
    <row r="6753" spans="1:3" x14ac:dyDescent="0.25">
      <c r="A6753" s="4"/>
      <c r="B6753" s="5"/>
      <c r="C6753" s="6"/>
    </row>
    <row r="6754" spans="1:3" x14ac:dyDescent="0.25">
      <c r="A6754" s="4"/>
      <c r="B6754" s="5"/>
      <c r="C6754" s="6"/>
    </row>
    <row r="6755" spans="1:3" x14ac:dyDescent="0.25">
      <c r="A6755" s="4"/>
      <c r="B6755" s="5"/>
      <c r="C6755" s="6"/>
    </row>
    <row r="6756" spans="1:3" x14ac:dyDescent="0.25">
      <c r="A6756" s="4"/>
      <c r="B6756" s="5"/>
      <c r="C6756" s="6"/>
    </row>
    <row r="6757" spans="1:3" x14ac:dyDescent="0.25">
      <c r="A6757" s="4"/>
      <c r="B6757" s="5"/>
      <c r="C6757" s="6"/>
    </row>
    <row r="6758" spans="1:3" x14ac:dyDescent="0.25">
      <c r="A6758" s="4"/>
      <c r="B6758" s="5"/>
      <c r="C6758" s="6"/>
    </row>
    <row r="6759" spans="1:3" x14ac:dyDescent="0.25">
      <c r="A6759" s="4"/>
      <c r="B6759" s="5"/>
      <c r="C6759" s="6"/>
    </row>
    <row r="6760" spans="1:3" x14ac:dyDescent="0.25">
      <c r="A6760" s="4"/>
      <c r="B6760" s="5"/>
      <c r="C6760" s="6"/>
    </row>
    <row r="6761" spans="1:3" x14ac:dyDescent="0.25">
      <c r="A6761" s="4"/>
      <c r="B6761" s="5"/>
      <c r="C6761" s="6"/>
    </row>
    <row r="6762" spans="1:3" x14ac:dyDescent="0.25">
      <c r="A6762" s="4"/>
      <c r="B6762" s="5"/>
      <c r="C6762" s="6"/>
    </row>
    <row r="6763" spans="1:3" x14ac:dyDescent="0.25">
      <c r="A6763" s="4"/>
      <c r="B6763" s="5"/>
      <c r="C6763" s="6"/>
    </row>
    <row r="6764" spans="1:3" x14ac:dyDescent="0.25">
      <c r="A6764" s="4"/>
      <c r="B6764" s="5"/>
      <c r="C6764" s="6"/>
    </row>
    <row r="6765" spans="1:3" x14ac:dyDescent="0.25">
      <c r="A6765" s="4"/>
      <c r="B6765" s="5"/>
      <c r="C6765" s="6"/>
    </row>
    <row r="6766" spans="1:3" x14ac:dyDescent="0.25">
      <c r="A6766" s="4"/>
      <c r="B6766" s="5"/>
      <c r="C6766" s="6"/>
    </row>
    <row r="6767" spans="1:3" x14ac:dyDescent="0.25">
      <c r="A6767" s="4"/>
      <c r="B6767" s="5"/>
      <c r="C6767" s="6"/>
    </row>
    <row r="6768" spans="1:3" x14ac:dyDescent="0.25">
      <c r="A6768" s="4"/>
      <c r="B6768" s="5"/>
      <c r="C6768" s="6"/>
    </row>
    <row r="6769" spans="1:3" x14ac:dyDescent="0.25">
      <c r="A6769" s="4"/>
      <c r="B6769" s="5"/>
      <c r="C6769" s="6"/>
    </row>
    <row r="6770" spans="1:3" x14ac:dyDescent="0.25">
      <c r="A6770" s="4"/>
      <c r="B6770" s="5"/>
      <c r="C6770" s="6"/>
    </row>
    <row r="6771" spans="1:3" x14ac:dyDescent="0.25">
      <c r="A6771" s="4"/>
      <c r="B6771" s="5"/>
      <c r="C6771" s="6"/>
    </row>
    <row r="6772" spans="1:3" x14ac:dyDescent="0.25">
      <c r="A6772" s="4"/>
      <c r="B6772" s="5"/>
      <c r="C6772" s="6"/>
    </row>
    <row r="6773" spans="1:3" x14ac:dyDescent="0.25">
      <c r="A6773" s="4"/>
      <c r="B6773" s="5"/>
      <c r="C6773" s="6"/>
    </row>
    <row r="6774" spans="1:3" x14ac:dyDescent="0.25">
      <c r="A6774" s="4"/>
      <c r="B6774" s="5"/>
      <c r="C6774" s="6"/>
    </row>
    <row r="6775" spans="1:3" x14ac:dyDescent="0.25">
      <c r="A6775" s="4"/>
      <c r="B6775" s="5"/>
      <c r="C6775" s="6"/>
    </row>
    <row r="6776" spans="1:3" x14ac:dyDescent="0.25">
      <c r="A6776" s="4"/>
      <c r="B6776" s="5"/>
      <c r="C6776" s="6"/>
    </row>
    <row r="6777" spans="1:3" x14ac:dyDescent="0.25">
      <c r="A6777" s="4"/>
      <c r="B6777" s="5"/>
      <c r="C6777" s="6"/>
    </row>
    <row r="6778" spans="1:3" x14ac:dyDescent="0.25">
      <c r="A6778" s="4"/>
      <c r="B6778" s="5"/>
      <c r="C6778" s="5"/>
    </row>
    <row r="6779" spans="1:3" x14ac:dyDescent="0.25">
      <c r="A6779" s="4"/>
      <c r="B6779" s="5"/>
      <c r="C6779" s="5"/>
    </row>
    <row r="6780" spans="1:3" x14ac:dyDescent="0.25">
      <c r="A6780" s="4"/>
      <c r="B6780" s="5"/>
      <c r="C6780" s="6"/>
    </row>
    <row r="6781" spans="1:3" x14ac:dyDescent="0.25">
      <c r="A6781" s="4"/>
      <c r="B6781" s="5"/>
      <c r="C6781" s="6"/>
    </row>
    <row r="6782" spans="1:3" x14ac:dyDescent="0.25">
      <c r="A6782" s="4"/>
      <c r="B6782" s="5"/>
      <c r="C6782" s="6"/>
    </row>
    <row r="6783" spans="1:3" x14ac:dyDescent="0.25">
      <c r="A6783" s="4"/>
      <c r="B6783" s="5"/>
      <c r="C6783" s="5"/>
    </row>
    <row r="6784" spans="1:3" x14ac:dyDescent="0.25">
      <c r="A6784" s="4"/>
      <c r="B6784" s="5"/>
      <c r="C6784" s="6"/>
    </row>
    <row r="6785" spans="1:3" x14ac:dyDescent="0.25">
      <c r="A6785" s="4"/>
      <c r="B6785" s="5"/>
      <c r="C6785" s="6"/>
    </row>
    <row r="6786" spans="1:3" x14ac:dyDescent="0.25">
      <c r="A6786" s="4"/>
      <c r="B6786" s="5"/>
      <c r="C6786" s="6"/>
    </row>
    <row r="6787" spans="1:3" x14ac:dyDescent="0.25">
      <c r="A6787" s="4"/>
      <c r="B6787" s="5"/>
      <c r="C6787" s="6"/>
    </row>
    <row r="6788" spans="1:3" x14ac:dyDescent="0.25">
      <c r="A6788" s="4"/>
      <c r="B6788" s="5"/>
      <c r="C6788" s="6"/>
    </row>
    <row r="6789" spans="1:3" x14ac:dyDescent="0.25">
      <c r="A6789" s="4"/>
      <c r="B6789" s="5"/>
      <c r="C6789" s="6"/>
    </row>
    <row r="6790" spans="1:3" x14ac:dyDescent="0.25">
      <c r="A6790" s="4"/>
      <c r="B6790" s="5"/>
      <c r="C6790" s="6"/>
    </row>
    <row r="6791" spans="1:3" x14ac:dyDescent="0.25">
      <c r="A6791" s="4"/>
      <c r="B6791" s="5"/>
      <c r="C6791" s="6"/>
    </row>
    <row r="6792" spans="1:3" x14ac:dyDescent="0.25">
      <c r="A6792" s="4"/>
      <c r="B6792" s="5"/>
      <c r="C6792" s="6"/>
    </row>
    <row r="6793" spans="1:3" x14ac:dyDescent="0.25">
      <c r="A6793" s="4"/>
      <c r="B6793" s="5"/>
      <c r="C6793" s="6"/>
    </row>
    <row r="6794" spans="1:3" x14ac:dyDescent="0.25">
      <c r="A6794" s="4"/>
      <c r="B6794" s="5"/>
      <c r="C6794" s="6"/>
    </row>
    <row r="6795" spans="1:3" x14ac:dyDescent="0.25">
      <c r="A6795" s="4"/>
      <c r="B6795" s="5"/>
      <c r="C6795" s="6"/>
    </row>
    <row r="6796" spans="1:3" x14ac:dyDescent="0.25">
      <c r="A6796" s="4"/>
      <c r="B6796" s="5"/>
      <c r="C6796" s="6"/>
    </row>
    <row r="6797" spans="1:3" x14ac:dyDescent="0.25">
      <c r="A6797" s="4"/>
      <c r="B6797" s="5"/>
      <c r="C6797" s="6"/>
    </row>
    <row r="6798" spans="1:3" x14ac:dyDescent="0.25">
      <c r="A6798" s="4"/>
      <c r="B6798" s="5"/>
      <c r="C6798" s="6"/>
    </row>
    <row r="6799" spans="1:3" x14ac:dyDescent="0.25">
      <c r="A6799" s="4"/>
      <c r="B6799" s="5"/>
      <c r="C6799" s="6"/>
    </row>
    <row r="6800" spans="1:3" x14ac:dyDescent="0.25">
      <c r="A6800" s="4"/>
      <c r="B6800" s="5"/>
      <c r="C6800" s="6"/>
    </row>
    <row r="6801" spans="1:3" x14ac:dyDescent="0.25">
      <c r="A6801" s="4"/>
      <c r="B6801" s="5"/>
      <c r="C6801" s="6"/>
    </row>
    <row r="6802" spans="1:3" x14ac:dyDescent="0.25">
      <c r="A6802" s="4"/>
      <c r="B6802" s="5"/>
      <c r="C6802" s="6"/>
    </row>
    <row r="6803" spans="1:3" x14ac:dyDescent="0.25">
      <c r="A6803" s="4"/>
      <c r="B6803" s="5"/>
      <c r="C6803" s="6"/>
    </row>
    <row r="6804" spans="1:3" x14ac:dyDescent="0.25">
      <c r="A6804" s="4"/>
      <c r="B6804" s="5"/>
      <c r="C6804" s="6"/>
    </row>
    <row r="6805" spans="1:3" x14ac:dyDescent="0.25">
      <c r="A6805" s="4"/>
      <c r="B6805" s="5"/>
      <c r="C6805" s="6"/>
    </row>
    <row r="6806" spans="1:3" x14ac:dyDescent="0.25">
      <c r="A6806" s="4"/>
      <c r="B6806" s="5"/>
      <c r="C6806" s="6"/>
    </row>
    <row r="6807" spans="1:3" x14ac:dyDescent="0.25">
      <c r="A6807" s="4"/>
      <c r="B6807" s="5"/>
      <c r="C6807" s="6"/>
    </row>
    <row r="6808" spans="1:3" x14ac:dyDescent="0.25">
      <c r="A6808" s="4"/>
      <c r="B6808" s="5"/>
      <c r="C6808" s="6"/>
    </row>
    <row r="6809" spans="1:3" x14ac:dyDescent="0.25">
      <c r="A6809" s="4"/>
      <c r="B6809" s="5"/>
      <c r="C6809" s="6"/>
    </row>
    <row r="6810" spans="1:3" x14ac:dyDescent="0.25">
      <c r="A6810" s="4"/>
      <c r="B6810" s="5"/>
      <c r="C6810" s="6"/>
    </row>
    <row r="6811" spans="1:3" x14ac:dyDescent="0.25">
      <c r="A6811" s="4"/>
      <c r="B6811" s="5"/>
      <c r="C6811" s="6"/>
    </row>
    <row r="6812" spans="1:3" x14ac:dyDescent="0.25">
      <c r="A6812" s="4"/>
      <c r="B6812" s="5"/>
      <c r="C6812" s="6"/>
    </row>
    <row r="6813" spans="1:3" x14ac:dyDescent="0.25">
      <c r="A6813" s="4"/>
      <c r="B6813" s="5"/>
      <c r="C6813" s="6"/>
    </row>
    <row r="6814" spans="1:3" x14ac:dyDescent="0.25">
      <c r="A6814" s="4"/>
      <c r="B6814" s="5"/>
      <c r="C6814" s="6"/>
    </row>
    <row r="6815" spans="1:3" x14ac:dyDescent="0.25">
      <c r="A6815" s="4"/>
      <c r="B6815" s="5"/>
      <c r="C6815" s="6"/>
    </row>
    <row r="6816" spans="1:3" x14ac:dyDescent="0.25">
      <c r="A6816" s="4"/>
      <c r="B6816" s="5"/>
      <c r="C6816" s="6"/>
    </row>
    <row r="6817" spans="1:3" x14ac:dyDescent="0.25">
      <c r="A6817" s="4"/>
      <c r="B6817" s="5"/>
      <c r="C6817" s="6"/>
    </row>
    <row r="6818" spans="1:3" x14ac:dyDescent="0.25">
      <c r="A6818" s="4"/>
      <c r="B6818" s="5"/>
      <c r="C6818" s="6"/>
    </row>
    <row r="6819" spans="1:3" x14ac:dyDescent="0.25">
      <c r="A6819" s="4"/>
      <c r="B6819" s="5"/>
      <c r="C6819" s="6"/>
    </row>
    <row r="6820" spans="1:3" x14ac:dyDescent="0.25">
      <c r="A6820" s="4"/>
      <c r="B6820" s="5"/>
      <c r="C6820" s="6"/>
    </row>
    <row r="6821" spans="1:3" x14ac:dyDescent="0.25">
      <c r="A6821" s="4"/>
      <c r="B6821" s="5"/>
      <c r="C6821" s="6"/>
    </row>
    <row r="6822" spans="1:3" x14ac:dyDescent="0.25">
      <c r="A6822" s="4"/>
      <c r="B6822" s="5"/>
      <c r="C6822" s="6"/>
    </row>
    <row r="6823" spans="1:3" x14ac:dyDescent="0.25">
      <c r="A6823" s="4"/>
      <c r="B6823" s="5"/>
      <c r="C6823" s="6"/>
    </row>
    <row r="6824" spans="1:3" x14ac:dyDescent="0.25">
      <c r="A6824" s="4"/>
      <c r="B6824" s="5"/>
      <c r="C6824" s="6"/>
    </row>
    <row r="6825" spans="1:3" x14ac:dyDescent="0.25">
      <c r="A6825" s="4"/>
      <c r="B6825" s="5"/>
      <c r="C6825" s="6"/>
    </row>
    <row r="6826" spans="1:3" x14ac:dyDescent="0.25">
      <c r="A6826" s="4"/>
      <c r="B6826" s="5"/>
      <c r="C6826" s="6"/>
    </row>
    <row r="6827" spans="1:3" x14ac:dyDescent="0.25">
      <c r="A6827" s="4"/>
      <c r="B6827" s="5"/>
      <c r="C6827" s="6"/>
    </row>
    <row r="6828" spans="1:3" x14ac:dyDescent="0.25">
      <c r="A6828" s="4"/>
      <c r="B6828" s="5"/>
      <c r="C6828" s="6"/>
    </row>
    <row r="6829" spans="1:3" x14ac:dyDescent="0.25">
      <c r="A6829" s="4"/>
      <c r="B6829" s="5"/>
      <c r="C6829" s="6"/>
    </row>
    <row r="6830" spans="1:3" x14ac:dyDescent="0.25">
      <c r="A6830" s="4"/>
      <c r="B6830" s="5"/>
      <c r="C6830" s="6"/>
    </row>
    <row r="6831" spans="1:3" x14ac:dyDescent="0.25">
      <c r="A6831" s="4"/>
      <c r="B6831" s="5"/>
      <c r="C6831" s="6"/>
    </row>
    <row r="6832" spans="1:3" x14ac:dyDescent="0.25">
      <c r="A6832" s="4"/>
      <c r="B6832" s="5"/>
      <c r="C6832" s="6"/>
    </row>
    <row r="6833" spans="1:3" x14ac:dyDescent="0.25">
      <c r="A6833" s="4"/>
      <c r="B6833" s="5"/>
      <c r="C6833" s="6"/>
    </row>
    <row r="6834" spans="1:3" x14ac:dyDescent="0.25">
      <c r="A6834" s="4"/>
      <c r="B6834" s="5"/>
      <c r="C6834" s="6"/>
    </row>
    <row r="6835" spans="1:3" x14ac:dyDescent="0.25">
      <c r="A6835" s="4"/>
      <c r="B6835" s="5"/>
      <c r="C6835" s="6"/>
    </row>
    <row r="6836" spans="1:3" x14ac:dyDescent="0.25">
      <c r="A6836" s="4"/>
      <c r="B6836" s="5"/>
      <c r="C6836" s="6"/>
    </row>
    <row r="6837" spans="1:3" x14ac:dyDescent="0.25">
      <c r="A6837" s="4"/>
      <c r="B6837" s="5"/>
      <c r="C6837" s="6"/>
    </row>
    <row r="6838" spans="1:3" x14ac:dyDescent="0.25">
      <c r="A6838" s="4"/>
      <c r="B6838" s="5"/>
      <c r="C6838" s="6"/>
    </row>
    <row r="6839" spans="1:3" x14ac:dyDescent="0.25">
      <c r="A6839" s="4"/>
      <c r="B6839" s="5"/>
      <c r="C6839" s="6"/>
    </row>
    <row r="6840" spans="1:3" x14ac:dyDescent="0.25">
      <c r="A6840" s="4"/>
      <c r="B6840" s="5"/>
      <c r="C6840" s="6"/>
    </row>
    <row r="6841" spans="1:3" x14ac:dyDescent="0.25">
      <c r="A6841" s="4"/>
      <c r="B6841" s="5"/>
      <c r="C6841" s="6"/>
    </row>
    <row r="6842" spans="1:3" x14ac:dyDescent="0.25">
      <c r="A6842" s="4"/>
      <c r="B6842" s="5"/>
      <c r="C6842" s="6"/>
    </row>
    <row r="6843" spans="1:3" x14ac:dyDescent="0.25">
      <c r="A6843" s="4"/>
      <c r="B6843" s="5"/>
      <c r="C6843" s="6"/>
    </row>
    <row r="6844" spans="1:3" x14ac:dyDescent="0.25">
      <c r="A6844" s="4"/>
      <c r="B6844" s="5"/>
      <c r="C6844" s="6"/>
    </row>
    <row r="6845" spans="1:3" x14ac:dyDescent="0.25">
      <c r="A6845" s="4"/>
      <c r="B6845" s="5"/>
      <c r="C6845" s="6"/>
    </row>
    <row r="6846" spans="1:3" x14ac:dyDescent="0.25">
      <c r="A6846" s="4"/>
      <c r="B6846" s="5"/>
      <c r="C6846" s="6"/>
    </row>
    <row r="6847" spans="1:3" x14ac:dyDescent="0.25">
      <c r="A6847" s="4"/>
      <c r="B6847" s="5"/>
      <c r="C6847" s="5"/>
    </row>
    <row r="6848" spans="1:3" x14ac:dyDescent="0.25">
      <c r="A6848" s="4"/>
      <c r="B6848" s="5"/>
      <c r="C6848" s="5"/>
    </row>
    <row r="6849" spans="1:3" x14ac:dyDescent="0.25">
      <c r="A6849" s="4"/>
      <c r="B6849" s="5"/>
      <c r="C6849" s="6"/>
    </row>
    <row r="6850" spans="1:3" x14ac:dyDescent="0.25">
      <c r="A6850" s="4"/>
      <c r="B6850" s="5"/>
      <c r="C6850" s="6"/>
    </row>
    <row r="6851" spans="1:3" x14ac:dyDescent="0.25">
      <c r="A6851" s="4"/>
      <c r="B6851" s="5"/>
      <c r="C6851" s="6"/>
    </row>
    <row r="6852" spans="1:3" x14ac:dyDescent="0.25">
      <c r="A6852" s="4"/>
      <c r="B6852" s="5"/>
      <c r="C6852" s="6"/>
    </row>
    <row r="6853" spans="1:3" x14ac:dyDescent="0.25">
      <c r="A6853" s="4"/>
      <c r="B6853" s="5"/>
      <c r="C6853" s="6"/>
    </row>
    <row r="6854" spans="1:3" x14ac:dyDescent="0.25">
      <c r="A6854" s="4"/>
      <c r="B6854" s="5"/>
      <c r="C6854" s="6"/>
    </row>
    <row r="6855" spans="1:3" x14ac:dyDescent="0.25">
      <c r="A6855" s="4"/>
      <c r="B6855" s="5"/>
      <c r="C6855" s="6"/>
    </row>
    <row r="6856" spans="1:3" x14ac:dyDescent="0.25">
      <c r="A6856" s="4"/>
      <c r="B6856" s="5"/>
      <c r="C6856" s="6"/>
    </row>
    <row r="6857" spans="1:3" x14ac:dyDescent="0.25">
      <c r="A6857" s="4"/>
      <c r="B6857" s="5"/>
      <c r="C6857" s="6"/>
    </row>
    <row r="6858" spans="1:3" x14ac:dyDescent="0.25">
      <c r="A6858" s="4"/>
      <c r="B6858" s="5"/>
      <c r="C6858" s="6"/>
    </row>
    <row r="6859" spans="1:3" x14ac:dyDescent="0.25">
      <c r="A6859" s="4"/>
      <c r="B6859" s="5"/>
      <c r="C6859" s="6"/>
    </row>
    <row r="6860" spans="1:3" x14ac:dyDescent="0.25">
      <c r="A6860" s="4"/>
      <c r="B6860" s="5"/>
      <c r="C6860" s="6"/>
    </row>
    <row r="6861" spans="1:3" x14ac:dyDescent="0.25">
      <c r="A6861" s="4"/>
      <c r="B6861" s="5"/>
      <c r="C6861" s="6"/>
    </row>
    <row r="6862" spans="1:3" x14ac:dyDescent="0.25">
      <c r="A6862" s="4"/>
      <c r="B6862" s="5"/>
      <c r="C6862" s="6"/>
    </row>
    <row r="6863" spans="1:3" x14ac:dyDescent="0.25">
      <c r="A6863" s="4"/>
      <c r="B6863" s="5"/>
      <c r="C6863" s="6"/>
    </row>
    <row r="6864" spans="1:3" x14ac:dyDescent="0.25">
      <c r="A6864" s="4"/>
      <c r="B6864" s="5"/>
      <c r="C6864" s="6"/>
    </row>
    <row r="6865" spans="1:3" x14ac:dyDescent="0.25">
      <c r="A6865" s="4"/>
      <c r="B6865" s="5"/>
      <c r="C6865" s="6"/>
    </row>
    <row r="6866" spans="1:3" x14ac:dyDescent="0.25">
      <c r="A6866" s="4"/>
      <c r="B6866" s="5"/>
      <c r="C6866" s="6"/>
    </row>
    <row r="6867" spans="1:3" x14ac:dyDescent="0.25">
      <c r="A6867" s="4"/>
      <c r="B6867" s="5"/>
      <c r="C6867" s="6"/>
    </row>
    <row r="6868" spans="1:3" x14ac:dyDescent="0.25">
      <c r="A6868" s="4"/>
      <c r="B6868" s="5"/>
      <c r="C6868" s="6"/>
    </row>
    <row r="6869" spans="1:3" x14ac:dyDescent="0.25">
      <c r="A6869" s="4"/>
      <c r="B6869" s="5"/>
      <c r="C6869" s="6"/>
    </row>
    <row r="6870" spans="1:3" x14ac:dyDescent="0.25">
      <c r="A6870" s="4"/>
      <c r="B6870" s="5"/>
      <c r="C6870" s="6"/>
    </row>
    <row r="6871" spans="1:3" x14ac:dyDescent="0.25">
      <c r="A6871" s="4"/>
      <c r="B6871" s="5"/>
      <c r="C6871" s="6"/>
    </row>
    <row r="6872" spans="1:3" x14ac:dyDescent="0.25">
      <c r="A6872" s="4"/>
      <c r="B6872" s="5"/>
      <c r="C6872" s="6"/>
    </row>
    <row r="6873" spans="1:3" x14ac:dyDescent="0.25">
      <c r="A6873" s="4"/>
      <c r="B6873" s="5"/>
      <c r="C6873" s="5"/>
    </row>
    <row r="6874" spans="1:3" x14ac:dyDescent="0.25">
      <c r="A6874" s="4"/>
      <c r="B6874" s="5"/>
      <c r="C6874" s="6"/>
    </row>
    <row r="6875" spans="1:3" x14ac:dyDescent="0.25">
      <c r="A6875" s="4"/>
      <c r="B6875" s="5"/>
      <c r="C6875" s="6"/>
    </row>
    <row r="6876" spans="1:3" x14ac:dyDescent="0.25">
      <c r="A6876" s="4"/>
      <c r="B6876" s="5"/>
      <c r="C6876" s="6"/>
    </row>
    <row r="6877" spans="1:3" x14ac:dyDescent="0.25">
      <c r="A6877" s="4"/>
      <c r="B6877" s="5"/>
      <c r="C6877" s="6"/>
    </row>
    <row r="6878" spans="1:3" x14ac:dyDescent="0.25">
      <c r="A6878" s="4"/>
      <c r="B6878" s="5"/>
      <c r="C6878" s="6"/>
    </row>
    <row r="6879" spans="1:3" x14ac:dyDescent="0.25">
      <c r="A6879" s="4"/>
      <c r="B6879" s="5"/>
      <c r="C6879" s="6"/>
    </row>
    <row r="6880" spans="1:3" x14ac:dyDescent="0.25">
      <c r="A6880" s="4"/>
      <c r="B6880" s="5"/>
      <c r="C6880" s="6"/>
    </row>
    <row r="6881" spans="1:3" x14ac:dyDescent="0.25">
      <c r="A6881" s="4"/>
      <c r="B6881" s="5"/>
      <c r="C6881" s="6"/>
    </row>
    <row r="6882" spans="1:3" x14ac:dyDescent="0.25">
      <c r="A6882" s="4"/>
      <c r="B6882" s="5"/>
      <c r="C6882" s="6"/>
    </row>
    <row r="6883" spans="1:3" x14ac:dyDescent="0.25">
      <c r="A6883" s="4"/>
      <c r="B6883" s="5"/>
      <c r="C6883" s="6"/>
    </row>
    <row r="6884" spans="1:3" x14ac:dyDescent="0.25">
      <c r="A6884" s="4"/>
      <c r="B6884" s="5"/>
      <c r="C6884" s="6"/>
    </row>
    <row r="6885" spans="1:3" x14ac:dyDescent="0.25">
      <c r="A6885" s="4"/>
      <c r="B6885" s="5"/>
      <c r="C6885" s="6"/>
    </row>
    <row r="6886" spans="1:3" x14ac:dyDescent="0.25">
      <c r="A6886" s="4"/>
      <c r="B6886" s="5"/>
      <c r="C6886" s="6"/>
    </row>
    <row r="6887" spans="1:3" x14ac:dyDescent="0.25">
      <c r="A6887" s="4"/>
      <c r="B6887" s="5"/>
      <c r="C6887" s="6"/>
    </row>
    <row r="6888" spans="1:3" x14ac:dyDescent="0.25">
      <c r="A6888" s="4"/>
      <c r="B6888" s="5"/>
      <c r="C6888" s="5"/>
    </row>
    <row r="6889" spans="1:3" x14ac:dyDescent="0.25">
      <c r="A6889" s="4"/>
      <c r="B6889" s="5"/>
      <c r="C6889" s="6"/>
    </row>
    <row r="6890" spans="1:3" x14ac:dyDescent="0.25">
      <c r="A6890" s="4"/>
      <c r="B6890" s="5"/>
      <c r="C6890" s="6"/>
    </row>
    <row r="6891" spans="1:3" x14ac:dyDescent="0.25">
      <c r="A6891" s="4"/>
      <c r="B6891" s="5"/>
      <c r="C6891" s="6"/>
    </row>
    <row r="6892" spans="1:3" x14ac:dyDescent="0.25">
      <c r="A6892" s="4"/>
      <c r="B6892" s="5"/>
      <c r="C6892" s="6"/>
    </row>
    <row r="6893" spans="1:3" x14ac:dyDescent="0.25">
      <c r="A6893" s="4"/>
      <c r="B6893" s="5"/>
      <c r="C6893" s="6"/>
    </row>
    <row r="6894" spans="1:3" x14ac:dyDescent="0.25">
      <c r="A6894" s="4"/>
      <c r="B6894" s="5"/>
      <c r="C6894" s="6"/>
    </row>
    <row r="6895" spans="1:3" x14ac:dyDescent="0.25">
      <c r="A6895" s="4"/>
      <c r="B6895" s="5"/>
      <c r="C6895" s="6"/>
    </row>
    <row r="6896" spans="1:3" x14ac:dyDescent="0.25">
      <c r="A6896" s="4"/>
      <c r="B6896" s="5"/>
      <c r="C6896" s="6"/>
    </row>
    <row r="6897" spans="1:3" x14ac:dyDescent="0.25">
      <c r="A6897" s="4"/>
      <c r="B6897" s="5"/>
      <c r="C6897" s="6"/>
    </row>
    <row r="6898" spans="1:3" x14ac:dyDescent="0.25">
      <c r="A6898" s="4"/>
      <c r="B6898" s="5"/>
      <c r="C6898" s="6"/>
    </row>
    <row r="6899" spans="1:3" x14ac:dyDescent="0.25">
      <c r="A6899" s="4"/>
      <c r="B6899" s="5"/>
      <c r="C6899" s="6"/>
    </row>
    <row r="6900" spans="1:3" x14ac:dyDescent="0.25">
      <c r="A6900" s="4"/>
      <c r="B6900" s="5"/>
      <c r="C6900" s="6"/>
    </row>
    <row r="6901" spans="1:3" x14ac:dyDescent="0.25">
      <c r="A6901" s="4"/>
      <c r="B6901" s="5"/>
      <c r="C6901" s="6"/>
    </row>
    <row r="6902" spans="1:3" x14ac:dyDescent="0.25">
      <c r="A6902" s="4"/>
      <c r="B6902" s="5"/>
      <c r="C6902" s="6"/>
    </row>
    <row r="6903" spans="1:3" x14ac:dyDescent="0.25">
      <c r="A6903" s="4"/>
      <c r="B6903" s="5"/>
      <c r="C6903" s="6"/>
    </row>
    <row r="6904" spans="1:3" x14ac:dyDescent="0.25">
      <c r="A6904" s="4"/>
      <c r="B6904" s="5"/>
      <c r="C6904" s="6"/>
    </row>
    <row r="6905" spans="1:3" x14ac:dyDescent="0.25">
      <c r="A6905" s="4"/>
      <c r="B6905" s="5"/>
      <c r="C6905" s="6"/>
    </row>
    <row r="6906" spans="1:3" x14ac:dyDescent="0.25">
      <c r="A6906" s="4"/>
      <c r="B6906" s="5"/>
      <c r="C6906" s="6"/>
    </row>
    <row r="6907" spans="1:3" x14ac:dyDescent="0.25">
      <c r="A6907" s="4"/>
      <c r="B6907" s="5"/>
      <c r="C6907" s="6"/>
    </row>
    <row r="6908" spans="1:3" x14ac:dyDescent="0.25">
      <c r="A6908" s="4"/>
      <c r="B6908" s="5"/>
      <c r="C6908" s="6"/>
    </row>
    <row r="6909" spans="1:3" x14ac:dyDescent="0.25">
      <c r="A6909" s="4"/>
      <c r="B6909" s="5"/>
      <c r="C6909" s="6"/>
    </row>
    <row r="6910" spans="1:3" x14ac:dyDescent="0.25">
      <c r="A6910" s="4"/>
      <c r="B6910" s="5"/>
      <c r="C6910" s="6"/>
    </row>
    <row r="6911" spans="1:3" x14ac:dyDescent="0.25">
      <c r="A6911" s="4"/>
      <c r="B6911" s="5"/>
      <c r="C6911" s="6"/>
    </row>
    <row r="6912" spans="1:3" x14ac:dyDescent="0.25">
      <c r="A6912" s="4"/>
      <c r="B6912" s="5"/>
      <c r="C6912" s="6"/>
    </row>
    <row r="6913" spans="1:3" x14ac:dyDescent="0.25">
      <c r="A6913" s="4"/>
      <c r="B6913" s="5"/>
      <c r="C6913" s="6"/>
    </row>
    <row r="6914" spans="1:3" x14ac:dyDescent="0.25">
      <c r="A6914" s="4"/>
      <c r="B6914" s="5"/>
      <c r="C6914" s="6"/>
    </row>
    <row r="6915" spans="1:3" x14ac:dyDescent="0.25">
      <c r="A6915" s="4"/>
      <c r="B6915" s="5"/>
      <c r="C6915" s="6"/>
    </row>
    <row r="6916" spans="1:3" x14ac:dyDescent="0.25">
      <c r="A6916" s="4"/>
      <c r="B6916" s="5"/>
      <c r="C6916" s="6"/>
    </row>
    <row r="6917" spans="1:3" x14ac:dyDescent="0.25">
      <c r="A6917" s="4"/>
      <c r="B6917" s="5"/>
      <c r="C6917" s="6"/>
    </row>
    <row r="6918" spans="1:3" x14ac:dyDescent="0.25">
      <c r="A6918" s="4"/>
      <c r="B6918" s="5"/>
      <c r="C6918" s="6"/>
    </row>
    <row r="6919" spans="1:3" x14ac:dyDescent="0.25">
      <c r="A6919" s="4"/>
      <c r="B6919" s="5"/>
      <c r="C6919" s="6"/>
    </row>
    <row r="6920" spans="1:3" x14ac:dyDescent="0.25">
      <c r="A6920" s="4"/>
      <c r="B6920" s="5"/>
      <c r="C6920" s="6"/>
    </row>
    <row r="6921" spans="1:3" x14ac:dyDescent="0.25">
      <c r="A6921" s="4"/>
      <c r="B6921" s="5"/>
      <c r="C6921" s="6"/>
    </row>
    <row r="6922" spans="1:3" x14ac:dyDescent="0.25">
      <c r="A6922" s="4"/>
      <c r="B6922" s="5"/>
      <c r="C6922" s="6"/>
    </row>
    <row r="6923" spans="1:3" x14ac:dyDescent="0.25">
      <c r="A6923" s="4"/>
      <c r="B6923" s="5"/>
      <c r="C6923" s="6"/>
    </row>
    <row r="6924" spans="1:3" x14ac:dyDescent="0.25">
      <c r="A6924" s="4"/>
      <c r="B6924" s="5"/>
      <c r="C6924" s="6"/>
    </row>
    <row r="6925" spans="1:3" x14ac:dyDescent="0.25">
      <c r="A6925" s="4"/>
      <c r="B6925" s="5"/>
      <c r="C6925" s="6"/>
    </row>
    <row r="6926" spans="1:3" x14ac:dyDescent="0.25">
      <c r="A6926" s="4"/>
      <c r="B6926" s="5"/>
      <c r="C6926" s="6"/>
    </row>
    <row r="6927" spans="1:3" x14ac:dyDescent="0.25">
      <c r="A6927" s="4"/>
      <c r="B6927" s="5"/>
      <c r="C6927" s="6"/>
    </row>
    <row r="6928" spans="1:3" x14ac:dyDescent="0.25">
      <c r="A6928" s="4"/>
      <c r="B6928" s="5"/>
      <c r="C6928" s="6"/>
    </row>
    <row r="6929" spans="1:3" x14ac:dyDescent="0.25">
      <c r="A6929" s="4"/>
      <c r="B6929" s="5"/>
      <c r="C6929" s="6"/>
    </row>
    <row r="6930" spans="1:3" x14ac:dyDescent="0.25">
      <c r="A6930" s="4"/>
      <c r="B6930" s="5"/>
      <c r="C6930" s="6"/>
    </row>
    <row r="6931" spans="1:3" x14ac:dyDescent="0.25">
      <c r="A6931" s="4"/>
      <c r="B6931" s="5"/>
      <c r="C6931" s="6"/>
    </row>
    <row r="6932" spans="1:3" x14ac:dyDescent="0.25">
      <c r="A6932" s="4"/>
      <c r="B6932" s="5"/>
      <c r="C6932" s="6"/>
    </row>
    <row r="6933" spans="1:3" x14ac:dyDescent="0.25">
      <c r="A6933" s="4"/>
      <c r="B6933" s="5"/>
      <c r="C6933" s="6"/>
    </row>
    <row r="6934" spans="1:3" x14ac:dyDescent="0.25">
      <c r="A6934" s="4"/>
      <c r="B6934" s="5"/>
      <c r="C6934" s="6"/>
    </row>
    <row r="6935" spans="1:3" x14ac:dyDescent="0.25">
      <c r="A6935" s="4"/>
      <c r="B6935" s="5"/>
      <c r="C6935" s="6"/>
    </row>
    <row r="6936" spans="1:3" x14ac:dyDescent="0.25">
      <c r="A6936" s="4"/>
      <c r="B6936" s="5"/>
      <c r="C6936" s="6"/>
    </row>
    <row r="6937" spans="1:3" x14ac:dyDescent="0.25">
      <c r="A6937" s="4"/>
      <c r="B6937" s="5"/>
      <c r="C6937" s="6"/>
    </row>
    <row r="6938" spans="1:3" x14ac:dyDescent="0.25">
      <c r="A6938" s="4"/>
      <c r="B6938" s="5"/>
      <c r="C6938" s="6"/>
    </row>
    <row r="6939" spans="1:3" x14ac:dyDescent="0.25">
      <c r="A6939" s="4"/>
      <c r="B6939" s="5"/>
      <c r="C6939" s="6"/>
    </row>
    <row r="6940" spans="1:3" x14ac:dyDescent="0.25">
      <c r="A6940" s="4"/>
      <c r="B6940" s="5"/>
      <c r="C6940" s="6"/>
    </row>
    <row r="6941" spans="1:3" x14ac:dyDescent="0.25">
      <c r="A6941" s="4"/>
      <c r="B6941" s="5"/>
      <c r="C6941" s="6"/>
    </row>
    <row r="6942" spans="1:3" x14ac:dyDescent="0.25">
      <c r="A6942" s="4"/>
      <c r="B6942" s="5"/>
      <c r="C6942" s="6"/>
    </row>
    <row r="6943" spans="1:3" x14ac:dyDescent="0.25">
      <c r="A6943" s="4"/>
      <c r="B6943" s="5"/>
      <c r="C6943" s="6"/>
    </row>
    <row r="6944" spans="1:3" x14ac:dyDescent="0.25">
      <c r="A6944" s="4"/>
      <c r="B6944" s="5"/>
      <c r="C6944" s="6"/>
    </row>
    <row r="6945" spans="1:3" x14ac:dyDescent="0.25">
      <c r="A6945" s="4"/>
      <c r="B6945" s="5"/>
      <c r="C6945" s="6"/>
    </row>
    <row r="6946" spans="1:3" x14ac:dyDescent="0.25">
      <c r="A6946" s="4"/>
      <c r="B6946" s="5"/>
      <c r="C6946" s="6"/>
    </row>
    <row r="6947" spans="1:3" x14ac:dyDescent="0.25">
      <c r="A6947" s="4"/>
      <c r="B6947" s="5"/>
      <c r="C6947" s="6"/>
    </row>
    <row r="6948" spans="1:3" x14ac:dyDescent="0.25">
      <c r="A6948" s="4"/>
      <c r="B6948" s="5"/>
      <c r="C6948" s="6"/>
    </row>
    <row r="6949" spans="1:3" x14ac:dyDescent="0.25">
      <c r="A6949" s="4"/>
      <c r="B6949" s="5"/>
      <c r="C6949" s="6"/>
    </row>
    <row r="6950" spans="1:3" x14ac:dyDescent="0.25">
      <c r="A6950" s="4"/>
      <c r="B6950" s="5"/>
      <c r="C6950" s="6"/>
    </row>
    <row r="6951" spans="1:3" x14ac:dyDescent="0.25">
      <c r="A6951" s="4"/>
      <c r="B6951" s="5"/>
      <c r="C6951" s="6"/>
    </row>
    <row r="6952" spans="1:3" x14ac:dyDescent="0.25">
      <c r="A6952" s="4"/>
      <c r="B6952" s="5"/>
      <c r="C6952" s="6"/>
    </row>
    <row r="6953" spans="1:3" x14ac:dyDescent="0.25">
      <c r="A6953" s="4"/>
      <c r="B6953" s="5"/>
      <c r="C6953" s="5"/>
    </row>
    <row r="6954" spans="1:3" x14ac:dyDescent="0.25">
      <c r="A6954" s="4"/>
      <c r="B6954" s="5"/>
      <c r="C6954" s="6"/>
    </row>
    <row r="6955" spans="1:3" x14ac:dyDescent="0.25">
      <c r="A6955" s="4"/>
      <c r="B6955" s="5"/>
      <c r="C6955" s="6"/>
    </row>
    <row r="6956" spans="1:3" x14ac:dyDescent="0.25">
      <c r="A6956" s="4"/>
      <c r="B6956" s="5"/>
      <c r="C6956" s="6"/>
    </row>
    <row r="6957" spans="1:3" x14ac:dyDescent="0.25">
      <c r="A6957" s="4"/>
      <c r="B6957" s="5"/>
      <c r="C6957" s="6"/>
    </row>
    <row r="6958" spans="1:3" x14ac:dyDescent="0.25">
      <c r="A6958" s="4"/>
      <c r="B6958" s="5"/>
      <c r="C6958" s="6"/>
    </row>
    <row r="6959" spans="1:3" x14ac:dyDescent="0.25">
      <c r="A6959" s="4"/>
      <c r="B6959" s="5"/>
      <c r="C6959" s="6"/>
    </row>
    <row r="6960" spans="1:3" x14ac:dyDescent="0.25">
      <c r="A6960" s="4"/>
      <c r="B6960" s="5"/>
      <c r="C6960" s="6"/>
    </row>
    <row r="6961" spans="1:3" x14ac:dyDescent="0.25">
      <c r="A6961" s="4"/>
      <c r="B6961" s="5"/>
      <c r="C6961" s="6"/>
    </row>
    <row r="6962" spans="1:3" x14ac:dyDescent="0.25">
      <c r="A6962" s="4"/>
      <c r="B6962" s="5"/>
      <c r="C6962" s="6"/>
    </row>
    <row r="6963" spans="1:3" x14ac:dyDescent="0.25">
      <c r="A6963" s="4"/>
      <c r="B6963" s="5"/>
      <c r="C6963" s="6"/>
    </row>
    <row r="6964" spans="1:3" x14ac:dyDescent="0.25">
      <c r="A6964" s="4"/>
      <c r="B6964" s="5"/>
      <c r="C6964" s="6"/>
    </row>
    <row r="6965" spans="1:3" x14ac:dyDescent="0.25">
      <c r="A6965" s="4"/>
      <c r="B6965" s="5"/>
      <c r="C6965" s="6"/>
    </row>
    <row r="6966" spans="1:3" x14ac:dyDescent="0.25">
      <c r="A6966" s="4"/>
      <c r="B6966" s="5"/>
      <c r="C6966" s="6"/>
    </row>
    <row r="6967" spans="1:3" x14ac:dyDescent="0.25">
      <c r="A6967" s="4"/>
      <c r="B6967" s="5"/>
      <c r="C6967" s="6"/>
    </row>
    <row r="6968" spans="1:3" x14ac:dyDescent="0.25">
      <c r="A6968" s="4"/>
      <c r="B6968" s="5"/>
      <c r="C6968" s="6"/>
    </row>
    <row r="6969" spans="1:3" x14ac:dyDescent="0.25">
      <c r="A6969" s="4"/>
      <c r="B6969" s="5"/>
      <c r="C6969" s="6"/>
    </row>
    <row r="6970" spans="1:3" x14ac:dyDescent="0.25">
      <c r="A6970" s="4"/>
      <c r="B6970" s="5"/>
      <c r="C6970" s="6"/>
    </row>
    <row r="6971" spans="1:3" x14ac:dyDescent="0.25">
      <c r="A6971" s="4"/>
      <c r="B6971" s="5"/>
      <c r="C6971" s="6"/>
    </row>
    <row r="6972" spans="1:3" x14ac:dyDescent="0.25">
      <c r="A6972" s="4"/>
      <c r="B6972" s="5"/>
      <c r="C6972" s="6"/>
    </row>
    <row r="6973" spans="1:3" x14ac:dyDescent="0.25">
      <c r="A6973" s="4"/>
      <c r="B6973" s="5"/>
      <c r="C6973" s="6"/>
    </row>
    <row r="6974" spans="1:3" x14ac:dyDescent="0.25">
      <c r="A6974" s="4"/>
      <c r="B6974" s="5"/>
      <c r="C6974" s="6"/>
    </row>
    <row r="6975" spans="1:3" x14ac:dyDescent="0.25">
      <c r="A6975" s="4"/>
      <c r="B6975" s="5"/>
      <c r="C6975" s="6"/>
    </row>
    <row r="6976" spans="1:3" x14ac:dyDescent="0.25">
      <c r="A6976" s="4"/>
      <c r="B6976" s="5"/>
      <c r="C6976" s="6"/>
    </row>
    <row r="6977" spans="1:3" x14ac:dyDescent="0.25">
      <c r="A6977" s="4"/>
      <c r="B6977" s="5"/>
      <c r="C6977" s="6"/>
    </row>
    <row r="6978" spans="1:3" x14ac:dyDescent="0.25">
      <c r="A6978" s="4"/>
      <c r="B6978" s="5"/>
      <c r="C6978" s="6"/>
    </row>
    <row r="6979" spans="1:3" x14ac:dyDescent="0.25">
      <c r="A6979" s="4"/>
      <c r="B6979" s="5"/>
      <c r="C6979" s="6"/>
    </row>
    <row r="6980" spans="1:3" x14ac:dyDescent="0.25">
      <c r="A6980" s="4"/>
      <c r="B6980" s="5"/>
      <c r="C6980" s="6"/>
    </row>
    <row r="6981" spans="1:3" x14ac:dyDescent="0.25">
      <c r="A6981" s="4"/>
      <c r="B6981" s="5"/>
      <c r="C6981" s="6"/>
    </row>
    <row r="6982" spans="1:3" x14ac:dyDescent="0.25">
      <c r="A6982" s="4"/>
      <c r="B6982" s="5"/>
      <c r="C6982" s="6"/>
    </row>
    <row r="6983" spans="1:3" x14ac:dyDescent="0.25">
      <c r="A6983" s="4"/>
      <c r="B6983" s="5"/>
      <c r="C6983" s="6"/>
    </row>
    <row r="6984" spans="1:3" x14ac:dyDescent="0.25">
      <c r="A6984" s="4"/>
      <c r="B6984" s="5"/>
      <c r="C6984" s="6"/>
    </row>
    <row r="6985" spans="1:3" x14ac:dyDescent="0.25">
      <c r="A6985" s="4"/>
      <c r="B6985" s="5"/>
      <c r="C6985" s="6"/>
    </row>
    <row r="6986" spans="1:3" x14ac:dyDescent="0.25">
      <c r="A6986" s="4"/>
      <c r="B6986" s="5"/>
      <c r="C6986" s="6"/>
    </row>
    <row r="6987" spans="1:3" x14ac:dyDescent="0.25">
      <c r="A6987" s="4"/>
      <c r="B6987" s="5"/>
      <c r="C6987" s="6"/>
    </row>
    <row r="6988" spans="1:3" x14ac:dyDescent="0.25">
      <c r="A6988" s="4"/>
      <c r="B6988" s="5"/>
      <c r="C6988" s="6"/>
    </row>
    <row r="6989" spans="1:3" x14ac:dyDescent="0.25">
      <c r="A6989" s="4"/>
      <c r="B6989" s="5"/>
      <c r="C6989" s="6"/>
    </row>
    <row r="6990" spans="1:3" x14ac:dyDescent="0.25">
      <c r="A6990" s="4"/>
      <c r="B6990" s="5"/>
      <c r="C6990" s="6"/>
    </row>
    <row r="6991" spans="1:3" x14ac:dyDescent="0.25">
      <c r="A6991" s="4"/>
      <c r="B6991" s="5"/>
      <c r="C6991" s="6"/>
    </row>
    <row r="6992" spans="1:3" x14ac:dyDescent="0.25">
      <c r="A6992" s="4"/>
      <c r="B6992" s="5"/>
      <c r="C6992" s="6"/>
    </row>
    <row r="6993" spans="1:3" x14ac:dyDescent="0.25">
      <c r="A6993" s="4"/>
      <c r="B6993" s="5"/>
      <c r="C6993" s="6"/>
    </row>
    <row r="6994" spans="1:3" x14ac:dyDescent="0.25">
      <c r="A6994" s="4"/>
      <c r="B6994" s="5"/>
      <c r="C6994" s="6"/>
    </row>
    <row r="6995" spans="1:3" x14ac:dyDescent="0.25">
      <c r="A6995" s="4"/>
      <c r="B6995" s="5"/>
      <c r="C6995" s="6"/>
    </row>
    <row r="6996" spans="1:3" x14ac:dyDescent="0.25">
      <c r="A6996" s="4"/>
      <c r="B6996" s="5"/>
      <c r="C6996" s="6"/>
    </row>
    <row r="6997" spans="1:3" x14ac:dyDescent="0.25">
      <c r="A6997" s="4"/>
      <c r="B6997" s="5"/>
      <c r="C6997" s="6"/>
    </row>
    <row r="6998" spans="1:3" x14ac:dyDescent="0.25">
      <c r="A6998" s="4"/>
      <c r="B6998" s="5"/>
      <c r="C6998" s="6"/>
    </row>
    <row r="6999" spans="1:3" x14ac:dyDescent="0.25">
      <c r="A6999" s="4"/>
      <c r="B6999" s="5"/>
      <c r="C6999" s="6"/>
    </row>
    <row r="7000" spans="1:3" x14ac:dyDescent="0.25">
      <c r="A7000" s="4"/>
      <c r="B7000" s="5"/>
      <c r="C7000" s="6"/>
    </row>
    <row r="7001" spans="1:3" x14ac:dyDescent="0.25">
      <c r="A7001" s="4"/>
      <c r="B7001" s="5"/>
      <c r="C7001" s="6"/>
    </row>
    <row r="7002" spans="1:3" x14ac:dyDescent="0.25">
      <c r="A7002" s="4"/>
      <c r="B7002" s="5"/>
      <c r="C7002" s="6"/>
    </row>
    <row r="7003" spans="1:3" x14ac:dyDescent="0.25">
      <c r="A7003" s="4"/>
      <c r="B7003" s="5"/>
      <c r="C7003" s="6"/>
    </row>
    <row r="7004" spans="1:3" x14ac:dyDescent="0.25">
      <c r="A7004" s="4"/>
      <c r="B7004" s="5"/>
      <c r="C7004" s="6"/>
    </row>
    <row r="7005" spans="1:3" x14ac:dyDescent="0.25">
      <c r="A7005" s="4"/>
      <c r="B7005" s="5"/>
      <c r="C7005" s="6"/>
    </row>
    <row r="7006" spans="1:3" x14ac:dyDescent="0.25">
      <c r="A7006" s="4"/>
      <c r="B7006" s="5"/>
      <c r="C7006" s="6"/>
    </row>
    <row r="7007" spans="1:3" x14ac:dyDescent="0.25">
      <c r="A7007" s="4"/>
      <c r="B7007" s="5"/>
      <c r="C7007" s="6"/>
    </row>
    <row r="7008" spans="1:3" x14ac:dyDescent="0.25">
      <c r="A7008" s="4"/>
      <c r="B7008" s="5"/>
      <c r="C7008" s="6"/>
    </row>
    <row r="7009" spans="1:3" x14ac:dyDescent="0.25">
      <c r="A7009" s="4"/>
      <c r="B7009" s="5"/>
      <c r="C7009" s="6"/>
    </row>
    <row r="7010" spans="1:3" x14ac:dyDescent="0.25">
      <c r="A7010" s="4"/>
      <c r="B7010" s="5"/>
      <c r="C7010" s="6"/>
    </row>
    <row r="7011" spans="1:3" x14ac:dyDescent="0.25">
      <c r="A7011" s="4"/>
      <c r="B7011" s="5"/>
      <c r="C7011" s="6"/>
    </row>
    <row r="7012" spans="1:3" x14ac:dyDescent="0.25">
      <c r="A7012" s="4"/>
      <c r="B7012" s="5"/>
      <c r="C7012" s="6"/>
    </row>
    <row r="7013" spans="1:3" x14ac:dyDescent="0.25">
      <c r="A7013" s="4"/>
      <c r="B7013" s="5"/>
      <c r="C7013" s="6"/>
    </row>
    <row r="7014" spans="1:3" x14ac:dyDescent="0.25">
      <c r="A7014" s="4"/>
      <c r="B7014" s="5"/>
      <c r="C7014" s="6"/>
    </row>
    <row r="7015" spans="1:3" x14ac:dyDescent="0.25">
      <c r="A7015" s="4"/>
      <c r="B7015" s="5"/>
      <c r="C7015" s="6"/>
    </row>
    <row r="7016" spans="1:3" x14ac:dyDescent="0.25">
      <c r="A7016" s="4"/>
      <c r="B7016" s="5"/>
      <c r="C7016" s="6"/>
    </row>
    <row r="7017" spans="1:3" x14ac:dyDescent="0.25">
      <c r="A7017" s="4"/>
      <c r="B7017" s="5"/>
      <c r="C7017" s="6"/>
    </row>
    <row r="7018" spans="1:3" x14ac:dyDescent="0.25">
      <c r="A7018" s="4"/>
      <c r="B7018" s="5"/>
      <c r="C7018" s="6"/>
    </row>
    <row r="7019" spans="1:3" x14ac:dyDescent="0.25">
      <c r="A7019" s="4"/>
      <c r="B7019" s="5"/>
      <c r="C7019" s="6"/>
    </row>
    <row r="7020" spans="1:3" x14ac:dyDescent="0.25">
      <c r="A7020" s="4"/>
      <c r="B7020" s="5"/>
      <c r="C7020" s="6"/>
    </row>
    <row r="7021" spans="1:3" x14ac:dyDescent="0.25">
      <c r="A7021" s="4"/>
      <c r="B7021" s="5"/>
      <c r="C7021" s="6"/>
    </row>
    <row r="7022" spans="1:3" x14ac:dyDescent="0.25">
      <c r="A7022" s="4"/>
      <c r="B7022" s="5"/>
      <c r="C7022" s="6"/>
    </row>
    <row r="7023" spans="1:3" x14ac:dyDescent="0.25">
      <c r="A7023" s="4"/>
      <c r="B7023" s="5"/>
      <c r="C7023" s="6"/>
    </row>
    <row r="7024" spans="1:3" x14ac:dyDescent="0.25">
      <c r="A7024" s="4"/>
      <c r="B7024" s="5"/>
      <c r="C7024" s="6"/>
    </row>
    <row r="7025" spans="1:3" x14ac:dyDescent="0.25">
      <c r="A7025" s="4"/>
      <c r="B7025" s="5"/>
      <c r="C7025" s="6"/>
    </row>
    <row r="7026" spans="1:3" x14ac:dyDescent="0.25">
      <c r="A7026" s="4"/>
      <c r="B7026" s="5"/>
      <c r="C7026" s="6"/>
    </row>
    <row r="7027" spans="1:3" x14ac:dyDescent="0.25">
      <c r="A7027" s="4"/>
      <c r="B7027" s="5"/>
      <c r="C7027" s="6"/>
    </row>
    <row r="7028" spans="1:3" x14ac:dyDescent="0.25">
      <c r="A7028" s="4"/>
      <c r="B7028" s="5"/>
      <c r="C7028" s="6"/>
    </row>
    <row r="7029" spans="1:3" x14ac:dyDescent="0.25">
      <c r="A7029" s="4"/>
      <c r="B7029" s="5"/>
      <c r="C7029" s="6"/>
    </row>
    <row r="7030" spans="1:3" x14ac:dyDescent="0.25">
      <c r="A7030" s="4"/>
      <c r="B7030" s="5"/>
      <c r="C7030" s="6"/>
    </row>
    <row r="7031" spans="1:3" x14ac:dyDescent="0.25">
      <c r="A7031" s="4"/>
      <c r="B7031" s="5"/>
      <c r="C7031" s="6"/>
    </row>
    <row r="7032" spans="1:3" x14ac:dyDescent="0.25">
      <c r="A7032" s="4"/>
      <c r="B7032" s="5"/>
      <c r="C7032" s="6"/>
    </row>
    <row r="7033" spans="1:3" x14ac:dyDescent="0.25">
      <c r="A7033" s="4"/>
      <c r="B7033" s="5"/>
      <c r="C7033" s="6"/>
    </row>
    <row r="7034" spans="1:3" x14ac:dyDescent="0.25">
      <c r="A7034" s="4"/>
      <c r="B7034" s="5"/>
      <c r="C7034" s="6"/>
    </row>
    <row r="7035" spans="1:3" x14ac:dyDescent="0.25">
      <c r="A7035" s="4"/>
      <c r="B7035" s="5"/>
      <c r="C7035" s="6"/>
    </row>
    <row r="7036" spans="1:3" x14ac:dyDescent="0.25">
      <c r="A7036" s="4"/>
      <c r="B7036" s="5"/>
      <c r="C7036" s="6"/>
    </row>
    <row r="7037" spans="1:3" x14ac:dyDescent="0.25">
      <c r="A7037" s="4"/>
      <c r="B7037" s="5"/>
      <c r="C7037" s="6"/>
    </row>
    <row r="7038" spans="1:3" x14ac:dyDescent="0.25">
      <c r="A7038" s="4"/>
      <c r="B7038" s="5"/>
      <c r="C7038" s="6"/>
    </row>
    <row r="7039" spans="1:3" x14ac:dyDescent="0.25">
      <c r="A7039" s="4"/>
      <c r="B7039" s="5"/>
      <c r="C7039" s="6"/>
    </row>
    <row r="7040" spans="1:3" x14ac:dyDescent="0.25">
      <c r="A7040" s="4"/>
      <c r="B7040" s="5"/>
      <c r="C7040" s="5"/>
    </row>
    <row r="7041" spans="1:3" x14ac:dyDescent="0.25">
      <c r="A7041" s="4"/>
      <c r="B7041" s="5"/>
      <c r="C7041" s="5"/>
    </row>
    <row r="7042" spans="1:3" x14ac:dyDescent="0.25">
      <c r="A7042" s="4"/>
      <c r="B7042" s="5"/>
      <c r="C7042" s="6"/>
    </row>
    <row r="7043" spans="1:3" x14ac:dyDescent="0.25">
      <c r="A7043" s="4"/>
      <c r="B7043" s="5"/>
      <c r="C7043" s="6"/>
    </row>
    <row r="7044" spans="1:3" x14ac:dyDescent="0.25">
      <c r="A7044" s="4"/>
      <c r="B7044" s="5"/>
      <c r="C7044" s="6"/>
    </row>
    <row r="7045" spans="1:3" x14ac:dyDescent="0.25">
      <c r="A7045" s="4"/>
      <c r="B7045" s="5"/>
      <c r="C7045" s="5"/>
    </row>
    <row r="7046" spans="1:3" x14ac:dyDescent="0.25">
      <c r="A7046" s="4"/>
      <c r="B7046" s="5"/>
      <c r="C7046" s="6"/>
    </row>
    <row r="7047" spans="1:3" x14ac:dyDescent="0.25">
      <c r="A7047" s="4"/>
      <c r="B7047" s="5"/>
      <c r="C7047" s="6"/>
    </row>
    <row r="7048" spans="1:3" x14ac:dyDescent="0.25">
      <c r="A7048" s="4"/>
      <c r="B7048" s="5"/>
      <c r="C7048" s="6"/>
    </row>
    <row r="7049" spans="1:3" x14ac:dyDescent="0.25">
      <c r="A7049" s="4"/>
      <c r="B7049" s="5"/>
      <c r="C7049" s="6"/>
    </row>
    <row r="7050" spans="1:3" x14ac:dyDescent="0.25">
      <c r="A7050" s="4"/>
      <c r="B7050" s="5"/>
      <c r="C7050" s="6"/>
    </row>
    <row r="7051" spans="1:3" x14ac:dyDescent="0.25">
      <c r="A7051" s="4"/>
      <c r="B7051" s="5"/>
      <c r="C7051" s="6"/>
    </row>
    <row r="7052" spans="1:3" x14ac:dyDescent="0.25">
      <c r="A7052" s="4"/>
      <c r="B7052" s="5"/>
      <c r="C7052" s="6"/>
    </row>
    <row r="7053" spans="1:3" x14ac:dyDescent="0.25">
      <c r="A7053" s="4"/>
      <c r="B7053" s="5"/>
      <c r="C7053" s="6"/>
    </row>
    <row r="7054" spans="1:3" x14ac:dyDescent="0.25">
      <c r="A7054" s="4"/>
      <c r="B7054" s="5"/>
      <c r="C7054" s="6"/>
    </row>
    <row r="7055" spans="1:3" x14ac:dyDescent="0.25">
      <c r="A7055" s="4"/>
      <c r="B7055" s="5"/>
      <c r="C7055" s="6"/>
    </row>
    <row r="7056" spans="1:3" x14ac:dyDescent="0.25">
      <c r="A7056" s="4"/>
      <c r="B7056" s="5"/>
      <c r="C7056" s="6"/>
    </row>
    <row r="7057" spans="1:3" x14ac:dyDescent="0.25">
      <c r="A7057" s="4"/>
      <c r="B7057" s="5"/>
      <c r="C7057" s="6"/>
    </row>
    <row r="7058" spans="1:3" x14ac:dyDescent="0.25">
      <c r="A7058" s="4"/>
      <c r="B7058" s="5"/>
      <c r="C7058" s="6"/>
    </row>
    <row r="7059" spans="1:3" x14ac:dyDescent="0.25">
      <c r="A7059" s="4"/>
      <c r="B7059" s="5"/>
      <c r="C7059" s="6"/>
    </row>
    <row r="7060" spans="1:3" x14ac:dyDescent="0.25">
      <c r="A7060" s="4"/>
      <c r="B7060" s="5"/>
      <c r="C7060" s="6"/>
    </row>
    <row r="7061" spans="1:3" x14ac:dyDescent="0.25">
      <c r="A7061" s="4"/>
      <c r="B7061" s="5"/>
      <c r="C7061" s="6"/>
    </row>
    <row r="7062" spans="1:3" x14ac:dyDescent="0.25">
      <c r="A7062" s="4"/>
      <c r="B7062" s="5"/>
      <c r="C7062" s="6"/>
    </row>
    <row r="7063" spans="1:3" x14ac:dyDescent="0.25">
      <c r="A7063" s="4"/>
      <c r="B7063" s="5"/>
      <c r="C7063" s="6"/>
    </row>
    <row r="7064" spans="1:3" x14ac:dyDescent="0.25">
      <c r="A7064" s="4"/>
      <c r="B7064" s="5"/>
      <c r="C7064" s="6"/>
    </row>
    <row r="7065" spans="1:3" x14ac:dyDescent="0.25">
      <c r="A7065" s="4"/>
      <c r="B7065" s="5"/>
      <c r="C7065" s="6"/>
    </row>
    <row r="7066" spans="1:3" x14ac:dyDescent="0.25">
      <c r="A7066" s="4"/>
      <c r="B7066" s="5"/>
      <c r="C7066" s="6"/>
    </row>
    <row r="7067" spans="1:3" x14ac:dyDescent="0.25">
      <c r="A7067" s="4"/>
      <c r="B7067" s="5"/>
      <c r="C7067" s="6"/>
    </row>
    <row r="7068" spans="1:3" x14ac:dyDescent="0.25">
      <c r="A7068" s="4"/>
      <c r="B7068" s="5"/>
      <c r="C7068" s="6"/>
    </row>
    <row r="7069" spans="1:3" x14ac:dyDescent="0.25">
      <c r="A7069" s="4"/>
      <c r="B7069" s="5"/>
      <c r="C7069" s="6"/>
    </row>
    <row r="7070" spans="1:3" x14ac:dyDescent="0.25">
      <c r="A7070" s="4"/>
      <c r="B7070" s="5"/>
      <c r="C7070" s="6"/>
    </row>
    <row r="7071" spans="1:3" x14ac:dyDescent="0.25">
      <c r="A7071" s="4"/>
      <c r="B7071" s="5"/>
      <c r="C7071" s="6"/>
    </row>
    <row r="7072" spans="1:3" x14ac:dyDescent="0.25">
      <c r="A7072" s="4"/>
      <c r="B7072" s="5"/>
      <c r="C7072" s="6"/>
    </row>
    <row r="7073" spans="1:3" x14ac:dyDescent="0.25">
      <c r="A7073" s="4"/>
      <c r="B7073" s="5"/>
      <c r="C7073" s="6"/>
    </row>
    <row r="7074" spans="1:3" x14ac:dyDescent="0.25">
      <c r="A7074" s="4"/>
      <c r="B7074" s="5"/>
      <c r="C7074" s="6"/>
    </row>
    <row r="7075" spans="1:3" x14ac:dyDescent="0.25">
      <c r="A7075" s="4"/>
      <c r="B7075" s="5"/>
      <c r="C7075" s="6"/>
    </row>
    <row r="7076" spans="1:3" x14ac:dyDescent="0.25">
      <c r="A7076" s="4"/>
      <c r="B7076" s="5"/>
      <c r="C7076" s="6"/>
    </row>
    <row r="7077" spans="1:3" x14ac:dyDescent="0.25">
      <c r="A7077" s="4"/>
      <c r="B7077" s="5"/>
      <c r="C7077" s="6"/>
    </row>
    <row r="7078" spans="1:3" x14ac:dyDescent="0.25">
      <c r="A7078" s="4"/>
      <c r="B7078" s="5"/>
      <c r="C7078" s="6"/>
    </row>
    <row r="7079" spans="1:3" x14ac:dyDescent="0.25">
      <c r="A7079" s="4"/>
      <c r="B7079" s="5"/>
      <c r="C7079" s="6"/>
    </row>
    <row r="7080" spans="1:3" x14ac:dyDescent="0.25">
      <c r="A7080" s="4"/>
      <c r="B7080" s="5"/>
      <c r="C7080" s="6"/>
    </row>
    <row r="7081" spans="1:3" x14ac:dyDescent="0.25">
      <c r="A7081" s="4"/>
      <c r="B7081" s="5"/>
      <c r="C7081" s="6"/>
    </row>
    <row r="7082" spans="1:3" x14ac:dyDescent="0.25">
      <c r="A7082" s="4"/>
      <c r="B7082" s="5"/>
      <c r="C7082" s="6"/>
    </row>
    <row r="7083" spans="1:3" x14ac:dyDescent="0.25">
      <c r="A7083" s="4"/>
      <c r="B7083" s="5"/>
      <c r="C7083" s="6"/>
    </row>
    <row r="7084" spans="1:3" x14ac:dyDescent="0.25">
      <c r="A7084" s="4"/>
      <c r="B7084" s="5"/>
      <c r="C7084" s="6"/>
    </row>
    <row r="7085" spans="1:3" x14ac:dyDescent="0.25">
      <c r="A7085" s="4"/>
      <c r="B7085" s="5"/>
      <c r="C7085" s="6"/>
    </row>
    <row r="7086" spans="1:3" x14ac:dyDescent="0.25">
      <c r="A7086" s="4"/>
      <c r="B7086" s="5"/>
      <c r="C7086" s="6"/>
    </row>
    <row r="7087" spans="1:3" x14ac:dyDescent="0.25">
      <c r="A7087" s="4"/>
      <c r="B7087" s="5"/>
      <c r="C7087" s="6"/>
    </row>
    <row r="7088" spans="1:3" x14ac:dyDescent="0.25">
      <c r="A7088" s="4"/>
      <c r="B7088" s="5"/>
      <c r="C7088" s="6"/>
    </row>
    <row r="7089" spans="1:3" x14ac:dyDescent="0.25">
      <c r="A7089" s="4"/>
      <c r="B7089" s="5"/>
      <c r="C7089" s="6"/>
    </row>
    <row r="7090" spans="1:3" x14ac:dyDescent="0.25">
      <c r="A7090" s="4"/>
      <c r="B7090" s="5"/>
      <c r="C7090" s="6"/>
    </row>
    <row r="7091" spans="1:3" x14ac:dyDescent="0.25">
      <c r="A7091" s="4"/>
      <c r="B7091" s="5"/>
      <c r="C7091" s="6"/>
    </row>
    <row r="7092" spans="1:3" x14ac:dyDescent="0.25">
      <c r="A7092" s="4"/>
      <c r="B7092" s="5"/>
      <c r="C7092" s="6"/>
    </row>
    <row r="7093" spans="1:3" x14ac:dyDescent="0.25">
      <c r="A7093" s="4"/>
      <c r="B7093" s="5"/>
      <c r="C7093" s="6"/>
    </row>
    <row r="7094" spans="1:3" x14ac:dyDescent="0.25">
      <c r="A7094" s="4"/>
      <c r="B7094" s="5"/>
      <c r="C7094" s="6"/>
    </row>
    <row r="7095" spans="1:3" x14ac:dyDescent="0.25">
      <c r="A7095" s="4"/>
      <c r="B7095" s="5"/>
      <c r="C7095" s="6"/>
    </row>
    <row r="7096" spans="1:3" x14ac:dyDescent="0.25">
      <c r="A7096" s="4"/>
      <c r="B7096" s="5"/>
      <c r="C7096" s="6"/>
    </row>
    <row r="7097" spans="1:3" x14ac:dyDescent="0.25">
      <c r="A7097" s="4"/>
      <c r="B7097" s="5"/>
      <c r="C7097" s="6"/>
    </row>
    <row r="7098" spans="1:3" x14ac:dyDescent="0.25">
      <c r="A7098" s="4"/>
      <c r="B7098" s="5"/>
      <c r="C7098" s="6"/>
    </row>
    <row r="7099" spans="1:3" x14ac:dyDescent="0.25">
      <c r="A7099" s="4"/>
      <c r="B7099" s="5"/>
      <c r="C7099" s="6"/>
    </row>
    <row r="7100" spans="1:3" x14ac:dyDescent="0.25">
      <c r="A7100" s="4"/>
      <c r="B7100" s="5"/>
      <c r="C7100" s="6"/>
    </row>
    <row r="7101" spans="1:3" x14ac:dyDescent="0.25">
      <c r="A7101" s="4"/>
      <c r="B7101" s="5"/>
      <c r="C7101" s="6"/>
    </row>
    <row r="7102" spans="1:3" x14ac:dyDescent="0.25">
      <c r="A7102" s="4"/>
      <c r="B7102" s="5"/>
      <c r="C7102" s="6"/>
    </row>
    <row r="7103" spans="1:3" x14ac:dyDescent="0.25">
      <c r="A7103" s="4"/>
      <c r="B7103" s="5"/>
      <c r="C7103" s="6"/>
    </row>
    <row r="7104" spans="1:3" x14ac:dyDescent="0.25">
      <c r="A7104" s="4"/>
      <c r="B7104" s="5"/>
      <c r="C7104" s="6"/>
    </row>
    <row r="7105" spans="1:3" x14ac:dyDescent="0.25">
      <c r="A7105" s="4"/>
      <c r="B7105" s="5"/>
      <c r="C7105" s="6"/>
    </row>
    <row r="7106" spans="1:3" x14ac:dyDescent="0.25">
      <c r="A7106" s="4"/>
      <c r="B7106" s="5"/>
      <c r="C7106" s="6"/>
    </row>
    <row r="7107" spans="1:3" x14ac:dyDescent="0.25">
      <c r="A7107" s="4"/>
      <c r="B7107" s="5"/>
      <c r="C7107" s="6"/>
    </row>
    <row r="7108" spans="1:3" x14ac:dyDescent="0.25">
      <c r="A7108" s="4"/>
      <c r="B7108" s="5"/>
      <c r="C7108" s="6"/>
    </row>
    <row r="7109" spans="1:3" x14ac:dyDescent="0.25">
      <c r="A7109" s="4"/>
      <c r="B7109" s="5"/>
      <c r="C7109" s="6"/>
    </row>
    <row r="7110" spans="1:3" x14ac:dyDescent="0.25">
      <c r="A7110" s="4"/>
      <c r="B7110" s="5"/>
      <c r="C7110" s="6"/>
    </row>
    <row r="7111" spans="1:3" x14ac:dyDescent="0.25">
      <c r="A7111" s="4"/>
      <c r="B7111" s="5"/>
      <c r="C7111" s="6"/>
    </row>
    <row r="7112" spans="1:3" x14ac:dyDescent="0.25">
      <c r="A7112" s="4"/>
      <c r="B7112" s="5"/>
      <c r="C7112" s="6"/>
    </row>
    <row r="7113" spans="1:3" x14ac:dyDescent="0.25">
      <c r="A7113" s="4"/>
      <c r="B7113" s="5"/>
      <c r="C7113" s="6"/>
    </row>
    <row r="7114" spans="1:3" x14ac:dyDescent="0.25">
      <c r="A7114" s="4"/>
      <c r="B7114" s="5"/>
      <c r="C7114" s="6"/>
    </row>
    <row r="7115" spans="1:3" x14ac:dyDescent="0.25">
      <c r="A7115" s="4"/>
      <c r="B7115" s="5"/>
      <c r="C7115" s="6"/>
    </row>
    <row r="7116" spans="1:3" x14ac:dyDescent="0.25">
      <c r="A7116" s="4"/>
      <c r="B7116" s="5"/>
      <c r="C7116" s="6"/>
    </row>
    <row r="7117" spans="1:3" x14ac:dyDescent="0.25">
      <c r="A7117" s="4"/>
      <c r="B7117" s="5"/>
      <c r="C7117" s="6"/>
    </row>
    <row r="7118" spans="1:3" x14ac:dyDescent="0.25">
      <c r="A7118" s="4"/>
      <c r="B7118" s="5"/>
      <c r="C7118" s="6"/>
    </row>
    <row r="7119" spans="1:3" x14ac:dyDescent="0.25">
      <c r="A7119" s="4"/>
      <c r="B7119" s="5"/>
      <c r="C7119" s="6"/>
    </row>
    <row r="7120" spans="1:3" x14ac:dyDescent="0.25">
      <c r="A7120" s="4"/>
      <c r="B7120" s="5"/>
      <c r="C7120" s="6"/>
    </row>
    <row r="7121" spans="1:3" x14ac:dyDescent="0.25">
      <c r="A7121" s="4"/>
      <c r="B7121" s="5"/>
      <c r="C7121" s="6"/>
    </row>
    <row r="7122" spans="1:3" x14ac:dyDescent="0.25">
      <c r="A7122" s="4"/>
      <c r="B7122" s="5"/>
      <c r="C7122" s="5"/>
    </row>
    <row r="7123" spans="1:3" x14ac:dyDescent="0.25">
      <c r="A7123" s="4"/>
      <c r="B7123" s="5"/>
      <c r="C7123" s="5"/>
    </row>
    <row r="7124" spans="1:3" x14ac:dyDescent="0.25">
      <c r="A7124" s="4"/>
      <c r="B7124" s="5"/>
      <c r="C7124" s="6"/>
    </row>
    <row r="7125" spans="1:3" x14ac:dyDescent="0.25">
      <c r="A7125" s="4"/>
      <c r="B7125" s="5"/>
      <c r="C7125" s="6"/>
    </row>
    <row r="7126" spans="1:3" x14ac:dyDescent="0.25">
      <c r="A7126" s="4"/>
      <c r="B7126" s="5"/>
      <c r="C7126" s="6"/>
    </row>
    <row r="7127" spans="1:3" x14ac:dyDescent="0.25">
      <c r="A7127" s="4"/>
      <c r="B7127" s="5"/>
      <c r="C7127" s="6"/>
    </row>
    <row r="7128" spans="1:3" x14ac:dyDescent="0.25">
      <c r="A7128" s="4"/>
      <c r="B7128" s="5"/>
      <c r="C7128" s="6"/>
    </row>
    <row r="7129" spans="1:3" x14ac:dyDescent="0.25">
      <c r="A7129" s="4"/>
      <c r="B7129" s="5"/>
      <c r="C7129" s="6"/>
    </row>
    <row r="7130" spans="1:3" x14ac:dyDescent="0.25">
      <c r="A7130" s="4"/>
      <c r="B7130" s="5"/>
      <c r="C7130" s="6"/>
    </row>
    <row r="7131" spans="1:3" x14ac:dyDescent="0.25">
      <c r="A7131" s="4"/>
      <c r="B7131" s="5"/>
      <c r="C7131" s="6"/>
    </row>
    <row r="7132" spans="1:3" x14ac:dyDescent="0.25">
      <c r="A7132" s="4"/>
      <c r="B7132" s="5"/>
      <c r="C7132" s="6"/>
    </row>
    <row r="7133" spans="1:3" x14ac:dyDescent="0.25">
      <c r="A7133" s="4"/>
      <c r="B7133" s="5"/>
      <c r="C7133" s="5"/>
    </row>
    <row r="7134" spans="1:3" x14ac:dyDescent="0.25">
      <c r="A7134" s="4"/>
      <c r="B7134" s="5"/>
      <c r="C7134" s="6"/>
    </row>
    <row r="7135" spans="1:3" x14ac:dyDescent="0.25">
      <c r="A7135" s="4"/>
      <c r="B7135" s="5"/>
      <c r="C7135" s="6"/>
    </row>
    <row r="7136" spans="1:3" x14ac:dyDescent="0.25">
      <c r="A7136" s="4"/>
      <c r="B7136" s="5"/>
      <c r="C7136" s="6"/>
    </row>
    <row r="7137" spans="1:3" x14ac:dyDescent="0.25">
      <c r="A7137" s="4"/>
      <c r="B7137" s="5"/>
      <c r="C7137" s="6"/>
    </row>
    <row r="7138" spans="1:3" x14ac:dyDescent="0.25">
      <c r="A7138" s="4"/>
      <c r="B7138" s="5"/>
      <c r="C7138" s="6"/>
    </row>
    <row r="7139" spans="1:3" x14ac:dyDescent="0.25">
      <c r="A7139" s="4"/>
      <c r="B7139" s="5"/>
      <c r="C7139" s="6"/>
    </row>
    <row r="7140" spans="1:3" x14ac:dyDescent="0.25">
      <c r="A7140" s="4"/>
      <c r="B7140" s="5"/>
      <c r="C7140" s="6"/>
    </row>
    <row r="7141" spans="1:3" x14ac:dyDescent="0.25">
      <c r="A7141" s="4"/>
      <c r="B7141" s="5"/>
      <c r="C7141" s="6"/>
    </row>
    <row r="7142" spans="1:3" x14ac:dyDescent="0.25">
      <c r="A7142" s="4"/>
      <c r="B7142" s="5"/>
      <c r="C7142" s="6"/>
    </row>
    <row r="7143" spans="1:3" x14ac:dyDescent="0.25">
      <c r="A7143" s="4"/>
      <c r="B7143" s="5"/>
      <c r="C7143" s="6"/>
    </row>
    <row r="7144" spans="1:3" x14ac:dyDescent="0.25">
      <c r="A7144" s="4"/>
      <c r="B7144" s="5"/>
      <c r="C7144" s="6"/>
    </row>
    <row r="7145" spans="1:3" x14ac:dyDescent="0.25">
      <c r="A7145" s="4"/>
      <c r="B7145" s="5"/>
      <c r="C7145" s="6"/>
    </row>
    <row r="7146" spans="1:3" x14ac:dyDescent="0.25">
      <c r="A7146" s="4"/>
      <c r="B7146" s="5"/>
      <c r="C7146" s="6"/>
    </row>
    <row r="7147" spans="1:3" x14ac:dyDescent="0.25">
      <c r="A7147" s="4"/>
      <c r="B7147" s="5"/>
      <c r="C7147" s="6"/>
    </row>
    <row r="7148" spans="1:3" x14ac:dyDescent="0.25">
      <c r="A7148" s="4"/>
      <c r="B7148" s="5"/>
      <c r="C7148" s="5"/>
    </row>
    <row r="7149" spans="1:3" x14ac:dyDescent="0.25">
      <c r="A7149" s="4"/>
      <c r="B7149" s="5"/>
      <c r="C7149" s="6"/>
    </row>
    <row r="7150" spans="1:3" x14ac:dyDescent="0.25">
      <c r="A7150" s="4"/>
      <c r="B7150" s="5"/>
      <c r="C7150" s="6"/>
    </row>
    <row r="7151" spans="1:3" x14ac:dyDescent="0.25">
      <c r="A7151" s="4"/>
      <c r="B7151" s="5"/>
      <c r="C7151" s="6"/>
    </row>
    <row r="7152" spans="1:3" x14ac:dyDescent="0.25">
      <c r="A7152" s="4"/>
      <c r="B7152" s="5"/>
      <c r="C7152" s="6"/>
    </row>
    <row r="7153" spans="1:3" x14ac:dyDescent="0.25">
      <c r="A7153" s="4"/>
      <c r="B7153" s="5"/>
      <c r="C7153" s="6"/>
    </row>
    <row r="7154" spans="1:3" x14ac:dyDescent="0.25">
      <c r="A7154" s="4"/>
      <c r="B7154" s="5"/>
      <c r="C7154" s="6"/>
    </row>
    <row r="7155" spans="1:3" x14ac:dyDescent="0.25">
      <c r="A7155" s="4"/>
      <c r="B7155" s="5"/>
      <c r="C7155" s="6"/>
    </row>
    <row r="7156" spans="1:3" x14ac:dyDescent="0.25">
      <c r="A7156" s="4"/>
      <c r="B7156" s="5"/>
      <c r="C7156" s="6"/>
    </row>
    <row r="7157" spans="1:3" x14ac:dyDescent="0.25">
      <c r="A7157" s="4"/>
      <c r="B7157" s="5"/>
      <c r="C7157" s="6"/>
    </row>
    <row r="7158" spans="1:3" x14ac:dyDescent="0.25">
      <c r="A7158" s="4"/>
      <c r="B7158" s="5"/>
      <c r="C7158" s="6"/>
    </row>
    <row r="7159" spans="1:3" x14ac:dyDescent="0.25">
      <c r="A7159" s="4"/>
      <c r="B7159" s="5"/>
      <c r="C7159" s="6"/>
    </row>
    <row r="7160" spans="1:3" x14ac:dyDescent="0.25">
      <c r="A7160" s="4"/>
      <c r="B7160" s="5"/>
      <c r="C7160" s="6"/>
    </row>
    <row r="7161" spans="1:3" x14ac:dyDescent="0.25">
      <c r="A7161" s="4"/>
      <c r="B7161" s="5"/>
      <c r="C7161" s="6"/>
    </row>
    <row r="7162" spans="1:3" x14ac:dyDescent="0.25">
      <c r="A7162" s="4"/>
      <c r="B7162" s="5"/>
      <c r="C7162" s="6"/>
    </row>
    <row r="7163" spans="1:3" x14ac:dyDescent="0.25">
      <c r="A7163" s="4"/>
      <c r="B7163" s="5"/>
      <c r="C7163" s="6"/>
    </row>
    <row r="7164" spans="1:3" x14ac:dyDescent="0.25">
      <c r="A7164" s="4"/>
      <c r="B7164" s="5"/>
      <c r="C7164" s="6"/>
    </row>
    <row r="7165" spans="1:3" x14ac:dyDescent="0.25">
      <c r="A7165" s="4"/>
      <c r="B7165" s="5"/>
      <c r="C7165" s="6"/>
    </row>
    <row r="7166" spans="1:3" x14ac:dyDescent="0.25">
      <c r="A7166" s="4"/>
      <c r="B7166" s="5"/>
      <c r="C7166" s="6"/>
    </row>
    <row r="7167" spans="1:3" x14ac:dyDescent="0.25">
      <c r="A7167" s="4"/>
      <c r="B7167" s="5"/>
      <c r="C7167" s="6"/>
    </row>
    <row r="7168" spans="1:3" x14ac:dyDescent="0.25">
      <c r="A7168" s="4"/>
      <c r="B7168" s="5"/>
      <c r="C7168" s="6"/>
    </row>
    <row r="7169" spans="1:3" x14ac:dyDescent="0.25">
      <c r="A7169" s="4"/>
      <c r="B7169" s="5"/>
      <c r="C7169" s="6"/>
    </row>
    <row r="7170" spans="1:3" x14ac:dyDescent="0.25">
      <c r="A7170" s="4"/>
      <c r="B7170" s="5"/>
      <c r="C7170" s="6"/>
    </row>
    <row r="7171" spans="1:3" x14ac:dyDescent="0.25">
      <c r="A7171" s="4"/>
      <c r="B7171" s="5"/>
      <c r="C7171" s="6"/>
    </row>
    <row r="7172" spans="1:3" x14ac:dyDescent="0.25">
      <c r="A7172" s="4"/>
      <c r="B7172" s="5"/>
      <c r="C7172" s="6"/>
    </row>
    <row r="7173" spans="1:3" x14ac:dyDescent="0.25">
      <c r="A7173" s="4"/>
      <c r="B7173" s="5"/>
      <c r="C7173" s="6"/>
    </row>
    <row r="7174" spans="1:3" x14ac:dyDescent="0.25">
      <c r="A7174" s="4"/>
      <c r="B7174" s="5"/>
      <c r="C7174" s="6"/>
    </row>
    <row r="7175" spans="1:3" x14ac:dyDescent="0.25">
      <c r="A7175" s="4"/>
      <c r="B7175" s="5"/>
      <c r="C7175" s="6"/>
    </row>
    <row r="7176" spans="1:3" x14ac:dyDescent="0.25">
      <c r="A7176" s="4"/>
      <c r="B7176" s="5"/>
      <c r="C7176" s="6"/>
    </row>
    <row r="7177" spans="1:3" x14ac:dyDescent="0.25">
      <c r="A7177" s="4"/>
      <c r="B7177" s="5"/>
      <c r="C7177" s="6"/>
    </row>
    <row r="7178" spans="1:3" x14ac:dyDescent="0.25">
      <c r="A7178" s="4"/>
      <c r="B7178" s="5"/>
      <c r="C7178" s="6"/>
    </row>
    <row r="7179" spans="1:3" x14ac:dyDescent="0.25">
      <c r="A7179" s="4"/>
      <c r="B7179" s="5"/>
      <c r="C7179" s="6"/>
    </row>
    <row r="7180" spans="1:3" x14ac:dyDescent="0.25">
      <c r="A7180" s="4"/>
      <c r="B7180" s="5"/>
      <c r="C7180" s="6"/>
    </row>
    <row r="7181" spans="1:3" x14ac:dyDescent="0.25">
      <c r="A7181" s="4"/>
      <c r="B7181" s="5"/>
      <c r="C7181" s="6"/>
    </row>
    <row r="7182" spans="1:3" x14ac:dyDescent="0.25">
      <c r="A7182" s="4"/>
      <c r="B7182" s="5"/>
      <c r="C7182" s="6"/>
    </row>
    <row r="7183" spans="1:3" x14ac:dyDescent="0.25">
      <c r="A7183" s="4"/>
      <c r="B7183" s="5"/>
      <c r="C7183" s="6"/>
    </row>
    <row r="7184" spans="1:3" x14ac:dyDescent="0.25">
      <c r="A7184" s="4"/>
      <c r="B7184" s="5"/>
      <c r="C7184" s="6"/>
    </row>
    <row r="7185" spans="1:3" x14ac:dyDescent="0.25">
      <c r="A7185" s="4"/>
      <c r="B7185" s="5"/>
      <c r="C7185" s="6"/>
    </row>
    <row r="7186" spans="1:3" x14ac:dyDescent="0.25">
      <c r="A7186" s="4"/>
      <c r="B7186" s="5"/>
      <c r="C7186" s="6"/>
    </row>
    <row r="7187" spans="1:3" x14ac:dyDescent="0.25">
      <c r="A7187" s="4"/>
      <c r="B7187" s="5"/>
      <c r="C7187" s="6"/>
    </row>
    <row r="7188" spans="1:3" x14ac:dyDescent="0.25">
      <c r="A7188" s="4"/>
      <c r="B7188" s="5"/>
      <c r="C7188" s="6"/>
    </row>
    <row r="7189" spans="1:3" x14ac:dyDescent="0.25">
      <c r="A7189" s="4"/>
      <c r="B7189" s="5"/>
      <c r="C7189" s="6"/>
    </row>
    <row r="7190" spans="1:3" x14ac:dyDescent="0.25">
      <c r="A7190" s="4"/>
      <c r="B7190" s="5"/>
      <c r="C7190" s="6"/>
    </row>
    <row r="7191" spans="1:3" x14ac:dyDescent="0.25">
      <c r="A7191" s="4"/>
      <c r="B7191" s="5"/>
      <c r="C7191" s="6"/>
    </row>
    <row r="7192" spans="1:3" x14ac:dyDescent="0.25">
      <c r="A7192" s="4"/>
      <c r="B7192" s="5"/>
      <c r="C7192" s="6"/>
    </row>
    <row r="7193" spans="1:3" x14ac:dyDescent="0.25">
      <c r="A7193" s="4"/>
      <c r="B7193" s="5"/>
      <c r="C7193" s="6"/>
    </row>
    <row r="7194" spans="1:3" x14ac:dyDescent="0.25">
      <c r="A7194" s="4"/>
      <c r="B7194" s="5"/>
      <c r="C7194" s="6"/>
    </row>
    <row r="7195" spans="1:3" x14ac:dyDescent="0.25">
      <c r="A7195" s="4"/>
      <c r="B7195" s="5"/>
      <c r="C7195" s="6"/>
    </row>
    <row r="7196" spans="1:3" x14ac:dyDescent="0.25">
      <c r="A7196" s="4"/>
      <c r="B7196" s="5"/>
      <c r="C7196" s="6"/>
    </row>
    <row r="7197" spans="1:3" x14ac:dyDescent="0.25">
      <c r="A7197" s="4"/>
      <c r="B7197" s="5"/>
      <c r="C7197" s="6"/>
    </row>
    <row r="7198" spans="1:3" x14ac:dyDescent="0.25">
      <c r="A7198" s="4"/>
      <c r="B7198" s="5"/>
      <c r="C7198" s="6"/>
    </row>
    <row r="7199" spans="1:3" x14ac:dyDescent="0.25">
      <c r="A7199" s="4"/>
      <c r="B7199" s="5"/>
      <c r="C7199" s="6"/>
    </row>
    <row r="7200" spans="1:3" x14ac:dyDescent="0.25">
      <c r="A7200" s="4"/>
      <c r="B7200" s="5"/>
      <c r="C7200" s="6"/>
    </row>
    <row r="7201" spans="1:3" x14ac:dyDescent="0.25">
      <c r="A7201" s="4"/>
      <c r="B7201" s="5"/>
      <c r="C7201" s="6"/>
    </row>
    <row r="7202" spans="1:3" x14ac:dyDescent="0.25">
      <c r="A7202" s="4"/>
      <c r="B7202" s="5"/>
      <c r="C7202" s="6"/>
    </row>
    <row r="7203" spans="1:3" x14ac:dyDescent="0.25">
      <c r="A7203" s="4"/>
      <c r="B7203" s="5"/>
      <c r="C7203" s="6"/>
    </row>
    <row r="7204" spans="1:3" x14ac:dyDescent="0.25">
      <c r="A7204" s="4"/>
      <c r="B7204" s="5"/>
      <c r="C7204" s="6"/>
    </row>
    <row r="7205" spans="1:3" x14ac:dyDescent="0.25">
      <c r="A7205" s="4"/>
      <c r="B7205" s="5"/>
      <c r="C7205" s="6"/>
    </row>
    <row r="7206" spans="1:3" x14ac:dyDescent="0.25">
      <c r="A7206" s="4"/>
      <c r="B7206" s="5"/>
      <c r="C7206" s="6"/>
    </row>
    <row r="7207" spans="1:3" x14ac:dyDescent="0.25">
      <c r="A7207" s="4"/>
      <c r="B7207" s="5"/>
      <c r="C7207" s="6"/>
    </row>
    <row r="7208" spans="1:3" x14ac:dyDescent="0.25">
      <c r="A7208" s="4"/>
      <c r="B7208" s="5"/>
      <c r="C7208" s="6"/>
    </row>
    <row r="7209" spans="1:3" x14ac:dyDescent="0.25">
      <c r="A7209" s="4"/>
      <c r="B7209" s="5"/>
      <c r="C7209" s="6"/>
    </row>
    <row r="7210" spans="1:3" x14ac:dyDescent="0.25">
      <c r="A7210" s="4"/>
      <c r="B7210" s="5"/>
      <c r="C7210" s="6"/>
    </row>
    <row r="7211" spans="1:3" x14ac:dyDescent="0.25">
      <c r="A7211" s="4"/>
      <c r="B7211" s="5"/>
      <c r="C7211" s="6"/>
    </row>
    <row r="7212" spans="1:3" x14ac:dyDescent="0.25">
      <c r="A7212" s="4"/>
      <c r="B7212" s="5"/>
      <c r="C7212" s="6"/>
    </row>
    <row r="7213" spans="1:3" x14ac:dyDescent="0.25">
      <c r="A7213" s="4"/>
      <c r="B7213" s="5"/>
      <c r="C7213" s="5"/>
    </row>
    <row r="7214" spans="1:3" x14ac:dyDescent="0.25">
      <c r="A7214" s="4"/>
      <c r="B7214" s="5"/>
      <c r="C7214" s="6"/>
    </row>
    <row r="7215" spans="1:3" x14ac:dyDescent="0.25">
      <c r="A7215" s="4"/>
      <c r="B7215" s="5"/>
      <c r="C7215" s="6"/>
    </row>
    <row r="7216" spans="1:3" x14ac:dyDescent="0.25">
      <c r="A7216" s="4"/>
      <c r="B7216" s="5"/>
      <c r="C7216" s="6"/>
    </row>
    <row r="7217" spans="1:3" x14ac:dyDescent="0.25">
      <c r="A7217" s="4"/>
      <c r="B7217" s="5"/>
      <c r="C7217" s="6"/>
    </row>
    <row r="7218" spans="1:3" x14ac:dyDescent="0.25">
      <c r="A7218" s="4"/>
      <c r="B7218" s="5"/>
      <c r="C7218" s="6"/>
    </row>
    <row r="7219" spans="1:3" x14ac:dyDescent="0.25">
      <c r="A7219" s="4"/>
      <c r="B7219" s="5"/>
      <c r="C7219" s="6"/>
    </row>
    <row r="7220" spans="1:3" x14ac:dyDescent="0.25">
      <c r="A7220" s="4"/>
      <c r="B7220" s="5"/>
      <c r="C7220" s="6"/>
    </row>
    <row r="7221" spans="1:3" x14ac:dyDescent="0.25">
      <c r="A7221" s="4"/>
      <c r="B7221" s="5"/>
      <c r="C7221" s="6"/>
    </row>
    <row r="7222" spans="1:3" x14ac:dyDescent="0.25">
      <c r="A7222" s="4"/>
      <c r="B7222" s="5"/>
      <c r="C7222" s="6"/>
    </row>
    <row r="7223" spans="1:3" x14ac:dyDescent="0.25">
      <c r="A7223" s="4"/>
      <c r="B7223" s="5"/>
      <c r="C7223" s="6"/>
    </row>
    <row r="7224" spans="1:3" x14ac:dyDescent="0.25">
      <c r="A7224" s="4"/>
      <c r="B7224" s="5"/>
      <c r="C7224" s="6"/>
    </row>
    <row r="7225" spans="1:3" x14ac:dyDescent="0.25">
      <c r="A7225" s="4"/>
      <c r="B7225" s="5"/>
      <c r="C7225" s="6"/>
    </row>
    <row r="7226" spans="1:3" x14ac:dyDescent="0.25">
      <c r="A7226" s="4"/>
      <c r="B7226" s="5"/>
      <c r="C7226" s="6"/>
    </row>
    <row r="7227" spans="1:3" x14ac:dyDescent="0.25">
      <c r="A7227" s="4"/>
      <c r="B7227" s="5"/>
      <c r="C7227" s="6"/>
    </row>
    <row r="7228" spans="1:3" x14ac:dyDescent="0.25">
      <c r="A7228" s="4"/>
      <c r="B7228" s="5"/>
      <c r="C7228" s="6"/>
    </row>
    <row r="7229" spans="1:3" x14ac:dyDescent="0.25">
      <c r="A7229" s="4"/>
      <c r="B7229" s="5"/>
      <c r="C7229" s="6"/>
    </row>
    <row r="7230" spans="1:3" x14ac:dyDescent="0.25">
      <c r="A7230" s="4"/>
      <c r="B7230" s="5"/>
      <c r="C7230" s="6"/>
    </row>
    <row r="7231" spans="1:3" x14ac:dyDescent="0.25">
      <c r="A7231" s="4"/>
      <c r="B7231" s="5"/>
      <c r="C7231" s="6"/>
    </row>
    <row r="7232" spans="1:3" x14ac:dyDescent="0.25">
      <c r="A7232" s="4"/>
      <c r="B7232" s="5"/>
      <c r="C7232" s="6"/>
    </row>
    <row r="7233" spans="1:3" x14ac:dyDescent="0.25">
      <c r="A7233" s="4"/>
      <c r="B7233" s="5"/>
      <c r="C7233" s="6"/>
    </row>
    <row r="7234" spans="1:3" x14ac:dyDescent="0.25">
      <c r="A7234" s="4"/>
      <c r="B7234" s="5"/>
      <c r="C7234" s="6"/>
    </row>
    <row r="7235" spans="1:3" x14ac:dyDescent="0.25">
      <c r="A7235" s="4"/>
      <c r="B7235" s="5"/>
      <c r="C7235" s="6"/>
    </row>
    <row r="7236" spans="1:3" x14ac:dyDescent="0.25">
      <c r="A7236" s="4"/>
      <c r="B7236" s="5"/>
      <c r="C7236" s="6"/>
    </row>
    <row r="7237" spans="1:3" x14ac:dyDescent="0.25">
      <c r="A7237" s="4"/>
      <c r="B7237" s="5"/>
      <c r="C7237" s="6"/>
    </row>
    <row r="7238" spans="1:3" x14ac:dyDescent="0.25">
      <c r="A7238" s="4"/>
      <c r="B7238" s="5"/>
      <c r="C7238" s="6"/>
    </row>
    <row r="7239" spans="1:3" x14ac:dyDescent="0.25">
      <c r="A7239" s="4"/>
      <c r="B7239" s="5"/>
      <c r="C7239" s="6"/>
    </row>
    <row r="7240" spans="1:3" x14ac:dyDescent="0.25">
      <c r="A7240" s="4"/>
      <c r="B7240" s="5"/>
      <c r="C7240" s="6"/>
    </row>
    <row r="7241" spans="1:3" x14ac:dyDescent="0.25">
      <c r="A7241" s="4"/>
      <c r="B7241" s="5"/>
      <c r="C7241" s="6"/>
    </row>
    <row r="7242" spans="1:3" x14ac:dyDescent="0.25">
      <c r="A7242" s="4"/>
      <c r="B7242" s="5"/>
      <c r="C7242" s="6"/>
    </row>
    <row r="7243" spans="1:3" x14ac:dyDescent="0.25">
      <c r="A7243" s="4"/>
      <c r="B7243" s="5"/>
      <c r="C7243" s="6"/>
    </row>
    <row r="7244" spans="1:3" x14ac:dyDescent="0.25">
      <c r="A7244" s="4"/>
      <c r="B7244" s="5"/>
      <c r="C7244" s="6"/>
    </row>
    <row r="7245" spans="1:3" x14ac:dyDescent="0.25">
      <c r="A7245" s="4"/>
      <c r="B7245" s="5"/>
      <c r="C7245" s="6"/>
    </row>
    <row r="7246" spans="1:3" x14ac:dyDescent="0.25">
      <c r="A7246" s="4"/>
      <c r="B7246" s="5"/>
      <c r="C7246" s="6"/>
    </row>
    <row r="7247" spans="1:3" x14ac:dyDescent="0.25">
      <c r="A7247" s="4"/>
      <c r="B7247" s="5"/>
      <c r="C7247" s="6"/>
    </row>
    <row r="7248" spans="1:3" x14ac:dyDescent="0.25">
      <c r="A7248" s="4"/>
      <c r="B7248" s="5"/>
      <c r="C7248" s="6"/>
    </row>
    <row r="7249" spans="1:3" x14ac:dyDescent="0.25">
      <c r="A7249" s="4"/>
      <c r="B7249" s="5"/>
      <c r="C7249" s="6"/>
    </row>
    <row r="7250" spans="1:3" x14ac:dyDescent="0.25">
      <c r="A7250" s="4"/>
      <c r="B7250" s="5"/>
      <c r="C7250" s="6"/>
    </row>
    <row r="7251" spans="1:3" x14ac:dyDescent="0.25">
      <c r="A7251" s="4"/>
      <c r="B7251" s="5"/>
      <c r="C7251" s="6"/>
    </row>
    <row r="7252" spans="1:3" x14ac:dyDescent="0.25">
      <c r="A7252" s="4"/>
      <c r="B7252" s="5"/>
      <c r="C7252" s="6"/>
    </row>
    <row r="7253" spans="1:3" x14ac:dyDescent="0.25">
      <c r="A7253" s="4"/>
      <c r="B7253" s="5"/>
      <c r="C7253" s="6"/>
    </row>
    <row r="7254" spans="1:3" x14ac:dyDescent="0.25">
      <c r="A7254" s="4"/>
      <c r="B7254" s="5"/>
      <c r="C725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72645-E120-4941-815B-E7569B450DF3}">
  <dimension ref="A1:C418"/>
  <sheetViews>
    <sheetView workbookViewId="0">
      <selection activeCell="C2" sqref="C2"/>
    </sheetView>
  </sheetViews>
  <sheetFormatPr defaultRowHeight="15" x14ac:dyDescent="0.25"/>
  <cols>
    <col min="5" max="5" width="10.140625" bestFit="1" customWidth="1"/>
  </cols>
  <sheetData>
    <row r="1" spans="1:3" x14ac:dyDescent="0.25">
      <c r="A1" s="12" t="s">
        <v>0</v>
      </c>
      <c r="B1" s="5" t="s">
        <v>1</v>
      </c>
      <c r="C1" t="s">
        <v>2</v>
      </c>
    </row>
    <row r="2" spans="1:3" x14ac:dyDescent="0.25">
      <c r="A2" s="7">
        <v>32874</v>
      </c>
      <c r="B2" s="8">
        <v>92.875</v>
      </c>
      <c r="C2">
        <f>bunker_monthly_cal!Q34</f>
        <v>21.792499999999997</v>
      </c>
    </row>
    <row r="3" spans="1:3" x14ac:dyDescent="0.25">
      <c r="A3" s="9">
        <v>32905</v>
      </c>
      <c r="B3" s="8">
        <v>89.5</v>
      </c>
      <c r="C3" s="5">
        <f>bunker_monthly_cal!Q35</f>
        <v>19.785</v>
      </c>
    </row>
    <row r="4" spans="1:3" x14ac:dyDescent="0.25">
      <c r="A4" s="9">
        <v>32933</v>
      </c>
      <c r="B4" s="8">
        <v>84.3</v>
      </c>
      <c r="C4" s="5">
        <f>bunker_monthly_cal!Q36</f>
        <v>18.417999999999999</v>
      </c>
    </row>
    <row r="5" spans="1:3" x14ac:dyDescent="0.25">
      <c r="A5" s="9">
        <v>32964</v>
      </c>
      <c r="B5" s="8">
        <v>78.25</v>
      </c>
      <c r="C5" s="5">
        <f>bunker_monthly_cal!Q37</f>
        <v>12.47</v>
      </c>
    </row>
    <row r="6" spans="1:3" x14ac:dyDescent="0.25">
      <c r="A6" s="9">
        <v>32994</v>
      </c>
      <c r="B6" s="8">
        <v>75.375</v>
      </c>
      <c r="C6" s="5">
        <f>bunker_monthly_cal!Q38</f>
        <v>16.335000000000001</v>
      </c>
    </row>
    <row r="7" spans="1:3" x14ac:dyDescent="0.25">
      <c r="A7" s="9">
        <v>33025</v>
      </c>
      <c r="B7" s="8">
        <v>60.2</v>
      </c>
      <c r="C7" s="5">
        <f>bunker_monthly_cal!Q39</f>
        <v>15.278</v>
      </c>
    </row>
    <row r="8" spans="1:3" x14ac:dyDescent="0.25">
      <c r="A8" s="9">
        <v>33055</v>
      </c>
      <c r="B8" s="8">
        <v>70.75</v>
      </c>
      <c r="C8" s="5">
        <f>bunker_monthly_cal!Q40</f>
        <v>17.352499999999999</v>
      </c>
    </row>
    <row r="9" spans="1:3" x14ac:dyDescent="0.25">
      <c r="A9" s="9">
        <v>33086</v>
      </c>
      <c r="B9" s="8">
        <v>113.6</v>
      </c>
      <c r="C9" s="5">
        <f>bunker_monthly_cal!Q41</f>
        <v>27.666000000000004</v>
      </c>
    </row>
    <row r="10" spans="1:3" x14ac:dyDescent="0.25">
      <c r="A10" s="9">
        <v>33117</v>
      </c>
      <c r="B10" s="8">
        <v>133.625</v>
      </c>
      <c r="C10" s="5">
        <f>bunker_monthly_cal!Q42</f>
        <v>35.6875</v>
      </c>
    </row>
    <row r="11" spans="1:3" x14ac:dyDescent="0.25">
      <c r="A11" s="9">
        <v>33147</v>
      </c>
      <c r="B11" s="8">
        <v>142.625</v>
      </c>
      <c r="C11" s="5">
        <f>bunker_monthly_cal!Q43</f>
        <v>36.47</v>
      </c>
    </row>
    <row r="12" spans="1:3" x14ac:dyDescent="0.25">
      <c r="A12" s="9">
        <v>33178</v>
      </c>
      <c r="B12" s="8">
        <v>138.69999999999999</v>
      </c>
      <c r="C12" s="5">
        <f>bunker_monthly_cal!Q44</f>
        <v>32.61999999999999</v>
      </c>
    </row>
    <row r="13" spans="1:3" x14ac:dyDescent="0.25">
      <c r="A13" s="9">
        <v>33208</v>
      </c>
      <c r="B13" s="8">
        <v>143.625</v>
      </c>
      <c r="C13" s="5">
        <f>bunker_monthly_cal!Q45</f>
        <v>27.770000000000003</v>
      </c>
    </row>
    <row r="14" spans="1:3" x14ac:dyDescent="0.25">
      <c r="A14" s="9">
        <v>33239</v>
      </c>
      <c r="B14" s="8">
        <v>142.375</v>
      </c>
      <c r="C14" s="5">
        <f>bunker_monthly_cal!Q46</f>
        <v>22.507499999999997</v>
      </c>
    </row>
    <row r="15" spans="1:3" x14ac:dyDescent="0.25">
      <c r="A15" s="9">
        <v>33270</v>
      </c>
      <c r="B15" s="8">
        <v>75.125</v>
      </c>
      <c r="C15" s="5">
        <f>bunker_monthly_cal!Q47</f>
        <v>19.400000000000002</v>
      </c>
    </row>
    <row r="16" spans="1:3" x14ac:dyDescent="0.25">
      <c r="A16" s="9">
        <v>33298</v>
      </c>
      <c r="B16" s="8">
        <v>70.400000000000006</v>
      </c>
      <c r="C16" s="5">
        <f>bunker_monthly_cal!Q48</f>
        <v>15.286000000000001</v>
      </c>
    </row>
    <row r="17" spans="1:3" x14ac:dyDescent="0.25">
      <c r="A17" s="9">
        <v>33329</v>
      </c>
      <c r="B17" s="8">
        <v>71.125</v>
      </c>
      <c r="C17" s="5">
        <f>bunker_monthly_cal!Q49</f>
        <v>19.272500000000001</v>
      </c>
    </row>
    <row r="18" spans="1:3" x14ac:dyDescent="0.25">
      <c r="A18" s="9">
        <v>33359</v>
      </c>
      <c r="B18" s="8">
        <v>71.45</v>
      </c>
      <c r="C18" s="5">
        <f>bunker_monthly_cal!Q50</f>
        <v>19.131999999999998</v>
      </c>
    </row>
    <row r="19" spans="1:3" x14ac:dyDescent="0.25">
      <c r="A19" s="9">
        <v>33390</v>
      </c>
      <c r="B19" s="8">
        <v>91.875</v>
      </c>
      <c r="C19" s="5">
        <f>bunker_monthly_cal!Q51</f>
        <v>18.2225</v>
      </c>
    </row>
    <row r="20" spans="1:3" x14ac:dyDescent="0.25">
      <c r="A20" s="9">
        <v>33420</v>
      </c>
      <c r="B20" s="8">
        <v>71.625</v>
      </c>
      <c r="C20" s="5">
        <f>bunker_monthly_cal!Q52</f>
        <v>19.622500000000002</v>
      </c>
    </row>
    <row r="21" spans="1:3" x14ac:dyDescent="0.25">
      <c r="A21" s="9">
        <v>33451</v>
      </c>
      <c r="B21" s="8">
        <v>69.400000000000006</v>
      </c>
      <c r="C21" s="5">
        <f>bunker_monthly_cal!Q53</f>
        <v>19.742000000000001</v>
      </c>
    </row>
    <row r="22" spans="1:3" x14ac:dyDescent="0.25">
      <c r="A22" s="9">
        <v>33482</v>
      </c>
      <c r="B22" s="8">
        <v>69.1875</v>
      </c>
      <c r="C22" s="5">
        <f>bunker_monthly_cal!Q54</f>
        <v>20.627500000000001</v>
      </c>
    </row>
    <row r="23" spans="1:3" x14ac:dyDescent="0.25">
      <c r="A23" s="9">
        <v>33512</v>
      </c>
      <c r="B23" s="8">
        <v>80.0625</v>
      </c>
      <c r="C23" s="5">
        <f>bunker_monthly_cal!Q55</f>
        <v>22.314999999999998</v>
      </c>
    </row>
    <row r="24" spans="1:3" x14ac:dyDescent="0.25">
      <c r="A24" s="9">
        <v>33543</v>
      </c>
      <c r="B24" s="8">
        <v>88</v>
      </c>
      <c r="C24" s="5">
        <f>bunker_monthly_cal!Q56</f>
        <v>21.237999999999996</v>
      </c>
    </row>
    <row r="25" spans="1:3" x14ac:dyDescent="0.25">
      <c r="A25" s="9">
        <v>33573</v>
      </c>
      <c r="B25" s="8">
        <v>74.25</v>
      </c>
      <c r="C25" s="5">
        <f>bunker_monthly_cal!Q57</f>
        <v>18.600000000000001</v>
      </c>
    </row>
    <row r="26" spans="1:3" x14ac:dyDescent="0.25">
      <c r="A26" s="9">
        <v>33604</v>
      </c>
      <c r="B26" s="8">
        <v>66.3</v>
      </c>
      <c r="C26" s="5">
        <f>bunker_monthly_cal!Q58</f>
        <v>18.137999999999998</v>
      </c>
    </row>
    <row r="27" spans="1:3" x14ac:dyDescent="0.25">
      <c r="A27" s="9">
        <v>33635</v>
      </c>
      <c r="B27" s="8">
        <v>66</v>
      </c>
      <c r="C27" s="5">
        <f>bunker_monthly_cal!Q59</f>
        <v>18.164999999999999</v>
      </c>
    </row>
    <row r="28" spans="1:3" x14ac:dyDescent="0.25">
      <c r="A28" s="9">
        <v>33664</v>
      </c>
      <c r="B28" s="8">
        <v>74.166669999999996</v>
      </c>
      <c r="C28" s="5">
        <f>bunker_monthly_cal!Q60</f>
        <v>17.657499999999999</v>
      </c>
    </row>
    <row r="29" spans="1:3" x14ac:dyDescent="0.25">
      <c r="A29" s="9">
        <v>33695</v>
      </c>
      <c r="B29" s="8">
        <v>75</v>
      </c>
      <c r="C29" s="5">
        <f>bunker_monthly_cal!Q61</f>
        <v>14.145</v>
      </c>
    </row>
    <row r="30" spans="1:3" x14ac:dyDescent="0.25">
      <c r="A30" s="9">
        <v>33725</v>
      </c>
      <c r="B30" s="8">
        <v>81.5</v>
      </c>
      <c r="C30" s="5">
        <f>bunker_monthly_cal!Q62</f>
        <v>19.887999999999998</v>
      </c>
    </row>
    <row r="31" spans="1:3" x14ac:dyDescent="0.25">
      <c r="A31" s="9">
        <v>33756</v>
      </c>
      <c r="B31" s="8">
        <v>91.875</v>
      </c>
      <c r="C31" s="5">
        <f>bunker_monthly_cal!Q63</f>
        <v>21.265000000000001</v>
      </c>
    </row>
    <row r="32" spans="1:3" x14ac:dyDescent="0.25">
      <c r="A32" s="9">
        <v>33786</v>
      </c>
      <c r="B32" s="8">
        <v>90</v>
      </c>
      <c r="C32" s="5">
        <f>bunker_monthly_cal!Q64</f>
        <v>20.365999999999996</v>
      </c>
    </row>
    <row r="33" spans="1:3" x14ac:dyDescent="0.25">
      <c r="A33" s="9">
        <v>33817</v>
      </c>
      <c r="B33" s="8">
        <v>89.875</v>
      </c>
      <c r="C33" s="5">
        <f>bunker_monthly_cal!Q65</f>
        <v>19.739999999999998</v>
      </c>
    </row>
    <row r="34" spans="1:3" x14ac:dyDescent="0.25">
      <c r="A34" s="9">
        <v>33848</v>
      </c>
      <c r="B34" s="8">
        <v>91.875</v>
      </c>
      <c r="C34" s="5">
        <f>bunker_monthly_cal!Q66</f>
        <v>20.252500000000001</v>
      </c>
    </row>
    <row r="35" spans="1:3" x14ac:dyDescent="0.25">
      <c r="A35" s="9">
        <v>33878</v>
      </c>
      <c r="B35" s="8">
        <v>103.1</v>
      </c>
      <c r="C35" s="5">
        <f>bunker_monthly_cal!Q67</f>
        <v>20.163999999999998</v>
      </c>
    </row>
    <row r="36" spans="1:3" x14ac:dyDescent="0.25">
      <c r="A36" s="9">
        <v>33909</v>
      </c>
      <c r="B36" s="8">
        <v>93.75</v>
      </c>
      <c r="C36" s="5">
        <f>bunker_monthly_cal!Q68</f>
        <v>19.184999999999999</v>
      </c>
    </row>
    <row r="37" spans="1:3" x14ac:dyDescent="0.25">
      <c r="A37" s="9">
        <v>33939</v>
      </c>
      <c r="B37" s="8">
        <v>77.625</v>
      </c>
      <c r="C37" s="5">
        <f>bunker_monthly_cal!Q69</f>
        <v>13.712499999999999</v>
      </c>
    </row>
    <row r="38" spans="1:3" x14ac:dyDescent="0.25">
      <c r="A38" s="9">
        <v>33970</v>
      </c>
      <c r="B38" s="8">
        <v>71.150000000000006</v>
      </c>
      <c r="C38" s="5">
        <f>bunker_monthly_cal!Q70</f>
        <v>14.014000000000001</v>
      </c>
    </row>
    <row r="39" spans="1:3" x14ac:dyDescent="0.25">
      <c r="A39" s="9">
        <v>34001</v>
      </c>
      <c r="B39" s="8">
        <v>70.75</v>
      </c>
      <c r="C39" s="5">
        <f>bunker_monthly_cal!Q71</f>
        <v>18.577500000000001</v>
      </c>
    </row>
    <row r="40" spans="1:3" x14ac:dyDescent="0.25">
      <c r="A40" s="9">
        <v>34029</v>
      </c>
      <c r="B40" s="8">
        <v>78.875</v>
      </c>
      <c r="C40" s="5">
        <f>bunker_monthly_cal!Q72</f>
        <v>18.89</v>
      </c>
    </row>
    <row r="41" spans="1:3" x14ac:dyDescent="0.25">
      <c r="A41" s="9">
        <v>34060</v>
      </c>
      <c r="B41" s="8">
        <v>79.900000000000006</v>
      </c>
      <c r="C41" s="5">
        <f>bunker_monthly_cal!Q73</f>
        <v>14.971999999999998</v>
      </c>
    </row>
    <row r="42" spans="1:3" x14ac:dyDescent="0.25">
      <c r="A42" s="9">
        <v>34090</v>
      </c>
      <c r="B42" s="8">
        <v>73</v>
      </c>
      <c r="C42" s="5">
        <f>bunker_monthly_cal!Q74</f>
        <v>18.464999999999996</v>
      </c>
    </row>
    <row r="43" spans="1:3" x14ac:dyDescent="0.25">
      <c r="A43" s="9">
        <v>34121</v>
      </c>
      <c r="B43" s="8">
        <v>60.625</v>
      </c>
      <c r="C43" s="5">
        <f>bunker_monthly_cal!Q75</f>
        <v>17.559999999999999</v>
      </c>
    </row>
    <row r="44" spans="1:3" x14ac:dyDescent="0.25">
      <c r="A44" s="9">
        <v>34151</v>
      </c>
      <c r="B44" s="8">
        <v>59.3</v>
      </c>
      <c r="C44" s="5">
        <f>bunker_monthly_cal!Q76</f>
        <v>16.692</v>
      </c>
    </row>
    <row r="45" spans="1:3" x14ac:dyDescent="0.25">
      <c r="A45" s="9">
        <v>34182</v>
      </c>
      <c r="B45" s="8">
        <v>62.75</v>
      </c>
      <c r="C45" s="5">
        <f>bunker_monthly_cal!Q77</f>
        <v>16.760000000000002</v>
      </c>
    </row>
    <row r="46" spans="1:3" x14ac:dyDescent="0.25">
      <c r="A46" s="9">
        <v>34213</v>
      </c>
      <c r="B46" s="8">
        <v>61.125</v>
      </c>
      <c r="C46" s="5">
        <f>bunker_monthly_cal!Q78</f>
        <v>15.852500000000001</v>
      </c>
    </row>
    <row r="47" spans="1:3" x14ac:dyDescent="0.25">
      <c r="A47" s="9">
        <v>34243</v>
      </c>
      <c r="B47" s="8">
        <v>65.375</v>
      </c>
      <c r="C47" s="5">
        <f>bunker_monthly_cal!Q79</f>
        <v>16.534000000000002</v>
      </c>
    </row>
    <row r="48" spans="1:3" x14ac:dyDescent="0.25">
      <c r="A48" s="9">
        <v>34274</v>
      </c>
      <c r="B48" s="8">
        <v>62.75</v>
      </c>
      <c r="C48" s="5">
        <f>bunker_monthly_cal!Q80</f>
        <v>15.085000000000001</v>
      </c>
    </row>
    <row r="49" spans="1:3" x14ac:dyDescent="0.25">
      <c r="A49" s="9">
        <v>34304</v>
      </c>
      <c r="B49" s="8">
        <v>55.2</v>
      </c>
      <c r="C49" s="5">
        <f>bunker_monthly_cal!Q81</f>
        <v>13.632</v>
      </c>
    </row>
    <row r="50" spans="1:3" x14ac:dyDescent="0.25">
      <c r="A50" s="9">
        <v>34335</v>
      </c>
      <c r="B50" s="8">
        <v>63</v>
      </c>
      <c r="C50" s="5">
        <f>bunker_monthly_cal!Q82</f>
        <v>14.4025</v>
      </c>
    </row>
    <row r="51" spans="1:3" x14ac:dyDescent="0.25">
      <c r="A51" s="9">
        <v>34366</v>
      </c>
      <c r="B51" s="8">
        <v>78.625</v>
      </c>
      <c r="C51" s="5">
        <f>bunker_monthly_cal!Q83</f>
        <v>13.739999999999998</v>
      </c>
    </row>
    <row r="52" spans="1:3" x14ac:dyDescent="0.25">
      <c r="A52" s="9">
        <v>34394</v>
      </c>
      <c r="B52" s="8">
        <v>78.375</v>
      </c>
      <c r="C52" s="5">
        <f>bunker_monthly_cal!Q84</f>
        <v>13.94</v>
      </c>
    </row>
    <row r="53" spans="1:3" x14ac:dyDescent="0.25">
      <c r="A53" s="9">
        <v>34425</v>
      </c>
      <c r="B53" s="8">
        <v>74.8</v>
      </c>
      <c r="C53" s="5">
        <f>bunker_monthly_cal!Q85</f>
        <v>12.232000000000001</v>
      </c>
    </row>
    <row r="54" spans="1:3" x14ac:dyDescent="0.25">
      <c r="A54" s="9">
        <v>34455</v>
      </c>
      <c r="B54" s="8">
        <v>80.125</v>
      </c>
      <c r="C54" s="5">
        <f>bunker_monthly_cal!Q86</f>
        <v>16.265000000000001</v>
      </c>
    </row>
    <row r="55" spans="1:3" x14ac:dyDescent="0.25">
      <c r="A55" s="9">
        <v>34486</v>
      </c>
      <c r="B55" s="8">
        <v>87.625</v>
      </c>
      <c r="C55" s="5">
        <f>bunker_monthly_cal!Q87</f>
        <v>16.759999999999998</v>
      </c>
    </row>
    <row r="56" spans="1:3" x14ac:dyDescent="0.25">
      <c r="A56" s="9">
        <v>34516</v>
      </c>
      <c r="B56" s="8">
        <v>96.5</v>
      </c>
      <c r="C56" s="5">
        <f>bunker_monthly_cal!Q88</f>
        <v>17.771999999999998</v>
      </c>
    </row>
    <row r="57" spans="1:3" x14ac:dyDescent="0.25">
      <c r="A57" s="9">
        <v>34547</v>
      </c>
      <c r="B57" s="8">
        <v>86.125</v>
      </c>
      <c r="C57" s="5">
        <f>bunker_monthly_cal!Q89</f>
        <v>16.715</v>
      </c>
    </row>
    <row r="58" spans="1:3" x14ac:dyDescent="0.25">
      <c r="A58" s="9">
        <v>34578</v>
      </c>
      <c r="B58" s="8">
        <v>75</v>
      </c>
      <c r="C58" s="5">
        <f>bunker_monthly_cal!Q90</f>
        <v>16.027999999999999</v>
      </c>
    </row>
    <row r="59" spans="1:3" x14ac:dyDescent="0.25">
      <c r="A59" s="9">
        <v>34608</v>
      </c>
      <c r="B59" s="8">
        <v>89.125</v>
      </c>
      <c r="C59" s="5">
        <f>bunker_monthly_cal!Q91</f>
        <v>16.509999999999998</v>
      </c>
    </row>
    <row r="60" spans="1:3" x14ac:dyDescent="0.25">
      <c r="A60" s="9">
        <v>34639</v>
      </c>
      <c r="B60" s="8">
        <v>102.875</v>
      </c>
      <c r="C60" s="5">
        <f>bunker_monthly_cal!Q92</f>
        <v>17.2075</v>
      </c>
    </row>
    <row r="61" spans="1:3" x14ac:dyDescent="0.25">
      <c r="A61" s="9">
        <v>34669</v>
      </c>
      <c r="B61" s="8">
        <v>96.1</v>
      </c>
      <c r="C61" s="5">
        <f>bunker_monthly_cal!Q93</f>
        <v>15.937999999999999</v>
      </c>
    </row>
    <row r="62" spans="1:3" x14ac:dyDescent="0.25">
      <c r="A62" s="9">
        <v>34700</v>
      </c>
      <c r="B62" s="8">
        <v>108.5</v>
      </c>
      <c r="C62" s="5">
        <f>bunker_monthly_cal!Q94</f>
        <v>16.54</v>
      </c>
    </row>
    <row r="63" spans="1:3" x14ac:dyDescent="0.25">
      <c r="A63" s="9">
        <v>34731</v>
      </c>
      <c r="B63" s="8">
        <v>103.375</v>
      </c>
      <c r="C63" s="5">
        <f>bunker_monthly_cal!Q95</f>
        <v>17.1875</v>
      </c>
    </row>
    <row r="64" spans="1:3" x14ac:dyDescent="0.25">
      <c r="A64" s="9">
        <v>34759</v>
      </c>
      <c r="B64" s="8">
        <v>106.2</v>
      </c>
      <c r="C64" s="5">
        <f>bunker_monthly_cal!Q96</f>
        <v>17.071999999999999</v>
      </c>
    </row>
    <row r="65" spans="1:3" x14ac:dyDescent="0.25">
      <c r="A65" s="9">
        <v>34790</v>
      </c>
      <c r="B65" s="8">
        <v>105.1875</v>
      </c>
      <c r="C65" s="5">
        <f>bunker_monthly_cal!Q97</f>
        <v>14.1525</v>
      </c>
    </row>
    <row r="66" spans="1:3" x14ac:dyDescent="0.25">
      <c r="A66" s="9">
        <v>34820</v>
      </c>
      <c r="B66" s="8">
        <v>107.875</v>
      </c>
      <c r="C66" s="5">
        <f>bunker_monthly_cal!Q98</f>
        <v>18.327500000000001</v>
      </c>
    </row>
    <row r="67" spans="1:3" x14ac:dyDescent="0.25">
      <c r="A67" s="9">
        <v>34851</v>
      </c>
      <c r="B67" s="8">
        <v>93.6</v>
      </c>
      <c r="C67" s="5">
        <f>bunker_monthly_cal!Q99</f>
        <v>17.261999999999997</v>
      </c>
    </row>
    <row r="68" spans="1:3" x14ac:dyDescent="0.25">
      <c r="A68" s="9">
        <v>34881</v>
      </c>
      <c r="B68" s="8">
        <v>81.375</v>
      </c>
      <c r="C68" s="5">
        <f>bunker_monthly_cal!Q100</f>
        <v>15.795</v>
      </c>
    </row>
    <row r="69" spans="1:3" x14ac:dyDescent="0.25">
      <c r="A69" s="9">
        <v>34912</v>
      </c>
      <c r="B69" s="8">
        <v>83.25</v>
      </c>
      <c r="C69" s="5">
        <f>bunker_monthly_cal!Q101</f>
        <v>16.122500000000002</v>
      </c>
    </row>
    <row r="70" spans="1:3" x14ac:dyDescent="0.25">
      <c r="A70" s="9">
        <v>34943</v>
      </c>
      <c r="B70" s="8">
        <v>87.5</v>
      </c>
      <c r="C70" s="5">
        <f>bunker_monthly_cal!Q102</f>
        <v>16.667999999999999</v>
      </c>
    </row>
    <row r="71" spans="1:3" x14ac:dyDescent="0.25">
      <c r="A71" s="9">
        <v>34973</v>
      </c>
      <c r="B71" s="8">
        <v>85.875</v>
      </c>
      <c r="C71" s="5">
        <f>bunker_monthly_cal!Q103</f>
        <v>15.97</v>
      </c>
    </row>
    <row r="72" spans="1:3" x14ac:dyDescent="0.25">
      <c r="A72" s="9">
        <v>35004</v>
      </c>
      <c r="B72" s="8">
        <v>85.5</v>
      </c>
      <c r="C72" s="5">
        <f>bunker_monthly_cal!Q104</f>
        <v>16.917499999999997</v>
      </c>
    </row>
    <row r="73" spans="1:3" x14ac:dyDescent="0.25">
      <c r="A73" s="9">
        <v>35034</v>
      </c>
      <c r="B73" s="8">
        <v>102.8</v>
      </c>
      <c r="C73" s="5">
        <f>bunker_monthly_cal!Q105</f>
        <v>17.977999999999998</v>
      </c>
    </row>
    <row r="74" spans="1:3" x14ac:dyDescent="0.25">
      <c r="A74" s="9">
        <v>35065</v>
      </c>
      <c r="B74" s="8">
        <v>103.625</v>
      </c>
      <c r="C74" s="5">
        <f>bunker_monthly_cal!Q106</f>
        <v>17.827500000000001</v>
      </c>
    </row>
    <row r="75" spans="1:3" x14ac:dyDescent="0.25">
      <c r="A75" s="9">
        <v>35096</v>
      </c>
      <c r="B75" s="8">
        <v>95.5</v>
      </c>
      <c r="C75" s="5">
        <f>bunker_monthly_cal!Q107</f>
        <v>17.832500000000003</v>
      </c>
    </row>
    <row r="76" spans="1:3" x14ac:dyDescent="0.25">
      <c r="A76" s="9">
        <v>35125</v>
      </c>
      <c r="B76" s="8">
        <v>106.6</v>
      </c>
      <c r="C76" s="5">
        <f>bunker_monthly_cal!Q108</f>
        <v>19.635999999999999</v>
      </c>
    </row>
    <row r="77" spans="1:3" x14ac:dyDescent="0.25">
      <c r="A77" s="9">
        <v>35156</v>
      </c>
      <c r="B77" s="8">
        <v>115.375</v>
      </c>
      <c r="C77" s="5">
        <f>bunker_monthly_cal!Q109</f>
        <v>15.577500000000001</v>
      </c>
    </row>
    <row r="78" spans="1:3" x14ac:dyDescent="0.25">
      <c r="A78" s="9">
        <v>35186</v>
      </c>
      <c r="B78" s="8">
        <v>99.6</v>
      </c>
      <c r="C78" s="5">
        <f>bunker_monthly_cal!Q110</f>
        <v>18.898000000000003</v>
      </c>
    </row>
    <row r="79" spans="1:3" x14ac:dyDescent="0.25">
      <c r="A79" s="9">
        <v>35217</v>
      </c>
      <c r="B79" s="8">
        <v>88.625</v>
      </c>
      <c r="C79" s="5">
        <f>bunker_monthly_cal!Q111</f>
        <v>18.489999999999998</v>
      </c>
    </row>
    <row r="80" spans="1:3" x14ac:dyDescent="0.25">
      <c r="A80" s="9">
        <v>35247</v>
      </c>
      <c r="B80" s="8">
        <v>88.125</v>
      </c>
      <c r="C80" s="5">
        <f>bunker_monthly_cal!Q112</f>
        <v>19.572500000000002</v>
      </c>
    </row>
    <row r="81" spans="1:3" x14ac:dyDescent="0.25">
      <c r="A81" s="9">
        <v>35278</v>
      </c>
      <c r="B81" s="8">
        <v>97.4</v>
      </c>
      <c r="C81" s="5">
        <f>bunker_monthly_cal!Q113</f>
        <v>20.548000000000002</v>
      </c>
    </row>
    <row r="82" spans="1:3" x14ac:dyDescent="0.25">
      <c r="A82" s="9">
        <v>35309</v>
      </c>
      <c r="B82" s="8">
        <v>114.5</v>
      </c>
      <c r="C82" s="5">
        <f>bunker_monthly_cal!Q114</f>
        <v>22.734999999999999</v>
      </c>
    </row>
    <row r="83" spans="1:3" x14ac:dyDescent="0.25">
      <c r="A83" s="9">
        <v>35339</v>
      </c>
      <c r="B83" s="8">
        <v>122.5</v>
      </c>
      <c r="C83" s="5">
        <f>bunker_monthly_cal!Q115</f>
        <v>24.259999999999998</v>
      </c>
    </row>
    <row r="84" spans="1:3" x14ac:dyDescent="0.25">
      <c r="A84" s="9">
        <v>35370</v>
      </c>
      <c r="B84" s="8">
        <v>116.5</v>
      </c>
      <c r="C84" s="5">
        <f>bunker_monthly_cal!Q116</f>
        <v>23.002000000000002</v>
      </c>
    </row>
    <row r="85" spans="1:3" x14ac:dyDescent="0.25">
      <c r="A85" s="9">
        <v>35400</v>
      </c>
      <c r="B85" s="8">
        <v>120.375</v>
      </c>
      <c r="C85" s="5">
        <f>bunker_monthly_cal!Q117</f>
        <v>23.724999999999998</v>
      </c>
    </row>
    <row r="86" spans="1:3" x14ac:dyDescent="0.25">
      <c r="A86" s="9">
        <v>35431</v>
      </c>
      <c r="B86" s="8">
        <v>110.2</v>
      </c>
      <c r="C86" s="5">
        <f>bunker_monthly_cal!Q118</f>
        <v>23.472000000000001</v>
      </c>
    </row>
    <row r="87" spans="1:3" x14ac:dyDescent="0.25">
      <c r="A87" s="9">
        <v>35462</v>
      </c>
      <c r="B87" s="8">
        <v>96.375</v>
      </c>
      <c r="C87" s="5">
        <f>bunker_monthly_cal!Q119</f>
        <v>15.032499999999999</v>
      </c>
    </row>
    <row r="88" spans="1:3" x14ac:dyDescent="0.25">
      <c r="A88" s="9">
        <v>35490</v>
      </c>
      <c r="B88" s="8">
        <v>89.75</v>
      </c>
      <c r="C88" s="5">
        <f>bunker_monthly_cal!Q120</f>
        <v>14.34</v>
      </c>
    </row>
    <row r="89" spans="1:3" x14ac:dyDescent="0.25">
      <c r="A89" s="9">
        <v>35521</v>
      </c>
      <c r="B89" s="8">
        <v>86.125</v>
      </c>
      <c r="C89" s="5">
        <f>bunker_monthly_cal!Q121</f>
        <v>17.53</v>
      </c>
    </row>
    <row r="90" spans="1:3" x14ac:dyDescent="0.25">
      <c r="A90" s="9">
        <v>35551</v>
      </c>
      <c r="B90" s="8">
        <v>84.6</v>
      </c>
      <c r="C90" s="5">
        <f>bunker_monthly_cal!Q122</f>
        <v>19.045999999999999</v>
      </c>
    </row>
    <row r="91" spans="1:3" x14ac:dyDescent="0.25">
      <c r="A91" s="9">
        <v>35582</v>
      </c>
      <c r="B91" s="8">
        <v>86.625</v>
      </c>
      <c r="C91" s="5">
        <f>bunker_monthly_cal!Q123</f>
        <v>17.337499999999999</v>
      </c>
    </row>
    <row r="92" spans="1:3" x14ac:dyDescent="0.25">
      <c r="A92" s="9">
        <v>35612</v>
      </c>
      <c r="B92" s="8">
        <v>89.375</v>
      </c>
      <c r="C92" s="5">
        <f>bunker_monthly_cal!Q124</f>
        <v>13.745000000000001</v>
      </c>
    </row>
    <row r="93" spans="1:3" x14ac:dyDescent="0.25">
      <c r="A93" s="9">
        <v>35643</v>
      </c>
      <c r="B93" s="8">
        <v>108.69273</v>
      </c>
      <c r="C93" s="5">
        <f>bunker_monthly_cal!Q125</f>
        <v>14.928000000000001</v>
      </c>
    </row>
    <row r="94" spans="1:3" x14ac:dyDescent="0.25">
      <c r="A94" s="9">
        <v>35674</v>
      </c>
      <c r="B94" s="8">
        <v>97.5</v>
      </c>
      <c r="C94" s="5">
        <f>bunker_monthly_cal!Q126</f>
        <v>18.472499999999997</v>
      </c>
    </row>
    <row r="95" spans="1:3" x14ac:dyDescent="0.25">
      <c r="A95" s="9">
        <v>35704</v>
      </c>
      <c r="B95" s="8">
        <v>104.6</v>
      </c>
      <c r="C95" s="5">
        <f>bunker_monthly_cal!Q127</f>
        <v>20.064</v>
      </c>
    </row>
    <row r="96" spans="1:3" x14ac:dyDescent="0.25">
      <c r="A96" s="9">
        <v>35735</v>
      </c>
      <c r="B96" s="8">
        <v>107.5</v>
      </c>
      <c r="C96" s="5">
        <f>bunker_monthly_cal!Q128</f>
        <v>19.317499999999999</v>
      </c>
    </row>
    <row r="97" spans="1:3" x14ac:dyDescent="0.25">
      <c r="A97" s="9">
        <v>35765</v>
      </c>
      <c r="B97" s="8">
        <v>88.6875</v>
      </c>
      <c r="C97" s="5">
        <f>bunker_monthly_cal!Q129</f>
        <v>13.057500000000001</v>
      </c>
    </row>
    <row r="98" spans="1:3" x14ac:dyDescent="0.25">
      <c r="A98" s="9">
        <v>35796</v>
      </c>
      <c r="B98" s="8">
        <v>73.5</v>
      </c>
      <c r="C98" s="5">
        <f>bunker_monthly_cal!Q130</f>
        <v>15.168000000000001</v>
      </c>
    </row>
    <row r="99" spans="1:3" x14ac:dyDescent="0.25">
      <c r="A99" s="9">
        <v>35827</v>
      </c>
      <c r="B99" s="8">
        <v>69</v>
      </c>
      <c r="C99" s="5">
        <f>bunker_monthly_cal!Q131</f>
        <v>14.135000000000002</v>
      </c>
    </row>
    <row r="100" spans="1:3" x14ac:dyDescent="0.25">
      <c r="A100" s="9">
        <v>35855</v>
      </c>
      <c r="B100" s="8">
        <v>67.25</v>
      </c>
      <c r="C100" s="5">
        <f>bunker_monthly_cal!Q132</f>
        <v>13.092500000000001</v>
      </c>
    </row>
    <row r="101" spans="1:3" x14ac:dyDescent="0.25">
      <c r="A101" s="9">
        <v>35886</v>
      </c>
      <c r="B101" s="8">
        <v>79.75</v>
      </c>
      <c r="C101" s="5">
        <f>bunker_monthly_cal!Q133</f>
        <v>10.252500000000001</v>
      </c>
    </row>
    <row r="102" spans="1:3" x14ac:dyDescent="0.25">
      <c r="A102" s="9">
        <v>35916</v>
      </c>
      <c r="B102" s="8">
        <v>73.2</v>
      </c>
      <c r="C102" s="5">
        <f>bunker_monthly_cal!Q134</f>
        <v>14.245999999999999</v>
      </c>
    </row>
    <row r="103" spans="1:3" x14ac:dyDescent="0.25">
      <c r="A103" s="9">
        <v>35947</v>
      </c>
      <c r="B103" s="8">
        <v>67.375</v>
      </c>
      <c r="C103" s="5">
        <f>bunker_monthly_cal!Q135</f>
        <v>12.125</v>
      </c>
    </row>
    <row r="104" spans="1:3" x14ac:dyDescent="0.25">
      <c r="A104" s="9">
        <v>35977</v>
      </c>
      <c r="B104" s="8">
        <v>66.7</v>
      </c>
      <c r="C104" s="5">
        <f>bunker_monthly_cal!Q136</f>
        <v>12.092000000000001</v>
      </c>
    </row>
    <row r="105" spans="1:3" x14ac:dyDescent="0.25">
      <c r="A105" s="9">
        <v>36008</v>
      </c>
      <c r="B105" s="8">
        <v>62.625</v>
      </c>
      <c r="C105" s="5">
        <f>bunker_monthly_cal!Q137</f>
        <v>11.897500000000001</v>
      </c>
    </row>
    <row r="106" spans="1:3" x14ac:dyDescent="0.25">
      <c r="A106" s="9">
        <v>36039</v>
      </c>
      <c r="B106" s="8">
        <v>66.25</v>
      </c>
      <c r="C106" s="5">
        <f>bunker_monthly_cal!Q138</f>
        <v>13.522500000000001</v>
      </c>
    </row>
    <row r="107" spans="1:3" x14ac:dyDescent="0.25">
      <c r="A107" s="9">
        <v>36069</v>
      </c>
      <c r="B107" s="8">
        <v>69.5</v>
      </c>
      <c r="C107" s="5">
        <f>bunker_monthly_cal!Q139</f>
        <v>12.673999999999999</v>
      </c>
    </row>
    <row r="108" spans="1:3" x14ac:dyDescent="0.25">
      <c r="A108" s="9">
        <v>36100</v>
      </c>
      <c r="B108" s="8">
        <v>60.5</v>
      </c>
      <c r="C108" s="5">
        <f>bunker_monthly_cal!Q140</f>
        <v>11.035</v>
      </c>
    </row>
    <row r="109" spans="1:3" x14ac:dyDescent="0.25">
      <c r="A109" s="9">
        <v>36130</v>
      </c>
      <c r="B109" s="8">
        <v>55.8</v>
      </c>
      <c r="C109" s="5">
        <f>bunker_monthly_cal!Q141</f>
        <v>7.1524999999999999</v>
      </c>
    </row>
    <row r="110" spans="1:3" x14ac:dyDescent="0.25">
      <c r="A110" s="9">
        <v>36161</v>
      </c>
      <c r="B110" s="8">
        <v>64.5</v>
      </c>
      <c r="C110" s="5">
        <f>bunker_monthly_cal!Q142</f>
        <v>9.0480000000000018</v>
      </c>
    </row>
    <row r="111" spans="1:3" x14ac:dyDescent="0.25">
      <c r="A111" s="9">
        <v>36192</v>
      </c>
      <c r="B111" s="8">
        <v>57.75</v>
      </c>
      <c r="C111" s="5">
        <f>bunker_monthly_cal!Q143</f>
        <v>10.254999999999999</v>
      </c>
    </row>
    <row r="112" spans="1:3" x14ac:dyDescent="0.25">
      <c r="A112" s="9">
        <v>36220</v>
      </c>
      <c r="B112" s="8">
        <v>61.875</v>
      </c>
      <c r="C112" s="5">
        <f>bunker_monthly_cal!Q144</f>
        <v>12.61</v>
      </c>
    </row>
    <row r="113" spans="1:3" x14ac:dyDescent="0.25">
      <c r="A113" s="9">
        <v>36251</v>
      </c>
      <c r="B113" s="8">
        <v>72.8</v>
      </c>
      <c r="C113" s="5">
        <f>bunker_monthly_cal!Q145</f>
        <v>12.394</v>
      </c>
    </row>
    <row r="114" spans="1:3" x14ac:dyDescent="0.25">
      <c r="A114" s="9">
        <v>36281</v>
      </c>
      <c r="B114" s="8">
        <v>71.875</v>
      </c>
      <c r="C114" s="5">
        <f>bunker_monthly_cal!Q146</f>
        <v>15.02</v>
      </c>
    </row>
    <row r="115" spans="1:3" x14ac:dyDescent="0.25">
      <c r="A115" s="9">
        <v>36312</v>
      </c>
      <c r="B115" s="8">
        <v>80.75</v>
      </c>
      <c r="C115" s="5">
        <f>bunker_monthly_cal!Q147</f>
        <v>15.914999999999999</v>
      </c>
    </row>
    <row r="116" spans="1:3" x14ac:dyDescent="0.25">
      <c r="A116" s="9">
        <v>36342</v>
      </c>
      <c r="B116" s="8">
        <v>95.7</v>
      </c>
      <c r="C116" s="5">
        <f>bunker_monthly_cal!Q148</f>
        <v>19.106000000000002</v>
      </c>
    </row>
    <row r="117" spans="1:3" x14ac:dyDescent="0.25">
      <c r="A117" s="9">
        <v>36373</v>
      </c>
      <c r="B117" s="8">
        <v>112.875</v>
      </c>
      <c r="C117" s="5">
        <f>bunker_monthly_cal!Q149</f>
        <v>20.424999999999997</v>
      </c>
    </row>
    <row r="118" spans="1:3" x14ac:dyDescent="0.25">
      <c r="A118" s="9">
        <v>36404</v>
      </c>
      <c r="B118" s="8">
        <v>117.75</v>
      </c>
      <c r="C118" s="5">
        <f>bunker_monthly_cal!Q150</f>
        <v>22.422499999999999</v>
      </c>
    </row>
    <row r="119" spans="1:3" x14ac:dyDescent="0.25">
      <c r="A119" s="9">
        <v>36434</v>
      </c>
      <c r="B119" s="8">
        <v>127.7</v>
      </c>
      <c r="C119" s="5">
        <f>bunker_monthly_cal!Q151</f>
        <v>21.779999999999998</v>
      </c>
    </row>
    <row r="120" spans="1:3" x14ac:dyDescent="0.25">
      <c r="A120" s="9">
        <v>36465</v>
      </c>
      <c r="B120" s="8">
        <v>130</v>
      </c>
      <c r="C120" s="5">
        <f>bunker_monthly_cal!Q152</f>
        <v>24.795000000000002</v>
      </c>
    </row>
    <row r="121" spans="1:3" x14ac:dyDescent="0.25">
      <c r="A121" s="9">
        <v>36495</v>
      </c>
      <c r="B121" s="8">
        <v>127.3</v>
      </c>
      <c r="C121" s="5">
        <f>bunker_monthly_cal!Q153</f>
        <v>15.45</v>
      </c>
    </row>
    <row r="122" spans="1:3" x14ac:dyDescent="0.25">
      <c r="A122" s="9">
        <v>36526</v>
      </c>
      <c r="B122" s="8">
        <v>127.5</v>
      </c>
      <c r="C122" s="5">
        <f>bunker_monthly_cal!Q154</f>
        <v>25.655000000000001</v>
      </c>
    </row>
    <row r="123" spans="1:3" x14ac:dyDescent="0.25">
      <c r="A123" s="9">
        <v>36557</v>
      </c>
      <c r="B123" s="8">
        <v>133.875</v>
      </c>
      <c r="C123" s="5">
        <f>bunker_monthly_cal!Q155</f>
        <v>27.772500000000001</v>
      </c>
    </row>
    <row r="124" spans="1:3" x14ac:dyDescent="0.25">
      <c r="A124" s="9">
        <v>36586</v>
      </c>
      <c r="B124" s="8">
        <v>147.30000000000001</v>
      </c>
      <c r="C124" s="5">
        <f>bunker_monthly_cal!Q156</f>
        <v>27.277999999999999</v>
      </c>
    </row>
    <row r="125" spans="1:3" x14ac:dyDescent="0.25">
      <c r="A125" s="9">
        <v>36617</v>
      </c>
      <c r="B125" s="8">
        <v>125.5</v>
      </c>
      <c r="C125" s="5">
        <f>bunker_monthly_cal!Q157</f>
        <v>17.137499999999999</v>
      </c>
    </row>
    <row r="126" spans="1:3" x14ac:dyDescent="0.25">
      <c r="A126" s="9">
        <v>36647</v>
      </c>
      <c r="B126" s="8">
        <v>126.5</v>
      </c>
      <c r="C126" s="5">
        <f>bunker_monthly_cal!Q158</f>
        <v>28.002500000000001</v>
      </c>
    </row>
    <row r="127" spans="1:3" x14ac:dyDescent="0.25">
      <c r="A127" s="9">
        <v>36678</v>
      </c>
      <c r="B127" s="8">
        <v>144.30000000000001</v>
      </c>
      <c r="C127" s="5">
        <f>bunker_monthly_cal!Q159</f>
        <v>29.925999999999998</v>
      </c>
    </row>
    <row r="128" spans="1:3" x14ac:dyDescent="0.25">
      <c r="A128" s="9">
        <v>36708</v>
      </c>
      <c r="B128" s="8">
        <v>132.875</v>
      </c>
      <c r="C128" s="5">
        <f>bunker_monthly_cal!Q160</f>
        <v>28.520000000000003</v>
      </c>
    </row>
    <row r="129" spans="1:3" x14ac:dyDescent="0.25">
      <c r="A129" s="9">
        <v>36739</v>
      </c>
      <c r="B129" s="8">
        <v>132.5</v>
      </c>
      <c r="C129" s="5">
        <f>bunker_monthly_cal!Q161</f>
        <v>30.3675</v>
      </c>
    </row>
    <row r="130" spans="1:3" x14ac:dyDescent="0.25">
      <c r="A130" s="9">
        <v>36770</v>
      </c>
      <c r="B130" s="8">
        <v>154.5</v>
      </c>
      <c r="C130" s="5">
        <f>bunker_monthly_cal!Q162</f>
        <v>33.010000000000005</v>
      </c>
    </row>
    <row r="131" spans="1:3" x14ac:dyDescent="0.25">
      <c r="A131" s="9">
        <v>36800</v>
      </c>
      <c r="B131" s="8">
        <v>159.875</v>
      </c>
      <c r="C131" s="5">
        <f>bunker_monthly_cal!Q163</f>
        <v>31.147500000000001</v>
      </c>
    </row>
    <row r="132" spans="1:3" x14ac:dyDescent="0.25">
      <c r="A132" s="9">
        <v>36831</v>
      </c>
      <c r="B132" s="8">
        <v>149.75</v>
      </c>
      <c r="C132" s="5">
        <f>bunker_monthly_cal!Q164</f>
        <v>32.377499999999998</v>
      </c>
    </row>
    <row r="133" spans="1:3" x14ac:dyDescent="0.25">
      <c r="A133" s="9">
        <v>36861</v>
      </c>
      <c r="B133" s="8">
        <v>126.7</v>
      </c>
      <c r="C133" s="5">
        <f>bunker_monthly_cal!Q165</f>
        <v>25.538</v>
      </c>
    </row>
    <row r="134" spans="1:3" x14ac:dyDescent="0.25">
      <c r="A134" s="9">
        <v>36892</v>
      </c>
      <c r="B134" s="8">
        <v>117.9</v>
      </c>
      <c r="C134" s="5">
        <f>bunker_monthly_cal!Q166</f>
        <v>25.932499999999997</v>
      </c>
    </row>
    <row r="135" spans="1:3" x14ac:dyDescent="0.25">
      <c r="A135" s="9">
        <v>36923</v>
      </c>
      <c r="B135" s="8">
        <v>121.5</v>
      </c>
      <c r="C135" s="5">
        <f>bunker_monthly_cal!Q167</f>
        <v>27.79</v>
      </c>
    </row>
    <row r="136" spans="1:3" x14ac:dyDescent="0.25">
      <c r="A136" s="9">
        <v>36951</v>
      </c>
      <c r="B136" s="8">
        <v>119.8</v>
      </c>
      <c r="C136" s="5">
        <f>bunker_monthly_cal!Q168</f>
        <v>24.468</v>
      </c>
    </row>
    <row r="137" spans="1:3" x14ac:dyDescent="0.25">
      <c r="A137" s="9">
        <v>36982</v>
      </c>
      <c r="B137" s="8">
        <v>116.75</v>
      </c>
      <c r="C137" s="5">
        <f>bunker_monthly_cal!Q169</f>
        <v>25.810000000000002</v>
      </c>
    </row>
    <row r="138" spans="1:3" x14ac:dyDescent="0.25">
      <c r="A138" s="9">
        <v>37012</v>
      </c>
      <c r="B138" s="8">
        <v>122</v>
      </c>
      <c r="C138" s="5">
        <f>bunker_monthly_cal!Q170</f>
        <v>28.387499999999999</v>
      </c>
    </row>
    <row r="139" spans="1:3" x14ac:dyDescent="0.25">
      <c r="A139" s="9">
        <v>37043</v>
      </c>
      <c r="B139" s="8">
        <v>121.6</v>
      </c>
      <c r="C139" s="5">
        <f>bunker_monthly_cal!Q171</f>
        <v>27.788</v>
      </c>
    </row>
    <row r="140" spans="1:3" x14ac:dyDescent="0.25">
      <c r="A140" s="9">
        <v>37073</v>
      </c>
      <c r="B140" s="8">
        <v>118</v>
      </c>
      <c r="C140" s="5">
        <f>bunker_monthly_cal!Q172</f>
        <v>24.704999999999998</v>
      </c>
    </row>
    <row r="141" spans="1:3" x14ac:dyDescent="0.25">
      <c r="A141" s="9">
        <v>37104</v>
      </c>
      <c r="B141" s="8">
        <v>125.4</v>
      </c>
      <c r="C141" s="5">
        <f>bunker_monthly_cal!Q173</f>
        <v>25.838000000000001</v>
      </c>
    </row>
    <row r="142" spans="1:3" x14ac:dyDescent="0.25">
      <c r="A142" s="9">
        <v>37135</v>
      </c>
      <c r="B142" s="8">
        <v>130.125</v>
      </c>
      <c r="C142" s="5">
        <f>bunker_monthly_cal!Q174</f>
        <v>25.950000000000003</v>
      </c>
    </row>
    <row r="143" spans="1:3" x14ac:dyDescent="0.25">
      <c r="A143" s="9">
        <v>37165</v>
      </c>
      <c r="B143" s="8">
        <v>110.625</v>
      </c>
      <c r="C143" s="5">
        <f>bunker_monthly_cal!Q175</f>
        <v>20.5625</v>
      </c>
    </row>
    <row r="144" spans="1:3" x14ac:dyDescent="0.25">
      <c r="A144" s="9">
        <v>37196</v>
      </c>
      <c r="B144" s="8">
        <v>101.9</v>
      </c>
      <c r="C144" s="5">
        <f>bunker_monthly_cal!Q176</f>
        <v>18.905999999999999</v>
      </c>
    </row>
    <row r="145" spans="1:3" x14ac:dyDescent="0.25">
      <c r="A145" s="9">
        <v>37226</v>
      </c>
      <c r="B145" s="8">
        <v>103.75</v>
      </c>
      <c r="C145" s="5">
        <f>bunker_monthly_cal!Q177</f>
        <v>18.712499999999999</v>
      </c>
    </row>
    <row r="146" spans="1:3" x14ac:dyDescent="0.25">
      <c r="A146" s="9">
        <v>37257</v>
      </c>
      <c r="B146" s="8">
        <v>104.5</v>
      </c>
      <c r="C146" s="5">
        <f>bunker_monthly_cal!Q178</f>
        <v>19.622500000000002</v>
      </c>
    </row>
    <row r="147" spans="1:3" x14ac:dyDescent="0.25">
      <c r="A147" s="9">
        <v>37288</v>
      </c>
      <c r="B147" s="8">
        <v>103.25</v>
      </c>
      <c r="C147" s="5">
        <f>bunker_monthly_cal!Q179</f>
        <v>20.1525</v>
      </c>
    </row>
    <row r="148" spans="1:3" x14ac:dyDescent="0.25">
      <c r="A148" s="9">
        <v>37316</v>
      </c>
      <c r="B148" s="8">
        <v>120.5</v>
      </c>
      <c r="C148" s="5">
        <f>bunker_monthly_cal!Q180</f>
        <v>23.643999999999998</v>
      </c>
    </row>
    <row r="149" spans="1:3" x14ac:dyDescent="0.25">
      <c r="A149" s="9">
        <v>37347</v>
      </c>
      <c r="B149" s="8">
        <v>136.125</v>
      </c>
      <c r="C149" s="5">
        <f>bunker_monthly_cal!Q181</f>
        <v>25.204999999999998</v>
      </c>
    </row>
    <row r="150" spans="1:3" x14ac:dyDescent="0.25">
      <c r="A150" s="9">
        <v>37377</v>
      </c>
      <c r="B150" s="8">
        <v>140.80000000000001</v>
      </c>
      <c r="C150" s="5">
        <f>bunker_monthly_cal!Q182</f>
        <v>25.154000000000003</v>
      </c>
    </row>
    <row r="151" spans="1:3" x14ac:dyDescent="0.25">
      <c r="A151" s="9">
        <v>37408</v>
      </c>
      <c r="B151" s="8">
        <v>135</v>
      </c>
      <c r="C151" s="5">
        <f>bunker_monthly_cal!Q183</f>
        <v>24.107499999999998</v>
      </c>
    </row>
    <row r="152" spans="1:3" x14ac:dyDescent="0.25">
      <c r="A152" s="9">
        <v>37438</v>
      </c>
      <c r="B152" s="8">
        <v>142.75</v>
      </c>
      <c r="C152" s="5">
        <f>bunker_monthly_cal!Q184</f>
        <v>25.832500000000003</v>
      </c>
    </row>
    <row r="153" spans="1:3" x14ac:dyDescent="0.25">
      <c r="A153" s="9">
        <v>37469</v>
      </c>
      <c r="B153" s="8">
        <v>145.9</v>
      </c>
      <c r="C153" s="5">
        <f>bunker_monthly_cal!Q185</f>
        <v>26.612000000000002</v>
      </c>
    </row>
    <row r="154" spans="1:3" x14ac:dyDescent="0.25">
      <c r="A154" s="9">
        <v>37500</v>
      </c>
      <c r="B154" s="8">
        <v>161.375</v>
      </c>
      <c r="C154" s="5">
        <f>bunker_monthly_cal!Q186</f>
        <v>28.625</v>
      </c>
    </row>
    <row r="155" spans="1:3" x14ac:dyDescent="0.25">
      <c r="A155" s="9">
        <v>37530</v>
      </c>
      <c r="B155" s="8">
        <v>154</v>
      </c>
      <c r="C155" s="5">
        <f>bunker_monthly_cal!Q187</f>
        <v>27.664999999999999</v>
      </c>
    </row>
    <row r="156" spans="1:3" x14ac:dyDescent="0.25">
      <c r="A156" s="9">
        <v>37561</v>
      </c>
      <c r="B156" s="8">
        <v>125.7</v>
      </c>
      <c r="C156" s="5">
        <f>bunker_monthly_cal!Q188</f>
        <v>24.635999999999999</v>
      </c>
    </row>
    <row r="157" spans="1:3" x14ac:dyDescent="0.25">
      <c r="A157" s="9">
        <v>37591</v>
      </c>
      <c r="B157" s="8">
        <v>134.375</v>
      </c>
      <c r="C157" s="5">
        <f>bunker_monthly_cal!Q189</f>
        <v>28.5975</v>
      </c>
    </row>
    <row r="158" spans="1:3" x14ac:dyDescent="0.25">
      <c r="A158" s="9">
        <v>37622</v>
      </c>
      <c r="B158" s="8">
        <v>173.5</v>
      </c>
      <c r="C158" s="5">
        <f>bunker_monthly_cal!Q190</f>
        <v>31.251999999999999</v>
      </c>
    </row>
    <row r="159" spans="1:3" x14ac:dyDescent="0.25">
      <c r="A159" s="9">
        <v>37653</v>
      </c>
      <c r="B159" s="8">
        <v>175.125</v>
      </c>
      <c r="C159" s="5">
        <f>bunker_monthly_cal!Q191</f>
        <v>33.0625</v>
      </c>
    </row>
    <row r="160" spans="1:3" x14ac:dyDescent="0.25">
      <c r="A160" s="9">
        <v>37681</v>
      </c>
      <c r="B160" s="8">
        <v>148.25</v>
      </c>
      <c r="C160" s="5">
        <f>bunker_monthly_cal!Q192</f>
        <v>29.8</v>
      </c>
    </row>
    <row r="161" spans="1:3" x14ac:dyDescent="0.25">
      <c r="A161" s="9">
        <v>37712</v>
      </c>
      <c r="B161" s="8">
        <v>126.375</v>
      </c>
      <c r="C161" s="5">
        <f>bunker_monthly_cal!Q193</f>
        <v>25.015000000000001</v>
      </c>
    </row>
    <row r="162" spans="1:3" x14ac:dyDescent="0.25">
      <c r="A162" s="9">
        <v>37742</v>
      </c>
      <c r="B162" s="8">
        <v>137.9</v>
      </c>
      <c r="C162" s="5">
        <f>bunker_monthly_cal!Q194</f>
        <v>26.036000000000001</v>
      </c>
    </row>
    <row r="163" spans="1:3" x14ac:dyDescent="0.25">
      <c r="A163" s="9">
        <v>37773</v>
      </c>
      <c r="B163" s="8">
        <v>147.5</v>
      </c>
      <c r="C163" s="5">
        <f>bunker_monthly_cal!Q195</f>
        <v>27.587499999999999</v>
      </c>
    </row>
    <row r="164" spans="1:3" x14ac:dyDescent="0.25">
      <c r="A164" s="9">
        <v>37803</v>
      </c>
      <c r="B164" s="8">
        <v>170.5</v>
      </c>
      <c r="C164" s="5">
        <f>bunker_monthly_cal!Q196</f>
        <v>28.7075</v>
      </c>
    </row>
    <row r="165" spans="1:3" x14ac:dyDescent="0.25">
      <c r="A165" s="9">
        <v>37834</v>
      </c>
      <c r="B165" s="8">
        <v>159.69999999999999</v>
      </c>
      <c r="C165" s="5">
        <f>bunker_monthly_cal!Q197</f>
        <v>30</v>
      </c>
    </row>
    <row r="166" spans="1:3" x14ac:dyDescent="0.25">
      <c r="A166" s="9">
        <v>37865</v>
      </c>
      <c r="B166" s="8">
        <v>147.75</v>
      </c>
      <c r="C166" s="5">
        <f>bunker_monthly_cal!Q198</f>
        <v>26.692499999999999</v>
      </c>
    </row>
    <row r="167" spans="1:3" x14ac:dyDescent="0.25">
      <c r="A167" s="9">
        <v>37895</v>
      </c>
      <c r="B167" s="8">
        <v>151.9</v>
      </c>
      <c r="C167" s="5">
        <f>bunker_monthly_cal!Q199</f>
        <v>29.686</v>
      </c>
    </row>
    <row r="168" spans="1:3" x14ac:dyDescent="0.25">
      <c r="A168" s="9">
        <v>37926</v>
      </c>
      <c r="B168" s="8">
        <v>154.75</v>
      </c>
      <c r="C168" s="5">
        <f>bunker_monthly_cal!Q200</f>
        <v>29.312500000000004</v>
      </c>
    </row>
    <row r="169" spans="1:3" x14ac:dyDescent="0.25">
      <c r="A169" s="9">
        <v>37956</v>
      </c>
      <c r="B169" s="8">
        <v>141</v>
      </c>
      <c r="C169" s="5">
        <f>bunker_monthly_cal!Q201</f>
        <v>22.535</v>
      </c>
    </row>
    <row r="170" spans="1:3" x14ac:dyDescent="0.25">
      <c r="A170" s="9">
        <v>37987</v>
      </c>
      <c r="B170" s="8">
        <v>141.4</v>
      </c>
      <c r="C170" s="5">
        <f>bunker_monthly_cal!Q202</f>
        <v>30.865999999999996</v>
      </c>
    </row>
    <row r="171" spans="1:3" x14ac:dyDescent="0.25">
      <c r="A171" s="9">
        <v>38018</v>
      </c>
      <c r="B171" s="8">
        <v>139</v>
      </c>
      <c r="C171" s="5">
        <f>bunker_monthly_cal!Q203</f>
        <v>31.094999999999999</v>
      </c>
    </row>
    <row r="172" spans="1:3" x14ac:dyDescent="0.25">
      <c r="A172" s="9">
        <v>38047</v>
      </c>
      <c r="B172" s="8">
        <v>144.5</v>
      </c>
      <c r="C172" s="5">
        <f>bunker_monthly_cal!Q204</f>
        <v>33.5</v>
      </c>
    </row>
    <row r="173" spans="1:3" x14ac:dyDescent="0.25">
      <c r="A173" s="9">
        <v>38078</v>
      </c>
      <c r="B173" s="8">
        <v>152.6</v>
      </c>
      <c r="C173" s="5">
        <f>bunker_monthly_cal!Q205</f>
        <v>33.616</v>
      </c>
    </row>
    <row r="174" spans="1:3" x14ac:dyDescent="0.25">
      <c r="A174" s="9">
        <v>38108</v>
      </c>
      <c r="B174" s="8">
        <v>170.625</v>
      </c>
      <c r="C174" s="5">
        <f>bunker_monthly_cal!Q206</f>
        <v>37.722499999999997</v>
      </c>
    </row>
    <row r="175" spans="1:3" x14ac:dyDescent="0.25">
      <c r="A175" s="9">
        <v>38139</v>
      </c>
      <c r="B175" s="8">
        <v>159.5</v>
      </c>
      <c r="C175" s="5">
        <f>bunker_monthly_cal!Q207</f>
        <v>35.22</v>
      </c>
    </row>
    <row r="176" spans="1:3" x14ac:dyDescent="0.25">
      <c r="A176" s="9">
        <v>38169</v>
      </c>
      <c r="B176" s="8">
        <v>162.9</v>
      </c>
      <c r="C176" s="5">
        <f>bunker_monthly_cal!Q208</f>
        <v>38.498000000000005</v>
      </c>
    </row>
    <row r="177" spans="1:3" x14ac:dyDescent="0.25">
      <c r="A177" s="9">
        <v>38200</v>
      </c>
      <c r="B177" s="8">
        <v>167</v>
      </c>
      <c r="C177" s="5">
        <f>bunker_monthly_cal!Q209</f>
        <v>43.234999999999999</v>
      </c>
    </row>
    <row r="178" spans="1:3" x14ac:dyDescent="0.25">
      <c r="A178" s="9">
        <v>38231</v>
      </c>
      <c r="B178" s="8">
        <v>161.75</v>
      </c>
      <c r="C178" s="5">
        <f>bunker_monthly_cal!Q210</f>
        <v>42.827500000000001</v>
      </c>
    </row>
    <row r="179" spans="1:3" x14ac:dyDescent="0.25">
      <c r="A179" s="9">
        <v>38261</v>
      </c>
      <c r="B179" s="8">
        <v>173.9</v>
      </c>
      <c r="C179" s="5">
        <f>bunker_monthly_cal!Q211</f>
        <v>49.545999999999999</v>
      </c>
    </row>
    <row r="180" spans="1:3" x14ac:dyDescent="0.25">
      <c r="A180" s="9">
        <v>38292</v>
      </c>
      <c r="B180" s="8">
        <v>146.5</v>
      </c>
      <c r="C180" s="5">
        <f>bunker_monthly_cal!Q212</f>
        <v>42.714999999999996</v>
      </c>
    </row>
    <row r="181" spans="1:3" x14ac:dyDescent="0.25">
      <c r="A181" s="9">
        <v>38322</v>
      </c>
      <c r="B181" s="8">
        <v>143.5</v>
      </c>
      <c r="C181" s="5">
        <f>bunker_monthly_cal!Q213</f>
        <v>39.769999999999996</v>
      </c>
    </row>
    <row r="182" spans="1:3" x14ac:dyDescent="0.25">
      <c r="A182" s="9">
        <v>38353</v>
      </c>
      <c r="B182" s="8">
        <v>157.5</v>
      </c>
      <c r="C182" s="5">
        <f>bunker_monthly_cal!Q214</f>
        <v>44.792499999999997</v>
      </c>
    </row>
    <row r="183" spans="1:3" x14ac:dyDescent="0.25">
      <c r="A183" s="9">
        <v>38384</v>
      </c>
      <c r="B183" s="8">
        <v>171.25</v>
      </c>
      <c r="C183" s="5">
        <f>bunker_monthly_cal!Q215</f>
        <v>45.894999999999996</v>
      </c>
    </row>
    <row r="184" spans="1:3" x14ac:dyDescent="0.25">
      <c r="A184" s="9">
        <v>38412</v>
      </c>
      <c r="B184" s="8">
        <v>203</v>
      </c>
      <c r="C184" s="5">
        <f>bunker_monthly_cal!Q216</f>
        <v>40.305</v>
      </c>
    </row>
    <row r="185" spans="1:3" x14ac:dyDescent="0.25">
      <c r="A185" s="9">
        <v>38443</v>
      </c>
      <c r="B185" s="8">
        <v>231.9</v>
      </c>
      <c r="C185" s="5">
        <f>bunker_monthly_cal!Q217</f>
        <v>51.922000000000004</v>
      </c>
    </row>
    <row r="186" spans="1:3" x14ac:dyDescent="0.25">
      <c r="A186" s="9">
        <v>38473</v>
      </c>
      <c r="B186" s="8">
        <v>230.125</v>
      </c>
      <c r="C186" s="5">
        <f>bunker_monthly_cal!Q218</f>
        <v>48.22</v>
      </c>
    </row>
    <row r="187" spans="1:3" x14ac:dyDescent="0.25">
      <c r="A187" s="9">
        <v>38504</v>
      </c>
      <c r="B187" s="8">
        <v>232.25</v>
      </c>
      <c r="C187" s="5">
        <f>bunker_monthly_cal!Q219</f>
        <v>54.502500000000005</v>
      </c>
    </row>
    <row r="188" spans="1:3" x14ac:dyDescent="0.25">
      <c r="A188" s="9">
        <v>38534</v>
      </c>
      <c r="B188" s="8">
        <v>248.9</v>
      </c>
      <c r="C188" s="5">
        <f>bunker_monthly_cal!Q220</f>
        <v>57.827999999999996</v>
      </c>
    </row>
    <row r="189" spans="1:3" x14ac:dyDescent="0.25">
      <c r="A189" s="9">
        <v>38565</v>
      </c>
      <c r="B189" s="8">
        <v>261.75</v>
      </c>
      <c r="C189" s="5">
        <f>bunker_monthly_cal!Q221</f>
        <v>64.607500000000002</v>
      </c>
    </row>
    <row r="190" spans="1:3" x14ac:dyDescent="0.25">
      <c r="A190" s="9">
        <v>38596</v>
      </c>
      <c r="B190" s="8">
        <v>288.39999999999998</v>
      </c>
      <c r="C190" s="5">
        <f>bunker_monthly_cal!Q222</f>
        <v>62.583999999999989</v>
      </c>
    </row>
    <row r="191" spans="1:3" x14ac:dyDescent="0.25">
      <c r="A191" s="9">
        <v>38626</v>
      </c>
      <c r="B191" s="8">
        <v>270.5</v>
      </c>
      <c r="C191" s="5">
        <f>bunker_monthly_cal!Q223</f>
        <v>58.037500000000001</v>
      </c>
    </row>
    <row r="192" spans="1:3" x14ac:dyDescent="0.25">
      <c r="A192" s="9">
        <v>38657</v>
      </c>
      <c r="B192" s="8">
        <v>256.375</v>
      </c>
      <c r="C192" s="5">
        <f>bunker_monthly_cal!Q224</f>
        <v>55.192500000000003</v>
      </c>
    </row>
    <row r="193" spans="1:3" x14ac:dyDescent="0.25">
      <c r="A193" s="9">
        <v>38687</v>
      </c>
      <c r="B193" s="8">
        <v>255.8</v>
      </c>
      <c r="C193" s="5">
        <f>bunker_monthly_cal!Q225</f>
        <v>56.963999999999999</v>
      </c>
    </row>
    <row r="194" spans="1:3" x14ac:dyDescent="0.25">
      <c r="A194" s="9">
        <v>38718</v>
      </c>
      <c r="B194" s="8">
        <v>282.875</v>
      </c>
      <c r="C194" s="5">
        <f>bunker_monthly_cal!Q226</f>
        <v>63.47</v>
      </c>
    </row>
    <row r="195" spans="1:3" x14ac:dyDescent="0.25">
      <c r="A195" s="9">
        <v>38749</v>
      </c>
      <c r="B195" s="8">
        <v>294.75</v>
      </c>
      <c r="C195" s="5">
        <f>bunker_monthly_cal!Q227</f>
        <v>60.167499999999997</v>
      </c>
    </row>
    <row r="196" spans="1:3" x14ac:dyDescent="0.25">
      <c r="A196" s="9">
        <v>38777</v>
      </c>
      <c r="B196" s="8">
        <v>300.3</v>
      </c>
      <c r="C196" s="5">
        <f>bunker_monthly_cal!Q228</f>
        <v>62.822000000000003</v>
      </c>
    </row>
    <row r="197" spans="1:3" x14ac:dyDescent="0.25">
      <c r="A197" s="9">
        <v>38808</v>
      </c>
      <c r="B197" s="8">
        <v>320.125</v>
      </c>
      <c r="C197" s="5">
        <f>bunker_monthly_cal!Q229</f>
        <v>53.300000000000004</v>
      </c>
    </row>
    <row r="198" spans="1:3" x14ac:dyDescent="0.25">
      <c r="A198" s="9">
        <v>38838</v>
      </c>
      <c r="B198" s="8">
        <v>324.625</v>
      </c>
      <c r="C198" s="5">
        <f>bunker_monthly_cal!Q230</f>
        <v>69.832499999999996</v>
      </c>
    </row>
    <row r="199" spans="1:3" x14ac:dyDescent="0.25">
      <c r="A199" s="9">
        <v>38869</v>
      </c>
      <c r="B199" s="8">
        <v>301.39999999999998</v>
      </c>
      <c r="C199" s="5">
        <f>bunker_monthly_cal!Q231</f>
        <v>69.134</v>
      </c>
    </row>
    <row r="200" spans="1:3" x14ac:dyDescent="0.25">
      <c r="A200" s="9">
        <v>38899</v>
      </c>
      <c r="B200" s="8">
        <v>316.5</v>
      </c>
      <c r="C200" s="5">
        <f>bunker_monthly_cal!Q232</f>
        <v>74.294999999999987</v>
      </c>
    </row>
    <row r="201" spans="1:3" x14ac:dyDescent="0.25">
      <c r="A201" s="9">
        <v>38930</v>
      </c>
      <c r="B201" s="8">
        <v>311</v>
      </c>
      <c r="C201" s="5">
        <f>bunker_monthly_cal!Q233</f>
        <v>73.899999999999991</v>
      </c>
    </row>
    <row r="202" spans="1:3" x14ac:dyDescent="0.25">
      <c r="A202" s="9">
        <v>38961</v>
      </c>
      <c r="B202" s="8">
        <v>280.5</v>
      </c>
      <c r="C202" s="5">
        <f>bunker_monthly_cal!Q234</f>
        <v>62.583999999999989</v>
      </c>
    </row>
    <row r="203" spans="1:3" x14ac:dyDescent="0.25">
      <c r="A203" s="9">
        <v>38991</v>
      </c>
      <c r="B203" s="8">
        <v>266.125</v>
      </c>
      <c r="C203" s="5">
        <f>bunker_monthly_cal!Q235</f>
        <v>57.95</v>
      </c>
    </row>
    <row r="204" spans="1:3" x14ac:dyDescent="0.25">
      <c r="A204" s="9">
        <v>39022</v>
      </c>
      <c r="B204" s="8">
        <v>262.375</v>
      </c>
      <c r="C204" s="5">
        <f>bunker_monthly_cal!Q236</f>
        <v>58.364999999999995</v>
      </c>
    </row>
    <row r="205" spans="1:3" x14ac:dyDescent="0.25">
      <c r="A205" s="9">
        <v>39052</v>
      </c>
      <c r="B205" s="8">
        <v>255.9</v>
      </c>
      <c r="C205" s="5">
        <f>bunker_monthly_cal!Q237</f>
        <v>62.44</v>
      </c>
    </row>
    <row r="206" spans="1:3" x14ac:dyDescent="0.25">
      <c r="A206" s="9">
        <v>39083</v>
      </c>
      <c r="B206" s="8">
        <v>229.125</v>
      </c>
      <c r="C206" s="5">
        <f>bunker_monthly_cal!Q238</f>
        <v>52.587499999999999</v>
      </c>
    </row>
    <row r="207" spans="1:3" x14ac:dyDescent="0.25">
      <c r="A207" s="9">
        <v>39114</v>
      </c>
      <c r="B207" s="8">
        <v>251.5</v>
      </c>
      <c r="C207" s="5">
        <f>bunker_monthly_cal!Q239</f>
        <v>57.825000000000003</v>
      </c>
    </row>
    <row r="208" spans="1:3" x14ac:dyDescent="0.25">
      <c r="A208" s="9">
        <v>39142</v>
      </c>
      <c r="B208" s="8">
        <v>272.7</v>
      </c>
      <c r="C208" s="5">
        <f>bunker_monthly_cal!Q240</f>
        <v>62.93399999999999</v>
      </c>
    </row>
    <row r="209" spans="1:3" x14ac:dyDescent="0.25">
      <c r="A209" s="9">
        <v>39173</v>
      </c>
      <c r="B209" s="8">
        <v>312</v>
      </c>
      <c r="C209" s="5">
        <f>bunker_monthly_cal!Q241</f>
        <v>50.6</v>
      </c>
    </row>
    <row r="210" spans="1:3" x14ac:dyDescent="0.25">
      <c r="A210" s="9">
        <v>39203</v>
      </c>
      <c r="B210" s="8">
        <v>325.875</v>
      </c>
      <c r="C210" s="5">
        <f>bunker_monthly_cal!Q242</f>
        <v>67.574999999999989</v>
      </c>
    </row>
    <row r="211" spans="1:3" x14ac:dyDescent="0.25">
      <c r="A211" s="9">
        <v>39234</v>
      </c>
      <c r="B211" s="8">
        <v>325.89999999999998</v>
      </c>
      <c r="C211" s="5">
        <f>bunker_monthly_cal!Q243</f>
        <v>70.916000000000011</v>
      </c>
    </row>
    <row r="212" spans="1:3" x14ac:dyDescent="0.25">
      <c r="A212" s="9">
        <v>39264</v>
      </c>
      <c r="B212" s="8">
        <v>359.875</v>
      </c>
      <c r="C212" s="5">
        <f>bunker_monthly_cal!Q244</f>
        <v>77.592500000000001</v>
      </c>
    </row>
    <row r="213" spans="1:3" x14ac:dyDescent="0.25">
      <c r="A213" s="9">
        <v>39295</v>
      </c>
      <c r="B213" s="8">
        <v>353.7</v>
      </c>
      <c r="C213" s="5">
        <f>bunker_monthly_cal!Q245</f>
        <v>71.302000000000007</v>
      </c>
    </row>
    <row r="214" spans="1:3" x14ac:dyDescent="0.25">
      <c r="A214" s="9">
        <v>39326</v>
      </c>
      <c r="B214" s="8">
        <v>374</v>
      </c>
      <c r="C214" s="5">
        <f>bunker_monthly_cal!Q246</f>
        <v>78.307500000000005</v>
      </c>
    </row>
    <row r="215" spans="1:3" x14ac:dyDescent="0.25">
      <c r="A215" s="9">
        <v>39356</v>
      </c>
      <c r="B215" s="8">
        <v>412.5</v>
      </c>
      <c r="C215" s="5">
        <f>bunker_monthly_cal!Q247</f>
        <v>82.207499999999996</v>
      </c>
    </row>
    <row r="216" spans="1:3" x14ac:dyDescent="0.25">
      <c r="A216" s="9">
        <v>39387</v>
      </c>
      <c r="B216" s="8">
        <v>476.1</v>
      </c>
      <c r="C216" s="5">
        <f>bunker_monthly_cal!Q248</f>
        <v>92.091999999999999</v>
      </c>
    </row>
    <row r="217" spans="1:3" x14ac:dyDescent="0.25">
      <c r="A217" s="9">
        <v>39417</v>
      </c>
      <c r="B217" s="8">
        <v>447.5</v>
      </c>
      <c r="C217" s="5">
        <f>bunker_monthly_cal!Q249</f>
        <v>91.81750000000001</v>
      </c>
    </row>
    <row r="218" spans="1:3" x14ac:dyDescent="0.25">
      <c r="A218" s="9">
        <v>39448</v>
      </c>
      <c r="B218" s="8">
        <v>447.75</v>
      </c>
      <c r="C218" s="5">
        <f>bunker_monthly_cal!Q250</f>
        <v>92.337499999999991</v>
      </c>
    </row>
    <row r="219" spans="1:3" x14ac:dyDescent="0.25">
      <c r="A219" s="9">
        <v>39479</v>
      </c>
      <c r="B219" s="8">
        <v>436.9</v>
      </c>
      <c r="C219" s="5">
        <f>bunker_monthly_cal!Q251</f>
        <v>95.35799999999999</v>
      </c>
    </row>
    <row r="220" spans="1:3" x14ac:dyDescent="0.25">
      <c r="A220" s="9">
        <v>39508</v>
      </c>
      <c r="B220" s="8">
        <v>477.375</v>
      </c>
      <c r="C220" s="5">
        <f>bunker_monthly_cal!Q252</f>
        <v>79.125</v>
      </c>
    </row>
    <row r="221" spans="1:3" x14ac:dyDescent="0.25">
      <c r="A221" s="9">
        <v>39539</v>
      </c>
      <c r="B221" s="8">
        <v>494.875</v>
      </c>
      <c r="C221" s="5">
        <f>bunker_monthly_cal!Q253</f>
        <v>109.16250000000001</v>
      </c>
    </row>
    <row r="222" spans="1:3" x14ac:dyDescent="0.25">
      <c r="A222" s="9">
        <v>39569</v>
      </c>
      <c r="B222" s="8">
        <v>542.9</v>
      </c>
      <c r="C222" s="5">
        <f>bunker_monthly_cal!Q254</f>
        <v>123.202</v>
      </c>
    </row>
    <row r="223" spans="1:3" x14ac:dyDescent="0.25">
      <c r="A223" s="9">
        <v>39600</v>
      </c>
      <c r="B223" s="8">
        <v>593.75750000000005</v>
      </c>
      <c r="C223" s="5">
        <f>bunker_monthly_cal!Q255</f>
        <v>135.19</v>
      </c>
    </row>
    <row r="224" spans="1:3" x14ac:dyDescent="0.25">
      <c r="A224" s="9">
        <v>39630</v>
      </c>
      <c r="B224" s="8">
        <v>679.5</v>
      </c>
      <c r="C224" s="5">
        <f>bunker_monthly_cal!Q256</f>
        <v>99.429999999999993</v>
      </c>
    </row>
    <row r="225" spans="1:3" x14ac:dyDescent="0.25">
      <c r="A225" s="9">
        <v>39661</v>
      </c>
      <c r="B225" s="8">
        <v>635.6</v>
      </c>
      <c r="C225" s="5">
        <f>bunker_monthly_cal!Q257</f>
        <v>114.694</v>
      </c>
    </row>
    <row r="226" spans="1:3" x14ac:dyDescent="0.25">
      <c r="A226" s="9">
        <v>39692</v>
      </c>
      <c r="B226" s="8">
        <v>544.125</v>
      </c>
      <c r="C226" s="5">
        <f>bunker_monthly_cal!Q258</f>
        <v>97.804999999999993</v>
      </c>
    </row>
    <row r="227" spans="1:3" x14ac:dyDescent="0.25">
      <c r="A227" s="9">
        <v>39722</v>
      </c>
      <c r="B227" s="8">
        <v>398</v>
      </c>
      <c r="C227" s="5">
        <f>bunker_monthly_cal!Q259</f>
        <v>70.03</v>
      </c>
    </row>
    <row r="228" spans="1:3" x14ac:dyDescent="0.25">
      <c r="A228" s="9">
        <v>39753</v>
      </c>
      <c r="B228" s="8">
        <v>217.625</v>
      </c>
      <c r="C228" s="5">
        <f>bunker_monthly_cal!Q260</f>
        <v>50.042499999999997</v>
      </c>
    </row>
    <row r="229" spans="1:3" x14ac:dyDescent="0.25">
      <c r="A229" s="9">
        <v>39783</v>
      </c>
      <c r="B229" s="8">
        <v>194.5</v>
      </c>
      <c r="C229" s="5">
        <f>bunker_monthly_cal!Q261</f>
        <v>38.167499999999997</v>
      </c>
    </row>
    <row r="230" spans="1:3" x14ac:dyDescent="0.25">
      <c r="A230" s="9">
        <v>39814</v>
      </c>
      <c r="B230" s="8">
        <v>225.7</v>
      </c>
      <c r="C230" s="5">
        <f>bunker_monthly_cal!Q262</f>
        <v>43.2</v>
      </c>
    </row>
    <row r="231" spans="1:3" x14ac:dyDescent="0.25">
      <c r="A231" s="9">
        <v>39845</v>
      </c>
      <c r="B231" s="8">
        <v>239.125</v>
      </c>
      <c r="C231" s="5">
        <f>bunker_monthly_cal!Q263</f>
        <v>43.612499999999997</v>
      </c>
    </row>
    <row r="232" spans="1:3" x14ac:dyDescent="0.25">
      <c r="A232" s="9">
        <v>39873</v>
      </c>
      <c r="B232" s="8">
        <v>244.5</v>
      </c>
      <c r="C232" s="5">
        <f>bunker_monthly_cal!Q264</f>
        <v>47.1325</v>
      </c>
    </row>
    <row r="233" spans="1:3" x14ac:dyDescent="0.25">
      <c r="A233" s="9">
        <v>39904</v>
      </c>
      <c r="B233" s="8">
        <v>276.25</v>
      </c>
      <c r="C233" s="5">
        <f>bunker_monthly_cal!Q265</f>
        <v>38.197499999999998</v>
      </c>
    </row>
    <row r="234" spans="1:3" x14ac:dyDescent="0.25">
      <c r="A234" s="9">
        <v>39934</v>
      </c>
      <c r="B234" s="8">
        <v>327.5</v>
      </c>
      <c r="C234" s="5">
        <f>bunker_monthly_cal!Q266</f>
        <v>57.556000000000004</v>
      </c>
    </row>
    <row r="235" spans="1:3" x14ac:dyDescent="0.25">
      <c r="A235" s="9">
        <v>39965</v>
      </c>
      <c r="B235" s="8">
        <v>384.25</v>
      </c>
      <c r="C235" s="5">
        <f>bunker_monthly_cal!Q267</f>
        <v>69.242500000000007</v>
      </c>
    </row>
    <row r="236" spans="1:3" x14ac:dyDescent="0.25">
      <c r="A236" s="9">
        <v>39995</v>
      </c>
      <c r="B236" s="8">
        <v>382.8</v>
      </c>
      <c r="C236" s="5">
        <f>bunker_monthly_cal!Q268</f>
        <v>52.173999999999999</v>
      </c>
    </row>
    <row r="237" spans="1:3" x14ac:dyDescent="0.25">
      <c r="A237" s="9">
        <v>40026</v>
      </c>
      <c r="B237" s="8">
        <v>429.375</v>
      </c>
      <c r="C237" s="5">
        <f>bunker_monthly_cal!Q269</f>
        <v>73.012500000000003</v>
      </c>
    </row>
    <row r="238" spans="1:3" x14ac:dyDescent="0.25">
      <c r="A238" s="9">
        <v>40057</v>
      </c>
      <c r="B238" s="8">
        <v>412.375</v>
      </c>
      <c r="C238" s="5">
        <f>bunker_monthly_cal!Q270</f>
        <v>67.48</v>
      </c>
    </row>
    <row r="239" spans="1:3" x14ac:dyDescent="0.25">
      <c r="A239" s="9">
        <v>40087</v>
      </c>
      <c r="B239" s="8">
        <v>423.1</v>
      </c>
      <c r="C239" s="5">
        <f>bunker_monthly_cal!Q271</f>
        <v>72.631999999999991</v>
      </c>
    </row>
    <row r="240" spans="1:3" x14ac:dyDescent="0.25">
      <c r="A240" s="9">
        <v>40118</v>
      </c>
      <c r="B240" s="8">
        <v>462</v>
      </c>
      <c r="C240" s="5">
        <f>bunker_monthly_cal!Q272</f>
        <v>75.482500000000002</v>
      </c>
    </row>
    <row r="241" spans="1:3" x14ac:dyDescent="0.25">
      <c r="A241" s="9">
        <v>40148</v>
      </c>
      <c r="B241" s="8">
        <v>438.75</v>
      </c>
      <c r="C241" s="5">
        <f>bunker_monthly_cal!Q273</f>
        <v>54.92</v>
      </c>
    </row>
    <row r="242" spans="1:3" x14ac:dyDescent="0.25">
      <c r="A242" s="9">
        <v>40179</v>
      </c>
      <c r="B242" s="8">
        <v>457.2</v>
      </c>
      <c r="C242" s="5">
        <f>bunker_monthly_cal!Q274</f>
        <v>60.167999999999992</v>
      </c>
    </row>
    <row r="243" spans="1:3" x14ac:dyDescent="0.25">
      <c r="A243" s="9">
        <v>40210</v>
      </c>
      <c r="B243" s="8">
        <v>445.5</v>
      </c>
      <c r="C243" s="5">
        <f>bunker_monthly_cal!Q275</f>
        <v>73.709999999999994</v>
      </c>
    </row>
    <row r="244" spans="1:3" x14ac:dyDescent="0.25">
      <c r="A244" s="9">
        <v>40238</v>
      </c>
      <c r="B244" s="8">
        <v>453.25</v>
      </c>
      <c r="C244" s="5">
        <f>bunker_monthly_cal!Q276</f>
        <v>78.732500000000002</v>
      </c>
    </row>
    <row r="245" spans="1:3" x14ac:dyDescent="0.25">
      <c r="A245" s="9">
        <v>40269</v>
      </c>
      <c r="B245" s="8">
        <v>467</v>
      </c>
      <c r="C245" s="5">
        <f>bunker_monthly_cal!Q277</f>
        <v>67.972000000000008</v>
      </c>
    </row>
    <row r="246" spans="1:3" x14ac:dyDescent="0.25">
      <c r="A246" s="9">
        <v>40299</v>
      </c>
      <c r="B246" s="8">
        <v>437.375</v>
      </c>
      <c r="C246" s="5">
        <f>bunker_monthly_cal!Q278</f>
        <v>74.09</v>
      </c>
    </row>
    <row r="247" spans="1:3" x14ac:dyDescent="0.25">
      <c r="A247" s="9">
        <v>40330</v>
      </c>
      <c r="B247" s="8">
        <v>424.375</v>
      </c>
      <c r="C247" s="5">
        <f>bunker_monthly_cal!Q279</f>
        <v>74.594999999999999</v>
      </c>
    </row>
    <row r="248" spans="1:3" x14ac:dyDescent="0.25">
      <c r="A248" s="9">
        <v>40360</v>
      </c>
      <c r="B248" s="8">
        <v>423.7</v>
      </c>
      <c r="C248" s="5">
        <f>bunker_monthly_cal!Q280</f>
        <v>75.453999999999994</v>
      </c>
    </row>
    <row r="249" spans="1:3" x14ac:dyDescent="0.25">
      <c r="A249" s="9">
        <v>40391</v>
      </c>
      <c r="B249" s="8">
        <v>439.625</v>
      </c>
      <c r="C249" s="5">
        <f>bunker_monthly_cal!Q281</f>
        <v>76.265000000000015</v>
      </c>
    </row>
    <row r="250" spans="1:3" x14ac:dyDescent="0.25">
      <c r="A250" s="9">
        <v>40422</v>
      </c>
      <c r="B250" s="8">
        <v>431.5</v>
      </c>
      <c r="C250" s="5">
        <f>bunker_monthly_cal!Q282</f>
        <v>77.182500000000005</v>
      </c>
    </row>
    <row r="251" spans="1:3" x14ac:dyDescent="0.25">
      <c r="A251" s="9">
        <v>40452</v>
      </c>
      <c r="B251" s="8">
        <v>458.6</v>
      </c>
      <c r="C251" s="5">
        <f>bunker_monthly_cal!Q283</f>
        <v>82.346000000000004</v>
      </c>
    </row>
    <row r="252" spans="1:3" x14ac:dyDescent="0.25">
      <c r="A252" s="9">
        <v>40483</v>
      </c>
      <c r="B252" s="8">
        <v>476</v>
      </c>
      <c r="C252" s="5">
        <f>bunker_monthly_cal!Q284</f>
        <v>85.267500000000013</v>
      </c>
    </row>
    <row r="253" spans="1:3" x14ac:dyDescent="0.25">
      <c r="A253" s="9">
        <v>40513</v>
      </c>
      <c r="B253" s="8">
        <v>488.6</v>
      </c>
      <c r="C253" s="5">
        <f>bunker_monthly_cal!Q285</f>
        <v>72.906000000000006</v>
      </c>
    </row>
    <row r="254" spans="1:3" x14ac:dyDescent="0.25">
      <c r="A254" s="9">
        <v>40544</v>
      </c>
      <c r="B254" s="8">
        <v>514.75</v>
      </c>
      <c r="C254" s="5">
        <f>bunker_monthly_cal!Q286</f>
        <v>96.502500000000012</v>
      </c>
    </row>
    <row r="255" spans="1:3" x14ac:dyDescent="0.25">
      <c r="A255" s="9">
        <v>40575</v>
      </c>
      <c r="B255" s="8">
        <v>575.25</v>
      </c>
      <c r="C255" s="5">
        <f>bunker_monthly_cal!Q287</f>
        <v>103.25749999999999</v>
      </c>
    </row>
    <row r="256" spans="1:3" x14ac:dyDescent="0.25">
      <c r="A256" s="9">
        <v>40603</v>
      </c>
      <c r="B256" s="8">
        <v>606.375</v>
      </c>
      <c r="C256" s="5">
        <f>bunker_monthly_cal!Q288</f>
        <v>114.83999999999999</v>
      </c>
    </row>
    <row r="257" spans="1:3" x14ac:dyDescent="0.25">
      <c r="A257" s="9">
        <v>40634</v>
      </c>
      <c r="B257" s="8">
        <v>641.6</v>
      </c>
      <c r="C257" s="5">
        <f>bunker_monthly_cal!Q289</f>
        <v>73.912000000000006</v>
      </c>
    </row>
    <row r="258" spans="1:3" x14ac:dyDescent="0.25">
      <c r="A258" s="9">
        <v>40664</v>
      </c>
      <c r="B258" s="8">
        <v>621.75</v>
      </c>
      <c r="C258" s="5">
        <f>bunker_monthly_cal!Q290</f>
        <v>113.2175</v>
      </c>
    </row>
    <row r="259" spans="1:3" x14ac:dyDescent="0.25">
      <c r="A259" s="9">
        <v>40695</v>
      </c>
      <c r="B259" s="8">
        <v>631.25</v>
      </c>
      <c r="C259" s="5">
        <f>bunker_monthly_cal!Q291</f>
        <v>113.08250000000001</v>
      </c>
    </row>
    <row r="260" spans="1:3" x14ac:dyDescent="0.25">
      <c r="A260" s="9">
        <v>40725</v>
      </c>
      <c r="B260" s="8">
        <v>647.5</v>
      </c>
      <c r="C260" s="5">
        <f>bunker_monthly_cal!Q292</f>
        <v>116.04</v>
      </c>
    </row>
    <row r="261" spans="1:3" x14ac:dyDescent="0.25">
      <c r="A261" s="9">
        <v>40756</v>
      </c>
      <c r="B261" s="8">
        <v>634.375</v>
      </c>
      <c r="C261" s="5">
        <f>bunker_monthly_cal!Q293</f>
        <v>109.18750000000001</v>
      </c>
    </row>
    <row r="262" spans="1:3" x14ac:dyDescent="0.25">
      <c r="A262" s="9">
        <v>40787</v>
      </c>
      <c r="B262" s="8">
        <v>640.5</v>
      </c>
      <c r="C262" s="5">
        <f>bunker_monthly_cal!Q294</f>
        <v>112.374</v>
      </c>
    </row>
    <row r="263" spans="1:3" x14ac:dyDescent="0.25">
      <c r="A263" s="9">
        <v>40817</v>
      </c>
      <c r="B263" s="8">
        <v>633</v>
      </c>
      <c r="C263" s="5">
        <f>bunker_monthly_cal!Q295</f>
        <v>110.625</v>
      </c>
    </row>
    <row r="264" spans="1:3" x14ac:dyDescent="0.25">
      <c r="A264" s="9">
        <v>40848</v>
      </c>
      <c r="B264" s="8">
        <v>645.125</v>
      </c>
      <c r="C264" s="5">
        <f>bunker_monthly_cal!Q296</f>
        <v>110.1375</v>
      </c>
    </row>
    <row r="265" spans="1:3" x14ac:dyDescent="0.25">
      <c r="A265" s="9">
        <v>40878</v>
      </c>
      <c r="B265" s="8">
        <v>623.79999999999995</v>
      </c>
      <c r="C265" s="5">
        <f>bunker_monthly_cal!Q297</f>
        <v>107.774</v>
      </c>
    </row>
    <row r="266" spans="1:3" x14ac:dyDescent="0.25">
      <c r="A266" s="9">
        <v>40909</v>
      </c>
      <c r="B266" s="8">
        <v>682.375</v>
      </c>
      <c r="C266" s="5">
        <f>bunker_monthly_cal!Q298</f>
        <v>110.21</v>
      </c>
    </row>
    <row r="267" spans="1:3" x14ac:dyDescent="0.25">
      <c r="A267" s="9">
        <v>40940</v>
      </c>
      <c r="B267" s="8">
        <v>694.625</v>
      </c>
      <c r="C267" s="5">
        <f>bunker_monthly_cal!Q299</f>
        <v>119.0675</v>
      </c>
    </row>
    <row r="268" spans="1:3" x14ac:dyDescent="0.25">
      <c r="A268" s="9">
        <v>40969</v>
      </c>
      <c r="B268" s="8">
        <v>712.6</v>
      </c>
      <c r="C268" s="5">
        <f>bunker_monthly_cal!Q300</f>
        <v>125.54400000000001</v>
      </c>
    </row>
    <row r="269" spans="1:3" x14ac:dyDescent="0.25">
      <c r="A269" s="9">
        <v>41000</v>
      </c>
      <c r="B269" s="8">
        <v>697</v>
      </c>
      <c r="C269" s="5">
        <f>bunker_monthly_cal!Q301</f>
        <v>89.5</v>
      </c>
    </row>
    <row r="270" spans="1:3" x14ac:dyDescent="0.25">
      <c r="A270" s="9">
        <v>41030</v>
      </c>
      <c r="B270" s="8">
        <v>651.5</v>
      </c>
      <c r="C270" s="5">
        <f>bunker_monthly_cal!Q302</f>
        <v>110.0125</v>
      </c>
    </row>
    <row r="271" spans="1:3" x14ac:dyDescent="0.25">
      <c r="A271" s="9">
        <v>41061</v>
      </c>
      <c r="B271" s="8">
        <v>572.4</v>
      </c>
      <c r="C271" s="5">
        <f>bunker_monthly_cal!Q303</f>
        <v>95.343999999999994</v>
      </c>
    </row>
    <row r="272" spans="1:3" x14ac:dyDescent="0.25">
      <c r="A272" s="9">
        <v>41091</v>
      </c>
      <c r="B272" s="8">
        <v>597.125</v>
      </c>
      <c r="C272" s="5">
        <f>bunker_monthly_cal!Q304</f>
        <v>103.4225</v>
      </c>
    </row>
    <row r="273" spans="1:3" x14ac:dyDescent="0.25">
      <c r="A273" s="9">
        <v>41122</v>
      </c>
      <c r="B273" s="8">
        <v>640.5</v>
      </c>
      <c r="C273" s="5">
        <f>bunker_monthly_cal!Q305</f>
        <v>113.51799999999999</v>
      </c>
    </row>
    <row r="274" spans="1:3" x14ac:dyDescent="0.25">
      <c r="A274" s="9">
        <v>41153</v>
      </c>
      <c r="B274" s="8">
        <v>640</v>
      </c>
      <c r="C274" s="5">
        <f>bunker_monthly_cal!Q306</f>
        <v>113.4375</v>
      </c>
    </row>
    <row r="275" spans="1:3" x14ac:dyDescent="0.25">
      <c r="A275" s="9">
        <v>41183</v>
      </c>
      <c r="B275" s="8">
        <v>616.75</v>
      </c>
      <c r="C275" s="5">
        <f>bunker_monthly_cal!Q307</f>
        <v>112.0325</v>
      </c>
    </row>
    <row r="276" spans="1:3" x14ac:dyDescent="0.25">
      <c r="A276" s="9">
        <v>41214</v>
      </c>
      <c r="B276" s="8">
        <v>588</v>
      </c>
      <c r="C276" s="5">
        <f>bunker_monthly_cal!Q308</f>
        <v>108.63800000000001</v>
      </c>
    </row>
    <row r="277" spans="1:3" x14ac:dyDescent="0.25">
      <c r="A277" s="9">
        <v>41244</v>
      </c>
      <c r="B277" s="8">
        <v>582.75</v>
      </c>
      <c r="C277" s="5">
        <f>bunker_monthly_cal!Q309</f>
        <v>108.905</v>
      </c>
    </row>
    <row r="278" spans="1:3" x14ac:dyDescent="0.25">
      <c r="A278" s="9">
        <v>41275</v>
      </c>
      <c r="B278" s="8">
        <v>608.75</v>
      </c>
      <c r="C278" s="5">
        <f>bunker_monthly_cal!Q310</f>
        <v>112.11749999999999</v>
      </c>
    </row>
    <row r="279" spans="1:3" x14ac:dyDescent="0.25">
      <c r="A279" s="9">
        <v>41306</v>
      </c>
      <c r="B279" s="8">
        <v>634.5</v>
      </c>
      <c r="C279" s="5">
        <f>bunker_monthly_cal!Q311</f>
        <v>116.39750000000001</v>
      </c>
    </row>
    <row r="280" spans="1:3" x14ac:dyDescent="0.25">
      <c r="A280" s="9">
        <v>41334</v>
      </c>
      <c r="B280" s="8">
        <v>605.6</v>
      </c>
      <c r="C280" s="5">
        <f>bunker_monthly_cal!Q312</f>
        <v>86.975999999999999</v>
      </c>
    </row>
    <row r="281" spans="1:3" x14ac:dyDescent="0.25">
      <c r="A281" s="9">
        <v>41365</v>
      </c>
      <c r="B281" s="8">
        <v>584</v>
      </c>
      <c r="C281" s="5">
        <f>bunker_monthly_cal!Q313</f>
        <v>101.4725</v>
      </c>
    </row>
    <row r="282" spans="1:3" x14ac:dyDescent="0.25">
      <c r="A282" s="9">
        <v>41395</v>
      </c>
      <c r="B282" s="8">
        <v>580.20000000000005</v>
      </c>
      <c r="C282" s="5">
        <f>bunker_monthly_cal!Q314</f>
        <v>102.28200000000001</v>
      </c>
    </row>
    <row r="283" spans="1:3" x14ac:dyDescent="0.25">
      <c r="A283" s="9">
        <v>41426</v>
      </c>
      <c r="B283" s="8">
        <v>580</v>
      </c>
      <c r="C283" s="5">
        <f>bunker_monthly_cal!Q315</f>
        <v>103.005</v>
      </c>
    </row>
    <row r="284" spans="1:3" x14ac:dyDescent="0.25">
      <c r="A284" s="9">
        <v>41456</v>
      </c>
      <c r="B284" s="8">
        <v>596.75</v>
      </c>
      <c r="C284" s="5">
        <f>bunker_monthly_cal!Q316</f>
        <v>108.35000000000001</v>
      </c>
    </row>
    <row r="285" spans="1:3" x14ac:dyDescent="0.25">
      <c r="A285" s="9">
        <v>41487</v>
      </c>
      <c r="B285" s="8">
        <v>601.6</v>
      </c>
      <c r="C285" s="5">
        <f>bunker_monthly_cal!Q317</f>
        <v>111.60599999999999</v>
      </c>
    </row>
    <row r="286" spans="1:3" x14ac:dyDescent="0.25">
      <c r="A286" s="9">
        <v>41518</v>
      </c>
      <c r="B286" s="8">
        <v>597.5</v>
      </c>
      <c r="C286" s="5">
        <f>bunker_monthly_cal!Q318</f>
        <v>112.5325</v>
      </c>
    </row>
    <row r="287" spans="1:3" x14ac:dyDescent="0.25">
      <c r="A287" s="9">
        <v>41548</v>
      </c>
      <c r="B287" s="8">
        <v>588.5</v>
      </c>
      <c r="C287" s="5">
        <f>bunker_monthly_cal!Q319</f>
        <v>108.7925</v>
      </c>
    </row>
    <row r="288" spans="1:3" x14ac:dyDescent="0.25">
      <c r="A288" s="9">
        <v>41579</v>
      </c>
      <c r="B288" s="8">
        <v>575.9</v>
      </c>
      <c r="C288" s="5">
        <f>bunker_monthly_cal!Q320</f>
        <v>108.15</v>
      </c>
    </row>
    <row r="289" spans="1:3" x14ac:dyDescent="0.25">
      <c r="A289" s="9">
        <v>41609</v>
      </c>
      <c r="B289" s="8">
        <v>584.25</v>
      </c>
      <c r="C289" s="5">
        <f>bunker_monthly_cal!Q321</f>
        <v>110.94750000000001</v>
      </c>
    </row>
    <row r="290" spans="1:3" x14ac:dyDescent="0.25">
      <c r="A290" s="9">
        <v>41640</v>
      </c>
      <c r="B290" s="8">
        <v>570.4</v>
      </c>
      <c r="C290" s="5">
        <f>bunker_monthly_cal!Q322</f>
        <v>107.752</v>
      </c>
    </row>
    <row r="291" spans="1:3" x14ac:dyDescent="0.25">
      <c r="A291" s="9">
        <v>41671</v>
      </c>
      <c r="B291" s="8">
        <v>580</v>
      </c>
      <c r="C291" s="5">
        <f>bunker_monthly_cal!Q323</f>
        <v>109.19</v>
      </c>
    </row>
    <row r="292" spans="1:3" x14ac:dyDescent="0.25">
      <c r="A292" s="9">
        <v>41699</v>
      </c>
      <c r="B292" s="8">
        <v>574.5</v>
      </c>
      <c r="C292" s="5">
        <f>bunker_monthly_cal!Q324</f>
        <v>107.765</v>
      </c>
    </row>
    <row r="293" spans="1:3" x14ac:dyDescent="0.25">
      <c r="A293" s="9">
        <v>41730</v>
      </c>
      <c r="B293" s="8">
        <v>578.75</v>
      </c>
      <c r="C293" s="5">
        <f>bunker_monthly_cal!Q325</f>
        <v>80.819999999999993</v>
      </c>
    </row>
    <row r="294" spans="1:3" x14ac:dyDescent="0.25">
      <c r="A294" s="9">
        <v>41760</v>
      </c>
      <c r="B294" s="8">
        <v>576.4</v>
      </c>
      <c r="C294" s="5">
        <f>bunker_monthly_cal!Q326</f>
        <v>109.60799999999999</v>
      </c>
    </row>
    <row r="295" spans="1:3" x14ac:dyDescent="0.25">
      <c r="A295" s="9">
        <v>41791</v>
      </c>
      <c r="B295" s="8">
        <v>590.25</v>
      </c>
      <c r="C295" s="5">
        <f>bunker_monthly_cal!Q327</f>
        <v>112.38250000000001</v>
      </c>
    </row>
    <row r="296" spans="1:3" x14ac:dyDescent="0.25">
      <c r="A296" s="9">
        <v>41821</v>
      </c>
      <c r="B296" s="8">
        <v>575</v>
      </c>
      <c r="C296" s="5">
        <f>bunker_monthly_cal!Q328</f>
        <v>79.672499999999999</v>
      </c>
    </row>
    <row r="297" spans="1:3" x14ac:dyDescent="0.25">
      <c r="A297" s="9">
        <v>41852</v>
      </c>
      <c r="B297" s="8">
        <v>563.4</v>
      </c>
      <c r="C297" s="5">
        <f>bunker_monthly_cal!Q329</f>
        <v>101.83</v>
      </c>
    </row>
    <row r="298" spans="1:3" x14ac:dyDescent="0.25">
      <c r="A298" s="9">
        <v>41883</v>
      </c>
      <c r="B298" s="8">
        <v>547.5</v>
      </c>
      <c r="C298" s="5">
        <f>bunker_monthly_cal!Q330</f>
        <v>96.912499999999994</v>
      </c>
    </row>
    <row r="299" spans="1:3" x14ac:dyDescent="0.25">
      <c r="A299" s="9">
        <v>41913</v>
      </c>
      <c r="B299" s="8">
        <v>481.6</v>
      </c>
      <c r="C299" s="5">
        <f>bunker_monthly_cal!Q331</f>
        <v>86.97999999999999</v>
      </c>
    </row>
    <row r="300" spans="1:3" x14ac:dyDescent="0.25">
      <c r="A300" s="9">
        <v>41944</v>
      </c>
      <c r="B300" s="8">
        <v>420</v>
      </c>
      <c r="C300" s="5">
        <f>bunker_monthly_cal!Q332</f>
        <v>77.95</v>
      </c>
    </row>
    <row r="301" spans="1:3" x14ac:dyDescent="0.25">
      <c r="A301" s="9">
        <v>41974</v>
      </c>
      <c r="B301" s="8">
        <v>327.875</v>
      </c>
      <c r="C301" s="5">
        <f>bunker_monthly_cal!Q333</f>
        <v>61.815000000000005</v>
      </c>
    </row>
    <row r="302" spans="1:3" x14ac:dyDescent="0.25">
      <c r="A302" s="9">
        <v>42005</v>
      </c>
      <c r="B302" s="8">
        <v>250.1</v>
      </c>
      <c r="C302" s="5">
        <f>bunker_monthly_cal!Q334</f>
        <v>48.922000000000004</v>
      </c>
    </row>
    <row r="303" spans="1:3" x14ac:dyDescent="0.25">
      <c r="A303" s="9">
        <v>42036</v>
      </c>
      <c r="B303" s="8">
        <v>304.625</v>
      </c>
      <c r="C303" s="5">
        <f>bunker_monthly_cal!Q335</f>
        <v>59.772500000000008</v>
      </c>
    </row>
    <row r="304" spans="1:3" x14ac:dyDescent="0.25">
      <c r="A304" s="9">
        <v>42064</v>
      </c>
      <c r="B304" s="8">
        <v>301.875</v>
      </c>
      <c r="C304" s="5">
        <f>bunker_monthly_cal!Q336</f>
        <v>56.067499999999995</v>
      </c>
    </row>
    <row r="305" spans="1:3" x14ac:dyDescent="0.25">
      <c r="A305" s="9">
        <v>42095</v>
      </c>
      <c r="B305" s="8">
        <v>307.25</v>
      </c>
      <c r="C305" s="5">
        <f>bunker_monthly_cal!Q337</f>
        <v>45.272500000000001</v>
      </c>
    </row>
    <row r="306" spans="1:3" x14ac:dyDescent="0.25">
      <c r="A306" s="9">
        <v>42125</v>
      </c>
      <c r="B306" s="8">
        <v>343.7</v>
      </c>
      <c r="C306" s="5">
        <f>bunker_monthly_cal!Q338</f>
        <v>64.099999999999994</v>
      </c>
    </row>
    <row r="307" spans="1:3" x14ac:dyDescent="0.25">
      <c r="A307" s="9">
        <v>42156</v>
      </c>
      <c r="B307" s="8">
        <v>328.5</v>
      </c>
      <c r="C307" s="5">
        <f>bunker_monthly_cal!Q339</f>
        <v>60.774999999999991</v>
      </c>
    </row>
    <row r="308" spans="1:3" x14ac:dyDescent="0.25">
      <c r="A308" s="9">
        <v>42186</v>
      </c>
      <c r="B308" s="8">
        <v>292.7</v>
      </c>
      <c r="C308" s="5">
        <f>bunker_monthly_cal!Q340</f>
        <v>56.148000000000003</v>
      </c>
    </row>
    <row r="309" spans="1:3" x14ac:dyDescent="0.25">
      <c r="A309" s="9">
        <v>42217</v>
      </c>
      <c r="B309" s="8">
        <v>233.75</v>
      </c>
      <c r="C309" s="5">
        <f>bunker_monthly_cal!Q341</f>
        <v>46.785000000000004</v>
      </c>
    </row>
    <row r="310" spans="1:3" x14ac:dyDescent="0.25">
      <c r="A310" s="9">
        <v>42248</v>
      </c>
      <c r="B310" s="8">
        <v>226.625</v>
      </c>
      <c r="C310" s="5">
        <f>bunker_monthly_cal!Q342</f>
        <v>47.505000000000003</v>
      </c>
    </row>
    <row r="311" spans="1:3" x14ac:dyDescent="0.25">
      <c r="A311" s="9">
        <v>42278</v>
      </c>
      <c r="B311" s="8">
        <v>222.5</v>
      </c>
      <c r="C311" s="5">
        <f>bunker_monthly_cal!Q343</f>
        <v>48.378</v>
      </c>
    </row>
    <row r="312" spans="1:3" x14ac:dyDescent="0.25">
      <c r="A312" s="9">
        <v>42309</v>
      </c>
      <c r="B312" s="8">
        <v>201</v>
      </c>
      <c r="C312" s="5">
        <f>bunker_monthly_cal!Q344</f>
        <v>43.407499999999999</v>
      </c>
    </row>
    <row r="313" spans="1:3" x14ac:dyDescent="0.25">
      <c r="A313" s="9">
        <v>42339</v>
      </c>
      <c r="B313" s="8">
        <v>157.125</v>
      </c>
      <c r="C313" s="5">
        <f>bunker_monthly_cal!Q345</f>
        <v>28.797499999999999</v>
      </c>
    </row>
    <row r="314" spans="1:3" x14ac:dyDescent="0.25">
      <c r="A314" s="9">
        <v>42370</v>
      </c>
      <c r="B314" s="8">
        <v>125.9</v>
      </c>
      <c r="C314" s="5">
        <f>bunker_monthly_cal!Q346</f>
        <v>24.814</v>
      </c>
    </row>
    <row r="315" spans="1:3" x14ac:dyDescent="0.25">
      <c r="A315" s="9">
        <v>42401</v>
      </c>
      <c r="B315" s="8">
        <v>144</v>
      </c>
      <c r="C315" s="5">
        <f>bunker_monthly_cal!Q347</f>
        <v>32.892499999999998</v>
      </c>
    </row>
    <row r="316" spans="1:3" x14ac:dyDescent="0.25">
      <c r="A316" s="9">
        <v>42430</v>
      </c>
      <c r="B316" s="8">
        <v>159</v>
      </c>
      <c r="C316" s="5">
        <f>bunker_monthly_cal!Q348</f>
        <v>29.07</v>
      </c>
    </row>
    <row r="317" spans="1:3" x14ac:dyDescent="0.25">
      <c r="A317" s="9">
        <v>42461</v>
      </c>
      <c r="B317" s="8">
        <v>173.5</v>
      </c>
      <c r="C317" s="5">
        <f>bunker_monthly_cal!Q349</f>
        <v>41.612000000000002</v>
      </c>
    </row>
    <row r="318" spans="1:3" x14ac:dyDescent="0.25">
      <c r="A318" s="9">
        <v>42491</v>
      </c>
      <c r="B318" s="8">
        <v>213.125</v>
      </c>
      <c r="C318" s="5">
        <f>bunker_monthly_cal!Q350</f>
        <v>47.32</v>
      </c>
    </row>
    <row r="319" spans="1:3" x14ac:dyDescent="0.25">
      <c r="A319" s="9">
        <v>42522</v>
      </c>
      <c r="B319" s="8">
        <v>227.875</v>
      </c>
      <c r="C319" s="5">
        <f>bunker_monthly_cal!Q351</f>
        <v>47.865000000000002</v>
      </c>
    </row>
    <row r="320" spans="1:3" x14ac:dyDescent="0.25">
      <c r="A320" s="9">
        <v>42552</v>
      </c>
      <c r="B320" s="8">
        <v>232.7</v>
      </c>
      <c r="C320" s="5">
        <f>bunker_monthly_cal!Q352</f>
        <v>44.686</v>
      </c>
    </row>
    <row r="321" spans="1:3" x14ac:dyDescent="0.25">
      <c r="A321" s="9">
        <v>42583</v>
      </c>
      <c r="B321" s="8">
        <v>225.75</v>
      </c>
      <c r="C321" s="5">
        <f>bunker_monthly_cal!Q353</f>
        <v>46.660000000000004</v>
      </c>
    </row>
    <row r="322" spans="1:3" x14ac:dyDescent="0.25">
      <c r="A322" s="9">
        <v>42614</v>
      </c>
      <c r="B322" s="8">
        <v>241.7</v>
      </c>
      <c r="C322" s="5">
        <f>bunker_monthly_cal!Q354</f>
        <v>46.908000000000001</v>
      </c>
    </row>
    <row r="323" spans="1:3" x14ac:dyDescent="0.25">
      <c r="A323" s="9">
        <v>42644</v>
      </c>
      <c r="B323" s="8">
        <v>265.25</v>
      </c>
      <c r="C323" s="5">
        <f>bunker_monthly_cal!Q355</f>
        <v>49.354999999999997</v>
      </c>
    </row>
    <row r="324" spans="1:3" x14ac:dyDescent="0.25">
      <c r="A324" s="9">
        <v>42675</v>
      </c>
      <c r="B324" s="8">
        <v>252</v>
      </c>
      <c r="C324" s="5">
        <f>bunker_monthly_cal!Q356</f>
        <v>43.849999999999994</v>
      </c>
    </row>
    <row r="325" spans="1:3" x14ac:dyDescent="0.25">
      <c r="A325" s="9">
        <v>42705</v>
      </c>
      <c r="B325" s="8">
        <v>296.5</v>
      </c>
      <c r="C325" s="5">
        <f>bunker_monthly_cal!Q357</f>
        <v>53.515999999999998</v>
      </c>
    </row>
    <row r="326" spans="1:3" x14ac:dyDescent="0.25">
      <c r="A326" s="9">
        <v>42736</v>
      </c>
      <c r="B326" s="8">
        <v>306.875</v>
      </c>
      <c r="C326" s="5">
        <f>bunker_monthly_cal!Q358</f>
        <v>55.027500000000003</v>
      </c>
    </row>
    <row r="327" spans="1:3" x14ac:dyDescent="0.25">
      <c r="A327" s="9">
        <v>42767</v>
      </c>
      <c r="B327" s="8">
        <v>302.5</v>
      </c>
      <c r="C327" s="5">
        <f>bunker_monthly_cal!Q359</f>
        <v>55.072499999999998</v>
      </c>
    </row>
    <row r="328" spans="1:3" x14ac:dyDescent="0.25">
      <c r="A328" s="9">
        <v>42795</v>
      </c>
      <c r="B328" s="8">
        <v>282.7</v>
      </c>
      <c r="C328" s="5">
        <f>bunker_monthly_cal!Q360</f>
        <v>51.5</v>
      </c>
    </row>
    <row r="329" spans="1:3" x14ac:dyDescent="0.25">
      <c r="A329" s="9">
        <v>42826</v>
      </c>
      <c r="B329" s="8">
        <v>293.125</v>
      </c>
      <c r="C329" s="5">
        <f>bunker_monthly_cal!Q361</f>
        <v>38.407499999999999</v>
      </c>
    </row>
    <row r="330" spans="1:3" x14ac:dyDescent="0.25">
      <c r="A330" s="9">
        <v>42856</v>
      </c>
      <c r="B330" s="8">
        <v>285.25</v>
      </c>
      <c r="C330" s="5">
        <f>bunker_monthly_cal!Q362</f>
        <v>50.037500000000001</v>
      </c>
    </row>
    <row r="331" spans="1:3" x14ac:dyDescent="0.25">
      <c r="A331" s="9">
        <v>42887</v>
      </c>
      <c r="B331" s="8">
        <v>276.8</v>
      </c>
      <c r="C331" s="5">
        <f>bunker_monthly_cal!Q363</f>
        <v>46.403999999999996</v>
      </c>
    </row>
    <row r="332" spans="1:3" x14ac:dyDescent="0.25">
      <c r="A332" s="9">
        <v>42917</v>
      </c>
      <c r="B332" s="8">
        <v>287.875</v>
      </c>
      <c r="C332" s="5">
        <f>bunker_monthly_cal!Q364</f>
        <v>48.457499999999996</v>
      </c>
    </row>
    <row r="333" spans="1:3" x14ac:dyDescent="0.25">
      <c r="A333" s="9">
        <v>42948</v>
      </c>
      <c r="B333" s="8">
        <v>295.5</v>
      </c>
      <c r="C333" s="5">
        <f>bunker_monthly_cal!Q365</f>
        <v>51.695</v>
      </c>
    </row>
    <row r="334" spans="1:3" x14ac:dyDescent="0.25">
      <c r="A334" s="9">
        <v>42979</v>
      </c>
      <c r="B334" s="8">
        <v>313.89999999999998</v>
      </c>
      <c r="C334" s="5">
        <f>bunker_monthly_cal!Q366</f>
        <v>55.811999999999998</v>
      </c>
    </row>
    <row r="335" spans="1:3" x14ac:dyDescent="0.25">
      <c r="A335" s="9">
        <v>43009</v>
      </c>
      <c r="B335" s="8">
        <v>319.5</v>
      </c>
      <c r="C335" s="5">
        <f>bunker_monthly_cal!Q367</f>
        <v>57.6</v>
      </c>
    </row>
    <row r="336" spans="1:3" x14ac:dyDescent="0.25">
      <c r="A336" s="9">
        <v>43040</v>
      </c>
      <c r="B336" s="8">
        <v>352.875</v>
      </c>
      <c r="C336" s="5">
        <f>bunker_monthly_cal!Q368</f>
        <v>62.672499999999999</v>
      </c>
    </row>
    <row r="337" spans="1:3" x14ac:dyDescent="0.25">
      <c r="A337" s="9">
        <v>43070</v>
      </c>
      <c r="B337" s="8">
        <v>345.7</v>
      </c>
      <c r="C337" s="5">
        <f>bunker_monthly_cal!Q369</f>
        <v>64.716000000000008</v>
      </c>
    </row>
    <row r="338" spans="1:3" x14ac:dyDescent="0.25">
      <c r="A338" s="9">
        <v>43101</v>
      </c>
      <c r="B338" s="8">
        <v>370.75</v>
      </c>
      <c r="C338" s="5">
        <f>bunker_monthly_cal!Q370</f>
        <v>69.072500000000005</v>
      </c>
    </row>
    <row r="339" spans="1:3" x14ac:dyDescent="0.25">
      <c r="A339" s="9">
        <v>43132</v>
      </c>
      <c r="B339" s="8">
        <v>355.75</v>
      </c>
      <c r="C339" s="5">
        <f>bunker_monthly_cal!Q371</f>
        <v>65.45750000000001</v>
      </c>
    </row>
    <row r="340" spans="1:3" x14ac:dyDescent="0.25">
      <c r="A340" s="9">
        <v>43160</v>
      </c>
      <c r="B340" s="8">
        <v>350.2</v>
      </c>
      <c r="C340" s="5">
        <f>bunker_monthly_cal!Q372</f>
        <v>52.631999999999991</v>
      </c>
    </row>
    <row r="341" spans="1:3" x14ac:dyDescent="0.25">
      <c r="A341" s="9">
        <v>43191</v>
      </c>
      <c r="B341" s="8">
        <v>374.5</v>
      </c>
      <c r="C341" s="5">
        <f>bunker_monthly_cal!Q373</f>
        <v>72.41</v>
      </c>
    </row>
    <row r="342" spans="1:3" x14ac:dyDescent="0.25">
      <c r="A342" s="9">
        <v>43221</v>
      </c>
      <c r="B342" s="8">
        <v>416.75</v>
      </c>
      <c r="C342" s="5">
        <f>bunker_monthly_cal!Q374</f>
        <v>76.775000000000006</v>
      </c>
    </row>
    <row r="343" spans="1:3" x14ac:dyDescent="0.25">
      <c r="A343" s="9">
        <v>43252</v>
      </c>
      <c r="B343" s="8">
        <v>422.3</v>
      </c>
      <c r="C343" s="5">
        <f>bunker_monthly_cal!Q375</f>
        <v>74.556000000000012</v>
      </c>
    </row>
    <row r="344" spans="1:3" x14ac:dyDescent="0.25">
      <c r="A344" s="9">
        <v>43282</v>
      </c>
      <c r="B344" s="8">
        <v>425.75</v>
      </c>
      <c r="C344" s="5">
        <f>bunker_monthly_cal!Q376</f>
        <v>73.97999999999999</v>
      </c>
    </row>
    <row r="345" spans="1:3" x14ac:dyDescent="0.25">
      <c r="A345" s="9">
        <v>43313</v>
      </c>
      <c r="B345" s="8">
        <v>422.2</v>
      </c>
      <c r="C345" s="5">
        <f>bunker_monthly_cal!Q377</f>
        <v>72.994</v>
      </c>
    </row>
    <row r="346" spans="1:3" x14ac:dyDescent="0.25">
      <c r="A346" s="9">
        <v>43344</v>
      </c>
      <c r="B346" s="8">
        <v>436.625</v>
      </c>
      <c r="C346" s="5">
        <f>bunker_monthly_cal!Q378</f>
        <v>78.760000000000005</v>
      </c>
    </row>
    <row r="347" spans="1:3" x14ac:dyDescent="0.25">
      <c r="A347" s="9">
        <v>43374</v>
      </c>
      <c r="B347" s="8">
        <v>466.375</v>
      </c>
      <c r="C347" s="5">
        <f>bunker_monthly_cal!Q379</f>
        <v>80.902500000000003</v>
      </c>
    </row>
    <row r="348" spans="1:3" x14ac:dyDescent="0.25">
      <c r="A348" s="9">
        <v>43405</v>
      </c>
      <c r="B348" s="8">
        <v>413.9</v>
      </c>
      <c r="C348" s="5">
        <f>bunker_monthly_cal!Q380</f>
        <v>64.162000000000006</v>
      </c>
    </row>
    <row r="349" spans="1:3" x14ac:dyDescent="0.25">
      <c r="A349" s="9">
        <v>43435</v>
      </c>
      <c r="B349" s="8">
        <v>343.625</v>
      </c>
      <c r="C349" s="5">
        <f>bunker_monthly_cal!Q381</f>
        <v>55.692500000000003</v>
      </c>
    </row>
    <row r="350" spans="1:3" x14ac:dyDescent="0.25">
      <c r="A350" s="9">
        <v>43466</v>
      </c>
      <c r="B350" s="8">
        <v>346.125</v>
      </c>
      <c r="C350" s="5">
        <f>bunker_monthly_cal!Q382</f>
        <v>59.602499999999999</v>
      </c>
    </row>
    <row r="351" spans="1:3" x14ac:dyDescent="0.25">
      <c r="A351" s="9">
        <v>43497</v>
      </c>
      <c r="B351" s="8">
        <v>388.25</v>
      </c>
      <c r="C351" s="5">
        <f>bunker_monthly_cal!Q383</f>
        <v>63.947499999999998</v>
      </c>
    </row>
    <row r="352" spans="1:3" x14ac:dyDescent="0.25">
      <c r="A352" s="9">
        <v>43525</v>
      </c>
      <c r="B352" s="8">
        <v>411.3</v>
      </c>
      <c r="C352" s="5">
        <f>bunker_monthly_cal!Q384</f>
        <v>65.940000000000012</v>
      </c>
    </row>
    <row r="353" spans="1:3" x14ac:dyDescent="0.25">
      <c r="A353" s="9">
        <v>43556</v>
      </c>
      <c r="B353" s="8">
        <v>423.875</v>
      </c>
      <c r="C353" s="5">
        <f>bunker_monthly_cal!Q385</f>
        <v>53.1325</v>
      </c>
    </row>
    <row r="354" spans="1:3" x14ac:dyDescent="0.25">
      <c r="A354" s="9">
        <v>43586</v>
      </c>
      <c r="B354" s="8">
        <v>402.7</v>
      </c>
      <c r="C354" s="5">
        <f>bunker_monthly_cal!Q386</f>
        <v>70.455999999999989</v>
      </c>
    </row>
    <row r="355" spans="1:3" x14ac:dyDescent="0.25">
      <c r="A355" s="9">
        <v>43617</v>
      </c>
      <c r="B355" s="8">
        <v>366</v>
      </c>
      <c r="C355" s="5">
        <f>bunker_monthly_cal!Q387</f>
        <v>65.184999999999988</v>
      </c>
    </row>
    <row r="356" spans="1:3" x14ac:dyDescent="0.25">
      <c r="A356" s="9">
        <v>43647</v>
      </c>
      <c r="B356" s="8">
        <v>389.125</v>
      </c>
      <c r="C356" s="5">
        <f>bunker_monthly_cal!Q388</f>
        <v>63.594999999999999</v>
      </c>
    </row>
    <row r="357" spans="1:3" x14ac:dyDescent="0.25">
      <c r="A357" s="9">
        <v>43678</v>
      </c>
      <c r="B357" s="8">
        <v>311.2</v>
      </c>
      <c r="C357" s="5">
        <f>bunker_monthly_cal!Q389</f>
        <v>59.434000000000005</v>
      </c>
    </row>
    <row r="358" spans="1:3" x14ac:dyDescent="0.25">
      <c r="A358" s="9">
        <v>43709</v>
      </c>
      <c r="B358" s="8">
        <v>338.25</v>
      </c>
      <c r="C358" s="5">
        <f>bunker_monthly_cal!Q390</f>
        <v>62.559999999999995</v>
      </c>
    </row>
    <row r="359" spans="1:3" x14ac:dyDescent="0.25">
      <c r="A359" s="9">
        <v>43739</v>
      </c>
      <c r="B359" s="8">
        <v>287</v>
      </c>
      <c r="C359" s="5">
        <f>bunker_monthly_cal!Q391</f>
        <v>60.435000000000002</v>
      </c>
    </row>
    <row r="360" spans="1:3" x14ac:dyDescent="0.25">
      <c r="A360" s="9">
        <v>43770</v>
      </c>
      <c r="B360" s="8">
        <v>258.35000000000002</v>
      </c>
      <c r="C360" s="5">
        <f>bunker_monthly_cal!Q392</f>
        <v>62.963999999999999</v>
      </c>
    </row>
    <row r="361" spans="1:3" x14ac:dyDescent="0.25">
      <c r="A361" s="9">
        <v>43800</v>
      </c>
      <c r="B361" s="8">
        <v>267.5</v>
      </c>
      <c r="C361" s="5">
        <f>bunker_monthly_cal!Q393</f>
        <v>67.877499999999998</v>
      </c>
    </row>
    <row r="362" spans="1:3" x14ac:dyDescent="0.25">
      <c r="A362" s="9">
        <v>43831</v>
      </c>
      <c r="B362" s="8">
        <v>296.05</v>
      </c>
      <c r="C362" s="5">
        <f>bunker_monthly_cal!Q394</f>
        <v>63.402000000000001</v>
      </c>
    </row>
    <row r="363" spans="1:3" x14ac:dyDescent="0.25">
      <c r="A363" s="9">
        <v>43862</v>
      </c>
      <c r="B363" s="8">
        <v>293.75</v>
      </c>
      <c r="C363" s="5">
        <f>bunker_monthly_cal!Q395</f>
        <v>55.452500000000001</v>
      </c>
    </row>
    <row r="364" spans="1:3" x14ac:dyDescent="0.25">
      <c r="A364" s="9">
        <v>43891</v>
      </c>
      <c r="B364" s="8">
        <v>205.75</v>
      </c>
      <c r="C364" s="5">
        <f>bunker_monthly_cal!Q396</f>
        <v>31.447499999999998</v>
      </c>
    </row>
    <row r="365" spans="1:3" x14ac:dyDescent="0.25">
      <c r="A365" s="9">
        <v>43922</v>
      </c>
      <c r="B365" s="8">
        <v>158.5</v>
      </c>
      <c r="C365" s="5">
        <f>bunker_monthly_cal!Q397</f>
        <v>14.987499999999999</v>
      </c>
    </row>
    <row r="366" spans="1:3" x14ac:dyDescent="0.25">
      <c r="A366" s="9">
        <v>43952</v>
      </c>
      <c r="B366" s="8">
        <v>164.3</v>
      </c>
      <c r="C366" s="5">
        <f>bunker_monthly_cal!Q398</f>
        <v>23.477999999999998</v>
      </c>
    </row>
    <row r="367" spans="1:3" x14ac:dyDescent="0.25">
      <c r="A367" s="9">
        <v>43983</v>
      </c>
      <c r="B367" s="8">
        <v>236.125</v>
      </c>
      <c r="C367" s="5">
        <f>bunker_monthly_cal!Q399</f>
        <v>40.709999999999994</v>
      </c>
    </row>
    <row r="368" spans="1:3" x14ac:dyDescent="0.25">
      <c r="A368" s="9">
        <v>44013</v>
      </c>
      <c r="B368" s="8">
        <v>255.05</v>
      </c>
      <c r="C368" s="5">
        <f>bunker_monthly_cal!Q400</f>
        <v>43.227999999999994</v>
      </c>
    </row>
    <row r="369" spans="1:3" x14ac:dyDescent="0.25">
      <c r="A369" s="9">
        <v>44044</v>
      </c>
      <c r="B369" s="8">
        <v>270.4375</v>
      </c>
      <c r="C369" s="5">
        <f>bunker_monthly_cal!Q401</f>
        <v>44.522500000000001</v>
      </c>
    </row>
    <row r="370" spans="1:3" x14ac:dyDescent="0.25">
      <c r="A370" s="9">
        <v>44075</v>
      </c>
      <c r="B370" s="8">
        <v>255.5</v>
      </c>
      <c r="C370" s="5">
        <f>bunker_monthly_cal!Q402</f>
        <v>40.7425</v>
      </c>
    </row>
    <row r="371" spans="1:3" x14ac:dyDescent="0.25">
      <c r="A371" s="9">
        <v>44105</v>
      </c>
      <c r="B371" s="8">
        <v>253.1</v>
      </c>
      <c r="C371" s="5">
        <f>bunker_monthly_cal!Q403</f>
        <v>39.601999999999997</v>
      </c>
    </row>
    <row r="372" spans="1:3" x14ac:dyDescent="0.25">
      <c r="A372" s="9">
        <v>44136</v>
      </c>
      <c r="B372" s="8">
        <v>276.4375</v>
      </c>
      <c r="C372" s="5">
        <f>bunker_monthly_cal!Q404</f>
        <v>42.564999999999998</v>
      </c>
    </row>
    <row r="373" spans="1:3" x14ac:dyDescent="0.25">
      <c r="A373" s="9">
        <v>44166</v>
      </c>
      <c r="B373" s="8">
        <v>294.875</v>
      </c>
      <c r="C373" s="5">
        <f>bunker_monthly_cal!Q405</f>
        <v>37.82</v>
      </c>
    </row>
    <row r="374" spans="1:3" x14ac:dyDescent="0.25">
      <c r="A374" s="9">
        <v>44197</v>
      </c>
      <c r="B374" s="8">
        <v>323.60000000000002</v>
      </c>
      <c r="C374" s="5">
        <f>bunker_monthly_cal!Q406</f>
        <v>44.155999999999999</v>
      </c>
    </row>
    <row r="375" spans="1:3" x14ac:dyDescent="0.25">
      <c r="A375" s="9">
        <v>44228</v>
      </c>
      <c r="B375" s="8">
        <v>361.375</v>
      </c>
      <c r="C375" s="5">
        <f>bunker_monthly_cal!Q407</f>
        <v>62.662499999999994</v>
      </c>
    </row>
    <row r="376" spans="1:3" x14ac:dyDescent="0.25">
      <c r="A376" s="9">
        <v>44256</v>
      </c>
      <c r="B376" s="8">
        <v>382.875</v>
      </c>
      <c r="C376" s="5">
        <f>bunker_monthly_cal!Q408</f>
        <v>66.647499999999994</v>
      </c>
    </row>
    <row r="377" spans="1:3" x14ac:dyDescent="0.25">
      <c r="A377" s="9">
        <v>44287</v>
      </c>
      <c r="B377" s="8">
        <v>370.3</v>
      </c>
      <c r="C377" s="5">
        <f>bunker_monthly_cal!Q409</f>
        <v>52.27</v>
      </c>
    </row>
    <row r="378" spans="1:3" x14ac:dyDescent="0.25">
      <c r="A378" s="9">
        <v>44317</v>
      </c>
      <c r="B378" s="8">
        <v>378.8125</v>
      </c>
      <c r="C378" s="5">
        <f>bunker_monthly_cal!Q410</f>
        <v>68.512500000000003</v>
      </c>
    </row>
    <row r="379" spans="1:3" x14ac:dyDescent="0.25">
      <c r="A379" s="9">
        <v>44348</v>
      </c>
      <c r="B379" s="8">
        <v>402.9375</v>
      </c>
      <c r="C379" s="5">
        <f>bunker_monthly_cal!Q411</f>
        <v>73.224999999999994</v>
      </c>
    </row>
    <row r="380" spans="1:3" x14ac:dyDescent="0.25">
      <c r="A380" s="9">
        <v>44378</v>
      </c>
      <c r="B380" s="8">
        <v>408.2</v>
      </c>
      <c r="C380" s="5">
        <f>bunker_monthly_cal!Q412</f>
        <v>76.338000000000008</v>
      </c>
    </row>
    <row r="381" spans="1:3" x14ac:dyDescent="0.25">
      <c r="A381" s="9">
        <v>44409</v>
      </c>
      <c r="B381" s="8">
        <v>394.3125</v>
      </c>
      <c r="C381" s="5">
        <f>bunker_monthly_cal!Q413</f>
        <v>69.922499999999999</v>
      </c>
    </row>
    <row r="382" spans="1:3" x14ac:dyDescent="0.25">
      <c r="A382" s="9">
        <v>44440</v>
      </c>
      <c r="B382" s="8">
        <v>411.5625</v>
      </c>
      <c r="C382" s="5">
        <f>bunker_monthly_cal!Q414</f>
        <v>74.392499999999998</v>
      </c>
    </row>
    <row r="383" spans="1:3" x14ac:dyDescent="0.25">
      <c r="A383" s="9">
        <v>44470</v>
      </c>
      <c r="B383" s="8">
        <v>467.6</v>
      </c>
      <c r="C383" s="5">
        <f>bunker_monthly_cal!Q415</f>
        <v>82.953999999999994</v>
      </c>
    </row>
    <row r="384" spans="1:3" x14ac:dyDescent="0.25">
      <c r="A384" s="9">
        <v>44501</v>
      </c>
      <c r="B384" s="8">
        <v>436.75</v>
      </c>
      <c r="C384" s="5">
        <f>bunker_monthly_cal!Q416</f>
        <v>79.484999999999999</v>
      </c>
    </row>
    <row r="385" spans="1:3" x14ac:dyDescent="0.25">
      <c r="A385" s="9">
        <v>44531</v>
      </c>
      <c r="B385" s="8">
        <v>415</v>
      </c>
      <c r="C385" s="5">
        <f>bunker_monthly_cal!Q417</f>
        <v>74.227999999999994</v>
      </c>
    </row>
    <row r="386" spans="1:3" x14ac:dyDescent="0.25">
      <c r="A386" s="9">
        <v>44562</v>
      </c>
      <c r="B386" s="8">
        <v>476.1875</v>
      </c>
      <c r="C386" s="5">
        <f>bunker_monthly_cal!Q418</f>
        <v>87.66749999999999</v>
      </c>
    </row>
    <row r="387" spans="1:3" x14ac:dyDescent="0.25">
      <c r="A387" s="9">
        <v>44593</v>
      </c>
      <c r="B387" s="8">
        <v>523.8125</v>
      </c>
      <c r="C387" s="5">
        <f>bunker_monthly_cal!Q419</f>
        <v>97.275000000000006</v>
      </c>
    </row>
    <row r="388" spans="1:3" x14ac:dyDescent="0.25">
      <c r="A388" s="9">
        <v>44621</v>
      </c>
      <c r="B388" s="8">
        <v>646.0625</v>
      </c>
      <c r="C388" s="5">
        <f>bunker_monthly_cal!Q420</f>
        <v>119.74</v>
      </c>
    </row>
    <row r="389" spans="1:3" x14ac:dyDescent="0.25">
      <c r="A389" s="9">
        <v>44652</v>
      </c>
      <c r="B389" s="8">
        <v>641.6</v>
      </c>
      <c r="C389" s="5">
        <f>bunker_monthly_cal!Q421</f>
        <v>84.179999999999993</v>
      </c>
    </row>
    <row r="390" spans="1:3" x14ac:dyDescent="0.25">
      <c r="A390" s="9">
        <v>44682</v>
      </c>
      <c r="B390" s="8">
        <v>635.5</v>
      </c>
      <c r="C390" s="5">
        <f>bunker_monthly_cal!Q422</f>
        <v>115.2</v>
      </c>
    </row>
    <row r="391" spans="1:3" x14ac:dyDescent="0.25">
      <c r="A391" s="9">
        <v>44713</v>
      </c>
      <c r="B391" s="8">
        <v>635.25</v>
      </c>
      <c r="C391" s="5">
        <f>bunker_monthly_cal!Q423</f>
        <v>122.42500000000001</v>
      </c>
    </row>
    <row r="392" spans="1:3" x14ac:dyDescent="0.25">
      <c r="A392" s="9">
        <v>44743</v>
      </c>
      <c r="B392" s="8">
        <v>496.4</v>
      </c>
      <c r="C392" s="5">
        <f>bunker_monthly_cal!Q424</f>
        <v>112.74000000000001</v>
      </c>
    </row>
    <row r="393" spans="1:3" x14ac:dyDescent="0.25">
      <c r="A393" s="9">
        <v>44774</v>
      </c>
      <c r="B393" s="8">
        <v>511.625</v>
      </c>
      <c r="C393" s="5">
        <f>bunker_monthly_cal!Q425</f>
        <v>100.39749999999999</v>
      </c>
    </row>
    <row r="394" spans="1:3" x14ac:dyDescent="0.25">
      <c r="A394" s="9">
        <v>44805</v>
      </c>
      <c r="B394" s="8">
        <v>438.6</v>
      </c>
      <c r="C394" s="5">
        <f>bunker_monthly_cal!Q426</f>
        <v>89.478000000000023</v>
      </c>
    </row>
    <row r="395" spans="1:3" x14ac:dyDescent="0.25">
      <c r="A395" s="9">
        <v>44835</v>
      </c>
      <c r="B395" s="8">
        <v>394.875</v>
      </c>
      <c r="C395" s="5">
        <f>bunker_monthly_cal!Q427</f>
        <v>94.389999999999986</v>
      </c>
    </row>
    <row r="396" spans="1:3" x14ac:dyDescent="0.25">
      <c r="A396" s="9">
        <v>44866</v>
      </c>
      <c r="B396" s="8">
        <v>404.125</v>
      </c>
      <c r="C396" s="5">
        <f>bunker_monthly_cal!Q428</f>
        <v>92.057500000000005</v>
      </c>
    </row>
    <row r="397" spans="1:3" x14ac:dyDescent="0.25">
      <c r="A397" s="9">
        <v>44896</v>
      </c>
      <c r="B397" s="8">
        <v>370.7</v>
      </c>
      <c r="C397" s="5">
        <f>bunker_monthly_cal!Q429</f>
        <v>81.676000000000002</v>
      </c>
    </row>
    <row r="398" spans="1:3" x14ac:dyDescent="0.25">
      <c r="A398" s="9">
        <v>44927</v>
      </c>
      <c r="B398" s="8">
        <v>386.0625</v>
      </c>
      <c r="C398" s="5">
        <f>bunker_monthly_cal!Q430</f>
        <v>83.04</v>
      </c>
    </row>
    <row r="399" spans="1:3" x14ac:dyDescent="0.25">
      <c r="A399" s="9">
        <v>44958</v>
      </c>
      <c r="B399" s="8">
        <v>402.9375</v>
      </c>
      <c r="C399" s="5">
        <f>bunker_monthly_cal!Q431</f>
        <v>82.147500000000008</v>
      </c>
    </row>
    <row r="400" spans="1:3" x14ac:dyDescent="0.25">
      <c r="A400" s="9">
        <v>44986</v>
      </c>
      <c r="B400" s="8">
        <v>403.5</v>
      </c>
      <c r="C400" s="5">
        <f>bunker_monthly_cal!Q432</f>
        <v>78.378</v>
      </c>
    </row>
    <row r="401" spans="1:3" x14ac:dyDescent="0.25">
      <c r="A401" s="9">
        <v>45017</v>
      </c>
      <c r="B401" s="8">
        <v>467.375</v>
      </c>
      <c r="C401" s="5">
        <f>bunker_monthly_cal!Q433</f>
        <v>62.997500000000002</v>
      </c>
    </row>
    <row r="402" spans="1:3" x14ac:dyDescent="0.25">
      <c r="A402" s="9">
        <v>45047</v>
      </c>
      <c r="B402" s="8">
        <v>436.6875</v>
      </c>
      <c r="C402" s="5">
        <f>bunker_monthly_cal!Q434</f>
        <v>75.534999999999997</v>
      </c>
    </row>
    <row r="403" spans="1:3" x14ac:dyDescent="0.25">
      <c r="A403" s="9">
        <v>45078</v>
      </c>
      <c r="B403" s="8">
        <v>459.05</v>
      </c>
      <c r="C403" s="5">
        <f>bunker_monthly_cal!Q435</f>
        <v>75.114000000000004</v>
      </c>
    </row>
    <row r="404" spans="1:3" x14ac:dyDescent="0.25">
      <c r="A404" s="9">
        <v>45108</v>
      </c>
      <c r="B404" s="8">
        <v>488.9375</v>
      </c>
      <c r="C404" s="5">
        <f>bunker_monthly_cal!Q436</f>
        <v>81.055000000000007</v>
      </c>
    </row>
    <row r="405" spans="1:3" x14ac:dyDescent="0.25">
      <c r="A405" s="9">
        <v>45139</v>
      </c>
      <c r="B405" s="8">
        <v>557.4375</v>
      </c>
      <c r="C405" s="5">
        <f>bunker_monthly_cal!Q437</f>
        <v>86.662500000000009</v>
      </c>
    </row>
    <row r="406" spans="1:3" x14ac:dyDescent="0.25">
      <c r="A406" s="9">
        <v>45170</v>
      </c>
      <c r="B406" s="8">
        <v>577.85</v>
      </c>
      <c r="C406" s="5">
        <f>bunker_monthly_cal!Q438</f>
        <v>93.445999999999998</v>
      </c>
    </row>
    <row r="407" spans="1:3" x14ac:dyDescent="0.25">
      <c r="A407" s="9">
        <v>45200</v>
      </c>
      <c r="B407" s="8">
        <v>529.9375</v>
      </c>
      <c r="C407" s="5">
        <f>bunker_monthly_cal!Q439</f>
        <v>91.66</v>
      </c>
    </row>
    <row r="408" spans="1:3" x14ac:dyDescent="0.25">
      <c r="A408" s="9">
        <v>45231</v>
      </c>
      <c r="B408" s="8">
        <v>487.8125</v>
      </c>
      <c r="C408" s="5">
        <f>bunker_monthly_cal!Q440</f>
        <v>83.0625</v>
      </c>
    </row>
    <row r="409" spans="1:3" x14ac:dyDescent="0.25">
      <c r="A409" s="9">
        <v>45261</v>
      </c>
      <c r="B409" s="8">
        <v>456.2</v>
      </c>
      <c r="C409" s="5">
        <f>bunker_monthly_cal!Q441</f>
        <v>77.884</v>
      </c>
    </row>
    <row r="410" spans="1:3" x14ac:dyDescent="0.25">
      <c r="A410" s="9">
        <v>45292</v>
      </c>
      <c r="B410" s="8">
        <v>442.6875</v>
      </c>
      <c r="C410" s="5">
        <f>bunker_monthly_cal!Q442</f>
        <v>80.5625</v>
      </c>
    </row>
    <row r="411" spans="1:3" x14ac:dyDescent="0.25">
      <c r="A411" s="9">
        <v>45323</v>
      </c>
      <c r="B411" s="8">
        <v>453.625</v>
      </c>
      <c r="C411" s="5">
        <f>bunker_monthly_cal!Q443</f>
        <v>83.045000000000002</v>
      </c>
    </row>
    <row r="412" spans="1:3" x14ac:dyDescent="0.25">
      <c r="A412" s="9">
        <v>45352</v>
      </c>
      <c r="B412" s="8">
        <v>470.1</v>
      </c>
      <c r="C412" s="5">
        <f>bunker_monthly_cal!Q444</f>
        <v>67.873999999999995</v>
      </c>
    </row>
    <row r="413" spans="1:3" x14ac:dyDescent="0.25">
      <c r="A413" s="9">
        <v>45383</v>
      </c>
      <c r="B413" s="8">
        <v>489.6875</v>
      </c>
      <c r="C413" s="5">
        <f>bunker_monthly_cal!Q445</f>
        <v>90.96</v>
      </c>
    </row>
    <row r="414" spans="1:3" x14ac:dyDescent="0.25">
      <c r="A414" s="9">
        <v>45413</v>
      </c>
      <c r="B414" s="8">
        <v>480.8</v>
      </c>
      <c r="C414" s="5">
        <f>bunker_monthly_cal!Q446</f>
        <v>81.512000000000015</v>
      </c>
    </row>
    <row r="415" spans="1:3" x14ac:dyDescent="0.25">
      <c r="A415" s="9">
        <v>45444</v>
      </c>
      <c r="B415" s="8">
        <v>487.4375</v>
      </c>
      <c r="C415" s="5">
        <f>bunker_monthly_cal!Q447</f>
        <v>83.322500000000005</v>
      </c>
    </row>
    <row r="416" spans="1:3" x14ac:dyDescent="0.25">
      <c r="A416" s="9">
        <v>45474</v>
      </c>
      <c r="B416" s="8">
        <v>510.4375</v>
      </c>
      <c r="C416" s="5">
        <f>bunker_monthly_cal!Q448</f>
        <v>85.637499999999989</v>
      </c>
    </row>
    <row r="417" spans="1:3" x14ac:dyDescent="0.25">
      <c r="A417" s="9">
        <v>45505</v>
      </c>
      <c r="B417" s="8">
        <v>461.15</v>
      </c>
      <c r="C417" s="5">
        <f>bunker_monthly_cal!Q449</f>
        <v>80.304000000000002</v>
      </c>
    </row>
    <row r="418" spans="1:3" x14ac:dyDescent="0.25">
      <c r="A418" s="10">
        <v>45536</v>
      </c>
      <c r="B418" s="11">
        <v>422.5625</v>
      </c>
      <c r="C418" s="5">
        <f>bunker_monthly_cal!Q450</f>
        <v>73.522499999999994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13231-C6BD-45B2-B806-E30B3C24C386}">
  <dimension ref="A1:E10025"/>
  <sheetViews>
    <sheetView tabSelected="1" workbookViewId="0">
      <selection activeCell="H25" sqref="H25"/>
    </sheetView>
  </sheetViews>
  <sheetFormatPr defaultRowHeight="15" x14ac:dyDescent="0.25"/>
  <cols>
    <col min="1" max="1" width="12" style="4" bestFit="1" customWidth="1"/>
    <col min="2" max="2" width="9.140625" style="5"/>
    <col min="4" max="4" width="10.140625" bestFit="1" customWidth="1"/>
  </cols>
  <sheetData>
    <row r="1" spans="1:5" x14ac:dyDescent="0.25">
      <c r="A1" s="4" t="s">
        <v>0</v>
      </c>
      <c r="B1" s="5" t="s">
        <v>1</v>
      </c>
      <c r="D1" t="s">
        <v>0</v>
      </c>
      <c r="E1" t="s">
        <v>2</v>
      </c>
    </row>
    <row r="2" spans="1:5" x14ac:dyDescent="0.25">
      <c r="A2" s="4">
        <v>35800</v>
      </c>
      <c r="B2" s="5">
        <v>69</v>
      </c>
      <c r="D2" s="4">
        <v>31917</v>
      </c>
      <c r="E2" s="6">
        <v>18.63</v>
      </c>
    </row>
    <row r="3" spans="1:5" x14ac:dyDescent="0.25">
      <c r="A3" s="4">
        <v>35801</v>
      </c>
      <c r="B3" s="5">
        <v>69.5</v>
      </c>
      <c r="D3" s="4">
        <v>31918</v>
      </c>
      <c r="E3" s="6">
        <v>18.45</v>
      </c>
    </row>
    <row r="4" spans="1:5" x14ac:dyDescent="0.25">
      <c r="A4" s="4">
        <v>35802</v>
      </c>
      <c r="B4" s="5">
        <v>63.5</v>
      </c>
      <c r="D4" s="4">
        <v>31919</v>
      </c>
      <c r="E4" s="6">
        <v>18.55</v>
      </c>
    </row>
    <row r="5" spans="1:5" x14ac:dyDescent="0.25">
      <c r="A5" s="4">
        <v>35803</v>
      </c>
      <c r="B5" s="5">
        <v>63.25</v>
      </c>
      <c r="D5" s="4">
        <v>31922</v>
      </c>
      <c r="E5" s="6">
        <v>18.600000000000001</v>
      </c>
    </row>
    <row r="6" spans="1:5" x14ac:dyDescent="0.25">
      <c r="A6" s="4">
        <v>35804</v>
      </c>
      <c r="B6" s="5">
        <v>60.5</v>
      </c>
      <c r="D6" s="4">
        <v>31923</v>
      </c>
      <c r="E6" s="6">
        <v>18.63</v>
      </c>
    </row>
    <row r="7" spans="1:5" x14ac:dyDescent="0.25">
      <c r="A7" s="4">
        <v>35807</v>
      </c>
      <c r="B7" s="5">
        <v>62.5</v>
      </c>
      <c r="D7" s="4">
        <v>31924</v>
      </c>
      <c r="E7" s="6">
        <v>18.600000000000001</v>
      </c>
    </row>
    <row r="8" spans="1:5" x14ac:dyDescent="0.25">
      <c r="A8" s="4">
        <v>35808</v>
      </c>
      <c r="B8" s="5">
        <v>63.5</v>
      </c>
      <c r="D8" s="4">
        <v>31925</v>
      </c>
      <c r="E8" s="6">
        <v>18.600000000000001</v>
      </c>
    </row>
    <row r="9" spans="1:5" x14ac:dyDescent="0.25">
      <c r="A9" s="4">
        <v>35809</v>
      </c>
      <c r="B9" s="5">
        <v>63.5</v>
      </c>
      <c r="D9" s="4">
        <v>31926</v>
      </c>
      <c r="E9" s="6">
        <v>18.579999999999998</v>
      </c>
    </row>
    <row r="10" spans="1:5" x14ac:dyDescent="0.25">
      <c r="A10" s="4">
        <v>35810</v>
      </c>
      <c r="B10" s="5">
        <v>65</v>
      </c>
      <c r="D10" s="4">
        <v>31929</v>
      </c>
      <c r="E10" s="6">
        <v>18.649999999999999</v>
      </c>
    </row>
    <row r="11" spans="1:5" x14ac:dyDescent="0.25">
      <c r="A11" s="4">
        <v>35811</v>
      </c>
      <c r="B11" s="5">
        <v>64.5</v>
      </c>
      <c r="D11" s="4">
        <v>31930</v>
      </c>
      <c r="E11" s="6">
        <v>18.68</v>
      </c>
    </row>
    <row r="12" spans="1:5" x14ac:dyDescent="0.25">
      <c r="A12" s="4">
        <v>35814</v>
      </c>
      <c r="B12" s="5">
        <v>67</v>
      </c>
      <c r="D12" s="4">
        <v>31931</v>
      </c>
      <c r="E12" s="6">
        <v>18.75</v>
      </c>
    </row>
    <row r="13" spans="1:5" x14ac:dyDescent="0.25">
      <c r="A13" s="4">
        <v>35815</v>
      </c>
      <c r="B13" s="5">
        <v>67</v>
      </c>
      <c r="D13" s="4">
        <v>31932</v>
      </c>
      <c r="E13" s="6">
        <v>18.78</v>
      </c>
    </row>
    <row r="14" spans="1:5" x14ac:dyDescent="0.25">
      <c r="A14" s="4">
        <v>35816</v>
      </c>
      <c r="B14" s="5">
        <v>67</v>
      </c>
      <c r="D14" s="4">
        <v>31933</v>
      </c>
      <c r="E14" s="6">
        <v>18.649999999999999</v>
      </c>
    </row>
    <row r="15" spans="1:5" x14ac:dyDescent="0.25">
      <c r="A15" s="4">
        <v>35817</v>
      </c>
      <c r="B15" s="5">
        <v>66</v>
      </c>
      <c r="D15" s="4">
        <v>31936</v>
      </c>
      <c r="E15" s="6">
        <v>18.75</v>
      </c>
    </row>
    <row r="16" spans="1:5" x14ac:dyDescent="0.25">
      <c r="A16" s="4">
        <v>35818</v>
      </c>
      <c r="B16" s="5">
        <v>66.75</v>
      </c>
      <c r="D16" s="4">
        <v>31937</v>
      </c>
      <c r="E16" s="6">
        <v>18.78</v>
      </c>
    </row>
    <row r="17" spans="1:5" x14ac:dyDescent="0.25">
      <c r="A17" s="4">
        <v>35821</v>
      </c>
      <c r="B17" s="5">
        <v>70</v>
      </c>
      <c r="D17" s="4">
        <v>31938</v>
      </c>
      <c r="E17" s="6">
        <v>18.78</v>
      </c>
    </row>
    <row r="18" spans="1:5" x14ac:dyDescent="0.25">
      <c r="A18" s="4">
        <v>35822</v>
      </c>
      <c r="B18" s="5">
        <v>67.5</v>
      </c>
      <c r="D18" s="4">
        <v>31939</v>
      </c>
      <c r="E18" s="6">
        <v>18.68</v>
      </c>
    </row>
    <row r="19" spans="1:5" x14ac:dyDescent="0.25">
      <c r="A19" s="4">
        <v>35828</v>
      </c>
      <c r="B19" s="5">
        <v>64.25</v>
      </c>
      <c r="D19" s="4">
        <v>31940</v>
      </c>
      <c r="E19" s="6">
        <v>18.78</v>
      </c>
    </row>
    <row r="20" spans="1:5" x14ac:dyDescent="0.25">
      <c r="A20" s="4">
        <v>35829</v>
      </c>
      <c r="B20" s="5">
        <v>63.5</v>
      </c>
      <c r="D20" s="4">
        <v>31943</v>
      </c>
      <c r="E20" s="5"/>
    </row>
    <row r="21" spans="1:5" x14ac:dyDescent="0.25">
      <c r="A21" s="4">
        <v>35830</v>
      </c>
      <c r="B21" s="5">
        <v>64</v>
      </c>
      <c r="D21" s="4">
        <v>31944</v>
      </c>
      <c r="E21" s="6">
        <v>18.899999999999999</v>
      </c>
    </row>
    <row r="22" spans="1:5" x14ac:dyDescent="0.25">
      <c r="A22" s="4">
        <v>35831</v>
      </c>
      <c r="B22" s="5">
        <v>67</v>
      </c>
      <c r="D22" s="4">
        <v>31945</v>
      </c>
      <c r="E22" s="6">
        <v>19.03</v>
      </c>
    </row>
    <row r="23" spans="1:5" x14ac:dyDescent="0.25">
      <c r="A23" s="4">
        <v>35832</v>
      </c>
      <c r="B23" s="5">
        <v>65.5</v>
      </c>
      <c r="D23" s="4">
        <v>31946</v>
      </c>
      <c r="E23" s="6">
        <v>19.05</v>
      </c>
    </row>
    <row r="24" spans="1:5" x14ac:dyDescent="0.25">
      <c r="A24" s="4">
        <v>35835</v>
      </c>
      <c r="B24" s="5">
        <v>67</v>
      </c>
      <c r="D24" s="4">
        <v>31947</v>
      </c>
      <c r="E24" s="6">
        <v>19.05</v>
      </c>
    </row>
    <row r="25" spans="1:5" x14ac:dyDescent="0.25">
      <c r="A25" s="4">
        <v>35836</v>
      </c>
      <c r="B25" s="5">
        <v>66</v>
      </c>
      <c r="D25" s="4">
        <v>31950</v>
      </c>
      <c r="E25" s="6">
        <v>19.100000000000001</v>
      </c>
    </row>
    <row r="26" spans="1:5" x14ac:dyDescent="0.25">
      <c r="A26" s="4">
        <v>35837</v>
      </c>
      <c r="B26" s="5">
        <v>66</v>
      </c>
      <c r="D26" s="4">
        <v>31951</v>
      </c>
      <c r="E26" s="6">
        <v>18.899999999999999</v>
      </c>
    </row>
    <row r="27" spans="1:5" x14ac:dyDescent="0.25">
      <c r="A27" s="4">
        <v>35838</v>
      </c>
      <c r="B27" s="5">
        <v>67</v>
      </c>
      <c r="D27" s="4">
        <v>31952</v>
      </c>
      <c r="E27" s="6">
        <v>18.75</v>
      </c>
    </row>
    <row r="28" spans="1:5" x14ac:dyDescent="0.25">
      <c r="A28" s="4">
        <v>35839</v>
      </c>
      <c r="B28" s="5">
        <v>67.5</v>
      </c>
      <c r="D28" s="4">
        <v>31953</v>
      </c>
      <c r="E28" s="6">
        <v>18.7</v>
      </c>
    </row>
    <row r="29" spans="1:5" x14ac:dyDescent="0.25">
      <c r="A29" s="4">
        <v>35842</v>
      </c>
      <c r="B29" s="5">
        <v>64.25</v>
      </c>
      <c r="D29" s="4">
        <v>31954</v>
      </c>
      <c r="E29" s="6">
        <v>19.079999999999998</v>
      </c>
    </row>
    <row r="30" spans="1:5" x14ac:dyDescent="0.25">
      <c r="A30" s="4">
        <v>35843</v>
      </c>
      <c r="B30" s="5">
        <v>65.5</v>
      </c>
      <c r="D30" s="4">
        <v>31957</v>
      </c>
      <c r="E30" s="6">
        <v>19.149999999999999</v>
      </c>
    </row>
    <row r="31" spans="1:5" x14ac:dyDescent="0.25">
      <c r="A31" s="4">
        <v>35844</v>
      </c>
      <c r="B31" s="5">
        <v>65</v>
      </c>
      <c r="D31" s="4">
        <v>31958</v>
      </c>
      <c r="E31" s="6">
        <v>19.079999999999998</v>
      </c>
    </row>
    <row r="32" spans="1:5" x14ac:dyDescent="0.25">
      <c r="A32" s="4">
        <v>35845</v>
      </c>
      <c r="B32" s="5">
        <v>64.75</v>
      </c>
      <c r="D32" s="4">
        <v>31959</v>
      </c>
      <c r="E32" s="6">
        <v>18.98</v>
      </c>
    </row>
    <row r="33" spans="1:5" x14ac:dyDescent="0.25">
      <c r="A33" s="4">
        <v>35846</v>
      </c>
      <c r="B33" s="5">
        <v>64.5</v>
      </c>
      <c r="D33" s="4">
        <v>31960</v>
      </c>
      <c r="E33" s="6">
        <v>19.25</v>
      </c>
    </row>
    <row r="34" spans="1:5" x14ac:dyDescent="0.25">
      <c r="A34" s="4">
        <v>35849</v>
      </c>
      <c r="B34" s="5">
        <v>62</v>
      </c>
      <c r="D34" s="4">
        <v>31961</v>
      </c>
      <c r="E34" s="6">
        <v>19.329999999999998</v>
      </c>
    </row>
    <row r="35" spans="1:5" x14ac:dyDescent="0.25">
      <c r="A35" s="4">
        <v>35850</v>
      </c>
      <c r="B35" s="5">
        <v>58.5</v>
      </c>
      <c r="D35" s="4">
        <v>31964</v>
      </c>
      <c r="E35" s="6">
        <v>19.48</v>
      </c>
    </row>
    <row r="36" spans="1:5" x14ac:dyDescent="0.25">
      <c r="A36" s="4">
        <v>35851</v>
      </c>
      <c r="B36" s="5">
        <v>58.5</v>
      </c>
      <c r="D36" s="4">
        <v>31965</v>
      </c>
      <c r="E36" s="6">
        <v>19.5</v>
      </c>
    </row>
    <row r="37" spans="1:5" x14ac:dyDescent="0.25">
      <c r="A37" s="4">
        <v>35852</v>
      </c>
      <c r="B37" s="5">
        <v>59</v>
      </c>
      <c r="D37" s="4">
        <v>31966</v>
      </c>
      <c r="E37" s="6">
        <v>19.48</v>
      </c>
    </row>
    <row r="38" spans="1:5" x14ac:dyDescent="0.25">
      <c r="A38" s="4">
        <v>35853</v>
      </c>
      <c r="B38" s="5">
        <v>58.5</v>
      </c>
      <c r="D38" s="4">
        <v>31967</v>
      </c>
      <c r="E38" s="6">
        <v>19.68</v>
      </c>
    </row>
    <row r="39" spans="1:5" x14ac:dyDescent="0.25">
      <c r="A39" s="4">
        <v>35856</v>
      </c>
      <c r="B39" s="5">
        <v>67</v>
      </c>
      <c r="D39" s="4">
        <v>31968</v>
      </c>
      <c r="E39" s="6">
        <v>19.73</v>
      </c>
    </row>
    <row r="40" spans="1:5" x14ac:dyDescent="0.25">
      <c r="A40" s="4">
        <v>35857</v>
      </c>
      <c r="B40" s="5">
        <v>66.75</v>
      </c>
      <c r="D40" s="4">
        <v>31971</v>
      </c>
      <c r="E40" s="6">
        <v>19.829999999999998</v>
      </c>
    </row>
    <row r="41" spans="1:5" x14ac:dyDescent="0.25">
      <c r="A41" s="4">
        <v>35858</v>
      </c>
      <c r="B41" s="5">
        <v>65.25</v>
      </c>
      <c r="D41" s="4">
        <v>31972</v>
      </c>
      <c r="E41" s="6">
        <v>19.88</v>
      </c>
    </row>
    <row r="42" spans="1:5" x14ac:dyDescent="0.25">
      <c r="A42" s="4">
        <v>35859</v>
      </c>
      <c r="B42" s="5">
        <v>69</v>
      </c>
      <c r="D42" s="4">
        <v>31973</v>
      </c>
      <c r="E42" s="6">
        <v>20.28</v>
      </c>
    </row>
    <row r="43" spans="1:5" x14ac:dyDescent="0.25">
      <c r="A43" s="4">
        <v>35860</v>
      </c>
      <c r="B43" s="5">
        <v>70</v>
      </c>
      <c r="D43" s="4">
        <v>31974</v>
      </c>
      <c r="E43" s="6">
        <v>20.399999999999999</v>
      </c>
    </row>
    <row r="44" spans="1:5" x14ac:dyDescent="0.25">
      <c r="A44" s="4">
        <v>35863</v>
      </c>
      <c r="B44" s="5">
        <v>71.5</v>
      </c>
      <c r="D44" s="4">
        <v>31975</v>
      </c>
      <c r="E44" s="6">
        <v>20.63</v>
      </c>
    </row>
    <row r="45" spans="1:5" x14ac:dyDescent="0.25">
      <c r="A45" s="4">
        <v>35864</v>
      </c>
      <c r="B45" s="5">
        <v>66.5</v>
      </c>
      <c r="D45" s="4">
        <v>31978</v>
      </c>
      <c r="E45" s="6">
        <v>20.55</v>
      </c>
    </row>
    <row r="46" spans="1:5" x14ac:dyDescent="0.25">
      <c r="A46" s="4">
        <v>35865</v>
      </c>
      <c r="B46" s="5">
        <v>67.5</v>
      </c>
      <c r="D46" s="4">
        <v>31979</v>
      </c>
      <c r="E46" s="6">
        <v>20.350000000000001</v>
      </c>
    </row>
    <row r="47" spans="1:5" x14ac:dyDescent="0.25">
      <c r="A47" s="4">
        <v>35866</v>
      </c>
      <c r="B47" s="5">
        <v>70</v>
      </c>
      <c r="D47" s="4">
        <v>31980</v>
      </c>
      <c r="E47" s="6">
        <v>20.329999999999998</v>
      </c>
    </row>
    <row r="48" spans="1:5" x14ac:dyDescent="0.25">
      <c r="A48" s="4">
        <v>35867</v>
      </c>
      <c r="B48" s="5">
        <v>72.5</v>
      </c>
      <c r="D48" s="4">
        <v>31981</v>
      </c>
      <c r="E48" s="6">
        <v>20.149999999999999</v>
      </c>
    </row>
    <row r="49" spans="1:5" x14ac:dyDescent="0.25">
      <c r="A49" s="4">
        <v>35870</v>
      </c>
      <c r="B49" s="5">
        <v>74</v>
      </c>
      <c r="D49" s="4">
        <v>31982</v>
      </c>
      <c r="E49" s="6">
        <v>19.579999999999998</v>
      </c>
    </row>
    <row r="50" spans="1:5" x14ac:dyDescent="0.25">
      <c r="A50" s="4">
        <v>35871</v>
      </c>
      <c r="B50" s="5">
        <v>72</v>
      </c>
      <c r="D50" s="4">
        <v>31985</v>
      </c>
      <c r="E50" s="6">
        <v>19.3</v>
      </c>
    </row>
    <row r="51" spans="1:5" x14ac:dyDescent="0.25">
      <c r="A51" s="4">
        <v>35872</v>
      </c>
      <c r="B51" s="5">
        <v>73.5</v>
      </c>
      <c r="D51" s="4">
        <v>31986</v>
      </c>
      <c r="E51" s="6">
        <v>19.78</v>
      </c>
    </row>
    <row r="52" spans="1:5" x14ac:dyDescent="0.25">
      <c r="A52" s="4">
        <v>35873</v>
      </c>
      <c r="B52" s="5">
        <v>75.5</v>
      </c>
      <c r="D52" s="4">
        <v>31987</v>
      </c>
      <c r="E52" s="6">
        <v>19.98</v>
      </c>
    </row>
    <row r="53" spans="1:5" x14ac:dyDescent="0.25">
      <c r="A53" s="4">
        <v>35874</v>
      </c>
      <c r="B53" s="5">
        <v>74.5</v>
      </c>
      <c r="D53" s="4">
        <v>31988</v>
      </c>
      <c r="E53" s="6">
        <v>20.2</v>
      </c>
    </row>
    <row r="54" spans="1:5" x14ac:dyDescent="0.25">
      <c r="A54" s="4">
        <v>35877</v>
      </c>
      <c r="B54" s="5">
        <v>76.25</v>
      </c>
      <c r="D54" s="4">
        <v>31989</v>
      </c>
      <c r="E54" s="6">
        <v>20.03</v>
      </c>
    </row>
    <row r="55" spans="1:5" x14ac:dyDescent="0.25">
      <c r="A55" s="4">
        <v>35878</v>
      </c>
      <c r="B55" s="5">
        <v>81</v>
      </c>
      <c r="D55" s="4">
        <v>31992</v>
      </c>
      <c r="E55" s="6">
        <v>20.95</v>
      </c>
    </row>
    <row r="56" spans="1:5" x14ac:dyDescent="0.25">
      <c r="A56" s="4">
        <v>35879</v>
      </c>
      <c r="B56" s="5">
        <v>83</v>
      </c>
      <c r="D56" s="4">
        <v>31993</v>
      </c>
      <c r="E56" s="6">
        <v>20.65</v>
      </c>
    </row>
    <row r="57" spans="1:5" x14ac:dyDescent="0.25">
      <c r="A57" s="4">
        <v>35880</v>
      </c>
      <c r="B57" s="5">
        <v>82.75</v>
      </c>
      <c r="D57" s="4">
        <v>31994</v>
      </c>
      <c r="E57" s="6">
        <v>19.8</v>
      </c>
    </row>
    <row r="58" spans="1:5" x14ac:dyDescent="0.25">
      <c r="A58" s="4">
        <v>35881</v>
      </c>
      <c r="B58" s="5">
        <v>85</v>
      </c>
      <c r="D58" s="4">
        <v>31995</v>
      </c>
      <c r="E58" s="6">
        <v>19.75</v>
      </c>
    </row>
    <row r="59" spans="1:5" x14ac:dyDescent="0.25">
      <c r="A59" s="4">
        <v>35884</v>
      </c>
      <c r="B59" s="5">
        <v>84</v>
      </c>
      <c r="D59" s="4">
        <v>31996</v>
      </c>
      <c r="E59" s="6">
        <v>19.649999999999999</v>
      </c>
    </row>
    <row r="60" spans="1:5" x14ac:dyDescent="0.25">
      <c r="A60" s="4">
        <v>35885</v>
      </c>
      <c r="B60" s="5">
        <v>80.5</v>
      </c>
      <c r="D60" s="4">
        <v>31999</v>
      </c>
      <c r="E60" s="6">
        <v>19.43</v>
      </c>
    </row>
    <row r="61" spans="1:5" x14ac:dyDescent="0.25">
      <c r="A61" s="4">
        <v>35886</v>
      </c>
      <c r="B61" s="5">
        <v>77</v>
      </c>
      <c r="D61" s="4">
        <v>32000</v>
      </c>
      <c r="E61" s="6">
        <v>19.45</v>
      </c>
    </row>
    <row r="62" spans="1:5" x14ac:dyDescent="0.25">
      <c r="A62" s="4">
        <v>35887</v>
      </c>
      <c r="B62" s="5">
        <v>76.5</v>
      </c>
      <c r="D62" s="4">
        <v>32001</v>
      </c>
      <c r="E62" s="6">
        <v>19.5</v>
      </c>
    </row>
    <row r="63" spans="1:5" x14ac:dyDescent="0.25">
      <c r="A63" s="4">
        <v>35888</v>
      </c>
      <c r="B63" s="5">
        <v>78.5</v>
      </c>
      <c r="D63" s="4">
        <v>32002</v>
      </c>
      <c r="E63" s="6">
        <v>19.399999999999999</v>
      </c>
    </row>
    <row r="64" spans="1:5" x14ac:dyDescent="0.25">
      <c r="A64" s="4">
        <v>35891</v>
      </c>
      <c r="B64" s="5">
        <v>78.5</v>
      </c>
      <c r="D64" s="4">
        <v>32003</v>
      </c>
      <c r="E64" s="6">
        <v>19.25</v>
      </c>
    </row>
    <row r="65" spans="1:5" x14ac:dyDescent="0.25">
      <c r="A65" s="4">
        <v>35893</v>
      </c>
      <c r="B65" s="5">
        <v>75.25</v>
      </c>
      <c r="D65" s="4">
        <v>32006</v>
      </c>
      <c r="E65" s="6">
        <v>18.850000000000001</v>
      </c>
    </row>
    <row r="66" spans="1:5" x14ac:dyDescent="0.25">
      <c r="A66" s="4">
        <v>35894</v>
      </c>
      <c r="B66" s="5">
        <v>75.75</v>
      </c>
      <c r="D66" s="4">
        <v>32007</v>
      </c>
      <c r="E66" s="6">
        <v>18.75</v>
      </c>
    </row>
    <row r="67" spans="1:5" x14ac:dyDescent="0.25">
      <c r="A67" s="4">
        <v>35898</v>
      </c>
      <c r="B67" s="5">
        <v>75.75</v>
      </c>
      <c r="D67" s="4">
        <v>32008</v>
      </c>
      <c r="E67" s="6">
        <v>18.5</v>
      </c>
    </row>
    <row r="68" spans="1:5" x14ac:dyDescent="0.25">
      <c r="A68" s="4">
        <v>35899</v>
      </c>
      <c r="B68" s="5">
        <v>77.5</v>
      </c>
      <c r="D68" s="4">
        <v>32009</v>
      </c>
      <c r="E68" s="6">
        <v>18.3</v>
      </c>
    </row>
    <row r="69" spans="1:5" x14ac:dyDescent="0.25">
      <c r="A69" s="4">
        <v>35900</v>
      </c>
      <c r="B69" s="5">
        <v>75</v>
      </c>
      <c r="D69" s="4">
        <v>32010</v>
      </c>
      <c r="E69" s="6">
        <v>18.100000000000001</v>
      </c>
    </row>
    <row r="70" spans="1:5" x14ac:dyDescent="0.25">
      <c r="A70" s="4">
        <v>35901</v>
      </c>
      <c r="B70" s="5">
        <v>71.75</v>
      </c>
      <c r="D70" s="4">
        <v>32013</v>
      </c>
      <c r="E70" s="6">
        <v>17.48</v>
      </c>
    </row>
    <row r="71" spans="1:5" x14ac:dyDescent="0.25">
      <c r="A71" s="4">
        <v>35902</v>
      </c>
      <c r="B71" s="5">
        <v>70.5</v>
      </c>
      <c r="D71" s="4">
        <v>32014</v>
      </c>
      <c r="E71" s="6">
        <v>17.55</v>
      </c>
    </row>
    <row r="72" spans="1:5" x14ac:dyDescent="0.25">
      <c r="A72" s="4">
        <v>35905</v>
      </c>
      <c r="B72" s="5">
        <v>69</v>
      </c>
      <c r="D72" s="4">
        <v>32015</v>
      </c>
      <c r="E72" s="6">
        <v>18.100000000000001</v>
      </c>
    </row>
    <row r="73" spans="1:5" x14ac:dyDescent="0.25">
      <c r="A73" s="4">
        <v>35906</v>
      </c>
      <c r="B73" s="5">
        <v>69</v>
      </c>
      <c r="D73" s="4">
        <v>32016</v>
      </c>
      <c r="E73" s="6">
        <v>18.28</v>
      </c>
    </row>
    <row r="74" spans="1:5" x14ac:dyDescent="0.25">
      <c r="A74" s="4">
        <v>35907</v>
      </c>
      <c r="B74" s="5">
        <v>70.25</v>
      </c>
      <c r="D74" s="4">
        <v>32017</v>
      </c>
      <c r="E74" s="6">
        <v>18.2</v>
      </c>
    </row>
    <row r="75" spans="1:5" x14ac:dyDescent="0.25">
      <c r="A75" s="4">
        <v>35908</v>
      </c>
      <c r="B75" s="5">
        <v>68.5</v>
      </c>
      <c r="D75" s="4">
        <v>32020</v>
      </c>
      <c r="E75" s="6">
        <v>18.63</v>
      </c>
    </row>
    <row r="76" spans="1:5" x14ac:dyDescent="0.25">
      <c r="A76" s="4">
        <v>35909</v>
      </c>
      <c r="B76" s="5">
        <v>69</v>
      </c>
      <c r="D76" s="4">
        <v>32021</v>
      </c>
      <c r="E76" s="6">
        <v>18.43</v>
      </c>
    </row>
    <row r="77" spans="1:5" x14ac:dyDescent="0.25">
      <c r="A77" s="4">
        <v>35912</v>
      </c>
      <c r="B77" s="5">
        <v>69.5</v>
      </c>
      <c r="D77" s="4">
        <v>32022</v>
      </c>
      <c r="E77" s="6">
        <v>18.399999999999999</v>
      </c>
    </row>
    <row r="78" spans="1:5" x14ac:dyDescent="0.25">
      <c r="A78" s="4">
        <v>35913</v>
      </c>
      <c r="B78" s="5">
        <v>67.5</v>
      </c>
      <c r="D78" s="4">
        <v>32023</v>
      </c>
      <c r="E78" s="6">
        <v>18.18</v>
      </c>
    </row>
    <row r="79" spans="1:5" x14ac:dyDescent="0.25">
      <c r="A79" s="4">
        <v>35914</v>
      </c>
      <c r="B79" s="5">
        <v>66.25</v>
      </c>
      <c r="D79" s="4">
        <v>32024</v>
      </c>
      <c r="E79" s="6">
        <v>18.13</v>
      </c>
    </row>
    <row r="80" spans="1:5" x14ac:dyDescent="0.25">
      <c r="A80" s="4">
        <v>35915</v>
      </c>
      <c r="B80" s="5">
        <v>64.5</v>
      </c>
      <c r="D80" s="4">
        <v>32027</v>
      </c>
      <c r="E80" s="6">
        <v>17.600000000000001</v>
      </c>
    </row>
    <row r="81" spans="1:5" x14ac:dyDescent="0.25">
      <c r="A81" s="4">
        <v>35919</v>
      </c>
      <c r="B81" s="5">
        <v>63.5</v>
      </c>
      <c r="D81" s="4">
        <v>32028</v>
      </c>
      <c r="E81" s="6">
        <v>17.68</v>
      </c>
    </row>
    <row r="82" spans="1:5" x14ac:dyDescent="0.25">
      <c r="A82" s="4">
        <v>35920</v>
      </c>
      <c r="B82" s="5">
        <v>63.5</v>
      </c>
      <c r="D82" s="4">
        <v>32029</v>
      </c>
      <c r="E82" s="6">
        <v>17.899999999999999</v>
      </c>
    </row>
    <row r="83" spans="1:5" x14ac:dyDescent="0.25">
      <c r="A83" s="4">
        <v>35921</v>
      </c>
      <c r="B83" s="5">
        <v>65.75</v>
      </c>
      <c r="D83" s="4">
        <v>32030</v>
      </c>
      <c r="E83" s="6">
        <v>18.3</v>
      </c>
    </row>
    <row r="84" spans="1:5" x14ac:dyDescent="0.25">
      <c r="A84" s="4">
        <v>35922</v>
      </c>
      <c r="B84" s="5">
        <v>67.25</v>
      </c>
      <c r="D84" s="4">
        <v>32031</v>
      </c>
      <c r="E84" s="6">
        <v>18.18</v>
      </c>
    </row>
    <row r="85" spans="1:5" x14ac:dyDescent="0.25">
      <c r="A85" s="4">
        <v>35923</v>
      </c>
      <c r="B85" s="5">
        <v>65</v>
      </c>
      <c r="D85" s="4">
        <v>32034</v>
      </c>
      <c r="E85" s="6">
        <v>18.149999999999999</v>
      </c>
    </row>
    <row r="86" spans="1:5" x14ac:dyDescent="0.25">
      <c r="A86" s="4">
        <v>35927</v>
      </c>
      <c r="B86" s="5">
        <v>64.25</v>
      </c>
      <c r="D86" s="4">
        <v>32035</v>
      </c>
      <c r="E86" s="6">
        <v>18.53</v>
      </c>
    </row>
    <row r="87" spans="1:5" x14ac:dyDescent="0.25">
      <c r="A87" s="4">
        <v>35928</v>
      </c>
      <c r="B87" s="5">
        <v>63.5</v>
      </c>
      <c r="D87" s="4">
        <v>32036</v>
      </c>
      <c r="E87" s="6">
        <v>18.53</v>
      </c>
    </row>
    <row r="88" spans="1:5" x14ac:dyDescent="0.25">
      <c r="A88" s="4">
        <v>35929</v>
      </c>
      <c r="B88" s="5">
        <v>64.5</v>
      </c>
      <c r="D88" s="4">
        <v>32037</v>
      </c>
      <c r="E88" s="6">
        <v>18.43</v>
      </c>
    </row>
    <row r="89" spans="1:5" x14ac:dyDescent="0.25">
      <c r="A89" s="4">
        <v>35930</v>
      </c>
      <c r="B89" s="5">
        <v>63.5</v>
      </c>
      <c r="D89" s="4">
        <v>32038</v>
      </c>
      <c r="E89" s="6">
        <v>18.3</v>
      </c>
    </row>
    <row r="90" spans="1:5" x14ac:dyDescent="0.25">
      <c r="A90" s="4">
        <v>35933</v>
      </c>
      <c r="B90" s="5">
        <v>64.5</v>
      </c>
      <c r="D90" s="4">
        <v>32041</v>
      </c>
      <c r="E90" s="6">
        <v>18.28</v>
      </c>
    </row>
    <row r="91" spans="1:5" x14ac:dyDescent="0.25">
      <c r="A91" s="4">
        <v>35934</v>
      </c>
      <c r="B91" s="5">
        <v>64.5</v>
      </c>
      <c r="D91" s="4">
        <v>32042</v>
      </c>
      <c r="E91" s="6">
        <v>18.48</v>
      </c>
    </row>
    <row r="92" spans="1:5" x14ac:dyDescent="0.25">
      <c r="A92" s="4">
        <v>35935</v>
      </c>
      <c r="B92" s="5">
        <v>64.75</v>
      </c>
      <c r="D92" s="4">
        <v>32043</v>
      </c>
      <c r="E92" s="6">
        <v>18.48</v>
      </c>
    </row>
    <row r="93" spans="1:5" x14ac:dyDescent="0.25">
      <c r="A93" s="4">
        <v>35936</v>
      </c>
      <c r="B93" s="5">
        <v>62.75</v>
      </c>
      <c r="D93" s="4">
        <v>32044</v>
      </c>
      <c r="E93" s="6">
        <v>18.68</v>
      </c>
    </row>
    <row r="94" spans="1:5" x14ac:dyDescent="0.25">
      <c r="A94" s="4">
        <v>35937</v>
      </c>
      <c r="B94" s="5">
        <v>62</v>
      </c>
      <c r="D94" s="4">
        <v>32045</v>
      </c>
      <c r="E94" s="6">
        <v>18.600000000000001</v>
      </c>
    </row>
    <row r="95" spans="1:5" x14ac:dyDescent="0.25">
      <c r="A95" s="4">
        <v>35940</v>
      </c>
      <c r="B95" s="5">
        <v>62.75</v>
      </c>
      <c r="D95" s="4">
        <v>32048</v>
      </c>
      <c r="E95" s="6">
        <v>18.649999999999999</v>
      </c>
    </row>
    <row r="96" spans="1:5" x14ac:dyDescent="0.25">
      <c r="A96" s="4">
        <v>35941</v>
      </c>
      <c r="B96" s="5">
        <v>61.25</v>
      </c>
      <c r="D96" s="4">
        <v>32049</v>
      </c>
      <c r="E96" s="6">
        <v>18.5</v>
      </c>
    </row>
    <row r="97" spans="1:5" x14ac:dyDescent="0.25">
      <c r="A97" s="4">
        <v>35942</v>
      </c>
      <c r="B97" s="5">
        <v>63.5</v>
      </c>
      <c r="D97" s="4">
        <v>32050</v>
      </c>
      <c r="E97" s="6">
        <v>18.48</v>
      </c>
    </row>
    <row r="98" spans="1:5" x14ac:dyDescent="0.25">
      <c r="A98" s="4">
        <v>35943</v>
      </c>
      <c r="B98" s="5">
        <v>64</v>
      </c>
      <c r="D98" s="4">
        <v>32051</v>
      </c>
      <c r="E98" s="6">
        <v>18.5</v>
      </c>
    </row>
    <row r="99" spans="1:5" x14ac:dyDescent="0.25">
      <c r="A99" s="4">
        <v>35944</v>
      </c>
      <c r="B99" s="5">
        <v>65</v>
      </c>
      <c r="D99" s="4">
        <v>32052</v>
      </c>
      <c r="E99" s="6">
        <v>18.649999999999999</v>
      </c>
    </row>
    <row r="100" spans="1:5" x14ac:dyDescent="0.25">
      <c r="A100" s="4">
        <v>35947</v>
      </c>
      <c r="B100" s="5">
        <v>65</v>
      </c>
      <c r="D100" s="4">
        <v>32055</v>
      </c>
      <c r="E100" s="6">
        <v>18.78</v>
      </c>
    </row>
    <row r="101" spans="1:5" x14ac:dyDescent="0.25">
      <c r="A101" s="4">
        <v>35948</v>
      </c>
      <c r="B101" s="5">
        <v>65.5</v>
      </c>
      <c r="D101" s="4">
        <v>32056</v>
      </c>
      <c r="E101" s="6">
        <v>18.600000000000001</v>
      </c>
    </row>
    <row r="102" spans="1:5" x14ac:dyDescent="0.25">
      <c r="A102" s="4">
        <v>35949</v>
      </c>
      <c r="B102" s="5">
        <v>67</v>
      </c>
      <c r="D102" s="4">
        <v>32057</v>
      </c>
      <c r="E102" s="6">
        <v>18.579999999999998</v>
      </c>
    </row>
    <row r="103" spans="1:5" x14ac:dyDescent="0.25">
      <c r="A103" s="4">
        <v>35950</v>
      </c>
      <c r="B103" s="5">
        <v>69</v>
      </c>
      <c r="D103" s="4">
        <v>32058</v>
      </c>
      <c r="E103" s="6">
        <v>18.63</v>
      </c>
    </row>
    <row r="104" spans="1:5" x14ac:dyDescent="0.25">
      <c r="A104" s="4">
        <v>35951</v>
      </c>
      <c r="B104" s="5">
        <v>69.5</v>
      </c>
      <c r="D104" s="4">
        <v>32059</v>
      </c>
      <c r="E104" s="6">
        <v>18.600000000000001</v>
      </c>
    </row>
    <row r="105" spans="1:5" x14ac:dyDescent="0.25">
      <c r="A105" s="4">
        <v>35954</v>
      </c>
      <c r="B105" s="5">
        <v>66</v>
      </c>
      <c r="D105" s="4">
        <v>32062</v>
      </c>
      <c r="E105" s="6">
        <v>18.55</v>
      </c>
    </row>
    <row r="106" spans="1:5" x14ac:dyDescent="0.25">
      <c r="A106" s="4">
        <v>35955</v>
      </c>
      <c r="B106" s="5">
        <v>65.5</v>
      </c>
      <c r="D106" s="4">
        <v>32063</v>
      </c>
      <c r="E106" s="6">
        <v>18.55</v>
      </c>
    </row>
    <row r="107" spans="1:5" x14ac:dyDescent="0.25">
      <c r="A107" s="4">
        <v>35956</v>
      </c>
      <c r="B107" s="5">
        <v>65</v>
      </c>
      <c r="D107" s="4">
        <v>32064</v>
      </c>
      <c r="E107" s="6">
        <v>18.68</v>
      </c>
    </row>
    <row r="108" spans="1:5" x14ac:dyDescent="0.25">
      <c r="A108" s="4">
        <v>35957</v>
      </c>
      <c r="B108" s="5">
        <v>66.5</v>
      </c>
      <c r="D108" s="4">
        <v>32065</v>
      </c>
      <c r="E108" s="6">
        <v>18.68</v>
      </c>
    </row>
    <row r="109" spans="1:5" x14ac:dyDescent="0.25">
      <c r="A109" s="4">
        <v>35958</v>
      </c>
      <c r="B109" s="5">
        <v>66.25</v>
      </c>
      <c r="D109" s="4">
        <v>32066</v>
      </c>
      <c r="E109" s="6">
        <v>19</v>
      </c>
    </row>
    <row r="110" spans="1:5" x14ac:dyDescent="0.25">
      <c r="A110" s="4">
        <v>35961</v>
      </c>
      <c r="B110" s="5">
        <v>67.5</v>
      </c>
      <c r="D110" s="4">
        <v>32069</v>
      </c>
      <c r="E110" s="6">
        <v>19.100000000000001</v>
      </c>
    </row>
    <row r="111" spans="1:5" x14ac:dyDescent="0.25">
      <c r="A111" s="4">
        <v>35962</v>
      </c>
      <c r="B111" s="5">
        <v>65</v>
      </c>
      <c r="D111" s="4">
        <v>32070</v>
      </c>
      <c r="E111" s="6">
        <v>18.78</v>
      </c>
    </row>
    <row r="112" spans="1:5" x14ac:dyDescent="0.25">
      <c r="A112" s="4">
        <v>35963</v>
      </c>
      <c r="B112" s="5">
        <v>65</v>
      </c>
      <c r="D112" s="4">
        <v>32071</v>
      </c>
      <c r="E112" s="6">
        <v>18.93</v>
      </c>
    </row>
    <row r="113" spans="1:5" x14ac:dyDescent="0.25">
      <c r="A113" s="4">
        <v>35964</v>
      </c>
      <c r="B113" s="5">
        <v>63.5</v>
      </c>
      <c r="D113" s="4">
        <v>32072</v>
      </c>
      <c r="E113" s="6">
        <v>19.13</v>
      </c>
    </row>
    <row r="114" spans="1:5" x14ac:dyDescent="0.25">
      <c r="A114" s="4">
        <v>35965</v>
      </c>
      <c r="B114" s="5">
        <v>63.75</v>
      </c>
      <c r="D114" s="4">
        <v>32073</v>
      </c>
      <c r="E114" s="6">
        <v>18.98</v>
      </c>
    </row>
    <row r="115" spans="1:5" x14ac:dyDescent="0.25">
      <c r="A115" s="4">
        <v>35968</v>
      </c>
      <c r="B115" s="5">
        <v>63</v>
      </c>
      <c r="D115" s="4">
        <v>32076</v>
      </c>
      <c r="E115" s="6">
        <v>18.75</v>
      </c>
    </row>
    <row r="116" spans="1:5" x14ac:dyDescent="0.25">
      <c r="A116" s="4">
        <v>35969</v>
      </c>
      <c r="B116" s="5">
        <v>61.5</v>
      </c>
      <c r="D116" s="4">
        <v>32077</v>
      </c>
      <c r="E116" s="6">
        <v>18.8</v>
      </c>
    </row>
    <row r="117" spans="1:5" x14ac:dyDescent="0.25">
      <c r="A117" s="4">
        <v>35970</v>
      </c>
      <c r="B117" s="5">
        <v>60.75</v>
      </c>
      <c r="D117" s="4">
        <v>32078</v>
      </c>
      <c r="E117" s="6">
        <v>18.850000000000001</v>
      </c>
    </row>
    <row r="118" spans="1:5" x14ac:dyDescent="0.25">
      <c r="A118" s="4">
        <v>35971</v>
      </c>
      <c r="B118" s="5">
        <v>61</v>
      </c>
      <c r="D118" s="4">
        <v>32079</v>
      </c>
      <c r="E118" s="6">
        <v>18.75</v>
      </c>
    </row>
    <row r="119" spans="1:5" x14ac:dyDescent="0.25">
      <c r="A119" s="4">
        <v>35972</v>
      </c>
      <c r="B119" s="5">
        <v>62.5</v>
      </c>
      <c r="D119" s="4">
        <v>32080</v>
      </c>
      <c r="E119" s="6">
        <v>18.8</v>
      </c>
    </row>
    <row r="120" spans="1:5" x14ac:dyDescent="0.25">
      <c r="A120" s="4">
        <v>35975</v>
      </c>
      <c r="B120" s="5">
        <v>62.5</v>
      </c>
      <c r="D120" s="4">
        <v>32083</v>
      </c>
      <c r="E120" s="6">
        <v>18.63</v>
      </c>
    </row>
    <row r="121" spans="1:5" x14ac:dyDescent="0.25">
      <c r="A121" s="4">
        <v>35976</v>
      </c>
      <c r="B121" s="5">
        <v>61.5</v>
      </c>
      <c r="D121" s="4">
        <v>32084</v>
      </c>
      <c r="E121" s="6">
        <v>18.38</v>
      </c>
    </row>
    <row r="122" spans="1:5" x14ac:dyDescent="0.25">
      <c r="A122" s="4">
        <v>35977</v>
      </c>
      <c r="B122" s="5">
        <v>59.25</v>
      </c>
      <c r="D122" s="4">
        <v>32085</v>
      </c>
      <c r="E122" s="6">
        <v>17.93</v>
      </c>
    </row>
    <row r="123" spans="1:5" x14ac:dyDescent="0.25">
      <c r="A123" s="4">
        <v>35978</v>
      </c>
      <c r="B123" s="5">
        <v>58.5</v>
      </c>
      <c r="D123" s="4">
        <v>32086</v>
      </c>
      <c r="E123" s="6">
        <v>17.850000000000001</v>
      </c>
    </row>
    <row r="124" spans="1:5" x14ac:dyDescent="0.25">
      <c r="A124" s="4">
        <v>35979</v>
      </c>
      <c r="B124" s="5">
        <v>59.75</v>
      </c>
      <c r="D124" s="4">
        <v>32087</v>
      </c>
      <c r="E124" s="6">
        <v>17.95</v>
      </c>
    </row>
    <row r="125" spans="1:5" x14ac:dyDescent="0.25">
      <c r="A125" s="4">
        <v>35982</v>
      </c>
      <c r="B125" s="5">
        <v>61.75</v>
      </c>
      <c r="D125" s="4">
        <v>32090</v>
      </c>
      <c r="E125" s="6">
        <v>17.5</v>
      </c>
    </row>
    <row r="126" spans="1:5" x14ac:dyDescent="0.25">
      <c r="A126" s="4">
        <v>35983</v>
      </c>
      <c r="B126" s="5">
        <v>60.5</v>
      </c>
      <c r="D126" s="4">
        <v>32091</v>
      </c>
      <c r="E126" s="6">
        <v>17.75</v>
      </c>
    </row>
    <row r="127" spans="1:5" x14ac:dyDescent="0.25">
      <c r="A127" s="4">
        <v>35984</v>
      </c>
      <c r="B127" s="5">
        <v>62.75</v>
      </c>
      <c r="D127" s="4">
        <v>32092</v>
      </c>
      <c r="E127" s="6">
        <v>17.8</v>
      </c>
    </row>
    <row r="128" spans="1:5" x14ac:dyDescent="0.25">
      <c r="A128" s="4">
        <v>35985</v>
      </c>
      <c r="B128" s="5">
        <v>64.25</v>
      </c>
      <c r="D128" s="4">
        <v>32093</v>
      </c>
      <c r="E128" s="6">
        <v>17.850000000000001</v>
      </c>
    </row>
    <row r="129" spans="1:5" x14ac:dyDescent="0.25">
      <c r="A129" s="4">
        <v>35986</v>
      </c>
      <c r="B129" s="5">
        <v>63.5</v>
      </c>
      <c r="D129" s="4">
        <v>32094</v>
      </c>
      <c r="E129" s="6">
        <v>17.8</v>
      </c>
    </row>
    <row r="130" spans="1:5" x14ac:dyDescent="0.25">
      <c r="A130" s="4">
        <v>35989</v>
      </c>
      <c r="B130" s="5">
        <v>64.5</v>
      </c>
      <c r="D130" s="4">
        <v>32097</v>
      </c>
      <c r="E130" s="6">
        <v>17.68</v>
      </c>
    </row>
    <row r="131" spans="1:5" x14ac:dyDescent="0.25">
      <c r="A131" s="4">
        <v>35990</v>
      </c>
      <c r="B131" s="5">
        <v>63.5</v>
      </c>
      <c r="D131" s="4">
        <v>32098</v>
      </c>
      <c r="E131" s="6">
        <v>17.399999999999999</v>
      </c>
    </row>
    <row r="132" spans="1:5" x14ac:dyDescent="0.25">
      <c r="A132" s="4">
        <v>35991</v>
      </c>
      <c r="B132" s="5">
        <v>65</v>
      </c>
      <c r="D132" s="4">
        <v>32099</v>
      </c>
      <c r="E132" s="6">
        <v>17.18</v>
      </c>
    </row>
    <row r="133" spans="1:5" x14ac:dyDescent="0.25">
      <c r="A133" s="4">
        <v>35992</v>
      </c>
      <c r="B133" s="5">
        <v>64.25</v>
      </c>
      <c r="D133" s="4">
        <v>32100</v>
      </c>
      <c r="E133" s="6">
        <v>17.48</v>
      </c>
    </row>
    <row r="134" spans="1:5" x14ac:dyDescent="0.25">
      <c r="A134" s="4">
        <v>35993</v>
      </c>
      <c r="B134" s="5">
        <v>63.5</v>
      </c>
      <c r="D134" s="4">
        <v>32101</v>
      </c>
      <c r="E134" s="6">
        <v>17.600000000000001</v>
      </c>
    </row>
    <row r="135" spans="1:5" x14ac:dyDescent="0.25">
      <c r="A135" s="4">
        <v>35996</v>
      </c>
      <c r="B135" s="5">
        <v>63</v>
      </c>
      <c r="D135" s="4">
        <v>32104</v>
      </c>
      <c r="E135" s="6">
        <v>17.899999999999999</v>
      </c>
    </row>
    <row r="136" spans="1:5" x14ac:dyDescent="0.25">
      <c r="A136" s="4">
        <v>35997</v>
      </c>
      <c r="B136" s="5">
        <v>62.75</v>
      </c>
      <c r="D136" s="4">
        <v>32105</v>
      </c>
      <c r="E136" s="6">
        <v>17.829999999999998</v>
      </c>
    </row>
    <row r="137" spans="1:5" x14ac:dyDescent="0.25">
      <c r="A137" s="4">
        <v>35998</v>
      </c>
      <c r="B137" s="5">
        <v>60.75</v>
      </c>
      <c r="D137" s="4">
        <v>32106</v>
      </c>
      <c r="E137" s="6">
        <v>17.68</v>
      </c>
    </row>
    <row r="138" spans="1:5" x14ac:dyDescent="0.25">
      <c r="A138" s="4">
        <v>35999</v>
      </c>
      <c r="B138" s="5">
        <v>58.25</v>
      </c>
      <c r="D138" s="4">
        <v>32107</v>
      </c>
      <c r="E138" s="6">
        <v>17.73</v>
      </c>
    </row>
    <row r="139" spans="1:5" x14ac:dyDescent="0.25">
      <c r="A139" s="4">
        <v>36000</v>
      </c>
      <c r="B139" s="5">
        <v>60.5</v>
      </c>
      <c r="D139" s="4">
        <v>32108</v>
      </c>
      <c r="E139" s="6">
        <v>17.78</v>
      </c>
    </row>
    <row r="140" spans="1:5" x14ac:dyDescent="0.25">
      <c r="A140" s="4">
        <v>36003</v>
      </c>
      <c r="B140" s="5">
        <v>60</v>
      </c>
      <c r="D140" s="4">
        <v>32111</v>
      </c>
      <c r="E140" s="6">
        <v>17.7</v>
      </c>
    </row>
    <row r="141" spans="1:5" x14ac:dyDescent="0.25">
      <c r="A141" s="4">
        <v>36004</v>
      </c>
      <c r="B141" s="5">
        <v>61.5</v>
      </c>
      <c r="D141" s="4">
        <v>32112</v>
      </c>
      <c r="E141" s="6">
        <v>17.649999999999999</v>
      </c>
    </row>
    <row r="142" spans="1:5" x14ac:dyDescent="0.25">
      <c r="A142" s="4">
        <v>36005</v>
      </c>
      <c r="B142" s="5">
        <v>62</v>
      </c>
      <c r="D142" s="4">
        <v>32113</v>
      </c>
      <c r="E142" s="6">
        <v>17.7</v>
      </c>
    </row>
    <row r="143" spans="1:5" x14ac:dyDescent="0.25">
      <c r="A143" s="4">
        <v>36006</v>
      </c>
      <c r="B143" s="5">
        <v>61.5</v>
      </c>
      <c r="D143" s="4">
        <v>32114</v>
      </c>
      <c r="E143" s="6">
        <v>17.93</v>
      </c>
    </row>
    <row r="144" spans="1:5" x14ac:dyDescent="0.25">
      <c r="A144" s="4">
        <v>36007</v>
      </c>
      <c r="B144" s="5">
        <v>59.5</v>
      </c>
      <c r="D144" s="4">
        <v>32115</v>
      </c>
      <c r="E144" s="6">
        <v>18</v>
      </c>
    </row>
    <row r="145" spans="1:5" x14ac:dyDescent="0.25">
      <c r="A145" s="4">
        <v>36010</v>
      </c>
      <c r="B145" s="5">
        <v>58.25</v>
      </c>
      <c r="D145" s="4">
        <v>32118</v>
      </c>
      <c r="E145" s="6">
        <v>17.78</v>
      </c>
    </row>
    <row r="146" spans="1:5" x14ac:dyDescent="0.25">
      <c r="A146" s="4">
        <v>36011</v>
      </c>
      <c r="B146" s="5">
        <v>58</v>
      </c>
      <c r="D146" s="4">
        <v>32119</v>
      </c>
      <c r="E146" s="6">
        <v>17.579999999999998</v>
      </c>
    </row>
    <row r="147" spans="1:5" x14ac:dyDescent="0.25">
      <c r="A147" s="4">
        <v>36012</v>
      </c>
      <c r="B147" s="5">
        <v>56</v>
      </c>
      <c r="D147" s="4">
        <v>32120</v>
      </c>
      <c r="E147" s="6">
        <v>17.43</v>
      </c>
    </row>
    <row r="148" spans="1:5" x14ac:dyDescent="0.25">
      <c r="A148" s="4">
        <v>36013</v>
      </c>
      <c r="B148" s="5">
        <v>56.75</v>
      </c>
      <c r="D148" s="4">
        <v>32121</v>
      </c>
      <c r="E148" s="6">
        <v>17.55</v>
      </c>
    </row>
    <row r="149" spans="1:5" x14ac:dyDescent="0.25">
      <c r="A149" s="4">
        <v>36014</v>
      </c>
      <c r="B149" s="5">
        <v>56.75</v>
      </c>
      <c r="D149" s="4">
        <v>32122</v>
      </c>
      <c r="E149" s="6">
        <v>17.73</v>
      </c>
    </row>
    <row r="150" spans="1:5" x14ac:dyDescent="0.25">
      <c r="A150" s="4">
        <v>36018</v>
      </c>
      <c r="B150" s="5">
        <v>55.25</v>
      </c>
      <c r="D150" s="4">
        <v>32125</v>
      </c>
      <c r="E150" s="6">
        <v>16.8</v>
      </c>
    </row>
    <row r="151" spans="1:5" x14ac:dyDescent="0.25">
      <c r="A151" s="4">
        <v>36019</v>
      </c>
      <c r="B151" s="5">
        <v>54</v>
      </c>
      <c r="D151" s="4">
        <v>32126</v>
      </c>
      <c r="E151" s="6">
        <v>16.2</v>
      </c>
    </row>
    <row r="152" spans="1:5" x14ac:dyDescent="0.25">
      <c r="A152" s="4">
        <v>36020</v>
      </c>
      <c r="B152" s="5">
        <v>54.25</v>
      </c>
      <c r="D152" s="4">
        <v>32127</v>
      </c>
      <c r="E152" s="6">
        <v>15.93</v>
      </c>
    </row>
    <row r="153" spans="1:5" x14ac:dyDescent="0.25">
      <c r="A153" s="4">
        <v>36021</v>
      </c>
      <c r="B153" s="5">
        <v>55.25</v>
      </c>
      <c r="D153" s="4">
        <v>32128</v>
      </c>
      <c r="E153" s="6">
        <v>15.03</v>
      </c>
    </row>
    <row r="154" spans="1:5" x14ac:dyDescent="0.25">
      <c r="A154" s="4">
        <v>36024</v>
      </c>
      <c r="B154" s="5">
        <v>58.5</v>
      </c>
      <c r="D154" s="4">
        <v>32129</v>
      </c>
      <c r="E154" s="6">
        <v>15.6</v>
      </c>
    </row>
    <row r="155" spans="1:5" x14ac:dyDescent="0.25">
      <c r="A155" s="4">
        <v>36025</v>
      </c>
      <c r="B155" s="5">
        <v>61.25</v>
      </c>
      <c r="D155" s="4">
        <v>32132</v>
      </c>
      <c r="E155" s="6">
        <v>15.4</v>
      </c>
    </row>
    <row r="156" spans="1:5" x14ac:dyDescent="0.25">
      <c r="A156" s="4">
        <v>36026</v>
      </c>
      <c r="B156" s="5">
        <v>60.25</v>
      </c>
      <c r="D156" s="4">
        <v>32133</v>
      </c>
      <c r="E156" s="6">
        <v>16.7</v>
      </c>
    </row>
    <row r="157" spans="1:5" x14ac:dyDescent="0.25">
      <c r="A157" s="4">
        <v>36027</v>
      </c>
      <c r="B157" s="5">
        <v>59.75</v>
      </c>
      <c r="D157" s="4">
        <v>32134</v>
      </c>
      <c r="E157" s="6">
        <v>17.25</v>
      </c>
    </row>
    <row r="158" spans="1:5" x14ac:dyDescent="0.25">
      <c r="A158" s="4">
        <v>36028</v>
      </c>
      <c r="B158" s="5">
        <v>60</v>
      </c>
      <c r="D158" s="4">
        <v>32135</v>
      </c>
      <c r="E158" s="6">
        <v>17.100000000000001</v>
      </c>
    </row>
    <row r="159" spans="1:5" x14ac:dyDescent="0.25">
      <c r="A159" s="4">
        <v>36031</v>
      </c>
      <c r="B159" s="5">
        <v>62</v>
      </c>
      <c r="D159" s="4">
        <v>32136</v>
      </c>
      <c r="E159" s="5"/>
    </row>
    <row r="160" spans="1:5" x14ac:dyDescent="0.25">
      <c r="A160" s="4">
        <v>36032</v>
      </c>
      <c r="B160" s="5">
        <v>66</v>
      </c>
      <c r="D160" s="4">
        <v>32139</v>
      </c>
      <c r="E160" s="6">
        <v>17</v>
      </c>
    </row>
    <row r="161" spans="1:5" x14ac:dyDescent="0.25">
      <c r="A161" s="4">
        <v>36033</v>
      </c>
      <c r="B161" s="5">
        <v>65.25</v>
      </c>
      <c r="D161" s="4">
        <v>32140</v>
      </c>
      <c r="E161" s="6">
        <v>17.38</v>
      </c>
    </row>
    <row r="162" spans="1:5" x14ac:dyDescent="0.25">
      <c r="A162" s="4">
        <v>36034</v>
      </c>
      <c r="B162" s="5">
        <v>64.5</v>
      </c>
      <c r="D162" s="4">
        <v>32141</v>
      </c>
      <c r="E162" s="6">
        <v>17.850000000000001</v>
      </c>
    </row>
    <row r="163" spans="1:5" x14ac:dyDescent="0.25">
      <c r="A163" s="4">
        <v>36035</v>
      </c>
      <c r="B163" s="5">
        <v>66</v>
      </c>
      <c r="D163" s="4">
        <v>32142</v>
      </c>
      <c r="E163" s="6">
        <v>17.600000000000001</v>
      </c>
    </row>
    <row r="164" spans="1:5" x14ac:dyDescent="0.25">
      <c r="A164" s="4">
        <v>36038</v>
      </c>
      <c r="B164" s="5">
        <v>66.25</v>
      </c>
      <c r="D164" s="4">
        <v>32143</v>
      </c>
      <c r="E164" s="5"/>
    </row>
    <row r="165" spans="1:5" x14ac:dyDescent="0.25">
      <c r="A165" s="4">
        <v>36039</v>
      </c>
      <c r="B165" s="5">
        <v>67</v>
      </c>
      <c r="D165" s="4">
        <v>32146</v>
      </c>
      <c r="E165" s="6">
        <v>17.95</v>
      </c>
    </row>
    <row r="166" spans="1:5" x14ac:dyDescent="0.25">
      <c r="A166" s="4">
        <v>36040</v>
      </c>
      <c r="B166" s="5">
        <v>70.75</v>
      </c>
      <c r="D166" s="4">
        <v>32147</v>
      </c>
      <c r="E166" s="6">
        <v>17.079999999999998</v>
      </c>
    </row>
    <row r="167" spans="1:5" x14ac:dyDescent="0.25">
      <c r="A167" s="4">
        <v>36041</v>
      </c>
      <c r="B167" s="5">
        <v>69</v>
      </c>
      <c r="D167" s="4">
        <v>32148</v>
      </c>
      <c r="E167" s="6">
        <v>17.899999999999999</v>
      </c>
    </row>
    <row r="168" spans="1:5" x14ac:dyDescent="0.25">
      <c r="A168" s="4">
        <v>36042</v>
      </c>
      <c r="B168" s="5">
        <v>71</v>
      </c>
      <c r="D168" s="4">
        <v>32149</v>
      </c>
      <c r="E168" s="5"/>
    </row>
    <row r="169" spans="1:5" x14ac:dyDescent="0.25">
      <c r="A169" s="4">
        <v>36045</v>
      </c>
      <c r="B169" s="5">
        <v>70</v>
      </c>
      <c r="D169" s="4">
        <v>32150</v>
      </c>
      <c r="E169" s="6">
        <v>16.88</v>
      </c>
    </row>
    <row r="170" spans="1:5" x14ac:dyDescent="0.25">
      <c r="A170" s="4">
        <v>36046</v>
      </c>
      <c r="B170" s="5">
        <v>70.75</v>
      </c>
      <c r="D170" s="4">
        <v>32153</v>
      </c>
      <c r="E170" s="6">
        <v>16.649999999999999</v>
      </c>
    </row>
    <row r="171" spans="1:5" x14ac:dyDescent="0.25">
      <c r="A171" s="4">
        <v>36047</v>
      </c>
      <c r="B171" s="5">
        <v>71</v>
      </c>
      <c r="D171" s="4">
        <v>32154</v>
      </c>
      <c r="E171" s="6">
        <v>15.95</v>
      </c>
    </row>
    <row r="172" spans="1:5" x14ac:dyDescent="0.25">
      <c r="A172" s="4">
        <v>36048</v>
      </c>
      <c r="B172" s="5">
        <v>71.75</v>
      </c>
      <c r="D172" s="4">
        <v>32155</v>
      </c>
      <c r="E172" s="6">
        <v>16.38</v>
      </c>
    </row>
    <row r="173" spans="1:5" x14ac:dyDescent="0.25">
      <c r="A173" s="4">
        <v>36049</v>
      </c>
      <c r="B173" s="5">
        <v>71.5</v>
      </c>
      <c r="D173" s="4">
        <v>32156</v>
      </c>
      <c r="E173" s="6">
        <v>16.55</v>
      </c>
    </row>
    <row r="174" spans="1:5" x14ac:dyDescent="0.25">
      <c r="A174" s="4">
        <v>36052</v>
      </c>
      <c r="B174" s="5">
        <v>71.5</v>
      </c>
      <c r="D174" s="4">
        <v>32157</v>
      </c>
      <c r="E174" s="6">
        <v>16.649999999999999</v>
      </c>
    </row>
    <row r="175" spans="1:5" x14ac:dyDescent="0.25">
      <c r="A175" s="4">
        <v>36053</v>
      </c>
      <c r="B175" s="5">
        <v>70</v>
      </c>
      <c r="D175" s="4">
        <v>32160</v>
      </c>
      <c r="E175" s="6">
        <v>16.829999999999998</v>
      </c>
    </row>
    <row r="176" spans="1:5" x14ac:dyDescent="0.25">
      <c r="A176" s="4">
        <v>36054</v>
      </c>
      <c r="B176" s="5">
        <v>70</v>
      </c>
      <c r="D176" s="4">
        <v>32161</v>
      </c>
      <c r="E176" s="6">
        <v>17.100000000000001</v>
      </c>
    </row>
    <row r="177" spans="1:5" x14ac:dyDescent="0.25">
      <c r="A177" s="4">
        <v>36055</v>
      </c>
      <c r="B177" s="5">
        <v>70.25</v>
      </c>
      <c r="D177" s="4">
        <v>32162</v>
      </c>
      <c r="E177" s="6">
        <v>16.829999999999998</v>
      </c>
    </row>
    <row r="178" spans="1:5" x14ac:dyDescent="0.25">
      <c r="A178" s="4">
        <v>36056</v>
      </c>
      <c r="B178" s="5">
        <v>68.75</v>
      </c>
      <c r="D178" s="4">
        <v>32163</v>
      </c>
      <c r="E178" s="6">
        <v>17.079999999999998</v>
      </c>
    </row>
    <row r="179" spans="1:5" x14ac:dyDescent="0.25">
      <c r="A179" s="4">
        <v>36059</v>
      </c>
      <c r="B179" s="5">
        <v>66.5</v>
      </c>
      <c r="D179" s="4">
        <v>32164</v>
      </c>
      <c r="E179" s="6">
        <v>16.7</v>
      </c>
    </row>
    <row r="180" spans="1:5" x14ac:dyDescent="0.25">
      <c r="A180" s="4">
        <v>36060</v>
      </c>
      <c r="B180" s="5">
        <v>66.5</v>
      </c>
      <c r="D180" s="4">
        <v>32167</v>
      </c>
      <c r="E180" s="6">
        <v>16.45</v>
      </c>
    </row>
    <row r="181" spans="1:5" x14ac:dyDescent="0.25">
      <c r="A181" s="4">
        <v>36061</v>
      </c>
      <c r="B181" s="5">
        <v>67.5</v>
      </c>
      <c r="D181" s="4">
        <v>32168</v>
      </c>
      <c r="E181" s="5"/>
    </row>
    <row r="182" spans="1:5" x14ac:dyDescent="0.25">
      <c r="A182" s="4">
        <v>36062</v>
      </c>
      <c r="B182" s="5">
        <v>67.25</v>
      </c>
      <c r="D182" s="4">
        <v>32169</v>
      </c>
      <c r="E182" s="6">
        <v>16.13</v>
      </c>
    </row>
    <row r="183" spans="1:5" x14ac:dyDescent="0.25">
      <c r="A183" s="4">
        <v>36063</v>
      </c>
      <c r="B183" s="5">
        <v>65.75</v>
      </c>
      <c r="D183" s="4">
        <v>32170</v>
      </c>
      <c r="E183" s="6">
        <v>16.100000000000001</v>
      </c>
    </row>
    <row r="184" spans="1:5" x14ac:dyDescent="0.25">
      <c r="A184" s="4">
        <v>36066</v>
      </c>
      <c r="B184" s="5">
        <v>64.25</v>
      </c>
      <c r="D184" s="4">
        <v>32171</v>
      </c>
      <c r="E184" s="6">
        <v>16.28</v>
      </c>
    </row>
    <row r="185" spans="1:5" x14ac:dyDescent="0.25">
      <c r="A185" s="4">
        <v>36067</v>
      </c>
      <c r="B185" s="5">
        <v>64.5</v>
      </c>
      <c r="D185" s="4">
        <v>32174</v>
      </c>
      <c r="E185" s="6">
        <v>16.100000000000001</v>
      </c>
    </row>
    <row r="186" spans="1:5" x14ac:dyDescent="0.25">
      <c r="A186" s="4">
        <v>36068</v>
      </c>
      <c r="B186" s="5">
        <v>64.5</v>
      </c>
      <c r="D186" s="4">
        <v>32175</v>
      </c>
      <c r="E186" s="6">
        <v>16.18</v>
      </c>
    </row>
    <row r="187" spans="1:5" x14ac:dyDescent="0.25">
      <c r="A187" s="4">
        <v>36069</v>
      </c>
      <c r="B187" s="5">
        <v>62</v>
      </c>
      <c r="D187" s="4">
        <v>32176</v>
      </c>
      <c r="E187" s="6">
        <v>16.149999999999999</v>
      </c>
    </row>
    <row r="188" spans="1:5" x14ac:dyDescent="0.25">
      <c r="A188" s="4">
        <v>36070</v>
      </c>
      <c r="B188" s="5">
        <v>63.75</v>
      </c>
      <c r="D188" s="4">
        <v>32177</v>
      </c>
      <c r="E188" s="6">
        <v>16.18</v>
      </c>
    </row>
    <row r="189" spans="1:5" x14ac:dyDescent="0.25">
      <c r="A189" s="4">
        <v>36073</v>
      </c>
      <c r="B189" s="5">
        <v>64.5</v>
      </c>
      <c r="D189" s="4">
        <v>32178</v>
      </c>
      <c r="E189" s="6">
        <v>16.100000000000001</v>
      </c>
    </row>
    <row r="190" spans="1:5" x14ac:dyDescent="0.25">
      <c r="A190" s="4">
        <v>36074</v>
      </c>
      <c r="B190" s="5">
        <v>65.75</v>
      </c>
      <c r="D190" s="4">
        <v>32181</v>
      </c>
      <c r="E190" s="6">
        <v>16.5</v>
      </c>
    </row>
    <row r="191" spans="1:5" x14ac:dyDescent="0.25">
      <c r="A191" s="4">
        <v>36075</v>
      </c>
      <c r="B191" s="5">
        <v>65.75</v>
      </c>
      <c r="D191" s="4">
        <v>32182</v>
      </c>
      <c r="E191" s="6">
        <v>16.399999999999999</v>
      </c>
    </row>
    <row r="192" spans="1:5" x14ac:dyDescent="0.25">
      <c r="A192" s="4">
        <v>36076</v>
      </c>
      <c r="B192" s="5">
        <v>65.5</v>
      </c>
      <c r="D192" s="4">
        <v>32183</v>
      </c>
      <c r="E192" s="6">
        <v>16.13</v>
      </c>
    </row>
    <row r="193" spans="1:5" x14ac:dyDescent="0.25">
      <c r="A193" s="4">
        <v>36077</v>
      </c>
      <c r="B193" s="5">
        <v>63.75</v>
      </c>
      <c r="D193" s="4">
        <v>32184</v>
      </c>
      <c r="E193" s="6">
        <v>16.100000000000001</v>
      </c>
    </row>
    <row r="194" spans="1:5" x14ac:dyDescent="0.25">
      <c r="A194" s="4">
        <v>36080</v>
      </c>
      <c r="B194" s="5">
        <v>63.25</v>
      </c>
      <c r="D194" s="4">
        <v>32185</v>
      </c>
      <c r="E194" s="6">
        <v>15.75</v>
      </c>
    </row>
    <row r="195" spans="1:5" x14ac:dyDescent="0.25">
      <c r="A195" s="4">
        <v>36081</v>
      </c>
      <c r="B195" s="5">
        <v>62.5</v>
      </c>
      <c r="D195" s="4">
        <v>32188</v>
      </c>
      <c r="E195" s="6">
        <v>15.68</v>
      </c>
    </row>
    <row r="196" spans="1:5" x14ac:dyDescent="0.25">
      <c r="A196" s="4">
        <v>36082</v>
      </c>
      <c r="B196" s="5">
        <v>63.75</v>
      </c>
      <c r="D196" s="4">
        <v>32189</v>
      </c>
      <c r="E196" s="6">
        <v>15.63</v>
      </c>
    </row>
    <row r="197" spans="1:5" x14ac:dyDescent="0.25">
      <c r="A197" s="4">
        <v>36083</v>
      </c>
      <c r="B197" s="5">
        <v>62.25</v>
      </c>
      <c r="D197" s="4">
        <v>32190</v>
      </c>
      <c r="E197" s="6">
        <v>15.85</v>
      </c>
    </row>
    <row r="198" spans="1:5" x14ac:dyDescent="0.25">
      <c r="A198" s="4">
        <v>36084</v>
      </c>
      <c r="B198" s="5">
        <v>60.75</v>
      </c>
      <c r="D198" s="4">
        <v>32191</v>
      </c>
      <c r="E198" s="6">
        <v>15.48</v>
      </c>
    </row>
    <row r="199" spans="1:5" x14ac:dyDescent="0.25">
      <c r="A199" s="4">
        <v>36088</v>
      </c>
      <c r="B199" s="5">
        <v>60.5</v>
      </c>
      <c r="D199" s="4">
        <v>32192</v>
      </c>
      <c r="E199" s="6">
        <v>15.55</v>
      </c>
    </row>
    <row r="200" spans="1:5" x14ac:dyDescent="0.25">
      <c r="A200" s="4">
        <v>36089</v>
      </c>
      <c r="B200" s="5">
        <v>61.75</v>
      </c>
      <c r="D200" s="4">
        <v>32195</v>
      </c>
      <c r="E200" s="6">
        <v>15.38</v>
      </c>
    </row>
    <row r="201" spans="1:5" x14ac:dyDescent="0.25">
      <c r="A201" s="4">
        <v>36090</v>
      </c>
      <c r="B201" s="5">
        <v>60.75</v>
      </c>
      <c r="D201" s="4">
        <v>32196</v>
      </c>
      <c r="E201" s="6">
        <v>15.58</v>
      </c>
    </row>
    <row r="202" spans="1:5" x14ac:dyDescent="0.25">
      <c r="A202" s="4">
        <v>36091</v>
      </c>
      <c r="B202" s="5">
        <v>58.5</v>
      </c>
      <c r="D202" s="4">
        <v>32197</v>
      </c>
      <c r="E202" s="6">
        <v>15.35</v>
      </c>
    </row>
    <row r="203" spans="1:5" x14ac:dyDescent="0.25">
      <c r="A203" s="4">
        <v>36094</v>
      </c>
      <c r="B203" s="5">
        <v>59.25</v>
      </c>
      <c r="D203" s="4">
        <v>32198</v>
      </c>
      <c r="E203" s="6">
        <v>14.85</v>
      </c>
    </row>
    <row r="204" spans="1:5" x14ac:dyDescent="0.25">
      <c r="A204" s="4">
        <v>36095</v>
      </c>
      <c r="B204" s="5">
        <v>61.5</v>
      </c>
      <c r="D204" s="4">
        <v>32199</v>
      </c>
      <c r="E204" s="6">
        <v>14.65</v>
      </c>
    </row>
    <row r="205" spans="1:5" x14ac:dyDescent="0.25">
      <c r="A205" s="4">
        <v>36096</v>
      </c>
      <c r="B205" s="5">
        <v>61.5</v>
      </c>
      <c r="D205" s="4">
        <v>32202</v>
      </c>
      <c r="E205" s="6">
        <v>14.73</v>
      </c>
    </row>
    <row r="206" spans="1:5" x14ac:dyDescent="0.25">
      <c r="A206" s="4">
        <v>36097</v>
      </c>
      <c r="B206" s="5">
        <v>57</v>
      </c>
      <c r="D206" s="4">
        <v>32203</v>
      </c>
      <c r="E206" s="6">
        <v>14.18</v>
      </c>
    </row>
    <row r="207" spans="1:5" x14ac:dyDescent="0.25">
      <c r="A207" s="4">
        <v>36098</v>
      </c>
      <c r="B207" s="5">
        <v>55.5</v>
      </c>
      <c r="D207" s="4">
        <v>32204</v>
      </c>
      <c r="E207" s="6">
        <v>13.8</v>
      </c>
    </row>
    <row r="208" spans="1:5" x14ac:dyDescent="0.25">
      <c r="A208" s="4">
        <v>36101</v>
      </c>
      <c r="B208" s="5">
        <v>55.5</v>
      </c>
      <c r="D208" s="4">
        <v>32205</v>
      </c>
      <c r="E208" s="6">
        <v>14</v>
      </c>
    </row>
    <row r="209" spans="1:5" x14ac:dyDescent="0.25">
      <c r="A209" s="4">
        <v>36102</v>
      </c>
      <c r="B209" s="5">
        <v>56.75</v>
      </c>
      <c r="D209" s="4">
        <v>32206</v>
      </c>
      <c r="E209" s="6">
        <v>14</v>
      </c>
    </row>
    <row r="210" spans="1:5" x14ac:dyDescent="0.25">
      <c r="A210" s="4">
        <v>36103</v>
      </c>
      <c r="B210" s="5">
        <v>54.75</v>
      </c>
      <c r="D210" s="4">
        <v>32209</v>
      </c>
      <c r="E210" s="6">
        <v>13.9</v>
      </c>
    </row>
    <row r="211" spans="1:5" x14ac:dyDescent="0.25">
      <c r="A211" s="4">
        <v>36104</v>
      </c>
      <c r="B211" s="5">
        <v>55.5</v>
      </c>
      <c r="D211" s="4">
        <v>32210</v>
      </c>
      <c r="E211" s="6">
        <v>13.8</v>
      </c>
    </row>
    <row r="212" spans="1:5" x14ac:dyDescent="0.25">
      <c r="A212" s="4">
        <v>36105</v>
      </c>
      <c r="B212" s="5">
        <v>54</v>
      </c>
      <c r="D212" s="4">
        <v>32211</v>
      </c>
      <c r="E212" s="6">
        <v>13.98</v>
      </c>
    </row>
    <row r="213" spans="1:5" x14ac:dyDescent="0.25">
      <c r="A213" s="4">
        <v>36108</v>
      </c>
      <c r="B213" s="5">
        <v>51</v>
      </c>
      <c r="D213" s="4">
        <v>32212</v>
      </c>
      <c r="E213" s="6">
        <v>14.48</v>
      </c>
    </row>
    <row r="214" spans="1:5" x14ac:dyDescent="0.25">
      <c r="A214" s="4">
        <v>36109</v>
      </c>
      <c r="B214" s="5">
        <v>51.5</v>
      </c>
      <c r="D214" s="4">
        <v>32213</v>
      </c>
      <c r="E214" s="6">
        <v>14.88</v>
      </c>
    </row>
    <row r="215" spans="1:5" x14ac:dyDescent="0.25">
      <c r="A215" s="4">
        <v>36110</v>
      </c>
      <c r="B215" s="5">
        <v>52.5</v>
      </c>
      <c r="D215" s="4">
        <v>32216</v>
      </c>
      <c r="E215" s="6">
        <v>14.28</v>
      </c>
    </row>
    <row r="216" spans="1:5" x14ac:dyDescent="0.25">
      <c r="A216" s="4">
        <v>36111</v>
      </c>
      <c r="B216" s="5">
        <v>53.5</v>
      </c>
      <c r="D216" s="4">
        <v>32217</v>
      </c>
      <c r="E216" s="6">
        <v>14.3</v>
      </c>
    </row>
    <row r="217" spans="1:5" x14ac:dyDescent="0.25">
      <c r="A217" s="4">
        <v>36112</v>
      </c>
      <c r="B217" s="5">
        <v>48.5</v>
      </c>
      <c r="D217" s="4">
        <v>32218</v>
      </c>
      <c r="E217" s="6">
        <v>14.45</v>
      </c>
    </row>
    <row r="218" spans="1:5" x14ac:dyDescent="0.25">
      <c r="A218" s="4">
        <v>36115</v>
      </c>
      <c r="B218" s="5">
        <v>49.5</v>
      </c>
      <c r="D218" s="4">
        <v>32219</v>
      </c>
      <c r="E218" s="6">
        <v>14.43</v>
      </c>
    </row>
    <row r="219" spans="1:5" x14ac:dyDescent="0.25">
      <c r="A219" s="4">
        <v>36116</v>
      </c>
      <c r="B219" s="5">
        <v>51</v>
      </c>
      <c r="D219" s="4">
        <v>32220</v>
      </c>
      <c r="E219" s="6">
        <v>14.93</v>
      </c>
    </row>
    <row r="220" spans="1:5" x14ac:dyDescent="0.25">
      <c r="A220" s="4">
        <v>36117</v>
      </c>
      <c r="B220" s="5">
        <v>49.5</v>
      </c>
      <c r="D220" s="4">
        <v>32223</v>
      </c>
      <c r="E220" s="6">
        <v>15.38</v>
      </c>
    </row>
    <row r="221" spans="1:5" x14ac:dyDescent="0.25">
      <c r="A221" s="4">
        <v>36118</v>
      </c>
      <c r="B221" s="5">
        <v>48.25</v>
      </c>
      <c r="D221" s="4">
        <v>32224</v>
      </c>
      <c r="E221" s="6">
        <v>15.03</v>
      </c>
    </row>
    <row r="222" spans="1:5" x14ac:dyDescent="0.25">
      <c r="A222" s="4">
        <v>36119</v>
      </c>
      <c r="B222" s="5">
        <v>47.25</v>
      </c>
      <c r="D222" s="4">
        <v>32225</v>
      </c>
      <c r="E222" s="6">
        <v>15.4</v>
      </c>
    </row>
    <row r="223" spans="1:5" x14ac:dyDescent="0.25">
      <c r="A223" s="4">
        <v>36122</v>
      </c>
      <c r="B223" s="5">
        <v>47</v>
      </c>
      <c r="D223" s="4">
        <v>32226</v>
      </c>
      <c r="E223" s="6">
        <v>15.65</v>
      </c>
    </row>
    <row r="224" spans="1:5" x14ac:dyDescent="0.25">
      <c r="A224" s="4">
        <v>36123</v>
      </c>
      <c r="B224" s="5">
        <v>48</v>
      </c>
      <c r="D224" s="4">
        <v>32227</v>
      </c>
      <c r="E224" s="6">
        <v>15.45</v>
      </c>
    </row>
    <row r="225" spans="1:5" x14ac:dyDescent="0.25">
      <c r="A225" s="4">
        <v>36124</v>
      </c>
      <c r="B225" s="5">
        <v>47</v>
      </c>
      <c r="D225" s="4">
        <v>32230</v>
      </c>
      <c r="E225" s="6">
        <v>15.55</v>
      </c>
    </row>
    <row r="226" spans="1:5" x14ac:dyDescent="0.25">
      <c r="A226" s="4">
        <v>36125</v>
      </c>
      <c r="B226" s="5">
        <v>48</v>
      </c>
      <c r="D226" s="4">
        <v>32231</v>
      </c>
      <c r="E226" s="6">
        <v>15.6</v>
      </c>
    </row>
    <row r="227" spans="1:5" x14ac:dyDescent="0.25">
      <c r="A227" s="4">
        <v>36126</v>
      </c>
      <c r="B227" s="5">
        <v>51.5</v>
      </c>
      <c r="D227" s="4">
        <v>32232</v>
      </c>
      <c r="E227" s="6">
        <v>15.7</v>
      </c>
    </row>
    <row r="228" spans="1:5" x14ac:dyDescent="0.25">
      <c r="A228" s="4">
        <v>36129</v>
      </c>
      <c r="B228" s="5">
        <v>56</v>
      </c>
      <c r="D228" s="4">
        <v>32233</v>
      </c>
      <c r="E228" s="6">
        <v>15.65</v>
      </c>
    </row>
    <row r="229" spans="1:5" x14ac:dyDescent="0.25">
      <c r="A229" s="4">
        <v>36130</v>
      </c>
      <c r="B229" s="5">
        <v>56</v>
      </c>
      <c r="D229" s="4">
        <v>32234</v>
      </c>
      <c r="E229" s="5"/>
    </row>
    <row r="230" spans="1:5" x14ac:dyDescent="0.25">
      <c r="A230" s="4">
        <v>36131</v>
      </c>
      <c r="B230" s="5">
        <v>46.5</v>
      </c>
      <c r="D230" s="4">
        <v>32237</v>
      </c>
      <c r="E230" s="5"/>
    </row>
    <row r="231" spans="1:5" x14ac:dyDescent="0.25">
      <c r="A231" s="4">
        <v>36132</v>
      </c>
      <c r="B231" s="5">
        <v>47</v>
      </c>
      <c r="D231" s="4">
        <v>32238</v>
      </c>
      <c r="E231" s="6">
        <v>15.5</v>
      </c>
    </row>
    <row r="232" spans="1:5" x14ac:dyDescent="0.25">
      <c r="A232" s="4">
        <v>36133</v>
      </c>
      <c r="B232" s="5">
        <v>49.5</v>
      </c>
      <c r="D232" s="4">
        <v>32239</v>
      </c>
      <c r="E232" s="6">
        <v>15.38</v>
      </c>
    </row>
    <row r="233" spans="1:5" x14ac:dyDescent="0.25">
      <c r="A233" s="4">
        <v>36136</v>
      </c>
      <c r="B233" s="5">
        <v>51</v>
      </c>
      <c r="D233" s="4">
        <v>32240</v>
      </c>
      <c r="E233" s="6">
        <v>15.53</v>
      </c>
    </row>
    <row r="234" spans="1:5" x14ac:dyDescent="0.25">
      <c r="A234" s="4">
        <v>36137</v>
      </c>
      <c r="B234" s="5">
        <v>54</v>
      </c>
      <c r="D234" s="4">
        <v>32241</v>
      </c>
      <c r="E234" s="6">
        <v>15.55</v>
      </c>
    </row>
    <row r="235" spans="1:5" x14ac:dyDescent="0.25">
      <c r="A235" s="4">
        <v>36138</v>
      </c>
      <c r="B235" s="5">
        <v>60.25</v>
      </c>
      <c r="D235" s="4">
        <v>32244</v>
      </c>
      <c r="E235" s="6">
        <v>16.2</v>
      </c>
    </row>
    <row r="236" spans="1:5" x14ac:dyDescent="0.25">
      <c r="A236" s="4">
        <v>36139</v>
      </c>
      <c r="B236" s="5">
        <v>59.5</v>
      </c>
      <c r="D236" s="4">
        <v>32245</v>
      </c>
      <c r="E236" s="6">
        <v>16.48</v>
      </c>
    </row>
    <row r="237" spans="1:5" x14ac:dyDescent="0.25">
      <c r="A237" s="4">
        <v>36140</v>
      </c>
      <c r="B237" s="5">
        <v>57.5</v>
      </c>
      <c r="D237" s="4">
        <v>32246</v>
      </c>
      <c r="E237" s="6">
        <v>16.55</v>
      </c>
    </row>
    <row r="238" spans="1:5" x14ac:dyDescent="0.25">
      <c r="A238" s="4">
        <v>36143</v>
      </c>
      <c r="B238" s="5">
        <v>61</v>
      </c>
      <c r="D238" s="4">
        <v>32247</v>
      </c>
      <c r="E238" s="6">
        <v>16.649999999999999</v>
      </c>
    </row>
    <row r="239" spans="1:5" x14ac:dyDescent="0.25">
      <c r="A239" s="4">
        <v>36144</v>
      </c>
      <c r="B239" s="5">
        <v>63</v>
      </c>
      <c r="D239" s="4">
        <v>32248</v>
      </c>
      <c r="E239" s="6">
        <v>16.850000000000001</v>
      </c>
    </row>
    <row r="240" spans="1:5" x14ac:dyDescent="0.25">
      <c r="A240" s="4">
        <v>36145</v>
      </c>
      <c r="B240" s="5">
        <v>62</v>
      </c>
      <c r="D240" s="4">
        <v>32251</v>
      </c>
      <c r="E240" s="6">
        <v>17.45</v>
      </c>
    </row>
    <row r="241" spans="1:5" x14ac:dyDescent="0.25">
      <c r="A241" s="4">
        <v>36146</v>
      </c>
      <c r="B241" s="5">
        <v>65</v>
      </c>
      <c r="D241" s="4">
        <v>32252</v>
      </c>
      <c r="E241" s="6">
        <v>17.05</v>
      </c>
    </row>
    <row r="242" spans="1:5" x14ac:dyDescent="0.25">
      <c r="A242" s="4">
        <v>36147</v>
      </c>
      <c r="B242" s="5">
        <v>63.75</v>
      </c>
      <c r="D242" s="4">
        <v>32253</v>
      </c>
      <c r="E242" s="6">
        <v>16.78</v>
      </c>
    </row>
    <row r="243" spans="1:5" x14ac:dyDescent="0.25">
      <c r="A243" s="4">
        <v>36150</v>
      </c>
      <c r="B243" s="5">
        <v>66.5</v>
      </c>
      <c r="D243" s="4">
        <v>32254</v>
      </c>
      <c r="E243" s="6">
        <v>17</v>
      </c>
    </row>
    <row r="244" spans="1:5" x14ac:dyDescent="0.25">
      <c r="A244" s="4">
        <v>36151</v>
      </c>
      <c r="B244" s="5">
        <v>65</v>
      </c>
      <c r="D244" s="4">
        <v>32255</v>
      </c>
      <c r="E244" s="6">
        <v>17.149999999999999</v>
      </c>
    </row>
    <row r="245" spans="1:5" x14ac:dyDescent="0.25">
      <c r="A245" s="4">
        <v>36152</v>
      </c>
      <c r="B245" s="5">
        <v>64</v>
      </c>
      <c r="D245" s="4">
        <v>32258</v>
      </c>
      <c r="E245" s="6">
        <v>17.13</v>
      </c>
    </row>
    <row r="246" spans="1:5" x14ac:dyDescent="0.25">
      <c r="A246" s="4">
        <v>36153</v>
      </c>
      <c r="B246" s="5">
        <v>64</v>
      </c>
      <c r="D246" s="4">
        <v>32259</v>
      </c>
      <c r="E246" s="6">
        <v>17.18</v>
      </c>
    </row>
    <row r="247" spans="1:5" x14ac:dyDescent="0.25">
      <c r="A247" s="4">
        <v>36157</v>
      </c>
      <c r="B247" s="5">
        <v>63.75</v>
      </c>
      <c r="D247" s="4">
        <v>32260</v>
      </c>
      <c r="E247" s="6">
        <v>17.399999999999999</v>
      </c>
    </row>
    <row r="248" spans="1:5" x14ac:dyDescent="0.25">
      <c r="A248" s="4">
        <v>36158</v>
      </c>
      <c r="B248" s="5">
        <v>63.5</v>
      </c>
      <c r="D248" s="4">
        <v>32261</v>
      </c>
      <c r="E248" s="6">
        <v>16.88</v>
      </c>
    </row>
    <row r="249" spans="1:5" x14ac:dyDescent="0.25">
      <c r="A249" s="4">
        <v>36159</v>
      </c>
      <c r="B249" s="5">
        <v>60.5</v>
      </c>
      <c r="D249" s="4">
        <v>32262</v>
      </c>
      <c r="E249" s="6">
        <v>16.600000000000001</v>
      </c>
    </row>
    <row r="250" spans="1:5" x14ac:dyDescent="0.25">
      <c r="A250" s="4">
        <v>36160</v>
      </c>
      <c r="B250" s="5">
        <v>59.5</v>
      </c>
      <c r="D250" s="4">
        <v>32265</v>
      </c>
      <c r="E250" s="6">
        <v>15.95</v>
      </c>
    </row>
    <row r="251" spans="1:5" x14ac:dyDescent="0.25">
      <c r="A251" s="4">
        <v>36164</v>
      </c>
      <c r="B251" s="5">
        <v>59.5</v>
      </c>
      <c r="D251" s="4">
        <v>32266</v>
      </c>
      <c r="E251" s="6">
        <v>16.079999999999998</v>
      </c>
    </row>
    <row r="252" spans="1:5" x14ac:dyDescent="0.25">
      <c r="A252" s="4">
        <v>36165</v>
      </c>
      <c r="B252" s="5">
        <v>61</v>
      </c>
      <c r="D252" s="4">
        <v>32267</v>
      </c>
      <c r="E252" s="6">
        <v>16.149999999999999</v>
      </c>
    </row>
    <row r="253" spans="1:5" x14ac:dyDescent="0.25">
      <c r="A253" s="4">
        <v>36166</v>
      </c>
      <c r="B253" s="5">
        <v>59.25</v>
      </c>
      <c r="D253" s="4">
        <v>32268</v>
      </c>
      <c r="E253" s="6">
        <v>16.149999999999999</v>
      </c>
    </row>
    <row r="254" spans="1:5" x14ac:dyDescent="0.25">
      <c r="A254" s="4">
        <v>36167</v>
      </c>
      <c r="B254" s="5">
        <v>57.25</v>
      </c>
      <c r="D254" s="4">
        <v>32269</v>
      </c>
      <c r="E254" s="6">
        <v>16.45</v>
      </c>
    </row>
    <row r="255" spans="1:5" x14ac:dyDescent="0.25">
      <c r="A255" s="4">
        <v>36168</v>
      </c>
      <c r="B255" s="5">
        <v>56.75</v>
      </c>
      <c r="D255" s="4">
        <v>32272</v>
      </c>
      <c r="E255" s="6">
        <v>16.5</v>
      </c>
    </row>
    <row r="256" spans="1:5" x14ac:dyDescent="0.25">
      <c r="A256" s="4">
        <v>36171</v>
      </c>
      <c r="B256" s="5">
        <v>58</v>
      </c>
      <c r="D256" s="4">
        <v>32273</v>
      </c>
      <c r="E256" s="6">
        <v>16.38</v>
      </c>
    </row>
    <row r="257" spans="1:5" x14ac:dyDescent="0.25">
      <c r="A257" s="4">
        <v>36172</v>
      </c>
      <c r="B257" s="5">
        <v>58</v>
      </c>
      <c r="D257" s="4">
        <v>32274</v>
      </c>
      <c r="E257" s="6">
        <v>16.48</v>
      </c>
    </row>
    <row r="258" spans="1:5" x14ac:dyDescent="0.25">
      <c r="A258" s="4">
        <v>36173</v>
      </c>
      <c r="B258" s="5">
        <v>58.75</v>
      </c>
      <c r="D258" s="4">
        <v>32275</v>
      </c>
      <c r="E258" s="6">
        <v>16.399999999999999</v>
      </c>
    </row>
    <row r="259" spans="1:5" x14ac:dyDescent="0.25">
      <c r="A259" s="4">
        <v>36174</v>
      </c>
      <c r="B259" s="5">
        <v>56.75</v>
      </c>
      <c r="D259" s="4">
        <v>32276</v>
      </c>
      <c r="E259" s="6">
        <v>16.5</v>
      </c>
    </row>
    <row r="260" spans="1:5" x14ac:dyDescent="0.25">
      <c r="A260" s="4">
        <v>36175</v>
      </c>
      <c r="B260" s="5">
        <v>55.25</v>
      </c>
      <c r="D260" s="4">
        <v>32279</v>
      </c>
      <c r="E260" s="6">
        <v>16.600000000000001</v>
      </c>
    </row>
    <row r="261" spans="1:5" x14ac:dyDescent="0.25">
      <c r="A261" s="4">
        <v>36178</v>
      </c>
      <c r="B261" s="5">
        <v>56.5</v>
      </c>
      <c r="D261" s="4">
        <v>32280</v>
      </c>
      <c r="E261" s="6">
        <v>16.600000000000001</v>
      </c>
    </row>
    <row r="262" spans="1:5" x14ac:dyDescent="0.25">
      <c r="A262" s="4">
        <v>36180</v>
      </c>
      <c r="B262" s="5">
        <v>55.25</v>
      </c>
      <c r="D262" s="4">
        <v>32281</v>
      </c>
      <c r="E262" s="6">
        <v>16.399999999999999</v>
      </c>
    </row>
    <row r="263" spans="1:5" x14ac:dyDescent="0.25">
      <c r="A263" s="4">
        <v>36181</v>
      </c>
      <c r="B263" s="5">
        <v>55</v>
      </c>
      <c r="D263" s="4">
        <v>32282</v>
      </c>
      <c r="E263" s="6">
        <v>16.25</v>
      </c>
    </row>
    <row r="264" spans="1:5" x14ac:dyDescent="0.25">
      <c r="A264" s="4">
        <v>36182</v>
      </c>
      <c r="B264" s="5">
        <v>53.5</v>
      </c>
      <c r="D264" s="4">
        <v>32283</v>
      </c>
      <c r="E264" s="6">
        <v>16.45</v>
      </c>
    </row>
    <row r="265" spans="1:5" x14ac:dyDescent="0.25">
      <c r="A265" s="4">
        <v>36185</v>
      </c>
      <c r="B265" s="5">
        <v>53.25</v>
      </c>
      <c r="D265" s="4">
        <v>32286</v>
      </c>
      <c r="E265" s="6">
        <v>16.23</v>
      </c>
    </row>
    <row r="266" spans="1:5" x14ac:dyDescent="0.25">
      <c r="A266" s="4">
        <v>36186</v>
      </c>
      <c r="B266" s="5">
        <v>52.5</v>
      </c>
      <c r="D266" s="4">
        <v>32287</v>
      </c>
      <c r="E266" s="6">
        <v>16.3</v>
      </c>
    </row>
    <row r="267" spans="1:5" x14ac:dyDescent="0.25">
      <c r="A267" s="4">
        <v>36187</v>
      </c>
      <c r="B267" s="5">
        <v>53</v>
      </c>
      <c r="D267" s="4">
        <v>32288</v>
      </c>
      <c r="E267" s="6">
        <v>16.18</v>
      </c>
    </row>
    <row r="268" spans="1:5" x14ac:dyDescent="0.25">
      <c r="A268" s="4">
        <v>36188</v>
      </c>
      <c r="B268" s="5">
        <v>53</v>
      </c>
      <c r="D268" s="4">
        <v>32289</v>
      </c>
      <c r="E268" s="6">
        <v>16.18</v>
      </c>
    </row>
    <row r="269" spans="1:5" x14ac:dyDescent="0.25">
      <c r="A269" s="4">
        <v>36189</v>
      </c>
      <c r="B269" s="5">
        <v>53.5</v>
      </c>
      <c r="D269" s="4">
        <v>32290</v>
      </c>
      <c r="E269" s="6">
        <v>16.25</v>
      </c>
    </row>
    <row r="270" spans="1:5" x14ac:dyDescent="0.25">
      <c r="A270" s="4">
        <v>36192</v>
      </c>
      <c r="B270" s="5">
        <v>52.5</v>
      </c>
      <c r="D270" s="4">
        <v>32293</v>
      </c>
      <c r="E270" s="6">
        <v>16.23</v>
      </c>
    </row>
    <row r="271" spans="1:5" x14ac:dyDescent="0.25">
      <c r="A271" s="4">
        <v>36193</v>
      </c>
      <c r="B271" s="5">
        <v>53.25</v>
      </c>
      <c r="D271" s="4">
        <v>32294</v>
      </c>
      <c r="E271" s="6">
        <v>16.2</v>
      </c>
    </row>
    <row r="272" spans="1:5" x14ac:dyDescent="0.25">
      <c r="A272" s="4">
        <v>36194</v>
      </c>
      <c r="B272" s="5">
        <v>54.75</v>
      </c>
      <c r="D272" s="4">
        <v>32295</v>
      </c>
      <c r="E272" s="6">
        <v>16.329999999999998</v>
      </c>
    </row>
    <row r="273" spans="1:5" x14ac:dyDescent="0.25">
      <c r="A273" s="4">
        <v>36195</v>
      </c>
      <c r="B273" s="5">
        <v>55.25</v>
      </c>
      <c r="D273" s="4">
        <v>32296</v>
      </c>
      <c r="E273" s="6">
        <v>16.329999999999998</v>
      </c>
    </row>
    <row r="274" spans="1:5" x14ac:dyDescent="0.25">
      <c r="A274" s="4">
        <v>36196</v>
      </c>
      <c r="B274" s="5">
        <v>55.75</v>
      </c>
      <c r="D274" s="4">
        <v>32297</v>
      </c>
      <c r="E274" s="6">
        <v>16.45</v>
      </c>
    </row>
    <row r="275" spans="1:5" x14ac:dyDescent="0.25">
      <c r="A275" s="4">
        <v>36199</v>
      </c>
      <c r="B275" s="5">
        <v>56.25</v>
      </c>
      <c r="D275" s="4">
        <v>32300</v>
      </c>
      <c r="E275" s="6">
        <v>16.25</v>
      </c>
    </row>
    <row r="276" spans="1:5" x14ac:dyDescent="0.25">
      <c r="A276" s="4">
        <v>36200</v>
      </c>
      <c r="B276" s="5">
        <v>57.5</v>
      </c>
      <c r="D276" s="4">
        <v>32301</v>
      </c>
      <c r="E276" s="6">
        <v>16.23</v>
      </c>
    </row>
    <row r="277" spans="1:5" x14ac:dyDescent="0.25">
      <c r="A277" s="4">
        <v>36201</v>
      </c>
      <c r="B277" s="5">
        <v>56.75</v>
      </c>
      <c r="D277" s="4">
        <v>32302</v>
      </c>
      <c r="E277" s="6">
        <v>16.28</v>
      </c>
    </row>
    <row r="278" spans="1:5" x14ac:dyDescent="0.25">
      <c r="A278" s="4">
        <v>36202</v>
      </c>
      <c r="B278" s="5">
        <v>56.75</v>
      </c>
      <c r="D278" s="4">
        <v>32303</v>
      </c>
      <c r="E278" s="6">
        <v>16.3</v>
      </c>
    </row>
    <row r="279" spans="1:5" x14ac:dyDescent="0.25">
      <c r="A279" s="4">
        <v>36203</v>
      </c>
      <c r="B279" s="5">
        <v>56.25</v>
      </c>
      <c r="D279" s="4">
        <v>32304</v>
      </c>
      <c r="E279" s="6">
        <v>15.85</v>
      </c>
    </row>
    <row r="280" spans="1:5" x14ac:dyDescent="0.25">
      <c r="A280" s="4">
        <v>36206</v>
      </c>
      <c r="B280" s="5">
        <v>57.25</v>
      </c>
      <c r="D280" s="4">
        <v>32307</v>
      </c>
      <c r="E280" s="6">
        <v>15.53</v>
      </c>
    </row>
    <row r="281" spans="1:5" x14ac:dyDescent="0.25">
      <c r="A281" s="4">
        <v>36209</v>
      </c>
      <c r="B281" s="5">
        <v>57.5</v>
      </c>
      <c r="D281" s="4">
        <v>32308</v>
      </c>
      <c r="E281" s="6">
        <v>15.85</v>
      </c>
    </row>
    <row r="282" spans="1:5" x14ac:dyDescent="0.25">
      <c r="A282" s="4">
        <v>36210</v>
      </c>
      <c r="B282" s="5">
        <v>57.5</v>
      </c>
      <c r="D282" s="4">
        <v>32309</v>
      </c>
      <c r="E282" s="6">
        <v>15.7</v>
      </c>
    </row>
    <row r="283" spans="1:5" x14ac:dyDescent="0.25">
      <c r="A283" s="4">
        <v>36213</v>
      </c>
      <c r="B283" s="5">
        <v>57.75</v>
      </c>
      <c r="D283" s="4">
        <v>32310</v>
      </c>
      <c r="E283" s="6">
        <v>15.43</v>
      </c>
    </row>
    <row r="284" spans="1:5" x14ac:dyDescent="0.25">
      <c r="A284" s="4">
        <v>36214</v>
      </c>
      <c r="B284" s="5">
        <v>55.5</v>
      </c>
      <c r="D284" s="4">
        <v>32311</v>
      </c>
      <c r="E284" s="6">
        <v>15.48</v>
      </c>
    </row>
    <row r="285" spans="1:5" x14ac:dyDescent="0.25">
      <c r="A285" s="4">
        <v>36215</v>
      </c>
      <c r="B285" s="5">
        <v>55.25</v>
      </c>
      <c r="D285" s="4">
        <v>32314</v>
      </c>
      <c r="E285" s="6">
        <v>15</v>
      </c>
    </row>
    <row r="286" spans="1:5" x14ac:dyDescent="0.25">
      <c r="A286" s="4">
        <v>36216</v>
      </c>
      <c r="B286" s="5">
        <v>57.5</v>
      </c>
      <c r="D286" s="4">
        <v>32315</v>
      </c>
      <c r="E286" s="6">
        <v>15</v>
      </c>
    </row>
    <row r="287" spans="1:5" x14ac:dyDescent="0.25">
      <c r="A287" s="4">
        <v>36217</v>
      </c>
      <c r="B287" s="5">
        <v>57.5</v>
      </c>
      <c r="D287" s="4">
        <v>32316</v>
      </c>
      <c r="E287" s="6">
        <v>15.13</v>
      </c>
    </row>
    <row r="288" spans="1:5" x14ac:dyDescent="0.25">
      <c r="A288" s="4">
        <v>36220</v>
      </c>
      <c r="B288" s="5">
        <v>57.5</v>
      </c>
      <c r="D288" s="4">
        <v>32317</v>
      </c>
      <c r="E288" s="6">
        <v>15.18</v>
      </c>
    </row>
    <row r="289" spans="1:5" x14ac:dyDescent="0.25">
      <c r="A289" s="4">
        <v>36221</v>
      </c>
      <c r="B289" s="5">
        <v>57.5</v>
      </c>
      <c r="D289" s="4">
        <v>32318</v>
      </c>
      <c r="E289" s="6">
        <v>15.15</v>
      </c>
    </row>
    <row r="290" spans="1:5" x14ac:dyDescent="0.25">
      <c r="A290" s="4">
        <v>36222</v>
      </c>
      <c r="B290" s="5">
        <v>58</v>
      </c>
      <c r="D290" s="4">
        <v>32321</v>
      </c>
      <c r="E290" s="6">
        <v>14.93</v>
      </c>
    </row>
    <row r="291" spans="1:5" x14ac:dyDescent="0.25">
      <c r="A291" s="4">
        <v>36223</v>
      </c>
      <c r="B291" s="5">
        <v>60.75</v>
      </c>
      <c r="D291" s="4">
        <v>32322</v>
      </c>
      <c r="E291" s="6">
        <v>14.83</v>
      </c>
    </row>
    <row r="292" spans="1:5" x14ac:dyDescent="0.25">
      <c r="A292" s="4">
        <v>36224</v>
      </c>
      <c r="B292" s="5">
        <v>60.5</v>
      </c>
      <c r="D292" s="4">
        <v>32323</v>
      </c>
      <c r="E292" s="6">
        <v>14.55</v>
      </c>
    </row>
    <row r="293" spans="1:5" x14ac:dyDescent="0.25">
      <c r="A293" s="4">
        <v>36227</v>
      </c>
      <c r="B293" s="5">
        <v>61.75</v>
      </c>
      <c r="D293" s="4">
        <v>32324</v>
      </c>
      <c r="E293" s="6">
        <v>14.18</v>
      </c>
    </row>
    <row r="294" spans="1:5" x14ac:dyDescent="0.25">
      <c r="A294" s="4">
        <v>36228</v>
      </c>
      <c r="B294" s="5">
        <v>63.75</v>
      </c>
      <c r="D294" s="4">
        <v>32325</v>
      </c>
      <c r="E294" s="6">
        <v>13.95</v>
      </c>
    </row>
    <row r="295" spans="1:5" x14ac:dyDescent="0.25">
      <c r="A295" s="4">
        <v>36229</v>
      </c>
      <c r="B295" s="5">
        <v>64</v>
      </c>
      <c r="D295" s="4">
        <v>32328</v>
      </c>
      <c r="E295" s="6">
        <v>14.05</v>
      </c>
    </row>
    <row r="296" spans="1:5" x14ac:dyDescent="0.25">
      <c r="A296" s="4">
        <v>36230</v>
      </c>
      <c r="B296" s="5">
        <v>63.25</v>
      </c>
      <c r="D296" s="4">
        <v>32329</v>
      </c>
      <c r="E296" s="6">
        <v>13.98</v>
      </c>
    </row>
    <row r="297" spans="1:5" x14ac:dyDescent="0.25">
      <c r="A297" s="4">
        <v>36231</v>
      </c>
      <c r="B297" s="5">
        <v>64.75</v>
      </c>
      <c r="D297" s="4">
        <v>32330</v>
      </c>
      <c r="E297" s="6">
        <v>14.5</v>
      </c>
    </row>
    <row r="298" spans="1:5" x14ac:dyDescent="0.25">
      <c r="A298" s="4">
        <v>36234</v>
      </c>
      <c r="B298" s="5">
        <v>68</v>
      </c>
      <c r="D298" s="4">
        <v>32331</v>
      </c>
      <c r="E298" s="6">
        <v>15.5</v>
      </c>
    </row>
    <row r="299" spans="1:5" x14ac:dyDescent="0.25">
      <c r="A299" s="4">
        <v>36235</v>
      </c>
      <c r="B299" s="5">
        <v>69.5</v>
      </c>
      <c r="D299" s="4">
        <v>32332</v>
      </c>
      <c r="E299" s="6">
        <v>15.05</v>
      </c>
    </row>
    <row r="300" spans="1:5" x14ac:dyDescent="0.25">
      <c r="A300" s="4">
        <v>36236</v>
      </c>
      <c r="B300" s="5">
        <v>69.5</v>
      </c>
      <c r="D300" s="4">
        <v>32335</v>
      </c>
      <c r="E300" s="6">
        <v>14.63</v>
      </c>
    </row>
    <row r="301" spans="1:5" x14ac:dyDescent="0.25">
      <c r="A301" s="4">
        <v>36237</v>
      </c>
      <c r="B301" s="5">
        <v>68.5</v>
      </c>
      <c r="D301" s="4">
        <v>32336</v>
      </c>
      <c r="E301" s="6">
        <v>14</v>
      </c>
    </row>
    <row r="302" spans="1:5" x14ac:dyDescent="0.25">
      <c r="A302" s="4">
        <v>36238</v>
      </c>
      <c r="B302" s="5">
        <v>70</v>
      </c>
      <c r="D302" s="4">
        <v>32337</v>
      </c>
      <c r="E302" s="6">
        <v>14.1</v>
      </c>
    </row>
    <row r="303" spans="1:5" x14ac:dyDescent="0.25">
      <c r="A303" s="4">
        <v>36241</v>
      </c>
      <c r="B303" s="5">
        <v>69.5</v>
      </c>
      <c r="D303" s="4">
        <v>32338</v>
      </c>
      <c r="E303" s="6">
        <v>14.1</v>
      </c>
    </row>
    <row r="304" spans="1:5" x14ac:dyDescent="0.25">
      <c r="A304" s="4">
        <v>36242</v>
      </c>
      <c r="B304" s="5">
        <v>68</v>
      </c>
      <c r="D304" s="4">
        <v>32339</v>
      </c>
      <c r="E304" s="6">
        <v>14.25</v>
      </c>
    </row>
    <row r="305" spans="1:5" x14ac:dyDescent="0.25">
      <c r="A305" s="4">
        <v>36243</v>
      </c>
      <c r="B305" s="5">
        <v>68</v>
      </c>
      <c r="D305" s="4">
        <v>32342</v>
      </c>
      <c r="E305" s="6">
        <v>15</v>
      </c>
    </row>
    <row r="306" spans="1:5" x14ac:dyDescent="0.25">
      <c r="A306" s="4">
        <v>36244</v>
      </c>
      <c r="B306" s="5">
        <v>68.5</v>
      </c>
      <c r="D306" s="4">
        <v>32343</v>
      </c>
      <c r="E306" s="6">
        <v>14.93</v>
      </c>
    </row>
    <row r="307" spans="1:5" x14ac:dyDescent="0.25">
      <c r="A307" s="4">
        <v>36245</v>
      </c>
      <c r="B307" s="5">
        <v>68</v>
      </c>
      <c r="D307" s="4">
        <v>32344</v>
      </c>
      <c r="E307" s="6">
        <v>15.48</v>
      </c>
    </row>
    <row r="308" spans="1:5" x14ac:dyDescent="0.25">
      <c r="A308" s="4">
        <v>36249</v>
      </c>
      <c r="B308" s="5">
        <v>67.5</v>
      </c>
      <c r="D308" s="4">
        <v>32345</v>
      </c>
      <c r="E308" s="6">
        <v>15.63</v>
      </c>
    </row>
    <row r="309" spans="1:5" x14ac:dyDescent="0.25">
      <c r="A309" s="4">
        <v>36250</v>
      </c>
      <c r="B309" s="5">
        <v>68.25</v>
      </c>
      <c r="D309" s="4">
        <v>32346</v>
      </c>
      <c r="E309" s="6">
        <v>15.83</v>
      </c>
    </row>
    <row r="310" spans="1:5" x14ac:dyDescent="0.25">
      <c r="A310" s="4">
        <v>36251</v>
      </c>
      <c r="B310" s="5">
        <v>67.75</v>
      </c>
      <c r="D310" s="4">
        <v>32349</v>
      </c>
      <c r="E310" s="6">
        <v>15.8</v>
      </c>
    </row>
    <row r="311" spans="1:5" x14ac:dyDescent="0.25">
      <c r="A311" s="4">
        <v>36255</v>
      </c>
      <c r="B311" s="5">
        <v>70.25</v>
      </c>
      <c r="D311" s="4">
        <v>32350</v>
      </c>
      <c r="E311" s="6">
        <v>15.38</v>
      </c>
    </row>
    <row r="312" spans="1:5" x14ac:dyDescent="0.25">
      <c r="A312" s="4">
        <v>36256</v>
      </c>
      <c r="B312" s="5">
        <v>71.25</v>
      </c>
      <c r="D312" s="4">
        <v>32351</v>
      </c>
      <c r="E312" s="6">
        <v>15.45</v>
      </c>
    </row>
    <row r="313" spans="1:5" x14ac:dyDescent="0.25">
      <c r="A313" s="4">
        <v>36257</v>
      </c>
      <c r="B313" s="5">
        <v>70.25</v>
      </c>
      <c r="D313" s="4">
        <v>32352</v>
      </c>
      <c r="E313" s="6">
        <v>15.7</v>
      </c>
    </row>
    <row r="314" spans="1:5" x14ac:dyDescent="0.25">
      <c r="A314" s="4">
        <v>36258</v>
      </c>
      <c r="B314" s="5">
        <v>70.25</v>
      </c>
      <c r="D314" s="4">
        <v>32353</v>
      </c>
      <c r="E314" s="6">
        <v>15.75</v>
      </c>
    </row>
    <row r="315" spans="1:5" x14ac:dyDescent="0.25">
      <c r="A315" s="4">
        <v>36259</v>
      </c>
      <c r="B315" s="5">
        <v>72</v>
      </c>
      <c r="D315" s="4">
        <v>32356</v>
      </c>
      <c r="E315" s="6">
        <v>15.6</v>
      </c>
    </row>
    <row r="316" spans="1:5" x14ac:dyDescent="0.25">
      <c r="A316" s="4">
        <v>36262</v>
      </c>
      <c r="B316" s="5">
        <v>72</v>
      </c>
      <c r="D316" s="4">
        <v>32357</v>
      </c>
      <c r="E316" s="6">
        <v>15.35</v>
      </c>
    </row>
    <row r="317" spans="1:5" x14ac:dyDescent="0.25">
      <c r="A317" s="4">
        <v>36263</v>
      </c>
      <c r="B317" s="5">
        <v>71.5</v>
      </c>
      <c r="D317" s="4">
        <v>32358</v>
      </c>
      <c r="E317" s="6">
        <v>15</v>
      </c>
    </row>
    <row r="318" spans="1:5" x14ac:dyDescent="0.25">
      <c r="A318" s="4">
        <v>36264</v>
      </c>
      <c r="B318" s="5">
        <v>73</v>
      </c>
      <c r="D318" s="4">
        <v>32359</v>
      </c>
      <c r="E318" s="6">
        <v>14.5</v>
      </c>
    </row>
    <row r="319" spans="1:5" x14ac:dyDescent="0.25">
      <c r="A319" s="4">
        <v>36265</v>
      </c>
      <c r="B319" s="5">
        <v>75</v>
      </c>
      <c r="D319" s="4">
        <v>32360</v>
      </c>
      <c r="E319" s="6">
        <v>14.85</v>
      </c>
    </row>
    <row r="320" spans="1:5" x14ac:dyDescent="0.25">
      <c r="A320" s="4">
        <v>36266</v>
      </c>
      <c r="B320" s="5">
        <v>75.75</v>
      </c>
      <c r="D320" s="4">
        <v>32363</v>
      </c>
      <c r="E320" s="6">
        <v>15.48</v>
      </c>
    </row>
    <row r="321" spans="1:5" x14ac:dyDescent="0.25">
      <c r="A321" s="4">
        <v>36269</v>
      </c>
      <c r="B321" s="5">
        <v>76.75</v>
      </c>
      <c r="D321" s="4">
        <v>32364</v>
      </c>
      <c r="E321" s="6">
        <v>15.4</v>
      </c>
    </row>
    <row r="322" spans="1:5" x14ac:dyDescent="0.25">
      <c r="A322" s="4">
        <v>36270</v>
      </c>
      <c r="B322" s="5">
        <v>75.75</v>
      </c>
      <c r="D322" s="4">
        <v>32365</v>
      </c>
      <c r="E322" s="6">
        <v>15.1</v>
      </c>
    </row>
    <row r="323" spans="1:5" x14ac:dyDescent="0.25">
      <c r="A323" s="4">
        <v>36271</v>
      </c>
      <c r="B323" s="5">
        <v>77</v>
      </c>
      <c r="D323" s="4">
        <v>32366</v>
      </c>
      <c r="E323" s="6">
        <v>15.13</v>
      </c>
    </row>
    <row r="324" spans="1:5" x14ac:dyDescent="0.25">
      <c r="A324" s="4">
        <v>36272</v>
      </c>
      <c r="B324" s="5">
        <v>73.5</v>
      </c>
      <c r="D324" s="4">
        <v>32367</v>
      </c>
      <c r="E324" s="6">
        <v>14.98</v>
      </c>
    </row>
    <row r="325" spans="1:5" x14ac:dyDescent="0.25">
      <c r="A325" s="4">
        <v>36273</v>
      </c>
      <c r="B325" s="5">
        <v>73.5</v>
      </c>
      <c r="D325" s="4">
        <v>32370</v>
      </c>
      <c r="E325" s="6">
        <v>14.8</v>
      </c>
    </row>
    <row r="326" spans="1:5" x14ac:dyDescent="0.25">
      <c r="A326" s="4">
        <v>36276</v>
      </c>
      <c r="B326" s="5">
        <v>72.75</v>
      </c>
      <c r="D326" s="4">
        <v>32371</v>
      </c>
      <c r="E326" s="6">
        <v>14.85</v>
      </c>
    </row>
    <row r="327" spans="1:5" x14ac:dyDescent="0.25">
      <c r="A327" s="4">
        <v>36277</v>
      </c>
      <c r="B327" s="5">
        <v>69.75</v>
      </c>
      <c r="D327" s="4">
        <v>32372</v>
      </c>
      <c r="E327" s="6">
        <v>14.75</v>
      </c>
    </row>
    <row r="328" spans="1:5" x14ac:dyDescent="0.25">
      <c r="A328" s="4">
        <v>36278</v>
      </c>
      <c r="B328" s="5">
        <v>69.75</v>
      </c>
      <c r="D328" s="4">
        <v>32373</v>
      </c>
      <c r="E328" s="6">
        <v>14.78</v>
      </c>
    </row>
    <row r="329" spans="1:5" x14ac:dyDescent="0.25">
      <c r="A329" s="4">
        <v>36279</v>
      </c>
      <c r="B329" s="5">
        <v>71.25</v>
      </c>
      <c r="D329" s="4">
        <v>32374</v>
      </c>
      <c r="E329" s="6">
        <v>14.85</v>
      </c>
    </row>
    <row r="330" spans="1:5" x14ac:dyDescent="0.25">
      <c r="A330" s="4">
        <v>36280</v>
      </c>
      <c r="B330" s="5">
        <v>70.25</v>
      </c>
      <c r="D330" s="4">
        <v>32377</v>
      </c>
      <c r="E330" s="6">
        <v>15.03</v>
      </c>
    </row>
    <row r="331" spans="1:5" x14ac:dyDescent="0.25">
      <c r="A331" s="4">
        <v>36284</v>
      </c>
      <c r="B331" s="5">
        <v>66.5</v>
      </c>
      <c r="D331" s="4">
        <v>32378</v>
      </c>
      <c r="E331" s="6">
        <v>14.8</v>
      </c>
    </row>
    <row r="332" spans="1:5" x14ac:dyDescent="0.25">
      <c r="A332" s="4">
        <v>36285</v>
      </c>
      <c r="B332" s="5">
        <v>63</v>
      </c>
      <c r="D332" s="4">
        <v>32379</v>
      </c>
      <c r="E332" s="6">
        <v>14.85</v>
      </c>
    </row>
    <row r="333" spans="1:5" x14ac:dyDescent="0.25">
      <c r="A333" s="4">
        <v>36286</v>
      </c>
      <c r="B333" s="5">
        <v>62</v>
      </c>
      <c r="D333" s="4">
        <v>32380</v>
      </c>
      <c r="E333" s="6">
        <v>14.63</v>
      </c>
    </row>
    <row r="334" spans="1:5" x14ac:dyDescent="0.25">
      <c r="A334" s="4">
        <v>36287</v>
      </c>
      <c r="B334" s="5">
        <v>61.5</v>
      </c>
      <c r="D334" s="4">
        <v>32381</v>
      </c>
      <c r="E334" s="6">
        <v>14.5</v>
      </c>
    </row>
    <row r="335" spans="1:5" x14ac:dyDescent="0.25">
      <c r="A335" s="4">
        <v>36290</v>
      </c>
      <c r="B335" s="5">
        <v>61</v>
      </c>
      <c r="D335" s="4">
        <v>32384</v>
      </c>
      <c r="E335" s="6">
        <v>14.48</v>
      </c>
    </row>
    <row r="336" spans="1:5" x14ac:dyDescent="0.25">
      <c r="A336" s="4">
        <v>36291</v>
      </c>
      <c r="B336" s="5">
        <v>63.5</v>
      </c>
      <c r="D336" s="4">
        <v>32385</v>
      </c>
      <c r="E336" s="6">
        <v>14.45</v>
      </c>
    </row>
    <row r="337" spans="1:5" x14ac:dyDescent="0.25">
      <c r="A337" s="4">
        <v>36292</v>
      </c>
      <c r="B337" s="5">
        <v>67.25</v>
      </c>
      <c r="D337" s="4">
        <v>32386</v>
      </c>
      <c r="E337" s="6">
        <v>14.4</v>
      </c>
    </row>
    <row r="338" spans="1:5" x14ac:dyDescent="0.25">
      <c r="A338" s="4">
        <v>36293</v>
      </c>
      <c r="B338" s="5">
        <v>68</v>
      </c>
      <c r="D338" s="4">
        <v>32387</v>
      </c>
      <c r="E338" s="6">
        <v>14.15</v>
      </c>
    </row>
    <row r="339" spans="1:5" x14ac:dyDescent="0.25">
      <c r="A339" s="4">
        <v>36294</v>
      </c>
      <c r="B339" s="5">
        <v>67.5</v>
      </c>
      <c r="D339" s="4">
        <v>32388</v>
      </c>
      <c r="E339" s="6">
        <v>14</v>
      </c>
    </row>
    <row r="340" spans="1:5" x14ac:dyDescent="0.25">
      <c r="A340" s="4">
        <v>36297</v>
      </c>
      <c r="B340" s="5">
        <v>67.25</v>
      </c>
      <c r="D340" s="4">
        <v>32391</v>
      </c>
      <c r="E340" s="6">
        <v>13.68</v>
      </c>
    </row>
    <row r="341" spans="1:5" x14ac:dyDescent="0.25">
      <c r="A341" s="4">
        <v>36298</v>
      </c>
      <c r="B341" s="5">
        <v>65.75</v>
      </c>
      <c r="D341" s="4">
        <v>32392</v>
      </c>
      <c r="E341" s="6">
        <v>13.35</v>
      </c>
    </row>
    <row r="342" spans="1:5" x14ac:dyDescent="0.25">
      <c r="A342" s="4">
        <v>36299</v>
      </c>
      <c r="B342" s="5">
        <v>67.5</v>
      </c>
      <c r="D342" s="4">
        <v>32393</v>
      </c>
      <c r="E342" s="6">
        <v>13.18</v>
      </c>
    </row>
    <row r="343" spans="1:5" x14ac:dyDescent="0.25">
      <c r="A343" s="4">
        <v>36300</v>
      </c>
      <c r="B343" s="5">
        <v>68.25</v>
      </c>
      <c r="D343" s="4">
        <v>32394</v>
      </c>
      <c r="E343" s="6">
        <v>13.3</v>
      </c>
    </row>
    <row r="344" spans="1:5" x14ac:dyDescent="0.25">
      <c r="A344" s="4">
        <v>36301</v>
      </c>
      <c r="B344" s="5">
        <v>73</v>
      </c>
      <c r="D344" s="4">
        <v>32395</v>
      </c>
      <c r="E344" s="6">
        <v>13.25</v>
      </c>
    </row>
    <row r="345" spans="1:5" x14ac:dyDescent="0.25">
      <c r="A345" s="4">
        <v>36304</v>
      </c>
      <c r="B345" s="5">
        <v>74.5</v>
      </c>
      <c r="D345" s="4">
        <v>32398</v>
      </c>
      <c r="E345" s="6">
        <v>12.7</v>
      </c>
    </row>
    <row r="346" spans="1:5" x14ac:dyDescent="0.25">
      <c r="A346" s="4">
        <v>36305</v>
      </c>
      <c r="B346" s="5">
        <v>73</v>
      </c>
      <c r="D346" s="4">
        <v>32399</v>
      </c>
      <c r="E346" s="6">
        <v>13.4</v>
      </c>
    </row>
    <row r="347" spans="1:5" x14ac:dyDescent="0.25">
      <c r="A347" s="4">
        <v>36306</v>
      </c>
      <c r="B347" s="5">
        <v>76</v>
      </c>
      <c r="D347" s="4">
        <v>32400</v>
      </c>
      <c r="E347" s="6">
        <v>13.9</v>
      </c>
    </row>
    <row r="348" spans="1:5" x14ac:dyDescent="0.25">
      <c r="A348" s="4">
        <v>36307</v>
      </c>
      <c r="B348" s="5">
        <v>77.5</v>
      </c>
      <c r="D348" s="4">
        <v>32401</v>
      </c>
      <c r="E348" s="6">
        <v>13.5</v>
      </c>
    </row>
    <row r="349" spans="1:5" x14ac:dyDescent="0.25">
      <c r="A349" s="4">
        <v>36308</v>
      </c>
      <c r="B349" s="5">
        <v>80.5</v>
      </c>
      <c r="D349" s="4">
        <v>32402</v>
      </c>
      <c r="E349" s="6">
        <v>13.23</v>
      </c>
    </row>
    <row r="350" spans="1:5" x14ac:dyDescent="0.25">
      <c r="A350" s="4">
        <v>36312</v>
      </c>
      <c r="B350" s="5">
        <v>83.5</v>
      </c>
      <c r="D350" s="4">
        <v>32405</v>
      </c>
      <c r="E350" s="6">
        <v>12.85</v>
      </c>
    </row>
    <row r="351" spans="1:5" x14ac:dyDescent="0.25">
      <c r="A351" s="4">
        <v>36313</v>
      </c>
      <c r="B351" s="5">
        <v>89</v>
      </c>
      <c r="D351" s="4">
        <v>32406</v>
      </c>
      <c r="E351" s="6">
        <v>13.15</v>
      </c>
    </row>
    <row r="352" spans="1:5" x14ac:dyDescent="0.25">
      <c r="A352" s="4">
        <v>36314</v>
      </c>
      <c r="B352" s="5">
        <v>85</v>
      </c>
      <c r="D352" s="4">
        <v>32407</v>
      </c>
      <c r="E352" s="6">
        <v>13.05</v>
      </c>
    </row>
    <row r="353" spans="1:5" x14ac:dyDescent="0.25">
      <c r="A353" s="4">
        <v>36315</v>
      </c>
      <c r="B353" s="5">
        <v>91.75</v>
      </c>
      <c r="D353" s="4">
        <v>32408</v>
      </c>
      <c r="E353" s="6">
        <v>13.2</v>
      </c>
    </row>
    <row r="354" spans="1:5" x14ac:dyDescent="0.25">
      <c r="A354" s="4">
        <v>36318</v>
      </c>
      <c r="B354" s="5">
        <v>88.5</v>
      </c>
      <c r="D354" s="4">
        <v>32409</v>
      </c>
      <c r="E354" s="6">
        <v>13.2</v>
      </c>
    </row>
    <row r="355" spans="1:5" x14ac:dyDescent="0.25">
      <c r="A355" s="4">
        <v>36319</v>
      </c>
      <c r="B355" s="5">
        <v>87.5</v>
      </c>
      <c r="D355" s="4">
        <v>32412</v>
      </c>
      <c r="E355" s="6">
        <v>13.1</v>
      </c>
    </row>
    <row r="356" spans="1:5" x14ac:dyDescent="0.25">
      <c r="A356" s="4">
        <v>36320</v>
      </c>
      <c r="B356" s="5">
        <v>87.5</v>
      </c>
      <c r="D356" s="4">
        <v>32413</v>
      </c>
      <c r="E356" s="6">
        <v>12.58</v>
      </c>
    </row>
    <row r="357" spans="1:5" x14ac:dyDescent="0.25">
      <c r="A357" s="4">
        <v>36321</v>
      </c>
      <c r="B357" s="5">
        <v>84.25</v>
      </c>
      <c r="D357" s="4">
        <v>32414</v>
      </c>
      <c r="E357" s="6">
        <v>12.75</v>
      </c>
    </row>
    <row r="358" spans="1:5" x14ac:dyDescent="0.25">
      <c r="A358" s="4">
        <v>36322</v>
      </c>
      <c r="B358" s="5">
        <v>83.75</v>
      </c>
      <c r="D358" s="4">
        <v>32415</v>
      </c>
      <c r="E358" s="6">
        <v>12.5</v>
      </c>
    </row>
    <row r="359" spans="1:5" x14ac:dyDescent="0.25">
      <c r="A359" s="4">
        <v>36325</v>
      </c>
      <c r="B359" s="5">
        <v>83</v>
      </c>
      <c r="D359" s="4">
        <v>32416</v>
      </c>
      <c r="E359" s="6">
        <v>11.93</v>
      </c>
    </row>
    <row r="360" spans="1:5" x14ac:dyDescent="0.25">
      <c r="A360" s="4">
        <v>36326</v>
      </c>
      <c r="B360" s="5">
        <v>81</v>
      </c>
      <c r="D360" s="4">
        <v>32419</v>
      </c>
      <c r="E360" s="6">
        <v>11.6</v>
      </c>
    </row>
    <row r="361" spans="1:5" x14ac:dyDescent="0.25">
      <c r="A361" s="4">
        <v>36327</v>
      </c>
      <c r="B361" s="5">
        <v>83.75</v>
      </c>
      <c r="D361" s="4">
        <v>32420</v>
      </c>
      <c r="E361" s="6">
        <v>11.65</v>
      </c>
    </row>
    <row r="362" spans="1:5" x14ac:dyDescent="0.25">
      <c r="A362" s="4">
        <v>36328</v>
      </c>
      <c r="B362" s="5">
        <v>89</v>
      </c>
      <c r="D362" s="4">
        <v>32421</v>
      </c>
      <c r="E362" s="6">
        <v>11.2</v>
      </c>
    </row>
    <row r="363" spans="1:5" x14ac:dyDescent="0.25">
      <c r="A363" s="4">
        <v>36329</v>
      </c>
      <c r="B363" s="5">
        <v>86.5</v>
      </c>
      <c r="D363" s="4">
        <v>32422</v>
      </c>
      <c r="E363" s="6">
        <v>11.3</v>
      </c>
    </row>
    <row r="364" spans="1:5" x14ac:dyDescent="0.25">
      <c r="A364" s="4">
        <v>36332</v>
      </c>
      <c r="B364" s="5">
        <v>91</v>
      </c>
      <c r="D364" s="4">
        <v>32423</v>
      </c>
      <c r="E364" s="6">
        <v>11.35</v>
      </c>
    </row>
    <row r="365" spans="1:5" x14ac:dyDescent="0.25">
      <c r="A365" s="4">
        <v>36333</v>
      </c>
      <c r="B365" s="5">
        <v>92</v>
      </c>
      <c r="D365" s="4">
        <v>32426</v>
      </c>
      <c r="E365" s="6">
        <v>12.2</v>
      </c>
    </row>
    <row r="366" spans="1:5" x14ac:dyDescent="0.25">
      <c r="A366" s="4">
        <v>36334</v>
      </c>
      <c r="B366" s="5">
        <v>90</v>
      </c>
      <c r="D366" s="4">
        <v>32427</v>
      </c>
      <c r="E366" s="6">
        <v>12.35</v>
      </c>
    </row>
    <row r="367" spans="1:5" x14ac:dyDescent="0.25">
      <c r="A367" s="4">
        <v>36335</v>
      </c>
      <c r="B367" s="5">
        <v>92.75</v>
      </c>
      <c r="D367" s="4">
        <v>32428</v>
      </c>
      <c r="E367" s="6">
        <v>12.45</v>
      </c>
    </row>
    <row r="368" spans="1:5" x14ac:dyDescent="0.25">
      <c r="A368" s="4">
        <v>36336</v>
      </c>
      <c r="B368" s="5">
        <v>90</v>
      </c>
      <c r="D368" s="4">
        <v>32429</v>
      </c>
      <c r="E368" s="6">
        <v>12.55</v>
      </c>
    </row>
    <row r="369" spans="1:5" x14ac:dyDescent="0.25">
      <c r="A369" s="4">
        <v>36339</v>
      </c>
      <c r="B369" s="5">
        <v>92</v>
      </c>
      <c r="D369" s="4">
        <v>32430</v>
      </c>
      <c r="E369" s="6">
        <v>13.2</v>
      </c>
    </row>
    <row r="370" spans="1:5" x14ac:dyDescent="0.25">
      <c r="A370" s="4">
        <v>36340</v>
      </c>
      <c r="B370" s="5">
        <v>93.25</v>
      </c>
      <c r="D370" s="4">
        <v>32433</v>
      </c>
      <c r="E370" s="6">
        <v>13.55</v>
      </c>
    </row>
    <row r="371" spans="1:5" x14ac:dyDescent="0.25">
      <c r="A371" s="4">
        <v>36341</v>
      </c>
      <c r="B371" s="5">
        <v>94.75</v>
      </c>
      <c r="D371" s="4">
        <v>32434</v>
      </c>
      <c r="E371" s="6">
        <v>12.9</v>
      </c>
    </row>
    <row r="372" spans="1:5" x14ac:dyDescent="0.25">
      <c r="A372" s="4">
        <v>36342</v>
      </c>
      <c r="B372" s="5">
        <v>92.25</v>
      </c>
      <c r="D372" s="4">
        <v>32435</v>
      </c>
      <c r="E372" s="6">
        <v>13.35</v>
      </c>
    </row>
    <row r="373" spans="1:5" x14ac:dyDescent="0.25">
      <c r="A373" s="4">
        <v>36343</v>
      </c>
      <c r="B373" s="5">
        <v>94.5</v>
      </c>
      <c r="D373" s="4">
        <v>32436</v>
      </c>
      <c r="E373" s="6">
        <v>13.5</v>
      </c>
    </row>
    <row r="374" spans="1:5" x14ac:dyDescent="0.25">
      <c r="A374" s="4">
        <v>36346</v>
      </c>
      <c r="B374" s="5">
        <v>95.05</v>
      </c>
      <c r="D374" s="4">
        <v>32437</v>
      </c>
      <c r="E374" s="6">
        <v>13.48</v>
      </c>
    </row>
    <row r="375" spans="1:5" x14ac:dyDescent="0.25">
      <c r="A375" s="4">
        <v>36347</v>
      </c>
      <c r="B375" s="5">
        <v>92.75</v>
      </c>
      <c r="D375" s="4">
        <v>32440</v>
      </c>
      <c r="E375" s="6">
        <v>12.2</v>
      </c>
    </row>
    <row r="376" spans="1:5" x14ac:dyDescent="0.25">
      <c r="A376" s="4">
        <v>36348</v>
      </c>
      <c r="B376" s="5">
        <v>88</v>
      </c>
      <c r="D376" s="4">
        <v>32441</v>
      </c>
      <c r="E376" s="6">
        <v>12.08</v>
      </c>
    </row>
    <row r="377" spans="1:5" x14ac:dyDescent="0.25">
      <c r="A377" s="4">
        <v>36349</v>
      </c>
      <c r="B377" s="5">
        <v>90</v>
      </c>
      <c r="D377" s="4">
        <v>32442</v>
      </c>
      <c r="E377" s="6">
        <v>12.08</v>
      </c>
    </row>
    <row r="378" spans="1:5" x14ac:dyDescent="0.25">
      <c r="A378" s="4">
        <v>36350</v>
      </c>
      <c r="B378" s="5">
        <v>89.5</v>
      </c>
      <c r="D378" s="4">
        <v>32443</v>
      </c>
      <c r="E378" s="6">
        <v>12.33</v>
      </c>
    </row>
    <row r="379" spans="1:5" x14ac:dyDescent="0.25">
      <c r="A379" s="4">
        <v>36353</v>
      </c>
      <c r="B379" s="5">
        <v>94</v>
      </c>
      <c r="D379" s="4">
        <v>32444</v>
      </c>
      <c r="E379" s="6">
        <v>12.6</v>
      </c>
    </row>
    <row r="380" spans="1:5" x14ac:dyDescent="0.25">
      <c r="A380" s="4">
        <v>36354</v>
      </c>
      <c r="B380" s="5">
        <v>95.25</v>
      </c>
      <c r="D380" s="4">
        <v>32447</v>
      </c>
      <c r="E380" s="6">
        <v>12.6</v>
      </c>
    </row>
    <row r="381" spans="1:5" x14ac:dyDescent="0.25">
      <c r="A381" s="4">
        <v>36355</v>
      </c>
      <c r="B381" s="5">
        <v>98.75</v>
      </c>
      <c r="D381" s="4">
        <v>32448</v>
      </c>
      <c r="E381" s="6">
        <v>12.18</v>
      </c>
    </row>
    <row r="382" spans="1:5" x14ac:dyDescent="0.25">
      <c r="A382" s="4">
        <v>36356</v>
      </c>
      <c r="B382" s="5">
        <v>101.5</v>
      </c>
      <c r="D382" s="4">
        <v>32449</v>
      </c>
      <c r="E382" s="6">
        <v>12.35</v>
      </c>
    </row>
    <row r="383" spans="1:5" x14ac:dyDescent="0.25">
      <c r="A383" s="4">
        <v>36357</v>
      </c>
      <c r="B383" s="5">
        <v>104</v>
      </c>
      <c r="D383" s="4">
        <v>32450</v>
      </c>
      <c r="E383" s="6">
        <v>12.5</v>
      </c>
    </row>
    <row r="384" spans="1:5" x14ac:dyDescent="0.25">
      <c r="A384" s="4">
        <v>36360</v>
      </c>
      <c r="B384" s="5">
        <v>104</v>
      </c>
      <c r="D384" s="4">
        <v>32451</v>
      </c>
      <c r="E384" s="6">
        <v>12.75</v>
      </c>
    </row>
    <row r="385" spans="1:5" x14ac:dyDescent="0.25">
      <c r="A385" s="4">
        <v>36361</v>
      </c>
      <c r="B385" s="5">
        <v>107</v>
      </c>
      <c r="D385" s="4">
        <v>32454</v>
      </c>
      <c r="E385" s="6">
        <v>12.75</v>
      </c>
    </row>
    <row r="386" spans="1:5" x14ac:dyDescent="0.25">
      <c r="A386" s="4">
        <v>36362</v>
      </c>
      <c r="B386" s="5">
        <v>106.5</v>
      </c>
      <c r="D386" s="4">
        <v>32455</v>
      </c>
      <c r="E386" s="6">
        <v>12.6</v>
      </c>
    </row>
    <row r="387" spans="1:5" x14ac:dyDescent="0.25">
      <c r="A387" s="4">
        <v>36363</v>
      </c>
      <c r="B387" s="5">
        <v>109.75</v>
      </c>
      <c r="D387" s="4">
        <v>32456</v>
      </c>
      <c r="E387" s="6">
        <v>12.7</v>
      </c>
    </row>
    <row r="388" spans="1:5" x14ac:dyDescent="0.25">
      <c r="A388" s="4">
        <v>36364</v>
      </c>
      <c r="B388" s="5">
        <v>111</v>
      </c>
      <c r="D388" s="4">
        <v>32457</v>
      </c>
      <c r="E388" s="6">
        <v>13.03</v>
      </c>
    </row>
    <row r="389" spans="1:5" x14ac:dyDescent="0.25">
      <c r="A389" s="4">
        <v>36367</v>
      </c>
      <c r="B389" s="5">
        <v>112</v>
      </c>
      <c r="D389" s="4">
        <v>32458</v>
      </c>
      <c r="E389" s="6">
        <v>13.03</v>
      </c>
    </row>
    <row r="390" spans="1:5" x14ac:dyDescent="0.25">
      <c r="A390" s="4">
        <v>36368</v>
      </c>
      <c r="B390" s="5">
        <v>110.5</v>
      </c>
      <c r="D390" s="4">
        <v>32461</v>
      </c>
      <c r="E390" s="6">
        <v>13</v>
      </c>
    </row>
    <row r="391" spans="1:5" x14ac:dyDescent="0.25">
      <c r="A391" s="4">
        <v>36369</v>
      </c>
      <c r="B391" s="5">
        <v>108.5</v>
      </c>
      <c r="D391" s="4">
        <v>32462</v>
      </c>
      <c r="E391" s="6">
        <v>13</v>
      </c>
    </row>
    <row r="392" spans="1:5" x14ac:dyDescent="0.25">
      <c r="A392" s="4">
        <v>36370</v>
      </c>
      <c r="B392" s="5">
        <v>108</v>
      </c>
      <c r="D392" s="4">
        <v>32463</v>
      </c>
      <c r="E392" s="6">
        <v>12.7</v>
      </c>
    </row>
    <row r="393" spans="1:5" x14ac:dyDescent="0.25">
      <c r="A393" s="4">
        <v>36371</v>
      </c>
      <c r="B393" s="5">
        <v>108.75</v>
      </c>
      <c r="D393" s="4">
        <v>32464</v>
      </c>
      <c r="E393" s="6">
        <v>12.05</v>
      </c>
    </row>
    <row r="394" spans="1:5" x14ac:dyDescent="0.25">
      <c r="A394" s="4">
        <v>36374</v>
      </c>
      <c r="B394" s="5">
        <v>111.75</v>
      </c>
      <c r="D394" s="4">
        <v>32465</v>
      </c>
      <c r="E394" s="6">
        <v>12.08</v>
      </c>
    </row>
    <row r="395" spans="1:5" x14ac:dyDescent="0.25">
      <c r="A395" s="4">
        <v>36375</v>
      </c>
      <c r="B395" s="5">
        <v>111.5</v>
      </c>
      <c r="D395" s="4">
        <v>32468</v>
      </c>
      <c r="E395" s="6">
        <v>12.13</v>
      </c>
    </row>
    <row r="396" spans="1:5" x14ac:dyDescent="0.25">
      <c r="A396" s="4">
        <v>36376</v>
      </c>
      <c r="B396" s="5">
        <v>114.25</v>
      </c>
      <c r="D396" s="4">
        <v>32469</v>
      </c>
      <c r="E396" s="6">
        <v>13.35</v>
      </c>
    </row>
    <row r="397" spans="1:5" x14ac:dyDescent="0.25">
      <c r="A397" s="4">
        <v>36377</v>
      </c>
      <c r="B397" s="5">
        <v>114.5</v>
      </c>
      <c r="D397" s="4">
        <v>32470</v>
      </c>
      <c r="E397" s="6">
        <v>13.33</v>
      </c>
    </row>
    <row r="398" spans="1:5" x14ac:dyDescent="0.25">
      <c r="A398" s="4">
        <v>36378</v>
      </c>
      <c r="B398" s="5">
        <v>116</v>
      </c>
      <c r="D398" s="4">
        <v>32471</v>
      </c>
      <c r="E398" s="6">
        <v>12.98</v>
      </c>
    </row>
    <row r="399" spans="1:5" x14ac:dyDescent="0.25">
      <c r="A399" s="4">
        <v>36382</v>
      </c>
      <c r="B399" s="5">
        <v>117</v>
      </c>
      <c r="D399" s="4">
        <v>32472</v>
      </c>
      <c r="E399" s="6">
        <v>14.7</v>
      </c>
    </row>
    <row r="400" spans="1:5" x14ac:dyDescent="0.25">
      <c r="A400" s="4">
        <v>36383</v>
      </c>
      <c r="B400" s="5">
        <v>115</v>
      </c>
      <c r="D400" s="4">
        <v>32475</v>
      </c>
      <c r="E400" s="6">
        <v>14.73</v>
      </c>
    </row>
    <row r="401" spans="1:5" x14ac:dyDescent="0.25">
      <c r="A401" s="4">
        <v>36384</v>
      </c>
      <c r="B401" s="5">
        <v>111</v>
      </c>
      <c r="D401" s="4">
        <v>32476</v>
      </c>
      <c r="E401" s="6">
        <v>14.25</v>
      </c>
    </row>
    <row r="402" spans="1:5" x14ac:dyDescent="0.25">
      <c r="A402" s="4">
        <v>36385</v>
      </c>
      <c r="B402" s="5">
        <v>108</v>
      </c>
      <c r="D402" s="4">
        <v>32477</v>
      </c>
      <c r="E402" s="6">
        <v>14.35</v>
      </c>
    </row>
    <row r="403" spans="1:5" x14ac:dyDescent="0.25">
      <c r="A403" s="4">
        <v>36388</v>
      </c>
      <c r="B403" s="5">
        <v>109</v>
      </c>
      <c r="D403" s="4">
        <v>32478</v>
      </c>
      <c r="E403" s="6">
        <v>14.93</v>
      </c>
    </row>
    <row r="404" spans="1:5" x14ac:dyDescent="0.25">
      <c r="A404" s="4">
        <v>36389</v>
      </c>
      <c r="B404" s="5">
        <v>116.5</v>
      </c>
      <c r="D404" s="4">
        <v>32479</v>
      </c>
      <c r="E404" s="6">
        <v>14.8</v>
      </c>
    </row>
    <row r="405" spans="1:5" x14ac:dyDescent="0.25">
      <c r="A405" s="4">
        <v>36390</v>
      </c>
      <c r="B405" s="5">
        <v>114</v>
      </c>
      <c r="D405" s="4">
        <v>32482</v>
      </c>
      <c r="E405" s="6">
        <v>14.73</v>
      </c>
    </row>
    <row r="406" spans="1:5" x14ac:dyDescent="0.25">
      <c r="A406" s="4">
        <v>36391</v>
      </c>
      <c r="B406" s="5">
        <v>111.5</v>
      </c>
      <c r="D406" s="4">
        <v>32483</v>
      </c>
      <c r="E406" s="6">
        <v>14.4</v>
      </c>
    </row>
    <row r="407" spans="1:5" x14ac:dyDescent="0.25">
      <c r="A407" s="4">
        <v>36392</v>
      </c>
      <c r="B407" s="5">
        <v>108</v>
      </c>
      <c r="D407" s="4">
        <v>32484</v>
      </c>
      <c r="E407" s="6">
        <v>14.7</v>
      </c>
    </row>
    <row r="408" spans="1:5" x14ac:dyDescent="0.25">
      <c r="A408" s="4">
        <v>36395</v>
      </c>
      <c r="B408" s="5">
        <v>111</v>
      </c>
      <c r="D408" s="4">
        <v>32485</v>
      </c>
      <c r="E408" s="6">
        <v>15.05</v>
      </c>
    </row>
    <row r="409" spans="1:5" x14ac:dyDescent="0.25">
      <c r="A409" s="4">
        <v>36396</v>
      </c>
      <c r="B409" s="5">
        <v>111</v>
      </c>
      <c r="D409" s="4">
        <v>32486</v>
      </c>
      <c r="E409" s="6">
        <v>14.9</v>
      </c>
    </row>
    <row r="410" spans="1:5" x14ac:dyDescent="0.25">
      <c r="A410" s="4">
        <v>36397</v>
      </c>
      <c r="B410" s="5">
        <v>112.75</v>
      </c>
      <c r="D410" s="4">
        <v>32489</v>
      </c>
      <c r="E410" s="6">
        <v>15.2</v>
      </c>
    </row>
    <row r="411" spans="1:5" x14ac:dyDescent="0.25">
      <c r="A411" s="4">
        <v>36398</v>
      </c>
      <c r="B411" s="5">
        <v>115</v>
      </c>
      <c r="D411" s="4">
        <v>32490</v>
      </c>
      <c r="E411" s="6">
        <v>15.18</v>
      </c>
    </row>
    <row r="412" spans="1:5" x14ac:dyDescent="0.25">
      <c r="A412" s="4">
        <v>36399</v>
      </c>
      <c r="B412" s="5">
        <v>115</v>
      </c>
      <c r="D412" s="4">
        <v>32491</v>
      </c>
      <c r="E412" s="6">
        <v>15.35</v>
      </c>
    </row>
    <row r="413" spans="1:5" x14ac:dyDescent="0.25">
      <c r="A413" s="4">
        <v>36402</v>
      </c>
      <c r="B413" s="5">
        <v>116.5</v>
      </c>
      <c r="D413" s="4">
        <v>32492</v>
      </c>
      <c r="E413" s="6">
        <v>15.58</v>
      </c>
    </row>
    <row r="414" spans="1:5" x14ac:dyDescent="0.25">
      <c r="A414" s="4">
        <v>36403</v>
      </c>
      <c r="B414" s="5">
        <v>116.5</v>
      </c>
      <c r="D414" s="4">
        <v>32493</v>
      </c>
      <c r="E414" s="6">
        <v>15.6</v>
      </c>
    </row>
    <row r="415" spans="1:5" x14ac:dyDescent="0.25">
      <c r="A415" s="4">
        <v>36404</v>
      </c>
      <c r="B415" s="5">
        <v>113.5</v>
      </c>
      <c r="D415" s="4">
        <v>32496</v>
      </c>
      <c r="E415" s="6">
        <v>15.3</v>
      </c>
    </row>
    <row r="416" spans="1:5" x14ac:dyDescent="0.25">
      <c r="A416" s="4">
        <v>36405</v>
      </c>
      <c r="B416" s="5">
        <v>116.75</v>
      </c>
      <c r="D416" s="4">
        <v>32497</v>
      </c>
      <c r="E416" s="6">
        <v>15.28</v>
      </c>
    </row>
    <row r="417" spans="1:5" x14ac:dyDescent="0.25">
      <c r="A417" s="4">
        <v>36406</v>
      </c>
      <c r="B417" s="5">
        <v>117.5</v>
      </c>
      <c r="D417" s="4">
        <v>32498</v>
      </c>
      <c r="E417" s="6">
        <v>15.33</v>
      </c>
    </row>
    <row r="418" spans="1:5" x14ac:dyDescent="0.25">
      <c r="A418" s="4">
        <v>36409</v>
      </c>
      <c r="B418" s="5">
        <v>118</v>
      </c>
      <c r="D418" s="4">
        <v>32499</v>
      </c>
      <c r="E418" s="6">
        <v>15.25</v>
      </c>
    </row>
    <row r="419" spans="1:5" x14ac:dyDescent="0.25">
      <c r="A419" s="4">
        <v>36410</v>
      </c>
      <c r="B419" s="5">
        <v>116.5</v>
      </c>
      <c r="D419" s="4">
        <v>32500</v>
      </c>
      <c r="E419" s="6">
        <v>15.38</v>
      </c>
    </row>
    <row r="420" spans="1:5" x14ac:dyDescent="0.25">
      <c r="A420" s="4">
        <v>36411</v>
      </c>
      <c r="B420" s="5">
        <v>117.5</v>
      </c>
      <c r="D420" s="4">
        <v>32503</v>
      </c>
      <c r="E420" s="5"/>
    </row>
    <row r="421" spans="1:5" x14ac:dyDescent="0.25">
      <c r="A421" s="4">
        <v>36412</v>
      </c>
      <c r="B421" s="5">
        <v>118.75</v>
      </c>
      <c r="D421" s="4">
        <v>32504</v>
      </c>
      <c r="E421" s="6">
        <v>16.25</v>
      </c>
    </row>
    <row r="422" spans="1:5" x14ac:dyDescent="0.25">
      <c r="A422" s="4">
        <v>36413</v>
      </c>
      <c r="B422" s="5">
        <v>119.75</v>
      </c>
      <c r="D422" s="4">
        <v>32505</v>
      </c>
      <c r="E422" s="6">
        <v>16.100000000000001</v>
      </c>
    </row>
    <row r="423" spans="1:5" x14ac:dyDescent="0.25">
      <c r="A423" s="4">
        <v>36416</v>
      </c>
      <c r="B423" s="5">
        <v>119.5</v>
      </c>
      <c r="D423" s="4">
        <v>32506</v>
      </c>
      <c r="E423" s="6">
        <v>15.9</v>
      </c>
    </row>
    <row r="424" spans="1:5" x14ac:dyDescent="0.25">
      <c r="A424" s="4">
        <v>36417</v>
      </c>
      <c r="B424" s="5">
        <v>120.5</v>
      </c>
      <c r="D424" s="4">
        <v>32507</v>
      </c>
      <c r="E424" s="6">
        <v>16.23</v>
      </c>
    </row>
    <row r="425" spans="1:5" x14ac:dyDescent="0.25">
      <c r="A425" s="4">
        <v>36418</v>
      </c>
      <c r="B425" s="5">
        <v>122</v>
      </c>
      <c r="D425" s="4">
        <v>32510</v>
      </c>
      <c r="E425" s="5"/>
    </row>
    <row r="426" spans="1:5" x14ac:dyDescent="0.25">
      <c r="A426" s="4">
        <v>36419</v>
      </c>
      <c r="B426" s="5">
        <v>122.5</v>
      </c>
      <c r="D426" s="4">
        <v>32511</v>
      </c>
      <c r="E426" s="6">
        <v>16.399999999999999</v>
      </c>
    </row>
    <row r="427" spans="1:5" x14ac:dyDescent="0.25">
      <c r="A427" s="4">
        <v>36420</v>
      </c>
      <c r="B427" s="5">
        <v>125</v>
      </c>
      <c r="D427" s="4">
        <v>32512</v>
      </c>
      <c r="E427" s="6">
        <v>16.53</v>
      </c>
    </row>
    <row r="428" spans="1:5" x14ac:dyDescent="0.25">
      <c r="A428" s="4">
        <v>36423</v>
      </c>
      <c r="B428" s="5">
        <v>125</v>
      </c>
      <c r="D428" s="4">
        <v>32513</v>
      </c>
      <c r="E428" s="6">
        <v>16.579999999999998</v>
      </c>
    </row>
    <row r="429" spans="1:5" x14ac:dyDescent="0.25">
      <c r="A429" s="4">
        <v>36424</v>
      </c>
      <c r="B429" s="5">
        <v>122.75</v>
      </c>
      <c r="D429" s="4">
        <v>32514</v>
      </c>
      <c r="E429" s="6">
        <v>16.850000000000001</v>
      </c>
    </row>
    <row r="430" spans="1:5" x14ac:dyDescent="0.25">
      <c r="A430" s="4">
        <v>36425</v>
      </c>
      <c r="B430" s="5">
        <v>123.75</v>
      </c>
      <c r="D430" s="4">
        <v>32517</v>
      </c>
      <c r="E430" s="6">
        <v>17</v>
      </c>
    </row>
    <row r="431" spans="1:5" x14ac:dyDescent="0.25">
      <c r="A431" s="4">
        <v>36426</v>
      </c>
      <c r="B431" s="5">
        <v>122</v>
      </c>
      <c r="D431" s="4">
        <v>32518</v>
      </c>
      <c r="E431" s="6">
        <v>16.75</v>
      </c>
    </row>
    <row r="432" spans="1:5" x14ac:dyDescent="0.25">
      <c r="A432" s="4">
        <v>36427</v>
      </c>
      <c r="B432" s="5">
        <v>116</v>
      </c>
      <c r="D432" s="4">
        <v>32519</v>
      </c>
      <c r="E432" s="6">
        <v>16.899999999999999</v>
      </c>
    </row>
    <row r="433" spans="1:5" x14ac:dyDescent="0.25">
      <c r="A433" s="4">
        <v>36430</v>
      </c>
      <c r="B433" s="5">
        <v>116.5</v>
      </c>
      <c r="D433" s="4">
        <v>32520</v>
      </c>
      <c r="E433" s="6">
        <v>16.850000000000001</v>
      </c>
    </row>
    <row r="434" spans="1:5" x14ac:dyDescent="0.25">
      <c r="A434" s="4">
        <v>36431</v>
      </c>
      <c r="B434" s="5">
        <v>119.5</v>
      </c>
      <c r="D434" s="4">
        <v>32521</v>
      </c>
      <c r="E434" s="6">
        <v>17.399999999999999</v>
      </c>
    </row>
    <row r="435" spans="1:5" x14ac:dyDescent="0.25">
      <c r="A435" s="4">
        <v>36432</v>
      </c>
      <c r="B435" s="5">
        <v>128</v>
      </c>
      <c r="D435" s="4">
        <v>32524</v>
      </c>
      <c r="E435" s="6">
        <v>17.5</v>
      </c>
    </row>
    <row r="436" spans="1:5" x14ac:dyDescent="0.25">
      <c r="A436" s="4">
        <v>36433</v>
      </c>
      <c r="B436" s="5">
        <v>127.5</v>
      </c>
      <c r="D436" s="4">
        <v>32525</v>
      </c>
      <c r="E436" s="6">
        <v>17.78</v>
      </c>
    </row>
    <row r="437" spans="1:5" x14ac:dyDescent="0.25">
      <c r="A437" s="4">
        <v>36434</v>
      </c>
      <c r="B437" s="5">
        <v>127</v>
      </c>
      <c r="D437" s="4">
        <v>32526</v>
      </c>
      <c r="E437" s="6">
        <v>17.95</v>
      </c>
    </row>
    <row r="438" spans="1:5" x14ac:dyDescent="0.25">
      <c r="A438" s="4">
        <v>36437</v>
      </c>
      <c r="B438" s="5">
        <v>127.5</v>
      </c>
      <c r="D438" s="4">
        <v>32527</v>
      </c>
      <c r="E438" s="6">
        <v>18.100000000000001</v>
      </c>
    </row>
    <row r="439" spans="1:5" x14ac:dyDescent="0.25">
      <c r="A439" s="4">
        <v>36438</v>
      </c>
      <c r="B439" s="5">
        <v>125</v>
      </c>
      <c r="D439" s="4">
        <v>32528</v>
      </c>
      <c r="E439" s="6">
        <v>18.149999999999999</v>
      </c>
    </row>
    <row r="440" spans="1:5" x14ac:dyDescent="0.25">
      <c r="A440" s="4">
        <v>36439</v>
      </c>
      <c r="B440" s="5">
        <v>126</v>
      </c>
      <c r="D440" s="4">
        <v>32531</v>
      </c>
      <c r="E440" s="6">
        <v>16.98</v>
      </c>
    </row>
    <row r="441" spans="1:5" x14ac:dyDescent="0.25">
      <c r="A441" s="4">
        <v>36440</v>
      </c>
      <c r="B441" s="5">
        <v>126.5</v>
      </c>
      <c r="D441" s="4">
        <v>32532</v>
      </c>
      <c r="E441" s="6">
        <v>17.05</v>
      </c>
    </row>
    <row r="442" spans="1:5" x14ac:dyDescent="0.25">
      <c r="A442" s="4">
        <v>36441</v>
      </c>
      <c r="B442" s="5">
        <v>126.5</v>
      </c>
      <c r="D442" s="4">
        <v>32533</v>
      </c>
      <c r="E442" s="6">
        <v>17.7</v>
      </c>
    </row>
    <row r="443" spans="1:5" x14ac:dyDescent="0.25">
      <c r="A443" s="4">
        <v>36444</v>
      </c>
      <c r="B443" s="5">
        <v>129</v>
      </c>
      <c r="D443" s="4">
        <v>32534</v>
      </c>
      <c r="E443" s="6">
        <v>17.73</v>
      </c>
    </row>
    <row r="444" spans="1:5" x14ac:dyDescent="0.25">
      <c r="A444" s="4">
        <v>36445</v>
      </c>
      <c r="B444" s="5">
        <v>125.5</v>
      </c>
      <c r="D444" s="4">
        <v>32535</v>
      </c>
      <c r="E444" s="6">
        <v>17.18</v>
      </c>
    </row>
    <row r="445" spans="1:5" x14ac:dyDescent="0.25">
      <c r="A445" s="4">
        <v>36446</v>
      </c>
      <c r="B445" s="5">
        <v>124.5</v>
      </c>
      <c r="D445" s="4">
        <v>32538</v>
      </c>
      <c r="E445" s="6">
        <v>16.850000000000001</v>
      </c>
    </row>
    <row r="446" spans="1:5" x14ac:dyDescent="0.25">
      <c r="A446" s="4">
        <v>36447</v>
      </c>
      <c r="B446" s="5">
        <v>125</v>
      </c>
      <c r="D446" s="4">
        <v>32539</v>
      </c>
      <c r="E446" s="6">
        <v>16.38</v>
      </c>
    </row>
    <row r="447" spans="1:5" x14ac:dyDescent="0.25">
      <c r="A447" s="4">
        <v>36448</v>
      </c>
      <c r="B447" s="5">
        <v>122</v>
      </c>
      <c r="D447" s="4">
        <v>32540</v>
      </c>
      <c r="E447" s="6">
        <v>16.399999999999999</v>
      </c>
    </row>
    <row r="448" spans="1:5" x14ac:dyDescent="0.25">
      <c r="A448" s="4">
        <v>36451</v>
      </c>
      <c r="B448" s="5">
        <v>122</v>
      </c>
      <c r="D448" s="4">
        <v>32541</v>
      </c>
      <c r="E448" s="6">
        <v>16.95</v>
      </c>
    </row>
    <row r="449" spans="1:5" x14ac:dyDescent="0.25">
      <c r="A449" s="4">
        <v>36452</v>
      </c>
      <c r="B449" s="5">
        <v>121.9</v>
      </c>
      <c r="D449" s="4">
        <v>32542</v>
      </c>
      <c r="E449" s="6">
        <v>16.75</v>
      </c>
    </row>
    <row r="450" spans="1:5" x14ac:dyDescent="0.25">
      <c r="A450" s="4">
        <v>36453</v>
      </c>
      <c r="B450" s="5">
        <v>120</v>
      </c>
      <c r="D450" s="4">
        <v>32545</v>
      </c>
      <c r="E450" s="6">
        <v>16.5</v>
      </c>
    </row>
    <row r="451" spans="1:5" x14ac:dyDescent="0.25">
      <c r="A451" s="4">
        <v>36454</v>
      </c>
      <c r="B451" s="5">
        <v>120.5</v>
      </c>
      <c r="D451" s="4">
        <v>32546</v>
      </c>
      <c r="E451" s="6">
        <v>16.600000000000001</v>
      </c>
    </row>
    <row r="452" spans="1:5" x14ac:dyDescent="0.25">
      <c r="A452" s="4">
        <v>36455</v>
      </c>
      <c r="B452" s="5">
        <v>120.25</v>
      </c>
      <c r="D452" s="4">
        <v>32547</v>
      </c>
      <c r="E452" s="6">
        <v>16.75</v>
      </c>
    </row>
    <row r="453" spans="1:5" x14ac:dyDescent="0.25">
      <c r="A453" s="4">
        <v>36458</v>
      </c>
      <c r="B453" s="5">
        <v>120.5</v>
      </c>
      <c r="D453" s="4">
        <v>32548</v>
      </c>
      <c r="E453" s="6">
        <v>16.579999999999998</v>
      </c>
    </row>
    <row r="454" spans="1:5" x14ac:dyDescent="0.25">
      <c r="A454" s="4">
        <v>36459</v>
      </c>
      <c r="B454" s="5">
        <v>123</v>
      </c>
      <c r="D454" s="4">
        <v>32549</v>
      </c>
      <c r="E454" s="6">
        <v>16.399999999999999</v>
      </c>
    </row>
    <row r="455" spans="1:5" x14ac:dyDescent="0.25">
      <c r="A455" s="4">
        <v>36460</v>
      </c>
      <c r="B455" s="5">
        <v>126.5</v>
      </c>
      <c r="D455" s="4">
        <v>32552</v>
      </c>
      <c r="E455" s="6">
        <v>16.5</v>
      </c>
    </row>
    <row r="456" spans="1:5" x14ac:dyDescent="0.25">
      <c r="A456" s="4">
        <v>36461</v>
      </c>
      <c r="B456" s="5">
        <v>125</v>
      </c>
      <c r="D456" s="4">
        <v>32553</v>
      </c>
      <c r="E456" s="6">
        <v>16.829999999999998</v>
      </c>
    </row>
    <row r="457" spans="1:5" x14ac:dyDescent="0.25">
      <c r="A457" s="4">
        <v>36462</v>
      </c>
      <c r="B457" s="5">
        <v>125</v>
      </c>
      <c r="D457" s="4">
        <v>32554</v>
      </c>
      <c r="E457" s="6">
        <v>16.75</v>
      </c>
    </row>
    <row r="458" spans="1:5" x14ac:dyDescent="0.25">
      <c r="A458" s="4">
        <v>36465</v>
      </c>
      <c r="B458" s="5">
        <v>128.25</v>
      </c>
      <c r="D458" s="4">
        <v>32555</v>
      </c>
      <c r="E458" s="6">
        <v>17.149999999999999</v>
      </c>
    </row>
    <row r="459" spans="1:5" x14ac:dyDescent="0.25">
      <c r="A459" s="4">
        <v>36466</v>
      </c>
      <c r="B459" s="5">
        <v>128.5</v>
      </c>
      <c r="D459" s="4">
        <v>32556</v>
      </c>
      <c r="E459" s="6">
        <v>17.149999999999999</v>
      </c>
    </row>
    <row r="460" spans="1:5" x14ac:dyDescent="0.25">
      <c r="A460" s="4">
        <v>36467</v>
      </c>
      <c r="B460" s="5">
        <v>130.5</v>
      </c>
      <c r="D460" s="4">
        <v>32559</v>
      </c>
      <c r="E460" s="6">
        <v>17.38</v>
      </c>
    </row>
    <row r="461" spans="1:5" x14ac:dyDescent="0.25">
      <c r="A461" s="4">
        <v>36468</v>
      </c>
      <c r="B461" s="5">
        <v>129.75</v>
      </c>
      <c r="D461" s="4">
        <v>32560</v>
      </c>
      <c r="E461" s="6">
        <v>17.2</v>
      </c>
    </row>
    <row r="462" spans="1:5" x14ac:dyDescent="0.25">
      <c r="A462" s="4">
        <v>36469</v>
      </c>
      <c r="B462" s="5">
        <v>128.5</v>
      </c>
      <c r="D462" s="4">
        <v>32561</v>
      </c>
      <c r="E462" s="6">
        <v>16.95</v>
      </c>
    </row>
    <row r="463" spans="1:5" x14ac:dyDescent="0.25">
      <c r="A463" s="4">
        <v>36473</v>
      </c>
      <c r="B463" s="5">
        <v>133.5</v>
      </c>
      <c r="D463" s="4">
        <v>32562</v>
      </c>
      <c r="E463" s="6">
        <v>17.100000000000001</v>
      </c>
    </row>
    <row r="464" spans="1:5" x14ac:dyDescent="0.25">
      <c r="A464" s="4">
        <v>36474</v>
      </c>
      <c r="B464" s="5">
        <v>130.75</v>
      </c>
      <c r="D464" s="4">
        <v>32563</v>
      </c>
      <c r="E464" s="6">
        <v>17.05</v>
      </c>
    </row>
    <row r="465" spans="1:5" x14ac:dyDescent="0.25">
      <c r="A465" s="4">
        <v>36475</v>
      </c>
      <c r="B465" s="5">
        <v>131</v>
      </c>
      <c r="D465" s="4">
        <v>32566</v>
      </c>
      <c r="E465" s="6">
        <v>17.55</v>
      </c>
    </row>
    <row r="466" spans="1:5" x14ac:dyDescent="0.25">
      <c r="A466" s="4">
        <v>36476</v>
      </c>
      <c r="B466" s="5">
        <v>131.25</v>
      </c>
      <c r="D466" s="4">
        <v>32567</v>
      </c>
      <c r="E466" s="6">
        <v>17.23</v>
      </c>
    </row>
    <row r="467" spans="1:5" x14ac:dyDescent="0.25">
      <c r="A467" s="4">
        <v>36479</v>
      </c>
      <c r="B467" s="5">
        <v>131</v>
      </c>
      <c r="D467" s="4">
        <v>32568</v>
      </c>
      <c r="E467" s="6">
        <v>17.25</v>
      </c>
    </row>
    <row r="468" spans="1:5" x14ac:dyDescent="0.25">
      <c r="A468" s="4">
        <v>36480</v>
      </c>
      <c r="B468" s="5">
        <v>131.25</v>
      </c>
      <c r="D468" s="4">
        <v>32569</v>
      </c>
      <c r="E468" s="6">
        <v>17.45</v>
      </c>
    </row>
    <row r="469" spans="1:5" x14ac:dyDescent="0.25">
      <c r="A469" s="4">
        <v>36481</v>
      </c>
      <c r="B469" s="5">
        <v>130</v>
      </c>
      <c r="D469" s="4">
        <v>32570</v>
      </c>
      <c r="E469" s="6">
        <v>17.73</v>
      </c>
    </row>
    <row r="470" spans="1:5" x14ac:dyDescent="0.25">
      <c r="A470" s="4">
        <v>36482</v>
      </c>
      <c r="B470" s="5">
        <v>127</v>
      </c>
      <c r="D470" s="4">
        <v>32573</v>
      </c>
      <c r="E470" s="6">
        <v>17.73</v>
      </c>
    </row>
    <row r="471" spans="1:5" x14ac:dyDescent="0.25">
      <c r="A471" s="4">
        <v>36483</v>
      </c>
      <c r="B471" s="5">
        <v>129.5</v>
      </c>
      <c r="D471" s="4">
        <v>32574</v>
      </c>
      <c r="E471" s="6">
        <v>17.55</v>
      </c>
    </row>
    <row r="472" spans="1:5" x14ac:dyDescent="0.25">
      <c r="A472" s="4">
        <v>36486</v>
      </c>
      <c r="B472" s="5">
        <v>130.75</v>
      </c>
      <c r="D472" s="4">
        <v>32575</v>
      </c>
      <c r="E472" s="6">
        <v>17.55</v>
      </c>
    </row>
    <row r="473" spans="1:5" x14ac:dyDescent="0.25">
      <c r="A473" s="4">
        <v>36487</v>
      </c>
      <c r="B473" s="5">
        <v>132</v>
      </c>
      <c r="D473" s="4">
        <v>32576</v>
      </c>
      <c r="E473" s="6">
        <v>17.8</v>
      </c>
    </row>
    <row r="474" spans="1:5" x14ac:dyDescent="0.25">
      <c r="A474" s="4">
        <v>36488</v>
      </c>
      <c r="B474" s="5">
        <v>131</v>
      </c>
      <c r="D474" s="4">
        <v>32577</v>
      </c>
      <c r="E474" s="6">
        <v>17.63</v>
      </c>
    </row>
    <row r="475" spans="1:5" x14ac:dyDescent="0.25">
      <c r="A475" s="4">
        <v>36489</v>
      </c>
      <c r="B475" s="5">
        <v>127</v>
      </c>
      <c r="D475" s="4">
        <v>32580</v>
      </c>
      <c r="E475" s="6">
        <v>18.100000000000001</v>
      </c>
    </row>
    <row r="476" spans="1:5" x14ac:dyDescent="0.25">
      <c r="A476" s="4">
        <v>36490</v>
      </c>
      <c r="B476" s="5">
        <v>129.5</v>
      </c>
      <c r="D476" s="4">
        <v>32581</v>
      </c>
      <c r="E476" s="6">
        <v>18.63</v>
      </c>
    </row>
    <row r="477" spans="1:5" x14ac:dyDescent="0.25">
      <c r="A477" s="4">
        <v>36493</v>
      </c>
      <c r="B477" s="5">
        <v>126.5</v>
      </c>
      <c r="D477" s="4">
        <v>32582</v>
      </c>
      <c r="E477" s="6">
        <v>19.079999999999998</v>
      </c>
    </row>
    <row r="478" spans="1:5" x14ac:dyDescent="0.25">
      <c r="A478" s="4">
        <v>36494</v>
      </c>
      <c r="B478" s="5">
        <v>125.5</v>
      </c>
      <c r="D478" s="4">
        <v>32583</v>
      </c>
      <c r="E478" s="6">
        <v>18.95</v>
      </c>
    </row>
    <row r="479" spans="1:5" x14ac:dyDescent="0.25">
      <c r="A479" s="4">
        <v>36495</v>
      </c>
      <c r="B479" s="5">
        <v>123</v>
      </c>
      <c r="D479" s="4">
        <v>32584</v>
      </c>
      <c r="E479" s="6">
        <v>19.3</v>
      </c>
    </row>
    <row r="480" spans="1:5" x14ac:dyDescent="0.25">
      <c r="A480" s="4">
        <v>36496</v>
      </c>
      <c r="B480" s="5">
        <v>122.5</v>
      </c>
      <c r="D480" s="4">
        <v>32587</v>
      </c>
      <c r="E480" s="6">
        <v>19.18</v>
      </c>
    </row>
    <row r="481" spans="1:5" x14ac:dyDescent="0.25">
      <c r="A481" s="4">
        <v>36497</v>
      </c>
      <c r="B481" s="5">
        <v>120.5</v>
      </c>
      <c r="D481" s="4">
        <v>32588</v>
      </c>
      <c r="E481" s="6">
        <v>19.63</v>
      </c>
    </row>
    <row r="482" spans="1:5" x14ac:dyDescent="0.25">
      <c r="A482" s="4">
        <v>36500</v>
      </c>
      <c r="B482" s="5">
        <v>118.75</v>
      </c>
      <c r="D482" s="4">
        <v>32589</v>
      </c>
      <c r="E482" s="6">
        <v>19.600000000000001</v>
      </c>
    </row>
    <row r="483" spans="1:5" x14ac:dyDescent="0.25">
      <c r="A483" s="4">
        <v>36501</v>
      </c>
      <c r="B483" s="5">
        <v>116</v>
      </c>
      <c r="D483" s="4">
        <v>32590</v>
      </c>
      <c r="E483" s="6">
        <v>19.93</v>
      </c>
    </row>
    <row r="484" spans="1:5" x14ac:dyDescent="0.25">
      <c r="A484" s="4">
        <v>36502</v>
      </c>
      <c r="B484" s="5">
        <v>116.5</v>
      </c>
      <c r="D484" s="4">
        <v>32591</v>
      </c>
      <c r="E484" s="5"/>
    </row>
    <row r="485" spans="1:5" x14ac:dyDescent="0.25">
      <c r="A485" s="4">
        <v>36503</v>
      </c>
      <c r="B485" s="5">
        <v>117.5</v>
      </c>
      <c r="D485" s="4">
        <v>32594</v>
      </c>
      <c r="E485" s="5"/>
    </row>
    <row r="486" spans="1:5" x14ac:dyDescent="0.25">
      <c r="A486" s="4">
        <v>36504</v>
      </c>
      <c r="B486" s="5">
        <v>116</v>
      </c>
      <c r="D486" s="4">
        <v>32595</v>
      </c>
      <c r="E486" s="6">
        <v>19.73</v>
      </c>
    </row>
    <row r="487" spans="1:5" x14ac:dyDescent="0.25">
      <c r="A487" s="4">
        <v>36507</v>
      </c>
      <c r="B487" s="5">
        <v>116</v>
      </c>
      <c r="D487" s="4">
        <v>32596</v>
      </c>
      <c r="E487" s="6">
        <v>19.45</v>
      </c>
    </row>
    <row r="488" spans="1:5" x14ac:dyDescent="0.25">
      <c r="A488" s="4">
        <v>36508</v>
      </c>
      <c r="B488" s="5">
        <v>122.5</v>
      </c>
      <c r="D488" s="4">
        <v>32597</v>
      </c>
      <c r="E488" s="6">
        <v>20</v>
      </c>
    </row>
    <row r="489" spans="1:5" x14ac:dyDescent="0.25">
      <c r="A489" s="4">
        <v>36509</v>
      </c>
      <c r="B489" s="5">
        <v>124.25</v>
      </c>
      <c r="D489" s="4">
        <v>32598</v>
      </c>
      <c r="E489" s="6">
        <v>20.45</v>
      </c>
    </row>
    <row r="490" spans="1:5" x14ac:dyDescent="0.25">
      <c r="A490" s="4">
        <v>36510</v>
      </c>
      <c r="B490" s="5">
        <v>122.5</v>
      </c>
      <c r="D490" s="4">
        <v>32601</v>
      </c>
      <c r="E490" s="6">
        <v>19.649999999999999</v>
      </c>
    </row>
    <row r="491" spans="1:5" x14ac:dyDescent="0.25">
      <c r="A491" s="4">
        <v>36511</v>
      </c>
      <c r="B491" s="5">
        <v>122.25</v>
      </c>
      <c r="D491" s="4">
        <v>32602</v>
      </c>
      <c r="E491" s="6">
        <v>19.899999999999999</v>
      </c>
    </row>
    <row r="492" spans="1:5" x14ac:dyDescent="0.25">
      <c r="A492" s="4">
        <v>36514</v>
      </c>
      <c r="B492" s="5">
        <v>121</v>
      </c>
      <c r="D492" s="4">
        <v>32603</v>
      </c>
      <c r="E492" s="6">
        <v>19.75</v>
      </c>
    </row>
    <row r="493" spans="1:5" x14ac:dyDescent="0.25">
      <c r="A493" s="4">
        <v>36515</v>
      </c>
      <c r="B493" s="5">
        <v>120.25</v>
      </c>
      <c r="D493" s="4">
        <v>32604</v>
      </c>
      <c r="E493" s="6">
        <v>19.079999999999998</v>
      </c>
    </row>
    <row r="494" spans="1:5" x14ac:dyDescent="0.25">
      <c r="A494" s="4">
        <v>36516</v>
      </c>
      <c r="B494" s="5">
        <v>118.75</v>
      </c>
      <c r="D494" s="4">
        <v>32605</v>
      </c>
      <c r="E494" s="6">
        <v>19.399999999999999</v>
      </c>
    </row>
    <row r="495" spans="1:5" x14ac:dyDescent="0.25">
      <c r="A495" s="4">
        <v>36517</v>
      </c>
      <c r="B495" s="5">
        <v>122</v>
      </c>
      <c r="D495" s="4">
        <v>32608</v>
      </c>
      <c r="E495" s="6">
        <v>19.600000000000001</v>
      </c>
    </row>
    <row r="496" spans="1:5" x14ac:dyDescent="0.25">
      <c r="A496" s="4">
        <v>36518</v>
      </c>
      <c r="B496" s="5">
        <v>122.5</v>
      </c>
      <c r="D496" s="4">
        <v>32609</v>
      </c>
      <c r="E496" s="6">
        <v>19.95</v>
      </c>
    </row>
    <row r="497" spans="1:5" x14ac:dyDescent="0.25">
      <c r="A497" s="4">
        <v>36522</v>
      </c>
      <c r="B497" s="5">
        <v>124</v>
      </c>
      <c r="D497" s="4">
        <v>32610</v>
      </c>
      <c r="E497" s="6">
        <v>19.850000000000001</v>
      </c>
    </row>
    <row r="498" spans="1:5" x14ac:dyDescent="0.25">
      <c r="A498" s="4">
        <v>36523</v>
      </c>
      <c r="B498" s="5">
        <v>124</v>
      </c>
      <c r="D498" s="4">
        <v>32611</v>
      </c>
      <c r="E498" s="6">
        <v>19.95</v>
      </c>
    </row>
    <row r="499" spans="1:5" x14ac:dyDescent="0.25">
      <c r="A499" s="4">
        <v>36524</v>
      </c>
      <c r="B499" s="5">
        <v>126.75</v>
      </c>
      <c r="D499" s="4">
        <v>32612</v>
      </c>
      <c r="E499" s="6">
        <v>19.63</v>
      </c>
    </row>
    <row r="500" spans="1:5" x14ac:dyDescent="0.25">
      <c r="A500" s="4">
        <v>36529</v>
      </c>
      <c r="B500" s="5">
        <v>126.5</v>
      </c>
      <c r="D500" s="4">
        <v>32615</v>
      </c>
      <c r="E500" s="6">
        <v>19.88</v>
      </c>
    </row>
    <row r="501" spans="1:5" x14ac:dyDescent="0.25">
      <c r="A501" s="4">
        <v>36530</v>
      </c>
      <c r="B501" s="5">
        <v>126.75</v>
      </c>
      <c r="D501" s="4">
        <v>32616</v>
      </c>
      <c r="E501" s="6">
        <v>20.2</v>
      </c>
    </row>
    <row r="502" spans="1:5" x14ac:dyDescent="0.25">
      <c r="A502" s="4">
        <v>36531</v>
      </c>
      <c r="B502" s="5">
        <v>126.75</v>
      </c>
      <c r="D502" s="4">
        <v>32617</v>
      </c>
      <c r="E502" s="6">
        <v>21.5</v>
      </c>
    </row>
    <row r="503" spans="1:5" x14ac:dyDescent="0.25">
      <c r="A503" s="4">
        <v>36532</v>
      </c>
      <c r="B503" s="5">
        <v>128.5</v>
      </c>
      <c r="D503" s="4">
        <v>32618</v>
      </c>
      <c r="E503" s="6">
        <v>22.25</v>
      </c>
    </row>
    <row r="504" spans="1:5" x14ac:dyDescent="0.25">
      <c r="A504" s="4">
        <v>36536</v>
      </c>
      <c r="B504" s="5">
        <v>129</v>
      </c>
      <c r="D504" s="4">
        <v>32619</v>
      </c>
      <c r="E504" s="6">
        <v>21.6</v>
      </c>
    </row>
    <row r="505" spans="1:5" x14ac:dyDescent="0.25">
      <c r="A505" s="4">
        <v>36537</v>
      </c>
      <c r="B505" s="5">
        <v>126.5</v>
      </c>
      <c r="D505" s="4">
        <v>32622</v>
      </c>
      <c r="E505" s="6">
        <v>21.2</v>
      </c>
    </row>
    <row r="506" spans="1:5" x14ac:dyDescent="0.25">
      <c r="A506" s="4">
        <v>36538</v>
      </c>
      <c r="B506" s="5">
        <v>127.5</v>
      </c>
      <c r="D506" s="4">
        <v>32623</v>
      </c>
      <c r="E506" s="6">
        <v>21.15</v>
      </c>
    </row>
    <row r="507" spans="1:5" x14ac:dyDescent="0.25">
      <c r="A507" s="4">
        <v>36539</v>
      </c>
      <c r="B507" s="5">
        <v>126.5</v>
      </c>
      <c r="D507" s="4">
        <v>32624</v>
      </c>
      <c r="E507" s="6">
        <v>21.05</v>
      </c>
    </row>
    <row r="508" spans="1:5" x14ac:dyDescent="0.25">
      <c r="A508" s="4">
        <v>36542</v>
      </c>
      <c r="B508" s="5">
        <v>125.5</v>
      </c>
      <c r="D508" s="4">
        <v>32625</v>
      </c>
      <c r="E508" s="6">
        <v>20.65</v>
      </c>
    </row>
    <row r="509" spans="1:5" x14ac:dyDescent="0.25">
      <c r="A509" s="4">
        <v>36543</v>
      </c>
      <c r="B509" s="5">
        <v>125.5</v>
      </c>
      <c r="D509" s="4">
        <v>32626</v>
      </c>
      <c r="E509" s="6">
        <v>20.149999999999999</v>
      </c>
    </row>
    <row r="510" spans="1:5" x14ac:dyDescent="0.25">
      <c r="A510" s="4">
        <v>36544</v>
      </c>
      <c r="B510" s="5">
        <v>128.5</v>
      </c>
      <c r="D510" s="4">
        <v>32629</v>
      </c>
      <c r="E510" s="5"/>
    </row>
    <row r="511" spans="1:5" x14ac:dyDescent="0.25">
      <c r="A511" s="4">
        <v>36545</v>
      </c>
      <c r="B511" s="5">
        <v>129.5</v>
      </c>
      <c r="D511" s="4">
        <v>32630</v>
      </c>
      <c r="E511" s="6">
        <v>19.149999999999999</v>
      </c>
    </row>
    <row r="512" spans="1:5" x14ac:dyDescent="0.25">
      <c r="A512" s="4">
        <v>36546</v>
      </c>
      <c r="B512" s="5">
        <v>127</v>
      </c>
      <c r="D512" s="4">
        <v>32631</v>
      </c>
      <c r="E512" s="6">
        <v>18.88</v>
      </c>
    </row>
    <row r="513" spans="1:5" x14ac:dyDescent="0.25">
      <c r="A513" s="4">
        <v>36549</v>
      </c>
      <c r="B513" s="5">
        <v>127.5</v>
      </c>
      <c r="D513" s="4">
        <v>32632</v>
      </c>
      <c r="E513" s="6">
        <v>19.7</v>
      </c>
    </row>
    <row r="514" spans="1:5" x14ac:dyDescent="0.25">
      <c r="A514" s="4">
        <v>36550</v>
      </c>
      <c r="B514" s="5">
        <v>129.75</v>
      </c>
      <c r="D514" s="4">
        <v>32633</v>
      </c>
      <c r="E514" s="6">
        <v>19.399999999999999</v>
      </c>
    </row>
    <row r="515" spans="1:5" x14ac:dyDescent="0.25">
      <c r="A515" s="4">
        <v>36551</v>
      </c>
      <c r="B515" s="5">
        <v>128.75</v>
      </c>
      <c r="D515" s="4">
        <v>32636</v>
      </c>
      <c r="E515" s="6">
        <v>18.8</v>
      </c>
    </row>
    <row r="516" spans="1:5" x14ac:dyDescent="0.25">
      <c r="A516" s="4">
        <v>36552</v>
      </c>
      <c r="B516" s="5">
        <v>127.75</v>
      </c>
      <c r="D516" s="4">
        <v>32637</v>
      </c>
      <c r="E516" s="6">
        <v>19.03</v>
      </c>
    </row>
    <row r="517" spans="1:5" x14ac:dyDescent="0.25">
      <c r="A517" s="4">
        <v>36553</v>
      </c>
      <c r="B517" s="5">
        <v>128.25</v>
      </c>
      <c r="D517" s="4">
        <v>32638</v>
      </c>
      <c r="E517" s="6">
        <v>18.88</v>
      </c>
    </row>
    <row r="518" spans="1:5" x14ac:dyDescent="0.25">
      <c r="A518" s="4">
        <v>36556</v>
      </c>
      <c r="B518" s="5">
        <v>128.5</v>
      </c>
      <c r="D518" s="4">
        <v>32639</v>
      </c>
      <c r="E518" s="6">
        <v>19.3</v>
      </c>
    </row>
    <row r="519" spans="1:5" x14ac:dyDescent="0.25">
      <c r="A519" s="4">
        <v>36557</v>
      </c>
      <c r="B519" s="5">
        <v>127.5</v>
      </c>
      <c r="D519" s="4">
        <v>32640</v>
      </c>
      <c r="E519" s="6">
        <v>19.2</v>
      </c>
    </row>
    <row r="520" spans="1:5" x14ac:dyDescent="0.25">
      <c r="A520" s="4">
        <v>36558</v>
      </c>
      <c r="B520" s="5">
        <v>130.5</v>
      </c>
      <c r="D520" s="4">
        <v>32643</v>
      </c>
      <c r="E520" s="6">
        <v>19.2</v>
      </c>
    </row>
    <row r="521" spans="1:5" x14ac:dyDescent="0.25">
      <c r="A521" s="4">
        <v>36559</v>
      </c>
      <c r="B521" s="5">
        <v>130.5</v>
      </c>
      <c r="D521" s="4">
        <v>32644</v>
      </c>
      <c r="E521" s="6">
        <v>19.8</v>
      </c>
    </row>
    <row r="522" spans="1:5" x14ac:dyDescent="0.25">
      <c r="A522" s="4">
        <v>36560</v>
      </c>
      <c r="B522" s="5">
        <v>131</v>
      </c>
      <c r="D522" s="4">
        <v>32645</v>
      </c>
      <c r="E522" s="6">
        <v>18.579999999999998</v>
      </c>
    </row>
    <row r="523" spans="1:5" x14ac:dyDescent="0.25">
      <c r="A523" s="4">
        <v>36564</v>
      </c>
      <c r="B523" s="5">
        <v>130.5</v>
      </c>
      <c r="D523" s="4">
        <v>32646</v>
      </c>
      <c r="E523" s="6">
        <v>18.600000000000001</v>
      </c>
    </row>
    <row r="524" spans="1:5" x14ac:dyDescent="0.25">
      <c r="A524" s="4">
        <v>36565</v>
      </c>
      <c r="B524" s="5">
        <v>128</v>
      </c>
      <c r="D524" s="4">
        <v>32647</v>
      </c>
      <c r="E524" s="6">
        <v>18.3</v>
      </c>
    </row>
    <row r="525" spans="1:5" x14ac:dyDescent="0.25">
      <c r="A525" s="4">
        <v>36566</v>
      </c>
      <c r="B525" s="5">
        <v>127</v>
      </c>
      <c r="D525" s="4">
        <v>32650</v>
      </c>
      <c r="E525" s="6">
        <v>17.399999999999999</v>
      </c>
    </row>
    <row r="526" spans="1:5" x14ac:dyDescent="0.25">
      <c r="A526" s="4">
        <v>36567</v>
      </c>
      <c r="B526" s="5">
        <v>131.75</v>
      </c>
      <c r="D526" s="4">
        <v>32651</v>
      </c>
      <c r="E526" s="6">
        <v>17.7</v>
      </c>
    </row>
    <row r="527" spans="1:5" x14ac:dyDescent="0.25">
      <c r="A527" s="4">
        <v>36570</v>
      </c>
      <c r="B527" s="5">
        <v>136.5</v>
      </c>
      <c r="D527" s="4">
        <v>32652</v>
      </c>
      <c r="E527" s="6">
        <v>18.149999999999999</v>
      </c>
    </row>
    <row r="528" spans="1:5" x14ac:dyDescent="0.25">
      <c r="A528" s="4">
        <v>36571</v>
      </c>
      <c r="B528" s="5">
        <v>141.25</v>
      </c>
      <c r="D528" s="4">
        <v>32653</v>
      </c>
      <c r="E528" s="6">
        <v>18.2</v>
      </c>
    </row>
    <row r="529" spans="1:5" x14ac:dyDescent="0.25">
      <c r="A529" s="4">
        <v>36572</v>
      </c>
      <c r="B529" s="5">
        <v>140.5</v>
      </c>
      <c r="D529" s="4">
        <v>32654</v>
      </c>
      <c r="E529" s="6">
        <v>17.649999999999999</v>
      </c>
    </row>
    <row r="530" spans="1:5" x14ac:dyDescent="0.25">
      <c r="A530" s="4">
        <v>36573</v>
      </c>
      <c r="B530" s="5">
        <v>144</v>
      </c>
      <c r="D530" s="4">
        <v>32657</v>
      </c>
      <c r="E530" s="6">
        <v>17.73</v>
      </c>
    </row>
    <row r="531" spans="1:5" x14ac:dyDescent="0.25">
      <c r="A531" s="4">
        <v>36574</v>
      </c>
      <c r="B531" s="5">
        <v>151.25</v>
      </c>
      <c r="D531" s="4">
        <v>32658</v>
      </c>
      <c r="E531" s="6">
        <v>18.03</v>
      </c>
    </row>
    <row r="532" spans="1:5" x14ac:dyDescent="0.25">
      <c r="A532" s="4">
        <v>36577</v>
      </c>
      <c r="B532" s="5">
        <v>164.25</v>
      </c>
      <c r="D532" s="4">
        <v>32659</v>
      </c>
      <c r="E532" s="6">
        <v>18.25</v>
      </c>
    </row>
    <row r="533" spans="1:5" x14ac:dyDescent="0.25">
      <c r="A533" s="4">
        <v>36578</v>
      </c>
      <c r="B533" s="5">
        <v>166.25</v>
      </c>
      <c r="D533" s="4">
        <v>32660</v>
      </c>
      <c r="E533" s="6">
        <v>18.079999999999998</v>
      </c>
    </row>
    <row r="534" spans="1:5" x14ac:dyDescent="0.25">
      <c r="A534" s="4">
        <v>36579</v>
      </c>
      <c r="B534" s="5">
        <v>164.5</v>
      </c>
      <c r="D534" s="4">
        <v>32661</v>
      </c>
      <c r="E534" s="6">
        <v>18.149999999999999</v>
      </c>
    </row>
    <row r="535" spans="1:5" x14ac:dyDescent="0.25">
      <c r="A535" s="4">
        <v>36580</v>
      </c>
      <c r="B535" s="5">
        <v>168.5</v>
      </c>
      <c r="D535" s="4">
        <v>32664</v>
      </c>
      <c r="E535" s="6">
        <v>18.55</v>
      </c>
    </row>
    <row r="536" spans="1:5" x14ac:dyDescent="0.25">
      <c r="A536" s="4">
        <v>36581</v>
      </c>
      <c r="B536" s="5">
        <v>171</v>
      </c>
      <c r="D536" s="4">
        <v>32665</v>
      </c>
      <c r="E536" s="6">
        <v>18.5</v>
      </c>
    </row>
    <row r="537" spans="1:5" x14ac:dyDescent="0.25">
      <c r="A537" s="4">
        <v>36584</v>
      </c>
      <c r="B537" s="5">
        <v>162</v>
      </c>
      <c r="D537" s="4">
        <v>32666</v>
      </c>
      <c r="E537" s="6">
        <v>18.149999999999999</v>
      </c>
    </row>
    <row r="538" spans="1:5" x14ac:dyDescent="0.25">
      <c r="A538" s="4">
        <v>36585</v>
      </c>
      <c r="B538" s="5">
        <v>167</v>
      </c>
      <c r="D538" s="4">
        <v>32667</v>
      </c>
      <c r="E538" s="6">
        <v>17.8</v>
      </c>
    </row>
    <row r="539" spans="1:5" x14ac:dyDescent="0.25">
      <c r="A539" s="4">
        <v>36586</v>
      </c>
      <c r="B539" s="5">
        <v>162.5</v>
      </c>
      <c r="D539" s="4">
        <v>32668</v>
      </c>
      <c r="E539" s="6">
        <v>17.95</v>
      </c>
    </row>
    <row r="540" spans="1:5" x14ac:dyDescent="0.25">
      <c r="A540" s="4">
        <v>36587</v>
      </c>
      <c r="B540" s="5">
        <v>157</v>
      </c>
      <c r="D540" s="4">
        <v>32671</v>
      </c>
      <c r="E540" s="6">
        <v>17.18</v>
      </c>
    </row>
    <row r="541" spans="1:5" x14ac:dyDescent="0.25">
      <c r="A541" s="4">
        <v>36588</v>
      </c>
      <c r="B541" s="5">
        <v>153</v>
      </c>
      <c r="D541" s="4">
        <v>32672</v>
      </c>
      <c r="E541" s="6">
        <v>16.8</v>
      </c>
    </row>
    <row r="542" spans="1:5" x14ac:dyDescent="0.25">
      <c r="A542" s="4">
        <v>36591</v>
      </c>
      <c r="B542" s="5">
        <v>142.5</v>
      </c>
      <c r="D542" s="4">
        <v>32673</v>
      </c>
      <c r="E542" s="6">
        <v>16.899999999999999</v>
      </c>
    </row>
    <row r="543" spans="1:5" x14ac:dyDescent="0.25">
      <c r="A543" s="4">
        <v>36592</v>
      </c>
      <c r="B543" s="5">
        <v>144.5</v>
      </c>
      <c r="D543" s="4">
        <v>32674</v>
      </c>
      <c r="E543" s="6">
        <v>16.95</v>
      </c>
    </row>
    <row r="544" spans="1:5" x14ac:dyDescent="0.25">
      <c r="A544" s="4">
        <v>36593</v>
      </c>
      <c r="B544" s="5">
        <v>140</v>
      </c>
      <c r="D544" s="4">
        <v>32675</v>
      </c>
      <c r="E544" s="6">
        <v>16.649999999999999</v>
      </c>
    </row>
    <row r="545" spans="1:5" x14ac:dyDescent="0.25">
      <c r="A545" s="4">
        <v>36594</v>
      </c>
      <c r="B545" s="5">
        <v>132.5</v>
      </c>
      <c r="D545" s="4">
        <v>32678</v>
      </c>
      <c r="E545" s="6">
        <v>16.850000000000001</v>
      </c>
    </row>
    <row r="546" spans="1:5" x14ac:dyDescent="0.25">
      <c r="A546" s="4">
        <v>36595</v>
      </c>
      <c r="B546" s="5">
        <v>131.5</v>
      </c>
      <c r="D546" s="4">
        <v>32679</v>
      </c>
      <c r="E546" s="6">
        <v>16.88</v>
      </c>
    </row>
    <row r="547" spans="1:5" x14ac:dyDescent="0.25">
      <c r="A547" s="4">
        <v>36598</v>
      </c>
      <c r="B547" s="5">
        <v>126.5</v>
      </c>
      <c r="D547" s="4">
        <v>32680</v>
      </c>
      <c r="E547" s="6">
        <v>17.13</v>
      </c>
    </row>
    <row r="548" spans="1:5" x14ac:dyDescent="0.25">
      <c r="A548" s="4">
        <v>36599</v>
      </c>
      <c r="B548" s="5">
        <v>126.5</v>
      </c>
      <c r="D548" s="4">
        <v>32681</v>
      </c>
      <c r="E548" s="6">
        <v>17.3</v>
      </c>
    </row>
    <row r="549" spans="1:5" x14ac:dyDescent="0.25">
      <c r="A549" s="4">
        <v>36600</v>
      </c>
      <c r="B549" s="5">
        <v>128</v>
      </c>
      <c r="D549" s="4">
        <v>32682</v>
      </c>
      <c r="E549" s="6">
        <v>18.03</v>
      </c>
    </row>
    <row r="550" spans="1:5" x14ac:dyDescent="0.25">
      <c r="A550" s="4">
        <v>36602</v>
      </c>
      <c r="B550" s="5">
        <v>128</v>
      </c>
      <c r="D550" s="4">
        <v>32685</v>
      </c>
      <c r="E550" s="6">
        <v>18.23</v>
      </c>
    </row>
    <row r="551" spans="1:5" x14ac:dyDescent="0.25">
      <c r="A551" s="4">
        <v>36605</v>
      </c>
      <c r="B551" s="5">
        <v>127</v>
      </c>
      <c r="D551" s="4">
        <v>32686</v>
      </c>
      <c r="E551" s="6">
        <v>18.2</v>
      </c>
    </row>
    <row r="552" spans="1:5" x14ac:dyDescent="0.25">
      <c r="A552" s="4">
        <v>36606</v>
      </c>
      <c r="B552" s="5">
        <v>126.5</v>
      </c>
      <c r="D552" s="4">
        <v>32687</v>
      </c>
      <c r="E552" s="6">
        <v>18</v>
      </c>
    </row>
    <row r="553" spans="1:5" x14ac:dyDescent="0.25">
      <c r="A553" s="4">
        <v>36607</v>
      </c>
      <c r="B553" s="5">
        <v>127</v>
      </c>
      <c r="D553" s="4">
        <v>32688</v>
      </c>
      <c r="E553" s="6">
        <v>18.2</v>
      </c>
    </row>
    <row r="554" spans="1:5" x14ac:dyDescent="0.25">
      <c r="A554" s="4">
        <v>36608</v>
      </c>
      <c r="B554" s="5">
        <v>128.5</v>
      </c>
      <c r="D554" s="4">
        <v>32689</v>
      </c>
      <c r="E554" s="6">
        <v>18.28</v>
      </c>
    </row>
    <row r="555" spans="1:5" x14ac:dyDescent="0.25">
      <c r="A555" s="4">
        <v>36609</v>
      </c>
      <c r="B555" s="5">
        <v>127.25</v>
      </c>
      <c r="D555" s="4">
        <v>32692</v>
      </c>
      <c r="E555" s="6">
        <v>18.399999999999999</v>
      </c>
    </row>
    <row r="556" spans="1:5" x14ac:dyDescent="0.25">
      <c r="A556" s="4">
        <v>36612</v>
      </c>
      <c r="B556" s="5">
        <v>126</v>
      </c>
      <c r="D556" s="4">
        <v>32693</v>
      </c>
      <c r="E556" s="6">
        <v>18.600000000000001</v>
      </c>
    </row>
    <row r="557" spans="1:5" x14ac:dyDescent="0.25">
      <c r="A557" s="4">
        <v>36613</v>
      </c>
      <c r="B557" s="5">
        <v>129</v>
      </c>
      <c r="D557" s="4">
        <v>32694</v>
      </c>
      <c r="E557" s="6">
        <v>18.75</v>
      </c>
    </row>
    <row r="558" spans="1:5" x14ac:dyDescent="0.25">
      <c r="A558" s="4">
        <v>36614</v>
      </c>
      <c r="B558" s="5">
        <v>125</v>
      </c>
      <c r="D558" s="4">
        <v>32695</v>
      </c>
      <c r="E558" s="6">
        <v>18.3</v>
      </c>
    </row>
    <row r="559" spans="1:5" x14ac:dyDescent="0.25">
      <c r="A559" s="4">
        <v>36615</v>
      </c>
      <c r="B559" s="5">
        <v>117</v>
      </c>
      <c r="D559" s="4">
        <v>32696</v>
      </c>
      <c r="E559" s="6">
        <v>17.850000000000001</v>
      </c>
    </row>
    <row r="560" spans="1:5" x14ac:dyDescent="0.25">
      <c r="A560" s="4">
        <v>36616</v>
      </c>
      <c r="B560" s="5">
        <v>111.75</v>
      </c>
      <c r="D560" s="4">
        <v>32699</v>
      </c>
      <c r="E560" s="6">
        <v>17.829999999999998</v>
      </c>
    </row>
    <row r="561" spans="1:5" x14ac:dyDescent="0.25">
      <c r="A561" s="4">
        <v>36619</v>
      </c>
      <c r="B561" s="5">
        <v>116</v>
      </c>
      <c r="D561" s="4">
        <v>32700</v>
      </c>
      <c r="E561" s="6">
        <v>17.63</v>
      </c>
    </row>
    <row r="562" spans="1:5" x14ac:dyDescent="0.25">
      <c r="A562" s="4">
        <v>36620</v>
      </c>
      <c r="B562" s="5">
        <v>122</v>
      </c>
      <c r="D562" s="4">
        <v>32701</v>
      </c>
      <c r="E562" s="6">
        <v>17.649999999999999</v>
      </c>
    </row>
    <row r="563" spans="1:5" x14ac:dyDescent="0.25">
      <c r="A563" s="4">
        <v>36621</v>
      </c>
      <c r="B563" s="5">
        <v>119.5</v>
      </c>
      <c r="D563" s="4">
        <v>32702</v>
      </c>
      <c r="E563" s="6">
        <v>17.600000000000001</v>
      </c>
    </row>
    <row r="564" spans="1:5" x14ac:dyDescent="0.25">
      <c r="A564" s="4">
        <v>36622</v>
      </c>
      <c r="B564" s="5">
        <v>116.5</v>
      </c>
      <c r="D564" s="4">
        <v>32703</v>
      </c>
      <c r="E564" s="6">
        <v>17.899999999999999</v>
      </c>
    </row>
    <row r="565" spans="1:5" x14ac:dyDescent="0.25">
      <c r="A565" s="4">
        <v>36623</v>
      </c>
      <c r="B565" s="5">
        <v>118</v>
      </c>
      <c r="D565" s="4">
        <v>32706</v>
      </c>
      <c r="E565" s="6">
        <v>18.05</v>
      </c>
    </row>
    <row r="566" spans="1:5" x14ac:dyDescent="0.25">
      <c r="A566" s="4">
        <v>36626</v>
      </c>
      <c r="B566" s="5">
        <v>116.5</v>
      </c>
      <c r="D566" s="4">
        <v>32707</v>
      </c>
      <c r="E566" s="6">
        <v>18.05</v>
      </c>
    </row>
    <row r="567" spans="1:5" x14ac:dyDescent="0.25">
      <c r="A567" s="4">
        <v>36627</v>
      </c>
      <c r="B567" s="5">
        <v>119</v>
      </c>
      <c r="D567" s="4">
        <v>32708</v>
      </c>
      <c r="E567" s="6">
        <v>17.850000000000001</v>
      </c>
    </row>
    <row r="568" spans="1:5" x14ac:dyDescent="0.25">
      <c r="A568" s="4">
        <v>36628</v>
      </c>
      <c r="B568" s="5">
        <v>117</v>
      </c>
      <c r="D568" s="4">
        <v>32709</v>
      </c>
      <c r="E568" s="6">
        <v>17.98</v>
      </c>
    </row>
    <row r="569" spans="1:5" x14ac:dyDescent="0.25">
      <c r="A569" s="4">
        <v>36629</v>
      </c>
      <c r="B569" s="5">
        <v>117.25</v>
      </c>
      <c r="D569" s="4">
        <v>32710</v>
      </c>
      <c r="E569" s="6">
        <v>17.829999999999998</v>
      </c>
    </row>
    <row r="570" spans="1:5" x14ac:dyDescent="0.25">
      <c r="A570" s="4">
        <v>36630</v>
      </c>
      <c r="B570" s="5">
        <v>116</v>
      </c>
      <c r="D570" s="4">
        <v>32713</v>
      </c>
      <c r="E570" s="6">
        <v>17.3</v>
      </c>
    </row>
    <row r="571" spans="1:5" x14ac:dyDescent="0.25">
      <c r="A571" s="4">
        <v>36633</v>
      </c>
      <c r="B571" s="5">
        <v>116.75</v>
      </c>
      <c r="D571" s="4">
        <v>32714</v>
      </c>
      <c r="E571" s="6">
        <v>17.05</v>
      </c>
    </row>
    <row r="572" spans="1:5" x14ac:dyDescent="0.25">
      <c r="A572" s="4">
        <v>36634</v>
      </c>
      <c r="B572" s="5">
        <v>118.5</v>
      </c>
      <c r="D572" s="4">
        <v>32715</v>
      </c>
      <c r="E572" s="6">
        <v>16.5</v>
      </c>
    </row>
    <row r="573" spans="1:5" x14ac:dyDescent="0.25">
      <c r="A573" s="4">
        <v>36635</v>
      </c>
      <c r="B573" s="5">
        <v>120</v>
      </c>
      <c r="D573" s="4">
        <v>32716</v>
      </c>
      <c r="E573" s="6">
        <v>16.28</v>
      </c>
    </row>
    <row r="574" spans="1:5" x14ac:dyDescent="0.25">
      <c r="A574" s="4">
        <v>36636</v>
      </c>
      <c r="B574" s="5">
        <v>115.5</v>
      </c>
      <c r="D574" s="4">
        <v>32717</v>
      </c>
      <c r="E574" s="6">
        <v>16.38</v>
      </c>
    </row>
    <row r="575" spans="1:5" x14ac:dyDescent="0.25">
      <c r="A575" s="4">
        <v>36640</v>
      </c>
      <c r="B575" s="5">
        <v>114.25</v>
      </c>
      <c r="D575" s="4">
        <v>32720</v>
      </c>
      <c r="E575" s="6">
        <v>16.3</v>
      </c>
    </row>
    <row r="576" spans="1:5" x14ac:dyDescent="0.25">
      <c r="A576" s="4">
        <v>36641</v>
      </c>
      <c r="B576" s="5">
        <v>113</v>
      </c>
      <c r="D576" s="4">
        <v>32721</v>
      </c>
      <c r="E576" s="6">
        <v>16.23</v>
      </c>
    </row>
    <row r="577" spans="1:5" x14ac:dyDescent="0.25">
      <c r="A577" s="4">
        <v>36642</v>
      </c>
      <c r="B577" s="5">
        <v>114</v>
      </c>
      <c r="D577" s="4">
        <v>32722</v>
      </c>
      <c r="E577" s="6">
        <v>16.100000000000001</v>
      </c>
    </row>
    <row r="578" spans="1:5" x14ac:dyDescent="0.25">
      <c r="A578" s="4">
        <v>36643</v>
      </c>
      <c r="B578" s="5">
        <v>114.5</v>
      </c>
      <c r="D578" s="4">
        <v>32723</v>
      </c>
      <c r="E578" s="6">
        <v>16.399999999999999</v>
      </c>
    </row>
    <row r="579" spans="1:5" x14ac:dyDescent="0.25">
      <c r="A579" s="4">
        <v>36644</v>
      </c>
      <c r="B579" s="5">
        <v>116</v>
      </c>
      <c r="D579" s="4">
        <v>32724</v>
      </c>
      <c r="E579" s="6">
        <v>16.149999999999999</v>
      </c>
    </row>
    <row r="580" spans="1:5" x14ac:dyDescent="0.25">
      <c r="A580" s="4">
        <v>36648</v>
      </c>
      <c r="B580" s="5">
        <v>119.5</v>
      </c>
      <c r="D580" s="4">
        <v>32727</v>
      </c>
      <c r="E580" s="6">
        <v>16.05</v>
      </c>
    </row>
    <row r="581" spans="1:5" x14ac:dyDescent="0.25">
      <c r="A581" s="4">
        <v>36649</v>
      </c>
      <c r="B581" s="5">
        <v>124</v>
      </c>
      <c r="D581" s="4">
        <v>32728</v>
      </c>
      <c r="E581" s="6">
        <v>16.28</v>
      </c>
    </row>
    <row r="582" spans="1:5" x14ac:dyDescent="0.25">
      <c r="A582" s="4">
        <v>36650</v>
      </c>
      <c r="B582" s="5">
        <v>126</v>
      </c>
      <c r="D582" s="4">
        <v>32729</v>
      </c>
      <c r="E582" s="6">
        <v>16.45</v>
      </c>
    </row>
    <row r="583" spans="1:5" x14ac:dyDescent="0.25">
      <c r="A583" s="4">
        <v>36651</v>
      </c>
      <c r="B583" s="5">
        <v>124</v>
      </c>
      <c r="D583" s="4">
        <v>32730</v>
      </c>
      <c r="E583" s="6">
        <v>16.93</v>
      </c>
    </row>
    <row r="584" spans="1:5" x14ac:dyDescent="0.25">
      <c r="A584" s="4">
        <v>36654</v>
      </c>
      <c r="B584" s="5">
        <v>126.5</v>
      </c>
      <c r="D584" s="4">
        <v>32731</v>
      </c>
      <c r="E584" s="6">
        <v>17</v>
      </c>
    </row>
    <row r="585" spans="1:5" x14ac:dyDescent="0.25">
      <c r="A585" s="4">
        <v>36655</v>
      </c>
      <c r="B585" s="5">
        <v>127.25</v>
      </c>
      <c r="D585" s="4">
        <v>32734</v>
      </c>
      <c r="E585" s="6">
        <v>16.850000000000001</v>
      </c>
    </row>
    <row r="586" spans="1:5" x14ac:dyDescent="0.25">
      <c r="A586" s="4">
        <v>36656</v>
      </c>
      <c r="B586" s="5">
        <v>129</v>
      </c>
      <c r="D586" s="4">
        <v>32735</v>
      </c>
      <c r="E586" s="6">
        <v>17</v>
      </c>
    </row>
    <row r="587" spans="1:5" x14ac:dyDescent="0.25">
      <c r="A587" s="4">
        <v>36657</v>
      </c>
      <c r="B587" s="5">
        <v>125.5</v>
      </c>
      <c r="D587" s="4">
        <v>32736</v>
      </c>
      <c r="E587" s="6">
        <v>17</v>
      </c>
    </row>
    <row r="588" spans="1:5" x14ac:dyDescent="0.25">
      <c r="A588" s="4">
        <v>36658</v>
      </c>
      <c r="B588" s="5">
        <v>128.5</v>
      </c>
      <c r="D588" s="4">
        <v>32737</v>
      </c>
      <c r="E588" s="6">
        <v>16.95</v>
      </c>
    </row>
    <row r="589" spans="1:5" x14ac:dyDescent="0.25">
      <c r="A589" s="4">
        <v>36661</v>
      </c>
      <c r="B589" s="5">
        <v>132.5</v>
      </c>
      <c r="D589" s="4">
        <v>32738</v>
      </c>
      <c r="E589" s="6">
        <v>16.829999999999998</v>
      </c>
    </row>
    <row r="590" spans="1:5" x14ac:dyDescent="0.25">
      <c r="A590" s="4">
        <v>36662</v>
      </c>
      <c r="B590" s="5">
        <v>135.5</v>
      </c>
      <c r="D590" s="4">
        <v>32741</v>
      </c>
      <c r="E590" s="6">
        <v>16.899999999999999</v>
      </c>
    </row>
    <row r="591" spans="1:5" x14ac:dyDescent="0.25">
      <c r="A591" s="4">
        <v>36663</v>
      </c>
      <c r="B591" s="5">
        <v>138.5</v>
      </c>
      <c r="D591" s="4">
        <v>32742</v>
      </c>
      <c r="E591" s="6">
        <v>17.100000000000001</v>
      </c>
    </row>
    <row r="592" spans="1:5" x14ac:dyDescent="0.25">
      <c r="A592" s="4">
        <v>36665</v>
      </c>
      <c r="B592" s="5">
        <v>138</v>
      </c>
      <c r="D592" s="4">
        <v>32743</v>
      </c>
      <c r="E592" s="6">
        <v>17.079999999999998</v>
      </c>
    </row>
    <row r="593" spans="1:5" x14ac:dyDescent="0.25">
      <c r="A593" s="4">
        <v>36668</v>
      </c>
      <c r="B593" s="5">
        <v>133.5</v>
      </c>
      <c r="D593" s="4">
        <v>32744</v>
      </c>
      <c r="E593" s="6">
        <v>17.05</v>
      </c>
    </row>
    <row r="594" spans="1:5" x14ac:dyDescent="0.25">
      <c r="A594" s="4">
        <v>36669</v>
      </c>
      <c r="B594" s="5">
        <v>138</v>
      </c>
      <c r="D594" s="4">
        <v>32745</v>
      </c>
      <c r="E594" s="6">
        <v>16.95</v>
      </c>
    </row>
    <row r="595" spans="1:5" x14ac:dyDescent="0.25">
      <c r="A595" s="4">
        <v>36670</v>
      </c>
      <c r="B595" s="5">
        <v>139</v>
      </c>
      <c r="D595" s="4">
        <v>32748</v>
      </c>
      <c r="E595" s="6">
        <v>16.98</v>
      </c>
    </row>
    <row r="596" spans="1:5" x14ac:dyDescent="0.25">
      <c r="A596" s="4">
        <v>36671</v>
      </c>
      <c r="B596" s="5">
        <v>137</v>
      </c>
      <c r="D596" s="4">
        <v>32749</v>
      </c>
      <c r="E596" s="6">
        <v>17.100000000000001</v>
      </c>
    </row>
    <row r="597" spans="1:5" x14ac:dyDescent="0.25">
      <c r="A597" s="4">
        <v>36672</v>
      </c>
      <c r="B597" s="5">
        <v>135</v>
      </c>
      <c r="D597" s="4">
        <v>32750</v>
      </c>
      <c r="E597" s="6">
        <v>17.13</v>
      </c>
    </row>
    <row r="598" spans="1:5" x14ac:dyDescent="0.25">
      <c r="A598" s="4">
        <v>36675</v>
      </c>
      <c r="B598" s="5">
        <v>138</v>
      </c>
      <c r="D598" s="4">
        <v>32751</v>
      </c>
      <c r="E598" s="6">
        <v>17.2</v>
      </c>
    </row>
    <row r="599" spans="1:5" x14ac:dyDescent="0.25">
      <c r="A599" s="4">
        <v>36676</v>
      </c>
      <c r="B599" s="5">
        <v>136.5</v>
      </c>
      <c r="D599" s="4">
        <v>32752</v>
      </c>
      <c r="E599" s="6">
        <v>17.329999999999998</v>
      </c>
    </row>
    <row r="600" spans="1:5" x14ac:dyDescent="0.25">
      <c r="A600" s="4">
        <v>36677</v>
      </c>
      <c r="B600" s="5">
        <v>140</v>
      </c>
      <c r="D600" s="4">
        <v>32755</v>
      </c>
      <c r="E600" s="6">
        <v>17.43</v>
      </c>
    </row>
    <row r="601" spans="1:5" x14ac:dyDescent="0.25">
      <c r="A601" s="4">
        <v>36678</v>
      </c>
      <c r="B601" s="5">
        <v>145</v>
      </c>
      <c r="D601" s="4">
        <v>32756</v>
      </c>
      <c r="E601" s="6">
        <v>17.45</v>
      </c>
    </row>
    <row r="602" spans="1:5" x14ac:dyDescent="0.25">
      <c r="A602" s="4">
        <v>36679</v>
      </c>
      <c r="B602" s="5">
        <v>144.5</v>
      </c>
      <c r="D602" s="4">
        <v>32757</v>
      </c>
      <c r="E602" s="6">
        <v>17.8</v>
      </c>
    </row>
    <row r="603" spans="1:5" x14ac:dyDescent="0.25">
      <c r="A603" s="4">
        <v>36682</v>
      </c>
      <c r="B603" s="5">
        <v>142.75</v>
      </c>
      <c r="D603" s="4">
        <v>32758</v>
      </c>
      <c r="E603" s="6">
        <v>17.8</v>
      </c>
    </row>
    <row r="604" spans="1:5" x14ac:dyDescent="0.25">
      <c r="A604" s="4">
        <v>36683</v>
      </c>
      <c r="B604" s="5">
        <v>139</v>
      </c>
      <c r="D604" s="4">
        <v>32759</v>
      </c>
      <c r="E604" s="6">
        <v>17.829999999999998</v>
      </c>
    </row>
    <row r="605" spans="1:5" x14ac:dyDescent="0.25">
      <c r="A605" s="4">
        <v>36684</v>
      </c>
      <c r="B605" s="5">
        <v>135.75</v>
      </c>
      <c r="D605" s="4">
        <v>32762</v>
      </c>
      <c r="E605" s="6">
        <v>17.98</v>
      </c>
    </row>
    <row r="606" spans="1:5" x14ac:dyDescent="0.25">
      <c r="A606" s="4">
        <v>36685</v>
      </c>
      <c r="B606" s="5">
        <v>138</v>
      </c>
      <c r="D606" s="4">
        <v>32763</v>
      </c>
      <c r="E606" s="6">
        <v>17.899999999999999</v>
      </c>
    </row>
    <row r="607" spans="1:5" x14ac:dyDescent="0.25">
      <c r="A607" s="4">
        <v>36686</v>
      </c>
      <c r="B607" s="5">
        <v>139.5</v>
      </c>
      <c r="D607" s="4">
        <v>32764</v>
      </c>
      <c r="E607" s="6">
        <v>18.05</v>
      </c>
    </row>
    <row r="608" spans="1:5" x14ac:dyDescent="0.25">
      <c r="A608" s="4">
        <v>36689</v>
      </c>
      <c r="B608" s="5">
        <v>139</v>
      </c>
      <c r="D608" s="4">
        <v>32765</v>
      </c>
      <c r="E608" s="6">
        <v>17.899999999999999</v>
      </c>
    </row>
    <row r="609" spans="1:5" x14ac:dyDescent="0.25">
      <c r="A609" s="4">
        <v>36690</v>
      </c>
      <c r="B609" s="5">
        <v>142.5</v>
      </c>
      <c r="D609" s="4">
        <v>32766</v>
      </c>
      <c r="E609" s="6">
        <v>17.88</v>
      </c>
    </row>
    <row r="610" spans="1:5" x14ac:dyDescent="0.25">
      <c r="A610" s="4">
        <v>36691</v>
      </c>
      <c r="B610" s="5">
        <v>144.5</v>
      </c>
      <c r="D610" s="4">
        <v>32769</v>
      </c>
      <c r="E610" s="6">
        <v>18.05</v>
      </c>
    </row>
    <row r="611" spans="1:5" x14ac:dyDescent="0.25">
      <c r="A611" s="4">
        <v>36692</v>
      </c>
      <c r="B611" s="5">
        <v>142.5</v>
      </c>
      <c r="D611" s="4">
        <v>32770</v>
      </c>
      <c r="E611" s="6">
        <v>17.899999999999999</v>
      </c>
    </row>
    <row r="612" spans="1:5" x14ac:dyDescent="0.25">
      <c r="A612" s="4">
        <v>36693</v>
      </c>
      <c r="B612" s="5">
        <v>147</v>
      </c>
      <c r="D612" s="4">
        <v>32771</v>
      </c>
      <c r="E612" s="6">
        <v>17.8</v>
      </c>
    </row>
    <row r="613" spans="1:5" x14ac:dyDescent="0.25">
      <c r="A613" s="4">
        <v>36696</v>
      </c>
      <c r="B613" s="5">
        <v>147</v>
      </c>
      <c r="D613" s="4">
        <v>32772</v>
      </c>
      <c r="E613" s="6">
        <v>17.850000000000001</v>
      </c>
    </row>
    <row r="614" spans="1:5" x14ac:dyDescent="0.25">
      <c r="A614" s="4">
        <v>36697</v>
      </c>
      <c r="B614" s="5">
        <v>148</v>
      </c>
      <c r="D614" s="4">
        <v>32773</v>
      </c>
      <c r="E614" s="6">
        <v>17.53</v>
      </c>
    </row>
    <row r="615" spans="1:5" x14ac:dyDescent="0.25">
      <c r="A615" s="4">
        <v>36698</v>
      </c>
      <c r="B615" s="5">
        <v>147.75</v>
      </c>
      <c r="D615" s="4">
        <v>32776</v>
      </c>
      <c r="E615" s="6">
        <v>17.45</v>
      </c>
    </row>
    <row r="616" spans="1:5" x14ac:dyDescent="0.25">
      <c r="A616" s="4">
        <v>36699</v>
      </c>
      <c r="B616" s="5">
        <v>143.5</v>
      </c>
      <c r="D616" s="4">
        <v>32777</v>
      </c>
      <c r="E616" s="6">
        <v>17.45</v>
      </c>
    </row>
    <row r="617" spans="1:5" x14ac:dyDescent="0.25">
      <c r="A617" s="4">
        <v>36700</v>
      </c>
      <c r="B617" s="5">
        <v>138</v>
      </c>
      <c r="D617" s="4">
        <v>32778</v>
      </c>
      <c r="E617" s="6">
        <v>17.55</v>
      </c>
    </row>
    <row r="618" spans="1:5" x14ac:dyDescent="0.25">
      <c r="A618" s="4">
        <v>36703</v>
      </c>
      <c r="B618" s="5">
        <v>137.5</v>
      </c>
      <c r="D618" s="4">
        <v>32779</v>
      </c>
      <c r="E618" s="6">
        <v>17.93</v>
      </c>
    </row>
    <row r="619" spans="1:5" x14ac:dyDescent="0.25">
      <c r="A619" s="4">
        <v>36704</v>
      </c>
      <c r="B619" s="5">
        <v>137</v>
      </c>
      <c r="D619" s="4">
        <v>32780</v>
      </c>
      <c r="E619" s="6">
        <v>18.23</v>
      </c>
    </row>
    <row r="620" spans="1:5" x14ac:dyDescent="0.25">
      <c r="A620" s="4">
        <v>36705</v>
      </c>
      <c r="B620" s="5">
        <v>135.75</v>
      </c>
      <c r="D620" s="4">
        <v>32783</v>
      </c>
      <c r="E620" s="6">
        <v>18.579999999999998</v>
      </c>
    </row>
    <row r="621" spans="1:5" x14ac:dyDescent="0.25">
      <c r="A621" s="4">
        <v>36706</v>
      </c>
      <c r="B621" s="5">
        <v>133.5</v>
      </c>
      <c r="D621" s="4">
        <v>32784</v>
      </c>
      <c r="E621" s="6">
        <v>18.73</v>
      </c>
    </row>
    <row r="622" spans="1:5" x14ac:dyDescent="0.25">
      <c r="A622" s="4">
        <v>36707</v>
      </c>
      <c r="B622" s="5">
        <v>130</v>
      </c>
      <c r="D622" s="4">
        <v>32785</v>
      </c>
      <c r="E622" s="6">
        <v>18.78</v>
      </c>
    </row>
    <row r="623" spans="1:5" x14ac:dyDescent="0.25">
      <c r="A623" s="4">
        <v>36710</v>
      </c>
      <c r="B623" s="5">
        <v>132.5</v>
      </c>
      <c r="D623" s="4">
        <v>32786</v>
      </c>
      <c r="E623" s="6">
        <v>18.43</v>
      </c>
    </row>
    <row r="624" spans="1:5" x14ac:dyDescent="0.25">
      <c r="A624" s="4">
        <v>36711</v>
      </c>
      <c r="B624" s="5">
        <v>134.5</v>
      </c>
      <c r="D624" s="4">
        <v>32787</v>
      </c>
      <c r="E624" s="6">
        <v>18.45</v>
      </c>
    </row>
    <row r="625" spans="1:5" x14ac:dyDescent="0.25">
      <c r="A625" s="4">
        <v>36712</v>
      </c>
      <c r="B625" s="5">
        <v>130.5</v>
      </c>
      <c r="D625" s="4">
        <v>32790</v>
      </c>
      <c r="E625" s="6">
        <v>18.25</v>
      </c>
    </row>
    <row r="626" spans="1:5" x14ac:dyDescent="0.25">
      <c r="A626" s="4">
        <v>36713</v>
      </c>
      <c r="B626" s="5">
        <v>128</v>
      </c>
      <c r="D626" s="4">
        <v>32791</v>
      </c>
      <c r="E626" s="6">
        <v>18.55</v>
      </c>
    </row>
    <row r="627" spans="1:5" x14ac:dyDescent="0.25">
      <c r="A627" s="4">
        <v>36714</v>
      </c>
      <c r="B627" s="5">
        <v>129.75</v>
      </c>
      <c r="D627" s="4">
        <v>32792</v>
      </c>
      <c r="E627" s="6">
        <v>18.850000000000001</v>
      </c>
    </row>
    <row r="628" spans="1:5" x14ac:dyDescent="0.25">
      <c r="A628" s="4">
        <v>36717</v>
      </c>
      <c r="B628" s="5">
        <v>126.25</v>
      </c>
      <c r="D628" s="4">
        <v>32793</v>
      </c>
      <c r="E628" s="6">
        <v>19.23</v>
      </c>
    </row>
    <row r="629" spans="1:5" x14ac:dyDescent="0.25">
      <c r="A629" s="4">
        <v>36718</v>
      </c>
      <c r="B629" s="5">
        <v>123.25</v>
      </c>
      <c r="D629" s="4">
        <v>32794</v>
      </c>
      <c r="E629" s="6">
        <v>19.600000000000001</v>
      </c>
    </row>
    <row r="630" spans="1:5" x14ac:dyDescent="0.25">
      <c r="A630" s="4">
        <v>36719</v>
      </c>
      <c r="B630" s="5">
        <v>122.5</v>
      </c>
      <c r="D630" s="4">
        <v>32797</v>
      </c>
      <c r="E630" s="6">
        <v>19.38</v>
      </c>
    </row>
    <row r="631" spans="1:5" x14ac:dyDescent="0.25">
      <c r="A631" s="4">
        <v>36720</v>
      </c>
      <c r="B631" s="5">
        <v>122.75</v>
      </c>
      <c r="D631" s="4">
        <v>32798</v>
      </c>
      <c r="E631" s="6">
        <v>19.53</v>
      </c>
    </row>
    <row r="632" spans="1:5" x14ac:dyDescent="0.25">
      <c r="A632" s="4">
        <v>36721</v>
      </c>
      <c r="B632" s="5">
        <v>122.5</v>
      </c>
      <c r="D632" s="4">
        <v>32799</v>
      </c>
      <c r="E632" s="6">
        <v>19.43</v>
      </c>
    </row>
    <row r="633" spans="1:5" x14ac:dyDescent="0.25">
      <c r="A633" s="4">
        <v>36724</v>
      </c>
      <c r="B633" s="5">
        <v>125.25</v>
      </c>
      <c r="D633" s="4">
        <v>32800</v>
      </c>
      <c r="E633" s="6">
        <v>19.329999999999998</v>
      </c>
    </row>
    <row r="634" spans="1:5" x14ac:dyDescent="0.25">
      <c r="A634" s="4">
        <v>36725</v>
      </c>
      <c r="B634" s="5">
        <v>125.25</v>
      </c>
      <c r="D634" s="4">
        <v>32801</v>
      </c>
      <c r="E634" s="6">
        <v>19.2</v>
      </c>
    </row>
    <row r="635" spans="1:5" x14ac:dyDescent="0.25">
      <c r="A635" s="4">
        <v>36726</v>
      </c>
      <c r="B635" s="5">
        <v>125.25</v>
      </c>
      <c r="D635" s="4">
        <v>32804</v>
      </c>
      <c r="E635" s="6">
        <v>18.88</v>
      </c>
    </row>
    <row r="636" spans="1:5" x14ac:dyDescent="0.25">
      <c r="A636" s="4">
        <v>36727</v>
      </c>
      <c r="B636" s="5">
        <v>124</v>
      </c>
      <c r="D636" s="4">
        <v>32805</v>
      </c>
      <c r="E636" s="6">
        <v>18.8</v>
      </c>
    </row>
    <row r="637" spans="1:5" x14ac:dyDescent="0.25">
      <c r="A637" s="4">
        <v>36728</v>
      </c>
      <c r="B637" s="5">
        <v>125.5</v>
      </c>
      <c r="D637" s="4">
        <v>32806</v>
      </c>
      <c r="E637" s="6">
        <v>18.88</v>
      </c>
    </row>
    <row r="638" spans="1:5" x14ac:dyDescent="0.25">
      <c r="A638" s="4">
        <v>36731</v>
      </c>
      <c r="B638" s="5">
        <v>128</v>
      </c>
      <c r="D638" s="4">
        <v>32807</v>
      </c>
      <c r="E638" s="6">
        <v>18.48</v>
      </c>
    </row>
    <row r="639" spans="1:5" x14ac:dyDescent="0.25">
      <c r="A639" s="4">
        <v>36732</v>
      </c>
      <c r="B639" s="5">
        <v>127</v>
      </c>
      <c r="D639" s="4">
        <v>32808</v>
      </c>
      <c r="E639" s="6">
        <v>18.7</v>
      </c>
    </row>
    <row r="640" spans="1:5" x14ac:dyDescent="0.25">
      <c r="A640" s="4">
        <v>36733</v>
      </c>
      <c r="B640" s="5">
        <v>130.5</v>
      </c>
      <c r="D640" s="4">
        <v>32811</v>
      </c>
      <c r="E640" s="6">
        <v>18.98</v>
      </c>
    </row>
    <row r="641" spans="1:5" x14ac:dyDescent="0.25">
      <c r="A641" s="4">
        <v>36734</v>
      </c>
      <c r="B641" s="5">
        <v>125</v>
      </c>
      <c r="D641" s="4">
        <v>32812</v>
      </c>
      <c r="E641" s="6">
        <v>18.93</v>
      </c>
    </row>
    <row r="642" spans="1:5" x14ac:dyDescent="0.25">
      <c r="A642" s="4">
        <v>36735</v>
      </c>
      <c r="B642" s="5">
        <v>128.5</v>
      </c>
      <c r="D642" s="4">
        <v>32813</v>
      </c>
      <c r="E642" s="6">
        <v>19.23</v>
      </c>
    </row>
    <row r="643" spans="1:5" x14ac:dyDescent="0.25">
      <c r="A643" s="4">
        <v>36738</v>
      </c>
      <c r="B643" s="5">
        <v>127</v>
      </c>
      <c r="D643" s="4">
        <v>32814</v>
      </c>
      <c r="E643" s="6">
        <v>19.2</v>
      </c>
    </row>
    <row r="644" spans="1:5" x14ac:dyDescent="0.25">
      <c r="A644" s="4">
        <v>36739</v>
      </c>
      <c r="B644" s="5">
        <v>126.5</v>
      </c>
      <c r="D644" s="4">
        <v>32815</v>
      </c>
      <c r="E644" s="6">
        <v>19</v>
      </c>
    </row>
    <row r="645" spans="1:5" x14ac:dyDescent="0.25">
      <c r="A645" s="4">
        <v>36740</v>
      </c>
      <c r="B645" s="5">
        <v>125</v>
      </c>
      <c r="D645" s="4">
        <v>32818</v>
      </c>
      <c r="E645" s="6">
        <v>18.95</v>
      </c>
    </row>
    <row r="646" spans="1:5" x14ac:dyDescent="0.25">
      <c r="A646" s="4">
        <v>36741</v>
      </c>
      <c r="B646" s="5">
        <v>127</v>
      </c>
      <c r="D646" s="4">
        <v>32819</v>
      </c>
      <c r="E646" s="6">
        <v>18.899999999999999</v>
      </c>
    </row>
    <row r="647" spans="1:5" x14ac:dyDescent="0.25">
      <c r="A647" s="4">
        <v>36742</v>
      </c>
      <c r="B647" s="5">
        <v>126.25</v>
      </c>
      <c r="D647" s="4">
        <v>32820</v>
      </c>
      <c r="E647" s="6">
        <v>18.899999999999999</v>
      </c>
    </row>
    <row r="648" spans="1:5" x14ac:dyDescent="0.25">
      <c r="A648" s="4">
        <v>36745</v>
      </c>
      <c r="B648" s="5">
        <v>129</v>
      </c>
      <c r="D648" s="4">
        <v>32821</v>
      </c>
      <c r="E648" s="6">
        <v>18.850000000000001</v>
      </c>
    </row>
    <row r="649" spans="1:5" x14ac:dyDescent="0.25">
      <c r="A649" s="4">
        <v>36746</v>
      </c>
      <c r="B649" s="5">
        <v>128</v>
      </c>
      <c r="D649" s="4">
        <v>32822</v>
      </c>
      <c r="E649" s="6">
        <v>19.05</v>
      </c>
    </row>
    <row r="650" spans="1:5" x14ac:dyDescent="0.25">
      <c r="A650" s="4">
        <v>36748</v>
      </c>
      <c r="B650" s="5">
        <v>130</v>
      </c>
      <c r="D650" s="4">
        <v>32825</v>
      </c>
      <c r="E650" s="6">
        <v>18.850000000000001</v>
      </c>
    </row>
    <row r="651" spans="1:5" x14ac:dyDescent="0.25">
      <c r="A651" s="4">
        <v>36749</v>
      </c>
      <c r="B651" s="5">
        <v>133</v>
      </c>
      <c r="D651" s="4">
        <v>32826</v>
      </c>
      <c r="E651" s="6">
        <v>18.7</v>
      </c>
    </row>
    <row r="652" spans="1:5" x14ac:dyDescent="0.25">
      <c r="A652" s="4">
        <v>36752</v>
      </c>
      <c r="B652" s="5">
        <v>136</v>
      </c>
      <c r="D652" s="4">
        <v>32827</v>
      </c>
      <c r="E652" s="6">
        <v>18.649999999999999</v>
      </c>
    </row>
    <row r="653" spans="1:5" x14ac:dyDescent="0.25">
      <c r="A653" s="4">
        <v>36753</v>
      </c>
      <c r="B653" s="5">
        <v>137</v>
      </c>
      <c r="D653" s="4">
        <v>32828</v>
      </c>
      <c r="E653" s="6">
        <v>18.649999999999999</v>
      </c>
    </row>
    <row r="654" spans="1:5" x14ac:dyDescent="0.25">
      <c r="A654" s="4">
        <v>36754</v>
      </c>
      <c r="B654" s="5">
        <v>133.75</v>
      </c>
      <c r="D654" s="4">
        <v>32829</v>
      </c>
      <c r="E654" s="6">
        <v>18.75</v>
      </c>
    </row>
    <row r="655" spans="1:5" x14ac:dyDescent="0.25">
      <c r="A655" s="4">
        <v>36755</v>
      </c>
      <c r="B655" s="5">
        <v>139</v>
      </c>
      <c r="D655" s="4">
        <v>32832</v>
      </c>
      <c r="E655" s="6">
        <v>18.8</v>
      </c>
    </row>
    <row r="656" spans="1:5" x14ac:dyDescent="0.25">
      <c r="A656" s="4">
        <v>36756</v>
      </c>
      <c r="B656" s="5">
        <v>140</v>
      </c>
      <c r="D656" s="4">
        <v>32833</v>
      </c>
      <c r="E656" s="6">
        <v>18.68</v>
      </c>
    </row>
    <row r="657" spans="1:5" x14ac:dyDescent="0.25">
      <c r="A657" s="4">
        <v>36759</v>
      </c>
      <c r="B657" s="5">
        <v>141.75</v>
      </c>
      <c r="D657" s="4">
        <v>32834</v>
      </c>
      <c r="E657" s="6">
        <v>18.600000000000001</v>
      </c>
    </row>
    <row r="658" spans="1:5" x14ac:dyDescent="0.25">
      <c r="A658" s="4">
        <v>36760</v>
      </c>
      <c r="B658" s="5">
        <v>145.25</v>
      </c>
      <c r="D658" s="4">
        <v>32835</v>
      </c>
      <c r="E658" s="6">
        <v>18.399999999999999</v>
      </c>
    </row>
    <row r="659" spans="1:5" x14ac:dyDescent="0.25">
      <c r="A659" s="4">
        <v>36761</v>
      </c>
      <c r="B659" s="5">
        <v>149.5</v>
      </c>
      <c r="D659" s="4">
        <v>32836</v>
      </c>
      <c r="E659" s="6">
        <v>18.48</v>
      </c>
    </row>
    <row r="660" spans="1:5" x14ac:dyDescent="0.25">
      <c r="A660" s="4">
        <v>36762</v>
      </c>
      <c r="B660" s="5">
        <v>157</v>
      </c>
      <c r="D660" s="4">
        <v>32839</v>
      </c>
      <c r="E660" s="6">
        <v>18.5</v>
      </c>
    </row>
    <row r="661" spans="1:5" x14ac:dyDescent="0.25">
      <c r="A661" s="4">
        <v>36763</v>
      </c>
      <c r="B661" s="5">
        <v>155</v>
      </c>
      <c r="D661" s="4">
        <v>32840</v>
      </c>
      <c r="E661" s="6">
        <v>18.23</v>
      </c>
    </row>
    <row r="662" spans="1:5" x14ac:dyDescent="0.25">
      <c r="A662" s="4">
        <v>36766</v>
      </c>
      <c r="B662" s="5">
        <v>160</v>
      </c>
      <c r="D662" s="4">
        <v>32841</v>
      </c>
      <c r="E662" s="6">
        <v>18.149999999999999</v>
      </c>
    </row>
    <row r="663" spans="1:5" x14ac:dyDescent="0.25">
      <c r="A663" s="4">
        <v>36767</v>
      </c>
      <c r="B663" s="5">
        <v>154.5</v>
      </c>
      <c r="D663" s="4">
        <v>32842</v>
      </c>
      <c r="E663" s="6">
        <v>18.48</v>
      </c>
    </row>
    <row r="664" spans="1:5" x14ac:dyDescent="0.25">
      <c r="A664" s="4">
        <v>36768</v>
      </c>
      <c r="B664" s="5">
        <v>150</v>
      </c>
      <c r="D664" s="4">
        <v>32843</v>
      </c>
      <c r="E664" s="6">
        <v>18.68</v>
      </c>
    </row>
    <row r="665" spans="1:5" x14ac:dyDescent="0.25">
      <c r="A665" s="4">
        <v>36769</v>
      </c>
      <c r="B665" s="5">
        <v>156</v>
      </c>
      <c r="D665" s="4">
        <v>32846</v>
      </c>
      <c r="E665" s="6">
        <v>19.28</v>
      </c>
    </row>
    <row r="666" spans="1:5" x14ac:dyDescent="0.25">
      <c r="A666" s="4">
        <v>36770</v>
      </c>
      <c r="B666" s="5">
        <v>147</v>
      </c>
      <c r="D666" s="4">
        <v>32847</v>
      </c>
      <c r="E666" s="6">
        <v>19.18</v>
      </c>
    </row>
    <row r="667" spans="1:5" x14ac:dyDescent="0.25">
      <c r="A667" s="4">
        <v>36773</v>
      </c>
      <c r="B667" s="5">
        <v>146.5</v>
      </c>
      <c r="D667" s="4">
        <v>32848</v>
      </c>
      <c r="E667" s="6">
        <v>19.28</v>
      </c>
    </row>
    <row r="668" spans="1:5" x14ac:dyDescent="0.25">
      <c r="A668" s="4">
        <v>36774</v>
      </c>
      <c r="B668" s="5">
        <v>152.5</v>
      </c>
      <c r="D668" s="4">
        <v>32849</v>
      </c>
      <c r="E668" s="6">
        <v>19.329999999999998</v>
      </c>
    </row>
    <row r="669" spans="1:5" x14ac:dyDescent="0.25">
      <c r="A669" s="4">
        <v>36775</v>
      </c>
      <c r="B669" s="5">
        <v>157.5</v>
      </c>
      <c r="D669" s="4">
        <v>32850</v>
      </c>
      <c r="E669" s="6">
        <v>19.149999999999999</v>
      </c>
    </row>
    <row r="670" spans="1:5" x14ac:dyDescent="0.25">
      <c r="A670" s="4">
        <v>36776</v>
      </c>
      <c r="B670" s="5">
        <v>158</v>
      </c>
      <c r="D670" s="4">
        <v>32853</v>
      </c>
      <c r="E670" s="6">
        <v>19.45</v>
      </c>
    </row>
    <row r="671" spans="1:5" x14ac:dyDescent="0.25">
      <c r="A671" s="4">
        <v>36777</v>
      </c>
      <c r="B671" s="5">
        <v>158.5</v>
      </c>
      <c r="D671" s="4">
        <v>32854</v>
      </c>
      <c r="E671" s="6">
        <v>19.53</v>
      </c>
    </row>
    <row r="672" spans="1:5" x14ac:dyDescent="0.25">
      <c r="A672" s="4">
        <v>36780</v>
      </c>
      <c r="B672" s="5">
        <v>156</v>
      </c>
      <c r="D672" s="4">
        <v>32855</v>
      </c>
      <c r="E672" s="6">
        <v>19.78</v>
      </c>
    </row>
    <row r="673" spans="1:5" x14ac:dyDescent="0.25">
      <c r="A673" s="4">
        <v>36781</v>
      </c>
      <c r="B673" s="5">
        <v>155.5</v>
      </c>
      <c r="D673" s="4">
        <v>32856</v>
      </c>
      <c r="E673" s="6">
        <v>19.68</v>
      </c>
    </row>
    <row r="674" spans="1:5" x14ac:dyDescent="0.25">
      <c r="A674" s="4">
        <v>36782</v>
      </c>
      <c r="B674" s="5">
        <v>145</v>
      </c>
      <c r="D674" s="4">
        <v>32857</v>
      </c>
      <c r="E674" s="6">
        <v>19.68</v>
      </c>
    </row>
    <row r="675" spans="1:5" x14ac:dyDescent="0.25">
      <c r="A675" s="4">
        <v>36783</v>
      </c>
      <c r="B675" s="5">
        <v>149.25</v>
      </c>
      <c r="D675" s="4">
        <v>32860</v>
      </c>
      <c r="E675" s="6">
        <v>19.98</v>
      </c>
    </row>
    <row r="676" spans="1:5" x14ac:dyDescent="0.25">
      <c r="A676" s="4">
        <v>36784</v>
      </c>
      <c r="B676" s="5">
        <v>150.25</v>
      </c>
      <c r="D676" s="4">
        <v>32861</v>
      </c>
      <c r="E676" s="6">
        <v>20.28</v>
      </c>
    </row>
    <row r="677" spans="1:5" x14ac:dyDescent="0.25">
      <c r="A677" s="4">
        <v>36787</v>
      </c>
      <c r="B677" s="5">
        <v>151</v>
      </c>
      <c r="D677" s="4">
        <v>32862</v>
      </c>
      <c r="E677" s="6">
        <v>20.23</v>
      </c>
    </row>
    <row r="678" spans="1:5" x14ac:dyDescent="0.25">
      <c r="A678" s="4">
        <v>36788</v>
      </c>
      <c r="B678" s="5">
        <v>149</v>
      </c>
      <c r="D678" s="4">
        <v>32863</v>
      </c>
      <c r="E678" s="6">
        <v>20.13</v>
      </c>
    </row>
    <row r="679" spans="1:5" x14ac:dyDescent="0.25">
      <c r="A679" s="4">
        <v>36789</v>
      </c>
      <c r="B679" s="5">
        <v>155.5</v>
      </c>
      <c r="D679" s="4">
        <v>32864</v>
      </c>
      <c r="E679" s="6">
        <v>20.5</v>
      </c>
    </row>
    <row r="680" spans="1:5" x14ac:dyDescent="0.25">
      <c r="A680" s="4">
        <v>36790</v>
      </c>
      <c r="B680" s="5">
        <v>154</v>
      </c>
      <c r="D680" s="4">
        <v>32867</v>
      </c>
      <c r="E680" s="5"/>
    </row>
    <row r="681" spans="1:5" x14ac:dyDescent="0.25">
      <c r="A681" s="4">
        <v>36791</v>
      </c>
      <c r="B681" s="5">
        <v>155.5</v>
      </c>
      <c r="D681" s="4">
        <v>32868</v>
      </c>
      <c r="E681" s="5"/>
    </row>
    <row r="682" spans="1:5" x14ac:dyDescent="0.25">
      <c r="A682" s="4">
        <v>36794</v>
      </c>
      <c r="B682" s="5">
        <v>153.5</v>
      </c>
      <c r="D682" s="4">
        <v>32869</v>
      </c>
      <c r="E682" s="6">
        <v>20.9</v>
      </c>
    </row>
    <row r="683" spans="1:5" x14ac:dyDescent="0.25">
      <c r="A683" s="4">
        <v>36795</v>
      </c>
      <c r="B683" s="5">
        <v>153.5</v>
      </c>
      <c r="D683" s="4">
        <v>32870</v>
      </c>
      <c r="E683" s="6">
        <v>20.85</v>
      </c>
    </row>
    <row r="684" spans="1:5" x14ac:dyDescent="0.25">
      <c r="A684" s="4">
        <v>36796</v>
      </c>
      <c r="B684" s="5">
        <v>156</v>
      </c>
      <c r="D684" s="4">
        <v>32871</v>
      </c>
      <c r="E684" s="6">
        <v>21.05</v>
      </c>
    </row>
    <row r="685" spans="1:5" x14ac:dyDescent="0.25">
      <c r="A685" s="4">
        <v>36797</v>
      </c>
      <c r="B685" s="5">
        <v>160.75</v>
      </c>
      <c r="D685" s="4">
        <v>32874</v>
      </c>
      <c r="E685" s="5"/>
    </row>
    <row r="686" spans="1:5" x14ac:dyDescent="0.25">
      <c r="A686" s="4">
        <v>36798</v>
      </c>
      <c r="B686" s="5">
        <v>167.25</v>
      </c>
      <c r="D686" s="4">
        <v>32875</v>
      </c>
      <c r="E686" s="6">
        <v>21.2</v>
      </c>
    </row>
    <row r="687" spans="1:5" x14ac:dyDescent="0.25">
      <c r="A687" s="4">
        <v>36801</v>
      </c>
      <c r="B687" s="5">
        <v>168.5</v>
      </c>
      <c r="D687" s="4">
        <v>32876</v>
      </c>
      <c r="E687" s="6">
        <v>22.65</v>
      </c>
    </row>
    <row r="688" spans="1:5" x14ac:dyDescent="0.25">
      <c r="A688" s="4">
        <v>36802</v>
      </c>
      <c r="B688" s="5">
        <v>171</v>
      </c>
      <c r="D688" s="4">
        <v>32877</v>
      </c>
      <c r="E688" s="6">
        <v>22.5</v>
      </c>
    </row>
    <row r="689" spans="1:5" x14ac:dyDescent="0.25">
      <c r="A689" s="4">
        <v>36803</v>
      </c>
      <c r="B689" s="5">
        <v>164</v>
      </c>
      <c r="D689" s="4">
        <v>32878</v>
      </c>
      <c r="E689" s="6">
        <v>23.13</v>
      </c>
    </row>
    <row r="690" spans="1:5" x14ac:dyDescent="0.25">
      <c r="A690" s="4">
        <v>36804</v>
      </c>
      <c r="B690" s="5">
        <v>160.25</v>
      </c>
      <c r="D690" s="4">
        <v>32881</v>
      </c>
      <c r="E690" s="6">
        <v>21.38</v>
      </c>
    </row>
    <row r="691" spans="1:5" x14ac:dyDescent="0.25">
      <c r="A691" s="4">
        <v>36805</v>
      </c>
      <c r="B691" s="5">
        <v>161.5</v>
      </c>
      <c r="D691" s="4">
        <v>32882</v>
      </c>
      <c r="E691" s="6">
        <v>21.03</v>
      </c>
    </row>
    <row r="692" spans="1:5" x14ac:dyDescent="0.25">
      <c r="A692" s="4">
        <v>36808</v>
      </c>
      <c r="B692" s="5">
        <v>158.75</v>
      </c>
      <c r="D692" s="4">
        <v>32883</v>
      </c>
      <c r="E692" s="6">
        <v>21.95</v>
      </c>
    </row>
    <row r="693" spans="1:5" x14ac:dyDescent="0.25">
      <c r="A693" s="4">
        <v>36809</v>
      </c>
      <c r="B693" s="5">
        <v>153.5</v>
      </c>
      <c r="D693" s="4">
        <v>32884</v>
      </c>
      <c r="E693" s="6">
        <v>21.88</v>
      </c>
    </row>
    <row r="694" spans="1:5" x14ac:dyDescent="0.25">
      <c r="A694" s="4">
        <v>36810</v>
      </c>
      <c r="B694" s="5">
        <v>156</v>
      </c>
      <c r="D694" s="4">
        <v>32885</v>
      </c>
      <c r="E694" s="6">
        <v>22.13</v>
      </c>
    </row>
    <row r="695" spans="1:5" x14ac:dyDescent="0.25">
      <c r="A695" s="4">
        <v>36811</v>
      </c>
      <c r="B695" s="5">
        <v>155</v>
      </c>
      <c r="D695" s="4">
        <v>32888</v>
      </c>
      <c r="E695" s="6">
        <v>21.6</v>
      </c>
    </row>
    <row r="696" spans="1:5" x14ac:dyDescent="0.25">
      <c r="A696" s="4">
        <v>36812</v>
      </c>
      <c r="B696" s="5">
        <v>154.5</v>
      </c>
      <c r="D696" s="4">
        <v>32889</v>
      </c>
      <c r="E696" s="6">
        <v>21.15</v>
      </c>
    </row>
    <row r="697" spans="1:5" x14ac:dyDescent="0.25">
      <c r="A697" s="4">
        <v>36815</v>
      </c>
      <c r="B697" s="5">
        <v>153</v>
      </c>
      <c r="D697" s="4">
        <v>32890</v>
      </c>
      <c r="E697" s="6">
        <v>20.45</v>
      </c>
    </row>
    <row r="698" spans="1:5" x14ac:dyDescent="0.25">
      <c r="A698" s="4">
        <v>36816</v>
      </c>
      <c r="B698" s="5">
        <v>151</v>
      </c>
      <c r="D698" s="4">
        <v>32891</v>
      </c>
      <c r="E698" s="6">
        <v>20.78</v>
      </c>
    </row>
    <row r="699" spans="1:5" x14ac:dyDescent="0.25">
      <c r="A699" s="4">
        <v>36817</v>
      </c>
      <c r="B699" s="5">
        <v>146.5</v>
      </c>
      <c r="D699" s="4">
        <v>32892</v>
      </c>
      <c r="E699" s="6">
        <v>21.28</v>
      </c>
    </row>
    <row r="700" spans="1:5" x14ac:dyDescent="0.25">
      <c r="A700" s="4">
        <v>36818</v>
      </c>
      <c r="B700" s="5">
        <v>144.5</v>
      </c>
      <c r="D700" s="4">
        <v>32895</v>
      </c>
      <c r="E700" s="6">
        <v>20.88</v>
      </c>
    </row>
    <row r="701" spans="1:5" x14ac:dyDescent="0.25">
      <c r="A701" s="4">
        <v>36819</v>
      </c>
      <c r="B701" s="5">
        <v>146</v>
      </c>
      <c r="D701" s="4">
        <v>32896</v>
      </c>
      <c r="E701" s="6">
        <v>20.23</v>
      </c>
    </row>
    <row r="702" spans="1:5" x14ac:dyDescent="0.25">
      <c r="A702" s="4">
        <v>36822</v>
      </c>
      <c r="B702" s="5">
        <v>143.25</v>
      </c>
      <c r="D702" s="4">
        <v>32897</v>
      </c>
      <c r="E702" s="6">
        <v>20.18</v>
      </c>
    </row>
    <row r="703" spans="1:5" x14ac:dyDescent="0.25">
      <c r="A703" s="4">
        <v>36823</v>
      </c>
      <c r="B703" s="5">
        <v>142</v>
      </c>
      <c r="D703" s="4">
        <v>32898</v>
      </c>
      <c r="E703" s="6">
        <v>20.55</v>
      </c>
    </row>
    <row r="704" spans="1:5" x14ac:dyDescent="0.25">
      <c r="A704" s="4">
        <v>36824</v>
      </c>
      <c r="B704" s="5">
        <v>138.75</v>
      </c>
      <c r="D704" s="4">
        <v>32899</v>
      </c>
      <c r="E704" s="6">
        <v>20.63</v>
      </c>
    </row>
    <row r="705" spans="1:5" x14ac:dyDescent="0.25">
      <c r="A705" s="4">
        <v>36826</v>
      </c>
      <c r="B705" s="5">
        <v>139.5</v>
      </c>
      <c r="D705" s="4">
        <v>32902</v>
      </c>
      <c r="E705" s="6">
        <v>20.73</v>
      </c>
    </row>
    <row r="706" spans="1:5" x14ac:dyDescent="0.25">
      <c r="A706" s="4">
        <v>36829</v>
      </c>
      <c r="B706" s="5">
        <v>140</v>
      </c>
      <c r="D706" s="4">
        <v>32903</v>
      </c>
      <c r="E706" s="6">
        <v>20.73</v>
      </c>
    </row>
    <row r="707" spans="1:5" x14ac:dyDescent="0.25">
      <c r="A707" s="4">
        <v>36830</v>
      </c>
      <c r="B707" s="5">
        <v>139.25</v>
      </c>
      <c r="D707" s="4">
        <v>32904</v>
      </c>
      <c r="E707" s="6">
        <v>20.5</v>
      </c>
    </row>
    <row r="708" spans="1:5" x14ac:dyDescent="0.25">
      <c r="A708" s="4">
        <v>36831</v>
      </c>
      <c r="B708" s="5">
        <v>142.25</v>
      </c>
      <c r="D708" s="4">
        <v>32905</v>
      </c>
      <c r="E708" s="6">
        <v>20.58</v>
      </c>
    </row>
    <row r="709" spans="1:5" x14ac:dyDescent="0.25">
      <c r="A709" s="4">
        <v>36832</v>
      </c>
      <c r="B709" s="5">
        <v>144.5</v>
      </c>
      <c r="D709" s="4">
        <v>32906</v>
      </c>
      <c r="E709" s="6">
        <v>20.73</v>
      </c>
    </row>
    <row r="710" spans="1:5" x14ac:dyDescent="0.25">
      <c r="A710" s="4">
        <v>36833</v>
      </c>
      <c r="B710" s="5">
        <v>147.5</v>
      </c>
      <c r="D710" s="4">
        <v>32909</v>
      </c>
      <c r="E710" s="6">
        <v>20.73</v>
      </c>
    </row>
    <row r="711" spans="1:5" x14ac:dyDescent="0.25">
      <c r="A711" s="4">
        <v>36836</v>
      </c>
      <c r="B711" s="5">
        <v>152</v>
      </c>
      <c r="D711" s="4">
        <v>32910</v>
      </c>
      <c r="E711" s="6">
        <v>20.6</v>
      </c>
    </row>
    <row r="712" spans="1:5" x14ac:dyDescent="0.25">
      <c r="A712" s="4">
        <v>36837</v>
      </c>
      <c r="B712" s="5">
        <v>151.5</v>
      </c>
      <c r="D712" s="4">
        <v>32911</v>
      </c>
      <c r="E712" s="6">
        <v>20.149999999999999</v>
      </c>
    </row>
    <row r="713" spans="1:5" x14ac:dyDescent="0.25">
      <c r="A713" s="4">
        <v>36838</v>
      </c>
      <c r="B713" s="5">
        <v>147.25</v>
      </c>
      <c r="D713" s="4">
        <v>32912</v>
      </c>
      <c r="E713" s="6">
        <v>20.05</v>
      </c>
    </row>
    <row r="714" spans="1:5" x14ac:dyDescent="0.25">
      <c r="A714" s="4">
        <v>36839</v>
      </c>
      <c r="B714" s="5">
        <v>153</v>
      </c>
      <c r="D714" s="4">
        <v>32913</v>
      </c>
      <c r="E714" s="6">
        <v>19.75</v>
      </c>
    </row>
    <row r="715" spans="1:5" x14ac:dyDescent="0.25">
      <c r="A715" s="4">
        <v>36840</v>
      </c>
      <c r="B715" s="5">
        <v>151</v>
      </c>
      <c r="D715" s="4">
        <v>32916</v>
      </c>
      <c r="E715" s="6">
        <v>19.68</v>
      </c>
    </row>
    <row r="716" spans="1:5" x14ac:dyDescent="0.25">
      <c r="A716" s="4">
        <v>36843</v>
      </c>
      <c r="B716" s="5">
        <v>147.5</v>
      </c>
      <c r="D716" s="4">
        <v>32917</v>
      </c>
      <c r="E716" s="6">
        <v>20.03</v>
      </c>
    </row>
    <row r="717" spans="1:5" x14ac:dyDescent="0.25">
      <c r="A717" s="4">
        <v>36844</v>
      </c>
      <c r="B717" s="5">
        <v>150</v>
      </c>
      <c r="D717" s="4">
        <v>32918</v>
      </c>
      <c r="E717" s="6">
        <v>19.600000000000001</v>
      </c>
    </row>
    <row r="718" spans="1:5" x14ac:dyDescent="0.25">
      <c r="A718" s="4">
        <v>36845</v>
      </c>
      <c r="B718" s="5">
        <v>148</v>
      </c>
      <c r="D718" s="4">
        <v>32919</v>
      </c>
      <c r="E718" s="6">
        <v>19.899999999999999</v>
      </c>
    </row>
    <row r="719" spans="1:5" x14ac:dyDescent="0.25">
      <c r="A719" s="4">
        <v>36846</v>
      </c>
      <c r="B719" s="5">
        <v>151</v>
      </c>
      <c r="D719" s="4">
        <v>32920</v>
      </c>
      <c r="E719" s="6">
        <v>19.88</v>
      </c>
    </row>
    <row r="720" spans="1:5" x14ac:dyDescent="0.25">
      <c r="A720" s="4">
        <v>36847</v>
      </c>
      <c r="B720" s="5">
        <v>150</v>
      </c>
      <c r="D720" s="4">
        <v>32923</v>
      </c>
      <c r="E720" s="6">
        <v>19.95</v>
      </c>
    </row>
    <row r="721" spans="1:5" x14ac:dyDescent="0.25">
      <c r="A721" s="4">
        <v>36850</v>
      </c>
      <c r="B721" s="5">
        <v>147.25</v>
      </c>
      <c r="D721" s="4">
        <v>32924</v>
      </c>
      <c r="E721" s="6">
        <v>19.68</v>
      </c>
    </row>
    <row r="722" spans="1:5" x14ac:dyDescent="0.25">
      <c r="A722" s="4">
        <v>36851</v>
      </c>
      <c r="B722" s="5">
        <v>150.5</v>
      </c>
      <c r="D722" s="4">
        <v>32925</v>
      </c>
      <c r="E722" s="6">
        <v>19.5</v>
      </c>
    </row>
    <row r="723" spans="1:5" x14ac:dyDescent="0.25">
      <c r="A723" s="4">
        <v>36852</v>
      </c>
      <c r="B723" s="5">
        <v>148.75</v>
      </c>
      <c r="D723" s="4">
        <v>32926</v>
      </c>
      <c r="E723" s="6">
        <v>19.350000000000001</v>
      </c>
    </row>
    <row r="724" spans="1:5" x14ac:dyDescent="0.25">
      <c r="A724" s="4">
        <v>36853</v>
      </c>
      <c r="B724" s="5">
        <v>146.75</v>
      </c>
      <c r="D724" s="4">
        <v>32927</v>
      </c>
      <c r="E724" s="6">
        <v>18.78</v>
      </c>
    </row>
    <row r="725" spans="1:5" x14ac:dyDescent="0.25">
      <c r="A725" s="4">
        <v>36854</v>
      </c>
      <c r="B725" s="5">
        <v>139</v>
      </c>
      <c r="D725" s="4">
        <v>32930</v>
      </c>
      <c r="E725" s="6">
        <v>18.899999999999999</v>
      </c>
    </row>
    <row r="726" spans="1:5" x14ac:dyDescent="0.25">
      <c r="A726" s="4">
        <v>36857</v>
      </c>
      <c r="B726" s="5">
        <v>133.25</v>
      </c>
      <c r="D726" s="4">
        <v>32931</v>
      </c>
      <c r="E726" s="6">
        <v>19.23</v>
      </c>
    </row>
    <row r="727" spans="1:5" x14ac:dyDescent="0.25">
      <c r="A727" s="4">
        <v>36858</v>
      </c>
      <c r="B727" s="5">
        <v>136.5</v>
      </c>
      <c r="D727" s="4">
        <v>32932</v>
      </c>
      <c r="E727" s="6">
        <v>19.2</v>
      </c>
    </row>
    <row r="728" spans="1:5" x14ac:dyDescent="0.25">
      <c r="A728" s="4">
        <v>36859</v>
      </c>
      <c r="B728" s="5">
        <v>129</v>
      </c>
      <c r="D728" s="4">
        <v>32933</v>
      </c>
      <c r="E728" s="6">
        <v>19.329999999999998</v>
      </c>
    </row>
    <row r="729" spans="1:5" x14ac:dyDescent="0.25">
      <c r="A729" s="4">
        <v>36860</v>
      </c>
      <c r="B729" s="5">
        <v>128.5</v>
      </c>
      <c r="D729" s="4">
        <v>32934</v>
      </c>
      <c r="E729" s="6">
        <v>19.18</v>
      </c>
    </row>
    <row r="730" spans="1:5" x14ac:dyDescent="0.25">
      <c r="A730" s="4">
        <v>36861</v>
      </c>
      <c r="B730" s="5">
        <v>129</v>
      </c>
      <c r="D730" s="4">
        <v>32937</v>
      </c>
      <c r="E730" s="6">
        <v>19.149999999999999</v>
      </c>
    </row>
    <row r="731" spans="1:5" x14ac:dyDescent="0.25">
      <c r="A731" s="4">
        <v>36864</v>
      </c>
      <c r="B731" s="5">
        <v>129.5</v>
      </c>
      <c r="D731" s="4">
        <v>32938</v>
      </c>
      <c r="E731" s="6">
        <v>19.18</v>
      </c>
    </row>
    <row r="732" spans="1:5" x14ac:dyDescent="0.25">
      <c r="A732" s="4">
        <v>36865</v>
      </c>
      <c r="B732" s="5">
        <v>122</v>
      </c>
      <c r="D732" s="4">
        <v>32939</v>
      </c>
      <c r="E732" s="6">
        <v>18.95</v>
      </c>
    </row>
    <row r="733" spans="1:5" x14ac:dyDescent="0.25">
      <c r="A733" s="4">
        <v>36866</v>
      </c>
      <c r="B733" s="5">
        <v>111.5</v>
      </c>
      <c r="D733" s="4">
        <v>32940</v>
      </c>
      <c r="E733" s="6">
        <v>18.73</v>
      </c>
    </row>
    <row r="734" spans="1:5" x14ac:dyDescent="0.25">
      <c r="A734" s="4">
        <v>36867</v>
      </c>
      <c r="B734" s="5">
        <v>116.75</v>
      </c>
      <c r="D734" s="4">
        <v>32941</v>
      </c>
      <c r="E734" s="6">
        <v>18.68</v>
      </c>
    </row>
    <row r="735" spans="1:5" x14ac:dyDescent="0.25">
      <c r="A735" s="4">
        <v>36868</v>
      </c>
      <c r="B735" s="5">
        <v>114</v>
      </c>
      <c r="D735" s="4">
        <v>32944</v>
      </c>
      <c r="E735" s="6">
        <v>18.3</v>
      </c>
    </row>
    <row r="736" spans="1:5" x14ac:dyDescent="0.25">
      <c r="A736" s="4">
        <v>36871</v>
      </c>
      <c r="B736" s="5">
        <v>109.5</v>
      </c>
      <c r="D736" s="4">
        <v>32945</v>
      </c>
      <c r="E736" s="6">
        <v>18.53</v>
      </c>
    </row>
    <row r="737" spans="1:5" x14ac:dyDescent="0.25">
      <c r="A737" s="4">
        <v>36872</v>
      </c>
      <c r="B737" s="5">
        <v>101</v>
      </c>
      <c r="D737" s="4">
        <v>32946</v>
      </c>
      <c r="E737" s="6">
        <v>18.329999999999998</v>
      </c>
    </row>
    <row r="738" spans="1:5" x14ac:dyDescent="0.25">
      <c r="A738" s="4">
        <v>36873</v>
      </c>
      <c r="B738" s="5">
        <v>99.5</v>
      </c>
      <c r="D738" s="4">
        <v>32947</v>
      </c>
      <c r="E738" s="6">
        <v>18.48</v>
      </c>
    </row>
    <row r="739" spans="1:5" x14ac:dyDescent="0.25">
      <c r="A739" s="4">
        <v>36874</v>
      </c>
      <c r="B739" s="5">
        <v>106</v>
      </c>
      <c r="D739" s="4">
        <v>32948</v>
      </c>
      <c r="E739" s="6">
        <v>18.399999999999999</v>
      </c>
    </row>
    <row r="740" spans="1:5" x14ac:dyDescent="0.25">
      <c r="A740" s="4">
        <v>36875</v>
      </c>
      <c r="B740" s="5">
        <v>105</v>
      </c>
      <c r="D740" s="4">
        <v>32951</v>
      </c>
      <c r="E740" s="6">
        <v>17.829999999999998</v>
      </c>
    </row>
    <row r="741" spans="1:5" x14ac:dyDescent="0.25">
      <c r="A741" s="4">
        <v>36878</v>
      </c>
      <c r="B741" s="5">
        <v>101.25</v>
      </c>
      <c r="D741" s="4">
        <v>32952</v>
      </c>
      <c r="E741" s="6">
        <v>17.75</v>
      </c>
    </row>
    <row r="742" spans="1:5" x14ac:dyDescent="0.25">
      <c r="A742" s="4">
        <v>36879</v>
      </c>
      <c r="B742" s="5">
        <v>108</v>
      </c>
      <c r="D742" s="4">
        <v>32953</v>
      </c>
      <c r="E742" s="6">
        <v>17.78</v>
      </c>
    </row>
    <row r="743" spans="1:5" x14ac:dyDescent="0.25">
      <c r="A743" s="4">
        <v>36880</v>
      </c>
      <c r="B743" s="5">
        <v>106</v>
      </c>
      <c r="D743" s="4">
        <v>32954</v>
      </c>
      <c r="E743" s="6">
        <v>17.829999999999998</v>
      </c>
    </row>
    <row r="744" spans="1:5" x14ac:dyDescent="0.25">
      <c r="A744" s="4">
        <v>36881</v>
      </c>
      <c r="B744" s="5">
        <v>103</v>
      </c>
      <c r="D744" s="4">
        <v>32955</v>
      </c>
      <c r="E744" s="6">
        <v>17.88</v>
      </c>
    </row>
    <row r="745" spans="1:5" x14ac:dyDescent="0.25">
      <c r="A745" s="4">
        <v>36882</v>
      </c>
      <c r="B745" s="5">
        <v>98.5</v>
      </c>
      <c r="D745" s="4">
        <v>32958</v>
      </c>
      <c r="E745" s="6">
        <v>18.23</v>
      </c>
    </row>
    <row r="746" spans="1:5" x14ac:dyDescent="0.25">
      <c r="A746" s="4">
        <v>36886</v>
      </c>
      <c r="B746" s="5">
        <v>102</v>
      </c>
      <c r="D746" s="4">
        <v>32959</v>
      </c>
      <c r="E746" s="6">
        <v>18.100000000000001</v>
      </c>
    </row>
    <row r="747" spans="1:5" x14ac:dyDescent="0.25">
      <c r="A747" s="4">
        <v>36888</v>
      </c>
      <c r="B747" s="5">
        <v>99.5</v>
      </c>
      <c r="D747" s="4">
        <v>32960</v>
      </c>
      <c r="E747" s="6">
        <v>18.03</v>
      </c>
    </row>
    <row r="748" spans="1:5" x14ac:dyDescent="0.25">
      <c r="A748" s="4">
        <v>36889</v>
      </c>
      <c r="B748" s="5">
        <v>100</v>
      </c>
      <c r="D748" s="4">
        <v>32961</v>
      </c>
      <c r="E748" s="6">
        <v>17.899999999999999</v>
      </c>
    </row>
    <row r="749" spans="1:5" x14ac:dyDescent="0.25">
      <c r="A749" s="4">
        <v>36893</v>
      </c>
      <c r="B749" s="5">
        <v>102</v>
      </c>
      <c r="D749" s="4">
        <v>32962</v>
      </c>
      <c r="E749" s="6">
        <v>17.95</v>
      </c>
    </row>
    <row r="750" spans="1:5" x14ac:dyDescent="0.25">
      <c r="A750" s="4">
        <v>36894</v>
      </c>
      <c r="B750" s="5">
        <v>96.5</v>
      </c>
      <c r="D750" s="4">
        <v>32965</v>
      </c>
      <c r="E750" s="6">
        <v>18.18</v>
      </c>
    </row>
    <row r="751" spans="1:5" x14ac:dyDescent="0.25">
      <c r="A751" s="4">
        <v>36895</v>
      </c>
      <c r="B751" s="5">
        <v>98</v>
      </c>
      <c r="D751" s="4">
        <v>32966</v>
      </c>
      <c r="E751" s="6">
        <v>18.2</v>
      </c>
    </row>
    <row r="752" spans="1:5" x14ac:dyDescent="0.25">
      <c r="A752" s="4">
        <v>36896</v>
      </c>
      <c r="B752" s="5">
        <v>98</v>
      </c>
      <c r="D752" s="4">
        <v>32967</v>
      </c>
      <c r="E752" s="6">
        <v>17.95</v>
      </c>
    </row>
    <row r="753" spans="1:5" x14ac:dyDescent="0.25">
      <c r="A753" s="4">
        <v>36899</v>
      </c>
      <c r="B753" s="5">
        <v>97</v>
      </c>
      <c r="D753" s="4">
        <v>32968</v>
      </c>
      <c r="E753" s="6">
        <v>17.55</v>
      </c>
    </row>
    <row r="754" spans="1:5" x14ac:dyDescent="0.25">
      <c r="A754" s="4">
        <v>36900</v>
      </c>
      <c r="B754" s="5">
        <v>96</v>
      </c>
      <c r="D754" s="4">
        <v>32969</v>
      </c>
      <c r="E754" s="6">
        <v>17.100000000000001</v>
      </c>
    </row>
    <row r="755" spans="1:5" x14ac:dyDescent="0.25">
      <c r="A755" s="4">
        <v>36901</v>
      </c>
      <c r="B755" s="5">
        <v>100</v>
      </c>
      <c r="D755" s="4">
        <v>32972</v>
      </c>
      <c r="E755" s="6">
        <v>16.53</v>
      </c>
    </row>
    <row r="756" spans="1:5" x14ac:dyDescent="0.25">
      <c r="A756" s="4">
        <v>36902</v>
      </c>
      <c r="B756" s="5">
        <v>104.5</v>
      </c>
      <c r="D756" s="4">
        <v>32973</v>
      </c>
      <c r="E756" s="6">
        <v>15.93</v>
      </c>
    </row>
    <row r="757" spans="1:5" x14ac:dyDescent="0.25">
      <c r="A757" s="4">
        <v>36903</v>
      </c>
      <c r="B757" s="5">
        <v>102</v>
      </c>
      <c r="D757" s="4">
        <v>32974</v>
      </c>
      <c r="E757" s="6">
        <v>15.3</v>
      </c>
    </row>
    <row r="758" spans="1:5" x14ac:dyDescent="0.25">
      <c r="A758" s="4">
        <v>36906</v>
      </c>
      <c r="B758" s="5">
        <v>103</v>
      </c>
      <c r="D758" s="4">
        <v>32975</v>
      </c>
      <c r="E758" s="6">
        <v>15.8</v>
      </c>
    </row>
    <row r="759" spans="1:5" x14ac:dyDescent="0.25">
      <c r="A759" s="4">
        <v>36907</v>
      </c>
      <c r="B759" s="5">
        <v>101.5</v>
      </c>
      <c r="D759" s="4">
        <v>32976</v>
      </c>
      <c r="E759" s="5"/>
    </row>
    <row r="760" spans="1:5" x14ac:dyDescent="0.25">
      <c r="A760" s="4">
        <v>36908</v>
      </c>
      <c r="B760" s="5">
        <v>103.5</v>
      </c>
      <c r="D760" s="4">
        <v>32979</v>
      </c>
      <c r="E760" s="5"/>
    </row>
    <row r="761" spans="1:5" x14ac:dyDescent="0.25">
      <c r="A761" s="4">
        <v>36909</v>
      </c>
      <c r="B761" s="5">
        <v>109</v>
      </c>
      <c r="D761" s="4">
        <v>32980</v>
      </c>
      <c r="E761" s="6">
        <v>15.7</v>
      </c>
    </row>
    <row r="762" spans="1:5" x14ac:dyDescent="0.25">
      <c r="A762" s="4">
        <v>36910</v>
      </c>
      <c r="B762" s="5">
        <v>108.5</v>
      </c>
      <c r="D762" s="4">
        <v>32981</v>
      </c>
      <c r="E762" s="6">
        <v>15.33</v>
      </c>
    </row>
    <row r="763" spans="1:5" x14ac:dyDescent="0.25">
      <c r="A763" s="4">
        <v>36913</v>
      </c>
      <c r="B763" s="5">
        <v>109</v>
      </c>
      <c r="D763" s="4">
        <v>32982</v>
      </c>
      <c r="E763" s="6">
        <v>16.13</v>
      </c>
    </row>
    <row r="764" spans="1:5" x14ac:dyDescent="0.25">
      <c r="A764" s="4">
        <v>36914</v>
      </c>
      <c r="B764" s="5">
        <v>109</v>
      </c>
      <c r="D764" s="4">
        <v>32983</v>
      </c>
      <c r="E764" s="6">
        <v>16.350000000000001</v>
      </c>
    </row>
    <row r="765" spans="1:5" x14ac:dyDescent="0.25">
      <c r="A765" s="4">
        <v>36917</v>
      </c>
      <c r="B765" s="5">
        <v>112</v>
      </c>
      <c r="D765" s="4">
        <v>32986</v>
      </c>
      <c r="E765" s="6">
        <v>16.95</v>
      </c>
    </row>
    <row r="766" spans="1:5" x14ac:dyDescent="0.25">
      <c r="A766" s="4">
        <v>36920</v>
      </c>
      <c r="B766" s="5">
        <v>123</v>
      </c>
      <c r="D766" s="4">
        <v>32987</v>
      </c>
      <c r="E766" s="6">
        <v>16.75</v>
      </c>
    </row>
    <row r="767" spans="1:5" x14ac:dyDescent="0.25">
      <c r="A767" s="4">
        <v>36921</v>
      </c>
      <c r="B767" s="5">
        <v>121.5</v>
      </c>
      <c r="D767" s="4">
        <v>32988</v>
      </c>
      <c r="E767" s="6">
        <v>16.5</v>
      </c>
    </row>
    <row r="768" spans="1:5" x14ac:dyDescent="0.25">
      <c r="A768" s="4">
        <v>36922</v>
      </c>
      <c r="B768" s="5">
        <v>121.25</v>
      </c>
      <c r="D768" s="4">
        <v>32989</v>
      </c>
      <c r="E768" s="6">
        <v>16.600000000000001</v>
      </c>
    </row>
    <row r="769" spans="1:5" x14ac:dyDescent="0.25">
      <c r="A769" s="4">
        <v>36923</v>
      </c>
      <c r="B769" s="5">
        <v>122</v>
      </c>
      <c r="D769" s="4">
        <v>32990</v>
      </c>
      <c r="E769" s="6">
        <v>16.43</v>
      </c>
    </row>
    <row r="770" spans="1:5" x14ac:dyDescent="0.25">
      <c r="A770" s="4">
        <v>36924</v>
      </c>
      <c r="B770" s="5">
        <v>122</v>
      </c>
      <c r="D770" s="4">
        <v>32993</v>
      </c>
      <c r="E770" s="6">
        <v>16.350000000000001</v>
      </c>
    </row>
    <row r="771" spans="1:5" x14ac:dyDescent="0.25">
      <c r="A771" s="4">
        <v>36927</v>
      </c>
      <c r="B771" s="5">
        <v>113.5</v>
      </c>
      <c r="D771" s="4">
        <v>32994</v>
      </c>
      <c r="E771" s="6">
        <v>16.43</v>
      </c>
    </row>
    <row r="772" spans="1:5" x14ac:dyDescent="0.25">
      <c r="A772" s="4">
        <v>36928</v>
      </c>
      <c r="B772" s="5">
        <v>106.5</v>
      </c>
      <c r="D772" s="4">
        <v>32995</v>
      </c>
      <c r="E772" s="6">
        <v>16.579999999999998</v>
      </c>
    </row>
    <row r="773" spans="1:5" x14ac:dyDescent="0.25">
      <c r="A773" s="4">
        <v>36929</v>
      </c>
      <c r="B773" s="5">
        <v>105.5</v>
      </c>
      <c r="D773" s="4">
        <v>32996</v>
      </c>
      <c r="E773" s="6">
        <v>15.93</v>
      </c>
    </row>
    <row r="774" spans="1:5" x14ac:dyDescent="0.25">
      <c r="A774" s="4">
        <v>36930</v>
      </c>
      <c r="B774" s="5">
        <v>112.5</v>
      </c>
      <c r="D774" s="4">
        <v>32997</v>
      </c>
      <c r="E774" s="6">
        <v>15.58</v>
      </c>
    </row>
    <row r="775" spans="1:5" x14ac:dyDescent="0.25">
      <c r="A775" s="4">
        <v>36931</v>
      </c>
      <c r="B775" s="5">
        <v>120</v>
      </c>
      <c r="D775" s="4">
        <v>33000</v>
      </c>
      <c r="E775" s="6">
        <v>15.65</v>
      </c>
    </row>
    <row r="776" spans="1:5" x14ac:dyDescent="0.25">
      <c r="A776" s="4">
        <v>36934</v>
      </c>
      <c r="B776" s="5">
        <v>123</v>
      </c>
      <c r="D776" s="4">
        <v>33001</v>
      </c>
      <c r="E776" s="6">
        <v>16.18</v>
      </c>
    </row>
    <row r="777" spans="1:5" x14ac:dyDescent="0.25">
      <c r="A777" s="4">
        <v>36935</v>
      </c>
      <c r="B777" s="5">
        <v>126</v>
      </c>
      <c r="D777" s="4">
        <v>33002</v>
      </c>
      <c r="E777" s="6">
        <v>16.45</v>
      </c>
    </row>
    <row r="778" spans="1:5" x14ac:dyDescent="0.25">
      <c r="A778" s="4">
        <v>36936</v>
      </c>
      <c r="B778" s="5">
        <v>121.5</v>
      </c>
      <c r="D778" s="4">
        <v>33003</v>
      </c>
      <c r="E778" s="6">
        <v>16.7</v>
      </c>
    </row>
    <row r="779" spans="1:5" x14ac:dyDescent="0.25">
      <c r="A779" s="4">
        <v>36937</v>
      </c>
      <c r="B779" s="5">
        <v>122.5</v>
      </c>
      <c r="D779" s="4">
        <v>33004</v>
      </c>
      <c r="E779" s="6">
        <v>16.73</v>
      </c>
    </row>
    <row r="780" spans="1:5" x14ac:dyDescent="0.25">
      <c r="A780" s="4">
        <v>36938</v>
      </c>
      <c r="B780" s="5">
        <v>125</v>
      </c>
      <c r="D780" s="4">
        <v>33007</v>
      </c>
      <c r="E780" s="6">
        <v>17.399999999999999</v>
      </c>
    </row>
    <row r="781" spans="1:5" x14ac:dyDescent="0.25">
      <c r="A781" s="4">
        <v>36941</v>
      </c>
      <c r="B781" s="5">
        <v>125.5</v>
      </c>
      <c r="D781" s="4">
        <v>33008</v>
      </c>
      <c r="E781" s="6">
        <v>17.399999999999999</v>
      </c>
    </row>
    <row r="782" spans="1:5" x14ac:dyDescent="0.25">
      <c r="A782" s="4">
        <v>36942</v>
      </c>
      <c r="B782" s="5">
        <v>126.5</v>
      </c>
      <c r="D782" s="4">
        <v>33009</v>
      </c>
      <c r="E782" s="6">
        <v>17.25</v>
      </c>
    </row>
    <row r="783" spans="1:5" x14ac:dyDescent="0.25">
      <c r="A783" s="4">
        <v>36943</v>
      </c>
      <c r="B783" s="5">
        <v>126.5</v>
      </c>
      <c r="D783" s="4">
        <v>33010</v>
      </c>
      <c r="E783" s="6">
        <v>17.05</v>
      </c>
    </row>
    <row r="784" spans="1:5" x14ac:dyDescent="0.25">
      <c r="A784" s="4">
        <v>36944</v>
      </c>
      <c r="B784" s="5">
        <v>131.5</v>
      </c>
      <c r="D784" s="4">
        <v>33011</v>
      </c>
      <c r="E784" s="6">
        <v>17.079999999999998</v>
      </c>
    </row>
    <row r="785" spans="1:5" x14ac:dyDescent="0.25">
      <c r="A785" s="4">
        <v>36945</v>
      </c>
      <c r="B785" s="5">
        <v>128.5</v>
      </c>
      <c r="D785" s="4">
        <v>33014</v>
      </c>
      <c r="E785" s="6">
        <v>16.649999999999999</v>
      </c>
    </row>
    <row r="786" spans="1:5" x14ac:dyDescent="0.25">
      <c r="A786" s="4">
        <v>36948</v>
      </c>
      <c r="B786" s="5">
        <v>133.5</v>
      </c>
      <c r="D786" s="4">
        <v>33015</v>
      </c>
      <c r="E786" s="6">
        <v>16.48</v>
      </c>
    </row>
    <row r="787" spans="1:5" x14ac:dyDescent="0.25">
      <c r="A787" s="4">
        <v>36949</v>
      </c>
      <c r="B787" s="5">
        <v>134</v>
      </c>
      <c r="D787" s="4">
        <v>33016</v>
      </c>
      <c r="E787" s="6">
        <v>15.7</v>
      </c>
    </row>
    <row r="788" spans="1:5" x14ac:dyDescent="0.25">
      <c r="A788" s="4">
        <v>36950</v>
      </c>
      <c r="B788" s="5">
        <v>131</v>
      </c>
      <c r="D788" s="4">
        <v>33017</v>
      </c>
      <c r="E788" s="6">
        <v>15.8</v>
      </c>
    </row>
    <row r="789" spans="1:5" x14ac:dyDescent="0.25">
      <c r="A789" s="4">
        <v>36951</v>
      </c>
      <c r="B789" s="5">
        <v>127</v>
      </c>
      <c r="D789" s="4">
        <v>33018</v>
      </c>
      <c r="E789" s="6">
        <v>15.95</v>
      </c>
    </row>
    <row r="790" spans="1:5" x14ac:dyDescent="0.25">
      <c r="A790" s="4">
        <v>36952</v>
      </c>
      <c r="B790" s="5">
        <v>123.5</v>
      </c>
      <c r="D790" s="4">
        <v>33021</v>
      </c>
      <c r="E790" s="5"/>
    </row>
    <row r="791" spans="1:5" x14ac:dyDescent="0.25">
      <c r="A791" s="4">
        <v>36955</v>
      </c>
      <c r="B791" s="5">
        <v>122</v>
      </c>
      <c r="D791" s="4">
        <v>33022</v>
      </c>
      <c r="E791" s="6">
        <v>15.48</v>
      </c>
    </row>
    <row r="792" spans="1:5" x14ac:dyDescent="0.25">
      <c r="A792" s="4">
        <v>36957</v>
      </c>
      <c r="B792" s="5">
        <v>120</v>
      </c>
      <c r="D792" s="4">
        <v>33023</v>
      </c>
      <c r="E792" s="6">
        <v>15.98</v>
      </c>
    </row>
    <row r="793" spans="1:5" x14ac:dyDescent="0.25">
      <c r="A793" s="4">
        <v>36958</v>
      </c>
      <c r="B793" s="5">
        <v>119.5</v>
      </c>
      <c r="D793" s="4">
        <v>33024</v>
      </c>
      <c r="E793" s="6">
        <v>15.3</v>
      </c>
    </row>
    <row r="794" spans="1:5" x14ac:dyDescent="0.25">
      <c r="A794" s="4">
        <v>36959</v>
      </c>
      <c r="B794" s="5">
        <v>113.5</v>
      </c>
      <c r="D794" s="4">
        <v>33025</v>
      </c>
      <c r="E794" s="6">
        <v>15.43</v>
      </c>
    </row>
    <row r="795" spans="1:5" x14ac:dyDescent="0.25">
      <c r="A795" s="4">
        <v>36962</v>
      </c>
      <c r="B795" s="5">
        <v>114.75</v>
      </c>
      <c r="D795" s="4">
        <v>33028</v>
      </c>
      <c r="E795" s="6">
        <v>15.35</v>
      </c>
    </row>
    <row r="796" spans="1:5" x14ac:dyDescent="0.25">
      <c r="A796" s="4">
        <v>36963</v>
      </c>
      <c r="B796" s="5">
        <v>111.5</v>
      </c>
      <c r="D796" s="4">
        <v>33029</v>
      </c>
      <c r="E796" s="6">
        <v>14.78</v>
      </c>
    </row>
    <row r="797" spans="1:5" x14ac:dyDescent="0.25">
      <c r="A797" s="4">
        <v>36964</v>
      </c>
      <c r="B797" s="5">
        <v>108</v>
      </c>
      <c r="D797" s="4">
        <v>33030</v>
      </c>
      <c r="E797" s="6">
        <v>14.8</v>
      </c>
    </row>
    <row r="798" spans="1:5" x14ac:dyDescent="0.25">
      <c r="A798" s="4">
        <v>36965</v>
      </c>
      <c r="B798" s="5">
        <v>104</v>
      </c>
      <c r="D798" s="4">
        <v>33031</v>
      </c>
      <c r="E798" s="6">
        <v>15.03</v>
      </c>
    </row>
    <row r="799" spans="1:5" x14ac:dyDescent="0.25">
      <c r="A799" s="4">
        <v>36966</v>
      </c>
      <c r="B799" s="5">
        <v>109</v>
      </c>
      <c r="D799" s="4">
        <v>33032</v>
      </c>
      <c r="E799" s="6">
        <v>14.68</v>
      </c>
    </row>
    <row r="800" spans="1:5" x14ac:dyDescent="0.25">
      <c r="A800" s="4">
        <v>36969</v>
      </c>
      <c r="B800" s="5">
        <v>109.5</v>
      </c>
      <c r="D800" s="4">
        <v>33035</v>
      </c>
      <c r="E800" s="6">
        <v>14.73</v>
      </c>
    </row>
    <row r="801" spans="1:5" x14ac:dyDescent="0.25">
      <c r="A801" s="4">
        <v>36970</v>
      </c>
      <c r="B801" s="5">
        <v>112.5</v>
      </c>
      <c r="D801" s="4">
        <v>33036</v>
      </c>
      <c r="E801" s="6">
        <v>14.95</v>
      </c>
    </row>
    <row r="802" spans="1:5" x14ac:dyDescent="0.25">
      <c r="A802" s="4">
        <v>36971</v>
      </c>
      <c r="B802" s="5">
        <v>110.5</v>
      </c>
      <c r="D802" s="4">
        <v>33037</v>
      </c>
      <c r="E802" s="6">
        <v>14.9</v>
      </c>
    </row>
    <row r="803" spans="1:5" x14ac:dyDescent="0.25">
      <c r="A803" s="4">
        <v>36972</v>
      </c>
      <c r="B803" s="5">
        <v>106</v>
      </c>
      <c r="D803" s="4">
        <v>33038</v>
      </c>
      <c r="E803" s="6">
        <v>15.3</v>
      </c>
    </row>
    <row r="804" spans="1:5" x14ac:dyDescent="0.25">
      <c r="A804" s="4">
        <v>36973</v>
      </c>
      <c r="B804" s="5">
        <v>105</v>
      </c>
      <c r="D804" s="4">
        <v>33039</v>
      </c>
      <c r="E804" s="6">
        <v>15.15</v>
      </c>
    </row>
    <row r="805" spans="1:5" x14ac:dyDescent="0.25">
      <c r="A805" s="4">
        <v>36976</v>
      </c>
      <c r="B805" s="5">
        <v>101.75</v>
      </c>
      <c r="D805" s="4">
        <v>33042</v>
      </c>
      <c r="E805" s="6">
        <v>14.83</v>
      </c>
    </row>
    <row r="806" spans="1:5" x14ac:dyDescent="0.25">
      <c r="A806" s="4">
        <v>36977</v>
      </c>
      <c r="B806" s="5">
        <v>106</v>
      </c>
      <c r="D806" s="4">
        <v>33043</v>
      </c>
      <c r="E806" s="6">
        <v>14.75</v>
      </c>
    </row>
    <row r="807" spans="1:5" x14ac:dyDescent="0.25">
      <c r="A807" s="4">
        <v>36978</v>
      </c>
      <c r="B807" s="5">
        <v>103.5</v>
      </c>
      <c r="D807" s="4">
        <v>33044</v>
      </c>
      <c r="E807" s="6">
        <v>14.75</v>
      </c>
    </row>
    <row r="808" spans="1:5" x14ac:dyDescent="0.25">
      <c r="A808" s="4">
        <v>36979</v>
      </c>
      <c r="B808" s="5">
        <v>105.5</v>
      </c>
      <c r="D808" s="4">
        <v>33045</v>
      </c>
      <c r="E808" s="6">
        <v>14.75</v>
      </c>
    </row>
    <row r="809" spans="1:5" x14ac:dyDescent="0.25">
      <c r="A809" s="4">
        <v>36980</v>
      </c>
      <c r="B809" s="5">
        <v>108.25</v>
      </c>
      <c r="D809" s="4">
        <v>33046</v>
      </c>
      <c r="E809" s="6">
        <v>15.4</v>
      </c>
    </row>
    <row r="810" spans="1:5" x14ac:dyDescent="0.25">
      <c r="A810" s="4">
        <v>36983</v>
      </c>
      <c r="B810" s="5">
        <v>106.25</v>
      </c>
      <c r="D810" s="4">
        <v>33049</v>
      </c>
      <c r="E810" s="6">
        <v>15.58</v>
      </c>
    </row>
    <row r="811" spans="1:5" x14ac:dyDescent="0.25">
      <c r="A811" s="4">
        <v>36984</v>
      </c>
      <c r="B811" s="5">
        <v>107.5</v>
      </c>
      <c r="D811" s="4">
        <v>33050</v>
      </c>
      <c r="E811" s="6">
        <v>15.58</v>
      </c>
    </row>
    <row r="812" spans="1:5" x14ac:dyDescent="0.25">
      <c r="A812" s="4">
        <v>36985</v>
      </c>
      <c r="B812" s="5">
        <v>108.5</v>
      </c>
      <c r="D812" s="4">
        <v>33051</v>
      </c>
      <c r="E812" s="6">
        <v>15.33</v>
      </c>
    </row>
    <row r="813" spans="1:5" x14ac:dyDescent="0.25">
      <c r="A813" s="4">
        <v>36986</v>
      </c>
      <c r="B813" s="5">
        <v>111.5</v>
      </c>
      <c r="D813" s="4">
        <v>33052</v>
      </c>
      <c r="E813" s="6">
        <v>15.4</v>
      </c>
    </row>
    <row r="814" spans="1:5" x14ac:dyDescent="0.25">
      <c r="A814" s="4">
        <v>36987</v>
      </c>
      <c r="B814" s="5">
        <v>110.5</v>
      </c>
      <c r="D814" s="4">
        <v>33053</v>
      </c>
      <c r="E814" s="6">
        <v>15.73</v>
      </c>
    </row>
    <row r="815" spans="1:5" x14ac:dyDescent="0.25">
      <c r="A815" s="4">
        <v>36990</v>
      </c>
      <c r="B815" s="5">
        <v>114</v>
      </c>
      <c r="D815" s="4">
        <v>33056</v>
      </c>
      <c r="E815" s="6">
        <v>15.4</v>
      </c>
    </row>
    <row r="816" spans="1:5" x14ac:dyDescent="0.25">
      <c r="A816" s="4">
        <v>36991</v>
      </c>
      <c r="B816" s="5">
        <v>111</v>
      </c>
      <c r="D816" s="4">
        <v>33057</v>
      </c>
      <c r="E816" s="6">
        <v>15.48</v>
      </c>
    </row>
    <row r="817" spans="1:5" x14ac:dyDescent="0.25">
      <c r="A817" s="4">
        <v>36992</v>
      </c>
      <c r="B817" s="5">
        <v>114.25</v>
      </c>
      <c r="D817" s="4">
        <v>33058</v>
      </c>
      <c r="E817" s="6">
        <v>15.48</v>
      </c>
    </row>
    <row r="818" spans="1:5" x14ac:dyDescent="0.25">
      <c r="A818" s="4">
        <v>36993</v>
      </c>
      <c r="B818" s="5">
        <v>113.5</v>
      </c>
      <c r="D818" s="4">
        <v>33059</v>
      </c>
      <c r="E818" s="6">
        <v>15.23</v>
      </c>
    </row>
    <row r="819" spans="1:5" x14ac:dyDescent="0.25">
      <c r="A819" s="4">
        <v>36997</v>
      </c>
      <c r="B819" s="5">
        <v>116.5</v>
      </c>
      <c r="D819" s="4">
        <v>33060</v>
      </c>
      <c r="E819" s="6">
        <v>15.35</v>
      </c>
    </row>
    <row r="820" spans="1:5" x14ac:dyDescent="0.25">
      <c r="A820" s="4">
        <v>36998</v>
      </c>
      <c r="B820" s="5">
        <v>117</v>
      </c>
      <c r="D820" s="4">
        <v>33063</v>
      </c>
      <c r="E820" s="6">
        <v>14.98</v>
      </c>
    </row>
    <row r="821" spans="1:5" x14ac:dyDescent="0.25">
      <c r="A821" s="4">
        <v>36999</v>
      </c>
      <c r="B821" s="5">
        <v>114.5</v>
      </c>
      <c r="D821" s="4">
        <v>33064</v>
      </c>
      <c r="E821" s="6">
        <v>15.58</v>
      </c>
    </row>
    <row r="822" spans="1:5" x14ac:dyDescent="0.25">
      <c r="A822" s="4">
        <v>37000</v>
      </c>
      <c r="B822" s="5">
        <v>119</v>
      </c>
      <c r="D822" s="4">
        <v>33065</v>
      </c>
      <c r="E822" s="6">
        <v>15.7</v>
      </c>
    </row>
    <row r="823" spans="1:5" x14ac:dyDescent="0.25">
      <c r="A823" s="4">
        <v>37001</v>
      </c>
      <c r="B823" s="5">
        <v>122.5</v>
      </c>
      <c r="D823" s="4">
        <v>33066</v>
      </c>
      <c r="E823" s="6">
        <v>15.88</v>
      </c>
    </row>
    <row r="824" spans="1:5" x14ac:dyDescent="0.25">
      <c r="A824" s="4">
        <v>37004</v>
      </c>
      <c r="B824" s="5">
        <v>120.75</v>
      </c>
      <c r="D824" s="4">
        <v>33067</v>
      </c>
      <c r="E824" s="6">
        <v>17.03</v>
      </c>
    </row>
    <row r="825" spans="1:5" x14ac:dyDescent="0.25">
      <c r="A825" s="4">
        <v>37005</v>
      </c>
      <c r="B825" s="5">
        <v>120</v>
      </c>
      <c r="D825" s="4">
        <v>33070</v>
      </c>
      <c r="E825" s="6">
        <v>17.7</v>
      </c>
    </row>
    <row r="826" spans="1:5" x14ac:dyDescent="0.25">
      <c r="A826" s="4">
        <v>37006</v>
      </c>
      <c r="B826" s="5">
        <v>120.5</v>
      </c>
      <c r="D826" s="4">
        <v>33071</v>
      </c>
      <c r="E826" s="6">
        <v>17.579999999999998</v>
      </c>
    </row>
    <row r="827" spans="1:5" x14ac:dyDescent="0.25">
      <c r="A827" s="4">
        <v>37007</v>
      </c>
      <c r="B827" s="5">
        <v>122</v>
      </c>
      <c r="D827" s="4">
        <v>33072</v>
      </c>
      <c r="E827" s="6">
        <v>17.7</v>
      </c>
    </row>
    <row r="828" spans="1:5" x14ac:dyDescent="0.25">
      <c r="A828" s="4">
        <v>37008</v>
      </c>
      <c r="B828" s="5">
        <v>127</v>
      </c>
      <c r="D828" s="4">
        <v>33073</v>
      </c>
      <c r="E828" s="6">
        <v>17.850000000000001</v>
      </c>
    </row>
    <row r="829" spans="1:5" x14ac:dyDescent="0.25">
      <c r="A829" s="4">
        <v>37011</v>
      </c>
      <c r="B829" s="5">
        <v>125.5</v>
      </c>
      <c r="D829" s="4">
        <v>33074</v>
      </c>
      <c r="E829" s="6">
        <v>18</v>
      </c>
    </row>
    <row r="830" spans="1:5" x14ac:dyDescent="0.25">
      <c r="A830" s="4">
        <v>37013</v>
      </c>
      <c r="B830" s="5">
        <v>122.5</v>
      </c>
      <c r="D830" s="4">
        <v>33077</v>
      </c>
      <c r="E830" s="6">
        <v>18.73</v>
      </c>
    </row>
    <row r="831" spans="1:5" x14ac:dyDescent="0.25">
      <c r="A831" s="4">
        <v>37014</v>
      </c>
      <c r="B831" s="5">
        <v>120</v>
      </c>
      <c r="D831" s="4">
        <v>33078</v>
      </c>
      <c r="E831" s="6">
        <v>19.079999999999998</v>
      </c>
    </row>
    <row r="832" spans="1:5" x14ac:dyDescent="0.25">
      <c r="A832" s="4">
        <v>37015</v>
      </c>
      <c r="B832" s="5">
        <v>119</v>
      </c>
      <c r="D832" s="4">
        <v>33079</v>
      </c>
      <c r="E832" s="6">
        <v>19</v>
      </c>
    </row>
    <row r="833" spans="1:5" x14ac:dyDescent="0.25">
      <c r="A833" s="4">
        <v>37019</v>
      </c>
      <c r="B833" s="5">
        <v>118</v>
      </c>
      <c r="D833" s="4">
        <v>33080</v>
      </c>
      <c r="E833" s="6">
        <v>18.73</v>
      </c>
    </row>
    <row r="834" spans="1:5" x14ac:dyDescent="0.25">
      <c r="A834" s="4">
        <v>37020</v>
      </c>
      <c r="B834" s="5">
        <v>116</v>
      </c>
      <c r="D834" s="4">
        <v>33081</v>
      </c>
      <c r="E834" s="6">
        <v>19.03</v>
      </c>
    </row>
    <row r="835" spans="1:5" x14ac:dyDescent="0.25">
      <c r="A835" s="4">
        <v>37021</v>
      </c>
      <c r="B835" s="5">
        <v>113.25</v>
      </c>
      <c r="D835" s="4">
        <v>33084</v>
      </c>
      <c r="E835" s="6">
        <v>18.98</v>
      </c>
    </row>
    <row r="836" spans="1:5" x14ac:dyDescent="0.25">
      <c r="A836" s="4">
        <v>37022</v>
      </c>
      <c r="B836" s="5">
        <v>114</v>
      </c>
      <c r="D836" s="4">
        <v>33085</v>
      </c>
      <c r="E836" s="6">
        <v>19.23</v>
      </c>
    </row>
    <row r="837" spans="1:5" x14ac:dyDescent="0.25">
      <c r="A837" s="4">
        <v>37025</v>
      </c>
      <c r="B837" s="5">
        <v>116.5</v>
      </c>
      <c r="D837" s="4">
        <v>33086</v>
      </c>
      <c r="E837" s="6">
        <v>19.93</v>
      </c>
    </row>
    <row r="838" spans="1:5" x14ac:dyDescent="0.25">
      <c r="A838" s="4">
        <v>37026</v>
      </c>
      <c r="B838" s="5">
        <v>122.5</v>
      </c>
      <c r="D838" s="4">
        <v>33087</v>
      </c>
      <c r="E838" s="6">
        <v>22.25</v>
      </c>
    </row>
    <row r="839" spans="1:5" x14ac:dyDescent="0.25">
      <c r="A839" s="4">
        <v>37027</v>
      </c>
      <c r="B839" s="5">
        <v>123.5</v>
      </c>
      <c r="D839" s="4">
        <v>33088</v>
      </c>
      <c r="E839" s="6">
        <v>24.13</v>
      </c>
    </row>
    <row r="840" spans="1:5" x14ac:dyDescent="0.25">
      <c r="A840" s="4">
        <v>37028</v>
      </c>
      <c r="B840" s="5">
        <v>121.75</v>
      </c>
      <c r="D840" s="4">
        <v>33091</v>
      </c>
      <c r="E840" s="6">
        <v>27.28</v>
      </c>
    </row>
    <row r="841" spans="1:5" x14ac:dyDescent="0.25">
      <c r="A841" s="4">
        <v>37029</v>
      </c>
      <c r="B841" s="5">
        <v>119.5</v>
      </c>
      <c r="D841" s="4">
        <v>33092</v>
      </c>
      <c r="E841" s="6">
        <v>27.35</v>
      </c>
    </row>
    <row r="842" spans="1:5" x14ac:dyDescent="0.25">
      <c r="A842" s="4">
        <v>37032</v>
      </c>
      <c r="B842" s="5">
        <v>113.5</v>
      </c>
      <c r="D842" s="4">
        <v>33093</v>
      </c>
      <c r="E842" s="6">
        <v>25.15</v>
      </c>
    </row>
    <row r="843" spans="1:5" x14ac:dyDescent="0.25">
      <c r="A843" s="4">
        <v>37033</v>
      </c>
      <c r="B843" s="5">
        <v>121</v>
      </c>
      <c r="D843" s="4">
        <v>33094</v>
      </c>
      <c r="E843" s="6">
        <v>25.9</v>
      </c>
    </row>
    <row r="844" spans="1:5" x14ac:dyDescent="0.25">
      <c r="A844" s="4">
        <v>37034</v>
      </c>
      <c r="B844" s="5">
        <v>122.5</v>
      </c>
      <c r="D844" s="4">
        <v>33095</v>
      </c>
      <c r="E844" s="6">
        <v>26.3</v>
      </c>
    </row>
    <row r="845" spans="1:5" x14ac:dyDescent="0.25">
      <c r="A845" s="4">
        <v>37035</v>
      </c>
      <c r="B845" s="5">
        <v>119.25</v>
      </c>
      <c r="D845" s="4">
        <v>33098</v>
      </c>
      <c r="E845" s="6">
        <v>26.63</v>
      </c>
    </row>
    <row r="846" spans="1:5" x14ac:dyDescent="0.25">
      <c r="A846" s="4">
        <v>37036</v>
      </c>
      <c r="B846" s="5">
        <v>117</v>
      </c>
      <c r="D846" s="4">
        <v>33099</v>
      </c>
      <c r="E846" s="6">
        <v>27.1</v>
      </c>
    </row>
    <row r="847" spans="1:5" x14ac:dyDescent="0.25">
      <c r="A847" s="4">
        <v>37039</v>
      </c>
      <c r="B847" s="5">
        <v>116.5</v>
      </c>
      <c r="D847" s="4">
        <v>33100</v>
      </c>
      <c r="E847" s="6">
        <v>26.53</v>
      </c>
    </row>
    <row r="848" spans="1:5" x14ac:dyDescent="0.25">
      <c r="A848" s="4">
        <v>37040</v>
      </c>
      <c r="B848" s="5">
        <v>119.5</v>
      </c>
      <c r="D848" s="4">
        <v>33101</v>
      </c>
      <c r="E848" s="6">
        <v>27.2</v>
      </c>
    </row>
    <row r="849" spans="1:5" x14ac:dyDescent="0.25">
      <c r="A849" s="4">
        <v>37041</v>
      </c>
      <c r="B849" s="5">
        <v>117</v>
      </c>
      <c r="D849" s="4">
        <v>33102</v>
      </c>
      <c r="E849" s="6">
        <v>28.45</v>
      </c>
    </row>
    <row r="850" spans="1:5" x14ac:dyDescent="0.25">
      <c r="A850" s="4">
        <v>37042</v>
      </c>
      <c r="B850" s="5">
        <v>115.75</v>
      </c>
      <c r="D850" s="4">
        <v>33105</v>
      </c>
      <c r="E850" s="6">
        <v>28.9</v>
      </c>
    </row>
    <row r="851" spans="1:5" x14ac:dyDescent="0.25">
      <c r="A851" s="4">
        <v>37043</v>
      </c>
      <c r="B851" s="5">
        <v>116.75</v>
      </c>
      <c r="D851" s="4">
        <v>33106</v>
      </c>
      <c r="E851" s="6">
        <v>29.05</v>
      </c>
    </row>
    <row r="852" spans="1:5" x14ac:dyDescent="0.25">
      <c r="A852" s="4">
        <v>37046</v>
      </c>
      <c r="B852" s="5">
        <v>120.5</v>
      </c>
      <c r="D852" s="4">
        <v>33107</v>
      </c>
      <c r="E852" s="6">
        <v>30.45</v>
      </c>
    </row>
    <row r="853" spans="1:5" x14ac:dyDescent="0.25">
      <c r="A853" s="4">
        <v>37047</v>
      </c>
      <c r="B853" s="5">
        <v>121</v>
      </c>
      <c r="D853" s="4">
        <v>33108</v>
      </c>
      <c r="E853" s="6">
        <v>32.35</v>
      </c>
    </row>
    <row r="854" spans="1:5" x14ac:dyDescent="0.25">
      <c r="A854" s="4">
        <v>37048</v>
      </c>
      <c r="B854" s="5">
        <v>120.25</v>
      </c>
      <c r="D854" s="4">
        <v>33109</v>
      </c>
      <c r="E854" s="6">
        <v>31.65</v>
      </c>
    </row>
    <row r="855" spans="1:5" x14ac:dyDescent="0.25">
      <c r="A855" s="4">
        <v>37049</v>
      </c>
      <c r="B855" s="5">
        <v>120.25</v>
      </c>
      <c r="D855" s="4">
        <v>33112</v>
      </c>
      <c r="E855" s="6">
        <v>27.65</v>
      </c>
    </row>
    <row r="856" spans="1:5" x14ac:dyDescent="0.25">
      <c r="A856" s="4">
        <v>37050</v>
      </c>
      <c r="B856" s="5">
        <v>120.5</v>
      </c>
      <c r="D856" s="4">
        <v>33113</v>
      </c>
      <c r="E856" s="6">
        <v>27.65</v>
      </c>
    </row>
    <row r="857" spans="1:5" x14ac:dyDescent="0.25">
      <c r="A857" s="4">
        <v>37053</v>
      </c>
      <c r="B857" s="5">
        <v>121</v>
      </c>
      <c r="D857" s="4">
        <v>33114</v>
      </c>
      <c r="E857" s="6">
        <v>27.65</v>
      </c>
    </row>
    <row r="858" spans="1:5" x14ac:dyDescent="0.25">
      <c r="A858" s="4">
        <v>37054</v>
      </c>
      <c r="B858" s="5">
        <v>121</v>
      </c>
      <c r="D858" s="4">
        <v>33115</v>
      </c>
      <c r="E858" s="6">
        <v>27.5</v>
      </c>
    </row>
    <row r="859" spans="1:5" x14ac:dyDescent="0.25">
      <c r="A859" s="4">
        <v>37055</v>
      </c>
      <c r="B859" s="5">
        <v>121</v>
      </c>
      <c r="D859" s="4">
        <v>33116</v>
      </c>
      <c r="E859" s="6">
        <v>27.8</v>
      </c>
    </row>
    <row r="860" spans="1:5" x14ac:dyDescent="0.25">
      <c r="A860" s="4">
        <v>37056</v>
      </c>
      <c r="B860" s="5">
        <v>118.5</v>
      </c>
      <c r="D860" s="4">
        <v>33119</v>
      </c>
      <c r="E860" s="6">
        <v>30.53</v>
      </c>
    </row>
    <row r="861" spans="1:5" x14ac:dyDescent="0.25">
      <c r="A861" s="4">
        <v>37057</v>
      </c>
      <c r="B861" s="5">
        <v>120</v>
      </c>
      <c r="D861" s="4">
        <v>33120</v>
      </c>
      <c r="E861" s="6">
        <v>30.08</v>
      </c>
    </row>
    <row r="862" spans="1:5" x14ac:dyDescent="0.25">
      <c r="A862" s="4">
        <v>37060</v>
      </c>
      <c r="B862" s="5">
        <v>121.25</v>
      </c>
      <c r="D862" s="4">
        <v>33121</v>
      </c>
      <c r="E862" s="6">
        <v>31.23</v>
      </c>
    </row>
    <row r="863" spans="1:5" x14ac:dyDescent="0.25">
      <c r="A863" s="4">
        <v>37061</v>
      </c>
      <c r="B863" s="5">
        <v>123.5</v>
      </c>
      <c r="D863" s="4">
        <v>33122</v>
      </c>
      <c r="E863" s="6">
        <v>32.15</v>
      </c>
    </row>
    <row r="864" spans="1:5" x14ac:dyDescent="0.25">
      <c r="A864" s="4">
        <v>37062</v>
      </c>
      <c r="B864" s="5">
        <v>120.5</v>
      </c>
      <c r="D864" s="4">
        <v>33123</v>
      </c>
      <c r="E864" s="6">
        <v>31.45</v>
      </c>
    </row>
    <row r="865" spans="1:5" x14ac:dyDescent="0.25">
      <c r="A865" s="4">
        <v>37063</v>
      </c>
      <c r="B865" s="5">
        <v>116</v>
      </c>
      <c r="D865" s="4">
        <v>33126</v>
      </c>
      <c r="E865" s="6">
        <v>31.45</v>
      </c>
    </row>
    <row r="866" spans="1:5" x14ac:dyDescent="0.25">
      <c r="A866" s="4">
        <v>37064</v>
      </c>
      <c r="B866" s="5">
        <v>114.75</v>
      </c>
      <c r="D866" s="4">
        <v>33127</v>
      </c>
      <c r="E866" s="6">
        <v>32.1</v>
      </c>
    </row>
    <row r="867" spans="1:5" x14ac:dyDescent="0.25">
      <c r="A867" s="4">
        <v>37067</v>
      </c>
      <c r="B867" s="5">
        <v>114.25</v>
      </c>
      <c r="D867" s="4">
        <v>33128</v>
      </c>
      <c r="E867" s="6">
        <v>31.28</v>
      </c>
    </row>
    <row r="868" spans="1:5" x14ac:dyDescent="0.25">
      <c r="A868" s="4">
        <v>37068</v>
      </c>
      <c r="B868" s="5">
        <v>110</v>
      </c>
      <c r="D868" s="4">
        <v>33129</v>
      </c>
      <c r="E868" s="6">
        <v>31.88</v>
      </c>
    </row>
    <row r="869" spans="1:5" x14ac:dyDescent="0.25">
      <c r="A869" s="4">
        <v>37069</v>
      </c>
      <c r="B869" s="5">
        <v>110.5</v>
      </c>
      <c r="D869" s="4">
        <v>33130</v>
      </c>
      <c r="E869" s="6">
        <v>33.35</v>
      </c>
    </row>
    <row r="870" spans="1:5" x14ac:dyDescent="0.25">
      <c r="A870" s="4">
        <v>37070</v>
      </c>
      <c r="B870" s="5">
        <v>112.25</v>
      </c>
      <c r="D870" s="4">
        <v>33133</v>
      </c>
      <c r="E870" s="6">
        <v>34.9</v>
      </c>
    </row>
    <row r="871" spans="1:5" x14ac:dyDescent="0.25">
      <c r="A871" s="4">
        <v>37071</v>
      </c>
      <c r="B871" s="5">
        <v>110</v>
      </c>
      <c r="D871" s="4">
        <v>33134</v>
      </c>
      <c r="E871" s="6">
        <v>35.950000000000003</v>
      </c>
    </row>
    <row r="872" spans="1:5" x14ac:dyDescent="0.25">
      <c r="A872" s="4">
        <v>37074</v>
      </c>
      <c r="B872" s="5">
        <v>114.5</v>
      </c>
      <c r="D872" s="4">
        <v>33135</v>
      </c>
      <c r="E872" s="6">
        <v>35.08</v>
      </c>
    </row>
    <row r="873" spans="1:5" x14ac:dyDescent="0.25">
      <c r="A873" s="4">
        <v>37075</v>
      </c>
      <c r="B873" s="5">
        <v>112.25</v>
      </c>
      <c r="D873" s="4">
        <v>33136</v>
      </c>
      <c r="E873" s="6">
        <v>35.65</v>
      </c>
    </row>
    <row r="874" spans="1:5" x14ac:dyDescent="0.25">
      <c r="A874" s="4">
        <v>37076</v>
      </c>
      <c r="B874" s="5">
        <v>113</v>
      </c>
      <c r="D874" s="4">
        <v>33137</v>
      </c>
      <c r="E874" s="6">
        <v>36.950000000000003</v>
      </c>
    </row>
    <row r="875" spans="1:5" x14ac:dyDescent="0.25">
      <c r="A875" s="4">
        <v>37077</v>
      </c>
      <c r="B875" s="5">
        <v>112.25</v>
      </c>
      <c r="D875" s="4">
        <v>33140</v>
      </c>
      <c r="E875" s="6">
        <v>40.75</v>
      </c>
    </row>
    <row r="876" spans="1:5" x14ac:dyDescent="0.25">
      <c r="A876" s="4">
        <v>37078</v>
      </c>
      <c r="B876" s="5">
        <v>114</v>
      </c>
      <c r="D876" s="4">
        <v>33141</v>
      </c>
      <c r="E876" s="6">
        <v>39.9</v>
      </c>
    </row>
    <row r="877" spans="1:5" x14ac:dyDescent="0.25">
      <c r="A877" s="4">
        <v>37081</v>
      </c>
      <c r="B877" s="5">
        <v>114</v>
      </c>
      <c r="D877" s="4">
        <v>33142</v>
      </c>
      <c r="E877" s="6">
        <v>40.85</v>
      </c>
    </row>
    <row r="878" spans="1:5" x14ac:dyDescent="0.25">
      <c r="A878" s="4">
        <v>37082</v>
      </c>
      <c r="B878" s="5">
        <v>115.5</v>
      </c>
      <c r="D878" s="4">
        <v>33143</v>
      </c>
      <c r="E878" s="6">
        <v>41.45</v>
      </c>
    </row>
    <row r="879" spans="1:5" x14ac:dyDescent="0.25">
      <c r="A879" s="4">
        <v>37083</v>
      </c>
      <c r="B879" s="5">
        <v>115.25</v>
      </c>
      <c r="D879" s="4">
        <v>33144</v>
      </c>
      <c r="E879" s="6">
        <v>41</v>
      </c>
    </row>
    <row r="880" spans="1:5" x14ac:dyDescent="0.25">
      <c r="A880" s="4">
        <v>37084</v>
      </c>
      <c r="B880" s="5">
        <v>115.25</v>
      </c>
      <c r="D880" s="4">
        <v>33147</v>
      </c>
      <c r="E880" s="6">
        <v>38.950000000000003</v>
      </c>
    </row>
    <row r="881" spans="1:5" x14ac:dyDescent="0.25">
      <c r="A881" s="4">
        <v>37085</v>
      </c>
      <c r="B881" s="5">
        <v>114</v>
      </c>
      <c r="D881" s="4">
        <v>33148</v>
      </c>
      <c r="E881" s="6">
        <v>35.450000000000003</v>
      </c>
    </row>
    <row r="882" spans="1:5" x14ac:dyDescent="0.25">
      <c r="A882" s="4">
        <v>37088</v>
      </c>
      <c r="B882" s="5">
        <v>117.25</v>
      </c>
      <c r="D882" s="4">
        <v>33149</v>
      </c>
      <c r="E882" s="6">
        <v>37.549999999999997</v>
      </c>
    </row>
    <row r="883" spans="1:5" x14ac:dyDescent="0.25">
      <c r="A883" s="4">
        <v>37089</v>
      </c>
      <c r="B883" s="5">
        <v>117</v>
      </c>
      <c r="D883" s="4">
        <v>33150</v>
      </c>
      <c r="E883" s="6">
        <v>37.200000000000003</v>
      </c>
    </row>
    <row r="884" spans="1:5" x14ac:dyDescent="0.25">
      <c r="A884" s="4">
        <v>37090</v>
      </c>
      <c r="B884" s="5">
        <v>116.25</v>
      </c>
      <c r="D884" s="4">
        <v>33151</v>
      </c>
      <c r="E884" s="6">
        <v>39.049999999999997</v>
      </c>
    </row>
    <row r="885" spans="1:5" x14ac:dyDescent="0.25">
      <c r="A885" s="4">
        <v>37091</v>
      </c>
      <c r="B885" s="5">
        <v>116.25</v>
      </c>
      <c r="D885" s="4">
        <v>33154</v>
      </c>
      <c r="E885" s="6">
        <v>39.200000000000003</v>
      </c>
    </row>
    <row r="886" spans="1:5" x14ac:dyDescent="0.25">
      <c r="A886" s="4">
        <v>37092</v>
      </c>
      <c r="B886" s="5">
        <v>116</v>
      </c>
      <c r="D886" s="4">
        <v>33155</v>
      </c>
      <c r="E886" s="6">
        <v>40.9</v>
      </c>
    </row>
    <row r="887" spans="1:5" x14ac:dyDescent="0.25">
      <c r="A887" s="4">
        <v>37095</v>
      </c>
      <c r="B887" s="5">
        <v>114</v>
      </c>
      <c r="D887" s="4">
        <v>33156</v>
      </c>
      <c r="E887" s="6">
        <v>40.200000000000003</v>
      </c>
    </row>
    <row r="888" spans="1:5" x14ac:dyDescent="0.25">
      <c r="A888" s="4">
        <v>37096</v>
      </c>
      <c r="B888" s="5">
        <v>116.5</v>
      </c>
      <c r="D888" s="4">
        <v>33157</v>
      </c>
      <c r="E888" s="6">
        <v>41.15</v>
      </c>
    </row>
    <row r="889" spans="1:5" x14ac:dyDescent="0.25">
      <c r="A889" s="4">
        <v>37097</v>
      </c>
      <c r="B889" s="5">
        <v>117.5</v>
      </c>
      <c r="D889" s="4">
        <v>33158</v>
      </c>
      <c r="E889" s="6">
        <v>39.9</v>
      </c>
    </row>
    <row r="890" spans="1:5" x14ac:dyDescent="0.25">
      <c r="A890" s="4">
        <v>37098</v>
      </c>
      <c r="B890" s="5">
        <v>121</v>
      </c>
      <c r="D890" s="4">
        <v>33161</v>
      </c>
      <c r="E890" s="6">
        <v>38.28</v>
      </c>
    </row>
    <row r="891" spans="1:5" x14ac:dyDescent="0.25">
      <c r="A891" s="4">
        <v>37099</v>
      </c>
      <c r="B891" s="5">
        <v>123.5</v>
      </c>
      <c r="D891" s="4">
        <v>33162</v>
      </c>
      <c r="E891" s="6">
        <v>38.93</v>
      </c>
    </row>
    <row r="892" spans="1:5" x14ac:dyDescent="0.25">
      <c r="A892" s="4">
        <v>37102</v>
      </c>
      <c r="B892" s="5">
        <v>121.25</v>
      </c>
      <c r="D892" s="4">
        <v>33163</v>
      </c>
      <c r="E892" s="6">
        <v>35.33</v>
      </c>
    </row>
    <row r="893" spans="1:5" x14ac:dyDescent="0.25">
      <c r="A893" s="4">
        <v>37103</v>
      </c>
      <c r="B893" s="5">
        <v>123.5</v>
      </c>
      <c r="D893" s="4">
        <v>33164</v>
      </c>
      <c r="E893" s="6">
        <v>35.65</v>
      </c>
    </row>
    <row r="894" spans="1:5" x14ac:dyDescent="0.25">
      <c r="A894" s="4">
        <v>37104</v>
      </c>
      <c r="B894" s="5">
        <v>123.25</v>
      </c>
      <c r="D894" s="4">
        <v>33165</v>
      </c>
      <c r="E894" s="6">
        <v>33.200000000000003</v>
      </c>
    </row>
    <row r="895" spans="1:5" x14ac:dyDescent="0.25">
      <c r="A895" s="4">
        <v>37105</v>
      </c>
      <c r="B895" s="5">
        <v>120</v>
      </c>
      <c r="D895" s="4">
        <v>33168</v>
      </c>
      <c r="E895" s="6">
        <v>27.45</v>
      </c>
    </row>
    <row r="896" spans="1:5" x14ac:dyDescent="0.25">
      <c r="A896" s="4">
        <v>37106</v>
      </c>
      <c r="B896" s="5">
        <v>120.5</v>
      </c>
      <c r="D896" s="4">
        <v>33169</v>
      </c>
      <c r="E896" s="6">
        <v>28.95</v>
      </c>
    </row>
    <row r="897" spans="1:5" x14ac:dyDescent="0.25">
      <c r="A897" s="4">
        <v>37109</v>
      </c>
      <c r="B897" s="5">
        <v>122</v>
      </c>
      <c r="D897" s="4">
        <v>33170</v>
      </c>
      <c r="E897" s="6">
        <v>30.1</v>
      </c>
    </row>
    <row r="898" spans="1:5" x14ac:dyDescent="0.25">
      <c r="A898" s="4">
        <v>37110</v>
      </c>
      <c r="B898" s="5">
        <v>121.5</v>
      </c>
      <c r="D898" s="4">
        <v>33171</v>
      </c>
      <c r="E898" s="6">
        <v>32.9</v>
      </c>
    </row>
    <row r="899" spans="1:5" x14ac:dyDescent="0.25">
      <c r="A899" s="4">
        <v>37111</v>
      </c>
      <c r="B899" s="5">
        <v>122</v>
      </c>
      <c r="D899" s="4">
        <v>33172</v>
      </c>
      <c r="E899" s="6">
        <v>33.729999999999997</v>
      </c>
    </row>
    <row r="900" spans="1:5" x14ac:dyDescent="0.25">
      <c r="A900" s="4">
        <v>37113</v>
      </c>
      <c r="B900" s="5">
        <v>122.25</v>
      </c>
      <c r="D900" s="4">
        <v>33175</v>
      </c>
      <c r="E900" s="6">
        <v>34.65</v>
      </c>
    </row>
    <row r="901" spans="1:5" x14ac:dyDescent="0.25">
      <c r="A901" s="4">
        <v>37116</v>
      </c>
      <c r="B901" s="5">
        <v>120.5</v>
      </c>
      <c r="D901" s="4">
        <v>33176</v>
      </c>
      <c r="E901" s="6">
        <v>35.5</v>
      </c>
    </row>
    <row r="902" spans="1:5" x14ac:dyDescent="0.25">
      <c r="A902" s="4">
        <v>37117</v>
      </c>
      <c r="B902" s="5">
        <v>119</v>
      </c>
      <c r="D902" s="4">
        <v>33177</v>
      </c>
      <c r="E902" s="6">
        <v>34.299999999999997</v>
      </c>
    </row>
    <row r="903" spans="1:5" x14ac:dyDescent="0.25">
      <c r="A903" s="4">
        <v>37118</v>
      </c>
      <c r="B903" s="5">
        <v>119.5</v>
      </c>
      <c r="D903" s="4">
        <v>33178</v>
      </c>
      <c r="E903" s="6">
        <v>35.65</v>
      </c>
    </row>
    <row r="904" spans="1:5" x14ac:dyDescent="0.25">
      <c r="A904" s="4">
        <v>37119</v>
      </c>
      <c r="B904" s="5">
        <v>120.75</v>
      </c>
      <c r="D904" s="4">
        <v>33179</v>
      </c>
      <c r="E904" s="6">
        <v>35.049999999999997</v>
      </c>
    </row>
    <row r="905" spans="1:5" x14ac:dyDescent="0.25">
      <c r="A905" s="4">
        <v>37120</v>
      </c>
      <c r="B905" s="5">
        <v>121</v>
      </c>
      <c r="D905" s="4">
        <v>33182</v>
      </c>
      <c r="E905" s="6">
        <v>33.799999999999997</v>
      </c>
    </row>
    <row r="906" spans="1:5" x14ac:dyDescent="0.25">
      <c r="A906" s="4">
        <v>37123</v>
      </c>
      <c r="B906" s="5">
        <v>121.5</v>
      </c>
      <c r="D906" s="4">
        <v>33183</v>
      </c>
      <c r="E906" s="6">
        <v>33.200000000000003</v>
      </c>
    </row>
    <row r="907" spans="1:5" x14ac:dyDescent="0.25">
      <c r="A907" s="4">
        <v>37124</v>
      </c>
      <c r="B907" s="5">
        <v>124.75</v>
      </c>
      <c r="D907" s="4">
        <v>33184</v>
      </c>
      <c r="E907" s="6">
        <v>34.549999999999997</v>
      </c>
    </row>
    <row r="908" spans="1:5" x14ac:dyDescent="0.25">
      <c r="A908" s="4">
        <v>37125</v>
      </c>
      <c r="B908" s="5">
        <v>126</v>
      </c>
      <c r="D908" s="4">
        <v>33185</v>
      </c>
      <c r="E908" s="6">
        <v>34.85</v>
      </c>
    </row>
    <row r="909" spans="1:5" x14ac:dyDescent="0.25">
      <c r="A909" s="4">
        <v>37126</v>
      </c>
      <c r="B909" s="5">
        <v>126.25</v>
      </c>
      <c r="D909" s="4">
        <v>33186</v>
      </c>
      <c r="E909" s="6">
        <v>34.25</v>
      </c>
    </row>
    <row r="910" spans="1:5" x14ac:dyDescent="0.25">
      <c r="A910" s="4">
        <v>37127</v>
      </c>
      <c r="B910" s="5">
        <v>124.75</v>
      </c>
      <c r="D910" s="4">
        <v>33189</v>
      </c>
      <c r="E910" s="6">
        <v>32.85</v>
      </c>
    </row>
    <row r="911" spans="1:5" x14ac:dyDescent="0.25">
      <c r="A911" s="4">
        <v>37130</v>
      </c>
      <c r="B911" s="5">
        <v>127.5</v>
      </c>
      <c r="D911" s="4">
        <v>33190</v>
      </c>
      <c r="E911" s="6">
        <v>33.65</v>
      </c>
    </row>
    <row r="912" spans="1:5" x14ac:dyDescent="0.25">
      <c r="A912" s="4">
        <v>37131</v>
      </c>
      <c r="B912" s="5">
        <v>127.75</v>
      </c>
      <c r="D912" s="4">
        <v>33191</v>
      </c>
      <c r="E912" s="6">
        <v>31.95</v>
      </c>
    </row>
    <row r="913" spans="1:5" x14ac:dyDescent="0.25">
      <c r="A913" s="4">
        <v>37132</v>
      </c>
      <c r="B913" s="5">
        <v>125.25</v>
      </c>
      <c r="D913" s="4">
        <v>33192</v>
      </c>
      <c r="E913" s="6">
        <v>32.200000000000003</v>
      </c>
    </row>
    <row r="914" spans="1:5" x14ac:dyDescent="0.25">
      <c r="A914" s="4">
        <v>37133</v>
      </c>
      <c r="B914" s="5">
        <v>126.5</v>
      </c>
      <c r="D914" s="4">
        <v>33193</v>
      </c>
      <c r="E914" s="6">
        <v>30.55</v>
      </c>
    </row>
    <row r="915" spans="1:5" x14ac:dyDescent="0.25">
      <c r="A915" s="4">
        <v>37134</v>
      </c>
      <c r="B915" s="5">
        <v>129</v>
      </c>
      <c r="D915" s="4">
        <v>33196</v>
      </c>
      <c r="E915" s="6">
        <v>30.85</v>
      </c>
    </row>
    <row r="916" spans="1:5" x14ac:dyDescent="0.25">
      <c r="A916" s="4">
        <v>37137</v>
      </c>
      <c r="B916" s="5">
        <v>131.5</v>
      </c>
      <c r="D916" s="4">
        <v>33197</v>
      </c>
      <c r="E916" s="6">
        <v>30.1</v>
      </c>
    </row>
    <row r="917" spans="1:5" x14ac:dyDescent="0.25">
      <c r="A917" s="4">
        <v>37138</v>
      </c>
      <c r="B917" s="5">
        <v>134.5</v>
      </c>
      <c r="D917" s="4">
        <v>33198</v>
      </c>
      <c r="E917" s="6">
        <v>30.65</v>
      </c>
    </row>
    <row r="918" spans="1:5" x14ac:dyDescent="0.25">
      <c r="A918" s="4">
        <v>37139</v>
      </c>
      <c r="B918" s="5">
        <v>135.5</v>
      </c>
      <c r="D918" s="4">
        <v>33199</v>
      </c>
      <c r="E918" s="6">
        <v>31.4</v>
      </c>
    </row>
    <row r="919" spans="1:5" x14ac:dyDescent="0.25">
      <c r="A919" s="4">
        <v>37140</v>
      </c>
      <c r="B919" s="5">
        <v>133</v>
      </c>
      <c r="D919" s="4">
        <v>33200</v>
      </c>
      <c r="E919" s="6">
        <v>32.049999999999997</v>
      </c>
    </row>
    <row r="920" spans="1:5" x14ac:dyDescent="0.25">
      <c r="A920" s="4">
        <v>37141</v>
      </c>
      <c r="B920" s="5">
        <v>138.25</v>
      </c>
      <c r="D920" s="4">
        <v>33203</v>
      </c>
      <c r="E920" s="6">
        <v>35.1</v>
      </c>
    </row>
    <row r="921" spans="1:5" x14ac:dyDescent="0.25">
      <c r="A921" s="4">
        <v>37144</v>
      </c>
      <c r="B921" s="5">
        <v>139</v>
      </c>
      <c r="D921" s="4">
        <v>33204</v>
      </c>
      <c r="E921" s="6">
        <v>34.83</v>
      </c>
    </row>
    <row r="922" spans="1:5" x14ac:dyDescent="0.25">
      <c r="A922" s="4">
        <v>37145</v>
      </c>
      <c r="B922" s="5">
        <v>136.5</v>
      </c>
      <c r="D922" s="4">
        <v>33205</v>
      </c>
      <c r="E922" s="6">
        <v>34.1</v>
      </c>
    </row>
    <row r="923" spans="1:5" x14ac:dyDescent="0.25">
      <c r="A923" s="4">
        <v>37146</v>
      </c>
      <c r="B923" s="5">
        <v>131.75</v>
      </c>
      <c r="D923" s="4">
        <v>33206</v>
      </c>
      <c r="E923" s="6">
        <v>34.65</v>
      </c>
    </row>
    <row r="924" spans="1:5" x14ac:dyDescent="0.25">
      <c r="A924" s="4">
        <v>37147</v>
      </c>
      <c r="B924" s="5">
        <v>131.5</v>
      </c>
      <c r="D924" s="4">
        <v>33207</v>
      </c>
      <c r="E924" s="6">
        <v>31.2</v>
      </c>
    </row>
    <row r="925" spans="1:5" x14ac:dyDescent="0.25">
      <c r="A925" s="4">
        <v>37148</v>
      </c>
      <c r="B925" s="5">
        <v>129</v>
      </c>
      <c r="D925" s="4">
        <v>33210</v>
      </c>
      <c r="E925" s="6">
        <v>31.25</v>
      </c>
    </row>
    <row r="926" spans="1:5" x14ac:dyDescent="0.25">
      <c r="A926" s="4">
        <v>37151</v>
      </c>
      <c r="B926" s="5">
        <v>124</v>
      </c>
      <c r="D926" s="4">
        <v>33211</v>
      </c>
      <c r="E926" s="6">
        <v>31.5</v>
      </c>
    </row>
    <row r="927" spans="1:5" x14ac:dyDescent="0.25">
      <c r="A927" s="4">
        <v>37152</v>
      </c>
      <c r="B927" s="5">
        <v>118.5</v>
      </c>
      <c r="D927" s="4">
        <v>33212</v>
      </c>
      <c r="E927" s="6">
        <v>30.2</v>
      </c>
    </row>
    <row r="928" spans="1:5" x14ac:dyDescent="0.25">
      <c r="A928" s="4">
        <v>37153</v>
      </c>
      <c r="B928" s="5">
        <v>115</v>
      </c>
      <c r="D928" s="4">
        <v>33213</v>
      </c>
      <c r="E928" s="6">
        <v>27.35</v>
      </c>
    </row>
    <row r="929" spans="1:5" x14ac:dyDescent="0.25">
      <c r="A929" s="4">
        <v>37154</v>
      </c>
      <c r="B929" s="5">
        <v>114</v>
      </c>
      <c r="D929" s="4">
        <v>33214</v>
      </c>
      <c r="E929" s="6">
        <v>28.3</v>
      </c>
    </row>
    <row r="930" spans="1:5" x14ac:dyDescent="0.25">
      <c r="A930" s="4">
        <v>37155</v>
      </c>
      <c r="B930" s="5">
        <v>110.5</v>
      </c>
      <c r="D930" s="4">
        <v>33217</v>
      </c>
      <c r="E930" s="6">
        <v>28.75</v>
      </c>
    </row>
    <row r="931" spans="1:5" x14ac:dyDescent="0.25">
      <c r="A931" s="4">
        <v>37158</v>
      </c>
      <c r="B931" s="5">
        <v>117</v>
      </c>
      <c r="D931" s="4">
        <v>33218</v>
      </c>
      <c r="E931" s="6">
        <v>28.03</v>
      </c>
    </row>
    <row r="932" spans="1:5" x14ac:dyDescent="0.25">
      <c r="A932" s="4">
        <v>37159</v>
      </c>
      <c r="B932" s="5">
        <v>114.5</v>
      </c>
      <c r="D932" s="4">
        <v>33219</v>
      </c>
      <c r="E932" s="6">
        <v>27.28</v>
      </c>
    </row>
    <row r="933" spans="1:5" x14ac:dyDescent="0.25">
      <c r="A933" s="4">
        <v>37160</v>
      </c>
      <c r="B933" s="5">
        <v>110.25</v>
      </c>
      <c r="D933" s="4">
        <v>33220</v>
      </c>
      <c r="E933" s="6">
        <v>27.8</v>
      </c>
    </row>
    <row r="934" spans="1:5" x14ac:dyDescent="0.25">
      <c r="A934" s="4">
        <v>37161</v>
      </c>
      <c r="B934" s="5">
        <v>111.5</v>
      </c>
      <c r="D934" s="4">
        <v>33221</v>
      </c>
      <c r="E934" s="6">
        <v>28.45</v>
      </c>
    </row>
    <row r="935" spans="1:5" x14ac:dyDescent="0.25">
      <c r="A935" s="4">
        <v>37162</v>
      </c>
      <c r="B935" s="5">
        <v>113</v>
      </c>
      <c r="D935" s="4">
        <v>33224</v>
      </c>
      <c r="E935" s="6">
        <v>28.2</v>
      </c>
    </row>
    <row r="936" spans="1:5" x14ac:dyDescent="0.25">
      <c r="A936" s="4">
        <v>37165</v>
      </c>
      <c r="B936" s="5">
        <v>112</v>
      </c>
      <c r="D936" s="4">
        <v>33225</v>
      </c>
      <c r="E936" s="6">
        <v>27.55</v>
      </c>
    </row>
    <row r="937" spans="1:5" x14ac:dyDescent="0.25">
      <c r="A937" s="4">
        <v>37166</v>
      </c>
      <c r="B937" s="5">
        <v>110.5</v>
      </c>
      <c r="D937" s="4">
        <v>33226</v>
      </c>
      <c r="E937" s="6">
        <v>28.13</v>
      </c>
    </row>
    <row r="938" spans="1:5" x14ac:dyDescent="0.25">
      <c r="A938" s="4">
        <v>37167</v>
      </c>
      <c r="B938" s="5">
        <v>111.75</v>
      </c>
      <c r="D938" s="4">
        <v>33227</v>
      </c>
      <c r="E938" s="6">
        <v>27.55</v>
      </c>
    </row>
    <row r="939" spans="1:5" x14ac:dyDescent="0.25">
      <c r="A939" s="4">
        <v>37168</v>
      </c>
      <c r="B939" s="5">
        <v>112</v>
      </c>
      <c r="D939" s="4">
        <v>33228</v>
      </c>
      <c r="E939" s="6">
        <v>26.9</v>
      </c>
    </row>
    <row r="940" spans="1:5" x14ac:dyDescent="0.25">
      <c r="A940" s="4">
        <v>37169</v>
      </c>
      <c r="B940" s="5">
        <v>112.5</v>
      </c>
      <c r="D940" s="4">
        <v>33231</v>
      </c>
      <c r="E940" s="6">
        <v>27.7</v>
      </c>
    </row>
    <row r="941" spans="1:5" x14ac:dyDescent="0.25">
      <c r="A941" s="4">
        <v>37172</v>
      </c>
      <c r="B941" s="5">
        <v>108.5</v>
      </c>
      <c r="D941" s="4">
        <v>33232</v>
      </c>
      <c r="E941" s="5"/>
    </row>
    <row r="942" spans="1:5" x14ac:dyDescent="0.25">
      <c r="A942" s="4">
        <v>37173</v>
      </c>
      <c r="B942" s="5">
        <v>108</v>
      </c>
      <c r="D942" s="4">
        <v>33233</v>
      </c>
      <c r="E942" s="6">
        <v>27.7</v>
      </c>
    </row>
    <row r="943" spans="1:5" x14ac:dyDescent="0.25">
      <c r="A943" s="4">
        <v>37174</v>
      </c>
      <c r="B943" s="5">
        <v>107</v>
      </c>
      <c r="D943" s="4">
        <v>33234</v>
      </c>
      <c r="E943" s="6">
        <v>27.05</v>
      </c>
    </row>
    <row r="944" spans="1:5" x14ac:dyDescent="0.25">
      <c r="A944" s="4">
        <v>37175</v>
      </c>
      <c r="B944" s="5">
        <v>103</v>
      </c>
      <c r="D944" s="4">
        <v>33235</v>
      </c>
      <c r="E944" s="6">
        <v>27.43</v>
      </c>
    </row>
    <row r="945" spans="1:5" x14ac:dyDescent="0.25">
      <c r="A945" s="4">
        <v>37176</v>
      </c>
      <c r="B945" s="5">
        <v>100</v>
      </c>
      <c r="D945" s="4">
        <v>33238</v>
      </c>
      <c r="E945" s="6">
        <v>28.35</v>
      </c>
    </row>
    <row r="946" spans="1:5" x14ac:dyDescent="0.25">
      <c r="A946" s="4">
        <v>37179</v>
      </c>
      <c r="B946" s="5">
        <v>102.5</v>
      </c>
      <c r="D946" s="4">
        <v>33239</v>
      </c>
      <c r="E946" s="5"/>
    </row>
    <row r="947" spans="1:5" x14ac:dyDescent="0.25">
      <c r="A947" s="4">
        <v>37180</v>
      </c>
      <c r="B947" s="5">
        <v>101.25</v>
      </c>
      <c r="D947" s="4">
        <v>33240</v>
      </c>
      <c r="E947" s="6">
        <v>26.78</v>
      </c>
    </row>
    <row r="948" spans="1:5" x14ac:dyDescent="0.25">
      <c r="A948" s="4">
        <v>37181</v>
      </c>
      <c r="B948" s="5">
        <v>98.25</v>
      </c>
      <c r="D948" s="4">
        <v>33241</v>
      </c>
      <c r="E948" s="6">
        <v>25.05</v>
      </c>
    </row>
    <row r="949" spans="1:5" x14ac:dyDescent="0.25">
      <c r="A949" s="4">
        <v>37182</v>
      </c>
      <c r="B949" s="5">
        <v>100</v>
      </c>
      <c r="D949" s="4">
        <v>33242</v>
      </c>
      <c r="E949" s="6">
        <v>24.08</v>
      </c>
    </row>
    <row r="950" spans="1:5" x14ac:dyDescent="0.25">
      <c r="A950" s="4">
        <v>37183</v>
      </c>
      <c r="B950" s="5">
        <v>96</v>
      </c>
      <c r="D950" s="4">
        <v>33245</v>
      </c>
      <c r="E950" s="6">
        <v>25.93</v>
      </c>
    </row>
    <row r="951" spans="1:5" x14ac:dyDescent="0.25">
      <c r="A951" s="4">
        <v>37186</v>
      </c>
      <c r="B951" s="5">
        <v>99.5</v>
      </c>
      <c r="D951" s="4">
        <v>33246</v>
      </c>
      <c r="E951" s="6">
        <v>25.73</v>
      </c>
    </row>
    <row r="952" spans="1:5" x14ac:dyDescent="0.25">
      <c r="A952" s="4">
        <v>37187</v>
      </c>
      <c r="B952" s="5">
        <v>98.75</v>
      </c>
      <c r="D952" s="4">
        <v>33247</v>
      </c>
      <c r="E952" s="6">
        <v>22.35</v>
      </c>
    </row>
    <row r="953" spans="1:5" x14ac:dyDescent="0.25">
      <c r="A953" s="4">
        <v>37188</v>
      </c>
      <c r="B953" s="5">
        <v>97</v>
      </c>
      <c r="D953" s="4">
        <v>33248</v>
      </c>
      <c r="E953" s="6">
        <v>26.58</v>
      </c>
    </row>
    <row r="954" spans="1:5" x14ac:dyDescent="0.25">
      <c r="A954" s="4">
        <v>37189</v>
      </c>
      <c r="B954" s="5">
        <v>96.5</v>
      </c>
      <c r="D954" s="4">
        <v>33249</v>
      </c>
      <c r="E954" s="6">
        <v>26.05</v>
      </c>
    </row>
    <row r="955" spans="1:5" x14ac:dyDescent="0.25">
      <c r="A955" s="4">
        <v>37190</v>
      </c>
      <c r="B955" s="5">
        <v>91.75</v>
      </c>
      <c r="D955" s="4">
        <v>33252</v>
      </c>
      <c r="E955" s="6">
        <v>29.55</v>
      </c>
    </row>
    <row r="956" spans="1:5" x14ac:dyDescent="0.25">
      <c r="A956" s="4">
        <v>37193</v>
      </c>
      <c r="B956" s="5">
        <v>92.5</v>
      </c>
      <c r="D956" s="4">
        <v>33253</v>
      </c>
      <c r="E956" s="6">
        <v>29.25</v>
      </c>
    </row>
    <row r="957" spans="1:5" x14ac:dyDescent="0.25">
      <c r="A957" s="4">
        <v>37194</v>
      </c>
      <c r="B957" s="5">
        <v>91.5</v>
      </c>
      <c r="D957" s="4">
        <v>33254</v>
      </c>
      <c r="E957" s="6">
        <v>30.28</v>
      </c>
    </row>
    <row r="958" spans="1:5" x14ac:dyDescent="0.25">
      <c r="A958" s="4">
        <v>37195</v>
      </c>
      <c r="B958" s="5">
        <v>90.25</v>
      </c>
      <c r="D958" s="4">
        <v>33255</v>
      </c>
      <c r="E958" s="6">
        <v>21.1</v>
      </c>
    </row>
    <row r="959" spans="1:5" x14ac:dyDescent="0.25">
      <c r="A959" s="4">
        <v>37196</v>
      </c>
      <c r="B959" s="5">
        <v>94.25</v>
      </c>
      <c r="D959" s="4">
        <v>33256</v>
      </c>
      <c r="E959" s="6">
        <v>19.100000000000001</v>
      </c>
    </row>
    <row r="960" spans="1:5" x14ac:dyDescent="0.25">
      <c r="A960" s="4">
        <v>37197</v>
      </c>
      <c r="B960" s="5">
        <v>96.5</v>
      </c>
      <c r="D960" s="4">
        <v>33259</v>
      </c>
      <c r="E960" s="6">
        <v>19.25</v>
      </c>
    </row>
    <row r="961" spans="1:5" x14ac:dyDescent="0.25">
      <c r="A961" s="4">
        <v>37200</v>
      </c>
      <c r="B961" s="5">
        <v>103.5</v>
      </c>
      <c r="D961" s="4">
        <v>33260</v>
      </c>
      <c r="E961" s="6">
        <v>20.73</v>
      </c>
    </row>
    <row r="962" spans="1:5" x14ac:dyDescent="0.25">
      <c r="A962" s="4">
        <v>37201</v>
      </c>
      <c r="B962" s="5">
        <v>99.5</v>
      </c>
      <c r="D962" s="4">
        <v>33261</v>
      </c>
      <c r="E962" s="6">
        <v>22.15</v>
      </c>
    </row>
    <row r="963" spans="1:5" x14ac:dyDescent="0.25">
      <c r="A963" s="4">
        <v>37202</v>
      </c>
      <c r="B963" s="5">
        <v>98</v>
      </c>
      <c r="D963" s="4">
        <v>33262</v>
      </c>
      <c r="E963" s="6">
        <v>20.9</v>
      </c>
    </row>
    <row r="964" spans="1:5" x14ac:dyDescent="0.25">
      <c r="A964" s="4">
        <v>37203</v>
      </c>
      <c r="B964" s="5">
        <v>93.5</v>
      </c>
      <c r="D964" s="4">
        <v>33263</v>
      </c>
      <c r="E964" s="6">
        <v>20.8</v>
      </c>
    </row>
    <row r="965" spans="1:5" x14ac:dyDescent="0.25">
      <c r="A965" s="4">
        <v>37204</v>
      </c>
      <c r="B965" s="5">
        <v>93</v>
      </c>
      <c r="D965" s="4">
        <v>33266</v>
      </c>
      <c r="E965" s="6">
        <v>20.399999999999999</v>
      </c>
    </row>
    <row r="966" spans="1:5" x14ac:dyDescent="0.25">
      <c r="A966" s="4">
        <v>37207</v>
      </c>
      <c r="B966" s="5">
        <v>91.5</v>
      </c>
      <c r="D966" s="4">
        <v>33267</v>
      </c>
      <c r="E966" s="6">
        <v>20.75</v>
      </c>
    </row>
    <row r="967" spans="1:5" x14ac:dyDescent="0.25">
      <c r="A967" s="4">
        <v>37208</v>
      </c>
      <c r="B967" s="5">
        <v>96.5</v>
      </c>
      <c r="D967" s="4">
        <v>33268</v>
      </c>
      <c r="E967" s="6">
        <v>20.95</v>
      </c>
    </row>
    <row r="968" spans="1:5" x14ac:dyDescent="0.25">
      <c r="A968" s="4">
        <v>37210</v>
      </c>
      <c r="B968" s="5">
        <v>99</v>
      </c>
      <c r="D968" s="4">
        <v>33269</v>
      </c>
      <c r="E968" s="6">
        <v>20.7</v>
      </c>
    </row>
    <row r="969" spans="1:5" x14ac:dyDescent="0.25">
      <c r="A969" s="4">
        <v>37211</v>
      </c>
      <c r="B969" s="5">
        <v>101.75</v>
      </c>
      <c r="D969" s="4">
        <v>33270</v>
      </c>
      <c r="E969" s="6">
        <v>20.8</v>
      </c>
    </row>
    <row r="970" spans="1:5" x14ac:dyDescent="0.25">
      <c r="A970" s="4">
        <v>37214</v>
      </c>
      <c r="B970" s="5">
        <v>103</v>
      </c>
      <c r="D970" s="4">
        <v>33273</v>
      </c>
      <c r="E970" s="6">
        <v>20.45</v>
      </c>
    </row>
    <row r="971" spans="1:5" x14ac:dyDescent="0.25">
      <c r="A971" s="4">
        <v>37215</v>
      </c>
      <c r="B971" s="5">
        <v>100.5</v>
      </c>
      <c r="D971" s="4">
        <v>33274</v>
      </c>
      <c r="E971" s="6">
        <v>20.2</v>
      </c>
    </row>
    <row r="972" spans="1:5" x14ac:dyDescent="0.25">
      <c r="A972" s="4">
        <v>37216</v>
      </c>
      <c r="B972" s="5">
        <v>101</v>
      </c>
      <c r="D972" s="4">
        <v>33275</v>
      </c>
      <c r="E972" s="6">
        <v>20.93</v>
      </c>
    </row>
    <row r="973" spans="1:5" x14ac:dyDescent="0.25">
      <c r="A973" s="4">
        <v>37217</v>
      </c>
      <c r="B973" s="5">
        <v>102.25</v>
      </c>
      <c r="D973" s="4">
        <v>33276</v>
      </c>
      <c r="E973" s="6">
        <v>20.9</v>
      </c>
    </row>
    <row r="974" spans="1:5" x14ac:dyDescent="0.25">
      <c r="A974" s="4">
        <v>37218</v>
      </c>
      <c r="B974" s="5">
        <v>102.5</v>
      </c>
      <c r="D974" s="4">
        <v>33277</v>
      </c>
      <c r="E974" s="6">
        <v>20.65</v>
      </c>
    </row>
    <row r="975" spans="1:5" x14ac:dyDescent="0.25">
      <c r="A975" s="4">
        <v>37221</v>
      </c>
      <c r="B975" s="5">
        <v>101.75</v>
      </c>
      <c r="D975" s="4">
        <v>33280</v>
      </c>
      <c r="E975" s="6">
        <v>21.23</v>
      </c>
    </row>
    <row r="976" spans="1:5" x14ac:dyDescent="0.25">
      <c r="A976" s="4">
        <v>37222</v>
      </c>
      <c r="B976" s="5">
        <v>105.5</v>
      </c>
      <c r="D976" s="4">
        <v>33281</v>
      </c>
      <c r="E976" s="6">
        <v>21.1</v>
      </c>
    </row>
    <row r="977" spans="1:5" x14ac:dyDescent="0.25">
      <c r="A977" s="4">
        <v>37223</v>
      </c>
      <c r="B977" s="5">
        <v>107</v>
      </c>
      <c r="D977" s="4">
        <v>33282</v>
      </c>
      <c r="E977" s="6">
        <v>21</v>
      </c>
    </row>
    <row r="978" spans="1:5" x14ac:dyDescent="0.25">
      <c r="A978" s="4">
        <v>37224</v>
      </c>
      <c r="B978" s="5">
        <v>107.5</v>
      </c>
      <c r="D978" s="4">
        <v>33283</v>
      </c>
      <c r="E978" s="6">
        <v>20.5</v>
      </c>
    </row>
    <row r="979" spans="1:5" x14ac:dyDescent="0.25">
      <c r="A979" s="4">
        <v>37225</v>
      </c>
      <c r="B979" s="5">
        <v>106</v>
      </c>
      <c r="D979" s="4">
        <v>33284</v>
      </c>
      <c r="E979" s="6">
        <v>18.350000000000001</v>
      </c>
    </row>
    <row r="980" spans="1:5" x14ac:dyDescent="0.25">
      <c r="A980" s="4">
        <v>37228</v>
      </c>
      <c r="B980" s="5">
        <v>100.5</v>
      </c>
      <c r="D980" s="4">
        <v>33287</v>
      </c>
      <c r="E980" s="6">
        <v>17.68</v>
      </c>
    </row>
    <row r="981" spans="1:5" x14ac:dyDescent="0.25">
      <c r="A981" s="4">
        <v>37229</v>
      </c>
      <c r="B981" s="5">
        <v>99</v>
      </c>
      <c r="D981" s="4">
        <v>33288</v>
      </c>
      <c r="E981" s="6">
        <v>17.850000000000001</v>
      </c>
    </row>
    <row r="982" spans="1:5" x14ac:dyDescent="0.25">
      <c r="A982" s="4">
        <v>37230</v>
      </c>
      <c r="B982" s="5">
        <v>94.75</v>
      </c>
      <c r="D982" s="4">
        <v>33289</v>
      </c>
      <c r="E982" s="6">
        <v>18.75</v>
      </c>
    </row>
    <row r="983" spans="1:5" x14ac:dyDescent="0.25">
      <c r="A983" s="4">
        <v>37231</v>
      </c>
      <c r="B983" s="5">
        <v>94.75</v>
      </c>
      <c r="D983" s="4">
        <v>33290</v>
      </c>
      <c r="E983" s="6">
        <v>18.55</v>
      </c>
    </row>
    <row r="984" spans="1:5" x14ac:dyDescent="0.25">
      <c r="A984" s="4">
        <v>37232</v>
      </c>
      <c r="B984" s="5">
        <v>94.5</v>
      </c>
      <c r="D984" s="4">
        <v>33291</v>
      </c>
      <c r="E984" s="6">
        <v>17.8</v>
      </c>
    </row>
    <row r="985" spans="1:5" x14ac:dyDescent="0.25">
      <c r="A985" s="4">
        <v>37235</v>
      </c>
      <c r="B985" s="5">
        <v>91</v>
      </c>
      <c r="D985" s="4">
        <v>33294</v>
      </c>
      <c r="E985" s="6">
        <v>17.829999999999998</v>
      </c>
    </row>
    <row r="986" spans="1:5" x14ac:dyDescent="0.25">
      <c r="A986" s="4">
        <v>37236</v>
      </c>
      <c r="B986" s="5">
        <v>96</v>
      </c>
      <c r="D986" s="4">
        <v>33295</v>
      </c>
      <c r="E986" s="6">
        <v>18</v>
      </c>
    </row>
    <row r="987" spans="1:5" x14ac:dyDescent="0.25">
      <c r="A987" s="4">
        <v>37237</v>
      </c>
      <c r="B987" s="5">
        <v>96</v>
      </c>
      <c r="D987" s="4">
        <v>33296</v>
      </c>
      <c r="E987" s="6">
        <v>18.649999999999999</v>
      </c>
    </row>
    <row r="988" spans="1:5" x14ac:dyDescent="0.25">
      <c r="A988" s="4">
        <v>37238</v>
      </c>
      <c r="B988" s="5">
        <v>97</v>
      </c>
      <c r="D988" s="4">
        <v>33297</v>
      </c>
      <c r="E988" s="6">
        <v>19.5</v>
      </c>
    </row>
    <row r="989" spans="1:5" x14ac:dyDescent="0.25">
      <c r="A989" s="4">
        <v>37239</v>
      </c>
      <c r="B989" s="5">
        <v>96.5</v>
      </c>
      <c r="D989" s="4">
        <v>33298</v>
      </c>
      <c r="E989" s="6">
        <v>19.329999999999998</v>
      </c>
    </row>
    <row r="990" spans="1:5" x14ac:dyDescent="0.25">
      <c r="A990" s="4">
        <v>37243</v>
      </c>
      <c r="B990" s="5">
        <v>96.5</v>
      </c>
      <c r="D990" s="4">
        <v>33301</v>
      </c>
      <c r="E990" s="6">
        <v>20.2</v>
      </c>
    </row>
    <row r="991" spans="1:5" x14ac:dyDescent="0.25">
      <c r="A991" s="4">
        <v>37244</v>
      </c>
      <c r="B991" s="5">
        <v>96.75</v>
      </c>
      <c r="D991" s="4">
        <v>33302</v>
      </c>
      <c r="E991" s="6">
        <v>20.05</v>
      </c>
    </row>
    <row r="992" spans="1:5" x14ac:dyDescent="0.25">
      <c r="A992" s="4">
        <v>37245</v>
      </c>
      <c r="B992" s="5">
        <v>102</v>
      </c>
      <c r="D992" s="4">
        <v>33303</v>
      </c>
      <c r="E992" s="6">
        <v>19.850000000000001</v>
      </c>
    </row>
    <row r="993" spans="1:5" x14ac:dyDescent="0.25">
      <c r="A993" s="4">
        <v>37246</v>
      </c>
      <c r="B993" s="5">
        <v>100.25</v>
      </c>
      <c r="D993" s="4">
        <v>33304</v>
      </c>
      <c r="E993" s="6">
        <v>19.649999999999999</v>
      </c>
    </row>
    <row r="994" spans="1:5" x14ac:dyDescent="0.25">
      <c r="A994" s="4">
        <v>37249</v>
      </c>
      <c r="B994" s="5">
        <v>98</v>
      </c>
      <c r="D994" s="4">
        <v>33305</v>
      </c>
      <c r="E994" s="6">
        <v>19.100000000000001</v>
      </c>
    </row>
    <row r="995" spans="1:5" x14ac:dyDescent="0.25">
      <c r="A995" s="4">
        <v>37251</v>
      </c>
      <c r="B995" s="5">
        <v>97.5</v>
      </c>
      <c r="D995" s="4">
        <v>33308</v>
      </c>
      <c r="E995" s="6">
        <v>18.600000000000001</v>
      </c>
    </row>
    <row r="996" spans="1:5" x14ac:dyDescent="0.25">
      <c r="A996" s="4">
        <v>37252</v>
      </c>
      <c r="B996" s="5">
        <v>101.5</v>
      </c>
      <c r="D996" s="4">
        <v>33309</v>
      </c>
      <c r="E996" s="6">
        <v>18.43</v>
      </c>
    </row>
    <row r="997" spans="1:5" x14ac:dyDescent="0.25">
      <c r="A997" s="4">
        <v>37253</v>
      </c>
      <c r="B997" s="5">
        <v>101</v>
      </c>
      <c r="D997" s="4">
        <v>33310</v>
      </c>
      <c r="E997" s="6">
        <v>20.329999999999998</v>
      </c>
    </row>
    <row r="998" spans="1:5" x14ac:dyDescent="0.25">
      <c r="A998" s="4">
        <v>37256</v>
      </c>
      <c r="B998" s="5">
        <v>106</v>
      </c>
      <c r="D998" s="4">
        <v>33311</v>
      </c>
      <c r="E998" s="6">
        <v>19.98</v>
      </c>
    </row>
    <row r="999" spans="1:5" x14ac:dyDescent="0.25">
      <c r="A999" s="4">
        <v>37258</v>
      </c>
      <c r="B999" s="5">
        <v>105.5</v>
      </c>
      <c r="D999" s="4">
        <v>33312</v>
      </c>
      <c r="E999" s="6">
        <v>19.05</v>
      </c>
    </row>
    <row r="1000" spans="1:5" x14ac:dyDescent="0.25">
      <c r="A1000" s="4">
        <v>37259</v>
      </c>
      <c r="B1000" s="5">
        <v>105</v>
      </c>
      <c r="D1000" s="4">
        <v>33315</v>
      </c>
      <c r="E1000" s="6">
        <v>18.3</v>
      </c>
    </row>
    <row r="1001" spans="1:5" x14ac:dyDescent="0.25">
      <c r="A1001" s="4">
        <v>37260</v>
      </c>
      <c r="B1001" s="5">
        <v>104.75</v>
      </c>
      <c r="D1001" s="4">
        <v>33316</v>
      </c>
      <c r="E1001" s="6">
        <v>18.95</v>
      </c>
    </row>
    <row r="1002" spans="1:5" x14ac:dyDescent="0.25">
      <c r="A1002" s="4">
        <v>37263</v>
      </c>
      <c r="B1002" s="5">
        <v>105.75</v>
      </c>
      <c r="D1002" s="4">
        <v>33317</v>
      </c>
      <c r="E1002" s="6">
        <v>18.98</v>
      </c>
    </row>
    <row r="1003" spans="1:5" x14ac:dyDescent="0.25">
      <c r="A1003" s="4">
        <v>37264</v>
      </c>
      <c r="B1003" s="5">
        <v>103.75</v>
      </c>
      <c r="D1003" s="4">
        <v>33318</v>
      </c>
      <c r="E1003" s="6">
        <v>18.8</v>
      </c>
    </row>
    <row r="1004" spans="1:5" x14ac:dyDescent="0.25">
      <c r="A1004" s="4">
        <v>37265</v>
      </c>
      <c r="B1004" s="5">
        <v>100.5</v>
      </c>
      <c r="D1004" s="4">
        <v>33319</v>
      </c>
      <c r="E1004" s="6">
        <v>18.95</v>
      </c>
    </row>
    <row r="1005" spans="1:5" x14ac:dyDescent="0.25">
      <c r="A1005" s="4">
        <v>37266</v>
      </c>
      <c r="B1005" s="5">
        <v>97.75</v>
      </c>
      <c r="D1005" s="4">
        <v>33322</v>
      </c>
      <c r="E1005" s="6">
        <v>18.600000000000001</v>
      </c>
    </row>
    <row r="1006" spans="1:5" x14ac:dyDescent="0.25">
      <c r="A1006" s="4">
        <v>37267</v>
      </c>
      <c r="B1006" s="5">
        <v>98.5</v>
      </c>
      <c r="D1006" s="4">
        <v>33323</v>
      </c>
      <c r="E1006" s="6">
        <v>18.350000000000001</v>
      </c>
    </row>
    <row r="1007" spans="1:5" x14ac:dyDescent="0.25">
      <c r="A1007" s="4">
        <v>37270</v>
      </c>
      <c r="B1007" s="5">
        <v>99.5</v>
      </c>
      <c r="D1007" s="4">
        <v>33324</v>
      </c>
      <c r="E1007" s="6">
        <v>18.149999999999999</v>
      </c>
    </row>
    <row r="1008" spans="1:5" x14ac:dyDescent="0.25">
      <c r="A1008" s="4">
        <v>37271</v>
      </c>
      <c r="B1008" s="5">
        <v>99</v>
      </c>
      <c r="D1008" s="4">
        <v>33325</v>
      </c>
      <c r="E1008" s="6">
        <v>18</v>
      </c>
    </row>
    <row r="1009" spans="1:5" x14ac:dyDescent="0.25">
      <c r="A1009" s="4">
        <v>37272</v>
      </c>
      <c r="B1009" s="5">
        <v>99.5</v>
      </c>
      <c r="D1009" s="4">
        <v>33326</v>
      </c>
      <c r="E1009" s="5"/>
    </row>
    <row r="1010" spans="1:5" x14ac:dyDescent="0.25">
      <c r="A1010" s="4">
        <v>37273</v>
      </c>
      <c r="B1010" s="5">
        <v>100.75</v>
      </c>
      <c r="D1010" s="4">
        <v>33329</v>
      </c>
      <c r="E1010" s="6">
        <v>18</v>
      </c>
    </row>
    <row r="1011" spans="1:5" x14ac:dyDescent="0.25">
      <c r="A1011" s="4">
        <v>37274</v>
      </c>
      <c r="B1011" s="5">
        <v>100.25</v>
      </c>
      <c r="D1011" s="4">
        <v>33330</v>
      </c>
      <c r="E1011" s="6">
        <v>17.63</v>
      </c>
    </row>
    <row r="1012" spans="1:5" x14ac:dyDescent="0.25">
      <c r="A1012" s="4">
        <v>37277</v>
      </c>
      <c r="B1012" s="5">
        <v>100.5</v>
      </c>
      <c r="D1012" s="4">
        <v>33331</v>
      </c>
      <c r="E1012" s="6">
        <v>17.75</v>
      </c>
    </row>
    <row r="1013" spans="1:5" x14ac:dyDescent="0.25">
      <c r="A1013" s="4">
        <v>37278</v>
      </c>
      <c r="B1013" s="5">
        <v>101.25</v>
      </c>
      <c r="D1013" s="4">
        <v>33332</v>
      </c>
      <c r="E1013" s="6">
        <v>18</v>
      </c>
    </row>
    <row r="1014" spans="1:5" x14ac:dyDescent="0.25">
      <c r="A1014" s="4">
        <v>37279</v>
      </c>
      <c r="B1014" s="5">
        <v>99</v>
      </c>
      <c r="D1014" s="4">
        <v>33333</v>
      </c>
      <c r="E1014" s="6">
        <v>18.350000000000001</v>
      </c>
    </row>
    <row r="1015" spans="1:5" x14ac:dyDescent="0.25">
      <c r="A1015" s="4">
        <v>37280</v>
      </c>
      <c r="B1015" s="5">
        <v>97.25</v>
      </c>
      <c r="D1015" s="4">
        <v>33336</v>
      </c>
      <c r="E1015" s="6">
        <v>18.579999999999998</v>
      </c>
    </row>
    <row r="1016" spans="1:5" x14ac:dyDescent="0.25">
      <c r="A1016" s="4">
        <v>37281</v>
      </c>
      <c r="B1016" s="5">
        <v>97.25</v>
      </c>
      <c r="D1016" s="4">
        <v>33337</v>
      </c>
      <c r="E1016" s="6">
        <v>18.600000000000001</v>
      </c>
    </row>
    <row r="1017" spans="1:5" x14ac:dyDescent="0.25">
      <c r="A1017" s="4">
        <v>37284</v>
      </c>
      <c r="B1017" s="5">
        <v>98.75</v>
      </c>
      <c r="D1017" s="4">
        <v>33338</v>
      </c>
      <c r="E1017" s="6">
        <v>19.25</v>
      </c>
    </row>
    <row r="1018" spans="1:5" x14ac:dyDescent="0.25">
      <c r="A1018" s="4">
        <v>37285</v>
      </c>
      <c r="B1018" s="5">
        <v>100</v>
      </c>
      <c r="D1018" s="4">
        <v>33339</v>
      </c>
      <c r="E1018" s="6">
        <v>19.5</v>
      </c>
    </row>
    <row r="1019" spans="1:5" x14ac:dyDescent="0.25">
      <c r="A1019" s="4">
        <v>37286</v>
      </c>
      <c r="B1019" s="5">
        <v>99</v>
      </c>
      <c r="D1019" s="4">
        <v>33340</v>
      </c>
      <c r="E1019" s="6">
        <v>19.93</v>
      </c>
    </row>
    <row r="1020" spans="1:5" x14ac:dyDescent="0.25">
      <c r="A1020" s="4">
        <v>37287</v>
      </c>
      <c r="B1020" s="5">
        <v>99.25</v>
      </c>
      <c r="D1020" s="4">
        <v>33343</v>
      </c>
      <c r="E1020" s="6">
        <v>20.23</v>
      </c>
    </row>
    <row r="1021" spans="1:5" x14ac:dyDescent="0.25">
      <c r="A1021" s="4">
        <v>37288</v>
      </c>
      <c r="B1021" s="5">
        <v>99</v>
      </c>
      <c r="D1021" s="4">
        <v>33344</v>
      </c>
      <c r="E1021" s="6">
        <v>19.899999999999999</v>
      </c>
    </row>
    <row r="1022" spans="1:5" x14ac:dyDescent="0.25">
      <c r="A1022" s="4">
        <v>37291</v>
      </c>
      <c r="B1022" s="5">
        <v>99.25</v>
      </c>
      <c r="D1022" s="4">
        <v>33345</v>
      </c>
      <c r="E1022" s="6">
        <v>19.850000000000001</v>
      </c>
    </row>
    <row r="1023" spans="1:5" x14ac:dyDescent="0.25">
      <c r="A1023" s="4">
        <v>37292</v>
      </c>
      <c r="B1023" s="5">
        <v>99.75</v>
      </c>
      <c r="D1023" s="4">
        <v>33346</v>
      </c>
      <c r="E1023" s="6">
        <v>19.399999999999999</v>
      </c>
    </row>
    <row r="1024" spans="1:5" x14ac:dyDescent="0.25">
      <c r="A1024" s="4">
        <v>37293</v>
      </c>
      <c r="B1024" s="5">
        <v>102</v>
      </c>
      <c r="D1024" s="4">
        <v>33347</v>
      </c>
      <c r="E1024" s="6">
        <v>19.18</v>
      </c>
    </row>
    <row r="1025" spans="1:5" x14ac:dyDescent="0.25">
      <c r="A1025" s="4">
        <v>37294</v>
      </c>
      <c r="B1025" s="5">
        <v>100</v>
      </c>
      <c r="D1025" s="4">
        <v>33350</v>
      </c>
      <c r="E1025" s="6">
        <v>19.78</v>
      </c>
    </row>
    <row r="1026" spans="1:5" x14ac:dyDescent="0.25">
      <c r="A1026" s="4">
        <v>37295</v>
      </c>
      <c r="B1026" s="5">
        <v>102</v>
      </c>
      <c r="D1026" s="4">
        <v>33351</v>
      </c>
      <c r="E1026" s="6">
        <v>19.600000000000001</v>
      </c>
    </row>
    <row r="1027" spans="1:5" x14ac:dyDescent="0.25">
      <c r="A1027" s="4">
        <v>37298</v>
      </c>
      <c r="B1027" s="5">
        <v>102</v>
      </c>
      <c r="D1027" s="4">
        <v>33352</v>
      </c>
      <c r="E1027" s="6">
        <v>19.55</v>
      </c>
    </row>
    <row r="1028" spans="1:5" x14ac:dyDescent="0.25">
      <c r="A1028" s="4">
        <v>37301</v>
      </c>
      <c r="B1028" s="5">
        <v>104.25</v>
      </c>
      <c r="D1028" s="4">
        <v>33353</v>
      </c>
      <c r="E1028" s="6">
        <v>19.600000000000001</v>
      </c>
    </row>
    <row r="1029" spans="1:5" x14ac:dyDescent="0.25">
      <c r="A1029" s="4">
        <v>37302</v>
      </c>
      <c r="B1029" s="5">
        <v>102</v>
      </c>
      <c r="D1029" s="4">
        <v>33354</v>
      </c>
      <c r="E1029" s="6">
        <v>19.63</v>
      </c>
    </row>
    <row r="1030" spans="1:5" x14ac:dyDescent="0.25">
      <c r="A1030" s="4">
        <v>37305</v>
      </c>
      <c r="B1030" s="5">
        <v>102.5</v>
      </c>
      <c r="D1030" s="4">
        <v>33357</v>
      </c>
      <c r="E1030" s="6">
        <v>19.95</v>
      </c>
    </row>
    <row r="1031" spans="1:5" x14ac:dyDescent="0.25">
      <c r="A1031" s="4">
        <v>37306</v>
      </c>
      <c r="B1031" s="5">
        <v>103</v>
      </c>
      <c r="D1031" s="4">
        <v>33358</v>
      </c>
      <c r="E1031" s="6">
        <v>19.7</v>
      </c>
    </row>
    <row r="1032" spans="1:5" x14ac:dyDescent="0.25">
      <c r="A1032" s="4">
        <v>37307</v>
      </c>
      <c r="B1032" s="5">
        <v>104</v>
      </c>
      <c r="D1032" s="4">
        <v>33359</v>
      </c>
      <c r="E1032" s="6">
        <v>19.7</v>
      </c>
    </row>
    <row r="1033" spans="1:5" x14ac:dyDescent="0.25">
      <c r="A1033" s="4">
        <v>37308</v>
      </c>
      <c r="B1033" s="5">
        <v>106</v>
      </c>
      <c r="D1033" s="4">
        <v>33360</v>
      </c>
      <c r="E1033" s="6">
        <v>19.7</v>
      </c>
    </row>
    <row r="1034" spans="1:5" x14ac:dyDescent="0.25">
      <c r="A1034" s="4">
        <v>37309</v>
      </c>
      <c r="B1034" s="5">
        <v>108.5</v>
      </c>
      <c r="D1034" s="4">
        <v>33361</v>
      </c>
      <c r="E1034" s="6">
        <v>19.55</v>
      </c>
    </row>
    <row r="1035" spans="1:5" x14ac:dyDescent="0.25">
      <c r="A1035" s="4">
        <v>37313</v>
      </c>
      <c r="B1035" s="5">
        <v>112</v>
      </c>
      <c r="D1035" s="4">
        <v>33364</v>
      </c>
      <c r="E1035" s="6">
        <v>19.8</v>
      </c>
    </row>
    <row r="1036" spans="1:5" x14ac:dyDescent="0.25">
      <c r="A1036" s="4">
        <v>37314</v>
      </c>
      <c r="B1036" s="5">
        <v>112</v>
      </c>
      <c r="D1036" s="4">
        <v>33365</v>
      </c>
      <c r="E1036" s="6">
        <v>19.850000000000001</v>
      </c>
    </row>
    <row r="1037" spans="1:5" x14ac:dyDescent="0.25">
      <c r="A1037" s="4">
        <v>37315</v>
      </c>
      <c r="B1037" s="5">
        <v>115</v>
      </c>
      <c r="D1037" s="4">
        <v>33366</v>
      </c>
      <c r="E1037" s="6">
        <v>19.8</v>
      </c>
    </row>
    <row r="1038" spans="1:5" x14ac:dyDescent="0.25">
      <c r="A1038" s="4">
        <v>37316</v>
      </c>
      <c r="B1038" s="5">
        <v>114.5</v>
      </c>
      <c r="D1038" s="4">
        <v>33367</v>
      </c>
      <c r="E1038" s="6">
        <v>20.079999999999998</v>
      </c>
    </row>
    <row r="1039" spans="1:5" x14ac:dyDescent="0.25">
      <c r="A1039" s="4">
        <v>37319</v>
      </c>
      <c r="B1039" s="5">
        <v>114</v>
      </c>
      <c r="D1039" s="4">
        <v>33368</v>
      </c>
      <c r="E1039" s="6">
        <v>19.53</v>
      </c>
    </row>
    <row r="1040" spans="1:5" x14ac:dyDescent="0.25">
      <c r="A1040" s="4">
        <v>37320</v>
      </c>
      <c r="B1040" s="5">
        <v>114.5</v>
      </c>
      <c r="D1040" s="4">
        <v>33371</v>
      </c>
      <c r="E1040" s="6">
        <v>19.25</v>
      </c>
    </row>
    <row r="1041" spans="1:5" x14ac:dyDescent="0.25">
      <c r="A1041" s="4">
        <v>37321</v>
      </c>
      <c r="B1041" s="5">
        <v>117</v>
      </c>
      <c r="D1041" s="4">
        <v>33372</v>
      </c>
      <c r="E1041" s="6">
        <v>18.95</v>
      </c>
    </row>
    <row r="1042" spans="1:5" x14ac:dyDescent="0.25">
      <c r="A1042" s="4">
        <v>37322</v>
      </c>
      <c r="B1042" s="5">
        <v>114.5</v>
      </c>
      <c r="D1042" s="4">
        <v>33373</v>
      </c>
      <c r="E1042" s="6">
        <v>18.8</v>
      </c>
    </row>
    <row r="1043" spans="1:5" x14ac:dyDescent="0.25">
      <c r="A1043" s="4">
        <v>37323</v>
      </c>
      <c r="B1043" s="5">
        <v>118</v>
      </c>
      <c r="D1043" s="4">
        <v>33374</v>
      </c>
      <c r="E1043" s="6">
        <v>18.75</v>
      </c>
    </row>
    <row r="1044" spans="1:5" x14ac:dyDescent="0.25">
      <c r="A1044" s="4">
        <v>37326</v>
      </c>
      <c r="B1044" s="5">
        <v>118</v>
      </c>
      <c r="D1044" s="4">
        <v>33375</v>
      </c>
      <c r="E1044" s="6">
        <v>18.75</v>
      </c>
    </row>
    <row r="1045" spans="1:5" x14ac:dyDescent="0.25">
      <c r="A1045" s="4">
        <v>37327</v>
      </c>
      <c r="B1045" s="5">
        <v>120.5</v>
      </c>
      <c r="D1045" s="4">
        <v>33378</v>
      </c>
      <c r="E1045" s="6">
        <v>18.899999999999999</v>
      </c>
    </row>
    <row r="1046" spans="1:5" x14ac:dyDescent="0.25">
      <c r="A1046" s="4">
        <v>37328</v>
      </c>
      <c r="B1046" s="5">
        <v>119.75</v>
      </c>
      <c r="D1046" s="4">
        <v>33379</v>
      </c>
      <c r="E1046" s="6">
        <v>19.03</v>
      </c>
    </row>
    <row r="1047" spans="1:5" x14ac:dyDescent="0.25">
      <c r="A1047" s="4">
        <v>37329</v>
      </c>
      <c r="B1047" s="5">
        <v>120</v>
      </c>
      <c r="D1047" s="4">
        <v>33380</v>
      </c>
      <c r="E1047" s="6">
        <v>18.579999999999998</v>
      </c>
    </row>
    <row r="1048" spans="1:5" x14ac:dyDescent="0.25">
      <c r="A1048" s="4">
        <v>37330</v>
      </c>
      <c r="B1048" s="5">
        <v>117.5</v>
      </c>
      <c r="D1048" s="4">
        <v>33381</v>
      </c>
      <c r="E1048" s="6">
        <v>18.78</v>
      </c>
    </row>
    <row r="1049" spans="1:5" x14ac:dyDescent="0.25">
      <c r="A1049" s="4">
        <v>37333</v>
      </c>
      <c r="B1049" s="5">
        <v>120</v>
      </c>
      <c r="D1049" s="4">
        <v>33382</v>
      </c>
      <c r="E1049" s="6">
        <v>18.829999999999998</v>
      </c>
    </row>
    <row r="1050" spans="1:5" x14ac:dyDescent="0.25">
      <c r="A1050" s="4">
        <v>37334</v>
      </c>
      <c r="B1050" s="5">
        <v>119</v>
      </c>
      <c r="D1050" s="4">
        <v>33385</v>
      </c>
      <c r="E1050" s="5"/>
    </row>
    <row r="1051" spans="1:5" x14ac:dyDescent="0.25">
      <c r="A1051" s="4">
        <v>37335</v>
      </c>
      <c r="B1051" s="5">
        <v>118.5</v>
      </c>
      <c r="D1051" s="4">
        <v>33386</v>
      </c>
      <c r="E1051" s="6">
        <v>19</v>
      </c>
    </row>
    <row r="1052" spans="1:5" x14ac:dyDescent="0.25">
      <c r="A1052" s="4">
        <v>37336</v>
      </c>
      <c r="B1052" s="5">
        <v>120.5</v>
      </c>
      <c r="D1052" s="4">
        <v>33387</v>
      </c>
      <c r="E1052" s="6">
        <v>18.75</v>
      </c>
    </row>
    <row r="1053" spans="1:5" x14ac:dyDescent="0.25">
      <c r="A1053" s="4">
        <v>37337</v>
      </c>
      <c r="B1053" s="5">
        <v>120.5</v>
      </c>
      <c r="D1053" s="4">
        <v>33388</v>
      </c>
      <c r="E1053" s="6">
        <v>18.73</v>
      </c>
    </row>
    <row r="1054" spans="1:5" x14ac:dyDescent="0.25">
      <c r="A1054" s="4">
        <v>37340</v>
      </c>
      <c r="B1054" s="5">
        <v>121</v>
      </c>
      <c r="D1054" s="4">
        <v>33389</v>
      </c>
      <c r="E1054" s="6">
        <v>19</v>
      </c>
    </row>
    <row r="1055" spans="1:5" x14ac:dyDescent="0.25">
      <c r="A1055" s="4">
        <v>37341</v>
      </c>
      <c r="B1055" s="5">
        <v>122.75</v>
      </c>
      <c r="D1055" s="4">
        <v>33392</v>
      </c>
      <c r="E1055" s="6">
        <v>19</v>
      </c>
    </row>
    <row r="1056" spans="1:5" x14ac:dyDescent="0.25">
      <c r="A1056" s="4">
        <v>37342</v>
      </c>
      <c r="B1056" s="5">
        <v>120.5</v>
      </c>
      <c r="D1056" s="4">
        <v>33393</v>
      </c>
      <c r="E1056" s="6">
        <v>18.829999999999998</v>
      </c>
    </row>
    <row r="1057" spans="1:5" x14ac:dyDescent="0.25">
      <c r="A1057" s="4">
        <v>37343</v>
      </c>
      <c r="B1057" s="5">
        <v>127</v>
      </c>
      <c r="D1057" s="4">
        <v>33394</v>
      </c>
      <c r="E1057" s="6">
        <v>18.63</v>
      </c>
    </row>
    <row r="1058" spans="1:5" x14ac:dyDescent="0.25">
      <c r="A1058" s="4">
        <v>37347</v>
      </c>
      <c r="B1058" s="5">
        <v>130.5</v>
      </c>
      <c r="D1058" s="4">
        <v>33395</v>
      </c>
      <c r="E1058" s="6">
        <v>18.03</v>
      </c>
    </row>
    <row r="1059" spans="1:5" x14ac:dyDescent="0.25">
      <c r="A1059" s="4">
        <v>37348</v>
      </c>
      <c r="B1059" s="5">
        <v>135.5</v>
      </c>
      <c r="D1059" s="4">
        <v>33396</v>
      </c>
      <c r="E1059" s="6">
        <v>18.28</v>
      </c>
    </row>
    <row r="1060" spans="1:5" x14ac:dyDescent="0.25">
      <c r="A1060" s="4">
        <v>37349</v>
      </c>
      <c r="B1060" s="5">
        <v>132</v>
      </c>
      <c r="D1060" s="4">
        <v>33399</v>
      </c>
      <c r="E1060" s="6">
        <v>18</v>
      </c>
    </row>
    <row r="1061" spans="1:5" x14ac:dyDescent="0.25">
      <c r="A1061" s="4">
        <v>37350</v>
      </c>
      <c r="B1061" s="5">
        <v>133</v>
      </c>
      <c r="D1061" s="4">
        <v>33400</v>
      </c>
      <c r="E1061" s="6">
        <v>17.850000000000001</v>
      </c>
    </row>
    <row r="1062" spans="1:5" x14ac:dyDescent="0.25">
      <c r="A1062" s="4">
        <v>37351</v>
      </c>
      <c r="B1062" s="5">
        <v>131</v>
      </c>
      <c r="D1062" s="4">
        <v>33401</v>
      </c>
      <c r="E1062" s="6">
        <v>17.73</v>
      </c>
    </row>
    <row r="1063" spans="1:5" x14ac:dyDescent="0.25">
      <c r="A1063" s="4">
        <v>37354</v>
      </c>
      <c r="B1063" s="5">
        <v>129.5</v>
      </c>
      <c r="D1063" s="4">
        <v>33402</v>
      </c>
      <c r="E1063" s="6">
        <v>18</v>
      </c>
    </row>
    <row r="1064" spans="1:5" x14ac:dyDescent="0.25">
      <c r="A1064" s="4">
        <v>37355</v>
      </c>
      <c r="B1064" s="5">
        <v>129</v>
      </c>
      <c r="D1064" s="4">
        <v>33403</v>
      </c>
      <c r="E1064" s="6">
        <v>17.7</v>
      </c>
    </row>
    <row r="1065" spans="1:5" x14ac:dyDescent="0.25">
      <c r="A1065" s="4">
        <v>37356</v>
      </c>
      <c r="B1065" s="5">
        <v>123.5</v>
      </c>
      <c r="D1065" s="4">
        <v>33406</v>
      </c>
      <c r="E1065" s="6">
        <v>17.850000000000001</v>
      </c>
    </row>
    <row r="1066" spans="1:5" x14ac:dyDescent="0.25">
      <c r="A1066" s="4">
        <v>37357</v>
      </c>
      <c r="B1066" s="5">
        <v>122.5</v>
      </c>
      <c r="D1066" s="4">
        <v>33407</v>
      </c>
      <c r="E1066" s="6">
        <v>18</v>
      </c>
    </row>
    <row r="1067" spans="1:5" x14ac:dyDescent="0.25">
      <c r="A1067" s="4">
        <v>37358</v>
      </c>
      <c r="B1067" s="5">
        <v>127.75</v>
      </c>
      <c r="D1067" s="4">
        <v>33408</v>
      </c>
      <c r="E1067" s="6">
        <v>17.88</v>
      </c>
    </row>
    <row r="1068" spans="1:5" x14ac:dyDescent="0.25">
      <c r="A1068" s="4">
        <v>37361</v>
      </c>
      <c r="B1068" s="5">
        <v>130.75</v>
      </c>
      <c r="D1068" s="4">
        <v>33409</v>
      </c>
      <c r="E1068" s="6">
        <v>18.149999999999999</v>
      </c>
    </row>
    <row r="1069" spans="1:5" x14ac:dyDescent="0.25">
      <c r="A1069" s="4">
        <v>37362</v>
      </c>
      <c r="B1069" s="5">
        <v>133.5</v>
      </c>
      <c r="D1069" s="4">
        <v>33410</v>
      </c>
      <c r="E1069" s="6">
        <v>18.43</v>
      </c>
    </row>
    <row r="1070" spans="1:5" x14ac:dyDescent="0.25">
      <c r="A1070" s="4">
        <v>37363</v>
      </c>
      <c r="B1070" s="5">
        <v>132.25</v>
      </c>
      <c r="D1070" s="4">
        <v>33413</v>
      </c>
      <c r="E1070" s="6">
        <v>18.18</v>
      </c>
    </row>
    <row r="1071" spans="1:5" x14ac:dyDescent="0.25">
      <c r="A1071" s="4">
        <v>37364</v>
      </c>
      <c r="B1071" s="5">
        <v>135</v>
      </c>
      <c r="D1071" s="4">
        <v>33414</v>
      </c>
      <c r="E1071" s="6">
        <v>18.149999999999999</v>
      </c>
    </row>
    <row r="1072" spans="1:5" x14ac:dyDescent="0.25">
      <c r="A1072" s="4">
        <v>37365</v>
      </c>
      <c r="B1072" s="5">
        <v>136</v>
      </c>
      <c r="D1072" s="4">
        <v>33415</v>
      </c>
      <c r="E1072" s="6">
        <v>18.100000000000001</v>
      </c>
    </row>
    <row r="1073" spans="1:5" x14ac:dyDescent="0.25">
      <c r="A1073" s="4">
        <v>37368</v>
      </c>
      <c r="B1073" s="5">
        <v>133.5</v>
      </c>
      <c r="D1073" s="4">
        <v>33416</v>
      </c>
      <c r="E1073" s="6">
        <v>18.079999999999998</v>
      </c>
    </row>
    <row r="1074" spans="1:5" x14ac:dyDescent="0.25">
      <c r="A1074" s="4">
        <v>37369</v>
      </c>
      <c r="B1074" s="5">
        <v>138</v>
      </c>
      <c r="D1074" s="4">
        <v>33417</v>
      </c>
      <c r="E1074" s="6">
        <v>18.48</v>
      </c>
    </row>
    <row r="1075" spans="1:5" x14ac:dyDescent="0.25">
      <c r="A1075" s="4">
        <v>37370</v>
      </c>
      <c r="B1075" s="5">
        <v>138.5</v>
      </c>
      <c r="D1075" s="4">
        <v>33420</v>
      </c>
      <c r="E1075" s="6">
        <v>18.53</v>
      </c>
    </row>
    <row r="1076" spans="1:5" x14ac:dyDescent="0.25">
      <c r="A1076" s="4">
        <v>37371</v>
      </c>
      <c r="B1076" s="5">
        <v>140.25</v>
      </c>
      <c r="D1076" s="4">
        <v>33421</v>
      </c>
      <c r="E1076" s="6">
        <v>18.55</v>
      </c>
    </row>
    <row r="1077" spans="1:5" x14ac:dyDescent="0.25">
      <c r="A1077" s="4">
        <v>37372</v>
      </c>
      <c r="B1077" s="5">
        <v>142.5</v>
      </c>
      <c r="D1077" s="4">
        <v>33422</v>
      </c>
      <c r="E1077" s="6">
        <v>18.5</v>
      </c>
    </row>
    <row r="1078" spans="1:5" x14ac:dyDescent="0.25">
      <c r="A1078" s="4">
        <v>37375</v>
      </c>
      <c r="B1078" s="5">
        <v>142.5</v>
      </c>
      <c r="D1078" s="4">
        <v>33423</v>
      </c>
      <c r="E1078" s="6">
        <v>18.48</v>
      </c>
    </row>
    <row r="1079" spans="1:5" x14ac:dyDescent="0.25">
      <c r="A1079" s="4">
        <v>37376</v>
      </c>
      <c r="B1079" s="5">
        <v>137.5</v>
      </c>
      <c r="D1079" s="4">
        <v>33424</v>
      </c>
      <c r="E1079" s="6">
        <v>18.7</v>
      </c>
    </row>
    <row r="1080" spans="1:5" x14ac:dyDescent="0.25">
      <c r="A1080" s="4">
        <v>37378</v>
      </c>
      <c r="B1080" s="5">
        <v>137.5</v>
      </c>
      <c r="D1080" s="4">
        <v>33427</v>
      </c>
      <c r="E1080" s="6">
        <v>18.98</v>
      </c>
    </row>
    <row r="1081" spans="1:5" x14ac:dyDescent="0.25">
      <c r="A1081" s="4">
        <v>37379</v>
      </c>
      <c r="B1081" s="5">
        <v>137.25</v>
      </c>
      <c r="D1081" s="4">
        <v>33428</v>
      </c>
      <c r="E1081" s="6">
        <v>19.03</v>
      </c>
    </row>
    <row r="1082" spans="1:5" x14ac:dyDescent="0.25">
      <c r="A1082" s="4">
        <v>37382</v>
      </c>
      <c r="B1082" s="5">
        <v>138.5</v>
      </c>
      <c r="D1082" s="4">
        <v>33429</v>
      </c>
      <c r="E1082" s="6">
        <v>19.23</v>
      </c>
    </row>
    <row r="1083" spans="1:5" x14ac:dyDescent="0.25">
      <c r="A1083" s="4">
        <v>37383</v>
      </c>
      <c r="B1083" s="5">
        <v>141.5</v>
      </c>
      <c r="D1083" s="4">
        <v>33430</v>
      </c>
      <c r="E1083" s="6">
        <v>19.2</v>
      </c>
    </row>
    <row r="1084" spans="1:5" x14ac:dyDescent="0.25">
      <c r="A1084" s="4">
        <v>37384</v>
      </c>
      <c r="B1084" s="5">
        <v>140</v>
      </c>
      <c r="D1084" s="4">
        <v>33431</v>
      </c>
      <c r="E1084" s="6">
        <v>19.78</v>
      </c>
    </row>
    <row r="1085" spans="1:5" x14ac:dyDescent="0.25">
      <c r="A1085" s="4">
        <v>37385</v>
      </c>
      <c r="B1085" s="5">
        <v>139.75</v>
      </c>
      <c r="D1085" s="4">
        <v>33434</v>
      </c>
      <c r="E1085" s="6">
        <v>19.600000000000001</v>
      </c>
    </row>
    <row r="1086" spans="1:5" x14ac:dyDescent="0.25">
      <c r="A1086" s="4">
        <v>37386</v>
      </c>
      <c r="B1086" s="5">
        <v>142.5</v>
      </c>
      <c r="D1086" s="4">
        <v>33435</v>
      </c>
      <c r="E1086" s="6">
        <v>19.829999999999998</v>
      </c>
    </row>
    <row r="1087" spans="1:5" x14ac:dyDescent="0.25">
      <c r="A1087" s="4">
        <v>37389</v>
      </c>
      <c r="B1087" s="5">
        <v>144.75</v>
      </c>
      <c r="D1087" s="4">
        <v>33436</v>
      </c>
      <c r="E1087" s="6">
        <v>20.13</v>
      </c>
    </row>
    <row r="1088" spans="1:5" x14ac:dyDescent="0.25">
      <c r="A1088" s="4">
        <v>37390</v>
      </c>
      <c r="B1088" s="5">
        <v>144</v>
      </c>
      <c r="D1088" s="4">
        <v>33437</v>
      </c>
      <c r="E1088" s="6">
        <v>20.28</v>
      </c>
    </row>
    <row r="1089" spans="1:5" x14ac:dyDescent="0.25">
      <c r="A1089" s="4">
        <v>37391</v>
      </c>
      <c r="B1089" s="5">
        <v>144</v>
      </c>
      <c r="D1089" s="4">
        <v>33438</v>
      </c>
      <c r="E1089" s="6">
        <v>20.28</v>
      </c>
    </row>
    <row r="1090" spans="1:5" x14ac:dyDescent="0.25">
      <c r="A1090" s="4">
        <v>37392</v>
      </c>
      <c r="B1090" s="5">
        <v>143.5</v>
      </c>
      <c r="D1090" s="4">
        <v>33441</v>
      </c>
      <c r="E1090" s="6">
        <v>20.079999999999998</v>
      </c>
    </row>
    <row r="1091" spans="1:5" x14ac:dyDescent="0.25">
      <c r="A1091" s="4">
        <v>37393</v>
      </c>
      <c r="B1091" s="5">
        <v>143</v>
      </c>
      <c r="D1091" s="4">
        <v>33442</v>
      </c>
      <c r="E1091" s="6">
        <v>19.579999999999998</v>
      </c>
    </row>
    <row r="1092" spans="1:5" x14ac:dyDescent="0.25">
      <c r="A1092" s="4">
        <v>37396</v>
      </c>
      <c r="B1092" s="5">
        <v>140.25</v>
      </c>
      <c r="D1092" s="4">
        <v>33443</v>
      </c>
      <c r="E1092" s="6">
        <v>19.329999999999998</v>
      </c>
    </row>
    <row r="1093" spans="1:5" x14ac:dyDescent="0.25">
      <c r="A1093" s="4">
        <v>37397</v>
      </c>
      <c r="B1093" s="5">
        <v>139</v>
      </c>
      <c r="D1093" s="4">
        <v>33444</v>
      </c>
      <c r="E1093" s="6">
        <v>19.600000000000001</v>
      </c>
    </row>
    <row r="1094" spans="1:5" x14ac:dyDescent="0.25">
      <c r="A1094" s="4">
        <v>37398</v>
      </c>
      <c r="B1094" s="5">
        <v>137.5</v>
      </c>
      <c r="D1094" s="4">
        <v>33445</v>
      </c>
      <c r="E1094" s="6">
        <v>19.73</v>
      </c>
    </row>
    <row r="1095" spans="1:5" x14ac:dyDescent="0.25">
      <c r="A1095" s="4">
        <v>37399</v>
      </c>
      <c r="B1095" s="5">
        <v>137.5</v>
      </c>
      <c r="D1095" s="4">
        <v>33448</v>
      </c>
      <c r="E1095" s="6">
        <v>19.579999999999998</v>
      </c>
    </row>
    <row r="1096" spans="1:5" x14ac:dyDescent="0.25">
      <c r="A1096" s="4">
        <v>37400</v>
      </c>
      <c r="B1096" s="5">
        <v>137</v>
      </c>
      <c r="D1096" s="4">
        <v>33449</v>
      </c>
      <c r="E1096" s="6">
        <v>19.48</v>
      </c>
    </row>
    <row r="1097" spans="1:5" x14ac:dyDescent="0.25">
      <c r="A1097" s="4">
        <v>37404</v>
      </c>
      <c r="B1097" s="5">
        <v>133.25</v>
      </c>
      <c r="D1097" s="4">
        <v>33450</v>
      </c>
      <c r="E1097" s="6">
        <v>19.649999999999999</v>
      </c>
    </row>
    <row r="1098" spans="1:5" x14ac:dyDescent="0.25">
      <c r="A1098" s="4">
        <v>37405</v>
      </c>
      <c r="B1098" s="5">
        <v>132</v>
      </c>
      <c r="D1098" s="4">
        <v>33451</v>
      </c>
      <c r="E1098" s="6">
        <v>19.73</v>
      </c>
    </row>
    <row r="1099" spans="1:5" x14ac:dyDescent="0.25">
      <c r="A1099" s="4">
        <v>37406</v>
      </c>
      <c r="B1099" s="5">
        <v>131</v>
      </c>
      <c r="D1099" s="4">
        <v>33452</v>
      </c>
      <c r="E1099" s="6">
        <v>19.399999999999999</v>
      </c>
    </row>
    <row r="1100" spans="1:5" x14ac:dyDescent="0.25">
      <c r="A1100" s="4">
        <v>37407</v>
      </c>
      <c r="B1100" s="5">
        <v>137</v>
      </c>
      <c r="D1100" s="4">
        <v>33455</v>
      </c>
      <c r="E1100" s="6">
        <v>19.5</v>
      </c>
    </row>
    <row r="1101" spans="1:5" x14ac:dyDescent="0.25">
      <c r="A1101" s="4">
        <v>37410</v>
      </c>
      <c r="B1101" s="5">
        <v>137.5</v>
      </c>
      <c r="D1101" s="4">
        <v>33456</v>
      </c>
      <c r="E1101" s="6">
        <v>19.45</v>
      </c>
    </row>
    <row r="1102" spans="1:5" x14ac:dyDescent="0.25">
      <c r="A1102" s="4">
        <v>37411</v>
      </c>
      <c r="B1102" s="5">
        <v>134.75</v>
      </c>
      <c r="D1102" s="4">
        <v>33457</v>
      </c>
      <c r="E1102" s="6">
        <v>19.350000000000001</v>
      </c>
    </row>
    <row r="1103" spans="1:5" x14ac:dyDescent="0.25">
      <c r="A1103" s="4">
        <v>37412</v>
      </c>
      <c r="B1103" s="5">
        <v>133</v>
      </c>
      <c r="D1103" s="4">
        <v>33458</v>
      </c>
      <c r="E1103" s="6">
        <v>19.7</v>
      </c>
    </row>
    <row r="1104" spans="1:5" x14ac:dyDescent="0.25">
      <c r="A1104" s="4">
        <v>37413</v>
      </c>
      <c r="B1104" s="5">
        <v>128</v>
      </c>
      <c r="D1104" s="4">
        <v>33459</v>
      </c>
      <c r="E1104" s="6">
        <v>19.579999999999998</v>
      </c>
    </row>
    <row r="1105" spans="1:5" x14ac:dyDescent="0.25">
      <c r="A1105" s="4">
        <v>37414</v>
      </c>
      <c r="B1105" s="5">
        <v>128</v>
      </c>
      <c r="D1105" s="4">
        <v>33462</v>
      </c>
      <c r="E1105" s="6">
        <v>19.63</v>
      </c>
    </row>
    <row r="1106" spans="1:5" x14ac:dyDescent="0.25">
      <c r="A1106" s="4">
        <v>37417</v>
      </c>
      <c r="B1106" s="5">
        <v>130</v>
      </c>
      <c r="D1106" s="4">
        <v>33463</v>
      </c>
      <c r="E1106" s="6">
        <v>19.5</v>
      </c>
    </row>
    <row r="1107" spans="1:5" x14ac:dyDescent="0.25">
      <c r="A1107" s="4">
        <v>37418</v>
      </c>
      <c r="B1107" s="5">
        <v>132.5</v>
      </c>
      <c r="D1107" s="4">
        <v>33464</v>
      </c>
      <c r="E1107" s="6">
        <v>19.23</v>
      </c>
    </row>
    <row r="1108" spans="1:5" x14ac:dyDescent="0.25">
      <c r="A1108" s="4">
        <v>37419</v>
      </c>
      <c r="B1108" s="5">
        <v>134</v>
      </c>
      <c r="D1108" s="4">
        <v>33465</v>
      </c>
      <c r="E1108" s="6">
        <v>19.25</v>
      </c>
    </row>
    <row r="1109" spans="1:5" x14ac:dyDescent="0.25">
      <c r="A1109" s="4">
        <v>37420</v>
      </c>
      <c r="B1109" s="5">
        <v>132.5</v>
      </c>
      <c r="D1109" s="4">
        <v>33466</v>
      </c>
      <c r="E1109" s="6">
        <v>19.350000000000001</v>
      </c>
    </row>
    <row r="1110" spans="1:5" x14ac:dyDescent="0.25">
      <c r="A1110" s="4">
        <v>37421</v>
      </c>
      <c r="B1110" s="5">
        <v>128.5</v>
      </c>
      <c r="D1110" s="4">
        <v>33469</v>
      </c>
      <c r="E1110" s="6">
        <v>20.55</v>
      </c>
    </row>
    <row r="1111" spans="1:5" x14ac:dyDescent="0.25">
      <c r="A1111" s="4">
        <v>37424</v>
      </c>
      <c r="B1111" s="5">
        <v>129.75</v>
      </c>
      <c r="D1111" s="4">
        <v>33470</v>
      </c>
      <c r="E1111" s="6">
        <v>20.98</v>
      </c>
    </row>
    <row r="1112" spans="1:5" x14ac:dyDescent="0.25">
      <c r="A1112" s="4">
        <v>37425</v>
      </c>
      <c r="B1112" s="5">
        <v>127.5</v>
      </c>
      <c r="D1112" s="4">
        <v>33471</v>
      </c>
      <c r="E1112" s="6">
        <v>19.55</v>
      </c>
    </row>
    <row r="1113" spans="1:5" x14ac:dyDescent="0.25">
      <c r="A1113" s="4">
        <v>37426</v>
      </c>
      <c r="B1113" s="5">
        <v>129.25</v>
      </c>
      <c r="D1113" s="4">
        <v>33472</v>
      </c>
      <c r="E1113" s="6">
        <v>19.53</v>
      </c>
    </row>
    <row r="1114" spans="1:5" x14ac:dyDescent="0.25">
      <c r="A1114" s="4">
        <v>37427</v>
      </c>
      <c r="B1114" s="5">
        <v>133.25</v>
      </c>
      <c r="D1114" s="4">
        <v>33473</v>
      </c>
      <c r="E1114" s="6">
        <v>19.850000000000001</v>
      </c>
    </row>
    <row r="1115" spans="1:5" x14ac:dyDescent="0.25">
      <c r="A1115" s="4">
        <v>37428</v>
      </c>
      <c r="B1115" s="5">
        <v>131.5</v>
      </c>
      <c r="D1115" s="4">
        <v>33476</v>
      </c>
      <c r="E1115" s="6">
        <v>20.03</v>
      </c>
    </row>
    <row r="1116" spans="1:5" x14ac:dyDescent="0.25">
      <c r="A1116" s="4">
        <v>37431</v>
      </c>
      <c r="B1116" s="5">
        <v>135</v>
      </c>
      <c r="D1116" s="4">
        <v>33477</v>
      </c>
      <c r="E1116" s="6">
        <v>20.03</v>
      </c>
    </row>
    <row r="1117" spans="1:5" x14ac:dyDescent="0.25">
      <c r="A1117" s="4">
        <v>37432</v>
      </c>
      <c r="B1117" s="5">
        <v>133.5</v>
      </c>
      <c r="D1117" s="4">
        <v>33478</v>
      </c>
      <c r="E1117" s="6">
        <v>19.98</v>
      </c>
    </row>
    <row r="1118" spans="1:5" x14ac:dyDescent="0.25">
      <c r="A1118" s="4">
        <v>37433</v>
      </c>
      <c r="B1118" s="5">
        <v>137.75</v>
      </c>
      <c r="D1118" s="4">
        <v>33479</v>
      </c>
      <c r="E1118" s="6">
        <v>20.3</v>
      </c>
    </row>
    <row r="1119" spans="1:5" x14ac:dyDescent="0.25">
      <c r="A1119" s="4">
        <v>37434</v>
      </c>
      <c r="B1119" s="5">
        <v>141.5</v>
      </c>
      <c r="D1119" s="4">
        <v>33480</v>
      </c>
      <c r="E1119" s="6">
        <v>20.53</v>
      </c>
    </row>
    <row r="1120" spans="1:5" x14ac:dyDescent="0.25">
      <c r="A1120" s="4">
        <v>37435</v>
      </c>
      <c r="B1120" s="5">
        <v>141</v>
      </c>
      <c r="D1120" s="4">
        <v>33483</v>
      </c>
      <c r="E1120" s="6">
        <v>20.65</v>
      </c>
    </row>
    <row r="1121" spans="1:5" x14ac:dyDescent="0.25">
      <c r="A1121" s="4">
        <v>37438</v>
      </c>
      <c r="B1121" s="5">
        <v>140.5</v>
      </c>
      <c r="D1121" s="4">
        <v>33484</v>
      </c>
      <c r="E1121" s="6">
        <v>20.55</v>
      </c>
    </row>
    <row r="1122" spans="1:5" x14ac:dyDescent="0.25">
      <c r="A1122" s="4">
        <v>37439</v>
      </c>
      <c r="B1122" s="5">
        <v>138</v>
      </c>
      <c r="D1122" s="4">
        <v>33485</v>
      </c>
      <c r="E1122" s="6">
        <v>20.25</v>
      </c>
    </row>
    <row r="1123" spans="1:5" x14ac:dyDescent="0.25">
      <c r="A1123" s="4">
        <v>37440</v>
      </c>
      <c r="B1123" s="5">
        <v>140</v>
      </c>
      <c r="D1123" s="4">
        <v>33486</v>
      </c>
      <c r="E1123" s="6">
        <v>20.100000000000001</v>
      </c>
    </row>
    <row r="1124" spans="1:5" x14ac:dyDescent="0.25">
      <c r="A1124" s="4">
        <v>37441</v>
      </c>
      <c r="B1124" s="5">
        <v>139</v>
      </c>
      <c r="D1124" s="4">
        <v>33487</v>
      </c>
      <c r="E1124" s="6">
        <v>20.13</v>
      </c>
    </row>
    <row r="1125" spans="1:5" x14ac:dyDescent="0.25">
      <c r="A1125" s="4">
        <v>37442</v>
      </c>
      <c r="B1125" s="5">
        <v>143.5</v>
      </c>
      <c r="D1125" s="4">
        <v>33490</v>
      </c>
      <c r="E1125" s="6">
        <v>19.850000000000001</v>
      </c>
    </row>
    <row r="1126" spans="1:5" x14ac:dyDescent="0.25">
      <c r="A1126" s="4">
        <v>37445</v>
      </c>
      <c r="B1126" s="5">
        <v>142</v>
      </c>
      <c r="D1126" s="4">
        <v>33491</v>
      </c>
      <c r="E1126" s="6">
        <v>19.93</v>
      </c>
    </row>
    <row r="1127" spans="1:5" x14ac:dyDescent="0.25">
      <c r="A1127" s="4">
        <v>37446</v>
      </c>
      <c r="B1127" s="5">
        <v>141.5</v>
      </c>
      <c r="D1127" s="4">
        <v>33492</v>
      </c>
      <c r="E1127" s="6">
        <v>20</v>
      </c>
    </row>
    <row r="1128" spans="1:5" x14ac:dyDescent="0.25">
      <c r="A1128" s="4">
        <v>37447</v>
      </c>
      <c r="B1128" s="5">
        <v>143.5</v>
      </c>
      <c r="D1128" s="4">
        <v>33493</v>
      </c>
      <c r="E1128" s="6">
        <v>20.25</v>
      </c>
    </row>
    <row r="1129" spans="1:5" x14ac:dyDescent="0.25">
      <c r="A1129" s="4">
        <v>37448</v>
      </c>
      <c r="B1129" s="5">
        <v>141</v>
      </c>
      <c r="D1129" s="4">
        <v>33494</v>
      </c>
      <c r="E1129" s="6">
        <v>20.350000000000001</v>
      </c>
    </row>
    <row r="1130" spans="1:5" x14ac:dyDescent="0.25">
      <c r="A1130" s="4">
        <v>37449</v>
      </c>
      <c r="B1130" s="5">
        <v>141.5</v>
      </c>
      <c r="D1130" s="4">
        <v>33497</v>
      </c>
      <c r="E1130" s="6">
        <v>20.53</v>
      </c>
    </row>
    <row r="1131" spans="1:5" x14ac:dyDescent="0.25">
      <c r="A1131" s="4">
        <v>37452</v>
      </c>
      <c r="B1131" s="5">
        <v>140.5</v>
      </c>
      <c r="D1131" s="4">
        <v>33498</v>
      </c>
      <c r="E1131" s="6">
        <v>20.3</v>
      </c>
    </row>
    <row r="1132" spans="1:5" x14ac:dyDescent="0.25">
      <c r="A1132" s="4">
        <v>37453</v>
      </c>
      <c r="B1132" s="5">
        <v>139.5</v>
      </c>
      <c r="D1132" s="4">
        <v>33499</v>
      </c>
      <c r="E1132" s="6">
        <v>20.53</v>
      </c>
    </row>
    <row r="1133" spans="1:5" x14ac:dyDescent="0.25">
      <c r="A1133" s="4">
        <v>37454</v>
      </c>
      <c r="B1133" s="5">
        <v>137.5</v>
      </c>
      <c r="D1133" s="4">
        <v>33500</v>
      </c>
      <c r="E1133" s="6">
        <v>20.43</v>
      </c>
    </row>
    <row r="1134" spans="1:5" x14ac:dyDescent="0.25">
      <c r="A1134" s="4">
        <v>37455</v>
      </c>
      <c r="B1134" s="5">
        <v>135.25</v>
      </c>
      <c r="D1134" s="4">
        <v>33501</v>
      </c>
      <c r="E1134" s="6">
        <v>20.55</v>
      </c>
    </row>
    <row r="1135" spans="1:5" x14ac:dyDescent="0.25">
      <c r="A1135" s="4">
        <v>37456</v>
      </c>
      <c r="B1135" s="5">
        <v>135.5</v>
      </c>
      <c r="D1135" s="4">
        <v>33504</v>
      </c>
      <c r="E1135" s="6">
        <v>20.83</v>
      </c>
    </row>
    <row r="1136" spans="1:5" x14ac:dyDescent="0.25">
      <c r="A1136" s="4">
        <v>37459</v>
      </c>
      <c r="B1136" s="5">
        <v>135</v>
      </c>
      <c r="D1136" s="4">
        <v>33505</v>
      </c>
      <c r="E1136" s="6">
        <v>20.75</v>
      </c>
    </row>
    <row r="1137" spans="1:5" x14ac:dyDescent="0.25">
      <c r="A1137" s="4">
        <v>37460</v>
      </c>
      <c r="B1137" s="5">
        <v>134</v>
      </c>
      <c r="D1137" s="4">
        <v>33506</v>
      </c>
      <c r="E1137" s="6">
        <v>20.65</v>
      </c>
    </row>
    <row r="1138" spans="1:5" x14ac:dyDescent="0.25">
      <c r="A1138" s="4">
        <v>37461</v>
      </c>
      <c r="B1138" s="5">
        <v>136.25</v>
      </c>
      <c r="D1138" s="4">
        <v>33507</v>
      </c>
      <c r="E1138" s="6">
        <v>21</v>
      </c>
    </row>
    <row r="1139" spans="1:5" x14ac:dyDescent="0.25">
      <c r="A1139" s="4">
        <v>37462</v>
      </c>
      <c r="B1139" s="5">
        <v>137.25</v>
      </c>
      <c r="D1139" s="4">
        <v>33508</v>
      </c>
      <c r="E1139" s="6">
        <v>21.48</v>
      </c>
    </row>
    <row r="1140" spans="1:5" x14ac:dyDescent="0.25">
      <c r="A1140" s="4">
        <v>37463</v>
      </c>
      <c r="B1140" s="5">
        <v>139</v>
      </c>
      <c r="D1140" s="4">
        <v>33511</v>
      </c>
      <c r="E1140" s="6">
        <v>21.43</v>
      </c>
    </row>
    <row r="1141" spans="1:5" x14ac:dyDescent="0.25">
      <c r="A1141" s="4">
        <v>37466</v>
      </c>
      <c r="B1141" s="5">
        <v>139.5</v>
      </c>
      <c r="D1141" s="4">
        <v>33512</v>
      </c>
      <c r="E1141" s="6">
        <v>21.15</v>
      </c>
    </row>
    <row r="1142" spans="1:5" x14ac:dyDescent="0.25">
      <c r="A1142" s="4">
        <v>37467</v>
      </c>
      <c r="B1142" s="5">
        <v>137.25</v>
      </c>
      <c r="D1142" s="4">
        <v>33513</v>
      </c>
      <c r="E1142" s="6">
        <v>21.3</v>
      </c>
    </row>
    <row r="1143" spans="1:5" x14ac:dyDescent="0.25">
      <c r="A1143" s="4">
        <v>37468</v>
      </c>
      <c r="B1143" s="5">
        <v>138.75</v>
      </c>
      <c r="D1143" s="4">
        <v>33514</v>
      </c>
      <c r="E1143" s="6">
        <v>21.75</v>
      </c>
    </row>
    <row r="1144" spans="1:5" x14ac:dyDescent="0.25">
      <c r="A1144" s="4">
        <v>37469</v>
      </c>
      <c r="B1144" s="5">
        <v>137.75</v>
      </c>
      <c r="D1144" s="4">
        <v>33515</v>
      </c>
      <c r="E1144" s="6">
        <v>21.83</v>
      </c>
    </row>
    <row r="1145" spans="1:5" x14ac:dyDescent="0.25">
      <c r="A1145" s="4">
        <v>37470</v>
      </c>
      <c r="B1145" s="5">
        <v>138</v>
      </c>
      <c r="D1145" s="4">
        <v>33518</v>
      </c>
      <c r="E1145" s="6">
        <v>21.98</v>
      </c>
    </row>
    <row r="1146" spans="1:5" x14ac:dyDescent="0.25">
      <c r="A1146" s="4">
        <v>37473</v>
      </c>
      <c r="B1146" s="5">
        <v>136.75</v>
      </c>
      <c r="D1146" s="4">
        <v>33519</v>
      </c>
      <c r="E1146" s="6">
        <v>21.95</v>
      </c>
    </row>
    <row r="1147" spans="1:5" x14ac:dyDescent="0.25">
      <c r="A1147" s="4">
        <v>37474</v>
      </c>
      <c r="B1147" s="5">
        <v>137.25</v>
      </c>
      <c r="D1147" s="4">
        <v>33520</v>
      </c>
      <c r="E1147" s="6">
        <v>22.43</v>
      </c>
    </row>
    <row r="1148" spans="1:5" x14ac:dyDescent="0.25">
      <c r="A1148" s="4">
        <v>37475</v>
      </c>
      <c r="B1148" s="5">
        <v>138.25</v>
      </c>
      <c r="D1148" s="4">
        <v>33521</v>
      </c>
      <c r="E1148" s="6">
        <v>22.13</v>
      </c>
    </row>
    <row r="1149" spans="1:5" x14ac:dyDescent="0.25">
      <c r="A1149" s="4">
        <v>37476</v>
      </c>
      <c r="B1149" s="5">
        <v>140.5</v>
      </c>
      <c r="D1149" s="4">
        <v>33522</v>
      </c>
      <c r="E1149" s="6">
        <v>22.08</v>
      </c>
    </row>
    <row r="1150" spans="1:5" x14ac:dyDescent="0.25">
      <c r="A1150" s="4">
        <v>37480</v>
      </c>
      <c r="B1150" s="5">
        <v>141.75</v>
      </c>
      <c r="D1150" s="4">
        <v>33525</v>
      </c>
      <c r="E1150" s="6">
        <v>22.6</v>
      </c>
    </row>
    <row r="1151" spans="1:5" x14ac:dyDescent="0.25">
      <c r="A1151" s="4">
        <v>37481</v>
      </c>
      <c r="B1151" s="5">
        <v>142</v>
      </c>
      <c r="D1151" s="4">
        <v>33526</v>
      </c>
      <c r="E1151" s="6">
        <v>22.83</v>
      </c>
    </row>
    <row r="1152" spans="1:5" x14ac:dyDescent="0.25">
      <c r="A1152" s="4">
        <v>37482</v>
      </c>
      <c r="B1152" s="5">
        <v>143</v>
      </c>
      <c r="D1152" s="4">
        <v>33527</v>
      </c>
      <c r="E1152" s="6">
        <v>22.6</v>
      </c>
    </row>
    <row r="1153" spans="1:5" x14ac:dyDescent="0.25">
      <c r="A1153" s="4">
        <v>37483</v>
      </c>
      <c r="B1153" s="5">
        <v>144.5</v>
      </c>
      <c r="D1153" s="4">
        <v>33528</v>
      </c>
      <c r="E1153" s="6">
        <v>22.73</v>
      </c>
    </row>
    <row r="1154" spans="1:5" x14ac:dyDescent="0.25">
      <c r="A1154" s="4">
        <v>37484</v>
      </c>
      <c r="B1154" s="5">
        <v>146.5</v>
      </c>
      <c r="D1154" s="4">
        <v>33529</v>
      </c>
      <c r="E1154" s="6">
        <v>23</v>
      </c>
    </row>
    <row r="1155" spans="1:5" x14ac:dyDescent="0.25">
      <c r="A1155" s="4">
        <v>37487</v>
      </c>
      <c r="B1155" s="5">
        <v>145.5</v>
      </c>
      <c r="D1155" s="4">
        <v>33532</v>
      </c>
      <c r="E1155" s="6">
        <v>22.95</v>
      </c>
    </row>
    <row r="1156" spans="1:5" x14ac:dyDescent="0.25">
      <c r="A1156" s="4">
        <v>37488</v>
      </c>
      <c r="B1156" s="5">
        <v>149</v>
      </c>
      <c r="D1156" s="4">
        <v>33533</v>
      </c>
      <c r="E1156" s="6">
        <v>22.65</v>
      </c>
    </row>
    <row r="1157" spans="1:5" x14ac:dyDescent="0.25">
      <c r="A1157" s="4">
        <v>37489</v>
      </c>
      <c r="B1157" s="5">
        <v>147.5</v>
      </c>
      <c r="D1157" s="4">
        <v>33534</v>
      </c>
      <c r="E1157" s="6">
        <v>22.48</v>
      </c>
    </row>
    <row r="1158" spans="1:5" x14ac:dyDescent="0.25">
      <c r="A1158" s="4">
        <v>37490</v>
      </c>
      <c r="B1158" s="5">
        <v>154</v>
      </c>
      <c r="D1158" s="4">
        <v>33535</v>
      </c>
      <c r="E1158" s="6">
        <v>22.25</v>
      </c>
    </row>
    <row r="1159" spans="1:5" x14ac:dyDescent="0.25">
      <c r="A1159" s="4">
        <v>37491</v>
      </c>
      <c r="B1159" s="5">
        <v>152.25</v>
      </c>
      <c r="D1159" s="4">
        <v>33536</v>
      </c>
      <c r="E1159" s="6">
        <v>22.35</v>
      </c>
    </row>
    <row r="1160" spans="1:5" x14ac:dyDescent="0.25">
      <c r="A1160" s="4">
        <v>37494</v>
      </c>
      <c r="B1160" s="5">
        <v>150.5</v>
      </c>
      <c r="D1160" s="4">
        <v>33539</v>
      </c>
      <c r="E1160" s="6">
        <v>21.9</v>
      </c>
    </row>
    <row r="1161" spans="1:5" x14ac:dyDescent="0.25">
      <c r="A1161" s="4">
        <v>37495</v>
      </c>
      <c r="B1161" s="5">
        <v>152</v>
      </c>
      <c r="D1161" s="4">
        <v>33540</v>
      </c>
      <c r="E1161" s="6">
        <v>21.85</v>
      </c>
    </row>
    <row r="1162" spans="1:5" x14ac:dyDescent="0.25">
      <c r="A1162" s="4">
        <v>37496</v>
      </c>
      <c r="B1162" s="5">
        <v>154.5</v>
      </c>
      <c r="D1162" s="4">
        <v>33541</v>
      </c>
      <c r="E1162" s="6">
        <v>21.95</v>
      </c>
    </row>
    <row r="1163" spans="1:5" x14ac:dyDescent="0.25">
      <c r="A1163" s="4">
        <v>37497</v>
      </c>
      <c r="B1163" s="5">
        <v>154</v>
      </c>
      <c r="D1163" s="4">
        <v>33542</v>
      </c>
      <c r="E1163" s="6">
        <v>22</v>
      </c>
    </row>
    <row r="1164" spans="1:5" x14ac:dyDescent="0.25">
      <c r="A1164" s="4">
        <v>37498</v>
      </c>
      <c r="B1164" s="5">
        <v>153</v>
      </c>
      <c r="D1164" s="4">
        <v>33543</v>
      </c>
      <c r="E1164" s="6">
        <v>22.53</v>
      </c>
    </row>
    <row r="1165" spans="1:5" x14ac:dyDescent="0.25">
      <c r="A1165" s="4">
        <v>37501</v>
      </c>
      <c r="B1165" s="5">
        <v>156.5</v>
      </c>
      <c r="D1165" s="4">
        <v>33546</v>
      </c>
      <c r="E1165" s="6">
        <v>22.73</v>
      </c>
    </row>
    <row r="1166" spans="1:5" x14ac:dyDescent="0.25">
      <c r="A1166" s="4">
        <v>37502</v>
      </c>
      <c r="B1166" s="5">
        <v>159.5</v>
      </c>
      <c r="D1166" s="4">
        <v>33547</v>
      </c>
      <c r="E1166" s="6">
        <v>22.53</v>
      </c>
    </row>
    <row r="1167" spans="1:5" x14ac:dyDescent="0.25">
      <c r="A1167" s="4">
        <v>37503</v>
      </c>
      <c r="B1167" s="5">
        <v>159.5</v>
      </c>
      <c r="D1167" s="4">
        <v>33548</v>
      </c>
      <c r="E1167" s="6">
        <v>22</v>
      </c>
    </row>
    <row r="1168" spans="1:5" x14ac:dyDescent="0.25">
      <c r="A1168" s="4">
        <v>37504</v>
      </c>
      <c r="B1168" s="5">
        <v>159</v>
      </c>
      <c r="D1168" s="4">
        <v>33549</v>
      </c>
      <c r="E1168" s="6">
        <v>21.85</v>
      </c>
    </row>
    <row r="1169" spans="1:5" x14ac:dyDescent="0.25">
      <c r="A1169" s="4">
        <v>37505</v>
      </c>
      <c r="B1169" s="5">
        <v>157.5</v>
      </c>
      <c r="D1169" s="4">
        <v>33550</v>
      </c>
      <c r="E1169" s="6">
        <v>21.8</v>
      </c>
    </row>
    <row r="1170" spans="1:5" x14ac:dyDescent="0.25">
      <c r="A1170" s="4">
        <v>37508</v>
      </c>
      <c r="B1170" s="5">
        <v>156</v>
      </c>
      <c r="D1170" s="4">
        <v>33553</v>
      </c>
      <c r="E1170" s="6">
        <v>21.45</v>
      </c>
    </row>
    <row r="1171" spans="1:5" x14ac:dyDescent="0.25">
      <c r="A1171" s="4">
        <v>37509</v>
      </c>
      <c r="B1171" s="5">
        <v>157</v>
      </c>
      <c r="D1171" s="4">
        <v>33554</v>
      </c>
      <c r="E1171" s="6">
        <v>21.2</v>
      </c>
    </row>
    <row r="1172" spans="1:5" x14ac:dyDescent="0.25">
      <c r="A1172" s="4">
        <v>37510</v>
      </c>
      <c r="B1172" s="5">
        <v>160.5</v>
      </c>
      <c r="D1172" s="4">
        <v>33555</v>
      </c>
      <c r="E1172" s="6">
        <v>21.5</v>
      </c>
    </row>
    <row r="1173" spans="1:5" x14ac:dyDescent="0.25">
      <c r="A1173" s="4">
        <v>37511</v>
      </c>
      <c r="B1173" s="5">
        <v>156</v>
      </c>
      <c r="D1173" s="4">
        <v>33556</v>
      </c>
      <c r="E1173" s="6">
        <v>21</v>
      </c>
    </row>
    <row r="1174" spans="1:5" x14ac:dyDescent="0.25">
      <c r="A1174" s="4">
        <v>37512</v>
      </c>
      <c r="B1174" s="5">
        <v>157.5</v>
      </c>
      <c r="D1174" s="4">
        <v>33557</v>
      </c>
      <c r="E1174" s="6">
        <v>21.63</v>
      </c>
    </row>
    <row r="1175" spans="1:5" x14ac:dyDescent="0.25">
      <c r="A1175" s="4">
        <v>37515</v>
      </c>
      <c r="B1175" s="5">
        <v>159.25</v>
      </c>
      <c r="D1175" s="4">
        <v>33560</v>
      </c>
      <c r="E1175" s="6">
        <v>21.35</v>
      </c>
    </row>
    <row r="1176" spans="1:5" x14ac:dyDescent="0.25">
      <c r="A1176" s="4">
        <v>37516</v>
      </c>
      <c r="B1176" s="5">
        <v>160</v>
      </c>
      <c r="D1176" s="4">
        <v>33561</v>
      </c>
      <c r="E1176" s="6">
        <v>21.08</v>
      </c>
    </row>
    <row r="1177" spans="1:5" x14ac:dyDescent="0.25">
      <c r="A1177" s="4">
        <v>37517</v>
      </c>
      <c r="B1177" s="5">
        <v>162.75</v>
      </c>
      <c r="D1177" s="4">
        <v>33562</v>
      </c>
      <c r="E1177" s="6">
        <v>20.48</v>
      </c>
    </row>
    <row r="1178" spans="1:5" x14ac:dyDescent="0.25">
      <c r="A1178" s="4">
        <v>37518</v>
      </c>
      <c r="B1178" s="5">
        <v>165.75</v>
      </c>
      <c r="D1178" s="4">
        <v>33563</v>
      </c>
      <c r="E1178" s="6">
        <v>20.73</v>
      </c>
    </row>
    <row r="1179" spans="1:5" x14ac:dyDescent="0.25">
      <c r="A1179" s="4">
        <v>37519</v>
      </c>
      <c r="B1179" s="5">
        <v>163.25</v>
      </c>
      <c r="D1179" s="4">
        <v>33564</v>
      </c>
      <c r="E1179" s="6">
        <v>20.149999999999999</v>
      </c>
    </row>
    <row r="1180" spans="1:5" x14ac:dyDescent="0.25">
      <c r="A1180" s="4">
        <v>37522</v>
      </c>
      <c r="B1180" s="5">
        <v>163.5</v>
      </c>
      <c r="D1180" s="4">
        <v>33567</v>
      </c>
      <c r="E1180" s="6">
        <v>19.78</v>
      </c>
    </row>
    <row r="1181" spans="1:5" x14ac:dyDescent="0.25">
      <c r="A1181" s="4">
        <v>37523</v>
      </c>
      <c r="B1181" s="5">
        <v>161.25</v>
      </c>
      <c r="D1181" s="4">
        <v>33568</v>
      </c>
      <c r="E1181" s="6">
        <v>19.78</v>
      </c>
    </row>
    <row r="1182" spans="1:5" x14ac:dyDescent="0.25">
      <c r="A1182" s="4">
        <v>37524</v>
      </c>
      <c r="B1182" s="5">
        <v>163.75</v>
      </c>
      <c r="D1182" s="4">
        <v>33569</v>
      </c>
      <c r="E1182" s="6">
        <v>19.649999999999999</v>
      </c>
    </row>
    <row r="1183" spans="1:5" x14ac:dyDescent="0.25">
      <c r="A1183" s="4">
        <v>37525</v>
      </c>
      <c r="B1183" s="5">
        <v>164.25</v>
      </c>
      <c r="D1183" s="4">
        <v>33570</v>
      </c>
      <c r="E1183" s="6">
        <v>19.98</v>
      </c>
    </row>
    <row r="1184" spans="1:5" x14ac:dyDescent="0.25">
      <c r="A1184" s="4">
        <v>37526</v>
      </c>
      <c r="B1184" s="5">
        <v>166</v>
      </c>
      <c r="D1184" s="4">
        <v>33571</v>
      </c>
      <c r="E1184" s="6">
        <v>20.079999999999998</v>
      </c>
    </row>
    <row r="1185" spans="1:5" x14ac:dyDescent="0.25">
      <c r="A1185" s="4">
        <v>37529</v>
      </c>
      <c r="B1185" s="5">
        <v>166</v>
      </c>
      <c r="D1185" s="4">
        <v>33574</v>
      </c>
      <c r="E1185" s="6">
        <v>19.600000000000001</v>
      </c>
    </row>
    <row r="1186" spans="1:5" x14ac:dyDescent="0.25">
      <c r="A1186" s="4">
        <v>37530</v>
      </c>
      <c r="B1186" s="5">
        <v>163.75</v>
      </c>
      <c r="D1186" s="4">
        <v>33575</v>
      </c>
      <c r="E1186" s="6">
        <v>19.2</v>
      </c>
    </row>
    <row r="1187" spans="1:5" x14ac:dyDescent="0.25">
      <c r="A1187" s="4">
        <v>37531</v>
      </c>
      <c r="B1187" s="5">
        <v>163.5</v>
      </c>
      <c r="D1187" s="4">
        <v>33576</v>
      </c>
      <c r="E1187" s="6">
        <v>19.18</v>
      </c>
    </row>
    <row r="1188" spans="1:5" x14ac:dyDescent="0.25">
      <c r="A1188" s="4">
        <v>37532</v>
      </c>
      <c r="B1188" s="5">
        <v>158.5</v>
      </c>
      <c r="D1188" s="4">
        <v>33577</v>
      </c>
      <c r="E1188" s="6">
        <v>19.149999999999999</v>
      </c>
    </row>
    <row r="1189" spans="1:5" x14ac:dyDescent="0.25">
      <c r="A1189" s="4">
        <v>37533</v>
      </c>
      <c r="B1189" s="5">
        <v>155</v>
      </c>
      <c r="D1189" s="4">
        <v>33578</v>
      </c>
      <c r="E1189" s="6">
        <v>19.05</v>
      </c>
    </row>
    <row r="1190" spans="1:5" x14ac:dyDescent="0.25">
      <c r="A1190" s="4">
        <v>37536</v>
      </c>
      <c r="B1190" s="5">
        <v>152</v>
      </c>
      <c r="D1190" s="4">
        <v>33581</v>
      </c>
      <c r="E1190" s="6">
        <v>18.25</v>
      </c>
    </row>
    <row r="1191" spans="1:5" x14ac:dyDescent="0.25">
      <c r="A1191" s="4">
        <v>37537</v>
      </c>
      <c r="B1191" s="5">
        <v>151</v>
      </c>
      <c r="D1191" s="4">
        <v>33582</v>
      </c>
      <c r="E1191" s="6">
        <v>18.100000000000001</v>
      </c>
    </row>
    <row r="1192" spans="1:5" x14ac:dyDescent="0.25">
      <c r="A1192" s="4">
        <v>37538</v>
      </c>
      <c r="B1192" s="5">
        <v>152</v>
      </c>
      <c r="D1192" s="4">
        <v>33583</v>
      </c>
      <c r="E1192" s="6">
        <v>18.28</v>
      </c>
    </row>
    <row r="1193" spans="1:5" x14ac:dyDescent="0.25">
      <c r="A1193" s="4">
        <v>37539</v>
      </c>
      <c r="B1193" s="5">
        <v>151</v>
      </c>
      <c r="D1193" s="4">
        <v>33584</v>
      </c>
      <c r="E1193" s="6">
        <v>18.579999999999998</v>
      </c>
    </row>
    <row r="1194" spans="1:5" x14ac:dyDescent="0.25">
      <c r="A1194" s="4">
        <v>37540</v>
      </c>
      <c r="B1194" s="5">
        <v>150.5</v>
      </c>
      <c r="D1194" s="4">
        <v>33585</v>
      </c>
      <c r="E1194" s="6">
        <v>19.05</v>
      </c>
    </row>
    <row r="1195" spans="1:5" x14ac:dyDescent="0.25">
      <c r="A1195" s="4">
        <v>37543</v>
      </c>
      <c r="B1195" s="5">
        <v>148</v>
      </c>
      <c r="D1195" s="4">
        <v>33588</v>
      </c>
      <c r="E1195" s="6">
        <v>18.55</v>
      </c>
    </row>
    <row r="1196" spans="1:5" x14ac:dyDescent="0.25">
      <c r="A1196" s="4">
        <v>37544</v>
      </c>
      <c r="B1196" s="5">
        <v>147</v>
      </c>
      <c r="D1196" s="4">
        <v>33589</v>
      </c>
      <c r="E1196" s="6">
        <v>18.13</v>
      </c>
    </row>
    <row r="1197" spans="1:5" x14ac:dyDescent="0.25">
      <c r="A1197" s="4">
        <v>37545</v>
      </c>
      <c r="B1197" s="5">
        <v>143.5</v>
      </c>
      <c r="D1197" s="4">
        <v>33590</v>
      </c>
      <c r="E1197" s="6">
        <v>18.149999999999999</v>
      </c>
    </row>
    <row r="1198" spans="1:5" x14ac:dyDescent="0.25">
      <c r="A1198" s="4">
        <v>37546</v>
      </c>
      <c r="B1198" s="5">
        <v>139.25</v>
      </c>
      <c r="D1198" s="4">
        <v>33591</v>
      </c>
      <c r="E1198" s="6">
        <v>18.149999999999999</v>
      </c>
    </row>
    <row r="1199" spans="1:5" x14ac:dyDescent="0.25">
      <c r="A1199" s="4">
        <v>37547</v>
      </c>
      <c r="B1199" s="5">
        <v>139.75</v>
      </c>
      <c r="D1199" s="4">
        <v>33592</v>
      </c>
      <c r="E1199" s="6">
        <v>18.55</v>
      </c>
    </row>
    <row r="1200" spans="1:5" x14ac:dyDescent="0.25">
      <c r="A1200" s="4">
        <v>37550</v>
      </c>
      <c r="B1200" s="5">
        <v>141.25</v>
      </c>
      <c r="D1200" s="4">
        <v>33595</v>
      </c>
      <c r="E1200" s="6">
        <v>17.600000000000001</v>
      </c>
    </row>
    <row r="1201" spans="1:5" x14ac:dyDescent="0.25">
      <c r="A1201" s="4">
        <v>37551</v>
      </c>
      <c r="B1201" s="5">
        <v>138</v>
      </c>
      <c r="D1201" s="4">
        <v>33596</v>
      </c>
      <c r="E1201" s="6">
        <v>17.78</v>
      </c>
    </row>
    <row r="1202" spans="1:5" x14ac:dyDescent="0.25">
      <c r="A1202" s="4">
        <v>37552</v>
      </c>
      <c r="B1202" s="5">
        <v>135</v>
      </c>
      <c r="D1202" s="4">
        <v>33597</v>
      </c>
      <c r="E1202" s="5"/>
    </row>
    <row r="1203" spans="1:5" x14ac:dyDescent="0.25">
      <c r="A1203" s="4">
        <v>37553</v>
      </c>
      <c r="B1203" s="5">
        <v>134</v>
      </c>
      <c r="D1203" s="4">
        <v>33598</v>
      </c>
      <c r="E1203" s="6">
        <v>17.78</v>
      </c>
    </row>
    <row r="1204" spans="1:5" x14ac:dyDescent="0.25">
      <c r="A1204" s="4">
        <v>37554</v>
      </c>
      <c r="B1204" s="5">
        <v>130</v>
      </c>
      <c r="D1204" s="4">
        <v>33599</v>
      </c>
      <c r="E1204" s="6">
        <v>17.75</v>
      </c>
    </row>
    <row r="1205" spans="1:5" x14ac:dyDescent="0.25">
      <c r="A1205" s="4">
        <v>37557</v>
      </c>
      <c r="B1205" s="5">
        <v>128.5</v>
      </c>
      <c r="D1205" s="4">
        <v>33602</v>
      </c>
      <c r="E1205" s="6">
        <v>18</v>
      </c>
    </row>
    <row r="1206" spans="1:5" x14ac:dyDescent="0.25">
      <c r="A1206" s="4">
        <v>37558</v>
      </c>
      <c r="B1206" s="5">
        <v>128.5</v>
      </c>
      <c r="D1206" s="4">
        <v>33603</v>
      </c>
      <c r="E1206" s="6">
        <v>17.75</v>
      </c>
    </row>
    <row r="1207" spans="1:5" x14ac:dyDescent="0.25">
      <c r="A1207" s="4">
        <v>37559</v>
      </c>
      <c r="B1207" s="5">
        <v>128.5</v>
      </c>
      <c r="D1207" s="4">
        <v>33604</v>
      </c>
      <c r="E1207" s="5"/>
    </row>
    <row r="1208" spans="1:5" x14ac:dyDescent="0.25">
      <c r="A1208" s="4">
        <v>37560</v>
      </c>
      <c r="B1208" s="5">
        <v>126</v>
      </c>
      <c r="D1208" s="4">
        <v>33605</v>
      </c>
      <c r="E1208" s="6">
        <v>18.45</v>
      </c>
    </row>
    <row r="1209" spans="1:5" x14ac:dyDescent="0.25">
      <c r="A1209" s="4">
        <v>37561</v>
      </c>
      <c r="B1209" s="5">
        <v>121.75</v>
      </c>
      <c r="D1209" s="4">
        <v>33606</v>
      </c>
      <c r="E1209" s="6">
        <v>18.5</v>
      </c>
    </row>
    <row r="1210" spans="1:5" x14ac:dyDescent="0.25">
      <c r="A1210" s="4">
        <v>37565</v>
      </c>
      <c r="B1210" s="5">
        <v>121.5</v>
      </c>
      <c r="D1210" s="4">
        <v>33609</v>
      </c>
      <c r="E1210" s="6">
        <v>18.75</v>
      </c>
    </row>
    <row r="1211" spans="1:5" x14ac:dyDescent="0.25">
      <c r="A1211" s="4">
        <v>37566</v>
      </c>
      <c r="B1211" s="5">
        <v>119.5</v>
      </c>
      <c r="D1211" s="4">
        <v>33610</v>
      </c>
      <c r="E1211" s="6">
        <v>18.399999999999999</v>
      </c>
    </row>
    <row r="1212" spans="1:5" x14ac:dyDescent="0.25">
      <c r="A1212" s="4">
        <v>37567</v>
      </c>
      <c r="B1212" s="5">
        <v>119.75</v>
      </c>
      <c r="D1212" s="4">
        <v>33611</v>
      </c>
      <c r="E1212" s="6">
        <v>17.3</v>
      </c>
    </row>
    <row r="1213" spans="1:5" x14ac:dyDescent="0.25">
      <c r="A1213" s="4">
        <v>37568</v>
      </c>
      <c r="B1213" s="5">
        <v>119.5</v>
      </c>
      <c r="D1213" s="4">
        <v>33612</v>
      </c>
      <c r="E1213" s="6">
        <v>17.18</v>
      </c>
    </row>
    <row r="1214" spans="1:5" x14ac:dyDescent="0.25">
      <c r="A1214" s="4">
        <v>37571</v>
      </c>
      <c r="B1214" s="5">
        <v>117.5</v>
      </c>
      <c r="D1214" s="4">
        <v>33613</v>
      </c>
      <c r="E1214" s="6">
        <v>17.23</v>
      </c>
    </row>
    <row r="1215" spans="1:5" x14ac:dyDescent="0.25">
      <c r="A1215" s="4">
        <v>37572</v>
      </c>
      <c r="B1215" s="5">
        <v>114.5</v>
      </c>
      <c r="D1215" s="4">
        <v>33616</v>
      </c>
      <c r="E1215" s="6">
        <v>18.079999999999998</v>
      </c>
    </row>
    <row r="1216" spans="1:5" x14ac:dyDescent="0.25">
      <c r="A1216" s="4">
        <v>37573</v>
      </c>
      <c r="B1216" s="5">
        <v>113.75</v>
      </c>
      <c r="D1216" s="4">
        <v>33617</v>
      </c>
      <c r="E1216" s="6">
        <v>18.23</v>
      </c>
    </row>
    <row r="1217" spans="1:5" x14ac:dyDescent="0.25">
      <c r="A1217" s="4">
        <v>37574</v>
      </c>
      <c r="B1217" s="5">
        <v>116</v>
      </c>
      <c r="D1217" s="4">
        <v>33618</v>
      </c>
      <c r="E1217" s="6">
        <v>18.38</v>
      </c>
    </row>
    <row r="1218" spans="1:5" x14ac:dyDescent="0.25">
      <c r="A1218" s="4">
        <v>37575</v>
      </c>
      <c r="B1218" s="5">
        <v>120.75</v>
      </c>
      <c r="D1218" s="4">
        <v>33619</v>
      </c>
      <c r="E1218" s="6">
        <v>18.68</v>
      </c>
    </row>
    <row r="1219" spans="1:5" x14ac:dyDescent="0.25">
      <c r="A1219" s="4">
        <v>37578</v>
      </c>
      <c r="B1219" s="5">
        <v>120</v>
      </c>
      <c r="D1219" s="4">
        <v>33620</v>
      </c>
      <c r="E1219" s="6">
        <v>18.48</v>
      </c>
    </row>
    <row r="1220" spans="1:5" x14ac:dyDescent="0.25">
      <c r="A1220" s="4">
        <v>37579</v>
      </c>
      <c r="B1220" s="5">
        <v>123.5</v>
      </c>
      <c r="D1220" s="4">
        <v>33623</v>
      </c>
      <c r="E1220" s="6">
        <v>18.45</v>
      </c>
    </row>
    <row r="1221" spans="1:5" x14ac:dyDescent="0.25">
      <c r="A1221" s="4">
        <v>37580</v>
      </c>
      <c r="B1221" s="5">
        <v>125.5</v>
      </c>
      <c r="D1221" s="4">
        <v>33624</v>
      </c>
      <c r="E1221" s="6">
        <v>17.850000000000001</v>
      </c>
    </row>
    <row r="1222" spans="1:5" x14ac:dyDescent="0.25">
      <c r="A1222" s="4">
        <v>37581</v>
      </c>
      <c r="B1222" s="5">
        <v>126.25</v>
      </c>
      <c r="D1222" s="4">
        <v>33625</v>
      </c>
      <c r="E1222" s="6">
        <v>17.829999999999998</v>
      </c>
    </row>
    <row r="1223" spans="1:5" x14ac:dyDescent="0.25">
      <c r="A1223" s="4">
        <v>37582</v>
      </c>
      <c r="B1223" s="5">
        <v>124</v>
      </c>
      <c r="D1223" s="4">
        <v>33626</v>
      </c>
      <c r="E1223" s="6">
        <v>18.100000000000001</v>
      </c>
    </row>
    <row r="1224" spans="1:5" x14ac:dyDescent="0.25">
      <c r="A1224" s="4">
        <v>37585</v>
      </c>
      <c r="B1224" s="5">
        <v>125</v>
      </c>
      <c r="D1224" s="4">
        <v>33627</v>
      </c>
      <c r="E1224" s="6">
        <v>18.329999999999998</v>
      </c>
    </row>
    <row r="1225" spans="1:5" x14ac:dyDescent="0.25">
      <c r="A1225" s="4">
        <v>37586</v>
      </c>
      <c r="B1225" s="5">
        <v>124.5</v>
      </c>
      <c r="D1225" s="4">
        <v>33630</v>
      </c>
      <c r="E1225" s="6">
        <v>18.55</v>
      </c>
    </row>
    <row r="1226" spans="1:5" x14ac:dyDescent="0.25">
      <c r="A1226" s="4">
        <v>37587</v>
      </c>
      <c r="B1226" s="5">
        <v>122</v>
      </c>
      <c r="D1226" s="4">
        <v>33631</v>
      </c>
      <c r="E1226" s="6">
        <v>18.43</v>
      </c>
    </row>
    <row r="1227" spans="1:5" x14ac:dyDescent="0.25">
      <c r="A1227" s="4">
        <v>37588</v>
      </c>
      <c r="B1227" s="5">
        <v>123</v>
      </c>
      <c r="D1227" s="4">
        <v>33632</v>
      </c>
      <c r="E1227" s="6">
        <v>18.149999999999999</v>
      </c>
    </row>
    <row r="1228" spans="1:5" x14ac:dyDescent="0.25">
      <c r="A1228" s="4">
        <v>37589</v>
      </c>
      <c r="B1228" s="5">
        <v>123.5</v>
      </c>
      <c r="D1228" s="4">
        <v>33633</v>
      </c>
      <c r="E1228" s="6">
        <v>18.100000000000001</v>
      </c>
    </row>
    <row r="1229" spans="1:5" x14ac:dyDescent="0.25">
      <c r="A1229" s="4">
        <v>37592</v>
      </c>
      <c r="B1229" s="5">
        <v>122</v>
      </c>
      <c r="D1229" s="4">
        <v>33634</v>
      </c>
      <c r="E1229" s="6">
        <v>18.149999999999999</v>
      </c>
    </row>
    <row r="1230" spans="1:5" x14ac:dyDescent="0.25">
      <c r="A1230" s="4">
        <v>37593</v>
      </c>
      <c r="B1230" s="5">
        <v>119.25</v>
      </c>
      <c r="D1230" s="4">
        <v>33637</v>
      </c>
      <c r="E1230" s="6">
        <v>18.350000000000001</v>
      </c>
    </row>
    <row r="1231" spans="1:5" x14ac:dyDescent="0.25">
      <c r="A1231" s="4">
        <v>37594</v>
      </c>
      <c r="B1231" s="5">
        <v>119.5</v>
      </c>
      <c r="D1231" s="4">
        <v>33638</v>
      </c>
      <c r="E1231" s="6">
        <v>18.399999999999999</v>
      </c>
    </row>
    <row r="1232" spans="1:5" x14ac:dyDescent="0.25">
      <c r="A1232" s="4">
        <v>37595</v>
      </c>
      <c r="B1232" s="5">
        <v>121.5</v>
      </c>
      <c r="D1232" s="4">
        <v>33639</v>
      </c>
      <c r="E1232" s="6">
        <v>18.48</v>
      </c>
    </row>
    <row r="1233" spans="1:5" x14ac:dyDescent="0.25">
      <c r="A1233" s="4">
        <v>37599</v>
      </c>
      <c r="B1233" s="5">
        <v>121</v>
      </c>
      <c r="D1233" s="4">
        <v>33640</v>
      </c>
      <c r="E1233" s="6">
        <v>18.53</v>
      </c>
    </row>
    <row r="1234" spans="1:5" x14ac:dyDescent="0.25">
      <c r="A1234" s="4">
        <v>37600</v>
      </c>
      <c r="B1234" s="5">
        <v>122</v>
      </c>
      <c r="D1234" s="4">
        <v>33641</v>
      </c>
      <c r="E1234" s="6">
        <v>18.579999999999998</v>
      </c>
    </row>
    <row r="1235" spans="1:5" x14ac:dyDescent="0.25">
      <c r="A1235" s="4">
        <v>37601</v>
      </c>
      <c r="B1235" s="5">
        <v>122.75</v>
      </c>
      <c r="D1235" s="4">
        <v>33644</v>
      </c>
      <c r="E1235" s="6">
        <v>18.95</v>
      </c>
    </row>
    <row r="1236" spans="1:5" x14ac:dyDescent="0.25">
      <c r="A1236" s="4">
        <v>37602</v>
      </c>
      <c r="B1236" s="5">
        <v>125.75</v>
      </c>
      <c r="D1236" s="4">
        <v>33645</v>
      </c>
      <c r="E1236" s="6">
        <v>18.48</v>
      </c>
    </row>
    <row r="1237" spans="1:5" x14ac:dyDescent="0.25">
      <c r="A1237" s="4">
        <v>37603</v>
      </c>
      <c r="B1237" s="5">
        <v>130</v>
      </c>
      <c r="D1237" s="4">
        <v>33646</v>
      </c>
      <c r="E1237" s="6">
        <v>18.329999999999998</v>
      </c>
    </row>
    <row r="1238" spans="1:5" x14ac:dyDescent="0.25">
      <c r="A1238" s="4">
        <v>37606</v>
      </c>
      <c r="B1238" s="5">
        <v>137</v>
      </c>
      <c r="D1238" s="4">
        <v>33647</v>
      </c>
      <c r="E1238" s="6">
        <v>18.53</v>
      </c>
    </row>
    <row r="1239" spans="1:5" x14ac:dyDescent="0.25">
      <c r="A1239" s="4">
        <v>37607</v>
      </c>
      <c r="B1239" s="5">
        <v>136.25</v>
      </c>
      <c r="D1239" s="4">
        <v>33648</v>
      </c>
      <c r="E1239" s="6">
        <v>18.63</v>
      </c>
    </row>
    <row r="1240" spans="1:5" x14ac:dyDescent="0.25">
      <c r="A1240" s="4">
        <v>37608</v>
      </c>
      <c r="B1240" s="5">
        <v>140.25</v>
      </c>
      <c r="D1240" s="4">
        <v>33651</v>
      </c>
      <c r="E1240" s="6">
        <v>17.649999999999999</v>
      </c>
    </row>
    <row r="1241" spans="1:5" x14ac:dyDescent="0.25">
      <c r="A1241" s="4">
        <v>37609</v>
      </c>
      <c r="B1241" s="5">
        <v>138.25</v>
      </c>
      <c r="D1241" s="4">
        <v>33652</v>
      </c>
      <c r="E1241" s="6">
        <v>17.7</v>
      </c>
    </row>
    <row r="1242" spans="1:5" x14ac:dyDescent="0.25">
      <c r="A1242" s="4">
        <v>37610</v>
      </c>
      <c r="B1242" s="5">
        <v>140.25</v>
      </c>
      <c r="D1242" s="4">
        <v>33653</v>
      </c>
      <c r="E1242" s="6">
        <v>17.5</v>
      </c>
    </row>
    <row r="1243" spans="1:5" x14ac:dyDescent="0.25">
      <c r="A1243" s="4">
        <v>37613</v>
      </c>
      <c r="B1243" s="5">
        <v>144.5</v>
      </c>
      <c r="D1243" s="4">
        <v>33654</v>
      </c>
      <c r="E1243" s="6">
        <v>17.850000000000001</v>
      </c>
    </row>
    <row r="1244" spans="1:5" x14ac:dyDescent="0.25">
      <c r="A1244" s="4">
        <v>37614</v>
      </c>
      <c r="B1244" s="5">
        <v>150</v>
      </c>
      <c r="D1244" s="4">
        <v>33655</v>
      </c>
      <c r="E1244" s="6">
        <v>18</v>
      </c>
    </row>
    <row r="1245" spans="1:5" x14ac:dyDescent="0.25">
      <c r="A1245" s="4">
        <v>37616</v>
      </c>
      <c r="B1245" s="5">
        <v>156.5</v>
      </c>
      <c r="D1245" s="4">
        <v>33658</v>
      </c>
      <c r="E1245" s="6">
        <v>17.399999999999999</v>
      </c>
    </row>
    <row r="1246" spans="1:5" x14ac:dyDescent="0.25">
      <c r="A1246" s="4">
        <v>37617</v>
      </c>
      <c r="B1246" s="5">
        <v>154</v>
      </c>
      <c r="D1246" s="4">
        <v>33659</v>
      </c>
      <c r="E1246" s="6">
        <v>17.43</v>
      </c>
    </row>
    <row r="1247" spans="1:5" x14ac:dyDescent="0.25">
      <c r="A1247" s="4">
        <v>37620</v>
      </c>
      <c r="B1247" s="5">
        <v>156</v>
      </c>
      <c r="D1247" s="4">
        <v>33660</v>
      </c>
      <c r="E1247" s="6">
        <v>17.28</v>
      </c>
    </row>
    <row r="1248" spans="1:5" x14ac:dyDescent="0.25">
      <c r="A1248" s="4">
        <v>37621</v>
      </c>
      <c r="B1248" s="5">
        <v>160.5</v>
      </c>
      <c r="D1248" s="4">
        <v>33661</v>
      </c>
      <c r="E1248" s="6">
        <v>17.55</v>
      </c>
    </row>
    <row r="1249" spans="1:5" x14ac:dyDescent="0.25">
      <c r="A1249" s="4">
        <v>37623</v>
      </c>
      <c r="B1249" s="5">
        <v>167</v>
      </c>
      <c r="D1249" s="4">
        <v>33662</v>
      </c>
      <c r="E1249" s="6">
        <v>17.45</v>
      </c>
    </row>
    <row r="1250" spans="1:5" x14ac:dyDescent="0.25">
      <c r="A1250" s="4">
        <v>37624</v>
      </c>
      <c r="B1250" s="5">
        <v>163</v>
      </c>
      <c r="D1250" s="4">
        <v>33665</v>
      </c>
      <c r="E1250" s="6">
        <v>17.350000000000001</v>
      </c>
    </row>
    <row r="1251" spans="1:5" x14ac:dyDescent="0.25">
      <c r="A1251" s="4">
        <v>37627</v>
      </c>
      <c r="B1251" s="5">
        <v>161</v>
      </c>
      <c r="D1251" s="4">
        <v>33666</v>
      </c>
      <c r="E1251" s="6">
        <v>17.05</v>
      </c>
    </row>
    <row r="1252" spans="1:5" x14ac:dyDescent="0.25">
      <c r="A1252" s="4">
        <v>37628</v>
      </c>
      <c r="B1252" s="5">
        <v>162</v>
      </c>
      <c r="D1252" s="4">
        <v>33667</v>
      </c>
      <c r="E1252" s="6">
        <v>17.28</v>
      </c>
    </row>
    <row r="1253" spans="1:5" x14ac:dyDescent="0.25">
      <c r="A1253" s="4">
        <v>37629</v>
      </c>
      <c r="B1253" s="5">
        <v>167</v>
      </c>
      <c r="D1253" s="4">
        <v>33668</v>
      </c>
      <c r="E1253" s="6">
        <v>17.43</v>
      </c>
    </row>
    <row r="1254" spans="1:5" x14ac:dyDescent="0.25">
      <c r="A1254" s="4">
        <v>37630</v>
      </c>
      <c r="B1254" s="5">
        <v>170</v>
      </c>
      <c r="D1254" s="4">
        <v>33669</v>
      </c>
      <c r="E1254" s="6">
        <v>17.3</v>
      </c>
    </row>
    <row r="1255" spans="1:5" x14ac:dyDescent="0.25">
      <c r="A1255" s="4">
        <v>37631</v>
      </c>
      <c r="B1255" s="5">
        <v>174.75</v>
      </c>
      <c r="D1255" s="4">
        <v>33672</v>
      </c>
      <c r="E1255" s="6">
        <v>17.350000000000001</v>
      </c>
    </row>
    <row r="1256" spans="1:5" x14ac:dyDescent="0.25">
      <c r="A1256" s="4">
        <v>37634</v>
      </c>
      <c r="B1256" s="5">
        <v>187</v>
      </c>
      <c r="D1256" s="4">
        <v>33673</v>
      </c>
      <c r="E1256" s="6">
        <v>17.350000000000001</v>
      </c>
    </row>
    <row r="1257" spans="1:5" x14ac:dyDescent="0.25">
      <c r="A1257" s="4">
        <v>37635</v>
      </c>
      <c r="B1257" s="5">
        <v>193</v>
      </c>
      <c r="D1257" s="4">
        <v>33674</v>
      </c>
      <c r="E1257" s="6">
        <v>17.2</v>
      </c>
    </row>
    <row r="1258" spans="1:5" x14ac:dyDescent="0.25">
      <c r="A1258" s="4">
        <v>37636</v>
      </c>
      <c r="B1258" s="5">
        <v>188</v>
      </c>
      <c r="D1258" s="4">
        <v>33675</v>
      </c>
      <c r="E1258" s="6">
        <v>17.350000000000001</v>
      </c>
    </row>
    <row r="1259" spans="1:5" x14ac:dyDescent="0.25">
      <c r="A1259" s="4">
        <v>37637</v>
      </c>
      <c r="B1259" s="5">
        <v>184.5</v>
      </c>
      <c r="D1259" s="4">
        <v>33676</v>
      </c>
      <c r="E1259" s="6">
        <v>17.73</v>
      </c>
    </row>
    <row r="1260" spans="1:5" x14ac:dyDescent="0.25">
      <c r="A1260" s="4">
        <v>37638</v>
      </c>
      <c r="B1260" s="5">
        <v>182</v>
      </c>
      <c r="D1260" s="4">
        <v>33679</v>
      </c>
      <c r="E1260" s="6">
        <v>17.73</v>
      </c>
    </row>
    <row r="1261" spans="1:5" x14ac:dyDescent="0.25">
      <c r="A1261" s="4">
        <v>37641</v>
      </c>
      <c r="B1261" s="5">
        <v>178</v>
      </c>
      <c r="D1261" s="4">
        <v>33680</v>
      </c>
      <c r="E1261" s="6">
        <v>17.88</v>
      </c>
    </row>
    <row r="1262" spans="1:5" x14ac:dyDescent="0.25">
      <c r="A1262" s="4">
        <v>37642</v>
      </c>
      <c r="B1262" s="5">
        <v>170.5</v>
      </c>
      <c r="D1262" s="4">
        <v>33681</v>
      </c>
      <c r="E1262" s="6">
        <v>17.649999999999999</v>
      </c>
    </row>
    <row r="1263" spans="1:5" x14ac:dyDescent="0.25">
      <c r="A1263" s="4">
        <v>37643</v>
      </c>
      <c r="B1263" s="5">
        <v>166.25</v>
      </c>
      <c r="D1263" s="4">
        <v>33682</v>
      </c>
      <c r="E1263" s="6">
        <v>17.649999999999999</v>
      </c>
    </row>
    <row r="1264" spans="1:5" x14ac:dyDescent="0.25">
      <c r="A1264" s="4">
        <v>37644</v>
      </c>
      <c r="B1264" s="5">
        <v>170.5</v>
      </c>
      <c r="D1264" s="4">
        <v>33683</v>
      </c>
      <c r="E1264" s="6">
        <v>17.75</v>
      </c>
    </row>
    <row r="1265" spans="1:5" x14ac:dyDescent="0.25">
      <c r="A1265" s="4">
        <v>37645</v>
      </c>
      <c r="B1265" s="5">
        <v>168</v>
      </c>
      <c r="D1265" s="4">
        <v>33686</v>
      </c>
      <c r="E1265" s="6">
        <v>17.579999999999998</v>
      </c>
    </row>
    <row r="1266" spans="1:5" x14ac:dyDescent="0.25">
      <c r="A1266" s="4">
        <v>37648</v>
      </c>
      <c r="B1266" s="5">
        <v>169.5</v>
      </c>
      <c r="D1266" s="4">
        <v>33687</v>
      </c>
      <c r="E1266" s="6">
        <v>17.649999999999999</v>
      </c>
    </row>
    <row r="1267" spans="1:5" x14ac:dyDescent="0.25">
      <c r="A1267" s="4">
        <v>37649</v>
      </c>
      <c r="B1267" s="5">
        <v>171</v>
      </c>
      <c r="D1267" s="4">
        <v>33688</v>
      </c>
      <c r="E1267" s="6">
        <v>17.7</v>
      </c>
    </row>
    <row r="1268" spans="1:5" x14ac:dyDescent="0.25">
      <c r="A1268" s="4">
        <v>37650</v>
      </c>
      <c r="B1268" s="5">
        <v>173</v>
      </c>
      <c r="D1268" s="4">
        <v>33689</v>
      </c>
      <c r="E1268" s="6">
        <v>17.98</v>
      </c>
    </row>
    <row r="1269" spans="1:5" x14ac:dyDescent="0.25">
      <c r="A1269" s="4">
        <v>37651</v>
      </c>
      <c r="B1269" s="5">
        <v>171</v>
      </c>
      <c r="D1269" s="4">
        <v>33690</v>
      </c>
      <c r="E1269" s="6">
        <v>17.850000000000001</v>
      </c>
    </row>
    <row r="1270" spans="1:5" x14ac:dyDescent="0.25">
      <c r="A1270" s="4">
        <v>37652</v>
      </c>
      <c r="B1270" s="5">
        <v>170.25</v>
      </c>
      <c r="D1270" s="4">
        <v>33693</v>
      </c>
      <c r="E1270" s="6">
        <v>17.98</v>
      </c>
    </row>
    <row r="1271" spans="1:5" x14ac:dyDescent="0.25">
      <c r="A1271" s="4">
        <v>37656</v>
      </c>
      <c r="B1271" s="5">
        <v>174.25</v>
      </c>
      <c r="D1271" s="4">
        <v>33694</v>
      </c>
      <c r="E1271" s="6">
        <v>19.09</v>
      </c>
    </row>
    <row r="1272" spans="1:5" x14ac:dyDescent="0.25">
      <c r="A1272" s="4">
        <v>37657</v>
      </c>
      <c r="B1272" s="5">
        <v>173</v>
      </c>
      <c r="D1272" s="4">
        <v>33695</v>
      </c>
      <c r="E1272" s="6">
        <v>18.38</v>
      </c>
    </row>
    <row r="1273" spans="1:5" x14ac:dyDescent="0.25">
      <c r="A1273" s="4">
        <v>37658</v>
      </c>
      <c r="B1273" s="5">
        <v>175.25</v>
      </c>
      <c r="D1273" s="4">
        <v>33696</v>
      </c>
      <c r="E1273" s="6">
        <v>18.53</v>
      </c>
    </row>
    <row r="1274" spans="1:5" x14ac:dyDescent="0.25">
      <c r="A1274" s="4">
        <v>37659</v>
      </c>
      <c r="B1274" s="5">
        <v>182</v>
      </c>
      <c r="D1274" s="4">
        <v>33697</v>
      </c>
      <c r="E1274" s="6">
        <v>18.63</v>
      </c>
    </row>
    <row r="1275" spans="1:5" x14ac:dyDescent="0.25">
      <c r="A1275" s="4">
        <v>37662</v>
      </c>
      <c r="B1275" s="5">
        <v>183</v>
      </c>
      <c r="D1275" s="4">
        <v>33700</v>
      </c>
      <c r="E1275" s="6">
        <v>18.93</v>
      </c>
    </row>
    <row r="1276" spans="1:5" x14ac:dyDescent="0.25">
      <c r="A1276" s="4">
        <v>37663</v>
      </c>
      <c r="B1276" s="5">
        <v>186</v>
      </c>
      <c r="D1276" s="4">
        <v>33701</v>
      </c>
      <c r="E1276" s="6">
        <v>18.93</v>
      </c>
    </row>
    <row r="1277" spans="1:5" x14ac:dyDescent="0.25">
      <c r="A1277" s="4">
        <v>37665</v>
      </c>
      <c r="B1277" s="5">
        <v>186</v>
      </c>
      <c r="D1277" s="4">
        <v>33702</v>
      </c>
      <c r="E1277" s="6">
        <v>19.18</v>
      </c>
    </row>
    <row r="1278" spans="1:5" x14ac:dyDescent="0.25">
      <c r="A1278" s="4">
        <v>37666</v>
      </c>
      <c r="B1278" s="5">
        <v>182</v>
      </c>
      <c r="D1278" s="4">
        <v>33703</v>
      </c>
      <c r="E1278" s="6">
        <v>18.95</v>
      </c>
    </row>
    <row r="1279" spans="1:5" x14ac:dyDescent="0.25">
      <c r="A1279" s="4">
        <v>37669</v>
      </c>
      <c r="B1279" s="5">
        <v>172</v>
      </c>
      <c r="D1279" s="4">
        <v>33704</v>
      </c>
      <c r="E1279" s="6">
        <v>19.05</v>
      </c>
    </row>
    <row r="1280" spans="1:5" x14ac:dyDescent="0.25">
      <c r="A1280" s="4">
        <v>37670</v>
      </c>
      <c r="B1280" s="5">
        <v>163.5</v>
      </c>
      <c r="D1280" s="4">
        <v>33707</v>
      </c>
      <c r="E1280" s="6">
        <v>19.03</v>
      </c>
    </row>
    <row r="1281" spans="1:5" x14ac:dyDescent="0.25">
      <c r="A1281" s="4">
        <v>37671</v>
      </c>
      <c r="B1281" s="5">
        <v>163</v>
      </c>
      <c r="D1281" s="4">
        <v>33708</v>
      </c>
      <c r="E1281" s="6">
        <v>18.850000000000001</v>
      </c>
    </row>
    <row r="1282" spans="1:5" x14ac:dyDescent="0.25">
      <c r="A1282" s="4">
        <v>37672</v>
      </c>
      <c r="B1282" s="5">
        <v>165.5</v>
      </c>
      <c r="D1282" s="4">
        <v>33709</v>
      </c>
      <c r="E1282" s="6">
        <v>18.600000000000001</v>
      </c>
    </row>
    <row r="1283" spans="1:5" x14ac:dyDescent="0.25">
      <c r="A1283" s="4">
        <v>37673</v>
      </c>
      <c r="B1283" s="5">
        <v>164.5</v>
      </c>
      <c r="D1283" s="4">
        <v>33710</v>
      </c>
      <c r="E1283" s="6">
        <v>18.95</v>
      </c>
    </row>
    <row r="1284" spans="1:5" x14ac:dyDescent="0.25">
      <c r="A1284" s="4">
        <v>37676</v>
      </c>
      <c r="B1284" s="5">
        <v>164.75</v>
      </c>
      <c r="D1284" s="4">
        <v>33711</v>
      </c>
      <c r="E1284" s="5"/>
    </row>
    <row r="1285" spans="1:5" x14ac:dyDescent="0.25">
      <c r="A1285" s="4">
        <v>37677</v>
      </c>
      <c r="B1285" s="5">
        <v>165.75</v>
      </c>
      <c r="D1285" s="4">
        <v>33714</v>
      </c>
      <c r="E1285" s="6">
        <v>18.95</v>
      </c>
    </row>
    <row r="1286" spans="1:5" x14ac:dyDescent="0.25">
      <c r="A1286" s="4">
        <v>37678</v>
      </c>
      <c r="B1286" s="5">
        <v>165</v>
      </c>
      <c r="D1286" s="4">
        <v>33715</v>
      </c>
      <c r="E1286" s="6">
        <v>19</v>
      </c>
    </row>
    <row r="1287" spans="1:5" x14ac:dyDescent="0.25">
      <c r="A1287" s="4">
        <v>37679</v>
      </c>
      <c r="B1287" s="5">
        <v>164.75</v>
      </c>
      <c r="D1287" s="4">
        <v>33716</v>
      </c>
      <c r="E1287" s="6">
        <v>18.73</v>
      </c>
    </row>
    <row r="1288" spans="1:5" x14ac:dyDescent="0.25">
      <c r="A1288" s="4">
        <v>37680</v>
      </c>
      <c r="B1288" s="5">
        <v>162</v>
      </c>
      <c r="D1288" s="4">
        <v>33717</v>
      </c>
      <c r="E1288" s="6">
        <v>18.7</v>
      </c>
    </row>
    <row r="1289" spans="1:5" x14ac:dyDescent="0.25">
      <c r="A1289" s="4">
        <v>37683</v>
      </c>
      <c r="B1289" s="5">
        <v>156.5</v>
      </c>
      <c r="D1289" s="4">
        <v>33718</v>
      </c>
      <c r="E1289" s="6">
        <v>18.899999999999999</v>
      </c>
    </row>
    <row r="1290" spans="1:5" x14ac:dyDescent="0.25">
      <c r="A1290" s="4">
        <v>37684</v>
      </c>
      <c r="B1290" s="5">
        <v>155.5</v>
      </c>
      <c r="D1290" s="4">
        <v>33721</v>
      </c>
      <c r="E1290" s="6">
        <v>18.899999999999999</v>
      </c>
    </row>
    <row r="1291" spans="1:5" x14ac:dyDescent="0.25">
      <c r="A1291" s="4">
        <v>37685</v>
      </c>
      <c r="B1291" s="5">
        <v>158</v>
      </c>
      <c r="D1291" s="4">
        <v>33722</v>
      </c>
      <c r="E1291" s="6">
        <v>19.18</v>
      </c>
    </row>
    <row r="1292" spans="1:5" x14ac:dyDescent="0.25">
      <c r="A1292" s="4">
        <v>37686</v>
      </c>
      <c r="B1292" s="5">
        <v>157.5</v>
      </c>
      <c r="D1292" s="4">
        <v>33723</v>
      </c>
      <c r="E1292" s="6">
        <v>19.28</v>
      </c>
    </row>
    <row r="1293" spans="1:5" x14ac:dyDescent="0.25">
      <c r="A1293" s="4">
        <v>37687</v>
      </c>
      <c r="B1293" s="5">
        <v>156</v>
      </c>
      <c r="D1293" s="4">
        <v>33724</v>
      </c>
      <c r="E1293" s="6">
        <v>19.649999999999999</v>
      </c>
    </row>
    <row r="1294" spans="1:5" x14ac:dyDescent="0.25">
      <c r="A1294" s="4">
        <v>37690</v>
      </c>
      <c r="B1294" s="5">
        <v>161.5</v>
      </c>
      <c r="D1294" s="4">
        <v>33725</v>
      </c>
      <c r="E1294" s="6">
        <v>19.829999999999998</v>
      </c>
    </row>
    <row r="1295" spans="1:5" x14ac:dyDescent="0.25">
      <c r="A1295" s="4">
        <v>37691</v>
      </c>
      <c r="B1295" s="5">
        <v>160</v>
      </c>
      <c r="D1295" s="4">
        <v>33728</v>
      </c>
      <c r="E1295" s="6">
        <v>19.88</v>
      </c>
    </row>
    <row r="1296" spans="1:5" x14ac:dyDescent="0.25">
      <c r="A1296" s="4">
        <v>37692</v>
      </c>
      <c r="B1296" s="5">
        <v>158.5</v>
      </c>
      <c r="D1296" s="4">
        <v>33729</v>
      </c>
      <c r="E1296" s="6">
        <v>19.98</v>
      </c>
    </row>
    <row r="1297" spans="1:5" x14ac:dyDescent="0.25">
      <c r="A1297" s="4">
        <v>37693</v>
      </c>
      <c r="B1297" s="5">
        <v>159.75</v>
      </c>
      <c r="D1297" s="4">
        <v>33730</v>
      </c>
      <c r="E1297" s="6">
        <v>19.68</v>
      </c>
    </row>
    <row r="1298" spans="1:5" x14ac:dyDescent="0.25">
      <c r="A1298" s="4">
        <v>37694</v>
      </c>
      <c r="B1298" s="5">
        <v>152.25</v>
      </c>
      <c r="D1298" s="4">
        <v>33731</v>
      </c>
      <c r="E1298" s="6">
        <v>19.649999999999999</v>
      </c>
    </row>
    <row r="1299" spans="1:5" x14ac:dyDescent="0.25">
      <c r="A1299" s="4">
        <v>37697</v>
      </c>
      <c r="B1299" s="5">
        <v>152</v>
      </c>
      <c r="D1299" s="4">
        <v>33732</v>
      </c>
      <c r="E1299" s="6">
        <v>19.63</v>
      </c>
    </row>
    <row r="1300" spans="1:5" x14ac:dyDescent="0.25">
      <c r="A1300" s="4">
        <v>37698</v>
      </c>
      <c r="B1300" s="5">
        <v>137</v>
      </c>
      <c r="D1300" s="4">
        <v>33735</v>
      </c>
      <c r="E1300" s="6">
        <v>19.73</v>
      </c>
    </row>
    <row r="1301" spans="1:5" x14ac:dyDescent="0.25">
      <c r="A1301" s="4">
        <v>37699</v>
      </c>
      <c r="B1301" s="5">
        <v>134</v>
      </c>
      <c r="D1301" s="4">
        <v>33736</v>
      </c>
      <c r="E1301" s="6">
        <v>19.8</v>
      </c>
    </row>
    <row r="1302" spans="1:5" x14ac:dyDescent="0.25">
      <c r="A1302" s="4">
        <v>37700</v>
      </c>
      <c r="B1302" s="5">
        <v>132.5</v>
      </c>
      <c r="D1302" s="4">
        <v>33737</v>
      </c>
      <c r="E1302" s="6">
        <v>19.95</v>
      </c>
    </row>
    <row r="1303" spans="1:5" x14ac:dyDescent="0.25">
      <c r="A1303" s="4">
        <v>37701</v>
      </c>
      <c r="B1303" s="5">
        <v>126</v>
      </c>
      <c r="D1303" s="4">
        <v>33738</v>
      </c>
      <c r="E1303" s="6">
        <v>19.75</v>
      </c>
    </row>
    <row r="1304" spans="1:5" x14ac:dyDescent="0.25">
      <c r="A1304" s="4">
        <v>37704</v>
      </c>
      <c r="B1304" s="5">
        <v>123.25</v>
      </c>
      <c r="D1304" s="4">
        <v>33739</v>
      </c>
      <c r="E1304" s="6">
        <v>19.7</v>
      </c>
    </row>
    <row r="1305" spans="1:5" x14ac:dyDescent="0.25">
      <c r="A1305" s="4">
        <v>37705</v>
      </c>
      <c r="B1305" s="5">
        <v>128.5</v>
      </c>
      <c r="D1305" s="4">
        <v>33742</v>
      </c>
      <c r="E1305" s="6">
        <v>19.7</v>
      </c>
    </row>
    <row r="1306" spans="1:5" x14ac:dyDescent="0.25">
      <c r="A1306" s="4">
        <v>37706</v>
      </c>
      <c r="B1306" s="5">
        <v>129.5</v>
      </c>
      <c r="D1306" s="4">
        <v>33743</v>
      </c>
      <c r="E1306" s="6">
        <v>19.3</v>
      </c>
    </row>
    <row r="1307" spans="1:5" x14ac:dyDescent="0.25">
      <c r="A1307" s="4">
        <v>37707</v>
      </c>
      <c r="B1307" s="5">
        <v>132</v>
      </c>
      <c r="D1307" s="4">
        <v>33744</v>
      </c>
      <c r="E1307" s="6">
        <v>19.28</v>
      </c>
    </row>
    <row r="1308" spans="1:5" x14ac:dyDescent="0.25">
      <c r="A1308" s="4">
        <v>37708</v>
      </c>
      <c r="B1308" s="5">
        <v>137.5</v>
      </c>
      <c r="D1308" s="4">
        <v>33745</v>
      </c>
      <c r="E1308" s="6">
        <v>19.600000000000001</v>
      </c>
    </row>
    <row r="1309" spans="1:5" x14ac:dyDescent="0.25">
      <c r="A1309" s="4">
        <v>37711</v>
      </c>
      <c r="B1309" s="5">
        <v>138.5</v>
      </c>
      <c r="D1309" s="4">
        <v>33746</v>
      </c>
      <c r="E1309" s="6">
        <v>19.579999999999998</v>
      </c>
    </row>
    <row r="1310" spans="1:5" x14ac:dyDescent="0.25">
      <c r="A1310" s="4">
        <v>37712</v>
      </c>
      <c r="B1310" s="5">
        <v>136.5</v>
      </c>
      <c r="D1310" s="4">
        <v>33749</v>
      </c>
      <c r="E1310" s="5"/>
    </row>
    <row r="1311" spans="1:5" x14ac:dyDescent="0.25">
      <c r="A1311" s="4">
        <v>37713</v>
      </c>
      <c r="B1311" s="5">
        <v>127.5</v>
      </c>
      <c r="D1311" s="4">
        <v>33750</v>
      </c>
      <c r="E1311" s="6">
        <v>20.5</v>
      </c>
    </row>
    <row r="1312" spans="1:5" x14ac:dyDescent="0.25">
      <c r="A1312" s="4">
        <v>37714</v>
      </c>
      <c r="B1312" s="5">
        <v>125.5</v>
      </c>
      <c r="D1312" s="4">
        <v>33751</v>
      </c>
      <c r="E1312" s="6">
        <v>20.8</v>
      </c>
    </row>
    <row r="1313" spans="1:5" x14ac:dyDescent="0.25">
      <c r="A1313" s="4">
        <v>37715</v>
      </c>
      <c r="B1313" s="5">
        <v>117.75</v>
      </c>
      <c r="D1313" s="4">
        <v>33752</v>
      </c>
      <c r="E1313" s="6">
        <v>20.73</v>
      </c>
    </row>
    <row r="1314" spans="1:5" x14ac:dyDescent="0.25">
      <c r="A1314" s="4">
        <v>37718</v>
      </c>
      <c r="B1314" s="5">
        <v>119.75</v>
      </c>
      <c r="D1314" s="4">
        <v>33753</v>
      </c>
      <c r="E1314" s="6">
        <v>20.7</v>
      </c>
    </row>
    <row r="1315" spans="1:5" x14ac:dyDescent="0.25">
      <c r="A1315" s="4">
        <v>37719</v>
      </c>
      <c r="B1315" s="5">
        <v>121</v>
      </c>
      <c r="D1315" s="4">
        <v>33756</v>
      </c>
      <c r="E1315" s="6">
        <v>20.9</v>
      </c>
    </row>
    <row r="1316" spans="1:5" x14ac:dyDescent="0.25">
      <c r="A1316" s="4">
        <v>37720</v>
      </c>
      <c r="B1316" s="5">
        <v>122</v>
      </c>
      <c r="D1316" s="4">
        <v>33757</v>
      </c>
      <c r="E1316" s="6">
        <v>20.85</v>
      </c>
    </row>
    <row r="1317" spans="1:5" x14ac:dyDescent="0.25">
      <c r="A1317" s="4">
        <v>37721</v>
      </c>
      <c r="B1317" s="5">
        <v>122.25</v>
      </c>
      <c r="D1317" s="4">
        <v>33758</v>
      </c>
      <c r="E1317" s="6">
        <v>21.23</v>
      </c>
    </row>
    <row r="1318" spans="1:5" x14ac:dyDescent="0.25">
      <c r="A1318" s="4">
        <v>37722</v>
      </c>
      <c r="B1318" s="5">
        <v>118</v>
      </c>
      <c r="D1318" s="4">
        <v>33759</v>
      </c>
      <c r="E1318" s="6">
        <v>21.08</v>
      </c>
    </row>
    <row r="1319" spans="1:5" x14ac:dyDescent="0.25">
      <c r="A1319" s="4">
        <v>37725</v>
      </c>
      <c r="B1319" s="5">
        <v>118.75</v>
      </c>
      <c r="D1319" s="4">
        <v>33760</v>
      </c>
      <c r="E1319" s="6">
        <v>21.35</v>
      </c>
    </row>
    <row r="1320" spans="1:5" x14ac:dyDescent="0.25">
      <c r="A1320" s="4">
        <v>37726</v>
      </c>
      <c r="B1320" s="5">
        <v>120</v>
      </c>
      <c r="D1320" s="4">
        <v>33763</v>
      </c>
      <c r="E1320" s="6">
        <v>21.25</v>
      </c>
    </row>
    <row r="1321" spans="1:5" x14ac:dyDescent="0.25">
      <c r="A1321" s="4">
        <v>37727</v>
      </c>
      <c r="B1321" s="5">
        <v>123.5</v>
      </c>
      <c r="D1321" s="4">
        <v>33764</v>
      </c>
      <c r="E1321" s="6">
        <v>21.13</v>
      </c>
    </row>
    <row r="1322" spans="1:5" x14ac:dyDescent="0.25">
      <c r="A1322" s="4">
        <v>37728</v>
      </c>
      <c r="B1322" s="5">
        <v>127</v>
      </c>
      <c r="D1322" s="4">
        <v>33765</v>
      </c>
      <c r="E1322" s="6">
        <v>21.05</v>
      </c>
    </row>
    <row r="1323" spans="1:5" x14ac:dyDescent="0.25">
      <c r="A1323" s="4">
        <v>37732</v>
      </c>
      <c r="B1323" s="5">
        <v>120</v>
      </c>
      <c r="D1323" s="4">
        <v>33766</v>
      </c>
      <c r="E1323" s="6">
        <v>21.33</v>
      </c>
    </row>
    <row r="1324" spans="1:5" x14ac:dyDescent="0.25">
      <c r="A1324" s="4">
        <v>37733</v>
      </c>
      <c r="B1324" s="5">
        <v>119</v>
      </c>
      <c r="D1324" s="4">
        <v>33767</v>
      </c>
      <c r="E1324" s="6">
        <v>21.28</v>
      </c>
    </row>
    <row r="1325" spans="1:5" x14ac:dyDescent="0.25">
      <c r="A1325" s="4">
        <v>37734</v>
      </c>
      <c r="B1325" s="5">
        <v>119.5</v>
      </c>
      <c r="D1325" s="4">
        <v>33770</v>
      </c>
      <c r="E1325" s="6">
        <v>21.3</v>
      </c>
    </row>
    <row r="1326" spans="1:5" x14ac:dyDescent="0.25">
      <c r="A1326" s="4">
        <v>37735</v>
      </c>
      <c r="B1326" s="5">
        <v>124.75</v>
      </c>
      <c r="D1326" s="4">
        <v>33771</v>
      </c>
      <c r="E1326" s="6">
        <v>21.13</v>
      </c>
    </row>
    <row r="1327" spans="1:5" x14ac:dyDescent="0.25">
      <c r="A1327" s="4">
        <v>37736</v>
      </c>
      <c r="B1327" s="5">
        <v>125.25</v>
      </c>
      <c r="D1327" s="4">
        <v>33772</v>
      </c>
      <c r="E1327" s="6">
        <v>21.03</v>
      </c>
    </row>
    <row r="1328" spans="1:5" x14ac:dyDescent="0.25">
      <c r="A1328" s="4">
        <v>37739</v>
      </c>
      <c r="B1328" s="5">
        <v>124.75</v>
      </c>
      <c r="D1328" s="4">
        <v>33773</v>
      </c>
      <c r="E1328" s="6">
        <v>21.23</v>
      </c>
    </row>
    <row r="1329" spans="1:5" x14ac:dyDescent="0.25">
      <c r="A1329" s="4">
        <v>37740</v>
      </c>
      <c r="B1329" s="5">
        <v>125.5</v>
      </c>
      <c r="D1329" s="4">
        <v>33774</v>
      </c>
      <c r="E1329" s="6">
        <v>21.13</v>
      </c>
    </row>
    <row r="1330" spans="1:5" x14ac:dyDescent="0.25">
      <c r="A1330" s="4">
        <v>37741</v>
      </c>
      <c r="B1330" s="5">
        <v>129.5</v>
      </c>
      <c r="D1330" s="4">
        <v>33777</v>
      </c>
      <c r="E1330" s="6">
        <v>20.83</v>
      </c>
    </row>
    <row r="1331" spans="1:5" x14ac:dyDescent="0.25">
      <c r="A1331" s="4">
        <v>37743</v>
      </c>
      <c r="B1331" s="5">
        <v>124.5</v>
      </c>
      <c r="D1331" s="4">
        <v>33778</v>
      </c>
      <c r="E1331" s="6">
        <v>21.35</v>
      </c>
    </row>
    <row r="1332" spans="1:5" x14ac:dyDescent="0.25">
      <c r="A1332" s="4">
        <v>37746</v>
      </c>
      <c r="B1332" s="5">
        <v>128</v>
      </c>
      <c r="D1332" s="4">
        <v>33779</v>
      </c>
      <c r="E1332" s="6">
        <v>21.55</v>
      </c>
    </row>
    <row r="1333" spans="1:5" x14ac:dyDescent="0.25">
      <c r="A1333" s="4">
        <v>37747</v>
      </c>
      <c r="B1333" s="5">
        <v>129</v>
      </c>
      <c r="D1333" s="4">
        <v>33780</v>
      </c>
      <c r="E1333" s="6">
        <v>21.5</v>
      </c>
    </row>
    <row r="1334" spans="1:5" x14ac:dyDescent="0.25">
      <c r="A1334" s="4">
        <v>37748</v>
      </c>
      <c r="B1334" s="5">
        <v>130.5</v>
      </c>
      <c r="D1334" s="4">
        <v>33781</v>
      </c>
      <c r="E1334" s="6">
        <v>21.3</v>
      </c>
    </row>
    <row r="1335" spans="1:5" x14ac:dyDescent="0.25">
      <c r="A1335" s="4">
        <v>37749</v>
      </c>
      <c r="B1335" s="5">
        <v>132.5</v>
      </c>
      <c r="D1335" s="4">
        <v>33784</v>
      </c>
      <c r="E1335" s="6">
        <v>21.08</v>
      </c>
    </row>
    <row r="1336" spans="1:5" x14ac:dyDescent="0.25">
      <c r="A1336" s="4">
        <v>37750</v>
      </c>
      <c r="B1336" s="5">
        <v>134.5</v>
      </c>
      <c r="D1336" s="4">
        <v>33785</v>
      </c>
      <c r="E1336" s="6">
        <v>20.6</v>
      </c>
    </row>
    <row r="1337" spans="1:5" x14ac:dyDescent="0.25">
      <c r="A1337" s="4">
        <v>37753</v>
      </c>
      <c r="B1337" s="5">
        <v>133.75</v>
      </c>
      <c r="D1337" s="4">
        <v>33786</v>
      </c>
      <c r="E1337" s="6">
        <v>20.25</v>
      </c>
    </row>
    <row r="1338" spans="1:5" x14ac:dyDescent="0.25">
      <c r="A1338" s="4">
        <v>37754</v>
      </c>
      <c r="B1338" s="5">
        <v>134.75</v>
      </c>
      <c r="D1338" s="4">
        <v>33787</v>
      </c>
      <c r="E1338" s="6">
        <v>20.53</v>
      </c>
    </row>
    <row r="1339" spans="1:5" x14ac:dyDescent="0.25">
      <c r="A1339" s="4">
        <v>37755</v>
      </c>
      <c r="B1339" s="5">
        <v>135.25</v>
      </c>
      <c r="D1339" s="4">
        <v>33788</v>
      </c>
      <c r="E1339" s="6">
        <v>20.65</v>
      </c>
    </row>
    <row r="1340" spans="1:5" x14ac:dyDescent="0.25">
      <c r="A1340" s="4">
        <v>37757</v>
      </c>
      <c r="B1340" s="5">
        <v>135</v>
      </c>
      <c r="D1340" s="4">
        <v>33791</v>
      </c>
      <c r="E1340" s="6">
        <v>20.45</v>
      </c>
    </row>
    <row r="1341" spans="1:5" x14ac:dyDescent="0.25">
      <c r="A1341" s="4">
        <v>37760</v>
      </c>
      <c r="B1341" s="5">
        <v>135</v>
      </c>
      <c r="D1341" s="4">
        <v>33792</v>
      </c>
      <c r="E1341" s="6">
        <v>19.8</v>
      </c>
    </row>
    <row r="1342" spans="1:5" x14ac:dyDescent="0.25">
      <c r="A1342" s="4">
        <v>37761</v>
      </c>
      <c r="B1342" s="5">
        <v>129.5</v>
      </c>
      <c r="D1342" s="4">
        <v>33793</v>
      </c>
      <c r="E1342" s="6">
        <v>19.7</v>
      </c>
    </row>
    <row r="1343" spans="1:5" x14ac:dyDescent="0.25">
      <c r="A1343" s="4">
        <v>37762</v>
      </c>
      <c r="B1343" s="5">
        <v>134</v>
      </c>
      <c r="D1343" s="4">
        <v>33794</v>
      </c>
      <c r="E1343" s="6">
        <v>19.78</v>
      </c>
    </row>
    <row r="1344" spans="1:5" x14ac:dyDescent="0.25">
      <c r="A1344" s="4">
        <v>37763</v>
      </c>
      <c r="B1344" s="5">
        <v>133</v>
      </c>
      <c r="D1344" s="4">
        <v>33795</v>
      </c>
      <c r="E1344" s="6">
        <v>20</v>
      </c>
    </row>
    <row r="1345" spans="1:5" x14ac:dyDescent="0.25">
      <c r="A1345" s="4">
        <v>37764</v>
      </c>
      <c r="B1345" s="5">
        <v>135.25</v>
      </c>
      <c r="D1345" s="4">
        <v>33798</v>
      </c>
      <c r="E1345" s="6">
        <v>19.829999999999998</v>
      </c>
    </row>
    <row r="1346" spans="1:5" x14ac:dyDescent="0.25">
      <c r="A1346" s="4">
        <v>37767</v>
      </c>
      <c r="B1346" s="5">
        <v>144.5</v>
      </c>
      <c r="D1346" s="4">
        <v>33799</v>
      </c>
      <c r="E1346" s="6">
        <v>19.98</v>
      </c>
    </row>
    <row r="1347" spans="1:5" x14ac:dyDescent="0.25">
      <c r="A1347" s="4">
        <v>37768</v>
      </c>
      <c r="B1347" s="5">
        <v>145.75</v>
      </c>
      <c r="D1347" s="4">
        <v>33800</v>
      </c>
      <c r="E1347" s="6">
        <v>19.850000000000001</v>
      </c>
    </row>
    <row r="1348" spans="1:5" x14ac:dyDescent="0.25">
      <c r="A1348" s="4">
        <v>37769</v>
      </c>
      <c r="B1348" s="5">
        <v>142.75</v>
      </c>
      <c r="D1348" s="4">
        <v>33801</v>
      </c>
      <c r="E1348" s="6">
        <v>20.23</v>
      </c>
    </row>
    <row r="1349" spans="1:5" x14ac:dyDescent="0.25">
      <c r="A1349" s="4">
        <v>37770</v>
      </c>
      <c r="B1349" s="5">
        <v>139.75</v>
      </c>
      <c r="D1349" s="4">
        <v>33802</v>
      </c>
      <c r="E1349" s="6">
        <v>20.2</v>
      </c>
    </row>
    <row r="1350" spans="1:5" x14ac:dyDescent="0.25">
      <c r="A1350" s="4">
        <v>37771</v>
      </c>
      <c r="B1350" s="5">
        <v>146</v>
      </c>
      <c r="D1350" s="4">
        <v>33805</v>
      </c>
      <c r="E1350" s="6">
        <v>19.95</v>
      </c>
    </row>
    <row r="1351" spans="1:5" x14ac:dyDescent="0.25">
      <c r="A1351" s="4">
        <v>37774</v>
      </c>
      <c r="B1351" s="5">
        <v>145.25</v>
      </c>
      <c r="D1351" s="4">
        <v>33806</v>
      </c>
      <c r="E1351" s="6">
        <v>20.03</v>
      </c>
    </row>
    <row r="1352" spans="1:5" x14ac:dyDescent="0.25">
      <c r="A1352" s="4">
        <v>37775</v>
      </c>
      <c r="B1352" s="5">
        <v>138.5</v>
      </c>
      <c r="D1352" s="4">
        <v>33807</v>
      </c>
      <c r="E1352" s="6">
        <v>20.23</v>
      </c>
    </row>
    <row r="1353" spans="1:5" x14ac:dyDescent="0.25">
      <c r="A1353" s="4">
        <v>37776</v>
      </c>
      <c r="B1353" s="5">
        <v>140</v>
      </c>
      <c r="D1353" s="4">
        <v>33808</v>
      </c>
      <c r="E1353" s="6">
        <v>20.48</v>
      </c>
    </row>
    <row r="1354" spans="1:5" x14ac:dyDescent="0.25">
      <c r="A1354" s="4">
        <v>37777</v>
      </c>
      <c r="B1354" s="5">
        <v>137.5</v>
      </c>
      <c r="D1354" s="4">
        <v>33809</v>
      </c>
      <c r="E1354" s="6">
        <v>20.6</v>
      </c>
    </row>
    <row r="1355" spans="1:5" x14ac:dyDescent="0.25">
      <c r="A1355" s="4">
        <v>37778</v>
      </c>
      <c r="B1355" s="5">
        <v>141.75</v>
      </c>
      <c r="D1355" s="4">
        <v>33812</v>
      </c>
      <c r="E1355" s="6">
        <v>20.58</v>
      </c>
    </row>
    <row r="1356" spans="1:5" x14ac:dyDescent="0.25">
      <c r="A1356" s="4">
        <v>37781</v>
      </c>
      <c r="B1356" s="5">
        <v>142.75</v>
      </c>
      <c r="D1356" s="4">
        <v>33813</v>
      </c>
      <c r="E1356" s="6">
        <v>20.78</v>
      </c>
    </row>
    <row r="1357" spans="1:5" x14ac:dyDescent="0.25">
      <c r="A1357" s="4">
        <v>37782</v>
      </c>
      <c r="B1357" s="5">
        <v>144.25</v>
      </c>
      <c r="D1357" s="4">
        <v>33814</v>
      </c>
      <c r="E1357" s="6">
        <v>20.68</v>
      </c>
    </row>
    <row r="1358" spans="1:5" x14ac:dyDescent="0.25">
      <c r="A1358" s="4">
        <v>37783</v>
      </c>
      <c r="B1358" s="5">
        <v>142</v>
      </c>
      <c r="D1358" s="4">
        <v>33815</v>
      </c>
      <c r="E1358" s="6">
        <v>20.48</v>
      </c>
    </row>
    <row r="1359" spans="1:5" x14ac:dyDescent="0.25">
      <c r="A1359" s="4">
        <v>37784</v>
      </c>
      <c r="B1359" s="5">
        <v>135.25</v>
      </c>
      <c r="D1359" s="4">
        <v>33816</v>
      </c>
      <c r="E1359" s="6">
        <v>20.38</v>
      </c>
    </row>
    <row r="1360" spans="1:5" x14ac:dyDescent="0.25">
      <c r="A1360" s="4">
        <v>37785</v>
      </c>
      <c r="B1360" s="5">
        <v>137.25</v>
      </c>
      <c r="D1360" s="4">
        <v>33819</v>
      </c>
      <c r="E1360" s="6">
        <v>20.329999999999998</v>
      </c>
    </row>
    <row r="1361" spans="1:5" x14ac:dyDescent="0.25">
      <c r="A1361" s="4">
        <v>37788</v>
      </c>
      <c r="B1361" s="5">
        <v>141.5</v>
      </c>
      <c r="D1361" s="4">
        <v>33820</v>
      </c>
      <c r="E1361" s="6">
        <v>19.850000000000001</v>
      </c>
    </row>
    <row r="1362" spans="1:5" x14ac:dyDescent="0.25">
      <c r="A1362" s="4">
        <v>37789</v>
      </c>
      <c r="B1362" s="5">
        <v>138.25</v>
      </c>
      <c r="D1362" s="4">
        <v>33821</v>
      </c>
      <c r="E1362" s="6">
        <v>19.68</v>
      </c>
    </row>
    <row r="1363" spans="1:5" x14ac:dyDescent="0.25">
      <c r="A1363" s="4">
        <v>37790</v>
      </c>
      <c r="B1363" s="5">
        <v>139.5</v>
      </c>
      <c r="D1363" s="4">
        <v>33822</v>
      </c>
      <c r="E1363" s="6">
        <v>19.78</v>
      </c>
    </row>
    <row r="1364" spans="1:5" x14ac:dyDescent="0.25">
      <c r="A1364" s="4">
        <v>37791</v>
      </c>
      <c r="B1364" s="5">
        <v>140.5</v>
      </c>
      <c r="D1364" s="4">
        <v>33823</v>
      </c>
      <c r="E1364" s="6">
        <v>19.75</v>
      </c>
    </row>
    <row r="1365" spans="1:5" x14ac:dyDescent="0.25">
      <c r="A1365" s="4">
        <v>37792</v>
      </c>
      <c r="B1365" s="5">
        <v>141.25</v>
      </c>
      <c r="D1365" s="4">
        <v>33826</v>
      </c>
      <c r="E1365" s="6">
        <v>19.55</v>
      </c>
    </row>
    <row r="1366" spans="1:5" x14ac:dyDescent="0.25">
      <c r="A1366" s="4">
        <v>37795</v>
      </c>
      <c r="B1366" s="5">
        <v>142.5</v>
      </c>
      <c r="D1366" s="4">
        <v>33827</v>
      </c>
      <c r="E1366" s="6">
        <v>19.48</v>
      </c>
    </row>
    <row r="1367" spans="1:5" x14ac:dyDescent="0.25">
      <c r="A1367" s="4">
        <v>37796</v>
      </c>
      <c r="B1367" s="5">
        <v>149</v>
      </c>
      <c r="D1367" s="4">
        <v>33828</v>
      </c>
      <c r="E1367" s="6">
        <v>19.649999999999999</v>
      </c>
    </row>
    <row r="1368" spans="1:5" x14ac:dyDescent="0.25">
      <c r="A1368" s="4">
        <v>37797</v>
      </c>
      <c r="B1368" s="5">
        <v>152.5</v>
      </c>
      <c r="D1368" s="4">
        <v>33829</v>
      </c>
      <c r="E1368" s="6">
        <v>19.829999999999998</v>
      </c>
    </row>
    <row r="1369" spans="1:5" x14ac:dyDescent="0.25">
      <c r="A1369" s="4">
        <v>37798</v>
      </c>
      <c r="B1369" s="5">
        <v>150</v>
      </c>
      <c r="D1369" s="4">
        <v>33830</v>
      </c>
      <c r="E1369" s="6">
        <v>19.88</v>
      </c>
    </row>
    <row r="1370" spans="1:5" x14ac:dyDescent="0.25">
      <c r="A1370" s="4">
        <v>37799</v>
      </c>
      <c r="B1370" s="5">
        <v>154</v>
      </c>
      <c r="D1370" s="4">
        <v>33833</v>
      </c>
      <c r="E1370" s="6">
        <v>19.95</v>
      </c>
    </row>
    <row r="1371" spans="1:5" x14ac:dyDescent="0.25">
      <c r="A1371" s="4">
        <v>37802</v>
      </c>
      <c r="B1371" s="5">
        <v>160.25</v>
      </c>
      <c r="D1371" s="4">
        <v>33834</v>
      </c>
      <c r="E1371" s="6">
        <v>19.899999999999999</v>
      </c>
    </row>
    <row r="1372" spans="1:5" x14ac:dyDescent="0.25">
      <c r="A1372" s="4">
        <v>37803</v>
      </c>
      <c r="B1372" s="5">
        <v>166.5</v>
      </c>
      <c r="D1372" s="4">
        <v>33835</v>
      </c>
      <c r="E1372" s="6">
        <v>19.8</v>
      </c>
    </row>
    <row r="1373" spans="1:5" x14ac:dyDescent="0.25">
      <c r="A1373" s="4">
        <v>37804</v>
      </c>
      <c r="B1373" s="5">
        <v>166.5</v>
      </c>
      <c r="D1373" s="4">
        <v>33836</v>
      </c>
      <c r="E1373" s="6">
        <v>19.63</v>
      </c>
    </row>
    <row r="1374" spans="1:5" x14ac:dyDescent="0.25">
      <c r="A1374" s="4">
        <v>37805</v>
      </c>
      <c r="B1374" s="5">
        <v>158.5</v>
      </c>
      <c r="D1374" s="4">
        <v>33837</v>
      </c>
      <c r="E1374" s="6">
        <v>19.68</v>
      </c>
    </row>
    <row r="1375" spans="1:5" x14ac:dyDescent="0.25">
      <c r="A1375" s="4">
        <v>37806</v>
      </c>
      <c r="B1375" s="5">
        <v>159.5</v>
      </c>
      <c r="D1375" s="4">
        <v>33840</v>
      </c>
      <c r="E1375" s="6">
        <v>19.649999999999999</v>
      </c>
    </row>
    <row r="1376" spans="1:5" x14ac:dyDescent="0.25">
      <c r="A1376" s="4">
        <v>37809</v>
      </c>
      <c r="B1376" s="5">
        <v>157.5</v>
      </c>
      <c r="D1376" s="4">
        <v>33841</v>
      </c>
      <c r="E1376" s="6">
        <v>19.68</v>
      </c>
    </row>
    <row r="1377" spans="1:5" x14ac:dyDescent="0.25">
      <c r="A1377" s="4">
        <v>37810</v>
      </c>
      <c r="B1377" s="5">
        <v>162.75</v>
      </c>
      <c r="D1377" s="4">
        <v>33842</v>
      </c>
      <c r="E1377" s="6">
        <v>19.63</v>
      </c>
    </row>
    <row r="1378" spans="1:5" x14ac:dyDescent="0.25">
      <c r="A1378" s="4">
        <v>37811</v>
      </c>
      <c r="B1378" s="5">
        <v>170</v>
      </c>
      <c r="D1378" s="4">
        <v>33843</v>
      </c>
      <c r="E1378" s="6">
        <v>19.5</v>
      </c>
    </row>
    <row r="1379" spans="1:5" x14ac:dyDescent="0.25">
      <c r="A1379" s="4">
        <v>37812</v>
      </c>
      <c r="B1379" s="5">
        <v>164.75</v>
      </c>
      <c r="D1379" s="4">
        <v>33844</v>
      </c>
      <c r="E1379" s="6">
        <v>19.649999999999999</v>
      </c>
    </row>
    <row r="1380" spans="1:5" x14ac:dyDescent="0.25">
      <c r="A1380" s="4">
        <v>37813</v>
      </c>
      <c r="B1380" s="5">
        <v>162.5</v>
      </c>
      <c r="D1380" s="4">
        <v>33847</v>
      </c>
      <c r="E1380" s="6">
        <v>19.649999999999999</v>
      </c>
    </row>
    <row r="1381" spans="1:5" x14ac:dyDescent="0.25">
      <c r="A1381" s="4">
        <v>37816</v>
      </c>
      <c r="B1381" s="5">
        <v>163.25</v>
      </c>
      <c r="D1381" s="4">
        <v>33848</v>
      </c>
      <c r="E1381" s="6">
        <v>19.88</v>
      </c>
    </row>
    <row r="1382" spans="1:5" x14ac:dyDescent="0.25">
      <c r="A1382" s="4">
        <v>37817</v>
      </c>
      <c r="B1382" s="5">
        <v>163</v>
      </c>
      <c r="D1382" s="4">
        <v>33849</v>
      </c>
      <c r="E1382" s="6">
        <v>20</v>
      </c>
    </row>
    <row r="1383" spans="1:5" x14ac:dyDescent="0.25">
      <c r="A1383" s="4">
        <v>37818</v>
      </c>
      <c r="B1383" s="5">
        <v>164.75</v>
      </c>
      <c r="D1383" s="4">
        <v>33850</v>
      </c>
      <c r="E1383" s="6">
        <v>19.95</v>
      </c>
    </row>
    <row r="1384" spans="1:5" x14ac:dyDescent="0.25">
      <c r="A1384" s="4">
        <v>37819</v>
      </c>
      <c r="B1384" s="5">
        <v>162.5</v>
      </c>
      <c r="D1384" s="4">
        <v>33851</v>
      </c>
      <c r="E1384" s="6">
        <v>20.03</v>
      </c>
    </row>
    <row r="1385" spans="1:5" x14ac:dyDescent="0.25">
      <c r="A1385" s="4">
        <v>37820</v>
      </c>
      <c r="B1385" s="5">
        <v>157.5</v>
      </c>
      <c r="D1385" s="4">
        <v>33854</v>
      </c>
      <c r="E1385" s="6">
        <v>20.13</v>
      </c>
    </row>
    <row r="1386" spans="1:5" x14ac:dyDescent="0.25">
      <c r="A1386" s="4">
        <v>37823</v>
      </c>
      <c r="B1386" s="5">
        <v>153.5</v>
      </c>
      <c r="D1386" s="4">
        <v>33855</v>
      </c>
      <c r="E1386" s="6">
        <v>20.3</v>
      </c>
    </row>
    <row r="1387" spans="1:5" x14ac:dyDescent="0.25">
      <c r="A1387" s="4">
        <v>37824</v>
      </c>
      <c r="B1387" s="5">
        <v>155</v>
      </c>
      <c r="D1387" s="4">
        <v>33856</v>
      </c>
      <c r="E1387" s="6">
        <v>20.329999999999998</v>
      </c>
    </row>
    <row r="1388" spans="1:5" x14ac:dyDescent="0.25">
      <c r="A1388" s="4">
        <v>37825</v>
      </c>
      <c r="B1388" s="5">
        <v>153.25</v>
      </c>
      <c r="D1388" s="4">
        <v>33857</v>
      </c>
      <c r="E1388" s="6">
        <v>20.3</v>
      </c>
    </row>
    <row r="1389" spans="1:5" x14ac:dyDescent="0.25">
      <c r="A1389" s="4">
        <v>37826</v>
      </c>
      <c r="B1389" s="5">
        <v>153</v>
      </c>
      <c r="D1389" s="4">
        <v>33858</v>
      </c>
      <c r="E1389" s="6">
        <v>20.350000000000001</v>
      </c>
    </row>
    <row r="1390" spans="1:5" x14ac:dyDescent="0.25">
      <c r="A1390" s="4">
        <v>37827</v>
      </c>
      <c r="B1390" s="5">
        <v>152.5</v>
      </c>
      <c r="D1390" s="4">
        <v>33861</v>
      </c>
      <c r="E1390" s="6">
        <v>20.68</v>
      </c>
    </row>
    <row r="1391" spans="1:5" x14ac:dyDescent="0.25">
      <c r="A1391" s="4">
        <v>37830</v>
      </c>
      <c r="B1391" s="5">
        <v>154.5</v>
      </c>
      <c r="D1391" s="4">
        <v>33862</v>
      </c>
      <c r="E1391" s="6">
        <v>20.5</v>
      </c>
    </row>
    <row r="1392" spans="1:5" x14ac:dyDescent="0.25">
      <c r="A1392" s="4">
        <v>37831</v>
      </c>
      <c r="B1392" s="5">
        <v>158</v>
      </c>
      <c r="D1392" s="4">
        <v>33863</v>
      </c>
      <c r="E1392" s="6">
        <v>20.43</v>
      </c>
    </row>
    <row r="1393" spans="1:5" x14ac:dyDescent="0.25">
      <c r="A1393" s="4">
        <v>37832</v>
      </c>
      <c r="B1393" s="5">
        <v>158</v>
      </c>
      <c r="D1393" s="4">
        <v>33864</v>
      </c>
      <c r="E1393" s="6">
        <v>20.350000000000001</v>
      </c>
    </row>
    <row r="1394" spans="1:5" x14ac:dyDescent="0.25">
      <c r="A1394" s="4">
        <v>37833</v>
      </c>
      <c r="B1394" s="5">
        <v>162.25</v>
      </c>
      <c r="D1394" s="4">
        <v>33865</v>
      </c>
      <c r="E1394" s="6">
        <v>20.3</v>
      </c>
    </row>
    <row r="1395" spans="1:5" x14ac:dyDescent="0.25">
      <c r="A1395" s="4">
        <v>37834</v>
      </c>
      <c r="B1395" s="5">
        <v>162.5</v>
      </c>
      <c r="D1395" s="4">
        <v>33868</v>
      </c>
      <c r="E1395" s="6">
        <v>20.149999999999999</v>
      </c>
    </row>
    <row r="1396" spans="1:5" x14ac:dyDescent="0.25">
      <c r="A1396" s="4">
        <v>37837</v>
      </c>
      <c r="B1396" s="5">
        <v>162</v>
      </c>
      <c r="D1396" s="4">
        <v>33869</v>
      </c>
      <c r="E1396" s="6">
        <v>20.329999999999998</v>
      </c>
    </row>
    <row r="1397" spans="1:5" x14ac:dyDescent="0.25">
      <c r="A1397" s="4">
        <v>37838</v>
      </c>
      <c r="B1397" s="5">
        <v>161.5</v>
      </c>
      <c r="D1397" s="4">
        <v>33870</v>
      </c>
      <c r="E1397" s="6">
        <v>20.53</v>
      </c>
    </row>
    <row r="1398" spans="1:5" x14ac:dyDescent="0.25">
      <c r="A1398" s="4">
        <v>37839</v>
      </c>
      <c r="B1398" s="5">
        <v>163</v>
      </c>
      <c r="D1398" s="4">
        <v>33871</v>
      </c>
      <c r="E1398" s="6">
        <v>20.43</v>
      </c>
    </row>
    <row r="1399" spans="1:5" x14ac:dyDescent="0.25">
      <c r="A1399" s="4">
        <v>37840</v>
      </c>
      <c r="B1399" s="5">
        <v>162.5</v>
      </c>
      <c r="D1399" s="4">
        <v>33872</v>
      </c>
      <c r="E1399" s="6">
        <v>20.329999999999998</v>
      </c>
    </row>
    <row r="1400" spans="1:5" x14ac:dyDescent="0.25">
      <c r="A1400" s="4">
        <v>37841</v>
      </c>
      <c r="B1400" s="5">
        <v>163.5</v>
      </c>
      <c r="D1400" s="4">
        <v>33875</v>
      </c>
      <c r="E1400" s="6">
        <v>20.28</v>
      </c>
    </row>
    <row r="1401" spans="1:5" x14ac:dyDescent="0.25">
      <c r="A1401" s="4">
        <v>37844</v>
      </c>
      <c r="B1401" s="5">
        <v>162.5</v>
      </c>
      <c r="D1401" s="4">
        <v>33876</v>
      </c>
      <c r="E1401" s="6">
        <v>20.18</v>
      </c>
    </row>
    <row r="1402" spans="1:5" x14ac:dyDescent="0.25">
      <c r="A1402" s="4">
        <v>37845</v>
      </c>
      <c r="B1402" s="5">
        <v>156.5</v>
      </c>
      <c r="D1402" s="4">
        <v>33877</v>
      </c>
      <c r="E1402" s="6">
        <v>20.18</v>
      </c>
    </row>
    <row r="1403" spans="1:5" x14ac:dyDescent="0.25">
      <c r="A1403" s="4">
        <v>37846</v>
      </c>
      <c r="B1403" s="5">
        <v>153</v>
      </c>
      <c r="D1403" s="4">
        <v>33878</v>
      </c>
      <c r="E1403" s="6">
        <v>20.28</v>
      </c>
    </row>
    <row r="1404" spans="1:5" x14ac:dyDescent="0.25">
      <c r="A1404" s="4">
        <v>37847</v>
      </c>
      <c r="B1404" s="5">
        <v>152.5</v>
      </c>
      <c r="D1404" s="4">
        <v>33879</v>
      </c>
      <c r="E1404" s="6">
        <v>20.399999999999999</v>
      </c>
    </row>
    <row r="1405" spans="1:5" x14ac:dyDescent="0.25">
      <c r="A1405" s="4">
        <v>37848</v>
      </c>
      <c r="B1405" s="5">
        <v>154.25</v>
      </c>
      <c r="D1405" s="4">
        <v>33882</v>
      </c>
      <c r="E1405" s="6">
        <v>20.2</v>
      </c>
    </row>
    <row r="1406" spans="1:5" x14ac:dyDescent="0.25">
      <c r="A1406" s="4">
        <v>37851</v>
      </c>
      <c r="B1406" s="5">
        <v>152</v>
      </c>
      <c r="D1406" s="4">
        <v>33883</v>
      </c>
      <c r="E1406" s="6">
        <v>20.23</v>
      </c>
    </row>
    <row r="1407" spans="1:5" x14ac:dyDescent="0.25">
      <c r="A1407" s="4">
        <v>37852</v>
      </c>
      <c r="B1407" s="5">
        <v>150</v>
      </c>
      <c r="D1407" s="4">
        <v>33884</v>
      </c>
      <c r="E1407" s="6">
        <v>20.28</v>
      </c>
    </row>
    <row r="1408" spans="1:5" x14ac:dyDescent="0.25">
      <c r="A1408" s="4">
        <v>37853</v>
      </c>
      <c r="B1408" s="5">
        <v>155</v>
      </c>
      <c r="D1408" s="4">
        <v>33885</v>
      </c>
      <c r="E1408" s="6">
        <v>20.48</v>
      </c>
    </row>
    <row r="1409" spans="1:5" x14ac:dyDescent="0.25">
      <c r="A1409" s="4">
        <v>37854</v>
      </c>
      <c r="B1409" s="5">
        <v>154.5</v>
      </c>
      <c r="D1409" s="4">
        <v>33886</v>
      </c>
      <c r="E1409" s="6">
        <v>20.48</v>
      </c>
    </row>
    <row r="1410" spans="1:5" x14ac:dyDescent="0.25">
      <c r="A1410" s="4">
        <v>37855</v>
      </c>
      <c r="B1410" s="5">
        <v>156</v>
      </c>
      <c r="D1410" s="4">
        <v>33889</v>
      </c>
      <c r="E1410" s="6">
        <v>20.8</v>
      </c>
    </row>
    <row r="1411" spans="1:5" x14ac:dyDescent="0.25">
      <c r="A1411" s="4">
        <v>37858</v>
      </c>
      <c r="B1411" s="5">
        <v>152.75</v>
      </c>
      <c r="D1411" s="4">
        <v>33890</v>
      </c>
      <c r="E1411" s="6">
        <v>20.83</v>
      </c>
    </row>
    <row r="1412" spans="1:5" x14ac:dyDescent="0.25">
      <c r="A1412" s="4">
        <v>37859</v>
      </c>
      <c r="B1412" s="5">
        <v>152.25</v>
      </c>
      <c r="D1412" s="4">
        <v>33891</v>
      </c>
      <c r="E1412" s="6">
        <v>20.68</v>
      </c>
    </row>
    <row r="1413" spans="1:5" x14ac:dyDescent="0.25">
      <c r="A1413" s="4">
        <v>37860</v>
      </c>
      <c r="B1413" s="5">
        <v>152.75</v>
      </c>
      <c r="D1413" s="4">
        <v>33892</v>
      </c>
      <c r="E1413" s="6">
        <v>20.73</v>
      </c>
    </row>
    <row r="1414" spans="1:5" x14ac:dyDescent="0.25">
      <c r="A1414" s="4">
        <v>37861</v>
      </c>
      <c r="B1414" s="5">
        <v>150.5</v>
      </c>
      <c r="D1414" s="4">
        <v>33893</v>
      </c>
      <c r="E1414" s="6">
        <v>20.78</v>
      </c>
    </row>
    <row r="1415" spans="1:5" x14ac:dyDescent="0.25">
      <c r="A1415" s="4">
        <v>37862</v>
      </c>
      <c r="B1415" s="5">
        <v>148.25</v>
      </c>
      <c r="D1415" s="4">
        <v>33896</v>
      </c>
      <c r="E1415" s="6">
        <v>20.73</v>
      </c>
    </row>
    <row r="1416" spans="1:5" x14ac:dyDescent="0.25">
      <c r="A1416" s="4">
        <v>37865</v>
      </c>
      <c r="B1416" s="5">
        <v>146.25</v>
      </c>
      <c r="D1416" s="4">
        <v>33897</v>
      </c>
      <c r="E1416" s="6">
        <v>20.68</v>
      </c>
    </row>
    <row r="1417" spans="1:5" x14ac:dyDescent="0.25">
      <c r="A1417" s="4">
        <v>37866</v>
      </c>
      <c r="B1417" s="5">
        <v>143.5</v>
      </c>
      <c r="D1417" s="4">
        <v>33898</v>
      </c>
      <c r="E1417" s="6">
        <v>20.28</v>
      </c>
    </row>
    <row r="1418" spans="1:5" x14ac:dyDescent="0.25">
      <c r="A1418" s="4">
        <v>37867</v>
      </c>
      <c r="B1418" s="5">
        <v>142</v>
      </c>
      <c r="D1418" s="4">
        <v>33899</v>
      </c>
      <c r="E1418" s="6">
        <v>20.13</v>
      </c>
    </row>
    <row r="1419" spans="1:5" x14ac:dyDescent="0.25">
      <c r="A1419" s="4">
        <v>37868</v>
      </c>
      <c r="B1419" s="5">
        <v>144.5</v>
      </c>
      <c r="D1419" s="4">
        <v>33900</v>
      </c>
      <c r="E1419" s="6">
        <v>20.03</v>
      </c>
    </row>
    <row r="1420" spans="1:5" x14ac:dyDescent="0.25">
      <c r="A1420" s="4">
        <v>37869</v>
      </c>
      <c r="B1420" s="5">
        <v>144.25</v>
      </c>
      <c r="D1420" s="4">
        <v>33903</v>
      </c>
      <c r="E1420" s="6">
        <v>19.78</v>
      </c>
    </row>
    <row r="1421" spans="1:5" x14ac:dyDescent="0.25">
      <c r="A1421" s="4">
        <v>37872</v>
      </c>
      <c r="B1421" s="5">
        <v>144.5</v>
      </c>
      <c r="D1421" s="4">
        <v>33904</v>
      </c>
      <c r="E1421" s="6">
        <v>19.78</v>
      </c>
    </row>
    <row r="1422" spans="1:5" x14ac:dyDescent="0.25">
      <c r="A1422" s="4">
        <v>37873</v>
      </c>
      <c r="B1422" s="5">
        <v>142.75</v>
      </c>
      <c r="D1422" s="4">
        <v>33905</v>
      </c>
      <c r="E1422" s="6">
        <v>19.649999999999999</v>
      </c>
    </row>
    <row r="1423" spans="1:5" x14ac:dyDescent="0.25">
      <c r="A1423" s="4">
        <v>37874</v>
      </c>
      <c r="B1423" s="5">
        <v>139.5</v>
      </c>
      <c r="D1423" s="4">
        <v>33906</v>
      </c>
      <c r="E1423" s="6">
        <v>19.399999999999999</v>
      </c>
    </row>
    <row r="1424" spans="1:5" x14ac:dyDescent="0.25">
      <c r="A1424" s="4">
        <v>37875</v>
      </c>
      <c r="B1424" s="5">
        <v>142.5</v>
      </c>
      <c r="D1424" s="4">
        <v>33907</v>
      </c>
      <c r="E1424" s="6">
        <v>19.13</v>
      </c>
    </row>
    <row r="1425" spans="1:5" x14ac:dyDescent="0.25">
      <c r="A1425" s="4">
        <v>37876</v>
      </c>
      <c r="B1425" s="5">
        <v>140.5</v>
      </c>
      <c r="D1425" s="4">
        <v>33910</v>
      </c>
      <c r="E1425" s="6">
        <v>19.25</v>
      </c>
    </row>
    <row r="1426" spans="1:5" x14ac:dyDescent="0.25">
      <c r="A1426" s="4">
        <v>37879</v>
      </c>
      <c r="B1426" s="5">
        <v>137.5</v>
      </c>
      <c r="D1426" s="4">
        <v>33911</v>
      </c>
      <c r="E1426" s="6">
        <v>19.350000000000001</v>
      </c>
    </row>
    <row r="1427" spans="1:5" x14ac:dyDescent="0.25">
      <c r="A1427" s="4">
        <v>37880</v>
      </c>
      <c r="B1427" s="5">
        <v>138.5</v>
      </c>
      <c r="D1427" s="4">
        <v>33912</v>
      </c>
      <c r="E1427" s="6">
        <v>19.03</v>
      </c>
    </row>
    <row r="1428" spans="1:5" x14ac:dyDescent="0.25">
      <c r="A1428" s="4">
        <v>37881</v>
      </c>
      <c r="B1428" s="5">
        <v>136</v>
      </c>
      <c r="D1428" s="4">
        <v>33913</v>
      </c>
      <c r="E1428" s="6">
        <v>19.2</v>
      </c>
    </row>
    <row r="1429" spans="1:5" x14ac:dyDescent="0.25">
      <c r="A1429" s="4">
        <v>37882</v>
      </c>
      <c r="B1429" s="5">
        <v>140.75</v>
      </c>
      <c r="D1429" s="4">
        <v>33914</v>
      </c>
      <c r="E1429" s="6">
        <v>19.13</v>
      </c>
    </row>
    <row r="1430" spans="1:5" x14ac:dyDescent="0.25">
      <c r="A1430" s="4">
        <v>37883</v>
      </c>
      <c r="B1430" s="5">
        <v>140.75</v>
      </c>
      <c r="D1430" s="4">
        <v>33917</v>
      </c>
      <c r="E1430" s="6">
        <v>19.100000000000001</v>
      </c>
    </row>
    <row r="1431" spans="1:5" x14ac:dyDescent="0.25">
      <c r="A1431" s="4">
        <v>37886</v>
      </c>
      <c r="B1431" s="5">
        <v>146</v>
      </c>
      <c r="D1431" s="4">
        <v>33918</v>
      </c>
      <c r="E1431" s="6">
        <v>19.53</v>
      </c>
    </row>
    <row r="1432" spans="1:5" x14ac:dyDescent="0.25">
      <c r="A1432" s="4">
        <v>37887</v>
      </c>
      <c r="B1432" s="5">
        <v>146.25</v>
      </c>
      <c r="D1432" s="4">
        <v>33919</v>
      </c>
      <c r="E1432" s="6">
        <v>19.399999999999999</v>
      </c>
    </row>
    <row r="1433" spans="1:5" x14ac:dyDescent="0.25">
      <c r="A1433" s="4">
        <v>37888</v>
      </c>
      <c r="B1433" s="5">
        <v>143.75</v>
      </c>
      <c r="D1433" s="4">
        <v>33920</v>
      </c>
      <c r="E1433" s="6">
        <v>19.18</v>
      </c>
    </row>
    <row r="1434" spans="1:5" x14ac:dyDescent="0.25">
      <c r="A1434" s="4">
        <v>37889</v>
      </c>
      <c r="B1434" s="5">
        <v>145.5</v>
      </c>
      <c r="D1434" s="4">
        <v>33921</v>
      </c>
      <c r="E1434" s="6">
        <v>19.05</v>
      </c>
    </row>
    <row r="1435" spans="1:5" x14ac:dyDescent="0.25">
      <c r="A1435" s="4">
        <v>37890</v>
      </c>
      <c r="B1435" s="5">
        <v>148.75</v>
      </c>
      <c r="D1435" s="4">
        <v>33924</v>
      </c>
      <c r="E1435" s="6">
        <v>19.2</v>
      </c>
    </row>
    <row r="1436" spans="1:5" x14ac:dyDescent="0.25">
      <c r="A1436" s="4">
        <v>37893</v>
      </c>
      <c r="B1436" s="5">
        <v>149.75</v>
      </c>
      <c r="D1436" s="4">
        <v>33925</v>
      </c>
      <c r="E1436" s="6">
        <v>19.149999999999999</v>
      </c>
    </row>
    <row r="1437" spans="1:5" x14ac:dyDescent="0.25">
      <c r="A1437" s="4">
        <v>37894</v>
      </c>
      <c r="B1437" s="5">
        <v>151</v>
      </c>
      <c r="D1437" s="4">
        <v>33926</v>
      </c>
      <c r="E1437" s="6">
        <v>19.100000000000001</v>
      </c>
    </row>
    <row r="1438" spans="1:5" x14ac:dyDescent="0.25">
      <c r="A1438" s="4">
        <v>37895</v>
      </c>
      <c r="B1438" s="5">
        <v>150</v>
      </c>
      <c r="D1438" s="4">
        <v>33927</v>
      </c>
      <c r="E1438" s="6">
        <v>19.48</v>
      </c>
    </row>
    <row r="1439" spans="1:5" x14ac:dyDescent="0.25">
      <c r="A1439" s="4">
        <v>37896</v>
      </c>
      <c r="B1439" s="5">
        <v>151.5</v>
      </c>
      <c r="D1439" s="4">
        <v>33928</v>
      </c>
      <c r="E1439" s="6">
        <v>19.48</v>
      </c>
    </row>
    <row r="1440" spans="1:5" x14ac:dyDescent="0.25">
      <c r="A1440" s="4">
        <v>37897</v>
      </c>
      <c r="B1440" s="5">
        <v>148.5</v>
      </c>
      <c r="D1440" s="4">
        <v>33931</v>
      </c>
      <c r="E1440" s="6">
        <v>19.149999999999999</v>
      </c>
    </row>
    <row r="1441" spans="1:5" x14ac:dyDescent="0.25">
      <c r="A1441" s="4">
        <v>37900</v>
      </c>
      <c r="B1441" s="5">
        <v>146.5</v>
      </c>
      <c r="D1441" s="4">
        <v>33932</v>
      </c>
      <c r="E1441" s="6">
        <v>19.18</v>
      </c>
    </row>
    <row r="1442" spans="1:5" x14ac:dyDescent="0.25">
      <c r="A1442" s="4">
        <v>37901</v>
      </c>
      <c r="B1442" s="5">
        <v>151.5</v>
      </c>
      <c r="D1442" s="4">
        <v>33933</v>
      </c>
      <c r="E1442" s="6">
        <v>19.28</v>
      </c>
    </row>
    <row r="1443" spans="1:5" x14ac:dyDescent="0.25">
      <c r="A1443" s="4">
        <v>37902</v>
      </c>
      <c r="B1443" s="5">
        <v>153.25</v>
      </c>
      <c r="D1443" s="4">
        <v>33934</v>
      </c>
      <c r="E1443" s="6">
        <v>18.93</v>
      </c>
    </row>
    <row r="1444" spans="1:5" x14ac:dyDescent="0.25">
      <c r="A1444" s="4">
        <v>37903</v>
      </c>
      <c r="B1444" s="5">
        <v>153.5</v>
      </c>
      <c r="D1444" s="4">
        <v>33935</v>
      </c>
      <c r="E1444" s="6">
        <v>19.079999999999998</v>
      </c>
    </row>
    <row r="1445" spans="1:5" x14ac:dyDescent="0.25">
      <c r="A1445" s="4">
        <v>37904</v>
      </c>
      <c r="B1445" s="5">
        <v>154.5</v>
      </c>
      <c r="D1445" s="4">
        <v>33938</v>
      </c>
      <c r="E1445" s="6">
        <v>19.25</v>
      </c>
    </row>
    <row r="1446" spans="1:5" x14ac:dyDescent="0.25">
      <c r="A1446" s="4">
        <v>37907</v>
      </c>
      <c r="B1446" s="5">
        <v>152.5</v>
      </c>
      <c r="D1446" s="4">
        <v>33939</v>
      </c>
      <c r="E1446" s="6">
        <v>18.649999999999999</v>
      </c>
    </row>
    <row r="1447" spans="1:5" x14ac:dyDescent="0.25">
      <c r="A1447" s="4">
        <v>37908</v>
      </c>
      <c r="B1447" s="5">
        <v>153.25</v>
      </c>
      <c r="D1447" s="4">
        <v>33940</v>
      </c>
      <c r="E1447" s="6">
        <v>18.38</v>
      </c>
    </row>
    <row r="1448" spans="1:5" x14ac:dyDescent="0.25">
      <c r="A1448" s="4">
        <v>37909</v>
      </c>
      <c r="B1448" s="5">
        <v>149</v>
      </c>
      <c r="D1448" s="4">
        <v>33941</v>
      </c>
      <c r="E1448" s="6">
        <v>18.2</v>
      </c>
    </row>
    <row r="1449" spans="1:5" x14ac:dyDescent="0.25">
      <c r="A1449" s="4">
        <v>37910</v>
      </c>
      <c r="B1449" s="5">
        <v>147.75</v>
      </c>
      <c r="D1449" s="4">
        <v>33942</v>
      </c>
      <c r="E1449" s="6">
        <v>18.350000000000001</v>
      </c>
    </row>
    <row r="1450" spans="1:5" x14ac:dyDescent="0.25">
      <c r="A1450" s="4">
        <v>37911</v>
      </c>
      <c r="B1450" s="5">
        <v>150</v>
      </c>
      <c r="D1450" s="4">
        <v>33945</v>
      </c>
      <c r="E1450" s="6">
        <v>18.25</v>
      </c>
    </row>
    <row r="1451" spans="1:5" x14ac:dyDescent="0.25">
      <c r="A1451" s="4">
        <v>37914</v>
      </c>
      <c r="B1451" s="5">
        <v>148.5</v>
      </c>
      <c r="D1451" s="4">
        <v>33946</v>
      </c>
      <c r="E1451" s="6">
        <v>18.079999999999998</v>
      </c>
    </row>
    <row r="1452" spans="1:5" x14ac:dyDescent="0.25">
      <c r="A1452" s="4">
        <v>37915</v>
      </c>
      <c r="B1452" s="5">
        <v>148.25</v>
      </c>
      <c r="D1452" s="4">
        <v>33947</v>
      </c>
      <c r="E1452" s="6">
        <v>17.8</v>
      </c>
    </row>
    <row r="1453" spans="1:5" x14ac:dyDescent="0.25">
      <c r="A1453" s="4">
        <v>37916</v>
      </c>
      <c r="B1453" s="5">
        <v>148</v>
      </c>
      <c r="D1453" s="4">
        <v>33948</v>
      </c>
      <c r="E1453" s="6">
        <v>18.28</v>
      </c>
    </row>
    <row r="1454" spans="1:5" x14ac:dyDescent="0.25">
      <c r="A1454" s="4">
        <v>37917</v>
      </c>
      <c r="B1454" s="5">
        <v>149.75</v>
      </c>
      <c r="D1454" s="4">
        <v>33949</v>
      </c>
      <c r="E1454" s="6">
        <v>18.2</v>
      </c>
    </row>
    <row r="1455" spans="1:5" x14ac:dyDescent="0.25">
      <c r="A1455" s="4">
        <v>37921</v>
      </c>
      <c r="B1455" s="5">
        <v>148.5</v>
      </c>
      <c r="D1455" s="4">
        <v>33952</v>
      </c>
      <c r="E1455" s="6">
        <v>18.03</v>
      </c>
    </row>
    <row r="1456" spans="1:5" x14ac:dyDescent="0.25">
      <c r="A1456" s="4">
        <v>37922</v>
      </c>
      <c r="B1456" s="5">
        <v>149.25</v>
      </c>
      <c r="D1456" s="4">
        <v>33953</v>
      </c>
      <c r="E1456" s="6">
        <v>17.8</v>
      </c>
    </row>
    <row r="1457" spans="1:5" x14ac:dyDescent="0.25">
      <c r="A1457" s="4">
        <v>37923</v>
      </c>
      <c r="B1457" s="5">
        <v>145.25</v>
      </c>
      <c r="D1457" s="4">
        <v>33954</v>
      </c>
      <c r="E1457" s="6">
        <v>17.899999999999999</v>
      </c>
    </row>
    <row r="1458" spans="1:5" x14ac:dyDescent="0.25">
      <c r="A1458" s="4">
        <v>37924</v>
      </c>
      <c r="B1458" s="5">
        <v>146.75</v>
      </c>
      <c r="D1458" s="4">
        <v>33955</v>
      </c>
      <c r="E1458" s="6">
        <v>18.18</v>
      </c>
    </row>
    <row r="1459" spans="1:5" x14ac:dyDescent="0.25">
      <c r="A1459" s="4">
        <v>37925</v>
      </c>
      <c r="B1459" s="5">
        <v>149</v>
      </c>
      <c r="D1459" s="4">
        <v>33956</v>
      </c>
      <c r="E1459" s="6">
        <v>18.3</v>
      </c>
    </row>
    <row r="1460" spans="1:5" x14ac:dyDescent="0.25">
      <c r="A1460" s="4">
        <v>37928</v>
      </c>
      <c r="B1460" s="5">
        <v>147.5</v>
      </c>
      <c r="D1460" s="4">
        <v>33959</v>
      </c>
      <c r="E1460" s="6">
        <v>18.329999999999998</v>
      </c>
    </row>
    <row r="1461" spans="1:5" x14ac:dyDescent="0.25">
      <c r="A1461" s="4">
        <v>37929</v>
      </c>
      <c r="B1461" s="5">
        <v>151.25</v>
      </c>
      <c r="D1461" s="4">
        <v>33960</v>
      </c>
      <c r="E1461" s="6">
        <v>18.079999999999998</v>
      </c>
    </row>
    <row r="1462" spans="1:5" x14ac:dyDescent="0.25">
      <c r="A1462" s="4">
        <v>37930</v>
      </c>
      <c r="B1462" s="5">
        <v>150</v>
      </c>
      <c r="D1462" s="4">
        <v>33961</v>
      </c>
      <c r="E1462" s="6">
        <v>18.23</v>
      </c>
    </row>
    <row r="1463" spans="1:5" x14ac:dyDescent="0.25">
      <c r="A1463" s="4">
        <v>37931</v>
      </c>
      <c r="B1463" s="5">
        <v>152.25</v>
      </c>
      <c r="D1463" s="4">
        <v>33962</v>
      </c>
      <c r="E1463" s="6">
        <v>18.28</v>
      </c>
    </row>
    <row r="1464" spans="1:5" x14ac:dyDescent="0.25">
      <c r="A1464" s="4">
        <v>37932</v>
      </c>
      <c r="B1464" s="5">
        <v>153</v>
      </c>
      <c r="D1464" s="4">
        <v>33963</v>
      </c>
      <c r="E1464" s="5"/>
    </row>
    <row r="1465" spans="1:5" x14ac:dyDescent="0.25">
      <c r="A1465" s="4">
        <v>37935</v>
      </c>
      <c r="B1465" s="5">
        <v>154.25</v>
      </c>
      <c r="D1465" s="4">
        <v>33966</v>
      </c>
      <c r="E1465" s="5"/>
    </row>
    <row r="1466" spans="1:5" x14ac:dyDescent="0.25">
      <c r="A1466" s="4">
        <v>37936</v>
      </c>
      <c r="B1466" s="5">
        <v>154.5</v>
      </c>
      <c r="D1466" s="4">
        <v>33967</v>
      </c>
      <c r="E1466" s="6">
        <v>17.93</v>
      </c>
    </row>
    <row r="1467" spans="1:5" x14ac:dyDescent="0.25">
      <c r="A1467" s="4">
        <v>37937</v>
      </c>
      <c r="B1467" s="5">
        <v>154.75</v>
      </c>
      <c r="D1467" s="4">
        <v>33968</v>
      </c>
      <c r="E1467" s="6">
        <v>17.829999999999998</v>
      </c>
    </row>
    <row r="1468" spans="1:5" x14ac:dyDescent="0.25">
      <c r="A1468" s="4">
        <v>37938</v>
      </c>
      <c r="B1468" s="5">
        <v>154.5</v>
      </c>
      <c r="D1468" s="4">
        <v>33969</v>
      </c>
      <c r="E1468" s="6">
        <v>17.850000000000001</v>
      </c>
    </row>
    <row r="1469" spans="1:5" x14ac:dyDescent="0.25">
      <c r="A1469" s="4">
        <v>37939</v>
      </c>
      <c r="B1469" s="5">
        <v>151.5</v>
      </c>
      <c r="D1469" s="4">
        <v>33970</v>
      </c>
      <c r="E1469" s="5"/>
    </row>
    <row r="1470" spans="1:5" x14ac:dyDescent="0.25">
      <c r="A1470" s="4">
        <v>37942</v>
      </c>
      <c r="B1470" s="5">
        <v>151.5</v>
      </c>
      <c r="D1470" s="4">
        <v>33973</v>
      </c>
      <c r="E1470" s="6">
        <v>17.73</v>
      </c>
    </row>
    <row r="1471" spans="1:5" x14ac:dyDescent="0.25">
      <c r="A1471" s="4">
        <v>37943</v>
      </c>
      <c r="B1471" s="5">
        <v>154.25</v>
      </c>
      <c r="D1471" s="4">
        <v>33974</v>
      </c>
      <c r="E1471" s="6">
        <v>17.48</v>
      </c>
    </row>
    <row r="1472" spans="1:5" x14ac:dyDescent="0.25">
      <c r="A1472" s="4">
        <v>37944</v>
      </c>
      <c r="B1472" s="5">
        <v>152.75</v>
      </c>
      <c r="D1472" s="4">
        <v>33975</v>
      </c>
      <c r="E1472" s="6">
        <v>17.53</v>
      </c>
    </row>
    <row r="1473" spans="1:5" x14ac:dyDescent="0.25">
      <c r="A1473" s="4">
        <v>37945</v>
      </c>
      <c r="B1473" s="5">
        <v>147.25</v>
      </c>
      <c r="D1473" s="4">
        <v>33976</v>
      </c>
      <c r="E1473" s="6">
        <v>17.579999999999998</v>
      </c>
    </row>
    <row r="1474" spans="1:5" x14ac:dyDescent="0.25">
      <c r="A1474" s="4">
        <v>37946</v>
      </c>
      <c r="B1474" s="5">
        <v>142.25</v>
      </c>
      <c r="D1474" s="4">
        <v>33977</v>
      </c>
      <c r="E1474" s="6">
        <v>17.23</v>
      </c>
    </row>
    <row r="1475" spans="1:5" x14ac:dyDescent="0.25">
      <c r="A1475" s="4">
        <v>37949</v>
      </c>
      <c r="B1475" s="5">
        <v>141.75</v>
      </c>
      <c r="D1475" s="4">
        <v>33980</v>
      </c>
      <c r="E1475" s="6">
        <v>17.28</v>
      </c>
    </row>
    <row r="1476" spans="1:5" x14ac:dyDescent="0.25">
      <c r="A1476" s="4">
        <v>37951</v>
      </c>
      <c r="B1476" s="5">
        <v>143.75</v>
      </c>
      <c r="D1476" s="4">
        <v>33981</v>
      </c>
      <c r="E1476" s="6">
        <v>16.850000000000001</v>
      </c>
    </row>
    <row r="1477" spans="1:5" x14ac:dyDescent="0.25">
      <c r="A1477" s="4">
        <v>37952</v>
      </c>
      <c r="B1477" s="5">
        <v>143.25</v>
      </c>
      <c r="D1477" s="4">
        <v>33982</v>
      </c>
      <c r="E1477" s="6">
        <v>16.850000000000001</v>
      </c>
    </row>
    <row r="1478" spans="1:5" x14ac:dyDescent="0.25">
      <c r="A1478" s="4">
        <v>37953</v>
      </c>
      <c r="B1478" s="5">
        <v>137.75</v>
      </c>
      <c r="D1478" s="4">
        <v>33983</v>
      </c>
      <c r="E1478" s="6">
        <v>17</v>
      </c>
    </row>
    <row r="1479" spans="1:5" x14ac:dyDescent="0.25">
      <c r="A1479" s="4">
        <v>37956</v>
      </c>
      <c r="B1479" s="5">
        <v>133.5</v>
      </c>
      <c r="D1479" s="4">
        <v>33984</v>
      </c>
      <c r="E1479" s="6">
        <v>17.28</v>
      </c>
    </row>
    <row r="1480" spans="1:5" x14ac:dyDescent="0.25">
      <c r="A1480" s="4">
        <v>37957</v>
      </c>
      <c r="B1480" s="5">
        <v>136.5</v>
      </c>
      <c r="D1480" s="4">
        <v>33987</v>
      </c>
      <c r="E1480" s="6">
        <v>17.25</v>
      </c>
    </row>
    <row r="1481" spans="1:5" x14ac:dyDescent="0.25">
      <c r="A1481" s="4">
        <v>37958</v>
      </c>
      <c r="B1481" s="5">
        <v>136.25</v>
      </c>
      <c r="D1481" s="4">
        <v>33988</v>
      </c>
      <c r="E1481" s="6">
        <v>16.98</v>
      </c>
    </row>
    <row r="1482" spans="1:5" x14ac:dyDescent="0.25">
      <c r="A1482" s="4">
        <v>37959</v>
      </c>
      <c r="B1482" s="5">
        <v>135.5</v>
      </c>
      <c r="D1482" s="4">
        <v>33989</v>
      </c>
      <c r="E1482" s="6">
        <v>16.7</v>
      </c>
    </row>
    <row r="1483" spans="1:5" x14ac:dyDescent="0.25">
      <c r="A1483" s="4">
        <v>37960</v>
      </c>
      <c r="B1483" s="5">
        <v>133</v>
      </c>
      <c r="D1483" s="4">
        <v>33990</v>
      </c>
      <c r="E1483" s="6">
        <v>16.88</v>
      </c>
    </row>
    <row r="1484" spans="1:5" x14ac:dyDescent="0.25">
      <c r="A1484" s="4">
        <v>37963</v>
      </c>
      <c r="B1484" s="5">
        <v>135</v>
      </c>
      <c r="D1484" s="4">
        <v>33991</v>
      </c>
      <c r="E1484" s="6">
        <v>17.079999999999998</v>
      </c>
    </row>
    <row r="1485" spans="1:5" x14ac:dyDescent="0.25">
      <c r="A1485" s="4">
        <v>37964</v>
      </c>
      <c r="B1485" s="5">
        <v>136.5</v>
      </c>
      <c r="D1485" s="4">
        <v>33994</v>
      </c>
      <c r="E1485" s="6">
        <v>17.579999999999998</v>
      </c>
    </row>
    <row r="1486" spans="1:5" x14ac:dyDescent="0.25">
      <c r="A1486" s="4">
        <v>37965</v>
      </c>
      <c r="B1486" s="5">
        <v>137.75</v>
      </c>
      <c r="D1486" s="4">
        <v>33995</v>
      </c>
      <c r="E1486" s="6">
        <v>17.93</v>
      </c>
    </row>
    <row r="1487" spans="1:5" x14ac:dyDescent="0.25">
      <c r="A1487" s="4">
        <v>37966</v>
      </c>
      <c r="B1487" s="5">
        <v>134.75</v>
      </c>
      <c r="D1487" s="4">
        <v>33996</v>
      </c>
      <c r="E1487" s="6">
        <v>17.88</v>
      </c>
    </row>
    <row r="1488" spans="1:5" x14ac:dyDescent="0.25">
      <c r="A1488" s="4">
        <v>37967</v>
      </c>
      <c r="B1488" s="5">
        <v>130.75</v>
      </c>
      <c r="D1488" s="4">
        <v>33997</v>
      </c>
      <c r="E1488" s="6">
        <v>18.149999999999999</v>
      </c>
    </row>
    <row r="1489" spans="1:5" x14ac:dyDescent="0.25">
      <c r="A1489" s="4">
        <v>37970</v>
      </c>
      <c r="B1489" s="5">
        <v>124.5</v>
      </c>
      <c r="D1489" s="4">
        <v>33998</v>
      </c>
      <c r="E1489" s="6">
        <v>18.48</v>
      </c>
    </row>
    <row r="1490" spans="1:5" x14ac:dyDescent="0.25">
      <c r="A1490" s="4">
        <v>37971</v>
      </c>
      <c r="B1490" s="5">
        <v>125</v>
      </c>
      <c r="D1490" s="4">
        <v>34001</v>
      </c>
      <c r="E1490" s="6">
        <v>18.55</v>
      </c>
    </row>
    <row r="1491" spans="1:5" x14ac:dyDescent="0.25">
      <c r="A1491" s="4">
        <v>37972</v>
      </c>
      <c r="B1491" s="5">
        <v>131</v>
      </c>
      <c r="D1491" s="4">
        <v>34002</v>
      </c>
      <c r="E1491" s="6">
        <v>18.399999999999999</v>
      </c>
    </row>
    <row r="1492" spans="1:5" x14ac:dyDescent="0.25">
      <c r="A1492" s="4">
        <v>37973</v>
      </c>
      <c r="B1492" s="5">
        <v>126.5</v>
      </c>
      <c r="D1492" s="4">
        <v>34003</v>
      </c>
      <c r="E1492" s="5"/>
    </row>
    <row r="1493" spans="1:5" x14ac:dyDescent="0.25">
      <c r="A1493" s="4">
        <v>37974</v>
      </c>
      <c r="B1493" s="5">
        <v>122</v>
      </c>
      <c r="D1493" s="4">
        <v>34004</v>
      </c>
      <c r="E1493" s="6">
        <v>18.649999999999999</v>
      </c>
    </row>
    <row r="1494" spans="1:5" x14ac:dyDescent="0.25">
      <c r="A1494" s="4">
        <v>37977</v>
      </c>
      <c r="B1494" s="5">
        <v>119.75</v>
      </c>
      <c r="D1494" s="4">
        <v>34005</v>
      </c>
      <c r="E1494" s="6">
        <v>18.7</v>
      </c>
    </row>
    <row r="1495" spans="1:5" x14ac:dyDescent="0.25">
      <c r="A1495" s="4">
        <v>37978</v>
      </c>
      <c r="B1495" s="1">
        <v>120.25</v>
      </c>
      <c r="D1495" s="4">
        <v>34008</v>
      </c>
      <c r="E1495" s="6">
        <v>18.55</v>
      </c>
    </row>
    <row r="1496" spans="1:5" x14ac:dyDescent="0.25">
      <c r="A1496" s="4">
        <v>37979</v>
      </c>
      <c r="B1496" s="1">
        <v>120.75</v>
      </c>
      <c r="D1496" s="4">
        <v>34009</v>
      </c>
      <c r="E1496" s="6">
        <v>18.329999999999998</v>
      </c>
    </row>
    <row r="1497" spans="1:5" x14ac:dyDescent="0.25">
      <c r="A1497" s="4">
        <v>37984</v>
      </c>
      <c r="B1497" s="5">
        <v>125</v>
      </c>
      <c r="D1497" s="4">
        <v>34010</v>
      </c>
      <c r="E1497" s="6">
        <v>18.48</v>
      </c>
    </row>
    <row r="1498" spans="1:5" x14ac:dyDescent="0.25">
      <c r="A1498" s="4">
        <v>37985</v>
      </c>
      <c r="B1498" s="1">
        <v>125.75</v>
      </c>
      <c r="D1498" s="4">
        <v>34011</v>
      </c>
      <c r="E1498" s="6">
        <v>18.43</v>
      </c>
    </row>
    <row r="1499" spans="1:5" x14ac:dyDescent="0.25">
      <c r="A1499" s="4">
        <v>37986</v>
      </c>
      <c r="B1499" s="1">
        <v>128.5</v>
      </c>
      <c r="D1499" s="4">
        <v>34012</v>
      </c>
      <c r="E1499" s="6">
        <v>18.48</v>
      </c>
    </row>
    <row r="1500" spans="1:5" x14ac:dyDescent="0.25">
      <c r="A1500" s="4">
        <v>37988</v>
      </c>
      <c r="B1500" s="6">
        <v>129.25</v>
      </c>
      <c r="D1500" s="4">
        <v>34015</v>
      </c>
      <c r="E1500" s="6">
        <v>17.98</v>
      </c>
    </row>
    <row r="1501" spans="1:5" x14ac:dyDescent="0.25">
      <c r="A1501" s="4">
        <v>37991</v>
      </c>
      <c r="B1501" s="6">
        <v>144.25</v>
      </c>
      <c r="D1501" s="4">
        <v>34016</v>
      </c>
      <c r="E1501" s="6">
        <v>18.2</v>
      </c>
    </row>
    <row r="1502" spans="1:5" x14ac:dyDescent="0.25">
      <c r="A1502" s="4">
        <v>37992</v>
      </c>
      <c r="B1502" s="6">
        <v>145.25</v>
      </c>
      <c r="D1502" s="4">
        <v>34017</v>
      </c>
      <c r="E1502" s="6">
        <v>17.93</v>
      </c>
    </row>
    <row r="1503" spans="1:5" x14ac:dyDescent="0.25">
      <c r="A1503" s="4">
        <v>37993</v>
      </c>
      <c r="B1503" s="6">
        <v>144.75</v>
      </c>
      <c r="D1503" s="4">
        <v>34018</v>
      </c>
      <c r="E1503" s="6">
        <v>17.829999999999998</v>
      </c>
    </row>
    <row r="1504" spans="1:5" x14ac:dyDescent="0.25">
      <c r="A1504" s="4">
        <v>37994</v>
      </c>
      <c r="B1504" s="6">
        <v>146.5</v>
      </c>
      <c r="D1504" s="4">
        <v>34019</v>
      </c>
      <c r="E1504" s="6">
        <v>18.3</v>
      </c>
    </row>
    <row r="1505" spans="1:5" x14ac:dyDescent="0.25">
      <c r="A1505" s="4">
        <v>37995</v>
      </c>
      <c r="B1505" s="6">
        <v>150.25</v>
      </c>
      <c r="D1505" s="4">
        <v>34022</v>
      </c>
      <c r="E1505" s="6">
        <v>18.63</v>
      </c>
    </row>
    <row r="1506" spans="1:5" x14ac:dyDescent="0.25">
      <c r="A1506" s="4">
        <v>37998</v>
      </c>
      <c r="B1506" s="6">
        <v>148.5</v>
      </c>
      <c r="D1506" s="4">
        <v>34023</v>
      </c>
      <c r="E1506" s="6">
        <v>18.88</v>
      </c>
    </row>
    <row r="1507" spans="1:5" x14ac:dyDescent="0.25">
      <c r="A1507" s="4">
        <v>37999</v>
      </c>
      <c r="B1507" s="6">
        <v>150</v>
      </c>
      <c r="D1507" s="4">
        <v>34024</v>
      </c>
      <c r="E1507" s="6">
        <v>18.88</v>
      </c>
    </row>
    <row r="1508" spans="1:5" x14ac:dyDescent="0.25">
      <c r="A1508" s="4">
        <v>38000</v>
      </c>
      <c r="B1508" s="6">
        <v>143.75</v>
      </c>
      <c r="D1508" s="4">
        <v>34025</v>
      </c>
      <c r="E1508" s="6">
        <v>18.829999999999998</v>
      </c>
    </row>
    <row r="1509" spans="1:5" x14ac:dyDescent="0.25">
      <c r="A1509" s="4">
        <v>38001</v>
      </c>
      <c r="B1509" s="6">
        <v>141.25</v>
      </c>
      <c r="D1509" s="4">
        <v>34026</v>
      </c>
      <c r="E1509" s="6">
        <v>18.829999999999998</v>
      </c>
    </row>
    <row r="1510" spans="1:5" x14ac:dyDescent="0.25">
      <c r="A1510" s="4">
        <v>38002</v>
      </c>
      <c r="B1510" s="6">
        <v>137.25</v>
      </c>
      <c r="D1510" s="4">
        <v>34029</v>
      </c>
      <c r="E1510" s="6">
        <v>19.03</v>
      </c>
    </row>
    <row r="1511" spans="1:5" x14ac:dyDescent="0.25">
      <c r="A1511" s="4">
        <v>38005</v>
      </c>
      <c r="B1511" s="6">
        <v>137.25</v>
      </c>
      <c r="D1511" s="4">
        <v>34030</v>
      </c>
      <c r="E1511" s="6">
        <v>18.829999999999998</v>
      </c>
    </row>
    <row r="1512" spans="1:5" x14ac:dyDescent="0.25">
      <c r="A1512" s="4">
        <v>38006</v>
      </c>
      <c r="B1512" s="6">
        <v>136.25</v>
      </c>
      <c r="D1512" s="4">
        <v>34031</v>
      </c>
      <c r="E1512" s="6">
        <v>18.93</v>
      </c>
    </row>
    <row r="1513" spans="1:5" x14ac:dyDescent="0.25">
      <c r="A1513" s="4">
        <v>38007</v>
      </c>
      <c r="B1513" s="6">
        <v>134</v>
      </c>
      <c r="D1513" s="4">
        <v>34032</v>
      </c>
      <c r="E1513" s="6">
        <v>19.350000000000001</v>
      </c>
    </row>
    <row r="1514" spans="1:5" x14ac:dyDescent="0.25">
      <c r="A1514" s="4">
        <v>38008</v>
      </c>
      <c r="B1514" s="6">
        <v>126.5</v>
      </c>
      <c r="D1514" s="4">
        <v>34033</v>
      </c>
      <c r="E1514" s="6">
        <v>19.600000000000001</v>
      </c>
    </row>
    <row r="1515" spans="1:5" x14ac:dyDescent="0.25">
      <c r="A1515" s="4">
        <v>38009</v>
      </c>
      <c r="B1515" s="6">
        <v>128.25</v>
      </c>
      <c r="D1515" s="4">
        <v>34036</v>
      </c>
      <c r="E1515" s="6">
        <v>19.28</v>
      </c>
    </row>
    <row r="1516" spans="1:5" x14ac:dyDescent="0.25">
      <c r="A1516" s="4">
        <v>38012</v>
      </c>
      <c r="B1516" s="6">
        <v>129.5</v>
      </c>
      <c r="D1516" s="4">
        <v>34037</v>
      </c>
      <c r="E1516" s="6">
        <v>19.23</v>
      </c>
    </row>
    <row r="1517" spans="1:5" x14ac:dyDescent="0.25">
      <c r="A1517" s="4">
        <v>38013</v>
      </c>
      <c r="B1517" s="6">
        <v>132.5</v>
      </c>
      <c r="D1517" s="4">
        <v>34038</v>
      </c>
      <c r="E1517" s="6">
        <v>19.079999999999998</v>
      </c>
    </row>
    <row r="1518" spans="1:5" x14ac:dyDescent="0.25">
      <c r="A1518" s="4">
        <v>38014</v>
      </c>
      <c r="B1518" s="6">
        <v>128.5</v>
      </c>
      <c r="D1518" s="4">
        <v>34039</v>
      </c>
      <c r="E1518" s="6">
        <v>18.7</v>
      </c>
    </row>
    <row r="1519" spans="1:5" x14ac:dyDescent="0.25">
      <c r="A1519" s="4">
        <v>38015</v>
      </c>
      <c r="B1519" s="6">
        <v>124.75</v>
      </c>
      <c r="D1519" s="4">
        <v>34040</v>
      </c>
      <c r="E1519" s="6">
        <v>18.829999999999998</v>
      </c>
    </row>
    <row r="1520" spans="1:5" x14ac:dyDescent="0.25">
      <c r="A1520" s="4">
        <v>38016</v>
      </c>
      <c r="B1520" s="6">
        <v>126</v>
      </c>
      <c r="D1520" s="4">
        <v>34043</v>
      </c>
      <c r="E1520" s="6">
        <v>18.88</v>
      </c>
    </row>
    <row r="1521" spans="1:5" x14ac:dyDescent="0.25">
      <c r="A1521" s="4">
        <v>38019</v>
      </c>
      <c r="B1521" s="6">
        <v>127</v>
      </c>
      <c r="D1521" s="4">
        <v>34044</v>
      </c>
      <c r="E1521" s="6">
        <v>18.55</v>
      </c>
    </row>
    <row r="1522" spans="1:5" x14ac:dyDescent="0.25">
      <c r="A1522" s="4">
        <v>38020</v>
      </c>
      <c r="B1522" s="6">
        <v>131.5</v>
      </c>
      <c r="D1522" s="4">
        <v>34045</v>
      </c>
      <c r="E1522" s="6">
        <v>18.600000000000001</v>
      </c>
    </row>
    <row r="1523" spans="1:5" x14ac:dyDescent="0.25">
      <c r="A1523" s="4">
        <v>38021</v>
      </c>
      <c r="B1523" s="6">
        <v>128</v>
      </c>
      <c r="D1523" s="4">
        <v>34046</v>
      </c>
      <c r="E1523" s="6">
        <v>18.7</v>
      </c>
    </row>
    <row r="1524" spans="1:5" x14ac:dyDescent="0.25">
      <c r="A1524" s="4">
        <v>38022</v>
      </c>
      <c r="B1524" s="6">
        <v>122.5</v>
      </c>
      <c r="D1524" s="4">
        <v>34047</v>
      </c>
      <c r="E1524" s="6">
        <v>18.579999999999998</v>
      </c>
    </row>
    <row r="1525" spans="1:5" x14ac:dyDescent="0.25">
      <c r="A1525" s="4">
        <v>38023</v>
      </c>
      <c r="B1525" s="6">
        <v>122</v>
      </c>
      <c r="D1525" s="4">
        <v>34050</v>
      </c>
      <c r="E1525" s="6">
        <v>18.18</v>
      </c>
    </row>
    <row r="1526" spans="1:5" x14ac:dyDescent="0.25">
      <c r="A1526" s="4">
        <v>38026</v>
      </c>
      <c r="B1526" s="6">
        <v>124.5</v>
      </c>
      <c r="D1526" s="4">
        <v>34051</v>
      </c>
      <c r="E1526" s="6">
        <v>18.23</v>
      </c>
    </row>
    <row r="1527" spans="1:5" x14ac:dyDescent="0.25">
      <c r="A1527" s="4">
        <v>38027</v>
      </c>
      <c r="B1527" s="6">
        <v>128</v>
      </c>
      <c r="D1527" s="4">
        <v>34052</v>
      </c>
      <c r="E1527" s="6">
        <v>18.53</v>
      </c>
    </row>
    <row r="1528" spans="1:5" x14ac:dyDescent="0.25">
      <c r="A1528" s="4">
        <v>38028</v>
      </c>
      <c r="B1528" s="6">
        <v>134</v>
      </c>
      <c r="D1528" s="4">
        <v>34053</v>
      </c>
      <c r="E1528" s="6">
        <v>18.600000000000001</v>
      </c>
    </row>
    <row r="1529" spans="1:5" x14ac:dyDescent="0.25">
      <c r="A1529" s="4">
        <v>38029</v>
      </c>
      <c r="B1529" s="6">
        <v>133</v>
      </c>
      <c r="D1529" s="4">
        <v>34054</v>
      </c>
      <c r="E1529" s="6">
        <v>18.55</v>
      </c>
    </row>
    <row r="1530" spans="1:5" x14ac:dyDescent="0.25">
      <c r="A1530" s="4">
        <v>38030</v>
      </c>
      <c r="B1530" s="6">
        <v>135</v>
      </c>
      <c r="D1530" s="4">
        <v>34057</v>
      </c>
      <c r="E1530" s="6">
        <v>18.649999999999999</v>
      </c>
    </row>
    <row r="1531" spans="1:5" x14ac:dyDescent="0.25">
      <c r="A1531" s="4">
        <v>38033</v>
      </c>
      <c r="B1531" s="6">
        <v>136</v>
      </c>
      <c r="D1531" s="4">
        <v>34058</v>
      </c>
      <c r="E1531" s="6">
        <v>18.45</v>
      </c>
    </row>
    <row r="1532" spans="1:5" x14ac:dyDescent="0.25">
      <c r="A1532" s="4">
        <v>38034</v>
      </c>
      <c r="B1532" s="6">
        <v>138.5</v>
      </c>
      <c r="D1532" s="4">
        <v>34059</v>
      </c>
      <c r="E1532" s="6">
        <v>18.7</v>
      </c>
    </row>
    <row r="1533" spans="1:5" x14ac:dyDescent="0.25">
      <c r="A1533" s="4">
        <v>38035</v>
      </c>
      <c r="B1533" s="6">
        <v>139.5</v>
      </c>
      <c r="D1533" s="4">
        <v>34060</v>
      </c>
      <c r="E1533" s="6">
        <v>18.98</v>
      </c>
    </row>
    <row r="1534" spans="1:5" x14ac:dyDescent="0.25">
      <c r="A1534" s="4">
        <v>38036</v>
      </c>
      <c r="B1534" s="6">
        <v>140.25</v>
      </c>
      <c r="D1534" s="4">
        <v>34061</v>
      </c>
      <c r="E1534" s="6">
        <v>18.88</v>
      </c>
    </row>
    <row r="1535" spans="1:5" x14ac:dyDescent="0.25">
      <c r="A1535" s="4">
        <v>38037</v>
      </c>
      <c r="B1535" s="6">
        <v>138.25</v>
      </c>
      <c r="D1535" s="4">
        <v>34064</v>
      </c>
      <c r="E1535" s="6">
        <v>18.95</v>
      </c>
    </row>
    <row r="1536" spans="1:5" x14ac:dyDescent="0.25">
      <c r="A1536" s="4">
        <v>38040</v>
      </c>
      <c r="B1536" s="6">
        <v>139.25</v>
      </c>
      <c r="D1536" s="4">
        <v>34065</v>
      </c>
      <c r="E1536" s="6">
        <v>18.649999999999999</v>
      </c>
    </row>
    <row r="1537" spans="1:5" x14ac:dyDescent="0.25">
      <c r="A1537" s="4">
        <v>38041</v>
      </c>
      <c r="B1537" s="6">
        <v>140.5</v>
      </c>
      <c r="D1537" s="4">
        <v>34066</v>
      </c>
      <c r="E1537" s="6">
        <v>18.7</v>
      </c>
    </row>
    <row r="1538" spans="1:5" x14ac:dyDescent="0.25">
      <c r="A1538" s="4">
        <v>38042</v>
      </c>
      <c r="B1538" s="6">
        <v>144</v>
      </c>
      <c r="D1538" s="4">
        <v>34067</v>
      </c>
      <c r="E1538" s="6">
        <v>18.53</v>
      </c>
    </row>
    <row r="1539" spans="1:5" x14ac:dyDescent="0.25">
      <c r="A1539" s="4">
        <v>38043</v>
      </c>
      <c r="B1539" s="6">
        <v>144</v>
      </c>
      <c r="D1539" s="4">
        <v>34068</v>
      </c>
      <c r="E1539" s="5"/>
    </row>
    <row r="1540" spans="1:5" x14ac:dyDescent="0.25">
      <c r="A1540" s="4">
        <v>38044</v>
      </c>
      <c r="B1540" s="6">
        <v>144.5</v>
      </c>
      <c r="D1540" s="4">
        <v>34071</v>
      </c>
      <c r="E1540" s="5"/>
    </row>
    <row r="1541" spans="1:5" x14ac:dyDescent="0.25">
      <c r="A1541" s="4">
        <v>38047</v>
      </c>
      <c r="B1541" s="6">
        <v>145.75</v>
      </c>
      <c r="D1541" s="4">
        <v>34072</v>
      </c>
      <c r="E1541" s="6">
        <v>18.8</v>
      </c>
    </row>
    <row r="1542" spans="1:5" x14ac:dyDescent="0.25">
      <c r="A1542" s="4">
        <v>38048</v>
      </c>
      <c r="B1542" s="6">
        <v>145.75</v>
      </c>
      <c r="D1542" s="4">
        <v>34073</v>
      </c>
      <c r="E1542" s="6">
        <v>18.73</v>
      </c>
    </row>
    <row r="1543" spans="1:5" x14ac:dyDescent="0.25">
      <c r="A1543" s="4">
        <v>38049</v>
      </c>
      <c r="B1543" s="6">
        <v>144.25</v>
      </c>
      <c r="D1543" s="4">
        <v>34074</v>
      </c>
      <c r="E1543" s="6">
        <v>18.63</v>
      </c>
    </row>
    <row r="1544" spans="1:5" x14ac:dyDescent="0.25">
      <c r="A1544" s="4">
        <v>38050</v>
      </c>
      <c r="B1544" s="6">
        <v>145.25</v>
      </c>
      <c r="D1544" s="4">
        <v>34075</v>
      </c>
      <c r="E1544" s="6">
        <v>18.5</v>
      </c>
    </row>
    <row r="1545" spans="1:5" x14ac:dyDescent="0.25">
      <c r="A1545" s="4">
        <v>38051</v>
      </c>
      <c r="B1545" s="6">
        <v>146.75</v>
      </c>
      <c r="D1545" s="4">
        <v>34078</v>
      </c>
      <c r="E1545" s="6">
        <v>18.48</v>
      </c>
    </row>
    <row r="1546" spans="1:5" x14ac:dyDescent="0.25">
      <c r="A1546" s="4">
        <v>38054</v>
      </c>
      <c r="B1546" s="6">
        <v>146.5</v>
      </c>
      <c r="D1546" s="4">
        <v>34079</v>
      </c>
      <c r="E1546" s="6">
        <v>18.53</v>
      </c>
    </row>
    <row r="1547" spans="1:5" x14ac:dyDescent="0.25">
      <c r="A1547" s="4">
        <v>38055</v>
      </c>
      <c r="B1547" s="6">
        <v>145.75</v>
      </c>
      <c r="D1547" s="4">
        <v>34080</v>
      </c>
      <c r="E1547" s="6">
        <v>18.68</v>
      </c>
    </row>
    <row r="1548" spans="1:5" x14ac:dyDescent="0.25">
      <c r="A1548" s="4">
        <v>38056</v>
      </c>
      <c r="B1548" s="6">
        <v>142</v>
      </c>
      <c r="D1548" s="4">
        <v>34081</v>
      </c>
      <c r="E1548" s="6">
        <v>18.48</v>
      </c>
    </row>
    <row r="1549" spans="1:5" x14ac:dyDescent="0.25">
      <c r="A1549" s="4">
        <v>38057</v>
      </c>
      <c r="B1549" s="6">
        <v>141.75</v>
      </c>
      <c r="D1549" s="4">
        <v>34082</v>
      </c>
      <c r="E1549" s="6">
        <v>18.63</v>
      </c>
    </row>
    <row r="1550" spans="1:5" x14ac:dyDescent="0.25">
      <c r="A1550" s="4">
        <v>38058</v>
      </c>
      <c r="B1550" s="6">
        <v>139.25</v>
      </c>
      <c r="D1550" s="4">
        <v>34085</v>
      </c>
      <c r="E1550" s="6">
        <v>18.63</v>
      </c>
    </row>
    <row r="1551" spans="1:5" x14ac:dyDescent="0.25">
      <c r="A1551" s="4">
        <v>38061</v>
      </c>
      <c r="B1551" s="6">
        <v>141.5</v>
      </c>
      <c r="D1551" s="4">
        <v>34086</v>
      </c>
      <c r="E1551" s="6">
        <v>18.579999999999998</v>
      </c>
    </row>
    <row r="1552" spans="1:5" x14ac:dyDescent="0.25">
      <c r="A1552" s="4">
        <v>38062</v>
      </c>
      <c r="B1552" s="6">
        <v>137</v>
      </c>
      <c r="D1552" s="4">
        <v>34087</v>
      </c>
      <c r="E1552" s="6">
        <v>18.48</v>
      </c>
    </row>
    <row r="1553" spans="1:5" x14ac:dyDescent="0.25">
      <c r="A1553" s="4">
        <v>38063</v>
      </c>
      <c r="B1553" s="6">
        <v>139.5</v>
      </c>
      <c r="D1553" s="4">
        <v>34088</v>
      </c>
      <c r="E1553" s="6">
        <v>18.8</v>
      </c>
    </row>
    <row r="1554" spans="1:5" x14ac:dyDescent="0.25">
      <c r="A1554" s="4">
        <v>38064</v>
      </c>
      <c r="B1554" s="6">
        <v>139.5</v>
      </c>
      <c r="D1554" s="4">
        <v>34089</v>
      </c>
      <c r="E1554" s="6">
        <v>18.850000000000001</v>
      </c>
    </row>
    <row r="1555" spans="1:5" x14ac:dyDescent="0.25">
      <c r="A1555" s="4">
        <v>38065</v>
      </c>
      <c r="B1555" s="6">
        <v>140.5</v>
      </c>
      <c r="D1555" s="4">
        <v>34092</v>
      </c>
      <c r="E1555" s="5"/>
    </row>
    <row r="1556" spans="1:5" x14ac:dyDescent="0.25">
      <c r="A1556" s="4">
        <v>38068</v>
      </c>
      <c r="B1556" s="6">
        <v>138.75</v>
      </c>
      <c r="D1556" s="4">
        <v>34093</v>
      </c>
      <c r="E1556" s="6">
        <v>18.899999999999999</v>
      </c>
    </row>
    <row r="1557" spans="1:5" x14ac:dyDescent="0.25">
      <c r="A1557" s="4">
        <v>38069</v>
      </c>
      <c r="B1557" s="6">
        <v>141.5</v>
      </c>
      <c r="D1557" s="4">
        <v>34094</v>
      </c>
      <c r="E1557" s="6">
        <v>18.850000000000001</v>
      </c>
    </row>
    <row r="1558" spans="1:5" x14ac:dyDescent="0.25">
      <c r="A1558" s="4">
        <v>38070</v>
      </c>
      <c r="B1558" s="6">
        <v>141</v>
      </c>
      <c r="D1558" s="4">
        <v>34095</v>
      </c>
      <c r="E1558" s="6">
        <v>19.13</v>
      </c>
    </row>
    <row r="1559" spans="1:5" x14ac:dyDescent="0.25">
      <c r="A1559" s="4">
        <v>38071</v>
      </c>
      <c r="B1559" s="6">
        <v>141.75</v>
      </c>
      <c r="D1559" s="4">
        <v>34096</v>
      </c>
      <c r="E1559" s="6">
        <v>18.98</v>
      </c>
    </row>
    <row r="1560" spans="1:5" x14ac:dyDescent="0.25">
      <c r="A1560" s="4">
        <v>38072</v>
      </c>
      <c r="B1560" s="6">
        <v>142.25</v>
      </c>
      <c r="D1560" s="4">
        <v>34099</v>
      </c>
      <c r="E1560" s="6">
        <v>18.98</v>
      </c>
    </row>
    <row r="1561" spans="1:5" x14ac:dyDescent="0.25">
      <c r="A1561" s="4">
        <v>38075</v>
      </c>
      <c r="B1561" s="6">
        <v>140</v>
      </c>
      <c r="D1561" s="4">
        <v>34100</v>
      </c>
      <c r="E1561" s="6">
        <v>18.829999999999998</v>
      </c>
    </row>
    <row r="1562" spans="1:5" x14ac:dyDescent="0.25">
      <c r="A1562" s="4">
        <v>38076</v>
      </c>
      <c r="B1562" s="6">
        <v>143.75</v>
      </c>
      <c r="D1562" s="4">
        <v>34101</v>
      </c>
      <c r="E1562" s="6">
        <v>18.899999999999999</v>
      </c>
    </row>
    <row r="1563" spans="1:5" x14ac:dyDescent="0.25">
      <c r="A1563" s="4">
        <v>38077</v>
      </c>
      <c r="B1563" s="6">
        <v>142.25</v>
      </c>
      <c r="D1563" s="4">
        <v>34102</v>
      </c>
      <c r="E1563" s="6">
        <v>18.7</v>
      </c>
    </row>
    <row r="1564" spans="1:5" x14ac:dyDescent="0.25">
      <c r="A1564" s="4">
        <v>38078</v>
      </c>
      <c r="B1564" s="6">
        <v>140.75</v>
      </c>
      <c r="D1564" s="4">
        <v>34103</v>
      </c>
      <c r="E1564" s="6">
        <v>18.399999999999999</v>
      </c>
    </row>
    <row r="1565" spans="1:5" x14ac:dyDescent="0.25">
      <c r="A1565" s="4">
        <v>38079</v>
      </c>
      <c r="B1565" s="6">
        <v>139.5</v>
      </c>
      <c r="D1565" s="4">
        <v>34106</v>
      </c>
      <c r="E1565" s="6">
        <v>18.28</v>
      </c>
    </row>
    <row r="1566" spans="1:5" x14ac:dyDescent="0.25">
      <c r="A1566" s="4">
        <v>38082</v>
      </c>
      <c r="B1566" s="6">
        <v>142</v>
      </c>
      <c r="D1566" s="4">
        <v>34107</v>
      </c>
      <c r="E1566" s="6">
        <v>18.18</v>
      </c>
    </row>
    <row r="1567" spans="1:5" x14ac:dyDescent="0.25">
      <c r="A1567" s="4">
        <v>38083</v>
      </c>
      <c r="B1567" s="6">
        <v>143.5</v>
      </c>
      <c r="D1567" s="4">
        <v>34108</v>
      </c>
      <c r="E1567" s="6">
        <v>18.13</v>
      </c>
    </row>
    <row r="1568" spans="1:5" x14ac:dyDescent="0.25">
      <c r="A1568" s="4">
        <v>38084</v>
      </c>
      <c r="B1568" s="6">
        <v>145.75</v>
      </c>
      <c r="D1568" s="4">
        <v>34109</v>
      </c>
      <c r="E1568" s="6">
        <v>18.100000000000001</v>
      </c>
    </row>
    <row r="1569" spans="1:5" x14ac:dyDescent="0.25">
      <c r="A1569" s="4">
        <v>38085</v>
      </c>
      <c r="B1569" s="6">
        <v>147</v>
      </c>
      <c r="D1569" s="4">
        <v>34110</v>
      </c>
      <c r="E1569" s="6">
        <v>18.05</v>
      </c>
    </row>
    <row r="1570" spans="1:5" x14ac:dyDescent="0.25">
      <c r="A1570" s="4">
        <v>38090</v>
      </c>
      <c r="B1570" s="6">
        <v>150</v>
      </c>
      <c r="D1570" s="4">
        <v>34113</v>
      </c>
      <c r="E1570" s="6">
        <v>18.149999999999999</v>
      </c>
    </row>
    <row r="1571" spans="1:5" x14ac:dyDescent="0.25">
      <c r="A1571" s="4">
        <v>38091</v>
      </c>
      <c r="B1571" s="6">
        <v>149</v>
      </c>
      <c r="D1571" s="4">
        <v>34114</v>
      </c>
      <c r="E1571" s="6">
        <v>18.149999999999999</v>
      </c>
    </row>
    <row r="1572" spans="1:5" x14ac:dyDescent="0.25">
      <c r="A1572" s="4">
        <v>38092</v>
      </c>
      <c r="B1572" s="6">
        <v>157</v>
      </c>
      <c r="D1572" s="4">
        <v>34115</v>
      </c>
      <c r="E1572" s="6">
        <v>18.079999999999998</v>
      </c>
    </row>
    <row r="1573" spans="1:5" x14ac:dyDescent="0.25">
      <c r="A1573" s="4">
        <v>38093</v>
      </c>
      <c r="B1573" s="6">
        <v>155.75</v>
      </c>
      <c r="D1573" s="4">
        <v>34116</v>
      </c>
      <c r="E1573" s="6">
        <v>18.43</v>
      </c>
    </row>
    <row r="1574" spans="1:5" x14ac:dyDescent="0.25">
      <c r="A1574" s="4">
        <v>38096</v>
      </c>
      <c r="B1574" s="6">
        <v>156.75</v>
      </c>
      <c r="D1574" s="4">
        <v>34117</v>
      </c>
      <c r="E1574" s="6">
        <v>18.43</v>
      </c>
    </row>
    <row r="1575" spans="1:5" x14ac:dyDescent="0.25">
      <c r="A1575" s="4">
        <v>38097</v>
      </c>
      <c r="B1575" s="6">
        <v>153.125</v>
      </c>
      <c r="D1575" s="4">
        <v>34120</v>
      </c>
      <c r="E1575" s="5"/>
    </row>
    <row r="1576" spans="1:5" x14ac:dyDescent="0.25">
      <c r="A1576" s="4">
        <v>38098</v>
      </c>
      <c r="B1576" s="6">
        <v>152</v>
      </c>
      <c r="D1576" s="4">
        <v>34121</v>
      </c>
      <c r="E1576" s="6">
        <v>18.48</v>
      </c>
    </row>
    <row r="1577" spans="1:5" x14ac:dyDescent="0.25">
      <c r="A1577" s="4">
        <v>38099</v>
      </c>
      <c r="B1577" s="6">
        <v>152.75</v>
      </c>
      <c r="D1577" s="4">
        <v>34122</v>
      </c>
      <c r="E1577" s="6">
        <v>18.48</v>
      </c>
    </row>
    <row r="1578" spans="1:5" x14ac:dyDescent="0.25">
      <c r="A1578" s="4">
        <v>38100</v>
      </c>
      <c r="B1578" s="6">
        <v>150.5</v>
      </c>
      <c r="D1578" s="4">
        <v>34123</v>
      </c>
      <c r="E1578" s="6">
        <v>18.149999999999999</v>
      </c>
    </row>
    <row r="1579" spans="1:5" x14ac:dyDescent="0.25">
      <c r="A1579" s="4">
        <v>38103</v>
      </c>
      <c r="B1579" s="6">
        <v>155.75</v>
      </c>
      <c r="D1579" s="4">
        <v>34124</v>
      </c>
      <c r="E1579" s="6">
        <v>18.25</v>
      </c>
    </row>
    <row r="1580" spans="1:5" x14ac:dyDescent="0.25">
      <c r="A1580" s="4">
        <v>38104</v>
      </c>
      <c r="B1580" s="6">
        <v>158.5</v>
      </c>
      <c r="D1580" s="4">
        <v>34127</v>
      </c>
      <c r="E1580" s="6">
        <v>18</v>
      </c>
    </row>
    <row r="1581" spans="1:5" x14ac:dyDescent="0.25">
      <c r="A1581" s="4">
        <v>38105</v>
      </c>
      <c r="B1581" s="6">
        <v>159</v>
      </c>
      <c r="D1581" s="4">
        <v>34128</v>
      </c>
      <c r="E1581" s="6">
        <v>18.23</v>
      </c>
    </row>
    <row r="1582" spans="1:5" x14ac:dyDescent="0.25">
      <c r="A1582" s="4">
        <v>38106</v>
      </c>
      <c r="B1582" s="6">
        <v>152</v>
      </c>
      <c r="D1582" s="4">
        <v>34129</v>
      </c>
      <c r="E1582" s="6">
        <v>18.23</v>
      </c>
    </row>
    <row r="1583" spans="1:5" x14ac:dyDescent="0.25">
      <c r="A1583" s="4">
        <v>38107</v>
      </c>
      <c r="B1583" s="6">
        <v>154.5</v>
      </c>
      <c r="D1583" s="4">
        <v>34130</v>
      </c>
      <c r="E1583" s="6">
        <v>18.2</v>
      </c>
    </row>
    <row r="1584" spans="1:5" x14ac:dyDescent="0.25">
      <c r="A1584" s="4">
        <v>38111</v>
      </c>
      <c r="B1584" s="6">
        <v>161.5</v>
      </c>
      <c r="D1584" s="4">
        <v>34131</v>
      </c>
      <c r="E1584" s="6">
        <v>17.63</v>
      </c>
    </row>
    <row r="1585" spans="1:5" x14ac:dyDescent="0.25">
      <c r="A1585" s="4">
        <v>38112</v>
      </c>
      <c r="B1585" s="6">
        <v>162</v>
      </c>
      <c r="D1585" s="4">
        <v>34134</v>
      </c>
      <c r="E1585" s="6">
        <v>17.579999999999998</v>
      </c>
    </row>
    <row r="1586" spans="1:5" x14ac:dyDescent="0.25">
      <c r="A1586" s="4">
        <v>38113</v>
      </c>
      <c r="B1586" s="6">
        <v>164.25</v>
      </c>
      <c r="D1586" s="4">
        <v>34135</v>
      </c>
      <c r="E1586" s="6">
        <v>17.3</v>
      </c>
    </row>
    <row r="1587" spans="1:5" x14ac:dyDescent="0.25">
      <c r="A1587" s="4">
        <v>38114</v>
      </c>
      <c r="B1587" s="6">
        <v>164.25</v>
      </c>
      <c r="D1587" s="4">
        <v>34136</v>
      </c>
      <c r="E1587" s="6">
        <v>17.329999999999998</v>
      </c>
    </row>
    <row r="1588" spans="1:5" x14ac:dyDescent="0.25">
      <c r="A1588" s="4">
        <v>38117</v>
      </c>
      <c r="B1588" s="6">
        <v>163.25</v>
      </c>
      <c r="D1588" s="4">
        <v>34137</v>
      </c>
      <c r="E1588" s="6">
        <v>17.23</v>
      </c>
    </row>
    <row r="1589" spans="1:5" x14ac:dyDescent="0.25">
      <c r="A1589" s="4">
        <v>38118</v>
      </c>
      <c r="B1589" s="6">
        <v>161.5</v>
      </c>
      <c r="D1589" s="4">
        <v>34138</v>
      </c>
      <c r="E1589" s="6">
        <v>17.13</v>
      </c>
    </row>
    <row r="1590" spans="1:5" x14ac:dyDescent="0.25">
      <c r="A1590" s="4">
        <v>38119</v>
      </c>
      <c r="B1590" s="6">
        <v>165.25</v>
      </c>
      <c r="D1590" s="4">
        <v>34141</v>
      </c>
      <c r="E1590" s="6">
        <v>17.18</v>
      </c>
    </row>
    <row r="1591" spans="1:5" x14ac:dyDescent="0.25">
      <c r="A1591" s="4">
        <v>38120</v>
      </c>
      <c r="B1591" s="6">
        <v>166.25</v>
      </c>
      <c r="D1591" s="4">
        <v>34142</v>
      </c>
      <c r="E1591" s="6">
        <v>17.18</v>
      </c>
    </row>
    <row r="1592" spans="1:5" x14ac:dyDescent="0.25">
      <c r="A1592" s="4">
        <v>38121</v>
      </c>
      <c r="B1592" s="6">
        <v>168.25</v>
      </c>
      <c r="D1592" s="4">
        <v>34143</v>
      </c>
      <c r="E1592" s="6">
        <v>17.18</v>
      </c>
    </row>
    <row r="1593" spans="1:5" x14ac:dyDescent="0.25">
      <c r="A1593" s="4">
        <v>38124</v>
      </c>
      <c r="B1593" s="6">
        <v>170.25</v>
      </c>
      <c r="D1593" s="4">
        <v>34144</v>
      </c>
      <c r="E1593" s="6">
        <v>17.23</v>
      </c>
    </row>
    <row r="1594" spans="1:5" x14ac:dyDescent="0.25">
      <c r="A1594" s="4">
        <v>38125</v>
      </c>
      <c r="B1594" s="6">
        <v>168.25</v>
      </c>
      <c r="D1594" s="4">
        <v>34145</v>
      </c>
      <c r="E1594" s="6">
        <v>17.23</v>
      </c>
    </row>
    <row r="1595" spans="1:5" x14ac:dyDescent="0.25">
      <c r="A1595" s="4">
        <v>38126</v>
      </c>
      <c r="B1595" s="6">
        <v>169</v>
      </c>
      <c r="D1595" s="4">
        <v>34148</v>
      </c>
      <c r="E1595" s="6">
        <v>17.23</v>
      </c>
    </row>
    <row r="1596" spans="1:5" x14ac:dyDescent="0.25">
      <c r="A1596" s="4">
        <v>38127</v>
      </c>
      <c r="B1596" s="6">
        <v>169.5</v>
      </c>
      <c r="D1596" s="4">
        <v>34149</v>
      </c>
      <c r="E1596" s="6">
        <v>17.48</v>
      </c>
    </row>
    <row r="1597" spans="1:5" x14ac:dyDescent="0.25">
      <c r="A1597" s="4">
        <v>38128</v>
      </c>
      <c r="B1597" s="6">
        <v>166.75</v>
      </c>
      <c r="D1597" s="4">
        <v>34150</v>
      </c>
      <c r="E1597" s="6">
        <v>17.43</v>
      </c>
    </row>
    <row r="1598" spans="1:5" x14ac:dyDescent="0.25">
      <c r="A1598" s="4">
        <v>38131</v>
      </c>
      <c r="B1598" s="6">
        <v>171.25</v>
      </c>
      <c r="D1598" s="4">
        <v>34151</v>
      </c>
      <c r="E1598" s="6">
        <v>16.98</v>
      </c>
    </row>
    <row r="1599" spans="1:5" x14ac:dyDescent="0.25">
      <c r="A1599" s="4">
        <v>38132</v>
      </c>
      <c r="B1599" s="6">
        <v>168.75</v>
      </c>
      <c r="D1599" s="4">
        <v>34152</v>
      </c>
      <c r="E1599" s="6">
        <v>16.63</v>
      </c>
    </row>
    <row r="1600" spans="1:5" x14ac:dyDescent="0.25">
      <c r="A1600" s="4">
        <v>38133</v>
      </c>
      <c r="B1600" s="6">
        <v>168.75</v>
      </c>
      <c r="D1600" s="4">
        <v>34155</v>
      </c>
      <c r="E1600" s="6">
        <v>16.88</v>
      </c>
    </row>
    <row r="1601" spans="1:5" x14ac:dyDescent="0.25">
      <c r="A1601" s="4">
        <v>38134</v>
      </c>
      <c r="B1601" s="6">
        <v>164.5</v>
      </c>
      <c r="D1601" s="4">
        <v>34156</v>
      </c>
      <c r="E1601" s="6">
        <v>17.13</v>
      </c>
    </row>
    <row r="1602" spans="1:5" x14ac:dyDescent="0.25">
      <c r="A1602" s="4">
        <v>38135</v>
      </c>
      <c r="B1602" s="6">
        <v>164.5</v>
      </c>
      <c r="D1602" s="4">
        <v>34157</v>
      </c>
      <c r="E1602" s="6">
        <v>16.899999999999999</v>
      </c>
    </row>
    <row r="1603" spans="1:5" x14ac:dyDescent="0.25">
      <c r="A1603" s="4">
        <v>38139</v>
      </c>
      <c r="B1603" s="6">
        <v>171.75</v>
      </c>
      <c r="D1603" s="4">
        <v>34158</v>
      </c>
      <c r="E1603" s="6">
        <v>16.55</v>
      </c>
    </row>
    <row r="1604" spans="1:5" x14ac:dyDescent="0.25">
      <c r="A1604" s="4">
        <v>38140</v>
      </c>
      <c r="B1604" s="6">
        <v>168.5</v>
      </c>
      <c r="D1604" s="4">
        <v>34159</v>
      </c>
      <c r="E1604" s="6">
        <v>16.53</v>
      </c>
    </row>
    <row r="1605" spans="1:5" x14ac:dyDescent="0.25">
      <c r="A1605" s="4">
        <v>38141</v>
      </c>
      <c r="B1605" s="6">
        <v>164.75</v>
      </c>
      <c r="D1605" s="4">
        <v>34162</v>
      </c>
      <c r="E1605" s="6">
        <v>16.78</v>
      </c>
    </row>
    <row r="1606" spans="1:5" x14ac:dyDescent="0.25">
      <c r="A1606" s="4">
        <v>38142</v>
      </c>
      <c r="B1606" s="6">
        <v>162</v>
      </c>
      <c r="D1606" s="4">
        <v>34163</v>
      </c>
      <c r="E1606" s="6">
        <v>16.95</v>
      </c>
    </row>
    <row r="1607" spans="1:5" x14ac:dyDescent="0.25">
      <c r="A1607" s="4">
        <v>38145</v>
      </c>
      <c r="B1607" s="6">
        <v>159.25</v>
      </c>
      <c r="D1607" s="4">
        <v>34164</v>
      </c>
      <c r="E1607" s="6">
        <v>16.5</v>
      </c>
    </row>
    <row r="1608" spans="1:5" x14ac:dyDescent="0.25">
      <c r="A1608" s="4">
        <v>38146</v>
      </c>
      <c r="B1608" s="6">
        <v>159.25</v>
      </c>
      <c r="D1608" s="4">
        <v>34165</v>
      </c>
      <c r="E1608" s="6">
        <v>16.48</v>
      </c>
    </row>
    <row r="1609" spans="1:5" x14ac:dyDescent="0.25">
      <c r="A1609" s="4">
        <v>38147</v>
      </c>
      <c r="B1609" s="6">
        <v>154</v>
      </c>
      <c r="D1609" s="4">
        <v>34166</v>
      </c>
      <c r="E1609" s="6">
        <v>16.600000000000001</v>
      </c>
    </row>
    <row r="1610" spans="1:5" x14ac:dyDescent="0.25">
      <c r="A1610" s="4">
        <v>38148</v>
      </c>
      <c r="B1610" s="6">
        <v>156</v>
      </c>
      <c r="D1610" s="4">
        <v>34169</v>
      </c>
      <c r="E1610" s="6">
        <v>16.579999999999998</v>
      </c>
    </row>
    <row r="1611" spans="1:5" x14ac:dyDescent="0.25">
      <c r="A1611" s="4">
        <v>38149</v>
      </c>
      <c r="B1611" s="6">
        <v>155</v>
      </c>
      <c r="D1611" s="4">
        <v>34170</v>
      </c>
      <c r="E1611" s="6">
        <v>16.579999999999998</v>
      </c>
    </row>
    <row r="1612" spans="1:5" x14ac:dyDescent="0.25">
      <c r="A1612" s="4">
        <v>38152</v>
      </c>
      <c r="B1612" s="6">
        <v>153.75</v>
      </c>
      <c r="D1612" s="4">
        <v>34171</v>
      </c>
      <c r="E1612" s="6">
        <v>16.73</v>
      </c>
    </row>
    <row r="1613" spans="1:5" x14ac:dyDescent="0.25">
      <c r="A1613" s="4">
        <v>38153</v>
      </c>
      <c r="B1613" s="6">
        <v>149.25</v>
      </c>
      <c r="D1613" s="4">
        <v>34172</v>
      </c>
      <c r="E1613" s="6">
        <v>16.649999999999999</v>
      </c>
    </row>
    <row r="1614" spans="1:5" x14ac:dyDescent="0.25">
      <c r="A1614" s="4">
        <v>38154</v>
      </c>
      <c r="B1614" s="6">
        <v>147.5</v>
      </c>
      <c r="D1614" s="4">
        <v>34173</v>
      </c>
      <c r="E1614" s="6">
        <v>16.850000000000001</v>
      </c>
    </row>
    <row r="1615" spans="1:5" x14ac:dyDescent="0.25">
      <c r="A1615" s="4">
        <v>38155</v>
      </c>
      <c r="B1615" s="6">
        <v>153.25</v>
      </c>
      <c r="D1615" s="4">
        <v>34176</v>
      </c>
      <c r="E1615" s="6">
        <v>16.850000000000001</v>
      </c>
    </row>
    <row r="1616" spans="1:5" x14ac:dyDescent="0.25">
      <c r="A1616" s="4">
        <v>38156</v>
      </c>
      <c r="B1616" s="6">
        <v>155</v>
      </c>
      <c r="D1616" s="4">
        <v>34177</v>
      </c>
      <c r="E1616" s="6">
        <v>16.850000000000001</v>
      </c>
    </row>
    <row r="1617" spans="1:5" x14ac:dyDescent="0.25">
      <c r="A1617" s="4">
        <v>38159</v>
      </c>
      <c r="B1617" s="6">
        <v>154</v>
      </c>
      <c r="D1617" s="4">
        <v>34178</v>
      </c>
      <c r="E1617" s="6">
        <v>17.13</v>
      </c>
    </row>
    <row r="1618" spans="1:5" x14ac:dyDescent="0.25">
      <c r="A1618" s="4">
        <v>38160</v>
      </c>
      <c r="B1618" s="6">
        <v>152.25</v>
      </c>
      <c r="D1618" s="4">
        <v>34179</v>
      </c>
      <c r="E1618" s="6">
        <v>17.079999999999998</v>
      </c>
    </row>
    <row r="1619" spans="1:5" x14ac:dyDescent="0.25">
      <c r="A1619" s="4">
        <v>38161</v>
      </c>
      <c r="B1619" s="6">
        <v>151</v>
      </c>
      <c r="D1619" s="4">
        <v>34180</v>
      </c>
      <c r="E1619" s="6">
        <v>16.850000000000001</v>
      </c>
    </row>
    <row r="1620" spans="1:5" x14ac:dyDescent="0.25">
      <c r="A1620" s="4">
        <v>38162</v>
      </c>
      <c r="B1620" s="6">
        <v>153</v>
      </c>
      <c r="D1620" s="4">
        <v>34183</v>
      </c>
      <c r="E1620" s="6">
        <v>16.850000000000001</v>
      </c>
    </row>
    <row r="1621" spans="1:5" x14ac:dyDescent="0.25">
      <c r="A1621" s="4">
        <v>38163</v>
      </c>
      <c r="B1621" s="6">
        <v>149.5</v>
      </c>
      <c r="D1621" s="4">
        <v>34184</v>
      </c>
      <c r="E1621" s="6">
        <v>16.53</v>
      </c>
    </row>
    <row r="1622" spans="1:5" x14ac:dyDescent="0.25">
      <c r="A1622" s="4">
        <v>38166</v>
      </c>
      <c r="B1622" s="6">
        <v>145</v>
      </c>
      <c r="D1622" s="4">
        <v>34185</v>
      </c>
      <c r="E1622" s="6">
        <v>16.63</v>
      </c>
    </row>
    <row r="1623" spans="1:5" x14ac:dyDescent="0.25">
      <c r="A1623" s="4">
        <v>38167</v>
      </c>
      <c r="B1623" s="6">
        <v>145.75</v>
      </c>
      <c r="D1623" s="4">
        <v>34186</v>
      </c>
      <c r="E1623" s="6">
        <v>16.600000000000001</v>
      </c>
    </row>
    <row r="1624" spans="1:5" x14ac:dyDescent="0.25">
      <c r="A1624" s="4">
        <v>38168</v>
      </c>
      <c r="B1624" s="6">
        <v>147.25</v>
      </c>
      <c r="D1624" s="4">
        <v>34187</v>
      </c>
      <c r="E1624" s="6">
        <v>16.38</v>
      </c>
    </row>
    <row r="1625" spans="1:5" x14ac:dyDescent="0.25">
      <c r="A1625" s="4">
        <v>38169</v>
      </c>
      <c r="B1625" s="6">
        <v>152.5</v>
      </c>
      <c r="D1625" s="4">
        <v>34190</v>
      </c>
      <c r="E1625" s="6">
        <v>16.45</v>
      </c>
    </row>
    <row r="1626" spans="1:5" x14ac:dyDescent="0.25">
      <c r="A1626" s="4">
        <v>38170</v>
      </c>
      <c r="B1626" s="6">
        <v>155</v>
      </c>
      <c r="D1626" s="4">
        <v>34191</v>
      </c>
      <c r="E1626" s="6">
        <v>16.3</v>
      </c>
    </row>
    <row r="1627" spans="1:5" x14ac:dyDescent="0.25">
      <c r="A1627" s="4">
        <v>38173</v>
      </c>
      <c r="B1627" s="6">
        <v>157.25</v>
      </c>
      <c r="D1627" s="4">
        <v>34192</v>
      </c>
      <c r="E1627" s="6">
        <v>16.579999999999998</v>
      </c>
    </row>
    <row r="1628" spans="1:5" x14ac:dyDescent="0.25">
      <c r="A1628" s="4">
        <v>38174</v>
      </c>
      <c r="B1628" s="6">
        <v>161.75</v>
      </c>
      <c r="D1628" s="4">
        <v>34193</v>
      </c>
      <c r="E1628" s="6">
        <v>16.78</v>
      </c>
    </row>
    <row r="1629" spans="1:5" x14ac:dyDescent="0.25">
      <c r="A1629" s="4">
        <v>38175</v>
      </c>
      <c r="B1629" s="6">
        <v>158</v>
      </c>
      <c r="D1629" s="4">
        <v>34194</v>
      </c>
      <c r="E1629" s="6">
        <v>16.93</v>
      </c>
    </row>
    <row r="1630" spans="1:5" x14ac:dyDescent="0.25">
      <c r="A1630" s="4">
        <v>38176</v>
      </c>
      <c r="B1630" s="6">
        <v>160.5</v>
      </c>
      <c r="D1630" s="4">
        <v>34197</v>
      </c>
      <c r="E1630" s="6">
        <v>16.8</v>
      </c>
    </row>
    <row r="1631" spans="1:5" x14ac:dyDescent="0.25">
      <c r="A1631" s="4">
        <v>38177</v>
      </c>
      <c r="B1631" s="6">
        <v>159.5</v>
      </c>
      <c r="D1631" s="4">
        <v>34198</v>
      </c>
      <c r="E1631" s="6">
        <v>16.88</v>
      </c>
    </row>
    <row r="1632" spans="1:5" x14ac:dyDescent="0.25">
      <c r="A1632" s="4">
        <v>38180</v>
      </c>
      <c r="B1632" s="6">
        <v>159.75</v>
      </c>
      <c r="D1632" s="4">
        <v>34199</v>
      </c>
      <c r="E1632" s="6">
        <v>16.63</v>
      </c>
    </row>
    <row r="1633" spans="1:5" x14ac:dyDescent="0.25">
      <c r="A1633" s="4">
        <v>38181</v>
      </c>
      <c r="B1633" s="6">
        <v>155.75</v>
      </c>
      <c r="D1633" s="4">
        <v>34200</v>
      </c>
      <c r="E1633" s="6">
        <v>16.63</v>
      </c>
    </row>
    <row r="1634" spans="1:5" x14ac:dyDescent="0.25">
      <c r="A1634" s="4">
        <v>38182</v>
      </c>
      <c r="B1634" s="6">
        <v>157</v>
      </c>
      <c r="D1634" s="4">
        <v>34201</v>
      </c>
      <c r="E1634" s="6">
        <v>16.68</v>
      </c>
    </row>
    <row r="1635" spans="1:5" x14ac:dyDescent="0.25">
      <c r="A1635" s="4">
        <v>38183</v>
      </c>
      <c r="B1635" s="6">
        <v>162.25</v>
      </c>
      <c r="D1635" s="4">
        <v>34204</v>
      </c>
      <c r="E1635" s="6">
        <v>16.829999999999998</v>
      </c>
    </row>
    <row r="1636" spans="1:5" x14ac:dyDescent="0.25">
      <c r="A1636" s="4">
        <v>38184</v>
      </c>
      <c r="B1636" s="6">
        <v>162</v>
      </c>
      <c r="D1636" s="4">
        <v>34205</v>
      </c>
      <c r="E1636" s="6">
        <v>16.93</v>
      </c>
    </row>
    <row r="1637" spans="1:5" x14ac:dyDescent="0.25">
      <c r="A1637" s="4">
        <v>38187</v>
      </c>
      <c r="B1637" s="6">
        <v>163</v>
      </c>
      <c r="D1637" s="4">
        <v>34206</v>
      </c>
      <c r="E1637" s="6">
        <v>16.68</v>
      </c>
    </row>
    <row r="1638" spans="1:5" x14ac:dyDescent="0.25">
      <c r="A1638" s="4">
        <v>38188</v>
      </c>
      <c r="B1638" s="6">
        <v>166</v>
      </c>
      <c r="D1638" s="4">
        <v>34207</v>
      </c>
      <c r="E1638" s="6">
        <v>16.75</v>
      </c>
    </row>
    <row r="1639" spans="1:5" x14ac:dyDescent="0.25">
      <c r="A1639" s="4">
        <v>38189</v>
      </c>
      <c r="B1639" s="6">
        <v>166.25</v>
      </c>
      <c r="D1639" s="4">
        <v>34208</v>
      </c>
      <c r="E1639" s="6">
        <v>17.05</v>
      </c>
    </row>
    <row r="1640" spans="1:5" x14ac:dyDescent="0.25">
      <c r="A1640" s="4">
        <v>38190</v>
      </c>
      <c r="B1640" s="6">
        <v>168.5</v>
      </c>
      <c r="D1640" s="4">
        <v>34211</v>
      </c>
      <c r="E1640" s="5"/>
    </row>
    <row r="1641" spans="1:5" x14ac:dyDescent="0.25">
      <c r="A1641" s="4">
        <v>38191</v>
      </c>
      <c r="B1641" s="6">
        <v>167.5</v>
      </c>
      <c r="D1641" s="4">
        <v>34212</v>
      </c>
      <c r="E1641" s="6">
        <v>16.73</v>
      </c>
    </row>
    <row r="1642" spans="1:5" x14ac:dyDescent="0.25">
      <c r="A1642" s="4">
        <v>38194</v>
      </c>
      <c r="B1642" s="6">
        <v>165.5</v>
      </c>
      <c r="D1642" s="4">
        <v>34213</v>
      </c>
      <c r="E1642" s="6">
        <v>16.55</v>
      </c>
    </row>
    <row r="1643" spans="1:5" x14ac:dyDescent="0.25">
      <c r="A1643" s="4">
        <v>38195</v>
      </c>
      <c r="B1643" s="6">
        <v>164.25</v>
      </c>
      <c r="D1643" s="4">
        <v>34214</v>
      </c>
      <c r="E1643" s="6">
        <v>16.5</v>
      </c>
    </row>
    <row r="1644" spans="1:5" x14ac:dyDescent="0.25">
      <c r="A1644" s="4">
        <v>38196</v>
      </c>
      <c r="B1644" s="6">
        <v>165.75</v>
      </c>
      <c r="D1644" s="4">
        <v>34215</v>
      </c>
      <c r="E1644" s="6">
        <v>16.329999999999998</v>
      </c>
    </row>
    <row r="1645" spans="1:5" x14ac:dyDescent="0.25">
      <c r="A1645" s="4">
        <v>38197</v>
      </c>
      <c r="B1645" s="6">
        <v>164.75</v>
      </c>
      <c r="D1645" s="4">
        <v>34218</v>
      </c>
      <c r="E1645" s="6">
        <v>16.23</v>
      </c>
    </row>
    <row r="1646" spans="1:5" x14ac:dyDescent="0.25">
      <c r="A1646" s="4">
        <v>38198</v>
      </c>
      <c r="B1646" s="6">
        <v>166.75</v>
      </c>
      <c r="D1646" s="4">
        <v>34219</v>
      </c>
      <c r="E1646" s="6">
        <v>15.85</v>
      </c>
    </row>
    <row r="1647" spans="1:5" x14ac:dyDescent="0.25">
      <c r="A1647" s="4">
        <v>38201</v>
      </c>
      <c r="B1647" s="6">
        <v>166.75</v>
      </c>
      <c r="D1647" s="4">
        <v>34220</v>
      </c>
      <c r="E1647" s="6">
        <v>15.65</v>
      </c>
    </row>
    <row r="1648" spans="1:5" x14ac:dyDescent="0.25">
      <c r="A1648" s="4">
        <v>38202</v>
      </c>
      <c r="B1648" s="6">
        <v>168.5</v>
      </c>
      <c r="D1648" s="4">
        <v>34221</v>
      </c>
      <c r="E1648" s="6">
        <v>15.73</v>
      </c>
    </row>
    <row r="1649" spans="1:5" x14ac:dyDescent="0.25">
      <c r="A1649" s="4">
        <v>38203</v>
      </c>
      <c r="B1649" s="6">
        <v>169</v>
      </c>
      <c r="D1649" s="4">
        <v>34222</v>
      </c>
      <c r="E1649" s="6">
        <v>15.43</v>
      </c>
    </row>
    <row r="1650" spans="1:5" x14ac:dyDescent="0.25">
      <c r="A1650" s="4">
        <v>38204</v>
      </c>
      <c r="B1650" s="6">
        <v>169</v>
      </c>
      <c r="D1650" s="4">
        <v>34225</v>
      </c>
      <c r="E1650" s="6">
        <v>15.43</v>
      </c>
    </row>
    <row r="1651" spans="1:5" x14ac:dyDescent="0.25">
      <c r="A1651" s="4">
        <v>38205</v>
      </c>
      <c r="B1651" s="6">
        <v>167.25</v>
      </c>
      <c r="D1651" s="4">
        <v>34226</v>
      </c>
      <c r="E1651" s="6">
        <v>15.58</v>
      </c>
    </row>
    <row r="1652" spans="1:5" x14ac:dyDescent="0.25">
      <c r="A1652" s="4">
        <v>38208</v>
      </c>
      <c r="B1652" s="6">
        <v>167.25</v>
      </c>
      <c r="D1652" s="4">
        <v>34227</v>
      </c>
      <c r="E1652" s="6">
        <v>15.35</v>
      </c>
    </row>
    <row r="1653" spans="1:5" x14ac:dyDescent="0.25">
      <c r="A1653" s="4">
        <v>38209</v>
      </c>
      <c r="B1653" s="6">
        <v>164</v>
      </c>
      <c r="D1653" s="4">
        <v>34228</v>
      </c>
      <c r="E1653" s="6">
        <v>15.43</v>
      </c>
    </row>
    <row r="1654" spans="1:5" x14ac:dyDescent="0.25">
      <c r="A1654" s="4">
        <v>38210</v>
      </c>
      <c r="B1654" s="6">
        <v>162.5</v>
      </c>
      <c r="D1654" s="4">
        <v>34229</v>
      </c>
      <c r="E1654" s="6">
        <v>15.55</v>
      </c>
    </row>
    <row r="1655" spans="1:5" x14ac:dyDescent="0.25">
      <c r="A1655" s="4">
        <v>38211</v>
      </c>
      <c r="B1655" s="6">
        <v>165.25</v>
      </c>
      <c r="D1655" s="4">
        <v>34232</v>
      </c>
      <c r="E1655" s="6">
        <v>16.03</v>
      </c>
    </row>
    <row r="1656" spans="1:5" x14ac:dyDescent="0.25">
      <c r="A1656" s="4">
        <v>38212</v>
      </c>
      <c r="B1656" s="6">
        <v>167</v>
      </c>
      <c r="D1656" s="4">
        <v>34233</v>
      </c>
      <c r="E1656" s="6">
        <v>16.25</v>
      </c>
    </row>
    <row r="1657" spans="1:5" x14ac:dyDescent="0.25">
      <c r="A1657" s="4">
        <v>38215</v>
      </c>
      <c r="B1657" s="6">
        <v>166.5</v>
      </c>
      <c r="D1657" s="4">
        <v>34234</v>
      </c>
      <c r="E1657" s="6">
        <v>15.88</v>
      </c>
    </row>
    <row r="1658" spans="1:5" x14ac:dyDescent="0.25">
      <c r="A1658" s="4">
        <v>38216</v>
      </c>
      <c r="B1658" s="6">
        <v>166.5</v>
      </c>
      <c r="D1658" s="4">
        <v>34235</v>
      </c>
      <c r="E1658" s="6">
        <v>15.88</v>
      </c>
    </row>
    <row r="1659" spans="1:5" x14ac:dyDescent="0.25">
      <c r="A1659" s="4">
        <v>38217</v>
      </c>
      <c r="B1659" s="6">
        <v>163.5</v>
      </c>
      <c r="D1659" s="4">
        <v>34236</v>
      </c>
      <c r="E1659" s="6">
        <v>16.100000000000001</v>
      </c>
    </row>
    <row r="1660" spans="1:5" x14ac:dyDescent="0.25">
      <c r="A1660" s="4">
        <v>38218</v>
      </c>
      <c r="B1660" s="6">
        <v>161.75</v>
      </c>
      <c r="D1660" s="4">
        <v>34239</v>
      </c>
      <c r="E1660" s="6">
        <v>16.100000000000001</v>
      </c>
    </row>
    <row r="1661" spans="1:5" x14ac:dyDescent="0.25">
      <c r="A1661" s="4">
        <v>38219</v>
      </c>
      <c r="B1661" s="6">
        <v>164.75</v>
      </c>
      <c r="D1661" s="4">
        <v>34240</v>
      </c>
      <c r="E1661" s="6">
        <v>16.399999999999999</v>
      </c>
    </row>
    <row r="1662" spans="1:5" x14ac:dyDescent="0.25">
      <c r="A1662" s="4">
        <v>38222</v>
      </c>
      <c r="B1662" s="6">
        <v>160.5</v>
      </c>
      <c r="D1662" s="4">
        <v>34241</v>
      </c>
      <c r="E1662" s="6">
        <v>16.78</v>
      </c>
    </row>
    <row r="1663" spans="1:5" x14ac:dyDescent="0.25">
      <c r="A1663" s="4">
        <v>38223</v>
      </c>
      <c r="B1663" s="6">
        <v>159</v>
      </c>
      <c r="D1663" s="4">
        <v>34242</v>
      </c>
      <c r="E1663" s="6">
        <v>17.23</v>
      </c>
    </row>
    <row r="1664" spans="1:5" x14ac:dyDescent="0.25">
      <c r="A1664" s="4">
        <v>38224</v>
      </c>
      <c r="B1664" s="6">
        <v>158.5</v>
      </c>
      <c r="D1664" s="4">
        <v>34243</v>
      </c>
      <c r="E1664" s="6">
        <v>17.079999999999998</v>
      </c>
    </row>
    <row r="1665" spans="1:5" x14ac:dyDescent="0.25">
      <c r="A1665" s="4">
        <v>38225</v>
      </c>
      <c r="B1665" s="6">
        <v>153.5</v>
      </c>
      <c r="D1665" s="4">
        <v>34246</v>
      </c>
      <c r="E1665" s="6">
        <v>16.899999999999999</v>
      </c>
    </row>
    <row r="1666" spans="1:5" x14ac:dyDescent="0.25">
      <c r="A1666" s="4">
        <v>38226</v>
      </c>
      <c r="B1666" s="6">
        <v>152</v>
      </c>
      <c r="D1666" s="4">
        <v>34247</v>
      </c>
      <c r="E1666" s="6">
        <v>16.78</v>
      </c>
    </row>
    <row r="1667" spans="1:5" x14ac:dyDescent="0.25">
      <c r="A1667" s="4">
        <v>38230</v>
      </c>
      <c r="B1667" s="6">
        <v>150</v>
      </c>
      <c r="D1667" s="4">
        <v>34248</v>
      </c>
      <c r="E1667" s="6">
        <v>16.98</v>
      </c>
    </row>
    <row r="1668" spans="1:5" x14ac:dyDescent="0.25">
      <c r="A1668" s="4">
        <v>38231</v>
      </c>
      <c r="B1668" s="6">
        <v>158</v>
      </c>
      <c r="D1668" s="4">
        <v>34249</v>
      </c>
      <c r="E1668" s="6">
        <v>16.88</v>
      </c>
    </row>
    <row r="1669" spans="1:5" x14ac:dyDescent="0.25">
      <c r="A1669" s="4">
        <v>38232</v>
      </c>
      <c r="B1669" s="6">
        <v>158.25</v>
      </c>
      <c r="D1669" s="4">
        <v>34250</v>
      </c>
      <c r="E1669" s="6">
        <v>16.98</v>
      </c>
    </row>
    <row r="1670" spans="1:5" x14ac:dyDescent="0.25">
      <c r="A1670" s="4">
        <v>38233</v>
      </c>
      <c r="B1670" s="6">
        <v>156</v>
      </c>
      <c r="D1670" s="4">
        <v>34253</v>
      </c>
      <c r="E1670" s="6">
        <v>17.13</v>
      </c>
    </row>
    <row r="1671" spans="1:5" x14ac:dyDescent="0.25">
      <c r="A1671" s="4">
        <v>38236</v>
      </c>
      <c r="B1671" s="6">
        <v>155.75</v>
      </c>
      <c r="D1671" s="4">
        <v>34254</v>
      </c>
      <c r="E1671" s="6">
        <v>17.149999999999999</v>
      </c>
    </row>
    <row r="1672" spans="1:5" x14ac:dyDescent="0.25">
      <c r="A1672" s="4">
        <v>38237</v>
      </c>
      <c r="B1672" s="6">
        <v>154.75</v>
      </c>
      <c r="D1672" s="4">
        <v>34255</v>
      </c>
      <c r="E1672" s="6">
        <v>17</v>
      </c>
    </row>
    <row r="1673" spans="1:5" x14ac:dyDescent="0.25">
      <c r="A1673" s="4">
        <v>38238</v>
      </c>
      <c r="B1673" s="6">
        <v>155.5</v>
      </c>
      <c r="D1673" s="4">
        <v>34256</v>
      </c>
      <c r="E1673" s="6">
        <v>16.8</v>
      </c>
    </row>
    <row r="1674" spans="1:5" x14ac:dyDescent="0.25">
      <c r="A1674" s="4">
        <v>38239</v>
      </c>
      <c r="B1674" s="6">
        <v>160.25</v>
      </c>
      <c r="D1674" s="4">
        <v>34257</v>
      </c>
      <c r="E1674" s="6">
        <v>16.7</v>
      </c>
    </row>
    <row r="1675" spans="1:5" x14ac:dyDescent="0.25">
      <c r="A1675" s="4">
        <v>38240</v>
      </c>
      <c r="B1675" s="6">
        <v>160.25</v>
      </c>
      <c r="D1675" s="4">
        <v>34260</v>
      </c>
      <c r="E1675" s="6">
        <v>16.5</v>
      </c>
    </row>
    <row r="1676" spans="1:5" x14ac:dyDescent="0.25">
      <c r="A1676" s="4">
        <v>38243</v>
      </c>
      <c r="B1676" s="6">
        <v>158.25</v>
      </c>
      <c r="D1676" s="4">
        <v>34261</v>
      </c>
      <c r="E1676" s="6">
        <v>16.53</v>
      </c>
    </row>
    <row r="1677" spans="1:5" x14ac:dyDescent="0.25">
      <c r="A1677" s="4">
        <v>38244</v>
      </c>
      <c r="B1677" s="6">
        <v>158.75</v>
      </c>
      <c r="D1677" s="4">
        <v>34262</v>
      </c>
      <c r="E1677" s="6">
        <v>16.68</v>
      </c>
    </row>
    <row r="1678" spans="1:5" x14ac:dyDescent="0.25">
      <c r="A1678" s="4">
        <v>38245</v>
      </c>
      <c r="B1678" s="6">
        <v>159.75</v>
      </c>
      <c r="D1678" s="4">
        <v>34263</v>
      </c>
      <c r="E1678" s="6">
        <v>16.88</v>
      </c>
    </row>
    <row r="1679" spans="1:5" x14ac:dyDescent="0.25">
      <c r="A1679" s="4">
        <v>38246</v>
      </c>
      <c r="B1679" s="6">
        <v>155.25</v>
      </c>
      <c r="D1679" s="4">
        <v>34264</v>
      </c>
      <c r="E1679" s="6">
        <v>16.48</v>
      </c>
    </row>
    <row r="1680" spans="1:5" x14ac:dyDescent="0.25">
      <c r="A1680" s="4">
        <v>38247</v>
      </c>
      <c r="B1680" s="6">
        <v>157.625</v>
      </c>
      <c r="D1680" s="4">
        <v>34267</v>
      </c>
      <c r="E1680" s="6">
        <v>16.13</v>
      </c>
    </row>
    <row r="1681" spans="1:5" x14ac:dyDescent="0.25">
      <c r="A1681" s="4">
        <v>38250</v>
      </c>
      <c r="B1681" s="6">
        <v>157.75</v>
      </c>
      <c r="D1681" s="4">
        <v>34268</v>
      </c>
      <c r="E1681" s="6">
        <v>15.95</v>
      </c>
    </row>
    <row r="1682" spans="1:5" x14ac:dyDescent="0.25">
      <c r="A1682" s="4">
        <v>38251</v>
      </c>
      <c r="B1682" s="6">
        <v>159</v>
      </c>
      <c r="D1682" s="4">
        <v>34269</v>
      </c>
      <c r="E1682" s="6">
        <v>15.95</v>
      </c>
    </row>
    <row r="1683" spans="1:5" x14ac:dyDescent="0.25">
      <c r="A1683" s="4">
        <v>38252</v>
      </c>
      <c r="B1683" s="6">
        <v>162.25</v>
      </c>
      <c r="D1683" s="4">
        <v>34270</v>
      </c>
      <c r="E1683" s="6">
        <v>15.83</v>
      </c>
    </row>
    <row r="1684" spans="1:5" x14ac:dyDescent="0.25">
      <c r="A1684" s="4">
        <v>38253</v>
      </c>
      <c r="B1684" s="6">
        <v>161.375</v>
      </c>
      <c r="D1684" s="4">
        <v>34271</v>
      </c>
      <c r="E1684" s="6">
        <v>15.43</v>
      </c>
    </row>
    <row r="1685" spans="1:5" x14ac:dyDescent="0.25">
      <c r="A1685" s="4">
        <v>38254</v>
      </c>
      <c r="B1685" s="6">
        <v>162.25</v>
      </c>
      <c r="D1685" s="4">
        <v>34274</v>
      </c>
      <c r="E1685" s="6">
        <v>15.83</v>
      </c>
    </row>
    <row r="1686" spans="1:5" x14ac:dyDescent="0.25">
      <c r="A1686" s="4">
        <v>38257</v>
      </c>
      <c r="B1686" s="6">
        <v>166</v>
      </c>
      <c r="D1686" s="4">
        <v>34275</v>
      </c>
      <c r="E1686" s="6">
        <v>15.63</v>
      </c>
    </row>
    <row r="1687" spans="1:5" x14ac:dyDescent="0.25">
      <c r="A1687" s="4">
        <v>38258</v>
      </c>
      <c r="B1687" s="6">
        <v>165</v>
      </c>
      <c r="D1687" s="4">
        <v>34276</v>
      </c>
      <c r="E1687" s="6">
        <v>15.83</v>
      </c>
    </row>
    <row r="1688" spans="1:5" x14ac:dyDescent="0.25">
      <c r="A1688" s="4">
        <v>38259</v>
      </c>
      <c r="B1688" s="6">
        <v>164.25</v>
      </c>
      <c r="D1688" s="4">
        <v>34277</v>
      </c>
      <c r="E1688" s="6">
        <v>15.78</v>
      </c>
    </row>
    <row r="1689" spans="1:5" x14ac:dyDescent="0.25">
      <c r="A1689" s="4">
        <v>38260</v>
      </c>
      <c r="B1689" s="6">
        <v>166.5</v>
      </c>
      <c r="D1689" s="4">
        <v>34278</v>
      </c>
      <c r="E1689" s="6">
        <v>15.73</v>
      </c>
    </row>
    <row r="1690" spans="1:5" x14ac:dyDescent="0.25">
      <c r="A1690" s="4">
        <v>38261</v>
      </c>
      <c r="B1690" s="6">
        <v>163.25</v>
      </c>
      <c r="D1690" s="4">
        <v>34281</v>
      </c>
      <c r="E1690" s="6">
        <v>15.28</v>
      </c>
    </row>
    <row r="1691" spans="1:5" x14ac:dyDescent="0.25">
      <c r="A1691" s="4">
        <v>38264</v>
      </c>
      <c r="B1691" s="6">
        <v>164.25</v>
      </c>
      <c r="D1691" s="4">
        <v>34282</v>
      </c>
      <c r="E1691" s="6">
        <v>15.33</v>
      </c>
    </row>
    <row r="1692" spans="1:5" x14ac:dyDescent="0.25">
      <c r="A1692" s="4">
        <v>38265</v>
      </c>
      <c r="B1692" s="6">
        <v>166.5</v>
      </c>
      <c r="D1692" s="4">
        <v>34283</v>
      </c>
      <c r="E1692" s="6">
        <v>15.23</v>
      </c>
    </row>
    <row r="1693" spans="1:5" x14ac:dyDescent="0.25">
      <c r="A1693" s="4">
        <v>38266</v>
      </c>
      <c r="B1693" s="6">
        <v>166.75</v>
      </c>
      <c r="D1693" s="4">
        <v>34284</v>
      </c>
      <c r="E1693" s="6">
        <v>15.18</v>
      </c>
    </row>
    <row r="1694" spans="1:5" x14ac:dyDescent="0.25">
      <c r="A1694" s="4">
        <v>38267</v>
      </c>
      <c r="B1694" s="6">
        <v>171.5</v>
      </c>
      <c r="D1694" s="4">
        <v>34285</v>
      </c>
      <c r="E1694" s="6">
        <v>15.08</v>
      </c>
    </row>
    <row r="1695" spans="1:5" x14ac:dyDescent="0.25">
      <c r="A1695" s="4">
        <v>38268</v>
      </c>
      <c r="B1695" s="6">
        <v>171.25</v>
      </c>
      <c r="D1695" s="4">
        <v>34288</v>
      </c>
      <c r="E1695" s="6">
        <v>15.25</v>
      </c>
    </row>
    <row r="1696" spans="1:5" x14ac:dyDescent="0.25">
      <c r="A1696" s="4">
        <v>38271</v>
      </c>
      <c r="B1696" s="6">
        <v>171.5</v>
      </c>
      <c r="D1696" s="4">
        <v>34289</v>
      </c>
      <c r="E1696" s="6">
        <v>15.33</v>
      </c>
    </row>
    <row r="1697" spans="1:5" x14ac:dyDescent="0.25">
      <c r="A1697" s="4">
        <v>38272</v>
      </c>
      <c r="B1697" s="6">
        <v>176.25</v>
      </c>
      <c r="D1697" s="4">
        <v>34290</v>
      </c>
      <c r="E1697" s="6">
        <v>15.55</v>
      </c>
    </row>
    <row r="1698" spans="1:5" x14ac:dyDescent="0.25">
      <c r="A1698" s="4">
        <v>38273</v>
      </c>
      <c r="B1698" s="6">
        <v>170.75</v>
      </c>
      <c r="D1698" s="4">
        <v>34291</v>
      </c>
      <c r="E1698" s="6">
        <v>15.4</v>
      </c>
    </row>
    <row r="1699" spans="1:5" x14ac:dyDescent="0.25">
      <c r="A1699" s="4">
        <v>38274</v>
      </c>
      <c r="B1699" s="6">
        <v>175.75</v>
      </c>
      <c r="D1699" s="4">
        <v>34292</v>
      </c>
      <c r="E1699" s="6">
        <v>15.25</v>
      </c>
    </row>
    <row r="1700" spans="1:5" x14ac:dyDescent="0.25">
      <c r="A1700" s="4">
        <v>38275</v>
      </c>
      <c r="B1700" s="6">
        <v>174.75</v>
      </c>
      <c r="D1700" s="4">
        <v>34295</v>
      </c>
      <c r="E1700" s="6">
        <v>15.35</v>
      </c>
    </row>
    <row r="1701" spans="1:5" x14ac:dyDescent="0.25">
      <c r="A1701" s="4">
        <v>38278</v>
      </c>
      <c r="B1701" s="6">
        <v>173.25</v>
      </c>
      <c r="D1701" s="4">
        <v>34296</v>
      </c>
      <c r="E1701" s="6">
        <v>15.25</v>
      </c>
    </row>
    <row r="1702" spans="1:5" x14ac:dyDescent="0.25">
      <c r="A1702" s="4">
        <v>38279</v>
      </c>
      <c r="B1702" s="6">
        <v>171.5</v>
      </c>
      <c r="D1702" s="4">
        <v>34297</v>
      </c>
      <c r="E1702" s="6">
        <v>15.13</v>
      </c>
    </row>
    <row r="1703" spans="1:5" x14ac:dyDescent="0.25">
      <c r="A1703" s="4">
        <v>38280</v>
      </c>
      <c r="B1703" s="6">
        <v>175.5</v>
      </c>
      <c r="D1703" s="4">
        <v>34298</v>
      </c>
      <c r="E1703" s="6">
        <v>14.35</v>
      </c>
    </row>
    <row r="1704" spans="1:5" x14ac:dyDescent="0.25">
      <c r="A1704" s="4">
        <v>38281</v>
      </c>
      <c r="B1704" s="6">
        <v>174.25</v>
      </c>
      <c r="D1704" s="4">
        <v>34299</v>
      </c>
      <c r="E1704" s="6">
        <v>14.28</v>
      </c>
    </row>
    <row r="1705" spans="1:5" x14ac:dyDescent="0.25">
      <c r="A1705" s="4">
        <v>38282</v>
      </c>
      <c r="B1705" s="6">
        <v>175.5</v>
      </c>
      <c r="D1705" s="4">
        <v>34302</v>
      </c>
      <c r="E1705" s="6">
        <v>14.05</v>
      </c>
    </row>
    <row r="1706" spans="1:5" x14ac:dyDescent="0.25">
      <c r="A1706" s="4">
        <v>38285</v>
      </c>
      <c r="B1706" s="6">
        <v>175.5</v>
      </c>
      <c r="D1706" s="4">
        <v>34303</v>
      </c>
      <c r="E1706" s="6">
        <v>14.23</v>
      </c>
    </row>
    <row r="1707" spans="1:5" x14ac:dyDescent="0.25">
      <c r="A1707" s="4">
        <v>38286</v>
      </c>
      <c r="B1707" s="6">
        <v>174</v>
      </c>
      <c r="D1707" s="4">
        <v>34304</v>
      </c>
      <c r="E1707" s="6">
        <v>14.43</v>
      </c>
    </row>
    <row r="1708" spans="1:5" x14ac:dyDescent="0.25">
      <c r="A1708" s="4">
        <v>38287</v>
      </c>
      <c r="B1708" s="6">
        <v>171.75</v>
      </c>
      <c r="D1708" s="4">
        <v>34305</v>
      </c>
      <c r="E1708" s="6">
        <v>14.15</v>
      </c>
    </row>
    <row r="1709" spans="1:5" x14ac:dyDescent="0.25">
      <c r="A1709" s="4">
        <v>38288</v>
      </c>
      <c r="B1709" s="6">
        <v>169.5</v>
      </c>
      <c r="D1709" s="4">
        <v>34306</v>
      </c>
      <c r="E1709" s="6">
        <v>13.95</v>
      </c>
    </row>
    <row r="1710" spans="1:5" x14ac:dyDescent="0.25">
      <c r="A1710" s="4">
        <v>38289</v>
      </c>
      <c r="B1710" s="6">
        <v>164.25</v>
      </c>
      <c r="D1710" s="4">
        <v>34309</v>
      </c>
      <c r="E1710" s="6">
        <v>13.9</v>
      </c>
    </row>
    <row r="1711" spans="1:5" x14ac:dyDescent="0.25">
      <c r="A1711" s="4">
        <v>38292</v>
      </c>
      <c r="B1711" s="6">
        <v>163.75</v>
      </c>
      <c r="D1711" s="4">
        <v>34310</v>
      </c>
      <c r="E1711" s="6">
        <v>13.88</v>
      </c>
    </row>
    <row r="1712" spans="1:5" x14ac:dyDescent="0.25">
      <c r="A1712" s="4">
        <v>38293</v>
      </c>
      <c r="B1712" s="6">
        <v>161.5</v>
      </c>
      <c r="D1712" s="4">
        <v>34311</v>
      </c>
      <c r="E1712" s="6">
        <v>13.45</v>
      </c>
    </row>
    <row r="1713" spans="1:5" x14ac:dyDescent="0.25">
      <c r="A1713" s="4">
        <v>38294</v>
      </c>
      <c r="B1713" s="6">
        <v>158</v>
      </c>
      <c r="D1713" s="4">
        <v>34312</v>
      </c>
      <c r="E1713" s="6">
        <v>13.6</v>
      </c>
    </row>
    <row r="1714" spans="1:5" x14ac:dyDescent="0.25">
      <c r="A1714" s="4">
        <v>38295</v>
      </c>
      <c r="B1714" s="6">
        <v>158.75</v>
      </c>
      <c r="D1714" s="4">
        <v>34313</v>
      </c>
      <c r="E1714" s="6">
        <v>13.8</v>
      </c>
    </row>
    <row r="1715" spans="1:5" x14ac:dyDescent="0.25">
      <c r="A1715" s="4">
        <v>38296</v>
      </c>
      <c r="B1715" s="6">
        <v>153</v>
      </c>
      <c r="D1715" s="4">
        <v>34316</v>
      </c>
      <c r="E1715" s="6">
        <v>13.9</v>
      </c>
    </row>
    <row r="1716" spans="1:5" x14ac:dyDescent="0.25">
      <c r="A1716" s="4">
        <v>38299</v>
      </c>
      <c r="B1716" s="6">
        <v>151</v>
      </c>
      <c r="D1716" s="4">
        <v>34317</v>
      </c>
      <c r="E1716" s="6">
        <v>14.78</v>
      </c>
    </row>
    <row r="1717" spans="1:5" x14ac:dyDescent="0.25">
      <c r="A1717" s="4">
        <v>38300</v>
      </c>
      <c r="B1717" s="6">
        <v>148</v>
      </c>
      <c r="D1717" s="4">
        <v>34318</v>
      </c>
      <c r="E1717" s="6">
        <v>13.8</v>
      </c>
    </row>
    <row r="1718" spans="1:5" x14ac:dyDescent="0.25">
      <c r="A1718" s="4">
        <v>38301</v>
      </c>
      <c r="B1718" s="6">
        <v>144.25</v>
      </c>
      <c r="D1718" s="4">
        <v>34319</v>
      </c>
      <c r="E1718" s="6">
        <v>13.63</v>
      </c>
    </row>
    <row r="1719" spans="1:5" x14ac:dyDescent="0.25">
      <c r="A1719" s="4">
        <v>38302</v>
      </c>
      <c r="B1719" s="6">
        <v>137.25</v>
      </c>
      <c r="D1719" s="4">
        <v>34320</v>
      </c>
      <c r="E1719" s="6">
        <v>13.85</v>
      </c>
    </row>
    <row r="1720" spans="1:5" x14ac:dyDescent="0.25">
      <c r="A1720" s="4">
        <v>38303</v>
      </c>
      <c r="B1720" s="6">
        <v>136</v>
      </c>
      <c r="D1720" s="4">
        <v>34323</v>
      </c>
      <c r="E1720" s="6">
        <v>13.63</v>
      </c>
    </row>
    <row r="1721" spans="1:5" x14ac:dyDescent="0.25">
      <c r="A1721" s="4">
        <v>38306</v>
      </c>
      <c r="B1721" s="6">
        <v>128.75</v>
      </c>
      <c r="D1721" s="4">
        <v>34324</v>
      </c>
      <c r="E1721" s="6">
        <v>13.45</v>
      </c>
    </row>
    <row r="1722" spans="1:5" x14ac:dyDescent="0.25">
      <c r="A1722" s="4">
        <v>38307</v>
      </c>
      <c r="B1722" s="6">
        <v>129</v>
      </c>
      <c r="D1722" s="4">
        <v>34325</v>
      </c>
      <c r="E1722" s="6">
        <v>13.6</v>
      </c>
    </row>
    <row r="1723" spans="1:5" x14ac:dyDescent="0.25">
      <c r="A1723" s="4">
        <v>38308</v>
      </c>
      <c r="B1723" s="6">
        <v>124</v>
      </c>
      <c r="D1723" s="4">
        <v>34326</v>
      </c>
      <c r="E1723" s="6">
        <v>13.55</v>
      </c>
    </row>
    <row r="1724" spans="1:5" x14ac:dyDescent="0.25">
      <c r="A1724" s="4">
        <v>38309</v>
      </c>
      <c r="B1724" s="6">
        <v>129</v>
      </c>
      <c r="D1724" s="4">
        <v>34327</v>
      </c>
      <c r="E1724" s="6">
        <v>13.38</v>
      </c>
    </row>
    <row r="1725" spans="1:5" x14ac:dyDescent="0.25">
      <c r="A1725" s="4">
        <v>38310</v>
      </c>
      <c r="B1725" s="6">
        <v>135</v>
      </c>
      <c r="D1725" s="4">
        <v>34330</v>
      </c>
      <c r="E1725" s="5"/>
    </row>
    <row r="1726" spans="1:5" x14ac:dyDescent="0.25">
      <c r="A1726" s="4">
        <v>38313</v>
      </c>
      <c r="B1726" s="6">
        <v>138.5</v>
      </c>
      <c r="D1726" s="4">
        <v>34331</v>
      </c>
      <c r="E1726" s="5"/>
    </row>
    <row r="1727" spans="1:5" x14ac:dyDescent="0.25">
      <c r="A1727" s="4">
        <v>38314</v>
      </c>
      <c r="B1727" s="6">
        <v>141</v>
      </c>
      <c r="D1727" s="4">
        <v>34332</v>
      </c>
      <c r="E1727" s="6">
        <v>13.13</v>
      </c>
    </row>
    <row r="1728" spans="1:5" x14ac:dyDescent="0.25">
      <c r="A1728" s="4">
        <v>38315</v>
      </c>
      <c r="B1728" s="6">
        <v>138.25</v>
      </c>
      <c r="D1728" s="4">
        <v>34333</v>
      </c>
      <c r="E1728" s="6">
        <v>13.2</v>
      </c>
    </row>
    <row r="1729" spans="1:5" x14ac:dyDescent="0.25">
      <c r="A1729" s="4">
        <v>38316</v>
      </c>
      <c r="B1729" s="6">
        <v>140.5</v>
      </c>
      <c r="D1729" s="4">
        <v>34334</v>
      </c>
      <c r="E1729" s="6">
        <v>13.18</v>
      </c>
    </row>
    <row r="1730" spans="1:5" x14ac:dyDescent="0.25">
      <c r="A1730" s="4">
        <v>38317</v>
      </c>
      <c r="B1730" s="6">
        <v>139</v>
      </c>
      <c r="D1730" s="4">
        <v>34337</v>
      </c>
      <c r="E1730" s="5"/>
    </row>
    <row r="1731" spans="1:5" x14ac:dyDescent="0.25">
      <c r="A1731" s="4">
        <v>38320</v>
      </c>
      <c r="B1731" s="6">
        <v>140.75</v>
      </c>
      <c r="D1731" s="4">
        <v>34338</v>
      </c>
      <c r="E1731" s="6">
        <v>13.43</v>
      </c>
    </row>
    <row r="1732" spans="1:5" x14ac:dyDescent="0.25">
      <c r="A1732" s="4">
        <v>38321</v>
      </c>
      <c r="B1732" s="6">
        <v>134.75</v>
      </c>
      <c r="D1732" s="4">
        <v>34339</v>
      </c>
      <c r="E1732" s="6">
        <v>14.1</v>
      </c>
    </row>
    <row r="1733" spans="1:5" x14ac:dyDescent="0.25">
      <c r="A1733" s="4">
        <v>38322</v>
      </c>
      <c r="B1733" s="6">
        <v>130</v>
      </c>
      <c r="D1733" s="4">
        <v>34340</v>
      </c>
      <c r="E1733" s="6">
        <v>14.55</v>
      </c>
    </row>
    <row r="1734" spans="1:5" x14ac:dyDescent="0.25">
      <c r="A1734" s="4">
        <v>38323</v>
      </c>
      <c r="B1734" s="6">
        <v>123.5</v>
      </c>
      <c r="D1734" s="4">
        <v>34341</v>
      </c>
      <c r="E1734" s="6">
        <v>14.63</v>
      </c>
    </row>
    <row r="1735" spans="1:5" x14ac:dyDescent="0.25">
      <c r="A1735" s="4">
        <v>38324</v>
      </c>
      <c r="B1735" s="6">
        <v>127.75</v>
      </c>
      <c r="D1735" s="4">
        <v>34344</v>
      </c>
      <c r="E1735" s="6">
        <v>14.15</v>
      </c>
    </row>
    <row r="1736" spans="1:5" x14ac:dyDescent="0.25">
      <c r="A1736" s="4">
        <v>38327</v>
      </c>
      <c r="B1736" s="6">
        <v>142</v>
      </c>
      <c r="D1736" s="4">
        <v>34345</v>
      </c>
      <c r="E1736" s="6">
        <v>14.1</v>
      </c>
    </row>
    <row r="1737" spans="1:5" x14ac:dyDescent="0.25">
      <c r="A1737" s="4">
        <v>38328</v>
      </c>
      <c r="B1737" s="6">
        <v>146</v>
      </c>
      <c r="D1737" s="4">
        <v>34346</v>
      </c>
      <c r="E1737" s="6">
        <v>13.9</v>
      </c>
    </row>
    <row r="1738" spans="1:5" x14ac:dyDescent="0.25">
      <c r="A1738" s="4">
        <v>38329</v>
      </c>
      <c r="B1738" s="6">
        <v>138.75</v>
      </c>
      <c r="D1738" s="4">
        <v>34347</v>
      </c>
      <c r="E1738" s="6">
        <v>13.75</v>
      </c>
    </row>
    <row r="1739" spans="1:5" x14ac:dyDescent="0.25">
      <c r="A1739" s="4">
        <v>38330</v>
      </c>
      <c r="B1739" s="6">
        <v>140.5</v>
      </c>
      <c r="D1739" s="4">
        <v>34348</v>
      </c>
      <c r="E1739" s="6">
        <v>14.1</v>
      </c>
    </row>
    <row r="1740" spans="1:5" x14ac:dyDescent="0.25">
      <c r="A1740" s="4">
        <v>38331</v>
      </c>
      <c r="B1740" s="6">
        <v>136.5</v>
      </c>
      <c r="D1740" s="4">
        <v>34351</v>
      </c>
      <c r="E1740" s="6">
        <v>14.4</v>
      </c>
    </row>
    <row r="1741" spans="1:5" x14ac:dyDescent="0.25">
      <c r="A1741" s="4">
        <v>38334</v>
      </c>
      <c r="B1741" s="6">
        <v>131</v>
      </c>
      <c r="D1741" s="4">
        <v>34352</v>
      </c>
      <c r="E1741" s="6">
        <v>14.1</v>
      </c>
    </row>
    <row r="1742" spans="1:5" x14ac:dyDescent="0.25">
      <c r="A1742" s="4">
        <v>38335</v>
      </c>
      <c r="B1742" s="6">
        <v>131.5</v>
      </c>
      <c r="D1742" s="4">
        <v>34353</v>
      </c>
      <c r="E1742" s="6">
        <v>14.25</v>
      </c>
    </row>
    <row r="1743" spans="1:5" x14ac:dyDescent="0.25">
      <c r="A1743" s="4">
        <v>38336</v>
      </c>
      <c r="B1743" s="6">
        <v>149</v>
      </c>
      <c r="D1743" s="4">
        <v>34354</v>
      </c>
      <c r="E1743" s="6">
        <v>14.1</v>
      </c>
    </row>
    <row r="1744" spans="1:5" x14ac:dyDescent="0.25">
      <c r="A1744" s="4">
        <v>38337</v>
      </c>
      <c r="B1744" s="6">
        <v>141</v>
      </c>
      <c r="D1744" s="4">
        <v>34355</v>
      </c>
      <c r="E1744" s="6">
        <v>14.23</v>
      </c>
    </row>
    <row r="1745" spans="1:5" x14ac:dyDescent="0.25">
      <c r="A1745" s="4">
        <v>38338</v>
      </c>
      <c r="B1745" s="6">
        <v>144.5</v>
      </c>
      <c r="D1745" s="4">
        <v>34358</v>
      </c>
      <c r="E1745" s="6">
        <v>14.35</v>
      </c>
    </row>
    <row r="1746" spans="1:5" x14ac:dyDescent="0.25">
      <c r="A1746" s="4">
        <v>38341</v>
      </c>
      <c r="B1746" s="6">
        <v>141.5</v>
      </c>
      <c r="D1746" s="4">
        <v>34359</v>
      </c>
      <c r="E1746" s="6">
        <v>14.63</v>
      </c>
    </row>
    <row r="1747" spans="1:5" x14ac:dyDescent="0.25">
      <c r="A1747" s="4">
        <v>38342</v>
      </c>
      <c r="B1747" s="6">
        <v>144.25</v>
      </c>
      <c r="D1747" s="4">
        <v>34360</v>
      </c>
      <c r="E1747" s="6">
        <v>14.8</v>
      </c>
    </row>
    <row r="1748" spans="1:5" x14ac:dyDescent="0.25">
      <c r="A1748" s="4">
        <v>38343</v>
      </c>
      <c r="B1748" s="6">
        <v>142</v>
      </c>
      <c r="D1748" s="4">
        <v>34361</v>
      </c>
      <c r="E1748" s="6">
        <v>14.78</v>
      </c>
    </row>
    <row r="1749" spans="1:5" x14ac:dyDescent="0.25">
      <c r="A1749" s="4">
        <v>38344</v>
      </c>
      <c r="B1749" s="6">
        <v>143</v>
      </c>
      <c r="D1749" s="4">
        <v>34362</v>
      </c>
      <c r="E1749" s="6">
        <v>14.65</v>
      </c>
    </row>
    <row r="1750" spans="1:5" x14ac:dyDescent="0.25">
      <c r="A1750" s="4">
        <v>38345</v>
      </c>
      <c r="B1750" s="6">
        <v>138.5</v>
      </c>
      <c r="D1750" s="4">
        <v>34365</v>
      </c>
      <c r="E1750" s="6">
        <v>14.83</v>
      </c>
    </row>
    <row r="1751" spans="1:5" x14ac:dyDescent="0.25">
      <c r="A1751" s="4">
        <v>38350</v>
      </c>
      <c r="B1751" s="6">
        <v>138</v>
      </c>
      <c r="D1751" s="4">
        <v>34366</v>
      </c>
      <c r="E1751" s="6">
        <v>15.03</v>
      </c>
    </row>
    <row r="1752" spans="1:5" x14ac:dyDescent="0.25">
      <c r="A1752" s="4">
        <v>38351</v>
      </c>
      <c r="B1752" s="6">
        <v>142.5</v>
      </c>
      <c r="D1752" s="4">
        <v>34367</v>
      </c>
      <c r="E1752" s="6">
        <v>15.4</v>
      </c>
    </row>
    <row r="1753" spans="1:5" x14ac:dyDescent="0.25">
      <c r="A1753" s="4">
        <v>38352</v>
      </c>
      <c r="B1753" s="6">
        <v>138.5</v>
      </c>
      <c r="D1753" s="4">
        <v>34368</v>
      </c>
      <c r="E1753" s="6">
        <v>15.48</v>
      </c>
    </row>
    <row r="1754" spans="1:5" x14ac:dyDescent="0.25">
      <c r="A1754" s="4">
        <v>38356</v>
      </c>
      <c r="B1754" s="6">
        <v>144.875</v>
      </c>
      <c r="D1754" s="4">
        <v>34369</v>
      </c>
      <c r="E1754" s="6">
        <v>14.93</v>
      </c>
    </row>
    <row r="1755" spans="1:5" x14ac:dyDescent="0.25">
      <c r="A1755" s="4">
        <v>38357</v>
      </c>
      <c r="B1755" s="6">
        <v>142.875</v>
      </c>
      <c r="D1755" s="4">
        <v>34372</v>
      </c>
      <c r="E1755" s="6">
        <v>14.6</v>
      </c>
    </row>
    <row r="1756" spans="1:5" x14ac:dyDescent="0.25">
      <c r="A1756" s="4">
        <v>38358</v>
      </c>
      <c r="B1756" s="6">
        <v>145</v>
      </c>
      <c r="D1756" s="4">
        <v>34373</v>
      </c>
      <c r="E1756" s="6">
        <v>14.13</v>
      </c>
    </row>
    <row r="1757" spans="1:5" x14ac:dyDescent="0.25">
      <c r="A1757" s="4">
        <v>38359</v>
      </c>
      <c r="B1757" s="6">
        <v>144</v>
      </c>
      <c r="D1757" s="4">
        <v>34374</v>
      </c>
      <c r="E1757" s="6">
        <v>13.53</v>
      </c>
    </row>
    <row r="1758" spans="1:5" x14ac:dyDescent="0.25">
      <c r="A1758" s="4">
        <v>38362</v>
      </c>
      <c r="B1758" s="6">
        <v>148.75</v>
      </c>
      <c r="D1758" s="4">
        <v>34375</v>
      </c>
      <c r="E1758" s="6">
        <v>13.58</v>
      </c>
    </row>
    <row r="1759" spans="1:5" x14ac:dyDescent="0.25">
      <c r="A1759" s="4">
        <v>38363</v>
      </c>
      <c r="B1759" s="6">
        <v>148.75</v>
      </c>
      <c r="D1759" s="4">
        <v>34376</v>
      </c>
      <c r="E1759" s="6">
        <v>13.7</v>
      </c>
    </row>
    <row r="1760" spans="1:5" x14ac:dyDescent="0.25">
      <c r="A1760" s="4">
        <v>38364</v>
      </c>
      <c r="B1760" s="6">
        <v>151.5</v>
      </c>
      <c r="D1760" s="4">
        <v>34379</v>
      </c>
      <c r="E1760" s="6">
        <v>13.4</v>
      </c>
    </row>
    <row r="1761" spans="1:5" x14ac:dyDescent="0.25">
      <c r="A1761" s="4">
        <v>38365</v>
      </c>
      <c r="B1761" s="6">
        <v>158</v>
      </c>
      <c r="D1761" s="4">
        <v>34380</v>
      </c>
      <c r="E1761" s="6">
        <v>13.13</v>
      </c>
    </row>
    <row r="1762" spans="1:5" x14ac:dyDescent="0.25">
      <c r="A1762" s="4">
        <v>38366</v>
      </c>
      <c r="B1762" s="6">
        <v>157.5</v>
      </c>
      <c r="D1762" s="4">
        <v>34381</v>
      </c>
      <c r="E1762" s="6">
        <v>13.08</v>
      </c>
    </row>
    <row r="1763" spans="1:5" x14ac:dyDescent="0.25">
      <c r="A1763" s="4">
        <v>38369</v>
      </c>
      <c r="B1763" s="6">
        <v>164.25</v>
      </c>
      <c r="D1763" s="4">
        <v>34382</v>
      </c>
      <c r="E1763" s="6">
        <v>13.28</v>
      </c>
    </row>
    <row r="1764" spans="1:5" x14ac:dyDescent="0.25">
      <c r="A1764" s="4">
        <v>38370</v>
      </c>
      <c r="B1764" s="6">
        <v>164</v>
      </c>
      <c r="D1764" s="4">
        <v>34383</v>
      </c>
      <c r="E1764" s="6">
        <v>13</v>
      </c>
    </row>
    <row r="1765" spans="1:5" x14ac:dyDescent="0.25">
      <c r="A1765" s="4">
        <v>38371</v>
      </c>
      <c r="B1765" s="6">
        <v>164</v>
      </c>
      <c r="D1765" s="4">
        <v>34386</v>
      </c>
      <c r="E1765" s="6">
        <v>13.05</v>
      </c>
    </row>
    <row r="1766" spans="1:5" x14ac:dyDescent="0.25">
      <c r="A1766" s="4">
        <v>38372</v>
      </c>
      <c r="B1766" s="6">
        <v>158</v>
      </c>
      <c r="D1766" s="4">
        <v>34387</v>
      </c>
      <c r="E1766" s="6">
        <v>13.2</v>
      </c>
    </row>
    <row r="1767" spans="1:5" x14ac:dyDescent="0.25">
      <c r="A1767" s="4">
        <v>38373</v>
      </c>
      <c r="B1767" s="6">
        <v>162.25</v>
      </c>
      <c r="D1767" s="4">
        <v>34388</v>
      </c>
      <c r="E1767" s="6">
        <v>13.2</v>
      </c>
    </row>
    <row r="1768" spans="1:5" x14ac:dyDescent="0.25">
      <c r="A1768" s="4">
        <v>38376</v>
      </c>
      <c r="B1768" s="6">
        <v>162</v>
      </c>
      <c r="D1768" s="4">
        <v>34389</v>
      </c>
      <c r="E1768" s="6">
        <v>13.4</v>
      </c>
    </row>
    <row r="1769" spans="1:5" x14ac:dyDescent="0.25">
      <c r="A1769" s="4">
        <v>38377</v>
      </c>
      <c r="B1769" s="6">
        <v>161.125</v>
      </c>
      <c r="D1769" s="4">
        <v>34390</v>
      </c>
      <c r="E1769" s="6">
        <v>13.33</v>
      </c>
    </row>
    <row r="1770" spans="1:5" x14ac:dyDescent="0.25">
      <c r="A1770" s="4">
        <v>38378</v>
      </c>
      <c r="B1770" s="6">
        <v>160.5</v>
      </c>
      <c r="D1770" s="4">
        <v>34393</v>
      </c>
      <c r="E1770" s="6">
        <v>13.59</v>
      </c>
    </row>
    <row r="1771" spans="1:5" x14ac:dyDescent="0.25">
      <c r="A1771" s="4">
        <v>38379</v>
      </c>
      <c r="B1771" s="6">
        <v>163.5</v>
      </c>
      <c r="D1771" s="4">
        <v>34394</v>
      </c>
      <c r="E1771" s="6">
        <v>13.45</v>
      </c>
    </row>
    <row r="1772" spans="1:5" x14ac:dyDescent="0.25">
      <c r="A1772" s="4">
        <v>38380</v>
      </c>
      <c r="B1772" s="6">
        <v>157.25</v>
      </c>
      <c r="D1772" s="4">
        <v>34395</v>
      </c>
      <c r="E1772" s="6">
        <v>13.5</v>
      </c>
    </row>
    <row r="1773" spans="1:5" x14ac:dyDescent="0.25">
      <c r="A1773" s="4">
        <v>38383</v>
      </c>
      <c r="B1773" s="6">
        <v>159.5</v>
      </c>
      <c r="D1773" s="4">
        <v>34396</v>
      </c>
      <c r="E1773" s="6">
        <v>13.55</v>
      </c>
    </row>
    <row r="1774" spans="1:5" x14ac:dyDescent="0.25">
      <c r="A1774" s="4">
        <v>38384</v>
      </c>
      <c r="B1774" s="6">
        <v>162.75</v>
      </c>
      <c r="D1774" s="4">
        <v>34397</v>
      </c>
      <c r="E1774" s="6">
        <v>13.43</v>
      </c>
    </row>
    <row r="1775" spans="1:5" x14ac:dyDescent="0.25">
      <c r="A1775" s="4">
        <v>38385</v>
      </c>
      <c r="B1775" s="6">
        <v>163.5</v>
      </c>
      <c r="D1775" s="4">
        <v>34400</v>
      </c>
      <c r="E1775" s="6">
        <v>13.13</v>
      </c>
    </row>
    <row r="1776" spans="1:5" x14ac:dyDescent="0.25">
      <c r="A1776" s="4">
        <v>38386</v>
      </c>
      <c r="B1776" s="6">
        <v>160.75</v>
      </c>
      <c r="D1776" s="4">
        <v>34401</v>
      </c>
      <c r="E1776" s="6">
        <v>13.15</v>
      </c>
    </row>
    <row r="1777" spans="1:5" x14ac:dyDescent="0.25">
      <c r="A1777" s="4">
        <v>38387</v>
      </c>
      <c r="B1777" s="6">
        <v>163.5</v>
      </c>
      <c r="D1777" s="4">
        <v>34402</v>
      </c>
      <c r="E1777" s="6">
        <v>13.3</v>
      </c>
    </row>
    <row r="1778" spans="1:5" x14ac:dyDescent="0.25">
      <c r="A1778" s="4">
        <v>38390</v>
      </c>
      <c r="B1778" s="6">
        <v>163</v>
      </c>
      <c r="D1778" s="4">
        <v>34403</v>
      </c>
      <c r="E1778" s="6">
        <v>13.23</v>
      </c>
    </row>
    <row r="1779" spans="1:5" x14ac:dyDescent="0.25">
      <c r="A1779" s="4">
        <v>38391</v>
      </c>
      <c r="B1779" s="6">
        <v>161</v>
      </c>
      <c r="D1779" s="4">
        <v>34404</v>
      </c>
      <c r="E1779" s="6">
        <v>13.7</v>
      </c>
    </row>
    <row r="1780" spans="1:5" x14ac:dyDescent="0.25">
      <c r="A1780" s="4">
        <v>38392</v>
      </c>
      <c r="B1780" s="6">
        <v>162.625</v>
      </c>
      <c r="D1780" s="4">
        <v>34407</v>
      </c>
      <c r="E1780" s="6">
        <v>14.03</v>
      </c>
    </row>
    <row r="1781" spans="1:5" x14ac:dyDescent="0.25">
      <c r="A1781" s="4">
        <v>38393</v>
      </c>
      <c r="B1781" s="6">
        <v>165</v>
      </c>
      <c r="D1781" s="4">
        <v>34408</v>
      </c>
      <c r="E1781" s="6">
        <v>14.28</v>
      </c>
    </row>
    <row r="1782" spans="1:5" x14ac:dyDescent="0.25">
      <c r="A1782" s="4">
        <v>38394</v>
      </c>
      <c r="B1782" s="6">
        <v>164.125</v>
      </c>
      <c r="D1782" s="4">
        <v>34409</v>
      </c>
      <c r="E1782" s="6">
        <v>14.3</v>
      </c>
    </row>
    <row r="1783" spans="1:5" x14ac:dyDescent="0.25">
      <c r="A1783" s="4">
        <v>38397</v>
      </c>
      <c r="B1783" s="6">
        <v>165.75</v>
      </c>
      <c r="D1783" s="4">
        <v>34410</v>
      </c>
      <c r="E1783" s="6">
        <v>14.25</v>
      </c>
    </row>
    <row r="1784" spans="1:5" x14ac:dyDescent="0.25">
      <c r="A1784" s="4">
        <v>38398</v>
      </c>
      <c r="B1784" s="6">
        <v>165.875</v>
      </c>
      <c r="D1784" s="4">
        <v>34411</v>
      </c>
      <c r="E1784" s="6">
        <v>14.05</v>
      </c>
    </row>
    <row r="1785" spans="1:5" x14ac:dyDescent="0.25">
      <c r="A1785" s="4">
        <v>38399</v>
      </c>
      <c r="B1785" s="6">
        <v>166.125</v>
      </c>
      <c r="D1785" s="4">
        <v>34414</v>
      </c>
      <c r="E1785" s="6">
        <v>14.55</v>
      </c>
    </row>
    <row r="1786" spans="1:5" x14ac:dyDescent="0.25">
      <c r="A1786" s="4">
        <v>38400</v>
      </c>
      <c r="B1786" s="6">
        <v>168.75</v>
      </c>
      <c r="D1786" s="4">
        <v>34415</v>
      </c>
      <c r="E1786" s="6">
        <v>14.8</v>
      </c>
    </row>
    <row r="1787" spans="1:5" x14ac:dyDescent="0.25">
      <c r="A1787" s="4">
        <v>38401</v>
      </c>
      <c r="B1787" s="6">
        <v>168.25</v>
      </c>
      <c r="D1787" s="4">
        <v>34416</v>
      </c>
      <c r="E1787" s="6">
        <v>14.5</v>
      </c>
    </row>
    <row r="1788" spans="1:5" x14ac:dyDescent="0.25">
      <c r="A1788" s="4">
        <v>38404</v>
      </c>
      <c r="B1788" s="6">
        <v>173.25</v>
      </c>
      <c r="D1788" s="4">
        <v>34417</v>
      </c>
      <c r="E1788" s="6">
        <v>14.53</v>
      </c>
    </row>
    <row r="1789" spans="1:5" x14ac:dyDescent="0.25">
      <c r="A1789" s="4">
        <v>38405</v>
      </c>
      <c r="B1789" s="6">
        <v>179</v>
      </c>
      <c r="D1789" s="4">
        <v>34418</v>
      </c>
      <c r="E1789" s="6">
        <v>14.58</v>
      </c>
    </row>
    <row r="1790" spans="1:5" x14ac:dyDescent="0.25">
      <c r="A1790" s="4">
        <v>38406</v>
      </c>
      <c r="B1790" s="6">
        <v>177.75</v>
      </c>
      <c r="D1790" s="4">
        <v>34421</v>
      </c>
      <c r="E1790" s="6">
        <v>13.75</v>
      </c>
    </row>
    <row r="1791" spans="1:5" x14ac:dyDescent="0.25">
      <c r="A1791" s="4">
        <v>38407</v>
      </c>
      <c r="B1791" s="6">
        <v>180.5</v>
      </c>
      <c r="D1791" s="4">
        <v>34422</v>
      </c>
      <c r="E1791" s="6">
        <v>13.38</v>
      </c>
    </row>
    <row r="1792" spans="1:5" x14ac:dyDescent="0.25">
      <c r="A1792" s="4">
        <v>38408</v>
      </c>
      <c r="B1792" s="6">
        <v>179.5</v>
      </c>
      <c r="D1792" s="4">
        <v>34423</v>
      </c>
      <c r="E1792" s="6">
        <v>13.23</v>
      </c>
    </row>
    <row r="1793" spans="1:5" x14ac:dyDescent="0.25">
      <c r="A1793" s="4">
        <v>38411</v>
      </c>
      <c r="B1793" s="6">
        <v>182.75</v>
      </c>
      <c r="D1793" s="4">
        <v>34424</v>
      </c>
      <c r="E1793" s="6">
        <v>13.25</v>
      </c>
    </row>
    <row r="1794" spans="1:5" x14ac:dyDescent="0.25">
      <c r="A1794" s="4">
        <v>38412</v>
      </c>
      <c r="B1794" s="6">
        <v>181</v>
      </c>
      <c r="D1794" s="4">
        <v>34425</v>
      </c>
      <c r="E1794" s="5"/>
    </row>
    <row r="1795" spans="1:5" x14ac:dyDescent="0.25">
      <c r="A1795" s="4">
        <v>38413</v>
      </c>
      <c r="B1795" s="6">
        <v>182.375</v>
      </c>
      <c r="D1795" s="4">
        <v>34428</v>
      </c>
      <c r="E1795" s="5"/>
    </row>
    <row r="1796" spans="1:5" x14ac:dyDescent="0.25">
      <c r="A1796" s="4">
        <v>38414</v>
      </c>
      <c r="B1796" s="6">
        <v>190.75</v>
      </c>
      <c r="D1796" s="4">
        <v>34429</v>
      </c>
      <c r="E1796" s="6">
        <v>14.33</v>
      </c>
    </row>
    <row r="1797" spans="1:5" x14ac:dyDescent="0.25">
      <c r="A1797" s="4">
        <v>38415</v>
      </c>
      <c r="B1797" s="6">
        <v>190.75</v>
      </c>
      <c r="D1797" s="4">
        <v>34430</v>
      </c>
      <c r="E1797" s="6">
        <v>14.33</v>
      </c>
    </row>
    <row r="1798" spans="1:5" x14ac:dyDescent="0.25">
      <c r="A1798" s="4">
        <v>38418</v>
      </c>
      <c r="B1798" s="6">
        <v>187</v>
      </c>
      <c r="D1798" s="4">
        <v>34431</v>
      </c>
      <c r="E1798" s="6">
        <v>14.4</v>
      </c>
    </row>
    <row r="1799" spans="1:5" x14ac:dyDescent="0.25">
      <c r="A1799" s="4">
        <v>38419</v>
      </c>
      <c r="B1799" s="6">
        <v>192.25</v>
      </c>
      <c r="D1799" s="4">
        <v>34432</v>
      </c>
      <c r="E1799" s="6">
        <v>14.3</v>
      </c>
    </row>
    <row r="1800" spans="1:5" x14ac:dyDescent="0.25">
      <c r="A1800" s="4">
        <v>38420</v>
      </c>
      <c r="B1800" s="6">
        <v>202.25</v>
      </c>
      <c r="D1800" s="4">
        <v>34435</v>
      </c>
      <c r="E1800" s="6">
        <v>14.73</v>
      </c>
    </row>
    <row r="1801" spans="1:5" x14ac:dyDescent="0.25">
      <c r="A1801" s="4">
        <v>38421</v>
      </c>
      <c r="B1801" s="6">
        <v>193.25</v>
      </c>
      <c r="D1801" s="4">
        <v>34436</v>
      </c>
      <c r="E1801" s="6">
        <v>14.8</v>
      </c>
    </row>
    <row r="1802" spans="1:5" x14ac:dyDescent="0.25">
      <c r="A1802" s="4">
        <v>38422</v>
      </c>
      <c r="B1802" s="6">
        <v>196.5</v>
      </c>
      <c r="D1802" s="4">
        <v>34437</v>
      </c>
      <c r="E1802" s="6">
        <v>15</v>
      </c>
    </row>
    <row r="1803" spans="1:5" x14ac:dyDescent="0.25">
      <c r="A1803" s="4">
        <v>38425</v>
      </c>
      <c r="B1803" s="6">
        <v>197.125</v>
      </c>
      <c r="D1803" s="4">
        <v>34438</v>
      </c>
      <c r="E1803" s="6">
        <v>15.28</v>
      </c>
    </row>
    <row r="1804" spans="1:5" x14ac:dyDescent="0.25">
      <c r="A1804" s="4">
        <v>38426</v>
      </c>
      <c r="B1804" s="6">
        <v>199</v>
      </c>
      <c r="D1804" s="4">
        <v>34439</v>
      </c>
      <c r="E1804" s="6">
        <v>15.23</v>
      </c>
    </row>
    <row r="1805" spans="1:5" x14ac:dyDescent="0.25">
      <c r="A1805" s="4">
        <v>38427</v>
      </c>
      <c r="B1805" s="6">
        <v>202.75</v>
      </c>
      <c r="D1805" s="4">
        <v>34442</v>
      </c>
      <c r="E1805" s="6">
        <v>15.48</v>
      </c>
    </row>
    <row r="1806" spans="1:5" x14ac:dyDescent="0.25">
      <c r="A1806" s="4">
        <v>38428</v>
      </c>
      <c r="B1806" s="6">
        <v>208.5</v>
      </c>
      <c r="D1806" s="4">
        <v>34443</v>
      </c>
      <c r="E1806" s="6">
        <v>15.13</v>
      </c>
    </row>
    <row r="1807" spans="1:5" x14ac:dyDescent="0.25">
      <c r="A1807" s="4">
        <v>38429</v>
      </c>
      <c r="B1807" s="6">
        <v>207.5</v>
      </c>
      <c r="D1807" s="4">
        <v>34444</v>
      </c>
      <c r="E1807" s="6">
        <v>15.3</v>
      </c>
    </row>
    <row r="1808" spans="1:5" x14ac:dyDescent="0.25">
      <c r="A1808" s="4">
        <v>38432</v>
      </c>
      <c r="B1808" s="6">
        <v>211.25</v>
      </c>
      <c r="D1808" s="4">
        <v>34445</v>
      </c>
      <c r="E1808" s="6">
        <v>15.63</v>
      </c>
    </row>
    <row r="1809" spans="1:5" x14ac:dyDescent="0.25">
      <c r="A1809" s="4">
        <v>38433</v>
      </c>
      <c r="B1809" s="6">
        <v>211.75</v>
      </c>
      <c r="D1809" s="4">
        <v>34446</v>
      </c>
      <c r="E1809" s="6">
        <v>16.28</v>
      </c>
    </row>
    <row r="1810" spans="1:5" x14ac:dyDescent="0.25">
      <c r="A1810" s="4">
        <v>38434</v>
      </c>
      <c r="B1810" s="6">
        <v>205.75</v>
      </c>
      <c r="D1810" s="4">
        <v>34449</v>
      </c>
      <c r="E1810" s="6">
        <v>16.38</v>
      </c>
    </row>
    <row r="1811" spans="1:5" x14ac:dyDescent="0.25">
      <c r="A1811" s="4">
        <v>38435</v>
      </c>
      <c r="B1811" s="6">
        <v>205</v>
      </c>
      <c r="D1811" s="4">
        <v>34450</v>
      </c>
      <c r="E1811" s="6">
        <v>16.05</v>
      </c>
    </row>
    <row r="1812" spans="1:5" x14ac:dyDescent="0.25">
      <c r="A1812" s="4">
        <v>38440</v>
      </c>
      <c r="B1812" s="6">
        <v>203.75</v>
      </c>
      <c r="D1812" s="4">
        <v>34451</v>
      </c>
      <c r="E1812" s="6">
        <v>15.75</v>
      </c>
    </row>
    <row r="1813" spans="1:5" x14ac:dyDescent="0.25">
      <c r="A1813" s="4">
        <v>38441</v>
      </c>
      <c r="B1813" s="6">
        <v>204.25</v>
      </c>
      <c r="D1813" s="4">
        <v>34452</v>
      </c>
      <c r="E1813" s="6">
        <v>15.65</v>
      </c>
    </row>
    <row r="1814" spans="1:5" x14ac:dyDescent="0.25">
      <c r="A1814" s="4">
        <v>38442</v>
      </c>
      <c r="B1814" s="6">
        <v>211.25</v>
      </c>
      <c r="D1814" s="4">
        <v>34453</v>
      </c>
      <c r="E1814" s="6">
        <v>15.35</v>
      </c>
    </row>
    <row r="1815" spans="1:5" x14ac:dyDescent="0.25">
      <c r="A1815" s="4">
        <v>38443</v>
      </c>
      <c r="B1815" s="6">
        <v>221.5</v>
      </c>
      <c r="D1815" s="4">
        <v>34456</v>
      </c>
      <c r="E1815" s="5"/>
    </row>
    <row r="1816" spans="1:5" x14ac:dyDescent="0.25">
      <c r="A1816" s="4">
        <v>38446</v>
      </c>
      <c r="B1816" s="6">
        <v>236.5</v>
      </c>
      <c r="D1816" s="4">
        <v>34457</v>
      </c>
      <c r="E1816" s="6">
        <v>15.93</v>
      </c>
    </row>
    <row r="1817" spans="1:5" x14ac:dyDescent="0.25">
      <c r="A1817" s="4">
        <v>38447</v>
      </c>
      <c r="B1817" s="6">
        <v>235</v>
      </c>
      <c r="D1817" s="4">
        <v>34458</v>
      </c>
      <c r="E1817" s="6">
        <v>15.95</v>
      </c>
    </row>
    <row r="1818" spans="1:5" x14ac:dyDescent="0.25">
      <c r="A1818" s="4">
        <v>38448</v>
      </c>
      <c r="B1818" s="6">
        <v>240</v>
      </c>
      <c r="D1818" s="4">
        <v>34459</v>
      </c>
      <c r="E1818" s="6">
        <v>15.85</v>
      </c>
    </row>
    <row r="1819" spans="1:5" x14ac:dyDescent="0.25">
      <c r="A1819" s="4">
        <v>38449</v>
      </c>
      <c r="B1819" s="6">
        <v>254.75</v>
      </c>
      <c r="D1819" s="4">
        <v>34460</v>
      </c>
      <c r="E1819" s="6">
        <v>16.25</v>
      </c>
    </row>
    <row r="1820" spans="1:5" x14ac:dyDescent="0.25">
      <c r="A1820" s="4">
        <v>38450</v>
      </c>
      <c r="B1820" s="6">
        <v>229.5</v>
      </c>
      <c r="D1820" s="4">
        <v>34463</v>
      </c>
      <c r="E1820" s="6">
        <v>16.329999999999998</v>
      </c>
    </row>
    <row r="1821" spans="1:5" x14ac:dyDescent="0.25">
      <c r="A1821" s="4">
        <v>38453</v>
      </c>
      <c r="B1821" s="6">
        <v>213.75</v>
      </c>
      <c r="D1821" s="4">
        <v>34464</v>
      </c>
      <c r="E1821" s="6">
        <v>16.25</v>
      </c>
    </row>
    <row r="1822" spans="1:5" x14ac:dyDescent="0.25">
      <c r="A1822" s="4">
        <v>38454</v>
      </c>
      <c r="B1822" s="6">
        <v>217.25</v>
      </c>
      <c r="D1822" s="4">
        <v>34465</v>
      </c>
      <c r="E1822" s="6">
        <v>16.100000000000001</v>
      </c>
    </row>
    <row r="1823" spans="1:5" x14ac:dyDescent="0.25">
      <c r="A1823" s="4">
        <v>38455</v>
      </c>
      <c r="B1823" s="6">
        <v>209.75</v>
      </c>
      <c r="D1823" s="4">
        <v>34466</v>
      </c>
      <c r="E1823" s="6">
        <v>16.25</v>
      </c>
    </row>
    <row r="1824" spans="1:5" x14ac:dyDescent="0.25">
      <c r="A1824" s="4">
        <v>38456</v>
      </c>
      <c r="B1824" s="6">
        <v>210.5</v>
      </c>
      <c r="D1824" s="4">
        <v>34467</v>
      </c>
      <c r="E1824" s="6">
        <v>16.5</v>
      </c>
    </row>
    <row r="1825" spans="1:5" x14ac:dyDescent="0.25">
      <c r="A1825" s="4">
        <v>38457</v>
      </c>
      <c r="B1825" s="6">
        <v>209.5</v>
      </c>
      <c r="D1825" s="4">
        <v>34470</v>
      </c>
      <c r="E1825" s="6">
        <v>16.23</v>
      </c>
    </row>
    <row r="1826" spans="1:5" x14ac:dyDescent="0.25">
      <c r="A1826" s="4">
        <v>38460</v>
      </c>
      <c r="B1826" s="6">
        <v>212.75</v>
      </c>
      <c r="D1826" s="4">
        <v>34471</v>
      </c>
      <c r="E1826" s="6">
        <v>15.83</v>
      </c>
    </row>
    <row r="1827" spans="1:5" x14ac:dyDescent="0.25">
      <c r="A1827" s="4">
        <v>38461</v>
      </c>
      <c r="B1827" s="6">
        <v>221.5</v>
      </c>
      <c r="D1827" s="4">
        <v>34472</v>
      </c>
      <c r="E1827" s="6">
        <v>15.98</v>
      </c>
    </row>
    <row r="1828" spans="1:5" x14ac:dyDescent="0.25">
      <c r="A1828" s="4">
        <v>38462</v>
      </c>
      <c r="B1828" s="6">
        <v>235.25</v>
      </c>
      <c r="D1828" s="4">
        <v>34473</v>
      </c>
      <c r="E1828" s="6">
        <v>16.149999999999999</v>
      </c>
    </row>
    <row r="1829" spans="1:5" x14ac:dyDescent="0.25">
      <c r="A1829" s="4">
        <v>38463</v>
      </c>
      <c r="B1829" s="6">
        <v>228.5</v>
      </c>
      <c r="D1829" s="4">
        <v>34474</v>
      </c>
      <c r="E1829" s="6">
        <v>16.23</v>
      </c>
    </row>
    <row r="1830" spans="1:5" x14ac:dyDescent="0.25">
      <c r="A1830" s="4">
        <v>38464</v>
      </c>
      <c r="B1830" s="6">
        <v>239.25</v>
      </c>
      <c r="D1830" s="4">
        <v>34477</v>
      </c>
      <c r="E1830" s="6">
        <v>16.63</v>
      </c>
    </row>
    <row r="1831" spans="1:5" x14ac:dyDescent="0.25">
      <c r="A1831" s="4">
        <v>38467</v>
      </c>
      <c r="B1831" s="6">
        <v>246</v>
      </c>
      <c r="D1831" s="4">
        <v>34478</v>
      </c>
      <c r="E1831" s="6">
        <v>16.63</v>
      </c>
    </row>
    <row r="1832" spans="1:5" x14ac:dyDescent="0.25">
      <c r="A1832" s="4">
        <v>38468</v>
      </c>
      <c r="B1832" s="6">
        <v>238.5</v>
      </c>
      <c r="D1832" s="4">
        <v>34479</v>
      </c>
      <c r="E1832" s="6">
        <v>16.329999999999998</v>
      </c>
    </row>
    <row r="1833" spans="1:5" x14ac:dyDescent="0.25">
      <c r="A1833" s="4">
        <v>38469</v>
      </c>
      <c r="B1833" s="6">
        <v>232.25</v>
      </c>
      <c r="D1833" s="4">
        <v>34480</v>
      </c>
      <c r="E1833" s="6">
        <v>16.079999999999998</v>
      </c>
    </row>
    <row r="1834" spans="1:5" x14ac:dyDescent="0.25">
      <c r="A1834" s="4">
        <v>38470</v>
      </c>
      <c r="B1834" s="6">
        <v>233.75</v>
      </c>
      <c r="D1834" s="4">
        <v>34481</v>
      </c>
      <c r="E1834" s="6">
        <v>16.079999999999998</v>
      </c>
    </row>
    <row r="1835" spans="1:5" x14ac:dyDescent="0.25">
      <c r="A1835" s="4">
        <v>38471</v>
      </c>
      <c r="B1835" s="6">
        <v>234.5</v>
      </c>
      <c r="D1835" s="4">
        <v>34484</v>
      </c>
      <c r="E1835" s="5"/>
    </row>
    <row r="1836" spans="1:5" x14ac:dyDescent="0.25">
      <c r="A1836" s="4">
        <v>38475</v>
      </c>
      <c r="B1836" s="6">
        <v>233</v>
      </c>
      <c r="D1836" s="4">
        <v>34485</v>
      </c>
      <c r="E1836" s="6">
        <v>16.18</v>
      </c>
    </row>
    <row r="1837" spans="1:5" x14ac:dyDescent="0.25">
      <c r="A1837" s="4">
        <v>38476</v>
      </c>
      <c r="B1837" s="6">
        <v>232.5</v>
      </c>
      <c r="D1837" s="4">
        <v>34486</v>
      </c>
      <c r="E1837" s="6">
        <v>16.399999999999999</v>
      </c>
    </row>
    <row r="1838" spans="1:5" x14ac:dyDescent="0.25">
      <c r="A1838" s="4">
        <v>38477</v>
      </c>
      <c r="B1838" s="6">
        <v>231.875</v>
      </c>
      <c r="D1838" s="4">
        <v>34487</v>
      </c>
      <c r="E1838" s="6">
        <v>16.350000000000001</v>
      </c>
    </row>
    <row r="1839" spans="1:5" x14ac:dyDescent="0.25">
      <c r="A1839" s="4">
        <v>38478</v>
      </c>
      <c r="B1839" s="6">
        <v>233.5</v>
      </c>
      <c r="D1839" s="4">
        <v>34488</v>
      </c>
      <c r="E1839" s="6">
        <v>16.13</v>
      </c>
    </row>
    <row r="1840" spans="1:5" x14ac:dyDescent="0.25">
      <c r="A1840" s="4">
        <v>38481</v>
      </c>
      <c r="B1840" s="6">
        <v>228.5</v>
      </c>
      <c r="D1840" s="4">
        <v>34491</v>
      </c>
      <c r="E1840" s="6">
        <v>16.18</v>
      </c>
    </row>
    <row r="1841" spans="1:5" x14ac:dyDescent="0.25">
      <c r="A1841" s="4">
        <v>38482</v>
      </c>
      <c r="B1841" s="6">
        <v>233</v>
      </c>
      <c r="D1841" s="4">
        <v>34492</v>
      </c>
      <c r="E1841" s="6">
        <v>15.95</v>
      </c>
    </row>
    <row r="1842" spans="1:5" x14ac:dyDescent="0.25">
      <c r="A1842" s="4">
        <v>38483</v>
      </c>
      <c r="B1842" s="6">
        <v>227.5</v>
      </c>
      <c r="D1842" s="4">
        <v>34493</v>
      </c>
      <c r="E1842" s="6">
        <v>15.65</v>
      </c>
    </row>
    <row r="1843" spans="1:5" x14ac:dyDescent="0.25">
      <c r="A1843" s="4">
        <v>38484</v>
      </c>
      <c r="B1843" s="6">
        <v>223.5</v>
      </c>
      <c r="D1843" s="4">
        <v>34494</v>
      </c>
      <c r="E1843" s="6">
        <v>16.13</v>
      </c>
    </row>
    <row r="1844" spans="1:5" x14ac:dyDescent="0.25">
      <c r="A1844" s="4">
        <v>38485</v>
      </c>
      <c r="B1844" s="6">
        <v>219</v>
      </c>
      <c r="D1844" s="4">
        <v>34495</v>
      </c>
      <c r="E1844" s="6">
        <v>16.38</v>
      </c>
    </row>
    <row r="1845" spans="1:5" x14ac:dyDescent="0.25">
      <c r="A1845" s="4">
        <v>38488</v>
      </c>
      <c r="B1845" s="6">
        <v>220.5</v>
      </c>
      <c r="D1845" s="4">
        <v>34498</v>
      </c>
      <c r="E1845" s="6">
        <v>16.23</v>
      </c>
    </row>
    <row r="1846" spans="1:5" x14ac:dyDescent="0.25">
      <c r="A1846" s="4">
        <v>38489</v>
      </c>
      <c r="B1846" s="6">
        <v>223.75</v>
      </c>
      <c r="D1846" s="4">
        <v>34499</v>
      </c>
      <c r="E1846" s="6">
        <v>16.399999999999999</v>
      </c>
    </row>
    <row r="1847" spans="1:5" x14ac:dyDescent="0.25">
      <c r="A1847" s="4">
        <v>38490</v>
      </c>
      <c r="B1847" s="6">
        <v>226</v>
      </c>
      <c r="D1847" s="4">
        <v>34500</v>
      </c>
      <c r="E1847" s="6">
        <v>16.73</v>
      </c>
    </row>
    <row r="1848" spans="1:5" x14ac:dyDescent="0.25">
      <c r="A1848" s="4">
        <v>38491</v>
      </c>
      <c r="B1848" s="6">
        <v>228.5</v>
      </c>
      <c r="D1848" s="4">
        <v>34501</v>
      </c>
      <c r="E1848" s="6">
        <v>16.88</v>
      </c>
    </row>
    <row r="1849" spans="1:5" x14ac:dyDescent="0.25">
      <c r="A1849" s="4">
        <v>38492</v>
      </c>
      <c r="B1849" s="6">
        <v>223.125</v>
      </c>
      <c r="D1849" s="4">
        <v>34502</v>
      </c>
      <c r="E1849" s="6">
        <v>17.13</v>
      </c>
    </row>
    <row r="1850" spans="1:5" x14ac:dyDescent="0.25">
      <c r="A1850" s="4">
        <v>38495</v>
      </c>
      <c r="B1850" s="6">
        <v>217.75</v>
      </c>
      <c r="D1850" s="4">
        <v>34505</v>
      </c>
      <c r="E1850" s="6">
        <v>17.38</v>
      </c>
    </row>
    <row r="1851" spans="1:5" x14ac:dyDescent="0.25">
      <c r="A1851" s="4">
        <v>38496</v>
      </c>
      <c r="B1851" s="6">
        <v>216.25</v>
      </c>
      <c r="D1851" s="4">
        <v>34506</v>
      </c>
      <c r="E1851" s="6">
        <v>17.63</v>
      </c>
    </row>
    <row r="1852" spans="1:5" x14ac:dyDescent="0.25">
      <c r="A1852" s="4">
        <v>38497</v>
      </c>
      <c r="B1852" s="6">
        <v>221.5</v>
      </c>
      <c r="D1852" s="4">
        <v>34507</v>
      </c>
      <c r="E1852" s="6">
        <v>17.48</v>
      </c>
    </row>
    <row r="1853" spans="1:5" x14ac:dyDescent="0.25">
      <c r="A1853" s="4">
        <v>38498</v>
      </c>
      <c r="B1853" s="6">
        <v>216.5</v>
      </c>
      <c r="D1853" s="4">
        <v>34508</v>
      </c>
      <c r="E1853" s="6">
        <v>17.3</v>
      </c>
    </row>
    <row r="1854" spans="1:5" x14ac:dyDescent="0.25">
      <c r="A1854" s="4">
        <v>38499</v>
      </c>
      <c r="B1854" s="6">
        <v>206</v>
      </c>
      <c r="D1854" s="4">
        <v>34509</v>
      </c>
      <c r="E1854" s="6">
        <v>17.399999999999999</v>
      </c>
    </row>
    <row r="1855" spans="1:5" x14ac:dyDescent="0.25">
      <c r="A1855" s="4">
        <v>38503</v>
      </c>
      <c r="B1855" s="6">
        <v>212</v>
      </c>
      <c r="D1855" s="4">
        <v>34512</v>
      </c>
      <c r="E1855" s="6">
        <v>17.399999999999999</v>
      </c>
    </row>
    <row r="1856" spans="1:5" x14ac:dyDescent="0.25">
      <c r="A1856" s="4">
        <v>38504</v>
      </c>
      <c r="B1856" s="6">
        <v>223.75</v>
      </c>
      <c r="D1856" s="4">
        <v>34513</v>
      </c>
      <c r="E1856" s="6">
        <v>16.98</v>
      </c>
    </row>
    <row r="1857" spans="1:5" x14ac:dyDescent="0.25">
      <c r="A1857" s="4">
        <v>38505</v>
      </c>
      <c r="B1857" s="6">
        <v>226.5</v>
      </c>
      <c r="D1857" s="4">
        <v>34514</v>
      </c>
      <c r="E1857" s="6">
        <v>17.23</v>
      </c>
    </row>
    <row r="1858" spans="1:5" x14ac:dyDescent="0.25">
      <c r="A1858" s="4">
        <v>38506</v>
      </c>
      <c r="B1858" s="6">
        <v>230.25</v>
      </c>
      <c r="D1858" s="4">
        <v>34515</v>
      </c>
      <c r="E1858" s="6">
        <v>17.45</v>
      </c>
    </row>
    <row r="1859" spans="1:5" x14ac:dyDescent="0.25">
      <c r="A1859" s="4">
        <v>38509</v>
      </c>
      <c r="B1859" s="6">
        <v>233</v>
      </c>
      <c r="D1859" s="4">
        <v>34516</v>
      </c>
      <c r="E1859" s="6">
        <v>17.649999999999999</v>
      </c>
    </row>
    <row r="1860" spans="1:5" x14ac:dyDescent="0.25">
      <c r="A1860" s="4">
        <v>38510</v>
      </c>
      <c r="B1860" s="6">
        <v>227</v>
      </c>
      <c r="D1860" s="4">
        <v>34519</v>
      </c>
      <c r="E1860" s="6">
        <v>17.5</v>
      </c>
    </row>
    <row r="1861" spans="1:5" x14ac:dyDescent="0.25">
      <c r="A1861" s="4">
        <v>38511</v>
      </c>
      <c r="B1861" s="6">
        <v>224.5</v>
      </c>
      <c r="D1861" s="4">
        <v>34520</v>
      </c>
      <c r="E1861" s="6">
        <v>17.13</v>
      </c>
    </row>
    <row r="1862" spans="1:5" x14ac:dyDescent="0.25">
      <c r="A1862" s="4">
        <v>38512</v>
      </c>
      <c r="B1862" s="6">
        <v>218.5</v>
      </c>
      <c r="D1862" s="4">
        <v>34521</v>
      </c>
      <c r="E1862" s="6">
        <v>16.899999999999999</v>
      </c>
    </row>
    <row r="1863" spans="1:5" x14ac:dyDescent="0.25">
      <c r="A1863" s="4">
        <v>38513</v>
      </c>
      <c r="B1863" s="6">
        <v>217.5</v>
      </c>
      <c r="D1863" s="4">
        <v>34522</v>
      </c>
      <c r="E1863" s="6">
        <v>16.78</v>
      </c>
    </row>
    <row r="1864" spans="1:5" x14ac:dyDescent="0.25">
      <c r="A1864" s="4">
        <v>38516</v>
      </c>
      <c r="B1864" s="6">
        <v>218</v>
      </c>
      <c r="D1864" s="4">
        <v>34523</v>
      </c>
      <c r="E1864" s="6">
        <v>17</v>
      </c>
    </row>
    <row r="1865" spans="1:5" x14ac:dyDescent="0.25">
      <c r="A1865" s="4">
        <v>38517</v>
      </c>
      <c r="B1865" s="6">
        <v>229</v>
      </c>
      <c r="D1865" s="4">
        <v>34526</v>
      </c>
      <c r="E1865" s="6">
        <v>17.48</v>
      </c>
    </row>
    <row r="1866" spans="1:5" x14ac:dyDescent="0.25">
      <c r="A1866" s="4">
        <v>38518</v>
      </c>
      <c r="B1866" s="6">
        <v>230.5</v>
      </c>
      <c r="D1866" s="4">
        <v>34527</v>
      </c>
      <c r="E1866" s="6">
        <v>18.25</v>
      </c>
    </row>
    <row r="1867" spans="1:5" x14ac:dyDescent="0.25">
      <c r="A1867" s="4">
        <v>38519</v>
      </c>
      <c r="B1867" s="6">
        <v>228.5</v>
      </c>
      <c r="D1867" s="4">
        <v>34528</v>
      </c>
      <c r="E1867" s="6">
        <v>18.25</v>
      </c>
    </row>
    <row r="1868" spans="1:5" x14ac:dyDescent="0.25">
      <c r="A1868" s="4">
        <v>38520</v>
      </c>
      <c r="B1868" s="6">
        <v>232.5</v>
      </c>
      <c r="D1868" s="4">
        <v>34529</v>
      </c>
      <c r="E1868" s="6">
        <v>18.329999999999998</v>
      </c>
    </row>
    <row r="1869" spans="1:5" x14ac:dyDescent="0.25">
      <c r="A1869" s="4">
        <v>38523</v>
      </c>
      <c r="B1869" s="6">
        <v>235.5</v>
      </c>
      <c r="D1869" s="4">
        <v>34530</v>
      </c>
      <c r="E1869" s="6">
        <v>18.149999999999999</v>
      </c>
    </row>
    <row r="1870" spans="1:5" x14ac:dyDescent="0.25">
      <c r="A1870" s="4">
        <v>38524</v>
      </c>
      <c r="B1870" s="6">
        <v>236.5</v>
      </c>
      <c r="D1870" s="4">
        <v>34533</v>
      </c>
      <c r="E1870" s="6">
        <v>17.5</v>
      </c>
    </row>
    <row r="1871" spans="1:5" x14ac:dyDescent="0.25">
      <c r="A1871" s="4">
        <v>38525</v>
      </c>
      <c r="B1871" s="6">
        <v>238</v>
      </c>
      <c r="D1871" s="4">
        <v>34534</v>
      </c>
      <c r="E1871" s="6">
        <v>17.2</v>
      </c>
    </row>
    <row r="1872" spans="1:5" x14ac:dyDescent="0.25">
      <c r="A1872" s="4">
        <v>38526</v>
      </c>
      <c r="B1872" s="6">
        <v>243.125</v>
      </c>
      <c r="D1872" s="4">
        <v>34535</v>
      </c>
      <c r="E1872" s="6">
        <v>17.350000000000001</v>
      </c>
    </row>
    <row r="1873" spans="1:5" x14ac:dyDescent="0.25">
      <c r="A1873" s="4">
        <v>38527</v>
      </c>
      <c r="B1873" s="6">
        <v>241.75</v>
      </c>
      <c r="D1873" s="4">
        <v>34536</v>
      </c>
      <c r="E1873" s="6">
        <v>17.45</v>
      </c>
    </row>
    <row r="1874" spans="1:5" x14ac:dyDescent="0.25">
      <c r="A1874" s="4">
        <v>38530</v>
      </c>
      <c r="B1874" s="6">
        <v>243</v>
      </c>
      <c r="D1874" s="4">
        <v>34537</v>
      </c>
      <c r="E1874" s="6">
        <v>17.579999999999998</v>
      </c>
    </row>
    <row r="1875" spans="1:5" x14ac:dyDescent="0.25">
      <c r="A1875" s="4">
        <v>38531</v>
      </c>
      <c r="B1875" s="6">
        <v>239.5</v>
      </c>
      <c r="D1875" s="4">
        <v>34540</v>
      </c>
      <c r="E1875" s="6">
        <v>17.350000000000001</v>
      </c>
    </row>
    <row r="1876" spans="1:5" x14ac:dyDescent="0.25">
      <c r="A1876" s="4">
        <v>38532</v>
      </c>
      <c r="B1876" s="6">
        <v>230</v>
      </c>
      <c r="D1876" s="4">
        <v>34541</v>
      </c>
      <c r="E1876" s="6">
        <v>17.43</v>
      </c>
    </row>
    <row r="1877" spans="1:5" x14ac:dyDescent="0.25">
      <c r="A1877" s="4">
        <v>38533</v>
      </c>
      <c r="B1877" s="6">
        <v>231.25</v>
      </c>
      <c r="D1877" s="4">
        <v>34542</v>
      </c>
      <c r="E1877" s="6">
        <v>17.829999999999998</v>
      </c>
    </row>
    <row r="1878" spans="1:5" x14ac:dyDescent="0.25">
      <c r="A1878" s="4">
        <v>38534</v>
      </c>
      <c r="B1878" s="6">
        <v>235</v>
      </c>
      <c r="D1878" s="4">
        <v>34543</v>
      </c>
      <c r="E1878" s="6">
        <v>18</v>
      </c>
    </row>
    <row r="1879" spans="1:5" x14ac:dyDescent="0.25">
      <c r="A1879" s="4">
        <v>38537</v>
      </c>
      <c r="B1879" s="6">
        <v>241</v>
      </c>
      <c r="D1879" s="4">
        <v>34544</v>
      </c>
      <c r="E1879" s="6">
        <v>18.48</v>
      </c>
    </row>
    <row r="1880" spans="1:5" x14ac:dyDescent="0.25">
      <c r="A1880" s="4">
        <v>38538</v>
      </c>
      <c r="B1880" s="6">
        <v>253.25</v>
      </c>
      <c r="D1880" s="4">
        <v>34547</v>
      </c>
      <c r="E1880" s="6">
        <v>19.03</v>
      </c>
    </row>
    <row r="1881" spans="1:5" x14ac:dyDescent="0.25">
      <c r="A1881" s="4">
        <v>38539</v>
      </c>
      <c r="B1881" s="6">
        <v>255.5</v>
      </c>
      <c r="D1881" s="4">
        <v>34548</v>
      </c>
      <c r="E1881" s="6">
        <v>18.48</v>
      </c>
    </row>
    <row r="1882" spans="1:5" x14ac:dyDescent="0.25">
      <c r="A1882" s="4">
        <v>38540</v>
      </c>
      <c r="B1882" s="6">
        <v>256.5</v>
      </c>
      <c r="D1882" s="4">
        <v>34549</v>
      </c>
      <c r="E1882" s="6">
        <v>18.48</v>
      </c>
    </row>
    <row r="1883" spans="1:5" x14ac:dyDescent="0.25">
      <c r="A1883" s="4">
        <v>38541</v>
      </c>
      <c r="B1883" s="6">
        <v>254</v>
      </c>
      <c r="D1883" s="4">
        <v>34550</v>
      </c>
      <c r="E1883" s="6">
        <v>18.43</v>
      </c>
    </row>
    <row r="1884" spans="1:5" x14ac:dyDescent="0.25">
      <c r="A1884" s="4">
        <v>38544</v>
      </c>
      <c r="B1884" s="6">
        <v>245.75</v>
      </c>
      <c r="D1884" s="4">
        <v>34551</v>
      </c>
      <c r="E1884" s="6">
        <v>17.78</v>
      </c>
    </row>
    <row r="1885" spans="1:5" x14ac:dyDescent="0.25">
      <c r="A1885" s="4">
        <v>38545</v>
      </c>
      <c r="B1885" s="6">
        <v>254.25</v>
      </c>
      <c r="D1885" s="4">
        <v>34554</v>
      </c>
      <c r="E1885" s="6">
        <v>17.93</v>
      </c>
    </row>
    <row r="1886" spans="1:5" x14ac:dyDescent="0.25">
      <c r="A1886" s="4">
        <v>38546</v>
      </c>
      <c r="B1886" s="6">
        <v>251</v>
      </c>
      <c r="D1886" s="4">
        <v>34555</v>
      </c>
      <c r="E1886" s="6">
        <v>17.68</v>
      </c>
    </row>
    <row r="1887" spans="1:5" x14ac:dyDescent="0.25">
      <c r="A1887" s="4">
        <v>38547</v>
      </c>
      <c r="B1887" s="6">
        <v>238.25</v>
      </c>
      <c r="D1887" s="4">
        <v>34556</v>
      </c>
      <c r="E1887" s="6">
        <v>17.329999999999998</v>
      </c>
    </row>
    <row r="1888" spans="1:5" x14ac:dyDescent="0.25">
      <c r="A1888" s="4">
        <v>38548</v>
      </c>
      <c r="B1888" s="6">
        <v>241.5</v>
      </c>
      <c r="D1888" s="4">
        <v>34557</v>
      </c>
      <c r="E1888" s="6">
        <v>17.5</v>
      </c>
    </row>
    <row r="1889" spans="1:5" x14ac:dyDescent="0.25">
      <c r="A1889" s="4">
        <v>38551</v>
      </c>
      <c r="B1889" s="6">
        <v>237.625</v>
      </c>
      <c r="D1889" s="4">
        <v>34558</v>
      </c>
      <c r="E1889" s="6">
        <v>17.100000000000001</v>
      </c>
    </row>
    <row r="1890" spans="1:5" x14ac:dyDescent="0.25">
      <c r="A1890" s="4">
        <v>38552</v>
      </c>
      <c r="B1890" s="6">
        <v>237</v>
      </c>
      <c r="D1890" s="4">
        <v>34561</v>
      </c>
      <c r="E1890" s="6">
        <v>16.75</v>
      </c>
    </row>
    <row r="1891" spans="1:5" x14ac:dyDescent="0.25">
      <c r="A1891" s="4">
        <v>38553</v>
      </c>
      <c r="B1891" s="6">
        <v>236.75</v>
      </c>
      <c r="D1891" s="4">
        <v>34562</v>
      </c>
      <c r="E1891" s="6">
        <v>16.68</v>
      </c>
    </row>
    <row r="1892" spans="1:5" x14ac:dyDescent="0.25">
      <c r="A1892" s="4">
        <v>38554</v>
      </c>
      <c r="B1892" s="6">
        <v>231.75</v>
      </c>
      <c r="D1892" s="4">
        <v>34563</v>
      </c>
      <c r="E1892" s="6">
        <v>16.28</v>
      </c>
    </row>
    <row r="1893" spans="1:5" x14ac:dyDescent="0.25">
      <c r="A1893" s="4">
        <v>38555</v>
      </c>
      <c r="B1893" s="6">
        <v>236.75</v>
      </c>
      <c r="D1893" s="4">
        <v>34564</v>
      </c>
      <c r="E1893" s="6">
        <v>16.3</v>
      </c>
    </row>
    <row r="1894" spans="1:5" x14ac:dyDescent="0.25">
      <c r="A1894" s="4">
        <v>38558</v>
      </c>
      <c r="B1894" s="6">
        <v>241.25</v>
      </c>
      <c r="D1894" s="4">
        <v>34565</v>
      </c>
      <c r="E1894" s="6">
        <v>16.13</v>
      </c>
    </row>
    <row r="1895" spans="1:5" x14ac:dyDescent="0.25">
      <c r="A1895" s="4">
        <v>38559</v>
      </c>
      <c r="B1895" s="6">
        <v>245</v>
      </c>
      <c r="D1895" s="4">
        <v>34568</v>
      </c>
      <c r="E1895" s="6">
        <v>15.25</v>
      </c>
    </row>
    <row r="1896" spans="1:5" x14ac:dyDescent="0.25">
      <c r="A1896" s="4">
        <v>38560</v>
      </c>
      <c r="B1896" s="6">
        <v>239.5</v>
      </c>
      <c r="D1896" s="4">
        <v>34569</v>
      </c>
      <c r="E1896" s="6">
        <v>15.3</v>
      </c>
    </row>
    <row r="1897" spans="1:5" x14ac:dyDescent="0.25">
      <c r="A1897" s="4">
        <v>38561</v>
      </c>
      <c r="B1897" s="6">
        <v>235.75</v>
      </c>
      <c r="D1897" s="4">
        <v>34570</v>
      </c>
      <c r="E1897" s="6">
        <v>15.8</v>
      </c>
    </row>
    <row r="1898" spans="1:5" x14ac:dyDescent="0.25">
      <c r="A1898" s="4">
        <v>38562</v>
      </c>
      <c r="B1898" s="6">
        <v>237.25</v>
      </c>
      <c r="D1898" s="4">
        <v>34571</v>
      </c>
      <c r="E1898" s="6">
        <v>15.75</v>
      </c>
    </row>
    <row r="1899" spans="1:5" x14ac:dyDescent="0.25">
      <c r="A1899" s="4">
        <v>38565</v>
      </c>
      <c r="B1899" s="6">
        <v>243.75</v>
      </c>
      <c r="D1899" s="4">
        <v>34572</v>
      </c>
      <c r="E1899" s="6">
        <v>15.85</v>
      </c>
    </row>
    <row r="1900" spans="1:5" x14ac:dyDescent="0.25">
      <c r="A1900" s="4">
        <v>38566</v>
      </c>
      <c r="B1900" s="6">
        <v>243</v>
      </c>
      <c r="D1900" s="4">
        <v>34575</v>
      </c>
      <c r="E1900" s="5"/>
    </row>
    <row r="1901" spans="1:5" x14ac:dyDescent="0.25">
      <c r="A1901" s="4">
        <v>38567</v>
      </c>
      <c r="B1901" s="6">
        <v>241.75</v>
      </c>
      <c r="D1901" s="4">
        <v>34576</v>
      </c>
      <c r="E1901" s="6">
        <v>15.78</v>
      </c>
    </row>
    <row r="1902" spans="1:5" x14ac:dyDescent="0.25">
      <c r="A1902" s="4">
        <v>38568</v>
      </c>
      <c r="B1902" s="6">
        <v>244.75</v>
      </c>
      <c r="D1902" s="4">
        <v>34577</v>
      </c>
      <c r="E1902" s="6">
        <v>16.03</v>
      </c>
    </row>
    <row r="1903" spans="1:5" x14ac:dyDescent="0.25">
      <c r="A1903" s="4">
        <v>38569</v>
      </c>
      <c r="B1903" s="6">
        <v>247.75</v>
      </c>
      <c r="D1903" s="4">
        <v>34578</v>
      </c>
      <c r="E1903" s="6">
        <v>16.03</v>
      </c>
    </row>
    <row r="1904" spans="1:5" x14ac:dyDescent="0.25">
      <c r="A1904" s="4">
        <v>38572</v>
      </c>
      <c r="B1904" s="6">
        <v>259</v>
      </c>
      <c r="D1904" s="4">
        <v>34579</v>
      </c>
      <c r="E1904" s="6">
        <v>15.88</v>
      </c>
    </row>
    <row r="1905" spans="1:5" x14ac:dyDescent="0.25">
      <c r="A1905" s="4">
        <v>38573</v>
      </c>
      <c r="B1905" s="6">
        <v>257</v>
      </c>
      <c r="D1905" s="4">
        <v>34582</v>
      </c>
      <c r="E1905" s="6">
        <v>15.6</v>
      </c>
    </row>
    <row r="1906" spans="1:5" x14ac:dyDescent="0.25">
      <c r="A1906" s="4">
        <v>38574</v>
      </c>
      <c r="B1906" s="6">
        <v>258</v>
      </c>
      <c r="D1906" s="4">
        <v>34583</v>
      </c>
      <c r="E1906" s="6">
        <v>15.95</v>
      </c>
    </row>
    <row r="1907" spans="1:5" x14ac:dyDescent="0.25">
      <c r="A1907" s="4">
        <v>38575</v>
      </c>
      <c r="B1907" s="6">
        <v>264.5</v>
      </c>
      <c r="D1907" s="4">
        <v>34584</v>
      </c>
      <c r="E1907" s="6">
        <v>16.03</v>
      </c>
    </row>
    <row r="1908" spans="1:5" x14ac:dyDescent="0.25">
      <c r="A1908" s="4">
        <v>38576</v>
      </c>
      <c r="B1908" s="6">
        <v>265</v>
      </c>
      <c r="D1908" s="4">
        <v>34585</v>
      </c>
      <c r="E1908" s="6">
        <v>16.05</v>
      </c>
    </row>
    <row r="1909" spans="1:5" x14ac:dyDescent="0.25">
      <c r="A1909" s="4">
        <v>38579</v>
      </c>
      <c r="B1909" s="6">
        <v>262.25</v>
      </c>
      <c r="D1909" s="4">
        <v>34586</v>
      </c>
      <c r="E1909" s="6">
        <v>15.93</v>
      </c>
    </row>
    <row r="1910" spans="1:5" x14ac:dyDescent="0.25">
      <c r="A1910" s="4">
        <v>38580</v>
      </c>
      <c r="B1910" s="6">
        <v>260.75</v>
      </c>
      <c r="D1910" s="4">
        <v>34589</v>
      </c>
      <c r="E1910" s="6">
        <v>15.83</v>
      </c>
    </row>
    <row r="1911" spans="1:5" x14ac:dyDescent="0.25">
      <c r="A1911" s="4">
        <v>38581</v>
      </c>
      <c r="B1911" s="6">
        <v>255</v>
      </c>
      <c r="D1911" s="4">
        <v>34590</v>
      </c>
      <c r="E1911" s="6">
        <v>15.48</v>
      </c>
    </row>
    <row r="1912" spans="1:5" x14ac:dyDescent="0.25">
      <c r="A1912" s="4">
        <v>38582</v>
      </c>
      <c r="B1912" s="6">
        <v>255</v>
      </c>
      <c r="D1912" s="4">
        <v>34591</v>
      </c>
      <c r="E1912" s="6">
        <v>15.4</v>
      </c>
    </row>
    <row r="1913" spans="1:5" x14ac:dyDescent="0.25">
      <c r="A1913" s="4">
        <v>38583</v>
      </c>
      <c r="B1913" s="6">
        <v>264</v>
      </c>
      <c r="D1913" s="4">
        <v>34592</v>
      </c>
      <c r="E1913" s="6">
        <v>15.25</v>
      </c>
    </row>
    <row r="1914" spans="1:5" x14ac:dyDescent="0.25">
      <c r="A1914" s="4">
        <v>38586</v>
      </c>
      <c r="B1914" s="6">
        <v>266.75</v>
      </c>
      <c r="D1914" s="4">
        <v>34593</v>
      </c>
      <c r="E1914" s="6">
        <v>15.3</v>
      </c>
    </row>
    <row r="1915" spans="1:5" x14ac:dyDescent="0.25">
      <c r="A1915" s="4">
        <v>38587</v>
      </c>
      <c r="B1915" s="6">
        <v>267.25</v>
      </c>
      <c r="D1915" s="4">
        <v>34596</v>
      </c>
      <c r="E1915" s="6">
        <v>15.45</v>
      </c>
    </row>
    <row r="1916" spans="1:5" x14ac:dyDescent="0.25">
      <c r="A1916" s="4">
        <v>38588</v>
      </c>
      <c r="B1916" s="6">
        <v>268</v>
      </c>
      <c r="D1916" s="4">
        <v>34597</v>
      </c>
      <c r="E1916" s="6">
        <v>15.78</v>
      </c>
    </row>
    <row r="1917" spans="1:5" x14ac:dyDescent="0.25">
      <c r="A1917" s="4">
        <v>38589</v>
      </c>
      <c r="B1917" s="6">
        <v>268.75</v>
      </c>
      <c r="D1917" s="4">
        <v>34598</v>
      </c>
      <c r="E1917" s="6">
        <v>15.8</v>
      </c>
    </row>
    <row r="1918" spans="1:5" x14ac:dyDescent="0.25">
      <c r="A1918" s="4">
        <v>38590</v>
      </c>
      <c r="B1918" s="6">
        <v>268</v>
      </c>
      <c r="D1918" s="4">
        <v>34599</v>
      </c>
      <c r="E1918" s="6">
        <v>15.9</v>
      </c>
    </row>
    <row r="1919" spans="1:5" x14ac:dyDescent="0.25">
      <c r="A1919" s="4">
        <v>38594</v>
      </c>
      <c r="B1919" s="6">
        <v>275.75</v>
      </c>
      <c r="D1919" s="4">
        <v>34600</v>
      </c>
      <c r="E1919" s="6">
        <v>16.3</v>
      </c>
    </row>
    <row r="1920" spans="1:5" x14ac:dyDescent="0.25">
      <c r="A1920" s="4">
        <v>38595</v>
      </c>
      <c r="B1920" s="6">
        <v>281.25</v>
      </c>
      <c r="D1920" s="4">
        <v>34603</v>
      </c>
      <c r="E1920" s="6">
        <v>16.100000000000001</v>
      </c>
    </row>
    <row r="1921" spans="1:5" x14ac:dyDescent="0.25">
      <c r="A1921" s="4">
        <v>38596</v>
      </c>
      <c r="B1921" s="6">
        <v>291.5</v>
      </c>
      <c r="D1921" s="4">
        <v>34604</v>
      </c>
      <c r="E1921" s="6">
        <v>16.100000000000001</v>
      </c>
    </row>
    <row r="1922" spans="1:5" x14ac:dyDescent="0.25">
      <c r="A1922" s="4">
        <v>38597</v>
      </c>
      <c r="B1922" s="6">
        <v>284.25</v>
      </c>
      <c r="D1922" s="4">
        <v>34605</v>
      </c>
      <c r="E1922" s="6">
        <v>16.2</v>
      </c>
    </row>
    <row r="1923" spans="1:5" x14ac:dyDescent="0.25">
      <c r="A1923" s="4">
        <v>38600</v>
      </c>
      <c r="B1923" s="6">
        <v>288.75</v>
      </c>
      <c r="D1923" s="4">
        <v>34606</v>
      </c>
      <c r="E1923" s="6">
        <v>16.600000000000001</v>
      </c>
    </row>
    <row r="1924" spans="1:5" x14ac:dyDescent="0.25">
      <c r="A1924" s="4">
        <v>38601</v>
      </c>
      <c r="B1924" s="6">
        <v>291.5</v>
      </c>
      <c r="D1924" s="4">
        <v>34607</v>
      </c>
      <c r="E1924" s="6">
        <v>16.73</v>
      </c>
    </row>
    <row r="1925" spans="1:5" x14ac:dyDescent="0.25">
      <c r="A1925" s="4">
        <v>38602</v>
      </c>
      <c r="B1925" s="6">
        <v>286</v>
      </c>
      <c r="D1925" s="4">
        <v>34610</v>
      </c>
      <c r="E1925" s="6">
        <v>16.850000000000001</v>
      </c>
    </row>
    <row r="1926" spans="1:5" x14ac:dyDescent="0.25">
      <c r="A1926" s="4">
        <v>38603</v>
      </c>
      <c r="B1926" s="6">
        <v>271.5</v>
      </c>
      <c r="D1926" s="4">
        <v>34611</v>
      </c>
      <c r="E1926" s="6">
        <v>16.7</v>
      </c>
    </row>
    <row r="1927" spans="1:5" x14ac:dyDescent="0.25">
      <c r="A1927" s="4">
        <v>38604</v>
      </c>
      <c r="B1927" s="6">
        <v>263.75</v>
      </c>
      <c r="D1927" s="4">
        <v>34612</v>
      </c>
      <c r="E1927" s="6">
        <v>16.5</v>
      </c>
    </row>
    <row r="1928" spans="1:5" x14ac:dyDescent="0.25">
      <c r="A1928" s="4">
        <v>38607</v>
      </c>
      <c r="B1928" s="6">
        <v>254.5</v>
      </c>
      <c r="D1928" s="4">
        <v>34613</v>
      </c>
      <c r="E1928" s="6">
        <v>16.63</v>
      </c>
    </row>
    <row r="1929" spans="1:5" x14ac:dyDescent="0.25">
      <c r="A1929" s="4">
        <v>38608</v>
      </c>
      <c r="B1929" s="6">
        <v>258.25</v>
      </c>
      <c r="D1929" s="4">
        <v>34614</v>
      </c>
      <c r="E1929" s="6">
        <v>16.93</v>
      </c>
    </row>
    <row r="1930" spans="1:5" x14ac:dyDescent="0.25">
      <c r="A1930" s="4">
        <v>38609</v>
      </c>
      <c r="B1930" s="6">
        <v>273.25</v>
      </c>
      <c r="D1930" s="4">
        <v>34617</v>
      </c>
      <c r="E1930" s="6">
        <v>16.7</v>
      </c>
    </row>
    <row r="1931" spans="1:5" x14ac:dyDescent="0.25">
      <c r="A1931" s="4">
        <v>38610</v>
      </c>
      <c r="B1931" s="6">
        <v>278.25</v>
      </c>
      <c r="D1931" s="4">
        <v>34618</v>
      </c>
      <c r="E1931" s="6">
        <v>16.38</v>
      </c>
    </row>
    <row r="1932" spans="1:5" x14ac:dyDescent="0.25">
      <c r="A1932" s="4">
        <v>38611</v>
      </c>
      <c r="B1932" s="6">
        <v>263</v>
      </c>
      <c r="D1932" s="4">
        <v>34619</v>
      </c>
      <c r="E1932" s="6">
        <v>16.079999999999998</v>
      </c>
    </row>
    <row r="1933" spans="1:5" x14ac:dyDescent="0.25">
      <c r="A1933" s="4">
        <v>38614</v>
      </c>
      <c r="B1933" s="6">
        <v>277.25</v>
      </c>
      <c r="D1933" s="4">
        <v>34620</v>
      </c>
      <c r="E1933" s="6">
        <v>15.63</v>
      </c>
    </row>
    <row r="1934" spans="1:5" x14ac:dyDescent="0.25">
      <c r="A1934" s="4">
        <v>38615</v>
      </c>
      <c r="B1934" s="6">
        <v>272.875</v>
      </c>
      <c r="D1934" s="4">
        <v>34621</v>
      </c>
      <c r="E1934" s="6">
        <v>15.58</v>
      </c>
    </row>
    <row r="1935" spans="1:5" x14ac:dyDescent="0.25">
      <c r="A1935" s="4">
        <v>38616</v>
      </c>
      <c r="B1935" s="6">
        <v>282.5</v>
      </c>
      <c r="D1935" s="4">
        <v>34624</v>
      </c>
      <c r="E1935" s="6">
        <v>15.75</v>
      </c>
    </row>
    <row r="1936" spans="1:5" x14ac:dyDescent="0.25">
      <c r="A1936" s="4">
        <v>38617</v>
      </c>
      <c r="B1936" s="6">
        <v>288.5</v>
      </c>
      <c r="D1936" s="4">
        <v>34625</v>
      </c>
      <c r="E1936" s="6">
        <v>16.13</v>
      </c>
    </row>
    <row r="1937" spans="1:5" x14ac:dyDescent="0.25">
      <c r="A1937" s="4">
        <v>38618</v>
      </c>
      <c r="B1937" s="6">
        <v>274</v>
      </c>
      <c r="D1937" s="4">
        <v>34626</v>
      </c>
      <c r="E1937" s="6">
        <v>16.28</v>
      </c>
    </row>
    <row r="1938" spans="1:5" x14ac:dyDescent="0.25">
      <c r="A1938" s="4">
        <v>38621</v>
      </c>
      <c r="B1938" s="6">
        <v>277</v>
      </c>
      <c r="D1938" s="4">
        <v>34627</v>
      </c>
      <c r="E1938" s="6">
        <v>16.53</v>
      </c>
    </row>
    <row r="1939" spans="1:5" x14ac:dyDescent="0.25">
      <c r="A1939" s="4">
        <v>38622</v>
      </c>
      <c r="B1939" s="6">
        <v>277</v>
      </c>
      <c r="D1939" s="4">
        <v>34628</v>
      </c>
      <c r="E1939" s="6">
        <v>16.350000000000001</v>
      </c>
    </row>
    <row r="1940" spans="1:5" x14ac:dyDescent="0.25">
      <c r="A1940" s="4">
        <v>38623</v>
      </c>
      <c r="B1940" s="6">
        <v>283</v>
      </c>
      <c r="D1940" s="4">
        <v>34631</v>
      </c>
      <c r="E1940" s="6">
        <v>16.48</v>
      </c>
    </row>
    <row r="1941" spans="1:5" x14ac:dyDescent="0.25">
      <c r="A1941" s="4">
        <v>38624</v>
      </c>
      <c r="B1941" s="6">
        <v>280.75</v>
      </c>
      <c r="D1941" s="4">
        <v>34632</v>
      </c>
      <c r="E1941" s="6">
        <v>16.48</v>
      </c>
    </row>
    <row r="1942" spans="1:5" x14ac:dyDescent="0.25">
      <c r="A1942" s="4">
        <v>38625</v>
      </c>
      <c r="B1942" s="6">
        <v>279.5</v>
      </c>
      <c r="D1942" s="4">
        <v>34633</v>
      </c>
      <c r="E1942" s="6">
        <v>16.88</v>
      </c>
    </row>
    <row r="1943" spans="1:5" x14ac:dyDescent="0.25">
      <c r="A1943" s="4">
        <v>38628</v>
      </c>
      <c r="B1943" s="6">
        <v>278</v>
      </c>
      <c r="D1943" s="4">
        <v>34634</v>
      </c>
      <c r="E1943" s="6">
        <v>17.079999999999998</v>
      </c>
    </row>
    <row r="1944" spans="1:5" x14ac:dyDescent="0.25">
      <c r="A1944" s="4">
        <v>38629</v>
      </c>
      <c r="B1944" s="6">
        <v>265</v>
      </c>
      <c r="D1944" s="4">
        <v>34635</v>
      </c>
      <c r="E1944" s="6">
        <v>17.18</v>
      </c>
    </row>
    <row r="1945" spans="1:5" x14ac:dyDescent="0.25">
      <c r="A1945" s="4">
        <v>38630</v>
      </c>
      <c r="B1945" s="6">
        <v>266.5</v>
      </c>
      <c r="D1945" s="4">
        <v>34638</v>
      </c>
      <c r="E1945" s="6">
        <v>17.18</v>
      </c>
    </row>
    <row r="1946" spans="1:5" x14ac:dyDescent="0.25">
      <c r="A1946" s="4">
        <v>38631</v>
      </c>
      <c r="B1946" s="6">
        <v>257.5</v>
      </c>
      <c r="D1946" s="4">
        <v>34639</v>
      </c>
      <c r="E1946" s="6">
        <v>17.399999999999999</v>
      </c>
    </row>
    <row r="1947" spans="1:5" x14ac:dyDescent="0.25">
      <c r="A1947" s="4">
        <v>38632</v>
      </c>
      <c r="B1947" s="6">
        <v>262</v>
      </c>
      <c r="D1947" s="4">
        <v>34640</v>
      </c>
      <c r="E1947" s="6">
        <v>17.579999999999998</v>
      </c>
    </row>
    <row r="1948" spans="1:5" x14ac:dyDescent="0.25">
      <c r="A1948" s="4">
        <v>38635</v>
      </c>
      <c r="B1948" s="6">
        <v>263.75</v>
      </c>
      <c r="D1948" s="4">
        <v>34641</v>
      </c>
      <c r="E1948" s="6">
        <v>17.75</v>
      </c>
    </row>
    <row r="1949" spans="1:5" x14ac:dyDescent="0.25">
      <c r="A1949" s="4">
        <v>38636</v>
      </c>
      <c r="B1949" s="6">
        <v>274</v>
      </c>
      <c r="D1949" s="4">
        <v>34642</v>
      </c>
      <c r="E1949" s="6">
        <v>18</v>
      </c>
    </row>
    <row r="1950" spans="1:5" x14ac:dyDescent="0.25">
      <c r="A1950" s="4">
        <v>38637</v>
      </c>
      <c r="B1950" s="6">
        <v>276</v>
      </c>
      <c r="D1950" s="4">
        <v>34645</v>
      </c>
      <c r="E1950" s="6">
        <v>17.78</v>
      </c>
    </row>
    <row r="1951" spans="1:5" x14ac:dyDescent="0.25">
      <c r="A1951" s="4">
        <v>38638</v>
      </c>
      <c r="B1951" s="6">
        <v>275.5</v>
      </c>
      <c r="D1951" s="4">
        <v>34646</v>
      </c>
      <c r="E1951" s="6">
        <v>17.38</v>
      </c>
    </row>
    <row r="1952" spans="1:5" x14ac:dyDescent="0.25">
      <c r="A1952" s="4">
        <v>38639</v>
      </c>
      <c r="B1952" s="6">
        <v>261.75</v>
      </c>
      <c r="D1952" s="4">
        <v>34647</v>
      </c>
      <c r="E1952" s="6">
        <v>17.55</v>
      </c>
    </row>
    <row r="1953" spans="1:5" x14ac:dyDescent="0.25">
      <c r="A1953" s="4">
        <v>38642</v>
      </c>
      <c r="B1953" s="6">
        <v>266.5</v>
      </c>
      <c r="D1953" s="4">
        <v>34648</v>
      </c>
      <c r="E1953" s="6">
        <v>17.2</v>
      </c>
    </row>
    <row r="1954" spans="1:5" x14ac:dyDescent="0.25">
      <c r="A1954" s="4">
        <v>38643</v>
      </c>
      <c r="B1954" s="6">
        <v>261</v>
      </c>
      <c r="D1954" s="4">
        <v>34649</v>
      </c>
      <c r="E1954" s="6">
        <v>17.38</v>
      </c>
    </row>
    <row r="1955" spans="1:5" x14ac:dyDescent="0.25">
      <c r="A1955" s="4">
        <v>38644</v>
      </c>
      <c r="B1955" s="6">
        <v>257</v>
      </c>
      <c r="D1955" s="4">
        <v>34652</v>
      </c>
      <c r="E1955" s="6">
        <v>17.25</v>
      </c>
    </row>
    <row r="1956" spans="1:5" x14ac:dyDescent="0.25">
      <c r="A1956" s="4">
        <v>38645</v>
      </c>
      <c r="B1956" s="6">
        <v>257</v>
      </c>
      <c r="D1956" s="4">
        <v>34653</v>
      </c>
      <c r="E1956" s="6">
        <v>16.98</v>
      </c>
    </row>
    <row r="1957" spans="1:5" x14ac:dyDescent="0.25">
      <c r="A1957" s="4">
        <v>38646</v>
      </c>
      <c r="B1957" s="6">
        <v>257.25</v>
      </c>
      <c r="D1957" s="4">
        <v>34654</v>
      </c>
      <c r="E1957" s="6">
        <v>16.8</v>
      </c>
    </row>
    <row r="1958" spans="1:5" x14ac:dyDescent="0.25">
      <c r="A1958" s="4">
        <v>38649</v>
      </c>
      <c r="B1958" s="6">
        <v>261.25</v>
      </c>
      <c r="D1958" s="4">
        <v>34655</v>
      </c>
      <c r="E1958" s="6">
        <v>16.53</v>
      </c>
    </row>
    <row r="1959" spans="1:5" x14ac:dyDescent="0.25">
      <c r="A1959" s="4">
        <v>38650</v>
      </c>
      <c r="B1959" s="6">
        <v>266.5</v>
      </c>
      <c r="D1959" s="4">
        <v>34656</v>
      </c>
      <c r="E1959" s="6">
        <v>16.45</v>
      </c>
    </row>
    <row r="1960" spans="1:5" x14ac:dyDescent="0.25">
      <c r="A1960" s="4">
        <v>38651</v>
      </c>
      <c r="B1960" s="6">
        <v>271</v>
      </c>
      <c r="D1960" s="4">
        <v>34659</v>
      </c>
      <c r="E1960" s="6">
        <v>17.25</v>
      </c>
    </row>
    <row r="1961" spans="1:5" x14ac:dyDescent="0.25">
      <c r="A1961" s="4">
        <v>38652</v>
      </c>
      <c r="B1961" s="6">
        <v>264</v>
      </c>
      <c r="D1961" s="4">
        <v>34660</v>
      </c>
      <c r="E1961" s="6">
        <v>17.2</v>
      </c>
    </row>
    <row r="1962" spans="1:5" x14ac:dyDescent="0.25">
      <c r="A1962" s="4">
        <v>38653</v>
      </c>
      <c r="B1962" s="6">
        <v>259.75</v>
      </c>
      <c r="D1962" s="4">
        <v>34661</v>
      </c>
      <c r="E1962" s="6">
        <v>16.88</v>
      </c>
    </row>
    <row r="1963" spans="1:5" x14ac:dyDescent="0.25">
      <c r="A1963" s="4">
        <v>38656</v>
      </c>
      <c r="B1963" s="6">
        <v>257</v>
      </c>
      <c r="D1963" s="4">
        <v>34662</v>
      </c>
      <c r="E1963" s="6">
        <v>16.95</v>
      </c>
    </row>
    <row r="1964" spans="1:5" x14ac:dyDescent="0.25">
      <c r="A1964" s="4">
        <v>38657</v>
      </c>
      <c r="B1964" s="6">
        <v>256.25</v>
      </c>
      <c r="D1964" s="4">
        <v>34663</v>
      </c>
      <c r="E1964" s="6">
        <v>17</v>
      </c>
    </row>
    <row r="1965" spans="1:5" x14ac:dyDescent="0.25">
      <c r="A1965" s="4">
        <v>38658</v>
      </c>
      <c r="B1965" s="6">
        <v>259</v>
      </c>
      <c r="D1965" s="4">
        <v>34666</v>
      </c>
      <c r="E1965" s="6">
        <v>16.95</v>
      </c>
    </row>
    <row r="1966" spans="1:5" x14ac:dyDescent="0.25">
      <c r="A1966" s="4">
        <v>38659</v>
      </c>
      <c r="B1966" s="6">
        <v>258.5</v>
      </c>
      <c r="D1966" s="4">
        <v>34667</v>
      </c>
      <c r="E1966" s="6">
        <v>17</v>
      </c>
    </row>
    <row r="1967" spans="1:5" x14ac:dyDescent="0.25">
      <c r="A1967" s="4">
        <v>38660</v>
      </c>
      <c r="B1967" s="6">
        <v>257</v>
      </c>
      <c r="D1967" s="4">
        <v>34668</v>
      </c>
      <c r="E1967" s="6">
        <v>16.95</v>
      </c>
    </row>
    <row r="1968" spans="1:5" x14ac:dyDescent="0.25">
      <c r="A1968" s="4">
        <v>38663</v>
      </c>
      <c r="B1968" s="6">
        <v>251.25</v>
      </c>
      <c r="D1968" s="4">
        <v>34669</v>
      </c>
      <c r="E1968" s="6">
        <v>16.98</v>
      </c>
    </row>
    <row r="1969" spans="1:5" x14ac:dyDescent="0.25">
      <c r="A1969" s="4">
        <v>38664</v>
      </c>
      <c r="B1969" s="6">
        <v>253.25</v>
      </c>
      <c r="D1969" s="4">
        <v>34670</v>
      </c>
      <c r="E1969" s="6">
        <v>16.350000000000001</v>
      </c>
    </row>
    <row r="1970" spans="1:5" x14ac:dyDescent="0.25">
      <c r="A1970" s="4">
        <v>38665</v>
      </c>
      <c r="B1970" s="6">
        <v>253.5</v>
      </c>
      <c r="D1970" s="4">
        <v>34673</v>
      </c>
      <c r="E1970" s="6">
        <v>15.93</v>
      </c>
    </row>
    <row r="1971" spans="1:5" x14ac:dyDescent="0.25">
      <c r="A1971" s="4">
        <v>38666</v>
      </c>
      <c r="B1971" s="6">
        <v>246</v>
      </c>
      <c r="D1971" s="4">
        <v>34674</v>
      </c>
      <c r="E1971" s="6">
        <v>16.05</v>
      </c>
    </row>
    <row r="1972" spans="1:5" x14ac:dyDescent="0.25">
      <c r="A1972" s="4">
        <v>38667</v>
      </c>
      <c r="B1972" s="6">
        <v>241.5</v>
      </c>
      <c r="D1972" s="4">
        <v>34675</v>
      </c>
      <c r="E1972" s="6">
        <v>15.83</v>
      </c>
    </row>
    <row r="1973" spans="1:5" x14ac:dyDescent="0.25">
      <c r="A1973" s="4">
        <v>38670</v>
      </c>
      <c r="B1973" s="6">
        <v>244</v>
      </c>
      <c r="D1973" s="4">
        <v>34676</v>
      </c>
      <c r="E1973" s="6">
        <v>16.13</v>
      </c>
    </row>
    <row r="1974" spans="1:5" x14ac:dyDescent="0.25">
      <c r="A1974" s="4">
        <v>38671</v>
      </c>
      <c r="B1974" s="6">
        <v>247.5</v>
      </c>
      <c r="D1974" s="4">
        <v>34677</v>
      </c>
      <c r="E1974" s="6">
        <v>16.079999999999998</v>
      </c>
    </row>
    <row r="1975" spans="1:5" x14ac:dyDescent="0.25">
      <c r="A1975" s="4">
        <v>38672</v>
      </c>
      <c r="B1975" s="6">
        <v>247.25</v>
      </c>
      <c r="D1975" s="4">
        <v>34680</v>
      </c>
      <c r="E1975" s="6">
        <v>15.98</v>
      </c>
    </row>
    <row r="1976" spans="1:5" x14ac:dyDescent="0.25">
      <c r="A1976" s="4">
        <v>38673</v>
      </c>
      <c r="B1976" s="6">
        <v>249</v>
      </c>
      <c r="D1976" s="4">
        <v>34681</v>
      </c>
      <c r="E1976" s="6">
        <v>15.73</v>
      </c>
    </row>
    <row r="1977" spans="1:5" x14ac:dyDescent="0.25">
      <c r="A1977" s="4">
        <v>38674</v>
      </c>
      <c r="B1977" s="6">
        <v>243.25</v>
      </c>
      <c r="D1977" s="4">
        <v>34682</v>
      </c>
      <c r="E1977" s="6">
        <v>15.83</v>
      </c>
    </row>
    <row r="1978" spans="1:5" x14ac:dyDescent="0.25">
      <c r="A1978" s="4">
        <v>38677</v>
      </c>
      <c r="B1978" s="6">
        <v>245.5</v>
      </c>
      <c r="D1978" s="4">
        <v>34683</v>
      </c>
      <c r="E1978" s="6">
        <v>15.6</v>
      </c>
    </row>
    <row r="1979" spans="1:5" x14ac:dyDescent="0.25">
      <c r="A1979" s="4">
        <v>38678</v>
      </c>
      <c r="B1979" s="6">
        <v>252.5</v>
      </c>
      <c r="D1979" s="4">
        <v>34684</v>
      </c>
      <c r="E1979" s="6">
        <v>15.48</v>
      </c>
    </row>
    <row r="1980" spans="1:5" x14ac:dyDescent="0.25">
      <c r="A1980" s="4">
        <v>38679</v>
      </c>
      <c r="B1980" s="6">
        <v>248.5</v>
      </c>
      <c r="D1980" s="4">
        <v>34687</v>
      </c>
      <c r="E1980" s="6">
        <v>15.58</v>
      </c>
    </row>
    <row r="1981" spans="1:5" x14ac:dyDescent="0.25">
      <c r="A1981" s="4">
        <v>38680</v>
      </c>
      <c r="B1981" s="6">
        <v>244.25</v>
      </c>
      <c r="D1981" s="4">
        <v>34688</v>
      </c>
      <c r="E1981" s="6">
        <v>15.73</v>
      </c>
    </row>
    <row r="1982" spans="1:5" x14ac:dyDescent="0.25">
      <c r="A1982" s="4">
        <v>38681</v>
      </c>
      <c r="B1982" s="6">
        <v>237</v>
      </c>
      <c r="D1982" s="4">
        <v>34689</v>
      </c>
      <c r="E1982" s="6">
        <v>15.65</v>
      </c>
    </row>
    <row r="1983" spans="1:5" x14ac:dyDescent="0.25">
      <c r="A1983" s="4">
        <v>38684</v>
      </c>
      <c r="B1983" s="6">
        <v>238</v>
      </c>
      <c r="D1983" s="4">
        <v>34690</v>
      </c>
      <c r="E1983" s="6">
        <v>15.6</v>
      </c>
    </row>
    <row r="1984" spans="1:5" x14ac:dyDescent="0.25">
      <c r="A1984" s="4">
        <v>38685</v>
      </c>
      <c r="B1984" s="6">
        <v>242</v>
      </c>
      <c r="D1984" s="4">
        <v>34691</v>
      </c>
      <c r="E1984" s="6">
        <v>15.55</v>
      </c>
    </row>
    <row r="1985" spans="1:5" x14ac:dyDescent="0.25">
      <c r="A1985" s="4">
        <v>38686</v>
      </c>
      <c r="B1985" s="6">
        <v>247.75</v>
      </c>
      <c r="D1985" s="4">
        <v>34694</v>
      </c>
      <c r="E1985" s="5"/>
    </row>
    <row r="1986" spans="1:5" x14ac:dyDescent="0.25">
      <c r="A1986" s="4">
        <v>38687</v>
      </c>
      <c r="B1986" s="6">
        <v>252</v>
      </c>
      <c r="D1986" s="4">
        <v>34695</v>
      </c>
      <c r="E1986" s="5"/>
    </row>
    <row r="1987" spans="1:5" x14ac:dyDescent="0.25">
      <c r="A1987" s="4">
        <v>38688</v>
      </c>
      <c r="B1987" s="6">
        <v>250.5</v>
      </c>
      <c r="D1987" s="4">
        <v>34696</v>
      </c>
      <c r="E1987" s="6">
        <v>16.079999999999998</v>
      </c>
    </row>
    <row r="1988" spans="1:5" x14ac:dyDescent="0.25">
      <c r="A1988" s="4">
        <v>38691</v>
      </c>
      <c r="B1988" s="6">
        <v>258.25</v>
      </c>
      <c r="D1988" s="4">
        <v>34697</v>
      </c>
      <c r="E1988" s="6">
        <v>16.25</v>
      </c>
    </row>
    <row r="1989" spans="1:5" x14ac:dyDescent="0.25">
      <c r="A1989" s="4">
        <v>38692</v>
      </c>
      <c r="B1989" s="6">
        <v>258.5</v>
      </c>
      <c r="D1989" s="4">
        <v>34698</v>
      </c>
      <c r="E1989" s="6">
        <v>16.23</v>
      </c>
    </row>
    <row r="1990" spans="1:5" x14ac:dyDescent="0.25">
      <c r="A1990" s="4">
        <v>38693</v>
      </c>
      <c r="B1990" s="6">
        <v>260.75</v>
      </c>
      <c r="D1990" s="4">
        <v>34701</v>
      </c>
      <c r="E1990" s="5"/>
    </row>
    <row r="1991" spans="1:5" x14ac:dyDescent="0.25">
      <c r="A1991" s="4">
        <v>38694</v>
      </c>
      <c r="B1991" s="6">
        <v>258.75</v>
      </c>
      <c r="D1991" s="4">
        <v>34702</v>
      </c>
      <c r="E1991" s="6">
        <v>15.88</v>
      </c>
    </row>
    <row r="1992" spans="1:5" x14ac:dyDescent="0.25">
      <c r="A1992" s="4">
        <v>38695</v>
      </c>
      <c r="B1992" s="6">
        <v>256</v>
      </c>
      <c r="D1992" s="4">
        <v>34703</v>
      </c>
      <c r="E1992" s="6">
        <v>15.93</v>
      </c>
    </row>
    <row r="1993" spans="1:5" x14ac:dyDescent="0.25">
      <c r="A1993" s="4">
        <v>38698</v>
      </c>
      <c r="B1993" s="6">
        <v>253</v>
      </c>
      <c r="D1993" s="4">
        <v>34704</v>
      </c>
      <c r="E1993" s="6">
        <v>16.13</v>
      </c>
    </row>
    <row r="1994" spans="1:5" x14ac:dyDescent="0.25">
      <c r="A1994" s="4">
        <v>38699</v>
      </c>
      <c r="B1994" s="6">
        <v>248</v>
      </c>
      <c r="D1994" s="4">
        <v>34705</v>
      </c>
      <c r="E1994" s="6">
        <v>16.350000000000001</v>
      </c>
    </row>
    <row r="1995" spans="1:5" x14ac:dyDescent="0.25">
      <c r="A1995" s="4">
        <v>38700</v>
      </c>
      <c r="B1995" s="6">
        <v>249.25</v>
      </c>
      <c r="D1995" s="4">
        <v>34708</v>
      </c>
      <c r="E1995" s="6">
        <v>16.079999999999998</v>
      </c>
    </row>
    <row r="1996" spans="1:5" x14ac:dyDescent="0.25">
      <c r="A1996" s="4">
        <v>38701</v>
      </c>
      <c r="B1996" s="6">
        <v>247.5</v>
      </c>
      <c r="D1996" s="4">
        <v>34709</v>
      </c>
      <c r="E1996" s="6">
        <v>16</v>
      </c>
    </row>
    <row r="1997" spans="1:5" x14ac:dyDescent="0.25">
      <c r="A1997" s="4">
        <v>38702</v>
      </c>
      <c r="B1997" s="6">
        <v>243.25</v>
      </c>
      <c r="D1997" s="4">
        <v>34710</v>
      </c>
      <c r="E1997" s="6">
        <v>16.399999999999999</v>
      </c>
    </row>
    <row r="1998" spans="1:5" x14ac:dyDescent="0.25">
      <c r="A1998" s="4">
        <v>38705</v>
      </c>
      <c r="B1998" s="6">
        <v>241.25</v>
      </c>
      <c r="D1998" s="4">
        <v>34711</v>
      </c>
      <c r="E1998" s="6">
        <v>16.48</v>
      </c>
    </row>
    <row r="1999" spans="1:5" x14ac:dyDescent="0.25">
      <c r="A1999" s="4">
        <v>38706</v>
      </c>
      <c r="B1999" s="6">
        <v>237.5</v>
      </c>
      <c r="D1999" s="4">
        <v>34712</v>
      </c>
      <c r="E1999" s="6">
        <v>16.2</v>
      </c>
    </row>
    <row r="2000" spans="1:5" x14ac:dyDescent="0.25">
      <c r="A2000" s="4">
        <v>38707</v>
      </c>
      <c r="B2000" s="6">
        <v>236.25</v>
      </c>
      <c r="D2000" s="4">
        <v>34715</v>
      </c>
      <c r="E2000" s="6">
        <v>16.38</v>
      </c>
    </row>
    <row r="2001" spans="1:5" x14ac:dyDescent="0.25">
      <c r="A2001" s="4">
        <v>38708</v>
      </c>
      <c r="B2001" s="6">
        <v>241</v>
      </c>
      <c r="D2001" s="4">
        <v>34716</v>
      </c>
      <c r="E2001" s="6">
        <v>16.78</v>
      </c>
    </row>
    <row r="2002" spans="1:5" x14ac:dyDescent="0.25">
      <c r="A2002" s="4">
        <v>38709</v>
      </c>
      <c r="B2002" s="6">
        <v>236.5</v>
      </c>
      <c r="D2002" s="4">
        <v>34717</v>
      </c>
      <c r="E2002" s="6">
        <v>16.95</v>
      </c>
    </row>
    <row r="2003" spans="1:5" x14ac:dyDescent="0.25">
      <c r="A2003" s="4">
        <v>38714</v>
      </c>
      <c r="B2003" s="6">
        <v>246.5</v>
      </c>
      <c r="D2003" s="4">
        <v>34718</v>
      </c>
      <c r="E2003" s="6">
        <v>17.079999999999998</v>
      </c>
    </row>
    <row r="2004" spans="1:5" x14ac:dyDescent="0.25">
      <c r="A2004" s="4">
        <v>38715</v>
      </c>
      <c r="B2004" s="6">
        <v>247</v>
      </c>
      <c r="D2004" s="4">
        <v>34719</v>
      </c>
      <c r="E2004" s="6">
        <v>17.23</v>
      </c>
    </row>
    <row r="2005" spans="1:5" x14ac:dyDescent="0.25">
      <c r="A2005" s="4">
        <v>38716</v>
      </c>
      <c r="B2005" s="6">
        <v>249.25</v>
      </c>
      <c r="D2005" s="4">
        <v>34722</v>
      </c>
      <c r="E2005" s="6">
        <v>17</v>
      </c>
    </row>
    <row r="2006" spans="1:5" x14ac:dyDescent="0.25">
      <c r="A2006" s="4">
        <v>38720</v>
      </c>
      <c r="B2006" s="6">
        <v>269.5</v>
      </c>
      <c r="D2006" s="4">
        <v>34723</v>
      </c>
      <c r="E2006" s="6">
        <v>17.149999999999999</v>
      </c>
    </row>
    <row r="2007" spans="1:5" x14ac:dyDescent="0.25">
      <c r="A2007" s="4">
        <v>38721</v>
      </c>
      <c r="B2007" s="6">
        <v>267.75</v>
      </c>
      <c r="D2007" s="4">
        <v>34724</v>
      </c>
      <c r="E2007" s="6">
        <v>16.98</v>
      </c>
    </row>
    <row r="2008" spans="1:5" x14ac:dyDescent="0.25">
      <c r="A2008" s="4">
        <v>38722</v>
      </c>
      <c r="B2008" s="6">
        <v>267.75</v>
      </c>
      <c r="D2008" s="4">
        <v>34725</v>
      </c>
      <c r="E2008" s="6">
        <v>16.73</v>
      </c>
    </row>
    <row r="2009" spans="1:5" x14ac:dyDescent="0.25">
      <c r="A2009" s="4">
        <v>38723</v>
      </c>
      <c r="B2009" s="6">
        <v>269.625</v>
      </c>
      <c r="D2009" s="4">
        <v>34726</v>
      </c>
      <c r="E2009" s="6">
        <v>16.38</v>
      </c>
    </row>
    <row r="2010" spans="1:5" x14ac:dyDescent="0.25">
      <c r="A2010" s="4">
        <v>38726</v>
      </c>
      <c r="B2010" s="6">
        <v>269.5</v>
      </c>
      <c r="D2010" s="4">
        <v>34729</v>
      </c>
      <c r="E2010" s="6">
        <v>16.68</v>
      </c>
    </row>
    <row r="2011" spans="1:5" x14ac:dyDescent="0.25">
      <c r="A2011" s="4">
        <v>38727</v>
      </c>
      <c r="B2011" s="6">
        <v>267.75</v>
      </c>
      <c r="D2011" s="4">
        <v>34730</v>
      </c>
      <c r="E2011" s="6">
        <v>16.8</v>
      </c>
    </row>
    <row r="2012" spans="1:5" x14ac:dyDescent="0.25">
      <c r="A2012" s="4">
        <v>38728</v>
      </c>
      <c r="B2012" s="6">
        <v>266.25</v>
      </c>
      <c r="D2012" s="4">
        <v>34731</v>
      </c>
      <c r="E2012" s="6">
        <v>17.05</v>
      </c>
    </row>
    <row r="2013" spans="1:5" x14ac:dyDescent="0.25">
      <c r="A2013" s="4">
        <v>38729</v>
      </c>
      <c r="B2013" s="6">
        <v>275.75</v>
      </c>
      <c r="D2013" s="4">
        <v>34732</v>
      </c>
      <c r="E2013" s="6">
        <v>17</v>
      </c>
    </row>
    <row r="2014" spans="1:5" x14ac:dyDescent="0.25">
      <c r="A2014" s="4">
        <v>38730</v>
      </c>
      <c r="B2014" s="6">
        <v>271.25</v>
      </c>
      <c r="D2014" s="4">
        <v>34733</v>
      </c>
      <c r="E2014" s="6">
        <v>17.399999999999999</v>
      </c>
    </row>
    <row r="2015" spans="1:5" x14ac:dyDescent="0.25">
      <c r="A2015" s="4">
        <v>38733</v>
      </c>
      <c r="B2015" s="6">
        <v>276.5</v>
      </c>
      <c r="D2015" s="4">
        <v>34736</v>
      </c>
      <c r="E2015" s="6">
        <v>17.079999999999998</v>
      </c>
    </row>
    <row r="2016" spans="1:5" x14ac:dyDescent="0.25">
      <c r="A2016" s="4">
        <v>38734</v>
      </c>
      <c r="B2016" s="6">
        <v>282</v>
      </c>
      <c r="D2016" s="4">
        <v>34737</v>
      </c>
      <c r="E2016" s="6">
        <v>17.05</v>
      </c>
    </row>
    <row r="2017" spans="1:5" x14ac:dyDescent="0.25">
      <c r="A2017" s="4">
        <v>38735</v>
      </c>
      <c r="B2017" s="6">
        <v>286</v>
      </c>
      <c r="D2017" s="4">
        <v>34738</v>
      </c>
      <c r="E2017" s="6">
        <v>17.03</v>
      </c>
    </row>
    <row r="2018" spans="1:5" x14ac:dyDescent="0.25">
      <c r="A2018" s="4">
        <v>38736</v>
      </c>
      <c r="B2018" s="6">
        <v>283.75</v>
      </c>
      <c r="D2018" s="4">
        <v>34739</v>
      </c>
      <c r="E2018" s="6">
        <v>16.850000000000001</v>
      </c>
    </row>
    <row r="2019" spans="1:5" x14ac:dyDescent="0.25">
      <c r="A2019" s="4">
        <v>38737</v>
      </c>
      <c r="B2019" s="6">
        <v>295.75</v>
      </c>
      <c r="D2019" s="4">
        <v>34740</v>
      </c>
      <c r="E2019" s="6">
        <v>16.850000000000001</v>
      </c>
    </row>
    <row r="2020" spans="1:5" x14ac:dyDescent="0.25">
      <c r="A2020" s="4">
        <v>38740</v>
      </c>
      <c r="B2020" s="6">
        <v>294.5</v>
      </c>
      <c r="D2020" s="4">
        <v>34743</v>
      </c>
      <c r="E2020" s="6">
        <v>16.88</v>
      </c>
    </row>
    <row r="2021" spans="1:5" x14ac:dyDescent="0.25">
      <c r="A2021" s="4">
        <v>38741</v>
      </c>
      <c r="B2021" s="6">
        <v>288.5</v>
      </c>
      <c r="D2021" s="4">
        <v>34744</v>
      </c>
      <c r="E2021" s="6">
        <v>17</v>
      </c>
    </row>
    <row r="2022" spans="1:5" x14ac:dyDescent="0.25">
      <c r="A2022" s="4">
        <v>38742</v>
      </c>
      <c r="B2022" s="6">
        <v>282</v>
      </c>
      <c r="D2022" s="4">
        <v>34745</v>
      </c>
      <c r="E2022" s="6">
        <v>17.100000000000001</v>
      </c>
    </row>
    <row r="2023" spans="1:5" x14ac:dyDescent="0.25">
      <c r="A2023" s="4">
        <v>38743</v>
      </c>
      <c r="B2023" s="6">
        <v>283.25</v>
      </c>
      <c r="D2023" s="4">
        <v>34746</v>
      </c>
      <c r="E2023" s="6">
        <v>17.13</v>
      </c>
    </row>
    <row r="2024" spans="1:5" x14ac:dyDescent="0.25">
      <c r="A2024" s="4">
        <v>38744</v>
      </c>
      <c r="B2024" s="6">
        <v>287.75</v>
      </c>
      <c r="D2024" s="4">
        <v>34747</v>
      </c>
      <c r="E2024" s="6">
        <v>17.399999999999999</v>
      </c>
    </row>
    <row r="2025" spans="1:5" x14ac:dyDescent="0.25">
      <c r="A2025" s="4">
        <v>38747</v>
      </c>
      <c r="B2025" s="6">
        <v>291.25</v>
      </c>
      <c r="D2025" s="4">
        <v>34750</v>
      </c>
      <c r="E2025" s="6">
        <v>17.43</v>
      </c>
    </row>
    <row r="2026" spans="1:5" x14ac:dyDescent="0.25">
      <c r="A2026" s="4">
        <v>38748</v>
      </c>
      <c r="B2026" s="6">
        <v>291.75</v>
      </c>
      <c r="D2026" s="4">
        <v>34751</v>
      </c>
      <c r="E2026" s="6">
        <v>17.18</v>
      </c>
    </row>
    <row r="2027" spans="1:5" x14ac:dyDescent="0.25">
      <c r="A2027" s="4">
        <v>38749</v>
      </c>
      <c r="B2027" s="6">
        <v>292.75</v>
      </c>
      <c r="D2027" s="4">
        <v>34752</v>
      </c>
      <c r="E2027" s="6">
        <v>17.079999999999998</v>
      </c>
    </row>
    <row r="2028" spans="1:5" x14ac:dyDescent="0.25">
      <c r="A2028" s="4">
        <v>38750</v>
      </c>
      <c r="B2028" s="6">
        <v>288.75</v>
      </c>
      <c r="D2028" s="4">
        <v>34753</v>
      </c>
      <c r="E2028" s="6">
        <v>17.100000000000001</v>
      </c>
    </row>
    <row r="2029" spans="1:5" x14ac:dyDescent="0.25">
      <c r="A2029" s="4">
        <v>38751</v>
      </c>
      <c r="B2029" s="6">
        <v>293</v>
      </c>
      <c r="D2029" s="4">
        <v>34754</v>
      </c>
      <c r="E2029" s="6">
        <v>17.100000000000001</v>
      </c>
    </row>
    <row r="2030" spans="1:5" x14ac:dyDescent="0.25">
      <c r="A2030" s="4">
        <v>38754</v>
      </c>
      <c r="B2030" s="6">
        <v>301</v>
      </c>
      <c r="D2030" s="4">
        <v>34757</v>
      </c>
      <c r="E2030" s="6">
        <v>17.350000000000001</v>
      </c>
    </row>
    <row r="2031" spans="1:5" x14ac:dyDescent="0.25">
      <c r="A2031" s="4">
        <v>38755</v>
      </c>
      <c r="B2031" s="6">
        <v>297</v>
      </c>
      <c r="D2031" s="4">
        <v>34758</v>
      </c>
      <c r="E2031" s="6">
        <v>17.23</v>
      </c>
    </row>
    <row r="2032" spans="1:5" x14ac:dyDescent="0.25">
      <c r="A2032" s="4">
        <v>38756</v>
      </c>
      <c r="B2032" s="6">
        <v>293</v>
      </c>
      <c r="D2032" s="4">
        <v>34759</v>
      </c>
      <c r="E2032" s="6">
        <v>16.850000000000001</v>
      </c>
    </row>
    <row r="2033" spans="1:5" x14ac:dyDescent="0.25">
      <c r="A2033" s="4">
        <v>38757</v>
      </c>
      <c r="B2033" s="6">
        <v>299.5</v>
      </c>
      <c r="D2033" s="4">
        <v>34760</v>
      </c>
      <c r="E2033" s="6">
        <v>16.55</v>
      </c>
    </row>
    <row r="2034" spans="1:5" x14ac:dyDescent="0.25">
      <c r="A2034" s="4">
        <v>38758</v>
      </c>
      <c r="B2034" s="6">
        <v>295</v>
      </c>
      <c r="D2034" s="4">
        <v>34761</v>
      </c>
      <c r="E2034" s="6">
        <v>16.68</v>
      </c>
    </row>
    <row r="2035" spans="1:5" x14ac:dyDescent="0.25">
      <c r="A2035" s="4">
        <v>38761</v>
      </c>
      <c r="B2035" s="6">
        <v>295.75</v>
      </c>
      <c r="D2035" s="4">
        <v>34764</v>
      </c>
      <c r="E2035" s="6">
        <v>16.75</v>
      </c>
    </row>
    <row r="2036" spans="1:5" x14ac:dyDescent="0.25">
      <c r="A2036" s="4">
        <v>38762</v>
      </c>
      <c r="B2036" s="6">
        <v>294.625</v>
      </c>
      <c r="D2036" s="4">
        <v>34765</v>
      </c>
      <c r="E2036" s="6">
        <v>16.850000000000001</v>
      </c>
    </row>
    <row r="2037" spans="1:5" x14ac:dyDescent="0.25">
      <c r="A2037" s="4">
        <v>38763</v>
      </c>
      <c r="B2037" s="6">
        <v>290</v>
      </c>
      <c r="D2037" s="4">
        <v>34766</v>
      </c>
      <c r="E2037" s="6">
        <v>16.73</v>
      </c>
    </row>
    <row r="2038" spans="1:5" x14ac:dyDescent="0.25">
      <c r="A2038" s="4">
        <v>38764</v>
      </c>
      <c r="B2038" s="6">
        <v>287.25</v>
      </c>
      <c r="D2038" s="4">
        <v>34767</v>
      </c>
      <c r="E2038" s="6">
        <v>16.649999999999999</v>
      </c>
    </row>
    <row r="2039" spans="1:5" x14ac:dyDescent="0.25">
      <c r="A2039" s="4">
        <v>38765</v>
      </c>
      <c r="B2039" s="6">
        <v>281.5</v>
      </c>
      <c r="D2039" s="4">
        <v>34768</v>
      </c>
      <c r="E2039" s="6">
        <v>16.5</v>
      </c>
    </row>
    <row r="2040" spans="1:5" x14ac:dyDescent="0.25">
      <c r="A2040" s="4">
        <v>38768</v>
      </c>
      <c r="B2040" s="6">
        <v>288.5</v>
      </c>
      <c r="D2040" s="4">
        <v>34771</v>
      </c>
      <c r="E2040" s="6">
        <v>16.3</v>
      </c>
    </row>
    <row r="2041" spans="1:5" x14ac:dyDescent="0.25">
      <c r="A2041" s="4">
        <v>38769</v>
      </c>
      <c r="B2041" s="6">
        <v>293</v>
      </c>
      <c r="D2041" s="4">
        <v>34772</v>
      </c>
      <c r="E2041" s="6">
        <v>16.329999999999998</v>
      </c>
    </row>
    <row r="2042" spans="1:5" x14ac:dyDescent="0.25">
      <c r="A2042" s="4">
        <v>38770</v>
      </c>
      <c r="B2042" s="6">
        <v>287.5</v>
      </c>
      <c r="D2042" s="4">
        <v>34773</v>
      </c>
      <c r="E2042" s="6">
        <v>16.38</v>
      </c>
    </row>
    <row r="2043" spans="1:5" x14ac:dyDescent="0.25">
      <c r="A2043" s="4">
        <v>38771</v>
      </c>
      <c r="B2043" s="6">
        <v>289.25</v>
      </c>
      <c r="D2043" s="4">
        <v>34774</v>
      </c>
      <c r="E2043" s="6">
        <v>16.5</v>
      </c>
    </row>
    <row r="2044" spans="1:5" x14ac:dyDescent="0.25">
      <c r="A2044" s="4">
        <v>38772</v>
      </c>
      <c r="B2044" s="6">
        <v>291.75</v>
      </c>
      <c r="D2044" s="4">
        <v>34775</v>
      </c>
      <c r="E2044" s="6">
        <v>16.55</v>
      </c>
    </row>
    <row r="2045" spans="1:5" x14ac:dyDescent="0.25">
      <c r="A2045" s="4">
        <v>38775</v>
      </c>
      <c r="B2045" s="6">
        <v>285</v>
      </c>
      <c r="D2045" s="4">
        <v>34778</v>
      </c>
      <c r="E2045" s="6">
        <v>16.829999999999998</v>
      </c>
    </row>
    <row r="2046" spans="1:5" x14ac:dyDescent="0.25">
      <c r="A2046" s="4">
        <v>38776</v>
      </c>
      <c r="B2046" s="6">
        <v>285.75</v>
      </c>
      <c r="D2046" s="4">
        <v>34779</v>
      </c>
      <c r="E2046" s="6">
        <v>16.8</v>
      </c>
    </row>
    <row r="2047" spans="1:5" x14ac:dyDescent="0.25">
      <c r="A2047" s="4">
        <v>38777</v>
      </c>
      <c r="B2047" s="6">
        <v>293.5</v>
      </c>
      <c r="D2047" s="4">
        <v>34780</v>
      </c>
      <c r="E2047" s="6">
        <v>17.079999999999998</v>
      </c>
    </row>
    <row r="2048" spans="1:5" x14ac:dyDescent="0.25">
      <c r="A2048" s="4">
        <v>38778</v>
      </c>
      <c r="B2048" s="6">
        <v>292</v>
      </c>
      <c r="D2048" s="4">
        <v>34781</v>
      </c>
      <c r="E2048" s="6">
        <v>17.48</v>
      </c>
    </row>
    <row r="2049" spans="1:5" x14ac:dyDescent="0.25">
      <c r="A2049" s="4">
        <v>38779</v>
      </c>
      <c r="B2049" s="6">
        <v>286.25</v>
      </c>
      <c r="D2049" s="4">
        <v>34782</v>
      </c>
      <c r="E2049" s="6">
        <v>17.649999999999999</v>
      </c>
    </row>
    <row r="2050" spans="1:5" x14ac:dyDescent="0.25">
      <c r="A2050" s="4">
        <v>38782</v>
      </c>
      <c r="B2050" s="6">
        <v>286.5</v>
      </c>
      <c r="D2050" s="4">
        <v>34785</v>
      </c>
      <c r="E2050" s="6">
        <v>17.829999999999998</v>
      </c>
    </row>
    <row r="2051" spans="1:5" x14ac:dyDescent="0.25">
      <c r="A2051" s="4">
        <v>38783</v>
      </c>
      <c r="B2051" s="6">
        <v>282.25</v>
      </c>
      <c r="D2051" s="4">
        <v>34786</v>
      </c>
      <c r="E2051" s="6">
        <v>17.850000000000001</v>
      </c>
    </row>
    <row r="2052" spans="1:5" x14ac:dyDescent="0.25">
      <c r="A2052" s="4">
        <v>38784</v>
      </c>
      <c r="B2052" s="6">
        <v>277.5</v>
      </c>
      <c r="D2052" s="4">
        <v>34787</v>
      </c>
      <c r="E2052" s="6">
        <v>18.05</v>
      </c>
    </row>
    <row r="2053" spans="1:5" x14ac:dyDescent="0.25">
      <c r="A2053" s="4">
        <v>38785</v>
      </c>
      <c r="B2053" s="6">
        <v>278</v>
      </c>
      <c r="D2053" s="4">
        <v>34788</v>
      </c>
      <c r="E2053" s="6">
        <v>17.98</v>
      </c>
    </row>
    <row r="2054" spans="1:5" x14ac:dyDescent="0.25">
      <c r="A2054" s="4">
        <v>38786</v>
      </c>
      <c r="B2054" s="6">
        <v>277.25</v>
      </c>
      <c r="D2054" s="4">
        <v>34789</v>
      </c>
      <c r="E2054" s="6">
        <v>17.98</v>
      </c>
    </row>
    <row r="2055" spans="1:5" x14ac:dyDescent="0.25">
      <c r="A2055" s="4">
        <v>38789</v>
      </c>
      <c r="B2055" s="6">
        <v>287</v>
      </c>
      <c r="D2055" s="4">
        <v>34792</v>
      </c>
      <c r="E2055" s="6">
        <v>17.88</v>
      </c>
    </row>
    <row r="2056" spans="1:5" x14ac:dyDescent="0.25">
      <c r="A2056" s="4">
        <v>38790</v>
      </c>
      <c r="B2056" s="6">
        <v>292.5</v>
      </c>
      <c r="D2056" s="4">
        <v>34793</v>
      </c>
      <c r="E2056" s="6">
        <v>18.03</v>
      </c>
    </row>
    <row r="2057" spans="1:5" x14ac:dyDescent="0.25">
      <c r="A2057" s="4">
        <v>38791</v>
      </c>
      <c r="B2057" s="6">
        <v>294</v>
      </c>
      <c r="D2057" s="4">
        <v>34794</v>
      </c>
      <c r="E2057" s="6">
        <v>18.350000000000001</v>
      </c>
    </row>
    <row r="2058" spans="1:5" x14ac:dyDescent="0.25">
      <c r="A2058" s="4">
        <v>38792</v>
      </c>
      <c r="B2058" s="6">
        <v>287</v>
      </c>
      <c r="D2058" s="4">
        <v>34795</v>
      </c>
      <c r="E2058" s="6">
        <v>18.5</v>
      </c>
    </row>
    <row r="2059" spans="1:5" x14ac:dyDescent="0.25">
      <c r="A2059" s="4">
        <v>38793</v>
      </c>
      <c r="B2059" s="6">
        <v>292.25</v>
      </c>
      <c r="D2059" s="4">
        <v>34796</v>
      </c>
      <c r="E2059" s="6">
        <v>18.45</v>
      </c>
    </row>
    <row r="2060" spans="1:5" x14ac:dyDescent="0.25">
      <c r="A2060" s="4">
        <v>38796</v>
      </c>
      <c r="B2060" s="6">
        <v>291.75</v>
      </c>
      <c r="D2060" s="4">
        <v>34799</v>
      </c>
      <c r="E2060" s="6">
        <v>18.149999999999999</v>
      </c>
    </row>
    <row r="2061" spans="1:5" x14ac:dyDescent="0.25">
      <c r="A2061" s="4">
        <v>38797</v>
      </c>
      <c r="B2061" s="6">
        <v>287.5</v>
      </c>
      <c r="D2061" s="4">
        <v>34800</v>
      </c>
      <c r="E2061" s="6">
        <v>18.63</v>
      </c>
    </row>
    <row r="2062" spans="1:5" x14ac:dyDescent="0.25">
      <c r="A2062" s="4">
        <v>38798</v>
      </c>
      <c r="B2062" s="6">
        <v>290.25</v>
      </c>
      <c r="D2062" s="4">
        <v>34801</v>
      </c>
      <c r="E2062" s="6">
        <v>18.73</v>
      </c>
    </row>
    <row r="2063" spans="1:5" x14ac:dyDescent="0.25">
      <c r="A2063" s="4">
        <v>38799</v>
      </c>
      <c r="B2063" s="6">
        <v>296.5</v>
      </c>
      <c r="D2063" s="4">
        <v>34802</v>
      </c>
      <c r="E2063" s="6">
        <v>17.98</v>
      </c>
    </row>
    <row r="2064" spans="1:5" x14ac:dyDescent="0.25">
      <c r="A2064" s="4">
        <v>38800</v>
      </c>
      <c r="B2064" s="5">
        <v>296.75</v>
      </c>
      <c r="D2064" s="4">
        <v>34803</v>
      </c>
      <c r="E2064" s="5"/>
    </row>
    <row r="2065" spans="1:5" x14ac:dyDescent="0.25">
      <c r="A2065" s="4">
        <v>38803</v>
      </c>
      <c r="B2065" s="5">
        <v>296.25</v>
      </c>
      <c r="D2065" s="4">
        <v>34806</v>
      </c>
      <c r="E2065" s="5"/>
    </row>
    <row r="2066" spans="1:5" x14ac:dyDescent="0.25">
      <c r="A2066" s="4">
        <v>38804</v>
      </c>
      <c r="B2066" s="5">
        <v>299.25</v>
      </c>
      <c r="D2066" s="4">
        <v>34807</v>
      </c>
      <c r="E2066" s="6">
        <v>18.55</v>
      </c>
    </row>
    <row r="2067" spans="1:5" x14ac:dyDescent="0.25">
      <c r="A2067" s="4">
        <v>38805</v>
      </c>
      <c r="B2067" s="1">
        <v>301.75</v>
      </c>
      <c r="D2067" s="4">
        <v>34808</v>
      </c>
      <c r="E2067" s="6">
        <v>18.73</v>
      </c>
    </row>
    <row r="2068" spans="1:5" x14ac:dyDescent="0.25">
      <c r="A2068" s="4">
        <v>38806</v>
      </c>
      <c r="B2068" s="1">
        <v>308.25</v>
      </c>
      <c r="D2068" s="4">
        <v>34809</v>
      </c>
      <c r="E2068" s="6">
        <v>19.149999999999999</v>
      </c>
    </row>
    <row r="2069" spans="1:5" x14ac:dyDescent="0.25">
      <c r="A2069" s="4">
        <v>38807</v>
      </c>
      <c r="B2069" s="5">
        <v>306.5</v>
      </c>
      <c r="D2069" s="4">
        <v>34810</v>
      </c>
      <c r="E2069" s="6">
        <v>19.18</v>
      </c>
    </row>
    <row r="2070" spans="1:5" x14ac:dyDescent="0.25">
      <c r="A2070" s="4">
        <v>38810</v>
      </c>
      <c r="B2070" s="1">
        <v>310.25</v>
      </c>
      <c r="D2070" s="4">
        <v>34813</v>
      </c>
      <c r="E2070" s="6">
        <v>19.05</v>
      </c>
    </row>
    <row r="2071" spans="1:5" x14ac:dyDescent="0.25">
      <c r="A2071" s="4">
        <v>38811</v>
      </c>
      <c r="B2071" s="1">
        <v>302.25</v>
      </c>
      <c r="D2071" s="4">
        <v>34814</v>
      </c>
      <c r="E2071" s="6">
        <v>19.350000000000001</v>
      </c>
    </row>
    <row r="2072" spans="1:5" x14ac:dyDescent="0.25">
      <c r="A2072" s="4">
        <v>38812</v>
      </c>
      <c r="B2072" s="5">
        <v>306.25</v>
      </c>
      <c r="D2072" s="4">
        <v>34815</v>
      </c>
      <c r="E2072" s="6">
        <v>18.899999999999999</v>
      </c>
    </row>
    <row r="2073" spans="1:5" x14ac:dyDescent="0.25">
      <c r="A2073" s="4">
        <v>38813</v>
      </c>
      <c r="B2073" s="1">
        <v>314</v>
      </c>
      <c r="D2073" s="4">
        <v>34816</v>
      </c>
      <c r="E2073" s="6">
        <v>19.079999999999998</v>
      </c>
    </row>
    <row r="2074" spans="1:5" x14ac:dyDescent="0.25">
      <c r="A2074" s="4">
        <v>38814</v>
      </c>
      <c r="B2074" s="1">
        <v>308.25</v>
      </c>
      <c r="D2074" s="4">
        <v>34817</v>
      </c>
      <c r="E2074" s="6">
        <v>18.98</v>
      </c>
    </row>
    <row r="2075" spans="1:5" x14ac:dyDescent="0.25">
      <c r="A2075" s="4">
        <v>38817</v>
      </c>
      <c r="B2075" s="5">
        <v>312.5</v>
      </c>
      <c r="D2075" s="4">
        <v>34820</v>
      </c>
      <c r="E2075" s="6">
        <v>19.38</v>
      </c>
    </row>
    <row r="2076" spans="1:5" x14ac:dyDescent="0.25">
      <c r="A2076" s="4">
        <v>38818</v>
      </c>
      <c r="B2076" s="1">
        <v>311.75</v>
      </c>
      <c r="D2076" s="4">
        <v>34821</v>
      </c>
      <c r="E2076" s="6">
        <v>18.829999999999998</v>
      </c>
    </row>
    <row r="2077" spans="1:5" x14ac:dyDescent="0.25">
      <c r="A2077" s="4">
        <v>38819</v>
      </c>
      <c r="B2077" s="1">
        <v>313.75</v>
      </c>
      <c r="D2077" s="4">
        <v>34822</v>
      </c>
      <c r="E2077" s="6">
        <v>18.329999999999998</v>
      </c>
    </row>
    <row r="2078" spans="1:5" x14ac:dyDescent="0.25">
      <c r="A2078" s="4">
        <v>38820</v>
      </c>
      <c r="B2078" s="5">
        <v>308.25</v>
      </c>
      <c r="D2078" s="4">
        <v>34823</v>
      </c>
      <c r="E2078" s="6">
        <v>18.68</v>
      </c>
    </row>
    <row r="2079" spans="1:5" x14ac:dyDescent="0.25">
      <c r="A2079" s="4">
        <v>38825</v>
      </c>
      <c r="B2079" s="5">
        <v>315.5</v>
      </c>
      <c r="D2079" s="4">
        <v>34824</v>
      </c>
      <c r="E2079" s="6">
        <v>18.850000000000001</v>
      </c>
    </row>
    <row r="2080" spans="1:5" x14ac:dyDescent="0.25">
      <c r="A2080" s="4">
        <v>38826</v>
      </c>
      <c r="B2080" s="5">
        <v>321.5</v>
      </c>
      <c r="D2080" s="4">
        <v>34827</v>
      </c>
      <c r="E2080" s="6">
        <v>18.78</v>
      </c>
    </row>
    <row r="2081" spans="1:5" x14ac:dyDescent="0.25">
      <c r="A2081" s="4">
        <v>38827</v>
      </c>
      <c r="B2081" s="5">
        <v>319.25</v>
      </c>
      <c r="D2081" s="4">
        <v>34828</v>
      </c>
      <c r="E2081" s="6">
        <v>18.12</v>
      </c>
    </row>
    <row r="2082" spans="1:5" x14ac:dyDescent="0.25">
      <c r="A2082" s="4">
        <v>38828</v>
      </c>
      <c r="B2082" s="1">
        <v>318.75</v>
      </c>
      <c r="D2082" s="4">
        <v>34829</v>
      </c>
      <c r="E2082" s="6">
        <v>18.100000000000001</v>
      </c>
    </row>
    <row r="2083" spans="1:5" x14ac:dyDescent="0.25">
      <c r="A2083" s="4">
        <v>38831</v>
      </c>
      <c r="B2083" s="1">
        <v>323.5</v>
      </c>
      <c r="D2083" s="4">
        <v>34830</v>
      </c>
      <c r="E2083" s="6">
        <v>18.079999999999998</v>
      </c>
    </row>
    <row r="2084" spans="1:5" x14ac:dyDescent="0.25">
      <c r="A2084" s="4">
        <v>38832</v>
      </c>
      <c r="B2084" s="5">
        <v>321.5</v>
      </c>
      <c r="D2084" s="4">
        <v>34831</v>
      </c>
      <c r="E2084" s="6">
        <v>18.23</v>
      </c>
    </row>
    <row r="2085" spans="1:5" x14ac:dyDescent="0.25">
      <c r="A2085" s="4">
        <v>38833</v>
      </c>
      <c r="B2085" s="1">
        <v>328</v>
      </c>
      <c r="D2085" s="4">
        <v>34834</v>
      </c>
      <c r="E2085" s="6">
        <v>18.43</v>
      </c>
    </row>
    <row r="2086" spans="1:5" x14ac:dyDescent="0.25">
      <c r="A2086" s="4">
        <v>38834</v>
      </c>
      <c r="B2086" s="1">
        <v>322.5</v>
      </c>
      <c r="D2086" s="4">
        <v>34835</v>
      </c>
      <c r="E2086" s="6">
        <v>18.53</v>
      </c>
    </row>
    <row r="2087" spans="1:5" x14ac:dyDescent="0.25">
      <c r="A2087" s="4">
        <v>38835</v>
      </c>
      <c r="B2087" s="6">
        <v>323</v>
      </c>
      <c r="D2087" s="4">
        <v>34836</v>
      </c>
      <c r="E2087" s="6">
        <v>18.5</v>
      </c>
    </row>
    <row r="2088" spans="1:5" x14ac:dyDescent="0.25">
      <c r="A2088" s="4">
        <v>38839</v>
      </c>
      <c r="B2088" s="6">
        <v>331</v>
      </c>
      <c r="D2088" s="4">
        <v>34837</v>
      </c>
      <c r="E2088" s="6">
        <v>18.23</v>
      </c>
    </row>
    <row r="2089" spans="1:5" x14ac:dyDescent="0.25">
      <c r="A2089" s="4">
        <v>38840</v>
      </c>
      <c r="B2089" s="6">
        <v>333.5</v>
      </c>
      <c r="D2089" s="4">
        <v>34838</v>
      </c>
      <c r="E2089" s="6">
        <v>18.43</v>
      </c>
    </row>
    <row r="2090" spans="1:5" x14ac:dyDescent="0.25">
      <c r="A2090" s="4">
        <v>38841</v>
      </c>
      <c r="B2090" s="6">
        <v>319.25</v>
      </c>
      <c r="D2090" s="4">
        <v>34841</v>
      </c>
      <c r="E2090" s="6">
        <v>18.38</v>
      </c>
    </row>
    <row r="2091" spans="1:5" x14ac:dyDescent="0.25">
      <c r="A2091" s="4">
        <v>38842</v>
      </c>
      <c r="B2091" s="6">
        <v>322</v>
      </c>
      <c r="D2091" s="4">
        <v>34842</v>
      </c>
      <c r="E2091" s="6">
        <v>18.48</v>
      </c>
    </row>
    <row r="2092" spans="1:5" x14ac:dyDescent="0.25">
      <c r="A2092" s="4">
        <v>38845</v>
      </c>
      <c r="B2092" s="6">
        <v>313.25</v>
      </c>
      <c r="D2092" s="4">
        <v>34843</v>
      </c>
      <c r="E2092" s="6">
        <v>18.55</v>
      </c>
    </row>
    <row r="2093" spans="1:5" x14ac:dyDescent="0.25">
      <c r="A2093" s="4">
        <v>38846</v>
      </c>
      <c r="B2093" s="6">
        <v>324</v>
      </c>
      <c r="D2093" s="4">
        <v>34844</v>
      </c>
      <c r="E2093" s="6">
        <v>18</v>
      </c>
    </row>
    <row r="2094" spans="1:5" x14ac:dyDescent="0.25">
      <c r="A2094" s="4">
        <v>38847</v>
      </c>
      <c r="B2094" s="6">
        <v>320</v>
      </c>
      <c r="D2094" s="4">
        <v>34845</v>
      </c>
      <c r="E2094" s="6">
        <v>17.8</v>
      </c>
    </row>
    <row r="2095" spans="1:5" x14ac:dyDescent="0.25">
      <c r="A2095" s="4">
        <v>38848</v>
      </c>
      <c r="B2095" s="6">
        <v>328.25</v>
      </c>
      <c r="D2095" s="4">
        <v>34848</v>
      </c>
      <c r="E2095" s="5"/>
    </row>
    <row r="2096" spans="1:5" x14ac:dyDescent="0.25">
      <c r="A2096" s="4">
        <v>38849</v>
      </c>
      <c r="B2096" s="6">
        <v>323.25</v>
      </c>
      <c r="D2096" s="4">
        <v>34849</v>
      </c>
      <c r="E2096" s="6">
        <v>17.43</v>
      </c>
    </row>
    <row r="2097" spans="1:5" x14ac:dyDescent="0.25">
      <c r="A2097" s="4">
        <v>38852</v>
      </c>
      <c r="B2097" s="6">
        <v>312</v>
      </c>
      <c r="D2097" s="4">
        <v>34850</v>
      </c>
      <c r="E2097" s="6">
        <v>17.579999999999998</v>
      </c>
    </row>
    <row r="2098" spans="1:5" x14ac:dyDescent="0.25">
      <c r="A2098" s="4">
        <v>38853</v>
      </c>
      <c r="B2098" s="5">
        <v>315.5</v>
      </c>
      <c r="D2098" s="4">
        <v>34851</v>
      </c>
      <c r="E2098" s="6">
        <v>17.7</v>
      </c>
    </row>
    <row r="2099" spans="1:5" x14ac:dyDescent="0.25">
      <c r="A2099" s="4">
        <v>38854</v>
      </c>
      <c r="B2099" s="5">
        <v>315.25</v>
      </c>
      <c r="D2099" s="4">
        <v>34852</v>
      </c>
      <c r="E2099" s="6">
        <v>17.899999999999999</v>
      </c>
    </row>
    <row r="2100" spans="1:5" x14ac:dyDescent="0.25">
      <c r="A2100" s="4">
        <v>38855</v>
      </c>
      <c r="B2100" s="5">
        <v>313</v>
      </c>
      <c r="D2100" s="4">
        <v>34855</v>
      </c>
      <c r="E2100" s="6">
        <v>18.23</v>
      </c>
    </row>
    <row r="2101" spans="1:5" x14ac:dyDescent="0.25">
      <c r="A2101" s="4">
        <v>38856</v>
      </c>
      <c r="B2101" s="5">
        <v>314.5</v>
      </c>
      <c r="D2101" s="4">
        <v>34856</v>
      </c>
      <c r="E2101" s="6">
        <v>17.95</v>
      </c>
    </row>
    <row r="2102" spans="1:5" x14ac:dyDescent="0.25">
      <c r="A2102" s="4">
        <v>38859</v>
      </c>
      <c r="B2102" s="5">
        <v>313.25</v>
      </c>
      <c r="D2102" s="4">
        <v>34857</v>
      </c>
      <c r="E2102" s="6">
        <v>18.13</v>
      </c>
    </row>
    <row r="2103" spans="1:5" x14ac:dyDescent="0.25">
      <c r="A2103" s="4">
        <v>38860</v>
      </c>
      <c r="B2103" s="5">
        <v>323.5</v>
      </c>
      <c r="D2103" s="4">
        <v>34858</v>
      </c>
      <c r="E2103" s="6">
        <v>17.93</v>
      </c>
    </row>
    <row r="2104" spans="1:5" x14ac:dyDescent="0.25">
      <c r="A2104" s="4">
        <v>38861</v>
      </c>
      <c r="B2104" s="5">
        <v>317.75</v>
      </c>
      <c r="D2104" s="4">
        <v>34859</v>
      </c>
      <c r="E2104" s="6">
        <v>17.68</v>
      </c>
    </row>
    <row r="2105" spans="1:5" x14ac:dyDescent="0.25">
      <c r="A2105" s="4">
        <v>38862</v>
      </c>
      <c r="B2105" s="5">
        <v>316.25</v>
      </c>
      <c r="D2105" s="4">
        <v>34862</v>
      </c>
      <c r="E2105" s="6">
        <v>17.63</v>
      </c>
    </row>
    <row r="2106" spans="1:5" x14ac:dyDescent="0.25">
      <c r="A2106" s="4">
        <v>38863</v>
      </c>
      <c r="B2106" s="5">
        <v>311.5</v>
      </c>
      <c r="D2106" s="4">
        <v>34863</v>
      </c>
      <c r="E2106" s="6">
        <v>17.829999999999998</v>
      </c>
    </row>
    <row r="2107" spans="1:5" x14ac:dyDescent="0.25">
      <c r="A2107" s="4">
        <v>38867</v>
      </c>
      <c r="B2107" s="5">
        <v>316.5</v>
      </c>
      <c r="D2107" s="4">
        <v>34864</v>
      </c>
      <c r="E2107" s="6">
        <v>17.63</v>
      </c>
    </row>
    <row r="2108" spans="1:5" x14ac:dyDescent="0.25">
      <c r="A2108" s="4">
        <v>38868</v>
      </c>
      <c r="B2108" s="5">
        <v>310.5</v>
      </c>
      <c r="D2108" s="4">
        <v>34865</v>
      </c>
      <c r="E2108" s="6">
        <v>17.95</v>
      </c>
    </row>
    <row r="2109" spans="1:5" x14ac:dyDescent="0.25">
      <c r="A2109" s="4">
        <v>38869</v>
      </c>
      <c r="B2109" s="5">
        <v>311</v>
      </c>
      <c r="D2109" s="4">
        <v>34866</v>
      </c>
      <c r="E2109" s="6">
        <v>17.75</v>
      </c>
    </row>
    <row r="2110" spans="1:5" x14ac:dyDescent="0.25">
      <c r="A2110" s="4">
        <v>38870</v>
      </c>
      <c r="B2110" s="5">
        <v>312</v>
      </c>
      <c r="D2110" s="4">
        <v>34869</v>
      </c>
      <c r="E2110" s="6">
        <v>16.93</v>
      </c>
    </row>
    <row r="2111" spans="1:5" x14ac:dyDescent="0.25">
      <c r="A2111" s="4">
        <v>38873</v>
      </c>
      <c r="B2111" s="5">
        <v>315</v>
      </c>
      <c r="D2111" s="4">
        <v>34870</v>
      </c>
      <c r="E2111" s="6">
        <v>16.98</v>
      </c>
    </row>
    <row r="2112" spans="1:5" x14ac:dyDescent="0.25">
      <c r="A2112" s="4">
        <v>38874</v>
      </c>
      <c r="B2112" s="5">
        <v>306</v>
      </c>
      <c r="D2112" s="4">
        <v>34871</v>
      </c>
      <c r="E2112" s="6">
        <v>16.5</v>
      </c>
    </row>
    <row r="2113" spans="1:5" x14ac:dyDescent="0.25">
      <c r="A2113" s="4">
        <v>38875</v>
      </c>
      <c r="B2113" s="5">
        <v>298.25</v>
      </c>
      <c r="D2113" s="4">
        <v>34872</v>
      </c>
      <c r="E2113" s="6">
        <v>16.55</v>
      </c>
    </row>
    <row r="2114" spans="1:5" x14ac:dyDescent="0.25">
      <c r="A2114" s="4">
        <v>38876</v>
      </c>
      <c r="B2114" s="5">
        <v>293.5</v>
      </c>
      <c r="D2114" s="4">
        <v>34873</v>
      </c>
      <c r="E2114" s="6">
        <v>16.399999999999999</v>
      </c>
    </row>
    <row r="2115" spans="1:5" x14ac:dyDescent="0.25">
      <c r="A2115" s="4">
        <v>38877</v>
      </c>
      <c r="B2115" s="5">
        <v>301.5</v>
      </c>
      <c r="D2115" s="4">
        <v>34876</v>
      </c>
      <c r="E2115" s="6">
        <v>16.55</v>
      </c>
    </row>
    <row r="2116" spans="1:5" x14ac:dyDescent="0.25">
      <c r="A2116" s="4">
        <v>38880</v>
      </c>
      <c r="B2116" s="5">
        <v>301.75</v>
      </c>
      <c r="D2116" s="4">
        <v>34877</v>
      </c>
      <c r="E2116" s="6">
        <v>16.63</v>
      </c>
    </row>
    <row r="2117" spans="1:5" x14ac:dyDescent="0.25">
      <c r="A2117" s="4">
        <v>38881</v>
      </c>
      <c r="B2117" s="5">
        <v>292.5</v>
      </c>
      <c r="D2117" s="4">
        <v>34878</v>
      </c>
      <c r="E2117" s="6">
        <v>16.95</v>
      </c>
    </row>
    <row r="2118" spans="1:5" x14ac:dyDescent="0.25">
      <c r="A2118" s="4">
        <v>38882</v>
      </c>
      <c r="B2118" s="5">
        <v>293.75</v>
      </c>
      <c r="D2118" s="4">
        <v>34879</v>
      </c>
      <c r="E2118" s="6">
        <v>16.5</v>
      </c>
    </row>
    <row r="2119" spans="1:5" x14ac:dyDescent="0.25">
      <c r="A2119" s="4">
        <v>38883</v>
      </c>
      <c r="B2119" s="5">
        <v>294</v>
      </c>
      <c r="D2119" s="4">
        <v>34880</v>
      </c>
      <c r="E2119" s="6">
        <v>16.579999999999998</v>
      </c>
    </row>
    <row r="2120" spans="1:5" x14ac:dyDescent="0.25">
      <c r="A2120" s="4">
        <v>38884</v>
      </c>
      <c r="B2120" s="5">
        <v>285.5</v>
      </c>
      <c r="D2120" s="4">
        <v>34883</v>
      </c>
      <c r="E2120" s="6">
        <v>16.350000000000001</v>
      </c>
    </row>
    <row r="2121" spans="1:5" x14ac:dyDescent="0.25">
      <c r="A2121" s="4">
        <v>38887</v>
      </c>
      <c r="B2121" s="5">
        <v>281</v>
      </c>
      <c r="D2121" s="4">
        <v>34884</v>
      </c>
      <c r="E2121" s="6">
        <v>15.93</v>
      </c>
    </row>
    <row r="2122" spans="1:5" x14ac:dyDescent="0.25">
      <c r="A2122" s="4">
        <v>38888</v>
      </c>
      <c r="B2122" s="5">
        <v>283.75</v>
      </c>
      <c r="D2122" s="4">
        <v>34885</v>
      </c>
      <c r="E2122" s="6">
        <v>16</v>
      </c>
    </row>
    <row r="2123" spans="1:5" x14ac:dyDescent="0.25">
      <c r="A2123" s="4">
        <v>38889</v>
      </c>
      <c r="B2123" s="5">
        <v>280.25</v>
      </c>
      <c r="D2123" s="4">
        <v>34886</v>
      </c>
      <c r="E2123" s="6">
        <v>16.149999999999999</v>
      </c>
    </row>
    <row r="2124" spans="1:5" x14ac:dyDescent="0.25">
      <c r="A2124" s="4">
        <v>38890</v>
      </c>
      <c r="B2124" s="5">
        <v>285.5</v>
      </c>
      <c r="D2124" s="4">
        <v>34887</v>
      </c>
      <c r="E2124" s="6">
        <v>16.100000000000001</v>
      </c>
    </row>
    <row r="2125" spans="1:5" x14ac:dyDescent="0.25">
      <c r="A2125" s="4">
        <v>38891</v>
      </c>
      <c r="B2125" s="5">
        <v>290</v>
      </c>
      <c r="D2125" s="4">
        <v>34890</v>
      </c>
      <c r="E2125" s="6">
        <v>15.88</v>
      </c>
    </row>
    <row r="2126" spans="1:5" x14ac:dyDescent="0.25">
      <c r="A2126" s="4">
        <v>38894</v>
      </c>
      <c r="B2126" s="5">
        <v>291</v>
      </c>
      <c r="D2126" s="4">
        <v>34891</v>
      </c>
      <c r="E2126" s="6">
        <v>15.93</v>
      </c>
    </row>
    <row r="2127" spans="1:5" x14ac:dyDescent="0.25">
      <c r="A2127" s="4">
        <v>38895</v>
      </c>
      <c r="B2127" s="5">
        <v>295</v>
      </c>
      <c r="D2127" s="4">
        <v>34892</v>
      </c>
      <c r="E2127" s="6">
        <v>16.03</v>
      </c>
    </row>
    <row r="2128" spans="1:5" x14ac:dyDescent="0.25">
      <c r="A2128" s="4">
        <v>38896</v>
      </c>
      <c r="B2128" s="5">
        <v>297.5</v>
      </c>
      <c r="D2128" s="4">
        <v>34893</v>
      </c>
      <c r="E2128" s="6">
        <v>15.98</v>
      </c>
    </row>
    <row r="2129" spans="1:5" x14ac:dyDescent="0.25">
      <c r="A2129" s="4">
        <v>38897</v>
      </c>
      <c r="B2129" s="5">
        <v>297.5</v>
      </c>
      <c r="D2129" s="4">
        <v>34894</v>
      </c>
      <c r="E2129" s="6">
        <v>15.8</v>
      </c>
    </row>
    <row r="2130" spans="1:5" x14ac:dyDescent="0.25">
      <c r="A2130" s="4">
        <v>38898</v>
      </c>
      <c r="B2130" s="5">
        <v>298</v>
      </c>
      <c r="D2130" s="4">
        <v>34897</v>
      </c>
      <c r="E2130" s="6">
        <v>15.73</v>
      </c>
    </row>
    <row r="2131" spans="1:5" x14ac:dyDescent="0.25">
      <c r="A2131" s="4">
        <v>38901</v>
      </c>
      <c r="B2131" s="5">
        <v>295.25</v>
      </c>
      <c r="D2131" s="4">
        <v>34898</v>
      </c>
      <c r="E2131" s="6">
        <v>15.68</v>
      </c>
    </row>
    <row r="2132" spans="1:5" x14ac:dyDescent="0.25">
      <c r="A2132" s="4">
        <v>38902</v>
      </c>
      <c r="B2132" s="5">
        <v>295.25</v>
      </c>
      <c r="D2132" s="4">
        <v>34899</v>
      </c>
      <c r="E2132" s="6">
        <v>15.8</v>
      </c>
    </row>
    <row r="2133" spans="1:5" x14ac:dyDescent="0.25">
      <c r="A2133" s="4">
        <v>38903</v>
      </c>
      <c r="B2133" s="5">
        <v>293</v>
      </c>
      <c r="D2133" s="4">
        <v>34900</v>
      </c>
      <c r="E2133" s="6">
        <v>15.68</v>
      </c>
    </row>
    <row r="2134" spans="1:5" x14ac:dyDescent="0.25">
      <c r="A2134" s="4">
        <v>38904</v>
      </c>
      <c r="B2134" s="5">
        <v>297</v>
      </c>
      <c r="D2134" s="4">
        <v>34901</v>
      </c>
      <c r="E2134" s="6">
        <v>15.35</v>
      </c>
    </row>
    <row r="2135" spans="1:5" x14ac:dyDescent="0.25">
      <c r="A2135" s="4">
        <v>38905</v>
      </c>
      <c r="B2135" s="5">
        <v>300.5</v>
      </c>
      <c r="D2135" s="4">
        <v>34904</v>
      </c>
      <c r="E2135" s="6">
        <v>15.38</v>
      </c>
    </row>
    <row r="2136" spans="1:5" x14ac:dyDescent="0.25">
      <c r="A2136" s="4">
        <v>38908</v>
      </c>
      <c r="B2136" s="5">
        <v>299</v>
      </c>
      <c r="D2136" s="4">
        <v>34905</v>
      </c>
      <c r="E2136" s="6">
        <v>15.48</v>
      </c>
    </row>
    <row r="2137" spans="1:5" x14ac:dyDescent="0.25">
      <c r="A2137" s="4">
        <v>38909</v>
      </c>
      <c r="B2137" s="5">
        <v>300</v>
      </c>
      <c r="D2137" s="4">
        <v>34906</v>
      </c>
      <c r="E2137" s="6">
        <v>16</v>
      </c>
    </row>
    <row r="2138" spans="1:5" x14ac:dyDescent="0.25">
      <c r="A2138" s="4">
        <v>38910</v>
      </c>
      <c r="B2138" s="5">
        <v>308.5</v>
      </c>
      <c r="D2138" s="4">
        <v>34907</v>
      </c>
      <c r="E2138" s="6">
        <v>15.98</v>
      </c>
    </row>
    <row r="2139" spans="1:5" x14ac:dyDescent="0.25">
      <c r="A2139" s="4">
        <v>38911</v>
      </c>
      <c r="B2139" s="5">
        <v>324</v>
      </c>
      <c r="D2139" s="4">
        <v>34908</v>
      </c>
      <c r="E2139" s="6">
        <v>15.93</v>
      </c>
    </row>
    <row r="2140" spans="1:5" x14ac:dyDescent="0.25">
      <c r="A2140" s="4">
        <v>38912</v>
      </c>
      <c r="B2140" s="5">
        <v>326.5</v>
      </c>
      <c r="D2140" s="4">
        <v>34911</v>
      </c>
      <c r="E2140" s="6">
        <v>15.78</v>
      </c>
    </row>
    <row r="2141" spans="1:5" x14ac:dyDescent="0.25">
      <c r="A2141" s="4">
        <v>38915</v>
      </c>
      <c r="B2141" s="5">
        <v>326</v>
      </c>
      <c r="D2141" s="4">
        <v>34912</v>
      </c>
      <c r="E2141" s="6">
        <v>16.100000000000001</v>
      </c>
    </row>
    <row r="2142" spans="1:5" x14ac:dyDescent="0.25">
      <c r="A2142" s="4">
        <v>38916</v>
      </c>
      <c r="B2142" s="5">
        <v>324</v>
      </c>
      <c r="D2142" s="4">
        <v>34913</v>
      </c>
      <c r="E2142" s="6">
        <v>16.13</v>
      </c>
    </row>
    <row r="2143" spans="1:5" x14ac:dyDescent="0.25">
      <c r="A2143" s="4">
        <v>38917</v>
      </c>
      <c r="B2143" s="5">
        <v>311</v>
      </c>
      <c r="D2143" s="4">
        <v>34914</v>
      </c>
      <c r="E2143" s="6">
        <v>15.99</v>
      </c>
    </row>
    <row r="2144" spans="1:5" x14ac:dyDescent="0.25">
      <c r="A2144" s="4">
        <v>38918</v>
      </c>
      <c r="B2144" s="5">
        <v>314.75</v>
      </c>
      <c r="D2144" s="4">
        <v>34915</v>
      </c>
      <c r="E2144" s="6">
        <v>16.079999999999998</v>
      </c>
    </row>
    <row r="2145" spans="1:5" x14ac:dyDescent="0.25">
      <c r="A2145" s="4">
        <v>38919</v>
      </c>
      <c r="B2145" s="5">
        <v>313.5</v>
      </c>
      <c r="D2145" s="4">
        <v>34918</v>
      </c>
      <c r="E2145" s="6">
        <v>15.9</v>
      </c>
    </row>
    <row r="2146" spans="1:5" x14ac:dyDescent="0.25">
      <c r="A2146" s="4">
        <v>38922</v>
      </c>
      <c r="B2146" s="5">
        <v>307.5</v>
      </c>
      <c r="D2146" s="4">
        <v>34919</v>
      </c>
      <c r="E2146" s="6">
        <v>16</v>
      </c>
    </row>
    <row r="2147" spans="1:5" x14ac:dyDescent="0.25">
      <c r="A2147" s="4">
        <v>38923</v>
      </c>
      <c r="B2147" s="5">
        <v>312</v>
      </c>
      <c r="D2147" s="4">
        <v>34920</v>
      </c>
      <c r="E2147" s="6">
        <v>16.13</v>
      </c>
    </row>
    <row r="2148" spans="1:5" x14ac:dyDescent="0.25">
      <c r="A2148" s="4">
        <v>38924</v>
      </c>
      <c r="B2148" s="5">
        <v>313</v>
      </c>
      <c r="D2148" s="4">
        <v>34921</v>
      </c>
      <c r="E2148" s="6">
        <v>16.079999999999998</v>
      </c>
    </row>
    <row r="2149" spans="1:5" x14ac:dyDescent="0.25">
      <c r="A2149" s="4">
        <v>38925</v>
      </c>
      <c r="B2149" s="5">
        <v>313</v>
      </c>
      <c r="D2149" s="4">
        <v>34922</v>
      </c>
      <c r="E2149" s="6">
        <v>16.23</v>
      </c>
    </row>
    <row r="2150" spans="1:5" x14ac:dyDescent="0.25">
      <c r="A2150" s="4">
        <v>38926</v>
      </c>
      <c r="B2150" s="5">
        <v>311.5</v>
      </c>
      <c r="D2150" s="4">
        <v>34925</v>
      </c>
      <c r="E2150" s="6">
        <v>15.93</v>
      </c>
    </row>
    <row r="2151" spans="1:5" x14ac:dyDescent="0.25">
      <c r="A2151" s="4">
        <v>38929</v>
      </c>
      <c r="B2151" s="5">
        <v>313</v>
      </c>
      <c r="D2151" s="4">
        <v>34926</v>
      </c>
      <c r="E2151" s="6">
        <v>15.85</v>
      </c>
    </row>
    <row r="2152" spans="1:5" x14ac:dyDescent="0.25">
      <c r="A2152" s="4">
        <v>38930</v>
      </c>
      <c r="B2152" s="5">
        <v>315.5</v>
      </c>
      <c r="D2152" s="4">
        <v>34927</v>
      </c>
      <c r="E2152" s="6">
        <v>15.78</v>
      </c>
    </row>
    <row r="2153" spans="1:5" x14ac:dyDescent="0.25">
      <c r="A2153" s="4">
        <v>38931</v>
      </c>
      <c r="B2153" s="5">
        <v>320</v>
      </c>
      <c r="D2153" s="4">
        <v>34928</v>
      </c>
      <c r="E2153" s="6">
        <v>15.85</v>
      </c>
    </row>
    <row r="2154" spans="1:5" x14ac:dyDescent="0.25">
      <c r="A2154" s="4">
        <v>38932</v>
      </c>
      <c r="B2154" s="5">
        <v>314.75</v>
      </c>
      <c r="D2154" s="4">
        <v>34929</v>
      </c>
      <c r="E2154" s="6">
        <v>16.03</v>
      </c>
    </row>
    <row r="2155" spans="1:5" x14ac:dyDescent="0.25">
      <c r="A2155" s="4">
        <v>38933</v>
      </c>
      <c r="B2155" s="5">
        <v>313.5</v>
      </c>
      <c r="D2155" s="4">
        <v>34932</v>
      </c>
      <c r="E2155" s="6">
        <v>16.25</v>
      </c>
    </row>
    <row r="2156" spans="1:5" x14ac:dyDescent="0.25">
      <c r="A2156" s="4">
        <v>38936</v>
      </c>
      <c r="B2156" s="5">
        <v>319</v>
      </c>
      <c r="D2156" s="4">
        <v>34933</v>
      </c>
      <c r="E2156" s="6">
        <v>16.23</v>
      </c>
    </row>
    <row r="2157" spans="1:5" x14ac:dyDescent="0.25">
      <c r="A2157" s="4">
        <v>38937</v>
      </c>
      <c r="B2157" s="5">
        <v>322</v>
      </c>
      <c r="D2157" s="4">
        <v>34934</v>
      </c>
      <c r="E2157" s="6">
        <v>16.5</v>
      </c>
    </row>
    <row r="2158" spans="1:5" x14ac:dyDescent="0.25">
      <c r="A2158" s="4">
        <v>38938</v>
      </c>
      <c r="B2158" s="5">
        <v>326.5</v>
      </c>
      <c r="D2158" s="4">
        <v>34935</v>
      </c>
      <c r="E2158" s="6">
        <v>16.3</v>
      </c>
    </row>
    <row r="2159" spans="1:5" x14ac:dyDescent="0.25">
      <c r="A2159" s="4">
        <v>38939</v>
      </c>
      <c r="B2159" s="5">
        <v>316</v>
      </c>
      <c r="D2159" s="4">
        <v>34936</v>
      </c>
      <c r="E2159" s="6">
        <v>16.149999999999999</v>
      </c>
    </row>
    <row r="2160" spans="1:5" x14ac:dyDescent="0.25">
      <c r="A2160" s="4">
        <v>38940</v>
      </c>
      <c r="B2160" s="5">
        <v>314</v>
      </c>
      <c r="D2160" s="4">
        <v>34939</v>
      </c>
      <c r="E2160" s="5"/>
    </row>
    <row r="2161" spans="1:5" x14ac:dyDescent="0.25">
      <c r="A2161" s="4">
        <v>38943</v>
      </c>
      <c r="B2161" s="5">
        <v>306</v>
      </c>
      <c r="D2161" s="4">
        <v>34940</v>
      </c>
      <c r="E2161" s="6">
        <v>16.23</v>
      </c>
    </row>
    <row r="2162" spans="1:5" x14ac:dyDescent="0.25">
      <c r="A2162" s="4">
        <v>38944</v>
      </c>
      <c r="B2162" s="5">
        <v>306</v>
      </c>
      <c r="D2162" s="4">
        <v>34941</v>
      </c>
      <c r="E2162" s="6">
        <v>16.18</v>
      </c>
    </row>
    <row r="2163" spans="1:5" x14ac:dyDescent="0.25">
      <c r="A2163" s="4">
        <v>38945</v>
      </c>
      <c r="B2163" s="5">
        <v>306.75</v>
      </c>
      <c r="D2163" s="4">
        <v>34942</v>
      </c>
      <c r="E2163" s="6">
        <v>16.2</v>
      </c>
    </row>
    <row r="2164" spans="1:5" x14ac:dyDescent="0.25">
      <c r="A2164" s="4">
        <v>38946</v>
      </c>
      <c r="B2164" s="5">
        <v>304</v>
      </c>
      <c r="D2164" s="4">
        <v>34943</v>
      </c>
      <c r="E2164" s="6">
        <v>16.25</v>
      </c>
    </row>
    <row r="2165" spans="1:5" x14ac:dyDescent="0.25">
      <c r="A2165" s="4">
        <v>38947</v>
      </c>
      <c r="B2165" s="5">
        <v>305</v>
      </c>
      <c r="D2165" s="4">
        <v>34946</v>
      </c>
      <c r="E2165" s="6">
        <v>16.62</v>
      </c>
    </row>
    <row r="2166" spans="1:5" x14ac:dyDescent="0.25">
      <c r="A2166" s="4">
        <v>38950</v>
      </c>
      <c r="B2166" s="5">
        <v>309</v>
      </c>
      <c r="D2166" s="4">
        <v>34947</v>
      </c>
      <c r="E2166" s="6">
        <v>16.68</v>
      </c>
    </row>
    <row r="2167" spans="1:5" x14ac:dyDescent="0.25">
      <c r="A2167" s="4">
        <v>38951</v>
      </c>
      <c r="B2167" s="5">
        <v>306.5</v>
      </c>
      <c r="D2167" s="4">
        <v>34948</v>
      </c>
      <c r="E2167" s="6">
        <v>16.63</v>
      </c>
    </row>
    <row r="2168" spans="1:5" x14ac:dyDescent="0.25">
      <c r="A2168" s="4">
        <v>38952</v>
      </c>
      <c r="B2168" s="5">
        <v>297.75</v>
      </c>
      <c r="D2168" s="4">
        <v>34949</v>
      </c>
      <c r="E2168" s="6">
        <v>16.600000000000001</v>
      </c>
    </row>
    <row r="2169" spans="1:5" x14ac:dyDescent="0.25">
      <c r="A2169" s="4">
        <v>38953</v>
      </c>
      <c r="B2169" s="5">
        <v>299.5</v>
      </c>
      <c r="D2169" s="4">
        <v>34950</v>
      </c>
      <c r="E2169" s="6">
        <v>16.93</v>
      </c>
    </row>
    <row r="2170" spans="1:5" x14ac:dyDescent="0.25">
      <c r="A2170" s="4">
        <v>38954</v>
      </c>
      <c r="B2170" s="5">
        <v>297.5</v>
      </c>
      <c r="D2170" s="4">
        <v>34953</v>
      </c>
      <c r="E2170" s="6">
        <v>16.75</v>
      </c>
    </row>
    <row r="2171" spans="1:5" x14ac:dyDescent="0.25">
      <c r="A2171" s="4">
        <v>38958</v>
      </c>
      <c r="B2171" s="5">
        <v>291.75</v>
      </c>
      <c r="D2171" s="4">
        <v>34954</v>
      </c>
      <c r="E2171" s="6">
        <v>16.899999999999999</v>
      </c>
    </row>
    <row r="2172" spans="1:5" x14ac:dyDescent="0.25">
      <c r="A2172" s="4">
        <v>38959</v>
      </c>
      <c r="B2172" s="5">
        <v>287.5</v>
      </c>
      <c r="D2172" s="4">
        <v>34955</v>
      </c>
      <c r="E2172" s="6">
        <v>16.850000000000001</v>
      </c>
    </row>
    <row r="2173" spans="1:5" x14ac:dyDescent="0.25">
      <c r="A2173" s="4">
        <v>38960</v>
      </c>
      <c r="B2173" s="5">
        <v>289.5</v>
      </c>
      <c r="D2173" s="4">
        <v>34956</v>
      </c>
      <c r="E2173" s="6">
        <v>17</v>
      </c>
    </row>
    <row r="2174" spans="1:5" x14ac:dyDescent="0.25">
      <c r="A2174" s="4">
        <v>38961</v>
      </c>
      <c r="B2174" s="5">
        <v>285.75</v>
      </c>
      <c r="D2174" s="4">
        <v>34957</v>
      </c>
      <c r="E2174" s="6">
        <v>17.18</v>
      </c>
    </row>
    <row r="2175" spans="1:5" x14ac:dyDescent="0.25">
      <c r="A2175" s="4">
        <v>38964</v>
      </c>
      <c r="B2175" s="5">
        <v>275.5</v>
      </c>
      <c r="D2175" s="4">
        <v>34960</v>
      </c>
      <c r="E2175" s="6">
        <v>17.23</v>
      </c>
    </row>
    <row r="2176" spans="1:5" x14ac:dyDescent="0.25">
      <c r="A2176" s="4">
        <v>38965</v>
      </c>
      <c r="B2176" s="5">
        <v>280.75</v>
      </c>
      <c r="D2176" s="4">
        <v>34961</v>
      </c>
      <c r="E2176" s="6">
        <v>17.23</v>
      </c>
    </row>
    <row r="2177" spans="1:5" x14ac:dyDescent="0.25">
      <c r="A2177" s="4">
        <v>38966</v>
      </c>
      <c r="B2177" s="5">
        <v>284.5</v>
      </c>
      <c r="D2177" s="4">
        <v>34962</v>
      </c>
      <c r="E2177" s="6">
        <v>17</v>
      </c>
    </row>
    <row r="2178" spans="1:5" x14ac:dyDescent="0.25">
      <c r="A2178" s="4">
        <v>38967</v>
      </c>
      <c r="B2178" s="5">
        <v>282.5</v>
      </c>
      <c r="D2178" s="4">
        <v>34963</v>
      </c>
      <c r="E2178" s="6">
        <v>16.600000000000001</v>
      </c>
    </row>
    <row r="2179" spans="1:5" x14ac:dyDescent="0.25">
      <c r="A2179" s="4">
        <v>38968</v>
      </c>
      <c r="B2179" s="5">
        <v>278</v>
      </c>
      <c r="D2179" s="4">
        <v>34964</v>
      </c>
      <c r="E2179" s="6">
        <v>16.399999999999999</v>
      </c>
    </row>
    <row r="2180" spans="1:5" x14ac:dyDescent="0.25">
      <c r="A2180" s="4">
        <v>38971</v>
      </c>
      <c r="B2180" s="5">
        <v>276</v>
      </c>
      <c r="D2180" s="4">
        <v>34967</v>
      </c>
      <c r="E2180" s="6">
        <v>16.18</v>
      </c>
    </row>
    <row r="2181" spans="1:5" x14ac:dyDescent="0.25">
      <c r="A2181" s="4">
        <v>38972</v>
      </c>
      <c r="B2181" s="5">
        <v>278.75</v>
      </c>
      <c r="D2181" s="4">
        <v>34968</v>
      </c>
      <c r="E2181" s="6">
        <v>16.149999999999999</v>
      </c>
    </row>
    <row r="2182" spans="1:5" x14ac:dyDescent="0.25">
      <c r="A2182" s="4">
        <v>38973</v>
      </c>
      <c r="B2182" s="5">
        <v>277</v>
      </c>
      <c r="D2182" s="4">
        <v>34969</v>
      </c>
      <c r="E2182" s="6">
        <v>16.28</v>
      </c>
    </row>
    <row r="2183" spans="1:5" x14ac:dyDescent="0.25">
      <c r="A2183" s="4">
        <v>38974</v>
      </c>
      <c r="B2183" s="5">
        <v>275.75</v>
      </c>
      <c r="D2183" s="4">
        <v>34970</v>
      </c>
      <c r="E2183" s="6">
        <v>16.649999999999999</v>
      </c>
    </row>
    <row r="2184" spans="1:5" x14ac:dyDescent="0.25">
      <c r="A2184" s="4">
        <v>38975</v>
      </c>
      <c r="B2184" s="5">
        <v>266</v>
      </c>
      <c r="D2184" s="4">
        <v>34971</v>
      </c>
      <c r="E2184" s="6">
        <v>16.579999999999998</v>
      </c>
    </row>
    <row r="2185" spans="1:5" x14ac:dyDescent="0.25">
      <c r="A2185" s="4">
        <v>38978</v>
      </c>
      <c r="B2185" s="5">
        <v>265.25</v>
      </c>
      <c r="D2185" s="4">
        <v>34974</v>
      </c>
      <c r="E2185" s="6">
        <v>16.55</v>
      </c>
    </row>
    <row r="2186" spans="1:5" x14ac:dyDescent="0.25">
      <c r="A2186" s="4">
        <v>38979</v>
      </c>
      <c r="B2186" s="5">
        <v>265.75</v>
      </c>
      <c r="D2186" s="4">
        <v>34975</v>
      </c>
      <c r="E2186" s="6">
        <v>16.579999999999998</v>
      </c>
    </row>
    <row r="2187" spans="1:5" x14ac:dyDescent="0.25">
      <c r="A2187" s="4">
        <v>38980</v>
      </c>
      <c r="B2187" s="5">
        <v>253</v>
      </c>
      <c r="D2187" s="4">
        <v>34976</v>
      </c>
      <c r="E2187" s="6">
        <v>16.399999999999999</v>
      </c>
    </row>
    <row r="2188" spans="1:5" x14ac:dyDescent="0.25">
      <c r="A2188" s="4">
        <v>38981</v>
      </c>
      <c r="B2188" s="5">
        <v>256.75</v>
      </c>
      <c r="D2188" s="4">
        <v>34977</v>
      </c>
      <c r="E2188" s="6">
        <v>15.85</v>
      </c>
    </row>
    <row r="2189" spans="1:5" x14ac:dyDescent="0.25">
      <c r="A2189" s="4">
        <v>38982</v>
      </c>
      <c r="B2189" s="5">
        <v>258</v>
      </c>
      <c r="D2189" s="4">
        <v>34978</v>
      </c>
      <c r="E2189" s="6">
        <v>15.75</v>
      </c>
    </row>
    <row r="2190" spans="1:5" x14ac:dyDescent="0.25">
      <c r="A2190" s="4">
        <v>38985</v>
      </c>
      <c r="B2190" s="5">
        <v>253.25</v>
      </c>
      <c r="D2190" s="4">
        <v>34981</v>
      </c>
      <c r="E2190" s="6">
        <v>16</v>
      </c>
    </row>
    <row r="2191" spans="1:5" x14ac:dyDescent="0.25">
      <c r="A2191" s="4">
        <v>38986</v>
      </c>
      <c r="B2191" s="5">
        <v>260</v>
      </c>
      <c r="D2191" s="4">
        <v>34982</v>
      </c>
      <c r="E2191" s="6">
        <v>15.95</v>
      </c>
    </row>
    <row r="2192" spans="1:5" x14ac:dyDescent="0.25">
      <c r="A2192" s="4">
        <v>38987</v>
      </c>
      <c r="B2192" s="5">
        <v>261</v>
      </c>
      <c r="D2192" s="4">
        <v>34983</v>
      </c>
      <c r="E2192" s="6">
        <v>16.05</v>
      </c>
    </row>
    <row r="2193" spans="1:5" x14ac:dyDescent="0.25">
      <c r="A2193" s="4">
        <v>38988</v>
      </c>
      <c r="B2193" s="5">
        <v>265</v>
      </c>
      <c r="D2193" s="4">
        <v>34984</v>
      </c>
      <c r="E2193" s="6">
        <v>15.9</v>
      </c>
    </row>
    <row r="2194" spans="1:5" x14ac:dyDescent="0.25">
      <c r="A2194" s="4">
        <v>38989</v>
      </c>
      <c r="B2194" s="5">
        <v>258.25</v>
      </c>
      <c r="D2194" s="4">
        <v>34985</v>
      </c>
      <c r="E2194" s="6">
        <v>15.98</v>
      </c>
    </row>
    <row r="2195" spans="1:5" x14ac:dyDescent="0.25">
      <c r="A2195" s="4">
        <v>38992</v>
      </c>
      <c r="B2195" s="5">
        <v>262.5</v>
      </c>
      <c r="D2195" s="4">
        <v>34988</v>
      </c>
      <c r="E2195" s="6">
        <v>16.149999999999999</v>
      </c>
    </row>
    <row r="2196" spans="1:5" x14ac:dyDescent="0.25">
      <c r="A2196" s="4">
        <v>38993</v>
      </c>
      <c r="B2196" s="5">
        <v>256.5</v>
      </c>
      <c r="D2196" s="4">
        <v>34989</v>
      </c>
      <c r="E2196" s="6">
        <v>16.03</v>
      </c>
    </row>
    <row r="2197" spans="1:5" x14ac:dyDescent="0.25">
      <c r="A2197" s="4">
        <v>38994</v>
      </c>
      <c r="B2197" s="5">
        <v>256.5</v>
      </c>
      <c r="D2197" s="4">
        <v>34990</v>
      </c>
      <c r="E2197" s="6">
        <v>15.98</v>
      </c>
    </row>
    <row r="2198" spans="1:5" x14ac:dyDescent="0.25">
      <c r="A2198" s="4">
        <v>38995</v>
      </c>
      <c r="B2198" s="5">
        <v>264</v>
      </c>
      <c r="D2198" s="4">
        <v>34991</v>
      </c>
      <c r="E2198" s="6">
        <v>15.85</v>
      </c>
    </row>
    <row r="2199" spans="1:5" x14ac:dyDescent="0.25">
      <c r="A2199" s="4">
        <v>38996</v>
      </c>
      <c r="B2199" s="5">
        <v>256</v>
      </c>
      <c r="D2199" s="4">
        <v>34992</v>
      </c>
      <c r="E2199" s="6">
        <v>15.8</v>
      </c>
    </row>
    <row r="2200" spans="1:5" x14ac:dyDescent="0.25">
      <c r="A2200" s="4">
        <v>38999</v>
      </c>
      <c r="B2200" s="5">
        <v>268</v>
      </c>
      <c r="D2200" s="4">
        <v>34995</v>
      </c>
      <c r="E2200" s="6">
        <v>15.88</v>
      </c>
    </row>
    <row r="2201" spans="1:5" x14ac:dyDescent="0.25">
      <c r="A2201" s="4">
        <v>39000</v>
      </c>
      <c r="B2201" s="5">
        <v>263.75</v>
      </c>
      <c r="D2201" s="4">
        <v>34996</v>
      </c>
      <c r="E2201" s="6">
        <v>16.079999999999998</v>
      </c>
    </row>
    <row r="2202" spans="1:5" x14ac:dyDescent="0.25">
      <c r="A2202" s="4">
        <v>39001</v>
      </c>
      <c r="B2202" s="5">
        <v>263.75</v>
      </c>
      <c r="D2202" s="4">
        <v>34997</v>
      </c>
      <c r="E2202" s="6">
        <v>15.98</v>
      </c>
    </row>
    <row r="2203" spans="1:5" x14ac:dyDescent="0.25">
      <c r="A2203" s="4">
        <v>39002</v>
      </c>
      <c r="B2203" s="5">
        <v>265.25</v>
      </c>
      <c r="D2203" s="4">
        <v>34998</v>
      </c>
      <c r="E2203" s="6">
        <v>16.3</v>
      </c>
    </row>
    <row r="2204" spans="1:5" x14ac:dyDescent="0.25">
      <c r="A2204" s="4">
        <v>39003</v>
      </c>
      <c r="B2204" s="5">
        <v>265.25</v>
      </c>
      <c r="D2204" s="4">
        <v>34999</v>
      </c>
      <c r="E2204" s="6">
        <v>16.350000000000001</v>
      </c>
    </row>
    <row r="2205" spans="1:5" x14ac:dyDescent="0.25">
      <c r="A2205" s="4">
        <v>39006</v>
      </c>
      <c r="B2205" s="5">
        <v>265.25</v>
      </c>
      <c r="D2205" s="4">
        <v>35002</v>
      </c>
      <c r="E2205" s="6">
        <v>16.45</v>
      </c>
    </row>
    <row r="2206" spans="1:5" x14ac:dyDescent="0.25">
      <c r="A2206" s="4">
        <v>39007</v>
      </c>
      <c r="B2206" s="5">
        <v>265.5</v>
      </c>
      <c r="D2206" s="4">
        <v>35003</v>
      </c>
      <c r="E2206" s="6">
        <v>16.579999999999998</v>
      </c>
    </row>
    <row r="2207" spans="1:5" x14ac:dyDescent="0.25">
      <c r="A2207" s="4">
        <v>39008</v>
      </c>
      <c r="B2207" s="5">
        <v>264.25</v>
      </c>
      <c r="D2207" s="4">
        <v>35004</v>
      </c>
      <c r="E2207" s="6">
        <v>16.53</v>
      </c>
    </row>
    <row r="2208" spans="1:5" x14ac:dyDescent="0.25">
      <c r="A2208" s="4">
        <v>39009</v>
      </c>
      <c r="B2208" s="5">
        <v>259</v>
      </c>
      <c r="D2208" s="4">
        <v>35005</v>
      </c>
      <c r="E2208" s="6">
        <v>16.829999999999998</v>
      </c>
    </row>
    <row r="2209" spans="1:5" x14ac:dyDescent="0.25">
      <c r="A2209" s="4">
        <v>39010</v>
      </c>
      <c r="B2209" s="5">
        <v>258.75</v>
      </c>
      <c r="D2209" s="4">
        <v>35006</v>
      </c>
      <c r="E2209" s="6">
        <v>16.88</v>
      </c>
    </row>
    <row r="2210" spans="1:5" x14ac:dyDescent="0.25">
      <c r="A2210" s="4">
        <v>39013</v>
      </c>
      <c r="B2210" s="5">
        <v>252.25</v>
      </c>
      <c r="D2210" s="4">
        <v>35009</v>
      </c>
      <c r="E2210" s="6">
        <v>16.78</v>
      </c>
    </row>
    <row r="2211" spans="1:5" x14ac:dyDescent="0.25">
      <c r="A2211" s="4">
        <v>39014</v>
      </c>
      <c r="B2211" s="5">
        <v>254.25</v>
      </c>
      <c r="D2211" s="4">
        <v>35010</v>
      </c>
      <c r="E2211" s="6">
        <v>16.7</v>
      </c>
    </row>
    <row r="2212" spans="1:5" x14ac:dyDescent="0.25">
      <c r="A2212" s="4">
        <v>39015</v>
      </c>
      <c r="B2212" s="5">
        <v>263</v>
      </c>
      <c r="D2212" s="4">
        <v>35011</v>
      </c>
      <c r="E2212" s="6">
        <v>16.75</v>
      </c>
    </row>
    <row r="2213" spans="1:5" x14ac:dyDescent="0.25">
      <c r="A2213" s="4">
        <v>39016</v>
      </c>
      <c r="B2213" s="5">
        <v>259</v>
      </c>
      <c r="D2213" s="4">
        <v>35012</v>
      </c>
      <c r="E2213" s="6">
        <v>16.899999999999999</v>
      </c>
    </row>
    <row r="2214" spans="1:5" x14ac:dyDescent="0.25">
      <c r="A2214" s="4">
        <v>39017</v>
      </c>
      <c r="B2214" s="5">
        <v>257</v>
      </c>
      <c r="D2214" s="4">
        <v>35013</v>
      </c>
      <c r="E2214" s="6">
        <v>16.829999999999998</v>
      </c>
    </row>
    <row r="2215" spans="1:5" x14ac:dyDescent="0.25">
      <c r="A2215" s="4">
        <v>39020</v>
      </c>
      <c r="B2215" s="5">
        <v>253</v>
      </c>
      <c r="D2215" s="4">
        <v>35016</v>
      </c>
      <c r="E2215" s="6">
        <v>16.63</v>
      </c>
    </row>
    <row r="2216" spans="1:5" x14ac:dyDescent="0.25">
      <c r="A2216" s="4">
        <v>39021</v>
      </c>
      <c r="B2216" s="5">
        <v>255.75</v>
      </c>
      <c r="D2216" s="4">
        <v>35017</v>
      </c>
      <c r="E2216" s="6">
        <v>16.579999999999998</v>
      </c>
    </row>
    <row r="2217" spans="1:5" x14ac:dyDescent="0.25">
      <c r="A2217" s="4">
        <v>39022</v>
      </c>
      <c r="B2217" s="5">
        <v>256.25</v>
      </c>
      <c r="D2217" s="4">
        <v>35018</v>
      </c>
      <c r="E2217" s="6">
        <v>16.73</v>
      </c>
    </row>
    <row r="2218" spans="1:5" x14ac:dyDescent="0.25">
      <c r="A2218" s="4">
        <v>39023</v>
      </c>
      <c r="B2218" s="5">
        <v>252</v>
      </c>
      <c r="D2218" s="4">
        <v>35019</v>
      </c>
      <c r="E2218" s="6">
        <v>16.78</v>
      </c>
    </row>
    <row r="2219" spans="1:5" x14ac:dyDescent="0.25">
      <c r="A2219" s="4">
        <v>39024</v>
      </c>
      <c r="B2219" s="5">
        <v>257.5</v>
      </c>
      <c r="D2219" s="4">
        <v>35020</v>
      </c>
      <c r="E2219" s="6">
        <v>17.03</v>
      </c>
    </row>
    <row r="2220" spans="1:5" x14ac:dyDescent="0.25">
      <c r="A2220" s="4">
        <v>39027</v>
      </c>
      <c r="B2220" s="5">
        <v>265.5</v>
      </c>
      <c r="D2220" s="4">
        <v>35023</v>
      </c>
      <c r="E2220" s="6">
        <v>16.8</v>
      </c>
    </row>
    <row r="2221" spans="1:5" x14ac:dyDescent="0.25">
      <c r="A2221" s="4">
        <v>39028</v>
      </c>
      <c r="B2221" s="5">
        <v>264.75</v>
      </c>
      <c r="D2221" s="4">
        <v>35024</v>
      </c>
      <c r="E2221" s="6">
        <v>16.600000000000001</v>
      </c>
    </row>
    <row r="2222" spans="1:5" x14ac:dyDescent="0.25">
      <c r="A2222" s="4">
        <v>39029</v>
      </c>
      <c r="B2222" s="5">
        <v>267</v>
      </c>
      <c r="D2222" s="4">
        <v>35025</v>
      </c>
      <c r="E2222" s="6">
        <v>16.899999999999999</v>
      </c>
    </row>
    <row r="2223" spans="1:5" x14ac:dyDescent="0.25">
      <c r="A2223" s="4">
        <v>39030</v>
      </c>
      <c r="B2223" s="5">
        <v>270</v>
      </c>
      <c r="D2223" s="4">
        <v>35026</v>
      </c>
      <c r="E2223" s="6">
        <v>16.88</v>
      </c>
    </row>
    <row r="2224" spans="1:5" x14ac:dyDescent="0.25">
      <c r="A2224" s="4">
        <v>39031</v>
      </c>
      <c r="B2224" s="5">
        <v>260.25</v>
      </c>
      <c r="D2224" s="4">
        <v>35027</v>
      </c>
      <c r="E2224" s="6">
        <v>16.93</v>
      </c>
    </row>
    <row r="2225" spans="1:5" x14ac:dyDescent="0.25">
      <c r="A2225" s="4">
        <v>39034</v>
      </c>
      <c r="B2225" s="5">
        <v>256.5</v>
      </c>
      <c r="D2225" s="4">
        <v>35030</v>
      </c>
      <c r="E2225" s="6">
        <v>17.2</v>
      </c>
    </row>
    <row r="2226" spans="1:5" x14ac:dyDescent="0.25">
      <c r="A2226" s="4">
        <v>39035</v>
      </c>
      <c r="B2226" s="5">
        <v>254</v>
      </c>
      <c r="D2226" s="4">
        <v>35031</v>
      </c>
      <c r="E2226" s="6">
        <v>17.25</v>
      </c>
    </row>
    <row r="2227" spans="1:5" x14ac:dyDescent="0.25">
      <c r="A2227" s="4">
        <v>39036</v>
      </c>
      <c r="B2227" s="5">
        <v>256</v>
      </c>
      <c r="D2227" s="4">
        <v>35032</v>
      </c>
      <c r="E2227" s="6">
        <v>17.3</v>
      </c>
    </row>
    <row r="2228" spans="1:5" x14ac:dyDescent="0.25">
      <c r="A2228" s="4">
        <v>39037</v>
      </c>
      <c r="B2228" s="5">
        <v>259.5</v>
      </c>
      <c r="D2228" s="4">
        <v>35033</v>
      </c>
      <c r="E2228" s="6">
        <v>17.13</v>
      </c>
    </row>
    <row r="2229" spans="1:5" x14ac:dyDescent="0.25">
      <c r="A2229" s="4">
        <v>39038</v>
      </c>
      <c r="B2229" s="5">
        <v>248.25</v>
      </c>
      <c r="D2229" s="4">
        <v>35034</v>
      </c>
      <c r="E2229" s="6">
        <v>17.18</v>
      </c>
    </row>
    <row r="2230" spans="1:5" x14ac:dyDescent="0.25">
      <c r="A2230" s="4">
        <v>39041</v>
      </c>
      <c r="B2230" s="5">
        <v>252</v>
      </c>
      <c r="D2230" s="4">
        <v>35037</v>
      </c>
      <c r="E2230" s="6">
        <v>17.350000000000001</v>
      </c>
    </row>
    <row r="2231" spans="1:5" x14ac:dyDescent="0.25">
      <c r="A2231" s="4">
        <v>39042</v>
      </c>
      <c r="B2231" s="5">
        <v>253</v>
      </c>
      <c r="D2231" s="4">
        <v>35038</v>
      </c>
      <c r="E2231" s="6">
        <v>17.53</v>
      </c>
    </row>
    <row r="2232" spans="1:5" x14ac:dyDescent="0.25">
      <c r="A2232" s="4">
        <v>39043</v>
      </c>
      <c r="B2232" s="5">
        <v>251</v>
      </c>
      <c r="D2232" s="4">
        <v>35039</v>
      </c>
      <c r="E2232" s="6">
        <v>17.55</v>
      </c>
    </row>
    <row r="2233" spans="1:5" x14ac:dyDescent="0.25">
      <c r="A2233" s="4">
        <v>39044</v>
      </c>
      <c r="B2233" s="5">
        <v>250.5</v>
      </c>
      <c r="D2233" s="4">
        <v>35040</v>
      </c>
      <c r="E2233" s="6">
        <v>17.48</v>
      </c>
    </row>
    <row r="2234" spans="1:5" x14ac:dyDescent="0.25">
      <c r="A2234" s="4">
        <v>39045</v>
      </c>
      <c r="B2234" s="5">
        <v>250.5</v>
      </c>
      <c r="D2234" s="4">
        <v>35041</v>
      </c>
      <c r="E2234" s="6">
        <v>17.73</v>
      </c>
    </row>
    <row r="2235" spans="1:5" x14ac:dyDescent="0.25">
      <c r="A2235" s="4">
        <v>39048</v>
      </c>
      <c r="B2235" s="5">
        <v>249</v>
      </c>
      <c r="D2235" s="4">
        <v>35044</v>
      </c>
      <c r="E2235" s="6">
        <v>17.68</v>
      </c>
    </row>
    <row r="2236" spans="1:5" x14ac:dyDescent="0.25">
      <c r="A2236" s="4">
        <v>39049</v>
      </c>
      <c r="B2236" s="5">
        <v>250.5</v>
      </c>
      <c r="D2236" s="4">
        <v>35045</v>
      </c>
      <c r="E2236" s="6">
        <v>17.48</v>
      </c>
    </row>
    <row r="2237" spans="1:5" x14ac:dyDescent="0.25">
      <c r="A2237" s="4">
        <v>39050</v>
      </c>
      <c r="B2237" s="5">
        <v>254</v>
      </c>
      <c r="D2237" s="4">
        <v>35046</v>
      </c>
      <c r="E2237" s="6">
        <v>17.7</v>
      </c>
    </row>
    <row r="2238" spans="1:5" x14ac:dyDescent="0.25">
      <c r="A2238" s="4">
        <v>39051</v>
      </c>
      <c r="B2238" s="5">
        <v>263</v>
      </c>
      <c r="D2238" s="4">
        <v>35047</v>
      </c>
      <c r="E2238" s="6">
        <v>17.899999999999999</v>
      </c>
    </row>
    <row r="2239" spans="1:5" x14ac:dyDescent="0.25">
      <c r="A2239" s="4">
        <v>39052</v>
      </c>
      <c r="B2239" s="5">
        <v>253.5</v>
      </c>
      <c r="D2239" s="4">
        <v>35048</v>
      </c>
      <c r="E2239" s="6">
        <v>18.149999999999999</v>
      </c>
    </row>
    <row r="2240" spans="1:5" x14ac:dyDescent="0.25">
      <c r="A2240" s="4">
        <v>39055</v>
      </c>
      <c r="B2240" s="5">
        <v>251</v>
      </c>
      <c r="D2240" s="4">
        <v>35051</v>
      </c>
      <c r="E2240" s="6">
        <v>18.329999999999998</v>
      </c>
    </row>
    <row r="2241" spans="1:5" x14ac:dyDescent="0.25">
      <c r="A2241" s="4">
        <v>39056</v>
      </c>
      <c r="B2241" s="5">
        <v>252.75</v>
      </c>
      <c r="D2241" s="4">
        <v>35052</v>
      </c>
      <c r="E2241" s="6">
        <v>18.03</v>
      </c>
    </row>
    <row r="2242" spans="1:5" x14ac:dyDescent="0.25">
      <c r="A2242" s="4">
        <v>39057</v>
      </c>
      <c r="B2242" s="5">
        <v>255</v>
      </c>
      <c r="D2242" s="4">
        <v>35053</v>
      </c>
      <c r="E2242" s="6">
        <v>18.05</v>
      </c>
    </row>
    <row r="2243" spans="1:5" x14ac:dyDescent="0.25">
      <c r="A2243" s="4">
        <v>39058</v>
      </c>
      <c r="B2243" s="5">
        <v>257</v>
      </c>
      <c r="D2243" s="4">
        <v>35054</v>
      </c>
      <c r="E2243" s="6">
        <v>18.100000000000001</v>
      </c>
    </row>
    <row r="2244" spans="1:5" x14ac:dyDescent="0.25">
      <c r="A2244" s="4">
        <v>39059</v>
      </c>
      <c r="B2244" s="5">
        <v>259</v>
      </c>
      <c r="D2244" s="4">
        <v>35055</v>
      </c>
      <c r="E2244" s="6">
        <v>18.18</v>
      </c>
    </row>
    <row r="2245" spans="1:5" x14ac:dyDescent="0.25">
      <c r="A2245" s="4">
        <v>39062</v>
      </c>
      <c r="B2245" s="5">
        <v>255.5</v>
      </c>
      <c r="D2245" s="4">
        <v>35058</v>
      </c>
      <c r="E2245" s="5"/>
    </row>
    <row r="2246" spans="1:5" x14ac:dyDescent="0.25">
      <c r="A2246" s="4">
        <v>39063</v>
      </c>
      <c r="B2246" s="5">
        <v>254.75</v>
      </c>
      <c r="D2246" s="4">
        <v>35059</v>
      </c>
      <c r="E2246" s="5"/>
    </row>
    <row r="2247" spans="1:5" x14ac:dyDescent="0.25">
      <c r="A2247" s="4">
        <v>39064</v>
      </c>
      <c r="B2247" s="5">
        <v>254</v>
      </c>
      <c r="D2247" s="4">
        <v>35060</v>
      </c>
      <c r="E2247" s="6">
        <v>18.73</v>
      </c>
    </row>
    <row r="2248" spans="1:5" x14ac:dyDescent="0.25">
      <c r="A2248" s="4">
        <v>39065</v>
      </c>
      <c r="B2248" s="5">
        <v>257</v>
      </c>
      <c r="D2248" s="4">
        <v>35061</v>
      </c>
      <c r="E2248" s="6">
        <v>18.78</v>
      </c>
    </row>
    <row r="2249" spans="1:5" x14ac:dyDescent="0.25">
      <c r="A2249" s="4">
        <v>39066</v>
      </c>
      <c r="B2249" s="5">
        <v>255</v>
      </c>
      <c r="D2249" s="4">
        <v>35062</v>
      </c>
      <c r="E2249" s="6">
        <v>18.649999999999999</v>
      </c>
    </row>
    <row r="2250" spans="1:5" x14ac:dyDescent="0.25">
      <c r="A2250" s="4">
        <v>39069</v>
      </c>
      <c r="B2250" s="5">
        <v>250.5</v>
      </c>
      <c r="D2250" s="4">
        <v>35065</v>
      </c>
      <c r="E2250" s="5"/>
    </row>
    <row r="2251" spans="1:5" x14ac:dyDescent="0.25">
      <c r="A2251" s="4">
        <v>39070</v>
      </c>
      <c r="B2251" s="5">
        <v>244.5</v>
      </c>
      <c r="D2251" s="4">
        <v>35066</v>
      </c>
      <c r="E2251" s="6">
        <v>18.95</v>
      </c>
    </row>
    <row r="2252" spans="1:5" x14ac:dyDescent="0.25">
      <c r="A2252" s="4">
        <v>39071</v>
      </c>
      <c r="B2252" s="5">
        <v>247</v>
      </c>
      <c r="D2252" s="4">
        <v>35067</v>
      </c>
      <c r="E2252" s="6">
        <v>19.149999999999999</v>
      </c>
    </row>
    <row r="2253" spans="1:5" x14ac:dyDescent="0.25">
      <c r="A2253" s="4">
        <v>39072</v>
      </c>
      <c r="B2253" s="5">
        <v>243</v>
      </c>
      <c r="D2253" s="4">
        <v>35068</v>
      </c>
      <c r="E2253" s="6">
        <v>19.13</v>
      </c>
    </row>
    <row r="2254" spans="1:5" x14ac:dyDescent="0.25">
      <c r="A2254" s="4">
        <v>39073</v>
      </c>
      <c r="B2254" s="5">
        <v>243</v>
      </c>
      <c r="D2254" s="4">
        <v>35069</v>
      </c>
      <c r="E2254" s="6">
        <v>19.5</v>
      </c>
    </row>
    <row r="2255" spans="1:5" x14ac:dyDescent="0.25">
      <c r="A2255" s="4">
        <v>39084</v>
      </c>
      <c r="B2255" s="5">
        <v>243</v>
      </c>
      <c r="D2255" s="4">
        <v>35072</v>
      </c>
      <c r="E2255" s="6">
        <v>19.68</v>
      </c>
    </row>
    <row r="2256" spans="1:5" x14ac:dyDescent="0.25">
      <c r="A2256" s="4">
        <v>39085</v>
      </c>
      <c r="B2256" s="5">
        <v>237.5</v>
      </c>
      <c r="D2256" s="4">
        <v>35073</v>
      </c>
      <c r="E2256" s="6">
        <v>19.05</v>
      </c>
    </row>
    <row r="2257" spans="1:5" x14ac:dyDescent="0.25">
      <c r="A2257" s="4">
        <v>39086</v>
      </c>
      <c r="B2257" s="5">
        <v>227.5</v>
      </c>
      <c r="D2257" s="4">
        <v>35074</v>
      </c>
      <c r="E2257" s="6">
        <v>18.48</v>
      </c>
    </row>
    <row r="2258" spans="1:5" x14ac:dyDescent="0.25">
      <c r="A2258" s="4">
        <v>39087</v>
      </c>
      <c r="B2258" s="5">
        <v>224</v>
      </c>
      <c r="D2258" s="4">
        <v>35075</v>
      </c>
      <c r="E2258" s="6">
        <v>17.850000000000001</v>
      </c>
    </row>
    <row r="2259" spans="1:5" x14ac:dyDescent="0.25">
      <c r="A2259" s="4">
        <v>39090</v>
      </c>
      <c r="B2259" s="5">
        <v>225</v>
      </c>
      <c r="D2259" s="4">
        <v>35076</v>
      </c>
      <c r="E2259" s="6">
        <v>17.579999999999998</v>
      </c>
    </row>
    <row r="2260" spans="1:5" x14ac:dyDescent="0.25">
      <c r="A2260" s="4">
        <v>39091</v>
      </c>
      <c r="B2260" s="5">
        <v>228.5</v>
      </c>
      <c r="D2260" s="4">
        <v>35079</v>
      </c>
      <c r="E2260" s="6">
        <v>17.5</v>
      </c>
    </row>
    <row r="2261" spans="1:5" x14ac:dyDescent="0.25">
      <c r="A2261" s="4">
        <v>39092</v>
      </c>
      <c r="B2261" s="5">
        <v>229.5</v>
      </c>
      <c r="D2261" s="4">
        <v>35080</v>
      </c>
      <c r="E2261" s="6">
        <v>17.73</v>
      </c>
    </row>
    <row r="2262" spans="1:5" x14ac:dyDescent="0.25">
      <c r="A2262" s="4">
        <v>39093</v>
      </c>
      <c r="B2262" s="5">
        <v>229.5</v>
      </c>
      <c r="D2262" s="4">
        <v>35081</v>
      </c>
      <c r="E2262" s="6">
        <v>17.43</v>
      </c>
    </row>
    <row r="2263" spans="1:5" x14ac:dyDescent="0.25">
      <c r="A2263" s="4">
        <v>39094</v>
      </c>
      <c r="B2263" s="5">
        <v>221</v>
      </c>
      <c r="D2263" s="4">
        <v>35082</v>
      </c>
      <c r="E2263" s="6">
        <v>17.88</v>
      </c>
    </row>
    <row r="2264" spans="1:5" x14ac:dyDescent="0.25">
      <c r="A2264" s="4">
        <v>39097</v>
      </c>
      <c r="B2264" s="5">
        <v>225</v>
      </c>
      <c r="D2264" s="4">
        <v>35083</v>
      </c>
      <c r="E2264" s="6">
        <v>17.53</v>
      </c>
    </row>
    <row r="2265" spans="1:5" x14ac:dyDescent="0.25">
      <c r="A2265" s="4">
        <v>39098</v>
      </c>
      <c r="B2265" s="5">
        <v>222</v>
      </c>
      <c r="D2265" s="4">
        <v>35086</v>
      </c>
      <c r="E2265" s="6">
        <v>17.53</v>
      </c>
    </row>
    <row r="2266" spans="1:5" x14ac:dyDescent="0.25">
      <c r="A2266" s="4">
        <v>39099</v>
      </c>
      <c r="B2266" s="5">
        <v>212.75</v>
      </c>
      <c r="D2266" s="4">
        <v>35087</v>
      </c>
      <c r="E2266" s="6">
        <v>17.38</v>
      </c>
    </row>
    <row r="2267" spans="1:5" x14ac:dyDescent="0.25">
      <c r="A2267" s="4">
        <v>39100</v>
      </c>
      <c r="B2267" s="5">
        <v>205</v>
      </c>
      <c r="D2267" s="4">
        <v>35088</v>
      </c>
      <c r="E2267" s="6">
        <v>17.329999999999998</v>
      </c>
    </row>
    <row r="2268" spans="1:5" x14ac:dyDescent="0.25">
      <c r="A2268" s="4">
        <v>39101</v>
      </c>
      <c r="B2268" s="5">
        <v>202</v>
      </c>
      <c r="D2268" s="4">
        <v>35089</v>
      </c>
      <c r="E2268" s="6">
        <v>17</v>
      </c>
    </row>
    <row r="2269" spans="1:5" x14ac:dyDescent="0.25">
      <c r="A2269" s="4">
        <v>39104</v>
      </c>
      <c r="B2269" s="5">
        <v>223</v>
      </c>
      <c r="D2269" s="4">
        <v>35090</v>
      </c>
      <c r="E2269" s="6">
        <v>16.7</v>
      </c>
    </row>
    <row r="2270" spans="1:5" x14ac:dyDescent="0.25">
      <c r="A2270" s="4">
        <v>39105</v>
      </c>
      <c r="B2270" s="5">
        <v>217.5</v>
      </c>
      <c r="D2270" s="4">
        <v>35093</v>
      </c>
      <c r="E2270" s="6">
        <v>16.23</v>
      </c>
    </row>
    <row r="2271" spans="1:5" x14ac:dyDescent="0.25">
      <c r="A2271" s="4">
        <v>39106</v>
      </c>
      <c r="B2271" s="5">
        <v>225</v>
      </c>
      <c r="D2271" s="4">
        <v>35094</v>
      </c>
      <c r="E2271" s="6">
        <v>16.53</v>
      </c>
    </row>
    <row r="2272" spans="1:5" x14ac:dyDescent="0.25">
      <c r="A2272" s="4">
        <v>39107</v>
      </c>
      <c r="B2272" s="5">
        <v>225</v>
      </c>
      <c r="D2272" s="4">
        <v>35095</v>
      </c>
      <c r="E2272" s="6">
        <v>16.63</v>
      </c>
    </row>
    <row r="2273" spans="1:5" x14ac:dyDescent="0.25">
      <c r="A2273" s="4">
        <v>39108</v>
      </c>
      <c r="B2273" s="5">
        <v>231</v>
      </c>
      <c r="D2273" s="4">
        <v>35096</v>
      </c>
      <c r="E2273" s="6">
        <v>16.78</v>
      </c>
    </row>
    <row r="2274" spans="1:5" x14ac:dyDescent="0.25">
      <c r="A2274" s="4">
        <v>39111</v>
      </c>
      <c r="B2274" s="5">
        <v>231</v>
      </c>
      <c r="D2274" s="4">
        <v>35097</v>
      </c>
      <c r="E2274" s="6">
        <v>17.05</v>
      </c>
    </row>
    <row r="2275" spans="1:5" x14ac:dyDescent="0.25">
      <c r="A2275" s="4">
        <v>39112</v>
      </c>
      <c r="B2275" s="5">
        <v>231</v>
      </c>
      <c r="D2275" s="4">
        <v>35100</v>
      </c>
      <c r="E2275" s="6">
        <v>16.93</v>
      </c>
    </row>
    <row r="2276" spans="1:5" x14ac:dyDescent="0.25">
      <c r="A2276" s="4">
        <v>39113</v>
      </c>
      <c r="B2276" s="5">
        <v>236</v>
      </c>
      <c r="D2276" s="4">
        <v>35101</v>
      </c>
      <c r="E2276" s="6">
        <v>16.829999999999998</v>
      </c>
    </row>
    <row r="2277" spans="1:5" x14ac:dyDescent="0.25">
      <c r="A2277" s="4">
        <v>39114</v>
      </c>
      <c r="B2277" s="5">
        <v>245</v>
      </c>
      <c r="D2277" s="4">
        <v>35102</v>
      </c>
      <c r="E2277" s="6">
        <v>16.93</v>
      </c>
    </row>
    <row r="2278" spans="1:5" x14ac:dyDescent="0.25">
      <c r="A2278" s="4">
        <v>39115</v>
      </c>
      <c r="B2278" s="5">
        <v>242.5</v>
      </c>
      <c r="D2278" s="4">
        <v>35103</v>
      </c>
      <c r="E2278" s="6">
        <v>17.05</v>
      </c>
    </row>
    <row r="2279" spans="1:5" x14ac:dyDescent="0.25">
      <c r="A2279" s="4">
        <v>39118</v>
      </c>
      <c r="B2279" s="5">
        <v>255.5</v>
      </c>
      <c r="D2279" s="4">
        <v>35104</v>
      </c>
      <c r="E2279" s="6">
        <v>17.23</v>
      </c>
    </row>
    <row r="2280" spans="1:5" x14ac:dyDescent="0.25">
      <c r="A2280" s="4">
        <v>39119</v>
      </c>
      <c r="B2280" s="5">
        <v>261</v>
      </c>
      <c r="D2280" s="4">
        <v>35107</v>
      </c>
      <c r="E2280" s="6">
        <v>17.18</v>
      </c>
    </row>
    <row r="2281" spans="1:5" x14ac:dyDescent="0.25">
      <c r="A2281" s="4">
        <v>39120</v>
      </c>
      <c r="B2281" s="5">
        <v>261</v>
      </c>
      <c r="D2281" s="4">
        <v>35108</v>
      </c>
      <c r="E2281" s="6">
        <v>18.079999999999998</v>
      </c>
    </row>
    <row r="2282" spans="1:5" x14ac:dyDescent="0.25">
      <c r="A2282" s="4">
        <v>39121</v>
      </c>
      <c r="B2282" s="5">
        <v>255.5</v>
      </c>
      <c r="D2282" s="4">
        <v>35109</v>
      </c>
      <c r="E2282" s="6">
        <v>18.28</v>
      </c>
    </row>
    <row r="2283" spans="1:5" x14ac:dyDescent="0.25">
      <c r="A2283" s="4">
        <v>39122</v>
      </c>
      <c r="B2283" s="5">
        <v>255.5</v>
      </c>
      <c r="D2283" s="4">
        <v>35110</v>
      </c>
      <c r="E2283" s="6">
        <v>18.18</v>
      </c>
    </row>
    <row r="2284" spans="1:5" x14ac:dyDescent="0.25">
      <c r="A2284" s="4">
        <v>39125</v>
      </c>
      <c r="B2284" s="5">
        <v>252.5</v>
      </c>
      <c r="D2284" s="4">
        <v>35111</v>
      </c>
      <c r="E2284" s="6">
        <v>18.2</v>
      </c>
    </row>
    <row r="2285" spans="1:5" x14ac:dyDescent="0.25">
      <c r="A2285" s="4">
        <v>39126</v>
      </c>
      <c r="B2285" s="5">
        <v>252</v>
      </c>
      <c r="D2285" s="4">
        <v>35114</v>
      </c>
      <c r="E2285" s="6">
        <v>18.2</v>
      </c>
    </row>
    <row r="2286" spans="1:5" x14ac:dyDescent="0.25">
      <c r="A2286" s="4">
        <v>39127</v>
      </c>
      <c r="B2286" s="5">
        <v>248.5</v>
      </c>
      <c r="D2286" s="4">
        <v>35115</v>
      </c>
      <c r="E2286" s="6">
        <v>18.579999999999998</v>
      </c>
    </row>
    <row r="2287" spans="1:5" x14ac:dyDescent="0.25">
      <c r="A2287" s="4">
        <v>39128</v>
      </c>
      <c r="B2287" s="5">
        <v>244</v>
      </c>
      <c r="D2287" s="4">
        <v>35116</v>
      </c>
      <c r="E2287" s="6">
        <v>19.05</v>
      </c>
    </row>
    <row r="2288" spans="1:5" x14ac:dyDescent="0.25">
      <c r="A2288" s="4">
        <v>39129</v>
      </c>
      <c r="B2288" s="5">
        <v>243</v>
      </c>
      <c r="D2288" s="4">
        <v>35117</v>
      </c>
      <c r="E2288" s="6">
        <v>19.28</v>
      </c>
    </row>
    <row r="2289" spans="1:5" x14ac:dyDescent="0.25">
      <c r="A2289" s="4">
        <v>39132</v>
      </c>
      <c r="B2289" s="5">
        <v>240</v>
      </c>
      <c r="D2289" s="4">
        <v>35118</v>
      </c>
      <c r="E2289" s="6">
        <v>18.850000000000001</v>
      </c>
    </row>
    <row r="2290" spans="1:5" x14ac:dyDescent="0.25">
      <c r="A2290" s="4">
        <v>39133</v>
      </c>
      <c r="B2290" s="5">
        <v>237</v>
      </c>
      <c r="D2290" s="4">
        <v>35121</v>
      </c>
      <c r="E2290" s="6">
        <v>18.850000000000001</v>
      </c>
    </row>
    <row r="2291" spans="1:5" x14ac:dyDescent="0.25">
      <c r="A2291" s="4">
        <v>39134</v>
      </c>
      <c r="B2291" s="5">
        <v>247.75</v>
      </c>
      <c r="D2291" s="4">
        <v>35122</v>
      </c>
      <c r="E2291" s="6">
        <v>19</v>
      </c>
    </row>
    <row r="2292" spans="1:5" x14ac:dyDescent="0.25">
      <c r="A2292" s="4">
        <v>39135</v>
      </c>
      <c r="B2292" s="5">
        <v>251.75</v>
      </c>
      <c r="D2292" s="4">
        <v>35123</v>
      </c>
      <c r="E2292" s="6">
        <v>18.649999999999999</v>
      </c>
    </row>
    <row r="2293" spans="1:5" x14ac:dyDescent="0.25">
      <c r="A2293" s="4">
        <v>39136</v>
      </c>
      <c r="B2293" s="5">
        <v>259.25</v>
      </c>
      <c r="D2293" s="4">
        <v>35124</v>
      </c>
      <c r="E2293" s="6">
        <v>18.8</v>
      </c>
    </row>
    <row r="2294" spans="1:5" x14ac:dyDescent="0.25">
      <c r="A2294" s="4">
        <v>39139</v>
      </c>
      <c r="B2294" s="5">
        <v>261</v>
      </c>
      <c r="D2294" s="4">
        <v>35125</v>
      </c>
      <c r="E2294" s="6">
        <v>18.55</v>
      </c>
    </row>
    <row r="2295" spans="1:5" x14ac:dyDescent="0.25">
      <c r="A2295" s="4">
        <v>39140</v>
      </c>
      <c r="B2295" s="5">
        <v>262</v>
      </c>
      <c r="D2295" s="4">
        <v>35128</v>
      </c>
      <c r="E2295" s="6">
        <v>18.399999999999999</v>
      </c>
    </row>
    <row r="2296" spans="1:5" x14ac:dyDescent="0.25">
      <c r="A2296" s="4">
        <v>39141</v>
      </c>
      <c r="B2296" s="5">
        <v>256.5</v>
      </c>
      <c r="D2296" s="4">
        <v>35129</v>
      </c>
      <c r="E2296" s="6">
        <v>18.75</v>
      </c>
    </row>
    <row r="2297" spans="1:5" x14ac:dyDescent="0.25">
      <c r="A2297" s="4">
        <v>39142</v>
      </c>
      <c r="B2297" s="5">
        <v>262</v>
      </c>
      <c r="D2297" s="4">
        <v>35130</v>
      </c>
      <c r="E2297" s="6">
        <v>19.18</v>
      </c>
    </row>
    <row r="2298" spans="1:5" x14ac:dyDescent="0.25">
      <c r="A2298" s="4">
        <v>39143</v>
      </c>
      <c r="B2298" s="5">
        <v>260.5</v>
      </c>
      <c r="D2298" s="4">
        <v>35131</v>
      </c>
      <c r="E2298" s="6">
        <v>19.03</v>
      </c>
    </row>
    <row r="2299" spans="1:5" x14ac:dyDescent="0.25">
      <c r="A2299" s="4">
        <v>39146</v>
      </c>
      <c r="B2299" s="5">
        <v>256</v>
      </c>
      <c r="D2299" s="4">
        <v>35132</v>
      </c>
      <c r="E2299" s="6">
        <v>18.850000000000001</v>
      </c>
    </row>
    <row r="2300" spans="1:5" x14ac:dyDescent="0.25">
      <c r="A2300" s="4">
        <v>39147</v>
      </c>
      <c r="B2300" s="5">
        <v>256.25</v>
      </c>
      <c r="D2300" s="4">
        <v>35135</v>
      </c>
      <c r="E2300" s="6">
        <v>18.93</v>
      </c>
    </row>
    <row r="2301" spans="1:5" x14ac:dyDescent="0.25">
      <c r="A2301" s="4">
        <v>39148</v>
      </c>
      <c r="B2301" s="5">
        <v>261</v>
      </c>
      <c r="D2301" s="4">
        <v>35136</v>
      </c>
      <c r="E2301" s="6">
        <v>19.3</v>
      </c>
    </row>
    <row r="2302" spans="1:5" x14ac:dyDescent="0.25">
      <c r="A2302" s="4">
        <v>39149</v>
      </c>
      <c r="B2302" s="5">
        <v>261.5</v>
      </c>
      <c r="D2302" s="4">
        <v>35137</v>
      </c>
      <c r="E2302" s="6">
        <v>19.579999999999998</v>
      </c>
    </row>
    <row r="2303" spans="1:5" x14ac:dyDescent="0.25">
      <c r="A2303" s="4">
        <v>39150</v>
      </c>
      <c r="B2303" s="5">
        <v>259.5</v>
      </c>
      <c r="D2303" s="4">
        <v>35138</v>
      </c>
      <c r="E2303" s="6">
        <v>19.399999999999999</v>
      </c>
    </row>
    <row r="2304" spans="1:5" x14ac:dyDescent="0.25">
      <c r="A2304" s="4">
        <v>39153</v>
      </c>
      <c r="B2304" s="5">
        <v>256</v>
      </c>
      <c r="D2304" s="4">
        <v>35139</v>
      </c>
      <c r="E2304" s="6">
        <v>19.3</v>
      </c>
    </row>
    <row r="2305" spans="1:5" x14ac:dyDescent="0.25">
      <c r="A2305" s="4">
        <v>39154</v>
      </c>
      <c r="B2305" s="5">
        <v>259.5</v>
      </c>
      <c r="D2305" s="4">
        <v>35142</v>
      </c>
      <c r="E2305" s="6">
        <v>20.5</v>
      </c>
    </row>
    <row r="2306" spans="1:5" x14ac:dyDescent="0.25">
      <c r="A2306" s="4">
        <v>39155</v>
      </c>
      <c r="B2306" s="5">
        <v>259</v>
      </c>
      <c r="D2306" s="4">
        <v>35143</v>
      </c>
      <c r="E2306" s="6">
        <v>20.350000000000001</v>
      </c>
    </row>
    <row r="2307" spans="1:5" x14ac:dyDescent="0.25">
      <c r="A2307" s="4">
        <v>39156</v>
      </c>
      <c r="B2307" s="5">
        <v>261</v>
      </c>
      <c r="D2307" s="4">
        <v>35144</v>
      </c>
      <c r="E2307" s="6">
        <v>20.38</v>
      </c>
    </row>
    <row r="2308" spans="1:5" x14ac:dyDescent="0.25">
      <c r="A2308" s="4">
        <v>39157</v>
      </c>
      <c r="B2308" s="5">
        <v>261</v>
      </c>
      <c r="D2308" s="4">
        <v>35145</v>
      </c>
      <c r="E2308" s="6">
        <v>20.350000000000001</v>
      </c>
    </row>
    <row r="2309" spans="1:5" x14ac:dyDescent="0.25">
      <c r="A2309" s="4">
        <v>39160</v>
      </c>
      <c r="B2309" s="5">
        <v>259.25</v>
      </c>
      <c r="D2309" s="4">
        <v>35146</v>
      </c>
      <c r="E2309" s="6">
        <v>21.15</v>
      </c>
    </row>
    <row r="2310" spans="1:5" x14ac:dyDescent="0.25">
      <c r="A2310" s="4">
        <v>39161</v>
      </c>
      <c r="B2310" s="5">
        <v>258.25</v>
      </c>
      <c r="D2310" s="4">
        <v>35149</v>
      </c>
      <c r="E2310" s="6">
        <v>21.3</v>
      </c>
    </row>
    <row r="2311" spans="1:5" x14ac:dyDescent="0.25">
      <c r="A2311" s="4">
        <v>39162</v>
      </c>
      <c r="B2311" s="5">
        <v>266</v>
      </c>
      <c r="D2311" s="4">
        <v>35150</v>
      </c>
      <c r="E2311" s="6">
        <v>21.68</v>
      </c>
    </row>
    <row r="2312" spans="1:5" x14ac:dyDescent="0.25">
      <c r="A2312" s="4">
        <v>39163</v>
      </c>
      <c r="B2312" s="5">
        <v>274</v>
      </c>
      <c r="D2312" s="4">
        <v>35151</v>
      </c>
      <c r="E2312" s="6">
        <v>21.33</v>
      </c>
    </row>
    <row r="2313" spans="1:5" x14ac:dyDescent="0.25">
      <c r="A2313" s="4">
        <v>39164</v>
      </c>
      <c r="B2313" s="5">
        <v>274.5</v>
      </c>
      <c r="D2313" s="4">
        <v>35152</v>
      </c>
      <c r="E2313" s="6">
        <v>20.25</v>
      </c>
    </row>
    <row r="2314" spans="1:5" x14ac:dyDescent="0.25">
      <c r="A2314" s="4">
        <v>39167</v>
      </c>
      <c r="B2314" s="5">
        <v>278</v>
      </c>
      <c r="D2314" s="4">
        <v>35153</v>
      </c>
      <c r="E2314" s="6">
        <v>20.329999999999998</v>
      </c>
    </row>
    <row r="2315" spans="1:5" x14ac:dyDescent="0.25">
      <c r="A2315" s="4">
        <v>39168</v>
      </c>
      <c r="B2315" s="5">
        <v>279</v>
      </c>
      <c r="D2315" s="4">
        <v>35156</v>
      </c>
      <c r="E2315" s="6">
        <v>20.8</v>
      </c>
    </row>
    <row r="2316" spans="1:5" x14ac:dyDescent="0.25">
      <c r="A2316" s="4">
        <v>39169</v>
      </c>
      <c r="B2316" s="5">
        <v>291.5</v>
      </c>
      <c r="D2316" s="4">
        <v>35157</v>
      </c>
      <c r="E2316" s="6">
        <v>21.18</v>
      </c>
    </row>
    <row r="2317" spans="1:5" x14ac:dyDescent="0.25">
      <c r="A2317" s="4">
        <v>39170</v>
      </c>
      <c r="B2317" s="5">
        <v>292.5</v>
      </c>
      <c r="D2317" s="4">
        <v>35158</v>
      </c>
      <c r="E2317" s="6">
        <v>20.93</v>
      </c>
    </row>
    <row r="2318" spans="1:5" x14ac:dyDescent="0.25">
      <c r="A2318" s="4">
        <v>39171</v>
      </c>
      <c r="B2318" s="5">
        <v>294</v>
      </c>
      <c r="D2318" s="4">
        <v>35159</v>
      </c>
      <c r="E2318" s="6">
        <v>20.85</v>
      </c>
    </row>
    <row r="2319" spans="1:5" x14ac:dyDescent="0.25">
      <c r="A2319" s="4">
        <v>39174</v>
      </c>
      <c r="B2319" s="5">
        <v>295</v>
      </c>
      <c r="D2319" s="4">
        <v>35160</v>
      </c>
      <c r="E2319" s="5"/>
    </row>
    <row r="2320" spans="1:5" x14ac:dyDescent="0.25">
      <c r="A2320" s="4">
        <v>39175</v>
      </c>
      <c r="B2320" s="5">
        <v>292</v>
      </c>
      <c r="D2320" s="4">
        <v>35163</v>
      </c>
      <c r="E2320" s="5"/>
    </row>
    <row r="2321" spans="1:5" x14ac:dyDescent="0.25">
      <c r="A2321" s="4">
        <v>39176</v>
      </c>
      <c r="B2321" s="5">
        <v>293.5</v>
      </c>
      <c r="D2321" s="4">
        <v>35164</v>
      </c>
      <c r="E2321" s="6">
        <v>21.43</v>
      </c>
    </row>
    <row r="2322" spans="1:5" x14ac:dyDescent="0.25">
      <c r="A2322" s="4">
        <v>39177</v>
      </c>
      <c r="B2322" s="5">
        <v>296.5</v>
      </c>
      <c r="D2322" s="4">
        <v>35165</v>
      </c>
      <c r="E2322" s="6">
        <v>22.63</v>
      </c>
    </row>
    <row r="2323" spans="1:5" x14ac:dyDescent="0.25">
      <c r="A2323" s="4">
        <v>39182</v>
      </c>
      <c r="B2323" s="5">
        <v>295</v>
      </c>
      <c r="D2323" s="4">
        <v>35166</v>
      </c>
      <c r="E2323" s="6">
        <v>23.9</v>
      </c>
    </row>
    <row r="2324" spans="1:5" x14ac:dyDescent="0.25">
      <c r="A2324" s="4">
        <v>39183</v>
      </c>
      <c r="B2324" s="5">
        <v>300</v>
      </c>
      <c r="D2324" s="4">
        <v>35167</v>
      </c>
      <c r="E2324" s="6">
        <v>22.73</v>
      </c>
    </row>
    <row r="2325" spans="1:5" x14ac:dyDescent="0.25">
      <c r="A2325" s="4">
        <v>39184</v>
      </c>
      <c r="B2325" s="5">
        <v>306</v>
      </c>
      <c r="D2325" s="4">
        <v>35170</v>
      </c>
      <c r="E2325" s="6">
        <v>22.68</v>
      </c>
    </row>
    <row r="2326" spans="1:5" x14ac:dyDescent="0.25">
      <c r="A2326" s="4">
        <v>39185</v>
      </c>
      <c r="B2326" s="5">
        <v>310</v>
      </c>
      <c r="D2326" s="4">
        <v>35171</v>
      </c>
      <c r="E2326" s="6">
        <v>21.2</v>
      </c>
    </row>
    <row r="2327" spans="1:5" x14ac:dyDescent="0.25">
      <c r="A2327" s="4">
        <v>39188</v>
      </c>
      <c r="B2327" s="5">
        <v>311.5</v>
      </c>
      <c r="D2327" s="4">
        <v>35172</v>
      </c>
      <c r="E2327" s="6">
        <v>19.88</v>
      </c>
    </row>
    <row r="2328" spans="1:5" x14ac:dyDescent="0.25">
      <c r="A2328" s="4">
        <v>39189</v>
      </c>
      <c r="B2328" s="5">
        <v>310</v>
      </c>
      <c r="D2328" s="4">
        <v>35173</v>
      </c>
      <c r="E2328" s="6">
        <v>19.329999999999998</v>
      </c>
    </row>
    <row r="2329" spans="1:5" x14ac:dyDescent="0.25">
      <c r="A2329" s="4">
        <v>39190</v>
      </c>
      <c r="B2329" s="5">
        <v>304</v>
      </c>
      <c r="D2329" s="4">
        <v>35174</v>
      </c>
      <c r="E2329" s="6">
        <v>19.53</v>
      </c>
    </row>
    <row r="2330" spans="1:5" x14ac:dyDescent="0.25">
      <c r="A2330" s="4">
        <v>39191</v>
      </c>
      <c r="B2330" s="5">
        <v>303.5</v>
      </c>
      <c r="D2330" s="4">
        <v>35177</v>
      </c>
      <c r="E2330" s="6">
        <v>19.38</v>
      </c>
    </row>
    <row r="2331" spans="1:5" x14ac:dyDescent="0.25">
      <c r="A2331" s="4">
        <v>39192</v>
      </c>
      <c r="B2331" s="5">
        <v>303.25</v>
      </c>
      <c r="D2331" s="4">
        <v>35178</v>
      </c>
      <c r="E2331" s="6">
        <v>20.88</v>
      </c>
    </row>
    <row r="2332" spans="1:5" x14ac:dyDescent="0.25">
      <c r="A2332" s="4">
        <v>39195</v>
      </c>
      <c r="B2332" s="5">
        <v>309</v>
      </c>
      <c r="D2332" s="4">
        <v>35179</v>
      </c>
      <c r="E2332" s="6">
        <v>20.73</v>
      </c>
    </row>
    <row r="2333" spans="1:5" x14ac:dyDescent="0.25">
      <c r="A2333" s="4">
        <v>39196</v>
      </c>
      <c r="B2333" s="5">
        <v>314</v>
      </c>
      <c r="D2333" s="4">
        <v>35180</v>
      </c>
      <c r="E2333" s="6">
        <v>20.350000000000001</v>
      </c>
    </row>
    <row r="2334" spans="1:5" x14ac:dyDescent="0.25">
      <c r="A2334" s="4">
        <v>39197</v>
      </c>
      <c r="B2334" s="5">
        <v>324.5</v>
      </c>
      <c r="D2334" s="4">
        <v>35181</v>
      </c>
      <c r="E2334" s="6">
        <v>20.05</v>
      </c>
    </row>
    <row r="2335" spans="1:5" x14ac:dyDescent="0.25">
      <c r="A2335" s="4">
        <v>39198</v>
      </c>
      <c r="B2335" s="5">
        <v>329.25</v>
      </c>
      <c r="D2335" s="4">
        <v>35184</v>
      </c>
      <c r="E2335" s="6">
        <v>20.05</v>
      </c>
    </row>
    <row r="2336" spans="1:5" x14ac:dyDescent="0.25">
      <c r="A2336" s="4">
        <v>39199</v>
      </c>
      <c r="B2336" s="5">
        <v>328.5</v>
      </c>
      <c r="D2336" s="4">
        <v>35185</v>
      </c>
      <c r="E2336" s="6">
        <v>19.5</v>
      </c>
    </row>
    <row r="2337" spans="1:5" x14ac:dyDescent="0.25">
      <c r="A2337" s="4">
        <v>39202</v>
      </c>
      <c r="B2337" s="5">
        <v>324</v>
      </c>
      <c r="D2337" s="4">
        <v>35186</v>
      </c>
      <c r="E2337" s="6">
        <v>18.95</v>
      </c>
    </row>
    <row r="2338" spans="1:5" x14ac:dyDescent="0.25">
      <c r="A2338" s="4">
        <v>39203</v>
      </c>
      <c r="B2338" s="5">
        <v>327.5</v>
      </c>
      <c r="D2338" s="4">
        <v>35187</v>
      </c>
      <c r="E2338" s="6">
        <v>19.45</v>
      </c>
    </row>
    <row r="2339" spans="1:5" x14ac:dyDescent="0.25">
      <c r="A2339" s="4">
        <v>39204</v>
      </c>
      <c r="B2339" s="5">
        <v>334.25</v>
      </c>
      <c r="D2339" s="4">
        <v>35188</v>
      </c>
      <c r="E2339" s="6">
        <v>19.38</v>
      </c>
    </row>
    <row r="2340" spans="1:5" x14ac:dyDescent="0.25">
      <c r="A2340" s="4">
        <v>39205</v>
      </c>
      <c r="B2340" s="5">
        <v>325</v>
      </c>
      <c r="D2340" s="4">
        <v>35191</v>
      </c>
      <c r="E2340" s="5"/>
    </row>
    <row r="2341" spans="1:5" x14ac:dyDescent="0.25">
      <c r="A2341" s="4">
        <v>39206</v>
      </c>
      <c r="B2341" s="5">
        <v>321</v>
      </c>
      <c r="D2341" s="4">
        <v>35192</v>
      </c>
      <c r="E2341" s="6">
        <v>20.079999999999998</v>
      </c>
    </row>
    <row r="2342" spans="1:5" x14ac:dyDescent="0.25">
      <c r="A2342" s="4">
        <v>39210</v>
      </c>
      <c r="B2342" s="5">
        <v>315</v>
      </c>
      <c r="D2342" s="4">
        <v>35193</v>
      </c>
      <c r="E2342" s="6">
        <v>19.850000000000001</v>
      </c>
    </row>
    <row r="2343" spans="1:5" x14ac:dyDescent="0.25">
      <c r="A2343" s="4">
        <v>39211</v>
      </c>
      <c r="B2343" s="5">
        <v>315.25</v>
      </c>
      <c r="D2343" s="4">
        <v>35194</v>
      </c>
      <c r="E2343" s="6">
        <v>19.350000000000001</v>
      </c>
    </row>
    <row r="2344" spans="1:5" x14ac:dyDescent="0.25">
      <c r="A2344" s="4">
        <v>39212</v>
      </c>
      <c r="B2344" s="5">
        <v>316.5</v>
      </c>
      <c r="D2344" s="4">
        <v>35195</v>
      </c>
      <c r="E2344" s="6">
        <v>19.23</v>
      </c>
    </row>
    <row r="2345" spans="1:5" x14ac:dyDescent="0.25">
      <c r="A2345" s="4">
        <v>39213</v>
      </c>
      <c r="B2345" s="5">
        <v>314</v>
      </c>
      <c r="D2345" s="4">
        <v>35198</v>
      </c>
      <c r="E2345" s="6">
        <v>19.48</v>
      </c>
    </row>
    <row r="2346" spans="1:5" x14ac:dyDescent="0.25">
      <c r="A2346" s="4">
        <v>39216</v>
      </c>
      <c r="B2346" s="5">
        <v>313.5</v>
      </c>
      <c r="D2346" s="4">
        <v>35199</v>
      </c>
      <c r="E2346" s="6">
        <v>19.63</v>
      </c>
    </row>
    <row r="2347" spans="1:5" x14ac:dyDescent="0.25">
      <c r="A2347" s="4">
        <v>39217</v>
      </c>
      <c r="B2347" s="5">
        <v>312</v>
      </c>
      <c r="D2347" s="4">
        <v>35200</v>
      </c>
      <c r="E2347" s="6">
        <v>19.5</v>
      </c>
    </row>
    <row r="2348" spans="1:5" x14ac:dyDescent="0.25">
      <c r="A2348" s="4">
        <v>39218</v>
      </c>
      <c r="B2348" s="5">
        <v>305</v>
      </c>
      <c r="D2348" s="4">
        <v>35201</v>
      </c>
      <c r="E2348" s="6">
        <v>18.63</v>
      </c>
    </row>
    <row r="2349" spans="1:5" x14ac:dyDescent="0.25">
      <c r="A2349" s="4">
        <v>39219</v>
      </c>
      <c r="B2349" s="5">
        <v>307</v>
      </c>
      <c r="D2349" s="4">
        <v>35202</v>
      </c>
      <c r="E2349" s="6">
        <v>18.05</v>
      </c>
    </row>
    <row r="2350" spans="1:5" x14ac:dyDescent="0.25">
      <c r="A2350" s="4">
        <v>39220</v>
      </c>
      <c r="B2350" s="5">
        <v>306.5</v>
      </c>
      <c r="D2350" s="4">
        <v>35205</v>
      </c>
      <c r="E2350" s="6">
        <v>18.63</v>
      </c>
    </row>
    <row r="2351" spans="1:5" x14ac:dyDescent="0.25">
      <c r="A2351" s="4">
        <v>39223</v>
      </c>
      <c r="B2351" s="5">
        <v>306.5</v>
      </c>
      <c r="D2351" s="4">
        <v>35206</v>
      </c>
      <c r="E2351" s="6">
        <v>18.7</v>
      </c>
    </row>
    <row r="2352" spans="1:5" x14ac:dyDescent="0.25">
      <c r="A2352" s="4">
        <v>39224</v>
      </c>
      <c r="B2352" s="5">
        <v>310.5</v>
      </c>
      <c r="D2352" s="4">
        <v>35207</v>
      </c>
      <c r="E2352" s="6">
        <v>19.399999999999999</v>
      </c>
    </row>
    <row r="2353" spans="1:5" x14ac:dyDescent="0.25">
      <c r="A2353" s="4">
        <v>39225</v>
      </c>
      <c r="B2353" s="5">
        <v>315</v>
      </c>
      <c r="D2353" s="4">
        <v>35208</v>
      </c>
      <c r="E2353" s="6">
        <v>19.53</v>
      </c>
    </row>
    <row r="2354" spans="1:5" x14ac:dyDescent="0.25">
      <c r="A2354" s="4">
        <v>39226</v>
      </c>
      <c r="B2354" s="5">
        <v>321.5</v>
      </c>
      <c r="D2354" s="4">
        <v>35209</v>
      </c>
      <c r="E2354" s="6">
        <v>19.73</v>
      </c>
    </row>
    <row r="2355" spans="1:5" x14ac:dyDescent="0.25">
      <c r="A2355" s="4">
        <v>39227</v>
      </c>
      <c r="B2355" s="5">
        <v>311.75</v>
      </c>
      <c r="D2355" s="4">
        <v>35212</v>
      </c>
      <c r="E2355" s="5"/>
    </row>
    <row r="2356" spans="1:5" x14ac:dyDescent="0.25">
      <c r="A2356" s="4">
        <v>39231</v>
      </c>
      <c r="B2356" s="5">
        <v>303</v>
      </c>
      <c r="D2356" s="4">
        <v>35213</v>
      </c>
      <c r="E2356" s="6">
        <v>19.53</v>
      </c>
    </row>
    <row r="2357" spans="1:5" x14ac:dyDescent="0.25">
      <c r="A2357" s="4">
        <v>39232</v>
      </c>
      <c r="B2357" s="5">
        <v>300</v>
      </c>
      <c r="D2357" s="4">
        <v>35214</v>
      </c>
      <c r="E2357" s="6">
        <v>18.95</v>
      </c>
    </row>
    <row r="2358" spans="1:5" x14ac:dyDescent="0.25">
      <c r="A2358" s="4">
        <v>39233</v>
      </c>
      <c r="B2358" s="5">
        <v>302.75</v>
      </c>
      <c r="D2358" s="4">
        <v>35215</v>
      </c>
      <c r="E2358" s="6">
        <v>18.100000000000001</v>
      </c>
    </row>
    <row r="2359" spans="1:5" x14ac:dyDescent="0.25">
      <c r="A2359" s="4">
        <v>39234</v>
      </c>
      <c r="B2359" s="5">
        <v>305</v>
      </c>
      <c r="D2359" s="4">
        <v>35216</v>
      </c>
      <c r="E2359" s="6">
        <v>18.100000000000001</v>
      </c>
    </row>
    <row r="2360" spans="1:5" x14ac:dyDescent="0.25">
      <c r="A2360" s="4">
        <v>39237</v>
      </c>
      <c r="B2360" s="5">
        <v>311</v>
      </c>
      <c r="D2360" s="4">
        <v>35219</v>
      </c>
      <c r="E2360" s="6">
        <v>18.25</v>
      </c>
    </row>
    <row r="2361" spans="1:5" x14ac:dyDescent="0.25">
      <c r="A2361" s="4">
        <v>39238</v>
      </c>
      <c r="B2361" s="5">
        <v>314.25</v>
      </c>
      <c r="D2361" s="4">
        <v>35220</v>
      </c>
      <c r="E2361" s="6">
        <v>18.5</v>
      </c>
    </row>
    <row r="2362" spans="1:5" x14ac:dyDescent="0.25">
      <c r="A2362" s="4">
        <v>39239</v>
      </c>
      <c r="B2362" s="5">
        <v>314</v>
      </c>
      <c r="D2362" s="4">
        <v>35221</v>
      </c>
      <c r="E2362" s="6">
        <v>18.2</v>
      </c>
    </row>
    <row r="2363" spans="1:5" x14ac:dyDescent="0.25">
      <c r="A2363" s="4">
        <v>39240</v>
      </c>
      <c r="B2363" s="5">
        <v>320</v>
      </c>
      <c r="D2363" s="4">
        <v>35222</v>
      </c>
      <c r="E2363" s="6">
        <v>18.18</v>
      </c>
    </row>
    <row r="2364" spans="1:5" x14ac:dyDescent="0.25">
      <c r="A2364" s="4">
        <v>39241</v>
      </c>
      <c r="B2364" s="5">
        <v>315.5</v>
      </c>
      <c r="D2364" s="4">
        <v>35223</v>
      </c>
      <c r="E2364" s="6">
        <v>18.399999999999999</v>
      </c>
    </row>
    <row r="2365" spans="1:5" x14ac:dyDescent="0.25">
      <c r="A2365" s="4">
        <v>39244</v>
      </c>
      <c r="B2365" s="5">
        <v>315</v>
      </c>
      <c r="D2365" s="4">
        <v>35226</v>
      </c>
      <c r="E2365" s="6">
        <v>18.48</v>
      </c>
    </row>
    <row r="2366" spans="1:5" x14ac:dyDescent="0.25">
      <c r="A2366" s="4">
        <v>39245</v>
      </c>
      <c r="B2366" s="5">
        <v>324.5</v>
      </c>
      <c r="D2366" s="4">
        <v>35227</v>
      </c>
      <c r="E2366" s="6">
        <v>18.28</v>
      </c>
    </row>
    <row r="2367" spans="1:5" x14ac:dyDescent="0.25">
      <c r="A2367" s="4">
        <v>39246</v>
      </c>
      <c r="B2367" s="5">
        <v>328.5</v>
      </c>
      <c r="D2367" s="4">
        <v>35228</v>
      </c>
      <c r="E2367" s="6">
        <v>18.23</v>
      </c>
    </row>
    <row r="2368" spans="1:5" x14ac:dyDescent="0.25">
      <c r="A2368" s="4">
        <v>39247</v>
      </c>
      <c r="B2368" s="5">
        <v>335</v>
      </c>
      <c r="D2368" s="4">
        <v>35229</v>
      </c>
      <c r="E2368" s="6">
        <v>17.98</v>
      </c>
    </row>
    <row r="2369" spans="1:5" x14ac:dyDescent="0.25">
      <c r="A2369" s="4">
        <v>39248</v>
      </c>
      <c r="B2369" s="5">
        <v>324.75</v>
      </c>
      <c r="D2369" s="4">
        <v>35230</v>
      </c>
      <c r="E2369" s="6">
        <v>17.829999999999998</v>
      </c>
    </row>
    <row r="2370" spans="1:5" x14ac:dyDescent="0.25">
      <c r="A2370" s="4">
        <v>39251</v>
      </c>
      <c r="B2370" s="5">
        <v>332.25</v>
      </c>
      <c r="D2370" s="4">
        <v>35233</v>
      </c>
      <c r="E2370" s="6">
        <v>18.7</v>
      </c>
    </row>
    <row r="2371" spans="1:5" x14ac:dyDescent="0.25">
      <c r="A2371" s="4">
        <v>39252</v>
      </c>
      <c r="B2371" s="5">
        <v>331.5</v>
      </c>
      <c r="D2371" s="4">
        <v>35234</v>
      </c>
      <c r="E2371" s="6">
        <v>18.8</v>
      </c>
    </row>
    <row r="2372" spans="1:5" x14ac:dyDescent="0.25">
      <c r="A2372" s="4">
        <v>39253</v>
      </c>
      <c r="B2372" s="5">
        <v>319</v>
      </c>
      <c r="D2372" s="4">
        <v>35235</v>
      </c>
      <c r="E2372" s="6">
        <v>18.399999999999999</v>
      </c>
    </row>
    <row r="2373" spans="1:5" x14ac:dyDescent="0.25">
      <c r="A2373" s="4">
        <v>39254</v>
      </c>
      <c r="B2373" s="5">
        <v>327</v>
      </c>
      <c r="D2373" s="4">
        <v>35236</v>
      </c>
      <c r="E2373" s="6">
        <v>18.43</v>
      </c>
    </row>
    <row r="2374" spans="1:5" x14ac:dyDescent="0.25">
      <c r="A2374" s="4">
        <v>39255</v>
      </c>
      <c r="B2374" s="5">
        <v>328</v>
      </c>
      <c r="D2374" s="4">
        <v>35237</v>
      </c>
      <c r="E2374" s="6">
        <v>18.45</v>
      </c>
    </row>
    <row r="2375" spans="1:5" x14ac:dyDescent="0.25">
      <c r="A2375" s="4">
        <v>39258</v>
      </c>
      <c r="B2375" s="5">
        <v>329</v>
      </c>
      <c r="D2375" s="4">
        <v>35240</v>
      </c>
      <c r="E2375" s="6">
        <v>18.38</v>
      </c>
    </row>
    <row r="2376" spans="1:5" x14ac:dyDescent="0.25">
      <c r="A2376" s="4">
        <v>39259</v>
      </c>
      <c r="B2376" s="5">
        <v>326</v>
      </c>
      <c r="D2376" s="4">
        <v>35241</v>
      </c>
      <c r="E2376" s="6">
        <v>18.38</v>
      </c>
    </row>
    <row r="2377" spans="1:5" x14ac:dyDescent="0.25">
      <c r="A2377" s="4">
        <v>39260</v>
      </c>
      <c r="B2377" s="5">
        <v>330</v>
      </c>
      <c r="D2377" s="4">
        <v>35242</v>
      </c>
      <c r="E2377" s="6">
        <v>18.600000000000001</v>
      </c>
    </row>
    <row r="2378" spans="1:5" x14ac:dyDescent="0.25">
      <c r="A2378" s="4">
        <v>39261</v>
      </c>
      <c r="B2378" s="5">
        <v>328.25</v>
      </c>
      <c r="D2378" s="4">
        <v>35243</v>
      </c>
      <c r="E2378" s="6">
        <v>19.38</v>
      </c>
    </row>
    <row r="2379" spans="1:5" x14ac:dyDescent="0.25">
      <c r="A2379" s="4">
        <v>39262</v>
      </c>
      <c r="B2379" s="5">
        <v>329</v>
      </c>
      <c r="D2379" s="4">
        <v>35244</v>
      </c>
      <c r="E2379" s="6">
        <v>19.28</v>
      </c>
    </row>
    <row r="2380" spans="1:5" x14ac:dyDescent="0.25">
      <c r="A2380" s="4">
        <v>39265</v>
      </c>
      <c r="B2380" s="5">
        <v>331.5</v>
      </c>
      <c r="D2380" s="4">
        <v>35247</v>
      </c>
      <c r="E2380" s="6">
        <v>19.77</v>
      </c>
    </row>
    <row r="2381" spans="1:5" x14ac:dyDescent="0.25">
      <c r="A2381" s="4">
        <v>39266</v>
      </c>
      <c r="B2381" s="5">
        <v>337</v>
      </c>
      <c r="D2381" s="4">
        <v>35248</v>
      </c>
      <c r="E2381" s="6">
        <v>19.43</v>
      </c>
    </row>
    <row r="2382" spans="1:5" x14ac:dyDescent="0.25">
      <c r="A2382" s="4">
        <v>39267</v>
      </c>
      <c r="B2382" s="5">
        <v>338.75</v>
      </c>
      <c r="D2382" s="4">
        <v>35249</v>
      </c>
      <c r="E2382" s="6">
        <v>19.13</v>
      </c>
    </row>
    <row r="2383" spans="1:5" x14ac:dyDescent="0.25">
      <c r="A2383" s="4">
        <v>39268</v>
      </c>
      <c r="B2383" s="5">
        <v>344.75</v>
      </c>
      <c r="D2383" s="4">
        <v>35250</v>
      </c>
      <c r="E2383" s="6">
        <v>19.77</v>
      </c>
    </row>
    <row r="2384" spans="1:5" x14ac:dyDescent="0.25">
      <c r="A2384" s="4">
        <v>39269</v>
      </c>
      <c r="B2384" s="5">
        <v>347.5</v>
      </c>
      <c r="D2384" s="4">
        <v>35251</v>
      </c>
      <c r="E2384" s="6">
        <v>19.989999999999998</v>
      </c>
    </row>
    <row r="2385" spans="1:5" x14ac:dyDescent="0.25">
      <c r="A2385" s="4">
        <v>39272</v>
      </c>
      <c r="B2385" s="5">
        <v>350</v>
      </c>
      <c r="D2385" s="4">
        <v>35254</v>
      </c>
      <c r="E2385" s="6">
        <v>19.62</v>
      </c>
    </row>
    <row r="2386" spans="1:5" x14ac:dyDescent="0.25">
      <c r="A2386" s="4">
        <v>39273</v>
      </c>
      <c r="B2386" s="5">
        <v>350</v>
      </c>
      <c r="D2386" s="4">
        <v>35255</v>
      </c>
      <c r="E2386" s="6">
        <v>19.63</v>
      </c>
    </row>
    <row r="2387" spans="1:5" x14ac:dyDescent="0.25">
      <c r="A2387" s="4">
        <v>39274</v>
      </c>
      <c r="B2387" s="5">
        <v>354.5</v>
      </c>
      <c r="D2387" s="4">
        <v>35256</v>
      </c>
      <c r="E2387" s="6">
        <v>19.8</v>
      </c>
    </row>
    <row r="2388" spans="1:5" x14ac:dyDescent="0.25">
      <c r="A2388" s="4">
        <v>39275</v>
      </c>
      <c r="B2388" s="5">
        <v>356.5</v>
      </c>
      <c r="D2388" s="4">
        <v>35257</v>
      </c>
      <c r="E2388" s="6">
        <v>20.010000000000002</v>
      </c>
    </row>
    <row r="2389" spans="1:5" x14ac:dyDescent="0.25">
      <c r="A2389" s="4">
        <v>39276</v>
      </c>
      <c r="B2389" s="5">
        <v>349.5</v>
      </c>
      <c r="D2389" s="4">
        <v>35258</v>
      </c>
      <c r="E2389" s="6">
        <v>19.93</v>
      </c>
    </row>
    <row r="2390" spans="1:5" x14ac:dyDescent="0.25">
      <c r="A2390" s="4">
        <v>39279</v>
      </c>
      <c r="B2390" s="5">
        <v>351</v>
      </c>
      <c r="D2390" s="4">
        <v>35261</v>
      </c>
      <c r="E2390" s="6">
        <v>20.2</v>
      </c>
    </row>
    <row r="2391" spans="1:5" x14ac:dyDescent="0.25">
      <c r="A2391" s="4">
        <v>39280</v>
      </c>
      <c r="B2391" s="5">
        <v>353</v>
      </c>
      <c r="D2391" s="4">
        <v>35262</v>
      </c>
      <c r="E2391" s="6">
        <v>20.3</v>
      </c>
    </row>
    <row r="2392" spans="1:5" x14ac:dyDescent="0.25">
      <c r="A2392" s="4">
        <v>39281</v>
      </c>
      <c r="B2392" s="5">
        <v>362.5</v>
      </c>
      <c r="D2392" s="4">
        <v>35263</v>
      </c>
      <c r="E2392" s="6">
        <v>19.75</v>
      </c>
    </row>
    <row r="2393" spans="1:5" x14ac:dyDescent="0.25">
      <c r="A2393" s="4">
        <v>39282</v>
      </c>
      <c r="B2393" s="5">
        <v>373.5</v>
      </c>
      <c r="D2393" s="4">
        <v>35264</v>
      </c>
      <c r="E2393" s="6">
        <v>19.95</v>
      </c>
    </row>
    <row r="2394" spans="1:5" x14ac:dyDescent="0.25">
      <c r="A2394" s="4">
        <v>39283</v>
      </c>
      <c r="B2394" s="5">
        <v>371.5</v>
      </c>
      <c r="D2394" s="4">
        <v>35265</v>
      </c>
      <c r="E2394" s="6">
        <v>19.45</v>
      </c>
    </row>
    <row r="2395" spans="1:5" x14ac:dyDescent="0.25">
      <c r="A2395" s="4">
        <v>39286</v>
      </c>
      <c r="B2395" s="5">
        <v>369</v>
      </c>
      <c r="D2395" s="4">
        <v>35268</v>
      </c>
      <c r="E2395" s="6">
        <v>19.23</v>
      </c>
    </row>
    <row r="2396" spans="1:5" x14ac:dyDescent="0.25">
      <c r="A2396" s="4">
        <v>39287</v>
      </c>
      <c r="B2396" s="5">
        <v>360.5</v>
      </c>
      <c r="D2396" s="4">
        <v>35269</v>
      </c>
      <c r="E2396" s="6">
        <v>19.5</v>
      </c>
    </row>
    <row r="2397" spans="1:5" x14ac:dyDescent="0.25">
      <c r="A2397" s="4">
        <v>39288</v>
      </c>
      <c r="B2397" s="5">
        <v>363.5</v>
      </c>
      <c r="D2397" s="4">
        <v>35270</v>
      </c>
      <c r="E2397" s="6">
        <v>19.36</v>
      </c>
    </row>
    <row r="2398" spans="1:5" x14ac:dyDescent="0.25">
      <c r="A2398" s="4">
        <v>39289</v>
      </c>
      <c r="B2398" s="5">
        <v>375</v>
      </c>
      <c r="D2398" s="4">
        <v>35271</v>
      </c>
      <c r="E2398" s="6">
        <v>19.5</v>
      </c>
    </row>
    <row r="2399" spans="1:5" x14ac:dyDescent="0.25">
      <c r="A2399" s="4">
        <v>39290</v>
      </c>
      <c r="B2399" s="5">
        <v>371</v>
      </c>
      <c r="D2399" s="4">
        <v>35272</v>
      </c>
      <c r="E2399" s="6">
        <v>18.920000000000002</v>
      </c>
    </row>
    <row r="2400" spans="1:5" x14ac:dyDescent="0.25">
      <c r="A2400" s="4">
        <v>39293</v>
      </c>
      <c r="B2400" s="5">
        <v>368.5</v>
      </c>
      <c r="D2400" s="4">
        <v>35275</v>
      </c>
      <c r="E2400" s="6">
        <v>18.989999999999998</v>
      </c>
    </row>
    <row r="2401" spans="1:5" x14ac:dyDescent="0.25">
      <c r="A2401" s="4">
        <v>39294</v>
      </c>
      <c r="B2401" s="5">
        <v>370.5</v>
      </c>
      <c r="D2401" s="4">
        <v>35276</v>
      </c>
      <c r="E2401" s="6">
        <v>18.899999999999999</v>
      </c>
    </row>
    <row r="2402" spans="1:5" x14ac:dyDescent="0.25">
      <c r="A2402" s="4">
        <v>39295</v>
      </c>
      <c r="B2402" s="5">
        <v>375.75</v>
      </c>
      <c r="D2402" s="4">
        <v>35277</v>
      </c>
      <c r="E2402" s="6">
        <v>19</v>
      </c>
    </row>
    <row r="2403" spans="1:5" x14ac:dyDescent="0.25">
      <c r="A2403" s="4">
        <v>39296</v>
      </c>
      <c r="B2403" s="5">
        <v>375.5</v>
      </c>
      <c r="D2403" s="4">
        <v>35278</v>
      </c>
      <c r="E2403" s="6">
        <v>18.84</v>
      </c>
    </row>
    <row r="2404" spans="1:5" x14ac:dyDescent="0.25">
      <c r="A2404" s="4">
        <v>39297</v>
      </c>
      <c r="B2404" s="5">
        <v>372.75</v>
      </c>
      <c r="D2404" s="4">
        <v>35279</v>
      </c>
      <c r="E2404" s="6">
        <v>19.63</v>
      </c>
    </row>
    <row r="2405" spans="1:5" x14ac:dyDescent="0.25">
      <c r="A2405" s="4">
        <v>39300</v>
      </c>
      <c r="B2405" s="5">
        <v>363.5</v>
      </c>
      <c r="D2405" s="4">
        <v>35282</v>
      </c>
      <c r="E2405" s="6">
        <v>19.649999999999999</v>
      </c>
    </row>
    <row r="2406" spans="1:5" x14ac:dyDescent="0.25">
      <c r="A2406" s="4">
        <v>39301</v>
      </c>
      <c r="B2406" s="5">
        <v>349</v>
      </c>
      <c r="D2406" s="4">
        <v>35283</v>
      </c>
      <c r="E2406" s="6">
        <v>19.45</v>
      </c>
    </row>
    <row r="2407" spans="1:5" x14ac:dyDescent="0.25">
      <c r="A2407" s="4">
        <v>39302</v>
      </c>
      <c r="B2407" s="5">
        <v>349.5</v>
      </c>
      <c r="D2407" s="4">
        <v>35284</v>
      </c>
      <c r="E2407" s="6">
        <v>19.48</v>
      </c>
    </row>
    <row r="2408" spans="1:5" x14ac:dyDescent="0.25">
      <c r="A2408" s="4">
        <v>39303</v>
      </c>
      <c r="B2408" s="5">
        <v>343.5</v>
      </c>
      <c r="D2408" s="4">
        <v>35285</v>
      </c>
      <c r="E2408" s="6">
        <v>20.03</v>
      </c>
    </row>
    <row r="2409" spans="1:5" x14ac:dyDescent="0.25">
      <c r="A2409" s="4">
        <v>39304</v>
      </c>
      <c r="B2409" s="5">
        <v>338.5</v>
      </c>
      <c r="D2409" s="4">
        <v>35286</v>
      </c>
      <c r="E2409" s="6">
        <v>20.05</v>
      </c>
    </row>
    <row r="2410" spans="1:5" x14ac:dyDescent="0.25">
      <c r="A2410" s="4">
        <v>39307</v>
      </c>
      <c r="B2410" s="5">
        <v>348.5</v>
      </c>
      <c r="D2410" s="4">
        <v>35289</v>
      </c>
      <c r="E2410" s="6">
        <v>20.65</v>
      </c>
    </row>
    <row r="2411" spans="1:5" x14ac:dyDescent="0.25">
      <c r="A2411" s="4">
        <v>39308</v>
      </c>
      <c r="B2411" s="5">
        <v>341.25</v>
      </c>
      <c r="D2411" s="4">
        <v>35290</v>
      </c>
      <c r="E2411" s="6">
        <v>21.03</v>
      </c>
    </row>
    <row r="2412" spans="1:5" x14ac:dyDescent="0.25">
      <c r="A2412" s="4">
        <v>39309</v>
      </c>
      <c r="B2412" s="5">
        <v>346.75</v>
      </c>
      <c r="D2412" s="4">
        <v>35291</v>
      </c>
      <c r="E2412" s="6">
        <v>20.9</v>
      </c>
    </row>
    <row r="2413" spans="1:5" x14ac:dyDescent="0.25">
      <c r="A2413" s="4">
        <v>39310</v>
      </c>
      <c r="B2413" s="5">
        <v>340</v>
      </c>
      <c r="D2413" s="4">
        <v>35292</v>
      </c>
      <c r="E2413" s="6">
        <v>20.88</v>
      </c>
    </row>
    <row r="2414" spans="1:5" x14ac:dyDescent="0.25">
      <c r="A2414" s="4">
        <v>39311</v>
      </c>
      <c r="B2414" s="5">
        <v>340</v>
      </c>
      <c r="D2414" s="4">
        <v>35293</v>
      </c>
      <c r="E2414" s="6">
        <v>21.3</v>
      </c>
    </row>
    <row r="2415" spans="1:5" x14ac:dyDescent="0.25">
      <c r="A2415" s="4">
        <v>39314</v>
      </c>
      <c r="B2415" s="5">
        <v>334.5</v>
      </c>
      <c r="D2415" s="4">
        <v>35296</v>
      </c>
      <c r="E2415" s="6">
        <v>21.58</v>
      </c>
    </row>
    <row r="2416" spans="1:5" x14ac:dyDescent="0.25">
      <c r="A2416" s="4">
        <v>39315</v>
      </c>
      <c r="B2416" s="5">
        <v>334</v>
      </c>
      <c r="D2416" s="4">
        <v>35297</v>
      </c>
      <c r="E2416" s="6">
        <v>21.35</v>
      </c>
    </row>
    <row r="2417" spans="1:5" x14ac:dyDescent="0.25">
      <c r="A2417" s="4">
        <v>39316</v>
      </c>
      <c r="B2417" s="5">
        <v>332</v>
      </c>
      <c r="D2417" s="4">
        <v>35298</v>
      </c>
      <c r="E2417" s="6">
        <v>20.8</v>
      </c>
    </row>
    <row r="2418" spans="1:5" x14ac:dyDescent="0.25">
      <c r="A2418" s="4">
        <v>39317</v>
      </c>
      <c r="B2418" s="5">
        <v>331</v>
      </c>
      <c r="D2418" s="4">
        <v>35299</v>
      </c>
      <c r="E2418" s="6">
        <v>21.25</v>
      </c>
    </row>
    <row r="2419" spans="1:5" x14ac:dyDescent="0.25">
      <c r="A2419" s="4">
        <v>39318</v>
      </c>
      <c r="B2419" s="5">
        <v>333</v>
      </c>
      <c r="D2419" s="4">
        <v>35300</v>
      </c>
      <c r="E2419" s="6">
        <v>20.78</v>
      </c>
    </row>
    <row r="2420" spans="1:5" x14ac:dyDescent="0.25">
      <c r="A2420" s="4">
        <v>39322</v>
      </c>
      <c r="B2420" s="5">
        <v>336</v>
      </c>
      <c r="D2420" s="4">
        <v>35303</v>
      </c>
      <c r="E2420" s="5"/>
    </row>
    <row r="2421" spans="1:5" x14ac:dyDescent="0.25">
      <c r="A2421" s="4">
        <v>39323</v>
      </c>
      <c r="B2421" s="5">
        <v>340</v>
      </c>
      <c r="D2421" s="4">
        <v>35304</v>
      </c>
      <c r="E2421" s="6">
        <v>20.45</v>
      </c>
    </row>
    <row r="2422" spans="1:5" x14ac:dyDescent="0.25">
      <c r="A2422" s="4">
        <v>39324</v>
      </c>
      <c r="B2422" s="5">
        <v>346</v>
      </c>
      <c r="D2422" s="4">
        <v>35305</v>
      </c>
      <c r="E2422" s="6">
        <v>20.68</v>
      </c>
    </row>
    <row r="2423" spans="1:5" x14ac:dyDescent="0.25">
      <c r="A2423" s="4">
        <v>39325</v>
      </c>
      <c r="B2423" s="5">
        <v>351</v>
      </c>
      <c r="D2423" s="4">
        <v>35306</v>
      </c>
      <c r="E2423" s="6">
        <v>21</v>
      </c>
    </row>
    <row r="2424" spans="1:5" x14ac:dyDescent="0.25">
      <c r="A2424" s="4">
        <v>39328</v>
      </c>
      <c r="B2424" s="5">
        <v>359.5</v>
      </c>
      <c r="D2424" s="4">
        <v>35307</v>
      </c>
      <c r="E2424" s="6">
        <v>20.98</v>
      </c>
    </row>
    <row r="2425" spans="1:5" x14ac:dyDescent="0.25">
      <c r="A2425" s="4">
        <v>39329</v>
      </c>
      <c r="B2425" s="5">
        <v>364.5</v>
      </c>
      <c r="D2425" s="4">
        <v>35310</v>
      </c>
      <c r="E2425" s="6">
        <v>22.23</v>
      </c>
    </row>
    <row r="2426" spans="1:5" x14ac:dyDescent="0.25">
      <c r="A2426" s="4">
        <v>39330</v>
      </c>
      <c r="B2426" s="5">
        <v>359.5</v>
      </c>
      <c r="D2426" s="4">
        <v>35311</v>
      </c>
      <c r="E2426" s="6">
        <v>21.9</v>
      </c>
    </row>
    <row r="2427" spans="1:5" x14ac:dyDescent="0.25">
      <c r="A2427" s="4">
        <v>39331</v>
      </c>
      <c r="B2427" s="5">
        <v>361.5</v>
      </c>
      <c r="D2427" s="4">
        <v>35312</v>
      </c>
      <c r="E2427" s="6">
        <v>22.2</v>
      </c>
    </row>
    <row r="2428" spans="1:5" x14ac:dyDescent="0.25">
      <c r="A2428" s="4">
        <v>39332</v>
      </c>
      <c r="B2428" s="5">
        <v>356</v>
      </c>
      <c r="D2428" s="4">
        <v>35313</v>
      </c>
      <c r="E2428" s="6">
        <v>22.15</v>
      </c>
    </row>
    <row r="2429" spans="1:5" x14ac:dyDescent="0.25">
      <c r="A2429" s="4">
        <v>39335</v>
      </c>
      <c r="B2429" s="5">
        <v>354.5</v>
      </c>
      <c r="D2429" s="4">
        <v>35314</v>
      </c>
      <c r="E2429" s="6">
        <v>22.43</v>
      </c>
    </row>
    <row r="2430" spans="1:5" x14ac:dyDescent="0.25">
      <c r="A2430" s="4">
        <v>39336</v>
      </c>
      <c r="B2430" s="5">
        <v>359.5</v>
      </c>
      <c r="D2430" s="4">
        <v>35317</v>
      </c>
      <c r="E2430" s="6">
        <v>22.25</v>
      </c>
    </row>
    <row r="2431" spans="1:5" x14ac:dyDescent="0.25">
      <c r="A2431" s="4">
        <v>39337</v>
      </c>
      <c r="B2431" s="5">
        <v>364</v>
      </c>
      <c r="D2431" s="4">
        <v>35318</v>
      </c>
      <c r="E2431" s="6">
        <v>22.68</v>
      </c>
    </row>
    <row r="2432" spans="1:5" x14ac:dyDescent="0.25">
      <c r="A2432" s="4">
        <v>39338</v>
      </c>
      <c r="B2432" s="5">
        <v>369</v>
      </c>
      <c r="D2432" s="4">
        <v>35319</v>
      </c>
      <c r="E2432" s="6">
        <v>23.3</v>
      </c>
    </row>
    <row r="2433" spans="1:5" x14ac:dyDescent="0.25">
      <c r="A2433" s="4">
        <v>39339</v>
      </c>
      <c r="B2433" s="5">
        <v>368.5</v>
      </c>
      <c r="D2433" s="4">
        <v>35320</v>
      </c>
      <c r="E2433" s="6">
        <v>23.35</v>
      </c>
    </row>
    <row r="2434" spans="1:5" x14ac:dyDescent="0.25">
      <c r="A2434" s="4">
        <v>39342</v>
      </c>
      <c r="B2434" s="5">
        <v>368.5</v>
      </c>
      <c r="D2434" s="4">
        <v>35321</v>
      </c>
      <c r="E2434" s="6">
        <v>23.83</v>
      </c>
    </row>
    <row r="2435" spans="1:5" x14ac:dyDescent="0.25">
      <c r="A2435" s="4">
        <v>39343</v>
      </c>
      <c r="B2435" s="5">
        <v>369</v>
      </c>
      <c r="D2435" s="4">
        <v>35324</v>
      </c>
      <c r="E2435" s="6">
        <v>22.6</v>
      </c>
    </row>
    <row r="2436" spans="1:5" x14ac:dyDescent="0.25">
      <c r="A2436" s="4">
        <v>39344</v>
      </c>
      <c r="B2436" s="5">
        <v>375.5</v>
      </c>
      <c r="D2436" s="4">
        <v>35325</v>
      </c>
      <c r="E2436" s="6">
        <v>21.7</v>
      </c>
    </row>
    <row r="2437" spans="1:5" x14ac:dyDescent="0.25">
      <c r="A2437" s="4">
        <v>39345</v>
      </c>
      <c r="B2437" s="5">
        <v>377.5</v>
      </c>
      <c r="D2437" s="4">
        <v>35326</v>
      </c>
      <c r="E2437" s="6">
        <v>22.38</v>
      </c>
    </row>
    <row r="2438" spans="1:5" x14ac:dyDescent="0.25">
      <c r="A2438" s="4">
        <v>39346</v>
      </c>
      <c r="B2438" s="5">
        <v>382</v>
      </c>
      <c r="D2438" s="4">
        <v>35327</v>
      </c>
      <c r="E2438" s="6">
        <v>22.08</v>
      </c>
    </row>
    <row r="2439" spans="1:5" x14ac:dyDescent="0.25">
      <c r="A2439" s="4">
        <v>39349</v>
      </c>
      <c r="B2439" s="5">
        <v>380</v>
      </c>
      <c r="D2439" s="4">
        <v>35328</v>
      </c>
      <c r="E2439" s="6">
        <v>21.78</v>
      </c>
    </row>
    <row r="2440" spans="1:5" x14ac:dyDescent="0.25">
      <c r="A2440" s="4">
        <v>39350</v>
      </c>
      <c r="B2440" s="5">
        <v>373.75</v>
      </c>
      <c r="D2440" s="4">
        <v>35331</v>
      </c>
      <c r="E2440" s="6">
        <v>22.15</v>
      </c>
    </row>
    <row r="2441" spans="1:5" x14ac:dyDescent="0.25">
      <c r="A2441" s="4">
        <v>39351</v>
      </c>
      <c r="B2441" s="5">
        <v>371</v>
      </c>
      <c r="D2441" s="4">
        <v>35332</v>
      </c>
      <c r="E2441" s="6">
        <v>22.78</v>
      </c>
    </row>
    <row r="2442" spans="1:5" x14ac:dyDescent="0.25">
      <c r="A2442" s="4">
        <v>39352</v>
      </c>
      <c r="B2442" s="5">
        <v>376.5</v>
      </c>
      <c r="D2442" s="4">
        <v>35333</v>
      </c>
      <c r="E2442" s="6">
        <v>23.05</v>
      </c>
    </row>
    <row r="2443" spans="1:5" x14ac:dyDescent="0.25">
      <c r="A2443" s="4">
        <v>39353</v>
      </c>
      <c r="B2443" s="5">
        <v>385</v>
      </c>
      <c r="D2443" s="4">
        <v>35334</v>
      </c>
      <c r="E2443" s="6">
        <v>23.35</v>
      </c>
    </row>
    <row r="2444" spans="1:5" x14ac:dyDescent="0.25">
      <c r="A2444" s="4">
        <v>39356</v>
      </c>
      <c r="B2444" s="5">
        <v>377</v>
      </c>
      <c r="D2444" s="4">
        <v>35335</v>
      </c>
      <c r="E2444" s="6">
        <v>22.9</v>
      </c>
    </row>
    <row r="2445" spans="1:5" x14ac:dyDescent="0.25">
      <c r="A2445" s="4">
        <v>39357</v>
      </c>
      <c r="B2445" s="5">
        <v>375</v>
      </c>
      <c r="D2445" s="4">
        <v>35338</v>
      </c>
      <c r="E2445" s="6">
        <v>24.15</v>
      </c>
    </row>
    <row r="2446" spans="1:5" x14ac:dyDescent="0.25">
      <c r="A2446" s="4">
        <v>39358</v>
      </c>
      <c r="B2446" s="5">
        <v>379.5</v>
      </c>
      <c r="D2446" s="4">
        <v>35339</v>
      </c>
      <c r="E2446" s="6">
        <v>23.18</v>
      </c>
    </row>
    <row r="2447" spans="1:5" x14ac:dyDescent="0.25">
      <c r="A2447" s="4">
        <v>39359</v>
      </c>
      <c r="B2447" s="5">
        <v>377.5</v>
      </c>
      <c r="D2447" s="4">
        <v>35340</v>
      </c>
      <c r="E2447" s="6">
        <v>23.13</v>
      </c>
    </row>
    <row r="2448" spans="1:5" x14ac:dyDescent="0.25">
      <c r="A2448" s="4">
        <v>39360</v>
      </c>
      <c r="B2448" s="5">
        <v>386</v>
      </c>
      <c r="D2448" s="4">
        <v>35341</v>
      </c>
      <c r="E2448" s="6">
        <v>23.63</v>
      </c>
    </row>
    <row r="2449" spans="1:5" x14ac:dyDescent="0.25">
      <c r="A2449" s="4">
        <v>39363</v>
      </c>
      <c r="B2449" s="5">
        <v>377.75</v>
      </c>
      <c r="D2449" s="4">
        <v>35342</v>
      </c>
      <c r="E2449" s="6">
        <v>23.88</v>
      </c>
    </row>
    <row r="2450" spans="1:5" x14ac:dyDescent="0.25">
      <c r="A2450" s="4">
        <v>39364</v>
      </c>
      <c r="B2450" s="5">
        <v>378</v>
      </c>
      <c r="D2450" s="4">
        <v>35345</v>
      </c>
      <c r="E2450" s="6">
        <v>24.28</v>
      </c>
    </row>
    <row r="2451" spans="1:5" x14ac:dyDescent="0.25">
      <c r="A2451" s="4">
        <v>39365</v>
      </c>
      <c r="B2451" s="5">
        <v>382.5</v>
      </c>
      <c r="D2451" s="4">
        <v>35346</v>
      </c>
      <c r="E2451" s="6">
        <v>24.55</v>
      </c>
    </row>
    <row r="2452" spans="1:5" x14ac:dyDescent="0.25">
      <c r="A2452" s="4">
        <v>39366</v>
      </c>
      <c r="B2452" s="5">
        <v>395.5</v>
      </c>
      <c r="D2452" s="4">
        <v>35347</v>
      </c>
      <c r="E2452" s="6">
        <v>24.58</v>
      </c>
    </row>
    <row r="2453" spans="1:5" x14ac:dyDescent="0.25">
      <c r="A2453" s="4">
        <v>39367</v>
      </c>
      <c r="B2453" s="5">
        <v>397</v>
      </c>
      <c r="D2453" s="4">
        <v>35348</v>
      </c>
      <c r="E2453" s="6">
        <v>23.63</v>
      </c>
    </row>
    <row r="2454" spans="1:5" x14ac:dyDescent="0.25">
      <c r="A2454" s="4">
        <v>39370</v>
      </c>
      <c r="B2454" s="5">
        <v>410</v>
      </c>
      <c r="D2454" s="4">
        <v>35349</v>
      </c>
      <c r="E2454" s="6">
        <v>23.85</v>
      </c>
    </row>
    <row r="2455" spans="1:5" x14ac:dyDescent="0.25">
      <c r="A2455" s="4">
        <v>39371</v>
      </c>
      <c r="B2455" s="5">
        <v>426.5</v>
      </c>
      <c r="D2455" s="4">
        <v>35352</v>
      </c>
      <c r="E2455" s="6">
        <v>24.75</v>
      </c>
    </row>
    <row r="2456" spans="1:5" x14ac:dyDescent="0.25">
      <c r="A2456" s="4">
        <v>39372</v>
      </c>
      <c r="B2456" s="5">
        <v>427.5</v>
      </c>
      <c r="D2456" s="4">
        <v>35353</v>
      </c>
      <c r="E2456" s="6">
        <v>24.58</v>
      </c>
    </row>
    <row r="2457" spans="1:5" x14ac:dyDescent="0.25">
      <c r="A2457" s="4">
        <v>39373</v>
      </c>
      <c r="B2457" s="5">
        <v>427.5</v>
      </c>
      <c r="D2457" s="4">
        <v>35354</v>
      </c>
      <c r="E2457" s="6">
        <v>24.5</v>
      </c>
    </row>
    <row r="2458" spans="1:5" x14ac:dyDescent="0.25">
      <c r="A2458" s="4">
        <v>39374</v>
      </c>
      <c r="B2458" s="5">
        <v>425</v>
      </c>
      <c r="D2458" s="4">
        <v>35355</v>
      </c>
      <c r="E2458" s="6">
        <v>24.83</v>
      </c>
    </row>
    <row r="2459" spans="1:5" x14ac:dyDescent="0.25">
      <c r="A2459" s="4">
        <v>39377</v>
      </c>
      <c r="B2459" s="5">
        <v>415</v>
      </c>
      <c r="D2459" s="4">
        <v>35356</v>
      </c>
      <c r="E2459" s="6">
        <v>25.18</v>
      </c>
    </row>
    <row r="2460" spans="1:5" x14ac:dyDescent="0.25">
      <c r="A2460" s="4">
        <v>39378</v>
      </c>
      <c r="B2460" s="5">
        <v>418.5</v>
      </c>
      <c r="D2460" s="4">
        <v>35359</v>
      </c>
      <c r="E2460" s="6">
        <v>25.08</v>
      </c>
    </row>
    <row r="2461" spans="1:5" x14ac:dyDescent="0.25">
      <c r="A2461" s="4">
        <v>39379</v>
      </c>
      <c r="B2461" s="5">
        <v>427</v>
      </c>
      <c r="D2461" s="4">
        <v>35360</v>
      </c>
      <c r="E2461" s="6">
        <v>25.4</v>
      </c>
    </row>
    <row r="2462" spans="1:5" x14ac:dyDescent="0.25">
      <c r="A2462" s="4">
        <v>39380</v>
      </c>
      <c r="B2462" s="5">
        <v>440</v>
      </c>
      <c r="D2462" s="4">
        <v>35361</v>
      </c>
      <c r="E2462" s="6">
        <v>24.6</v>
      </c>
    </row>
    <row r="2463" spans="1:5" x14ac:dyDescent="0.25">
      <c r="A2463" s="4">
        <v>39381</v>
      </c>
      <c r="B2463" s="5">
        <v>449</v>
      </c>
      <c r="D2463" s="4">
        <v>35362</v>
      </c>
      <c r="E2463" s="6">
        <v>24.28</v>
      </c>
    </row>
    <row r="2464" spans="1:5" x14ac:dyDescent="0.25">
      <c r="A2464" s="4">
        <v>39384</v>
      </c>
      <c r="B2464" s="5">
        <v>458.25</v>
      </c>
      <c r="D2464" s="4">
        <v>35363</v>
      </c>
      <c r="E2464" s="6">
        <v>24.13</v>
      </c>
    </row>
    <row r="2465" spans="1:5" x14ac:dyDescent="0.25">
      <c r="A2465" s="4">
        <v>39385</v>
      </c>
      <c r="B2465" s="5">
        <v>458</v>
      </c>
      <c r="D2465" s="4">
        <v>35366</v>
      </c>
      <c r="E2465" s="6">
        <v>24.45</v>
      </c>
    </row>
    <row r="2466" spans="1:5" x14ac:dyDescent="0.25">
      <c r="A2466" s="4">
        <v>39386</v>
      </c>
      <c r="B2466" s="5">
        <v>467</v>
      </c>
      <c r="D2466" s="4">
        <v>35367</v>
      </c>
      <c r="E2466" s="6">
        <v>23.3</v>
      </c>
    </row>
    <row r="2467" spans="1:5" x14ac:dyDescent="0.25">
      <c r="A2467" s="4">
        <v>39387</v>
      </c>
      <c r="B2467" s="5">
        <v>467</v>
      </c>
      <c r="D2467" s="4">
        <v>35368</v>
      </c>
      <c r="E2467" s="6">
        <v>23.15</v>
      </c>
    </row>
    <row r="2468" spans="1:5" x14ac:dyDescent="0.25">
      <c r="A2468" s="4">
        <v>39388</v>
      </c>
      <c r="B2468" s="5">
        <v>479.75</v>
      </c>
      <c r="D2468" s="4">
        <v>35369</v>
      </c>
      <c r="E2468" s="6">
        <v>22.8</v>
      </c>
    </row>
    <row r="2469" spans="1:5" x14ac:dyDescent="0.25">
      <c r="A2469" s="4">
        <v>39391</v>
      </c>
      <c r="B2469" s="5">
        <v>484.5</v>
      </c>
      <c r="D2469" s="4">
        <v>35370</v>
      </c>
      <c r="E2469" s="6">
        <v>22.3</v>
      </c>
    </row>
    <row r="2470" spans="1:5" x14ac:dyDescent="0.25">
      <c r="A2470" s="4">
        <v>39392</v>
      </c>
      <c r="B2470" s="5">
        <v>491.25</v>
      </c>
      <c r="D2470" s="4">
        <v>35373</v>
      </c>
      <c r="E2470" s="6">
        <v>22.1</v>
      </c>
    </row>
    <row r="2471" spans="1:5" x14ac:dyDescent="0.25">
      <c r="A2471" s="4">
        <v>39393</v>
      </c>
      <c r="B2471" s="5">
        <v>496.25</v>
      </c>
      <c r="D2471" s="4">
        <v>35374</v>
      </c>
      <c r="E2471" s="6">
        <v>21.85</v>
      </c>
    </row>
    <row r="2472" spans="1:5" x14ac:dyDescent="0.25">
      <c r="A2472" s="4">
        <v>39394</v>
      </c>
      <c r="B2472" s="5">
        <v>494.5</v>
      </c>
      <c r="D2472" s="4">
        <v>35375</v>
      </c>
      <c r="E2472" s="6">
        <v>21.85</v>
      </c>
    </row>
    <row r="2473" spans="1:5" x14ac:dyDescent="0.25">
      <c r="A2473" s="4">
        <v>39395</v>
      </c>
      <c r="B2473" s="5">
        <v>483.5</v>
      </c>
      <c r="D2473" s="4">
        <v>35376</v>
      </c>
      <c r="E2473" s="6">
        <v>21.75</v>
      </c>
    </row>
    <row r="2474" spans="1:5" x14ac:dyDescent="0.25">
      <c r="A2474" s="4">
        <v>39398</v>
      </c>
      <c r="B2474" s="5">
        <v>479</v>
      </c>
      <c r="D2474" s="4">
        <v>35377</v>
      </c>
      <c r="E2474" s="6">
        <v>22.4</v>
      </c>
    </row>
    <row r="2475" spans="1:5" x14ac:dyDescent="0.25">
      <c r="A2475" s="4">
        <v>39399</v>
      </c>
      <c r="B2475" s="5">
        <v>465</v>
      </c>
      <c r="D2475" s="4">
        <v>35380</v>
      </c>
      <c r="E2475" s="6">
        <v>22.7</v>
      </c>
    </row>
    <row r="2476" spans="1:5" x14ac:dyDescent="0.25">
      <c r="A2476" s="4">
        <v>39400</v>
      </c>
      <c r="B2476" s="5">
        <v>462</v>
      </c>
      <c r="D2476" s="4">
        <v>35381</v>
      </c>
      <c r="E2476" s="6">
        <v>22.38</v>
      </c>
    </row>
    <row r="2477" spans="1:5" x14ac:dyDescent="0.25">
      <c r="A2477" s="4">
        <v>39401</v>
      </c>
      <c r="B2477" s="5">
        <v>453</v>
      </c>
      <c r="D2477" s="4">
        <v>35382</v>
      </c>
      <c r="E2477" s="6">
        <v>22.88</v>
      </c>
    </row>
    <row r="2478" spans="1:5" x14ac:dyDescent="0.25">
      <c r="A2478" s="4">
        <v>39402</v>
      </c>
      <c r="B2478" s="5">
        <v>460.5</v>
      </c>
      <c r="D2478" s="4">
        <v>35383</v>
      </c>
      <c r="E2478" s="6">
        <v>23.18</v>
      </c>
    </row>
    <row r="2479" spans="1:5" x14ac:dyDescent="0.25">
      <c r="A2479" s="4">
        <v>39405</v>
      </c>
      <c r="B2479" s="5">
        <v>462</v>
      </c>
      <c r="D2479" s="4">
        <v>35384</v>
      </c>
      <c r="E2479" s="6">
        <v>23.28</v>
      </c>
    </row>
    <row r="2480" spans="1:5" x14ac:dyDescent="0.25">
      <c r="A2480" s="4">
        <v>39406</v>
      </c>
      <c r="B2480" s="5">
        <v>475.5</v>
      </c>
      <c r="D2480" s="4">
        <v>35387</v>
      </c>
      <c r="E2480" s="6">
        <v>22.75</v>
      </c>
    </row>
    <row r="2481" spans="1:5" x14ac:dyDescent="0.25">
      <c r="A2481" s="4">
        <v>39407</v>
      </c>
      <c r="B2481" s="5">
        <v>477</v>
      </c>
      <c r="D2481" s="4">
        <v>35388</v>
      </c>
      <c r="E2481" s="6">
        <v>23.13</v>
      </c>
    </row>
    <row r="2482" spans="1:5" x14ac:dyDescent="0.25">
      <c r="A2482" s="4">
        <v>39408</v>
      </c>
      <c r="B2482" s="5">
        <v>470</v>
      </c>
      <c r="D2482" s="4">
        <v>35389</v>
      </c>
      <c r="E2482" s="6">
        <v>23.4</v>
      </c>
    </row>
    <row r="2483" spans="1:5" x14ac:dyDescent="0.25">
      <c r="A2483" s="4">
        <v>39409</v>
      </c>
      <c r="B2483" s="5">
        <v>456</v>
      </c>
      <c r="D2483" s="4">
        <v>35390</v>
      </c>
      <c r="E2483" s="6">
        <v>22.9</v>
      </c>
    </row>
    <row r="2484" spans="1:5" x14ac:dyDescent="0.25">
      <c r="A2484" s="4">
        <v>39412</v>
      </c>
      <c r="B2484" s="5">
        <v>460</v>
      </c>
      <c r="D2484" s="4">
        <v>35391</v>
      </c>
      <c r="E2484" s="6">
        <v>23.86</v>
      </c>
    </row>
    <row r="2485" spans="1:5" x14ac:dyDescent="0.25">
      <c r="A2485" s="4">
        <v>39413</v>
      </c>
      <c r="B2485" s="5">
        <v>458</v>
      </c>
      <c r="D2485" s="4">
        <v>35394</v>
      </c>
      <c r="E2485" s="6">
        <v>23.22</v>
      </c>
    </row>
    <row r="2486" spans="1:5" x14ac:dyDescent="0.25">
      <c r="A2486" s="4">
        <v>39414</v>
      </c>
      <c r="B2486" s="5">
        <v>446</v>
      </c>
      <c r="D2486" s="4">
        <v>35395</v>
      </c>
      <c r="E2486" s="6">
        <v>22.78</v>
      </c>
    </row>
    <row r="2487" spans="1:5" x14ac:dyDescent="0.25">
      <c r="A2487" s="4">
        <v>39415</v>
      </c>
      <c r="B2487" s="5">
        <v>441</v>
      </c>
      <c r="D2487" s="4">
        <v>35396</v>
      </c>
      <c r="E2487" s="6">
        <v>23.07</v>
      </c>
    </row>
    <row r="2488" spans="1:5" x14ac:dyDescent="0.25">
      <c r="A2488" s="4">
        <v>39416</v>
      </c>
      <c r="B2488" s="5">
        <v>422</v>
      </c>
      <c r="D2488" s="4">
        <v>35397</v>
      </c>
      <c r="E2488" s="6">
        <v>23</v>
      </c>
    </row>
    <row r="2489" spans="1:5" x14ac:dyDescent="0.25">
      <c r="A2489" s="4">
        <v>39419</v>
      </c>
      <c r="B2489" s="5">
        <v>424</v>
      </c>
      <c r="D2489" s="4">
        <v>35398</v>
      </c>
      <c r="E2489" s="6">
        <v>23.17</v>
      </c>
    </row>
    <row r="2490" spans="1:5" x14ac:dyDescent="0.25">
      <c r="A2490" s="4">
        <v>39420</v>
      </c>
      <c r="B2490" s="5">
        <v>433</v>
      </c>
      <c r="D2490" s="4">
        <v>35401</v>
      </c>
      <c r="E2490" s="6">
        <v>23.5</v>
      </c>
    </row>
    <row r="2491" spans="1:5" x14ac:dyDescent="0.25">
      <c r="A2491" s="4">
        <v>39421</v>
      </c>
      <c r="B2491" s="5">
        <v>437</v>
      </c>
      <c r="D2491" s="4">
        <v>35402</v>
      </c>
      <c r="E2491" s="6">
        <v>24.12</v>
      </c>
    </row>
    <row r="2492" spans="1:5" x14ac:dyDescent="0.25">
      <c r="A2492" s="4">
        <v>39422</v>
      </c>
      <c r="B2492" s="5">
        <v>426.5</v>
      </c>
      <c r="D2492" s="4">
        <v>35403</v>
      </c>
      <c r="E2492" s="6">
        <v>24.21</v>
      </c>
    </row>
    <row r="2493" spans="1:5" x14ac:dyDescent="0.25">
      <c r="A2493" s="4">
        <v>39423</v>
      </c>
      <c r="B2493" s="5">
        <v>425</v>
      </c>
      <c r="D2493" s="4">
        <v>35404</v>
      </c>
      <c r="E2493" s="6">
        <v>24.49</v>
      </c>
    </row>
    <row r="2494" spans="1:5" x14ac:dyDescent="0.25">
      <c r="A2494" s="4">
        <v>39426</v>
      </c>
      <c r="B2494" s="5">
        <v>424</v>
      </c>
      <c r="D2494" s="4">
        <v>35405</v>
      </c>
      <c r="E2494" s="6">
        <v>24.56</v>
      </c>
    </row>
    <row r="2495" spans="1:5" x14ac:dyDescent="0.25">
      <c r="A2495" s="4">
        <v>39427</v>
      </c>
      <c r="B2495" s="5">
        <v>424</v>
      </c>
      <c r="D2495" s="4">
        <v>35408</v>
      </c>
      <c r="E2495" s="6">
        <v>24.18</v>
      </c>
    </row>
    <row r="2496" spans="1:5" x14ac:dyDescent="0.25">
      <c r="A2496" s="4">
        <v>39428</v>
      </c>
      <c r="B2496" s="5">
        <v>436</v>
      </c>
      <c r="D2496" s="4">
        <v>35409</v>
      </c>
      <c r="E2496" s="6">
        <v>23.74</v>
      </c>
    </row>
    <row r="2497" spans="1:5" x14ac:dyDescent="0.25">
      <c r="A2497" s="4">
        <v>39429</v>
      </c>
      <c r="B2497" s="5">
        <v>446</v>
      </c>
      <c r="D2497" s="4">
        <v>35410</v>
      </c>
      <c r="E2497" s="6">
        <v>22.95</v>
      </c>
    </row>
    <row r="2498" spans="1:5" x14ac:dyDescent="0.25">
      <c r="A2498" s="4">
        <v>39430</v>
      </c>
      <c r="B2498" s="5">
        <v>443.5</v>
      </c>
      <c r="D2498" s="4">
        <v>35411</v>
      </c>
      <c r="E2498" s="6">
        <v>22.65</v>
      </c>
    </row>
    <row r="2499" spans="1:5" x14ac:dyDescent="0.25">
      <c r="A2499" s="4">
        <v>39433</v>
      </c>
      <c r="B2499" s="5">
        <v>442</v>
      </c>
      <c r="D2499" s="4">
        <v>35412</v>
      </c>
      <c r="E2499" s="6">
        <v>22.83</v>
      </c>
    </row>
    <row r="2500" spans="1:5" x14ac:dyDescent="0.25">
      <c r="A2500" s="4">
        <v>39434</v>
      </c>
      <c r="B2500" s="5">
        <v>445</v>
      </c>
      <c r="D2500" s="4">
        <v>35415</v>
      </c>
      <c r="E2500" s="6">
        <v>23.98</v>
      </c>
    </row>
    <row r="2501" spans="1:5" x14ac:dyDescent="0.25">
      <c r="A2501" s="4">
        <v>39435</v>
      </c>
      <c r="B2501" s="5">
        <v>444</v>
      </c>
      <c r="D2501" s="4">
        <v>35416</v>
      </c>
      <c r="E2501" s="6">
        <v>24.05</v>
      </c>
    </row>
    <row r="2502" spans="1:5" x14ac:dyDescent="0.25">
      <c r="A2502" s="4">
        <v>39436</v>
      </c>
      <c r="B2502" s="5">
        <v>442.5</v>
      </c>
      <c r="D2502" s="4">
        <v>35417</v>
      </c>
      <c r="E2502" s="6">
        <v>23.69</v>
      </c>
    </row>
    <row r="2503" spans="1:5" x14ac:dyDescent="0.25">
      <c r="A2503" s="4">
        <v>39437</v>
      </c>
      <c r="B2503" s="5">
        <v>436</v>
      </c>
      <c r="D2503" s="4">
        <v>35418</v>
      </c>
      <c r="E2503" s="6">
        <v>24.18</v>
      </c>
    </row>
    <row r="2504" spans="1:5" x14ac:dyDescent="0.25">
      <c r="A2504" s="4">
        <v>39440</v>
      </c>
      <c r="B2504" s="5">
        <v>439</v>
      </c>
      <c r="D2504" s="4">
        <v>35419</v>
      </c>
      <c r="E2504" s="6">
        <v>23.96</v>
      </c>
    </row>
    <row r="2505" spans="1:5" x14ac:dyDescent="0.25">
      <c r="A2505" s="4">
        <v>39449</v>
      </c>
      <c r="B2505" s="5">
        <v>469</v>
      </c>
      <c r="D2505" s="4">
        <v>35422</v>
      </c>
      <c r="E2505" s="6">
        <v>23.51</v>
      </c>
    </row>
    <row r="2506" spans="1:5" x14ac:dyDescent="0.25">
      <c r="A2506" s="4">
        <v>39450</v>
      </c>
      <c r="B2506" s="5">
        <v>473.5</v>
      </c>
      <c r="D2506" s="4">
        <v>35423</v>
      </c>
      <c r="E2506" s="6">
        <v>23.66</v>
      </c>
    </row>
    <row r="2507" spans="1:5" x14ac:dyDescent="0.25">
      <c r="A2507" s="4">
        <v>39451</v>
      </c>
      <c r="B2507" s="5">
        <v>466</v>
      </c>
      <c r="D2507" s="4">
        <v>35424</v>
      </c>
      <c r="E2507" s="5"/>
    </row>
    <row r="2508" spans="1:5" x14ac:dyDescent="0.25">
      <c r="A2508" s="4">
        <v>39454</v>
      </c>
      <c r="B2508" s="5">
        <v>453.5</v>
      </c>
      <c r="D2508" s="4">
        <v>35425</v>
      </c>
      <c r="E2508" s="5"/>
    </row>
    <row r="2509" spans="1:5" x14ac:dyDescent="0.25">
      <c r="A2509" s="4">
        <v>39455</v>
      </c>
      <c r="B2509" s="5">
        <v>459</v>
      </c>
      <c r="D2509" s="4">
        <v>35426</v>
      </c>
      <c r="E2509" s="6">
        <v>23.55</v>
      </c>
    </row>
    <row r="2510" spans="1:5" x14ac:dyDescent="0.25">
      <c r="A2510" s="4">
        <v>39456</v>
      </c>
      <c r="B2510" s="5">
        <v>456</v>
      </c>
      <c r="D2510" s="4">
        <v>35429</v>
      </c>
      <c r="E2510" s="6">
        <v>23.95</v>
      </c>
    </row>
    <row r="2511" spans="1:5" x14ac:dyDescent="0.25">
      <c r="A2511" s="4">
        <v>39457</v>
      </c>
      <c r="B2511" s="5">
        <v>436</v>
      </c>
      <c r="D2511" s="4">
        <v>35430</v>
      </c>
      <c r="E2511" s="6">
        <v>23.9</v>
      </c>
    </row>
    <row r="2512" spans="1:5" x14ac:dyDescent="0.25">
      <c r="A2512" s="4">
        <v>39458</v>
      </c>
      <c r="B2512" s="5">
        <v>429.5</v>
      </c>
      <c r="D2512" s="4">
        <v>35431</v>
      </c>
      <c r="E2512" s="5"/>
    </row>
    <row r="2513" spans="1:5" x14ac:dyDescent="0.25">
      <c r="A2513" s="4">
        <v>39461</v>
      </c>
      <c r="B2513" s="5">
        <v>439</v>
      </c>
      <c r="D2513" s="4">
        <v>35432</v>
      </c>
      <c r="E2513" s="6">
        <v>24.45</v>
      </c>
    </row>
    <row r="2514" spans="1:5" x14ac:dyDescent="0.25">
      <c r="A2514" s="4">
        <v>39462</v>
      </c>
      <c r="B2514" s="5">
        <v>435</v>
      </c>
      <c r="D2514" s="4">
        <v>35433</v>
      </c>
      <c r="E2514" s="6">
        <v>24.19</v>
      </c>
    </row>
    <row r="2515" spans="1:5" x14ac:dyDescent="0.25">
      <c r="A2515" s="4">
        <v>39463</v>
      </c>
      <c r="B2515" s="5">
        <v>420</v>
      </c>
      <c r="D2515" s="4">
        <v>35436</v>
      </c>
      <c r="E2515" s="6">
        <v>24.76</v>
      </c>
    </row>
    <row r="2516" spans="1:5" x14ac:dyDescent="0.25">
      <c r="A2516" s="4">
        <v>39464</v>
      </c>
      <c r="B2516" s="5">
        <v>419</v>
      </c>
      <c r="D2516" s="4">
        <v>35437</v>
      </c>
      <c r="E2516" s="6">
        <v>24.76</v>
      </c>
    </row>
    <row r="2517" spans="1:5" x14ac:dyDescent="0.25">
      <c r="A2517" s="4">
        <v>39465</v>
      </c>
      <c r="B2517" s="5">
        <v>419</v>
      </c>
      <c r="D2517" s="4">
        <v>35438</v>
      </c>
      <c r="E2517" s="6">
        <v>24.78</v>
      </c>
    </row>
    <row r="2518" spans="1:5" x14ac:dyDescent="0.25">
      <c r="A2518" s="4">
        <v>39468</v>
      </c>
      <c r="B2518" s="5">
        <v>414.5</v>
      </c>
      <c r="D2518" s="4">
        <v>35439</v>
      </c>
      <c r="E2518" s="6">
        <v>24.83</v>
      </c>
    </row>
    <row r="2519" spans="1:5" x14ac:dyDescent="0.25">
      <c r="A2519" s="4">
        <v>39469</v>
      </c>
      <c r="B2519" s="5">
        <v>411</v>
      </c>
      <c r="D2519" s="4">
        <v>35440</v>
      </c>
      <c r="E2519" s="6">
        <v>24.22</v>
      </c>
    </row>
    <row r="2520" spans="1:5" x14ac:dyDescent="0.25">
      <c r="A2520" s="4">
        <v>39470</v>
      </c>
      <c r="B2520" s="5">
        <v>410.25</v>
      </c>
      <c r="D2520" s="4">
        <v>35443</v>
      </c>
      <c r="E2520" s="6">
        <v>23.41</v>
      </c>
    </row>
    <row r="2521" spans="1:5" x14ac:dyDescent="0.25">
      <c r="A2521" s="4">
        <v>39471</v>
      </c>
      <c r="B2521" s="5">
        <v>413</v>
      </c>
      <c r="D2521" s="4">
        <v>35444</v>
      </c>
      <c r="E2521" s="5"/>
    </row>
    <row r="2522" spans="1:5" x14ac:dyDescent="0.25">
      <c r="A2522" s="4">
        <v>39472</v>
      </c>
      <c r="B2522" s="5">
        <v>433</v>
      </c>
      <c r="D2522" s="4">
        <v>35445</v>
      </c>
      <c r="E2522" s="6">
        <v>23.31</v>
      </c>
    </row>
    <row r="2523" spans="1:5" x14ac:dyDescent="0.25">
      <c r="A2523" s="4">
        <v>39475</v>
      </c>
      <c r="B2523" s="5">
        <v>426</v>
      </c>
      <c r="D2523" s="4">
        <v>35446</v>
      </c>
      <c r="E2523" s="6">
        <v>23.31</v>
      </c>
    </row>
    <row r="2524" spans="1:5" x14ac:dyDescent="0.25">
      <c r="A2524" s="4">
        <v>39476</v>
      </c>
      <c r="B2524" s="5">
        <v>435</v>
      </c>
      <c r="D2524" s="4">
        <v>35447</v>
      </c>
      <c r="E2524" s="6">
        <v>22.87</v>
      </c>
    </row>
    <row r="2525" spans="1:5" x14ac:dyDescent="0.25">
      <c r="A2525" s="4">
        <v>39477</v>
      </c>
      <c r="B2525" s="5">
        <v>432</v>
      </c>
      <c r="D2525" s="4">
        <v>35450</v>
      </c>
      <c r="E2525" s="6">
        <v>22.86</v>
      </c>
    </row>
    <row r="2526" spans="1:5" x14ac:dyDescent="0.25">
      <c r="A2526" s="4">
        <v>39478</v>
      </c>
      <c r="B2526" s="5">
        <v>419</v>
      </c>
      <c r="D2526" s="4">
        <v>35451</v>
      </c>
      <c r="E2526" s="6">
        <v>22.98</v>
      </c>
    </row>
    <row r="2527" spans="1:5" x14ac:dyDescent="0.25">
      <c r="A2527" s="4">
        <v>39479</v>
      </c>
      <c r="B2527" s="5">
        <v>412</v>
      </c>
      <c r="D2527" s="4">
        <v>35452</v>
      </c>
      <c r="E2527" s="6">
        <v>22.93</v>
      </c>
    </row>
    <row r="2528" spans="1:5" x14ac:dyDescent="0.25">
      <c r="A2528" s="4">
        <v>39482</v>
      </c>
      <c r="B2528" s="5">
        <v>411.5</v>
      </c>
      <c r="D2528" s="4">
        <v>35453</v>
      </c>
      <c r="E2528" s="6">
        <v>22.93</v>
      </c>
    </row>
    <row r="2529" spans="1:5" x14ac:dyDescent="0.25">
      <c r="A2529" s="4">
        <v>39483</v>
      </c>
      <c r="B2529" s="5">
        <v>405.5</v>
      </c>
      <c r="D2529" s="4">
        <v>35454</v>
      </c>
      <c r="E2529" s="6">
        <v>22.8</v>
      </c>
    </row>
    <row r="2530" spans="1:5" x14ac:dyDescent="0.25">
      <c r="A2530" s="4">
        <v>39484</v>
      </c>
      <c r="B2530" s="5">
        <v>397</v>
      </c>
      <c r="D2530" s="4">
        <v>35457</v>
      </c>
      <c r="E2530" s="6">
        <v>22.56</v>
      </c>
    </row>
    <row r="2531" spans="1:5" x14ac:dyDescent="0.25">
      <c r="A2531" s="4">
        <v>39485</v>
      </c>
      <c r="B2531" s="5">
        <v>391</v>
      </c>
      <c r="D2531" s="4">
        <v>35458</v>
      </c>
      <c r="E2531" s="6">
        <v>22.62</v>
      </c>
    </row>
    <row r="2532" spans="1:5" x14ac:dyDescent="0.25">
      <c r="A2532" s="4">
        <v>39486</v>
      </c>
      <c r="B2532" s="5">
        <v>397</v>
      </c>
      <c r="D2532" s="4">
        <v>35459</v>
      </c>
      <c r="E2532" s="6">
        <v>23.01</v>
      </c>
    </row>
    <row r="2533" spans="1:5" x14ac:dyDescent="0.25">
      <c r="A2533" s="4">
        <v>39489</v>
      </c>
      <c r="B2533" s="5">
        <v>410</v>
      </c>
      <c r="D2533" s="4">
        <v>35460</v>
      </c>
      <c r="E2533" s="6">
        <v>23.43</v>
      </c>
    </row>
    <row r="2534" spans="1:5" x14ac:dyDescent="0.25">
      <c r="A2534" s="4">
        <v>39490</v>
      </c>
      <c r="B2534" s="5">
        <v>421</v>
      </c>
      <c r="D2534" s="4">
        <v>35461</v>
      </c>
      <c r="E2534" s="6">
        <v>23.28</v>
      </c>
    </row>
    <row r="2535" spans="1:5" x14ac:dyDescent="0.25">
      <c r="A2535" s="4">
        <v>39491</v>
      </c>
      <c r="B2535" s="5">
        <v>427</v>
      </c>
      <c r="D2535" s="4">
        <v>35464</v>
      </c>
      <c r="E2535" s="6">
        <v>22.91</v>
      </c>
    </row>
    <row r="2536" spans="1:5" x14ac:dyDescent="0.25">
      <c r="A2536" s="4">
        <v>39492</v>
      </c>
      <c r="B2536" s="5">
        <v>449</v>
      </c>
      <c r="D2536" s="4">
        <v>35465</v>
      </c>
      <c r="E2536" s="6">
        <v>22.65</v>
      </c>
    </row>
    <row r="2537" spans="1:5" x14ac:dyDescent="0.25">
      <c r="A2537" s="4">
        <v>39493</v>
      </c>
      <c r="B2537" s="5">
        <v>439</v>
      </c>
      <c r="D2537" s="4">
        <v>35466</v>
      </c>
      <c r="E2537" s="6">
        <v>22.69</v>
      </c>
    </row>
    <row r="2538" spans="1:5" x14ac:dyDescent="0.25">
      <c r="A2538" s="4">
        <v>39496</v>
      </c>
      <c r="B2538" s="5">
        <v>444</v>
      </c>
      <c r="D2538" s="4">
        <v>35467</v>
      </c>
      <c r="E2538" s="6">
        <v>21.86</v>
      </c>
    </row>
    <row r="2539" spans="1:5" x14ac:dyDescent="0.25">
      <c r="A2539" s="4">
        <v>39497</v>
      </c>
      <c r="B2539" s="5">
        <v>447</v>
      </c>
      <c r="D2539" s="4">
        <v>35468</v>
      </c>
      <c r="E2539" s="5"/>
    </row>
    <row r="2540" spans="1:5" x14ac:dyDescent="0.25">
      <c r="A2540" s="4">
        <v>39498</v>
      </c>
      <c r="B2540" s="5">
        <v>450</v>
      </c>
      <c r="D2540" s="4">
        <v>35471</v>
      </c>
      <c r="E2540" s="6">
        <v>20.73</v>
      </c>
    </row>
    <row r="2541" spans="1:5" x14ac:dyDescent="0.25">
      <c r="A2541" s="4">
        <v>39499</v>
      </c>
      <c r="B2541" s="5">
        <v>447</v>
      </c>
      <c r="D2541" s="4">
        <v>35472</v>
      </c>
      <c r="E2541" s="6">
        <v>21.25</v>
      </c>
    </row>
    <row r="2542" spans="1:5" x14ac:dyDescent="0.25">
      <c r="A2542" s="4">
        <v>39500</v>
      </c>
      <c r="B2542" s="5">
        <v>445</v>
      </c>
      <c r="D2542" s="4">
        <v>35473</v>
      </c>
      <c r="E2542" s="6">
        <v>21.15</v>
      </c>
    </row>
    <row r="2543" spans="1:5" x14ac:dyDescent="0.25">
      <c r="A2543" s="4">
        <v>39503</v>
      </c>
      <c r="B2543" s="5">
        <v>438</v>
      </c>
      <c r="D2543" s="4">
        <v>35474</v>
      </c>
      <c r="E2543" s="6">
        <v>20.47</v>
      </c>
    </row>
    <row r="2544" spans="1:5" x14ac:dyDescent="0.25">
      <c r="A2544" s="4">
        <v>39504</v>
      </c>
      <c r="B2544" s="5">
        <v>441</v>
      </c>
      <c r="D2544" s="4">
        <v>35475</v>
      </c>
      <c r="E2544" s="6">
        <v>20.56</v>
      </c>
    </row>
    <row r="2545" spans="1:5" x14ac:dyDescent="0.25">
      <c r="A2545" s="4">
        <v>39505</v>
      </c>
      <c r="B2545" s="5">
        <v>442</v>
      </c>
      <c r="D2545" s="4">
        <v>35478</v>
      </c>
      <c r="E2545" s="6">
        <v>20.48</v>
      </c>
    </row>
    <row r="2546" spans="1:5" x14ac:dyDescent="0.25">
      <c r="A2546" s="4">
        <v>39506</v>
      </c>
      <c r="B2546" s="5">
        <v>454</v>
      </c>
      <c r="D2546" s="4">
        <v>35479</v>
      </c>
      <c r="E2546" s="6">
        <v>20.56</v>
      </c>
    </row>
    <row r="2547" spans="1:5" x14ac:dyDescent="0.25">
      <c r="A2547" s="4">
        <v>39507</v>
      </c>
      <c r="B2547" s="5">
        <v>456</v>
      </c>
      <c r="D2547" s="4">
        <v>35480</v>
      </c>
      <c r="E2547" s="6">
        <v>20.98</v>
      </c>
    </row>
    <row r="2548" spans="1:5" x14ac:dyDescent="0.25">
      <c r="A2548" s="4">
        <v>39510</v>
      </c>
      <c r="B2548" s="5">
        <v>467</v>
      </c>
      <c r="D2548" s="4">
        <v>35481</v>
      </c>
      <c r="E2548" s="6">
        <v>20.57</v>
      </c>
    </row>
    <row r="2549" spans="1:5" x14ac:dyDescent="0.25">
      <c r="A2549" s="4">
        <v>39511</v>
      </c>
      <c r="B2549" s="5">
        <v>457</v>
      </c>
      <c r="D2549" s="4">
        <v>35482</v>
      </c>
      <c r="E2549" s="6">
        <v>20.13</v>
      </c>
    </row>
    <row r="2550" spans="1:5" x14ac:dyDescent="0.25">
      <c r="A2550" s="4">
        <v>39512</v>
      </c>
      <c r="B2550" s="5">
        <v>466.5</v>
      </c>
      <c r="D2550" s="4">
        <v>35485</v>
      </c>
      <c r="E2550" s="6">
        <v>19.87</v>
      </c>
    </row>
    <row r="2551" spans="1:5" x14ac:dyDescent="0.25">
      <c r="A2551" s="4">
        <v>39513</v>
      </c>
      <c r="B2551" s="5">
        <v>468</v>
      </c>
      <c r="D2551" s="4">
        <v>35486</v>
      </c>
      <c r="E2551" s="6">
        <v>20.079999999999998</v>
      </c>
    </row>
    <row r="2552" spans="1:5" x14ac:dyDescent="0.25">
      <c r="A2552" s="4">
        <v>39514</v>
      </c>
      <c r="B2552" s="5">
        <v>460</v>
      </c>
      <c r="D2552" s="4">
        <v>35487</v>
      </c>
      <c r="E2552" s="6">
        <v>19.82</v>
      </c>
    </row>
    <row r="2553" spans="1:5" x14ac:dyDescent="0.25">
      <c r="A2553" s="4">
        <v>39517</v>
      </c>
      <c r="B2553" s="5">
        <v>464</v>
      </c>
      <c r="D2553" s="4">
        <v>35488</v>
      </c>
      <c r="E2553" s="6">
        <v>19.96</v>
      </c>
    </row>
    <row r="2554" spans="1:5" x14ac:dyDescent="0.25">
      <c r="A2554" s="4">
        <v>39518</v>
      </c>
      <c r="B2554" s="5">
        <v>464.5</v>
      </c>
      <c r="D2554" s="4">
        <v>35489</v>
      </c>
      <c r="E2554" s="6">
        <v>19.440000000000001</v>
      </c>
    </row>
    <row r="2555" spans="1:5" x14ac:dyDescent="0.25">
      <c r="A2555" s="4">
        <v>39519</v>
      </c>
      <c r="B2555" s="5">
        <v>466.5</v>
      </c>
      <c r="D2555" s="4">
        <v>35492</v>
      </c>
      <c r="E2555" s="6">
        <v>19.100000000000001</v>
      </c>
    </row>
    <row r="2556" spans="1:5" x14ac:dyDescent="0.25">
      <c r="A2556" s="4">
        <v>39520</v>
      </c>
      <c r="B2556" s="5">
        <v>475</v>
      </c>
      <c r="D2556" s="4">
        <v>35493</v>
      </c>
      <c r="E2556" s="6">
        <v>19.399999999999999</v>
      </c>
    </row>
    <row r="2557" spans="1:5" x14ac:dyDescent="0.25">
      <c r="A2557" s="4">
        <v>39521</v>
      </c>
      <c r="B2557" s="5">
        <v>470</v>
      </c>
      <c r="D2557" s="4">
        <v>35494</v>
      </c>
      <c r="E2557" s="6">
        <v>19.38</v>
      </c>
    </row>
    <row r="2558" spans="1:5" x14ac:dyDescent="0.25">
      <c r="A2558" s="4">
        <v>39524</v>
      </c>
      <c r="B2558" s="5">
        <v>461</v>
      </c>
      <c r="D2558" s="4">
        <v>35495</v>
      </c>
      <c r="E2558" s="6">
        <v>19.55</v>
      </c>
    </row>
    <row r="2559" spans="1:5" x14ac:dyDescent="0.25">
      <c r="A2559" s="4">
        <v>39525</v>
      </c>
      <c r="B2559" s="5">
        <v>471.75</v>
      </c>
      <c r="D2559" s="4">
        <v>35496</v>
      </c>
      <c r="E2559" s="5"/>
    </row>
    <row r="2560" spans="1:5" x14ac:dyDescent="0.25">
      <c r="A2560" s="4">
        <v>39526</v>
      </c>
      <c r="B2560" s="5">
        <v>463</v>
      </c>
      <c r="D2560" s="4">
        <v>35499</v>
      </c>
      <c r="E2560" s="6">
        <v>19.21</v>
      </c>
    </row>
    <row r="2561" spans="1:5" x14ac:dyDescent="0.25">
      <c r="A2561" s="4">
        <v>39527</v>
      </c>
      <c r="B2561" s="5">
        <v>452</v>
      </c>
      <c r="D2561" s="4">
        <v>35500</v>
      </c>
      <c r="E2561" s="6">
        <v>18.57</v>
      </c>
    </row>
    <row r="2562" spans="1:5" x14ac:dyDescent="0.25">
      <c r="A2562" s="4">
        <v>39532</v>
      </c>
      <c r="B2562" s="5">
        <v>460</v>
      </c>
      <c r="D2562" s="4">
        <v>35501</v>
      </c>
      <c r="E2562" s="6">
        <v>18.98</v>
      </c>
    </row>
    <row r="2563" spans="1:5" x14ac:dyDescent="0.25">
      <c r="A2563" s="4">
        <v>39533</v>
      </c>
      <c r="B2563" s="5">
        <v>474</v>
      </c>
      <c r="D2563" s="4">
        <v>35502</v>
      </c>
      <c r="E2563" s="6">
        <v>19.3</v>
      </c>
    </row>
    <row r="2564" spans="1:5" x14ac:dyDescent="0.25">
      <c r="A2564" s="4">
        <v>39534</v>
      </c>
      <c r="B2564" s="5">
        <v>474</v>
      </c>
      <c r="D2564" s="4">
        <v>35503</v>
      </c>
      <c r="E2564" s="6">
        <v>19.440000000000001</v>
      </c>
    </row>
    <row r="2565" spans="1:5" x14ac:dyDescent="0.25">
      <c r="A2565" s="4">
        <v>39535</v>
      </c>
      <c r="B2565" s="5">
        <v>464</v>
      </c>
      <c r="D2565" s="4">
        <v>35506</v>
      </c>
      <c r="E2565" s="6">
        <v>18.98</v>
      </c>
    </row>
    <row r="2566" spans="1:5" x14ac:dyDescent="0.25">
      <c r="A2566" s="4">
        <v>39538</v>
      </c>
      <c r="B2566" s="5">
        <v>466.5</v>
      </c>
      <c r="D2566" s="4">
        <v>35507</v>
      </c>
      <c r="E2566" s="6">
        <v>19.54</v>
      </c>
    </row>
    <row r="2567" spans="1:5" x14ac:dyDescent="0.25">
      <c r="A2567" s="4">
        <v>39539</v>
      </c>
      <c r="B2567" s="5">
        <v>458</v>
      </c>
      <c r="D2567" s="4">
        <v>35508</v>
      </c>
      <c r="E2567" s="6">
        <v>20</v>
      </c>
    </row>
    <row r="2568" spans="1:5" x14ac:dyDescent="0.25">
      <c r="A2568" s="4">
        <v>39540</v>
      </c>
      <c r="B2568" s="5">
        <v>459</v>
      </c>
      <c r="D2568" s="4">
        <v>35509</v>
      </c>
      <c r="E2568" s="6">
        <v>19.62</v>
      </c>
    </row>
    <row r="2569" spans="1:5" x14ac:dyDescent="0.25">
      <c r="A2569" s="4">
        <v>39541</v>
      </c>
      <c r="B2569" s="5">
        <v>468.5</v>
      </c>
      <c r="D2569" s="4">
        <v>35510</v>
      </c>
      <c r="E2569" s="6">
        <v>19.39</v>
      </c>
    </row>
    <row r="2570" spans="1:5" x14ac:dyDescent="0.25">
      <c r="A2570" s="4">
        <v>39542</v>
      </c>
      <c r="B2570" s="5">
        <v>471.5</v>
      </c>
      <c r="D2570" s="4">
        <v>35513</v>
      </c>
      <c r="E2570" s="6">
        <v>18.93</v>
      </c>
    </row>
    <row r="2571" spans="1:5" x14ac:dyDescent="0.25">
      <c r="A2571" s="4">
        <v>39545</v>
      </c>
      <c r="B2571" s="5">
        <v>488.75</v>
      </c>
      <c r="D2571" s="4">
        <v>35514</v>
      </c>
      <c r="E2571" s="6">
        <v>18.77</v>
      </c>
    </row>
    <row r="2572" spans="1:5" x14ac:dyDescent="0.25">
      <c r="A2572" s="4">
        <v>39546</v>
      </c>
      <c r="B2572" s="5">
        <v>482.5</v>
      </c>
      <c r="D2572" s="4">
        <v>35515</v>
      </c>
      <c r="E2572" s="6">
        <v>18.91</v>
      </c>
    </row>
    <row r="2573" spans="1:5" x14ac:dyDescent="0.25">
      <c r="A2573" s="4">
        <v>39547</v>
      </c>
      <c r="B2573" s="5">
        <v>488</v>
      </c>
      <c r="D2573" s="4">
        <v>35516</v>
      </c>
      <c r="E2573" s="6">
        <v>18.53</v>
      </c>
    </row>
    <row r="2574" spans="1:5" x14ac:dyDescent="0.25">
      <c r="A2574" s="4">
        <v>39548</v>
      </c>
      <c r="B2574" s="5">
        <v>487</v>
      </c>
      <c r="D2574" s="4">
        <v>35517</v>
      </c>
      <c r="E2574" s="6">
        <v>18.53</v>
      </c>
    </row>
    <row r="2575" spans="1:5" x14ac:dyDescent="0.25">
      <c r="A2575" s="4">
        <v>39549</v>
      </c>
      <c r="B2575" s="5">
        <v>487.5</v>
      </c>
      <c r="D2575" s="4">
        <v>35520</v>
      </c>
      <c r="E2575" s="6">
        <v>18.53</v>
      </c>
    </row>
    <row r="2576" spans="1:5" x14ac:dyDescent="0.25">
      <c r="A2576" s="4">
        <v>39552</v>
      </c>
      <c r="B2576" s="5">
        <v>493</v>
      </c>
      <c r="D2576" s="4">
        <v>35521</v>
      </c>
      <c r="E2576" s="6">
        <v>18.149999999999999</v>
      </c>
    </row>
    <row r="2577" spans="1:5" x14ac:dyDescent="0.25">
      <c r="A2577" s="4">
        <v>39553</v>
      </c>
      <c r="B2577" s="5">
        <v>500</v>
      </c>
      <c r="D2577" s="4">
        <v>35522</v>
      </c>
      <c r="E2577" s="6">
        <v>17.97</v>
      </c>
    </row>
    <row r="2578" spans="1:5" x14ac:dyDescent="0.25">
      <c r="A2578" s="4">
        <v>39554</v>
      </c>
      <c r="B2578" s="5">
        <v>502.5</v>
      </c>
      <c r="D2578" s="4">
        <v>35523</v>
      </c>
      <c r="E2578" s="6">
        <v>17.28</v>
      </c>
    </row>
    <row r="2579" spans="1:5" x14ac:dyDescent="0.25">
      <c r="A2579" s="4">
        <v>39555</v>
      </c>
      <c r="B2579" s="5">
        <v>497.5</v>
      </c>
      <c r="D2579" s="4">
        <v>35524</v>
      </c>
      <c r="E2579" s="6">
        <v>17.25</v>
      </c>
    </row>
    <row r="2580" spans="1:5" x14ac:dyDescent="0.25">
      <c r="A2580" s="4">
        <v>39556</v>
      </c>
      <c r="B2580" s="5">
        <v>491.5</v>
      </c>
      <c r="D2580" s="4">
        <v>35527</v>
      </c>
      <c r="E2580" s="6">
        <v>16.920000000000002</v>
      </c>
    </row>
    <row r="2581" spans="1:5" x14ac:dyDescent="0.25">
      <c r="A2581" s="4">
        <v>39559</v>
      </c>
      <c r="B2581" s="5">
        <v>494</v>
      </c>
      <c r="D2581" s="4">
        <v>35528</v>
      </c>
      <c r="E2581" s="6">
        <v>16.98</v>
      </c>
    </row>
    <row r="2582" spans="1:5" x14ac:dyDescent="0.25">
      <c r="A2582" s="4">
        <v>39560</v>
      </c>
      <c r="B2582" s="5">
        <v>496</v>
      </c>
      <c r="D2582" s="4">
        <v>35529</v>
      </c>
      <c r="E2582" s="6">
        <v>17.02</v>
      </c>
    </row>
    <row r="2583" spans="1:5" x14ac:dyDescent="0.25">
      <c r="A2583" s="4">
        <v>39561</v>
      </c>
      <c r="B2583" s="5">
        <v>496.5</v>
      </c>
      <c r="D2583" s="4">
        <v>35530</v>
      </c>
      <c r="E2583" s="6">
        <v>17.25</v>
      </c>
    </row>
    <row r="2584" spans="1:5" x14ac:dyDescent="0.25">
      <c r="A2584" s="4">
        <v>39562</v>
      </c>
      <c r="B2584" s="5">
        <v>490</v>
      </c>
      <c r="D2584" s="4">
        <v>35531</v>
      </c>
      <c r="E2584" s="6">
        <v>17.54</v>
      </c>
    </row>
    <row r="2585" spans="1:5" x14ac:dyDescent="0.25">
      <c r="A2585" s="4">
        <v>39563</v>
      </c>
      <c r="B2585" s="5">
        <v>497</v>
      </c>
      <c r="D2585" s="4">
        <v>35534</v>
      </c>
      <c r="E2585" s="6">
        <v>17.61</v>
      </c>
    </row>
    <row r="2586" spans="1:5" x14ac:dyDescent="0.25">
      <c r="A2586" s="4">
        <v>39566</v>
      </c>
      <c r="B2586" s="5">
        <v>498</v>
      </c>
      <c r="D2586" s="4">
        <v>35535</v>
      </c>
      <c r="E2586" s="6">
        <v>17.53</v>
      </c>
    </row>
    <row r="2587" spans="1:5" x14ac:dyDescent="0.25">
      <c r="A2587" s="4">
        <v>39567</v>
      </c>
      <c r="B2587" s="5">
        <v>488.5</v>
      </c>
      <c r="D2587" s="4">
        <v>35536</v>
      </c>
      <c r="E2587" s="6">
        <v>17.239999999999998</v>
      </c>
    </row>
    <row r="2588" spans="1:5" x14ac:dyDescent="0.25">
      <c r="A2588" s="4">
        <v>39568</v>
      </c>
      <c r="B2588" s="5">
        <v>481</v>
      </c>
      <c r="D2588" s="4">
        <v>35537</v>
      </c>
      <c r="E2588" s="6">
        <v>17</v>
      </c>
    </row>
    <row r="2589" spans="1:5" x14ac:dyDescent="0.25">
      <c r="A2589" s="4">
        <v>39569</v>
      </c>
      <c r="B2589" s="5">
        <v>461</v>
      </c>
      <c r="D2589" s="4">
        <v>35538</v>
      </c>
      <c r="E2589" s="6">
        <v>17.260000000000002</v>
      </c>
    </row>
    <row r="2590" spans="1:5" x14ac:dyDescent="0.25">
      <c r="A2590" s="4">
        <v>39570</v>
      </c>
      <c r="B2590" s="5">
        <v>482</v>
      </c>
      <c r="D2590" s="4">
        <v>35541</v>
      </c>
      <c r="E2590" s="6">
        <v>17.739999999999998</v>
      </c>
    </row>
    <row r="2591" spans="1:5" x14ac:dyDescent="0.25">
      <c r="A2591" s="4">
        <v>39574</v>
      </c>
      <c r="B2591" s="5">
        <v>521</v>
      </c>
      <c r="D2591" s="4">
        <v>35542</v>
      </c>
      <c r="E2591" s="6">
        <v>17.72</v>
      </c>
    </row>
    <row r="2592" spans="1:5" x14ac:dyDescent="0.25">
      <c r="A2592" s="4">
        <v>39575</v>
      </c>
      <c r="B2592" s="5">
        <v>522</v>
      </c>
      <c r="D2592" s="4">
        <v>35543</v>
      </c>
      <c r="E2592" s="6">
        <v>17.46</v>
      </c>
    </row>
    <row r="2593" spans="1:5" x14ac:dyDescent="0.25">
      <c r="A2593" s="4">
        <v>39576</v>
      </c>
      <c r="B2593" s="5">
        <v>520</v>
      </c>
      <c r="D2593" s="4">
        <v>35544</v>
      </c>
      <c r="E2593" s="6">
        <v>17.8</v>
      </c>
    </row>
    <row r="2594" spans="1:5" x14ac:dyDescent="0.25">
      <c r="A2594" s="4">
        <v>39577</v>
      </c>
      <c r="B2594" s="5">
        <v>528</v>
      </c>
      <c r="D2594" s="4">
        <v>35545</v>
      </c>
      <c r="E2594" s="6">
        <v>18.07</v>
      </c>
    </row>
    <row r="2595" spans="1:5" x14ac:dyDescent="0.25">
      <c r="A2595" s="4">
        <v>39580</v>
      </c>
      <c r="B2595" s="5">
        <v>515</v>
      </c>
      <c r="D2595" s="4">
        <v>35548</v>
      </c>
      <c r="E2595" s="6">
        <v>17.920000000000002</v>
      </c>
    </row>
    <row r="2596" spans="1:5" x14ac:dyDescent="0.25">
      <c r="A2596" s="4">
        <v>39581</v>
      </c>
      <c r="B2596" s="5">
        <v>524</v>
      </c>
      <c r="D2596" s="4">
        <v>35549</v>
      </c>
      <c r="E2596" s="6">
        <v>18.27</v>
      </c>
    </row>
    <row r="2597" spans="1:5" x14ac:dyDescent="0.25">
      <c r="A2597" s="4">
        <v>39582</v>
      </c>
      <c r="B2597" s="5">
        <v>527</v>
      </c>
      <c r="D2597" s="4">
        <v>35550</v>
      </c>
      <c r="E2597" s="6">
        <v>18.25</v>
      </c>
    </row>
    <row r="2598" spans="1:5" x14ac:dyDescent="0.25">
      <c r="A2598" s="4">
        <v>39583</v>
      </c>
      <c r="B2598" s="5">
        <v>537</v>
      </c>
      <c r="D2598" s="4">
        <v>35551</v>
      </c>
      <c r="E2598" s="6">
        <v>18.239999999999998</v>
      </c>
    </row>
    <row r="2599" spans="1:5" x14ac:dyDescent="0.25">
      <c r="A2599" s="4">
        <v>39584</v>
      </c>
      <c r="B2599" s="5">
        <v>537</v>
      </c>
      <c r="D2599" s="4">
        <v>35552</v>
      </c>
      <c r="E2599" s="6">
        <v>17.7</v>
      </c>
    </row>
    <row r="2600" spans="1:5" x14ac:dyDescent="0.25">
      <c r="A2600" s="4">
        <v>39587</v>
      </c>
      <c r="B2600" s="5">
        <v>530</v>
      </c>
      <c r="D2600" s="4">
        <v>35555</v>
      </c>
      <c r="E2600" s="6">
        <v>17.72</v>
      </c>
    </row>
    <row r="2601" spans="1:5" x14ac:dyDescent="0.25">
      <c r="A2601" s="4">
        <v>39588</v>
      </c>
      <c r="B2601" s="5">
        <v>543</v>
      </c>
      <c r="D2601" s="4">
        <v>35556</v>
      </c>
      <c r="E2601" s="6">
        <v>17.82</v>
      </c>
    </row>
    <row r="2602" spans="1:5" x14ac:dyDescent="0.25">
      <c r="A2602" s="4">
        <v>39589</v>
      </c>
      <c r="B2602" s="5">
        <v>561</v>
      </c>
      <c r="D2602" s="4">
        <v>35557</v>
      </c>
      <c r="E2602" s="6">
        <v>17.84</v>
      </c>
    </row>
    <row r="2603" spans="1:5" x14ac:dyDescent="0.25">
      <c r="A2603" s="4">
        <v>39590</v>
      </c>
      <c r="B2603" s="5">
        <v>569</v>
      </c>
      <c r="D2603" s="4">
        <v>35558</v>
      </c>
      <c r="E2603" s="6">
        <v>18.32</v>
      </c>
    </row>
    <row r="2604" spans="1:5" x14ac:dyDescent="0.25">
      <c r="A2604" s="4">
        <v>39591</v>
      </c>
      <c r="B2604" s="5">
        <v>570</v>
      </c>
      <c r="D2604" s="4">
        <v>35559</v>
      </c>
      <c r="E2604" s="6">
        <v>18.62</v>
      </c>
    </row>
    <row r="2605" spans="1:5" x14ac:dyDescent="0.25">
      <c r="A2605" s="4">
        <v>39595</v>
      </c>
      <c r="B2605" s="5">
        <v>559</v>
      </c>
      <c r="D2605" s="4">
        <v>35562</v>
      </c>
      <c r="E2605" s="6">
        <v>19.420000000000002</v>
      </c>
    </row>
    <row r="2606" spans="1:5" x14ac:dyDescent="0.25">
      <c r="A2606" s="4">
        <v>39596</v>
      </c>
      <c r="B2606" s="5">
        <v>545</v>
      </c>
      <c r="D2606" s="4">
        <v>35563</v>
      </c>
      <c r="E2606" s="6">
        <v>19.399999999999999</v>
      </c>
    </row>
    <row r="2607" spans="1:5" x14ac:dyDescent="0.25">
      <c r="A2607" s="4">
        <v>39597</v>
      </c>
      <c r="B2607" s="5">
        <v>550</v>
      </c>
      <c r="D2607" s="4">
        <v>35564</v>
      </c>
      <c r="E2607" s="6">
        <v>19.100000000000001</v>
      </c>
    </row>
    <row r="2608" spans="1:5" x14ac:dyDescent="0.25">
      <c r="A2608" s="4">
        <v>39598</v>
      </c>
      <c r="B2608" s="5">
        <v>532</v>
      </c>
      <c r="D2608" s="4">
        <v>35565</v>
      </c>
      <c r="E2608" s="6">
        <v>19.399999999999999</v>
      </c>
    </row>
    <row r="2609" spans="1:5" x14ac:dyDescent="0.25">
      <c r="A2609" s="4">
        <v>39601</v>
      </c>
      <c r="B2609" s="5">
        <v>532</v>
      </c>
      <c r="D2609" s="4">
        <v>35566</v>
      </c>
      <c r="E2609" s="6">
        <v>19.77</v>
      </c>
    </row>
    <row r="2610" spans="1:5" x14ac:dyDescent="0.25">
      <c r="A2610" s="4">
        <v>39602</v>
      </c>
      <c r="B2610" s="5">
        <v>531</v>
      </c>
      <c r="D2610" s="4">
        <v>35569</v>
      </c>
      <c r="E2610" s="6">
        <v>19.920000000000002</v>
      </c>
    </row>
    <row r="2611" spans="1:5" x14ac:dyDescent="0.25">
      <c r="A2611" s="4">
        <v>39603</v>
      </c>
      <c r="B2611" s="5">
        <v>527.5</v>
      </c>
      <c r="D2611" s="4">
        <v>35570</v>
      </c>
      <c r="E2611" s="6">
        <v>19.75</v>
      </c>
    </row>
    <row r="2612" spans="1:5" x14ac:dyDescent="0.25">
      <c r="A2612" s="4">
        <v>39604</v>
      </c>
      <c r="B2612" s="5">
        <v>534</v>
      </c>
      <c r="D2612" s="4">
        <v>35571</v>
      </c>
      <c r="E2612" s="6">
        <v>19.7</v>
      </c>
    </row>
    <row r="2613" spans="1:5" x14ac:dyDescent="0.25">
      <c r="A2613" s="4">
        <v>39605</v>
      </c>
      <c r="B2613" s="5">
        <v>575</v>
      </c>
      <c r="D2613" s="4">
        <v>35572</v>
      </c>
      <c r="E2613" s="6">
        <v>20.03</v>
      </c>
    </row>
    <row r="2614" spans="1:5" x14ac:dyDescent="0.25">
      <c r="A2614" s="4">
        <v>39608</v>
      </c>
      <c r="B2614" s="5">
        <v>583</v>
      </c>
      <c r="D2614" s="4">
        <v>35573</v>
      </c>
      <c r="E2614" s="6">
        <v>20.149999999999999</v>
      </c>
    </row>
    <row r="2615" spans="1:5" x14ac:dyDescent="0.25">
      <c r="A2615" s="4">
        <v>39609</v>
      </c>
      <c r="B2615" s="5">
        <v>590</v>
      </c>
      <c r="D2615" s="4">
        <v>35576</v>
      </c>
      <c r="E2615" s="5"/>
    </row>
    <row r="2616" spans="1:5" x14ac:dyDescent="0.25">
      <c r="A2616" s="4">
        <v>39610</v>
      </c>
      <c r="B2616" s="5">
        <v>593</v>
      </c>
      <c r="D2616" s="4">
        <v>35577</v>
      </c>
      <c r="E2616" s="6">
        <v>19.329999999999998</v>
      </c>
    </row>
    <row r="2617" spans="1:5" x14ac:dyDescent="0.25">
      <c r="A2617" s="4">
        <v>39611</v>
      </c>
      <c r="B2617" s="5">
        <v>595</v>
      </c>
      <c r="D2617" s="4">
        <v>35578</v>
      </c>
      <c r="E2617" s="6">
        <v>18.88</v>
      </c>
    </row>
    <row r="2618" spans="1:5" x14ac:dyDescent="0.25">
      <c r="A2618" s="4">
        <v>39612</v>
      </c>
      <c r="B2618" s="5">
        <v>600</v>
      </c>
      <c r="D2618" s="4">
        <v>35579</v>
      </c>
      <c r="E2618" s="6">
        <v>19.38</v>
      </c>
    </row>
    <row r="2619" spans="1:5" x14ac:dyDescent="0.25">
      <c r="A2619" s="4">
        <v>39615</v>
      </c>
      <c r="B2619" s="5">
        <v>612</v>
      </c>
      <c r="D2619" s="4">
        <v>35580</v>
      </c>
      <c r="E2619" s="6">
        <v>18.989999999999998</v>
      </c>
    </row>
    <row r="2620" spans="1:5" x14ac:dyDescent="0.25">
      <c r="A2620" s="4">
        <v>39616</v>
      </c>
      <c r="B2620" s="5">
        <v>607</v>
      </c>
      <c r="D2620" s="4">
        <v>35583</v>
      </c>
      <c r="E2620" s="6">
        <v>19.170000000000002</v>
      </c>
    </row>
    <row r="2621" spans="1:5" x14ac:dyDescent="0.25">
      <c r="A2621" s="4">
        <v>39617</v>
      </c>
      <c r="B2621" s="5">
        <v>597.5</v>
      </c>
      <c r="D2621" s="4">
        <v>35584</v>
      </c>
      <c r="E2621" s="6">
        <v>18.59</v>
      </c>
    </row>
    <row r="2622" spans="1:5" x14ac:dyDescent="0.25">
      <c r="A2622" s="4">
        <v>39618</v>
      </c>
      <c r="B2622" s="5">
        <v>607</v>
      </c>
      <c r="D2622" s="4">
        <v>35585</v>
      </c>
      <c r="E2622" s="6">
        <v>18.36</v>
      </c>
    </row>
    <row r="2623" spans="1:5" x14ac:dyDescent="0.25">
      <c r="A2623" s="4">
        <v>39619</v>
      </c>
      <c r="B2623" s="5">
        <v>605.5</v>
      </c>
      <c r="D2623" s="4">
        <v>35586</v>
      </c>
      <c r="E2623" s="6">
        <v>17.96</v>
      </c>
    </row>
    <row r="2624" spans="1:5" x14ac:dyDescent="0.25">
      <c r="A2624" s="4">
        <v>39622</v>
      </c>
      <c r="B2624" s="5">
        <v>612.5</v>
      </c>
      <c r="D2624" s="4">
        <v>35587</v>
      </c>
      <c r="E2624" s="6">
        <v>17.43</v>
      </c>
    </row>
    <row r="2625" spans="1:5" x14ac:dyDescent="0.25">
      <c r="A2625" s="4">
        <v>39623</v>
      </c>
      <c r="B2625" s="5">
        <v>618</v>
      </c>
      <c r="D2625" s="4">
        <v>35590</v>
      </c>
      <c r="E2625" s="6">
        <v>17.079999999999998</v>
      </c>
    </row>
    <row r="2626" spans="1:5" x14ac:dyDescent="0.25">
      <c r="A2626" s="4">
        <v>39624</v>
      </c>
      <c r="B2626" s="5">
        <v>603</v>
      </c>
      <c r="D2626" s="4">
        <v>35591</v>
      </c>
      <c r="E2626" s="6">
        <v>17.010000000000002</v>
      </c>
    </row>
    <row r="2627" spans="1:5" x14ac:dyDescent="0.25">
      <c r="A2627" s="4">
        <v>39625</v>
      </c>
      <c r="B2627" s="5">
        <v>624</v>
      </c>
      <c r="D2627" s="4">
        <v>35592</v>
      </c>
      <c r="E2627" s="6">
        <v>16.690000000000001</v>
      </c>
    </row>
    <row r="2628" spans="1:5" x14ac:dyDescent="0.25">
      <c r="A2628" s="4">
        <v>39626</v>
      </c>
      <c r="B2628" s="5">
        <v>634</v>
      </c>
      <c r="D2628" s="4">
        <v>35593</v>
      </c>
      <c r="E2628" s="6">
        <v>16.79</v>
      </c>
    </row>
    <row r="2629" spans="1:5" x14ac:dyDescent="0.25">
      <c r="A2629" s="4">
        <v>39629</v>
      </c>
      <c r="B2629" s="5">
        <v>653</v>
      </c>
      <c r="D2629" s="4">
        <v>35594</v>
      </c>
      <c r="E2629" s="6">
        <v>16.829999999999998</v>
      </c>
    </row>
    <row r="2630" spans="1:5" x14ac:dyDescent="0.25">
      <c r="A2630" s="4">
        <v>39630</v>
      </c>
      <c r="B2630" s="5">
        <v>663</v>
      </c>
      <c r="D2630" s="4">
        <v>35597</v>
      </c>
      <c r="E2630" s="6">
        <v>17.149999999999999</v>
      </c>
    </row>
    <row r="2631" spans="1:5" x14ac:dyDescent="0.25">
      <c r="A2631" s="4">
        <v>39631</v>
      </c>
      <c r="B2631" s="5">
        <v>668</v>
      </c>
      <c r="D2631" s="4">
        <v>35598</v>
      </c>
      <c r="E2631" s="6">
        <v>17.55</v>
      </c>
    </row>
    <row r="2632" spans="1:5" x14ac:dyDescent="0.25">
      <c r="A2632" s="4">
        <v>39632</v>
      </c>
      <c r="B2632" s="5">
        <v>691</v>
      </c>
      <c r="D2632" s="4">
        <v>35599</v>
      </c>
      <c r="E2632" s="6">
        <v>17.22</v>
      </c>
    </row>
    <row r="2633" spans="1:5" x14ac:dyDescent="0.25">
      <c r="A2633" s="4">
        <v>39633</v>
      </c>
      <c r="B2633" s="5">
        <v>691</v>
      </c>
      <c r="D2633" s="4">
        <v>35600</v>
      </c>
      <c r="E2633" s="6">
        <v>17.34</v>
      </c>
    </row>
    <row r="2634" spans="1:5" x14ac:dyDescent="0.25">
      <c r="A2634" s="4">
        <v>39636</v>
      </c>
      <c r="B2634" s="5">
        <v>683</v>
      </c>
      <c r="D2634" s="4">
        <v>35601</v>
      </c>
      <c r="E2634" s="6">
        <v>17.09</v>
      </c>
    </row>
    <row r="2635" spans="1:5" x14ac:dyDescent="0.25">
      <c r="A2635" s="4">
        <v>39637</v>
      </c>
      <c r="B2635" s="5">
        <v>660</v>
      </c>
      <c r="D2635" s="4">
        <v>35604</v>
      </c>
      <c r="E2635" s="6">
        <v>17.8</v>
      </c>
    </row>
    <row r="2636" spans="1:5" x14ac:dyDescent="0.25">
      <c r="A2636" s="4">
        <v>39638</v>
      </c>
      <c r="B2636" s="5">
        <v>679</v>
      </c>
      <c r="D2636" s="4">
        <v>35605</v>
      </c>
      <c r="E2636" s="6">
        <v>17.649999999999999</v>
      </c>
    </row>
    <row r="2637" spans="1:5" x14ac:dyDescent="0.25">
      <c r="A2637" s="4">
        <v>39639</v>
      </c>
      <c r="B2637" s="5">
        <v>689</v>
      </c>
      <c r="D2637" s="4">
        <v>35606</v>
      </c>
      <c r="E2637" s="6">
        <v>17.649999999999999</v>
      </c>
    </row>
    <row r="2638" spans="1:5" x14ac:dyDescent="0.25">
      <c r="A2638" s="4">
        <v>39640</v>
      </c>
      <c r="B2638" s="5">
        <v>712</v>
      </c>
      <c r="D2638" s="4">
        <v>35607</v>
      </c>
      <c r="E2638" s="6">
        <v>17.600000000000001</v>
      </c>
    </row>
    <row r="2639" spans="1:5" x14ac:dyDescent="0.25">
      <c r="A2639" s="4">
        <v>39643</v>
      </c>
      <c r="B2639" s="5">
        <v>717</v>
      </c>
      <c r="D2639" s="4">
        <v>35608</v>
      </c>
      <c r="E2639" s="6">
        <v>18</v>
      </c>
    </row>
    <row r="2640" spans="1:5" x14ac:dyDescent="0.25">
      <c r="A2640" s="4">
        <v>39644</v>
      </c>
      <c r="B2640" s="5">
        <v>703</v>
      </c>
      <c r="D2640" s="4">
        <v>35611</v>
      </c>
      <c r="E2640" s="6">
        <v>18.22</v>
      </c>
    </row>
    <row r="2641" spans="1:5" x14ac:dyDescent="0.25">
      <c r="A2641" s="4">
        <v>39645</v>
      </c>
      <c r="B2641" s="5">
        <v>701</v>
      </c>
      <c r="D2641" s="4">
        <v>35612</v>
      </c>
      <c r="E2641" s="5"/>
    </row>
    <row r="2642" spans="1:5" x14ac:dyDescent="0.25">
      <c r="A2642" s="4">
        <v>39646</v>
      </c>
      <c r="B2642" s="5">
        <v>689</v>
      </c>
      <c r="D2642" s="4">
        <v>35613</v>
      </c>
      <c r="E2642" s="6">
        <v>18.829999999999998</v>
      </c>
    </row>
    <row r="2643" spans="1:5" x14ac:dyDescent="0.25">
      <c r="A2643" s="4">
        <v>39647</v>
      </c>
      <c r="B2643" s="5">
        <v>662</v>
      </c>
      <c r="D2643" s="4">
        <v>35614</v>
      </c>
      <c r="E2643" s="6">
        <v>18.18</v>
      </c>
    </row>
    <row r="2644" spans="1:5" x14ac:dyDescent="0.25">
      <c r="A2644" s="4">
        <v>39650</v>
      </c>
      <c r="B2644" s="5">
        <v>662</v>
      </c>
      <c r="D2644" s="4">
        <v>35615</v>
      </c>
      <c r="E2644" s="5"/>
    </row>
    <row r="2645" spans="1:5" x14ac:dyDescent="0.25">
      <c r="A2645" s="4">
        <v>39651</v>
      </c>
      <c r="B2645" s="5">
        <v>645</v>
      </c>
      <c r="D2645" s="4">
        <v>35618</v>
      </c>
      <c r="E2645" s="6">
        <v>18.28</v>
      </c>
    </row>
    <row r="2646" spans="1:5" x14ac:dyDescent="0.25">
      <c r="A2646" s="4">
        <v>39652</v>
      </c>
      <c r="B2646" s="5">
        <v>623</v>
      </c>
      <c r="D2646" s="4">
        <v>35619</v>
      </c>
      <c r="E2646" s="5"/>
    </row>
    <row r="2647" spans="1:5" x14ac:dyDescent="0.25">
      <c r="A2647" s="4">
        <v>39653</v>
      </c>
      <c r="B2647" s="5">
        <v>624</v>
      </c>
      <c r="D2647" s="4">
        <v>35620</v>
      </c>
      <c r="E2647" s="6">
        <v>18.25</v>
      </c>
    </row>
    <row r="2648" spans="1:5" x14ac:dyDescent="0.25">
      <c r="A2648" s="4">
        <v>39654</v>
      </c>
      <c r="B2648" s="5">
        <v>623.5</v>
      </c>
      <c r="D2648" s="4">
        <v>35621</v>
      </c>
      <c r="E2648" s="6">
        <v>18.16</v>
      </c>
    </row>
    <row r="2649" spans="1:5" x14ac:dyDescent="0.25">
      <c r="A2649" s="4">
        <v>39657</v>
      </c>
      <c r="B2649" s="5">
        <v>641</v>
      </c>
      <c r="D2649" s="4">
        <v>35622</v>
      </c>
      <c r="E2649" s="6">
        <v>18</v>
      </c>
    </row>
    <row r="2650" spans="1:5" x14ac:dyDescent="0.25">
      <c r="A2650" s="4">
        <v>39658</v>
      </c>
      <c r="B2650" s="5">
        <v>641</v>
      </c>
      <c r="D2650" s="4">
        <v>35625</v>
      </c>
      <c r="E2650" s="6">
        <v>17.79</v>
      </c>
    </row>
    <row r="2651" spans="1:5" x14ac:dyDescent="0.25">
      <c r="A2651" s="4">
        <v>39659</v>
      </c>
      <c r="B2651" s="5">
        <v>636</v>
      </c>
      <c r="D2651" s="4">
        <v>35626</v>
      </c>
      <c r="E2651" s="6">
        <v>18.190000000000001</v>
      </c>
    </row>
    <row r="2652" spans="1:5" x14ac:dyDescent="0.25">
      <c r="A2652" s="4">
        <v>39660</v>
      </c>
      <c r="B2652" s="5">
        <v>648</v>
      </c>
      <c r="D2652" s="4">
        <v>35627</v>
      </c>
      <c r="E2652" s="6">
        <v>18.27</v>
      </c>
    </row>
    <row r="2653" spans="1:5" x14ac:dyDescent="0.25">
      <c r="A2653" s="4">
        <v>39661</v>
      </c>
      <c r="B2653" s="5">
        <v>663.5</v>
      </c>
      <c r="D2653" s="4">
        <v>35628</v>
      </c>
      <c r="E2653" s="6">
        <v>18.829999999999998</v>
      </c>
    </row>
    <row r="2654" spans="1:5" x14ac:dyDescent="0.25">
      <c r="A2654" s="4">
        <v>39664</v>
      </c>
      <c r="B2654" s="5">
        <v>659</v>
      </c>
      <c r="D2654" s="4">
        <v>35629</v>
      </c>
      <c r="E2654" s="6">
        <v>18.21</v>
      </c>
    </row>
    <row r="2655" spans="1:5" x14ac:dyDescent="0.25">
      <c r="A2655" s="4">
        <v>39665</v>
      </c>
      <c r="B2655" s="5">
        <v>631</v>
      </c>
      <c r="D2655" s="4">
        <v>35632</v>
      </c>
      <c r="E2655" s="6">
        <v>18.23</v>
      </c>
    </row>
    <row r="2656" spans="1:5" x14ac:dyDescent="0.25">
      <c r="A2656" s="4">
        <v>39666</v>
      </c>
      <c r="B2656" s="5">
        <v>623</v>
      </c>
      <c r="D2656" s="4">
        <v>35633</v>
      </c>
      <c r="E2656" s="6">
        <v>18.47</v>
      </c>
    </row>
    <row r="2657" spans="1:5" x14ac:dyDescent="0.25">
      <c r="A2657" s="4">
        <v>39667</v>
      </c>
      <c r="B2657" s="5">
        <v>619</v>
      </c>
      <c r="D2657" s="4">
        <v>35634</v>
      </c>
      <c r="E2657" s="6">
        <v>18.71</v>
      </c>
    </row>
    <row r="2658" spans="1:5" x14ac:dyDescent="0.25">
      <c r="A2658" s="4">
        <v>39668</v>
      </c>
      <c r="B2658" s="5">
        <v>572</v>
      </c>
      <c r="D2658" s="4">
        <v>35635</v>
      </c>
      <c r="E2658" s="6">
        <v>18.66</v>
      </c>
    </row>
    <row r="2659" spans="1:5" x14ac:dyDescent="0.25">
      <c r="A2659" s="4">
        <v>39671</v>
      </c>
      <c r="B2659" s="5">
        <v>575</v>
      </c>
      <c r="D2659" s="4">
        <v>35636</v>
      </c>
      <c r="E2659" s="6">
        <v>18.77</v>
      </c>
    </row>
    <row r="2660" spans="1:5" x14ac:dyDescent="0.25">
      <c r="A2660" s="4">
        <v>39672</v>
      </c>
      <c r="B2660" s="5">
        <v>569</v>
      </c>
      <c r="D2660" s="4">
        <v>35639</v>
      </c>
      <c r="E2660" s="6">
        <v>18.760000000000002</v>
      </c>
    </row>
    <row r="2661" spans="1:5" x14ac:dyDescent="0.25">
      <c r="A2661" s="4">
        <v>39673</v>
      </c>
      <c r="B2661" s="5">
        <v>581</v>
      </c>
      <c r="D2661" s="4">
        <v>35640</v>
      </c>
      <c r="E2661" s="6">
        <v>18.739999999999998</v>
      </c>
    </row>
    <row r="2662" spans="1:5" x14ac:dyDescent="0.25">
      <c r="A2662" s="4">
        <v>39674</v>
      </c>
      <c r="B2662" s="5">
        <v>603</v>
      </c>
      <c r="D2662" s="4">
        <v>35641</v>
      </c>
      <c r="E2662" s="6">
        <v>19.02</v>
      </c>
    </row>
    <row r="2663" spans="1:5" x14ac:dyDescent="0.25">
      <c r="A2663" s="4">
        <v>39675</v>
      </c>
      <c r="B2663" s="5">
        <v>579</v>
      </c>
      <c r="D2663" s="4">
        <v>35642</v>
      </c>
      <c r="E2663" s="6">
        <v>18.940000000000001</v>
      </c>
    </row>
    <row r="2664" spans="1:5" x14ac:dyDescent="0.25">
      <c r="A2664" s="4">
        <v>39678</v>
      </c>
      <c r="B2664" s="5">
        <v>590</v>
      </c>
      <c r="D2664" s="4">
        <v>35643</v>
      </c>
      <c r="E2664" s="6">
        <v>19.329999999999998</v>
      </c>
    </row>
    <row r="2665" spans="1:5" x14ac:dyDescent="0.25">
      <c r="A2665" s="4">
        <v>39679</v>
      </c>
      <c r="B2665" s="5">
        <v>605</v>
      </c>
      <c r="D2665" s="4">
        <v>35646</v>
      </c>
      <c r="E2665" s="6">
        <v>19.64</v>
      </c>
    </row>
    <row r="2666" spans="1:5" x14ac:dyDescent="0.25">
      <c r="A2666" s="4">
        <v>39680</v>
      </c>
      <c r="B2666" s="5">
        <v>602</v>
      </c>
      <c r="D2666" s="4">
        <v>35647</v>
      </c>
      <c r="E2666" s="6">
        <v>19.510000000000002</v>
      </c>
    </row>
    <row r="2667" spans="1:5" x14ac:dyDescent="0.25">
      <c r="A2667" s="4">
        <v>39681</v>
      </c>
      <c r="B2667" s="5">
        <v>634</v>
      </c>
      <c r="D2667" s="4">
        <v>35648</v>
      </c>
      <c r="E2667" s="6">
        <v>19.21</v>
      </c>
    </row>
    <row r="2668" spans="1:5" x14ac:dyDescent="0.25">
      <c r="A2668" s="4">
        <v>39682</v>
      </c>
      <c r="B2668" s="5">
        <v>614</v>
      </c>
      <c r="D2668" s="4">
        <v>35649</v>
      </c>
      <c r="E2668" s="6">
        <v>18.940000000000001</v>
      </c>
    </row>
    <row r="2669" spans="1:5" x14ac:dyDescent="0.25">
      <c r="A2669" s="4">
        <v>39686</v>
      </c>
      <c r="B2669" s="5">
        <v>623</v>
      </c>
      <c r="D2669" s="4">
        <v>35650</v>
      </c>
      <c r="E2669" s="6">
        <v>18.559999999999999</v>
      </c>
    </row>
    <row r="2670" spans="1:5" x14ac:dyDescent="0.25">
      <c r="A2670" s="4">
        <v>39687</v>
      </c>
      <c r="B2670" s="5">
        <v>623</v>
      </c>
      <c r="D2670" s="4">
        <v>35653</v>
      </c>
      <c r="E2670" s="6">
        <v>18.21</v>
      </c>
    </row>
    <row r="2671" spans="1:5" x14ac:dyDescent="0.25">
      <c r="A2671" s="4">
        <v>39688</v>
      </c>
      <c r="B2671" s="5">
        <v>635.5</v>
      </c>
      <c r="D2671" s="4">
        <v>35654</v>
      </c>
      <c r="E2671" s="6">
        <v>18.559999999999999</v>
      </c>
    </row>
    <row r="2672" spans="1:5" x14ac:dyDescent="0.25">
      <c r="A2672" s="4">
        <v>39689</v>
      </c>
      <c r="B2672" s="5">
        <v>635.5</v>
      </c>
      <c r="D2672" s="4">
        <v>35655</v>
      </c>
      <c r="E2672" s="6">
        <v>18.63</v>
      </c>
    </row>
    <row r="2673" spans="1:5" x14ac:dyDescent="0.25">
      <c r="A2673" s="4">
        <v>39692</v>
      </c>
      <c r="B2673" s="5">
        <v>612</v>
      </c>
      <c r="D2673" s="4">
        <v>35656</v>
      </c>
      <c r="E2673" s="6">
        <v>19</v>
      </c>
    </row>
    <row r="2674" spans="1:5" x14ac:dyDescent="0.25">
      <c r="A2674" s="4">
        <v>39693</v>
      </c>
      <c r="B2674" s="5">
        <v>602</v>
      </c>
      <c r="D2674" s="4">
        <v>35657</v>
      </c>
      <c r="E2674" s="6">
        <v>18.77</v>
      </c>
    </row>
    <row r="2675" spans="1:5" x14ac:dyDescent="0.25">
      <c r="A2675" s="4">
        <v>39694</v>
      </c>
      <c r="B2675" s="5">
        <v>586.5</v>
      </c>
      <c r="D2675" s="4">
        <v>35660</v>
      </c>
      <c r="E2675" s="6">
        <v>18.41</v>
      </c>
    </row>
    <row r="2676" spans="1:5" x14ac:dyDescent="0.25">
      <c r="A2676" s="4">
        <v>39695</v>
      </c>
      <c r="B2676" s="5">
        <v>576</v>
      </c>
      <c r="D2676" s="4">
        <v>35661</v>
      </c>
      <c r="E2676" s="6">
        <v>18.88</v>
      </c>
    </row>
    <row r="2677" spans="1:5" x14ac:dyDescent="0.25">
      <c r="A2677" s="4">
        <v>39696</v>
      </c>
      <c r="B2677" s="5">
        <v>560</v>
      </c>
      <c r="D2677" s="4">
        <v>35662</v>
      </c>
      <c r="E2677" s="6">
        <v>18.829999999999998</v>
      </c>
    </row>
    <row r="2678" spans="1:5" x14ac:dyDescent="0.25">
      <c r="A2678" s="4">
        <v>39699</v>
      </c>
      <c r="B2678" s="5">
        <v>561</v>
      </c>
      <c r="D2678" s="4">
        <v>35663</v>
      </c>
      <c r="E2678" s="6">
        <v>18.260000000000002</v>
      </c>
    </row>
    <row r="2679" spans="1:5" x14ac:dyDescent="0.25">
      <c r="A2679" s="4">
        <v>39700</v>
      </c>
      <c r="B2679" s="5">
        <v>540</v>
      </c>
      <c r="D2679" s="4">
        <v>35664</v>
      </c>
      <c r="E2679" s="5"/>
    </row>
    <row r="2680" spans="1:5" x14ac:dyDescent="0.25">
      <c r="A2680" s="4">
        <v>39701</v>
      </c>
      <c r="B2680" s="5">
        <v>534</v>
      </c>
      <c r="D2680" s="4">
        <v>35667</v>
      </c>
      <c r="E2680" s="6">
        <v>17.87</v>
      </c>
    </row>
    <row r="2681" spans="1:5" x14ac:dyDescent="0.25">
      <c r="A2681" s="4">
        <v>39702</v>
      </c>
      <c r="B2681" s="5">
        <v>527</v>
      </c>
      <c r="D2681" s="4">
        <v>35668</v>
      </c>
      <c r="E2681" s="6">
        <v>17.579999999999998</v>
      </c>
    </row>
    <row r="2682" spans="1:5" x14ac:dyDescent="0.25">
      <c r="A2682" s="4">
        <v>39703</v>
      </c>
      <c r="B2682" s="5">
        <v>528</v>
      </c>
      <c r="D2682" s="4">
        <v>35669</v>
      </c>
      <c r="E2682" s="6">
        <v>17.829999999999998</v>
      </c>
    </row>
    <row r="2683" spans="1:5" x14ac:dyDescent="0.25">
      <c r="A2683" s="4">
        <v>39706</v>
      </c>
      <c r="B2683" s="5">
        <v>494</v>
      </c>
      <c r="D2683" s="4">
        <v>35670</v>
      </c>
      <c r="E2683" s="6">
        <v>17.91</v>
      </c>
    </row>
    <row r="2684" spans="1:5" x14ac:dyDescent="0.25">
      <c r="A2684" s="4">
        <v>39707</v>
      </c>
      <c r="B2684" s="5">
        <v>461</v>
      </c>
      <c r="D2684" s="4">
        <v>35671</v>
      </c>
      <c r="E2684" s="6">
        <v>17.98</v>
      </c>
    </row>
    <row r="2685" spans="1:5" x14ac:dyDescent="0.25">
      <c r="A2685" s="4">
        <v>39708</v>
      </c>
      <c r="B2685" s="5">
        <v>458</v>
      </c>
      <c r="D2685" s="4">
        <v>35674</v>
      </c>
      <c r="E2685" s="5"/>
    </row>
    <row r="2686" spans="1:5" x14ac:dyDescent="0.25">
      <c r="A2686" s="4">
        <v>39709</v>
      </c>
      <c r="B2686" s="5">
        <v>486</v>
      </c>
      <c r="D2686" s="4">
        <v>35675</v>
      </c>
      <c r="E2686" s="6">
        <v>18.22</v>
      </c>
    </row>
    <row r="2687" spans="1:5" x14ac:dyDescent="0.25">
      <c r="A2687" s="4">
        <v>39710</v>
      </c>
      <c r="B2687" s="5">
        <v>503</v>
      </c>
      <c r="D2687" s="4">
        <v>35676</v>
      </c>
      <c r="E2687" s="6">
        <v>18.12</v>
      </c>
    </row>
    <row r="2688" spans="1:5" x14ac:dyDescent="0.25">
      <c r="A2688" s="4">
        <v>39713</v>
      </c>
      <c r="B2688" s="5">
        <v>551</v>
      </c>
      <c r="D2688" s="4">
        <v>35677</v>
      </c>
      <c r="E2688" s="6">
        <v>17.920000000000002</v>
      </c>
    </row>
    <row r="2689" spans="1:5" x14ac:dyDescent="0.25">
      <c r="A2689" s="4">
        <v>39714</v>
      </c>
      <c r="B2689" s="5">
        <v>553</v>
      </c>
      <c r="D2689" s="4">
        <v>35678</v>
      </c>
      <c r="E2689" s="6">
        <v>18.149999999999999</v>
      </c>
    </row>
    <row r="2690" spans="1:5" x14ac:dyDescent="0.25">
      <c r="A2690" s="4">
        <v>39715</v>
      </c>
      <c r="B2690" s="5">
        <v>551</v>
      </c>
      <c r="D2690" s="4">
        <v>35681</v>
      </c>
      <c r="E2690" s="6">
        <v>18.03</v>
      </c>
    </row>
    <row r="2691" spans="1:5" x14ac:dyDescent="0.25">
      <c r="A2691" s="4">
        <v>39716</v>
      </c>
      <c r="B2691" s="5">
        <v>546</v>
      </c>
      <c r="D2691" s="4">
        <v>35682</v>
      </c>
      <c r="E2691" s="6">
        <v>18.18</v>
      </c>
    </row>
    <row r="2692" spans="1:5" x14ac:dyDescent="0.25">
      <c r="A2692" s="4">
        <v>39717</v>
      </c>
      <c r="B2692" s="5">
        <v>550</v>
      </c>
      <c r="D2692" s="4">
        <v>35683</v>
      </c>
      <c r="E2692" s="6">
        <v>18.079999999999998</v>
      </c>
    </row>
    <row r="2693" spans="1:5" x14ac:dyDescent="0.25">
      <c r="A2693" s="4">
        <v>39720</v>
      </c>
      <c r="B2693" s="5">
        <v>534</v>
      </c>
      <c r="D2693" s="4">
        <v>35684</v>
      </c>
      <c r="E2693" s="6">
        <v>18.21</v>
      </c>
    </row>
    <row r="2694" spans="1:5" x14ac:dyDescent="0.25">
      <c r="A2694" s="4">
        <v>39721</v>
      </c>
      <c r="B2694" s="5">
        <v>542</v>
      </c>
      <c r="D2694" s="4">
        <v>35685</v>
      </c>
      <c r="E2694" s="6">
        <v>18.059999999999999</v>
      </c>
    </row>
    <row r="2695" spans="1:5" x14ac:dyDescent="0.25">
      <c r="A2695" s="4">
        <v>39722</v>
      </c>
      <c r="B2695" s="5">
        <v>524</v>
      </c>
      <c r="D2695" s="4">
        <v>35688</v>
      </c>
      <c r="E2695" s="6">
        <v>18.05</v>
      </c>
    </row>
    <row r="2696" spans="1:5" x14ac:dyDescent="0.25">
      <c r="A2696" s="4">
        <v>39723</v>
      </c>
      <c r="B2696" s="5">
        <v>500</v>
      </c>
      <c r="D2696" s="4">
        <v>35689</v>
      </c>
      <c r="E2696" s="6">
        <v>18.399999999999999</v>
      </c>
    </row>
    <row r="2697" spans="1:5" x14ac:dyDescent="0.25">
      <c r="A2697" s="4">
        <v>39724</v>
      </c>
      <c r="B2697" s="5">
        <v>493</v>
      </c>
      <c r="D2697" s="4">
        <v>35690</v>
      </c>
      <c r="E2697" s="6">
        <v>18.21</v>
      </c>
    </row>
    <row r="2698" spans="1:5" x14ac:dyDescent="0.25">
      <c r="A2698" s="4">
        <v>39727</v>
      </c>
      <c r="B2698" s="5">
        <v>460</v>
      </c>
      <c r="D2698" s="4">
        <v>35691</v>
      </c>
      <c r="E2698" s="6">
        <v>18.14</v>
      </c>
    </row>
    <row r="2699" spans="1:5" x14ac:dyDescent="0.25">
      <c r="A2699" s="4">
        <v>39728</v>
      </c>
      <c r="B2699" s="5">
        <v>462</v>
      </c>
      <c r="D2699" s="4">
        <v>35692</v>
      </c>
      <c r="E2699" s="6">
        <v>18.32</v>
      </c>
    </row>
    <row r="2700" spans="1:5" x14ac:dyDescent="0.25">
      <c r="A2700" s="4">
        <v>39729</v>
      </c>
      <c r="B2700" s="5">
        <v>426</v>
      </c>
      <c r="D2700" s="4">
        <v>35695</v>
      </c>
      <c r="E2700" s="6">
        <v>18.649999999999999</v>
      </c>
    </row>
    <row r="2701" spans="1:5" x14ac:dyDescent="0.25">
      <c r="A2701" s="4">
        <v>39730</v>
      </c>
      <c r="B2701" s="5">
        <v>418</v>
      </c>
      <c r="D2701" s="4">
        <v>35696</v>
      </c>
      <c r="E2701" s="6">
        <v>18.57</v>
      </c>
    </row>
    <row r="2702" spans="1:5" x14ac:dyDescent="0.25">
      <c r="A2702" s="4">
        <v>39731</v>
      </c>
      <c r="B2702" s="5">
        <v>393</v>
      </c>
      <c r="D2702" s="4">
        <v>35697</v>
      </c>
      <c r="E2702" s="6">
        <v>18.52</v>
      </c>
    </row>
    <row r="2703" spans="1:5" x14ac:dyDescent="0.25">
      <c r="A2703" s="4">
        <v>39734</v>
      </c>
      <c r="B2703" s="5">
        <v>394</v>
      </c>
      <c r="D2703" s="4">
        <v>35698</v>
      </c>
      <c r="E2703" s="6">
        <v>19.05</v>
      </c>
    </row>
    <row r="2704" spans="1:5" x14ac:dyDescent="0.25">
      <c r="A2704" s="4">
        <v>39735</v>
      </c>
      <c r="B2704" s="5">
        <v>388</v>
      </c>
      <c r="D2704" s="4">
        <v>35699</v>
      </c>
      <c r="E2704" s="6">
        <v>19.36</v>
      </c>
    </row>
    <row r="2705" spans="1:5" x14ac:dyDescent="0.25">
      <c r="A2705" s="4">
        <v>39736</v>
      </c>
      <c r="B2705" s="5">
        <v>357</v>
      </c>
      <c r="D2705" s="4">
        <v>35702</v>
      </c>
      <c r="E2705" s="6">
        <v>19.48</v>
      </c>
    </row>
    <row r="2706" spans="1:5" x14ac:dyDescent="0.25">
      <c r="A2706" s="4">
        <v>39737</v>
      </c>
      <c r="B2706" s="5">
        <v>325</v>
      </c>
      <c r="D2706" s="4">
        <v>35703</v>
      </c>
      <c r="E2706" s="6">
        <v>19.96</v>
      </c>
    </row>
    <row r="2707" spans="1:5" x14ac:dyDescent="0.25">
      <c r="A2707" s="4">
        <v>39738</v>
      </c>
      <c r="B2707" s="5">
        <v>319</v>
      </c>
      <c r="D2707" s="4">
        <v>35704</v>
      </c>
      <c r="E2707" s="6">
        <v>19.87</v>
      </c>
    </row>
    <row r="2708" spans="1:5" x14ac:dyDescent="0.25">
      <c r="A2708" s="4">
        <v>39741</v>
      </c>
      <c r="B2708" s="5">
        <v>333</v>
      </c>
      <c r="D2708" s="4">
        <v>35705</v>
      </c>
      <c r="E2708" s="6">
        <v>20.079999999999998</v>
      </c>
    </row>
    <row r="2709" spans="1:5" x14ac:dyDescent="0.25">
      <c r="A2709" s="4">
        <v>39742</v>
      </c>
      <c r="B2709" s="5">
        <v>324</v>
      </c>
      <c r="D2709" s="4">
        <v>35706</v>
      </c>
      <c r="E2709" s="6">
        <v>21.29</v>
      </c>
    </row>
    <row r="2710" spans="1:5" x14ac:dyDescent="0.25">
      <c r="A2710" s="4">
        <v>39743</v>
      </c>
      <c r="B2710" s="5">
        <v>307</v>
      </c>
      <c r="D2710" s="4">
        <v>35709</v>
      </c>
      <c r="E2710" s="6">
        <v>20.94</v>
      </c>
    </row>
    <row r="2711" spans="1:5" x14ac:dyDescent="0.25">
      <c r="A2711" s="4">
        <v>39744</v>
      </c>
      <c r="B2711" s="5">
        <v>308</v>
      </c>
      <c r="D2711" s="4">
        <v>35710</v>
      </c>
      <c r="E2711" s="6">
        <v>20.71</v>
      </c>
    </row>
    <row r="2712" spans="1:5" x14ac:dyDescent="0.25">
      <c r="A2712" s="4">
        <v>39745</v>
      </c>
      <c r="B2712" s="5">
        <v>272</v>
      </c>
      <c r="D2712" s="4">
        <v>35711</v>
      </c>
      <c r="E2712" s="6">
        <v>20.79</v>
      </c>
    </row>
    <row r="2713" spans="1:5" x14ac:dyDescent="0.25">
      <c r="A2713" s="4">
        <v>39748</v>
      </c>
      <c r="B2713" s="5">
        <v>271</v>
      </c>
      <c r="D2713" s="4">
        <v>35712</v>
      </c>
      <c r="E2713" s="6">
        <v>20.6</v>
      </c>
    </row>
    <row r="2714" spans="1:5" x14ac:dyDescent="0.25">
      <c r="A2714" s="4">
        <v>39749</v>
      </c>
      <c r="B2714" s="5">
        <v>271</v>
      </c>
      <c r="D2714" s="4">
        <v>35713</v>
      </c>
      <c r="E2714" s="6">
        <v>20.73</v>
      </c>
    </row>
    <row r="2715" spans="1:5" x14ac:dyDescent="0.25">
      <c r="A2715" s="4">
        <v>39750</v>
      </c>
      <c r="B2715" s="5">
        <v>285</v>
      </c>
      <c r="D2715" s="4">
        <v>35716</v>
      </c>
      <c r="E2715" s="6">
        <v>20.079999999999998</v>
      </c>
    </row>
    <row r="2716" spans="1:5" x14ac:dyDescent="0.25">
      <c r="A2716" s="4">
        <v>39751</v>
      </c>
      <c r="B2716" s="5">
        <v>250.5</v>
      </c>
      <c r="D2716" s="4">
        <v>35717</v>
      </c>
      <c r="E2716" s="6">
        <v>19.399999999999999</v>
      </c>
    </row>
    <row r="2717" spans="1:5" x14ac:dyDescent="0.25">
      <c r="A2717" s="4">
        <v>39752</v>
      </c>
      <c r="B2717" s="5">
        <v>236</v>
      </c>
      <c r="D2717" s="4">
        <v>35718</v>
      </c>
      <c r="E2717" s="6">
        <v>19.27</v>
      </c>
    </row>
    <row r="2718" spans="1:5" x14ac:dyDescent="0.25">
      <c r="A2718" s="4">
        <v>39755</v>
      </c>
      <c r="B2718" s="5">
        <v>241</v>
      </c>
      <c r="D2718" s="4">
        <v>35719</v>
      </c>
      <c r="E2718" s="6">
        <v>19.559999999999999</v>
      </c>
    </row>
    <row r="2719" spans="1:5" x14ac:dyDescent="0.25">
      <c r="A2719" s="4">
        <v>39756</v>
      </c>
      <c r="B2719" s="5">
        <v>254</v>
      </c>
      <c r="D2719" s="4">
        <v>35720</v>
      </c>
      <c r="E2719" s="6">
        <v>19.43</v>
      </c>
    </row>
    <row r="2720" spans="1:5" x14ac:dyDescent="0.25">
      <c r="A2720" s="4">
        <v>39757</v>
      </c>
      <c r="B2720" s="5">
        <v>236</v>
      </c>
      <c r="D2720" s="4">
        <v>35723</v>
      </c>
      <c r="E2720" s="6">
        <v>19.29</v>
      </c>
    </row>
    <row r="2721" spans="1:5" x14ac:dyDescent="0.25">
      <c r="A2721" s="4">
        <v>39758</v>
      </c>
      <c r="B2721" s="5">
        <v>220</v>
      </c>
      <c r="D2721" s="4">
        <v>35724</v>
      </c>
      <c r="E2721" s="6">
        <v>19.3</v>
      </c>
    </row>
    <row r="2722" spans="1:5" x14ac:dyDescent="0.25">
      <c r="A2722" s="4">
        <v>39759</v>
      </c>
      <c r="B2722" s="5">
        <v>213</v>
      </c>
      <c r="D2722" s="4">
        <v>35725</v>
      </c>
      <c r="E2722" s="6">
        <v>19.86</v>
      </c>
    </row>
    <row r="2723" spans="1:5" x14ac:dyDescent="0.25">
      <c r="A2723" s="4">
        <v>39762</v>
      </c>
      <c r="B2723" s="5">
        <v>220</v>
      </c>
      <c r="D2723" s="4">
        <v>35726</v>
      </c>
      <c r="E2723" s="6">
        <v>19.89</v>
      </c>
    </row>
    <row r="2724" spans="1:5" x14ac:dyDescent="0.25">
      <c r="A2724" s="4">
        <v>39763</v>
      </c>
      <c r="B2724" s="5">
        <v>201</v>
      </c>
      <c r="D2724" s="4">
        <v>35727</v>
      </c>
      <c r="E2724" s="6">
        <v>19.45</v>
      </c>
    </row>
    <row r="2725" spans="1:5" x14ac:dyDescent="0.25">
      <c r="A2725" s="4">
        <v>39764</v>
      </c>
      <c r="B2725" s="5">
        <v>196</v>
      </c>
      <c r="D2725" s="4">
        <v>35730</v>
      </c>
      <c r="E2725" s="6">
        <v>19.63</v>
      </c>
    </row>
    <row r="2726" spans="1:5" x14ac:dyDescent="0.25">
      <c r="A2726" s="4">
        <v>39765</v>
      </c>
      <c r="B2726" s="5">
        <v>192.5</v>
      </c>
      <c r="D2726" s="4">
        <v>35731</v>
      </c>
      <c r="E2726" s="6">
        <v>18.86</v>
      </c>
    </row>
    <row r="2727" spans="1:5" x14ac:dyDescent="0.25">
      <c r="A2727" s="4">
        <v>39766</v>
      </c>
      <c r="B2727" s="5">
        <v>187</v>
      </c>
      <c r="D2727" s="4">
        <v>35732</v>
      </c>
      <c r="E2727" s="6">
        <v>19</v>
      </c>
    </row>
    <row r="2728" spans="1:5" x14ac:dyDescent="0.25">
      <c r="A2728" s="4">
        <v>39769</v>
      </c>
      <c r="B2728" s="5">
        <v>206</v>
      </c>
      <c r="D2728" s="4">
        <v>35733</v>
      </c>
      <c r="E2728" s="6">
        <v>19.45</v>
      </c>
    </row>
    <row r="2729" spans="1:5" x14ac:dyDescent="0.25">
      <c r="A2729" s="4">
        <v>39770</v>
      </c>
      <c r="B2729" s="5">
        <v>202</v>
      </c>
      <c r="D2729" s="4">
        <v>35734</v>
      </c>
      <c r="E2729" s="6">
        <v>19.420000000000002</v>
      </c>
    </row>
    <row r="2730" spans="1:5" x14ac:dyDescent="0.25">
      <c r="A2730" s="4">
        <v>39771</v>
      </c>
      <c r="B2730" s="5">
        <v>204</v>
      </c>
      <c r="D2730" s="4">
        <v>35737</v>
      </c>
      <c r="E2730" s="6">
        <v>19.48</v>
      </c>
    </row>
    <row r="2731" spans="1:5" x14ac:dyDescent="0.25">
      <c r="A2731" s="4">
        <v>39772</v>
      </c>
      <c r="B2731" s="5">
        <v>188</v>
      </c>
      <c r="D2731" s="4">
        <v>35738</v>
      </c>
      <c r="E2731" s="6">
        <v>19.100000000000001</v>
      </c>
    </row>
    <row r="2732" spans="1:5" x14ac:dyDescent="0.25">
      <c r="A2732" s="4">
        <v>39773</v>
      </c>
      <c r="B2732" s="5">
        <v>182.5</v>
      </c>
      <c r="D2732" s="4">
        <v>35739</v>
      </c>
      <c r="E2732" s="6">
        <v>18.93</v>
      </c>
    </row>
    <row r="2733" spans="1:5" x14ac:dyDescent="0.25">
      <c r="A2733" s="4">
        <v>39776</v>
      </c>
      <c r="B2733" s="5">
        <v>208</v>
      </c>
      <c r="D2733" s="4">
        <v>35740</v>
      </c>
      <c r="E2733" s="6">
        <v>18.97</v>
      </c>
    </row>
    <row r="2734" spans="1:5" x14ac:dyDescent="0.25">
      <c r="A2734" s="4">
        <v>39777</v>
      </c>
      <c r="B2734" s="5">
        <v>203</v>
      </c>
      <c r="D2734" s="4">
        <v>35741</v>
      </c>
      <c r="E2734" s="6">
        <v>19.239999999999998</v>
      </c>
    </row>
    <row r="2735" spans="1:5" x14ac:dyDescent="0.25">
      <c r="A2735" s="4">
        <v>39778</v>
      </c>
      <c r="B2735" s="5">
        <v>214</v>
      </c>
      <c r="D2735" s="4">
        <v>35744</v>
      </c>
      <c r="E2735" s="6">
        <v>19.14</v>
      </c>
    </row>
    <row r="2736" spans="1:5" x14ac:dyDescent="0.25">
      <c r="A2736" s="4">
        <v>39779</v>
      </c>
      <c r="B2736" s="5">
        <v>218</v>
      </c>
      <c r="D2736" s="4">
        <v>35745</v>
      </c>
      <c r="E2736" s="5"/>
    </row>
    <row r="2737" spans="1:5" x14ac:dyDescent="0.25">
      <c r="A2737" s="4">
        <v>39780</v>
      </c>
      <c r="B2737" s="5">
        <v>201</v>
      </c>
      <c r="D2737" s="4">
        <v>35746</v>
      </c>
      <c r="E2737" s="6">
        <v>19.260000000000002</v>
      </c>
    </row>
    <row r="2738" spans="1:5" x14ac:dyDescent="0.25">
      <c r="A2738" s="4">
        <v>39783</v>
      </c>
      <c r="B2738" s="5">
        <v>209</v>
      </c>
      <c r="D2738" s="4">
        <v>35747</v>
      </c>
      <c r="E2738" s="6">
        <v>19.71</v>
      </c>
    </row>
    <row r="2739" spans="1:5" x14ac:dyDescent="0.25">
      <c r="A2739" s="4">
        <v>39784</v>
      </c>
      <c r="B2739" s="5">
        <v>196</v>
      </c>
      <c r="D2739" s="4">
        <v>35748</v>
      </c>
      <c r="E2739" s="6">
        <v>20.239999999999998</v>
      </c>
    </row>
    <row r="2740" spans="1:5" x14ac:dyDescent="0.25">
      <c r="A2740" s="4">
        <v>39785</v>
      </c>
      <c r="B2740" s="5">
        <v>191</v>
      </c>
      <c r="D2740" s="4">
        <v>35751</v>
      </c>
      <c r="E2740" s="6">
        <v>19.54</v>
      </c>
    </row>
    <row r="2741" spans="1:5" x14ac:dyDescent="0.25">
      <c r="A2741" s="4">
        <v>39786</v>
      </c>
      <c r="B2741" s="5">
        <v>184</v>
      </c>
      <c r="D2741" s="4">
        <v>35752</v>
      </c>
      <c r="E2741" s="6">
        <v>19.39</v>
      </c>
    </row>
    <row r="2742" spans="1:5" x14ac:dyDescent="0.25">
      <c r="A2742" s="4">
        <v>39787</v>
      </c>
      <c r="B2742" s="5">
        <v>166</v>
      </c>
      <c r="D2742" s="4">
        <v>35753</v>
      </c>
      <c r="E2742" s="6">
        <v>19.41</v>
      </c>
    </row>
    <row r="2743" spans="1:5" x14ac:dyDescent="0.25">
      <c r="A2743" s="4">
        <v>39790</v>
      </c>
      <c r="B2743" s="5">
        <v>183</v>
      </c>
      <c r="D2743" s="4">
        <v>35754</v>
      </c>
      <c r="E2743" s="6">
        <v>18.82</v>
      </c>
    </row>
    <row r="2744" spans="1:5" x14ac:dyDescent="0.25">
      <c r="A2744" s="4">
        <v>39791</v>
      </c>
      <c r="B2744" s="5">
        <v>183</v>
      </c>
      <c r="D2744" s="4">
        <v>35755</v>
      </c>
      <c r="E2744" s="6">
        <v>18.829999999999998</v>
      </c>
    </row>
    <row r="2745" spans="1:5" x14ac:dyDescent="0.25">
      <c r="A2745" s="4">
        <v>39792</v>
      </c>
      <c r="B2745" s="5">
        <v>179</v>
      </c>
      <c r="D2745" s="4">
        <v>35758</v>
      </c>
      <c r="E2745" s="6">
        <v>19.010000000000002</v>
      </c>
    </row>
    <row r="2746" spans="1:5" x14ac:dyDescent="0.25">
      <c r="A2746" s="4">
        <v>39793</v>
      </c>
      <c r="B2746" s="5">
        <v>210</v>
      </c>
      <c r="D2746" s="4">
        <v>35759</v>
      </c>
      <c r="E2746" s="6">
        <v>19.14</v>
      </c>
    </row>
    <row r="2747" spans="1:5" x14ac:dyDescent="0.25">
      <c r="A2747" s="4">
        <v>39794</v>
      </c>
      <c r="B2747" s="5">
        <v>194</v>
      </c>
      <c r="D2747" s="4">
        <v>35760</v>
      </c>
      <c r="E2747" s="6">
        <v>18.5</v>
      </c>
    </row>
    <row r="2748" spans="1:5" x14ac:dyDescent="0.25">
      <c r="A2748" s="4">
        <v>39797</v>
      </c>
      <c r="B2748" s="5">
        <v>211</v>
      </c>
      <c r="D2748" s="4">
        <v>35761</v>
      </c>
      <c r="E2748" s="6">
        <v>18.64</v>
      </c>
    </row>
    <row r="2749" spans="1:5" x14ac:dyDescent="0.25">
      <c r="A2749" s="4">
        <v>39798</v>
      </c>
      <c r="B2749" s="5">
        <v>193</v>
      </c>
      <c r="D2749" s="4">
        <v>35762</v>
      </c>
      <c r="E2749" s="6">
        <v>18.96</v>
      </c>
    </row>
    <row r="2750" spans="1:5" x14ac:dyDescent="0.25">
      <c r="A2750" s="4">
        <v>39799</v>
      </c>
      <c r="B2750" s="5">
        <v>191</v>
      </c>
      <c r="D2750" s="4">
        <v>35765</v>
      </c>
      <c r="E2750" s="6">
        <v>18.010000000000002</v>
      </c>
    </row>
    <row r="2751" spans="1:5" x14ac:dyDescent="0.25">
      <c r="A2751" s="4">
        <v>39800</v>
      </c>
      <c r="B2751" s="5">
        <v>182.5</v>
      </c>
      <c r="D2751" s="4">
        <v>35766</v>
      </c>
      <c r="E2751" s="6">
        <v>18.04</v>
      </c>
    </row>
    <row r="2752" spans="1:5" x14ac:dyDescent="0.25">
      <c r="A2752" s="4">
        <v>39801</v>
      </c>
      <c r="B2752" s="5">
        <v>168.5</v>
      </c>
      <c r="D2752" s="4">
        <v>35767</v>
      </c>
      <c r="E2752" s="6">
        <v>17.940000000000001</v>
      </c>
    </row>
    <row r="2753" spans="1:5" x14ac:dyDescent="0.25">
      <c r="A2753" s="4">
        <v>39804</v>
      </c>
      <c r="B2753" s="5">
        <v>166</v>
      </c>
      <c r="D2753" s="4">
        <v>35768</v>
      </c>
      <c r="E2753" s="6">
        <v>17.7</v>
      </c>
    </row>
    <row r="2754" spans="1:5" x14ac:dyDescent="0.25">
      <c r="A2754" s="4">
        <v>39805</v>
      </c>
      <c r="B2754" s="5">
        <v>156</v>
      </c>
      <c r="D2754" s="4">
        <v>35769</v>
      </c>
      <c r="E2754" s="6">
        <v>17.91</v>
      </c>
    </row>
    <row r="2755" spans="1:5" x14ac:dyDescent="0.25">
      <c r="A2755" s="4">
        <v>39806</v>
      </c>
      <c r="B2755" s="5">
        <v>136</v>
      </c>
      <c r="D2755" s="4">
        <v>35772</v>
      </c>
      <c r="E2755" s="6">
        <v>17.87</v>
      </c>
    </row>
    <row r="2756" spans="1:5" x14ac:dyDescent="0.25">
      <c r="A2756" s="4">
        <v>39815</v>
      </c>
      <c r="B2756" s="5">
        <v>167</v>
      </c>
      <c r="D2756" s="4">
        <v>35773</v>
      </c>
      <c r="E2756" s="6">
        <v>17.57</v>
      </c>
    </row>
    <row r="2757" spans="1:5" x14ac:dyDescent="0.25">
      <c r="A2757" s="4">
        <v>39818</v>
      </c>
      <c r="B2757" s="5">
        <v>205.5</v>
      </c>
      <c r="D2757" s="4">
        <v>35774</v>
      </c>
      <c r="E2757" s="6">
        <v>17.079999999999998</v>
      </c>
    </row>
    <row r="2758" spans="1:5" x14ac:dyDescent="0.25">
      <c r="A2758" s="4">
        <v>39819</v>
      </c>
      <c r="B2758" s="5">
        <v>229</v>
      </c>
      <c r="D2758" s="4">
        <v>35775</v>
      </c>
      <c r="E2758" s="6">
        <v>16.98</v>
      </c>
    </row>
    <row r="2759" spans="1:5" x14ac:dyDescent="0.25">
      <c r="A2759" s="4">
        <v>39820</v>
      </c>
      <c r="B2759" s="5">
        <v>219</v>
      </c>
      <c r="D2759" s="4">
        <v>35776</v>
      </c>
      <c r="E2759" s="6">
        <v>17.12</v>
      </c>
    </row>
    <row r="2760" spans="1:5" x14ac:dyDescent="0.25">
      <c r="A2760" s="4">
        <v>39821</v>
      </c>
      <c r="B2760" s="5">
        <v>207</v>
      </c>
      <c r="D2760" s="4">
        <v>35779</v>
      </c>
      <c r="E2760" s="6">
        <v>16.89</v>
      </c>
    </row>
    <row r="2761" spans="1:5" x14ac:dyDescent="0.25">
      <c r="A2761" s="4">
        <v>39822</v>
      </c>
      <c r="B2761" s="5">
        <v>198</v>
      </c>
      <c r="D2761" s="4">
        <v>35780</v>
      </c>
      <c r="E2761" s="6">
        <v>16.8</v>
      </c>
    </row>
    <row r="2762" spans="1:5" x14ac:dyDescent="0.25">
      <c r="A2762" s="4">
        <v>39825</v>
      </c>
      <c r="B2762" s="5">
        <v>200</v>
      </c>
      <c r="D2762" s="4">
        <v>35781</v>
      </c>
      <c r="E2762" s="6">
        <v>16.98</v>
      </c>
    </row>
    <row r="2763" spans="1:5" x14ac:dyDescent="0.25">
      <c r="A2763" s="4">
        <v>39826</v>
      </c>
      <c r="B2763" s="5">
        <v>231</v>
      </c>
      <c r="D2763" s="4">
        <v>35782</v>
      </c>
      <c r="E2763" s="6">
        <v>17.34</v>
      </c>
    </row>
    <row r="2764" spans="1:5" x14ac:dyDescent="0.25">
      <c r="A2764" s="4">
        <v>39827</v>
      </c>
      <c r="B2764" s="5">
        <v>220</v>
      </c>
      <c r="D2764" s="4">
        <v>35783</v>
      </c>
      <c r="E2764" s="6">
        <v>17.2</v>
      </c>
    </row>
    <row r="2765" spans="1:5" x14ac:dyDescent="0.25">
      <c r="A2765" s="4">
        <v>39828</v>
      </c>
      <c r="B2765" s="5">
        <v>219.5</v>
      </c>
      <c r="D2765" s="4">
        <v>35786</v>
      </c>
      <c r="E2765" s="6">
        <v>17.04</v>
      </c>
    </row>
    <row r="2766" spans="1:5" x14ac:dyDescent="0.25">
      <c r="A2766" s="4">
        <v>39829</v>
      </c>
      <c r="B2766" s="5">
        <v>224</v>
      </c>
      <c r="D2766" s="4">
        <v>35787</v>
      </c>
      <c r="E2766" s="6">
        <v>17.09</v>
      </c>
    </row>
    <row r="2767" spans="1:5" x14ac:dyDescent="0.25">
      <c r="A2767" s="4">
        <v>39832</v>
      </c>
      <c r="B2767" s="5">
        <v>220</v>
      </c>
      <c r="D2767" s="4">
        <v>35788</v>
      </c>
      <c r="E2767" s="6">
        <v>17.04</v>
      </c>
    </row>
    <row r="2768" spans="1:5" x14ac:dyDescent="0.25">
      <c r="A2768" s="4">
        <v>39833</v>
      </c>
      <c r="B2768" s="5">
        <v>219</v>
      </c>
      <c r="D2768" s="4">
        <v>35789</v>
      </c>
      <c r="E2768" s="5"/>
    </row>
    <row r="2769" spans="1:5" x14ac:dyDescent="0.25">
      <c r="A2769" s="4">
        <v>39834</v>
      </c>
      <c r="B2769" s="5">
        <v>217</v>
      </c>
      <c r="D2769" s="4">
        <v>35790</v>
      </c>
      <c r="E2769" s="5"/>
    </row>
    <row r="2770" spans="1:5" x14ac:dyDescent="0.25">
      <c r="A2770" s="4">
        <v>39835</v>
      </c>
      <c r="B2770" s="5">
        <v>213</v>
      </c>
      <c r="D2770" s="4">
        <v>35793</v>
      </c>
      <c r="E2770" s="6">
        <v>16.350000000000001</v>
      </c>
    </row>
    <row r="2771" spans="1:5" x14ac:dyDescent="0.25">
      <c r="A2771" s="4">
        <v>39836</v>
      </c>
      <c r="B2771" s="5">
        <v>220</v>
      </c>
      <c r="D2771" s="4">
        <v>35794</v>
      </c>
      <c r="E2771" s="6">
        <v>16.010000000000002</v>
      </c>
    </row>
    <row r="2772" spans="1:5" x14ac:dyDescent="0.25">
      <c r="A2772" s="4">
        <v>39839</v>
      </c>
      <c r="B2772" s="5">
        <v>252.5</v>
      </c>
      <c r="D2772" s="4">
        <v>35795</v>
      </c>
      <c r="E2772" s="6">
        <v>15.86</v>
      </c>
    </row>
    <row r="2773" spans="1:5" x14ac:dyDescent="0.25">
      <c r="A2773" s="4">
        <v>39840</v>
      </c>
      <c r="B2773" s="5">
        <v>239</v>
      </c>
      <c r="D2773" s="4">
        <v>35796</v>
      </c>
      <c r="E2773" s="5"/>
    </row>
    <row r="2774" spans="1:5" x14ac:dyDescent="0.25">
      <c r="A2774" s="4">
        <v>39841</v>
      </c>
      <c r="B2774" s="5">
        <v>242</v>
      </c>
      <c r="D2774" s="4">
        <v>35797</v>
      </c>
      <c r="E2774" s="6">
        <v>15.77</v>
      </c>
    </row>
    <row r="2775" spans="1:5" x14ac:dyDescent="0.25">
      <c r="A2775" s="4">
        <v>39842</v>
      </c>
      <c r="B2775" s="5">
        <v>243</v>
      </c>
      <c r="D2775" s="4">
        <v>35800</v>
      </c>
      <c r="E2775" s="6">
        <v>15.29</v>
      </c>
    </row>
    <row r="2776" spans="1:5" x14ac:dyDescent="0.25">
      <c r="A2776" s="4">
        <v>39843</v>
      </c>
      <c r="B2776" s="5">
        <v>245</v>
      </c>
      <c r="D2776" s="4">
        <v>35801</v>
      </c>
      <c r="E2776" s="6">
        <v>15.48</v>
      </c>
    </row>
    <row r="2777" spans="1:5" x14ac:dyDescent="0.25">
      <c r="A2777" s="4">
        <v>39846</v>
      </c>
      <c r="B2777" s="5">
        <v>235</v>
      </c>
      <c r="D2777" s="4">
        <v>35802</v>
      </c>
      <c r="E2777" s="6">
        <v>15.33</v>
      </c>
    </row>
    <row r="2778" spans="1:5" x14ac:dyDescent="0.25">
      <c r="A2778" s="4">
        <v>39847</v>
      </c>
      <c r="B2778" s="5">
        <v>237</v>
      </c>
      <c r="D2778" s="4">
        <v>35803</v>
      </c>
      <c r="E2778" s="6">
        <v>15.47</v>
      </c>
    </row>
    <row r="2779" spans="1:5" x14ac:dyDescent="0.25">
      <c r="A2779" s="4">
        <v>39848</v>
      </c>
      <c r="B2779" s="5">
        <v>240</v>
      </c>
      <c r="D2779" s="4">
        <v>35804</v>
      </c>
      <c r="E2779" s="6">
        <v>15.33</v>
      </c>
    </row>
    <row r="2780" spans="1:5" x14ac:dyDescent="0.25">
      <c r="A2780" s="4">
        <v>39849</v>
      </c>
      <c r="B2780" s="5">
        <v>242</v>
      </c>
      <c r="D2780" s="4">
        <v>35807</v>
      </c>
      <c r="E2780" s="6">
        <v>15.07</v>
      </c>
    </row>
    <row r="2781" spans="1:5" x14ac:dyDescent="0.25">
      <c r="A2781" s="4">
        <v>39850</v>
      </c>
      <c r="B2781" s="5">
        <v>238</v>
      </c>
      <c r="D2781" s="4">
        <v>35808</v>
      </c>
      <c r="E2781" s="6">
        <v>15.08</v>
      </c>
    </row>
    <row r="2782" spans="1:5" x14ac:dyDescent="0.25">
      <c r="A2782" s="4">
        <v>39853</v>
      </c>
      <c r="B2782" s="5">
        <v>253</v>
      </c>
      <c r="D2782" s="4">
        <v>35809</v>
      </c>
      <c r="E2782" s="6">
        <v>14.81</v>
      </c>
    </row>
    <row r="2783" spans="1:5" x14ac:dyDescent="0.25">
      <c r="A2783" s="4">
        <v>39854</v>
      </c>
      <c r="B2783" s="5">
        <v>247.5</v>
      </c>
      <c r="D2783" s="4">
        <v>35810</v>
      </c>
      <c r="E2783" s="6">
        <v>14.75</v>
      </c>
    </row>
    <row r="2784" spans="1:5" x14ac:dyDescent="0.25">
      <c r="A2784" s="4">
        <v>39855</v>
      </c>
      <c r="B2784" s="5">
        <v>241.5</v>
      </c>
      <c r="D2784" s="4">
        <v>35811</v>
      </c>
      <c r="E2784" s="6">
        <v>14.89</v>
      </c>
    </row>
    <row r="2785" spans="1:5" x14ac:dyDescent="0.25">
      <c r="A2785" s="4">
        <v>39856</v>
      </c>
      <c r="B2785" s="5">
        <v>238</v>
      </c>
      <c r="D2785" s="4">
        <v>35814</v>
      </c>
      <c r="E2785" s="6">
        <v>15.38</v>
      </c>
    </row>
    <row r="2786" spans="1:5" x14ac:dyDescent="0.25">
      <c r="A2786" s="4">
        <v>39857</v>
      </c>
      <c r="B2786" s="5">
        <v>235</v>
      </c>
      <c r="D2786" s="4">
        <v>35815</v>
      </c>
      <c r="E2786" s="6">
        <v>14.95</v>
      </c>
    </row>
    <row r="2787" spans="1:5" x14ac:dyDescent="0.25">
      <c r="A2787" s="4">
        <v>39860</v>
      </c>
      <c r="B2787" s="5">
        <v>239</v>
      </c>
      <c r="D2787" s="4">
        <v>35816</v>
      </c>
      <c r="E2787" s="6">
        <v>14.67</v>
      </c>
    </row>
    <row r="2788" spans="1:5" x14ac:dyDescent="0.25">
      <c r="A2788" s="4">
        <v>39861</v>
      </c>
      <c r="B2788" s="5">
        <v>222</v>
      </c>
      <c r="D2788" s="4">
        <v>35817</v>
      </c>
      <c r="E2788" s="6">
        <v>14.35</v>
      </c>
    </row>
    <row r="2789" spans="1:5" x14ac:dyDescent="0.25">
      <c r="A2789" s="4">
        <v>39862</v>
      </c>
      <c r="B2789" s="5">
        <v>210</v>
      </c>
      <c r="D2789" s="4">
        <v>35818</v>
      </c>
      <c r="E2789" s="6">
        <v>14.26</v>
      </c>
    </row>
    <row r="2790" spans="1:5" x14ac:dyDescent="0.25">
      <c r="A2790" s="4">
        <v>39863</v>
      </c>
      <c r="B2790" s="5">
        <v>219.5</v>
      </c>
      <c r="D2790" s="4">
        <v>35821</v>
      </c>
      <c r="E2790" s="6">
        <v>14.79</v>
      </c>
    </row>
    <row r="2791" spans="1:5" x14ac:dyDescent="0.25">
      <c r="A2791" s="4">
        <v>39864</v>
      </c>
      <c r="B2791" s="5">
        <v>215</v>
      </c>
      <c r="D2791" s="4">
        <v>35822</v>
      </c>
      <c r="E2791" s="6">
        <v>15.74</v>
      </c>
    </row>
    <row r="2792" spans="1:5" x14ac:dyDescent="0.25">
      <c r="A2792" s="4">
        <v>39867</v>
      </c>
      <c r="B2792" s="5">
        <v>217</v>
      </c>
      <c r="D2792" s="4">
        <v>35823</v>
      </c>
      <c r="E2792" s="6">
        <v>15.64</v>
      </c>
    </row>
    <row r="2793" spans="1:5" x14ac:dyDescent="0.25">
      <c r="A2793" s="4">
        <v>39868</v>
      </c>
      <c r="B2793" s="5">
        <v>209</v>
      </c>
      <c r="D2793" s="4">
        <v>35824</v>
      </c>
      <c r="E2793" s="6">
        <v>16.28</v>
      </c>
    </row>
    <row r="2794" spans="1:5" x14ac:dyDescent="0.25">
      <c r="A2794" s="4">
        <v>39869</v>
      </c>
      <c r="B2794" s="5">
        <v>213</v>
      </c>
      <c r="D2794" s="4">
        <v>35825</v>
      </c>
      <c r="E2794" s="6">
        <v>15.59</v>
      </c>
    </row>
    <row r="2795" spans="1:5" x14ac:dyDescent="0.25">
      <c r="A2795" s="4">
        <v>39870</v>
      </c>
      <c r="B2795" s="5">
        <v>234</v>
      </c>
      <c r="D2795" s="4">
        <v>35828</v>
      </c>
      <c r="E2795" s="6">
        <v>15.28</v>
      </c>
    </row>
    <row r="2796" spans="1:5" x14ac:dyDescent="0.25">
      <c r="A2796" s="4">
        <v>39871</v>
      </c>
      <c r="B2796" s="5">
        <v>224</v>
      </c>
      <c r="D2796" s="4">
        <v>35829</v>
      </c>
      <c r="E2796" s="6">
        <v>14.87</v>
      </c>
    </row>
    <row r="2797" spans="1:5" x14ac:dyDescent="0.25">
      <c r="A2797" s="4">
        <v>39874</v>
      </c>
      <c r="B2797" s="5">
        <v>210</v>
      </c>
      <c r="D2797" s="4">
        <v>35830</v>
      </c>
      <c r="E2797" s="6">
        <v>14.56</v>
      </c>
    </row>
    <row r="2798" spans="1:5" x14ac:dyDescent="0.25">
      <c r="A2798" s="4">
        <v>39875</v>
      </c>
      <c r="B2798" s="5">
        <v>208</v>
      </c>
      <c r="D2798" s="4">
        <v>35831</v>
      </c>
      <c r="E2798" s="6">
        <v>14.83</v>
      </c>
    </row>
    <row r="2799" spans="1:5" x14ac:dyDescent="0.25">
      <c r="A2799" s="4">
        <v>39876</v>
      </c>
      <c r="B2799" s="5">
        <v>232</v>
      </c>
      <c r="D2799" s="4">
        <v>35832</v>
      </c>
      <c r="E2799" s="6">
        <v>15.05</v>
      </c>
    </row>
    <row r="2800" spans="1:5" x14ac:dyDescent="0.25">
      <c r="A2800" s="4">
        <v>39877</v>
      </c>
      <c r="B2800" s="5">
        <v>220</v>
      </c>
      <c r="D2800" s="4">
        <v>35835</v>
      </c>
      <c r="E2800" s="6">
        <v>14.77</v>
      </c>
    </row>
    <row r="2801" spans="1:5" x14ac:dyDescent="0.25">
      <c r="A2801" s="4">
        <v>39878</v>
      </c>
      <c r="B2801" s="5">
        <v>220</v>
      </c>
      <c r="D2801" s="4">
        <v>35836</v>
      </c>
      <c r="E2801" s="6">
        <v>14.6</v>
      </c>
    </row>
    <row r="2802" spans="1:5" x14ac:dyDescent="0.25">
      <c r="A2802" s="4">
        <v>39881</v>
      </c>
      <c r="B2802" s="5">
        <v>232</v>
      </c>
      <c r="D2802" s="4">
        <v>35837</v>
      </c>
      <c r="E2802" s="6">
        <v>14.35</v>
      </c>
    </row>
    <row r="2803" spans="1:5" x14ac:dyDescent="0.25">
      <c r="A2803" s="4">
        <v>39882</v>
      </c>
      <c r="B2803" s="5">
        <v>236</v>
      </c>
      <c r="D2803" s="4">
        <v>35838</v>
      </c>
      <c r="E2803" s="6">
        <v>14.04</v>
      </c>
    </row>
    <row r="2804" spans="1:5" x14ac:dyDescent="0.25">
      <c r="A2804" s="4">
        <v>39883</v>
      </c>
      <c r="B2804" s="5">
        <v>223</v>
      </c>
      <c r="D2804" s="4">
        <v>35839</v>
      </c>
      <c r="E2804" s="6">
        <v>14.05</v>
      </c>
    </row>
    <row r="2805" spans="1:5" x14ac:dyDescent="0.25">
      <c r="A2805" s="4">
        <v>39884</v>
      </c>
      <c r="B2805" s="5">
        <v>220</v>
      </c>
      <c r="D2805" s="4">
        <v>35842</v>
      </c>
      <c r="E2805" s="6">
        <v>13.5</v>
      </c>
    </row>
    <row r="2806" spans="1:5" x14ac:dyDescent="0.25">
      <c r="A2806" s="4">
        <v>39885</v>
      </c>
      <c r="B2806" s="5">
        <v>235</v>
      </c>
      <c r="D2806" s="4">
        <v>35843</v>
      </c>
      <c r="E2806" s="6">
        <v>13.5</v>
      </c>
    </row>
    <row r="2807" spans="1:5" x14ac:dyDescent="0.25">
      <c r="A2807" s="4">
        <v>39888</v>
      </c>
      <c r="B2807" s="5">
        <v>228</v>
      </c>
      <c r="D2807" s="4">
        <v>35844</v>
      </c>
      <c r="E2807" s="6">
        <v>13.46</v>
      </c>
    </row>
    <row r="2808" spans="1:5" x14ac:dyDescent="0.25">
      <c r="A2808" s="4">
        <v>39889</v>
      </c>
      <c r="B2808" s="5">
        <v>231</v>
      </c>
      <c r="D2808" s="4">
        <v>35845</v>
      </c>
      <c r="E2808" s="6">
        <v>14.02</v>
      </c>
    </row>
    <row r="2809" spans="1:5" x14ac:dyDescent="0.25">
      <c r="A2809" s="4">
        <v>39890</v>
      </c>
      <c r="B2809" s="5">
        <v>229</v>
      </c>
      <c r="D2809" s="4">
        <v>35846</v>
      </c>
      <c r="E2809" s="6">
        <v>13.91</v>
      </c>
    </row>
    <row r="2810" spans="1:5" x14ac:dyDescent="0.25">
      <c r="A2810" s="4">
        <v>39891</v>
      </c>
      <c r="B2810" s="5">
        <v>239</v>
      </c>
      <c r="D2810" s="4">
        <v>35849</v>
      </c>
      <c r="E2810" s="6">
        <v>13.26</v>
      </c>
    </row>
    <row r="2811" spans="1:5" x14ac:dyDescent="0.25">
      <c r="A2811" s="4">
        <v>39892</v>
      </c>
      <c r="B2811" s="5">
        <v>240</v>
      </c>
      <c r="D2811" s="4">
        <v>35850</v>
      </c>
      <c r="E2811" s="6">
        <v>13.08</v>
      </c>
    </row>
    <row r="2812" spans="1:5" x14ac:dyDescent="0.25">
      <c r="A2812" s="4">
        <v>39895</v>
      </c>
      <c r="B2812" s="5">
        <v>253</v>
      </c>
      <c r="D2812" s="4">
        <v>35851</v>
      </c>
      <c r="E2812" s="6">
        <v>13.35</v>
      </c>
    </row>
    <row r="2813" spans="1:5" x14ac:dyDescent="0.25">
      <c r="A2813" s="4">
        <v>39896</v>
      </c>
      <c r="B2813" s="5">
        <v>253</v>
      </c>
      <c r="D2813" s="4">
        <v>35852</v>
      </c>
      <c r="E2813" s="6">
        <v>13.38</v>
      </c>
    </row>
    <row r="2814" spans="1:5" x14ac:dyDescent="0.25">
      <c r="A2814" s="4">
        <v>39897</v>
      </c>
      <c r="B2814" s="5">
        <v>258</v>
      </c>
      <c r="D2814" s="4">
        <v>35853</v>
      </c>
      <c r="E2814" s="6">
        <v>13.53</v>
      </c>
    </row>
    <row r="2815" spans="1:5" x14ac:dyDescent="0.25">
      <c r="A2815" s="4">
        <v>39898</v>
      </c>
      <c r="B2815" s="5">
        <v>262</v>
      </c>
      <c r="D2815" s="4">
        <v>35856</v>
      </c>
      <c r="E2815" s="6">
        <v>13.37</v>
      </c>
    </row>
    <row r="2816" spans="1:5" x14ac:dyDescent="0.25">
      <c r="A2816" s="4">
        <v>39899</v>
      </c>
      <c r="B2816" s="5">
        <v>251</v>
      </c>
      <c r="D2816" s="4">
        <v>35857</v>
      </c>
      <c r="E2816" s="6">
        <v>13.18</v>
      </c>
    </row>
    <row r="2817" spans="1:5" x14ac:dyDescent="0.25">
      <c r="A2817" s="4">
        <v>39902</v>
      </c>
      <c r="B2817" s="5">
        <v>246</v>
      </c>
      <c r="D2817" s="4">
        <v>35858</v>
      </c>
      <c r="E2817" s="6">
        <v>13.09</v>
      </c>
    </row>
    <row r="2818" spans="1:5" x14ac:dyDescent="0.25">
      <c r="A2818" s="4">
        <v>39903</v>
      </c>
      <c r="B2818" s="5">
        <v>245</v>
      </c>
      <c r="D2818" s="4">
        <v>35859</v>
      </c>
      <c r="E2818" s="6">
        <v>13.18</v>
      </c>
    </row>
    <row r="2819" spans="1:5" x14ac:dyDescent="0.25">
      <c r="A2819" s="4">
        <v>39904</v>
      </c>
      <c r="B2819" s="5">
        <v>245</v>
      </c>
      <c r="D2819" s="4">
        <v>35860</v>
      </c>
      <c r="E2819" s="6">
        <v>12.85</v>
      </c>
    </row>
    <row r="2820" spans="1:5" x14ac:dyDescent="0.25">
      <c r="A2820" s="4">
        <v>39905</v>
      </c>
      <c r="B2820" s="5">
        <v>267</v>
      </c>
      <c r="D2820" s="4">
        <v>35863</v>
      </c>
      <c r="E2820" s="6">
        <v>12.24</v>
      </c>
    </row>
    <row r="2821" spans="1:5" x14ac:dyDescent="0.25">
      <c r="A2821" s="4">
        <v>39906</v>
      </c>
      <c r="B2821" s="5">
        <v>263</v>
      </c>
      <c r="D2821" s="4">
        <v>35864</v>
      </c>
      <c r="E2821" s="6">
        <v>12.36</v>
      </c>
    </row>
    <row r="2822" spans="1:5" x14ac:dyDescent="0.25">
      <c r="A2822" s="4">
        <v>39909</v>
      </c>
      <c r="B2822" s="5">
        <v>267</v>
      </c>
      <c r="D2822" s="4">
        <v>35865</v>
      </c>
      <c r="E2822" s="6">
        <v>12.41</v>
      </c>
    </row>
    <row r="2823" spans="1:5" x14ac:dyDescent="0.25">
      <c r="A2823" s="4">
        <v>39910</v>
      </c>
      <c r="B2823" s="5">
        <v>269</v>
      </c>
      <c r="D2823" s="4">
        <v>35866</v>
      </c>
      <c r="E2823" s="6">
        <v>12.3</v>
      </c>
    </row>
    <row r="2824" spans="1:5" x14ac:dyDescent="0.25">
      <c r="A2824" s="4">
        <v>39911</v>
      </c>
      <c r="B2824" s="5">
        <v>269</v>
      </c>
      <c r="D2824" s="4">
        <v>35867</v>
      </c>
      <c r="E2824" s="6">
        <v>12.25</v>
      </c>
    </row>
    <row r="2825" spans="1:5" x14ac:dyDescent="0.25">
      <c r="A2825" s="4">
        <v>39912</v>
      </c>
      <c r="B2825" s="5">
        <v>270</v>
      </c>
      <c r="D2825" s="4">
        <v>35870</v>
      </c>
      <c r="E2825" s="6">
        <v>11.74</v>
      </c>
    </row>
    <row r="2826" spans="1:5" x14ac:dyDescent="0.25">
      <c r="A2826" s="4">
        <v>39917</v>
      </c>
      <c r="B2826" s="5">
        <v>276</v>
      </c>
      <c r="D2826" s="4">
        <v>35871</v>
      </c>
      <c r="E2826" s="6">
        <v>11.05</v>
      </c>
    </row>
    <row r="2827" spans="1:5" x14ac:dyDescent="0.25">
      <c r="A2827" s="4">
        <v>39918</v>
      </c>
      <c r="B2827" s="5">
        <v>274</v>
      </c>
      <c r="D2827" s="4">
        <v>35872</v>
      </c>
      <c r="E2827" s="6">
        <v>12.21</v>
      </c>
    </row>
    <row r="2828" spans="1:5" x14ac:dyDescent="0.25">
      <c r="A2828" s="4">
        <v>39919</v>
      </c>
      <c r="B2828" s="5">
        <v>276</v>
      </c>
      <c r="D2828" s="4">
        <v>35873</v>
      </c>
      <c r="E2828" s="6">
        <v>12.41</v>
      </c>
    </row>
    <row r="2829" spans="1:5" x14ac:dyDescent="0.25">
      <c r="A2829" s="4">
        <v>39920</v>
      </c>
      <c r="B2829" s="5">
        <v>273</v>
      </c>
      <c r="D2829" s="4">
        <v>35874</v>
      </c>
      <c r="E2829" s="6">
        <v>12.35</v>
      </c>
    </row>
    <row r="2830" spans="1:5" x14ac:dyDescent="0.25">
      <c r="A2830" s="4">
        <v>39923</v>
      </c>
      <c r="B2830" s="5">
        <v>258</v>
      </c>
      <c r="D2830" s="4">
        <v>35877</v>
      </c>
      <c r="E2830" s="6">
        <v>14.53</v>
      </c>
    </row>
    <row r="2831" spans="1:5" x14ac:dyDescent="0.25">
      <c r="A2831" s="4">
        <v>39924</v>
      </c>
      <c r="B2831" s="5">
        <v>257</v>
      </c>
      <c r="D2831" s="4">
        <v>35878</v>
      </c>
      <c r="E2831" s="6">
        <v>14.02</v>
      </c>
    </row>
    <row r="2832" spans="1:5" x14ac:dyDescent="0.25">
      <c r="A2832" s="4">
        <v>39925</v>
      </c>
      <c r="B2832" s="5">
        <v>257</v>
      </c>
      <c r="D2832" s="4">
        <v>35879</v>
      </c>
      <c r="E2832" s="6">
        <v>14.41</v>
      </c>
    </row>
    <row r="2833" spans="1:5" x14ac:dyDescent="0.25">
      <c r="A2833" s="4">
        <v>39926</v>
      </c>
      <c r="B2833" s="5">
        <v>260</v>
      </c>
      <c r="D2833" s="4">
        <v>35880</v>
      </c>
      <c r="E2833" s="6">
        <v>15.18</v>
      </c>
    </row>
    <row r="2834" spans="1:5" x14ac:dyDescent="0.25">
      <c r="A2834" s="4">
        <v>39927</v>
      </c>
      <c r="B2834" s="5">
        <v>273</v>
      </c>
      <c r="D2834" s="4">
        <v>35881</v>
      </c>
      <c r="E2834" s="6">
        <v>14.92</v>
      </c>
    </row>
    <row r="2835" spans="1:5" x14ac:dyDescent="0.25">
      <c r="A2835" s="4">
        <v>39930</v>
      </c>
      <c r="B2835" s="5">
        <v>263</v>
      </c>
      <c r="D2835" s="4">
        <v>35884</v>
      </c>
      <c r="E2835" s="6">
        <v>14.35</v>
      </c>
    </row>
    <row r="2836" spans="1:5" x14ac:dyDescent="0.25">
      <c r="A2836" s="4">
        <v>39931</v>
      </c>
      <c r="B2836" s="5">
        <v>263</v>
      </c>
      <c r="D2836" s="4">
        <v>35885</v>
      </c>
      <c r="E2836" s="6">
        <v>13.87</v>
      </c>
    </row>
    <row r="2837" spans="1:5" x14ac:dyDescent="0.25">
      <c r="A2837" s="4">
        <v>39932</v>
      </c>
      <c r="B2837" s="5">
        <v>270</v>
      </c>
      <c r="D2837" s="4">
        <v>35886</v>
      </c>
      <c r="E2837" s="6">
        <v>13.72</v>
      </c>
    </row>
    <row r="2838" spans="1:5" x14ac:dyDescent="0.25">
      <c r="A2838" s="4">
        <v>39933</v>
      </c>
      <c r="B2838" s="5">
        <v>273</v>
      </c>
      <c r="D2838" s="4">
        <v>35887</v>
      </c>
      <c r="E2838" s="6">
        <v>13.38</v>
      </c>
    </row>
    <row r="2839" spans="1:5" x14ac:dyDescent="0.25">
      <c r="A2839" s="4">
        <v>39934</v>
      </c>
      <c r="B2839" s="5">
        <v>285</v>
      </c>
      <c r="D2839" s="4">
        <v>35888</v>
      </c>
      <c r="E2839" s="6">
        <v>13.63</v>
      </c>
    </row>
    <row r="2840" spans="1:5" x14ac:dyDescent="0.25">
      <c r="A2840" s="4">
        <v>39938</v>
      </c>
      <c r="B2840" s="5">
        <v>297</v>
      </c>
      <c r="D2840" s="4">
        <v>35891</v>
      </c>
      <c r="E2840" s="6">
        <v>13.13</v>
      </c>
    </row>
    <row r="2841" spans="1:5" x14ac:dyDescent="0.25">
      <c r="A2841" s="4">
        <v>39939</v>
      </c>
      <c r="B2841" s="5">
        <v>309</v>
      </c>
      <c r="D2841" s="4">
        <v>35892</v>
      </c>
      <c r="E2841" s="6">
        <v>12.82</v>
      </c>
    </row>
    <row r="2842" spans="1:5" x14ac:dyDescent="0.25">
      <c r="A2842" s="4">
        <v>39940</v>
      </c>
      <c r="B2842" s="5">
        <v>316</v>
      </c>
      <c r="D2842" s="4">
        <v>35893</v>
      </c>
      <c r="E2842" s="6">
        <v>12.79</v>
      </c>
    </row>
    <row r="2843" spans="1:5" x14ac:dyDescent="0.25">
      <c r="A2843" s="4">
        <v>39941</v>
      </c>
      <c r="B2843" s="5">
        <v>318</v>
      </c>
      <c r="D2843" s="4">
        <v>35894</v>
      </c>
      <c r="E2843" s="6">
        <v>13.23</v>
      </c>
    </row>
    <row r="2844" spans="1:5" x14ac:dyDescent="0.25">
      <c r="A2844" s="4">
        <v>39944</v>
      </c>
      <c r="B2844" s="5">
        <v>318</v>
      </c>
      <c r="D2844" s="4">
        <v>35895</v>
      </c>
      <c r="E2844" s="5"/>
    </row>
    <row r="2845" spans="1:5" x14ac:dyDescent="0.25">
      <c r="A2845" s="4">
        <v>39945</v>
      </c>
      <c r="B2845" s="5">
        <v>325</v>
      </c>
      <c r="D2845" s="4">
        <v>35898</v>
      </c>
      <c r="E2845" s="5"/>
    </row>
    <row r="2846" spans="1:5" x14ac:dyDescent="0.25">
      <c r="A2846" s="4">
        <v>39946</v>
      </c>
      <c r="B2846" s="5">
        <v>333</v>
      </c>
      <c r="D2846" s="4">
        <v>35899</v>
      </c>
      <c r="E2846" s="6">
        <v>13.15</v>
      </c>
    </row>
    <row r="2847" spans="1:5" x14ac:dyDescent="0.25">
      <c r="A2847" s="4">
        <v>39947</v>
      </c>
      <c r="B2847" s="5">
        <v>318</v>
      </c>
      <c r="D2847" s="4">
        <v>35900</v>
      </c>
      <c r="E2847" s="6">
        <v>13.31</v>
      </c>
    </row>
    <row r="2848" spans="1:5" x14ac:dyDescent="0.25">
      <c r="A2848" s="4">
        <v>39948</v>
      </c>
      <c r="B2848" s="5">
        <v>318</v>
      </c>
      <c r="D2848" s="4">
        <v>35901</v>
      </c>
      <c r="E2848" s="6">
        <v>13.68</v>
      </c>
    </row>
    <row r="2849" spans="1:5" x14ac:dyDescent="0.25">
      <c r="A2849" s="4">
        <v>39951</v>
      </c>
      <c r="B2849" s="5">
        <v>322</v>
      </c>
      <c r="D2849" s="4">
        <v>35902</v>
      </c>
      <c r="E2849" s="6">
        <v>14.06</v>
      </c>
    </row>
    <row r="2850" spans="1:5" x14ac:dyDescent="0.25">
      <c r="A2850" s="4">
        <v>39952</v>
      </c>
      <c r="B2850" s="5">
        <v>324</v>
      </c>
      <c r="D2850" s="4">
        <v>35905</v>
      </c>
      <c r="E2850" s="6">
        <v>13.82</v>
      </c>
    </row>
    <row r="2851" spans="1:5" x14ac:dyDescent="0.25">
      <c r="A2851" s="4">
        <v>39953</v>
      </c>
      <c r="B2851" s="5">
        <v>337</v>
      </c>
      <c r="D2851" s="4">
        <v>35906</v>
      </c>
      <c r="E2851" s="6">
        <v>13.95</v>
      </c>
    </row>
    <row r="2852" spans="1:5" x14ac:dyDescent="0.25">
      <c r="A2852" s="4">
        <v>39954</v>
      </c>
      <c r="B2852" s="5">
        <v>326</v>
      </c>
      <c r="D2852" s="4">
        <v>35907</v>
      </c>
      <c r="E2852" s="6">
        <v>13.71</v>
      </c>
    </row>
    <row r="2853" spans="1:5" x14ac:dyDescent="0.25">
      <c r="A2853" s="4">
        <v>39955</v>
      </c>
      <c r="B2853" s="5">
        <v>326</v>
      </c>
      <c r="D2853" s="4">
        <v>35908</v>
      </c>
      <c r="E2853" s="6">
        <v>13.42</v>
      </c>
    </row>
    <row r="2854" spans="1:5" x14ac:dyDescent="0.25">
      <c r="A2854" s="4">
        <v>39959</v>
      </c>
      <c r="B2854" s="5">
        <v>327</v>
      </c>
      <c r="D2854" s="4">
        <v>35909</v>
      </c>
      <c r="E2854" s="6">
        <v>13.32</v>
      </c>
    </row>
    <row r="2855" spans="1:5" x14ac:dyDescent="0.25">
      <c r="A2855" s="4">
        <v>39960</v>
      </c>
      <c r="B2855" s="5">
        <v>336</v>
      </c>
      <c r="D2855" s="4">
        <v>35912</v>
      </c>
      <c r="E2855" s="6">
        <v>13.65</v>
      </c>
    </row>
    <row r="2856" spans="1:5" x14ac:dyDescent="0.25">
      <c r="A2856" s="4">
        <v>39961</v>
      </c>
      <c r="B2856" s="5">
        <v>346</v>
      </c>
      <c r="D2856" s="4">
        <v>35913</v>
      </c>
      <c r="E2856" s="6">
        <v>13.88</v>
      </c>
    </row>
    <row r="2857" spans="1:5" x14ac:dyDescent="0.25">
      <c r="A2857" s="4">
        <v>39962</v>
      </c>
      <c r="B2857" s="5">
        <v>355</v>
      </c>
      <c r="D2857" s="4">
        <v>35914</v>
      </c>
      <c r="E2857" s="6">
        <v>14.09</v>
      </c>
    </row>
    <row r="2858" spans="1:5" x14ac:dyDescent="0.25">
      <c r="A2858" s="4">
        <v>39965</v>
      </c>
      <c r="B2858" s="5">
        <v>378</v>
      </c>
      <c r="D2858" s="4">
        <v>35915</v>
      </c>
      <c r="E2858" s="6">
        <v>13.79</v>
      </c>
    </row>
    <row r="2859" spans="1:5" x14ac:dyDescent="0.25">
      <c r="A2859" s="4">
        <v>39966</v>
      </c>
      <c r="B2859" s="5">
        <v>384</v>
      </c>
      <c r="D2859" s="4">
        <v>35916</v>
      </c>
      <c r="E2859" s="6">
        <v>14.6</v>
      </c>
    </row>
    <row r="2860" spans="1:5" x14ac:dyDescent="0.25">
      <c r="A2860" s="4">
        <v>39967</v>
      </c>
      <c r="B2860" s="5">
        <v>365</v>
      </c>
      <c r="D2860" s="4">
        <v>35919</v>
      </c>
      <c r="E2860" s="5"/>
    </row>
    <row r="2861" spans="1:5" x14ac:dyDescent="0.25">
      <c r="A2861" s="4">
        <v>39968</v>
      </c>
      <c r="B2861" s="5">
        <v>375</v>
      </c>
      <c r="D2861" s="4">
        <v>35920</v>
      </c>
      <c r="E2861" s="6">
        <v>14.13</v>
      </c>
    </row>
    <row r="2862" spans="1:5" x14ac:dyDescent="0.25">
      <c r="A2862" s="4">
        <v>39969</v>
      </c>
      <c r="B2862" s="5">
        <v>375</v>
      </c>
      <c r="D2862" s="4">
        <v>35921</v>
      </c>
      <c r="E2862" s="6">
        <v>13.91</v>
      </c>
    </row>
    <row r="2863" spans="1:5" x14ac:dyDescent="0.25">
      <c r="A2863" s="4">
        <v>39972</v>
      </c>
      <c r="B2863" s="5">
        <v>380</v>
      </c>
      <c r="D2863" s="4">
        <v>35922</v>
      </c>
      <c r="E2863" s="6">
        <v>13.81</v>
      </c>
    </row>
    <row r="2864" spans="1:5" x14ac:dyDescent="0.25">
      <c r="A2864" s="4">
        <v>39973</v>
      </c>
      <c r="B2864" s="5">
        <v>384</v>
      </c>
      <c r="D2864" s="4">
        <v>35923</v>
      </c>
      <c r="E2864" s="6">
        <v>13.94</v>
      </c>
    </row>
    <row r="2865" spans="1:5" x14ac:dyDescent="0.25">
      <c r="A2865" s="4">
        <v>39974</v>
      </c>
      <c r="B2865" s="5">
        <v>379</v>
      </c>
      <c r="D2865" s="4">
        <v>35926</v>
      </c>
      <c r="E2865" s="6">
        <v>14.41</v>
      </c>
    </row>
    <row r="2866" spans="1:5" x14ac:dyDescent="0.25">
      <c r="A2866" s="4">
        <v>39975</v>
      </c>
      <c r="B2866" s="5">
        <v>384</v>
      </c>
      <c r="D2866" s="4">
        <v>35927</v>
      </c>
      <c r="E2866" s="6">
        <v>14.75</v>
      </c>
    </row>
    <row r="2867" spans="1:5" x14ac:dyDescent="0.25">
      <c r="A2867" s="4">
        <v>39976</v>
      </c>
      <c r="B2867" s="5">
        <v>371</v>
      </c>
      <c r="D2867" s="4">
        <v>35928</v>
      </c>
      <c r="E2867" s="6">
        <v>14.15</v>
      </c>
    </row>
    <row r="2868" spans="1:5" x14ac:dyDescent="0.25">
      <c r="A2868" s="4">
        <v>39979</v>
      </c>
      <c r="B2868" s="5">
        <v>355</v>
      </c>
      <c r="D2868" s="4">
        <v>35929</v>
      </c>
      <c r="E2868" s="6">
        <v>14.29</v>
      </c>
    </row>
    <row r="2869" spans="1:5" x14ac:dyDescent="0.25">
      <c r="A2869" s="4">
        <v>39980</v>
      </c>
      <c r="B2869" s="5">
        <v>375</v>
      </c>
      <c r="D2869" s="4">
        <v>35930</v>
      </c>
      <c r="E2869" s="6">
        <v>14.33</v>
      </c>
    </row>
    <row r="2870" spans="1:5" x14ac:dyDescent="0.25">
      <c r="A2870" s="4">
        <v>39981</v>
      </c>
      <c r="B2870" s="5">
        <v>368</v>
      </c>
      <c r="D2870" s="4">
        <v>35933</v>
      </c>
      <c r="E2870" s="6">
        <v>14.72</v>
      </c>
    </row>
    <row r="2871" spans="1:5" x14ac:dyDescent="0.25">
      <c r="A2871" s="4">
        <v>39982</v>
      </c>
      <c r="B2871" s="5">
        <v>381</v>
      </c>
      <c r="D2871" s="4">
        <v>35934</v>
      </c>
      <c r="E2871" s="6">
        <v>14.87</v>
      </c>
    </row>
    <row r="2872" spans="1:5" x14ac:dyDescent="0.25">
      <c r="A2872" s="4">
        <v>39983</v>
      </c>
      <c r="B2872" s="5">
        <v>380</v>
      </c>
      <c r="D2872" s="4">
        <v>35935</v>
      </c>
      <c r="E2872" s="6">
        <v>14.58</v>
      </c>
    </row>
    <row r="2873" spans="1:5" x14ac:dyDescent="0.25">
      <c r="A2873" s="4">
        <v>39986</v>
      </c>
      <c r="B2873" s="5">
        <v>360</v>
      </c>
      <c r="D2873" s="4">
        <v>35936</v>
      </c>
      <c r="E2873" s="6">
        <v>14.29</v>
      </c>
    </row>
    <row r="2874" spans="1:5" x14ac:dyDescent="0.25">
      <c r="A2874" s="4">
        <v>39987</v>
      </c>
      <c r="B2874" s="5">
        <v>364</v>
      </c>
      <c r="D2874" s="4">
        <v>35937</v>
      </c>
      <c r="E2874" s="6">
        <v>14.33</v>
      </c>
    </row>
    <row r="2875" spans="1:5" x14ac:dyDescent="0.25">
      <c r="A2875" s="4">
        <v>39988</v>
      </c>
      <c r="B2875" s="5">
        <v>373</v>
      </c>
      <c r="D2875" s="4">
        <v>35940</v>
      </c>
      <c r="E2875" s="5"/>
    </row>
    <row r="2876" spans="1:5" x14ac:dyDescent="0.25">
      <c r="A2876" s="4">
        <v>39989</v>
      </c>
      <c r="B2876" s="5">
        <v>378</v>
      </c>
      <c r="D2876" s="4">
        <v>35941</v>
      </c>
      <c r="E2876" s="6">
        <v>14.27</v>
      </c>
    </row>
    <row r="2877" spans="1:5" x14ac:dyDescent="0.25">
      <c r="A2877" s="4">
        <v>39990</v>
      </c>
      <c r="B2877" s="5">
        <v>371</v>
      </c>
      <c r="D2877" s="4">
        <v>35942</v>
      </c>
      <c r="E2877" s="6">
        <v>14.78</v>
      </c>
    </row>
    <row r="2878" spans="1:5" x14ac:dyDescent="0.25">
      <c r="A2878" s="4">
        <v>39993</v>
      </c>
      <c r="B2878" s="5">
        <v>386</v>
      </c>
      <c r="D2878" s="4">
        <v>35943</v>
      </c>
      <c r="E2878" s="6">
        <v>14.71</v>
      </c>
    </row>
    <row r="2879" spans="1:5" x14ac:dyDescent="0.25">
      <c r="A2879" s="4">
        <v>39994</v>
      </c>
      <c r="B2879" s="5">
        <v>378</v>
      </c>
      <c r="D2879" s="4">
        <v>35944</v>
      </c>
      <c r="E2879" s="6">
        <v>14.03</v>
      </c>
    </row>
    <row r="2880" spans="1:5" x14ac:dyDescent="0.25">
      <c r="A2880" s="4">
        <v>39995</v>
      </c>
      <c r="B2880" s="5">
        <v>397</v>
      </c>
      <c r="D2880" s="4">
        <v>35947</v>
      </c>
      <c r="E2880" s="6">
        <v>13.66</v>
      </c>
    </row>
    <row r="2881" spans="1:5" x14ac:dyDescent="0.25">
      <c r="A2881" s="4">
        <v>39996</v>
      </c>
      <c r="B2881" s="5">
        <v>377</v>
      </c>
      <c r="D2881" s="4">
        <v>35948</v>
      </c>
      <c r="E2881" s="6">
        <v>13.62</v>
      </c>
    </row>
    <row r="2882" spans="1:5" x14ac:dyDescent="0.25">
      <c r="A2882" s="4">
        <v>39997</v>
      </c>
      <c r="B2882" s="5">
        <v>371</v>
      </c>
      <c r="D2882" s="4">
        <v>35949</v>
      </c>
      <c r="E2882" s="6">
        <v>13.23</v>
      </c>
    </row>
    <row r="2883" spans="1:5" x14ac:dyDescent="0.25">
      <c r="A2883" s="4">
        <v>40000</v>
      </c>
      <c r="B2883" s="5">
        <v>371</v>
      </c>
      <c r="D2883" s="4">
        <v>35950</v>
      </c>
      <c r="E2883" s="6">
        <v>13.71</v>
      </c>
    </row>
    <row r="2884" spans="1:5" x14ac:dyDescent="0.25">
      <c r="A2884" s="4">
        <v>40001</v>
      </c>
      <c r="B2884" s="5">
        <v>356</v>
      </c>
      <c r="D2884" s="4">
        <v>35951</v>
      </c>
      <c r="E2884" s="6">
        <v>13.95</v>
      </c>
    </row>
    <row r="2885" spans="1:5" x14ac:dyDescent="0.25">
      <c r="A2885" s="4">
        <v>40002</v>
      </c>
      <c r="B2885" s="5">
        <v>353</v>
      </c>
      <c r="D2885" s="4">
        <v>35954</v>
      </c>
      <c r="E2885" s="6">
        <v>13.56</v>
      </c>
    </row>
    <row r="2886" spans="1:5" x14ac:dyDescent="0.25">
      <c r="A2886" s="4">
        <v>40003</v>
      </c>
      <c r="B2886" s="5">
        <v>352</v>
      </c>
      <c r="D2886" s="4">
        <v>35955</v>
      </c>
      <c r="E2886" s="6">
        <v>12.76</v>
      </c>
    </row>
    <row r="2887" spans="1:5" x14ac:dyDescent="0.25">
      <c r="A2887" s="4">
        <v>40004</v>
      </c>
      <c r="B2887" s="5">
        <v>347</v>
      </c>
      <c r="D2887" s="4">
        <v>35956</v>
      </c>
      <c r="E2887" s="6">
        <v>12.23</v>
      </c>
    </row>
    <row r="2888" spans="1:5" x14ac:dyDescent="0.25">
      <c r="A2888" s="4">
        <v>40007</v>
      </c>
      <c r="B2888" s="5">
        <v>351</v>
      </c>
      <c r="D2888" s="4">
        <v>35957</v>
      </c>
      <c r="E2888" s="6">
        <v>12.12</v>
      </c>
    </row>
    <row r="2889" spans="1:5" x14ac:dyDescent="0.25">
      <c r="A2889" s="4">
        <v>40008</v>
      </c>
      <c r="B2889" s="5">
        <v>362</v>
      </c>
      <c r="D2889" s="4">
        <v>35958</v>
      </c>
      <c r="E2889" s="6">
        <v>11.62</v>
      </c>
    </row>
    <row r="2890" spans="1:5" x14ac:dyDescent="0.25">
      <c r="A2890" s="4">
        <v>40009</v>
      </c>
      <c r="B2890" s="5">
        <v>376</v>
      </c>
      <c r="D2890" s="4">
        <v>35961</v>
      </c>
      <c r="E2890" s="6">
        <v>10.77</v>
      </c>
    </row>
    <row r="2891" spans="1:5" x14ac:dyDescent="0.25">
      <c r="A2891" s="4">
        <v>40010</v>
      </c>
      <c r="B2891" s="5">
        <v>376</v>
      </c>
      <c r="D2891" s="4">
        <v>35962</v>
      </c>
      <c r="E2891" s="6">
        <v>10.77</v>
      </c>
    </row>
    <row r="2892" spans="1:5" x14ac:dyDescent="0.25">
      <c r="A2892" s="4">
        <v>40011</v>
      </c>
      <c r="B2892" s="5">
        <v>374</v>
      </c>
      <c r="D2892" s="4">
        <v>35963</v>
      </c>
      <c r="E2892" s="6">
        <v>11.3</v>
      </c>
    </row>
    <row r="2893" spans="1:5" x14ac:dyDescent="0.25">
      <c r="A2893" s="4">
        <v>40014</v>
      </c>
      <c r="B2893" s="5">
        <v>374</v>
      </c>
      <c r="D2893" s="4">
        <v>35964</v>
      </c>
      <c r="E2893" s="6">
        <v>10.88</v>
      </c>
    </row>
    <row r="2894" spans="1:5" x14ac:dyDescent="0.25">
      <c r="A2894" s="4">
        <v>40015</v>
      </c>
      <c r="B2894" s="5">
        <v>388</v>
      </c>
      <c r="D2894" s="4">
        <v>35965</v>
      </c>
      <c r="E2894" s="6">
        <v>10.89</v>
      </c>
    </row>
    <row r="2895" spans="1:5" x14ac:dyDescent="0.25">
      <c r="A2895" s="4">
        <v>40016</v>
      </c>
      <c r="B2895" s="5">
        <v>386</v>
      </c>
      <c r="D2895" s="4">
        <v>35968</v>
      </c>
      <c r="E2895" s="6">
        <v>11.23</v>
      </c>
    </row>
    <row r="2896" spans="1:5" x14ac:dyDescent="0.25">
      <c r="A2896" s="4">
        <v>40017</v>
      </c>
      <c r="B2896" s="5">
        <v>391</v>
      </c>
      <c r="D2896" s="4">
        <v>35969</v>
      </c>
      <c r="E2896" s="6">
        <v>12.09</v>
      </c>
    </row>
    <row r="2897" spans="1:5" x14ac:dyDescent="0.25">
      <c r="A2897" s="4">
        <v>40018</v>
      </c>
      <c r="B2897" s="5">
        <v>392</v>
      </c>
      <c r="D2897" s="4">
        <v>35970</v>
      </c>
      <c r="E2897" s="6">
        <v>12.5</v>
      </c>
    </row>
    <row r="2898" spans="1:5" x14ac:dyDescent="0.25">
      <c r="A2898" s="4">
        <v>40021</v>
      </c>
      <c r="B2898" s="5">
        <v>399</v>
      </c>
      <c r="D2898" s="4">
        <v>35971</v>
      </c>
      <c r="E2898" s="6">
        <v>11.94</v>
      </c>
    </row>
    <row r="2899" spans="1:5" x14ac:dyDescent="0.25">
      <c r="A2899" s="4">
        <v>40022</v>
      </c>
      <c r="B2899" s="5">
        <v>390</v>
      </c>
      <c r="D2899" s="4">
        <v>35972</v>
      </c>
      <c r="E2899" s="6">
        <v>12.04</v>
      </c>
    </row>
    <row r="2900" spans="1:5" x14ac:dyDescent="0.25">
      <c r="A2900" s="4">
        <v>40023</v>
      </c>
      <c r="B2900" s="5">
        <v>375</v>
      </c>
      <c r="D2900" s="4">
        <v>35975</v>
      </c>
      <c r="E2900" s="6">
        <v>11.83</v>
      </c>
    </row>
    <row r="2901" spans="1:5" x14ac:dyDescent="0.25">
      <c r="A2901" s="4">
        <v>40024</v>
      </c>
      <c r="B2901" s="5">
        <v>375</v>
      </c>
      <c r="D2901" s="4">
        <v>35976</v>
      </c>
      <c r="E2901" s="6">
        <v>11.84</v>
      </c>
    </row>
    <row r="2902" spans="1:5" x14ac:dyDescent="0.25">
      <c r="A2902" s="4">
        <v>40025</v>
      </c>
      <c r="B2902" s="5">
        <v>400</v>
      </c>
      <c r="D2902" s="4">
        <v>35977</v>
      </c>
      <c r="E2902" s="6">
        <v>11.93</v>
      </c>
    </row>
    <row r="2903" spans="1:5" x14ac:dyDescent="0.25">
      <c r="A2903" s="4">
        <v>40028</v>
      </c>
      <c r="B2903" s="5">
        <v>425</v>
      </c>
      <c r="D2903" s="4">
        <v>35978</v>
      </c>
      <c r="E2903" s="6">
        <v>11.95</v>
      </c>
    </row>
    <row r="2904" spans="1:5" x14ac:dyDescent="0.25">
      <c r="A2904" s="4">
        <v>40029</v>
      </c>
      <c r="B2904" s="5">
        <v>431</v>
      </c>
      <c r="D2904" s="4">
        <v>35979</v>
      </c>
      <c r="E2904" s="6">
        <v>11.79</v>
      </c>
    </row>
    <row r="2905" spans="1:5" x14ac:dyDescent="0.25">
      <c r="A2905" s="4">
        <v>40030</v>
      </c>
      <c r="B2905" s="5">
        <v>429</v>
      </c>
      <c r="D2905" s="4">
        <v>35982</v>
      </c>
      <c r="E2905" s="6">
        <v>11.7</v>
      </c>
    </row>
    <row r="2906" spans="1:5" x14ac:dyDescent="0.25">
      <c r="A2906" s="4">
        <v>40031</v>
      </c>
      <c r="B2906" s="5">
        <v>417</v>
      </c>
      <c r="D2906" s="4">
        <v>35983</v>
      </c>
      <c r="E2906" s="6">
        <v>11.66</v>
      </c>
    </row>
    <row r="2907" spans="1:5" x14ac:dyDescent="0.25">
      <c r="A2907" s="4">
        <v>40032</v>
      </c>
      <c r="B2907" s="5">
        <v>407</v>
      </c>
      <c r="D2907" s="4">
        <v>35984</v>
      </c>
      <c r="E2907" s="6">
        <v>11.71</v>
      </c>
    </row>
    <row r="2908" spans="1:5" x14ac:dyDescent="0.25">
      <c r="A2908" s="4">
        <v>40035</v>
      </c>
      <c r="B2908" s="5">
        <v>412</v>
      </c>
      <c r="D2908" s="4">
        <v>35985</v>
      </c>
      <c r="E2908" s="6">
        <v>11.61</v>
      </c>
    </row>
    <row r="2909" spans="1:5" x14ac:dyDescent="0.25">
      <c r="A2909" s="4">
        <v>40036</v>
      </c>
      <c r="B2909" s="5">
        <v>407</v>
      </c>
      <c r="D2909" s="4">
        <v>35986</v>
      </c>
      <c r="E2909" s="6">
        <v>11.61</v>
      </c>
    </row>
    <row r="2910" spans="1:5" x14ac:dyDescent="0.25">
      <c r="A2910" s="4">
        <v>40037</v>
      </c>
      <c r="B2910" s="5">
        <v>432</v>
      </c>
      <c r="D2910" s="4">
        <v>35989</v>
      </c>
      <c r="E2910" s="6">
        <v>11.56</v>
      </c>
    </row>
    <row r="2911" spans="1:5" x14ac:dyDescent="0.25">
      <c r="A2911" s="4">
        <v>40038</v>
      </c>
      <c r="B2911" s="5">
        <v>423</v>
      </c>
      <c r="D2911" s="4">
        <v>35990</v>
      </c>
      <c r="E2911" s="6">
        <v>11.83</v>
      </c>
    </row>
    <row r="2912" spans="1:5" x14ac:dyDescent="0.25">
      <c r="A2912" s="4">
        <v>40039</v>
      </c>
      <c r="B2912" s="5">
        <v>409</v>
      </c>
      <c r="D2912" s="4">
        <v>35991</v>
      </c>
      <c r="E2912" s="6">
        <v>11.79</v>
      </c>
    </row>
    <row r="2913" spans="1:5" x14ac:dyDescent="0.25">
      <c r="A2913" s="4">
        <v>40042</v>
      </c>
      <c r="B2913" s="5">
        <v>396.75</v>
      </c>
      <c r="D2913" s="4">
        <v>35992</v>
      </c>
      <c r="E2913" s="6">
        <v>12.65</v>
      </c>
    </row>
    <row r="2914" spans="1:5" x14ac:dyDescent="0.25">
      <c r="A2914" s="4">
        <v>40043</v>
      </c>
      <c r="B2914" s="5">
        <v>408</v>
      </c>
      <c r="D2914" s="4">
        <v>35993</v>
      </c>
      <c r="E2914" s="6">
        <v>12.38</v>
      </c>
    </row>
    <row r="2915" spans="1:5" x14ac:dyDescent="0.25">
      <c r="A2915" s="4">
        <v>40044</v>
      </c>
      <c r="B2915" s="5">
        <v>427</v>
      </c>
      <c r="D2915" s="4">
        <v>35996</v>
      </c>
      <c r="E2915" s="6">
        <v>12.11</v>
      </c>
    </row>
    <row r="2916" spans="1:5" x14ac:dyDescent="0.25">
      <c r="A2916" s="4">
        <v>40045</v>
      </c>
      <c r="B2916" s="5">
        <v>425</v>
      </c>
      <c r="D2916" s="4">
        <v>35997</v>
      </c>
      <c r="E2916" s="6">
        <v>12.01</v>
      </c>
    </row>
    <row r="2917" spans="1:5" x14ac:dyDescent="0.25">
      <c r="A2917" s="4">
        <v>40046</v>
      </c>
      <c r="B2917" s="5">
        <v>426</v>
      </c>
      <c r="D2917" s="4">
        <v>35998</v>
      </c>
      <c r="E2917" s="6">
        <v>12.21</v>
      </c>
    </row>
    <row r="2918" spans="1:5" x14ac:dyDescent="0.25">
      <c r="A2918" s="4">
        <v>40049</v>
      </c>
      <c r="B2918" s="5">
        <v>448</v>
      </c>
      <c r="D2918" s="4">
        <v>35999</v>
      </c>
      <c r="E2918" s="6">
        <v>12.23</v>
      </c>
    </row>
    <row r="2919" spans="1:5" x14ac:dyDescent="0.25">
      <c r="A2919" s="4">
        <v>40050</v>
      </c>
      <c r="B2919" s="5">
        <v>444</v>
      </c>
      <c r="D2919" s="4">
        <v>36000</v>
      </c>
      <c r="E2919" s="6">
        <v>12.05</v>
      </c>
    </row>
    <row r="2920" spans="1:5" x14ac:dyDescent="0.25">
      <c r="A2920" s="4">
        <v>40051</v>
      </c>
      <c r="B2920" s="5">
        <v>416</v>
      </c>
      <c r="D2920" s="4">
        <v>36003</v>
      </c>
      <c r="E2920" s="6">
        <v>12.53</v>
      </c>
    </row>
    <row r="2921" spans="1:5" x14ac:dyDescent="0.25">
      <c r="A2921" s="4">
        <v>40052</v>
      </c>
      <c r="B2921" s="5">
        <v>414</v>
      </c>
      <c r="D2921" s="4">
        <v>36004</v>
      </c>
      <c r="E2921" s="6">
        <v>12.74</v>
      </c>
    </row>
    <row r="2922" spans="1:5" x14ac:dyDescent="0.25">
      <c r="A2922" s="4">
        <v>40053</v>
      </c>
      <c r="B2922" s="5">
        <v>424</v>
      </c>
      <c r="D2922" s="4">
        <v>36005</v>
      </c>
      <c r="E2922" s="6">
        <v>12.6</v>
      </c>
    </row>
    <row r="2923" spans="1:5" x14ac:dyDescent="0.25">
      <c r="A2923" s="4">
        <v>40057</v>
      </c>
      <c r="B2923" s="5">
        <v>408</v>
      </c>
      <c r="D2923" s="4">
        <v>36006</v>
      </c>
      <c r="E2923" s="6">
        <v>12.55</v>
      </c>
    </row>
    <row r="2924" spans="1:5" x14ac:dyDescent="0.25">
      <c r="A2924" s="4">
        <v>40058</v>
      </c>
      <c r="B2924" s="5">
        <v>399</v>
      </c>
      <c r="D2924" s="4">
        <v>36007</v>
      </c>
      <c r="E2924" s="6">
        <v>12.63</v>
      </c>
    </row>
    <row r="2925" spans="1:5" x14ac:dyDescent="0.25">
      <c r="A2925" s="4">
        <v>40059</v>
      </c>
      <c r="B2925" s="5">
        <v>395</v>
      </c>
      <c r="D2925" s="4">
        <v>36010</v>
      </c>
      <c r="E2925" s="6">
        <v>12.04</v>
      </c>
    </row>
    <row r="2926" spans="1:5" x14ac:dyDescent="0.25">
      <c r="A2926" s="4">
        <v>40060</v>
      </c>
      <c r="B2926" s="5">
        <v>385</v>
      </c>
      <c r="D2926" s="4">
        <v>36011</v>
      </c>
      <c r="E2926" s="6">
        <v>12.03</v>
      </c>
    </row>
    <row r="2927" spans="1:5" x14ac:dyDescent="0.25">
      <c r="A2927" s="4">
        <v>40063</v>
      </c>
      <c r="B2927" s="5">
        <v>394</v>
      </c>
      <c r="D2927" s="4">
        <v>36012</v>
      </c>
      <c r="E2927" s="6">
        <v>12.32</v>
      </c>
    </row>
    <row r="2928" spans="1:5" x14ac:dyDescent="0.25">
      <c r="A2928" s="4">
        <v>40064</v>
      </c>
      <c r="B2928" s="5">
        <v>420</v>
      </c>
      <c r="D2928" s="4">
        <v>36013</v>
      </c>
      <c r="E2928" s="6">
        <v>12.08</v>
      </c>
    </row>
    <row r="2929" spans="1:5" x14ac:dyDescent="0.25">
      <c r="A2929" s="4">
        <v>40065</v>
      </c>
      <c r="B2929" s="5">
        <v>410</v>
      </c>
      <c r="D2929" s="4">
        <v>36014</v>
      </c>
      <c r="E2929" s="6">
        <v>12.05</v>
      </c>
    </row>
    <row r="2930" spans="1:5" x14ac:dyDescent="0.25">
      <c r="A2930" s="4">
        <v>40066</v>
      </c>
      <c r="B2930" s="5">
        <v>405</v>
      </c>
      <c r="D2930" s="4">
        <v>36017</v>
      </c>
      <c r="E2930" s="6">
        <v>11.62</v>
      </c>
    </row>
    <row r="2931" spans="1:5" x14ac:dyDescent="0.25">
      <c r="A2931" s="4">
        <v>40067</v>
      </c>
      <c r="B2931" s="5">
        <v>401</v>
      </c>
      <c r="D2931" s="4">
        <v>36018</v>
      </c>
      <c r="E2931" s="6">
        <v>11.16</v>
      </c>
    </row>
    <row r="2932" spans="1:5" x14ac:dyDescent="0.25">
      <c r="A2932" s="4">
        <v>40070</v>
      </c>
      <c r="B2932" s="5">
        <v>392</v>
      </c>
      <c r="D2932" s="4">
        <v>36019</v>
      </c>
      <c r="E2932" s="6">
        <v>11.24</v>
      </c>
    </row>
    <row r="2933" spans="1:5" x14ac:dyDescent="0.25">
      <c r="A2933" s="4">
        <v>40071</v>
      </c>
      <c r="B2933" s="5">
        <v>395</v>
      </c>
      <c r="D2933" s="4">
        <v>36020</v>
      </c>
      <c r="E2933" s="6">
        <v>11.48</v>
      </c>
    </row>
    <row r="2934" spans="1:5" x14ac:dyDescent="0.25">
      <c r="A2934" s="4">
        <v>40072</v>
      </c>
      <c r="B2934" s="5">
        <v>395</v>
      </c>
      <c r="D2934" s="4">
        <v>36021</v>
      </c>
      <c r="E2934" s="6">
        <v>11.46</v>
      </c>
    </row>
    <row r="2935" spans="1:5" x14ac:dyDescent="0.25">
      <c r="A2935" s="4">
        <v>40073</v>
      </c>
      <c r="B2935" s="5">
        <v>413</v>
      </c>
      <c r="D2935" s="4">
        <v>36024</v>
      </c>
      <c r="E2935" s="6">
        <v>11.93</v>
      </c>
    </row>
    <row r="2936" spans="1:5" x14ac:dyDescent="0.25">
      <c r="A2936" s="4">
        <v>40074</v>
      </c>
      <c r="B2936" s="5">
        <v>413</v>
      </c>
      <c r="D2936" s="4">
        <v>36025</v>
      </c>
      <c r="E2936" s="6">
        <v>11.87</v>
      </c>
    </row>
    <row r="2937" spans="1:5" x14ac:dyDescent="0.25">
      <c r="A2937" s="4">
        <v>40077</v>
      </c>
      <c r="B2937" s="5">
        <v>397</v>
      </c>
      <c r="D2937" s="4">
        <v>36026</v>
      </c>
      <c r="E2937" s="6">
        <v>11.99</v>
      </c>
    </row>
    <row r="2938" spans="1:5" x14ac:dyDescent="0.25">
      <c r="A2938" s="4">
        <v>40078</v>
      </c>
      <c r="B2938" s="5">
        <v>407</v>
      </c>
      <c r="D2938" s="4">
        <v>36027</v>
      </c>
      <c r="E2938" s="6">
        <v>12.21</v>
      </c>
    </row>
    <row r="2939" spans="1:5" x14ac:dyDescent="0.25">
      <c r="A2939" s="4">
        <v>40079</v>
      </c>
      <c r="B2939" s="5">
        <v>392</v>
      </c>
      <c r="D2939" s="4">
        <v>36028</v>
      </c>
      <c r="E2939" s="6">
        <v>12.02</v>
      </c>
    </row>
    <row r="2940" spans="1:5" x14ac:dyDescent="0.25">
      <c r="A2940" s="4">
        <v>40080</v>
      </c>
      <c r="B2940" s="5">
        <v>388</v>
      </c>
      <c r="D2940" s="4">
        <v>36031</v>
      </c>
      <c r="E2940" s="6">
        <v>12.15</v>
      </c>
    </row>
    <row r="2941" spans="1:5" x14ac:dyDescent="0.25">
      <c r="A2941" s="4">
        <v>40081</v>
      </c>
      <c r="B2941" s="5">
        <v>378</v>
      </c>
      <c r="D2941" s="4">
        <v>36032</v>
      </c>
      <c r="E2941" s="6">
        <v>12.43</v>
      </c>
    </row>
    <row r="2942" spans="1:5" x14ac:dyDescent="0.25">
      <c r="A2942" s="4">
        <v>40084</v>
      </c>
      <c r="B2942" s="5">
        <v>387</v>
      </c>
      <c r="D2942" s="4">
        <v>36033</v>
      </c>
      <c r="E2942" s="6">
        <v>12.24</v>
      </c>
    </row>
    <row r="2943" spans="1:5" x14ac:dyDescent="0.25">
      <c r="A2943" s="4">
        <v>40085</v>
      </c>
      <c r="B2943" s="5">
        <v>381</v>
      </c>
      <c r="D2943" s="4">
        <v>36034</v>
      </c>
      <c r="E2943" s="6">
        <v>11.9</v>
      </c>
    </row>
    <row r="2944" spans="1:5" x14ac:dyDescent="0.25">
      <c r="A2944" s="4">
        <v>40086</v>
      </c>
      <c r="B2944" s="5">
        <v>385</v>
      </c>
      <c r="D2944" s="4">
        <v>36035</v>
      </c>
      <c r="E2944" s="6">
        <v>12.06</v>
      </c>
    </row>
    <row r="2945" spans="1:5" x14ac:dyDescent="0.25">
      <c r="A2945" s="4">
        <v>40087</v>
      </c>
      <c r="B2945" s="5">
        <v>395</v>
      </c>
      <c r="D2945" s="4">
        <v>36038</v>
      </c>
      <c r="E2945" s="5"/>
    </row>
    <row r="2946" spans="1:5" x14ac:dyDescent="0.25">
      <c r="A2946" s="4">
        <v>40088</v>
      </c>
      <c r="B2946" s="5">
        <v>382</v>
      </c>
      <c r="D2946" s="4">
        <v>36039</v>
      </c>
      <c r="E2946" s="6">
        <v>12.11</v>
      </c>
    </row>
    <row r="2947" spans="1:5" x14ac:dyDescent="0.25">
      <c r="A2947" s="4">
        <v>40091</v>
      </c>
      <c r="B2947" s="5">
        <v>386</v>
      </c>
      <c r="D2947" s="4">
        <v>36040</v>
      </c>
      <c r="E2947" s="6">
        <v>12.05</v>
      </c>
    </row>
    <row r="2948" spans="1:5" x14ac:dyDescent="0.25">
      <c r="A2948" s="4">
        <v>40092</v>
      </c>
      <c r="B2948" s="5">
        <v>406</v>
      </c>
      <c r="D2948" s="4">
        <v>36041</v>
      </c>
      <c r="E2948" s="6">
        <v>12.54</v>
      </c>
    </row>
    <row r="2949" spans="1:5" x14ac:dyDescent="0.25">
      <c r="A2949" s="4">
        <v>40093</v>
      </c>
      <c r="B2949" s="5">
        <v>410</v>
      </c>
      <c r="D2949" s="4">
        <v>36042</v>
      </c>
      <c r="E2949" s="6">
        <v>12.96</v>
      </c>
    </row>
    <row r="2950" spans="1:5" x14ac:dyDescent="0.25">
      <c r="A2950" s="4">
        <v>40094</v>
      </c>
      <c r="B2950" s="5">
        <v>406</v>
      </c>
      <c r="D2950" s="4">
        <v>36045</v>
      </c>
      <c r="E2950" s="6">
        <v>12.51</v>
      </c>
    </row>
    <row r="2951" spans="1:5" x14ac:dyDescent="0.25">
      <c r="A2951" s="4">
        <v>40095</v>
      </c>
      <c r="B2951" s="5">
        <v>410</v>
      </c>
      <c r="D2951" s="4">
        <v>36046</v>
      </c>
      <c r="E2951" s="6">
        <v>12.53</v>
      </c>
    </row>
    <row r="2952" spans="1:5" x14ac:dyDescent="0.25">
      <c r="A2952" s="4">
        <v>40098</v>
      </c>
      <c r="B2952" s="5">
        <v>417</v>
      </c>
      <c r="D2952" s="4">
        <v>36047</v>
      </c>
      <c r="E2952" s="6">
        <v>12.53</v>
      </c>
    </row>
    <row r="2953" spans="1:5" x14ac:dyDescent="0.25">
      <c r="A2953" s="4">
        <v>40099</v>
      </c>
      <c r="B2953" s="5">
        <v>411</v>
      </c>
      <c r="D2953" s="4">
        <v>36048</v>
      </c>
      <c r="E2953" s="6">
        <v>12.82</v>
      </c>
    </row>
    <row r="2954" spans="1:5" x14ac:dyDescent="0.25">
      <c r="A2954" s="4">
        <v>40100</v>
      </c>
      <c r="B2954" s="5">
        <v>406</v>
      </c>
      <c r="D2954" s="4">
        <v>36049</v>
      </c>
      <c r="E2954" s="6">
        <v>12.66</v>
      </c>
    </row>
    <row r="2955" spans="1:5" x14ac:dyDescent="0.25">
      <c r="A2955" s="4">
        <v>40101</v>
      </c>
      <c r="B2955" s="5">
        <v>420</v>
      </c>
      <c r="D2955" s="4">
        <v>36052</v>
      </c>
      <c r="E2955" s="6">
        <v>12.47</v>
      </c>
    </row>
    <row r="2956" spans="1:5" x14ac:dyDescent="0.25">
      <c r="A2956" s="4">
        <v>40102</v>
      </c>
      <c r="B2956" s="5">
        <v>427</v>
      </c>
      <c r="D2956" s="4">
        <v>36053</v>
      </c>
      <c r="E2956" s="6">
        <v>12.61</v>
      </c>
    </row>
    <row r="2957" spans="1:5" x14ac:dyDescent="0.25">
      <c r="A2957" s="4">
        <v>40105</v>
      </c>
      <c r="B2957" s="5">
        <v>434</v>
      </c>
      <c r="D2957" s="4">
        <v>36054</v>
      </c>
      <c r="E2957" s="6">
        <v>12.65</v>
      </c>
    </row>
    <row r="2958" spans="1:5" x14ac:dyDescent="0.25">
      <c r="A2958" s="4">
        <v>40106</v>
      </c>
      <c r="B2958" s="5">
        <v>437</v>
      </c>
      <c r="D2958" s="4">
        <v>36055</v>
      </c>
      <c r="E2958" s="6">
        <v>12.97</v>
      </c>
    </row>
    <row r="2959" spans="1:5" x14ac:dyDescent="0.25">
      <c r="A2959" s="4">
        <v>40107</v>
      </c>
      <c r="B2959" s="5">
        <v>442</v>
      </c>
      <c r="D2959" s="4">
        <v>36056</v>
      </c>
      <c r="E2959" s="6">
        <v>13.92</v>
      </c>
    </row>
    <row r="2960" spans="1:5" x14ac:dyDescent="0.25">
      <c r="A2960" s="4">
        <v>40108</v>
      </c>
      <c r="B2960" s="5">
        <v>450</v>
      </c>
      <c r="D2960" s="4">
        <v>36059</v>
      </c>
      <c r="E2960" s="6">
        <v>14.31</v>
      </c>
    </row>
    <row r="2961" spans="1:5" x14ac:dyDescent="0.25">
      <c r="A2961" s="4">
        <v>40109</v>
      </c>
      <c r="B2961" s="5">
        <v>447</v>
      </c>
      <c r="D2961" s="4">
        <v>36060</v>
      </c>
      <c r="E2961" s="6">
        <v>14.36</v>
      </c>
    </row>
    <row r="2962" spans="1:5" x14ac:dyDescent="0.25">
      <c r="A2962" s="4">
        <v>40112</v>
      </c>
      <c r="B2962" s="5">
        <v>444</v>
      </c>
      <c r="D2962" s="4">
        <v>36061</v>
      </c>
      <c r="E2962" s="6">
        <v>14.67</v>
      </c>
    </row>
    <row r="2963" spans="1:5" x14ac:dyDescent="0.25">
      <c r="A2963" s="4">
        <v>40113</v>
      </c>
      <c r="B2963" s="5">
        <v>445</v>
      </c>
      <c r="D2963" s="4">
        <v>36062</v>
      </c>
      <c r="E2963" s="6">
        <v>14.84</v>
      </c>
    </row>
    <row r="2964" spans="1:5" x14ac:dyDescent="0.25">
      <c r="A2964" s="4">
        <v>40114</v>
      </c>
      <c r="B2964" s="5">
        <v>446</v>
      </c>
      <c r="D2964" s="4">
        <v>36063</v>
      </c>
      <c r="E2964" s="6">
        <v>14.55</v>
      </c>
    </row>
    <row r="2965" spans="1:5" x14ac:dyDescent="0.25">
      <c r="A2965" s="4">
        <v>40115</v>
      </c>
      <c r="B2965" s="5">
        <v>445</v>
      </c>
      <c r="D2965" s="4">
        <v>36066</v>
      </c>
      <c r="E2965" s="6">
        <v>14.41</v>
      </c>
    </row>
    <row r="2966" spans="1:5" x14ac:dyDescent="0.25">
      <c r="A2966" s="4">
        <v>40116</v>
      </c>
      <c r="B2966" s="5">
        <v>438</v>
      </c>
      <c r="D2966" s="4">
        <v>36067</v>
      </c>
      <c r="E2966" s="6">
        <v>14.38</v>
      </c>
    </row>
    <row r="2967" spans="1:5" x14ac:dyDescent="0.25">
      <c r="A2967" s="4">
        <v>40119</v>
      </c>
      <c r="B2967" s="5">
        <v>440</v>
      </c>
      <c r="D2967" s="4">
        <v>36068</v>
      </c>
      <c r="E2967" s="6">
        <v>14.71</v>
      </c>
    </row>
    <row r="2968" spans="1:5" x14ac:dyDescent="0.25">
      <c r="A2968" s="4">
        <v>40120</v>
      </c>
      <c r="B2968" s="5">
        <v>444</v>
      </c>
      <c r="D2968" s="4">
        <v>36069</v>
      </c>
      <c r="E2968" s="6">
        <v>14.46</v>
      </c>
    </row>
    <row r="2969" spans="1:5" x14ac:dyDescent="0.25">
      <c r="A2969" s="4">
        <v>40121</v>
      </c>
      <c r="B2969" s="5">
        <v>458</v>
      </c>
      <c r="D2969" s="4">
        <v>36070</v>
      </c>
      <c r="E2969" s="6">
        <v>14.21</v>
      </c>
    </row>
    <row r="2970" spans="1:5" x14ac:dyDescent="0.25">
      <c r="A2970" s="4">
        <v>40122</v>
      </c>
      <c r="B2970" s="5">
        <v>457</v>
      </c>
      <c r="D2970" s="4">
        <v>36073</v>
      </c>
      <c r="E2970" s="6">
        <v>14.1</v>
      </c>
    </row>
    <row r="2971" spans="1:5" x14ac:dyDescent="0.25">
      <c r="A2971" s="4">
        <v>40123</v>
      </c>
      <c r="B2971" s="5">
        <v>444</v>
      </c>
      <c r="D2971" s="4">
        <v>36074</v>
      </c>
      <c r="E2971" s="6">
        <v>13.98</v>
      </c>
    </row>
    <row r="2972" spans="1:5" x14ac:dyDescent="0.25">
      <c r="A2972" s="4">
        <v>40126</v>
      </c>
      <c r="B2972" s="5">
        <v>452</v>
      </c>
      <c r="D2972" s="4">
        <v>36075</v>
      </c>
      <c r="E2972" s="6">
        <v>13.88</v>
      </c>
    </row>
    <row r="2973" spans="1:5" x14ac:dyDescent="0.25">
      <c r="A2973" s="4">
        <v>40127</v>
      </c>
      <c r="B2973" s="5">
        <v>454</v>
      </c>
      <c r="D2973" s="4">
        <v>36076</v>
      </c>
      <c r="E2973" s="6">
        <v>13.23</v>
      </c>
    </row>
    <row r="2974" spans="1:5" x14ac:dyDescent="0.25">
      <c r="A2974" s="4">
        <v>40128</v>
      </c>
      <c r="B2974" s="5">
        <v>453</v>
      </c>
      <c r="D2974" s="4">
        <v>36077</v>
      </c>
      <c r="E2974" s="6">
        <v>12.87</v>
      </c>
    </row>
    <row r="2975" spans="1:5" x14ac:dyDescent="0.25">
      <c r="A2975" s="4">
        <v>40129</v>
      </c>
      <c r="B2975" s="5">
        <v>437</v>
      </c>
      <c r="D2975" s="4">
        <v>36080</v>
      </c>
      <c r="E2975" s="6">
        <v>13.18</v>
      </c>
    </row>
    <row r="2976" spans="1:5" x14ac:dyDescent="0.25">
      <c r="A2976" s="4">
        <v>40130</v>
      </c>
      <c r="B2976" s="5">
        <v>437</v>
      </c>
      <c r="D2976" s="4">
        <v>36081</v>
      </c>
      <c r="E2976" s="6">
        <v>12.73</v>
      </c>
    </row>
    <row r="2977" spans="1:5" x14ac:dyDescent="0.25">
      <c r="A2977" s="4">
        <v>40133</v>
      </c>
      <c r="B2977" s="5">
        <v>454.5</v>
      </c>
      <c r="D2977" s="4">
        <v>36082</v>
      </c>
      <c r="E2977" s="6">
        <v>12.26</v>
      </c>
    </row>
    <row r="2978" spans="1:5" x14ac:dyDescent="0.25">
      <c r="A2978" s="4">
        <v>40134</v>
      </c>
      <c r="B2978" s="5">
        <v>453</v>
      </c>
      <c r="D2978" s="4">
        <v>36083</v>
      </c>
      <c r="E2978" s="6">
        <v>11.98</v>
      </c>
    </row>
    <row r="2979" spans="1:5" x14ac:dyDescent="0.25">
      <c r="A2979" s="4">
        <v>40135</v>
      </c>
      <c r="B2979" s="5">
        <v>461</v>
      </c>
      <c r="D2979" s="4">
        <v>36084</v>
      </c>
      <c r="E2979" s="6">
        <v>12.11</v>
      </c>
    </row>
    <row r="2980" spans="1:5" x14ac:dyDescent="0.25">
      <c r="A2980" s="4">
        <v>40136</v>
      </c>
      <c r="B2980" s="5">
        <v>449</v>
      </c>
      <c r="D2980" s="4">
        <v>36087</v>
      </c>
      <c r="E2980" s="6">
        <v>11.6</v>
      </c>
    </row>
    <row r="2981" spans="1:5" x14ac:dyDescent="0.25">
      <c r="A2981" s="4">
        <v>40137</v>
      </c>
      <c r="B2981" s="5">
        <v>440</v>
      </c>
      <c r="D2981" s="4">
        <v>36088</v>
      </c>
      <c r="E2981" s="6">
        <v>11.29</v>
      </c>
    </row>
    <row r="2982" spans="1:5" x14ac:dyDescent="0.25">
      <c r="A2982" s="4">
        <v>40140</v>
      </c>
      <c r="B2982" s="5">
        <v>454</v>
      </c>
      <c r="D2982" s="4">
        <v>36089</v>
      </c>
      <c r="E2982" s="6">
        <v>11.94</v>
      </c>
    </row>
    <row r="2983" spans="1:5" x14ac:dyDescent="0.25">
      <c r="A2983" s="4">
        <v>40141</v>
      </c>
      <c r="B2983" s="5">
        <v>442</v>
      </c>
      <c r="D2983" s="4">
        <v>36090</v>
      </c>
      <c r="E2983" s="6">
        <v>11.68</v>
      </c>
    </row>
    <row r="2984" spans="1:5" x14ac:dyDescent="0.25">
      <c r="A2984" s="4">
        <v>40142</v>
      </c>
      <c r="B2984" s="5">
        <v>446.5</v>
      </c>
      <c r="D2984" s="4">
        <v>36091</v>
      </c>
      <c r="E2984" s="6">
        <v>12.18</v>
      </c>
    </row>
    <row r="2985" spans="1:5" x14ac:dyDescent="0.25">
      <c r="A2985" s="4">
        <v>40143</v>
      </c>
      <c r="B2985" s="5">
        <v>448.25</v>
      </c>
      <c r="D2985" s="4">
        <v>36094</v>
      </c>
      <c r="E2985" s="6">
        <v>12.74</v>
      </c>
    </row>
    <row r="2986" spans="1:5" x14ac:dyDescent="0.25">
      <c r="A2986" s="4">
        <v>40144</v>
      </c>
      <c r="B2986" s="5">
        <v>440</v>
      </c>
      <c r="D2986" s="4">
        <v>36095</v>
      </c>
      <c r="E2986" s="6">
        <v>12.46</v>
      </c>
    </row>
    <row r="2987" spans="1:5" x14ac:dyDescent="0.25">
      <c r="A2987" s="4">
        <v>40147</v>
      </c>
      <c r="B2987" s="5">
        <v>442</v>
      </c>
      <c r="D2987" s="4">
        <v>36096</v>
      </c>
      <c r="E2987" s="6">
        <v>12.26</v>
      </c>
    </row>
    <row r="2988" spans="1:5" x14ac:dyDescent="0.25">
      <c r="A2988" s="4">
        <v>40148</v>
      </c>
      <c r="B2988" s="5">
        <v>454</v>
      </c>
      <c r="D2988" s="4">
        <v>36097</v>
      </c>
      <c r="E2988" s="6">
        <v>12.31</v>
      </c>
    </row>
    <row r="2989" spans="1:5" x14ac:dyDescent="0.25">
      <c r="A2989" s="4">
        <v>40149</v>
      </c>
      <c r="B2989" s="5">
        <v>442</v>
      </c>
      <c r="D2989" s="4">
        <v>36098</v>
      </c>
      <c r="E2989" s="6">
        <v>12</v>
      </c>
    </row>
    <row r="2990" spans="1:5" x14ac:dyDescent="0.25">
      <c r="A2990" s="4">
        <v>40150</v>
      </c>
      <c r="B2990" s="5">
        <v>448</v>
      </c>
      <c r="D2990" s="4">
        <v>36101</v>
      </c>
      <c r="E2990" s="6">
        <v>12.43</v>
      </c>
    </row>
    <row r="2991" spans="1:5" x14ac:dyDescent="0.25">
      <c r="A2991" s="4">
        <v>40151</v>
      </c>
      <c r="B2991" s="5">
        <v>449</v>
      </c>
      <c r="D2991" s="4">
        <v>36102</v>
      </c>
      <c r="E2991" s="6">
        <v>11.93</v>
      </c>
    </row>
    <row r="2992" spans="1:5" x14ac:dyDescent="0.25">
      <c r="A2992" s="4">
        <v>40154</v>
      </c>
      <c r="B2992" s="5">
        <v>441</v>
      </c>
      <c r="D2992" s="4">
        <v>36103</v>
      </c>
      <c r="E2992" s="6">
        <v>11.88</v>
      </c>
    </row>
    <row r="2993" spans="1:5" x14ac:dyDescent="0.25">
      <c r="A2993" s="4">
        <v>40155</v>
      </c>
      <c r="B2993" s="5">
        <v>438</v>
      </c>
      <c r="D2993" s="4">
        <v>36104</v>
      </c>
      <c r="E2993" s="6">
        <v>11.73</v>
      </c>
    </row>
    <row r="2994" spans="1:5" x14ac:dyDescent="0.25">
      <c r="A2994" s="4">
        <v>40156</v>
      </c>
      <c r="B2994" s="5">
        <v>435.25</v>
      </c>
      <c r="D2994" s="4">
        <v>36105</v>
      </c>
      <c r="E2994" s="6">
        <v>11.51</v>
      </c>
    </row>
    <row r="2995" spans="1:5" x14ac:dyDescent="0.25">
      <c r="A2995" s="4">
        <v>40157</v>
      </c>
      <c r="B2995" s="5">
        <v>413</v>
      </c>
      <c r="D2995" s="4">
        <v>36108</v>
      </c>
      <c r="E2995" s="6">
        <v>11.15</v>
      </c>
    </row>
    <row r="2996" spans="1:5" x14ac:dyDescent="0.25">
      <c r="A2996" s="4">
        <v>40158</v>
      </c>
      <c r="B2996" s="5">
        <v>404</v>
      </c>
      <c r="D2996" s="4">
        <v>36109</v>
      </c>
      <c r="E2996" s="6">
        <v>11.18</v>
      </c>
    </row>
    <row r="2997" spans="1:5" x14ac:dyDescent="0.25">
      <c r="A2997" s="4">
        <v>40161</v>
      </c>
      <c r="B2997" s="5">
        <v>412</v>
      </c>
      <c r="D2997" s="4">
        <v>36110</v>
      </c>
      <c r="E2997" s="6">
        <v>11.45</v>
      </c>
    </row>
    <row r="2998" spans="1:5" x14ac:dyDescent="0.25">
      <c r="A2998" s="4">
        <v>40162</v>
      </c>
      <c r="B2998" s="5">
        <v>415.25</v>
      </c>
      <c r="D2998" s="4">
        <v>36111</v>
      </c>
      <c r="E2998" s="6">
        <v>11.56</v>
      </c>
    </row>
    <row r="2999" spans="1:5" x14ac:dyDescent="0.25">
      <c r="A2999" s="4">
        <v>40163</v>
      </c>
      <c r="B2999" s="5">
        <v>424</v>
      </c>
      <c r="D2999" s="4">
        <v>36112</v>
      </c>
      <c r="E2999" s="6">
        <v>11.46</v>
      </c>
    </row>
    <row r="3000" spans="1:5" x14ac:dyDescent="0.25">
      <c r="A3000" s="4">
        <v>40164</v>
      </c>
      <c r="B3000" s="5">
        <v>417</v>
      </c>
      <c r="D3000" s="4">
        <v>36115</v>
      </c>
      <c r="E3000" s="6">
        <v>11.1</v>
      </c>
    </row>
    <row r="3001" spans="1:5" x14ac:dyDescent="0.25">
      <c r="A3001" s="4">
        <v>40165</v>
      </c>
      <c r="B3001" s="5">
        <v>418.5</v>
      </c>
      <c r="D3001" s="4">
        <v>36116</v>
      </c>
      <c r="E3001" s="6">
        <v>10.62</v>
      </c>
    </row>
    <row r="3002" spans="1:5" x14ac:dyDescent="0.25">
      <c r="A3002" s="4">
        <v>40168</v>
      </c>
      <c r="B3002" s="5">
        <v>415</v>
      </c>
      <c r="D3002" s="4">
        <v>36117</v>
      </c>
      <c r="E3002" s="6">
        <v>10.25</v>
      </c>
    </row>
    <row r="3003" spans="1:5" x14ac:dyDescent="0.25">
      <c r="A3003" s="4">
        <v>40169</v>
      </c>
      <c r="B3003" s="5">
        <v>408</v>
      </c>
      <c r="D3003" s="4">
        <v>36118</v>
      </c>
      <c r="E3003" s="6">
        <v>10.45</v>
      </c>
    </row>
    <row r="3004" spans="1:5" x14ac:dyDescent="0.25">
      <c r="A3004" s="4">
        <v>40170</v>
      </c>
      <c r="B3004" s="5">
        <v>425</v>
      </c>
      <c r="D3004" s="4">
        <v>36119</v>
      </c>
      <c r="E3004" s="6">
        <v>10.4</v>
      </c>
    </row>
    <row r="3005" spans="1:5" x14ac:dyDescent="0.25">
      <c r="A3005" s="4">
        <v>40171</v>
      </c>
      <c r="B3005" s="5">
        <v>421.5</v>
      </c>
      <c r="D3005" s="4">
        <v>36122</v>
      </c>
      <c r="E3005" s="6">
        <v>10.54</v>
      </c>
    </row>
    <row r="3006" spans="1:5" x14ac:dyDescent="0.25">
      <c r="A3006" s="4">
        <v>40182</v>
      </c>
      <c r="B3006" s="5">
        <v>455</v>
      </c>
      <c r="D3006" s="4">
        <v>36123</v>
      </c>
      <c r="E3006" s="6">
        <v>10.58</v>
      </c>
    </row>
    <row r="3007" spans="1:5" x14ac:dyDescent="0.25">
      <c r="A3007" s="4">
        <v>40183</v>
      </c>
      <c r="B3007" s="5">
        <v>463</v>
      </c>
      <c r="D3007" s="4">
        <v>36124</v>
      </c>
      <c r="E3007" s="6">
        <v>10.51</v>
      </c>
    </row>
    <row r="3008" spans="1:5" x14ac:dyDescent="0.25">
      <c r="A3008" s="4">
        <v>40184</v>
      </c>
      <c r="B3008" s="5">
        <v>466</v>
      </c>
      <c r="D3008" s="4">
        <v>36125</v>
      </c>
      <c r="E3008" s="6">
        <v>10.41</v>
      </c>
    </row>
    <row r="3009" spans="1:5" x14ac:dyDescent="0.25">
      <c r="A3009" s="4">
        <v>40185</v>
      </c>
      <c r="B3009" s="5">
        <v>470</v>
      </c>
      <c r="D3009" s="4">
        <v>36126</v>
      </c>
      <c r="E3009" s="6">
        <v>10.77</v>
      </c>
    </row>
    <row r="3010" spans="1:5" x14ac:dyDescent="0.25">
      <c r="A3010" s="4">
        <v>40186</v>
      </c>
      <c r="B3010" s="5">
        <v>469</v>
      </c>
      <c r="D3010" s="4">
        <v>36129</v>
      </c>
      <c r="E3010" s="6">
        <v>9.91</v>
      </c>
    </row>
    <row r="3011" spans="1:5" x14ac:dyDescent="0.25">
      <c r="A3011" s="4">
        <v>40189</v>
      </c>
      <c r="B3011" s="5">
        <v>470.75</v>
      </c>
      <c r="D3011" s="4">
        <v>36130</v>
      </c>
      <c r="E3011" s="6">
        <v>9.8699999999999992</v>
      </c>
    </row>
    <row r="3012" spans="1:5" x14ac:dyDescent="0.25">
      <c r="A3012" s="4">
        <v>40190</v>
      </c>
      <c r="B3012" s="5">
        <v>465</v>
      </c>
      <c r="D3012" s="4">
        <v>36131</v>
      </c>
      <c r="E3012" s="6">
        <v>9.7100000000000009</v>
      </c>
    </row>
    <row r="3013" spans="1:5" x14ac:dyDescent="0.25">
      <c r="A3013" s="4">
        <v>40191</v>
      </c>
      <c r="B3013" s="5">
        <v>449</v>
      </c>
      <c r="D3013" s="4">
        <v>36132</v>
      </c>
      <c r="E3013" s="6">
        <v>10.050000000000001</v>
      </c>
    </row>
    <row r="3014" spans="1:5" x14ac:dyDescent="0.25">
      <c r="A3014" s="4">
        <v>40192</v>
      </c>
      <c r="B3014" s="5">
        <v>455</v>
      </c>
      <c r="D3014" s="4">
        <v>36133</v>
      </c>
      <c r="E3014" s="6">
        <v>9.73</v>
      </c>
    </row>
    <row r="3015" spans="1:5" x14ac:dyDescent="0.25">
      <c r="A3015" s="4">
        <v>40193</v>
      </c>
      <c r="B3015" s="5">
        <v>451</v>
      </c>
      <c r="D3015" s="4">
        <v>36136</v>
      </c>
      <c r="E3015" s="6">
        <v>9.6999999999999993</v>
      </c>
    </row>
    <row r="3016" spans="1:5" x14ac:dyDescent="0.25">
      <c r="A3016" s="4">
        <v>40196</v>
      </c>
      <c r="B3016" s="5">
        <v>449</v>
      </c>
      <c r="D3016" s="4">
        <v>36137</v>
      </c>
      <c r="E3016" s="6">
        <v>9.68</v>
      </c>
    </row>
    <row r="3017" spans="1:5" x14ac:dyDescent="0.25">
      <c r="A3017" s="4">
        <v>40197</v>
      </c>
      <c r="B3017" s="5">
        <v>440</v>
      </c>
      <c r="D3017" s="4">
        <v>36138</v>
      </c>
      <c r="E3017" s="6">
        <v>9.4600000000000009</v>
      </c>
    </row>
    <row r="3018" spans="1:5" x14ac:dyDescent="0.25">
      <c r="A3018" s="4">
        <v>40198</v>
      </c>
      <c r="B3018" s="5">
        <v>439.5</v>
      </c>
      <c r="D3018" s="4">
        <v>36139</v>
      </c>
      <c r="E3018" s="6">
        <v>9.1</v>
      </c>
    </row>
    <row r="3019" spans="1:5" x14ac:dyDescent="0.25">
      <c r="A3019" s="4">
        <v>40199</v>
      </c>
      <c r="B3019" s="5">
        <v>439.5</v>
      </c>
      <c r="D3019" s="4">
        <v>36140</v>
      </c>
      <c r="E3019" s="6">
        <v>9.26</v>
      </c>
    </row>
    <row r="3020" spans="1:5" x14ac:dyDescent="0.25">
      <c r="A3020" s="4">
        <v>40200</v>
      </c>
      <c r="B3020" s="5">
        <v>428.5</v>
      </c>
      <c r="D3020" s="4">
        <v>36143</v>
      </c>
      <c r="E3020" s="6">
        <v>9.4499999999999993</v>
      </c>
    </row>
    <row r="3021" spans="1:5" x14ac:dyDescent="0.25">
      <c r="A3021" s="4">
        <v>40203</v>
      </c>
      <c r="B3021" s="5">
        <v>426</v>
      </c>
      <c r="D3021" s="4">
        <v>36144</v>
      </c>
      <c r="E3021" s="6">
        <v>9.57</v>
      </c>
    </row>
    <row r="3022" spans="1:5" x14ac:dyDescent="0.25">
      <c r="A3022" s="4">
        <v>40204</v>
      </c>
      <c r="B3022" s="5">
        <v>430</v>
      </c>
      <c r="D3022" s="4">
        <v>36145</v>
      </c>
      <c r="E3022" s="6">
        <v>10.87</v>
      </c>
    </row>
    <row r="3023" spans="1:5" x14ac:dyDescent="0.25">
      <c r="A3023" s="4">
        <v>40205</v>
      </c>
      <c r="B3023" s="5">
        <v>434</v>
      </c>
      <c r="D3023" s="4">
        <v>36146</v>
      </c>
      <c r="E3023" s="6">
        <v>9.92</v>
      </c>
    </row>
    <row r="3024" spans="1:5" x14ac:dyDescent="0.25">
      <c r="A3024" s="4">
        <v>40206</v>
      </c>
      <c r="B3024" s="5">
        <v>428</v>
      </c>
      <c r="D3024" s="4">
        <v>36147</v>
      </c>
      <c r="E3024" s="6">
        <v>9.6199999999999992</v>
      </c>
    </row>
    <row r="3025" spans="1:5" x14ac:dyDescent="0.25">
      <c r="A3025" s="4">
        <v>40207</v>
      </c>
      <c r="B3025" s="5">
        <v>429</v>
      </c>
      <c r="D3025" s="4">
        <v>36150</v>
      </c>
      <c r="E3025" s="6">
        <v>9.4499999999999993</v>
      </c>
    </row>
    <row r="3026" spans="1:5" x14ac:dyDescent="0.25">
      <c r="A3026" s="4">
        <v>40210</v>
      </c>
      <c r="B3026" s="5">
        <v>429</v>
      </c>
      <c r="D3026" s="4">
        <v>36151</v>
      </c>
      <c r="E3026" s="6">
        <v>9.83</v>
      </c>
    </row>
    <row r="3027" spans="1:5" x14ac:dyDescent="0.25">
      <c r="A3027" s="4">
        <v>40211</v>
      </c>
      <c r="B3027" s="5">
        <v>436</v>
      </c>
      <c r="D3027" s="4">
        <v>36152</v>
      </c>
      <c r="E3027" s="6">
        <v>9.91</v>
      </c>
    </row>
    <row r="3028" spans="1:5" x14ac:dyDescent="0.25">
      <c r="A3028" s="4">
        <v>40212</v>
      </c>
      <c r="B3028" s="5">
        <v>445.5</v>
      </c>
      <c r="D3028" s="4">
        <v>36153</v>
      </c>
      <c r="E3028" s="6">
        <v>9.91</v>
      </c>
    </row>
    <row r="3029" spans="1:5" x14ac:dyDescent="0.25">
      <c r="A3029" s="4">
        <v>40213</v>
      </c>
      <c r="B3029" s="5">
        <v>427.25</v>
      </c>
      <c r="D3029" s="4">
        <v>36154</v>
      </c>
      <c r="E3029" s="5"/>
    </row>
    <row r="3030" spans="1:5" x14ac:dyDescent="0.25">
      <c r="A3030" s="4">
        <v>40214</v>
      </c>
      <c r="B3030" s="5">
        <v>414.5</v>
      </c>
      <c r="D3030" s="4">
        <v>36157</v>
      </c>
      <c r="E3030" s="5"/>
    </row>
    <row r="3031" spans="1:5" x14ac:dyDescent="0.25">
      <c r="A3031" s="4">
        <v>40217</v>
      </c>
      <c r="B3031" s="5">
        <v>410.5</v>
      </c>
      <c r="D3031" s="4">
        <v>36158</v>
      </c>
      <c r="E3031" s="6">
        <v>10.23</v>
      </c>
    </row>
    <row r="3032" spans="1:5" x14ac:dyDescent="0.25">
      <c r="A3032" s="4">
        <v>40218</v>
      </c>
      <c r="B3032" s="5">
        <v>416.5</v>
      </c>
      <c r="D3032" s="4">
        <v>36159</v>
      </c>
      <c r="E3032" s="6">
        <v>10.45</v>
      </c>
    </row>
    <row r="3033" spans="1:5" x14ac:dyDescent="0.25">
      <c r="A3033" s="4">
        <v>40219</v>
      </c>
      <c r="B3033" s="5">
        <v>421</v>
      </c>
      <c r="D3033" s="4">
        <v>36160</v>
      </c>
      <c r="E3033" s="6">
        <v>10.54</v>
      </c>
    </row>
    <row r="3034" spans="1:5" x14ac:dyDescent="0.25">
      <c r="A3034" s="4">
        <v>40220</v>
      </c>
      <c r="B3034" s="5">
        <v>434</v>
      </c>
      <c r="D3034" s="4">
        <v>36161</v>
      </c>
      <c r="E3034" s="5"/>
    </row>
    <row r="3035" spans="1:5" x14ac:dyDescent="0.25">
      <c r="A3035" s="4">
        <v>40221</v>
      </c>
      <c r="B3035" s="5">
        <v>427</v>
      </c>
      <c r="D3035" s="4">
        <v>36164</v>
      </c>
      <c r="E3035" s="6">
        <v>10.94</v>
      </c>
    </row>
    <row r="3036" spans="1:5" x14ac:dyDescent="0.25">
      <c r="A3036" s="4">
        <v>40224</v>
      </c>
      <c r="B3036" s="5">
        <v>424</v>
      </c>
      <c r="D3036" s="4">
        <v>36165</v>
      </c>
      <c r="E3036" s="6">
        <v>10.3</v>
      </c>
    </row>
    <row r="3037" spans="1:5" x14ac:dyDescent="0.25">
      <c r="A3037" s="4">
        <v>40225</v>
      </c>
      <c r="B3037" s="5">
        <v>440</v>
      </c>
      <c r="D3037" s="4">
        <v>36166</v>
      </c>
      <c r="E3037" s="6">
        <v>10.67</v>
      </c>
    </row>
    <row r="3038" spans="1:5" x14ac:dyDescent="0.25">
      <c r="A3038" s="4">
        <v>40226</v>
      </c>
      <c r="B3038" s="5">
        <v>442</v>
      </c>
      <c r="D3038" s="4">
        <v>36167</v>
      </c>
      <c r="E3038" s="6">
        <v>11.08</v>
      </c>
    </row>
    <row r="3039" spans="1:5" x14ac:dyDescent="0.25">
      <c r="A3039" s="4">
        <v>40227</v>
      </c>
      <c r="B3039" s="5">
        <v>448</v>
      </c>
      <c r="D3039" s="4">
        <v>36168</v>
      </c>
      <c r="E3039" s="6">
        <v>11.7</v>
      </c>
    </row>
    <row r="3040" spans="1:5" x14ac:dyDescent="0.25">
      <c r="A3040" s="4">
        <v>40228</v>
      </c>
      <c r="B3040" s="5">
        <v>447.5</v>
      </c>
      <c r="D3040" s="4">
        <v>36171</v>
      </c>
      <c r="E3040" s="6">
        <v>12.07</v>
      </c>
    </row>
    <row r="3041" spans="1:5" x14ac:dyDescent="0.25">
      <c r="A3041" s="4">
        <v>40231</v>
      </c>
      <c r="B3041" s="5">
        <v>454</v>
      </c>
      <c r="D3041" s="4">
        <v>36172</v>
      </c>
      <c r="E3041" s="6">
        <v>11.78</v>
      </c>
    </row>
    <row r="3042" spans="1:5" x14ac:dyDescent="0.25">
      <c r="A3042" s="4">
        <v>40232</v>
      </c>
      <c r="B3042" s="5">
        <v>448</v>
      </c>
      <c r="D3042" s="4">
        <v>36173</v>
      </c>
      <c r="E3042" s="6">
        <v>10.9</v>
      </c>
    </row>
    <row r="3043" spans="1:5" x14ac:dyDescent="0.25">
      <c r="A3043" s="4">
        <v>40233</v>
      </c>
      <c r="B3043" s="5">
        <v>453</v>
      </c>
      <c r="D3043" s="4">
        <v>36174</v>
      </c>
      <c r="E3043" s="6">
        <v>11.1</v>
      </c>
    </row>
    <row r="3044" spans="1:5" x14ac:dyDescent="0.25">
      <c r="A3044" s="4">
        <v>40234</v>
      </c>
      <c r="B3044" s="5">
        <v>434</v>
      </c>
      <c r="D3044" s="4">
        <v>36175</v>
      </c>
      <c r="E3044" s="6">
        <v>10.97</v>
      </c>
    </row>
    <row r="3045" spans="1:5" x14ac:dyDescent="0.25">
      <c r="A3045" s="4">
        <v>40235</v>
      </c>
      <c r="B3045" s="5">
        <v>439</v>
      </c>
      <c r="D3045" s="4">
        <v>36178</v>
      </c>
      <c r="E3045" s="6">
        <v>10.81</v>
      </c>
    </row>
    <row r="3046" spans="1:5" x14ac:dyDescent="0.25">
      <c r="A3046" s="4">
        <v>40238</v>
      </c>
      <c r="B3046" s="5">
        <v>446</v>
      </c>
      <c r="D3046" s="4">
        <v>36179</v>
      </c>
      <c r="E3046" s="6">
        <v>11.19</v>
      </c>
    </row>
    <row r="3047" spans="1:5" x14ac:dyDescent="0.25">
      <c r="A3047" s="4">
        <v>40239</v>
      </c>
      <c r="B3047" s="5">
        <v>450.5</v>
      </c>
      <c r="D3047" s="4">
        <v>36180</v>
      </c>
      <c r="E3047" s="6">
        <v>10.85</v>
      </c>
    </row>
    <row r="3048" spans="1:5" x14ac:dyDescent="0.25">
      <c r="A3048" s="4">
        <v>40240</v>
      </c>
      <c r="B3048" s="5">
        <v>455</v>
      </c>
      <c r="D3048" s="4">
        <v>36181</v>
      </c>
      <c r="E3048" s="6">
        <v>11.14</v>
      </c>
    </row>
    <row r="3049" spans="1:5" x14ac:dyDescent="0.25">
      <c r="A3049" s="4">
        <v>40241</v>
      </c>
      <c r="B3049" s="5">
        <v>448</v>
      </c>
      <c r="D3049" s="4">
        <v>36182</v>
      </c>
      <c r="E3049" s="6">
        <v>11.23</v>
      </c>
    </row>
    <row r="3050" spans="1:5" x14ac:dyDescent="0.25">
      <c r="A3050" s="4">
        <v>40242</v>
      </c>
      <c r="B3050" s="5">
        <v>452</v>
      </c>
      <c r="D3050" s="4">
        <v>36185</v>
      </c>
      <c r="E3050" s="6">
        <v>11.21</v>
      </c>
    </row>
    <row r="3051" spans="1:5" x14ac:dyDescent="0.25">
      <c r="A3051" s="4">
        <v>40245</v>
      </c>
      <c r="B3051" s="5">
        <v>450</v>
      </c>
      <c r="D3051" s="4">
        <v>36186</v>
      </c>
      <c r="E3051" s="6">
        <v>10.84</v>
      </c>
    </row>
    <row r="3052" spans="1:5" x14ac:dyDescent="0.25">
      <c r="A3052" s="4">
        <v>40246</v>
      </c>
      <c r="B3052" s="5">
        <v>445.5</v>
      </c>
      <c r="D3052" s="4">
        <v>36187</v>
      </c>
      <c r="E3052" s="6">
        <v>11.03</v>
      </c>
    </row>
    <row r="3053" spans="1:5" x14ac:dyDescent="0.25">
      <c r="A3053" s="4">
        <v>40247</v>
      </c>
      <c r="B3053" s="5">
        <v>453.5</v>
      </c>
      <c r="D3053" s="4">
        <v>36188</v>
      </c>
      <c r="E3053" s="6">
        <v>11.14</v>
      </c>
    </row>
    <row r="3054" spans="1:5" x14ac:dyDescent="0.25">
      <c r="A3054" s="4">
        <v>40248</v>
      </c>
      <c r="B3054" s="5">
        <v>444</v>
      </c>
      <c r="D3054" s="4">
        <v>36189</v>
      </c>
      <c r="E3054" s="6">
        <v>11.34</v>
      </c>
    </row>
    <row r="3055" spans="1:5" x14ac:dyDescent="0.25">
      <c r="A3055" s="4">
        <v>40249</v>
      </c>
      <c r="B3055" s="5">
        <v>438</v>
      </c>
      <c r="D3055" s="4">
        <v>36192</v>
      </c>
      <c r="E3055" s="6">
        <v>10.81</v>
      </c>
    </row>
    <row r="3056" spans="1:5" x14ac:dyDescent="0.25">
      <c r="A3056" s="4">
        <v>40252</v>
      </c>
      <c r="B3056" s="5">
        <v>426</v>
      </c>
      <c r="D3056" s="4">
        <v>36193</v>
      </c>
      <c r="E3056" s="6">
        <v>10.39</v>
      </c>
    </row>
    <row r="3057" spans="1:5" x14ac:dyDescent="0.25">
      <c r="A3057" s="4">
        <v>40253</v>
      </c>
      <c r="B3057" s="5">
        <v>440</v>
      </c>
      <c r="D3057" s="4">
        <v>36194</v>
      </c>
      <c r="E3057" s="6">
        <v>10.78</v>
      </c>
    </row>
    <row r="3058" spans="1:5" x14ac:dyDescent="0.25">
      <c r="A3058" s="4">
        <v>40254</v>
      </c>
      <c r="B3058" s="5">
        <v>443</v>
      </c>
      <c r="D3058" s="4">
        <v>36195</v>
      </c>
      <c r="E3058" s="6">
        <v>10.42</v>
      </c>
    </row>
    <row r="3059" spans="1:5" x14ac:dyDescent="0.25">
      <c r="A3059" s="4">
        <v>40255</v>
      </c>
      <c r="B3059" s="5">
        <v>439</v>
      </c>
      <c r="D3059" s="4">
        <v>36196</v>
      </c>
      <c r="E3059" s="6">
        <v>10.18</v>
      </c>
    </row>
    <row r="3060" spans="1:5" x14ac:dyDescent="0.25">
      <c r="A3060" s="4">
        <v>40256</v>
      </c>
      <c r="B3060" s="5">
        <v>431</v>
      </c>
      <c r="D3060" s="4">
        <v>36199</v>
      </c>
      <c r="E3060" s="6">
        <v>9.9700000000000006</v>
      </c>
    </row>
    <row r="3061" spans="1:5" x14ac:dyDescent="0.25">
      <c r="A3061" s="4">
        <v>40259</v>
      </c>
      <c r="B3061" s="5">
        <v>439</v>
      </c>
      <c r="D3061" s="4">
        <v>36200</v>
      </c>
      <c r="E3061" s="6">
        <v>9.77</v>
      </c>
    </row>
    <row r="3062" spans="1:5" x14ac:dyDescent="0.25">
      <c r="A3062" s="4">
        <v>40260</v>
      </c>
      <c r="B3062" s="5">
        <v>446</v>
      </c>
      <c r="D3062" s="4">
        <v>36201</v>
      </c>
      <c r="E3062" s="6">
        <v>9.8800000000000008</v>
      </c>
    </row>
    <row r="3063" spans="1:5" x14ac:dyDescent="0.25">
      <c r="A3063" s="4">
        <v>40261</v>
      </c>
      <c r="B3063" s="5">
        <v>440.75</v>
      </c>
      <c r="D3063" s="4">
        <v>36202</v>
      </c>
      <c r="E3063" s="6">
        <v>9.82</v>
      </c>
    </row>
    <row r="3064" spans="1:5" x14ac:dyDescent="0.25">
      <c r="A3064" s="4">
        <v>40262</v>
      </c>
      <c r="B3064" s="5">
        <v>443.5</v>
      </c>
      <c r="D3064" s="4">
        <v>36203</v>
      </c>
      <c r="E3064" s="6">
        <v>9.9700000000000006</v>
      </c>
    </row>
    <row r="3065" spans="1:5" x14ac:dyDescent="0.25">
      <c r="A3065" s="4">
        <v>40263</v>
      </c>
      <c r="B3065" s="5">
        <v>435</v>
      </c>
      <c r="D3065" s="4">
        <v>36206</v>
      </c>
      <c r="E3065" s="5"/>
    </row>
    <row r="3066" spans="1:5" x14ac:dyDescent="0.25">
      <c r="A3066" s="4">
        <v>40266</v>
      </c>
      <c r="B3066" s="5">
        <v>448</v>
      </c>
      <c r="D3066" s="4">
        <v>36207</v>
      </c>
      <c r="E3066" s="6">
        <v>9.98</v>
      </c>
    </row>
    <row r="3067" spans="1:5" x14ac:dyDescent="0.25">
      <c r="A3067" s="4">
        <v>40267</v>
      </c>
      <c r="B3067" s="5">
        <v>443</v>
      </c>
      <c r="D3067" s="4">
        <v>36208</v>
      </c>
      <c r="E3067" s="6">
        <v>10.09</v>
      </c>
    </row>
    <row r="3068" spans="1:5" x14ac:dyDescent="0.25">
      <c r="A3068" s="4">
        <v>40268</v>
      </c>
      <c r="B3068" s="5">
        <v>441</v>
      </c>
      <c r="D3068" s="4">
        <v>36209</v>
      </c>
      <c r="E3068" s="6">
        <v>9.93</v>
      </c>
    </row>
    <row r="3069" spans="1:5" x14ac:dyDescent="0.25">
      <c r="A3069" s="4">
        <v>40269</v>
      </c>
      <c r="B3069" s="5">
        <v>443.75</v>
      </c>
      <c r="D3069" s="4">
        <v>36210</v>
      </c>
      <c r="E3069" s="6">
        <v>10.29</v>
      </c>
    </row>
    <row r="3070" spans="1:5" x14ac:dyDescent="0.25">
      <c r="A3070" s="4">
        <v>40274</v>
      </c>
      <c r="B3070" s="5">
        <v>452.5</v>
      </c>
      <c r="D3070" s="4">
        <v>36213</v>
      </c>
      <c r="E3070" s="6">
        <v>10.24</v>
      </c>
    </row>
    <row r="3071" spans="1:5" x14ac:dyDescent="0.25">
      <c r="A3071" s="4">
        <v>40275</v>
      </c>
      <c r="B3071" s="5">
        <v>450.5</v>
      </c>
      <c r="D3071" s="4">
        <v>36214</v>
      </c>
      <c r="E3071" s="6">
        <v>10.58</v>
      </c>
    </row>
    <row r="3072" spans="1:5" x14ac:dyDescent="0.25">
      <c r="A3072" s="4">
        <v>40276</v>
      </c>
      <c r="B3072" s="5">
        <v>450.25</v>
      </c>
      <c r="D3072" s="4">
        <v>36215</v>
      </c>
      <c r="E3072" s="6">
        <v>10.64</v>
      </c>
    </row>
    <row r="3073" spans="1:5" x14ac:dyDescent="0.25">
      <c r="A3073" s="4">
        <v>40277</v>
      </c>
      <c r="B3073" s="5">
        <v>450.25</v>
      </c>
      <c r="D3073" s="4">
        <v>36216</v>
      </c>
      <c r="E3073" s="6">
        <v>10.84</v>
      </c>
    </row>
    <row r="3074" spans="1:5" x14ac:dyDescent="0.25">
      <c r="A3074" s="4">
        <v>40280</v>
      </c>
      <c r="B3074" s="5">
        <v>462</v>
      </c>
      <c r="D3074" s="4">
        <v>36217</v>
      </c>
      <c r="E3074" s="6">
        <v>10.58</v>
      </c>
    </row>
    <row r="3075" spans="1:5" x14ac:dyDescent="0.25">
      <c r="A3075" s="4">
        <v>40281</v>
      </c>
      <c r="B3075" s="5">
        <v>457</v>
      </c>
      <c r="D3075" s="4">
        <v>36220</v>
      </c>
      <c r="E3075" s="6">
        <v>10.52</v>
      </c>
    </row>
    <row r="3076" spans="1:5" x14ac:dyDescent="0.25">
      <c r="A3076" s="4">
        <v>40282</v>
      </c>
      <c r="B3076" s="5">
        <v>467</v>
      </c>
      <c r="D3076" s="4">
        <v>36221</v>
      </c>
      <c r="E3076" s="6">
        <v>10.41</v>
      </c>
    </row>
    <row r="3077" spans="1:5" x14ac:dyDescent="0.25">
      <c r="A3077" s="4">
        <v>40283</v>
      </c>
      <c r="B3077" s="5">
        <v>468</v>
      </c>
      <c r="D3077" s="4">
        <v>36222</v>
      </c>
      <c r="E3077" s="6">
        <v>10.81</v>
      </c>
    </row>
    <row r="3078" spans="1:5" x14ac:dyDescent="0.25">
      <c r="A3078" s="4">
        <v>40284</v>
      </c>
      <c r="B3078" s="5">
        <v>468</v>
      </c>
      <c r="D3078" s="4">
        <v>36223</v>
      </c>
      <c r="E3078" s="6">
        <v>11.2</v>
      </c>
    </row>
    <row r="3079" spans="1:5" x14ac:dyDescent="0.25">
      <c r="A3079" s="4">
        <v>40287</v>
      </c>
      <c r="B3079" s="5">
        <v>450.25</v>
      </c>
      <c r="D3079" s="4">
        <v>36224</v>
      </c>
      <c r="E3079" s="6">
        <v>11.02</v>
      </c>
    </row>
    <row r="3080" spans="1:5" x14ac:dyDescent="0.25">
      <c r="A3080" s="4">
        <v>40288</v>
      </c>
      <c r="B3080" s="5">
        <v>460.5</v>
      </c>
      <c r="D3080" s="4">
        <v>36227</v>
      </c>
      <c r="E3080" s="6">
        <v>11.49</v>
      </c>
    </row>
    <row r="3081" spans="1:5" x14ac:dyDescent="0.25">
      <c r="A3081" s="4">
        <v>40289</v>
      </c>
      <c r="B3081" s="5">
        <v>461.5</v>
      </c>
      <c r="D3081" s="4">
        <v>36228</v>
      </c>
      <c r="E3081" s="6">
        <v>11.25</v>
      </c>
    </row>
    <row r="3082" spans="1:5" x14ac:dyDescent="0.25">
      <c r="A3082" s="4">
        <v>40290</v>
      </c>
      <c r="B3082" s="5">
        <v>466</v>
      </c>
      <c r="D3082" s="4">
        <v>36229</v>
      </c>
      <c r="E3082" s="6">
        <v>11.46</v>
      </c>
    </row>
    <row r="3083" spans="1:5" x14ac:dyDescent="0.25">
      <c r="A3083" s="4">
        <v>40291</v>
      </c>
      <c r="B3083" s="5">
        <v>469.75</v>
      </c>
      <c r="D3083" s="4">
        <v>36230</v>
      </c>
      <c r="E3083" s="6">
        <v>11.86</v>
      </c>
    </row>
    <row r="3084" spans="1:5" x14ac:dyDescent="0.25">
      <c r="A3084" s="4">
        <v>40294</v>
      </c>
      <c r="B3084" s="5">
        <v>470</v>
      </c>
      <c r="D3084" s="4">
        <v>36231</v>
      </c>
      <c r="E3084" s="6">
        <v>12.3</v>
      </c>
    </row>
    <row r="3085" spans="1:5" x14ac:dyDescent="0.25">
      <c r="A3085" s="4">
        <v>40295</v>
      </c>
      <c r="B3085" s="5">
        <v>467.75</v>
      </c>
      <c r="D3085" s="4">
        <v>36234</v>
      </c>
      <c r="E3085" s="6">
        <v>12.17</v>
      </c>
    </row>
    <row r="3086" spans="1:5" x14ac:dyDescent="0.25">
      <c r="A3086" s="4">
        <v>40296</v>
      </c>
      <c r="B3086" s="5">
        <v>457.5</v>
      </c>
      <c r="D3086" s="4">
        <v>36235</v>
      </c>
      <c r="E3086" s="6">
        <v>12.11</v>
      </c>
    </row>
    <row r="3087" spans="1:5" x14ac:dyDescent="0.25">
      <c r="A3087" s="4">
        <v>40297</v>
      </c>
      <c r="B3087" s="5">
        <v>473</v>
      </c>
      <c r="D3087" s="4">
        <v>36236</v>
      </c>
      <c r="E3087" s="6">
        <v>12.95</v>
      </c>
    </row>
    <row r="3088" spans="1:5" x14ac:dyDescent="0.25">
      <c r="A3088" s="4">
        <v>40298</v>
      </c>
      <c r="B3088" s="5">
        <v>471.75</v>
      </c>
      <c r="D3088" s="4">
        <v>36237</v>
      </c>
      <c r="E3088" s="6">
        <v>13.35</v>
      </c>
    </row>
    <row r="3089" spans="1:5" x14ac:dyDescent="0.25">
      <c r="A3089" s="4">
        <v>40302</v>
      </c>
      <c r="B3089" s="5">
        <v>468</v>
      </c>
      <c r="D3089" s="4">
        <v>36238</v>
      </c>
      <c r="E3089" s="6">
        <v>13.15</v>
      </c>
    </row>
    <row r="3090" spans="1:5" x14ac:dyDescent="0.25">
      <c r="A3090" s="4">
        <v>40303</v>
      </c>
      <c r="B3090" s="5">
        <v>454</v>
      </c>
      <c r="D3090" s="4">
        <v>36241</v>
      </c>
      <c r="E3090" s="6">
        <v>13.37</v>
      </c>
    </row>
    <row r="3091" spans="1:5" x14ac:dyDescent="0.25">
      <c r="A3091" s="4">
        <v>40304</v>
      </c>
      <c r="B3091" s="5">
        <v>450</v>
      </c>
      <c r="D3091" s="4">
        <v>36242</v>
      </c>
      <c r="E3091" s="6">
        <v>13.64</v>
      </c>
    </row>
    <row r="3092" spans="1:5" x14ac:dyDescent="0.25">
      <c r="A3092" s="4">
        <v>40305</v>
      </c>
      <c r="B3092" s="5">
        <v>427</v>
      </c>
      <c r="D3092" s="4">
        <v>36243</v>
      </c>
      <c r="E3092" s="6">
        <v>13.37</v>
      </c>
    </row>
    <row r="3093" spans="1:5" x14ac:dyDescent="0.25">
      <c r="A3093" s="4">
        <v>40308</v>
      </c>
      <c r="B3093" s="5">
        <v>443.5</v>
      </c>
      <c r="D3093" s="4">
        <v>36244</v>
      </c>
      <c r="E3093" s="6">
        <v>13.5</v>
      </c>
    </row>
    <row r="3094" spans="1:5" x14ac:dyDescent="0.25">
      <c r="A3094" s="4">
        <v>40309</v>
      </c>
      <c r="B3094" s="5">
        <v>450</v>
      </c>
      <c r="D3094" s="4">
        <v>36245</v>
      </c>
      <c r="E3094" s="6">
        <v>13.97</v>
      </c>
    </row>
    <row r="3095" spans="1:5" x14ac:dyDescent="0.25">
      <c r="A3095" s="4">
        <v>40310</v>
      </c>
      <c r="B3095" s="5">
        <v>451</v>
      </c>
      <c r="D3095" s="4">
        <v>36248</v>
      </c>
      <c r="E3095" s="6">
        <v>14.34</v>
      </c>
    </row>
    <row r="3096" spans="1:5" x14ac:dyDescent="0.25">
      <c r="A3096" s="4">
        <v>40311</v>
      </c>
      <c r="B3096" s="5">
        <v>450.5</v>
      </c>
      <c r="D3096" s="4">
        <v>36249</v>
      </c>
      <c r="E3096" s="6">
        <v>14.5</v>
      </c>
    </row>
    <row r="3097" spans="1:5" x14ac:dyDescent="0.25">
      <c r="A3097" s="4">
        <v>40312</v>
      </c>
      <c r="B3097" s="5">
        <v>437</v>
      </c>
      <c r="D3097" s="4">
        <v>36250</v>
      </c>
      <c r="E3097" s="6">
        <v>15.02</v>
      </c>
    </row>
    <row r="3098" spans="1:5" x14ac:dyDescent="0.25">
      <c r="A3098" s="4">
        <v>40315</v>
      </c>
      <c r="B3098" s="5">
        <v>417</v>
      </c>
      <c r="D3098" s="4">
        <v>36251</v>
      </c>
      <c r="E3098" s="6">
        <v>14.6</v>
      </c>
    </row>
    <row r="3099" spans="1:5" x14ac:dyDescent="0.25">
      <c r="A3099" s="4">
        <v>40316</v>
      </c>
      <c r="B3099" s="5">
        <v>422</v>
      </c>
      <c r="D3099" s="4">
        <v>36252</v>
      </c>
      <c r="E3099" s="5"/>
    </row>
    <row r="3100" spans="1:5" x14ac:dyDescent="0.25">
      <c r="A3100" s="4">
        <v>40317</v>
      </c>
      <c r="B3100" s="5">
        <v>409</v>
      </c>
      <c r="D3100" s="4">
        <v>36255</v>
      </c>
      <c r="E3100" s="5"/>
    </row>
    <row r="3101" spans="1:5" x14ac:dyDescent="0.25">
      <c r="A3101" s="4">
        <v>40318</v>
      </c>
      <c r="B3101" s="5">
        <v>397</v>
      </c>
      <c r="D3101" s="4">
        <v>36256</v>
      </c>
      <c r="E3101" s="6">
        <v>14.53</v>
      </c>
    </row>
    <row r="3102" spans="1:5" x14ac:dyDescent="0.25">
      <c r="A3102" s="4">
        <v>40319</v>
      </c>
      <c r="B3102" s="5">
        <v>398</v>
      </c>
      <c r="D3102" s="4">
        <v>36257</v>
      </c>
      <c r="E3102" s="6">
        <v>14.14</v>
      </c>
    </row>
    <row r="3103" spans="1:5" x14ac:dyDescent="0.25">
      <c r="A3103" s="4">
        <v>40322</v>
      </c>
      <c r="B3103" s="5">
        <v>390</v>
      </c>
      <c r="D3103" s="4">
        <v>36258</v>
      </c>
      <c r="E3103" s="6">
        <v>13.72</v>
      </c>
    </row>
    <row r="3104" spans="1:5" x14ac:dyDescent="0.25">
      <c r="A3104" s="4">
        <v>40323</v>
      </c>
      <c r="B3104" s="5">
        <v>383</v>
      </c>
      <c r="D3104" s="4">
        <v>36259</v>
      </c>
      <c r="E3104" s="6">
        <v>14.11</v>
      </c>
    </row>
    <row r="3105" spans="1:5" x14ac:dyDescent="0.25">
      <c r="A3105" s="4">
        <v>40324</v>
      </c>
      <c r="B3105" s="5">
        <v>392.5</v>
      </c>
      <c r="D3105" s="4">
        <v>36262</v>
      </c>
      <c r="E3105" s="6">
        <v>14.23</v>
      </c>
    </row>
    <row r="3106" spans="1:5" x14ac:dyDescent="0.25">
      <c r="A3106" s="4">
        <v>40325</v>
      </c>
      <c r="B3106" s="5">
        <v>407</v>
      </c>
      <c r="D3106" s="4">
        <v>36263</v>
      </c>
      <c r="E3106" s="6">
        <v>14.68</v>
      </c>
    </row>
    <row r="3107" spans="1:5" x14ac:dyDescent="0.25">
      <c r="A3107" s="4">
        <v>40326</v>
      </c>
      <c r="B3107" s="5">
        <v>409</v>
      </c>
      <c r="D3107" s="4">
        <v>36264</v>
      </c>
      <c r="E3107" s="6">
        <v>14.45</v>
      </c>
    </row>
    <row r="3108" spans="1:5" x14ac:dyDescent="0.25">
      <c r="A3108" s="4">
        <v>40330</v>
      </c>
      <c r="B3108" s="5">
        <v>417</v>
      </c>
      <c r="D3108" s="4">
        <v>36265</v>
      </c>
      <c r="E3108" s="6">
        <v>14.82</v>
      </c>
    </row>
    <row r="3109" spans="1:5" x14ac:dyDescent="0.25">
      <c r="A3109" s="4">
        <v>40331</v>
      </c>
      <c r="B3109" s="5">
        <v>416</v>
      </c>
      <c r="D3109" s="4">
        <v>36266</v>
      </c>
      <c r="E3109" s="6">
        <v>15.34</v>
      </c>
    </row>
    <row r="3110" spans="1:5" x14ac:dyDescent="0.25">
      <c r="A3110" s="4">
        <v>40332</v>
      </c>
      <c r="B3110" s="5">
        <v>417</v>
      </c>
      <c r="D3110" s="4">
        <v>36269</v>
      </c>
      <c r="E3110" s="6">
        <v>16.010000000000002</v>
      </c>
    </row>
    <row r="3111" spans="1:5" x14ac:dyDescent="0.25">
      <c r="A3111" s="4">
        <v>40333</v>
      </c>
      <c r="B3111" s="5">
        <v>411</v>
      </c>
      <c r="D3111" s="4">
        <v>36270</v>
      </c>
      <c r="E3111" s="6">
        <v>16.04</v>
      </c>
    </row>
    <row r="3112" spans="1:5" x14ac:dyDescent="0.25">
      <c r="A3112" s="4">
        <v>40336</v>
      </c>
      <c r="B3112" s="5">
        <v>404.5</v>
      </c>
      <c r="D3112" s="4">
        <v>36271</v>
      </c>
      <c r="E3112" s="6">
        <v>15.96</v>
      </c>
    </row>
    <row r="3113" spans="1:5" x14ac:dyDescent="0.25">
      <c r="A3113" s="4">
        <v>40337</v>
      </c>
      <c r="B3113" s="5">
        <v>406</v>
      </c>
      <c r="D3113" s="4">
        <v>36272</v>
      </c>
      <c r="E3113" s="6">
        <v>16.29</v>
      </c>
    </row>
    <row r="3114" spans="1:5" x14ac:dyDescent="0.25">
      <c r="A3114" s="4">
        <v>40338</v>
      </c>
      <c r="B3114" s="5">
        <v>415.75</v>
      </c>
      <c r="D3114" s="4">
        <v>36273</v>
      </c>
      <c r="E3114" s="6">
        <v>16.07</v>
      </c>
    </row>
    <row r="3115" spans="1:5" x14ac:dyDescent="0.25">
      <c r="A3115" s="4">
        <v>40339</v>
      </c>
      <c r="B3115" s="5">
        <v>415</v>
      </c>
      <c r="D3115" s="4">
        <v>36276</v>
      </c>
      <c r="E3115" s="6">
        <v>15.63</v>
      </c>
    </row>
    <row r="3116" spans="1:5" x14ac:dyDescent="0.25">
      <c r="A3116" s="4">
        <v>40340</v>
      </c>
      <c r="B3116" s="5">
        <v>411</v>
      </c>
      <c r="D3116" s="4">
        <v>36277</v>
      </c>
      <c r="E3116" s="6">
        <v>15.91</v>
      </c>
    </row>
    <row r="3117" spans="1:5" x14ac:dyDescent="0.25">
      <c r="A3117" s="4">
        <v>40343</v>
      </c>
      <c r="B3117" s="5">
        <v>421</v>
      </c>
      <c r="D3117" s="4">
        <v>36278</v>
      </c>
      <c r="E3117" s="6">
        <v>16.38</v>
      </c>
    </row>
    <row r="3118" spans="1:5" x14ac:dyDescent="0.25">
      <c r="A3118" s="4">
        <v>40344</v>
      </c>
      <c r="B3118" s="5">
        <v>420.5</v>
      </c>
      <c r="D3118" s="4">
        <v>36279</v>
      </c>
      <c r="E3118" s="6">
        <v>16.53</v>
      </c>
    </row>
    <row r="3119" spans="1:5" x14ac:dyDescent="0.25">
      <c r="A3119" s="4">
        <v>40345</v>
      </c>
      <c r="B3119" s="5">
        <v>419.5</v>
      </c>
      <c r="D3119" s="4">
        <v>36280</v>
      </c>
      <c r="E3119" s="6">
        <v>16.45</v>
      </c>
    </row>
    <row r="3120" spans="1:5" x14ac:dyDescent="0.25">
      <c r="A3120" s="4">
        <v>40346</v>
      </c>
      <c r="B3120" s="5">
        <v>427.5</v>
      </c>
      <c r="D3120" s="4">
        <v>36283</v>
      </c>
      <c r="E3120" s="5"/>
    </row>
    <row r="3121" spans="1:5" x14ac:dyDescent="0.25">
      <c r="A3121" s="4">
        <v>40347</v>
      </c>
      <c r="B3121" s="5">
        <v>420</v>
      </c>
      <c r="D3121" s="4">
        <v>36284</v>
      </c>
      <c r="E3121" s="6">
        <v>16.98</v>
      </c>
    </row>
    <row r="3122" spans="1:5" x14ac:dyDescent="0.25">
      <c r="A3122" s="4">
        <v>40350</v>
      </c>
      <c r="B3122" s="5">
        <v>430</v>
      </c>
      <c r="D3122" s="4">
        <v>36285</v>
      </c>
      <c r="E3122" s="6">
        <v>16.850000000000001</v>
      </c>
    </row>
    <row r="3123" spans="1:5" x14ac:dyDescent="0.25">
      <c r="A3123" s="4">
        <v>40351</v>
      </c>
      <c r="B3123" s="5">
        <v>428</v>
      </c>
      <c r="D3123" s="4">
        <v>36286</v>
      </c>
      <c r="E3123" s="6">
        <v>16.440000000000001</v>
      </c>
    </row>
    <row r="3124" spans="1:5" x14ac:dyDescent="0.25">
      <c r="A3124" s="4">
        <v>40352</v>
      </c>
      <c r="B3124" s="5">
        <v>419</v>
      </c>
      <c r="D3124" s="4">
        <v>36287</v>
      </c>
      <c r="E3124" s="6">
        <v>15.66</v>
      </c>
    </row>
    <row r="3125" spans="1:5" x14ac:dyDescent="0.25">
      <c r="A3125" s="4">
        <v>40353</v>
      </c>
      <c r="B3125" s="5">
        <v>416</v>
      </c>
      <c r="D3125" s="4">
        <v>36290</v>
      </c>
      <c r="E3125" s="6">
        <v>15.72</v>
      </c>
    </row>
    <row r="3126" spans="1:5" x14ac:dyDescent="0.25">
      <c r="A3126" s="4">
        <v>40354</v>
      </c>
      <c r="B3126" s="5">
        <v>418</v>
      </c>
      <c r="D3126" s="4">
        <v>36291</v>
      </c>
      <c r="E3126" s="6">
        <v>15.23</v>
      </c>
    </row>
    <row r="3127" spans="1:5" x14ac:dyDescent="0.25">
      <c r="A3127" s="4">
        <v>40357</v>
      </c>
      <c r="B3127" s="5">
        <v>421.25</v>
      </c>
      <c r="D3127" s="4">
        <v>36292</v>
      </c>
      <c r="E3127" s="6">
        <v>14.74</v>
      </c>
    </row>
    <row r="3128" spans="1:5" x14ac:dyDescent="0.25">
      <c r="A3128" s="4">
        <v>40358</v>
      </c>
      <c r="B3128" s="5">
        <v>408</v>
      </c>
      <c r="D3128" s="4">
        <v>36293</v>
      </c>
      <c r="E3128" s="6">
        <v>15.21</v>
      </c>
    </row>
    <row r="3129" spans="1:5" x14ac:dyDescent="0.25">
      <c r="A3129" s="4">
        <v>40359</v>
      </c>
      <c r="B3129" s="5">
        <v>410</v>
      </c>
      <c r="D3129" s="4">
        <v>36294</v>
      </c>
      <c r="E3129" s="6">
        <v>15.18</v>
      </c>
    </row>
    <row r="3130" spans="1:5" x14ac:dyDescent="0.25">
      <c r="A3130" s="4">
        <v>40360</v>
      </c>
      <c r="B3130" s="5">
        <v>390.5</v>
      </c>
      <c r="D3130" s="4">
        <v>36297</v>
      </c>
      <c r="E3130" s="6">
        <v>14.98</v>
      </c>
    </row>
    <row r="3131" spans="1:5" x14ac:dyDescent="0.25">
      <c r="A3131" s="4">
        <v>40361</v>
      </c>
      <c r="B3131" s="5">
        <v>388.5</v>
      </c>
      <c r="D3131" s="4">
        <v>36298</v>
      </c>
      <c r="E3131" s="6">
        <v>14.43</v>
      </c>
    </row>
    <row r="3132" spans="1:5" x14ac:dyDescent="0.25">
      <c r="A3132" s="4">
        <v>40364</v>
      </c>
      <c r="B3132" s="5">
        <v>389.5</v>
      </c>
      <c r="D3132" s="4">
        <v>36299</v>
      </c>
      <c r="E3132" s="6">
        <v>14.42</v>
      </c>
    </row>
    <row r="3133" spans="1:5" x14ac:dyDescent="0.25">
      <c r="A3133" s="4">
        <v>40365</v>
      </c>
      <c r="B3133" s="5">
        <v>396</v>
      </c>
      <c r="D3133" s="4">
        <v>36300</v>
      </c>
      <c r="E3133" s="6">
        <v>14.44</v>
      </c>
    </row>
    <row r="3134" spans="1:5" x14ac:dyDescent="0.25">
      <c r="A3134" s="4">
        <v>40366</v>
      </c>
      <c r="B3134" s="5">
        <v>401</v>
      </c>
      <c r="D3134" s="4">
        <v>36301</v>
      </c>
      <c r="E3134" s="6">
        <v>14.49</v>
      </c>
    </row>
    <row r="3135" spans="1:5" x14ac:dyDescent="0.25">
      <c r="A3135" s="4">
        <v>40367</v>
      </c>
      <c r="B3135" s="5">
        <v>412</v>
      </c>
      <c r="D3135" s="4">
        <v>36304</v>
      </c>
      <c r="E3135" s="6">
        <v>14.83</v>
      </c>
    </row>
    <row r="3136" spans="1:5" x14ac:dyDescent="0.25">
      <c r="A3136" s="4">
        <v>40368</v>
      </c>
      <c r="B3136" s="5">
        <v>414.5</v>
      </c>
      <c r="D3136" s="4">
        <v>36305</v>
      </c>
      <c r="E3136" s="6">
        <v>14.71</v>
      </c>
    </row>
    <row r="3137" spans="1:5" x14ac:dyDescent="0.25">
      <c r="A3137" s="4">
        <v>40371</v>
      </c>
      <c r="B3137" s="5">
        <v>412.5</v>
      </c>
      <c r="D3137" s="4">
        <v>36306</v>
      </c>
      <c r="E3137" s="6">
        <v>15.18</v>
      </c>
    </row>
    <row r="3138" spans="1:5" x14ac:dyDescent="0.25">
      <c r="A3138" s="4">
        <v>40372</v>
      </c>
      <c r="B3138" s="5">
        <v>426.5</v>
      </c>
      <c r="D3138" s="4">
        <v>36307</v>
      </c>
      <c r="E3138" s="6">
        <v>15.04</v>
      </c>
    </row>
    <row r="3139" spans="1:5" x14ac:dyDescent="0.25">
      <c r="A3139" s="4">
        <v>40373</v>
      </c>
      <c r="B3139" s="5">
        <v>430</v>
      </c>
      <c r="D3139" s="4">
        <v>36308</v>
      </c>
      <c r="E3139" s="6">
        <v>14.75</v>
      </c>
    </row>
    <row r="3140" spans="1:5" x14ac:dyDescent="0.25">
      <c r="A3140" s="4">
        <v>40374</v>
      </c>
      <c r="B3140" s="5">
        <v>418</v>
      </c>
      <c r="D3140" s="4">
        <v>36311</v>
      </c>
      <c r="E3140" s="5"/>
    </row>
    <row r="3141" spans="1:5" x14ac:dyDescent="0.25">
      <c r="A3141" s="4">
        <v>40375</v>
      </c>
      <c r="B3141" s="5">
        <v>419</v>
      </c>
      <c r="D3141" s="4">
        <v>36312</v>
      </c>
      <c r="E3141" s="6">
        <v>14.22</v>
      </c>
    </row>
    <row r="3142" spans="1:5" x14ac:dyDescent="0.25">
      <c r="A3142" s="4">
        <v>40378</v>
      </c>
      <c r="B3142" s="5">
        <v>426.5</v>
      </c>
      <c r="D3142" s="4">
        <v>36313</v>
      </c>
      <c r="E3142" s="6">
        <v>14.28</v>
      </c>
    </row>
    <row r="3143" spans="1:5" x14ac:dyDescent="0.25">
      <c r="A3143" s="4">
        <v>40379</v>
      </c>
      <c r="B3143" s="5">
        <v>425</v>
      </c>
      <c r="D3143" s="4">
        <v>36314</v>
      </c>
      <c r="E3143" s="6">
        <v>14.26</v>
      </c>
    </row>
    <row r="3144" spans="1:5" x14ac:dyDescent="0.25">
      <c r="A3144" s="4">
        <v>40380</v>
      </c>
      <c r="B3144" s="5">
        <v>422</v>
      </c>
      <c r="D3144" s="4">
        <v>36315</v>
      </c>
      <c r="E3144" s="6">
        <v>15.21</v>
      </c>
    </row>
    <row r="3145" spans="1:5" x14ac:dyDescent="0.25">
      <c r="A3145" s="4">
        <v>40381</v>
      </c>
      <c r="B3145" s="5">
        <v>432.5</v>
      </c>
      <c r="D3145" s="4">
        <v>36318</v>
      </c>
      <c r="E3145" s="6">
        <v>15.98</v>
      </c>
    </row>
    <row r="3146" spans="1:5" x14ac:dyDescent="0.25">
      <c r="A3146" s="4">
        <v>40382</v>
      </c>
      <c r="B3146" s="5">
        <v>428</v>
      </c>
      <c r="D3146" s="4">
        <v>36319</v>
      </c>
      <c r="E3146" s="6">
        <v>16.25</v>
      </c>
    </row>
    <row r="3147" spans="1:5" x14ac:dyDescent="0.25">
      <c r="A3147" s="4">
        <v>40385</v>
      </c>
      <c r="B3147" s="5">
        <v>434.5</v>
      </c>
      <c r="D3147" s="4">
        <v>36320</v>
      </c>
      <c r="E3147" s="6">
        <v>16.190000000000001</v>
      </c>
    </row>
    <row r="3148" spans="1:5" x14ac:dyDescent="0.25">
      <c r="A3148" s="4">
        <v>40386</v>
      </c>
      <c r="B3148" s="5">
        <v>434.5</v>
      </c>
      <c r="D3148" s="4">
        <v>36321</v>
      </c>
      <c r="E3148" s="6">
        <v>15.99</v>
      </c>
    </row>
    <row r="3149" spans="1:5" x14ac:dyDescent="0.25">
      <c r="A3149" s="4">
        <v>40387</v>
      </c>
      <c r="B3149" s="5">
        <v>424</v>
      </c>
      <c r="D3149" s="4">
        <v>36322</v>
      </c>
      <c r="E3149" s="6">
        <v>16.25</v>
      </c>
    </row>
    <row r="3150" spans="1:5" x14ac:dyDescent="0.25">
      <c r="A3150" s="4">
        <v>40388</v>
      </c>
      <c r="B3150" s="5">
        <v>434.5</v>
      </c>
      <c r="D3150" s="4">
        <v>36325</v>
      </c>
      <c r="E3150" s="6">
        <v>16.05</v>
      </c>
    </row>
    <row r="3151" spans="1:5" x14ac:dyDescent="0.25">
      <c r="A3151" s="4">
        <v>40389</v>
      </c>
      <c r="B3151" s="5">
        <v>431.5</v>
      </c>
      <c r="D3151" s="4">
        <v>36326</v>
      </c>
      <c r="E3151" s="6">
        <v>16.329999999999998</v>
      </c>
    </row>
    <row r="3152" spans="1:5" x14ac:dyDescent="0.25">
      <c r="A3152" s="4">
        <v>40392</v>
      </c>
      <c r="B3152" s="5">
        <v>431.5</v>
      </c>
      <c r="D3152" s="4">
        <v>36327</v>
      </c>
      <c r="E3152" s="6">
        <v>16.29</v>
      </c>
    </row>
    <row r="3153" spans="1:5" x14ac:dyDescent="0.25">
      <c r="A3153" s="4">
        <v>40393</v>
      </c>
      <c r="B3153" s="5">
        <v>457</v>
      </c>
      <c r="D3153" s="4">
        <v>36328</v>
      </c>
      <c r="E3153" s="6">
        <v>16</v>
      </c>
    </row>
    <row r="3154" spans="1:5" x14ac:dyDescent="0.25">
      <c r="A3154" s="4">
        <v>40394</v>
      </c>
      <c r="B3154" s="5">
        <v>458</v>
      </c>
      <c r="D3154" s="4">
        <v>36329</v>
      </c>
      <c r="E3154" s="6">
        <v>15.93</v>
      </c>
    </row>
    <row r="3155" spans="1:5" x14ac:dyDescent="0.25">
      <c r="A3155" s="4">
        <v>40395</v>
      </c>
      <c r="B3155" s="5">
        <v>453</v>
      </c>
      <c r="D3155" s="4">
        <v>36332</v>
      </c>
      <c r="E3155" s="6">
        <v>15.64</v>
      </c>
    </row>
    <row r="3156" spans="1:5" x14ac:dyDescent="0.25">
      <c r="A3156" s="4">
        <v>40396</v>
      </c>
      <c r="B3156" s="5">
        <v>450.75</v>
      </c>
      <c r="D3156" s="4">
        <v>36333</v>
      </c>
      <c r="E3156" s="6">
        <v>15.91</v>
      </c>
    </row>
    <row r="3157" spans="1:5" x14ac:dyDescent="0.25">
      <c r="A3157" s="4">
        <v>40399</v>
      </c>
      <c r="B3157" s="5">
        <v>451.75</v>
      </c>
      <c r="D3157" s="4">
        <v>36334</v>
      </c>
      <c r="E3157" s="6">
        <v>16.04</v>
      </c>
    </row>
    <row r="3158" spans="1:5" x14ac:dyDescent="0.25">
      <c r="A3158" s="4">
        <v>40400</v>
      </c>
      <c r="B3158" s="5">
        <v>447.5</v>
      </c>
      <c r="D3158" s="4">
        <v>36335</v>
      </c>
      <c r="E3158" s="6">
        <v>16.28</v>
      </c>
    </row>
    <row r="3159" spans="1:5" x14ac:dyDescent="0.25">
      <c r="A3159" s="4">
        <v>40401</v>
      </c>
      <c r="B3159" s="5">
        <v>438</v>
      </c>
      <c r="D3159" s="4">
        <v>36336</v>
      </c>
      <c r="E3159" s="6">
        <v>16.27</v>
      </c>
    </row>
    <row r="3160" spans="1:5" x14ac:dyDescent="0.25">
      <c r="A3160" s="4">
        <v>40402</v>
      </c>
      <c r="B3160" s="5">
        <v>429</v>
      </c>
      <c r="D3160" s="4">
        <v>36339</v>
      </c>
      <c r="E3160" s="6">
        <v>16.27</v>
      </c>
    </row>
    <row r="3161" spans="1:5" x14ac:dyDescent="0.25">
      <c r="A3161" s="4">
        <v>40403</v>
      </c>
      <c r="B3161" s="5">
        <v>421</v>
      </c>
      <c r="D3161" s="4">
        <v>36340</v>
      </c>
      <c r="E3161" s="6">
        <v>16.38</v>
      </c>
    </row>
    <row r="3162" spans="1:5" x14ac:dyDescent="0.25">
      <c r="A3162" s="4">
        <v>40406</v>
      </c>
      <c r="B3162" s="5">
        <v>421</v>
      </c>
      <c r="D3162" s="4">
        <v>36341</v>
      </c>
      <c r="E3162" s="6">
        <v>16.97</v>
      </c>
    </row>
    <row r="3163" spans="1:5" x14ac:dyDescent="0.25">
      <c r="A3163" s="4">
        <v>40407</v>
      </c>
      <c r="B3163" s="5">
        <v>432</v>
      </c>
      <c r="D3163" s="4">
        <v>36342</v>
      </c>
      <c r="E3163" s="6">
        <v>17.25</v>
      </c>
    </row>
    <row r="3164" spans="1:5" x14ac:dyDescent="0.25">
      <c r="A3164" s="4">
        <v>40408</v>
      </c>
      <c r="B3164" s="5">
        <v>424.75</v>
      </c>
      <c r="D3164" s="4">
        <v>36343</v>
      </c>
      <c r="E3164" s="6">
        <v>17.55</v>
      </c>
    </row>
    <row r="3165" spans="1:5" x14ac:dyDescent="0.25">
      <c r="A3165" s="4">
        <v>40409</v>
      </c>
      <c r="B3165" s="5">
        <v>425.5</v>
      </c>
      <c r="D3165" s="4">
        <v>36346</v>
      </c>
      <c r="E3165" s="5"/>
    </row>
    <row r="3166" spans="1:5" x14ac:dyDescent="0.25">
      <c r="A3166" s="4">
        <v>40410</v>
      </c>
      <c r="B3166" s="5">
        <v>419</v>
      </c>
      <c r="D3166" s="4">
        <v>36347</v>
      </c>
      <c r="E3166" s="6">
        <v>18.47</v>
      </c>
    </row>
    <row r="3167" spans="1:5" x14ac:dyDescent="0.25">
      <c r="A3167" s="4">
        <v>40413</v>
      </c>
      <c r="B3167" s="5">
        <v>416</v>
      </c>
      <c r="D3167" s="4">
        <v>36348</v>
      </c>
      <c r="E3167" s="6">
        <v>18.36</v>
      </c>
    </row>
    <row r="3168" spans="1:5" x14ac:dyDescent="0.25">
      <c r="A3168" s="4">
        <v>40414</v>
      </c>
      <c r="B3168" s="5">
        <v>410</v>
      </c>
      <c r="D3168" s="4">
        <v>36349</v>
      </c>
      <c r="E3168" s="6">
        <v>18.739999999999998</v>
      </c>
    </row>
    <row r="3169" spans="1:5" x14ac:dyDescent="0.25">
      <c r="A3169" s="4">
        <v>40415</v>
      </c>
      <c r="B3169" s="5">
        <v>410</v>
      </c>
      <c r="D3169" s="4">
        <v>36350</v>
      </c>
      <c r="E3169" s="6">
        <v>18.899999999999999</v>
      </c>
    </row>
    <row r="3170" spans="1:5" x14ac:dyDescent="0.25">
      <c r="A3170" s="4">
        <v>40416</v>
      </c>
      <c r="B3170" s="5">
        <v>424</v>
      </c>
      <c r="D3170" s="4">
        <v>36353</v>
      </c>
      <c r="E3170" s="6">
        <v>18.940000000000001</v>
      </c>
    </row>
    <row r="3171" spans="1:5" x14ac:dyDescent="0.25">
      <c r="A3171" s="4">
        <v>40417</v>
      </c>
      <c r="B3171" s="5">
        <v>422.25</v>
      </c>
      <c r="D3171" s="4">
        <v>36354</v>
      </c>
      <c r="E3171" s="6">
        <v>19.489999999999998</v>
      </c>
    </row>
    <row r="3172" spans="1:5" x14ac:dyDescent="0.25">
      <c r="A3172" s="4">
        <v>40421</v>
      </c>
      <c r="B3172" s="5">
        <v>422.25</v>
      </c>
      <c r="D3172" s="4">
        <v>36355</v>
      </c>
      <c r="E3172" s="6">
        <v>19.48</v>
      </c>
    </row>
    <row r="3173" spans="1:5" x14ac:dyDescent="0.25">
      <c r="A3173" s="4">
        <v>40422</v>
      </c>
      <c r="B3173" s="5">
        <v>424</v>
      </c>
      <c r="D3173" s="4">
        <v>36356</v>
      </c>
      <c r="E3173" s="6">
        <v>18.899999999999999</v>
      </c>
    </row>
    <row r="3174" spans="1:5" x14ac:dyDescent="0.25">
      <c r="A3174" s="4">
        <v>40423</v>
      </c>
      <c r="B3174" s="5">
        <v>421</v>
      </c>
      <c r="D3174" s="4">
        <v>36357</v>
      </c>
      <c r="E3174" s="6">
        <v>19.420000000000002</v>
      </c>
    </row>
    <row r="3175" spans="1:5" x14ac:dyDescent="0.25">
      <c r="A3175" s="4">
        <v>40424</v>
      </c>
      <c r="B3175" s="5">
        <v>417.5</v>
      </c>
      <c r="D3175" s="4">
        <v>36360</v>
      </c>
      <c r="E3175" s="6">
        <v>19.75</v>
      </c>
    </row>
    <row r="3176" spans="1:5" x14ac:dyDescent="0.25">
      <c r="A3176" s="4">
        <v>40427</v>
      </c>
      <c r="B3176" s="5">
        <v>422.5</v>
      </c>
      <c r="D3176" s="4">
        <v>36361</v>
      </c>
      <c r="E3176" s="6">
        <v>19.329999999999998</v>
      </c>
    </row>
    <row r="3177" spans="1:5" x14ac:dyDescent="0.25">
      <c r="A3177" s="4">
        <v>40428</v>
      </c>
      <c r="B3177" s="5">
        <v>419.75</v>
      </c>
      <c r="D3177" s="4">
        <v>36362</v>
      </c>
      <c r="E3177" s="6">
        <v>18.62</v>
      </c>
    </row>
    <row r="3178" spans="1:5" x14ac:dyDescent="0.25">
      <c r="A3178" s="4">
        <v>40429</v>
      </c>
      <c r="B3178" s="5">
        <v>426.5</v>
      </c>
      <c r="D3178" s="4">
        <v>36363</v>
      </c>
      <c r="E3178" s="6">
        <v>19.010000000000002</v>
      </c>
    </row>
    <row r="3179" spans="1:5" x14ac:dyDescent="0.25">
      <c r="A3179" s="4">
        <v>40430</v>
      </c>
      <c r="B3179" s="5">
        <v>427</v>
      </c>
      <c r="D3179" s="4">
        <v>36364</v>
      </c>
      <c r="E3179" s="6">
        <v>19.690000000000001</v>
      </c>
    </row>
    <row r="3180" spans="1:5" x14ac:dyDescent="0.25">
      <c r="A3180" s="4">
        <v>40431</v>
      </c>
      <c r="B3180" s="5">
        <v>423.5</v>
      </c>
      <c r="D3180" s="4">
        <v>36367</v>
      </c>
      <c r="E3180" s="6">
        <v>19.73</v>
      </c>
    </row>
    <row r="3181" spans="1:5" x14ac:dyDescent="0.25">
      <c r="A3181" s="4">
        <v>40434</v>
      </c>
      <c r="B3181" s="5">
        <v>427</v>
      </c>
      <c r="D3181" s="4">
        <v>36368</v>
      </c>
      <c r="E3181" s="6">
        <v>19.46</v>
      </c>
    </row>
    <row r="3182" spans="1:5" x14ac:dyDescent="0.25">
      <c r="A3182" s="4">
        <v>40435</v>
      </c>
      <c r="B3182" s="5">
        <v>433</v>
      </c>
      <c r="D3182" s="4">
        <v>36369</v>
      </c>
      <c r="E3182" s="6">
        <v>19.649999999999999</v>
      </c>
    </row>
    <row r="3183" spans="1:5" x14ac:dyDescent="0.25">
      <c r="A3183" s="4">
        <v>40436</v>
      </c>
      <c r="B3183" s="5">
        <v>432</v>
      </c>
      <c r="D3183" s="4">
        <v>36370</v>
      </c>
      <c r="E3183" s="6">
        <v>19.97</v>
      </c>
    </row>
    <row r="3184" spans="1:5" x14ac:dyDescent="0.25">
      <c r="A3184" s="4">
        <v>40437</v>
      </c>
      <c r="B3184" s="5">
        <v>431.75</v>
      </c>
      <c r="D3184" s="4">
        <v>36371</v>
      </c>
      <c r="E3184" s="6">
        <v>19.97</v>
      </c>
    </row>
    <row r="3185" spans="1:5" x14ac:dyDescent="0.25">
      <c r="A3185" s="4">
        <v>40438</v>
      </c>
      <c r="B3185" s="5">
        <v>426.75</v>
      </c>
      <c r="D3185" s="4">
        <v>36374</v>
      </c>
      <c r="E3185" s="6">
        <v>19.21</v>
      </c>
    </row>
    <row r="3186" spans="1:5" x14ac:dyDescent="0.25">
      <c r="A3186" s="4">
        <v>40441</v>
      </c>
      <c r="B3186" s="5">
        <v>434</v>
      </c>
      <c r="D3186" s="4">
        <v>36375</v>
      </c>
      <c r="E3186" s="6">
        <v>19.32</v>
      </c>
    </row>
    <row r="3187" spans="1:5" x14ac:dyDescent="0.25">
      <c r="A3187" s="4">
        <v>40442</v>
      </c>
      <c r="B3187" s="5">
        <v>427.75</v>
      </c>
      <c r="D3187" s="4">
        <v>36376</v>
      </c>
      <c r="E3187" s="6">
        <v>19.38</v>
      </c>
    </row>
    <row r="3188" spans="1:5" x14ac:dyDescent="0.25">
      <c r="A3188" s="4">
        <v>40443</v>
      </c>
      <c r="B3188" s="5">
        <v>425</v>
      </c>
      <c r="D3188" s="4">
        <v>36377</v>
      </c>
      <c r="E3188" s="6">
        <v>19.64</v>
      </c>
    </row>
    <row r="3189" spans="1:5" x14ac:dyDescent="0.25">
      <c r="A3189" s="4">
        <v>40444</v>
      </c>
      <c r="B3189" s="5">
        <v>425</v>
      </c>
      <c r="D3189" s="4">
        <v>36378</v>
      </c>
      <c r="E3189" s="6">
        <v>19.66</v>
      </c>
    </row>
    <row r="3190" spans="1:5" x14ac:dyDescent="0.25">
      <c r="A3190" s="4">
        <v>40445</v>
      </c>
      <c r="B3190" s="5">
        <v>430.5</v>
      </c>
      <c r="D3190" s="4">
        <v>36381</v>
      </c>
      <c r="E3190" s="6">
        <v>19.34</v>
      </c>
    </row>
    <row r="3191" spans="1:5" x14ac:dyDescent="0.25">
      <c r="A3191" s="4">
        <v>40448</v>
      </c>
      <c r="B3191" s="5">
        <v>423.75</v>
      </c>
      <c r="D3191" s="4">
        <v>36382</v>
      </c>
      <c r="E3191" s="6">
        <v>20.18</v>
      </c>
    </row>
    <row r="3192" spans="1:5" x14ac:dyDescent="0.25">
      <c r="A3192" s="4">
        <v>40449</v>
      </c>
      <c r="B3192" s="5">
        <v>428</v>
      </c>
      <c r="D3192" s="4">
        <v>36383</v>
      </c>
      <c r="E3192" s="6">
        <v>20.58</v>
      </c>
    </row>
    <row r="3193" spans="1:5" x14ac:dyDescent="0.25">
      <c r="A3193" s="4">
        <v>40450</v>
      </c>
      <c r="B3193" s="5">
        <v>430</v>
      </c>
      <c r="D3193" s="4">
        <v>36384</v>
      </c>
      <c r="E3193" s="6">
        <v>20.32</v>
      </c>
    </row>
    <row r="3194" spans="1:5" x14ac:dyDescent="0.25">
      <c r="A3194" s="4">
        <v>40451</v>
      </c>
      <c r="B3194" s="5">
        <v>437.5</v>
      </c>
      <c r="D3194" s="4">
        <v>36385</v>
      </c>
      <c r="E3194" s="6">
        <v>20.61</v>
      </c>
    </row>
    <row r="3195" spans="1:5" x14ac:dyDescent="0.25">
      <c r="A3195" s="4">
        <v>40452</v>
      </c>
      <c r="B3195" s="5">
        <v>452</v>
      </c>
      <c r="D3195" s="4">
        <v>36388</v>
      </c>
      <c r="E3195" s="6">
        <v>20.68</v>
      </c>
    </row>
    <row r="3196" spans="1:5" x14ac:dyDescent="0.25">
      <c r="A3196" s="4">
        <v>40455</v>
      </c>
      <c r="B3196" s="5">
        <v>467.25</v>
      </c>
      <c r="D3196" s="4">
        <v>36389</v>
      </c>
      <c r="E3196" s="6">
        <v>20.61</v>
      </c>
    </row>
    <row r="3197" spans="1:5" x14ac:dyDescent="0.25">
      <c r="A3197" s="4">
        <v>40456</v>
      </c>
      <c r="B3197" s="5">
        <v>457.5</v>
      </c>
      <c r="D3197" s="4">
        <v>36390</v>
      </c>
      <c r="E3197" s="6">
        <v>20.69</v>
      </c>
    </row>
    <row r="3198" spans="1:5" x14ac:dyDescent="0.25">
      <c r="A3198" s="4">
        <v>40457</v>
      </c>
      <c r="B3198" s="5">
        <v>467</v>
      </c>
      <c r="D3198" s="4">
        <v>36391</v>
      </c>
      <c r="E3198" s="6">
        <v>20.92</v>
      </c>
    </row>
    <row r="3199" spans="1:5" x14ac:dyDescent="0.25">
      <c r="A3199" s="4">
        <v>40458</v>
      </c>
      <c r="B3199" s="5">
        <v>459</v>
      </c>
      <c r="D3199" s="4">
        <v>36392</v>
      </c>
      <c r="E3199" s="6">
        <v>21.11</v>
      </c>
    </row>
    <row r="3200" spans="1:5" x14ac:dyDescent="0.25">
      <c r="A3200" s="4">
        <v>40459</v>
      </c>
      <c r="B3200" s="5">
        <v>459.75</v>
      </c>
      <c r="D3200" s="4">
        <v>36395</v>
      </c>
      <c r="E3200" s="6">
        <v>20.96</v>
      </c>
    </row>
    <row r="3201" spans="1:5" x14ac:dyDescent="0.25">
      <c r="A3201" s="4">
        <v>40462</v>
      </c>
      <c r="B3201" s="5">
        <v>457.5</v>
      </c>
      <c r="D3201" s="4">
        <v>36396</v>
      </c>
      <c r="E3201" s="6">
        <v>20.48</v>
      </c>
    </row>
    <row r="3202" spans="1:5" x14ac:dyDescent="0.25">
      <c r="A3202" s="4">
        <v>40463</v>
      </c>
      <c r="B3202" s="5">
        <v>453.5</v>
      </c>
      <c r="D3202" s="4">
        <v>36397</v>
      </c>
      <c r="E3202" s="6">
        <v>19.71</v>
      </c>
    </row>
    <row r="3203" spans="1:5" x14ac:dyDescent="0.25">
      <c r="A3203" s="4">
        <v>40464</v>
      </c>
      <c r="B3203" s="5">
        <v>459.5</v>
      </c>
      <c r="D3203" s="4">
        <v>36398</v>
      </c>
      <c r="E3203" s="6">
        <v>19.8</v>
      </c>
    </row>
    <row r="3204" spans="1:5" x14ac:dyDescent="0.25">
      <c r="A3204" s="4">
        <v>40465</v>
      </c>
      <c r="B3204" s="5">
        <v>454.5</v>
      </c>
      <c r="D3204" s="4">
        <v>36399</v>
      </c>
      <c r="E3204" s="6">
        <v>20.32</v>
      </c>
    </row>
    <row r="3205" spans="1:5" x14ac:dyDescent="0.25">
      <c r="A3205" s="4">
        <v>40466</v>
      </c>
      <c r="B3205" s="5">
        <v>449</v>
      </c>
      <c r="D3205" s="4">
        <v>36402</v>
      </c>
      <c r="E3205" s="5"/>
    </row>
    <row r="3206" spans="1:5" x14ac:dyDescent="0.25">
      <c r="A3206" s="4">
        <v>40469</v>
      </c>
      <c r="B3206" s="5">
        <v>454.5</v>
      </c>
      <c r="D3206" s="4">
        <v>36403</v>
      </c>
      <c r="E3206" s="6">
        <v>21.08</v>
      </c>
    </row>
    <row r="3207" spans="1:5" x14ac:dyDescent="0.25">
      <c r="A3207" s="4">
        <v>40470</v>
      </c>
      <c r="B3207" s="5">
        <v>447</v>
      </c>
      <c r="D3207" s="4">
        <v>36404</v>
      </c>
      <c r="E3207" s="6">
        <v>21.1</v>
      </c>
    </row>
    <row r="3208" spans="1:5" x14ac:dyDescent="0.25">
      <c r="A3208" s="4">
        <v>40471</v>
      </c>
      <c r="B3208" s="5">
        <v>449</v>
      </c>
      <c r="D3208" s="4">
        <v>36405</v>
      </c>
      <c r="E3208" s="6">
        <v>20.66</v>
      </c>
    </row>
    <row r="3209" spans="1:5" x14ac:dyDescent="0.25">
      <c r="A3209" s="4">
        <v>40472</v>
      </c>
      <c r="B3209" s="5">
        <v>446</v>
      </c>
      <c r="D3209" s="4">
        <v>36406</v>
      </c>
      <c r="E3209" s="6">
        <v>20.74</v>
      </c>
    </row>
    <row r="3210" spans="1:5" x14ac:dyDescent="0.25">
      <c r="A3210" s="4">
        <v>40473</v>
      </c>
      <c r="B3210" s="5">
        <v>442.5</v>
      </c>
      <c r="D3210" s="4">
        <v>36409</v>
      </c>
      <c r="E3210" s="6">
        <v>21.14</v>
      </c>
    </row>
    <row r="3211" spans="1:5" x14ac:dyDescent="0.25">
      <c r="A3211" s="4">
        <v>40476</v>
      </c>
      <c r="B3211" s="5">
        <v>450</v>
      </c>
      <c r="D3211" s="4">
        <v>36410</v>
      </c>
      <c r="E3211" s="6">
        <v>21.71</v>
      </c>
    </row>
    <row r="3212" spans="1:5" x14ac:dyDescent="0.25">
      <c r="A3212" s="4">
        <v>40477</v>
      </c>
      <c r="B3212" s="5">
        <v>455</v>
      </c>
      <c r="D3212" s="4">
        <v>36411</v>
      </c>
      <c r="E3212" s="6">
        <v>21.96</v>
      </c>
    </row>
    <row r="3213" spans="1:5" x14ac:dyDescent="0.25">
      <c r="A3213" s="4">
        <v>40478</v>
      </c>
      <c r="B3213" s="5">
        <v>443.75</v>
      </c>
      <c r="D3213" s="4">
        <v>36412</v>
      </c>
      <c r="E3213" s="6">
        <v>22.51</v>
      </c>
    </row>
    <row r="3214" spans="1:5" x14ac:dyDescent="0.25">
      <c r="A3214" s="4">
        <v>40479</v>
      </c>
      <c r="B3214" s="5">
        <v>454.5</v>
      </c>
      <c r="D3214" s="4">
        <v>36413</v>
      </c>
      <c r="E3214" s="6">
        <v>22.36</v>
      </c>
    </row>
    <row r="3215" spans="1:5" x14ac:dyDescent="0.25">
      <c r="A3215" s="4">
        <v>40480</v>
      </c>
      <c r="B3215" s="5">
        <v>448</v>
      </c>
      <c r="D3215" s="4">
        <v>36416</v>
      </c>
      <c r="E3215" s="6">
        <v>22.98</v>
      </c>
    </row>
    <row r="3216" spans="1:5" x14ac:dyDescent="0.25">
      <c r="A3216" s="4">
        <v>40483</v>
      </c>
      <c r="B3216" s="5">
        <v>459.5</v>
      </c>
      <c r="D3216" s="4">
        <v>36417</v>
      </c>
      <c r="E3216" s="6">
        <v>23.18</v>
      </c>
    </row>
    <row r="3217" spans="1:5" x14ac:dyDescent="0.25">
      <c r="A3217" s="4">
        <v>40484</v>
      </c>
      <c r="B3217" s="5">
        <v>465</v>
      </c>
      <c r="D3217" s="4">
        <v>36418</v>
      </c>
      <c r="E3217" s="6">
        <v>23.25</v>
      </c>
    </row>
    <row r="3218" spans="1:5" x14ac:dyDescent="0.25">
      <c r="A3218" s="4">
        <v>40485</v>
      </c>
      <c r="B3218" s="5">
        <v>469</v>
      </c>
      <c r="D3218" s="4">
        <v>36419</v>
      </c>
      <c r="E3218" s="6">
        <v>23.06</v>
      </c>
    </row>
    <row r="3219" spans="1:5" x14ac:dyDescent="0.25">
      <c r="A3219" s="4">
        <v>40486</v>
      </c>
      <c r="B3219" s="5">
        <v>479.5</v>
      </c>
      <c r="D3219" s="4">
        <v>36420</v>
      </c>
      <c r="E3219" s="6">
        <v>22.93</v>
      </c>
    </row>
    <row r="3220" spans="1:5" x14ac:dyDescent="0.25">
      <c r="A3220" s="4">
        <v>40487</v>
      </c>
      <c r="B3220" s="5">
        <v>477</v>
      </c>
      <c r="D3220" s="4">
        <v>36423</v>
      </c>
      <c r="E3220" s="6">
        <v>22.85</v>
      </c>
    </row>
    <row r="3221" spans="1:5" x14ac:dyDescent="0.25">
      <c r="A3221" s="4">
        <v>40490</v>
      </c>
      <c r="B3221" s="5">
        <v>479</v>
      </c>
      <c r="D3221" s="4">
        <v>36424</v>
      </c>
      <c r="E3221" s="6">
        <v>22.68</v>
      </c>
    </row>
    <row r="3222" spans="1:5" x14ac:dyDescent="0.25">
      <c r="A3222" s="4">
        <v>40491</v>
      </c>
      <c r="B3222" s="5">
        <v>481.5</v>
      </c>
      <c r="D3222" s="4">
        <v>36425</v>
      </c>
      <c r="E3222" s="6">
        <v>22.49</v>
      </c>
    </row>
    <row r="3223" spans="1:5" x14ac:dyDescent="0.25">
      <c r="A3223" s="4">
        <v>40492</v>
      </c>
      <c r="B3223" s="5">
        <v>479.5</v>
      </c>
      <c r="D3223" s="4">
        <v>36426</v>
      </c>
      <c r="E3223" s="6">
        <v>23.41</v>
      </c>
    </row>
    <row r="3224" spans="1:5" x14ac:dyDescent="0.25">
      <c r="A3224" s="4">
        <v>40493</v>
      </c>
      <c r="B3224" s="5">
        <v>485.5</v>
      </c>
      <c r="D3224" s="4">
        <v>36427</v>
      </c>
      <c r="E3224" s="6">
        <v>23.66</v>
      </c>
    </row>
    <row r="3225" spans="1:5" x14ac:dyDescent="0.25">
      <c r="A3225" s="4">
        <v>40494</v>
      </c>
      <c r="B3225" s="5">
        <v>472.75</v>
      </c>
      <c r="D3225" s="4">
        <v>36430</v>
      </c>
      <c r="E3225" s="6">
        <v>23.6</v>
      </c>
    </row>
    <row r="3226" spans="1:5" x14ac:dyDescent="0.25">
      <c r="A3226" s="4">
        <v>40497</v>
      </c>
      <c r="B3226" s="5">
        <v>471</v>
      </c>
      <c r="D3226" s="4">
        <v>36431</v>
      </c>
      <c r="E3226" s="6">
        <v>23.24</v>
      </c>
    </row>
    <row r="3227" spans="1:5" x14ac:dyDescent="0.25">
      <c r="A3227" s="4">
        <v>40498</v>
      </c>
      <c r="B3227" s="5">
        <v>458.5</v>
      </c>
      <c r="D3227" s="4">
        <v>36432</v>
      </c>
      <c r="E3227" s="6">
        <v>23.46</v>
      </c>
    </row>
    <row r="3228" spans="1:5" x14ac:dyDescent="0.25">
      <c r="A3228" s="4">
        <v>40499</v>
      </c>
      <c r="B3228" s="5">
        <v>453.75</v>
      </c>
      <c r="D3228" s="4">
        <v>36433</v>
      </c>
      <c r="E3228" s="6">
        <v>22.98</v>
      </c>
    </row>
    <row r="3229" spans="1:5" x14ac:dyDescent="0.25">
      <c r="A3229" s="4">
        <v>40500</v>
      </c>
      <c r="B3229" s="5">
        <v>456</v>
      </c>
      <c r="D3229" s="4">
        <v>36434</v>
      </c>
      <c r="E3229" s="6">
        <v>22.98</v>
      </c>
    </row>
    <row r="3230" spans="1:5" x14ac:dyDescent="0.25">
      <c r="A3230" s="4">
        <v>40501</v>
      </c>
      <c r="B3230" s="5">
        <v>450.5</v>
      </c>
      <c r="D3230" s="4">
        <v>36437</v>
      </c>
      <c r="E3230" s="6">
        <v>23.3</v>
      </c>
    </row>
    <row r="3231" spans="1:5" x14ac:dyDescent="0.25">
      <c r="A3231" s="4">
        <v>40504</v>
      </c>
      <c r="B3231" s="5">
        <v>449.75</v>
      </c>
      <c r="D3231" s="4">
        <v>36438</v>
      </c>
      <c r="E3231" s="6">
        <v>22.64</v>
      </c>
    </row>
    <row r="3232" spans="1:5" x14ac:dyDescent="0.25">
      <c r="A3232" s="4">
        <v>40505</v>
      </c>
      <c r="B3232" s="5">
        <v>449</v>
      </c>
      <c r="D3232" s="4">
        <v>36439</v>
      </c>
      <c r="E3232" s="6">
        <v>23.07</v>
      </c>
    </row>
    <row r="3233" spans="1:5" x14ac:dyDescent="0.25">
      <c r="A3233" s="4">
        <v>40506</v>
      </c>
      <c r="B3233" s="5">
        <v>463</v>
      </c>
      <c r="D3233" s="4">
        <v>36440</v>
      </c>
      <c r="E3233" s="6">
        <v>22.33</v>
      </c>
    </row>
    <row r="3234" spans="1:5" x14ac:dyDescent="0.25">
      <c r="A3234" s="4">
        <v>40507</v>
      </c>
      <c r="B3234" s="5">
        <v>469.5</v>
      </c>
      <c r="D3234" s="4">
        <v>36441</v>
      </c>
      <c r="E3234" s="6">
        <v>20.78</v>
      </c>
    </row>
    <row r="3235" spans="1:5" x14ac:dyDescent="0.25">
      <c r="A3235" s="4">
        <v>40508</v>
      </c>
      <c r="B3235" s="5">
        <v>464</v>
      </c>
      <c r="D3235" s="4">
        <v>36444</v>
      </c>
      <c r="E3235" s="6">
        <v>20.84</v>
      </c>
    </row>
    <row r="3236" spans="1:5" x14ac:dyDescent="0.25">
      <c r="A3236" s="4">
        <v>40511</v>
      </c>
      <c r="B3236" s="5">
        <v>471</v>
      </c>
      <c r="D3236" s="4">
        <v>36445</v>
      </c>
      <c r="E3236" s="6">
        <v>21.89</v>
      </c>
    </row>
    <row r="3237" spans="1:5" x14ac:dyDescent="0.25">
      <c r="A3237" s="4">
        <v>40512</v>
      </c>
      <c r="B3237" s="5">
        <v>467</v>
      </c>
      <c r="D3237" s="4">
        <v>36446</v>
      </c>
      <c r="E3237" s="6">
        <v>22.26</v>
      </c>
    </row>
    <row r="3238" spans="1:5" x14ac:dyDescent="0.25">
      <c r="A3238" s="4">
        <v>40513</v>
      </c>
      <c r="B3238" s="5">
        <v>468</v>
      </c>
      <c r="D3238" s="4">
        <v>36447</v>
      </c>
      <c r="E3238" s="6">
        <v>22.28</v>
      </c>
    </row>
    <row r="3239" spans="1:5" x14ac:dyDescent="0.25">
      <c r="A3239" s="4">
        <v>40514</v>
      </c>
      <c r="B3239" s="5">
        <v>475</v>
      </c>
      <c r="D3239" s="4">
        <v>36448</v>
      </c>
      <c r="E3239" s="6">
        <v>21.65</v>
      </c>
    </row>
    <row r="3240" spans="1:5" x14ac:dyDescent="0.25">
      <c r="A3240" s="4">
        <v>40515</v>
      </c>
      <c r="B3240" s="5">
        <v>478.5</v>
      </c>
      <c r="D3240" s="4">
        <v>36451</v>
      </c>
      <c r="E3240" s="6">
        <v>22.26</v>
      </c>
    </row>
    <row r="3241" spans="1:5" x14ac:dyDescent="0.25">
      <c r="A3241" s="4">
        <v>40518</v>
      </c>
      <c r="B3241" s="5">
        <v>476.5</v>
      </c>
      <c r="D3241" s="4">
        <v>36452</v>
      </c>
      <c r="E3241" s="6">
        <v>21.59</v>
      </c>
    </row>
    <row r="3242" spans="1:5" x14ac:dyDescent="0.25">
      <c r="A3242" s="4">
        <v>40519</v>
      </c>
      <c r="B3242" s="5">
        <v>473.25</v>
      </c>
      <c r="D3242" s="4">
        <v>36453</v>
      </c>
      <c r="E3242" s="6">
        <v>21.02</v>
      </c>
    </row>
    <row r="3243" spans="1:5" x14ac:dyDescent="0.25">
      <c r="A3243" s="4">
        <v>40520</v>
      </c>
      <c r="B3243" s="5">
        <v>469</v>
      </c>
      <c r="D3243" s="4">
        <v>36454</v>
      </c>
      <c r="E3243" s="6">
        <v>21.68</v>
      </c>
    </row>
    <row r="3244" spans="1:5" x14ac:dyDescent="0.25">
      <c r="A3244" s="4">
        <v>40521</v>
      </c>
      <c r="B3244" s="5">
        <v>472</v>
      </c>
      <c r="D3244" s="4">
        <v>36455</v>
      </c>
      <c r="E3244" s="6">
        <v>22.38</v>
      </c>
    </row>
    <row r="3245" spans="1:5" x14ac:dyDescent="0.25">
      <c r="A3245" s="4">
        <v>40522</v>
      </c>
      <c r="B3245" s="5">
        <v>464.75</v>
      </c>
      <c r="D3245" s="4">
        <v>36458</v>
      </c>
      <c r="E3245" s="6">
        <v>22.45</v>
      </c>
    </row>
    <row r="3246" spans="1:5" x14ac:dyDescent="0.25">
      <c r="A3246" s="4">
        <v>40525</v>
      </c>
      <c r="B3246" s="5">
        <v>472.25</v>
      </c>
      <c r="D3246" s="4">
        <v>36459</v>
      </c>
      <c r="E3246" s="6">
        <v>22.14</v>
      </c>
    </row>
    <row r="3247" spans="1:5" x14ac:dyDescent="0.25">
      <c r="A3247" s="4">
        <v>40526</v>
      </c>
      <c r="B3247" s="5">
        <v>474.75</v>
      </c>
      <c r="D3247" s="4">
        <v>36460</v>
      </c>
      <c r="E3247" s="6">
        <v>22.18</v>
      </c>
    </row>
    <row r="3248" spans="1:5" x14ac:dyDescent="0.25">
      <c r="A3248" s="4">
        <v>40527</v>
      </c>
      <c r="B3248" s="5">
        <v>481</v>
      </c>
      <c r="D3248" s="4">
        <v>36461</v>
      </c>
      <c r="E3248" s="6">
        <v>21.22</v>
      </c>
    </row>
    <row r="3249" spans="1:5" x14ac:dyDescent="0.25">
      <c r="A3249" s="4">
        <v>40528</v>
      </c>
      <c r="B3249" s="5">
        <v>487</v>
      </c>
      <c r="D3249" s="4">
        <v>36462</v>
      </c>
      <c r="E3249" s="6">
        <v>21.11</v>
      </c>
    </row>
    <row r="3250" spans="1:5" x14ac:dyDescent="0.25">
      <c r="A3250" s="4">
        <v>40529</v>
      </c>
      <c r="B3250" s="5">
        <v>483.5</v>
      </c>
      <c r="D3250" s="4">
        <v>36465</v>
      </c>
      <c r="E3250" s="6">
        <v>21.32</v>
      </c>
    </row>
    <row r="3251" spans="1:5" x14ac:dyDescent="0.25">
      <c r="A3251" s="4">
        <v>40532</v>
      </c>
      <c r="B3251" s="5">
        <v>484.5</v>
      </c>
      <c r="D3251" s="4">
        <v>36466</v>
      </c>
      <c r="E3251" s="6">
        <v>21.98</v>
      </c>
    </row>
    <row r="3252" spans="1:5" x14ac:dyDescent="0.25">
      <c r="A3252" s="4">
        <v>40533</v>
      </c>
      <c r="B3252" s="5">
        <v>489</v>
      </c>
      <c r="D3252" s="4">
        <v>36467</v>
      </c>
      <c r="E3252" s="6">
        <v>22.38</v>
      </c>
    </row>
    <row r="3253" spans="1:5" x14ac:dyDescent="0.25">
      <c r="A3253" s="4">
        <v>40534</v>
      </c>
      <c r="B3253" s="5">
        <v>490.75</v>
      </c>
      <c r="D3253" s="4">
        <v>36468</v>
      </c>
      <c r="E3253" s="6">
        <v>22.64</v>
      </c>
    </row>
    <row r="3254" spans="1:5" x14ac:dyDescent="0.25">
      <c r="A3254" s="4">
        <v>40535</v>
      </c>
      <c r="B3254" s="5">
        <v>488</v>
      </c>
      <c r="D3254" s="4">
        <v>36469</v>
      </c>
      <c r="E3254" s="6">
        <v>22.8</v>
      </c>
    </row>
    <row r="3255" spans="1:5" x14ac:dyDescent="0.25">
      <c r="A3255" s="4">
        <v>40536</v>
      </c>
      <c r="B3255" s="5">
        <v>488</v>
      </c>
      <c r="D3255" s="4">
        <v>36472</v>
      </c>
      <c r="E3255" s="6">
        <v>23.62</v>
      </c>
    </row>
    <row r="3256" spans="1:5" x14ac:dyDescent="0.25">
      <c r="A3256" s="4">
        <v>40547</v>
      </c>
      <c r="B3256" s="5">
        <v>492</v>
      </c>
      <c r="D3256" s="4">
        <v>36473</v>
      </c>
      <c r="E3256" s="6">
        <v>24.44</v>
      </c>
    </row>
    <row r="3257" spans="1:5" x14ac:dyDescent="0.25">
      <c r="A3257" s="4">
        <v>40548</v>
      </c>
      <c r="B3257" s="5">
        <v>492</v>
      </c>
      <c r="D3257" s="4">
        <v>36474</v>
      </c>
      <c r="E3257" s="6">
        <v>25.42</v>
      </c>
    </row>
    <row r="3258" spans="1:5" x14ac:dyDescent="0.25">
      <c r="A3258" s="4">
        <v>40549</v>
      </c>
      <c r="B3258" s="5">
        <v>492</v>
      </c>
      <c r="D3258" s="4">
        <v>36475</v>
      </c>
      <c r="E3258" s="6">
        <v>24.96</v>
      </c>
    </row>
    <row r="3259" spans="1:5" x14ac:dyDescent="0.25">
      <c r="A3259" s="4">
        <v>40550</v>
      </c>
      <c r="B3259" s="5">
        <v>497.5</v>
      </c>
      <c r="D3259" s="4">
        <v>36476</v>
      </c>
      <c r="E3259" s="6">
        <v>25.39</v>
      </c>
    </row>
    <row r="3260" spans="1:5" x14ac:dyDescent="0.25">
      <c r="A3260" s="4">
        <v>40553</v>
      </c>
      <c r="B3260" s="5">
        <v>512</v>
      </c>
      <c r="D3260" s="4">
        <v>36479</v>
      </c>
      <c r="E3260" s="6">
        <v>25.93</v>
      </c>
    </row>
    <row r="3261" spans="1:5" x14ac:dyDescent="0.25">
      <c r="A3261" s="4">
        <v>40554</v>
      </c>
      <c r="B3261" s="5">
        <v>497.5</v>
      </c>
      <c r="D3261" s="4">
        <v>36480</v>
      </c>
      <c r="E3261" s="6">
        <v>24.88</v>
      </c>
    </row>
    <row r="3262" spans="1:5" x14ac:dyDescent="0.25">
      <c r="A3262" s="4">
        <v>40555</v>
      </c>
      <c r="B3262" s="5">
        <v>509</v>
      </c>
      <c r="D3262" s="4">
        <v>36481</v>
      </c>
      <c r="E3262" s="6">
        <v>24.98</v>
      </c>
    </row>
    <row r="3263" spans="1:5" x14ac:dyDescent="0.25">
      <c r="A3263" s="4">
        <v>40556</v>
      </c>
      <c r="B3263" s="5">
        <v>509</v>
      </c>
      <c r="D3263" s="4">
        <v>36482</v>
      </c>
      <c r="E3263" s="6">
        <v>25.02</v>
      </c>
    </row>
    <row r="3264" spans="1:5" x14ac:dyDescent="0.25">
      <c r="A3264" s="4">
        <v>40557</v>
      </c>
      <c r="B3264" s="5">
        <v>515.5</v>
      </c>
      <c r="D3264" s="4">
        <v>36483</v>
      </c>
      <c r="E3264" s="6">
        <v>25.14</v>
      </c>
    </row>
    <row r="3265" spans="1:5" x14ac:dyDescent="0.25">
      <c r="A3265" s="4">
        <v>40560</v>
      </c>
      <c r="B3265" s="5">
        <v>515.5</v>
      </c>
      <c r="D3265" s="4">
        <v>36486</v>
      </c>
      <c r="E3265" s="6">
        <v>25.86</v>
      </c>
    </row>
    <row r="3266" spans="1:5" x14ac:dyDescent="0.25">
      <c r="A3266" s="4">
        <v>40561</v>
      </c>
      <c r="B3266" s="5">
        <v>516</v>
      </c>
      <c r="D3266" s="4">
        <v>36487</v>
      </c>
      <c r="E3266" s="6">
        <v>25.66</v>
      </c>
    </row>
    <row r="3267" spans="1:5" x14ac:dyDescent="0.25">
      <c r="A3267" s="4">
        <v>40562</v>
      </c>
      <c r="B3267" s="5">
        <v>514</v>
      </c>
      <c r="D3267" s="4">
        <v>36488</v>
      </c>
      <c r="E3267" s="6">
        <v>25.77</v>
      </c>
    </row>
    <row r="3268" spans="1:5" x14ac:dyDescent="0.25">
      <c r="A3268" s="4">
        <v>40563</v>
      </c>
      <c r="B3268" s="5">
        <v>516</v>
      </c>
      <c r="D3268" s="4">
        <v>36489</v>
      </c>
      <c r="E3268" s="6">
        <v>25.94</v>
      </c>
    </row>
    <row r="3269" spans="1:5" x14ac:dyDescent="0.25">
      <c r="A3269" s="4">
        <v>40564</v>
      </c>
      <c r="B3269" s="5">
        <v>513.5</v>
      </c>
      <c r="D3269" s="4">
        <v>36490</v>
      </c>
      <c r="E3269" s="6">
        <v>25.85</v>
      </c>
    </row>
    <row r="3270" spans="1:5" x14ac:dyDescent="0.25">
      <c r="A3270" s="4">
        <v>40567</v>
      </c>
      <c r="B3270" s="5">
        <v>516</v>
      </c>
      <c r="D3270" s="4">
        <v>36493</v>
      </c>
      <c r="E3270" s="6">
        <v>25.67</v>
      </c>
    </row>
    <row r="3271" spans="1:5" x14ac:dyDescent="0.25">
      <c r="A3271" s="4">
        <v>40568</v>
      </c>
      <c r="B3271" s="5">
        <v>516</v>
      </c>
      <c r="D3271" s="4">
        <v>36494</v>
      </c>
      <c r="E3271" s="6">
        <v>25.2</v>
      </c>
    </row>
    <row r="3272" spans="1:5" x14ac:dyDescent="0.25">
      <c r="A3272" s="4">
        <v>40569</v>
      </c>
      <c r="B3272" s="5">
        <v>511</v>
      </c>
      <c r="D3272" s="4">
        <v>36495</v>
      </c>
      <c r="E3272" s="6">
        <v>24.2</v>
      </c>
    </row>
    <row r="3273" spans="1:5" x14ac:dyDescent="0.25">
      <c r="A3273" s="4">
        <v>40570</v>
      </c>
      <c r="B3273" s="5">
        <v>511</v>
      </c>
      <c r="D3273" s="4">
        <v>36496</v>
      </c>
      <c r="E3273" s="6">
        <v>25.52</v>
      </c>
    </row>
    <row r="3274" spans="1:5" x14ac:dyDescent="0.25">
      <c r="A3274" s="4">
        <v>40571</v>
      </c>
      <c r="B3274" s="5">
        <v>511</v>
      </c>
      <c r="D3274" s="4">
        <v>36497</v>
      </c>
      <c r="E3274" s="6">
        <v>26.17</v>
      </c>
    </row>
    <row r="3275" spans="1:5" x14ac:dyDescent="0.25">
      <c r="A3275" s="4">
        <v>40574</v>
      </c>
      <c r="B3275" s="5">
        <v>515</v>
      </c>
      <c r="D3275" s="4">
        <v>36500</v>
      </c>
      <c r="E3275" s="6">
        <v>26.46</v>
      </c>
    </row>
    <row r="3276" spans="1:5" x14ac:dyDescent="0.25">
      <c r="A3276" s="4">
        <v>40575</v>
      </c>
      <c r="B3276" s="5">
        <v>518.5</v>
      </c>
      <c r="D3276" s="4">
        <v>36501</v>
      </c>
      <c r="E3276" s="6">
        <v>26.1</v>
      </c>
    </row>
    <row r="3277" spans="1:5" x14ac:dyDescent="0.25">
      <c r="A3277" s="4">
        <v>40576</v>
      </c>
      <c r="B3277" s="5">
        <v>529</v>
      </c>
      <c r="D3277" s="4">
        <v>36502</v>
      </c>
      <c r="E3277" s="6">
        <v>25.45</v>
      </c>
    </row>
    <row r="3278" spans="1:5" x14ac:dyDescent="0.25">
      <c r="A3278" s="4">
        <v>40577</v>
      </c>
      <c r="B3278" s="5">
        <v>531</v>
      </c>
      <c r="D3278" s="4">
        <v>36503</v>
      </c>
      <c r="E3278" s="6">
        <v>25.85</v>
      </c>
    </row>
    <row r="3279" spans="1:5" x14ac:dyDescent="0.25">
      <c r="A3279" s="4">
        <v>40578</v>
      </c>
      <c r="B3279" s="5">
        <v>543</v>
      </c>
      <c r="D3279" s="4">
        <v>36504</v>
      </c>
      <c r="E3279" s="6">
        <v>24.86</v>
      </c>
    </row>
    <row r="3280" spans="1:5" x14ac:dyDescent="0.25">
      <c r="A3280" s="4">
        <v>40581</v>
      </c>
      <c r="B3280" s="5">
        <v>543</v>
      </c>
      <c r="D3280" s="4">
        <v>36507</v>
      </c>
      <c r="E3280" s="6">
        <v>24.31</v>
      </c>
    </row>
    <row r="3281" spans="1:5" x14ac:dyDescent="0.25">
      <c r="A3281" s="4">
        <v>40582</v>
      </c>
      <c r="B3281" s="5">
        <v>542</v>
      </c>
      <c r="D3281" s="4">
        <v>36508</v>
      </c>
      <c r="E3281" s="6">
        <v>24.88</v>
      </c>
    </row>
    <row r="3282" spans="1:5" x14ac:dyDescent="0.25">
      <c r="A3282" s="4">
        <v>40583</v>
      </c>
      <c r="B3282" s="5">
        <v>541.5</v>
      </c>
      <c r="D3282" s="4">
        <v>36509</v>
      </c>
      <c r="E3282" s="6">
        <v>25.68</v>
      </c>
    </row>
    <row r="3283" spans="1:5" x14ac:dyDescent="0.25">
      <c r="A3283" s="4">
        <v>40584</v>
      </c>
      <c r="B3283" s="5">
        <v>543</v>
      </c>
      <c r="D3283" s="4">
        <v>36510</v>
      </c>
      <c r="E3283" s="6">
        <v>26.09</v>
      </c>
    </row>
    <row r="3284" spans="1:5" x14ac:dyDescent="0.25">
      <c r="A3284" s="4">
        <v>40585</v>
      </c>
      <c r="B3284" s="5">
        <v>546</v>
      </c>
      <c r="D3284" s="4">
        <v>36511</v>
      </c>
      <c r="E3284" s="6">
        <v>26.22</v>
      </c>
    </row>
    <row r="3285" spans="1:5" x14ac:dyDescent="0.25">
      <c r="A3285" s="4">
        <v>40588</v>
      </c>
      <c r="B3285" s="5">
        <v>547</v>
      </c>
      <c r="D3285" s="4">
        <v>36514</v>
      </c>
      <c r="E3285" s="6">
        <v>25.98</v>
      </c>
    </row>
    <row r="3286" spans="1:5" x14ac:dyDescent="0.25">
      <c r="A3286" s="4">
        <v>40589</v>
      </c>
      <c r="B3286" s="5">
        <v>547</v>
      </c>
      <c r="D3286" s="4">
        <v>36515</v>
      </c>
      <c r="E3286" s="6">
        <v>25.51</v>
      </c>
    </row>
    <row r="3287" spans="1:5" x14ac:dyDescent="0.25">
      <c r="A3287" s="4">
        <v>40590</v>
      </c>
      <c r="B3287" s="5">
        <v>563.5</v>
      </c>
      <c r="D3287" s="4">
        <v>36516</v>
      </c>
      <c r="E3287" s="6">
        <v>25.04</v>
      </c>
    </row>
    <row r="3288" spans="1:5" x14ac:dyDescent="0.25">
      <c r="A3288" s="4">
        <v>40591</v>
      </c>
      <c r="B3288" s="5">
        <v>566</v>
      </c>
      <c r="D3288" s="4">
        <v>36517</v>
      </c>
      <c r="E3288" s="6">
        <v>25.11</v>
      </c>
    </row>
    <row r="3289" spans="1:5" x14ac:dyDescent="0.25">
      <c r="A3289" s="4">
        <v>40592</v>
      </c>
      <c r="B3289" s="5">
        <v>568</v>
      </c>
      <c r="D3289" s="4">
        <v>36518</v>
      </c>
      <c r="E3289" s="5"/>
    </row>
    <row r="3290" spans="1:5" x14ac:dyDescent="0.25">
      <c r="A3290" s="4">
        <v>40595</v>
      </c>
      <c r="B3290" s="5">
        <v>570</v>
      </c>
      <c r="D3290" s="4">
        <v>36521</v>
      </c>
      <c r="E3290" s="5"/>
    </row>
    <row r="3291" spans="1:5" x14ac:dyDescent="0.25">
      <c r="A3291" s="4">
        <v>40596</v>
      </c>
      <c r="B3291" s="5">
        <v>571.5</v>
      </c>
      <c r="D3291" s="4">
        <v>36522</v>
      </c>
      <c r="E3291" s="5"/>
    </row>
    <row r="3292" spans="1:5" x14ac:dyDescent="0.25">
      <c r="A3292" s="4">
        <v>40597</v>
      </c>
      <c r="B3292" s="5">
        <v>583.5</v>
      </c>
      <c r="D3292" s="4">
        <v>36523</v>
      </c>
      <c r="E3292" s="6">
        <v>25.63</v>
      </c>
    </row>
    <row r="3293" spans="1:5" x14ac:dyDescent="0.25">
      <c r="A3293" s="4">
        <v>40598</v>
      </c>
      <c r="B3293" s="5">
        <v>595</v>
      </c>
      <c r="D3293" s="4">
        <v>36524</v>
      </c>
      <c r="E3293" s="6">
        <v>24.93</v>
      </c>
    </row>
    <row r="3294" spans="1:5" x14ac:dyDescent="0.25">
      <c r="A3294" s="4">
        <v>40599</v>
      </c>
      <c r="B3294" s="5">
        <v>606.5</v>
      </c>
      <c r="D3294" s="4">
        <v>36525</v>
      </c>
      <c r="E3294" s="5"/>
    </row>
    <row r="3295" spans="1:5" x14ac:dyDescent="0.25">
      <c r="A3295" s="4">
        <v>40602</v>
      </c>
      <c r="B3295" s="5">
        <v>595</v>
      </c>
      <c r="D3295" s="4">
        <v>36528</v>
      </c>
      <c r="E3295" s="5"/>
    </row>
    <row r="3296" spans="1:5" x14ac:dyDescent="0.25">
      <c r="A3296" s="4">
        <v>40603</v>
      </c>
      <c r="B3296" s="5">
        <v>599</v>
      </c>
      <c r="D3296" s="4">
        <v>36529</v>
      </c>
      <c r="E3296" s="6">
        <v>23.95</v>
      </c>
    </row>
    <row r="3297" spans="1:5" x14ac:dyDescent="0.25">
      <c r="A3297" s="4">
        <v>40604</v>
      </c>
      <c r="B3297" s="5">
        <v>587.5</v>
      </c>
      <c r="D3297" s="4">
        <v>36530</v>
      </c>
      <c r="E3297" s="6">
        <v>23.72</v>
      </c>
    </row>
    <row r="3298" spans="1:5" x14ac:dyDescent="0.25">
      <c r="A3298" s="4">
        <v>40605</v>
      </c>
      <c r="B3298" s="5">
        <v>590</v>
      </c>
      <c r="D3298" s="4">
        <v>36531</v>
      </c>
      <c r="E3298" s="6">
        <v>23.55</v>
      </c>
    </row>
    <row r="3299" spans="1:5" x14ac:dyDescent="0.25">
      <c r="A3299" s="4">
        <v>40606</v>
      </c>
      <c r="B3299" s="5">
        <v>596.5</v>
      </c>
      <c r="D3299" s="4">
        <v>36532</v>
      </c>
      <c r="E3299" s="6">
        <v>23.35</v>
      </c>
    </row>
    <row r="3300" spans="1:5" x14ac:dyDescent="0.25">
      <c r="A3300" s="4">
        <v>40609</v>
      </c>
      <c r="B3300" s="5">
        <v>594</v>
      </c>
      <c r="D3300" s="4">
        <v>36535</v>
      </c>
      <c r="E3300" s="6">
        <v>22.77</v>
      </c>
    </row>
    <row r="3301" spans="1:5" x14ac:dyDescent="0.25">
      <c r="A3301" s="4">
        <v>40610</v>
      </c>
      <c r="B3301" s="5">
        <v>611.5</v>
      </c>
      <c r="D3301" s="4">
        <v>36536</v>
      </c>
      <c r="E3301" s="6">
        <v>23.93</v>
      </c>
    </row>
    <row r="3302" spans="1:5" x14ac:dyDescent="0.25">
      <c r="A3302" s="4">
        <v>40611</v>
      </c>
      <c r="B3302" s="5">
        <v>609</v>
      </c>
      <c r="D3302" s="4">
        <v>36537</v>
      </c>
      <c r="E3302" s="6">
        <v>24.62</v>
      </c>
    </row>
    <row r="3303" spans="1:5" x14ac:dyDescent="0.25">
      <c r="A3303" s="4">
        <v>40612</v>
      </c>
      <c r="B3303" s="5">
        <v>606</v>
      </c>
      <c r="D3303" s="4">
        <v>36538</v>
      </c>
      <c r="E3303" s="6">
        <v>24.9</v>
      </c>
    </row>
    <row r="3304" spans="1:5" x14ac:dyDescent="0.25">
      <c r="A3304" s="4">
        <v>40613</v>
      </c>
      <c r="B3304" s="5">
        <v>607.5</v>
      </c>
      <c r="D3304" s="4">
        <v>36539</v>
      </c>
      <c r="E3304" s="6">
        <v>25.5</v>
      </c>
    </row>
    <row r="3305" spans="1:5" x14ac:dyDescent="0.25">
      <c r="A3305" s="4">
        <v>40616</v>
      </c>
      <c r="B3305" s="5">
        <v>604</v>
      </c>
      <c r="D3305" s="4">
        <v>36542</v>
      </c>
      <c r="E3305" s="6">
        <v>25.99</v>
      </c>
    </row>
    <row r="3306" spans="1:5" x14ac:dyDescent="0.25">
      <c r="A3306" s="4">
        <v>40617</v>
      </c>
      <c r="B3306" s="5">
        <v>607</v>
      </c>
      <c r="D3306" s="4">
        <v>36543</v>
      </c>
      <c r="E3306" s="6">
        <v>26.31</v>
      </c>
    </row>
    <row r="3307" spans="1:5" x14ac:dyDescent="0.25">
      <c r="A3307" s="4">
        <v>40618</v>
      </c>
      <c r="B3307" s="5">
        <v>604.5</v>
      </c>
      <c r="D3307" s="4">
        <v>36544</v>
      </c>
      <c r="E3307" s="6">
        <v>26.17</v>
      </c>
    </row>
    <row r="3308" spans="1:5" x14ac:dyDescent="0.25">
      <c r="A3308" s="4">
        <v>40619</v>
      </c>
      <c r="B3308" s="5">
        <v>599.5</v>
      </c>
      <c r="D3308" s="4">
        <v>36545</v>
      </c>
      <c r="E3308" s="6">
        <v>26.26</v>
      </c>
    </row>
    <row r="3309" spans="1:5" x14ac:dyDescent="0.25">
      <c r="A3309" s="4">
        <v>40620</v>
      </c>
      <c r="B3309" s="5">
        <v>602</v>
      </c>
      <c r="D3309" s="4">
        <v>36546</v>
      </c>
      <c r="E3309" s="6">
        <v>27.18</v>
      </c>
    </row>
    <row r="3310" spans="1:5" x14ac:dyDescent="0.25">
      <c r="A3310" s="4">
        <v>40623</v>
      </c>
      <c r="B3310" s="5">
        <v>609.5</v>
      </c>
      <c r="D3310" s="4">
        <v>36549</v>
      </c>
      <c r="E3310" s="6">
        <v>27.02</v>
      </c>
    </row>
    <row r="3311" spans="1:5" x14ac:dyDescent="0.25">
      <c r="A3311" s="4">
        <v>40624</v>
      </c>
      <c r="B3311" s="5">
        <v>609.5</v>
      </c>
      <c r="D3311" s="4">
        <v>36550</v>
      </c>
      <c r="E3311" s="6">
        <v>27.24</v>
      </c>
    </row>
    <row r="3312" spans="1:5" x14ac:dyDescent="0.25">
      <c r="A3312" s="4">
        <v>40625</v>
      </c>
      <c r="B3312" s="5">
        <v>607</v>
      </c>
      <c r="D3312" s="4">
        <v>36551</v>
      </c>
      <c r="E3312" s="6">
        <v>27.18</v>
      </c>
    </row>
    <row r="3313" spans="1:5" x14ac:dyDescent="0.25">
      <c r="A3313" s="4">
        <v>40626</v>
      </c>
      <c r="B3313" s="5">
        <v>601.5</v>
      </c>
      <c r="D3313" s="4">
        <v>36552</v>
      </c>
      <c r="E3313" s="6">
        <v>26.91</v>
      </c>
    </row>
    <row r="3314" spans="1:5" x14ac:dyDescent="0.25">
      <c r="A3314" s="4">
        <v>40627</v>
      </c>
      <c r="B3314" s="5">
        <v>610.5</v>
      </c>
      <c r="D3314" s="4">
        <v>36553</v>
      </c>
      <c r="E3314" s="6">
        <v>26.59</v>
      </c>
    </row>
    <row r="3315" spans="1:5" x14ac:dyDescent="0.25">
      <c r="A3315" s="4">
        <v>40630</v>
      </c>
      <c r="B3315" s="5">
        <v>611.5</v>
      </c>
      <c r="D3315" s="4">
        <v>36556</v>
      </c>
      <c r="E3315" s="6">
        <v>27.08</v>
      </c>
    </row>
    <row r="3316" spans="1:5" x14ac:dyDescent="0.25">
      <c r="A3316" s="4">
        <v>40631</v>
      </c>
      <c r="B3316" s="5">
        <v>610</v>
      </c>
      <c r="D3316" s="4">
        <v>36557</v>
      </c>
      <c r="E3316" s="6">
        <v>27.35</v>
      </c>
    </row>
    <row r="3317" spans="1:5" x14ac:dyDescent="0.25">
      <c r="A3317" s="4">
        <v>40632</v>
      </c>
      <c r="B3317" s="5">
        <v>610</v>
      </c>
      <c r="D3317" s="4">
        <v>36558</v>
      </c>
      <c r="E3317" s="6">
        <v>27.15</v>
      </c>
    </row>
    <row r="3318" spans="1:5" x14ac:dyDescent="0.25">
      <c r="A3318" s="4">
        <v>40633</v>
      </c>
      <c r="B3318" s="5">
        <v>612</v>
      </c>
      <c r="D3318" s="4">
        <v>36559</v>
      </c>
      <c r="E3318" s="6">
        <v>27.6</v>
      </c>
    </row>
    <row r="3319" spans="1:5" x14ac:dyDescent="0.25">
      <c r="A3319" s="4">
        <v>40634</v>
      </c>
      <c r="B3319" s="5">
        <v>621.5</v>
      </c>
      <c r="D3319" s="4">
        <v>36560</v>
      </c>
      <c r="E3319" s="6">
        <v>27.48</v>
      </c>
    </row>
    <row r="3320" spans="1:5" x14ac:dyDescent="0.25">
      <c r="A3320" s="4">
        <v>40637</v>
      </c>
      <c r="B3320" s="5">
        <v>627.5</v>
      </c>
      <c r="D3320" s="4">
        <v>36563</v>
      </c>
      <c r="E3320" s="6">
        <v>27.94</v>
      </c>
    </row>
    <row r="3321" spans="1:5" x14ac:dyDescent="0.25">
      <c r="A3321" s="4">
        <v>40638</v>
      </c>
      <c r="B3321" s="5">
        <v>632.5</v>
      </c>
      <c r="D3321" s="4">
        <v>36564</v>
      </c>
      <c r="E3321" s="6">
        <v>27.61</v>
      </c>
    </row>
    <row r="3322" spans="1:5" x14ac:dyDescent="0.25">
      <c r="A3322" s="4">
        <v>40639</v>
      </c>
      <c r="B3322" s="5">
        <v>647</v>
      </c>
      <c r="D3322" s="4">
        <v>36565</v>
      </c>
      <c r="E3322" s="6">
        <v>27.44</v>
      </c>
    </row>
    <row r="3323" spans="1:5" x14ac:dyDescent="0.25">
      <c r="A3323" s="4">
        <v>40640</v>
      </c>
      <c r="B3323" s="5">
        <v>653</v>
      </c>
      <c r="D3323" s="4">
        <v>36566</v>
      </c>
      <c r="E3323" s="6">
        <v>27.32</v>
      </c>
    </row>
    <row r="3324" spans="1:5" x14ac:dyDescent="0.25">
      <c r="A3324" s="4">
        <v>40641</v>
      </c>
      <c r="B3324" s="5">
        <v>652.5</v>
      </c>
      <c r="D3324" s="4">
        <v>36567</v>
      </c>
      <c r="E3324" s="6">
        <v>27.82</v>
      </c>
    </row>
    <row r="3325" spans="1:5" x14ac:dyDescent="0.25">
      <c r="A3325" s="4">
        <v>40644</v>
      </c>
      <c r="B3325" s="5">
        <v>655.5</v>
      </c>
      <c r="D3325" s="4">
        <v>36570</v>
      </c>
      <c r="E3325" s="6">
        <v>28.03</v>
      </c>
    </row>
    <row r="3326" spans="1:5" x14ac:dyDescent="0.25">
      <c r="A3326" s="4">
        <v>40645</v>
      </c>
      <c r="B3326" s="5">
        <v>657</v>
      </c>
      <c r="D3326" s="4">
        <v>36571</v>
      </c>
      <c r="E3326" s="6">
        <v>28.12</v>
      </c>
    </row>
    <row r="3327" spans="1:5" x14ac:dyDescent="0.25">
      <c r="A3327" s="4">
        <v>40646</v>
      </c>
      <c r="B3327" s="5">
        <v>658</v>
      </c>
      <c r="D3327" s="4">
        <v>36572</v>
      </c>
      <c r="E3327" s="6">
        <v>28.11</v>
      </c>
    </row>
    <row r="3328" spans="1:5" x14ac:dyDescent="0.25">
      <c r="A3328" s="4">
        <v>40647</v>
      </c>
      <c r="B3328" s="5">
        <v>650</v>
      </c>
      <c r="D3328" s="4">
        <v>36573</v>
      </c>
      <c r="E3328" s="6">
        <v>27.54</v>
      </c>
    </row>
    <row r="3329" spans="1:5" x14ac:dyDescent="0.25">
      <c r="A3329" s="4">
        <v>40648</v>
      </c>
      <c r="B3329" s="5">
        <v>656</v>
      </c>
      <c r="D3329" s="4">
        <v>36574</v>
      </c>
      <c r="E3329" s="6">
        <v>27.26</v>
      </c>
    </row>
    <row r="3330" spans="1:5" x14ac:dyDescent="0.25">
      <c r="A3330" s="4">
        <v>40651</v>
      </c>
      <c r="B3330" s="5">
        <v>652</v>
      </c>
      <c r="D3330" s="4">
        <v>36577</v>
      </c>
      <c r="E3330" s="6">
        <v>26.93</v>
      </c>
    </row>
    <row r="3331" spans="1:5" x14ac:dyDescent="0.25">
      <c r="A3331" s="4">
        <v>40652</v>
      </c>
      <c r="B3331" s="5">
        <v>652</v>
      </c>
      <c r="D3331" s="4">
        <v>36578</v>
      </c>
      <c r="E3331" s="6">
        <v>27.22</v>
      </c>
    </row>
    <row r="3332" spans="1:5" x14ac:dyDescent="0.25">
      <c r="A3332" s="4">
        <v>40653</v>
      </c>
      <c r="B3332" s="5">
        <v>636</v>
      </c>
      <c r="D3332" s="4">
        <v>36579</v>
      </c>
      <c r="E3332" s="6">
        <v>27.92</v>
      </c>
    </row>
    <row r="3333" spans="1:5" x14ac:dyDescent="0.25">
      <c r="A3333" s="4">
        <v>40654</v>
      </c>
      <c r="B3333" s="5">
        <v>642</v>
      </c>
      <c r="D3333" s="4">
        <v>36580</v>
      </c>
      <c r="E3333" s="6">
        <v>28.21</v>
      </c>
    </row>
    <row r="3334" spans="1:5" x14ac:dyDescent="0.25">
      <c r="A3334" s="4">
        <v>40659</v>
      </c>
      <c r="B3334" s="5">
        <v>645.5</v>
      </c>
      <c r="D3334" s="4">
        <v>36581</v>
      </c>
      <c r="E3334" s="6">
        <v>28.53</v>
      </c>
    </row>
    <row r="3335" spans="1:5" x14ac:dyDescent="0.25">
      <c r="A3335" s="4">
        <v>40660</v>
      </c>
      <c r="B3335" s="5">
        <v>647</v>
      </c>
      <c r="D3335" s="4">
        <v>36584</v>
      </c>
      <c r="E3335" s="6">
        <v>28.7</v>
      </c>
    </row>
    <row r="3336" spans="1:5" x14ac:dyDescent="0.25">
      <c r="A3336" s="4">
        <v>40661</v>
      </c>
      <c r="B3336" s="5">
        <v>648</v>
      </c>
      <c r="D3336" s="4">
        <v>36585</v>
      </c>
      <c r="E3336" s="6">
        <v>29.01</v>
      </c>
    </row>
    <row r="3337" spans="1:5" x14ac:dyDescent="0.25">
      <c r="A3337" s="4">
        <v>40666</v>
      </c>
      <c r="B3337" s="5">
        <v>654.5</v>
      </c>
      <c r="D3337" s="4">
        <v>36586</v>
      </c>
      <c r="E3337" s="6">
        <v>29.78</v>
      </c>
    </row>
    <row r="3338" spans="1:5" x14ac:dyDescent="0.25">
      <c r="A3338" s="4">
        <v>40667</v>
      </c>
      <c r="B3338" s="5">
        <v>650</v>
      </c>
      <c r="D3338" s="4">
        <v>36587</v>
      </c>
      <c r="E3338" s="6">
        <v>30.12</v>
      </c>
    </row>
    <row r="3339" spans="1:5" x14ac:dyDescent="0.25">
      <c r="A3339" s="4">
        <v>40668</v>
      </c>
      <c r="B3339" s="5">
        <v>650.5</v>
      </c>
      <c r="D3339" s="4">
        <v>36588</v>
      </c>
      <c r="E3339" s="6">
        <v>29.83</v>
      </c>
    </row>
    <row r="3340" spans="1:5" x14ac:dyDescent="0.25">
      <c r="A3340" s="4">
        <v>40669</v>
      </c>
      <c r="B3340" s="5">
        <v>646.5</v>
      </c>
      <c r="D3340" s="4">
        <v>36591</v>
      </c>
      <c r="E3340" s="6">
        <v>30.08</v>
      </c>
    </row>
    <row r="3341" spans="1:5" x14ac:dyDescent="0.25">
      <c r="A3341" s="4">
        <v>40672</v>
      </c>
      <c r="B3341" s="5">
        <v>610</v>
      </c>
      <c r="D3341" s="4">
        <v>36592</v>
      </c>
      <c r="E3341" s="6">
        <v>31.93</v>
      </c>
    </row>
    <row r="3342" spans="1:5" x14ac:dyDescent="0.25">
      <c r="A3342" s="4">
        <v>40673</v>
      </c>
      <c r="B3342" s="5">
        <v>618</v>
      </c>
      <c r="D3342" s="4">
        <v>36593</v>
      </c>
      <c r="E3342" s="6">
        <v>31.41</v>
      </c>
    </row>
    <row r="3343" spans="1:5" x14ac:dyDescent="0.25">
      <c r="A3343" s="4">
        <v>40674</v>
      </c>
      <c r="B3343" s="5">
        <v>627</v>
      </c>
      <c r="D3343" s="4">
        <v>36594</v>
      </c>
      <c r="E3343" s="6">
        <v>29.11</v>
      </c>
    </row>
    <row r="3344" spans="1:5" x14ac:dyDescent="0.25">
      <c r="A3344" s="4">
        <v>40675</v>
      </c>
      <c r="B3344" s="5">
        <v>636.5</v>
      </c>
      <c r="D3344" s="4">
        <v>36595</v>
      </c>
      <c r="E3344" s="6">
        <v>28.97</v>
      </c>
    </row>
    <row r="3345" spans="1:5" x14ac:dyDescent="0.25">
      <c r="A3345" s="4">
        <v>40676</v>
      </c>
      <c r="B3345" s="5">
        <v>628.5</v>
      </c>
      <c r="D3345" s="4">
        <v>36598</v>
      </c>
      <c r="E3345" s="6">
        <v>29.25</v>
      </c>
    </row>
    <row r="3346" spans="1:5" x14ac:dyDescent="0.25">
      <c r="A3346" s="4">
        <v>40679</v>
      </c>
      <c r="B3346" s="5">
        <v>627</v>
      </c>
      <c r="D3346" s="4">
        <v>36599</v>
      </c>
      <c r="E3346" s="6">
        <v>28.83</v>
      </c>
    </row>
    <row r="3347" spans="1:5" x14ac:dyDescent="0.25">
      <c r="A3347" s="4">
        <v>40680</v>
      </c>
      <c r="B3347" s="5">
        <v>628</v>
      </c>
      <c r="D3347" s="4">
        <v>36600</v>
      </c>
      <c r="E3347" s="6">
        <v>28.03</v>
      </c>
    </row>
    <row r="3348" spans="1:5" x14ac:dyDescent="0.25">
      <c r="A3348" s="4">
        <v>40681</v>
      </c>
      <c r="B3348" s="5">
        <v>614</v>
      </c>
      <c r="D3348" s="4">
        <v>36601</v>
      </c>
      <c r="E3348" s="6">
        <v>27.97</v>
      </c>
    </row>
    <row r="3349" spans="1:5" x14ac:dyDescent="0.25">
      <c r="A3349" s="4">
        <v>40682</v>
      </c>
      <c r="B3349" s="5">
        <v>613.5</v>
      </c>
      <c r="D3349" s="4">
        <v>36602</v>
      </c>
      <c r="E3349" s="6">
        <v>27.87</v>
      </c>
    </row>
    <row r="3350" spans="1:5" x14ac:dyDescent="0.25">
      <c r="A3350" s="4">
        <v>40683</v>
      </c>
      <c r="B3350" s="5">
        <v>612.5</v>
      </c>
      <c r="D3350" s="4">
        <v>36605</v>
      </c>
      <c r="E3350" s="6">
        <v>25.59</v>
      </c>
    </row>
    <row r="3351" spans="1:5" x14ac:dyDescent="0.25">
      <c r="A3351" s="4">
        <v>40686</v>
      </c>
      <c r="B3351" s="5">
        <v>612.5</v>
      </c>
      <c r="D3351" s="4">
        <v>36606</v>
      </c>
      <c r="E3351" s="6">
        <v>24.93</v>
      </c>
    </row>
    <row r="3352" spans="1:5" x14ac:dyDescent="0.25">
      <c r="A3352" s="4">
        <v>40687</v>
      </c>
      <c r="B3352" s="5">
        <v>602.5</v>
      </c>
      <c r="D3352" s="4">
        <v>36607</v>
      </c>
      <c r="E3352" s="6">
        <v>25.77</v>
      </c>
    </row>
    <row r="3353" spans="1:5" x14ac:dyDescent="0.25">
      <c r="A3353" s="4">
        <v>40688</v>
      </c>
      <c r="B3353" s="5">
        <v>603</v>
      </c>
      <c r="D3353" s="4">
        <v>36608</v>
      </c>
      <c r="E3353" s="6">
        <v>25.32</v>
      </c>
    </row>
    <row r="3354" spans="1:5" x14ac:dyDescent="0.25">
      <c r="A3354" s="4">
        <v>40689</v>
      </c>
      <c r="B3354" s="5">
        <v>608</v>
      </c>
      <c r="D3354" s="4">
        <v>36609</v>
      </c>
      <c r="E3354" s="6">
        <v>25.74</v>
      </c>
    </row>
    <row r="3355" spans="1:5" x14ac:dyDescent="0.25">
      <c r="A3355" s="4">
        <v>40690</v>
      </c>
      <c r="B3355" s="5">
        <v>623</v>
      </c>
      <c r="D3355" s="4">
        <v>36612</v>
      </c>
      <c r="E3355" s="6">
        <v>25.16</v>
      </c>
    </row>
    <row r="3356" spans="1:5" x14ac:dyDescent="0.25">
      <c r="A3356" s="4">
        <v>40694</v>
      </c>
      <c r="B3356" s="5">
        <v>624</v>
      </c>
      <c r="D3356" s="4">
        <v>36613</v>
      </c>
      <c r="E3356" s="6">
        <v>24.8</v>
      </c>
    </row>
    <row r="3357" spans="1:5" x14ac:dyDescent="0.25">
      <c r="A3357" s="4">
        <v>40695</v>
      </c>
      <c r="B3357" s="5">
        <v>628</v>
      </c>
      <c r="D3357" s="4">
        <v>36614</v>
      </c>
      <c r="E3357" s="6">
        <v>23.77</v>
      </c>
    </row>
    <row r="3358" spans="1:5" x14ac:dyDescent="0.25">
      <c r="A3358" s="4">
        <v>40696</v>
      </c>
      <c r="B3358" s="5">
        <v>631.5</v>
      </c>
      <c r="D3358" s="4">
        <v>36615</v>
      </c>
      <c r="E3358" s="6">
        <v>23.94</v>
      </c>
    </row>
    <row r="3359" spans="1:5" x14ac:dyDescent="0.25">
      <c r="A3359" s="4">
        <v>40697</v>
      </c>
      <c r="B3359" s="5">
        <v>629</v>
      </c>
      <c r="D3359" s="4">
        <v>36616</v>
      </c>
      <c r="E3359" s="6">
        <v>23.98</v>
      </c>
    </row>
    <row r="3360" spans="1:5" x14ac:dyDescent="0.25">
      <c r="A3360" s="4">
        <v>40700</v>
      </c>
      <c r="B3360" s="5">
        <v>631.5</v>
      </c>
      <c r="D3360" s="4">
        <v>36619</v>
      </c>
      <c r="E3360" s="6">
        <v>24.62</v>
      </c>
    </row>
    <row r="3361" spans="1:5" x14ac:dyDescent="0.25">
      <c r="A3361" s="4">
        <v>40701</v>
      </c>
      <c r="B3361" s="5">
        <v>630.5</v>
      </c>
      <c r="D3361" s="4">
        <v>36620</v>
      </c>
      <c r="E3361" s="6">
        <v>23.26</v>
      </c>
    </row>
    <row r="3362" spans="1:5" x14ac:dyDescent="0.25">
      <c r="A3362" s="4">
        <v>40702</v>
      </c>
      <c r="B3362" s="5">
        <v>630.5</v>
      </c>
      <c r="D3362" s="4">
        <v>36621</v>
      </c>
      <c r="E3362" s="6">
        <v>22.98</v>
      </c>
    </row>
    <row r="3363" spans="1:5" x14ac:dyDescent="0.25">
      <c r="A3363" s="4">
        <v>40703</v>
      </c>
      <c r="B3363" s="5">
        <v>637.5</v>
      </c>
      <c r="D3363" s="4">
        <v>36622</v>
      </c>
      <c r="E3363" s="6">
        <v>22.9</v>
      </c>
    </row>
    <row r="3364" spans="1:5" x14ac:dyDescent="0.25">
      <c r="A3364" s="4">
        <v>40704</v>
      </c>
      <c r="B3364" s="5">
        <v>647</v>
      </c>
      <c r="D3364" s="4">
        <v>36623</v>
      </c>
      <c r="E3364" s="6">
        <v>22.63</v>
      </c>
    </row>
    <row r="3365" spans="1:5" x14ac:dyDescent="0.25">
      <c r="A3365" s="4">
        <v>40707</v>
      </c>
      <c r="B3365" s="5">
        <v>653.5</v>
      </c>
      <c r="D3365" s="4">
        <v>36626</v>
      </c>
      <c r="E3365" s="6">
        <v>21.08</v>
      </c>
    </row>
    <row r="3366" spans="1:5" x14ac:dyDescent="0.25">
      <c r="A3366" s="4">
        <v>40708</v>
      </c>
      <c r="B3366" s="5">
        <v>651</v>
      </c>
      <c r="D3366" s="4">
        <v>36627</v>
      </c>
      <c r="E3366" s="6">
        <v>21.05</v>
      </c>
    </row>
    <row r="3367" spans="1:5" x14ac:dyDescent="0.25">
      <c r="A3367" s="4">
        <v>40709</v>
      </c>
      <c r="B3367" s="5">
        <v>653.5</v>
      </c>
      <c r="D3367" s="4">
        <v>36628</v>
      </c>
      <c r="E3367" s="6">
        <v>21.4</v>
      </c>
    </row>
    <row r="3368" spans="1:5" x14ac:dyDescent="0.25">
      <c r="A3368" s="4">
        <v>40710</v>
      </c>
      <c r="B3368" s="5">
        <v>651.5</v>
      </c>
      <c r="D3368" s="4">
        <v>36629</v>
      </c>
      <c r="E3368" s="6">
        <v>22.65</v>
      </c>
    </row>
    <row r="3369" spans="1:5" x14ac:dyDescent="0.25">
      <c r="A3369" s="4">
        <v>40711</v>
      </c>
      <c r="B3369" s="5">
        <v>629.5</v>
      </c>
      <c r="D3369" s="4">
        <v>36630</v>
      </c>
      <c r="E3369" s="6">
        <v>22.13</v>
      </c>
    </row>
    <row r="3370" spans="1:5" x14ac:dyDescent="0.25">
      <c r="A3370" s="4">
        <v>40714</v>
      </c>
      <c r="B3370" s="5">
        <v>627</v>
      </c>
      <c r="D3370" s="4">
        <v>36633</v>
      </c>
      <c r="E3370" s="6">
        <v>22.2</v>
      </c>
    </row>
    <row r="3371" spans="1:5" x14ac:dyDescent="0.25">
      <c r="A3371" s="4">
        <v>40715</v>
      </c>
      <c r="B3371" s="5">
        <v>630.5</v>
      </c>
      <c r="D3371" s="4">
        <v>36634</v>
      </c>
      <c r="E3371" s="6">
        <v>22.67</v>
      </c>
    </row>
    <row r="3372" spans="1:5" x14ac:dyDescent="0.25">
      <c r="A3372" s="4">
        <v>40716</v>
      </c>
      <c r="B3372" s="5">
        <v>628.5</v>
      </c>
      <c r="D3372" s="4">
        <v>36635</v>
      </c>
      <c r="E3372" s="6">
        <v>23.5</v>
      </c>
    </row>
    <row r="3373" spans="1:5" x14ac:dyDescent="0.25">
      <c r="A3373" s="4">
        <v>40717</v>
      </c>
      <c r="B3373" s="5">
        <v>628.5</v>
      </c>
      <c r="D3373" s="4">
        <v>36636</v>
      </c>
      <c r="E3373" s="6">
        <v>23.57</v>
      </c>
    </row>
    <row r="3374" spans="1:5" x14ac:dyDescent="0.25">
      <c r="A3374" s="4">
        <v>40718</v>
      </c>
      <c r="B3374" s="5">
        <v>622</v>
      </c>
      <c r="D3374" s="4">
        <v>36637</v>
      </c>
      <c r="E3374" s="5"/>
    </row>
    <row r="3375" spans="1:5" x14ac:dyDescent="0.25">
      <c r="A3375" s="4">
        <v>40721</v>
      </c>
      <c r="B3375" s="5">
        <v>614.5</v>
      </c>
      <c r="D3375" s="4">
        <v>36640</v>
      </c>
      <c r="E3375" s="5"/>
    </row>
    <row r="3376" spans="1:5" x14ac:dyDescent="0.25">
      <c r="A3376" s="4">
        <v>40722</v>
      </c>
      <c r="B3376" s="5">
        <v>612</v>
      </c>
      <c r="D3376" s="4">
        <v>36641</v>
      </c>
      <c r="E3376" s="6">
        <v>23.36</v>
      </c>
    </row>
    <row r="3377" spans="1:5" x14ac:dyDescent="0.25">
      <c r="A3377" s="4">
        <v>40723</v>
      </c>
      <c r="B3377" s="5">
        <v>614.5</v>
      </c>
      <c r="D3377" s="4">
        <v>36642</v>
      </c>
      <c r="E3377" s="6">
        <v>22.9</v>
      </c>
    </row>
    <row r="3378" spans="1:5" x14ac:dyDescent="0.25">
      <c r="A3378" s="4">
        <v>40724</v>
      </c>
      <c r="B3378" s="5">
        <v>616.5</v>
      </c>
      <c r="D3378" s="4">
        <v>36643</v>
      </c>
      <c r="E3378" s="6">
        <v>23.07</v>
      </c>
    </row>
    <row r="3379" spans="1:5" x14ac:dyDescent="0.25">
      <c r="A3379" s="4">
        <v>40725</v>
      </c>
      <c r="B3379" s="5">
        <v>627</v>
      </c>
      <c r="D3379" s="4">
        <v>36644</v>
      </c>
      <c r="E3379" s="6">
        <v>23.79</v>
      </c>
    </row>
    <row r="3380" spans="1:5" x14ac:dyDescent="0.25">
      <c r="A3380" s="4">
        <v>40728</v>
      </c>
      <c r="B3380" s="5">
        <v>627.5</v>
      </c>
      <c r="D3380" s="4">
        <v>36647</v>
      </c>
      <c r="E3380" s="5"/>
    </row>
    <row r="3381" spans="1:5" x14ac:dyDescent="0.25">
      <c r="A3381" s="4">
        <v>40729</v>
      </c>
      <c r="B3381" s="5">
        <v>628</v>
      </c>
      <c r="D3381" s="4">
        <v>36648</v>
      </c>
      <c r="E3381" s="6">
        <v>24.73</v>
      </c>
    </row>
    <row r="3382" spans="1:5" x14ac:dyDescent="0.25">
      <c r="A3382" s="4">
        <v>40730</v>
      </c>
      <c r="B3382" s="5">
        <v>628</v>
      </c>
      <c r="D3382" s="4">
        <v>36649</v>
      </c>
      <c r="E3382" s="6">
        <v>25.13</v>
      </c>
    </row>
    <row r="3383" spans="1:5" x14ac:dyDescent="0.25">
      <c r="A3383" s="4">
        <v>40731</v>
      </c>
      <c r="B3383" s="5">
        <v>629.5</v>
      </c>
      <c r="D3383" s="4">
        <v>36650</v>
      </c>
      <c r="E3383" s="6">
        <v>25.06</v>
      </c>
    </row>
    <row r="3384" spans="1:5" x14ac:dyDescent="0.25">
      <c r="A3384" s="4">
        <v>40732</v>
      </c>
      <c r="B3384" s="5">
        <v>632.5</v>
      </c>
      <c r="D3384" s="4">
        <v>36651</v>
      </c>
      <c r="E3384" s="6">
        <v>24.93</v>
      </c>
    </row>
    <row r="3385" spans="1:5" x14ac:dyDescent="0.25">
      <c r="A3385" s="4">
        <v>40735</v>
      </c>
      <c r="B3385" s="5">
        <v>640</v>
      </c>
      <c r="D3385" s="4">
        <v>36654</v>
      </c>
      <c r="E3385" s="6">
        <v>26.03</v>
      </c>
    </row>
    <row r="3386" spans="1:5" x14ac:dyDescent="0.25">
      <c r="A3386" s="4">
        <v>40736</v>
      </c>
      <c r="B3386" s="5">
        <v>639.5</v>
      </c>
      <c r="D3386" s="4">
        <v>36655</v>
      </c>
      <c r="E3386" s="6">
        <v>26.69</v>
      </c>
    </row>
    <row r="3387" spans="1:5" x14ac:dyDescent="0.25">
      <c r="A3387" s="4">
        <v>40737</v>
      </c>
      <c r="B3387" s="5">
        <v>642.5</v>
      </c>
      <c r="D3387" s="4">
        <v>36656</v>
      </c>
      <c r="E3387" s="6">
        <v>26.59</v>
      </c>
    </row>
    <row r="3388" spans="1:5" x14ac:dyDescent="0.25">
      <c r="A3388" s="4">
        <v>40738</v>
      </c>
      <c r="B3388" s="5">
        <v>646.5</v>
      </c>
      <c r="D3388" s="4">
        <v>36657</v>
      </c>
      <c r="E3388" s="6">
        <v>27.22</v>
      </c>
    </row>
    <row r="3389" spans="1:5" x14ac:dyDescent="0.25">
      <c r="A3389" s="4">
        <v>40739</v>
      </c>
      <c r="B3389" s="5">
        <v>655.5</v>
      </c>
      <c r="D3389" s="4">
        <v>36658</v>
      </c>
      <c r="E3389" s="6">
        <v>27.98</v>
      </c>
    </row>
    <row r="3390" spans="1:5" x14ac:dyDescent="0.25">
      <c r="A3390" s="4">
        <v>40742</v>
      </c>
      <c r="B3390" s="5">
        <v>654</v>
      </c>
      <c r="D3390" s="4">
        <v>36661</v>
      </c>
      <c r="E3390" s="6">
        <v>28.26</v>
      </c>
    </row>
    <row r="3391" spans="1:5" x14ac:dyDescent="0.25">
      <c r="A3391" s="4">
        <v>40743</v>
      </c>
      <c r="B3391" s="5">
        <v>655.5</v>
      </c>
      <c r="D3391" s="4">
        <v>36662</v>
      </c>
      <c r="E3391" s="6">
        <v>28.78</v>
      </c>
    </row>
    <row r="3392" spans="1:5" x14ac:dyDescent="0.25">
      <c r="A3392" s="4">
        <v>40744</v>
      </c>
      <c r="B3392" s="5">
        <v>660.5</v>
      </c>
      <c r="D3392" s="4">
        <v>36663</v>
      </c>
      <c r="E3392" s="6">
        <v>28.4</v>
      </c>
    </row>
    <row r="3393" spans="1:5" x14ac:dyDescent="0.25">
      <c r="A3393" s="4">
        <v>40745</v>
      </c>
      <c r="B3393" s="5">
        <v>659</v>
      </c>
      <c r="D3393" s="4">
        <v>36664</v>
      </c>
      <c r="E3393" s="6">
        <v>28.9</v>
      </c>
    </row>
    <row r="3394" spans="1:5" x14ac:dyDescent="0.25">
      <c r="A3394" s="4">
        <v>40746</v>
      </c>
      <c r="B3394" s="5">
        <v>656.5</v>
      </c>
      <c r="D3394" s="4">
        <v>36665</v>
      </c>
      <c r="E3394" s="6">
        <v>29.01</v>
      </c>
    </row>
    <row r="3395" spans="1:5" x14ac:dyDescent="0.25">
      <c r="A3395" s="4">
        <v>40749</v>
      </c>
      <c r="B3395" s="5">
        <v>656.5</v>
      </c>
      <c r="D3395" s="4">
        <v>36668</v>
      </c>
      <c r="E3395" s="6">
        <v>28.45</v>
      </c>
    </row>
    <row r="3396" spans="1:5" x14ac:dyDescent="0.25">
      <c r="A3396" s="4">
        <v>40750</v>
      </c>
      <c r="B3396" s="5">
        <v>662.5</v>
      </c>
      <c r="D3396" s="4">
        <v>36669</v>
      </c>
      <c r="E3396" s="6">
        <v>28.12</v>
      </c>
    </row>
    <row r="3397" spans="1:5" x14ac:dyDescent="0.25">
      <c r="A3397" s="4">
        <v>40751</v>
      </c>
      <c r="B3397" s="5">
        <v>668.5</v>
      </c>
      <c r="D3397" s="4">
        <v>36670</v>
      </c>
      <c r="E3397" s="6">
        <v>28.97</v>
      </c>
    </row>
    <row r="3398" spans="1:5" x14ac:dyDescent="0.25">
      <c r="A3398" s="4">
        <v>40752</v>
      </c>
      <c r="B3398" s="5">
        <v>668.5</v>
      </c>
      <c r="D3398" s="4">
        <v>36671</v>
      </c>
      <c r="E3398" s="6">
        <v>29.62</v>
      </c>
    </row>
    <row r="3399" spans="1:5" x14ac:dyDescent="0.25">
      <c r="A3399" s="4">
        <v>40753</v>
      </c>
      <c r="B3399" s="5">
        <v>666.5</v>
      </c>
      <c r="D3399" s="4">
        <v>36672</v>
      </c>
      <c r="E3399" s="6">
        <v>30.09</v>
      </c>
    </row>
    <row r="3400" spans="1:5" x14ac:dyDescent="0.25">
      <c r="A3400" s="4">
        <v>40756</v>
      </c>
      <c r="B3400" s="5">
        <v>664.5</v>
      </c>
      <c r="D3400" s="4">
        <v>36675</v>
      </c>
      <c r="E3400" s="5"/>
    </row>
    <row r="3401" spans="1:5" x14ac:dyDescent="0.25">
      <c r="A3401" s="4">
        <v>40757</v>
      </c>
      <c r="B3401" s="5">
        <v>665.5</v>
      </c>
      <c r="D3401" s="4">
        <v>36676</v>
      </c>
      <c r="E3401" s="6">
        <v>29.89</v>
      </c>
    </row>
    <row r="3402" spans="1:5" x14ac:dyDescent="0.25">
      <c r="A3402" s="4">
        <v>40758</v>
      </c>
      <c r="B3402" s="5">
        <v>668</v>
      </c>
      <c r="D3402" s="4">
        <v>36677</v>
      </c>
      <c r="E3402" s="6">
        <v>29.64</v>
      </c>
    </row>
    <row r="3403" spans="1:5" x14ac:dyDescent="0.25">
      <c r="A3403" s="4">
        <v>40759</v>
      </c>
      <c r="B3403" s="5">
        <v>666.5</v>
      </c>
      <c r="D3403" s="4">
        <v>36678</v>
      </c>
      <c r="E3403" s="6">
        <v>29.69</v>
      </c>
    </row>
    <row r="3404" spans="1:5" x14ac:dyDescent="0.25">
      <c r="A3404" s="4">
        <v>40760</v>
      </c>
      <c r="B3404" s="5">
        <v>655.5</v>
      </c>
      <c r="D3404" s="4">
        <v>36679</v>
      </c>
      <c r="E3404" s="6">
        <v>29.35</v>
      </c>
    </row>
    <row r="3405" spans="1:5" x14ac:dyDescent="0.25">
      <c r="A3405" s="4">
        <v>40763</v>
      </c>
      <c r="B3405" s="5">
        <v>652</v>
      </c>
      <c r="D3405" s="4">
        <v>36682</v>
      </c>
      <c r="E3405" s="6">
        <v>28.27</v>
      </c>
    </row>
    <row r="3406" spans="1:5" x14ac:dyDescent="0.25">
      <c r="A3406" s="4">
        <v>40764</v>
      </c>
      <c r="B3406" s="5">
        <v>650</v>
      </c>
      <c r="D3406" s="4">
        <v>36683</v>
      </c>
      <c r="E3406" s="6">
        <v>28.42</v>
      </c>
    </row>
    <row r="3407" spans="1:5" x14ac:dyDescent="0.25">
      <c r="A3407" s="4">
        <v>40765</v>
      </c>
      <c r="B3407" s="5">
        <v>616.5</v>
      </c>
      <c r="D3407" s="4">
        <v>36684</v>
      </c>
      <c r="E3407" s="6">
        <v>28.32</v>
      </c>
    </row>
    <row r="3408" spans="1:5" x14ac:dyDescent="0.25">
      <c r="A3408" s="4">
        <v>40766</v>
      </c>
      <c r="B3408" s="5">
        <v>616.5</v>
      </c>
      <c r="D3408" s="4">
        <v>36685</v>
      </c>
      <c r="E3408" s="6">
        <v>29.34</v>
      </c>
    </row>
    <row r="3409" spans="1:5" x14ac:dyDescent="0.25">
      <c r="A3409" s="4">
        <v>40767</v>
      </c>
      <c r="B3409" s="5">
        <v>616.5</v>
      </c>
      <c r="D3409" s="4">
        <v>36686</v>
      </c>
      <c r="E3409" s="6">
        <v>29</v>
      </c>
    </row>
    <row r="3410" spans="1:5" x14ac:dyDescent="0.25">
      <c r="A3410" s="4">
        <v>40770</v>
      </c>
      <c r="B3410" s="5">
        <v>610.5</v>
      </c>
      <c r="D3410" s="4">
        <v>36689</v>
      </c>
      <c r="E3410" s="6">
        <v>30.1</v>
      </c>
    </row>
    <row r="3411" spans="1:5" x14ac:dyDescent="0.25">
      <c r="A3411" s="4">
        <v>40771</v>
      </c>
      <c r="B3411" s="5">
        <v>613.5</v>
      </c>
      <c r="D3411" s="4">
        <v>36690</v>
      </c>
      <c r="E3411" s="6">
        <v>30.4</v>
      </c>
    </row>
    <row r="3412" spans="1:5" x14ac:dyDescent="0.25">
      <c r="A3412" s="4">
        <v>40772</v>
      </c>
      <c r="B3412" s="5">
        <v>617.5</v>
      </c>
      <c r="D3412" s="4">
        <v>36691</v>
      </c>
      <c r="E3412" s="6">
        <v>30.12</v>
      </c>
    </row>
    <row r="3413" spans="1:5" x14ac:dyDescent="0.25">
      <c r="A3413" s="4">
        <v>40773</v>
      </c>
      <c r="B3413" s="5">
        <v>626</v>
      </c>
      <c r="D3413" s="4">
        <v>36692</v>
      </c>
      <c r="E3413" s="6">
        <v>29.77</v>
      </c>
    </row>
    <row r="3414" spans="1:5" x14ac:dyDescent="0.25">
      <c r="A3414" s="4">
        <v>40774</v>
      </c>
      <c r="B3414" s="5">
        <v>631</v>
      </c>
      <c r="D3414" s="4">
        <v>36693</v>
      </c>
      <c r="E3414" s="6">
        <v>28.68</v>
      </c>
    </row>
    <row r="3415" spans="1:5" x14ac:dyDescent="0.25">
      <c r="A3415" s="4">
        <v>40777</v>
      </c>
      <c r="B3415" s="5">
        <v>616.5</v>
      </c>
      <c r="D3415" s="4">
        <v>36696</v>
      </c>
      <c r="E3415" s="6">
        <v>27.69</v>
      </c>
    </row>
    <row r="3416" spans="1:5" x14ac:dyDescent="0.25">
      <c r="A3416" s="4">
        <v>40778</v>
      </c>
      <c r="B3416" s="5">
        <v>617.5</v>
      </c>
      <c r="D3416" s="4">
        <v>36697</v>
      </c>
      <c r="E3416" s="6">
        <v>28.86</v>
      </c>
    </row>
    <row r="3417" spans="1:5" x14ac:dyDescent="0.25">
      <c r="A3417" s="4">
        <v>40779</v>
      </c>
      <c r="B3417" s="5">
        <v>622.5</v>
      </c>
      <c r="D3417" s="4">
        <v>36698</v>
      </c>
      <c r="E3417" s="6">
        <v>30.71</v>
      </c>
    </row>
    <row r="3418" spans="1:5" x14ac:dyDescent="0.25">
      <c r="A3418" s="4">
        <v>40780</v>
      </c>
      <c r="B3418" s="5">
        <v>626.5</v>
      </c>
      <c r="D3418" s="4">
        <v>36699</v>
      </c>
      <c r="E3418" s="6">
        <v>30.61</v>
      </c>
    </row>
    <row r="3419" spans="1:5" x14ac:dyDescent="0.25">
      <c r="A3419" s="4">
        <v>40781</v>
      </c>
      <c r="B3419" s="5">
        <v>636</v>
      </c>
      <c r="D3419" s="4">
        <v>36700</v>
      </c>
      <c r="E3419" s="6">
        <v>31.02</v>
      </c>
    </row>
    <row r="3420" spans="1:5" x14ac:dyDescent="0.25">
      <c r="A3420" s="4">
        <v>40785</v>
      </c>
      <c r="B3420" s="5">
        <v>642</v>
      </c>
      <c r="D3420" s="4">
        <v>36703</v>
      </c>
      <c r="E3420" s="6">
        <v>30.9</v>
      </c>
    </row>
    <row r="3421" spans="1:5" x14ac:dyDescent="0.25">
      <c r="A3421" s="4">
        <v>40786</v>
      </c>
      <c r="B3421" s="5">
        <v>643.5</v>
      </c>
      <c r="D3421" s="4">
        <v>36704</v>
      </c>
      <c r="E3421" s="6">
        <v>30.47</v>
      </c>
    </row>
    <row r="3422" spans="1:5" x14ac:dyDescent="0.25">
      <c r="A3422" s="4">
        <v>40787</v>
      </c>
      <c r="B3422" s="5">
        <v>648.5</v>
      </c>
      <c r="D3422" s="4">
        <v>36705</v>
      </c>
      <c r="E3422" s="6">
        <v>31.15</v>
      </c>
    </row>
    <row r="3423" spans="1:5" x14ac:dyDescent="0.25">
      <c r="A3423" s="4">
        <v>40788</v>
      </c>
      <c r="B3423" s="5">
        <v>650.5</v>
      </c>
      <c r="D3423" s="4">
        <v>36706</v>
      </c>
      <c r="E3423" s="6">
        <v>31.05</v>
      </c>
    </row>
    <row r="3424" spans="1:5" x14ac:dyDescent="0.25">
      <c r="A3424" s="4">
        <v>40791</v>
      </c>
      <c r="B3424" s="5">
        <v>649</v>
      </c>
      <c r="D3424" s="4">
        <v>36707</v>
      </c>
      <c r="E3424" s="6">
        <v>31.58</v>
      </c>
    </row>
    <row r="3425" spans="1:5" x14ac:dyDescent="0.25">
      <c r="A3425" s="4">
        <v>40792</v>
      </c>
      <c r="B3425" s="5">
        <v>647</v>
      </c>
      <c r="D3425" s="4">
        <v>36710</v>
      </c>
      <c r="E3425" s="6">
        <v>32.15</v>
      </c>
    </row>
    <row r="3426" spans="1:5" x14ac:dyDescent="0.25">
      <c r="A3426" s="4">
        <v>40793</v>
      </c>
      <c r="B3426" s="5">
        <v>632.5</v>
      </c>
      <c r="D3426" s="4">
        <v>36711</v>
      </c>
      <c r="E3426" s="6">
        <v>30.73</v>
      </c>
    </row>
    <row r="3427" spans="1:5" x14ac:dyDescent="0.25">
      <c r="A3427" s="4">
        <v>40794</v>
      </c>
      <c r="B3427" s="5">
        <v>643</v>
      </c>
      <c r="D3427" s="4">
        <v>36712</v>
      </c>
      <c r="E3427" s="6">
        <v>30.35</v>
      </c>
    </row>
    <row r="3428" spans="1:5" x14ac:dyDescent="0.25">
      <c r="A3428" s="4">
        <v>40795</v>
      </c>
      <c r="B3428" s="5">
        <v>659</v>
      </c>
      <c r="D3428" s="4">
        <v>36713</v>
      </c>
      <c r="E3428" s="6">
        <v>30.67</v>
      </c>
    </row>
    <row r="3429" spans="1:5" x14ac:dyDescent="0.25">
      <c r="A3429" s="4">
        <v>40798</v>
      </c>
      <c r="B3429" s="5">
        <v>657.5</v>
      </c>
      <c r="D3429" s="4">
        <v>36714</v>
      </c>
      <c r="E3429" s="6">
        <v>30.62</v>
      </c>
    </row>
    <row r="3430" spans="1:5" x14ac:dyDescent="0.25">
      <c r="A3430" s="4">
        <v>40799</v>
      </c>
      <c r="B3430" s="5">
        <v>649.5</v>
      </c>
      <c r="D3430" s="4">
        <v>36717</v>
      </c>
      <c r="E3430" s="6">
        <v>30.58</v>
      </c>
    </row>
    <row r="3431" spans="1:5" x14ac:dyDescent="0.25">
      <c r="A3431" s="4">
        <v>40800</v>
      </c>
      <c r="B3431" s="5">
        <v>630</v>
      </c>
      <c r="D3431" s="4">
        <v>36718</v>
      </c>
      <c r="E3431" s="6">
        <v>29.83</v>
      </c>
    </row>
    <row r="3432" spans="1:5" x14ac:dyDescent="0.25">
      <c r="A3432" s="4">
        <v>40801</v>
      </c>
      <c r="B3432" s="5">
        <v>635</v>
      </c>
      <c r="D3432" s="4">
        <v>36719</v>
      </c>
      <c r="E3432" s="6">
        <v>30.27</v>
      </c>
    </row>
    <row r="3433" spans="1:5" x14ac:dyDescent="0.25">
      <c r="A3433" s="4">
        <v>40802</v>
      </c>
      <c r="B3433" s="5">
        <v>639.5</v>
      </c>
      <c r="D3433" s="4">
        <v>36720</v>
      </c>
      <c r="E3433" s="6">
        <v>31.15</v>
      </c>
    </row>
    <row r="3434" spans="1:5" x14ac:dyDescent="0.25">
      <c r="A3434" s="4">
        <v>40805</v>
      </c>
      <c r="B3434" s="5">
        <v>647.5</v>
      </c>
      <c r="D3434" s="4">
        <v>36721</v>
      </c>
      <c r="E3434" s="6">
        <v>30.82</v>
      </c>
    </row>
    <row r="3435" spans="1:5" x14ac:dyDescent="0.25">
      <c r="A3435" s="4">
        <v>40806</v>
      </c>
      <c r="B3435" s="5">
        <v>644.5</v>
      </c>
      <c r="D3435" s="4">
        <v>36724</v>
      </c>
      <c r="E3435" s="6">
        <v>28.44</v>
      </c>
    </row>
    <row r="3436" spans="1:5" x14ac:dyDescent="0.25">
      <c r="A3436" s="4">
        <v>40807</v>
      </c>
      <c r="B3436" s="5">
        <v>640.5</v>
      </c>
      <c r="D3436" s="4">
        <v>36725</v>
      </c>
      <c r="E3436" s="6">
        <v>28.46</v>
      </c>
    </row>
    <row r="3437" spans="1:5" x14ac:dyDescent="0.25">
      <c r="A3437" s="4">
        <v>40808</v>
      </c>
      <c r="B3437" s="5">
        <v>644.5</v>
      </c>
      <c r="D3437" s="4">
        <v>36726</v>
      </c>
      <c r="E3437" s="6">
        <v>28.33</v>
      </c>
    </row>
    <row r="3438" spans="1:5" x14ac:dyDescent="0.25">
      <c r="A3438" s="4">
        <v>40809</v>
      </c>
      <c r="B3438" s="5">
        <v>630</v>
      </c>
      <c r="D3438" s="4">
        <v>36727</v>
      </c>
      <c r="E3438" s="6">
        <v>27.85</v>
      </c>
    </row>
    <row r="3439" spans="1:5" x14ac:dyDescent="0.25">
      <c r="A3439" s="4">
        <v>40812</v>
      </c>
      <c r="B3439" s="5">
        <v>619</v>
      </c>
      <c r="D3439" s="4">
        <v>36728</v>
      </c>
      <c r="E3439" s="6">
        <v>26.68</v>
      </c>
    </row>
    <row r="3440" spans="1:5" x14ac:dyDescent="0.25">
      <c r="A3440" s="4">
        <v>40813</v>
      </c>
      <c r="B3440" s="5">
        <v>613</v>
      </c>
      <c r="D3440" s="4">
        <v>36731</v>
      </c>
      <c r="E3440" s="6">
        <v>26.84</v>
      </c>
    </row>
    <row r="3441" spans="1:5" x14ac:dyDescent="0.25">
      <c r="A3441" s="4">
        <v>40814</v>
      </c>
      <c r="B3441" s="5">
        <v>621</v>
      </c>
      <c r="D3441" s="4">
        <v>36732</v>
      </c>
      <c r="E3441" s="6">
        <v>25.78</v>
      </c>
    </row>
    <row r="3442" spans="1:5" x14ac:dyDescent="0.25">
      <c r="A3442" s="4">
        <v>40815</v>
      </c>
      <c r="B3442" s="5">
        <v>623</v>
      </c>
      <c r="D3442" s="4">
        <v>36733</v>
      </c>
      <c r="E3442" s="6">
        <v>25.92</v>
      </c>
    </row>
    <row r="3443" spans="1:5" x14ac:dyDescent="0.25">
      <c r="A3443" s="4">
        <v>40816</v>
      </c>
      <c r="B3443" s="5">
        <v>622</v>
      </c>
      <c r="D3443" s="4">
        <v>36734</v>
      </c>
      <c r="E3443" s="6">
        <v>25.6</v>
      </c>
    </row>
    <row r="3444" spans="1:5" x14ac:dyDescent="0.25">
      <c r="A3444" s="4">
        <v>40819</v>
      </c>
      <c r="B3444" s="5">
        <v>620</v>
      </c>
      <c r="D3444" s="4">
        <v>36735</v>
      </c>
      <c r="E3444" s="6">
        <v>25.96</v>
      </c>
    </row>
    <row r="3445" spans="1:5" x14ac:dyDescent="0.25">
      <c r="A3445" s="4">
        <v>40820</v>
      </c>
      <c r="B3445" s="5">
        <v>603</v>
      </c>
      <c r="D3445" s="4">
        <v>36738</v>
      </c>
      <c r="E3445" s="6">
        <v>25.3</v>
      </c>
    </row>
    <row r="3446" spans="1:5" x14ac:dyDescent="0.25">
      <c r="A3446" s="4">
        <v>40821</v>
      </c>
      <c r="B3446" s="5">
        <v>600</v>
      </c>
      <c r="D3446" s="4">
        <v>36739</v>
      </c>
      <c r="E3446" s="6">
        <v>25.24</v>
      </c>
    </row>
    <row r="3447" spans="1:5" x14ac:dyDescent="0.25">
      <c r="A3447" s="4">
        <v>40822</v>
      </c>
      <c r="B3447" s="5">
        <v>607.5</v>
      </c>
      <c r="D3447" s="4">
        <v>36740</v>
      </c>
      <c r="E3447" s="6">
        <v>26.8</v>
      </c>
    </row>
    <row r="3448" spans="1:5" x14ac:dyDescent="0.25">
      <c r="A3448" s="4">
        <v>40823</v>
      </c>
      <c r="B3448" s="5">
        <v>611</v>
      </c>
      <c r="D3448" s="4">
        <v>36741</v>
      </c>
      <c r="E3448" s="6">
        <v>27.04</v>
      </c>
    </row>
    <row r="3449" spans="1:5" x14ac:dyDescent="0.25">
      <c r="A3449" s="4">
        <v>40826</v>
      </c>
      <c r="B3449" s="5">
        <v>613</v>
      </c>
      <c r="D3449" s="4">
        <v>36742</v>
      </c>
      <c r="E3449" s="6">
        <v>28.01</v>
      </c>
    </row>
    <row r="3450" spans="1:5" x14ac:dyDescent="0.25">
      <c r="A3450" s="4">
        <v>40827</v>
      </c>
      <c r="B3450" s="5">
        <v>611.5</v>
      </c>
      <c r="D3450" s="4">
        <v>36745</v>
      </c>
      <c r="E3450" s="6">
        <v>27.56</v>
      </c>
    </row>
    <row r="3451" spans="1:5" x14ac:dyDescent="0.25">
      <c r="A3451" s="4">
        <v>40828</v>
      </c>
      <c r="B3451" s="5">
        <v>614</v>
      </c>
      <c r="D3451" s="4">
        <v>36746</v>
      </c>
      <c r="E3451" s="6">
        <v>27.58</v>
      </c>
    </row>
    <row r="3452" spans="1:5" x14ac:dyDescent="0.25">
      <c r="A3452" s="4">
        <v>40829</v>
      </c>
      <c r="B3452" s="5">
        <v>620</v>
      </c>
      <c r="D3452" s="4">
        <v>36747</v>
      </c>
      <c r="E3452" s="6">
        <v>28.13</v>
      </c>
    </row>
    <row r="3453" spans="1:5" x14ac:dyDescent="0.25">
      <c r="A3453" s="4">
        <v>40830</v>
      </c>
      <c r="B3453" s="5">
        <v>643</v>
      </c>
      <c r="D3453" s="4">
        <v>36748</v>
      </c>
      <c r="E3453" s="6">
        <v>28.98</v>
      </c>
    </row>
    <row r="3454" spans="1:5" x14ac:dyDescent="0.25">
      <c r="A3454" s="4">
        <v>40833</v>
      </c>
      <c r="B3454" s="5">
        <v>645.5</v>
      </c>
      <c r="D3454" s="4">
        <v>36749</v>
      </c>
      <c r="E3454" s="6">
        <v>29.44</v>
      </c>
    </row>
    <row r="3455" spans="1:5" x14ac:dyDescent="0.25">
      <c r="A3455" s="4">
        <v>40834</v>
      </c>
      <c r="B3455" s="5">
        <v>646.5</v>
      </c>
      <c r="D3455" s="4">
        <v>36752</v>
      </c>
      <c r="E3455" s="6">
        <v>29.24</v>
      </c>
    </row>
    <row r="3456" spans="1:5" x14ac:dyDescent="0.25">
      <c r="A3456" s="4">
        <v>40835</v>
      </c>
      <c r="B3456" s="5">
        <v>646.5</v>
      </c>
      <c r="D3456" s="4">
        <v>36753</v>
      </c>
      <c r="E3456" s="6">
        <v>30</v>
      </c>
    </row>
    <row r="3457" spans="1:5" x14ac:dyDescent="0.25">
      <c r="A3457" s="4">
        <v>40836</v>
      </c>
      <c r="B3457" s="5">
        <v>646.5</v>
      </c>
      <c r="D3457" s="4">
        <v>36754</v>
      </c>
      <c r="E3457" s="6">
        <v>29.66</v>
      </c>
    </row>
    <row r="3458" spans="1:5" x14ac:dyDescent="0.25">
      <c r="A3458" s="4">
        <v>40837</v>
      </c>
      <c r="B3458" s="5">
        <v>644.5</v>
      </c>
      <c r="D3458" s="4">
        <v>36755</v>
      </c>
      <c r="E3458" s="6">
        <v>30.71</v>
      </c>
    </row>
    <row r="3459" spans="1:5" x14ac:dyDescent="0.25">
      <c r="A3459" s="4">
        <v>40840</v>
      </c>
      <c r="B3459" s="5">
        <v>644.5</v>
      </c>
      <c r="D3459" s="4">
        <v>36756</v>
      </c>
      <c r="E3459" s="6">
        <v>30.76</v>
      </c>
    </row>
    <row r="3460" spans="1:5" x14ac:dyDescent="0.25">
      <c r="A3460" s="4">
        <v>40841</v>
      </c>
      <c r="B3460" s="5">
        <v>647</v>
      </c>
      <c r="D3460" s="4">
        <v>36759</v>
      </c>
      <c r="E3460" s="6">
        <v>31.34</v>
      </c>
    </row>
    <row r="3461" spans="1:5" x14ac:dyDescent="0.25">
      <c r="A3461" s="4">
        <v>40842</v>
      </c>
      <c r="B3461" s="5">
        <v>646.5</v>
      </c>
      <c r="D3461" s="4">
        <v>36760</v>
      </c>
      <c r="E3461" s="6">
        <v>30.18</v>
      </c>
    </row>
    <row r="3462" spans="1:5" x14ac:dyDescent="0.25">
      <c r="A3462" s="4">
        <v>40843</v>
      </c>
      <c r="B3462" s="5">
        <v>646.5</v>
      </c>
      <c r="D3462" s="4">
        <v>36761</v>
      </c>
      <c r="E3462" s="6">
        <v>32.380000000000003</v>
      </c>
    </row>
    <row r="3463" spans="1:5" x14ac:dyDescent="0.25">
      <c r="A3463" s="4">
        <v>40844</v>
      </c>
      <c r="B3463" s="5">
        <v>646.5</v>
      </c>
      <c r="D3463" s="4">
        <v>36762</v>
      </c>
      <c r="E3463" s="6">
        <v>31.67</v>
      </c>
    </row>
    <row r="3464" spans="1:5" x14ac:dyDescent="0.25">
      <c r="A3464" s="4">
        <v>40847</v>
      </c>
      <c r="B3464" s="5">
        <v>646.5</v>
      </c>
      <c r="D3464" s="4">
        <v>36763</v>
      </c>
      <c r="E3464" s="6">
        <v>33.26</v>
      </c>
    </row>
    <row r="3465" spans="1:5" x14ac:dyDescent="0.25">
      <c r="A3465" s="4">
        <v>40848</v>
      </c>
      <c r="B3465" s="5">
        <v>645.5</v>
      </c>
      <c r="D3465" s="4">
        <v>36766</v>
      </c>
      <c r="E3465" s="6">
        <v>33.29</v>
      </c>
    </row>
    <row r="3466" spans="1:5" x14ac:dyDescent="0.25">
      <c r="A3466" s="4">
        <v>40849</v>
      </c>
      <c r="B3466" s="5">
        <v>639</v>
      </c>
      <c r="D3466" s="4">
        <v>36767</v>
      </c>
      <c r="E3466" s="6">
        <v>34.03</v>
      </c>
    </row>
    <row r="3467" spans="1:5" x14ac:dyDescent="0.25">
      <c r="A3467" s="4">
        <v>40850</v>
      </c>
      <c r="B3467" s="5">
        <v>649</v>
      </c>
      <c r="D3467" s="4">
        <v>36768</v>
      </c>
      <c r="E3467" s="6">
        <v>34.130000000000003</v>
      </c>
    </row>
    <row r="3468" spans="1:5" x14ac:dyDescent="0.25">
      <c r="A3468" s="4">
        <v>40851</v>
      </c>
      <c r="B3468" s="5">
        <v>639.5</v>
      </c>
      <c r="D3468" s="4">
        <v>36769</v>
      </c>
      <c r="E3468" s="6">
        <v>35.08</v>
      </c>
    </row>
    <row r="3469" spans="1:5" x14ac:dyDescent="0.25">
      <c r="A3469" s="4">
        <v>40854</v>
      </c>
      <c r="B3469" s="5">
        <v>645.5</v>
      </c>
      <c r="D3469" s="4">
        <v>36770</v>
      </c>
      <c r="E3469" s="6">
        <v>35.090000000000003</v>
      </c>
    </row>
    <row r="3470" spans="1:5" x14ac:dyDescent="0.25">
      <c r="A3470" s="4">
        <v>40855</v>
      </c>
      <c r="B3470" s="5">
        <v>646</v>
      </c>
      <c r="D3470" s="4">
        <v>36773</v>
      </c>
      <c r="E3470" s="6">
        <v>36.020000000000003</v>
      </c>
    </row>
    <row r="3471" spans="1:5" x14ac:dyDescent="0.25">
      <c r="A3471" s="4">
        <v>40856</v>
      </c>
      <c r="B3471" s="5">
        <v>646</v>
      </c>
      <c r="D3471" s="4">
        <v>36774</v>
      </c>
      <c r="E3471" s="6">
        <v>35.72</v>
      </c>
    </row>
    <row r="3472" spans="1:5" x14ac:dyDescent="0.25">
      <c r="A3472" s="4">
        <v>40857</v>
      </c>
      <c r="B3472" s="5">
        <v>649</v>
      </c>
      <c r="D3472" s="4">
        <v>36775</v>
      </c>
      <c r="E3472" s="6">
        <v>36.700000000000003</v>
      </c>
    </row>
    <row r="3473" spans="1:5" x14ac:dyDescent="0.25">
      <c r="A3473" s="4">
        <v>40858</v>
      </c>
      <c r="B3473" s="5">
        <v>665.5</v>
      </c>
      <c r="D3473" s="4">
        <v>36776</v>
      </c>
      <c r="E3473" s="6">
        <v>37.43</v>
      </c>
    </row>
    <row r="3474" spans="1:5" x14ac:dyDescent="0.25">
      <c r="A3474" s="4">
        <v>40861</v>
      </c>
      <c r="B3474" s="5">
        <v>667.5</v>
      </c>
      <c r="D3474" s="4">
        <v>36777</v>
      </c>
      <c r="E3474" s="6">
        <v>36.270000000000003</v>
      </c>
    </row>
    <row r="3475" spans="1:5" x14ac:dyDescent="0.25">
      <c r="A3475" s="4">
        <v>40862</v>
      </c>
      <c r="B3475" s="5">
        <v>667.5</v>
      </c>
      <c r="D3475" s="4">
        <v>36780</v>
      </c>
      <c r="E3475" s="6">
        <v>36.869999999999997</v>
      </c>
    </row>
    <row r="3476" spans="1:5" x14ac:dyDescent="0.25">
      <c r="A3476" s="4">
        <v>40863</v>
      </c>
      <c r="B3476" s="5">
        <v>664.5</v>
      </c>
      <c r="D3476" s="4">
        <v>36781</v>
      </c>
      <c r="E3476" s="6">
        <v>33.299999999999997</v>
      </c>
    </row>
    <row r="3477" spans="1:5" x14ac:dyDescent="0.25">
      <c r="A3477" s="4">
        <v>40864</v>
      </c>
      <c r="B3477" s="5">
        <v>665.5</v>
      </c>
      <c r="D3477" s="4">
        <v>36782</v>
      </c>
      <c r="E3477" s="6">
        <v>31.08</v>
      </c>
    </row>
    <row r="3478" spans="1:5" x14ac:dyDescent="0.25">
      <c r="A3478" s="4">
        <v>40865</v>
      </c>
      <c r="B3478" s="5">
        <v>660.5</v>
      </c>
      <c r="D3478" s="4">
        <v>36783</v>
      </c>
      <c r="E3478" s="6">
        <v>31.35</v>
      </c>
    </row>
    <row r="3479" spans="1:5" x14ac:dyDescent="0.25">
      <c r="A3479" s="4">
        <v>40868</v>
      </c>
      <c r="B3479" s="5">
        <v>656.5</v>
      </c>
      <c r="D3479" s="4">
        <v>36784</v>
      </c>
      <c r="E3479" s="6">
        <v>33.68</v>
      </c>
    </row>
    <row r="3480" spans="1:5" x14ac:dyDescent="0.25">
      <c r="A3480" s="4">
        <v>40869</v>
      </c>
      <c r="B3480" s="5">
        <v>649.5</v>
      </c>
      <c r="D3480" s="4">
        <v>36787</v>
      </c>
      <c r="E3480" s="6">
        <v>34.549999999999997</v>
      </c>
    </row>
    <row r="3481" spans="1:5" x14ac:dyDescent="0.25">
      <c r="A3481" s="4">
        <v>40870</v>
      </c>
      <c r="B3481" s="5">
        <v>648.5</v>
      </c>
      <c r="D3481" s="4">
        <v>36788</v>
      </c>
      <c r="E3481" s="6">
        <v>33.479999999999997</v>
      </c>
    </row>
    <row r="3482" spans="1:5" x14ac:dyDescent="0.25">
      <c r="A3482" s="4">
        <v>40871</v>
      </c>
      <c r="B3482" s="5">
        <v>648.5</v>
      </c>
      <c r="D3482" s="4">
        <v>36789</v>
      </c>
      <c r="E3482" s="6">
        <v>33.67</v>
      </c>
    </row>
    <row r="3483" spans="1:5" x14ac:dyDescent="0.25">
      <c r="A3483" s="4">
        <v>40872</v>
      </c>
      <c r="B3483" s="5">
        <v>623</v>
      </c>
      <c r="D3483" s="4">
        <v>36790</v>
      </c>
      <c r="E3483" s="6">
        <v>32.18</v>
      </c>
    </row>
    <row r="3484" spans="1:5" x14ac:dyDescent="0.25">
      <c r="A3484" s="4">
        <v>40875</v>
      </c>
      <c r="B3484" s="5">
        <v>620.5</v>
      </c>
      <c r="D3484" s="4">
        <v>36791</v>
      </c>
      <c r="E3484" s="6">
        <v>31.59</v>
      </c>
    </row>
    <row r="3485" spans="1:5" x14ac:dyDescent="0.25">
      <c r="A3485" s="4">
        <v>40876</v>
      </c>
      <c r="B3485" s="5">
        <v>624</v>
      </c>
      <c r="D3485" s="4">
        <v>36794</v>
      </c>
      <c r="E3485" s="6">
        <v>30.01</v>
      </c>
    </row>
    <row r="3486" spans="1:5" x14ac:dyDescent="0.25">
      <c r="A3486" s="4">
        <v>40877</v>
      </c>
      <c r="B3486" s="5">
        <v>626.5</v>
      </c>
      <c r="D3486" s="4">
        <v>36795</v>
      </c>
      <c r="E3486" s="6">
        <v>29.94</v>
      </c>
    </row>
    <row r="3487" spans="1:5" x14ac:dyDescent="0.25">
      <c r="A3487" s="4">
        <v>40878</v>
      </c>
      <c r="B3487" s="5">
        <v>626.5</v>
      </c>
      <c r="D3487" s="4">
        <v>36796</v>
      </c>
      <c r="E3487" s="6">
        <v>29.78</v>
      </c>
    </row>
    <row r="3488" spans="1:5" x14ac:dyDescent="0.25">
      <c r="A3488" s="4">
        <v>40879</v>
      </c>
      <c r="B3488" s="5">
        <v>639.5</v>
      </c>
      <c r="D3488" s="4">
        <v>36797</v>
      </c>
      <c r="E3488" s="6">
        <v>28.91</v>
      </c>
    </row>
    <row r="3489" spans="1:5" x14ac:dyDescent="0.25">
      <c r="A3489" s="4">
        <v>40882</v>
      </c>
      <c r="B3489" s="5">
        <v>638</v>
      </c>
      <c r="D3489" s="4">
        <v>36798</v>
      </c>
      <c r="E3489" s="6">
        <v>28.42</v>
      </c>
    </row>
    <row r="3490" spans="1:5" x14ac:dyDescent="0.25">
      <c r="A3490" s="4">
        <v>40883</v>
      </c>
      <c r="B3490" s="5">
        <v>642</v>
      </c>
      <c r="D3490" s="4">
        <v>36801</v>
      </c>
      <c r="E3490" s="6">
        <v>29.65</v>
      </c>
    </row>
    <row r="3491" spans="1:5" x14ac:dyDescent="0.25">
      <c r="A3491" s="4">
        <v>40884</v>
      </c>
      <c r="B3491" s="5">
        <v>639</v>
      </c>
      <c r="D3491" s="4">
        <v>36802</v>
      </c>
      <c r="E3491" s="6">
        <v>30.64</v>
      </c>
    </row>
    <row r="3492" spans="1:5" x14ac:dyDescent="0.25">
      <c r="A3492" s="4">
        <v>40885</v>
      </c>
      <c r="B3492" s="5">
        <v>638.5</v>
      </c>
      <c r="D3492" s="4">
        <v>36803</v>
      </c>
      <c r="E3492" s="6">
        <v>30.07</v>
      </c>
    </row>
    <row r="3493" spans="1:5" x14ac:dyDescent="0.25">
      <c r="A3493" s="4">
        <v>40886</v>
      </c>
      <c r="B3493" s="5">
        <v>638</v>
      </c>
      <c r="D3493" s="4">
        <v>36804</v>
      </c>
      <c r="E3493" s="6">
        <v>29.19</v>
      </c>
    </row>
    <row r="3494" spans="1:5" x14ac:dyDescent="0.25">
      <c r="A3494" s="4">
        <v>40889</v>
      </c>
      <c r="B3494" s="5">
        <v>634</v>
      </c>
      <c r="D3494" s="4">
        <v>36805</v>
      </c>
      <c r="E3494" s="6">
        <v>29.62</v>
      </c>
    </row>
    <row r="3495" spans="1:5" x14ac:dyDescent="0.25">
      <c r="A3495" s="4">
        <v>40890</v>
      </c>
      <c r="B3495" s="5">
        <v>633.5</v>
      </c>
      <c r="D3495" s="4">
        <v>36808</v>
      </c>
      <c r="E3495" s="6">
        <v>29.99</v>
      </c>
    </row>
    <row r="3496" spans="1:5" x14ac:dyDescent="0.25">
      <c r="A3496" s="4">
        <v>40891</v>
      </c>
      <c r="B3496" s="5">
        <v>632.5</v>
      </c>
      <c r="D3496" s="4">
        <v>36809</v>
      </c>
      <c r="E3496" s="6">
        <v>30.95</v>
      </c>
    </row>
    <row r="3497" spans="1:5" x14ac:dyDescent="0.25">
      <c r="A3497" s="4">
        <v>40892</v>
      </c>
      <c r="B3497" s="5">
        <v>634.5</v>
      </c>
      <c r="D3497" s="4">
        <v>36810</v>
      </c>
      <c r="E3497" s="6">
        <v>31.25</v>
      </c>
    </row>
    <row r="3498" spans="1:5" x14ac:dyDescent="0.25">
      <c r="A3498" s="4">
        <v>40893</v>
      </c>
      <c r="B3498" s="5">
        <v>605.5</v>
      </c>
      <c r="D3498" s="4">
        <v>36811</v>
      </c>
      <c r="E3498" s="6">
        <v>33.450000000000003</v>
      </c>
    </row>
    <row r="3499" spans="1:5" x14ac:dyDescent="0.25">
      <c r="A3499" s="4">
        <v>40896</v>
      </c>
      <c r="B3499" s="5">
        <v>606</v>
      </c>
      <c r="D3499" s="4">
        <v>36812</v>
      </c>
      <c r="E3499" s="6">
        <v>33.5</v>
      </c>
    </row>
    <row r="3500" spans="1:5" x14ac:dyDescent="0.25">
      <c r="A3500" s="4">
        <v>40897</v>
      </c>
      <c r="B3500" s="5">
        <v>606</v>
      </c>
      <c r="D3500" s="4">
        <v>36815</v>
      </c>
      <c r="E3500" s="6">
        <v>32.03</v>
      </c>
    </row>
    <row r="3501" spans="1:5" x14ac:dyDescent="0.25">
      <c r="A3501" s="4">
        <v>40898</v>
      </c>
      <c r="B3501" s="5">
        <v>614.5</v>
      </c>
      <c r="D3501" s="4">
        <v>36816</v>
      </c>
      <c r="E3501" s="6">
        <v>30.38</v>
      </c>
    </row>
    <row r="3502" spans="1:5" x14ac:dyDescent="0.25">
      <c r="A3502" s="4">
        <v>40899</v>
      </c>
      <c r="B3502" s="5">
        <v>628.5</v>
      </c>
      <c r="D3502" s="4">
        <v>36817</v>
      </c>
      <c r="E3502" s="6">
        <v>30.98</v>
      </c>
    </row>
    <row r="3503" spans="1:5" x14ac:dyDescent="0.25">
      <c r="A3503" s="4">
        <v>40900</v>
      </c>
      <c r="B3503" s="5">
        <v>629.5</v>
      </c>
      <c r="D3503" s="4">
        <v>36818</v>
      </c>
      <c r="E3503" s="6">
        <v>31.29</v>
      </c>
    </row>
    <row r="3504" spans="1:5" x14ac:dyDescent="0.25">
      <c r="A3504" s="4">
        <v>40904</v>
      </c>
      <c r="B3504" s="5">
        <v>630</v>
      </c>
      <c r="D3504" s="4">
        <v>36819</v>
      </c>
      <c r="E3504" s="6">
        <v>30.16</v>
      </c>
    </row>
    <row r="3505" spans="1:5" x14ac:dyDescent="0.25">
      <c r="A3505" s="4">
        <v>40905</v>
      </c>
      <c r="B3505" s="5">
        <v>630</v>
      </c>
      <c r="D3505" s="4">
        <v>36822</v>
      </c>
      <c r="E3505" s="6">
        <v>30.98</v>
      </c>
    </row>
    <row r="3506" spans="1:5" x14ac:dyDescent="0.25">
      <c r="A3506" s="4">
        <v>40906</v>
      </c>
      <c r="B3506" s="5">
        <v>630.5</v>
      </c>
      <c r="D3506" s="4">
        <v>36823</v>
      </c>
      <c r="E3506" s="6">
        <v>31.81</v>
      </c>
    </row>
    <row r="3507" spans="1:5" x14ac:dyDescent="0.25">
      <c r="A3507" s="4">
        <v>40907</v>
      </c>
      <c r="B3507" s="5">
        <v>628</v>
      </c>
      <c r="D3507" s="4">
        <v>36824</v>
      </c>
      <c r="E3507" s="6">
        <v>31.17</v>
      </c>
    </row>
    <row r="3508" spans="1:5" x14ac:dyDescent="0.25">
      <c r="A3508" s="4">
        <v>40911</v>
      </c>
      <c r="B3508" s="5">
        <v>630.5</v>
      </c>
      <c r="D3508" s="4">
        <v>36825</v>
      </c>
      <c r="E3508" s="6">
        <v>31.48</v>
      </c>
    </row>
    <row r="3509" spans="1:5" x14ac:dyDescent="0.25">
      <c r="A3509" s="4">
        <v>40912</v>
      </c>
      <c r="B3509" s="5">
        <v>634.5</v>
      </c>
      <c r="D3509" s="4">
        <v>36826</v>
      </c>
      <c r="E3509" s="6">
        <v>31.31</v>
      </c>
    </row>
    <row r="3510" spans="1:5" x14ac:dyDescent="0.25">
      <c r="A3510" s="4">
        <v>40913</v>
      </c>
      <c r="B3510" s="5">
        <v>644</v>
      </c>
      <c r="D3510" s="4">
        <v>36829</v>
      </c>
      <c r="E3510" s="6">
        <v>31.09</v>
      </c>
    </row>
    <row r="3511" spans="1:5" x14ac:dyDescent="0.25">
      <c r="A3511" s="4">
        <v>40914</v>
      </c>
      <c r="B3511" s="5">
        <v>673</v>
      </c>
      <c r="D3511" s="4">
        <v>36830</v>
      </c>
      <c r="E3511" s="6">
        <v>30.15</v>
      </c>
    </row>
    <row r="3512" spans="1:5" x14ac:dyDescent="0.25">
      <c r="A3512" s="4">
        <v>40917</v>
      </c>
      <c r="B3512" s="5">
        <v>674.5</v>
      </c>
      <c r="D3512" s="4">
        <v>36831</v>
      </c>
      <c r="E3512" s="6">
        <v>31.62</v>
      </c>
    </row>
    <row r="3513" spans="1:5" x14ac:dyDescent="0.25">
      <c r="A3513" s="4">
        <v>40918</v>
      </c>
      <c r="B3513" s="5">
        <v>672.5</v>
      </c>
      <c r="D3513" s="4">
        <v>36832</v>
      </c>
      <c r="E3513" s="6">
        <v>30.81</v>
      </c>
    </row>
    <row r="3514" spans="1:5" x14ac:dyDescent="0.25">
      <c r="A3514" s="4">
        <v>40919</v>
      </c>
      <c r="B3514" s="5">
        <v>683</v>
      </c>
      <c r="D3514" s="4">
        <v>36833</v>
      </c>
      <c r="E3514" s="6">
        <v>30.81</v>
      </c>
    </row>
    <row r="3515" spans="1:5" x14ac:dyDescent="0.25">
      <c r="A3515" s="4">
        <v>40920</v>
      </c>
      <c r="B3515" s="5">
        <v>689</v>
      </c>
      <c r="D3515" s="4">
        <v>36836</v>
      </c>
      <c r="E3515" s="6">
        <v>31</v>
      </c>
    </row>
    <row r="3516" spans="1:5" x14ac:dyDescent="0.25">
      <c r="A3516" s="4">
        <v>40921</v>
      </c>
      <c r="B3516" s="5">
        <v>690.5</v>
      </c>
      <c r="D3516" s="4">
        <v>36837</v>
      </c>
      <c r="E3516" s="6">
        <v>31.59</v>
      </c>
    </row>
    <row r="3517" spans="1:5" x14ac:dyDescent="0.25">
      <c r="A3517" s="4">
        <v>40924</v>
      </c>
      <c r="B3517" s="3">
        <v>688</v>
      </c>
      <c r="D3517" s="4">
        <v>36838</v>
      </c>
      <c r="E3517" s="6">
        <v>31.3</v>
      </c>
    </row>
    <row r="3518" spans="1:5" x14ac:dyDescent="0.25">
      <c r="A3518" s="4">
        <v>40925</v>
      </c>
      <c r="B3518" s="5">
        <v>685</v>
      </c>
      <c r="D3518" s="4">
        <v>36839</v>
      </c>
      <c r="E3518" s="6">
        <v>31.79</v>
      </c>
    </row>
    <row r="3519" spans="1:5" x14ac:dyDescent="0.25">
      <c r="A3519" s="4">
        <v>40926</v>
      </c>
      <c r="B3519" s="5">
        <v>687.5</v>
      </c>
      <c r="D3519" s="4">
        <v>36840</v>
      </c>
      <c r="E3519" s="6">
        <v>32.26</v>
      </c>
    </row>
    <row r="3520" spans="1:5" x14ac:dyDescent="0.25">
      <c r="A3520" s="4">
        <v>40927</v>
      </c>
      <c r="B3520" s="5">
        <v>687.5</v>
      </c>
      <c r="D3520" s="4">
        <v>36843</v>
      </c>
      <c r="E3520" s="6">
        <v>32.5</v>
      </c>
    </row>
    <row r="3521" spans="1:5" x14ac:dyDescent="0.25">
      <c r="A3521" s="4">
        <v>40928</v>
      </c>
      <c r="B3521" s="5">
        <v>680</v>
      </c>
      <c r="D3521" s="4">
        <v>36844</v>
      </c>
      <c r="E3521" s="6">
        <v>33.049999999999997</v>
      </c>
    </row>
    <row r="3522" spans="1:5" x14ac:dyDescent="0.25">
      <c r="A3522" s="4">
        <v>40931</v>
      </c>
      <c r="B3522" s="5">
        <v>678</v>
      </c>
      <c r="D3522" s="4">
        <v>36845</v>
      </c>
      <c r="E3522" s="6">
        <v>33.82</v>
      </c>
    </row>
    <row r="3523" spans="1:5" x14ac:dyDescent="0.25">
      <c r="A3523" s="4">
        <v>40932</v>
      </c>
      <c r="B3523" s="5">
        <v>676</v>
      </c>
      <c r="D3523" s="4">
        <v>36846</v>
      </c>
      <c r="E3523" s="6">
        <v>34.159999999999997</v>
      </c>
    </row>
    <row r="3524" spans="1:5" x14ac:dyDescent="0.25">
      <c r="A3524" s="4">
        <v>40933</v>
      </c>
      <c r="B3524" s="5">
        <v>676.5</v>
      </c>
      <c r="D3524" s="4">
        <v>36847</v>
      </c>
      <c r="E3524" s="6">
        <v>33.090000000000003</v>
      </c>
    </row>
    <row r="3525" spans="1:5" x14ac:dyDescent="0.25">
      <c r="A3525" s="4">
        <v>40934</v>
      </c>
      <c r="B3525" s="5">
        <v>678.5</v>
      </c>
      <c r="D3525" s="4">
        <v>36850</v>
      </c>
      <c r="E3525" s="6">
        <v>34.229999999999997</v>
      </c>
    </row>
    <row r="3526" spans="1:5" x14ac:dyDescent="0.25">
      <c r="A3526" s="4">
        <v>40935</v>
      </c>
      <c r="B3526" s="5">
        <v>676.5</v>
      </c>
      <c r="D3526" s="4">
        <v>36851</v>
      </c>
      <c r="E3526" s="6">
        <v>33.33</v>
      </c>
    </row>
    <row r="3527" spans="1:5" x14ac:dyDescent="0.25">
      <c r="A3527" s="4">
        <v>40938</v>
      </c>
      <c r="B3527" s="5">
        <v>677.5</v>
      </c>
      <c r="D3527" s="4">
        <v>36852</v>
      </c>
      <c r="E3527" s="6">
        <v>33.11</v>
      </c>
    </row>
    <row r="3528" spans="1:5" x14ac:dyDescent="0.25">
      <c r="A3528" s="4">
        <v>40939</v>
      </c>
      <c r="B3528" s="5">
        <v>676.5</v>
      </c>
      <c r="D3528" s="4">
        <v>36853</v>
      </c>
      <c r="E3528" s="6">
        <v>33.29</v>
      </c>
    </row>
    <row r="3529" spans="1:5" x14ac:dyDescent="0.25">
      <c r="A3529" s="4">
        <v>40940</v>
      </c>
      <c r="B3529" s="5">
        <v>676</v>
      </c>
      <c r="D3529" s="4">
        <v>36854</v>
      </c>
      <c r="E3529" s="6">
        <v>33.35</v>
      </c>
    </row>
    <row r="3530" spans="1:5" x14ac:dyDescent="0.25">
      <c r="A3530" s="4">
        <v>40941</v>
      </c>
      <c r="B3530" s="5">
        <v>673.5</v>
      </c>
      <c r="D3530" s="4">
        <v>36857</v>
      </c>
      <c r="E3530" s="6">
        <v>33.47</v>
      </c>
    </row>
    <row r="3531" spans="1:5" x14ac:dyDescent="0.25">
      <c r="A3531" s="4">
        <v>40942</v>
      </c>
      <c r="B3531" s="5">
        <v>677.5</v>
      </c>
      <c r="D3531" s="4">
        <v>36858</v>
      </c>
      <c r="E3531" s="6">
        <v>32.590000000000003</v>
      </c>
    </row>
    <row r="3532" spans="1:5" x14ac:dyDescent="0.25">
      <c r="A3532" s="4">
        <v>40945</v>
      </c>
      <c r="B3532" s="5">
        <v>676.5</v>
      </c>
      <c r="D3532" s="4">
        <v>36859</v>
      </c>
      <c r="E3532" s="6">
        <v>32.450000000000003</v>
      </c>
    </row>
    <row r="3533" spans="1:5" x14ac:dyDescent="0.25">
      <c r="A3533" s="4">
        <v>40946</v>
      </c>
      <c r="B3533" s="5">
        <v>680</v>
      </c>
      <c r="D3533" s="4">
        <v>36860</v>
      </c>
      <c r="E3533" s="6">
        <v>32.53</v>
      </c>
    </row>
    <row r="3534" spans="1:5" x14ac:dyDescent="0.25">
      <c r="A3534" s="4">
        <v>40947</v>
      </c>
      <c r="B3534" s="5">
        <v>682.5</v>
      </c>
      <c r="D3534" s="4">
        <v>36861</v>
      </c>
      <c r="E3534" s="6">
        <v>31.59</v>
      </c>
    </row>
    <row r="3535" spans="1:5" x14ac:dyDescent="0.25">
      <c r="A3535" s="4">
        <v>40948</v>
      </c>
      <c r="B3535" s="5">
        <v>682.5</v>
      </c>
      <c r="D3535" s="4">
        <v>36864</v>
      </c>
      <c r="E3535" s="6">
        <v>30.37</v>
      </c>
    </row>
    <row r="3536" spans="1:5" x14ac:dyDescent="0.25">
      <c r="A3536" s="4">
        <v>40949</v>
      </c>
      <c r="B3536" s="5">
        <v>699</v>
      </c>
      <c r="D3536" s="4">
        <v>36865</v>
      </c>
      <c r="E3536" s="6">
        <v>28.88</v>
      </c>
    </row>
    <row r="3537" spans="1:5" x14ac:dyDescent="0.25">
      <c r="A3537" s="4">
        <v>40952</v>
      </c>
      <c r="B3537" s="5">
        <v>700</v>
      </c>
      <c r="D3537" s="4">
        <v>36866</v>
      </c>
      <c r="E3537" s="6">
        <v>27.47</v>
      </c>
    </row>
    <row r="3538" spans="1:5" x14ac:dyDescent="0.25">
      <c r="A3538" s="4">
        <v>40953</v>
      </c>
      <c r="B3538" s="5">
        <v>700</v>
      </c>
      <c r="D3538" s="4">
        <v>36867</v>
      </c>
      <c r="E3538" s="6">
        <v>27.85</v>
      </c>
    </row>
    <row r="3539" spans="1:5" x14ac:dyDescent="0.25">
      <c r="A3539" s="4">
        <v>40954</v>
      </c>
      <c r="B3539" s="5">
        <v>697</v>
      </c>
      <c r="D3539" s="4">
        <v>36868</v>
      </c>
      <c r="E3539" s="6">
        <v>26.85</v>
      </c>
    </row>
    <row r="3540" spans="1:5" x14ac:dyDescent="0.25">
      <c r="A3540" s="4">
        <v>40955</v>
      </c>
      <c r="B3540" s="5">
        <v>697</v>
      </c>
      <c r="D3540" s="4">
        <v>36871</v>
      </c>
      <c r="E3540" s="6">
        <v>27.28</v>
      </c>
    </row>
    <row r="3541" spans="1:5" x14ac:dyDescent="0.25">
      <c r="A3541" s="4">
        <v>40956</v>
      </c>
      <c r="B3541" s="5">
        <v>696</v>
      </c>
      <c r="D3541" s="4">
        <v>36872</v>
      </c>
      <c r="E3541" s="6">
        <v>26.81</v>
      </c>
    </row>
    <row r="3542" spans="1:5" x14ac:dyDescent="0.25">
      <c r="A3542" s="4">
        <v>40959</v>
      </c>
      <c r="B3542" s="5">
        <v>693.5</v>
      </c>
      <c r="D3542" s="4">
        <v>36873</v>
      </c>
      <c r="E3542" s="6">
        <v>26.84</v>
      </c>
    </row>
    <row r="3543" spans="1:5" x14ac:dyDescent="0.25">
      <c r="A3543" s="4">
        <v>40960</v>
      </c>
      <c r="B3543" s="5">
        <v>695.5</v>
      </c>
      <c r="D3543" s="4">
        <v>36874</v>
      </c>
      <c r="E3543" s="6">
        <v>24.32</v>
      </c>
    </row>
    <row r="3544" spans="1:5" x14ac:dyDescent="0.25">
      <c r="A3544" s="4">
        <v>40961</v>
      </c>
      <c r="B3544" s="5">
        <v>692</v>
      </c>
      <c r="D3544" s="4">
        <v>36875</v>
      </c>
      <c r="E3544" s="6">
        <v>24.44</v>
      </c>
    </row>
    <row r="3545" spans="1:5" x14ac:dyDescent="0.25">
      <c r="A3545" s="4">
        <v>40962</v>
      </c>
      <c r="B3545" s="5">
        <v>697.5</v>
      </c>
      <c r="D3545" s="4">
        <v>36878</v>
      </c>
      <c r="E3545" s="6">
        <v>25.11</v>
      </c>
    </row>
    <row r="3546" spans="1:5" x14ac:dyDescent="0.25">
      <c r="A3546" s="4">
        <v>40963</v>
      </c>
      <c r="B3546" s="5">
        <v>704</v>
      </c>
      <c r="D3546" s="4">
        <v>36879</v>
      </c>
      <c r="E3546" s="6">
        <v>24.36</v>
      </c>
    </row>
    <row r="3547" spans="1:5" x14ac:dyDescent="0.25">
      <c r="A3547" s="4">
        <v>40966</v>
      </c>
      <c r="B3547" s="5">
        <v>708</v>
      </c>
      <c r="D3547" s="4">
        <v>36880</v>
      </c>
      <c r="E3547" s="6">
        <v>23.29</v>
      </c>
    </row>
    <row r="3548" spans="1:5" x14ac:dyDescent="0.25">
      <c r="A3548" s="4">
        <v>40967</v>
      </c>
      <c r="B3548" s="5">
        <v>707</v>
      </c>
      <c r="D3548" s="4">
        <v>36881</v>
      </c>
      <c r="E3548" s="6">
        <v>22.4</v>
      </c>
    </row>
    <row r="3549" spans="1:5" x14ac:dyDescent="0.25">
      <c r="A3549" s="4">
        <v>40968</v>
      </c>
      <c r="B3549" s="5">
        <v>702</v>
      </c>
      <c r="D3549" s="4">
        <v>36882</v>
      </c>
      <c r="E3549" s="6">
        <v>22.23</v>
      </c>
    </row>
    <row r="3550" spans="1:5" x14ac:dyDescent="0.25">
      <c r="A3550" s="4">
        <v>40969</v>
      </c>
      <c r="B3550" s="5">
        <v>698.5</v>
      </c>
      <c r="D3550" s="4">
        <v>36885</v>
      </c>
      <c r="E3550" s="5"/>
    </row>
    <row r="3551" spans="1:5" x14ac:dyDescent="0.25">
      <c r="A3551" s="4">
        <v>40970</v>
      </c>
      <c r="B3551" s="5">
        <v>701.5</v>
      </c>
      <c r="D3551" s="4">
        <v>36886</v>
      </c>
      <c r="E3551" s="5"/>
    </row>
    <row r="3552" spans="1:5" x14ac:dyDescent="0.25">
      <c r="A3552" s="4">
        <v>40973</v>
      </c>
      <c r="B3552" s="5">
        <v>716.5</v>
      </c>
      <c r="D3552" s="4">
        <v>36887</v>
      </c>
      <c r="E3552" s="6">
        <v>22.58</v>
      </c>
    </row>
    <row r="3553" spans="1:5" x14ac:dyDescent="0.25">
      <c r="A3553" s="4">
        <v>40974</v>
      </c>
      <c r="B3553" s="5">
        <v>708.5</v>
      </c>
      <c r="D3553" s="4">
        <v>36888</v>
      </c>
      <c r="E3553" s="6">
        <v>22.29</v>
      </c>
    </row>
    <row r="3554" spans="1:5" x14ac:dyDescent="0.25">
      <c r="A3554" s="4">
        <v>40975</v>
      </c>
      <c r="B3554" s="5">
        <v>706.5</v>
      </c>
      <c r="D3554" s="4">
        <v>36889</v>
      </c>
      <c r="E3554" s="6">
        <v>22.58</v>
      </c>
    </row>
    <row r="3555" spans="1:5" x14ac:dyDescent="0.25">
      <c r="A3555" s="4">
        <v>40976</v>
      </c>
      <c r="B3555" s="5">
        <v>708</v>
      </c>
      <c r="D3555" s="4">
        <v>36892</v>
      </c>
      <c r="E3555" s="5"/>
    </row>
    <row r="3556" spans="1:5" x14ac:dyDescent="0.25">
      <c r="A3556" s="4">
        <v>40977</v>
      </c>
      <c r="B3556" s="5">
        <v>714</v>
      </c>
      <c r="D3556" s="4">
        <v>36893</v>
      </c>
      <c r="E3556" s="6">
        <v>23.43</v>
      </c>
    </row>
    <row r="3557" spans="1:5" x14ac:dyDescent="0.25">
      <c r="A3557" s="4">
        <v>40980</v>
      </c>
      <c r="B3557" s="5">
        <v>710</v>
      </c>
      <c r="D3557" s="4">
        <v>36894</v>
      </c>
      <c r="E3557" s="6">
        <v>23.44</v>
      </c>
    </row>
    <row r="3558" spans="1:5" x14ac:dyDescent="0.25">
      <c r="A3558" s="4">
        <v>40981</v>
      </c>
      <c r="B3558" s="5">
        <v>706.5</v>
      </c>
      <c r="D3558" s="4">
        <v>36895</v>
      </c>
      <c r="E3558" s="6">
        <v>24.57</v>
      </c>
    </row>
    <row r="3559" spans="1:5" x14ac:dyDescent="0.25">
      <c r="A3559" s="4">
        <v>40982</v>
      </c>
      <c r="B3559" s="5">
        <v>710.5</v>
      </c>
      <c r="D3559" s="4">
        <v>36896</v>
      </c>
      <c r="E3559" s="6">
        <v>24.77</v>
      </c>
    </row>
    <row r="3560" spans="1:5" x14ac:dyDescent="0.25">
      <c r="A3560" s="4">
        <v>40983</v>
      </c>
      <c r="B3560" s="5">
        <v>721.5</v>
      </c>
      <c r="D3560" s="4">
        <v>36899</v>
      </c>
      <c r="E3560" s="6">
        <v>24.75</v>
      </c>
    </row>
    <row r="3561" spans="1:5" x14ac:dyDescent="0.25">
      <c r="A3561" s="4">
        <v>40984</v>
      </c>
      <c r="B3561" s="5">
        <v>716</v>
      </c>
      <c r="D3561" s="4">
        <v>36900</v>
      </c>
      <c r="E3561" s="6">
        <v>24.13</v>
      </c>
    </row>
    <row r="3562" spans="1:5" x14ac:dyDescent="0.25">
      <c r="A3562" s="4">
        <v>40987</v>
      </c>
      <c r="B3562" s="5">
        <v>709.5</v>
      </c>
      <c r="D3562" s="4">
        <v>36901</v>
      </c>
      <c r="E3562" s="6">
        <v>24.98</v>
      </c>
    </row>
    <row r="3563" spans="1:5" x14ac:dyDescent="0.25">
      <c r="A3563" s="4">
        <v>40988</v>
      </c>
      <c r="B3563" s="5">
        <v>715</v>
      </c>
      <c r="D3563" s="4">
        <v>36902</v>
      </c>
      <c r="E3563" s="6">
        <v>25.6</v>
      </c>
    </row>
    <row r="3564" spans="1:5" x14ac:dyDescent="0.25">
      <c r="A3564" s="4">
        <v>40989</v>
      </c>
      <c r="B3564" s="5">
        <v>705.5</v>
      </c>
      <c r="D3564" s="4">
        <v>36903</v>
      </c>
      <c r="E3564" s="6">
        <v>25.63</v>
      </c>
    </row>
    <row r="3565" spans="1:5" x14ac:dyDescent="0.25">
      <c r="A3565" s="4">
        <v>40990</v>
      </c>
      <c r="B3565" s="5">
        <v>708.5</v>
      </c>
      <c r="D3565" s="4">
        <v>36906</v>
      </c>
      <c r="E3565" s="6">
        <v>26.03</v>
      </c>
    </row>
    <row r="3566" spans="1:5" x14ac:dyDescent="0.25">
      <c r="A3566" s="4">
        <v>40991</v>
      </c>
      <c r="B3566" s="5">
        <v>695.5</v>
      </c>
      <c r="D3566" s="4">
        <v>36907</v>
      </c>
      <c r="E3566" s="6">
        <v>25.52</v>
      </c>
    </row>
    <row r="3567" spans="1:5" x14ac:dyDescent="0.25">
      <c r="A3567" s="4">
        <v>40994</v>
      </c>
      <c r="B3567" s="5">
        <v>700</v>
      </c>
      <c r="D3567" s="4">
        <v>36908</v>
      </c>
      <c r="E3567" s="6">
        <v>24.27</v>
      </c>
    </row>
    <row r="3568" spans="1:5" x14ac:dyDescent="0.25">
      <c r="A3568" s="4">
        <v>40995</v>
      </c>
      <c r="B3568" s="5">
        <v>705.5</v>
      </c>
      <c r="D3568" s="4">
        <v>36909</v>
      </c>
      <c r="E3568" s="6">
        <v>24.74</v>
      </c>
    </row>
    <row r="3569" spans="1:5" x14ac:dyDescent="0.25">
      <c r="A3569" s="4">
        <v>40996</v>
      </c>
      <c r="B3569" s="5">
        <v>704.5</v>
      </c>
      <c r="D3569" s="4">
        <v>36910</v>
      </c>
      <c r="E3569" s="6">
        <v>26.29</v>
      </c>
    </row>
    <row r="3570" spans="1:5" x14ac:dyDescent="0.25">
      <c r="A3570" s="4">
        <v>40997</v>
      </c>
      <c r="B3570" s="5">
        <v>704.5</v>
      </c>
      <c r="D3570" s="4">
        <v>36913</v>
      </c>
      <c r="E3570" s="6">
        <v>27.69</v>
      </c>
    </row>
    <row r="3571" spans="1:5" x14ac:dyDescent="0.25">
      <c r="A3571" s="4">
        <v>40998</v>
      </c>
      <c r="B3571" s="5">
        <v>710</v>
      </c>
      <c r="D3571" s="4">
        <v>36914</v>
      </c>
      <c r="E3571" s="6">
        <v>27.02</v>
      </c>
    </row>
    <row r="3572" spans="1:5" x14ac:dyDescent="0.25">
      <c r="A3572" s="4">
        <v>41001</v>
      </c>
      <c r="B3572" s="5">
        <v>703.5</v>
      </c>
      <c r="D3572" s="4">
        <v>36915</v>
      </c>
      <c r="E3572" s="6">
        <v>27.04</v>
      </c>
    </row>
    <row r="3573" spans="1:5" x14ac:dyDescent="0.25">
      <c r="A3573" s="4">
        <v>41002</v>
      </c>
      <c r="B3573" s="5">
        <v>704</v>
      </c>
      <c r="D3573" s="4">
        <v>36916</v>
      </c>
      <c r="E3573" s="6">
        <v>26.94</v>
      </c>
    </row>
    <row r="3574" spans="1:5" x14ac:dyDescent="0.25">
      <c r="A3574" s="4">
        <v>41003</v>
      </c>
      <c r="B3574" s="5">
        <v>710</v>
      </c>
      <c r="D3574" s="4">
        <v>36917</v>
      </c>
      <c r="E3574" s="6">
        <v>27.04</v>
      </c>
    </row>
    <row r="3575" spans="1:5" x14ac:dyDescent="0.25">
      <c r="A3575" s="4">
        <v>41004</v>
      </c>
      <c r="B3575" s="5">
        <v>709.5</v>
      </c>
      <c r="D3575" s="4">
        <v>36920</v>
      </c>
      <c r="E3575" s="6">
        <v>26.95</v>
      </c>
    </row>
    <row r="3576" spans="1:5" x14ac:dyDescent="0.25">
      <c r="A3576" s="4">
        <v>41009</v>
      </c>
      <c r="B3576" s="5">
        <v>702.5</v>
      </c>
      <c r="D3576" s="4">
        <v>36921</v>
      </c>
      <c r="E3576" s="6">
        <v>26.32</v>
      </c>
    </row>
    <row r="3577" spans="1:5" x14ac:dyDescent="0.25">
      <c r="A3577" s="4">
        <v>41010</v>
      </c>
      <c r="B3577" s="5">
        <v>695</v>
      </c>
      <c r="D3577" s="4">
        <v>36922</v>
      </c>
      <c r="E3577" s="6">
        <v>26.59</v>
      </c>
    </row>
    <row r="3578" spans="1:5" x14ac:dyDescent="0.25">
      <c r="A3578" s="4">
        <v>41011</v>
      </c>
      <c r="B3578" s="5">
        <v>688</v>
      </c>
      <c r="D3578" s="4">
        <v>36923</v>
      </c>
      <c r="E3578" s="6">
        <v>27.17</v>
      </c>
    </row>
    <row r="3579" spans="1:5" x14ac:dyDescent="0.25">
      <c r="A3579" s="4">
        <v>41012</v>
      </c>
      <c r="B3579" s="5">
        <v>690</v>
      </c>
      <c r="D3579" s="4">
        <v>36924</v>
      </c>
      <c r="E3579" s="6">
        <v>28.9</v>
      </c>
    </row>
    <row r="3580" spans="1:5" x14ac:dyDescent="0.25">
      <c r="A3580" s="4">
        <v>41015</v>
      </c>
      <c r="B3580" s="5">
        <v>698</v>
      </c>
      <c r="D3580" s="4">
        <v>36927</v>
      </c>
      <c r="E3580" s="6">
        <v>29.25</v>
      </c>
    </row>
    <row r="3581" spans="1:5" x14ac:dyDescent="0.25">
      <c r="A3581" s="4">
        <v>41016</v>
      </c>
      <c r="B3581" s="5">
        <v>688.5</v>
      </c>
      <c r="D3581" s="4">
        <v>36928</v>
      </c>
      <c r="E3581" s="6">
        <v>29.1</v>
      </c>
    </row>
    <row r="3582" spans="1:5" x14ac:dyDescent="0.25">
      <c r="A3582" s="4">
        <v>41017</v>
      </c>
      <c r="B3582" s="5">
        <v>684.5</v>
      </c>
      <c r="D3582" s="4">
        <v>36929</v>
      </c>
      <c r="E3582" s="6">
        <v>29.54</v>
      </c>
    </row>
    <row r="3583" spans="1:5" x14ac:dyDescent="0.25">
      <c r="A3583" s="4">
        <v>41018</v>
      </c>
      <c r="B3583" s="5">
        <v>685</v>
      </c>
      <c r="D3583" s="4">
        <v>36930</v>
      </c>
      <c r="E3583" s="6">
        <v>30.68</v>
      </c>
    </row>
    <row r="3584" spans="1:5" x14ac:dyDescent="0.25">
      <c r="A3584" s="4">
        <v>41019</v>
      </c>
      <c r="B3584" s="5">
        <v>688</v>
      </c>
      <c r="D3584" s="4">
        <v>36931</v>
      </c>
      <c r="E3584" s="6">
        <v>29.53</v>
      </c>
    </row>
    <row r="3585" spans="1:5" x14ac:dyDescent="0.25">
      <c r="A3585" s="4">
        <v>41022</v>
      </c>
      <c r="B3585" s="5">
        <v>684</v>
      </c>
      <c r="D3585" s="4">
        <v>36934</v>
      </c>
      <c r="E3585" s="6">
        <v>29.32</v>
      </c>
    </row>
    <row r="3586" spans="1:5" x14ac:dyDescent="0.25">
      <c r="A3586" s="4">
        <v>41023</v>
      </c>
      <c r="B3586" s="5">
        <v>682</v>
      </c>
      <c r="D3586" s="4">
        <v>36935</v>
      </c>
      <c r="E3586" s="6">
        <v>28</v>
      </c>
    </row>
    <row r="3587" spans="1:5" x14ac:dyDescent="0.25">
      <c r="A3587" s="4">
        <v>41024</v>
      </c>
      <c r="B3587" s="5">
        <v>682.5</v>
      </c>
      <c r="D3587" s="4">
        <v>36936</v>
      </c>
      <c r="E3587" s="6">
        <v>27.89</v>
      </c>
    </row>
    <row r="3588" spans="1:5" x14ac:dyDescent="0.25">
      <c r="A3588" s="4">
        <v>41025</v>
      </c>
      <c r="B3588" s="5">
        <v>690.5</v>
      </c>
      <c r="D3588" s="4">
        <v>36937</v>
      </c>
      <c r="E3588" s="6">
        <v>26.33</v>
      </c>
    </row>
    <row r="3589" spans="1:5" x14ac:dyDescent="0.25">
      <c r="A3589" s="4">
        <v>41026</v>
      </c>
      <c r="B3589" s="5">
        <v>694.5</v>
      </c>
      <c r="D3589" s="4">
        <v>36938</v>
      </c>
      <c r="E3589" s="6">
        <v>26.61</v>
      </c>
    </row>
    <row r="3590" spans="1:5" x14ac:dyDescent="0.25">
      <c r="A3590" s="4">
        <v>41029</v>
      </c>
      <c r="B3590" s="5">
        <v>694.5</v>
      </c>
      <c r="D3590" s="4">
        <v>36941</v>
      </c>
      <c r="E3590" s="6">
        <v>27.05</v>
      </c>
    </row>
    <row r="3591" spans="1:5" x14ac:dyDescent="0.25">
      <c r="A3591" s="4">
        <v>41030</v>
      </c>
      <c r="B3591" s="5">
        <v>691.5</v>
      </c>
      <c r="D3591" s="4">
        <v>36942</v>
      </c>
      <c r="E3591" s="6">
        <v>26.45</v>
      </c>
    </row>
    <row r="3592" spans="1:5" x14ac:dyDescent="0.25">
      <c r="A3592" s="4">
        <v>41031</v>
      </c>
      <c r="B3592" s="5">
        <v>691.5</v>
      </c>
      <c r="D3592" s="4">
        <v>36943</v>
      </c>
      <c r="E3592" s="6">
        <v>26.1</v>
      </c>
    </row>
    <row r="3593" spans="1:5" x14ac:dyDescent="0.25">
      <c r="A3593" s="4">
        <v>41032</v>
      </c>
      <c r="B3593" s="5">
        <v>694.5</v>
      </c>
      <c r="D3593" s="4">
        <v>36944</v>
      </c>
      <c r="E3593" s="6">
        <v>25.75</v>
      </c>
    </row>
    <row r="3594" spans="1:5" x14ac:dyDescent="0.25">
      <c r="A3594" s="4">
        <v>41033</v>
      </c>
      <c r="B3594" s="5">
        <v>684</v>
      </c>
      <c r="D3594" s="4">
        <v>36945</v>
      </c>
      <c r="E3594" s="6">
        <v>26.12</v>
      </c>
    </row>
    <row r="3595" spans="1:5" x14ac:dyDescent="0.25">
      <c r="A3595" s="4">
        <v>41037</v>
      </c>
      <c r="B3595" s="5">
        <v>653</v>
      </c>
      <c r="D3595" s="4">
        <v>36948</v>
      </c>
      <c r="E3595" s="6">
        <v>25.84</v>
      </c>
    </row>
    <row r="3596" spans="1:5" x14ac:dyDescent="0.25">
      <c r="A3596" s="4">
        <v>41038</v>
      </c>
      <c r="B3596" s="5">
        <v>653</v>
      </c>
      <c r="D3596" s="4">
        <v>36949</v>
      </c>
      <c r="E3596" s="6">
        <v>25.28</v>
      </c>
    </row>
    <row r="3597" spans="1:5" x14ac:dyDescent="0.25">
      <c r="A3597" s="4">
        <v>41039</v>
      </c>
      <c r="B3597" s="5">
        <v>647</v>
      </c>
      <c r="D3597" s="4">
        <v>36950</v>
      </c>
      <c r="E3597" s="6">
        <v>25.16</v>
      </c>
    </row>
    <row r="3598" spans="1:5" x14ac:dyDescent="0.25">
      <c r="A3598" s="4">
        <v>41040</v>
      </c>
      <c r="B3598" s="5">
        <v>649.5</v>
      </c>
      <c r="D3598" s="4">
        <v>36951</v>
      </c>
      <c r="E3598" s="6">
        <v>24.76</v>
      </c>
    </row>
    <row r="3599" spans="1:5" x14ac:dyDescent="0.25">
      <c r="A3599" s="4">
        <v>41043</v>
      </c>
      <c r="B3599" s="5">
        <v>637.5</v>
      </c>
      <c r="D3599" s="4">
        <v>36952</v>
      </c>
      <c r="E3599" s="6">
        <v>25.28</v>
      </c>
    </row>
    <row r="3600" spans="1:5" x14ac:dyDescent="0.25">
      <c r="A3600" s="4">
        <v>41044</v>
      </c>
      <c r="B3600" s="5">
        <v>632</v>
      </c>
      <c r="D3600" s="4">
        <v>36955</v>
      </c>
      <c r="E3600" s="6">
        <v>25.98</v>
      </c>
    </row>
    <row r="3601" spans="1:5" x14ac:dyDescent="0.25">
      <c r="A3601" s="4">
        <v>41045</v>
      </c>
      <c r="B3601" s="5">
        <v>637</v>
      </c>
      <c r="D3601" s="4">
        <v>36956</v>
      </c>
      <c r="E3601" s="6">
        <v>25.59</v>
      </c>
    </row>
    <row r="3602" spans="1:5" x14ac:dyDescent="0.25">
      <c r="A3602" s="4">
        <v>41046</v>
      </c>
      <c r="B3602" s="5">
        <v>633.5</v>
      </c>
      <c r="D3602" s="4">
        <v>36957</v>
      </c>
      <c r="E3602" s="6">
        <v>25.91</v>
      </c>
    </row>
    <row r="3603" spans="1:5" x14ac:dyDescent="0.25">
      <c r="A3603" s="4">
        <v>41047</v>
      </c>
      <c r="B3603" s="5">
        <v>633.5</v>
      </c>
      <c r="D3603" s="4">
        <v>36958</v>
      </c>
      <c r="E3603" s="6">
        <v>26.37</v>
      </c>
    </row>
    <row r="3604" spans="1:5" x14ac:dyDescent="0.25">
      <c r="A3604" s="4">
        <v>41050</v>
      </c>
      <c r="B3604" s="5">
        <v>615</v>
      </c>
      <c r="D3604" s="4">
        <v>36959</v>
      </c>
      <c r="E3604" s="6">
        <v>25.78</v>
      </c>
    </row>
    <row r="3605" spans="1:5" x14ac:dyDescent="0.25">
      <c r="A3605" s="4">
        <v>41051</v>
      </c>
      <c r="B3605" s="5">
        <v>621</v>
      </c>
      <c r="D3605" s="4">
        <v>36962</v>
      </c>
      <c r="E3605" s="6">
        <v>25.34</v>
      </c>
    </row>
    <row r="3606" spans="1:5" x14ac:dyDescent="0.25">
      <c r="A3606" s="4">
        <v>41052</v>
      </c>
      <c r="B3606" s="5">
        <v>622.5</v>
      </c>
      <c r="D3606" s="4">
        <v>36963</v>
      </c>
      <c r="E3606" s="6">
        <v>24.8</v>
      </c>
    </row>
    <row r="3607" spans="1:5" x14ac:dyDescent="0.25">
      <c r="A3607" s="4">
        <v>41053</v>
      </c>
      <c r="B3607" s="5">
        <v>619</v>
      </c>
      <c r="D3607" s="4">
        <v>36964</v>
      </c>
      <c r="E3607" s="6">
        <v>24.31</v>
      </c>
    </row>
    <row r="3608" spans="1:5" x14ac:dyDescent="0.25">
      <c r="A3608" s="4">
        <v>41054</v>
      </c>
      <c r="B3608" s="5">
        <v>612.5</v>
      </c>
      <c r="D3608" s="4">
        <v>36965</v>
      </c>
      <c r="E3608" s="6">
        <v>23.37</v>
      </c>
    </row>
    <row r="3609" spans="1:5" x14ac:dyDescent="0.25">
      <c r="A3609" s="4">
        <v>41057</v>
      </c>
      <c r="B3609" s="5" t="e">
        <f>VLOOKUP(A3609,Daily!F$3607:G$4751,2,0)</f>
        <v>#N/A</v>
      </c>
      <c r="D3609" s="4">
        <v>36966</v>
      </c>
      <c r="E3609" s="6">
        <v>23.84</v>
      </c>
    </row>
    <row r="3610" spans="1:5" x14ac:dyDescent="0.25">
      <c r="A3610" s="4">
        <v>41058</v>
      </c>
      <c r="B3610" s="5" t="e">
        <f>VLOOKUP(A3610,Daily!F$3607:G$4751,2,0)</f>
        <v>#N/A</v>
      </c>
      <c r="D3610" s="4">
        <v>36969</v>
      </c>
      <c r="E3610" s="6">
        <v>23.19</v>
      </c>
    </row>
    <row r="3611" spans="1:5" x14ac:dyDescent="0.25">
      <c r="A3611" s="4">
        <v>41059</v>
      </c>
      <c r="B3611" s="5" t="e">
        <f>VLOOKUP(A3611,Daily!F$3607:G$4751,2,0)</f>
        <v>#N/A</v>
      </c>
      <c r="D3611" s="4">
        <v>36970</v>
      </c>
      <c r="E3611" s="6">
        <v>23.63</v>
      </c>
    </row>
    <row r="3612" spans="1:5" x14ac:dyDescent="0.25">
      <c r="A3612" s="4">
        <v>41060</v>
      </c>
      <c r="B3612" s="5" t="e">
        <f>VLOOKUP(A3612,Daily!F$3607:G$4751,2,0)</f>
        <v>#N/A</v>
      </c>
      <c r="D3612" s="4">
        <v>36971</v>
      </c>
      <c r="E3612" s="6">
        <v>23.21</v>
      </c>
    </row>
    <row r="3613" spans="1:5" x14ac:dyDescent="0.25">
      <c r="A3613" s="4">
        <v>41061</v>
      </c>
      <c r="B3613" s="5" t="e">
        <f>VLOOKUP(A3613,Daily!F$3607:G$4751,2,0)</f>
        <v>#N/A</v>
      </c>
      <c r="D3613" s="4">
        <v>36972</v>
      </c>
      <c r="E3613" s="6">
        <v>23.45</v>
      </c>
    </row>
    <row r="3614" spans="1:5" x14ac:dyDescent="0.25">
      <c r="A3614" s="4">
        <v>41066</v>
      </c>
      <c r="B3614" s="5" t="e">
        <f>VLOOKUP(A3614,Daily!F$3607:G$4751,2,0)</f>
        <v>#N/A</v>
      </c>
      <c r="D3614" s="4">
        <v>36973</v>
      </c>
      <c r="E3614" s="6">
        <v>23.94</v>
      </c>
    </row>
    <row r="3615" spans="1:5" x14ac:dyDescent="0.25">
      <c r="A3615" s="4">
        <v>41067</v>
      </c>
      <c r="B3615" s="5" t="e">
        <f>VLOOKUP(A3615,Daily!F$3607:G$4751,2,0)</f>
        <v>#N/A</v>
      </c>
      <c r="D3615" s="4">
        <v>36976</v>
      </c>
      <c r="E3615" s="6">
        <v>24.01</v>
      </c>
    </row>
    <row r="3616" spans="1:5" x14ac:dyDescent="0.25">
      <c r="A3616" s="4">
        <v>41068</v>
      </c>
      <c r="B3616" s="5" t="e">
        <f>VLOOKUP(A3616,Daily!F$3607:G$4751,2,0)</f>
        <v>#N/A</v>
      </c>
      <c r="D3616" s="4">
        <v>36977</v>
      </c>
      <c r="E3616" s="6">
        <v>24.41</v>
      </c>
    </row>
    <row r="3617" spans="1:5" x14ac:dyDescent="0.25">
      <c r="A3617" s="4">
        <v>41071</v>
      </c>
      <c r="B3617" s="5" t="e">
        <f>VLOOKUP(A3617,Daily!F$3607:G$4751,2,0)</f>
        <v>#N/A</v>
      </c>
      <c r="D3617" s="4">
        <v>36978</v>
      </c>
      <c r="E3617" s="6">
        <v>24.5</v>
      </c>
    </row>
    <row r="3618" spans="1:5" x14ac:dyDescent="0.25">
      <c r="A3618" s="4">
        <v>41072</v>
      </c>
      <c r="B3618" s="5" t="e">
        <f>VLOOKUP(A3618,Daily!F$3607:G$4751,2,0)</f>
        <v>#N/A</v>
      </c>
      <c r="D3618" s="4">
        <v>36979</v>
      </c>
      <c r="E3618" s="6">
        <v>23.77</v>
      </c>
    </row>
    <row r="3619" spans="1:5" x14ac:dyDescent="0.25">
      <c r="A3619" s="4">
        <v>41073</v>
      </c>
      <c r="B3619" s="5" t="e">
        <f>VLOOKUP(A3619,Daily!F$3607:G$4751,2,0)</f>
        <v>#N/A</v>
      </c>
      <c r="D3619" s="4">
        <v>36980</v>
      </c>
      <c r="E3619" s="6">
        <v>23.5</v>
      </c>
    </row>
    <row r="3620" spans="1:5" x14ac:dyDescent="0.25">
      <c r="A3620" s="4">
        <v>41074</v>
      </c>
      <c r="B3620" s="5" t="e">
        <f>VLOOKUP(A3620,Daily!F$3607:G$4751,2,0)</f>
        <v>#N/A</v>
      </c>
      <c r="D3620" s="4">
        <v>36983</v>
      </c>
      <c r="E3620" s="6">
        <v>23.31</v>
      </c>
    </row>
    <row r="3621" spans="1:5" x14ac:dyDescent="0.25">
      <c r="A3621" s="4">
        <v>41075</v>
      </c>
      <c r="B3621" s="5" t="e">
        <f>VLOOKUP(A3621,Daily!F$3607:G$4751,2,0)</f>
        <v>#N/A</v>
      </c>
      <c r="D3621" s="4">
        <v>36984</v>
      </c>
      <c r="E3621" s="6">
        <v>23.47</v>
      </c>
    </row>
    <row r="3622" spans="1:5" x14ac:dyDescent="0.25">
      <c r="A3622" s="4">
        <v>41078</v>
      </c>
      <c r="B3622" s="5" t="e">
        <f>VLOOKUP(A3622,Daily!F$3607:G$4751,2,0)</f>
        <v>#N/A</v>
      </c>
      <c r="D3622" s="4">
        <v>36985</v>
      </c>
      <c r="E3622" s="6">
        <v>24.35</v>
      </c>
    </row>
    <row r="3623" spans="1:5" x14ac:dyDescent="0.25">
      <c r="A3623" s="4">
        <v>41079</v>
      </c>
      <c r="B3623" s="5" t="e">
        <f>VLOOKUP(A3623,Daily!F$3607:G$4751,2,0)</f>
        <v>#N/A</v>
      </c>
      <c r="D3623" s="4">
        <v>36986</v>
      </c>
      <c r="E3623" s="6">
        <v>24.87</v>
      </c>
    </row>
    <row r="3624" spans="1:5" x14ac:dyDescent="0.25">
      <c r="A3624" s="4">
        <v>41080</v>
      </c>
      <c r="B3624" s="5" t="e">
        <f>VLOOKUP(A3624,Daily!F$3607:G$4751,2,0)</f>
        <v>#N/A</v>
      </c>
      <c r="D3624" s="4">
        <v>36987</v>
      </c>
      <c r="E3624" s="6">
        <v>24.02</v>
      </c>
    </row>
    <row r="3625" spans="1:5" x14ac:dyDescent="0.25">
      <c r="A3625" s="4">
        <v>41081</v>
      </c>
      <c r="B3625" s="5" t="e">
        <f>VLOOKUP(A3625,Daily!F$3607:G$4751,2,0)</f>
        <v>#N/A</v>
      </c>
      <c r="D3625" s="4">
        <v>36990</v>
      </c>
      <c r="E3625" s="6">
        <v>24.37</v>
      </c>
    </row>
    <row r="3626" spans="1:5" x14ac:dyDescent="0.25">
      <c r="A3626" s="4">
        <v>41082</v>
      </c>
      <c r="B3626" s="5" t="e">
        <f>VLOOKUP(A3626,Daily!F$3607:G$4751,2,0)</f>
        <v>#N/A</v>
      </c>
      <c r="D3626" s="4">
        <v>36991</v>
      </c>
      <c r="E3626" s="6">
        <v>25.64</v>
      </c>
    </row>
    <row r="3627" spans="1:5" x14ac:dyDescent="0.25">
      <c r="A3627" s="4">
        <v>41085</v>
      </c>
      <c r="B3627" s="5" t="e">
        <f>VLOOKUP(A3627,Daily!F$3607:G$4751,2,0)</f>
        <v>#N/A</v>
      </c>
      <c r="D3627" s="4">
        <v>36992</v>
      </c>
      <c r="E3627" s="6">
        <v>26.08</v>
      </c>
    </row>
    <row r="3628" spans="1:5" x14ac:dyDescent="0.25">
      <c r="A3628" s="4">
        <v>41086</v>
      </c>
      <c r="B3628" s="5" t="e">
        <f>VLOOKUP(A3628,Daily!F$3607:G$4751,2,0)</f>
        <v>#N/A</v>
      </c>
      <c r="D3628" s="4">
        <v>36993</v>
      </c>
      <c r="E3628" s="6">
        <v>27.12</v>
      </c>
    </row>
    <row r="3629" spans="1:5" x14ac:dyDescent="0.25">
      <c r="A3629" s="4">
        <v>41087</v>
      </c>
      <c r="B3629" s="5" t="e">
        <f>VLOOKUP(A3629,Daily!F$3607:G$4751,2,0)</f>
        <v>#N/A</v>
      </c>
      <c r="D3629" s="4">
        <v>36994</v>
      </c>
      <c r="E3629" s="6">
        <v>26.8</v>
      </c>
    </row>
    <row r="3630" spans="1:5" x14ac:dyDescent="0.25">
      <c r="A3630" s="4">
        <v>41088</v>
      </c>
      <c r="B3630" s="5" t="e">
        <f>VLOOKUP(A3630,Daily!F$3607:G$4751,2,0)</f>
        <v>#N/A</v>
      </c>
      <c r="D3630" s="4">
        <v>36997</v>
      </c>
      <c r="E3630" s="6">
        <v>26.8</v>
      </c>
    </row>
    <row r="3631" spans="1:5" x14ac:dyDescent="0.25">
      <c r="A3631" s="4">
        <v>41089</v>
      </c>
      <c r="B3631" s="5" t="e">
        <f>VLOOKUP(A3631,Daily!F$3607:G$4751,2,0)</f>
        <v>#N/A</v>
      </c>
      <c r="D3631" s="4">
        <v>36998</v>
      </c>
      <c r="E3631" s="6">
        <v>26.99</v>
      </c>
    </row>
    <row r="3632" spans="1:5" x14ac:dyDescent="0.25">
      <c r="A3632" s="4">
        <v>41092</v>
      </c>
      <c r="B3632" s="5" t="e">
        <f>VLOOKUP(A3632,Daily!F$3607:G$4751,2,0)</f>
        <v>#N/A</v>
      </c>
      <c r="D3632" s="4">
        <v>36999</v>
      </c>
      <c r="E3632" s="6">
        <v>26.11</v>
      </c>
    </row>
    <row r="3633" spans="1:5" x14ac:dyDescent="0.25">
      <c r="A3633" s="4">
        <v>41093</v>
      </c>
      <c r="B3633" s="5" t="e">
        <f>VLOOKUP(A3633,Daily!F$3607:G$4751,2,0)</f>
        <v>#N/A</v>
      </c>
      <c r="D3633" s="4">
        <v>37000</v>
      </c>
      <c r="E3633" s="6">
        <v>25.86</v>
      </c>
    </row>
    <row r="3634" spans="1:5" x14ac:dyDescent="0.25">
      <c r="A3634" s="4">
        <v>41094</v>
      </c>
      <c r="B3634" s="5" t="e">
        <f>VLOOKUP(A3634,Daily!F$3607:G$4751,2,0)</f>
        <v>#N/A</v>
      </c>
      <c r="D3634" s="4">
        <v>37001</v>
      </c>
      <c r="E3634" s="6">
        <v>25.57</v>
      </c>
    </row>
    <row r="3635" spans="1:5" x14ac:dyDescent="0.25">
      <c r="A3635" s="4">
        <v>41095</v>
      </c>
      <c r="B3635" s="5" t="e">
        <f>VLOOKUP(A3635,Daily!F$3607:G$4751,2,0)</f>
        <v>#N/A</v>
      </c>
      <c r="D3635" s="4">
        <v>37004</v>
      </c>
      <c r="E3635" s="6">
        <v>25.42</v>
      </c>
    </row>
    <row r="3636" spans="1:5" x14ac:dyDescent="0.25">
      <c r="A3636" s="4">
        <v>41096</v>
      </c>
      <c r="B3636" s="5" t="e">
        <f>VLOOKUP(A3636,Daily!F$3607:G$4751,2,0)</f>
        <v>#N/A</v>
      </c>
      <c r="D3636" s="4">
        <v>37005</v>
      </c>
      <c r="E3636" s="6">
        <v>25.76</v>
      </c>
    </row>
    <row r="3637" spans="1:5" x14ac:dyDescent="0.25">
      <c r="A3637" s="4">
        <v>41099</v>
      </c>
      <c r="B3637" s="5" t="e">
        <f>VLOOKUP(A3637,Daily!F$3607:G$4751,2,0)</f>
        <v>#N/A</v>
      </c>
      <c r="D3637" s="4">
        <v>37006</v>
      </c>
      <c r="E3637" s="6">
        <v>25.49</v>
      </c>
    </row>
    <row r="3638" spans="1:5" x14ac:dyDescent="0.25">
      <c r="A3638" s="4">
        <v>41100</v>
      </c>
      <c r="B3638" s="5" t="e">
        <f>VLOOKUP(A3638,Daily!F$3607:G$4751,2,0)</f>
        <v>#N/A</v>
      </c>
      <c r="D3638" s="4">
        <v>37007</v>
      </c>
      <c r="E3638" s="6">
        <v>26.71</v>
      </c>
    </row>
    <row r="3639" spans="1:5" x14ac:dyDescent="0.25">
      <c r="A3639" s="4">
        <v>41101</v>
      </c>
      <c r="B3639" s="5" t="e">
        <f>VLOOKUP(A3639,Daily!F$3607:G$4751,2,0)</f>
        <v>#N/A</v>
      </c>
      <c r="D3639" s="4">
        <v>37008</v>
      </c>
      <c r="E3639" s="6">
        <v>26.85</v>
      </c>
    </row>
    <row r="3640" spans="1:5" x14ac:dyDescent="0.25">
      <c r="A3640" s="4">
        <v>41102</v>
      </c>
      <c r="B3640" s="5" t="e">
        <f>VLOOKUP(A3640,Daily!F$3607:G$4751,2,0)</f>
        <v>#N/A</v>
      </c>
      <c r="D3640" s="4">
        <v>37011</v>
      </c>
      <c r="E3640" s="6">
        <v>27.21</v>
      </c>
    </row>
    <row r="3641" spans="1:5" x14ac:dyDescent="0.25">
      <c r="A3641" s="4">
        <v>41103</v>
      </c>
      <c r="B3641" s="5" t="e">
        <f>VLOOKUP(A3641,Daily!F$3607:G$4751,2,0)</f>
        <v>#N/A</v>
      </c>
      <c r="D3641" s="4">
        <v>37012</v>
      </c>
      <c r="E3641" s="6">
        <v>27.31</v>
      </c>
    </row>
    <row r="3642" spans="1:5" x14ac:dyDescent="0.25">
      <c r="A3642" s="4">
        <v>41106</v>
      </c>
      <c r="B3642" s="5" t="e">
        <f>VLOOKUP(A3642,Daily!F$3607:G$4751,2,0)</f>
        <v>#N/A</v>
      </c>
      <c r="D3642" s="4">
        <v>37013</v>
      </c>
      <c r="E3642" s="6">
        <v>26.82</v>
      </c>
    </row>
    <row r="3643" spans="1:5" x14ac:dyDescent="0.25">
      <c r="A3643" s="4">
        <v>41107</v>
      </c>
      <c r="B3643" s="5" t="e">
        <f>VLOOKUP(A3643,Daily!F$3607:G$4751,2,0)</f>
        <v>#N/A</v>
      </c>
      <c r="D3643" s="4">
        <v>37014</v>
      </c>
      <c r="E3643" s="6">
        <v>27.46</v>
      </c>
    </row>
    <row r="3644" spans="1:5" x14ac:dyDescent="0.25">
      <c r="A3644" s="4">
        <v>41108</v>
      </c>
      <c r="B3644" s="5" t="e">
        <f>VLOOKUP(A3644,Daily!F$3607:G$4751,2,0)</f>
        <v>#N/A</v>
      </c>
      <c r="D3644" s="4">
        <v>37015</v>
      </c>
      <c r="E3644" s="6">
        <v>27.59</v>
      </c>
    </row>
    <row r="3645" spans="1:5" x14ac:dyDescent="0.25">
      <c r="A3645" s="4">
        <v>41109</v>
      </c>
      <c r="B3645" s="5" t="e">
        <f>VLOOKUP(A3645,Daily!F$3607:G$4751,2,0)</f>
        <v>#N/A</v>
      </c>
      <c r="D3645" s="4">
        <v>37018</v>
      </c>
      <c r="E3645" s="6">
        <v>27.71</v>
      </c>
    </row>
    <row r="3646" spans="1:5" x14ac:dyDescent="0.25">
      <c r="A3646" s="4">
        <v>41110</v>
      </c>
      <c r="B3646" s="5" t="e">
        <f>VLOOKUP(A3646,Daily!F$3607:G$4751,2,0)</f>
        <v>#N/A</v>
      </c>
      <c r="D3646" s="4">
        <v>37019</v>
      </c>
      <c r="E3646" s="6">
        <v>27.45</v>
      </c>
    </row>
    <row r="3647" spans="1:5" x14ac:dyDescent="0.25">
      <c r="A3647" s="4">
        <v>41113</v>
      </c>
      <c r="B3647" s="5" t="e">
        <f>VLOOKUP(A3647,Daily!F$3607:G$4751,2,0)</f>
        <v>#N/A</v>
      </c>
      <c r="D3647" s="4">
        <v>37020</v>
      </c>
      <c r="E3647" s="6">
        <v>27.46</v>
      </c>
    </row>
    <row r="3648" spans="1:5" x14ac:dyDescent="0.25">
      <c r="A3648" s="4">
        <v>41114</v>
      </c>
      <c r="B3648" s="5" t="e">
        <f>VLOOKUP(A3648,Daily!F$3607:G$4751,2,0)</f>
        <v>#N/A</v>
      </c>
      <c r="D3648" s="4">
        <v>37021</v>
      </c>
      <c r="E3648" s="6">
        <v>28.27</v>
      </c>
    </row>
    <row r="3649" spans="1:5" x14ac:dyDescent="0.25">
      <c r="A3649" s="4">
        <v>41115</v>
      </c>
      <c r="B3649" s="5" t="e">
        <f>VLOOKUP(A3649,Daily!F$3607:G$4751,2,0)</f>
        <v>#N/A</v>
      </c>
      <c r="D3649" s="4">
        <v>37022</v>
      </c>
      <c r="E3649" s="6">
        <v>27.97</v>
      </c>
    </row>
    <row r="3650" spans="1:5" x14ac:dyDescent="0.25">
      <c r="A3650" s="4">
        <v>41116</v>
      </c>
      <c r="B3650" s="5" t="e">
        <f>VLOOKUP(A3650,Daily!F$3607:G$4751,2,0)</f>
        <v>#N/A</v>
      </c>
      <c r="D3650" s="4">
        <v>37025</v>
      </c>
      <c r="E3650" s="6">
        <v>27.77</v>
      </c>
    </row>
    <row r="3651" spans="1:5" x14ac:dyDescent="0.25">
      <c r="A3651" s="4">
        <v>41117</v>
      </c>
      <c r="B3651" s="5" t="e">
        <f>VLOOKUP(A3651,Daily!F$3607:G$4751,2,0)</f>
        <v>#N/A</v>
      </c>
      <c r="D3651" s="4">
        <v>37026</v>
      </c>
      <c r="E3651" s="6">
        <v>27.88</v>
      </c>
    </row>
    <row r="3652" spans="1:5" x14ac:dyDescent="0.25">
      <c r="A3652" s="4">
        <v>41120</v>
      </c>
      <c r="B3652" s="5" t="e">
        <f>VLOOKUP(A3652,Daily!F$3607:G$4751,2,0)</f>
        <v>#N/A</v>
      </c>
      <c r="D3652" s="4">
        <v>37027</v>
      </c>
      <c r="E3652" s="6">
        <v>28.19</v>
      </c>
    </row>
    <row r="3653" spans="1:5" x14ac:dyDescent="0.25">
      <c r="A3653" s="4">
        <v>41121</v>
      </c>
      <c r="B3653" s="3">
        <v>605</v>
      </c>
      <c r="D3653" s="4">
        <v>37028</v>
      </c>
      <c r="E3653" s="6">
        <v>28.57</v>
      </c>
    </row>
    <row r="3654" spans="1:5" x14ac:dyDescent="0.25">
      <c r="A3654" s="4">
        <v>41122</v>
      </c>
      <c r="B3654" s="3">
        <v>607</v>
      </c>
      <c r="D3654" s="4">
        <v>37029</v>
      </c>
      <c r="E3654" s="6">
        <v>29.3</v>
      </c>
    </row>
    <row r="3655" spans="1:5" x14ac:dyDescent="0.25">
      <c r="A3655" s="4">
        <v>41123</v>
      </c>
      <c r="B3655" s="3">
        <v>609</v>
      </c>
      <c r="D3655" s="4">
        <v>37032</v>
      </c>
      <c r="E3655" s="6">
        <v>29.8</v>
      </c>
    </row>
    <row r="3656" spans="1:5" x14ac:dyDescent="0.25">
      <c r="A3656" s="4">
        <v>41124</v>
      </c>
      <c r="B3656" s="3">
        <v>625</v>
      </c>
      <c r="D3656" s="4">
        <v>37033</v>
      </c>
      <c r="E3656" s="6">
        <v>29.72</v>
      </c>
    </row>
    <row r="3657" spans="1:5" x14ac:dyDescent="0.25">
      <c r="A3657" s="4">
        <v>41127</v>
      </c>
      <c r="B3657" s="3">
        <v>628</v>
      </c>
      <c r="D3657" s="4">
        <v>37034</v>
      </c>
      <c r="E3657" s="6">
        <v>29.51</v>
      </c>
    </row>
    <row r="3658" spans="1:5" x14ac:dyDescent="0.25">
      <c r="A3658" s="4">
        <v>41128</v>
      </c>
      <c r="B3658" s="3">
        <v>641</v>
      </c>
      <c r="D3658" s="4">
        <v>37035</v>
      </c>
      <c r="E3658" s="6">
        <v>28.85</v>
      </c>
    </row>
    <row r="3659" spans="1:5" x14ac:dyDescent="0.25">
      <c r="A3659" s="4">
        <v>41129</v>
      </c>
      <c r="B3659" s="3">
        <v>643</v>
      </c>
      <c r="D3659" s="4">
        <v>37036</v>
      </c>
      <c r="E3659" s="6">
        <v>28.69</v>
      </c>
    </row>
    <row r="3660" spans="1:5" x14ac:dyDescent="0.25">
      <c r="A3660" s="4">
        <v>41130</v>
      </c>
      <c r="B3660" s="3">
        <v>647</v>
      </c>
      <c r="D3660" s="4">
        <v>37039</v>
      </c>
      <c r="E3660" s="5"/>
    </row>
    <row r="3661" spans="1:5" x14ac:dyDescent="0.25">
      <c r="A3661" s="4">
        <v>41131</v>
      </c>
      <c r="B3661" s="3">
        <v>645</v>
      </c>
      <c r="D3661" s="4">
        <v>37040</v>
      </c>
      <c r="E3661" s="6">
        <v>29.11</v>
      </c>
    </row>
    <row r="3662" spans="1:5" x14ac:dyDescent="0.25">
      <c r="A3662" s="4">
        <v>41134</v>
      </c>
      <c r="B3662" s="3">
        <v>651</v>
      </c>
      <c r="D3662" s="4">
        <v>37041</v>
      </c>
      <c r="E3662" s="6">
        <v>28.92</v>
      </c>
    </row>
    <row r="3663" spans="1:5" x14ac:dyDescent="0.25">
      <c r="A3663" s="4">
        <v>41135</v>
      </c>
      <c r="B3663" s="3">
        <v>653</v>
      </c>
      <c r="D3663" s="4">
        <v>37042</v>
      </c>
      <c r="E3663" s="6">
        <v>28.55</v>
      </c>
    </row>
    <row r="3664" spans="1:5" x14ac:dyDescent="0.25">
      <c r="A3664" s="4">
        <v>41136</v>
      </c>
      <c r="B3664" s="3">
        <v>660</v>
      </c>
      <c r="D3664" s="4">
        <v>37043</v>
      </c>
      <c r="E3664" s="6">
        <v>28.86</v>
      </c>
    </row>
    <row r="3665" spans="1:5" x14ac:dyDescent="0.25">
      <c r="A3665" s="4">
        <v>41137</v>
      </c>
      <c r="B3665" s="3">
        <v>669</v>
      </c>
      <c r="D3665" s="4">
        <v>37046</v>
      </c>
      <c r="E3665" s="6">
        <v>28.95</v>
      </c>
    </row>
    <row r="3666" spans="1:5" x14ac:dyDescent="0.25">
      <c r="A3666" s="4">
        <v>41138</v>
      </c>
      <c r="B3666" s="3">
        <v>667</v>
      </c>
      <c r="D3666" s="4">
        <v>37047</v>
      </c>
      <c r="E3666" s="6">
        <v>29.25</v>
      </c>
    </row>
    <row r="3667" spans="1:5" x14ac:dyDescent="0.25">
      <c r="A3667" s="4">
        <v>41141</v>
      </c>
      <c r="B3667" s="5" t="e">
        <f>VLOOKUP(A3667,Daily!F$3607:G$4751,2,0)</f>
        <v>#N/A</v>
      </c>
      <c r="D3667" s="4">
        <v>37048</v>
      </c>
      <c r="E3667" s="6">
        <v>28.73</v>
      </c>
    </row>
    <row r="3668" spans="1:5" x14ac:dyDescent="0.25">
      <c r="A3668" s="4">
        <v>41142</v>
      </c>
      <c r="B3668" s="5" t="e">
        <f>VLOOKUP(A3668,Daily!F$3607:G$4751,2,0)</f>
        <v>#N/A</v>
      </c>
      <c r="D3668" s="4">
        <v>37049</v>
      </c>
      <c r="E3668" s="6">
        <v>28.55</v>
      </c>
    </row>
    <row r="3669" spans="1:5" x14ac:dyDescent="0.25">
      <c r="A3669" s="4">
        <v>41143</v>
      </c>
      <c r="B3669" s="5" t="e">
        <f>VLOOKUP(A3669,Daily!F$3607:G$4751,2,0)</f>
        <v>#N/A</v>
      </c>
      <c r="D3669" s="4">
        <v>37050</v>
      </c>
      <c r="E3669" s="6">
        <v>28.88</v>
      </c>
    </row>
    <row r="3670" spans="1:5" x14ac:dyDescent="0.25">
      <c r="A3670" s="4">
        <v>41144</v>
      </c>
      <c r="B3670" s="5" t="e">
        <f>VLOOKUP(A3670,Daily!F$3607:G$4751,2,0)</f>
        <v>#N/A</v>
      </c>
      <c r="D3670" s="4">
        <v>37053</v>
      </c>
      <c r="E3670" s="6">
        <v>29.57</v>
      </c>
    </row>
    <row r="3671" spans="1:5" x14ac:dyDescent="0.25">
      <c r="A3671" s="4">
        <v>41145</v>
      </c>
      <c r="B3671" s="5" t="e">
        <f>VLOOKUP(A3671,Daily!F$3607:G$4751,2,0)</f>
        <v>#N/A</v>
      </c>
      <c r="D3671" s="4">
        <v>37054</v>
      </c>
      <c r="E3671" s="6">
        <v>29.03</v>
      </c>
    </row>
    <row r="3672" spans="1:5" x14ac:dyDescent="0.25">
      <c r="A3672" s="4">
        <v>41149</v>
      </c>
      <c r="B3672" s="5" t="e">
        <f>VLOOKUP(A3672,Daily!F$3607:G$4751,2,0)</f>
        <v>#N/A</v>
      </c>
      <c r="D3672" s="4">
        <v>37055</v>
      </c>
      <c r="E3672" s="6">
        <v>29.13</v>
      </c>
    </row>
    <row r="3673" spans="1:5" x14ac:dyDescent="0.25">
      <c r="A3673" s="4">
        <v>41150</v>
      </c>
      <c r="B3673" s="5" t="e">
        <f>VLOOKUP(A3673,Daily!F$3607:G$4751,2,0)</f>
        <v>#N/A</v>
      </c>
      <c r="D3673" s="4">
        <v>37056</v>
      </c>
      <c r="E3673" s="6">
        <v>28.5</v>
      </c>
    </row>
    <row r="3674" spans="1:5" x14ac:dyDescent="0.25">
      <c r="A3674" s="4">
        <v>41151</v>
      </c>
      <c r="B3674" s="5" t="e">
        <f>VLOOKUP(A3674,Daily!F$3607:G$4751,2,0)</f>
        <v>#N/A</v>
      </c>
      <c r="D3674" s="4">
        <v>37057</v>
      </c>
      <c r="E3674" s="6">
        <v>28.13</v>
      </c>
    </row>
    <row r="3675" spans="1:5" x14ac:dyDescent="0.25">
      <c r="A3675" s="4">
        <v>41152</v>
      </c>
      <c r="B3675" s="5" t="e">
        <f>VLOOKUP(A3675,Daily!F$3607:G$4751,2,0)</f>
        <v>#N/A</v>
      </c>
      <c r="D3675" s="4">
        <v>37060</v>
      </c>
      <c r="E3675" s="6">
        <v>27.61</v>
      </c>
    </row>
    <row r="3676" spans="1:5" x14ac:dyDescent="0.25">
      <c r="A3676" s="4">
        <v>41155</v>
      </c>
      <c r="B3676" s="5" t="e">
        <f>VLOOKUP(A3676,Daily!F$3607:G$4751,2,0)</f>
        <v>#N/A</v>
      </c>
      <c r="D3676" s="4">
        <v>37061</v>
      </c>
      <c r="E3676" s="6">
        <v>26.68</v>
      </c>
    </row>
    <row r="3677" spans="1:5" x14ac:dyDescent="0.25">
      <c r="A3677" s="4">
        <v>41156</v>
      </c>
      <c r="B3677" s="5" t="e">
        <f>VLOOKUP(A3677,Daily!F$3607:G$4751,2,0)</f>
        <v>#N/A</v>
      </c>
      <c r="D3677" s="4">
        <v>37062</v>
      </c>
      <c r="E3677" s="6">
        <v>26.24</v>
      </c>
    </row>
    <row r="3678" spans="1:5" x14ac:dyDescent="0.25">
      <c r="A3678" s="4">
        <v>41157</v>
      </c>
      <c r="B3678" s="5" t="e">
        <f>VLOOKUP(A3678,Daily!F$3607:G$4751,2,0)</f>
        <v>#N/A</v>
      </c>
      <c r="D3678" s="4">
        <v>37063</v>
      </c>
      <c r="E3678" s="6">
        <v>26.7</v>
      </c>
    </row>
    <row r="3679" spans="1:5" x14ac:dyDescent="0.25">
      <c r="A3679" s="4">
        <v>41158</v>
      </c>
      <c r="B3679" s="5" t="e">
        <f>VLOOKUP(A3679,Daily!F$3607:G$4751,2,0)</f>
        <v>#N/A</v>
      </c>
      <c r="D3679" s="4">
        <v>37064</v>
      </c>
      <c r="E3679" s="6">
        <v>26.86</v>
      </c>
    </row>
    <row r="3680" spans="1:5" x14ac:dyDescent="0.25">
      <c r="A3680" s="4">
        <v>41159</v>
      </c>
      <c r="B3680" s="5" t="e">
        <f>VLOOKUP(A3680,Daily!F$3607:G$4751,2,0)</f>
        <v>#N/A</v>
      </c>
      <c r="D3680" s="4">
        <v>37067</v>
      </c>
      <c r="E3680" s="6">
        <v>27.36</v>
      </c>
    </row>
    <row r="3681" spans="1:5" x14ac:dyDescent="0.25">
      <c r="A3681" s="4">
        <v>41162</v>
      </c>
      <c r="B3681" s="5" t="e">
        <f>VLOOKUP(A3681,Daily!F$3607:G$4751,2,0)</f>
        <v>#N/A</v>
      </c>
      <c r="D3681" s="4">
        <v>37068</v>
      </c>
      <c r="E3681" s="6">
        <v>27.66</v>
      </c>
    </row>
    <row r="3682" spans="1:5" x14ac:dyDescent="0.25">
      <c r="A3682" s="4">
        <v>41163</v>
      </c>
      <c r="B3682" s="5" t="e">
        <f>VLOOKUP(A3682,Daily!F$3607:G$4751,2,0)</f>
        <v>#N/A</v>
      </c>
      <c r="D3682" s="4">
        <v>37069</v>
      </c>
      <c r="E3682" s="6">
        <v>26.25</v>
      </c>
    </row>
    <row r="3683" spans="1:5" x14ac:dyDescent="0.25">
      <c r="A3683" s="4">
        <v>41164</v>
      </c>
      <c r="B3683" s="5" t="e">
        <f>VLOOKUP(A3683,Daily!F$3607:G$4751,2,0)</f>
        <v>#N/A</v>
      </c>
      <c r="D3683" s="4">
        <v>37070</v>
      </c>
      <c r="E3683" s="6">
        <v>25.68</v>
      </c>
    </row>
    <row r="3684" spans="1:5" x14ac:dyDescent="0.25">
      <c r="A3684" s="4">
        <v>41165</v>
      </c>
      <c r="B3684" s="5" t="e">
        <f>VLOOKUP(A3684,Daily!F$3607:G$4751,2,0)</f>
        <v>#N/A</v>
      </c>
      <c r="D3684" s="4">
        <v>37071</v>
      </c>
      <c r="E3684" s="6">
        <v>26.21</v>
      </c>
    </row>
    <row r="3685" spans="1:5" x14ac:dyDescent="0.25">
      <c r="A3685" s="4">
        <v>41166</v>
      </c>
      <c r="B3685" s="5" t="e">
        <f>VLOOKUP(A3685,Daily!F$3607:G$4751,2,0)</f>
        <v>#N/A</v>
      </c>
      <c r="D3685" s="4">
        <v>37074</v>
      </c>
      <c r="E3685" s="6">
        <v>25.73</v>
      </c>
    </row>
    <row r="3686" spans="1:5" x14ac:dyDescent="0.25">
      <c r="A3686" s="4">
        <v>41169</v>
      </c>
      <c r="B3686" s="5" t="e">
        <f>VLOOKUP(A3686,Daily!F$3607:G$4751,2,0)</f>
        <v>#N/A</v>
      </c>
      <c r="D3686" s="4">
        <v>37075</v>
      </c>
      <c r="E3686" s="6">
        <v>25.56</v>
      </c>
    </row>
    <row r="3687" spans="1:5" x14ac:dyDescent="0.25">
      <c r="A3687" s="4">
        <v>41170</v>
      </c>
      <c r="B3687" s="5" t="e">
        <f>VLOOKUP(A3687,Daily!F$3607:G$4751,2,0)</f>
        <v>#N/A</v>
      </c>
      <c r="D3687" s="4">
        <v>37076</v>
      </c>
      <c r="E3687" s="6">
        <v>25.97</v>
      </c>
    </row>
    <row r="3688" spans="1:5" x14ac:dyDescent="0.25">
      <c r="A3688" s="4">
        <v>41171</v>
      </c>
      <c r="B3688" s="3">
        <v>638</v>
      </c>
      <c r="D3688" s="4">
        <v>37077</v>
      </c>
      <c r="E3688" s="6">
        <v>25.69</v>
      </c>
    </row>
    <row r="3689" spans="1:5" x14ac:dyDescent="0.25">
      <c r="A3689" s="4">
        <v>41172</v>
      </c>
      <c r="B3689" s="5" t="e">
        <f>VLOOKUP(A3689,Daily!F$3607:G$4751,2,0)</f>
        <v>#N/A</v>
      </c>
      <c r="D3689" s="4">
        <v>37078</v>
      </c>
      <c r="E3689" s="6">
        <v>26.55</v>
      </c>
    </row>
    <row r="3690" spans="1:5" x14ac:dyDescent="0.25">
      <c r="A3690" s="4">
        <v>41173</v>
      </c>
      <c r="B3690" s="5" t="e">
        <f>VLOOKUP(A3690,Daily!F$3607:G$4751,2,0)</f>
        <v>#N/A</v>
      </c>
      <c r="D3690" s="4">
        <v>37081</v>
      </c>
      <c r="E3690" s="6">
        <v>25.59</v>
      </c>
    </row>
    <row r="3691" spans="1:5" x14ac:dyDescent="0.25">
      <c r="A3691" s="4">
        <v>41176</v>
      </c>
      <c r="B3691" s="5" t="e">
        <f>VLOOKUP(A3691,Daily!F$3607:G$4751,2,0)</f>
        <v>#N/A</v>
      </c>
      <c r="D3691" s="4">
        <v>37082</v>
      </c>
      <c r="E3691" s="6">
        <v>24.69</v>
      </c>
    </row>
    <row r="3692" spans="1:5" x14ac:dyDescent="0.25">
      <c r="A3692" s="4">
        <v>41177</v>
      </c>
      <c r="B3692" s="5" t="e">
        <f>VLOOKUP(A3692,Daily!F$3607:G$4751,2,0)</f>
        <v>#N/A</v>
      </c>
      <c r="D3692" s="4">
        <v>37083</v>
      </c>
      <c r="E3692" s="6">
        <v>24.44</v>
      </c>
    </row>
    <row r="3693" spans="1:5" x14ac:dyDescent="0.25">
      <c r="A3693" s="4">
        <v>41178</v>
      </c>
      <c r="B3693" s="5" t="e">
        <f>VLOOKUP(A3693,Daily!F$3607:G$4751,2,0)</f>
        <v>#N/A</v>
      </c>
      <c r="D3693" s="4">
        <v>37084</v>
      </c>
      <c r="E3693" s="6">
        <v>23.62</v>
      </c>
    </row>
    <row r="3694" spans="1:5" x14ac:dyDescent="0.25">
      <c r="A3694" s="4">
        <v>41179</v>
      </c>
      <c r="B3694" s="5" t="e">
        <f>VLOOKUP(A3694,Daily!F$3607:G$4751,2,0)</f>
        <v>#N/A</v>
      </c>
      <c r="D3694" s="4">
        <v>37085</v>
      </c>
      <c r="E3694" s="6">
        <v>24.02</v>
      </c>
    </row>
    <row r="3695" spans="1:5" x14ac:dyDescent="0.25">
      <c r="A3695" s="4">
        <v>41180</v>
      </c>
      <c r="B3695" s="5" t="e">
        <f>VLOOKUP(A3695,Daily!F$3607:G$4751,2,0)</f>
        <v>#N/A</v>
      </c>
      <c r="D3695" s="4">
        <v>37088</v>
      </c>
      <c r="E3695" s="6">
        <v>23.58</v>
      </c>
    </row>
    <row r="3696" spans="1:5" x14ac:dyDescent="0.25">
      <c r="A3696" s="4">
        <v>41183</v>
      </c>
      <c r="B3696" s="5" t="e">
        <f>VLOOKUP(A3696,Daily!F$3607:G$4751,2,0)</f>
        <v>#N/A</v>
      </c>
      <c r="D3696" s="4">
        <v>37089</v>
      </c>
      <c r="E3696" s="6">
        <v>23.9</v>
      </c>
    </row>
    <row r="3697" spans="1:5" x14ac:dyDescent="0.25">
      <c r="A3697" s="4">
        <v>41184</v>
      </c>
      <c r="B3697" s="5" t="e">
        <f>VLOOKUP(A3697,Daily!F$3607:G$4751,2,0)</f>
        <v>#N/A</v>
      </c>
      <c r="D3697" s="4">
        <v>37090</v>
      </c>
      <c r="E3697" s="6">
        <v>23.1</v>
      </c>
    </row>
    <row r="3698" spans="1:5" x14ac:dyDescent="0.25">
      <c r="A3698" s="4">
        <v>41185</v>
      </c>
      <c r="B3698" s="5" t="e">
        <f>VLOOKUP(A3698,Daily!F$3607:G$4751,2,0)</f>
        <v>#N/A</v>
      </c>
      <c r="D3698" s="4">
        <v>37091</v>
      </c>
      <c r="E3698" s="6">
        <v>23.35</v>
      </c>
    </row>
    <row r="3699" spans="1:5" x14ac:dyDescent="0.25">
      <c r="A3699" s="4">
        <v>41186</v>
      </c>
      <c r="B3699" s="5" t="e">
        <f>VLOOKUP(A3699,Daily!F$3607:G$4751,2,0)</f>
        <v>#N/A</v>
      </c>
      <c r="D3699" s="4">
        <v>37092</v>
      </c>
      <c r="E3699" s="6">
        <v>23.43</v>
      </c>
    </row>
    <row r="3700" spans="1:5" x14ac:dyDescent="0.25">
      <c r="A3700" s="4">
        <v>41187</v>
      </c>
      <c r="B3700" s="5" t="e">
        <f>VLOOKUP(A3700,Daily!F$3607:G$4751,2,0)</f>
        <v>#N/A</v>
      </c>
      <c r="D3700" s="4">
        <v>37095</v>
      </c>
      <c r="E3700" s="6">
        <v>24.44</v>
      </c>
    </row>
    <row r="3701" spans="1:5" x14ac:dyDescent="0.25">
      <c r="A3701" s="4">
        <v>41190</v>
      </c>
      <c r="B3701" s="5" t="e">
        <f>VLOOKUP(A3701,Daily!F$3607:G$4751,2,0)</f>
        <v>#N/A</v>
      </c>
      <c r="D3701" s="4">
        <v>37096</v>
      </c>
      <c r="E3701" s="6">
        <v>24.37</v>
      </c>
    </row>
    <row r="3702" spans="1:5" x14ac:dyDescent="0.25">
      <c r="A3702" s="4">
        <v>41191</v>
      </c>
      <c r="B3702" s="5" t="e">
        <f>VLOOKUP(A3702,Daily!F$3607:G$4751,2,0)</f>
        <v>#N/A</v>
      </c>
      <c r="D3702" s="4">
        <v>37097</v>
      </c>
      <c r="E3702" s="6">
        <v>24.9</v>
      </c>
    </row>
    <row r="3703" spans="1:5" x14ac:dyDescent="0.25">
      <c r="A3703" s="4">
        <v>41192</v>
      </c>
      <c r="B3703" s="5" t="e">
        <f>VLOOKUP(A3703,Daily!F$3607:G$4751,2,0)</f>
        <v>#N/A</v>
      </c>
      <c r="D3703" s="4">
        <v>37098</v>
      </c>
      <c r="E3703" s="6">
        <v>24.94</v>
      </c>
    </row>
    <row r="3704" spans="1:5" x14ac:dyDescent="0.25">
      <c r="A3704" s="4">
        <v>41193</v>
      </c>
      <c r="B3704" s="5" t="e">
        <f>VLOOKUP(A3704,Daily!F$3607:G$4751,2,0)</f>
        <v>#N/A</v>
      </c>
      <c r="D3704" s="4">
        <v>37099</v>
      </c>
      <c r="E3704" s="6">
        <v>24.82</v>
      </c>
    </row>
    <row r="3705" spans="1:5" x14ac:dyDescent="0.25">
      <c r="A3705" s="4">
        <v>41194</v>
      </c>
      <c r="B3705" s="5" t="e">
        <f>VLOOKUP(A3705,Daily!F$3607:G$4751,2,0)</f>
        <v>#N/A</v>
      </c>
      <c r="D3705" s="4">
        <v>37102</v>
      </c>
      <c r="E3705" s="6">
        <v>24.46</v>
      </c>
    </row>
    <row r="3706" spans="1:5" x14ac:dyDescent="0.25">
      <c r="A3706" s="4">
        <v>41197</v>
      </c>
      <c r="B3706" s="5" t="e">
        <f>VLOOKUP(A3706,Daily!F$3607:G$4751,2,0)</f>
        <v>#N/A</v>
      </c>
      <c r="D3706" s="4">
        <v>37103</v>
      </c>
      <c r="E3706" s="6">
        <v>24.35</v>
      </c>
    </row>
    <row r="3707" spans="1:5" x14ac:dyDescent="0.25">
      <c r="A3707" s="4">
        <v>41198</v>
      </c>
      <c r="B3707" s="5" t="e">
        <f>VLOOKUP(A3707,Daily!F$3607:G$4751,2,0)</f>
        <v>#N/A</v>
      </c>
      <c r="D3707" s="4">
        <v>37104</v>
      </c>
      <c r="E3707" s="6">
        <v>24.23</v>
      </c>
    </row>
    <row r="3708" spans="1:5" x14ac:dyDescent="0.25">
      <c r="A3708" s="4">
        <v>41199</v>
      </c>
      <c r="B3708" s="5" t="e">
        <f>VLOOKUP(A3708,Daily!F$3607:G$4751,2,0)</f>
        <v>#N/A</v>
      </c>
      <c r="D3708" s="4">
        <v>37105</v>
      </c>
      <c r="E3708" s="6">
        <v>25.49</v>
      </c>
    </row>
    <row r="3709" spans="1:5" x14ac:dyDescent="0.25">
      <c r="A3709" s="4">
        <v>41200</v>
      </c>
      <c r="B3709" s="5" t="e">
        <f>VLOOKUP(A3709,Daily!F$3607:G$4751,2,0)</f>
        <v>#N/A</v>
      </c>
      <c r="D3709" s="4">
        <v>37106</v>
      </c>
      <c r="E3709" s="6">
        <v>25.6</v>
      </c>
    </row>
    <row r="3710" spans="1:5" x14ac:dyDescent="0.25">
      <c r="A3710" s="4">
        <v>41201</v>
      </c>
      <c r="B3710" s="5" t="e">
        <f>VLOOKUP(A3710,Daily!F$3607:G$4751,2,0)</f>
        <v>#N/A</v>
      </c>
      <c r="D3710" s="4">
        <v>37109</v>
      </c>
      <c r="E3710" s="6">
        <v>25.39</v>
      </c>
    </row>
    <row r="3711" spans="1:5" x14ac:dyDescent="0.25">
      <c r="A3711" s="4">
        <v>41204</v>
      </c>
      <c r="B3711" s="5" t="e">
        <f>VLOOKUP(A3711,Daily!F$3607:G$4751,2,0)</f>
        <v>#N/A</v>
      </c>
      <c r="D3711" s="4">
        <v>37110</v>
      </c>
      <c r="E3711" s="6">
        <v>25.94</v>
      </c>
    </row>
    <row r="3712" spans="1:5" x14ac:dyDescent="0.25">
      <c r="A3712" s="4">
        <v>41205</v>
      </c>
      <c r="B3712" s="5" t="e">
        <f>VLOOKUP(A3712,Daily!F$3607:G$4751,2,0)</f>
        <v>#N/A</v>
      </c>
      <c r="D3712" s="4">
        <v>37111</v>
      </c>
      <c r="E3712" s="6">
        <v>25.61</v>
      </c>
    </row>
    <row r="3713" spans="1:5" x14ac:dyDescent="0.25">
      <c r="A3713" s="4">
        <v>41206</v>
      </c>
      <c r="B3713" s="5" t="e">
        <f>VLOOKUP(A3713,Daily!F$3607:G$4751,2,0)</f>
        <v>#N/A</v>
      </c>
      <c r="D3713" s="4">
        <v>37112</v>
      </c>
      <c r="E3713" s="6">
        <v>25.28</v>
      </c>
    </row>
    <row r="3714" spans="1:5" x14ac:dyDescent="0.25">
      <c r="A3714" s="4">
        <v>41207</v>
      </c>
      <c r="B3714" s="5" t="e">
        <f>VLOOKUP(A3714,Daily!F$3607:G$4751,2,0)</f>
        <v>#N/A</v>
      </c>
      <c r="D3714" s="4">
        <v>37113</v>
      </c>
      <c r="E3714" s="6">
        <v>25.78</v>
      </c>
    </row>
    <row r="3715" spans="1:5" x14ac:dyDescent="0.25">
      <c r="A3715" s="4">
        <v>41208</v>
      </c>
      <c r="B3715" s="5" t="e">
        <f>VLOOKUP(A3715,Daily!F$3607:G$4751,2,0)</f>
        <v>#N/A</v>
      </c>
      <c r="D3715" s="4">
        <v>37116</v>
      </c>
      <c r="E3715" s="6">
        <v>25.88</v>
      </c>
    </row>
    <row r="3716" spans="1:5" x14ac:dyDescent="0.25">
      <c r="A3716" s="4">
        <v>41211</v>
      </c>
      <c r="B3716" s="5" t="e">
        <f>VLOOKUP(A3716,Daily!F$3607:G$4751,2,0)</f>
        <v>#N/A</v>
      </c>
      <c r="D3716" s="4">
        <v>37117</v>
      </c>
      <c r="E3716" s="6">
        <v>25.71</v>
      </c>
    </row>
    <row r="3717" spans="1:5" x14ac:dyDescent="0.25">
      <c r="A3717" s="4">
        <v>41212</v>
      </c>
      <c r="B3717" s="5" t="e">
        <f>VLOOKUP(A3717,Daily!F$3607:G$4751,2,0)</f>
        <v>#N/A</v>
      </c>
      <c r="D3717" s="4">
        <v>37118</v>
      </c>
      <c r="E3717" s="6">
        <v>25.61</v>
      </c>
    </row>
    <row r="3718" spans="1:5" x14ac:dyDescent="0.25">
      <c r="A3718" s="4">
        <v>41213</v>
      </c>
      <c r="B3718" s="5" t="e">
        <f>VLOOKUP(A3718,Daily!F$3607:G$4751,2,0)</f>
        <v>#N/A</v>
      </c>
      <c r="D3718" s="4">
        <v>37119</v>
      </c>
      <c r="E3718" s="6">
        <v>25.18</v>
      </c>
    </row>
    <row r="3719" spans="1:5" x14ac:dyDescent="0.25">
      <c r="A3719" s="4">
        <v>41214</v>
      </c>
      <c r="B3719" s="5" t="e">
        <f>VLOOKUP(A3719,Daily!F$3607:G$4751,2,0)</f>
        <v>#N/A</v>
      </c>
      <c r="D3719" s="4">
        <v>37120</v>
      </c>
      <c r="E3719" s="6">
        <v>24.68</v>
      </c>
    </row>
    <row r="3720" spans="1:5" x14ac:dyDescent="0.25">
      <c r="A3720" s="4">
        <v>41215</v>
      </c>
      <c r="B3720" s="5" t="e">
        <f>VLOOKUP(A3720,Daily!F$3607:G$4751,2,0)</f>
        <v>#N/A</v>
      </c>
      <c r="D3720" s="4">
        <v>37123</v>
      </c>
      <c r="E3720" s="6">
        <v>24.35</v>
      </c>
    </row>
    <row r="3721" spans="1:5" x14ac:dyDescent="0.25">
      <c r="A3721" s="4">
        <v>41218</v>
      </c>
      <c r="B3721" s="5" t="e">
        <f>VLOOKUP(A3721,Daily!F$3607:G$4751,2,0)</f>
        <v>#N/A</v>
      </c>
      <c r="D3721" s="4">
        <v>37124</v>
      </c>
      <c r="E3721" s="6">
        <v>25.36</v>
      </c>
    </row>
    <row r="3722" spans="1:5" x14ac:dyDescent="0.25">
      <c r="A3722" s="4">
        <v>41219</v>
      </c>
      <c r="B3722" s="5" t="e">
        <f>VLOOKUP(A3722,Daily!F$3607:G$4751,2,0)</f>
        <v>#N/A</v>
      </c>
      <c r="D3722" s="4">
        <v>37125</v>
      </c>
      <c r="E3722" s="6">
        <v>25.71</v>
      </c>
    </row>
    <row r="3723" spans="1:5" x14ac:dyDescent="0.25">
      <c r="A3723" s="4">
        <v>41220</v>
      </c>
      <c r="B3723" s="5" t="e">
        <f>VLOOKUP(A3723,Daily!F$3607:G$4751,2,0)</f>
        <v>#N/A</v>
      </c>
      <c r="D3723" s="4">
        <v>37126</v>
      </c>
      <c r="E3723" s="6">
        <v>25.66</v>
      </c>
    </row>
    <row r="3724" spans="1:5" x14ac:dyDescent="0.25">
      <c r="A3724" s="4">
        <v>41221</v>
      </c>
      <c r="B3724" s="5" t="e">
        <f>VLOOKUP(A3724,Daily!F$3607:G$4751,2,0)</f>
        <v>#N/A</v>
      </c>
      <c r="D3724" s="4">
        <v>37127</v>
      </c>
      <c r="E3724" s="6">
        <v>26.33</v>
      </c>
    </row>
    <row r="3725" spans="1:5" x14ac:dyDescent="0.25">
      <c r="A3725" s="4">
        <v>41222</v>
      </c>
      <c r="B3725" s="5" t="e">
        <f>VLOOKUP(A3725,Daily!F$3607:G$4751,2,0)</f>
        <v>#N/A</v>
      </c>
      <c r="D3725" s="4">
        <v>37130</v>
      </c>
      <c r="E3725" s="6">
        <v>26.22</v>
      </c>
    </row>
    <row r="3726" spans="1:5" x14ac:dyDescent="0.25">
      <c r="A3726" s="4">
        <v>41225</v>
      </c>
      <c r="B3726" s="5" t="e">
        <f>VLOOKUP(A3726,Daily!F$3607:G$4751,2,0)</f>
        <v>#N/A</v>
      </c>
      <c r="D3726" s="4">
        <v>37131</v>
      </c>
      <c r="E3726" s="6">
        <v>26.46</v>
      </c>
    </row>
    <row r="3727" spans="1:5" x14ac:dyDescent="0.25">
      <c r="A3727" s="4">
        <v>41226</v>
      </c>
      <c r="B3727" s="5" t="e">
        <f>VLOOKUP(A3727,Daily!F$3607:G$4751,2,0)</f>
        <v>#N/A</v>
      </c>
      <c r="D3727" s="4">
        <v>37132</v>
      </c>
      <c r="E3727" s="6">
        <v>26.67</v>
      </c>
    </row>
    <row r="3728" spans="1:5" x14ac:dyDescent="0.25">
      <c r="A3728" s="4">
        <v>41227</v>
      </c>
      <c r="B3728" s="5" t="e">
        <f>VLOOKUP(A3728,Daily!F$3607:G$4751,2,0)</f>
        <v>#N/A</v>
      </c>
      <c r="D3728" s="4">
        <v>37133</v>
      </c>
      <c r="E3728" s="6">
        <v>26.7</v>
      </c>
    </row>
    <row r="3729" spans="1:5" x14ac:dyDescent="0.25">
      <c r="A3729" s="4">
        <v>41228</v>
      </c>
      <c r="B3729" s="5" t="e">
        <f>VLOOKUP(A3729,Daily!F$3607:G$4751,2,0)</f>
        <v>#N/A</v>
      </c>
      <c r="D3729" s="4">
        <v>37134</v>
      </c>
      <c r="E3729" s="6">
        <v>26.8</v>
      </c>
    </row>
    <row r="3730" spans="1:5" x14ac:dyDescent="0.25">
      <c r="A3730" s="4">
        <v>41229</v>
      </c>
      <c r="B3730" s="5" t="e">
        <f>VLOOKUP(A3730,Daily!F$3607:G$4751,2,0)</f>
        <v>#N/A</v>
      </c>
      <c r="D3730" s="4">
        <v>37137</v>
      </c>
      <c r="E3730" s="6">
        <v>26.52</v>
      </c>
    </row>
    <row r="3731" spans="1:5" x14ac:dyDescent="0.25">
      <c r="A3731" s="4">
        <v>41232</v>
      </c>
      <c r="B3731" s="5" t="e">
        <f>VLOOKUP(A3731,Daily!F$3607:G$4751,2,0)</f>
        <v>#N/A</v>
      </c>
      <c r="D3731" s="4">
        <v>37138</v>
      </c>
      <c r="E3731" s="6">
        <v>26.27</v>
      </c>
    </row>
    <row r="3732" spans="1:5" x14ac:dyDescent="0.25">
      <c r="A3732" s="4">
        <v>41233</v>
      </c>
      <c r="B3732" s="5" t="e">
        <f>VLOOKUP(A3732,Daily!F$3607:G$4751,2,0)</f>
        <v>#N/A</v>
      </c>
      <c r="D3732" s="4">
        <v>37139</v>
      </c>
      <c r="E3732" s="6">
        <v>26.27</v>
      </c>
    </row>
    <row r="3733" spans="1:5" x14ac:dyDescent="0.25">
      <c r="A3733" s="4">
        <v>41234</v>
      </c>
      <c r="B3733" s="5" t="e">
        <f>VLOOKUP(A3733,Daily!F$3607:G$4751,2,0)</f>
        <v>#N/A</v>
      </c>
      <c r="D3733" s="4">
        <v>37140</v>
      </c>
      <c r="E3733" s="6">
        <v>26.61</v>
      </c>
    </row>
    <row r="3734" spans="1:5" x14ac:dyDescent="0.25">
      <c r="A3734" s="4">
        <v>41235</v>
      </c>
      <c r="B3734" s="5" t="e">
        <f>VLOOKUP(A3734,Daily!F$3607:G$4751,2,0)</f>
        <v>#N/A</v>
      </c>
      <c r="D3734" s="4">
        <v>37141</v>
      </c>
      <c r="E3734" s="6">
        <v>27.54</v>
      </c>
    </row>
    <row r="3735" spans="1:5" x14ac:dyDescent="0.25">
      <c r="A3735" s="4">
        <v>41236</v>
      </c>
      <c r="B3735" s="5" t="e">
        <f>VLOOKUP(A3735,Daily!F$3607:G$4751,2,0)</f>
        <v>#N/A</v>
      </c>
      <c r="D3735" s="4">
        <v>37144</v>
      </c>
      <c r="E3735" s="6">
        <v>27.59</v>
      </c>
    </row>
    <row r="3736" spans="1:5" x14ac:dyDescent="0.25">
      <c r="A3736" s="4">
        <v>41239</v>
      </c>
      <c r="B3736" s="5" t="e">
        <f>VLOOKUP(A3736,Daily!F$3607:G$4751,2,0)</f>
        <v>#N/A</v>
      </c>
      <c r="D3736" s="4">
        <v>37145</v>
      </c>
      <c r="E3736" s="6">
        <v>29.12</v>
      </c>
    </row>
    <row r="3737" spans="1:5" x14ac:dyDescent="0.25">
      <c r="A3737" s="4">
        <v>41240</v>
      </c>
      <c r="B3737" s="5" t="e">
        <f>VLOOKUP(A3737,Daily!F$3607:G$4751,2,0)</f>
        <v>#N/A</v>
      </c>
      <c r="D3737" s="4">
        <v>37146</v>
      </c>
      <c r="E3737" s="6">
        <v>28.24</v>
      </c>
    </row>
    <row r="3738" spans="1:5" x14ac:dyDescent="0.25">
      <c r="A3738" s="4">
        <v>41241</v>
      </c>
      <c r="B3738" s="5" t="e">
        <f>VLOOKUP(A3738,Daily!F$3607:G$4751,2,0)</f>
        <v>#N/A</v>
      </c>
      <c r="D3738" s="4">
        <v>37147</v>
      </c>
      <c r="E3738" s="6">
        <v>28.2</v>
      </c>
    </row>
    <row r="3739" spans="1:5" x14ac:dyDescent="0.25">
      <c r="A3739" s="4">
        <v>41242</v>
      </c>
      <c r="B3739" s="5" t="e">
        <f>VLOOKUP(A3739,Daily!F$3607:G$4751,2,0)</f>
        <v>#N/A</v>
      </c>
      <c r="D3739" s="4">
        <v>37148</v>
      </c>
      <c r="E3739" s="6">
        <v>29.22</v>
      </c>
    </row>
    <row r="3740" spans="1:5" x14ac:dyDescent="0.25">
      <c r="A3740" s="4">
        <v>41243</v>
      </c>
      <c r="B3740" s="5" t="e">
        <f>VLOOKUP(A3740,Daily!F$3607:G$4751,2,0)</f>
        <v>#N/A</v>
      </c>
      <c r="D3740" s="4">
        <v>37151</v>
      </c>
      <c r="E3740" s="6">
        <v>28.32</v>
      </c>
    </row>
    <row r="3741" spans="1:5" x14ac:dyDescent="0.25">
      <c r="A3741" s="4">
        <v>41246</v>
      </c>
      <c r="B3741" s="5" t="e">
        <f>VLOOKUP(A3741,Daily!F$3607:G$4751,2,0)</f>
        <v>#N/A</v>
      </c>
      <c r="D3741" s="4">
        <v>37152</v>
      </c>
      <c r="E3741" s="6">
        <v>27.54</v>
      </c>
    </row>
    <row r="3742" spans="1:5" x14ac:dyDescent="0.25">
      <c r="A3742" s="4">
        <v>41247</v>
      </c>
      <c r="B3742" s="5" t="e">
        <f>VLOOKUP(A3742,Daily!F$3607:G$4751,2,0)</f>
        <v>#N/A</v>
      </c>
      <c r="D3742" s="4">
        <v>37153</v>
      </c>
      <c r="E3742" s="6">
        <v>25.44</v>
      </c>
    </row>
    <row r="3743" spans="1:5" x14ac:dyDescent="0.25">
      <c r="A3743" s="4">
        <v>41248</v>
      </c>
      <c r="B3743" s="5" t="e">
        <f>VLOOKUP(A3743,Daily!F$3607:G$4751,2,0)</f>
        <v>#N/A</v>
      </c>
      <c r="D3743" s="4">
        <v>37154</v>
      </c>
      <c r="E3743" s="6">
        <v>25.57</v>
      </c>
    </row>
    <row r="3744" spans="1:5" x14ac:dyDescent="0.25">
      <c r="A3744" s="4">
        <v>41249</v>
      </c>
      <c r="B3744" s="5" t="e">
        <f>VLOOKUP(A3744,Daily!F$3607:G$4751,2,0)</f>
        <v>#N/A</v>
      </c>
      <c r="D3744" s="4">
        <v>37155</v>
      </c>
      <c r="E3744" s="6">
        <v>25.17</v>
      </c>
    </row>
    <row r="3745" spans="1:5" x14ac:dyDescent="0.25">
      <c r="A3745" s="4">
        <v>41250</v>
      </c>
      <c r="B3745" s="5" t="e">
        <f>VLOOKUP(A3745,Daily!F$3607:G$4751,2,0)</f>
        <v>#N/A</v>
      </c>
      <c r="D3745" s="4">
        <v>37158</v>
      </c>
      <c r="E3745" s="6">
        <v>20.63</v>
      </c>
    </row>
    <row r="3746" spans="1:5" x14ac:dyDescent="0.25">
      <c r="A3746" s="4">
        <v>41253</v>
      </c>
      <c r="B3746" s="5" t="e">
        <f>VLOOKUP(A3746,Daily!F$3607:G$4751,2,0)</f>
        <v>#N/A</v>
      </c>
      <c r="D3746" s="4">
        <v>37159</v>
      </c>
      <c r="E3746" s="6">
        <v>20.13</v>
      </c>
    </row>
    <row r="3747" spans="1:5" x14ac:dyDescent="0.25">
      <c r="A3747" s="4">
        <v>41254</v>
      </c>
      <c r="B3747" s="5" t="e">
        <f>VLOOKUP(A3747,Daily!F$3607:G$4751,2,0)</f>
        <v>#N/A</v>
      </c>
      <c r="D3747" s="4">
        <v>37160</v>
      </c>
      <c r="E3747" s="6">
        <v>20.67</v>
      </c>
    </row>
    <row r="3748" spans="1:5" x14ac:dyDescent="0.25">
      <c r="A3748" s="4">
        <v>41255</v>
      </c>
      <c r="B3748" s="5" t="e">
        <f>VLOOKUP(A3748,Daily!F$3607:G$4751,2,0)</f>
        <v>#N/A</v>
      </c>
      <c r="D3748" s="4">
        <v>37161</v>
      </c>
      <c r="E3748" s="6">
        <v>21.47</v>
      </c>
    </row>
    <row r="3749" spans="1:5" x14ac:dyDescent="0.25">
      <c r="A3749" s="4">
        <v>41256</v>
      </c>
      <c r="B3749" s="3">
        <v>571</v>
      </c>
      <c r="D3749" s="4">
        <v>37162</v>
      </c>
      <c r="E3749" s="6">
        <v>21.87</v>
      </c>
    </row>
    <row r="3750" spans="1:5" x14ac:dyDescent="0.25">
      <c r="A3750" s="4">
        <v>41257</v>
      </c>
      <c r="B3750" s="3">
        <v>564</v>
      </c>
      <c r="D3750" s="4">
        <v>37165</v>
      </c>
      <c r="E3750" s="6">
        <v>21.22</v>
      </c>
    </row>
    <row r="3751" spans="1:5" x14ac:dyDescent="0.25">
      <c r="A3751" s="4">
        <v>41260</v>
      </c>
      <c r="B3751" s="3">
        <v>569</v>
      </c>
      <c r="D3751" s="4">
        <v>37166</v>
      </c>
      <c r="E3751" s="6">
        <v>21.29</v>
      </c>
    </row>
    <row r="3752" spans="1:5" x14ac:dyDescent="0.25">
      <c r="A3752" s="4">
        <v>41261</v>
      </c>
      <c r="B3752" s="3">
        <v>577</v>
      </c>
      <c r="D3752" s="4">
        <v>37167</v>
      </c>
      <c r="E3752" s="6">
        <v>20.63</v>
      </c>
    </row>
    <row r="3753" spans="1:5" x14ac:dyDescent="0.25">
      <c r="A3753" s="4">
        <v>41262</v>
      </c>
      <c r="B3753" s="3">
        <v>586</v>
      </c>
      <c r="D3753" s="4">
        <v>37168</v>
      </c>
      <c r="E3753" s="6">
        <v>20.94</v>
      </c>
    </row>
    <row r="3754" spans="1:5" x14ac:dyDescent="0.25">
      <c r="A3754" s="4">
        <v>41263</v>
      </c>
      <c r="B3754" s="3">
        <v>578</v>
      </c>
      <c r="D3754" s="4">
        <v>37169</v>
      </c>
      <c r="E3754" s="6">
        <v>21.46</v>
      </c>
    </row>
    <row r="3755" spans="1:5" x14ac:dyDescent="0.25">
      <c r="A3755" s="4">
        <v>41264</v>
      </c>
      <c r="B3755" s="3">
        <v>573</v>
      </c>
      <c r="D3755" s="4">
        <v>37172</v>
      </c>
      <c r="E3755" s="6">
        <v>20.91</v>
      </c>
    </row>
    <row r="3756" spans="1:5" x14ac:dyDescent="0.25">
      <c r="A3756" s="4">
        <v>41267</v>
      </c>
      <c r="B3756" s="5" t="e">
        <f>VLOOKUP(A3756,Daily!F$3607:G$4751,2,0)</f>
        <v>#N/A</v>
      </c>
      <c r="D3756" s="4">
        <v>37173</v>
      </c>
      <c r="E3756" s="6">
        <v>20.65</v>
      </c>
    </row>
    <row r="3757" spans="1:5" x14ac:dyDescent="0.25">
      <c r="A3757" s="4">
        <v>41276</v>
      </c>
      <c r="B3757" s="5" t="e">
        <f>VLOOKUP(A3757,Daily!F$3607:G$4751,2,0)</f>
        <v>#N/A</v>
      </c>
      <c r="D3757" s="4">
        <v>37174</v>
      </c>
      <c r="E3757" s="6">
        <v>21.02</v>
      </c>
    </row>
    <row r="3758" spans="1:5" x14ac:dyDescent="0.25">
      <c r="A3758" s="4">
        <v>41277</v>
      </c>
      <c r="B3758" s="5" t="e">
        <f>VLOOKUP(A3758,Daily!F$3607:G$4751,2,0)</f>
        <v>#N/A</v>
      </c>
      <c r="D3758" s="4">
        <v>37175</v>
      </c>
      <c r="E3758" s="6">
        <v>21.38</v>
      </c>
    </row>
    <row r="3759" spans="1:5" x14ac:dyDescent="0.25">
      <c r="A3759" s="4">
        <v>41278</v>
      </c>
      <c r="B3759" s="5" t="e">
        <f>VLOOKUP(A3759,Daily!F$3607:G$4751,2,0)</f>
        <v>#N/A</v>
      </c>
      <c r="D3759" s="4">
        <v>37176</v>
      </c>
      <c r="E3759" s="6">
        <v>20.57</v>
      </c>
    </row>
    <row r="3760" spans="1:5" x14ac:dyDescent="0.25">
      <c r="A3760" s="4">
        <v>41281</v>
      </c>
      <c r="B3760" s="5" t="e">
        <f>VLOOKUP(A3760,Daily!F$3607:G$4751,2,0)</f>
        <v>#N/A</v>
      </c>
      <c r="D3760" s="4">
        <v>37179</v>
      </c>
      <c r="E3760" s="6">
        <v>20.36</v>
      </c>
    </row>
    <row r="3761" spans="1:5" x14ac:dyDescent="0.25">
      <c r="A3761" s="4">
        <v>41282</v>
      </c>
      <c r="B3761" s="5" t="e">
        <f>VLOOKUP(A3761,Daily!F$3607:G$4751,2,0)</f>
        <v>#N/A</v>
      </c>
      <c r="D3761" s="4">
        <v>37180</v>
      </c>
      <c r="E3761" s="6">
        <v>20.47</v>
      </c>
    </row>
    <row r="3762" spans="1:5" x14ac:dyDescent="0.25">
      <c r="A3762" s="4">
        <v>41283</v>
      </c>
      <c r="B3762" s="5" t="e">
        <f>VLOOKUP(A3762,Daily!F$3607:G$4751,2,0)</f>
        <v>#N/A</v>
      </c>
      <c r="D3762" s="4">
        <v>37181</v>
      </c>
      <c r="E3762" s="6">
        <v>19.47</v>
      </c>
    </row>
    <row r="3763" spans="1:5" x14ac:dyDescent="0.25">
      <c r="A3763" s="4">
        <v>41284</v>
      </c>
      <c r="B3763" s="5" t="e">
        <f>VLOOKUP(A3763,Daily!F$3607:G$4751,2,0)</f>
        <v>#N/A</v>
      </c>
      <c r="D3763" s="4">
        <v>37182</v>
      </c>
      <c r="E3763" s="6">
        <v>19.21</v>
      </c>
    </row>
    <row r="3764" spans="1:5" x14ac:dyDescent="0.25">
      <c r="A3764" s="4">
        <v>41285</v>
      </c>
      <c r="B3764" s="5" t="e">
        <f>VLOOKUP(A3764,Daily!F$3607:G$4751,2,0)</f>
        <v>#N/A</v>
      </c>
      <c r="D3764" s="4">
        <v>37183</v>
      </c>
      <c r="E3764" s="6">
        <v>19.91</v>
      </c>
    </row>
    <row r="3765" spans="1:5" x14ac:dyDescent="0.25">
      <c r="A3765" s="4">
        <v>41288</v>
      </c>
      <c r="B3765" s="5" t="e">
        <f>VLOOKUP(A3765,Daily!F$3607:G$4751,2,0)</f>
        <v>#N/A</v>
      </c>
      <c r="D3765" s="4">
        <v>37186</v>
      </c>
      <c r="E3765" s="6">
        <v>20.38</v>
      </c>
    </row>
    <row r="3766" spans="1:5" x14ac:dyDescent="0.25">
      <c r="A3766" s="4">
        <v>41289</v>
      </c>
      <c r="B3766" s="5" t="e">
        <f>VLOOKUP(A3766,Daily!F$3607:G$4751,2,0)</f>
        <v>#N/A</v>
      </c>
      <c r="D3766" s="4">
        <v>37187</v>
      </c>
      <c r="E3766" s="6">
        <v>20.56</v>
      </c>
    </row>
    <row r="3767" spans="1:5" x14ac:dyDescent="0.25">
      <c r="A3767" s="4">
        <v>41290</v>
      </c>
      <c r="B3767" s="5" t="e">
        <f>VLOOKUP(A3767,Daily!F$3607:G$4751,2,0)</f>
        <v>#N/A</v>
      </c>
      <c r="D3767" s="4">
        <v>37188</v>
      </c>
      <c r="E3767" s="6">
        <v>20.37</v>
      </c>
    </row>
    <row r="3768" spans="1:5" x14ac:dyDescent="0.25">
      <c r="A3768" s="4">
        <v>41291</v>
      </c>
      <c r="B3768" s="5" t="e">
        <f>VLOOKUP(A3768,Daily!F$3607:G$4751,2,0)</f>
        <v>#N/A</v>
      </c>
      <c r="D3768" s="4">
        <v>37189</v>
      </c>
      <c r="E3768" s="6">
        <v>20.67</v>
      </c>
    </row>
    <row r="3769" spans="1:5" x14ac:dyDescent="0.25">
      <c r="A3769" s="4">
        <v>41292</v>
      </c>
      <c r="B3769" s="5" t="e">
        <f>VLOOKUP(A3769,Daily!F$3607:G$4751,2,0)</f>
        <v>#N/A</v>
      </c>
      <c r="D3769" s="4">
        <v>37190</v>
      </c>
      <c r="E3769" s="6">
        <v>20.309999999999999</v>
      </c>
    </row>
    <row r="3770" spans="1:5" x14ac:dyDescent="0.25">
      <c r="A3770" s="4">
        <v>41295</v>
      </c>
      <c r="B3770" s="5" t="e">
        <f>VLOOKUP(A3770,Daily!F$3607:G$4751,2,0)</f>
        <v>#N/A</v>
      </c>
      <c r="D3770" s="4">
        <v>37193</v>
      </c>
      <c r="E3770" s="6">
        <v>20.55</v>
      </c>
    </row>
    <row r="3771" spans="1:5" x14ac:dyDescent="0.25">
      <c r="A3771" s="4">
        <v>41296</v>
      </c>
      <c r="B3771" s="5" t="e">
        <f>VLOOKUP(A3771,Daily!F$3607:G$4751,2,0)</f>
        <v>#N/A</v>
      </c>
      <c r="D3771" s="4">
        <v>37194</v>
      </c>
      <c r="E3771" s="6">
        <v>20.41</v>
      </c>
    </row>
    <row r="3772" spans="1:5" x14ac:dyDescent="0.25">
      <c r="A3772" s="4">
        <v>41297</v>
      </c>
      <c r="B3772" s="5" t="e">
        <f>VLOOKUP(A3772,Daily!F$3607:G$4751,2,0)</f>
        <v>#N/A</v>
      </c>
      <c r="D3772" s="4">
        <v>37195</v>
      </c>
      <c r="E3772" s="6">
        <v>19.63</v>
      </c>
    </row>
    <row r="3773" spans="1:5" x14ac:dyDescent="0.25">
      <c r="A3773" s="4">
        <v>41298</v>
      </c>
      <c r="B3773" s="5" t="e">
        <f>VLOOKUP(A3773,Daily!F$3607:G$4751,2,0)</f>
        <v>#N/A</v>
      </c>
      <c r="D3773" s="4">
        <v>37196</v>
      </c>
      <c r="E3773" s="6">
        <v>19.39</v>
      </c>
    </row>
    <row r="3774" spans="1:5" x14ac:dyDescent="0.25">
      <c r="A3774" s="4">
        <v>41299</v>
      </c>
      <c r="B3774" s="5" t="e">
        <f>VLOOKUP(A3774,Daily!F$3607:G$4751,2,0)</f>
        <v>#N/A</v>
      </c>
      <c r="D3774" s="4">
        <v>37197</v>
      </c>
      <c r="E3774" s="6">
        <v>18.63</v>
      </c>
    </row>
    <row r="3775" spans="1:5" x14ac:dyDescent="0.25">
      <c r="A3775" s="4">
        <v>41302</v>
      </c>
      <c r="B3775" s="5" t="e">
        <f>VLOOKUP(A3775,Daily!F$3607:G$4751,2,0)</f>
        <v>#N/A</v>
      </c>
      <c r="D3775" s="4">
        <v>37200</v>
      </c>
      <c r="E3775" s="6">
        <v>18.78</v>
      </c>
    </row>
    <row r="3776" spans="1:5" x14ac:dyDescent="0.25">
      <c r="A3776" s="4">
        <v>41303</v>
      </c>
      <c r="B3776" s="5" t="e">
        <f>VLOOKUP(A3776,Daily!F$3607:G$4751,2,0)</f>
        <v>#N/A</v>
      </c>
      <c r="D3776" s="4">
        <v>37201</v>
      </c>
      <c r="E3776" s="6">
        <v>18.64</v>
      </c>
    </row>
    <row r="3777" spans="1:5" x14ac:dyDescent="0.25">
      <c r="A3777" s="4">
        <v>41304</v>
      </c>
      <c r="B3777" s="5" t="e">
        <f>VLOOKUP(A3777,Daily!F$3607:G$4751,2,0)</f>
        <v>#N/A</v>
      </c>
      <c r="D3777" s="4">
        <v>37202</v>
      </c>
      <c r="E3777" s="6">
        <v>18.86</v>
      </c>
    </row>
    <row r="3778" spans="1:5" x14ac:dyDescent="0.25">
      <c r="A3778" s="4">
        <v>41305</v>
      </c>
      <c r="B3778" s="5" t="e">
        <f>VLOOKUP(A3778,Daily!F$3607:G$4751,2,0)</f>
        <v>#N/A</v>
      </c>
      <c r="D3778" s="4">
        <v>37203</v>
      </c>
      <c r="E3778" s="6">
        <v>19.54</v>
      </c>
    </row>
    <row r="3779" spans="1:5" x14ac:dyDescent="0.25">
      <c r="A3779" s="4">
        <v>41306</v>
      </c>
      <c r="B3779" s="5" t="e">
        <f>VLOOKUP(A3779,Daily!F$3607:G$4751,2,0)</f>
        <v>#N/A</v>
      </c>
      <c r="D3779" s="4">
        <v>37204</v>
      </c>
      <c r="E3779" s="6">
        <v>20.72</v>
      </c>
    </row>
    <row r="3780" spans="1:5" x14ac:dyDescent="0.25">
      <c r="A3780" s="4">
        <v>41309</v>
      </c>
      <c r="B3780" s="5" t="e">
        <f>VLOOKUP(A3780,Daily!F$3607:G$4751,2,0)</f>
        <v>#N/A</v>
      </c>
      <c r="D3780" s="4">
        <v>37207</v>
      </c>
      <c r="E3780" s="6">
        <v>19.48</v>
      </c>
    </row>
    <row r="3781" spans="1:5" x14ac:dyDescent="0.25">
      <c r="A3781" s="4">
        <v>41310</v>
      </c>
      <c r="B3781" s="5" t="e">
        <f>VLOOKUP(A3781,Daily!F$3607:G$4751,2,0)</f>
        <v>#N/A</v>
      </c>
      <c r="D3781" s="4">
        <v>37208</v>
      </c>
      <c r="E3781" s="6">
        <v>20.47</v>
      </c>
    </row>
    <row r="3782" spans="1:5" x14ac:dyDescent="0.25">
      <c r="A3782" s="4">
        <v>41311</v>
      </c>
      <c r="B3782" s="5" t="e">
        <f>VLOOKUP(A3782,Daily!F$3607:G$4751,2,0)</f>
        <v>#N/A</v>
      </c>
      <c r="D3782" s="4">
        <v>37209</v>
      </c>
      <c r="E3782" s="6">
        <v>18.78</v>
      </c>
    </row>
    <row r="3783" spans="1:5" x14ac:dyDescent="0.25">
      <c r="A3783" s="4">
        <v>41312</v>
      </c>
      <c r="B3783" s="5" t="e">
        <f>VLOOKUP(A3783,Daily!F$3607:G$4751,2,0)</f>
        <v>#N/A</v>
      </c>
      <c r="D3783" s="4">
        <v>37210</v>
      </c>
      <c r="E3783" s="6">
        <v>16.510000000000002</v>
      </c>
    </row>
    <row r="3784" spans="1:5" x14ac:dyDescent="0.25">
      <c r="A3784" s="4">
        <v>41313</v>
      </c>
      <c r="B3784" s="5" t="e">
        <f>VLOOKUP(A3784,Daily!F$3607:G$4751,2,0)</f>
        <v>#N/A</v>
      </c>
      <c r="D3784" s="4">
        <v>37211</v>
      </c>
      <c r="E3784" s="6">
        <v>16.86</v>
      </c>
    </row>
    <row r="3785" spans="1:5" x14ac:dyDescent="0.25">
      <c r="A3785" s="4">
        <v>41316</v>
      </c>
      <c r="B3785" s="5">
        <v>637.5</v>
      </c>
      <c r="D3785" s="4">
        <v>37214</v>
      </c>
      <c r="E3785" s="6">
        <v>16.55</v>
      </c>
    </row>
    <row r="3786" spans="1:5" x14ac:dyDescent="0.25">
      <c r="A3786" s="4">
        <v>41317</v>
      </c>
      <c r="B3786" s="5">
        <v>645.5</v>
      </c>
      <c r="D3786" s="4">
        <v>37215</v>
      </c>
      <c r="E3786" s="6">
        <v>18.82</v>
      </c>
    </row>
    <row r="3787" spans="1:5" x14ac:dyDescent="0.25">
      <c r="A3787" s="4">
        <v>41318</v>
      </c>
      <c r="B3787" s="5">
        <v>641</v>
      </c>
      <c r="D3787" s="4">
        <v>37216</v>
      </c>
      <c r="E3787" s="6">
        <v>18.440000000000001</v>
      </c>
    </row>
    <row r="3788" spans="1:5" x14ac:dyDescent="0.25">
      <c r="A3788" s="4">
        <v>41319</v>
      </c>
      <c r="B3788" s="5">
        <v>642.5</v>
      </c>
      <c r="D3788" s="4">
        <v>37217</v>
      </c>
      <c r="E3788" s="6">
        <v>19.649999999999999</v>
      </c>
    </row>
    <row r="3789" spans="1:5" x14ac:dyDescent="0.25">
      <c r="A3789" s="4">
        <v>41320</v>
      </c>
      <c r="B3789" s="5">
        <v>643.5</v>
      </c>
      <c r="D3789" s="4">
        <v>37218</v>
      </c>
      <c r="E3789" s="6">
        <v>19.399999999999999</v>
      </c>
    </row>
    <row r="3790" spans="1:5" x14ac:dyDescent="0.25">
      <c r="A3790" s="4">
        <v>41323</v>
      </c>
      <c r="B3790" s="5">
        <v>638.5</v>
      </c>
      <c r="D3790" s="4">
        <v>37221</v>
      </c>
      <c r="E3790" s="6">
        <v>18.66</v>
      </c>
    </row>
    <row r="3791" spans="1:5" x14ac:dyDescent="0.25">
      <c r="A3791" s="4">
        <v>41324</v>
      </c>
      <c r="B3791" s="5">
        <v>635.5</v>
      </c>
      <c r="D3791" s="4">
        <v>37222</v>
      </c>
      <c r="E3791" s="6">
        <v>19.09</v>
      </c>
    </row>
    <row r="3792" spans="1:5" x14ac:dyDescent="0.25">
      <c r="A3792" s="4">
        <v>41325</v>
      </c>
      <c r="B3792" s="5">
        <v>634.5</v>
      </c>
      <c r="D3792" s="4">
        <v>37223</v>
      </c>
      <c r="E3792" s="6">
        <v>18.809999999999999</v>
      </c>
    </row>
    <row r="3793" spans="1:5" x14ac:dyDescent="0.25">
      <c r="A3793" s="4">
        <v>41326</v>
      </c>
      <c r="B3793" s="5">
        <v>633.5</v>
      </c>
      <c r="D3793" s="4">
        <v>37224</v>
      </c>
      <c r="E3793" s="6">
        <v>18.54</v>
      </c>
    </row>
    <row r="3794" spans="1:5" x14ac:dyDescent="0.25">
      <c r="A3794" s="4">
        <v>41327</v>
      </c>
      <c r="B3794" s="5">
        <v>623.5</v>
      </c>
      <c r="D3794" s="4">
        <v>37225</v>
      </c>
      <c r="E3794" s="6">
        <v>18.920000000000002</v>
      </c>
    </row>
    <row r="3795" spans="1:5" x14ac:dyDescent="0.25">
      <c r="A3795" s="4">
        <v>41330</v>
      </c>
      <c r="B3795" s="5">
        <v>616</v>
      </c>
      <c r="D3795" s="4">
        <v>37228</v>
      </c>
      <c r="E3795" s="6">
        <v>20</v>
      </c>
    </row>
    <row r="3796" spans="1:5" x14ac:dyDescent="0.25">
      <c r="A3796" s="4">
        <v>41331</v>
      </c>
      <c r="B3796" s="5">
        <v>619.5</v>
      </c>
      <c r="D3796" s="4">
        <v>37229</v>
      </c>
      <c r="E3796" s="6">
        <v>19.28</v>
      </c>
    </row>
    <row r="3797" spans="1:5" x14ac:dyDescent="0.25">
      <c r="A3797" s="4">
        <v>41332</v>
      </c>
      <c r="B3797" s="5">
        <v>614.5</v>
      </c>
      <c r="D3797" s="4">
        <v>37230</v>
      </c>
      <c r="E3797" s="6">
        <v>19.27</v>
      </c>
    </row>
    <row r="3798" spans="1:5" x14ac:dyDescent="0.25">
      <c r="A3798" s="4">
        <v>41333</v>
      </c>
      <c r="B3798" s="5">
        <v>613.5</v>
      </c>
      <c r="D3798" s="4">
        <v>37231</v>
      </c>
      <c r="E3798" s="6">
        <v>18.57</v>
      </c>
    </row>
    <row r="3799" spans="1:5" x14ac:dyDescent="0.25">
      <c r="A3799" s="4">
        <v>41334</v>
      </c>
      <c r="B3799" s="5">
        <v>616</v>
      </c>
      <c r="D3799" s="4">
        <v>37232</v>
      </c>
      <c r="E3799" s="6">
        <v>17.809999999999999</v>
      </c>
    </row>
    <row r="3800" spans="1:5" x14ac:dyDescent="0.25">
      <c r="A3800" s="4">
        <v>41337</v>
      </c>
      <c r="B3800" s="5">
        <v>603</v>
      </c>
      <c r="D3800" s="4">
        <v>37235</v>
      </c>
      <c r="E3800" s="6">
        <v>18.03</v>
      </c>
    </row>
    <row r="3801" spans="1:5" x14ac:dyDescent="0.25">
      <c r="A3801" s="4">
        <v>41338</v>
      </c>
      <c r="B3801" s="5">
        <v>599.5</v>
      </c>
      <c r="D3801" s="4">
        <v>37236</v>
      </c>
      <c r="E3801" s="6">
        <v>17.61</v>
      </c>
    </row>
    <row r="3802" spans="1:5" x14ac:dyDescent="0.25">
      <c r="A3802" s="4">
        <v>41339</v>
      </c>
      <c r="B3802" s="5">
        <v>599</v>
      </c>
      <c r="D3802" s="4">
        <v>37237</v>
      </c>
      <c r="E3802" s="6">
        <v>18.13</v>
      </c>
    </row>
    <row r="3803" spans="1:5" x14ac:dyDescent="0.25">
      <c r="A3803" s="4">
        <v>41340</v>
      </c>
      <c r="B3803" s="5">
        <v>603</v>
      </c>
      <c r="D3803" s="4">
        <v>37238</v>
      </c>
      <c r="E3803" s="6">
        <v>17.8</v>
      </c>
    </row>
    <row r="3804" spans="1:5" x14ac:dyDescent="0.25">
      <c r="A3804" s="4">
        <v>41341</v>
      </c>
      <c r="B3804" s="5">
        <v>604.5</v>
      </c>
      <c r="D3804" s="4">
        <v>37239</v>
      </c>
      <c r="E3804" s="6">
        <v>18.54</v>
      </c>
    </row>
    <row r="3805" spans="1:5" x14ac:dyDescent="0.25">
      <c r="A3805" s="4">
        <v>41344</v>
      </c>
      <c r="B3805" s="5">
        <v>605.5</v>
      </c>
      <c r="D3805" s="4">
        <v>37242</v>
      </c>
      <c r="E3805" s="6">
        <v>18.579999999999998</v>
      </c>
    </row>
    <row r="3806" spans="1:5" x14ac:dyDescent="0.25">
      <c r="A3806" s="4">
        <v>41345</v>
      </c>
      <c r="B3806" s="5">
        <v>605</v>
      </c>
      <c r="D3806" s="4">
        <v>37243</v>
      </c>
      <c r="E3806" s="6">
        <v>18.510000000000002</v>
      </c>
    </row>
    <row r="3807" spans="1:5" x14ac:dyDescent="0.25">
      <c r="A3807" s="4">
        <v>41346</v>
      </c>
      <c r="B3807" s="5">
        <v>604</v>
      </c>
      <c r="D3807" s="4">
        <v>37244</v>
      </c>
      <c r="E3807" s="6">
        <v>19.03</v>
      </c>
    </row>
    <row r="3808" spans="1:5" x14ac:dyDescent="0.25">
      <c r="A3808" s="4">
        <v>41347</v>
      </c>
      <c r="B3808" s="5">
        <v>603</v>
      </c>
      <c r="D3808" s="4">
        <v>37245</v>
      </c>
      <c r="E3808" s="6">
        <v>18.87</v>
      </c>
    </row>
    <row r="3809" spans="1:5" x14ac:dyDescent="0.25">
      <c r="A3809" s="4">
        <v>41348</v>
      </c>
      <c r="B3809" s="5">
        <v>599.5</v>
      </c>
      <c r="D3809" s="4">
        <v>37246</v>
      </c>
      <c r="E3809" s="6">
        <v>18.73</v>
      </c>
    </row>
    <row r="3810" spans="1:5" x14ac:dyDescent="0.25">
      <c r="A3810" s="4">
        <v>41351</v>
      </c>
      <c r="B3810" s="5">
        <v>601.5</v>
      </c>
      <c r="D3810" s="4">
        <v>37249</v>
      </c>
      <c r="E3810" s="6">
        <v>18.649999999999999</v>
      </c>
    </row>
    <row r="3811" spans="1:5" x14ac:dyDescent="0.25">
      <c r="A3811" s="4">
        <v>41352</v>
      </c>
      <c r="B3811" s="5">
        <v>602</v>
      </c>
      <c r="D3811" s="4">
        <v>37250</v>
      </c>
      <c r="E3811" s="5"/>
    </row>
    <row r="3812" spans="1:5" x14ac:dyDescent="0.25">
      <c r="A3812" s="4">
        <v>41353</v>
      </c>
      <c r="B3812" s="5">
        <v>604</v>
      </c>
      <c r="D3812" s="4">
        <v>37251</v>
      </c>
      <c r="E3812" s="5"/>
    </row>
    <row r="3813" spans="1:5" x14ac:dyDescent="0.25">
      <c r="A3813" s="4">
        <v>41354</v>
      </c>
      <c r="B3813" s="5">
        <v>602</v>
      </c>
      <c r="D3813" s="4">
        <v>37252</v>
      </c>
      <c r="E3813" s="6">
        <v>18.87</v>
      </c>
    </row>
    <row r="3814" spans="1:5" x14ac:dyDescent="0.25">
      <c r="A3814" s="4">
        <v>41355</v>
      </c>
      <c r="B3814" s="5">
        <v>599.5</v>
      </c>
      <c r="D3814" s="4">
        <v>37253</v>
      </c>
      <c r="E3814" s="6">
        <v>19.77</v>
      </c>
    </row>
    <row r="3815" spans="1:5" x14ac:dyDescent="0.25">
      <c r="A3815" s="4">
        <v>41358</v>
      </c>
      <c r="B3815" s="5">
        <v>596.5</v>
      </c>
      <c r="D3815" s="4">
        <v>37256</v>
      </c>
      <c r="E3815" s="6">
        <v>19.350000000000001</v>
      </c>
    </row>
    <row r="3816" spans="1:5" x14ac:dyDescent="0.25">
      <c r="A3816" s="4">
        <v>41359</v>
      </c>
      <c r="B3816" s="5">
        <v>598.5</v>
      </c>
      <c r="D3816" s="4">
        <v>37257</v>
      </c>
      <c r="E3816" s="5"/>
    </row>
    <row r="3817" spans="1:5" x14ac:dyDescent="0.25">
      <c r="A3817" s="4">
        <v>41360</v>
      </c>
      <c r="B3817" s="5">
        <v>599</v>
      </c>
      <c r="D3817" s="4">
        <v>37258</v>
      </c>
      <c r="E3817" s="6">
        <v>20.13</v>
      </c>
    </row>
    <row r="3818" spans="1:5" x14ac:dyDescent="0.25">
      <c r="A3818" s="4">
        <v>41361</v>
      </c>
      <c r="B3818" s="5">
        <v>605</v>
      </c>
      <c r="D3818" s="4">
        <v>37259</v>
      </c>
      <c r="E3818" s="6">
        <v>20.47</v>
      </c>
    </row>
    <row r="3819" spans="1:5" x14ac:dyDescent="0.25">
      <c r="D3819" s="4">
        <v>37260</v>
      </c>
      <c r="E3819" s="6">
        <v>21.2</v>
      </c>
    </row>
    <row r="3820" spans="1:5" x14ac:dyDescent="0.25">
      <c r="D3820" s="4">
        <v>37263</v>
      </c>
      <c r="E3820" s="6">
        <v>21.08</v>
      </c>
    </row>
    <row r="3821" spans="1:5" x14ac:dyDescent="0.25">
      <c r="D3821" s="4">
        <v>37264</v>
      </c>
      <c r="E3821" s="6">
        <v>21.03</v>
      </c>
    </row>
    <row r="3822" spans="1:5" x14ac:dyDescent="0.25">
      <c r="D3822" s="4">
        <v>37265</v>
      </c>
      <c r="E3822" s="6">
        <v>20.21</v>
      </c>
    </row>
    <row r="3823" spans="1:5" x14ac:dyDescent="0.25">
      <c r="D3823" s="4">
        <v>37266</v>
      </c>
      <c r="E3823" s="6">
        <v>19.71</v>
      </c>
    </row>
    <row r="3824" spans="1:5" x14ac:dyDescent="0.25">
      <c r="D3824" s="4">
        <v>37267</v>
      </c>
      <c r="E3824" s="6">
        <v>20.079999999999998</v>
      </c>
    </row>
    <row r="3825" spans="4:5" x14ac:dyDescent="0.25">
      <c r="D3825" s="4">
        <v>37270</v>
      </c>
      <c r="E3825" s="6">
        <v>18.89</v>
      </c>
    </row>
    <row r="3826" spans="4:5" x14ac:dyDescent="0.25">
      <c r="D3826" s="4">
        <v>37271</v>
      </c>
      <c r="E3826" s="6">
        <v>18.86</v>
      </c>
    </row>
    <row r="3827" spans="4:5" x14ac:dyDescent="0.25">
      <c r="D3827" s="4">
        <v>37272</v>
      </c>
      <c r="E3827" s="6">
        <v>18.5</v>
      </c>
    </row>
    <row r="3828" spans="4:5" x14ac:dyDescent="0.25">
      <c r="D3828" s="4">
        <v>37273</v>
      </c>
      <c r="E3828" s="6">
        <v>18.2</v>
      </c>
    </row>
    <row r="3829" spans="4:5" x14ac:dyDescent="0.25">
      <c r="D3829" s="4">
        <v>37274</v>
      </c>
      <c r="E3829" s="6">
        <v>18.170000000000002</v>
      </c>
    </row>
    <row r="3830" spans="4:5" x14ac:dyDescent="0.25">
      <c r="D3830" s="4">
        <v>37277</v>
      </c>
      <c r="E3830" s="6">
        <v>18.32</v>
      </c>
    </row>
    <row r="3831" spans="4:5" x14ac:dyDescent="0.25">
      <c r="D3831" s="4">
        <v>37278</v>
      </c>
      <c r="E3831" s="6">
        <v>18.7</v>
      </c>
    </row>
    <row r="3832" spans="4:5" x14ac:dyDescent="0.25">
      <c r="D3832" s="4">
        <v>37279</v>
      </c>
      <c r="E3832" s="6">
        <v>18.89</v>
      </c>
    </row>
    <row r="3833" spans="4:5" x14ac:dyDescent="0.25">
      <c r="D3833" s="4">
        <v>37280</v>
      </c>
      <c r="E3833" s="6">
        <v>18.91</v>
      </c>
    </row>
    <row r="3834" spans="4:5" x14ac:dyDescent="0.25">
      <c r="D3834" s="4">
        <v>37281</v>
      </c>
      <c r="E3834" s="6">
        <v>19.04</v>
      </c>
    </row>
    <row r="3835" spans="4:5" x14ac:dyDescent="0.25">
      <c r="D3835" s="4">
        <v>37284</v>
      </c>
      <c r="E3835" s="6">
        <v>19.739999999999998</v>
      </c>
    </row>
    <row r="3836" spans="4:5" x14ac:dyDescent="0.25">
      <c r="D3836" s="4">
        <v>37285</v>
      </c>
      <c r="E3836" s="6">
        <v>19.260000000000002</v>
      </c>
    </row>
    <row r="3837" spans="4:5" x14ac:dyDescent="0.25">
      <c r="D3837" s="4">
        <v>37286</v>
      </c>
      <c r="E3837" s="6">
        <v>18.71</v>
      </c>
    </row>
    <row r="3838" spans="4:5" x14ac:dyDescent="0.25">
      <c r="D3838" s="4">
        <v>37287</v>
      </c>
      <c r="E3838" s="6">
        <v>19.07</v>
      </c>
    </row>
    <row r="3839" spans="4:5" x14ac:dyDescent="0.25">
      <c r="D3839" s="4">
        <v>37288</v>
      </c>
      <c r="E3839" s="6">
        <v>19.7</v>
      </c>
    </row>
    <row r="3840" spans="4:5" x14ac:dyDescent="0.25">
      <c r="D3840" s="4">
        <v>37291</v>
      </c>
      <c r="E3840" s="6">
        <v>20.260000000000002</v>
      </c>
    </row>
    <row r="3841" spans="4:5" x14ac:dyDescent="0.25">
      <c r="D3841" s="4">
        <v>37292</v>
      </c>
      <c r="E3841" s="6">
        <v>19.899999999999999</v>
      </c>
    </row>
    <row r="3842" spans="4:5" x14ac:dyDescent="0.25">
      <c r="D3842" s="4">
        <v>37293</v>
      </c>
      <c r="E3842" s="6">
        <v>19.97</v>
      </c>
    </row>
    <row r="3843" spans="4:5" x14ac:dyDescent="0.25">
      <c r="D3843" s="4">
        <v>37294</v>
      </c>
      <c r="E3843" s="6">
        <v>19.420000000000002</v>
      </c>
    </row>
    <row r="3844" spans="4:5" x14ac:dyDescent="0.25">
      <c r="D3844" s="4">
        <v>37295</v>
      </c>
      <c r="E3844" s="6">
        <v>20.010000000000002</v>
      </c>
    </row>
    <row r="3845" spans="4:5" x14ac:dyDescent="0.25">
      <c r="D3845" s="4">
        <v>37298</v>
      </c>
      <c r="E3845" s="6">
        <v>20.079999999999998</v>
      </c>
    </row>
    <row r="3846" spans="4:5" x14ac:dyDescent="0.25">
      <c r="D3846" s="4">
        <v>37299</v>
      </c>
      <c r="E3846" s="6">
        <v>21.75</v>
      </c>
    </row>
    <row r="3847" spans="4:5" x14ac:dyDescent="0.25">
      <c r="D3847" s="4">
        <v>37300</v>
      </c>
      <c r="E3847" s="6">
        <v>21.41</v>
      </c>
    </row>
    <row r="3848" spans="4:5" x14ac:dyDescent="0.25">
      <c r="D3848" s="4">
        <v>37301</v>
      </c>
      <c r="E3848" s="6">
        <v>20.97</v>
      </c>
    </row>
    <row r="3849" spans="4:5" x14ac:dyDescent="0.25">
      <c r="D3849" s="4">
        <v>37302</v>
      </c>
      <c r="E3849" s="6">
        <v>20.76</v>
      </c>
    </row>
    <row r="3850" spans="4:5" x14ac:dyDescent="0.25">
      <c r="D3850" s="4">
        <v>37305</v>
      </c>
      <c r="E3850" s="6">
        <v>20.12</v>
      </c>
    </row>
    <row r="3851" spans="4:5" x14ac:dyDescent="0.25">
      <c r="D3851" s="4">
        <v>37306</v>
      </c>
      <c r="E3851" s="6">
        <v>20.18</v>
      </c>
    </row>
    <row r="3852" spans="4:5" x14ac:dyDescent="0.25">
      <c r="D3852" s="4">
        <v>37307</v>
      </c>
      <c r="E3852" s="6">
        <v>19.440000000000001</v>
      </c>
    </row>
    <row r="3853" spans="4:5" x14ac:dyDescent="0.25">
      <c r="D3853" s="4">
        <v>37308</v>
      </c>
      <c r="E3853" s="6">
        <v>20.21</v>
      </c>
    </row>
    <row r="3854" spans="4:5" x14ac:dyDescent="0.25">
      <c r="D3854" s="4">
        <v>37309</v>
      </c>
      <c r="E3854" s="6">
        <v>20.14</v>
      </c>
    </row>
    <row r="3855" spans="4:5" x14ac:dyDescent="0.25">
      <c r="D3855" s="4">
        <v>37312</v>
      </c>
      <c r="E3855" s="6">
        <v>19.78</v>
      </c>
    </row>
    <row r="3856" spans="4:5" x14ac:dyDescent="0.25">
      <c r="D3856" s="4">
        <v>37313</v>
      </c>
      <c r="E3856" s="6">
        <v>19.95</v>
      </c>
    </row>
    <row r="3857" spans="4:5" x14ac:dyDescent="0.25">
      <c r="D3857" s="4">
        <v>37314</v>
      </c>
      <c r="E3857" s="6">
        <v>20.73</v>
      </c>
    </row>
    <row r="3858" spans="4:5" x14ac:dyDescent="0.25">
      <c r="D3858" s="4">
        <v>37315</v>
      </c>
      <c r="E3858" s="6">
        <v>20.73</v>
      </c>
    </row>
    <row r="3859" spans="4:5" x14ac:dyDescent="0.25">
      <c r="D3859" s="4">
        <v>37316</v>
      </c>
      <c r="E3859" s="6">
        <v>21.83</v>
      </c>
    </row>
    <row r="3860" spans="4:5" x14ac:dyDescent="0.25">
      <c r="D3860" s="4">
        <v>37319</v>
      </c>
      <c r="E3860" s="6">
        <v>21.59</v>
      </c>
    </row>
    <row r="3861" spans="4:5" x14ac:dyDescent="0.25">
      <c r="D3861" s="4">
        <v>37320</v>
      </c>
      <c r="E3861" s="6">
        <v>22.25</v>
      </c>
    </row>
    <row r="3862" spans="4:5" x14ac:dyDescent="0.25">
      <c r="D3862" s="4">
        <v>37321</v>
      </c>
      <c r="E3862" s="6">
        <v>22.11</v>
      </c>
    </row>
    <row r="3863" spans="4:5" x14ac:dyDescent="0.25">
      <c r="D3863" s="4">
        <v>37322</v>
      </c>
      <c r="E3863" s="6">
        <v>23.1</v>
      </c>
    </row>
    <row r="3864" spans="4:5" x14ac:dyDescent="0.25">
      <c r="D3864" s="4">
        <v>37323</v>
      </c>
      <c r="E3864" s="6">
        <v>22.32</v>
      </c>
    </row>
    <row r="3865" spans="4:5" x14ac:dyDescent="0.25">
      <c r="D3865" s="4">
        <v>37326</v>
      </c>
      <c r="E3865" s="6">
        <v>23.14</v>
      </c>
    </row>
    <row r="3866" spans="4:5" x14ac:dyDescent="0.25">
      <c r="D3866" s="4">
        <v>37327</v>
      </c>
      <c r="E3866" s="6">
        <v>22.7</v>
      </c>
    </row>
    <row r="3867" spans="4:5" x14ac:dyDescent="0.25">
      <c r="D3867" s="4">
        <v>37328</v>
      </c>
      <c r="E3867" s="6">
        <v>23.6</v>
      </c>
    </row>
    <row r="3868" spans="4:5" x14ac:dyDescent="0.25">
      <c r="D3868" s="4">
        <v>37329</v>
      </c>
      <c r="E3868" s="6">
        <v>23.76</v>
      </c>
    </row>
    <row r="3869" spans="4:5" x14ac:dyDescent="0.25">
      <c r="D3869" s="4">
        <v>37330</v>
      </c>
      <c r="E3869" s="6">
        <v>23.9</v>
      </c>
    </row>
    <row r="3870" spans="4:5" x14ac:dyDescent="0.25">
      <c r="D3870" s="4">
        <v>37333</v>
      </c>
      <c r="E3870" s="6">
        <v>23.8</v>
      </c>
    </row>
    <row r="3871" spans="4:5" x14ac:dyDescent="0.25">
      <c r="D3871" s="4">
        <v>37334</v>
      </c>
      <c r="E3871" s="6">
        <v>24.51</v>
      </c>
    </row>
    <row r="3872" spans="4:5" x14ac:dyDescent="0.25">
      <c r="D3872" s="4">
        <v>37335</v>
      </c>
      <c r="E3872" s="6">
        <v>24.78</v>
      </c>
    </row>
    <row r="3873" spans="4:5" x14ac:dyDescent="0.25">
      <c r="D3873" s="4">
        <v>37336</v>
      </c>
      <c r="E3873" s="6">
        <v>24.25</v>
      </c>
    </row>
    <row r="3874" spans="4:5" x14ac:dyDescent="0.25">
      <c r="D3874" s="4">
        <v>37337</v>
      </c>
      <c r="E3874" s="6">
        <v>24.83</v>
      </c>
    </row>
    <row r="3875" spans="4:5" x14ac:dyDescent="0.25">
      <c r="D3875" s="4">
        <v>37340</v>
      </c>
      <c r="E3875" s="6">
        <v>24.75</v>
      </c>
    </row>
    <row r="3876" spans="4:5" x14ac:dyDescent="0.25">
      <c r="D3876" s="4">
        <v>37341</v>
      </c>
      <c r="E3876" s="6">
        <v>24.6</v>
      </c>
    </row>
    <row r="3877" spans="4:5" x14ac:dyDescent="0.25">
      <c r="D3877" s="4">
        <v>37342</v>
      </c>
      <c r="E3877" s="6">
        <v>25.13</v>
      </c>
    </row>
    <row r="3878" spans="4:5" x14ac:dyDescent="0.25">
      <c r="D3878" s="4">
        <v>37343</v>
      </c>
      <c r="E3878" s="6">
        <v>25.34</v>
      </c>
    </row>
    <row r="3879" spans="4:5" x14ac:dyDescent="0.25">
      <c r="D3879" s="4">
        <v>37344</v>
      </c>
      <c r="E3879" s="6">
        <v>25.34</v>
      </c>
    </row>
    <row r="3880" spans="4:5" x14ac:dyDescent="0.25">
      <c r="D3880" s="4">
        <v>37347</v>
      </c>
      <c r="E3880" s="6">
        <v>26.06</v>
      </c>
    </row>
    <row r="3881" spans="4:5" x14ac:dyDescent="0.25">
      <c r="D3881" s="4">
        <v>37348</v>
      </c>
      <c r="E3881" s="6">
        <v>26.97</v>
      </c>
    </row>
    <row r="3882" spans="4:5" x14ac:dyDescent="0.25">
      <c r="D3882" s="4">
        <v>37349</v>
      </c>
      <c r="E3882" s="6">
        <v>26.72</v>
      </c>
    </row>
    <row r="3883" spans="4:5" x14ac:dyDescent="0.25">
      <c r="D3883" s="4">
        <v>37350</v>
      </c>
      <c r="E3883" s="6">
        <v>26.97</v>
      </c>
    </row>
    <row r="3884" spans="4:5" x14ac:dyDescent="0.25">
      <c r="D3884" s="4">
        <v>37351</v>
      </c>
      <c r="E3884" s="6">
        <v>25.39</v>
      </c>
    </row>
    <row r="3885" spans="4:5" x14ac:dyDescent="0.25">
      <c r="D3885" s="4">
        <v>37354</v>
      </c>
      <c r="E3885" s="6">
        <v>26.36</v>
      </c>
    </row>
    <row r="3886" spans="4:5" x14ac:dyDescent="0.25">
      <c r="D3886" s="4">
        <v>37355</v>
      </c>
      <c r="E3886" s="6">
        <v>25.48</v>
      </c>
    </row>
    <row r="3887" spans="4:5" x14ac:dyDescent="0.25">
      <c r="D3887" s="4">
        <v>37356</v>
      </c>
      <c r="E3887" s="6">
        <v>25.13</v>
      </c>
    </row>
    <row r="3888" spans="4:5" x14ac:dyDescent="0.25">
      <c r="D3888" s="4">
        <v>37357</v>
      </c>
      <c r="E3888" s="6">
        <v>24.22</v>
      </c>
    </row>
    <row r="3889" spans="4:5" x14ac:dyDescent="0.25">
      <c r="D3889" s="4">
        <v>37358</v>
      </c>
      <c r="E3889" s="6">
        <v>23.25</v>
      </c>
    </row>
    <row r="3890" spans="4:5" x14ac:dyDescent="0.25">
      <c r="D3890" s="4">
        <v>37361</v>
      </c>
      <c r="E3890" s="6">
        <v>23.39</v>
      </c>
    </row>
    <row r="3891" spans="4:5" x14ac:dyDescent="0.25">
      <c r="D3891" s="4">
        <v>37362</v>
      </c>
      <c r="E3891" s="6">
        <v>24.03</v>
      </c>
    </row>
    <row r="3892" spans="4:5" x14ac:dyDescent="0.25">
      <c r="D3892" s="4">
        <v>37363</v>
      </c>
      <c r="E3892" s="6">
        <v>25.26</v>
      </c>
    </row>
    <row r="3893" spans="4:5" x14ac:dyDescent="0.25">
      <c r="D3893" s="4">
        <v>37364</v>
      </c>
      <c r="E3893" s="6">
        <v>25.9</v>
      </c>
    </row>
    <row r="3894" spans="4:5" x14ac:dyDescent="0.25">
      <c r="D3894" s="4">
        <v>37365</v>
      </c>
      <c r="E3894" s="6">
        <v>25.86</v>
      </c>
    </row>
    <row r="3895" spans="4:5" x14ac:dyDescent="0.25">
      <c r="D3895" s="4">
        <v>37368</v>
      </c>
      <c r="E3895" s="6">
        <v>25.96</v>
      </c>
    </row>
    <row r="3896" spans="4:5" x14ac:dyDescent="0.25">
      <c r="D3896" s="4">
        <v>37369</v>
      </c>
      <c r="E3896" s="6">
        <v>26.26</v>
      </c>
    </row>
    <row r="3897" spans="4:5" x14ac:dyDescent="0.25">
      <c r="D3897" s="4">
        <v>37370</v>
      </c>
      <c r="E3897" s="6">
        <v>26.2</v>
      </c>
    </row>
    <row r="3898" spans="4:5" x14ac:dyDescent="0.25">
      <c r="D3898" s="4">
        <v>37371</v>
      </c>
      <c r="E3898" s="6">
        <v>26.47</v>
      </c>
    </row>
    <row r="3899" spans="4:5" x14ac:dyDescent="0.25">
      <c r="D3899" s="4">
        <v>37372</v>
      </c>
      <c r="E3899" s="6">
        <v>26.32</v>
      </c>
    </row>
    <row r="3900" spans="4:5" x14ac:dyDescent="0.25">
      <c r="D3900" s="4">
        <v>37375</v>
      </c>
      <c r="E3900" s="6">
        <v>26.85</v>
      </c>
    </row>
    <row r="3901" spans="4:5" x14ac:dyDescent="0.25">
      <c r="D3901" s="4">
        <v>37376</v>
      </c>
      <c r="E3901" s="6">
        <v>26.98</v>
      </c>
    </row>
    <row r="3902" spans="4:5" x14ac:dyDescent="0.25">
      <c r="D3902" s="4">
        <v>37377</v>
      </c>
      <c r="E3902" s="6">
        <v>26.67</v>
      </c>
    </row>
    <row r="3903" spans="4:5" x14ac:dyDescent="0.25">
      <c r="D3903" s="4">
        <v>37378</v>
      </c>
      <c r="E3903" s="6">
        <v>25.73</v>
      </c>
    </row>
    <row r="3904" spans="4:5" x14ac:dyDescent="0.25">
      <c r="D3904" s="4">
        <v>37379</v>
      </c>
      <c r="E3904" s="6">
        <v>25.8</v>
      </c>
    </row>
    <row r="3905" spans="4:5" x14ac:dyDescent="0.25">
      <c r="D3905" s="4">
        <v>37382</v>
      </c>
      <c r="E3905" s="5"/>
    </row>
    <row r="3906" spans="4:5" x14ac:dyDescent="0.25">
      <c r="D3906" s="4">
        <v>37383</v>
      </c>
      <c r="E3906" s="6">
        <v>25.53</v>
      </c>
    </row>
    <row r="3907" spans="4:5" x14ac:dyDescent="0.25">
      <c r="D3907" s="4">
        <v>37384</v>
      </c>
      <c r="E3907" s="6">
        <v>26.09</v>
      </c>
    </row>
    <row r="3908" spans="4:5" x14ac:dyDescent="0.25">
      <c r="D3908" s="4">
        <v>37385</v>
      </c>
      <c r="E3908" s="6">
        <v>26.09</v>
      </c>
    </row>
    <row r="3909" spans="4:5" x14ac:dyDescent="0.25">
      <c r="D3909" s="4">
        <v>37386</v>
      </c>
      <c r="E3909" s="6">
        <v>26.89</v>
      </c>
    </row>
    <row r="3910" spans="4:5" x14ac:dyDescent="0.25">
      <c r="D3910" s="4">
        <v>37389</v>
      </c>
      <c r="E3910" s="6">
        <v>26.3</v>
      </c>
    </row>
    <row r="3911" spans="4:5" x14ac:dyDescent="0.25">
      <c r="D3911" s="4">
        <v>37390</v>
      </c>
      <c r="E3911" s="6">
        <v>27.12</v>
      </c>
    </row>
    <row r="3912" spans="4:5" x14ac:dyDescent="0.25">
      <c r="D3912" s="4">
        <v>37391</v>
      </c>
      <c r="E3912" s="6">
        <v>27.17</v>
      </c>
    </row>
    <row r="3913" spans="4:5" x14ac:dyDescent="0.25">
      <c r="D3913" s="4">
        <v>37392</v>
      </c>
      <c r="E3913" s="6">
        <v>25.71</v>
      </c>
    </row>
    <row r="3914" spans="4:5" x14ac:dyDescent="0.25">
      <c r="D3914" s="4">
        <v>37393</v>
      </c>
      <c r="E3914" s="6">
        <v>25.45</v>
      </c>
    </row>
    <row r="3915" spans="4:5" x14ac:dyDescent="0.25">
      <c r="D3915" s="4">
        <v>37396</v>
      </c>
      <c r="E3915" s="6">
        <v>25.97</v>
      </c>
    </row>
    <row r="3916" spans="4:5" x14ac:dyDescent="0.25">
      <c r="D3916" s="4">
        <v>37397</v>
      </c>
      <c r="E3916" s="6">
        <v>24.99</v>
      </c>
    </row>
    <row r="3917" spans="4:5" x14ac:dyDescent="0.25">
      <c r="D3917" s="4">
        <v>37398</v>
      </c>
      <c r="E3917" s="6">
        <v>24.32</v>
      </c>
    </row>
    <row r="3918" spans="4:5" x14ac:dyDescent="0.25">
      <c r="D3918" s="4">
        <v>37399</v>
      </c>
      <c r="E3918" s="6">
        <v>24.01</v>
      </c>
    </row>
    <row r="3919" spans="4:5" x14ac:dyDescent="0.25">
      <c r="D3919" s="4">
        <v>37400</v>
      </c>
      <c r="E3919" s="6">
        <v>23.76</v>
      </c>
    </row>
    <row r="3920" spans="4:5" x14ac:dyDescent="0.25">
      <c r="D3920" s="4">
        <v>37403</v>
      </c>
      <c r="E3920" s="6">
        <v>23.52</v>
      </c>
    </row>
    <row r="3921" spans="4:5" x14ac:dyDescent="0.25">
      <c r="D3921" s="4">
        <v>37404</v>
      </c>
      <c r="E3921" s="6">
        <v>24.71</v>
      </c>
    </row>
    <row r="3922" spans="4:5" x14ac:dyDescent="0.25">
      <c r="D3922" s="4">
        <v>37405</v>
      </c>
      <c r="E3922" s="6">
        <v>24.18</v>
      </c>
    </row>
    <row r="3923" spans="4:5" x14ac:dyDescent="0.25">
      <c r="D3923" s="4">
        <v>37406</v>
      </c>
      <c r="E3923" s="6">
        <v>23.72</v>
      </c>
    </row>
    <row r="3924" spans="4:5" x14ac:dyDescent="0.25">
      <c r="D3924" s="4">
        <v>37407</v>
      </c>
      <c r="E3924" s="6">
        <v>23.87</v>
      </c>
    </row>
    <row r="3925" spans="4:5" x14ac:dyDescent="0.25">
      <c r="D3925" s="4">
        <v>37410</v>
      </c>
      <c r="E3925" s="5"/>
    </row>
    <row r="3926" spans="4:5" x14ac:dyDescent="0.25">
      <c r="D3926" s="4">
        <v>37411</v>
      </c>
      <c r="E3926" s="5"/>
    </row>
    <row r="3927" spans="4:5" x14ac:dyDescent="0.25">
      <c r="D3927" s="4">
        <v>37412</v>
      </c>
      <c r="E3927" s="6">
        <v>23.19</v>
      </c>
    </row>
    <row r="3928" spans="4:5" x14ac:dyDescent="0.25">
      <c r="D3928" s="4">
        <v>37413</v>
      </c>
      <c r="E3928" s="6">
        <v>22.79</v>
      </c>
    </row>
    <row r="3929" spans="4:5" x14ac:dyDescent="0.25">
      <c r="D3929" s="4">
        <v>37414</v>
      </c>
      <c r="E3929" s="6">
        <v>22.99</v>
      </c>
    </row>
    <row r="3930" spans="4:5" x14ac:dyDescent="0.25">
      <c r="D3930" s="4">
        <v>37417</v>
      </c>
      <c r="E3930" s="6">
        <v>22.83</v>
      </c>
    </row>
    <row r="3931" spans="4:5" x14ac:dyDescent="0.25">
      <c r="D3931" s="4">
        <v>37418</v>
      </c>
      <c r="E3931" s="6">
        <v>22.37</v>
      </c>
    </row>
    <row r="3932" spans="4:5" x14ac:dyDescent="0.25">
      <c r="D3932" s="4">
        <v>37419</v>
      </c>
      <c r="E3932" s="6">
        <v>23.09</v>
      </c>
    </row>
    <row r="3933" spans="4:5" x14ac:dyDescent="0.25">
      <c r="D3933" s="4">
        <v>37420</v>
      </c>
      <c r="E3933" s="6">
        <v>23.72</v>
      </c>
    </row>
    <row r="3934" spans="4:5" x14ac:dyDescent="0.25">
      <c r="D3934" s="4">
        <v>37421</v>
      </c>
      <c r="E3934" s="6">
        <v>23.97</v>
      </c>
    </row>
    <row r="3935" spans="4:5" x14ac:dyDescent="0.25">
      <c r="D3935" s="4">
        <v>37424</v>
      </c>
      <c r="E3935" s="6">
        <v>24.69</v>
      </c>
    </row>
    <row r="3936" spans="4:5" x14ac:dyDescent="0.25">
      <c r="D3936" s="4">
        <v>37425</v>
      </c>
      <c r="E3936" s="6">
        <v>24.64</v>
      </c>
    </row>
    <row r="3937" spans="4:5" x14ac:dyDescent="0.25">
      <c r="D3937" s="4">
        <v>37426</v>
      </c>
      <c r="E3937" s="6">
        <v>24.85</v>
      </c>
    </row>
    <row r="3938" spans="4:5" x14ac:dyDescent="0.25">
      <c r="D3938" s="4">
        <v>37427</v>
      </c>
      <c r="E3938" s="6">
        <v>24.42</v>
      </c>
    </row>
    <row r="3939" spans="4:5" x14ac:dyDescent="0.25">
      <c r="D3939" s="4">
        <v>37428</v>
      </c>
      <c r="E3939" s="6">
        <v>24.14</v>
      </c>
    </row>
    <row r="3940" spans="4:5" x14ac:dyDescent="0.25">
      <c r="D3940" s="4">
        <v>37431</v>
      </c>
      <c r="E3940" s="6">
        <v>24.99</v>
      </c>
    </row>
    <row r="3941" spans="4:5" x14ac:dyDescent="0.25">
      <c r="D3941" s="4">
        <v>37432</v>
      </c>
      <c r="E3941" s="6">
        <v>25.32</v>
      </c>
    </row>
    <row r="3942" spans="4:5" x14ac:dyDescent="0.25">
      <c r="D3942" s="4">
        <v>37433</v>
      </c>
      <c r="E3942" s="6">
        <v>24.75</v>
      </c>
    </row>
    <row r="3943" spans="4:5" x14ac:dyDescent="0.25">
      <c r="D3943" s="4">
        <v>37434</v>
      </c>
      <c r="E3943" s="6">
        <v>25.39</v>
      </c>
    </row>
    <row r="3944" spans="4:5" x14ac:dyDescent="0.25">
      <c r="D3944" s="4">
        <v>37435</v>
      </c>
      <c r="E3944" s="6">
        <v>25.33</v>
      </c>
    </row>
    <row r="3945" spans="4:5" x14ac:dyDescent="0.25">
      <c r="D3945" s="4">
        <v>37438</v>
      </c>
      <c r="E3945" s="6">
        <v>25.65</v>
      </c>
    </row>
    <row r="3946" spans="4:5" x14ac:dyDescent="0.25">
      <c r="D3946" s="4">
        <v>37439</v>
      </c>
      <c r="E3946" s="6">
        <v>25.64</v>
      </c>
    </row>
    <row r="3947" spans="4:5" x14ac:dyDescent="0.25">
      <c r="D3947" s="4">
        <v>37440</v>
      </c>
      <c r="E3947" s="6">
        <v>25.59</v>
      </c>
    </row>
    <row r="3948" spans="4:5" x14ac:dyDescent="0.25">
      <c r="D3948" s="4">
        <v>37441</v>
      </c>
      <c r="E3948" s="6">
        <v>25.51</v>
      </c>
    </row>
    <row r="3949" spans="4:5" x14ac:dyDescent="0.25">
      <c r="D3949" s="4">
        <v>37442</v>
      </c>
      <c r="E3949" s="6">
        <v>25.75</v>
      </c>
    </row>
    <row r="3950" spans="4:5" x14ac:dyDescent="0.25">
      <c r="D3950" s="4">
        <v>37445</v>
      </c>
      <c r="E3950" s="6">
        <v>25.08</v>
      </c>
    </row>
    <row r="3951" spans="4:5" x14ac:dyDescent="0.25">
      <c r="D3951" s="4">
        <v>37446</v>
      </c>
      <c r="E3951" s="6">
        <v>24.9</v>
      </c>
    </row>
    <row r="3952" spans="4:5" x14ac:dyDescent="0.25">
      <c r="D3952" s="4">
        <v>37447</v>
      </c>
      <c r="E3952" s="6">
        <v>25.82</v>
      </c>
    </row>
    <row r="3953" spans="4:5" x14ac:dyDescent="0.25">
      <c r="D3953" s="4">
        <v>37448</v>
      </c>
      <c r="E3953" s="6">
        <v>25.83</v>
      </c>
    </row>
    <row r="3954" spans="4:5" x14ac:dyDescent="0.25">
      <c r="D3954" s="4">
        <v>37449</v>
      </c>
      <c r="E3954" s="6">
        <v>26.11</v>
      </c>
    </row>
    <row r="3955" spans="4:5" x14ac:dyDescent="0.25">
      <c r="D3955" s="4">
        <v>37452</v>
      </c>
      <c r="E3955" s="6">
        <v>26.16</v>
      </c>
    </row>
    <row r="3956" spans="4:5" x14ac:dyDescent="0.25">
      <c r="D3956" s="4">
        <v>37453</v>
      </c>
      <c r="E3956" s="6">
        <v>25.94</v>
      </c>
    </row>
    <row r="3957" spans="4:5" x14ac:dyDescent="0.25">
      <c r="D3957" s="4">
        <v>37454</v>
      </c>
      <c r="E3957" s="6">
        <v>26.19</v>
      </c>
    </row>
    <row r="3958" spans="4:5" x14ac:dyDescent="0.25">
      <c r="D3958" s="4">
        <v>37455</v>
      </c>
      <c r="E3958" s="6">
        <v>26.72</v>
      </c>
    </row>
    <row r="3959" spans="4:5" x14ac:dyDescent="0.25">
      <c r="D3959" s="4">
        <v>37456</v>
      </c>
      <c r="E3959" s="6">
        <v>26.37</v>
      </c>
    </row>
    <row r="3960" spans="4:5" x14ac:dyDescent="0.25">
      <c r="D3960" s="4">
        <v>37459</v>
      </c>
      <c r="E3960" s="6">
        <v>25.7</v>
      </c>
    </row>
    <row r="3961" spans="4:5" x14ac:dyDescent="0.25">
      <c r="D3961" s="4">
        <v>37460</v>
      </c>
      <c r="E3961" s="6">
        <v>25.65</v>
      </c>
    </row>
    <row r="3962" spans="4:5" x14ac:dyDescent="0.25">
      <c r="D3962" s="4">
        <v>37461</v>
      </c>
      <c r="E3962" s="6">
        <v>25.43</v>
      </c>
    </row>
    <row r="3963" spans="4:5" x14ac:dyDescent="0.25">
      <c r="D3963" s="4">
        <v>37462</v>
      </c>
      <c r="E3963" s="6">
        <v>25.36</v>
      </c>
    </row>
    <row r="3964" spans="4:5" x14ac:dyDescent="0.25">
      <c r="D3964" s="4">
        <v>37463</v>
      </c>
      <c r="E3964" s="6">
        <v>25.1</v>
      </c>
    </row>
    <row r="3965" spans="4:5" x14ac:dyDescent="0.25">
      <c r="D3965" s="4">
        <v>37466</v>
      </c>
      <c r="E3965" s="6">
        <v>25.2</v>
      </c>
    </row>
    <row r="3966" spans="4:5" x14ac:dyDescent="0.25">
      <c r="D3966" s="4">
        <v>37467</v>
      </c>
      <c r="E3966" s="6">
        <v>25.95</v>
      </c>
    </row>
    <row r="3967" spans="4:5" x14ac:dyDescent="0.25">
      <c r="D3967" s="4">
        <v>37468</v>
      </c>
      <c r="E3967" s="6">
        <v>26.28</v>
      </c>
    </row>
    <row r="3968" spans="4:5" x14ac:dyDescent="0.25">
      <c r="D3968" s="4">
        <v>37469</v>
      </c>
      <c r="E3968" s="6">
        <v>25.79</v>
      </c>
    </row>
    <row r="3969" spans="4:5" x14ac:dyDescent="0.25">
      <c r="D3969" s="4">
        <v>37470</v>
      </c>
      <c r="E3969" s="6">
        <v>25.17</v>
      </c>
    </row>
    <row r="3970" spans="4:5" x14ac:dyDescent="0.25">
      <c r="D3970" s="4">
        <v>37473</v>
      </c>
      <c r="E3970" s="6">
        <v>25.2</v>
      </c>
    </row>
    <row r="3971" spans="4:5" x14ac:dyDescent="0.25">
      <c r="D3971" s="4">
        <v>37474</v>
      </c>
      <c r="E3971" s="6">
        <v>25.69</v>
      </c>
    </row>
    <row r="3972" spans="4:5" x14ac:dyDescent="0.25">
      <c r="D3972" s="4">
        <v>37475</v>
      </c>
      <c r="E3972" s="6">
        <v>25.7</v>
      </c>
    </row>
    <row r="3973" spans="4:5" x14ac:dyDescent="0.25">
      <c r="D3973" s="4">
        <v>37476</v>
      </c>
      <c r="E3973" s="6">
        <v>25.51</v>
      </c>
    </row>
    <row r="3974" spans="4:5" x14ac:dyDescent="0.25">
      <c r="D3974" s="4">
        <v>37477</v>
      </c>
      <c r="E3974" s="6">
        <v>25.49</v>
      </c>
    </row>
    <row r="3975" spans="4:5" x14ac:dyDescent="0.25">
      <c r="D3975" s="4">
        <v>37480</v>
      </c>
      <c r="E3975" s="6">
        <v>25.63</v>
      </c>
    </row>
    <row r="3976" spans="4:5" x14ac:dyDescent="0.25">
      <c r="D3976" s="4">
        <v>37481</v>
      </c>
      <c r="E3976" s="6">
        <v>26.11</v>
      </c>
    </row>
    <row r="3977" spans="4:5" x14ac:dyDescent="0.25">
      <c r="D3977" s="4">
        <v>37482</v>
      </c>
      <c r="E3977" s="6">
        <v>26.47</v>
      </c>
    </row>
    <row r="3978" spans="4:5" x14ac:dyDescent="0.25">
      <c r="D3978" s="4">
        <v>37483</v>
      </c>
      <c r="E3978" s="6">
        <v>26.66</v>
      </c>
    </row>
    <row r="3979" spans="4:5" x14ac:dyDescent="0.25">
      <c r="D3979" s="4">
        <v>37484</v>
      </c>
      <c r="E3979" s="6">
        <v>27.33</v>
      </c>
    </row>
    <row r="3980" spans="4:5" x14ac:dyDescent="0.25">
      <c r="D3980" s="4">
        <v>37487</v>
      </c>
      <c r="E3980" s="6">
        <v>27.44</v>
      </c>
    </row>
    <row r="3981" spans="4:5" x14ac:dyDescent="0.25">
      <c r="D3981" s="4">
        <v>37488</v>
      </c>
      <c r="E3981" s="6">
        <v>27.63</v>
      </c>
    </row>
    <row r="3982" spans="4:5" x14ac:dyDescent="0.25">
      <c r="D3982" s="4">
        <v>37489</v>
      </c>
      <c r="E3982" s="6">
        <v>27.53</v>
      </c>
    </row>
    <row r="3983" spans="4:5" x14ac:dyDescent="0.25">
      <c r="D3983" s="4">
        <v>37490</v>
      </c>
      <c r="E3983" s="6">
        <v>27.81</v>
      </c>
    </row>
    <row r="3984" spans="4:5" x14ac:dyDescent="0.25">
      <c r="D3984" s="4">
        <v>37491</v>
      </c>
      <c r="E3984" s="6">
        <v>27.51</v>
      </c>
    </row>
    <row r="3985" spans="4:5" x14ac:dyDescent="0.25">
      <c r="D3985" s="4">
        <v>37494</v>
      </c>
      <c r="E3985" s="6">
        <v>27.56</v>
      </c>
    </row>
    <row r="3986" spans="4:5" x14ac:dyDescent="0.25">
      <c r="D3986" s="4">
        <v>37495</v>
      </c>
      <c r="E3986" s="6">
        <v>27.89</v>
      </c>
    </row>
    <row r="3987" spans="4:5" x14ac:dyDescent="0.25">
      <c r="D3987" s="4">
        <v>37496</v>
      </c>
      <c r="E3987" s="6">
        <v>27.54</v>
      </c>
    </row>
    <row r="3988" spans="4:5" x14ac:dyDescent="0.25">
      <c r="D3988" s="4">
        <v>37497</v>
      </c>
      <c r="E3988" s="6">
        <v>27.11</v>
      </c>
    </row>
    <row r="3989" spans="4:5" x14ac:dyDescent="0.25">
      <c r="D3989" s="4">
        <v>37498</v>
      </c>
      <c r="E3989" s="6">
        <v>27.56</v>
      </c>
    </row>
    <row r="3990" spans="4:5" x14ac:dyDescent="0.25">
      <c r="D3990" s="4">
        <v>37501</v>
      </c>
      <c r="E3990" s="6">
        <v>27.45</v>
      </c>
    </row>
    <row r="3991" spans="4:5" x14ac:dyDescent="0.25">
      <c r="D3991" s="4">
        <v>37502</v>
      </c>
      <c r="E3991" s="6">
        <v>26.58</v>
      </c>
    </row>
    <row r="3992" spans="4:5" x14ac:dyDescent="0.25">
      <c r="D3992" s="4">
        <v>37503</v>
      </c>
      <c r="E3992" s="6">
        <v>27.31</v>
      </c>
    </row>
    <row r="3993" spans="4:5" x14ac:dyDescent="0.25">
      <c r="D3993" s="4">
        <v>37504</v>
      </c>
      <c r="E3993" s="6">
        <v>27.54</v>
      </c>
    </row>
    <row r="3994" spans="4:5" x14ac:dyDescent="0.25">
      <c r="D3994" s="4">
        <v>37505</v>
      </c>
      <c r="E3994" s="6">
        <v>28.36</v>
      </c>
    </row>
    <row r="3995" spans="4:5" x14ac:dyDescent="0.25">
      <c r="D3995" s="4">
        <v>37508</v>
      </c>
      <c r="E3995" s="6">
        <v>28.67</v>
      </c>
    </row>
    <row r="3996" spans="4:5" x14ac:dyDescent="0.25">
      <c r="D3996" s="4">
        <v>37509</v>
      </c>
      <c r="E3996" s="6">
        <v>28.92</v>
      </c>
    </row>
    <row r="3997" spans="4:5" x14ac:dyDescent="0.25">
      <c r="D3997" s="4">
        <v>37510</v>
      </c>
      <c r="E3997" s="6">
        <v>28.68</v>
      </c>
    </row>
    <row r="3998" spans="4:5" x14ac:dyDescent="0.25">
      <c r="D3998" s="4">
        <v>37511</v>
      </c>
      <c r="E3998" s="6">
        <v>27.76</v>
      </c>
    </row>
    <row r="3999" spans="4:5" x14ac:dyDescent="0.25">
      <c r="D3999" s="4">
        <v>37512</v>
      </c>
      <c r="E3999" s="6">
        <v>28.53</v>
      </c>
    </row>
    <row r="4000" spans="4:5" x14ac:dyDescent="0.25">
      <c r="D4000" s="4">
        <v>37515</v>
      </c>
      <c r="E4000" s="6">
        <v>28.38</v>
      </c>
    </row>
    <row r="4001" spans="4:5" x14ac:dyDescent="0.25">
      <c r="D4001" s="4">
        <v>37516</v>
      </c>
      <c r="E4001" s="6">
        <v>27.76</v>
      </c>
    </row>
    <row r="4002" spans="4:5" x14ac:dyDescent="0.25">
      <c r="D4002" s="4">
        <v>37517</v>
      </c>
      <c r="E4002" s="6">
        <v>28.41</v>
      </c>
    </row>
    <row r="4003" spans="4:5" x14ac:dyDescent="0.25">
      <c r="D4003" s="4">
        <v>37518</v>
      </c>
      <c r="E4003" s="6">
        <v>28.45</v>
      </c>
    </row>
    <row r="4004" spans="4:5" x14ac:dyDescent="0.25">
      <c r="D4004" s="4">
        <v>37519</v>
      </c>
      <c r="E4004" s="6">
        <v>28.61</v>
      </c>
    </row>
    <row r="4005" spans="4:5" x14ac:dyDescent="0.25">
      <c r="D4005" s="4">
        <v>37522</v>
      </c>
      <c r="E4005" s="6">
        <v>29.36</v>
      </c>
    </row>
    <row r="4006" spans="4:5" x14ac:dyDescent="0.25">
      <c r="D4006" s="4">
        <v>37523</v>
      </c>
      <c r="E4006" s="6">
        <v>29.47</v>
      </c>
    </row>
    <row r="4007" spans="4:5" x14ac:dyDescent="0.25">
      <c r="D4007" s="4">
        <v>37524</v>
      </c>
      <c r="E4007" s="6">
        <v>29.11</v>
      </c>
    </row>
    <row r="4008" spans="4:5" x14ac:dyDescent="0.25">
      <c r="D4008" s="4">
        <v>37525</v>
      </c>
      <c r="E4008" s="6">
        <v>28.93</v>
      </c>
    </row>
    <row r="4009" spans="4:5" x14ac:dyDescent="0.25">
      <c r="D4009" s="4">
        <v>37526</v>
      </c>
      <c r="E4009" s="6">
        <v>29</v>
      </c>
    </row>
    <row r="4010" spans="4:5" x14ac:dyDescent="0.25">
      <c r="D4010" s="4">
        <v>37529</v>
      </c>
      <c r="E4010" s="6">
        <v>29.11</v>
      </c>
    </row>
    <row r="4011" spans="4:5" x14ac:dyDescent="0.25">
      <c r="D4011" s="4">
        <v>37530</v>
      </c>
      <c r="E4011" s="6">
        <v>29.42</v>
      </c>
    </row>
    <row r="4012" spans="4:5" x14ac:dyDescent="0.25">
      <c r="D4012" s="4">
        <v>37531</v>
      </c>
      <c r="E4012" s="6">
        <v>29.14</v>
      </c>
    </row>
    <row r="4013" spans="4:5" x14ac:dyDescent="0.25">
      <c r="D4013" s="4">
        <v>37532</v>
      </c>
      <c r="E4013" s="6">
        <v>28.46</v>
      </c>
    </row>
    <row r="4014" spans="4:5" x14ac:dyDescent="0.25">
      <c r="D4014" s="4">
        <v>37533</v>
      </c>
      <c r="E4014" s="6">
        <v>28.32</v>
      </c>
    </row>
    <row r="4015" spans="4:5" x14ac:dyDescent="0.25">
      <c r="D4015" s="4">
        <v>37536</v>
      </c>
      <c r="E4015" s="6">
        <v>28.38</v>
      </c>
    </row>
    <row r="4016" spans="4:5" x14ac:dyDescent="0.25">
      <c r="D4016" s="4">
        <v>37537</v>
      </c>
      <c r="E4016" s="6">
        <v>28.28</v>
      </c>
    </row>
    <row r="4017" spans="4:5" x14ac:dyDescent="0.25">
      <c r="D4017" s="4">
        <v>37538</v>
      </c>
      <c r="E4017" s="6">
        <v>28.29</v>
      </c>
    </row>
    <row r="4018" spans="4:5" x14ac:dyDescent="0.25">
      <c r="D4018" s="4">
        <v>37539</v>
      </c>
      <c r="E4018" s="6">
        <v>27.7</v>
      </c>
    </row>
    <row r="4019" spans="4:5" x14ac:dyDescent="0.25">
      <c r="D4019" s="4">
        <v>37540</v>
      </c>
      <c r="E4019" s="6">
        <v>28.18</v>
      </c>
    </row>
    <row r="4020" spans="4:5" x14ac:dyDescent="0.25">
      <c r="D4020" s="4">
        <v>37543</v>
      </c>
      <c r="E4020" s="6">
        <v>28.56</v>
      </c>
    </row>
    <row r="4021" spans="4:5" x14ac:dyDescent="0.25">
      <c r="D4021" s="4">
        <v>37544</v>
      </c>
      <c r="E4021" s="6">
        <v>28.66</v>
      </c>
    </row>
    <row r="4022" spans="4:5" x14ac:dyDescent="0.25">
      <c r="D4022" s="4">
        <v>37545</v>
      </c>
      <c r="E4022" s="6">
        <v>28.61</v>
      </c>
    </row>
    <row r="4023" spans="4:5" x14ac:dyDescent="0.25">
      <c r="D4023" s="4">
        <v>37546</v>
      </c>
      <c r="E4023" s="6">
        <v>28.22</v>
      </c>
    </row>
    <row r="4024" spans="4:5" x14ac:dyDescent="0.25">
      <c r="D4024" s="4">
        <v>37547</v>
      </c>
      <c r="E4024" s="6">
        <v>28.2</v>
      </c>
    </row>
    <row r="4025" spans="4:5" x14ac:dyDescent="0.25">
      <c r="D4025" s="4">
        <v>37550</v>
      </c>
      <c r="E4025" s="6">
        <v>27.01</v>
      </c>
    </row>
    <row r="4026" spans="4:5" x14ac:dyDescent="0.25">
      <c r="D4026" s="4">
        <v>37551</v>
      </c>
      <c r="E4026" s="6">
        <v>26.69</v>
      </c>
    </row>
    <row r="4027" spans="4:5" x14ac:dyDescent="0.25">
      <c r="D4027" s="4">
        <v>37552</v>
      </c>
      <c r="E4027" s="6">
        <v>26.68</v>
      </c>
    </row>
    <row r="4028" spans="4:5" x14ac:dyDescent="0.25">
      <c r="D4028" s="4">
        <v>37553</v>
      </c>
      <c r="E4028" s="6">
        <v>26.78</v>
      </c>
    </row>
    <row r="4029" spans="4:5" x14ac:dyDescent="0.25">
      <c r="D4029" s="4">
        <v>37554</v>
      </c>
      <c r="E4029" s="6">
        <v>25.96</v>
      </c>
    </row>
    <row r="4030" spans="4:5" x14ac:dyDescent="0.25">
      <c r="D4030" s="4">
        <v>37557</v>
      </c>
      <c r="E4030" s="6">
        <v>25.44</v>
      </c>
    </row>
    <row r="4031" spans="4:5" x14ac:dyDescent="0.25">
      <c r="D4031" s="4">
        <v>37558</v>
      </c>
      <c r="E4031" s="6">
        <v>25.71</v>
      </c>
    </row>
    <row r="4032" spans="4:5" x14ac:dyDescent="0.25">
      <c r="D4032" s="4">
        <v>37559</v>
      </c>
      <c r="E4032" s="6">
        <v>25.29</v>
      </c>
    </row>
    <row r="4033" spans="4:5" x14ac:dyDescent="0.25">
      <c r="D4033" s="4">
        <v>37560</v>
      </c>
      <c r="E4033" s="6">
        <v>25.51</v>
      </c>
    </row>
    <row r="4034" spans="4:5" x14ac:dyDescent="0.25">
      <c r="D4034" s="4">
        <v>37561</v>
      </c>
      <c r="E4034" s="6">
        <v>25.78</v>
      </c>
    </row>
    <row r="4035" spans="4:5" x14ac:dyDescent="0.25">
      <c r="D4035" s="4">
        <v>37564</v>
      </c>
      <c r="E4035" s="6">
        <v>25.21</v>
      </c>
    </row>
    <row r="4036" spans="4:5" x14ac:dyDescent="0.25">
      <c r="D4036" s="4">
        <v>37565</v>
      </c>
      <c r="E4036" s="6">
        <v>24.66</v>
      </c>
    </row>
    <row r="4037" spans="4:5" x14ac:dyDescent="0.25">
      <c r="D4037" s="4">
        <v>37566</v>
      </c>
      <c r="E4037" s="6">
        <v>23.73</v>
      </c>
    </row>
    <row r="4038" spans="4:5" x14ac:dyDescent="0.25">
      <c r="D4038" s="4">
        <v>37567</v>
      </c>
      <c r="E4038" s="6">
        <v>24.36</v>
      </c>
    </row>
    <row r="4039" spans="4:5" x14ac:dyDescent="0.25">
      <c r="D4039" s="4">
        <v>37568</v>
      </c>
      <c r="E4039" s="6">
        <v>23.54</v>
      </c>
    </row>
    <row r="4040" spans="4:5" x14ac:dyDescent="0.25">
      <c r="D4040" s="4">
        <v>37571</v>
      </c>
      <c r="E4040" s="6">
        <v>23.86</v>
      </c>
    </row>
    <row r="4041" spans="4:5" x14ac:dyDescent="0.25">
      <c r="D4041" s="4">
        <v>37572</v>
      </c>
      <c r="E4041" s="6">
        <v>24.01</v>
      </c>
    </row>
    <row r="4042" spans="4:5" x14ac:dyDescent="0.25">
      <c r="D4042" s="4">
        <v>37573</v>
      </c>
      <c r="E4042" s="6">
        <v>22.96</v>
      </c>
    </row>
    <row r="4043" spans="4:5" x14ac:dyDescent="0.25">
      <c r="D4043" s="4">
        <v>37574</v>
      </c>
      <c r="E4043" s="6">
        <v>22.82</v>
      </c>
    </row>
    <row r="4044" spans="4:5" x14ac:dyDescent="0.25">
      <c r="D4044" s="4">
        <v>37575</v>
      </c>
      <c r="E4044" s="6">
        <v>23.33</v>
      </c>
    </row>
    <row r="4045" spans="4:5" x14ac:dyDescent="0.25">
      <c r="D4045" s="4">
        <v>37578</v>
      </c>
      <c r="E4045" s="6">
        <v>23.41</v>
      </c>
    </row>
    <row r="4046" spans="4:5" x14ac:dyDescent="0.25">
      <c r="D4046" s="4">
        <v>37579</v>
      </c>
      <c r="E4046" s="6">
        <v>24.05</v>
      </c>
    </row>
    <row r="4047" spans="4:5" x14ac:dyDescent="0.25">
      <c r="D4047" s="4">
        <v>37580</v>
      </c>
      <c r="E4047" s="6">
        <v>24.05</v>
      </c>
    </row>
    <row r="4048" spans="4:5" x14ac:dyDescent="0.25">
      <c r="D4048" s="4">
        <v>37581</v>
      </c>
      <c r="E4048" s="6">
        <v>24.52</v>
      </c>
    </row>
    <row r="4049" spans="4:5" x14ac:dyDescent="0.25">
      <c r="D4049" s="4">
        <v>37582</v>
      </c>
      <c r="E4049" s="6">
        <v>24.79</v>
      </c>
    </row>
    <row r="4050" spans="4:5" x14ac:dyDescent="0.25">
      <c r="D4050" s="4">
        <v>37585</v>
      </c>
      <c r="E4050" s="6">
        <v>24.85</v>
      </c>
    </row>
    <row r="4051" spans="4:5" x14ac:dyDescent="0.25">
      <c r="D4051" s="4">
        <v>37586</v>
      </c>
      <c r="E4051" s="6">
        <v>24.56</v>
      </c>
    </row>
    <row r="4052" spans="4:5" x14ac:dyDescent="0.25">
      <c r="D4052" s="4">
        <v>37587</v>
      </c>
      <c r="E4052" s="6">
        <v>25.11</v>
      </c>
    </row>
    <row r="4053" spans="4:5" x14ac:dyDescent="0.25">
      <c r="D4053" s="4">
        <v>37588</v>
      </c>
      <c r="E4053" s="6">
        <v>25.7</v>
      </c>
    </row>
    <row r="4054" spans="4:5" x14ac:dyDescent="0.25">
      <c r="D4054" s="4">
        <v>37589</v>
      </c>
      <c r="E4054" s="6">
        <v>25.74</v>
      </c>
    </row>
    <row r="4055" spans="4:5" x14ac:dyDescent="0.25">
      <c r="D4055" s="4">
        <v>37592</v>
      </c>
      <c r="E4055" s="6">
        <v>25.73</v>
      </c>
    </row>
    <row r="4056" spans="4:5" x14ac:dyDescent="0.25">
      <c r="D4056" s="4">
        <v>37593</v>
      </c>
      <c r="E4056" s="6">
        <v>26.09</v>
      </c>
    </row>
    <row r="4057" spans="4:5" x14ac:dyDescent="0.25">
      <c r="D4057" s="4">
        <v>37594</v>
      </c>
      <c r="E4057" s="6">
        <v>25.99</v>
      </c>
    </row>
    <row r="4058" spans="4:5" x14ac:dyDescent="0.25">
      <c r="D4058" s="4">
        <v>37595</v>
      </c>
      <c r="E4058" s="6">
        <v>26.07</v>
      </c>
    </row>
    <row r="4059" spans="4:5" x14ac:dyDescent="0.25">
      <c r="D4059" s="4">
        <v>37596</v>
      </c>
      <c r="E4059" s="6">
        <v>25.67</v>
      </c>
    </row>
    <row r="4060" spans="4:5" x14ac:dyDescent="0.25">
      <c r="D4060" s="4">
        <v>37599</v>
      </c>
      <c r="E4060" s="6">
        <v>26.06</v>
      </c>
    </row>
    <row r="4061" spans="4:5" x14ac:dyDescent="0.25">
      <c r="D4061" s="4">
        <v>37600</v>
      </c>
      <c r="E4061" s="6">
        <v>26.35</v>
      </c>
    </row>
    <row r="4062" spans="4:5" x14ac:dyDescent="0.25">
      <c r="D4062" s="4">
        <v>37601</v>
      </c>
      <c r="E4062" s="6">
        <v>26.85</v>
      </c>
    </row>
    <row r="4063" spans="4:5" x14ac:dyDescent="0.25">
      <c r="D4063" s="4">
        <v>37602</v>
      </c>
      <c r="E4063" s="6">
        <v>27.29</v>
      </c>
    </row>
    <row r="4064" spans="4:5" x14ac:dyDescent="0.25">
      <c r="D4064" s="4">
        <v>37603</v>
      </c>
      <c r="E4064" s="6">
        <v>27.64</v>
      </c>
    </row>
    <row r="4065" spans="4:5" x14ac:dyDescent="0.25">
      <c r="D4065" s="4">
        <v>37606</v>
      </c>
      <c r="E4065" s="6">
        <v>28.73</v>
      </c>
    </row>
    <row r="4066" spans="4:5" x14ac:dyDescent="0.25">
      <c r="D4066" s="4">
        <v>37607</v>
      </c>
      <c r="E4066" s="6">
        <v>29.25</v>
      </c>
    </row>
    <row r="4067" spans="4:5" x14ac:dyDescent="0.25">
      <c r="D4067" s="4">
        <v>37608</v>
      </c>
      <c r="E4067" s="6">
        <v>29.95</v>
      </c>
    </row>
    <row r="4068" spans="4:5" x14ac:dyDescent="0.25">
      <c r="D4068" s="4">
        <v>37609</v>
      </c>
      <c r="E4068" s="6">
        <v>30.26</v>
      </c>
    </row>
    <row r="4069" spans="4:5" x14ac:dyDescent="0.25">
      <c r="D4069" s="4">
        <v>37610</v>
      </c>
      <c r="E4069" s="6">
        <v>29.59</v>
      </c>
    </row>
    <row r="4070" spans="4:5" x14ac:dyDescent="0.25">
      <c r="D4070" s="4">
        <v>37613</v>
      </c>
      <c r="E4070" s="6">
        <v>30.61</v>
      </c>
    </row>
    <row r="4071" spans="4:5" x14ac:dyDescent="0.25">
      <c r="D4071" s="4">
        <v>37614</v>
      </c>
      <c r="E4071" s="6">
        <v>30.93</v>
      </c>
    </row>
    <row r="4072" spans="4:5" x14ac:dyDescent="0.25">
      <c r="D4072" s="4">
        <v>37615</v>
      </c>
      <c r="E4072" s="5"/>
    </row>
    <row r="4073" spans="4:5" x14ac:dyDescent="0.25">
      <c r="D4073" s="4">
        <v>37616</v>
      </c>
      <c r="E4073" s="5"/>
    </row>
    <row r="4074" spans="4:5" x14ac:dyDescent="0.25">
      <c r="D4074" s="4">
        <v>37617</v>
      </c>
      <c r="E4074" s="6">
        <v>31.49</v>
      </c>
    </row>
    <row r="4075" spans="4:5" x14ac:dyDescent="0.25">
      <c r="D4075" s="4">
        <v>37620</v>
      </c>
      <c r="E4075" s="6">
        <v>32.020000000000003</v>
      </c>
    </row>
    <row r="4076" spans="4:5" x14ac:dyDescent="0.25">
      <c r="D4076" s="4">
        <v>37621</v>
      </c>
      <c r="E4076" s="6">
        <v>30.12</v>
      </c>
    </row>
    <row r="4077" spans="4:5" x14ac:dyDescent="0.25">
      <c r="D4077" s="4">
        <v>37622</v>
      </c>
      <c r="E4077" s="5"/>
    </row>
    <row r="4078" spans="4:5" x14ac:dyDescent="0.25">
      <c r="D4078" s="4">
        <v>37623</v>
      </c>
      <c r="E4078" s="6">
        <v>30.32</v>
      </c>
    </row>
    <row r="4079" spans="4:5" x14ac:dyDescent="0.25">
      <c r="D4079" s="4">
        <v>37624</v>
      </c>
      <c r="E4079" s="6">
        <v>31.43</v>
      </c>
    </row>
    <row r="4080" spans="4:5" x14ac:dyDescent="0.25">
      <c r="D4080" s="4">
        <v>37627</v>
      </c>
      <c r="E4080" s="6">
        <v>31.43</v>
      </c>
    </row>
    <row r="4081" spans="4:5" x14ac:dyDescent="0.25">
      <c r="D4081" s="4">
        <v>37628</v>
      </c>
      <c r="E4081" s="6">
        <v>30.78</v>
      </c>
    </row>
    <row r="4082" spans="4:5" x14ac:dyDescent="0.25">
      <c r="D4082" s="4">
        <v>37629</v>
      </c>
      <c r="E4082" s="6">
        <v>29.3</v>
      </c>
    </row>
    <row r="4083" spans="4:5" x14ac:dyDescent="0.25">
      <c r="D4083" s="4">
        <v>37630</v>
      </c>
      <c r="E4083" s="6">
        <v>30.26</v>
      </c>
    </row>
    <row r="4084" spans="4:5" x14ac:dyDescent="0.25">
      <c r="D4084" s="4">
        <v>37631</v>
      </c>
      <c r="E4084" s="6">
        <v>30.07</v>
      </c>
    </row>
    <row r="4085" spans="4:5" x14ac:dyDescent="0.25">
      <c r="D4085" s="4">
        <v>37634</v>
      </c>
      <c r="E4085" s="6">
        <v>30.46</v>
      </c>
    </row>
    <row r="4086" spans="4:5" x14ac:dyDescent="0.25">
      <c r="D4086" s="4">
        <v>37635</v>
      </c>
      <c r="E4086" s="6">
        <v>31.36</v>
      </c>
    </row>
    <row r="4087" spans="4:5" x14ac:dyDescent="0.25">
      <c r="D4087" s="4">
        <v>37636</v>
      </c>
      <c r="E4087" s="6">
        <v>31.73</v>
      </c>
    </row>
    <row r="4088" spans="4:5" x14ac:dyDescent="0.25">
      <c r="D4088" s="4">
        <v>37637</v>
      </c>
      <c r="E4088" s="6">
        <v>32.29</v>
      </c>
    </row>
    <row r="4089" spans="4:5" x14ac:dyDescent="0.25">
      <c r="D4089" s="4">
        <v>37638</v>
      </c>
      <c r="E4089" s="6">
        <v>31.57</v>
      </c>
    </row>
    <row r="4090" spans="4:5" x14ac:dyDescent="0.25">
      <c r="D4090" s="4">
        <v>37641</v>
      </c>
      <c r="E4090" s="6">
        <v>32.229999999999997</v>
      </c>
    </row>
    <row r="4091" spans="4:5" x14ac:dyDescent="0.25">
      <c r="D4091" s="4">
        <v>37642</v>
      </c>
      <c r="E4091" s="6">
        <v>31.72</v>
      </c>
    </row>
    <row r="4092" spans="4:5" x14ac:dyDescent="0.25">
      <c r="D4092" s="4">
        <v>37643</v>
      </c>
      <c r="E4092" s="6">
        <v>32.07</v>
      </c>
    </row>
    <row r="4093" spans="4:5" x14ac:dyDescent="0.25">
      <c r="D4093" s="4">
        <v>37644</v>
      </c>
      <c r="E4093" s="6">
        <v>31.4</v>
      </c>
    </row>
    <row r="4094" spans="4:5" x14ac:dyDescent="0.25">
      <c r="D4094" s="4">
        <v>37645</v>
      </c>
      <c r="E4094" s="6">
        <v>31.62</v>
      </c>
    </row>
    <row r="4095" spans="4:5" x14ac:dyDescent="0.25">
      <c r="D4095" s="4">
        <v>37648</v>
      </c>
      <c r="E4095" s="6">
        <v>31.02</v>
      </c>
    </row>
    <row r="4096" spans="4:5" x14ac:dyDescent="0.25">
      <c r="D4096" s="4">
        <v>37649</v>
      </c>
      <c r="E4096" s="6">
        <v>30.73</v>
      </c>
    </row>
    <row r="4097" spans="4:5" x14ac:dyDescent="0.25">
      <c r="D4097" s="4">
        <v>37650</v>
      </c>
      <c r="E4097" s="6">
        <v>31.26</v>
      </c>
    </row>
    <row r="4098" spans="4:5" x14ac:dyDescent="0.25">
      <c r="D4098" s="4">
        <v>37651</v>
      </c>
      <c r="E4098" s="6">
        <v>31.42</v>
      </c>
    </row>
    <row r="4099" spans="4:5" x14ac:dyDescent="0.25">
      <c r="D4099" s="4">
        <v>37652</v>
      </c>
      <c r="E4099" s="6">
        <v>31.57</v>
      </c>
    </row>
    <row r="4100" spans="4:5" x14ac:dyDescent="0.25">
      <c r="D4100" s="4">
        <v>37655</v>
      </c>
      <c r="E4100" s="6">
        <v>30.95</v>
      </c>
    </row>
    <row r="4101" spans="4:5" x14ac:dyDescent="0.25">
      <c r="D4101" s="4">
        <v>37656</v>
      </c>
      <c r="E4101" s="6">
        <v>31.13</v>
      </c>
    </row>
    <row r="4102" spans="4:5" x14ac:dyDescent="0.25">
      <c r="D4102" s="4">
        <v>37657</v>
      </c>
      <c r="E4102" s="6">
        <v>31.77</v>
      </c>
    </row>
    <row r="4103" spans="4:5" x14ac:dyDescent="0.25">
      <c r="D4103" s="4">
        <v>37658</v>
      </c>
      <c r="E4103" s="6">
        <v>31.81</v>
      </c>
    </row>
    <row r="4104" spans="4:5" x14ac:dyDescent="0.25">
      <c r="D4104" s="4">
        <v>37659</v>
      </c>
      <c r="E4104" s="6">
        <v>32.229999999999997</v>
      </c>
    </row>
    <row r="4105" spans="4:5" x14ac:dyDescent="0.25">
      <c r="D4105" s="4">
        <v>37662</v>
      </c>
      <c r="E4105" s="6">
        <v>32.47</v>
      </c>
    </row>
    <row r="4106" spans="4:5" x14ac:dyDescent="0.25">
      <c r="D4106" s="4">
        <v>37663</v>
      </c>
      <c r="E4106" s="6">
        <v>32.51</v>
      </c>
    </row>
    <row r="4107" spans="4:5" x14ac:dyDescent="0.25">
      <c r="D4107" s="4">
        <v>37664</v>
      </c>
      <c r="E4107" s="6">
        <v>32.46</v>
      </c>
    </row>
    <row r="4108" spans="4:5" x14ac:dyDescent="0.25">
      <c r="D4108" s="4">
        <v>37665</v>
      </c>
      <c r="E4108" s="6">
        <v>33.229999999999997</v>
      </c>
    </row>
    <row r="4109" spans="4:5" x14ac:dyDescent="0.25">
      <c r="D4109" s="4">
        <v>37666</v>
      </c>
      <c r="E4109" s="6">
        <v>33.26</v>
      </c>
    </row>
    <row r="4110" spans="4:5" x14ac:dyDescent="0.25">
      <c r="D4110" s="4">
        <v>37669</v>
      </c>
      <c r="E4110" s="6">
        <v>33.06</v>
      </c>
    </row>
    <row r="4111" spans="4:5" x14ac:dyDescent="0.25">
      <c r="D4111" s="4">
        <v>37670</v>
      </c>
      <c r="E4111" s="6">
        <v>33.26</v>
      </c>
    </row>
    <row r="4112" spans="4:5" x14ac:dyDescent="0.25">
      <c r="D4112" s="4">
        <v>37671</v>
      </c>
      <c r="E4112" s="6">
        <v>33.159999999999997</v>
      </c>
    </row>
    <row r="4113" spans="4:5" x14ac:dyDescent="0.25">
      <c r="D4113" s="4">
        <v>37672</v>
      </c>
      <c r="E4113" s="6">
        <v>32.76</v>
      </c>
    </row>
    <row r="4114" spans="4:5" x14ac:dyDescent="0.25">
      <c r="D4114" s="4">
        <v>37673</v>
      </c>
      <c r="E4114" s="6">
        <v>32.76</v>
      </c>
    </row>
    <row r="4115" spans="4:5" x14ac:dyDescent="0.25">
      <c r="D4115" s="4">
        <v>37676</v>
      </c>
      <c r="E4115" s="6">
        <v>33.409999999999997</v>
      </c>
    </row>
    <row r="4116" spans="4:5" x14ac:dyDescent="0.25">
      <c r="D4116" s="4">
        <v>37677</v>
      </c>
      <c r="E4116" s="6">
        <v>33.64</v>
      </c>
    </row>
    <row r="4117" spans="4:5" x14ac:dyDescent="0.25">
      <c r="D4117" s="4">
        <v>37678</v>
      </c>
      <c r="E4117" s="6">
        <v>33.46</v>
      </c>
    </row>
    <row r="4118" spans="4:5" x14ac:dyDescent="0.25">
      <c r="D4118" s="4">
        <v>37679</v>
      </c>
      <c r="E4118" s="6">
        <v>34.090000000000003</v>
      </c>
    </row>
    <row r="4119" spans="4:5" x14ac:dyDescent="0.25">
      <c r="D4119" s="4">
        <v>37680</v>
      </c>
      <c r="E4119" s="6">
        <v>34</v>
      </c>
    </row>
    <row r="4120" spans="4:5" x14ac:dyDescent="0.25">
      <c r="D4120" s="4">
        <v>37683</v>
      </c>
      <c r="E4120" s="6">
        <v>33.4</v>
      </c>
    </row>
    <row r="4121" spans="4:5" x14ac:dyDescent="0.25">
      <c r="D4121" s="4">
        <v>37684</v>
      </c>
      <c r="E4121" s="6">
        <v>34.369999999999997</v>
      </c>
    </row>
    <row r="4122" spans="4:5" x14ac:dyDescent="0.25">
      <c r="D4122" s="4">
        <v>37685</v>
      </c>
      <c r="E4122" s="6">
        <v>33.92</v>
      </c>
    </row>
    <row r="4123" spans="4:5" x14ac:dyDescent="0.25">
      <c r="D4123" s="4">
        <v>37686</v>
      </c>
      <c r="E4123" s="6">
        <v>34.39</v>
      </c>
    </row>
    <row r="4124" spans="4:5" x14ac:dyDescent="0.25">
      <c r="D4124" s="4">
        <v>37687</v>
      </c>
      <c r="E4124" s="6">
        <v>34.47</v>
      </c>
    </row>
    <row r="4125" spans="4:5" x14ac:dyDescent="0.25">
      <c r="D4125" s="4">
        <v>37690</v>
      </c>
      <c r="E4125" s="6">
        <v>34.94</v>
      </c>
    </row>
    <row r="4126" spans="4:5" x14ac:dyDescent="0.25">
      <c r="D4126" s="4">
        <v>37691</v>
      </c>
      <c r="E4126" s="6">
        <v>34.06</v>
      </c>
    </row>
    <row r="4127" spans="4:5" x14ac:dyDescent="0.25">
      <c r="D4127" s="4">
        <v>37692</v>
      </c>
      <c r="E4127" s="6">
        <v>34.159999999999997</v>
      </c>
    </row>
    <row r="4128" spans="4:5" x14ac:dyDescent="0.25">
      <c r="D4128" s="4">
        <v>37693</v>
      </c>
      <c r="E4128" s="6">
        <v>33.979999999999997</v>
      </c>
    </row>
    <row r="4129" spans="4:5" x14ac:dyDescent="0.25">
      <c r="D4129" s="4">
        <v>37694</v>
      </c>
      <c r="E4129" s="6">
        <v>31.48</v>
      </c>
    </row>
    <row r="4130" spans="4:5" x14ac:dyDescent="0.25">
      <c r="D4130" s="4">
        <v>37697</v>
      </c>
      <c r="E4130" s="6">
        <v>30.35</v>
      </c>
    </row>
    <row r="4131" spans="4:5" x14ac:dyDescent="0.25">
      <c r="D4131" s="4">
        <v>37698</v>
      </c>
      <c r="E4131" s="6">
        <v>28.55</v>
      </c>
    </row>
    <row r="4132" spans="4:5" x14ac:dyDescent="0.25">
      <c r="D4132" s="4">
        <v>37699</v>
      </c>
      <c r="E4132" s="6">
        <v>28.4</v>
      </c>
    </row>
    <row r="4133" spans="4:5" x14ac:dyDescent="0.25">
      <c r="D4133" s="4">
        <v>37700</v>
      </c>
      <c r="E4133" s="6">
        <v>28</v>
      </c>
    </row>
    <row r="4134" spans="4:5" x14ac:dyDescent="0.25">
      <c r="D4134" s="4">
        <v>37701</v>
      </c>
      <c r="E4134" s="6">
        <v>25.59</v>
      </c>
    </row>
    <row r="4135" spans="4:5" x14ac:dyDescent="0.25">
      <c r="D4135" s="4">
        <v>37704</v>
      </c>
      <c r="E4135" s="6">
        <v>26.54</v>
      </c>
    </row>
    <row r="4136" spans="4:5" x14ac:dyDescent="0.25">
      <c r="D4136" s="4">
        <v>37705</v>
      </c>
      <c r="E4136" s="6">
        <v>27.28</v>
      </c>
    </row>
    <row r="4137" spans="4:5" x14ac:dyDescent="0.25">
      <c r="D4137" s="4">
        <v>37706</v>
      </c>
      <c r="E4137" s="6">
        <v>25.98</v>
      </c>
    </row>
    <row r="4138" spans="4:5" x14ac:dyDescent="0.25">
      <c r="D4138" s="4">
        <v>37707</v>
      </c>
      <c r="E4138" s="6">
        <v>27.29</v>
      </c>
    </row>
    <row r="4139" spans="4:5" x14ac:dyDescent="0.25">
      <c r="D4139" s="4">
        <v>37708</v>
      </c>
      <c r="E4139" s="6">
        <v>27.66</v>
      </c>
    </row>
    <row r="4140" spans="4:5" x14ac:dyDescent="0.25">
      <c r="D4140" s="4">
        <v>37711</v>
      </c>
      <c r="E4140" s="6">
        <v>28.05</v>
      </c>
    </row>
    <row r="4141" spans="4:5" x14ac:dyDescent="0.25">
      <c r="D4141" s="4">
        <v>37712</v>
      </c>
      <c r="E4141" s="6">
        <v>27.94</v>
      </c>
    </row>
    <row r="4142" spans="4:5" x14ac:dyDescent="0.25">
      <c r="D4142" s="4">
        <v>37713</v>
      </c>
      <c r="E4142" s="6">
        <v>26.29</v>
      </c>
    </row>
    <row r="4143" spans="4:5" x14ac:dyDescent="0.25">
      <c r="D4143" s="4">
        <v>37714</v>
      </c>
      <c r="E4143" s="6">
        <v>26.75</v>
      </c>
    </row>
    <row r="4144" spans="4:5" x14ac:dyDescent="0.25">
      <c r="D4144" s="4">
        <v>37715</v>
      </c>
      <c r="E4144" s="6">
        <v>25.62</v>
      </c>
    </row>
    <row r="4145" spans="4:5" x14ac:dyDescent="0.25">
      <c r="D4145" s="4">
        <v>37718</v>
      </c>
      <c r="E4145" s="6">
        <v>25.27</v>
      </c>
    </row>
    <row r="4146" spans="4:5" x14ac:dyDescent="0.25">
      <c r="D4146" s="4">
        <v>37719</v>
      </c>
      <c r="E4146" s="6">
        <v>24.88</v>
      </c>
    </row>
    <row r="4147" spans="4:5" x14ac:dyDescent="0.25">
      <c r="D4147" s="4">
        <v>37720</v>
      </c>
      <c r="E4147" s="6">
        <v>25.11</v>
      </c>
    </row>
    <row r="4148" spans="4:5" x14ac:dyDescent="0.25">
      <c r="D4148" s="4">
        <v>37721</v>
      </c>
      <c r="E4148" s="6">
        <v>25.16</v>
      </c>
    </row>
    <row r="4149" spans="4:5" x14ac:dyDescent="0.25">
      <c r="D4149" s="4">
        <v>37722</v>
      </c>
      <c r="E4149" s="6">
        <v>24.39</v>
      </c>
    </row>
    <row r="4150" spans="4:5" x14ac:dyDescent="0.25">
      <c r="D4150" s="4">
        <v>37725</v>
      </c>
      <c r="E4150" s="6">
        <v>24.72</v>
      </c>
    </row>
    <row r="4151" spans="4:5" x14ac:dyDescent="0.25">
      <c r="D4151" s="4">
        <v>37726</v>
      </c>
      <c r="E4151" s="6">
        <v>24.74</v>
      </c>
    </row>
    <row r="4152" spans="4:5" x14ac:dyDescent="0.25">
      <c r="D4152" s="4">
        <v>37727</v>
      </c>
      <c r="E4152" s="6">
        <v>24.86</v>
      </c>
    </row>
    <row r="4153" spans="4:5" x14ac:dyDescent="0.25">
      <c r="D4153" s="4">
        <v>37728</v>
      </c>
      <c r="E4153" s="6">
        <v>25.36</v>
      </c>
    </row>
    <row r="4154" spans="4:5" x14ac:dyDescent="0.25">
      <c r="D4154" s="4">
        <v>37729</v>
      </c>
      <c r="E4154" s="6">
        <v>25.76</v>
      </c>
    </row>
    <row r="4155" spans="4:5" x14ac:dyDescent="0.25">
      <c r="D4155" s="4">
        <v>37732</v>
      </c>
      <c r="E4155" s="6">
        <v>25.76</v>
      </c>
    </row>
    <row r="4156" spans="4:5" x14ac:dyDescent="0.25">
      <c r="D4156" s="4">
        <v>37733</v>
      </c>
      <c r="E4156" s="6">
        <v>25.72</v>
      </c>
    </row>
    <row r="4157" spans="4:5" x14ac:dyDescent="0.25">
      <c r="D4157" s="4">
        <v>37734</v>
      </c>
      <c r="E4157" s="6">
        <v>24.56</v>
      </c>
    </row>
    <row r="4158" spans="4:5" x14ac:dyDescent="0.25">
      <c r="D4158" s="4">
        <v>37735</v>
      </c>
      <c r="E4158" s="6">
        <v>24.06</v>
      </c>
    </row>
    <row r="4159" spans="4:5" x14ac:dyDescent="0.25">
      <c r="D4159" s="4">
        <v>37736</v>
      </c>
      <c r="E4159" s="6">
        <v>24.29</v>
      </c>
    </row>
    <row r="4160" spans="4:5" x14ac:dyDescent="0.25">
      <c r="D4160" s="4">
        <v>37739</v>
      </c>
      <c r="E4160" s="6">
        <v>23.42</v>
      </c>
    </row>
    <row r="4161" spans="4:5" x14ac:dyDescent="0.25">
      <c r="D4161" s="4">
        <v>37740</v>
      </c>
      <c r="E4161" s="6">
        <v>23.23</v>
      </c>
    </row>
    <row r="4162" spans="4:5" x14ac:dyDescent="0.25">
      <c r="D4162" s="4">
        <v>37741</v>
      </c>
      <c r="E4162" s="6">
        <v>23.6</v>
      </c>
    </row>
    <row r="4163" spans="4:5" x14ac:dyDescent="0.25">
      <c r="D4163" s="4">
        <v>37742</v>
      </c>
      <c r="E4163" s="6">
        <v>23.79</v>
      </c>
    </row>
    <row r="4164" spans="4:5" x14ac:dyDescent="0.25">
      <c r="D4164" s="4">
        <v>37743</v>
      </c>
      <c r="E4164" s="6">
        <v>23.73</v>
      </c>
    </row>
    <row r="4165" spans="4:5" x14ac:dyDescent="0.25">
      <c r="D4165" s="4">
        <v>37746</v>
      </c>
      <c r="E4165" s="6">
        <v>23.59</v>
      </c>
    </row>
    <row r="4166" spans="4:5" x14ac:dyDescent="0.25">
      <c r="D4166" s="4">
        <v>37747</v>
      </c>
      <c r="E4166" s="6">
        <v>23.91</v>
      </c>
    </row>
    <row r="4167" spans="4:5" x14ac:dyDescent="0.25">
      <c r="D4167" s="4">
        <v>37748</v>
      </c>
      <c r="E4167" s="6">
        <v>24.01</v>
      </c>
    </row>
    <row r="4168" spans="4:5" x14ac:dyDescent="0.25">
      <c r="D4168" s="4">
        <v>37749</v>
      </c>
      <c r="E4168" s="6">
        <v>24.48</v>
      </c>
    </row>
    <row r="4169" spans="4:5" x14ac:dyDescent="0.25">
      <c r="D4169" s="4">
        <v>37750</v>
      </c>
      <c r="E4169" s="6">
        <v>25.55</v>
      </c>
    </row>
    <row r="4170" spans="4:5" x14ac:dyDescent="0.25">
      <c r="D4170" s="4">
        <v>37753</v>
      </c>
      <c r="E4170" s="6">
        <v>25.69</v>
      </c>
    </row>
    <row r="4171" spans="4:5" x14ac:dyDescent="0.25">
      <c r="D4171" s="4">
        <v>37754</v>
      </c>
      <c r="E4171" s="6">
        <v>25.45</v>
      </c>
    </row>
    <row r="4172" spans="4:5" x14ac:dyDescent="0.25">
      <c r="D4172" s="4">
        <v>37755</v>
      </c>
      <c r="E4172" s="6">
        <v>25.98</v>
      </c>
    </row>
    <row r="4173" spans="4:5" x14ac:dyDescent="0.25">
      <c r="D4173" s="4">
        <v>37756</v>
      </c>
      <c r="E4173" s="6">
        <v>26.77</v>
      </c>
    </row>
    <row r="4174" spans="4:5" x14ac:dyDescent="0.25">
      <c r="D4174" s="4">
        <v>37757</v>
      </c>
      <c r="E4174" s="6">
        <v>27.18</v>
      </c>
    </row>
    <row r="4175" spans="4:5" x14ac:dyDescent="0.25">
      <c r="D4175" s="4">
        <v>37760</v>
      </c>
      <c r="E4175" s="6">
        <v>27.23</v>
      </c>
    </row>
    <row r="4176" spans="4:5" x14ac:dyDescent="0.25">
      <c r="D4176" s="4">
        <v>37761</v>
      </c>
      <c r="E4176" s="6">
        <v>26.69</v>
      </c>
    </row>
    <row r="4177" spans="4:5" x14ac:dyDescent="0.25">
      <c r="D4177" s="4">
        <v>37762</v>
      </c>
      <c r="E4177" s="6">
        <v>27.58</v>
      </c>
    </row>
    <row r="4178" spans="4:5" x14ac:dyDescent="0.25">
      <c r="D4178" s="4">
        <v>37763</v>
      </c>
      <c r="E4178" s="6">
        <v>27.32</v>
      </c>
    </row>
    <row r="4179" spans="4:5" x14ac:dyDescent="0.25">
      <c r="D4179" s="4">
        <v>37764</v>
      </c>
      <c r="E4179" s="6">
        <v>27.14</v>
      </c>
    </row>
    <row r="4180" spans="4:5" x14ac:dyDescent="0.25">
      <c r="D4180" s="4">
        <v>37767</v>
      </c>
      <c r="E4180" s="6">
        <v>26.78</v>
      </c>
    </row>
    <row r="4181" spans="4:5" x14ac:dyDescent="0.25">
      <c r="D4181" s="4">
        <v>37768</v>
      </c>
      <c r="E4181" s="6">
        <v>26.55</v>
      </c>
    </row>
    <row r="4182" spans="4:5" x14ac:dyDescent="0.25">
      <c r="D4182" s="4">
        <v>37769</v>
      </c>
      <c r="E4182" s="6">
        <v>26.48</v>
      </c>
    </row>
    <row r="4183" spans="4:5" x14ac:dyDescent="0.25">
      <c r="D4183" s="4">
        <v>37770</v>
      </c>
      <c r="E4183" s="6">
        <v>26.39</v>
      </c>
    </row>
    <row r="4184" spans="4:5" x14ac:dyDescent="0.25">
      <c r="D4184" s="4">
        <v>37771</v>
      </c>
      <c r="E4184" s="6">
        <v>26.58</v>
      </c>
    </row>
    <row r="4185" spans="4:5" x14ac:dyDescent="0.25">
      <c r="D4185" s="4">
        <v>37774</v>
      </c>
      <c r="E4185" s="6">
        <v>27.56</v>
      </c>
    </row>
    <row r="4186" spans="4:5" x14ac:dyDescent="0.25">
      <c r="D4186" s="4">
        <v>37775</v>
      </c>
      <c r="E4186" s="6">
        <v>27.99</v>
      </c>
    </row>
    <row r="4187" spans="4:5" x14ac:dyDescent="0.25">
      <c r="D4187" s="4">
        <v>37776</v>
      </c>
      <c r="E4187" s="6">
        <v>27.49</v>
      </c>
    </row>
    <row r="4188" spans="4:5" x14ac:dyDescent="0.25">
      <c r="D4188" s="4">
        <v>37777</v>
      </c>
      <c r="E4188" s="6">
        <v>28.16</v>
      </c>
    </row>
    <row r="4189" spans="4:5" x14ac:dyDescent="0.25">
      <c r="D4189" s="4">
        <v>37778</v>
      </c>
      <c r="E4189" s="6">
        <v>28.38</v>
      </c>
    </row>
    <row r="4190" spans="4:5" x14ac:dyDescent="0.25">
      <c r="D4190" s="4">
        <v>37781</v>
      </c>
      <c r="E4190" s="6">
        <v>28.62</v>
      </c>
    </row>
    <row r="4191" spans="4:5" x14ac:dyDescent="0.25">
      <c r="D4191" s="4">
        <v>37782</v>
      </c>
      <c r="E4191" s="6">
        <v>28.44</v>
      </c>
    </row>
    <row r="4192" spans="4:5" x14ac:dyDescent="0.25">
      <c r="D4192" s="4">
        <v>37783</v>
      </c>
      <c r="E4192" s="6">
        <v>28.97</v>
      </c>
    </row>
    <row r="4193" spans="4:5" x14ac:dyDescent="0.25">
      <c r="D4193" s="4">
        <v>37784</v>
      </c>
      <c r="E4193" s="6">
        <v>28.48</v>
      </c>
    </row>
    <row r="4194" spans="4:5" x14ac:dyDescent="0.25">
      <c r="D4194" s="4">
        <v>37785</v>
      </c>
      <c r="E4194" s="6">
        <v>27.39</v>
      </c>
    </row>
    <row r="4195" spans="4:5" x14ac:dyDescent="0.25">
      <c r="D4195" s="4">
        <v>37788</v>
      </c>
      <c r="E4195" s="6">
        <v>27.5</v>
      </c>
    </row>
    <row r="4196" spans="4:5" x14ac:dyDescent="0.25">
      <c r="D4196" s="4">
        <v>37789</v>
      </c>
      <c r="E4196" s="6">
        <v>27.14</v>
      </c>
    </row>
    <row r="4197" spans="4:5" x14ac:dyDescent="0.25">
      <c r="D4197" s="4">
        <v>37790</v>
      </c>
      <c r="E4197" s="6">
        <v>26.43</v>
      </c>
    </row>
    <row r="4198" spans="4:5" x14ac:dyDescent="0.25">
      <c r="D4198" s="4">
        <v>37791</v>
      </c>
      <c r="E4198" s="6">
        <v>26.21</v>
      </c>
    </row>
    <row r="4199" spans="4:5" x14ac:dyDescent="0.25">
      <c r="D4199" s="4">
        <v>37792</v>
      </c>
      <c r="E4199" s="6">
        <v>27.13</v>
      </c>
    </row>
    <row r="4200" spans="4:5" x14ac:dyDescent="0.25">
      <c r="D4200" s="4">
        <v>37795</v>
      </c>
      <c r="E4200" s="6">
        <v>27.13</v>
      </c>
    </row>
    <row r="4201" spans="4:5" x14ac:dyDescent="0.25">
      <c r="D4201" s="4">
        <v>37796</v>
      </c>
      <c r="E4201" s="6">
        <v>26.96</v>
      </c>
    </row>
    <row r="4202" spans="4:5" x14ac:dyDescent="0.25">
      <c r="D4202" s="4">
        <v>37797</v>
      </c>
      <c r="E4202" s="6">
        <v>27.34</v>
      </c>
    </row>
    <row r="4203" spans="4:5" x14ac:dyDescent="0.25">
      <c r="D4203" s="4">
        <v>37798</v>
      </c>
      <c r="E4203" s="6">
        <v>27.06</v>
      </c>
    </row>
    <row r="4204" spans="4:5" x14ac:dyDescent="0.25">
      <c r="D4204" s="4">
        <v>37799</v>
      </c>
      <c r="E4204" s="6">
        <v>27.45</v>
      </c>
    </row>
    <row r="4205" spans="4:5" x14ac:dyDescent="0.25">
      <c r="D4205" s="4">
        <v>37802</v>
      </c>
      <c r="E4205" s="6">
        <v>28.88</v>
      </c>
    </row>
    <row r="4206" spans="4:5" x14ac:dyDescent="0.25">
      <c r="D4206" s="4">
        <v>37803</v>
      </c>
      <c r="E4206" s="6">
        <v>28.33</v>
      </c>
    </row>
    <row r="4207" spans="4:5" x14ac:dyDescent="0.25">
      <c r="D4207" s="4">
        <v>37804</v>
      </c>
      <c r="E4207" s="6">
        <v>28.2</v>
      </c>
    </row>
    <row r="4208" spans="4:5" x14ac:dyDescent="0.25">
      <c r="D4208" s="4">
        <v>37805</v>
      </c>
      <c r="E4208" s="6">
        <v>28.63</v>
      </c>
    </row>
    <row r="4209" spans="4:5" x14ac:dyDescent="0.25">
      <c r="D4209" s="4">
        <v>37806</v>
      </c>
      <c r="E4209" s="6">
        <v>27.97</v>
      </c>
    </row>
    <row r="4210" spans="4:5" x14ac:dyDescent="0.25">
      <c r="D4210" s="4">
        <v>37809</v>
      </c>
      <c r="E4210" s="6">
        <v>27.23</v>
      </c>
    </row>
    <row r="4211" spans="4:5" x14ac:dyDescent="0.25">
      <c r="D4211" s="4">
        <v>37810</v>
      </c>
      <c r="E4211" s="6">
        <v>27.95</v>
      </c>
    </row>
    <row r="4212" spans="4:5" x14ac:dyDescent="0.25">
      <c r="D4212" s="4">
        <v>37811</v>
      </c>
      <c r="E4212" s="6">
        <v>28.21</v>
      </c>
    </row>
    <row r="4213" spans="4:5" x14ac:dyDescent="0.25">
      <c r="D4213" s="4">
        <v>37812</v>
      </c>
      <c r="E4213" s="6">
        <v>29.37</v>
      </c>
    </row>
    <row r="4214" spans="4:5" x14ac:dyDescent="0.25">
      <c r="D4214" s="4">
        <v>37813</v>
      </c>
      <c r="E4214" s="6">
        <v>29.36</v>
      </c>
    </row>
    <row r="4215" spans="4:5" x14ac:dyDescent="0.25">
      <c r="D4215" s="4">
        <v>37816</v>
      </c>
      <c r="E4215" s="6">
        <v>28.52</v>
      </c>
    </row>
    <row r="4216" spans="4:5" x14ac:dyDescent="0.25">
      <c r="D4216" s="4">
        <v>37817</v>
      </c>
      <c r="E4216" s="6">
        <v>28.87</v>
      </c>
    </row>
    <row r="4217" spans="4:5" x14ac:dyDescent="0.25">
      <c r="D4217" s="4">
        <v>37818</v>
      </c>
      <c r="E4217" s="6">
        <v>28.51</v>
      </c>
    </row>
    <row r="4218" spans="4:5" x14ac:dyDescent="0.25">
      <c r="D4218" s="4">
        <v>37819</v>
      </c>
      <c r="E4218" s="6">
        <v>28.59</v>
      </c>
    </row>
    <row r="4219" spans="4:5" x14ac:dyDescent="0.25">
      <c r="D4219" s="4">
        <v>37820</v>
      </c>
      <c r="E4219" s="6">
        <v>29.2</v>
      </c>
    </row>
    <row r="4220" spans="4:5" x14ac:dyDescent="0.25">
      <c r="D4220" s="4">
        <v>37823</v>
      </c>
      <c r="E4220" s="6">
        <v>28.01</v>
      </c>
    </row>
    <row r="4221" spans="4:5" x14ac:dyDescent="0.25">
      <c r="D4221" s="4">
        <v>37824</v>
      </c>
      <c r="E4221" s="6">
        <v>28.4</v>
      </c>
    </row>
    <row r="4222" spans="4:5" x14ac:dyDescent="0.25">
      <c r="D4222" s="4">
        <v>37825</v>
      </c>
      <c r="E4222" s="6">
        <v>27.67</v>
      </c>
    </row>
    <row r="4223" spans="4:5" x14ac:dyDescent="0.25">
      <c r="D4223" s="4">
        <v>37826</v>
      </c>
      <c r="E4223" s="6">
        <v>27.73</v>
      </c>
    </row>
    <row r="4224" spans="4:5" x14ac:dyDescent="0.25">
      <c r="D4224" s="4">
        <v>37827</v>
      </c>
      <c r="E4224" s="6">
        <v>28.3</v>
      </c>
    </row>
    <row r="4225" spans="4:5" x14ac:dyDescent="0.25">
      <c r="D4225" s="4">
        <v>37830</v>
      </c>
      <c r="E4225" s="6">
        <v>27.71</v>
      </c>
    </row>
    <row r="4226" spans="4:5" x14ac:dyDescent="0.25">
      <c r="D4226" s="4">
        <v>37831</v>
      </c>
      <c r="E4226" s="6">
        <v>28.27</v>
      </c>
    </row>
    <row r="4227" spans="4:5" x14ac:dyDescent="0.25">
      <c r="D4227" s="4">
        <v>37832</v>
      </c>
      <c r="E4227" s="6">
        <v>28.31</v>
      </c>
    </row>
    <row r="4228" spans="4:5" x14ac:dyDescent="0.25">
      <c r="D4228" s="4">
        <v>37833</v>
      </c>
      <c r="E4228" s="6">
        <v>28.68</v>
      </c>
    </row>
    <row r="4229" spans="4:5" x14ac:dyDescent="0.25">
      <c r="D4229" s="4">
        <v>37834</v>
      </c>
      <c r="E4229" s="6">
        <v>29.63</v>
      </c>
    </row>
    <row r="4230" spans="4:5" x14ac:dyDescent="0.25">
      <c r="D4230" s="4">
        <v>37837</v>
      </c>
      <c r="E4230" s="6">
        <v>29.91</v>
      </c>
    </row>
    <row r="4231" spans="4:5" x14ac:dyDescent="0.25">
      <c r="D4231" s="4">
        <v>37838</v>
      </c>
      <c r="E4231" s="6">
        <v>30.37</v>
      </c>
    </row>
    <row r="4232" spans="4:5" x14ac:dyDescent="0.25">
      <c r="D4232" s="4">
        <v>37839</v>
      </c>
      <c r="E4232" s="6">
        <v>30.01</v>
      </c>
    </row>
    <row r="4233" spans="4:5" x14ac:dyDescent="0.25">
      <c r="D4233" s="4">
        <v>37840</v>
      </c>
      <c r="E4233" s="6">
        <v>30.06</v>
      </c>
    </row>
    <row r="4234" spans="4:5" x14ac:dyDescent="0.25">
      <c r="D4234" s="4">
        <v>37841</v>
      </c>
      <c r="E4234" s="6">
        <v>30.59</v>
      </c>
    </row>
    <row r="4235" spans="4:5" x14ac:dyDescent="0.25">
      <c r="D4235" s="4">
        <v>37844</v>
      </c>
      <c r="E4235" s="6">
        <v>30.05</v>
      </c>
    </row>
    <row r="4236" spans="4:5" x14ac:dyDescent="0.25">
      <c r="D4236" s="4">
        <v>37845</v>
      </c>
      <c r="E4236" s="6">
        <v>30.13</v>
      </c>
    </row>
    <row r="4237" spans="4:5" x14ac:dyDescent="0.25">
      <c r="D4237" s="4">
        <v>37846</v>
      </c>
      <c r="E4237" s="6">
        <v>29.66</v>
      </c>
    </row>
    <row r="4238" spans="4:5" x14ac:dyDescent="0.25">
      <c r="D4238" s="4">
        <v>37847</v>
      </c>
      <c r="E4238" s="6">
        <v>28.96</v>
      </c>
    </row>
    <row r="4239" spans="4:5" x14ac:dyDescent="0.25">
      <c r="D4239" s="4">
        <v>37848</v>
      </c>
      <c r="E4239" s="6">
        <v>29.18</v>
      </c>
    </row>
    <row r="4240" spans="4:5" x14ac:dyDescent="0.25">
      <c r="D4240" s="4">
        <v>37851</v>
      </c>
      <c r="E4240" s="6">
        <v>29.88</v>
      </c>
    </row>
    <row r="4241" spans="4:5" x14ac:dyDescent="0.25">
      <c r="D4241" s="4">
        <v>37852</v>
      </c>
      <c r="E4241" s="6">
        <v>29.18</v>
      </c>
    </row>
    <row r="4242" spans="4:5" x14ac:dyDescent="0.25">
      <c r="D4242" s="4">
        <v>37853</v>
      </c>
      <c r="E4242" s="6">
        <v>29.28</v>
      </c>
    </row>
    <row r="4243" spans="4:5" x14ac:dyDescent="0.25">
      <c r="D4243" s="4">
        <v>37854</v>
      </c>
      <c r="E4243" s="6">
        <v>29.95</v>
      </c>
    </row>
    <row r="4244" spans="4:5" x14ac:dyDescent="0.25">
      <c r="D4244" s="4">
        <v>37855</v>
      </c>
      <c r="E4244" s="6">
        <v>30.22</v>
      </c>
    </row>
    <row r="4245" spans="4:5" x14ac:dyDescent="0.25">
      <c r="D4245" s="4">
        <v>37858</v>
      </c>
      <c r="E4245" s="6">
        <v>29.98</v>
      </c>
    </row>
    <row r="4246" spans="4:5" x14ac:dyDescent="0.25">
      <c r="D4246" s="4">
        <v>37859</v>
      </c>
      <c r="E4246" s="6">
        <v>30.08</v>
      </c>
    </row>
    <row r="4247" spans="4:5" x14ac:dyDescent="0.25">
      <c r="D4247" s="4">
        <v>37860</v>
      </c>
      <c r="E4247" s="6">
        <v>30.05</v>
      </c>
    </row>
    <row r="4248" spans="4:5" x14ac:dyDescent="0.25">
      <c r="D4248" s="4">
        <v>37861</v>
      </c>
      <c r="E4248" s="6">
        <v>30.1</v>
      </c>
    </row>
    <row r="4249" spans="4:5" x14ac:dyDescent="0.25">
      <c r="D4249" s="4">
        <v>37862</v>
      </c>
      <c r="E4249" s="6">
        <v>30.38</v>
      </c>
    </row>
    <row r="4250" spans="4:5" x14ac:dyDescent="0.25">
      <c r="D4250" s="4">
        <v>37865</v>
      </c>
      <c r="E4250" s="6">
        <v>29.64</v>
      </c>
    </row>
    <row r="4251" spans="4:5" x14ac:dyDescent="0.25">
      <c r="D4251" s="4">
        <v>37866</v>
      </c>
      <c r="E4251" s="6">
        <v>28.08</v>
      </c>
    </row>
    <row r="4252" spans="4:5" x14ac:dyDescent="0.25">
      <c r="D4252" s="4">
        <v>37867</v>
      </c>
      <c r="E4252" s="6">
        <v>27.89</v>
      </c>
    </row>
    <row r="4253" spans="4:5" x14ac:dyDescent="0.25">
      <c r="D4253" s="4">
        <v>37868</v>
      </c>
      <c r="E4253" s="6">
        <v>27.49</v>
      </c>
    </row>
    <row r="4254" spans="4:5" x14ac:dyDescent="0.25">
      <c r="D4254" s="4">
        <v>37869</v>
      </c>
      <c r="E4254" s="6">
        <v>27.72</v>
      </c>
    </row>
    <row r="4255" spans="4:5" x14ac:dyDescent="0.25">
      <c r="D4255" s="4">
        <v>37872</v>
      </c>
      <c r="E4255" s="6">
        <v>28.47</v>
      </c>
    </row>
    <row r="4256" spans="4:5" x14ac:dyDescent="0.25">
      <c r="D4256" s="4">
        <v>37873</v>
      </c>
      <c r="E4256" s="6">
        <v>27.64</v>
      </c>
    </row>
    <row r="4257" spans="4:5" x14ac:dyDescent="0.25">
      <c r="D4257" s="4">
        <v>37874</v>
      </c>
      <c r="E4257" s="6">
        <v>27.76</v>
      </c>
    </row>
    <row r="4258" spans="4:5" x14ac:dyDescent="0.25">
      <c r="D4258" s="4">
        <v>37875</v>
      </c>
      <c r="E4258" s="6">
        <v>27.48</v>
      </c>
    </row>
    <row r="4259" spans="4:5" x14ac:dyDescent="0.25">
      <c r="D4259" s="4">
        <v>37876</v>
      </c>
      <c r="E4259" s="6">
        <v>26.52</v>
      </c>
    </row>
    <row r="4260" spans="4:5" x14ac:dyDescent="0.25">
      <c r="D4260" s="4">
        <v>37879</v>
      </c>
      <c r="E4260" s="6">
        <v>26.38</v>
      </c>
    </row>
    <row r="4261" spans="4:5" x14ac:dyDescent="0.25">
      <c r="D4261" s="4">
        <v>37880</v>
      </c>
      <c r="E4261" s="6">
        <v>26.28</v>
      </c>
    </row>
    <row r="4262" spans="4:5" x14ac:dyDescent="0.25">
      <c r="D4262" s="4">
        <v>37881</v>
      </c>
      <c r="E4262" s="6">
        <v>25.76</v>
      </c>
    </row>
    <row r="4263" spans="4:5" x14ac:dyDescent="0.25">
      <c r="D4263" s="4">
        <v>37882</v>
      </c>
      <c r="E4263" s="6">
        <v>25.56</v>
      </c>
    </row>
    <row r="4264" spans="4:5" x14ac:dyDescent="0.25">
      <c r="D4264" s="4">
        <v>37883</v>
      </c>
      <c r="E4264" s="6">
        <v>25.51</v>
      </c>
    </row>
    <row r="4265" spans="4:5" x14ac:dyDescent="0.25">
      <c r="D4265" s="4">
        <v>37886</v>
      </c>
      <c r="E4265" s="6">
        <v>25.82</v>
      </c>
    </row>
    <row r="4266" spans="4:5" x14ac:dyDescent="0.25">
      <c r="D4266" s="4">
        <v>37887</v>
      </c>
      <c r="E4266" s="6">
        <v>25.74</v>
      </c>
    </row>
    <row r="4267" spans="4:5" x14ac:dyDescent="0.25">
      <c r="D4267" s="4">
        <v>37888</v>
      </c>
      <c r="E4267" s="6">
        <v>26.81</v>
      </c>
    </row>
    <row r="4268" spans="4:5" x14ac:dyDescent="0.25">
      <c r="D4268" s="4">
        <v>37889</v>
      </c>
      <c r="E4268" s="6">
        <v>27.04</v>
      </c>
    </row>
    <row r="4269" spans="4:5" x14ac:dyDescent="0.25">
      <c r="D4269" s="4">
        <v>37890</v>
      </c>
      <c r="E4269" s="6">
        <v>27.02</v>
      </c>
    </row>
    <row r="4270" spans="4:5" x14ac:dyDescent="0.25">
      <c r="D4270" s="4">
        <v>37893</v>
      </c>
      <c r="E4270" s="6">
        <v>27.77</v>
      </c>
    </row>
    <row r="4271" spans="4:5" x14ac:dyDescent="0.25">
      <c r="D4271" s="4">
        <v>37894</v>
      </c>
      <c r="E4271" s="6">
        <v>28.09</v>
      </c>
    </row>
    <row r="4272" spans="4:5" x14ac:dyDescent="0.25">
      <c r="D4272" s="4">
        <v>37895</v>
      </c>
      <c r="E4272" s="6">
        <v>27.98</v>
      </c>
    </row>
    <row r="4273" spans="4:5" x14ac:dyDescent="0.25">
      <c r="D4273" s="4">
        <v>37896</v>
      </c>
      <c r="E4273" s="6">
        <v>28.9</v>
      </c>
    </row>
    <row r="4274" spans="4:5" x14ac:dyDescent="0.25">
      <c r="D4274" s="4">
        <v>37897</v>
      </c>
      <c r="E4274" s="6">
        <v>29.14</v>
      </c>
    </row>
    <row r="4275" spans="4:5" x14ac:dyDescent="0.25">
      <c r="D4275" s="4">
        <v>37900</v>
      </c>
      <c r="E4275" s="6">
        <v>29.75</v>
      </c>
    </row>
    <row r="4276" spans="4:5" x14ac:dyDescent="0.25">
      <c r="D4276" s="4">
        <v>37901</v>
      </c>
      <c r="E4276" s="6">
        <v>29.35</v>
      </c>
    </row>
    <row r="4277" spans="4:5" x14ac:dyDescent="0.25">
      <c r="D4277" s="4">
        <v>37902</v>
      </c>
      <c r="E4277" s="6">
        <v>28.96</v>
      </c>
    </row>
    <row r="4278" spans="4:5" x14ac:dyDescent="0.25">
      <c r="D4278" s="4">
        <v>37903</v>
      </c>
      <c r="E4278" s="6">
        <v>30.21</v>
      </c>
    </row>
    <row r="4279" spans="4:5" x14ac:dyDescent="0.25">
      <c r="D4279" s="4">
        <v>37904</v>
      </c>
      <c r="E4279" s="6">
        <v>31.13</v>
      </c>
    </row>
    <row r="4280" spans="4:5" x14ac:dyDescent="0.25">
      <c r="D4280" s="4">
        <v>37907</v>
      </c>
      <c r="E4280" s="6">
        <v>31</v>
      </c>
    </row>
    <row r="4281" spans="4:5" x14ac:dyDescent="0.25">
      <c r="D4281" s="4">
        <v>37908</v>
      </c>
      <c r="E4281" s="6">
        <v>31.45</v>
      </c>
    </row>
    <row r="4282" spans="4:5" x14ac:dyDescent="0.25">
      <c r="D4282" s="4">
        <v>37909</v>
      </c>
      <c r="E4282" s="6">
        <v>31.23</v>
      </c>
    </row>
    <row r="4283" spans="4:5" x14ac:dyDescent="0.25">
      <c r="D4283" s="4">
        <v>37910</v>
      </c>
      <c r="E4283" s="6">
        <v>31.05</v>
      </c>
    </row>
    <row r="4284" spans="4:5" x14ac:dyDescent="0.25">
      <c r="D4284" s="4">
        <v>37911</v>
      </c>
      <c r="E4284" s="6">
        <v>30.27</v>
      </c>
    </row>
    <row r="4285" spans="4:5" x14ac:dyDescent="0.25">
      <c r="D4285" s="4">
        <v>37914</v>
      </c>
      <c r="E4285" s="6">
        <v>29.78</v>
      </c>
    </row>
    <row r="4286" spans="4:5" x14ac:dyDescent="0.25">
      <c r="D4286" s="4">
        <v>37915</v>
      </c>
      <c r="E4286" s="6">
        <v>29.61</v>
      </c>
    </row>
    <row r="4287" spans="4:5" x14ac:dyDescent="0.25">
      <c r="D4287" s="4">
        <v>37916</v>
      </c>
      <c r="E4287" s="6">
        <v>29.25</v>
      </c>
    </row>
    <row r="4288" spans="4:5" x14ac:dyDescent="0.25">
      <c r="D4288" s="4">
        <v>37917</v>
      </c>
      <c r="E4288" s="6">
        <v>29.63</v>
      </c>
    </row>
    <row r="4289" spans="4:5" x14ac:dyDescent="0.25">
      <c r="D4289" s="4">
        <v>37918</v>
      </c>
      <c r="E4289" s="6">
        <v>30.01</v>
      </c>
    </row>
    <row r="4290" spans="4:5" x14ac:dyDescent="0.25">
      <c r="D4290" s="4">
        <v>37921</v>
      </c>
      <c r="E4290" s="6">
        <v>29.38</v>
      </c>
    </row>
    <row r="4291" spans="4:5" x14ac:dyDescent="0.25">
      <c r="D4291" s="4">
        <v>37922</v>
      </c>
      <c r="E4291" s="6">
        <v>28.99</v>
      </c>
    </row>
    <row r="4292" spans="4:5" x14ac:dyDescent="0.25">
      <c r="D4292" s="4">
        <v>37923</v>
      </c>
      <c r="E4292" s="6">
        <v>28.56</v>
      </c>
    </row>
    <row r="4293" spans="4:5" x14ac:dyDescent="0.25">
      <c r="D4293" s="4">
        <v>37924</v>
      </c>
      <c r="E4293" s="6">
        <v>27.47</v>
      </c>
    </row>
    <row r="4294" spans="4:5" x14ac:dyDescent="0.25">
      <c r="D4294" s="4">
        <v>37925</v>
      </c>
      <c r="E4294" s="6">
        <v>27.88</v>
      </c>
    </row>
    <row r="4295" spans="4:5" x14ac:dyDescent="0.25">
      <c r="D4295" s="4">
        <v>37928</v>
      </c>
      <c r="E4295" s="6">
        <v>27.78</v>
      </c>
    </row>
    <row r="4296" spans="4:5" x14ac:dyDescent="0.25">
      <c r="D4296" s="4">
        <v>37929</v>
      </c>
      <c r="E4296" s="6">
        <v>27.32</v>
      </c>
    </row>
    <row r="4297" spans="4:5" x14ac:dyDescent="0.25">
      <c r="D4297" s="4">
        <v>37930</v>
      </c>
      <c r="E4297" s="6">
        <v>27.9</v>
      </c>
    </row>
    <row r="4298" spans="4:5" x14ac:dyDescent="0.25">
      <c r="D4298" s="4">
        <v>37931</v>
      </c>
      <c r="E4298" s="6">
        <v>28.52</v>
      </c>
    </row>
    <row r="4299" spans="4:5" x14ac:dyDescent="0.25">
      <c r="D4299" s="4">
        <v>37932</v>
      </c>
      <c r="E4299" s="6">
        <v>28.73</v>
      </c>
    </row>
    <row r="4300" spans="4:5" x14ac:dyDescent="0.25">
      <c r="D4300" s="4">
        <v>37935</v>
      </c>
      <c r="E4300" s="6">
        <v>28.82</v>
      </c>
    </row>
    <row r="4301" spans="4:5" x14ac:dyDescent="0.25">
      <c r="D4301" s="4">
        <v>37936</v>
      </c>
      <c r="E4301" s="6">
        <v>28.88</v>
      </c>
    </row>
    <row r="4302" spans="4:5" x14ac:dyDescent="0.25">
      <c r="D4302" s="4">
        <v>37937</v>
      </c>
      <c r="E4302" s="6">
        <v>28.58</v>
      </c>
    </row>
    <row r="4303" spans="4:5" x14ac:dyDescent="0.25">
      <c r="D4303" s="4">
        <v>37938</v>
      </c>
      <c r="E4303" s="6">
        <v>29.01</v>
      </c>
    </row>
    <row r="4304" spans="4:5" x14ac:dyDescent="0.25">
      <c r="D4304" s="4">
        <v>37939</v>
      </c>
      <c r="E4304" s="6">
        <v>29.78</v>
      </c>
    </row>
    <row r="4305" spans="4:5" x14ac:dyDescent="0.25">
      <c r="D4305" s="4">
        <v>37942</v>
      </c>
      <c r="E4305" s="6">
        <v>28.98</v>
      </c>
    </row>
    <row r="4306" spans="4:5" x14ac:dyDescent="0.25">
      <c r="D4306" s="4">
        <v>37943</v>
      </c>
      <c r="E4306" s="6">
        <v>29.26</v>
      </c>
    </row>
    <row r="4307" spans="4:5" x14ac:dyDescent="0.25">
      <c r="D4307" s="4">
        <v>37944</v>
      </c>
      <c r="E4307" s="6">
        <v>30.13</v>
      </c>
    </row>
    <row r="4308" spans="4:5" x14ac:dyDescent="0.25">
      <c r="D4308" s="4">
        <v>37945</v>
      </c>
      <c r="E4308" s="6">
        <v>29.88</v>
      </c>
    </row>
    <row r="4309" spans="4:5" x14ac:dyDescent="0.25">
      <c r="D4309" s="4">
        <v>37946</v>
      </c>
      <c r="E4309" s="6">
        <v>29.79</v>
      </c>
    </row>
    <row r="4310" spans="4:5" x14ac:dyDescent="0.25">
      <c r="D4310" s="4">
        <v>37949</v>
      </c>
      <c r="E4310" s="6">
        <v>27.99</v>
      </c>
    </row>
    <row r="4311" spans="4:5" x14ac:dyDescent="0.25">
      <c r="D4311" s="4">
        <v>37950</v>
      </c>
      <c r="E4311" s="6">
        <v>27.62</v>
      </c>
    </row>
    <row r="4312" spans="4:5" x14ac:dyDescent="0.25">
      <c r="D4312" s="4">
        <v>37951</v>
      </c>
      <c r="E4312" s="6">
        <v>28.23</v>
      </c>
    </row>
    <row r="4313" spans="4:5" x14ac:dyDescent="0.25">
      <c r="D4313" s="4">
        <v>37952</v>
      </c>
      <c r="E4313" s="6">
        <v>28.9</v>
      </c>
    </row>
    <row r="4314" spans="4:5" x14ac:dyDescent="0.25">
      <c r="D4314" s="4">
        <v>37953</v>
      </c>
      <c r="E4314" s="6">
        <v>28.95</v>
      </c>
    </row>
    <row r="4315" spans="4:5" x14ac:dyDescent="0.25">
      <c r="D4315" s="4">
        <v>37956</v>
      </c>
      <c r="E4315" s="6">
        <v>28.17</v>
      </c>
    </row>
    <row r="4316" spans="4:5" x14ac:dyDescent="0.25">
      <c r="D4316" s="4">
        <v>37957</v>
      </c>
      <c r="E4316" s="6">
        <v>29.1</v>
      </c>
    </row>
    <row r="4317" spans="4:5" x14ac:dyDescent="0.25">
      <c r="D4317" s="4">
        <v>37958</v>
      </c>
      <c r="E4317" s="6">
        <v>29.26</v>
      </c>
    </row>
    <row r="4318" spans="4:5" x14ac:dyDescent="0.25">
      <c r="D4318" s="4">
        <v>37959</v>
      </c>
      <c r="E4318" s="6">
        <v>29.25</v>
      </c>
    </row>
    <row r="4319" spans="4:5" x14ac:dyDescent="0.25">
      <c r="D4319" s="4">
        <v>37960</v>
      </c>
      <c r="E4319" s="6">
        <v>28.87</v>
      </c>
    </row>
    <row r="4320" spans="4:5" x14ac:dyDescent="0.25">
      <c r="D4320" s="4">
        <v>37963</v>
      </c>
      <c r="E4320" s="6">
        <v>30.52</v>
      </c>
    </row>
    <row r="4321" spans="4:5" x14ac:dyDescent="0.25">
      <c r="D4321" s="4">
        <v>37964</v>
      </c>
      <c r="E4321" s="6">
        <v>30.27</v>
      </c>
    </row>
    <row r="4322" spans="4:5" x14ac:dyDescent="0.25">
      <c r="D4322" s="4">
        <v>37965</v>
      </c>
      <c r="E4322" s="6">
        <v>30.02</v>
      </c>
    </row>
    <row r="4323" spans="4:5" x14ac:dyDescent="0.25">
      <c r="D4323" s="4">
        <v>37966</v>
      </c>
      <c r="E4323" s="6">
        <v>29.79</v>
      </c>
    </row>
    <row r="4324" spans="4:5" x14ac:dyDescent="0.25">
      <c r="D4324" s="4">
        <v>37967</v>
      </c>
      <c r="E4324" s="6">
        <v>30.24</v>
      </c>
    </row>
    <row r="4325" spans="4:5" x14ac:dyDescent="0.25">
      <c r="D4325" s="4">
        <v>37970</v>
      </c>
      <c r="E4325" s="6">
        <v>30.89</v>
      </c>
    </row>
    <row r="4326" spans="4:5" x14ac:dyDescent="0.25">
      <c r="D4326" s="4">
        <v>37971</v>
      </c>
      <c r="E4326" s="6">
        <v>30.64</v>
      </c>
    </row>
    <row r="4327" spans="4:5" x14ac:dyDescent="0.25">
      <c r="D4327" s="4">
        <v>37972</v>
      </c>
      <c r="E4327" s="6">
        <v>31.01</v>
      </c>
    </row>
    <row r="4328" spans="4:5" x14ac:dyDescent="0.25">
      <c r="D4328" s="4">
        <v>37973</v>
      </c>
      <c r="E4328" s="6">
        <v>30.79</v>
      </c>
    </row>
    <row r="4329" spans="4:5" x14ac:dyDescent="0.25">
      <c r="D4329" s="4">
        <v>37974</v>
      </c>
      <c r="E4329" s="6">
        <v>31.03</v>
      </c>
    </row>
    <row r="4330" spans="4:5" x14ac:dyDescent="0.25">
      <c r="D4330" s="4">
        <v>37977</v>
      </c>
      <c r="E4330" s="6">
        <v>28.78</v>
      </c>
    </row>
    <row r="4331" spans="4:5" x14ac:dyDescent="0.25">
      <c r="D4331" s="4">
        <v>37978</v>
      </c>
      <c r="E4331" s="6">
        <v>28.3</v>
      </c>
    </row>
    <row r="4332" spans="4:5" x14ac:dyDescent="0.25">
      <c r="D4332" s="4">
        <v>37979</v>
      </c>
      <c r="E4332" s="6">
        <v>29.45</v>
      </c>
    </row>
    <row r="4333" spans="4:5" x14ac:dyDescent="0.25">
      <c r="D4333" s="4">
        <v>37980</v>
      </c>
      <c r="E4333" s="5"/>
    </row>
    <row r="4334" spans="4:5" x14ac:dyDescent="0.25">
      <c r="D4334" s="4">
        <v>37981</v>
      </c>
      <c r="E4334" s="5"/>
    </row>
    <row r="4335" spans="4:5" x14ac:dyDescent="0.25">
      <c r="D4335" s="4">
        <v>37984</v>
      </c>
      <c r="E4335" s="6">
        <v>29.17</v>
      </c>
    </row>
    <row r="4336" spans="4:5" x14ac:dyDescent="0.25">
      <c r="D4336" s="4">
        <v>37985</v>
      </c>
      <c r="E4336" s="6">
        <v>30.1</v>
      </c>
    </row>
    <row r="4337" spans="4:5" x14ac:dyDescent="0.25">
      <c r="D4337" s="4">
        <v>37986</v>
      </c>
      <c r="E4337" s="6">
        <v>30.3</v>
      </c>
    </row>
    <row r="4338" spans="4:5" x14ac:dyDescent="0.25">
      <c r="D4338" s="4">
        <v>37987</v>
      </c>
      <c r="E4338" s="5"/>
    </row>
    <row r="4339" spans="4:5" x14ac:dyDescent="0.25">
      <c r="D4339" s="4">
        <v>37988</v>
      </c>
      <c r="E4339" s="6">
        <v>29.55</v>
      </c>
    </row>
    <row r="4340" spans="4:5" x14ac:dyDescent="0.25">
      <c r="D4340" s="4">
        <v>37991</v>
      </c>
      <c r="E4340" s="6">
        <v>32.299999999999997</v>
      </c>
    </row>
    <row r="4341" spans="4:5" x14ac:dyDescent="0.25">
      <c r="D4341" s="4">
        <v>37992</v>
      </c>
      <c r="E4341" s="6">
        <v>31.2</v>
      </c>
    </row>
    <row r="4342" spans="4:5" x14ac:dyDescent="0.25">
      <c r="D4342" s="4">
        <v>37993</v>
      </c>
      <c r="E4342" s="6">
        <v>30.99</v>
      </c>
    </row>
    <row r="4343" spans="4:5" x14ac:dyDescent="0.25">
      <c r="D4343" s="4">
        <v>37994</v>
      </c>
      <c r="E4343" s="6">
        <v>31.11</v>
      </c>
    </row>
    <row r="4344" spans="4:5" x14ac:dyDescent="0.25">
      <c r="D4344" s="4">
        <v>37995</v>
      </c>
      <c r="E4344" s="6">
        <v>31.91</v>
      </c>
    </row>
    <row r="4345" spans="4:5" x14ac:dyDescent="0.25">
      <c r="D4345" s="4">
        <v>37998</v>
      </c>
      <c r="E4345" s="6">
        <v>31.41</v>
      </c>
    </row>
    <row r="4346" spans="4:5" x14ac:dyDescent="0.25">
      <c r="D4346" s="4">
        <v>37999</v>
      </c>
      <c r="E4346" s="6">
        <v>32.549999999999997</v>
      </c>
    </row>
    <row r="4347" spans="4:5" x14ac:dyDescent="0.25">
      <c r="D4347" s="4">
        <v>38000</v>
      </c>
      <c r="E4347" s="6">
        <v>31.84</v>
      </c>
    </row>
    <row r="4348" spans="4:5" x14ac:dyDescent="0.25">
      <c r="D4348" s="4">
        <v>38001</v>
      </c>
      <c r="E4348" s="6">
        <v>31.43</v>
      </c>
    </row>
    <row r="4349" spans="4:5" x14ac:dyDescent="0.25">
      <c r="D4349" s="4">
        <v>38002</v>
      </c>
      <c r="E4349" s="6">
        <v>31.26</v>
      </c>
    </row>
    <row r="4350" spans="4:5" x14ac:dyDescent="0.25">
      <c r="D4350" s="4">
        <v>38005</v>
      </c>
      <c r="E4350" s="6">
        <v>31.67</v>
      </c>
    </row>
    <row r="4351" spans="4:5" x14ac:dyDescent="0.25">
      <c r="D4351" s="4">
        <v>38006</v>
      </c>
      <c r="E4351" s="6">
        <v>32.26</v>
      </c>
    </row>
    <row r="4352" spans="4:5" x14ac:dyDescent="0.25">
      <c r="D4352" s="4">
        <v>38007</v>
      </c>
      <c r="E4352" s="6">
        <v>31.95</v>
      </c>
    </row>
    <row r="4353" spans="4:5" x14ac:dyDescent="0.25">
      <c r="D4353" s="4">
        <v>38008</v>
      </c>
      <c r="E4353" s="6">
        <v>31.42</v>
      </c>
    </row>
    <row r="4354" spans="4:5" x14ac:dyDescent="0.25">
      <c r="D4354" s="4">
        <v>38009</v>
      </c>
      <c r="E4354" s="6">
        <v>32.08</v>
      </c>
    </row>
    <row r="4355" spans="4:5" x14ac:dyDescent="0.25">
      <c r="D4355" s="4">
        <v>38012</v>
      </c>
      <c r="E4355" s="6">
        <v>31.15</v>
      </c>
    </row>
    <row r="4356" spans="4:5" x14ac:dyDescent="0.25">
      <c r="D4356" s="4">
        <v>38013</v>
      </c>
      <c r="E4356" s="6">
        <v>31.05</v>
      </c>
    </row>
    <row r="4357" spans="4:5" x14ac:dyDescent="0.25">
      <c r="D4357" s="4">
        <v>38014</v>
      </c>
      <c r="E4357" s="6">
        <v>30.77</v>
      </c>
    </row>
    <row r="4358" spans="4:5" x14ac:dyDescent="0.25">
      <c r="D4358" s="4">
        <v>38015</v>
      </c>
      <c r="E4358" s="6">
        <v>29.47</v>
      </c>
    </row>
    <row r="4359" spans="4:5" x14ac:dyDescent="0.25">
      <c r="D4359" s="4">
        <v>38016</v>
      </c>
      <c r="E4359" s="6">
        <v>29.53</v>
      </c>
    </row>
    <row r="4360" spans="4:5" x14ac:dyDescent="0.25">
      <c r="D4360" s="4">
        <v>38019</v>
      </c>
      <c r="E4360" s="6">
        <v>30.3</v>
      </c>
    </row>
    <row r="4361" spans="4:5" x14ac:dyDescent="0.25">
      <c r="D4361" s="4">
        <v>38020</v>
      </c>
      <c r="E4361" s="6">
        <v>30.07</v>
      </c>
    </row>
    <row r="4362" spans="4:5" x14ac:dyDescent="0.25">
      <c r="D4362" s="4">
        <v>38021</v>
      </c>
      <c r="E4362" s="6">
        <v>29.63</v>
      </c>
    </row>
    <row r="4363" spans="4:5" x14ac:dyDescent="0.25">
      <c r="D4363" s="4">
        <v>38022</v>
      </c>
      <c r="E4363" s="6">
        <v>29.02</v>
      </c>
    </row>
    <row r="4364" spans="4:5" x14ac:dyDescent="0.25">
      <c r="D4364" s="4">
        <v>38023</v>
      </c>
      <c r="E4364" s="6">
        <v>29.26</v>
      </c>
    </row>
    <row r="4365" spans="4:5" x14ac:dyDescent="0.25">
      <c r="D4365" s="4">
        <v>38026</v>
      </c>
      <c r="E4365" s="6">
        <v>29.1</v>
      </c>
    </row>
    <row r="4366" spans="4:5" x14ac:dyDescent="0.25">
      <c r="D4366" s="4">
        <v>38027</v>
      </c>
      <c r="E4366" s="6">
        <v>30.06</v>
      </c>
    </row>
    <row r="4367" spans="4:5" x14ac:dyDescent="0.25">
      <c r="D4367" s="4">
        <v>38028</v>
      </c>
      <c r="E4367" s="6">
        <v>30.33</v>
      </c>
    </row>
    <row r="4368" spans="4:5" x14ac:dyDescent="0.25">
      <c r="D4368" s="4">
        <v>38029</v>
      </c>
      <c r="E4368" s="6">
        <v>30.17</v>
      </c>
    </row>
    <row r="4369" spans="4:5" x14ac:dyDescent="0.25">
      <c r="D4369" s="4">
        <v>38030</v>
      </c>
      <c r="E4369" s="6">
        <v>30.96</v>
      </c>
    </row>
    <row r="4370" spans="4:5" x14ac:dyDescent="0.25">
      <c r="D4370" s="4">
        <v>38033</v>
      </c>
      <c r="E4370" s="6">
        <v>31.08</v>
      </c>
    </row>
    <row r="4371" spans="4:5" x14ac:dyDescent="0.25">
      <c r="D4371" s="4">
        <v>38034</v>
      </c>
      <c r="E4371" s="6">
        <v>31.43</v>
      </c>
    </row>
    <row r="4372" spans="4:5" x14ac:dyDescent="0.25">
      <c r="D4372" s="4">
        <v>38035</v>
      </c>
      <c r="E4372" s="6">
        <v>31.57</v>
      </c>
    </row>
    <row r="4373" spans="4:5" x14ac:dyDescent="0.25">
      <c r="D4373" s="4">
        <v>38036</v>
      </c>
      <c r="E4373" s="6">
        <v>31.63</v>
      </c>
    </row>
    <row r="4374" spans="4:5" x14ac:dyDescent="0.25">
      <c r="D4374" s="4">
        <v>38037</v>
      </c>
      <c r="E4374" s="6">
        <v>31.22</v>
      </c>
    </row>
    <row r="4375" spans="4:5" x14ac:dyDescent="0.25">
      <c r="D4375" s="4">
        <v>38040</v>
      </c>
      <c r="E4375" s="6">
        <v>31.89</v>
      </c>
    </row>
    <row r="4376" spans="4:5" x14ac:dyDescent="0.25">
      <c r="D4376" s="4">
        <v>38041</v>
      </c>
      <c r="E4376" s="6">
        <v>31.6</v>
      </c>
    </row>
    <row r="4377" spans="4:5" x14ac:dyDescent="0.25">
      <c r="D4377" s="4">
        <v>38042</v>
      </c>
      <c r="E4377" s="6">
        <v>32.46</v>
      </c>
    </row>
    <row r="4378" spans="4:5" x14ac:dyDescent="0.25">
      <c r="D4378" s="4">
        <v>38043</v>
      </c>
      <c r="E4378" s="6">
        <v>32.450000000000003</v>
      </c>
    </row>
    <row r="4379" spans="4:5" x14ac:dyDescent="0.25">
      <c r="D4379" s="4">
        <v>38044</v>
      </c>
      <c r="E4379" s="6">
        <v>32.94</v>
      </c>
    </row>
    <row r="4380" spans="4:5" x14ac:dyDescent="0.25">
      <c r="D4380" s="4">
        <v>38047</v>
      </c>
      <c r="E4380" s="6">
        <v>33.340000000000003</v>
      </c>
    </row>
    <row r="4381" spans="4:5" x14ac:dyDescent="0.25">
      <c r="D4381" s="4">
        <v>38048</v>
      </c>
      <c r="E4381" s="6">
        <v>34.15</v>
      </c>
    </row>
    <row r="4382" spans="4:5" x14ac:dyDescent="0.25">
      <c r="D4382" s="4">
        <v>38049</v>
      </c>
      <c r="E4382" s="6">
        <v>33.32</v>
      </c>
    </row>
    <row r="4383" spans="4:5" x14ac:dyDescent="0.25">
      <c r="D4383" s="4">
        <v>38050</v>
      </c>
      <c r="E4383" s="6">
        <v>33.450000000000003</v>
      </c>
    </row>
    <row r="4384" spans="4:5" x14ac:dyDescent="0.25">
      <c r="D4384" s="4">
        <v>38051</v>
      </c>
      <c r="E4384" s="6">
        <v>34.4</v>
      </c>
    </row>
    <row r="4385" spans="4:5" x14ac:dyDescent="0.25">
      <c r="D4385" s="4">
        <v>38054</v>
      </c>
      <c r="E4385" s="6">
        <v>34.270000000000003</v>
      </c>
    </row>
    <row r="4386" spans="4:5" x14ac:dyDescent="0.25">
      <c r="D4386" s="4">
        <v>38055</v>
      </c>
      <c r="E4386" s="6">
        <v>33.72</v>
      </c>
    </row>
    <row r="4387" spans="4:5" x14ac:dyDescent="0.25">
      <c r="D4387" s="4">
        <v>38056</v>
      </c>
      <c r="E4387" s="6">
        <v>32.83</v>
      </c>
    </row>
    <row r="4388" spans="4:5" x14ac:dyDescent="0.25">
      <c r="D4388" s="4">
        <v>38057</v>
      </c>
      <c r="E4388" s="6">
        <v>33.22</v>
      </c>
    </row>
    <row r="4389" spans="4:5" x14ac:dyDescent="0.25">
      <c r="D4389" s="4">
        <v>38058</v>
      </c>
      <c r="E4389" s="6">
        <v>32.76</v>
      </c>
    </row>
    <row r="4390" spans="4:5" x14ac:dyDescent="0.25">
      <c r="D4390" s="4">
        <v>38061</v>
      </c>
      <c r="E4390" s="6">
        <v>34.39</v>
      </c>
    </row>
    <row r="4391" spans="4:5" x14ac:dyDescent="0.25">
      <c r="D4391" s="4">
        <v>38062</v>
      </c>
      <c r="E4391" s="6">
        <v>34.72</v>
      </c>
    </row>
    <row r="4392" spans="4:5" x14ac:dyDescent="0.25">
      <c r="D4392" s="4">
        <v>38063</v>
      </c>
      <c r="E4392" s="6">
        <v>34.950000000000003</v>
      </c>
    </row>
    <row r="4393" spans="4:5" x14ac:dyDescent="0.25">
      <c r="D4393" s="4">
        <v>38064</v>
      </c>
      <c r="E4393" s="6">
        <v>34.43</v>
      </c>
    </row>
    <row r="4394" spans="4:5" x14ac:dyDescent="0.25">
      <c r="D4394" s="4">
        <v>38065</v>
      </c>
      <c r="E4394" s="6">
        <v>34.33</v>
      </c>
    </row>
    <row r="4395" spans="4:5" x14ac:dyDescent="0.25">
      <c r="D4395" s="4">
        <v>38068</v>
      </c>
      <c r="E4395" s="6">
        <v>33.57</v>
      </c>
    </row>
    <row r="4396" spans="4:5" x14ac:dyDescent="0.25">
      <c r="D4396" s="4">
        <v>38069</v>
      </c>
      <c r="E4396" s="6">
        <v>34.4</v>
      </c>
    </row>
    <row r="4397" spans="4:5" x14ac:dyDescent="0.25">
      <c r="D4397" s="4">
        <v>38070</v>
      </c>
      <c r="E4397" s="6">
        <v>34.14</v>
      </c>
    </row>
    <row r="4398" spans="4:5" x14ac:dyDescent="0.25">
      <c r="D4398" s="4">
        <v>38071</v>
      </c>
      <c r="E4398" s="6">
        <v>33.32</v>
      </c>
    </row>
    <row r="4399" spans="4:5" x14ac:dyDescent="0.25">
      <c r="D4399" s="4">
        <v>38072</v>
      </c>
      <c r="E4399" s="6">
        <v>32.51</v>
      </c>
    </row>
    <row r="4400" spans="4:5" x14ac:dyDescent="0.25">
      <c r="D4400" s="4">
        <v>38075</v>
      </c>
      <c r="E4400" s="6">
        <v>32.04</v>
      </c>
    </row>
    <row r="4401" spans="4:5" x14ac:dyDescent="0.25">
      <c r="D4401" s="4">
        <v>38076</v>
      </c>
      <c r="E4401" s="6">
        <v>33.04</v>
      </c>
    </row>
    <row r="4402" spans="4:5" x14ac:dyDescent="0.25">
      <c r="D4402" s="4">
        <v>38077</v>
      </c>
      <c r="E4402" s="6">
        <v>32.29</v>
      </c>
    </row>
    <row r="4403" spans="4:5" x14ac:dyDescent="0.25">
      <c r="D4403" s="4">
        <v>38078</v>
      </c>
      <c r="E4403" s="6">
        <v>32.590000000000003</v>
      </c>
    </row>
    <row r="4404" spans="4:5" x14ac:dyDescent="0.25">
      <c r="D4404" s="4">
        <v>38079</v>
      </c>
      <c r="E4404" s="6">
        <v>31.19</v>
      </c>
    </row>
    <row r="4405" spans="4:5" x14ac:dyDescent="0.25">
      <c r="D4405" s="4">
        <v>38082</v>
      </c>
      <c r="E4405" s="6">
        <v>31.17</v>
      </c>
    </row>
    <row r="4406" spans="4:5" x14ac:dyDescent="0.25">
      <c r="D4406" s="4">
        <v>38083</v>
      </c>
      <c r="E4406" s="6">
        <v>31.48</v>
      </c>
    </row>
    <row r="4407" spans="4:5" x14ac:dyDescent="0.25">
      <c r="D4407" s="4">
        <v>38084</v>
      </c>
      <c r="E4407" s="6">
        <v>33.07</v>
      </c>
    </row>
    <row r="4408" spans="4:5" x14ac:dyDescent="0.25">
      <c r="D4408" s="4">
        <v>38085</v>
      </c>
      <c r="E4408" s="6">
        <v>33.979999999999997</v>
      </c>
    </row>
    <row r="4409" spans="4:5" x14ac:dyDescent="0.25">
      <c r="D4409" s="4">
        <v>38086</v>
      </c>
      <c r="E4409" s="6">
        <v>34.03</v>
      </c>
    </row>
    <row r="4410" spans="4:5" x14ac:dyDescent="0.25">
      <c r="D4410" s="4">
        <v>38089</v>
      </c>
      <c r="E4410" s="6">
        <v>34.51</v>
      </c>
    </row>
    <row r="4411" spans="4:5" x14ac:dyDescent="0.25">
      <c r="D4411" s="4">
        <v>38090</v>
      </c>
      <c r="E4411" s="6">
        <v>34.15</v>
      </c>
    </row>
    <row r="4412" spans="4:5" x14ac:dyDescent="0.25">
      <c r="D4412" s="4">
        <v>38091</v>
      </c>
      <c r="E4412" s="6">
        <v>33.54</v>
      </c>
    </row>
    <row r="4413" spans="4:5" x14ac:dyDescent="0.25">
      <c r="D4413" s="4">
        <v>38092</v>
      </c>
      <c r="E4413" s="6">
        <v>33.72</v>
      </c>
    </row>
    <row r="4414" spans="4:5" x14ac:dyDescent="0.25">
      <c r="D4414" s="4">
        <v>38093</v>
      </c>
      <c r="E4414" s="6">
        <v>33.85</v>
      </c>
    </row>
    <row r="4415" spans="4:5" x14ac:dyDescent="0.25">
      <c r="D4415" s="4">
        <v>38096</v>
      </c>
      <c r="E4415" s="6">
        <v>34.71</v>
      </c>
    </row>
    <row r="4416" spans="4:5" x14ac:dyDescent="0.25">
      <c r="D4416" s="4">
        <v>38097</v>
      </c>
      <c r="E4416" s="6">
        <v>33.56</v>
      </c>
    </row>
    <row r="4417" spans="4:5" x14ac:dyDescent="0.25">
      <c r="D4417" s="4">
        <v>38098</v>
      </c>
      <c r="E4417" s="6">
        <v>33.229999999999997</v>
      </c>
    </row>
    <row r="4418" spans="4:5" x14ac:dyDescent="0.25">
      <c r="D4418" s="4">
        <v>38099</v>
      </c>
      <c r="E4418" s="6">
        <v>33.24</v>
      </c>
    </row>
    <row r="4419" spans="4:5" x14ac:dyDescent="0.25">
      <c r="D4419" s="4">
        <v>38100</v>
      </c>
      <c r="E4419" s="6">
        <v>33.78</v>
      </c>
    </row>
    <row r="4420" spans="4:5" x14ac:dyDescent="0.25">
      <c r="D4420" s="4">
        <v>38103</v>
      </c>
      <c r="E4420" s="6">
        <v>34.18</v>
      </c>
    </row>
    <row r="4421" spans="4:5" x14ac:dyDescent="0.25">
      <c r="D4421" s="4">
        <v>38104</v>
      </c>
      <c r="E4421" s="6">
        <v>34.11</v>
      </c>
    </row>
    <row r="4422" spans="4:5" x14ac:dyDescent="0.25">
      <c r="D4422" s="4">
        <v>38105</v>
      </c>
      <c r="E4422" s="6">
        <v>35.020000000000003</v>
      </c>
    </row>
    <row r="4423" spans="4:5" x14ac:dyDescent="0.25">
      <c r="D4423" s="4">
        <v>38106</v>
      </c>
      <c r="E4423" s="6">
        <v>34.659999999999997</v>
      </c>
    </row>
    <row r="4424" spans="4:5" x14ac:dyDescent="0.25">
      <c r="D4424" s="4">
        <v>38107</v>
      </c>
      <c r="E4424" s="6">
        <v>35.229999999999997</v>
      </c>
    </row>
    <row r="4425" spans="4:5" x14ac:dyDescent="0.25">
      <c r="D4425" s="4">
        <v>38110</v>
      </c>
      <c r="E4425" s="6">
        <v>34.97</v>
      </c>
    </row>
    <row r="4426" spans="4:5" x14ac:dyDescent="0.25">
      <c r="D4426" s="4">
        <v>38111</v>
      </c>
      <c r="E4426" s="6">
        <v>36.07</v>
      </c>
    </row>
    <row r="4427" spans="4:5" x14ac:dyDescent="0.25">
      <c r="D4427" s="4">
        <v>38112</v>
      </c>
      <c r="E4427" s="6">
        <v>36.58</v>
      </c>
    </row>
    <row r="4428" spans="4:5" x14ac:dyDescent="0.25">
      <c r="D4428" s="4">
        <v>38113</v>
      </c>
      <c r="E4428" s="6">
        <v>37.049999999999997</v>
      </c>
    </row>
    <row r="4429" spans="4:5" x14ac:dyDescent="0.25">
      <c r="D4429" s="4">
        <v>38114</v>
      </c>
      <c r="E4429" s="6">
        <v>37.25</v>
      </c>
    </row>
    <row r="4430" spans="4:5" x14ac:dyDescent="0.25">
      <c r="D4430" s="4">
        <v>38117</v>
      </c>
      <c r="E4430" s="6">
        <v>35.83</v>
      </c>
    </row>
    <row r="4431" spans="4:5" x14ac:dyDescent="0.25">
      <c r="D4431" s="4">
        <v>38118</v>
      </c>
      <c r="E4431" s="6">
        <v>36.97</v>
      </c>
    </row>
    <row r="4432" spans="4:5" x14ac:dyDescent="0.25">
      <c r="D4432" s="4">
        <v>38119</v>
      </c>
      <c r="E4432" s="6">
        <v>37.950000000000003</v>
      </c>
    </row>
    <row r="4433" spans="4:5" x14ac:dyDescent="0.25">
      <c r="D4433" s="4">
        <v>38120</v>
      </c>
      <c r="E4433" s="6">
        <v>38.299999999999997</v>
      </c>
    </row>
    <row r="4434" spans="4:5" x14ac:dyDescent="0.25">
      <c r="D4434" s="4">
        <v>38121</v>
      </c>
      <c r="E4434" s="6">
        <v>39.04</v>
      </c>
    </row>
    <row r="4435" spans="4:5" x14ac:dyDescent="0.25">
      <c r="D4435" s="4">
        <v>38124</v>
      </c>
      <c r="E4435" s="6">
        <v>38.880000000000003</v>
      </c>
    </row>
    <row r="4436" spans="4:5" x14ac:dyDescent="0.25">
      <c r="D4436" s="4">
        <v>38125</v>
      </c>
      <c r="E4436" s="6">
        <v>38.43</v>
      </c>
    </row>
    <row r="4437" spans="4:5" x14ac:dyDescent="0.25">
      <c r="D4437" s="4">
        <v>38126</v>
      </c>
      <c r="E4437" s="6">
        <v>38.35</v>
      </c>
    </row>
    <row r="4438" spans="4:5" x14ac:dyDescent="0.25">
      <c r="D4438" s="4">
        <v>38127</v>
      </c>
      <c r="E4438" s="6">
        <v>38.89</v>
      </c>
    </row>
    <row r="4439" spans="4:5" x14ac:dyDescent="0.25">
      <c r="D4439" s="4">
        <v>38128</v>
      </c>
      <c r="E4439" s="6">
        <v>37.6</v>
      </c>
    </row>
    <row r="4440" spans="4:5" x14ac:dyDescent="0.25">
      <c r="D4440" s="4">
        <v>38131</v>
      </c>
      <c r="E4440" s="6">
        <v>39.22</v>
      </c>
    </row>
    <row r="4441" spans="4:5" x14ac:dyDescent="0.25">
      <c r="D4441" s="4">
        <v>38132</v>
      </c>
      <c r="E4441" s="6">
        <v>38.46</v>
      </c>
    </row>
    <row r="4442" spans="4:5" x14ac:dyDescent="0.25">
      <c r="D4442" s="4">
        <v>38133</v>
      </c>
      <c r="E4442" s="6">
        <v>38.049999999999997</v>
      </c>
    </row>
    <row r="4443" spans="4:5" x14ac:dyDescent="0.25">
      <c r="D4443" s="4">
        <v>38134</v>
      </c>
      <c r="E4443" s="6">
        <v>37.03</v>
      </c>
    </row>
    <row r="4444" spans="4:5" x14ac:dyDescent="0.25">
      <c r="D4444" s="4">
        <v>38135</v>
      </c>
      <c r="E4444" s="6">
        <v>37</v>
      </c>
    </row>
    <row r="4445" spans="4:5" x14ac:dyDescent="0.25">
      <c r="D4445" s="4">
        <v>38138</v>
      </c>
      <c r="E4445" s="6">
        <v>37</v>
      </c>
    </row>
    <row r="4446" spans="4:5" x14ac:dyDescent="0.25">
      <c r="D4446" s="4">
        <v>38139</v>
      </c>
      <c r="E4446" s="6">
        <v>39.049999999999997</v>
      </c>
    </row>
    <row r="4447" spans="4:5" x14ac:dyDescent="0.25">
      <c r="D4447" s="4">
        <v>38140</v>
      </c>
      <c r="E4447" s="6">
        <v>37.99</v>
      </c>
    </row>
    <row r="4448" spans="4:5" x14ac:dyDescent="0.25">
      <c r="D4448" s="4">
        <v>38141</v>
      </c>
      <c r="E4448" s="6">
        <v>36.26</v>
      </c>
    </row>
    <row r="4449" spans="4:5" x14ac:dyDescent="0.25">
      <c r="D4449" s="4">
        <v>38142</v>
      </c>
      <c r="E4449" s="6">
        <v>35.97</v>
      </c>
    </row>
    <row r="4450" spans="4:5" x14ac:dyDescent="0.25">
      <c r="D4450" s="4">
        <v>38145</v>
      </c>
      <c r="E4450" s="6">
        <v>35.57</v>
      </c>
    </row>
    <row r="4451" spans="4:5" x14ac:dyDescent="0.25">
      <c r="D4451" s="4">
        <v>38146</v>
      </c>
      <c r="E4451" s="6">
        <v>35.47</v>
      </c>
    </row>
    <row r="4452" spans="4:5" x14ac:dyDescent="0.25">
      <c r="D4452" s="4">
        <v>38147</v>
      </c>
      <c r="E4452" s="6">
        <v>34.69</v>
      </c>
    </row>
    <row r="4453" spans="4:5" x14ac:dyDescent="0.25">
      <c r="D4453" s="4">
        <v>38148</v>
      </c>
      <c r="E4453" s="6">
        <v>35.75</v>
      </c>
    </row>
    <row r="4454" spans="4:5" x14ac:dyDescent="0.25">
      <c r="D4454" s="4">
        <v>38149</v>
      </c>
      <c r="E4454" s="6">
        <v>35.229999999999997</v>
      </c>
    </row>
    <row r="4455" spans="4:5" x14ac:dyDescent="0.25">
      <c r="D4455" s="4">
        <v>38152</v>
      </c>
      <c r="E4455" s="6">
        <v>35.22</v>
      </c>
    </row>
    <row r="4456" spans="4:5" x14ac:dyDescent="0.25">
      <c r="D4456" s="4">
        <v>38153</v>
      </c>
      <c r="E4456" s="6">
        <v>34.659999999999997</v>
      </c>
    </row>
    <row r="4457" spans="4:5" x14ac:dyDescent="0.25">
      <c r="D4457" s="4">
        <v>38154</v>
      </c>
      <c r="E4457" s="6">
        <v>34.56</v>
      </c>
    </row>
    <row r="4458" spans="4:5" x14ac:dyDescent="0.25">
      <c r="D4458" s="4">
        <v>38155</v>
      </c>
      <c r="E4458" s="6">
        <v>35.58</v>
      </c>
    </row>
    <row r="4459" spans="4:5" x14ac:dyDescent="0.25">
      <c r="D4459" s="4">
        <v>38156</v>
      </c>
      <c r="E4459" s="6">
        <v>35.43</v>
      </c>
    </row>
    <row r="4460" spans="4:5" x14ac:dyDescent="0.25">
      <c r="D4460" s="4">
        <v>38159</v>
      </c>
      <c r="E4460" s="6">
        <v>34.82</v>
      </c>
    </row>
    <row r="4461" spans="4:5" x14ac:dyDescent="0.25">
      <c r="D4461" s="4">
        <v>38160</v>
      </c>
      <c r="E4461" s="6">
        <v>34.950000000000003</v>
      </c>
    </row>
    <row r="4462" spans="4:5" x14ac:dyDescent="0.25">
      <c r="D4462" s="4">
        <v>38161</v>
      </c>
      <c r="E4462" s="6">
        <v>34.81</v>
      </c>
    </row>
    <row r="4463" spans="4:5" x14ac:dyDescent="0.25">
      <c r="D4463" s="4">
        <v>38162</v>
      </c>
      <c r="E4463" s="6">
        <v>34.71</v>
      </c>
    </row>
    <row r="4464" spans="4:5" x14ac:dyDescent="0.25">
      <c r="D4464" s="4">
        <v>38163</v>
      </c>
      <c r="E4464" s="6">
        <v>34.25</v>
      </c>
    </row>
    <row r="4465" spans="4:5" x14ac:dyDescent="0.25">
      <c r="D4465" s="4">
        <v>38166</v>
      </c>
      <c r="E4465" s="6">
        <v>33.24</v>
      </c>
    </row>
    <row r="4466" spans="4:5" x14ac:dyDescent="0.25">
      <c r="D4466" s="4">
        <v>38167</v>
      </c>
      <c r="E4466" s="6">
        <v>32.61</v>
      </c>
    </row>
    <row r="4467" spans="4:5" x14ac:dyDescent="0.25">
      <c r="D4467" s="4">
        <v>38168</v>
      </c>
      <c r="E4467" s="6">
        <v>33.22</v>
      </c>
    </row>
    <row r="4468" spans="4:5" x14ac:dyDescent="0.25">
      <c r="D4468" s="4">
        <v>38169</v>
      </c>
      <c r="E4468" s="6">
        <v>35.58</v>
      </c>
    </row>
    <row r="4469" spans="4:5" x14ac:dyDescent="0.25">
      <c r="D4469" s="4">
        <v>38170</v>
      </c>
      <c r="E4469" s="6">
        <v>35.36</v>
      </c>
    </row>
    <row r="4470" spans="4:5" x14ac:dyDescent="0.25">
      <c r="D4470" s="4">
        <v>38173</v>
      </c>
      <c r="E4470" s="6">
        <v>35.729999999999997</v>
      </c>
    </row>
    <row r="4471" spans="4:5" x14ac:dyDescent="0.25">
      <c r="D4471" s="4">
        <v>38174</v>
      </c>
      <c r="E4471" s="6">
        <v>36.47</v>
      </c>
    </row>
    <row r="4472" spans="4:5" x14ac:dyDescent="0.25">
      <c r="D4472" s="4">
        <v>38175</v>
      </c>
      <c r="E4472" s="6">
        <v>35.619999999999997</v>
      </c>
    </row>
    <row r="4473" spans="4:5" x14ac:dyDescent="0.25">
      <c r="D4473" s="4">
        <v>38176</v>
      </c>
      <c r="E4473" s="6">
        <v>37.130000000000003</v>
      </c>
    </row>
    <row r="4474" spans="4:5" x14ac:dyDescent="0.25">
      <c r="D4474" s="4">
        <v>38177</v>
      </c>
      <c r="E4474" s="6">
        <v>37.58</v>
      </c>
    </row>
    <row r="4475" spans="4:5" x14ac:dyDescent="0.25">
      <c r="D4475" s="4">
        <v>38180</v>
      </c>
      <c r="E4475" s="6">
        <v>37.729999999999997</v>
      </c>
    </row>
    <row r="4476" spans="4:5" x14ac:dyDescent="0.25">
      <c r="D4476" s="4">
        <v>38181</v>
      </c>
      <c r="E4476" s="6">
        <v>36.68</v>
      </c>
    </row>
    <row r="4477" spans="4:5" x14ac:dyDescent="0.25">
      <c r="D4477" s="4">
        <v>38182</v>
      </c>
      <c r="E4477" s="6">
        <v>37.51</v>
      </c>
    </row>
    <row r="4478" spans="4:5" x14ac:dyDescent="0.25">
      <c r="D4478" s="4">
        <v>38183</v>
      </c>
      <c r="E4478" s="6">
        <v>38.409999999999997</v>
      </c>
    </row>
    <row r="4479" spans="4:5" x14ac:dyDescent="0.25">
      <c r="D4479" s="4">
        <v>38184</v>
      </c>
      <c r="E4479" s="6">
        <v>38.49</v>
      </c>
    </row>
    <row r="4480" spans="4:5" x14ac:dyDescent="0.25">
      <c r="D4480" s="4">
        <v>38187</v>
      </c>
      <c r="E4480" s="6">
        <v>39.07</v>
      </c>
    </row>
    <row r="4481" spans="4:5" x14ac:dyDescent="0.25">
      <c r="D4481" s="4">
        <v>38188</v>
      </c>
      <c r="E4481" s="6">
        <v>38.96</v>
      </c>
    </row>
    <row r="4482" spans="4:5" x14ac:dyDescent="0.25">
      <c r="D4482" s="4">
        <v>38189</v>
      </c>
      <c r="E4482" s="6">
        <v>38.479999999999997</v>
      </c>
    </row>
    <row r="4483" spans="4:5" x14ac:dyDescent="0.25">
      <c r="D4483" s="4">
        <v>38190</v>
      </c>
      <c r="E4483" s="6">
        <v>39.159999999999997</v>
      </c>
    </row>
    <row r="4484" spans="4:5" x14ac:dyDescent="0.25">
      <c r="D4484" s="4">
        <v>38191</v>
      </c>
      <c r="E4484" s="6">
        <v>39.590000000000003</v>
      </c>
    </row>
    <row r="4485" spans="4:5" x14ac:dyDescent="0.25">
      <c r="D4485" s="4">
        <v>38194</v>
      </c>
      <c r="E4485" s="6">
        <v>39.75</v>
      </c>
    </row>
    <row r="4486" spans="4:5" x14ac:dyDescent="0.25">
      <c r="D4486" s="4">
        <v>38195</v>
      </c>
      <c r="E4486" s="6">
        <v>40.090000000000003</v>
      </c>
    </row>
    <row r="4487" spans="4:5" x14ac:dyDescent="0.25">
      <c r="D4487" s="4">
        <v>38196</v>
      </c>
      <c r="E4487" s="6">
        <v>41.08</v>
      </c>
    </row>
    <row r="4488" spans="4:5" x14ac:dyDescent="0.25">
      <c r="D4488" s="4">
        <v>38197</v>
      </c>
      <c r="E4488" s="6">
        <v>40.93</v>
      </c>
    </row>
    <row r="4489" spans="4:5" x14ac:dyDescent="0.25">
      <c r="D4489" s="4">
        <v>38198</v>
      </c>
      <c r="E4489" s="6">
        <v>41.47</v>
      </c>
    </row>
    <row r="4490" spans="4:5" x14ac:dyDescent="0.25">
      <c r="D4490" s="4">
        <v>38201</v>
      </c>
      <c r="E4490" s="6">
        <v>41.35</v>
      </c>
    </row>
    <row r="4491" spans="4:5" x14ac:dyDescent="0.25">
      <c r="D4491" s="4">
        <v>38202</v>
      </c>
      <c r="E4491" s="6">
        <v>41.82</v>
      </c>
    </row>
    <row r="4492" spans="4:5" x14ac:dyDescent="0.25">
      <c r="D4492" s="4">
        <v>38203</v>
      </c>
      <c r="E4492" s="6">
        <v>41.75</v>
      </c>
    </row>
    <row r="4493" spans="4:5" x14ac:dyDescent="0.25">
      <c r="D4493" s="4">
        <v>38204</v>
      </c>
      <c r="E4493" s="6">
        <v>42.49</v>
      </c>
    </row>
    <row r="4494" spans="4:5" x14ac:dyDescent="0.25">
      <c r="D4494" s="4">
        <v>38205</v>
      </c>
      <c r="E4494" s="6">
        <v>42.63</v>
      </c>
    </row>
    <row r="4495" spans="4:5" x14ac:dyDescent="0.25">
      <c r="D4495" s="4">
        <v>38208</v>
      </c>
      <c r="E4495" s="6">
        <v>43.21</v>
      </c>
    </row>
    <row r="4496" spans="4:5" x14ac:dyDescent="0.25">
      <c r="D4496" s="4">
        <v>38209</v>
      </c>
      <c r="E4496" s="6">
        <v>42.5</v>
      </c>
    </row>
    <row r="4497" spans="4:5" x14ac:dyDescent="0.25">
      <c r="D4497" s="4">
        <v>38210</v>
      </c>
      <c r="E4497" s="6">
        <v>42.45</v>
      </c>
    </row>
    <row r="4498" spans="4:5" x14ac:dyDescent="0.25">
      <c r="D4498" s="4">
        <v>38211</v>
      </c>
      <c r="E4498" s="6">
        <v>43.5</v>
      </c>
    </row>
    <row r="4499" spans="4:5" x14ac:dyDescent="0.25">
      <c r="D4499" s="4">
        <v>38212</v>
      </c>
      <c r="E4499" s="6">
        <v>44.13</v>
      </c>
    </row>
    <row r="4500" spans="4:5" x14ac:dyDescent="0.25">
      <c r="D4500" s="4">
        <v>38215</v>
      </c>
      <c r="E4500" s="6">
        <v>44.35</v>
      </c>
    </row>
    <row r="4501" spans="4:5" x14ac:dyDescent="0.25">
      <c r="D4501" s="4">
        <v>38216</v>
      </c>
      <c r="E4501" s="6">
        <v>44.05</v>
      </c>
    </row>
    <row r="4502" spans="4:5" x14ac:dyDescent="0.25">
      <c r="D4502" s="4">
        <v>38217</v>
      </c>
      <c r="E4502" s="6">
        <v>44.12</v>
      </c>
    </row>
    <row r="4503" spans="4:5" x14ac:dyDescent="0.25">
      <c r="D4503" s="4">
        <v>38218</v>
      </c>
      <c r="E4503" s="6">
        <v>44.84</v>
      </c>
    </row>
    <row r="4504" spans="4:5" x14ac:dyDescent="0.25">
      <c r="D4504" s="4">
        <v>38219</v>
      </c>
      <c r="E4504" s="6">
        <v>45.46</v>
      </c>
    </row>
    <row r="4505" spans="4:5" x14ac:dyDescent="0.25">
      <c r="D4505" s="4">
        <v>38222</v>
      </c>
      <c r="E4505" s="6">
        <v>44.39</v>
      </c>
    </row>
    <row r="4506" spans="4:5" x14ac:dyDescent="0.25">
      <c r="D4506" s="4">
        <v>38223</v>
      </c>
      <c r="E4506" s="6">
        <v>42.99</v>
      </c>
    </row>
    <row r="4507" spans="4:5" x14ac:dyDescent="0.25">
      <c r="D4507" s="4">
        <v>38224</v>
      </c>
      <c r="E4507" s="6">
        <v>42.39</v>
      </c>
    </row>
    <row r="4508" spans="4:5" x14ac:dyDescent="0.25">
      <c r="D4508" s="4">
        <v>38225</v>
      </c>
      <c r="E4508" s="6">
        <v>40.65</v>
      </c>
    </row>
    <row r="4509" spans="4:5" x14ac:dyDescent="0.25">
      <c r="D4509" s="4">
        <v>38226</v>
      </c>
      <c r="E4509" s="6">
        <v>40.72</v>
      </c>
    </row>
    <row r="4510" spans="4:5" x14ac:dyDescent="0.25">
      <c r="D4510" s="4">
        <v>38229</v>
      </c>
      <c r="E4510" s="6">
        <v>40.78</v>
      </c>
    </row>
    <row r="4511" spans="4:5" x14ac:dyDescent="0.25">
      <c r="D4511" s="4">
        <v>38230</v>
      </c>
      <c r="E4511" s="6">
        <v>39.799999999999997</v>
      </c>
    </row>
    <row r="4512" spans="4:5" x14ac:dyDescent="0.25">
      <c r="D4512" s="4">
        <v>38231</v>
      </c>
      <c r="E4512" s="6">
        <v>40.96</v>
      </c>
    </row>
    <row r="4513" spans="4:5" x14ac:dyDescent="0.25">
      <c r="D4513" s="4">
        <v>38232</v>
      </c>
      <c r="E4513" s="6">
        <v>42.39</v>
      </c>
    </row>
    <row r="4514" spans="4:5" x14ac:dyDescent="0.25">
      <c r="D4514" s="4">
        <v>38233</v>
      </c>
      <c r="E4514" s="6">
        <v>41.07</v>
      </c>
    </row>
    <row r="4515" spans="4:5" x14ac:dyDescent="0.25">
      <c r="D4515" s="4">
        <v>38236</v>
      </c>
      <c r="E4515" s="6">
        <v>40.4</v>
      </c>
    </row>
    <row r="4516" spans="4:5" x14ac:dyDescent="0.25">
      <c r="D4516" s="4">
        <v>38237</v>
      </c>
      <c r="E4516" s="6">
        <v>40.19</v>
      </c>
    </row>
    <row r="4517" spans="4:5" x14ac:dyDescent="0.25">
      <c r="D4517" s="4">
        <v>38238</v>
      </c>
      <c r="E4517" s="6">
        <v>39.909999999999997</v>
      </c>
    </row>
    <row r="4518" spans="4:5" x14ac:dyDescent="0.25">
      <c r="D4518" s="4">
        <v>38239</v>
      </c>
      <c r="E4518" s="6">
        <v>41.45</v>
      </c>
    </row>
    <row r="4519" spans="4:5" x14ac:dyDescent="0.25">
      <c r="D4519" s="4">
        <v>38240</v>
      </c>
      <c r="E4519" s="6">
        <v>41.03</v>
      </c>
    </row>
    <row r="4520" spans="4:5" x14ac:dyDescent="0.25">
      <c r="D4520" s="4">
        <v>38243</v>
      </c>
      <c r="E4520" s="6">
        <v>40.630000000000003</v>
      </c>
    </row>
    <row r="4521" spans="4:5" x14ac:dyDescent="0.25">
      <c r="D4521" s="4">
        <v>38244</v>
      </c>
      <c r="E4521" s="6">
        <v>41.34</v>
      </c>
    </row>
    <row r="4522" spans="4:5" x14ac:dyDescent="0.25">
      <c r="D4522" s="4">
        <v>38245</v>
      </c>
      <c r="E4522" s="6">
        <v>42.03</v>
      </c>
    </row>
    <row r="4523" spans="4:5" x14ac:dyDescent="0.25">
      <c r="D4523" s="4">
        <v>38246</v>
      </c>
      <c r="E4523" s="6">
        <v>40.68</v>
      </c>
    </row>
    <row r="4524" spans="4:5" x14ac:dyDescent="0.25">
      <c r="D4524" s="4">
        <v>38247</v>
      </c>
      <c r="E4524" s="6">
        <v>43.08</v>
      </c>
    </row>
    <row r="4525" spans="4:5" x14ac:dyDescent="0.25">
      <c r="D4525" s="4">
        <v>38250</v>
      </c>
      <c r="E4525" s="6">
        <v>43.6</v>
      </c>
    </row>
    <row r="4526" spans="4:5" x14ac:dyDescent="0.25">
      <c r="D4526" s="4">
        <v>38251</v>
      </c>
      <c r="E4526" s="6">
        <v>44.56</v>
      </c>
    </row>
    <row r="4527" spans="4:5" x14ac:dyDescent="0.25">
      <c r="D4527" s="4">
        <v>38252</v>
      </c>
      <c r="E4527" s="6">
        <v>45.66</v>
      </c>
    </row>
    <row r="4528" spans="4:5" x14ac:dyDescent="0.25">
      <c r="D4528" s="4">
        <v>38253</v>
      </c>
      <c r="E4528" s="6">
        <v>46.53</v>
      </c>
    </row>
    <row r="4529" spans="4:5" x14ac:dyDescent="0.25">
      <c r="D4529" s="4">
        <v>38254</v>
      </c>
      <c r="E4529" s="6">
        <v>46.13</v>
      </c>
    </row>
    <row r="4530" spans="4:5" x14ac:dyDescent="0.25">
      <c r="D4530" s="4">
        <v>38257</v>
      </c>
      <c r="E4530" s="6">
        <v>46.87</v>
      </c>
    </row>
    <row r="4531" spans="4:5" x14ac:dyDescent="0.25">
      <c r="D4531" s="4">
        <v>38258</v>
      </c>
      <c r="E4531" s="6">
        <v>47.52</v>
      </c>
    </row>
    <row r="4532" spans="4:5" x14ac:dyDescent="0.25">
      <c r="D4532" s="4">
        <v>38259</v>
      </c>
      <c r="E4532" s="6">
        <v>46.54</v>
      </c>
    </row>
    <row r="4533" spans="4:5" x14ac:dyDescent="0.25">
      <c r="D4533" s="4">
        <v>38260</v>
      </c>
      <c r="E4533" s="6">
        <v>47.76</v>
      </c>
    </row>
    <row r="4534" spans="4:5" x14ac:dyDescent="0.25">
      <c r="D4534" s="4">
        <v>38261</v>
      </c>
      <c r="E4534" s="6">
        <v>46.86</v>
      </c>
    </row>
    <row r="4535" spans="4:5" x14ac:dyDescent="0.25">
      <c r="D4535" s="4">
        <v>38264</v>
      </c>
      <c r="E4535" s="6">
        <v>46.99</v>
      </c>
    </row>
    <row r="4536" spans="4:5" x14ac:dyDescent="0.25">
      <c r="D4536" s="4">
        <v>38265</v>
      </c>
      <c r="E4536" s="6">
        <v>47.1</v>
      </c>
    </row>
    <row r="4537" spans="4:5" x14ac:dyDescent="0.25">
      <c r="D4537" s="4">
        <v>38266</v>
      </c>
      <c r="E4537" s="6">
        <v>47.95</v>
      </c>
    </row>
    <row r="4538" spans="4:5" x14ac:dyDescent="0.25">
      <c r="D4538" s="4">
        <v>38267</v>
      </c>
      <c r="E4538" s="6">
        <v>48.98</v>
      </c>
    </row>
    <row r="4539" spans="4:5" x14ac:dyDescent="0.25">
      <c r="D4539" s="4">
        <v>38268</v>
      </c>
      <c r="E4539" s="6">
        <v>49.41</v>
      </c>
    </row>
    <row r="4540" spans="4:5" x14ac:dyDescent="0.25">
      <c r="D4540" s="4">
        <v>38271</v>
      </c>
      <c r="E4540" s="6">
        <v>50.75</v>
      </c>
    </row>
    <row r="4541" spans="4:5" x14ac:dyDescent="0.25">
      <c r="D4541" s="4">
        <v>38272</v>
      </c>
      <c r="E4541" s="6">
        <v>51.28</v>
      </c>
    </row>
    <row r="4542" spans="4:5" x14ac:dyDescent="0.25">
      <c r="D4542" s="4">
        <v>38273</v>
      </c>
      <c r="E4542" s="6">
        <v>50.42</v>
      </c>
    </row>
    <row r="4543" spans="4:5" x14ac:dyDescent="0.25">
      <c r="D4543" s="4">
        <v>38274</v>
      </c>
      <c r="E4543" s="6">
        <v>51.31</v>
      </c>
    </row>
    <row r="4544" spans="4:5" x14ac:dyDescent="0.25">
      <c r="D4544" s="4">
        <v>38275</v>
      </c>
      <c r="E4544" s="6">
        <v>51.02</v>
      </c>
    </row>
    <row r="4545" spans="4:5" x14ac:dyDescent="0.25">
      <c r="D4545" s="4">
        <v>38278</v>
      </c>
      <c r="E4545" s="6">
        <v>49.16</v>
      </c>
    </row>
    <row r="4546" spans="4:5" x14ac:dyDescent="0.25">
      <c r="D4546" s="4">
        <v>38279</v>
      </c>
      <c r="E4546" s="6">
        <v>49.21</v>
      </c>
    </row>
    <row r="4547" spans="4:5" x14ac:dyDescent="0.25">
      <c r="D4547" s="4">
        <v>38280</v>
      </c>
      <c r="E4547" s="6">
        <v>50.78</v>
      </c>
    </row>
    <row r="4548" spans="4:5" x14ac:dyDescent="0.25">
      <c r="D4548" s="4">
        <v>38281</v>
      </c>
      <c r="E4548" s="6">
        <v>51.06</v>
      </c>
    </row>
    <row r="4549" spans="4:5" x14ac:dyDescent="0.25">
      <c r="D4549" s="4">
        <v>38282</v>
      </c>
      <c r="E4549" s="6">
        <v>52.28</v>
      </c>
    </row>
    <row r="4550" spans="4:5" x14ac:dyDescent="0.25">
      <c r="D4550" s="4">
        <v>38285</v>
      </c>
      <c r="E4550" s="6">
        <v>51.68</v>
      </c>
    </row>
    <row r="4551" spans="4:5" x14ac:dyDescent="0.25">
      <c r="D4551" s="4">
        <v>38286</v>
      </c>
      <c r="E4551" s="6">
        <v>52.04</v>
      </c>
    </row>
    <row r="4552" spans="4:5" x14ac:dyDescent="0.25">
      <c r="D4552" s="4">
        <v>38287</v>
      </c>
      <c r="E4552" s="6">
        <v>49.99</v>
      </c>
    </row>
    <row r="4553" spans="4:5" x14ac:dyDescent="0.25">
      <c r="D4553" s="4">
        <v>38288</v>
      </c>
      <c r="E4553" s="6">
        <v>48.88</v>
      </c>
    </row>
    <row r="4554" spans="4:5" x14ac:dyDescent="0.25">
      <c r="D4554" s="4">
        <v>38289</v>
      </c>
      <c r="E4554" s="6">
        <v>48.16</v>
      </c>
    </row>
    <row r="4555" spans="4:5" x14ac:dyDescent="0.25">
      <c r="D4555" s="4">
        <v>38292</v>
      </c>
      <c r="E4555" s="6">
        <v>46.84</v>
      </c>
    </row>
    <row r="4556" spans="4:5" x14ac:dyDescent="0.25">
      <c r="D4556" s="4">
        <v>38293</v>
      </c>
      <c r="E4556" s="6">
        <v>46.25</v>
      </c>
    </row>
    <row r="4557" spans="4:5" x14ac:dyDescent="0.25">
      <c r="D4557" s="4">
        <v>38294</v>
      </c>
      <c r="E4557" s="6">
        <v>46.14</v>
      </c>
    </row>
    <row r="4558" spans="4:5" x14ac:dyDescent="0.25">
      <c r="D4558" s="4">
        <v>38295</v>
      </c>
      <c r="E4558" s="6">
        <v>45.32</v>
      </c>
    </row>
    <row r="4559" spans="4:5" x14ac:dyDescent="0.25">
      <c r="D4559" s="4">
        <v>38296</v>
      </c>
      <c r="E4559" s="6">
        <v>44.37</v>
      </c>
    </row>
    <row r="4560" spans="4:5" x14ac:dyDescent="0.25">
      <c r="D4560" s="4">
        <v>38299</v>
      </c>
      <c r="E4560" s="6">
        <v>44.78</v>
      </c>
    </row>
    <row r="4561" spans="4:5" x14ac:dyDescent="0.25">
      <c r="D4561" s="4">
        <v>38300</v>
      </c>
      <c r="E4561" s="6">
        <v>43.27</v>
      </c>
    </row>
    <row r="4562" spans="4:5" x14ac:dyDescent="0.25">
      <c r="D4562" s="4">
        <v>38301</v>
      </c>
      <c r="E4562" s="6">
        <v>42.57</v>
      </c>
    </row>
    <row r="4563" spans="4:5" x14ac:dyDescent="0.25">
      <c r="D4563" s="4">
        <v>38302</v>
      </c>
      <c r="E4563" s="6">
        <v>42.22</v>
      </c>
    </row>
    <row r="4564" spans="4:5" x14ac:dyDescent="0.25">
      <c r="D4564" s="4">
        <v>38303</v>
      </c>
      <c r="E4564" s="6">
        <v>41.33</v>
      </c>
    </row>
    <row r="4565" spans="4:5" x14ac:dyDescent="0.25">
      <c r="D4565" s="4">
        <v>38306</v>
      </c>
      <c r="E4565" s="6">
        <v>39.32</v>
      </c>
    </row>
    <row r="4566" spans="4:5" x14ac:dyDescent="0.25">
      <c r="D4566" s="4">
        <v>38307</v>
      </c>
      <c r="E4566" s="6">
        <v>40.479999999999997</v>
      </c>
    </row>
    <row r="4567" spans="4:5" x14ac:dyDescent="0.25">
      <c r="D4567" s="4">
        <v>38308</v>
      </c>
      <c r="E4567" s="6">
        <v>40.270000000000003</v>
      </c>
    </row>
    <row r="4568" spans="4:5" x14ac:dyDescent="0.25">
      <c r="D4568" s="4">
        <v>38309</v>
      </c>
      <c r="E4568" s="6">
        <v>40.799999999999997</v>
      </c>
    </row>
    <row r="4569" spans="4:5" x14ac:dyDescent="0.25">
      <c r="D4569" s="4">
        <v>38310</v>
      </c>
      <c r="E4569" s="6">
        <v>42.29</v>
      </c>
    </row>
    <row r="4570" spans="4:5" x14ac:dyDescent="0.25">
      <c r="D4570" s="4">
        <v>38313</v>
      </c>
      <c r="E4570" s="6">
        <v>42.26</v>
      </c>
    </row>
    <row r="4571" spans="4:5" x14ac:dyDescent="0.25">
      <c r="D4571" s="4">
        <v>38314</v>
      </c>
      <c r="E4571" s="6">
        <v>43.03</v>
      </c>
    </row>
    <row r="4572" spans="4:5" x14ac:dyDescent="0.25">
      <c r="D4572" s="4">
        <v>38315</v>
      </c>
      <c r="E4572" s="6">
        <v>42.62</v>
      </c>
    </row>
    <row r="4573" spans="4:5" x14ac:dyDescent="0.25">
      <c r="D4573" s="4">
        <v>38316</v>
      </c>
      <c r="E4573" s="6">
        <v>43.12</v>
      </c>
    </row>
    <row r="4574" spans="4:5" x14ac:dyDescent="0.25">
      <c r="D4574" s="4">
        <v>38317</v>
      </c>
      <c r="E4574" s="6">
        <v>42.87</v>
      </c>
    </row>
    <row r="4575" spans="4:5" x14ac:dyDescent="0.25">
      <c r="D4575" s="4">
        <v>38320</v>
      </c>
      <c r="E4575" s="6">
        <v>44.05</v>
      </c>
    </row>
    <row r="4576" spans="4:5" x14ac:dyDescent="0.25">
      <c r="D4576" s="4">
        <v>38321</v>
      </c>
      <c r="E4576" s="6">
        <v>44.23</v>
      </c>
    </row>
    <row r="4577" spans="4:5" x14ac:dyDescent="0.25">
      <c r="D4577" s="4">
        <v>38322</v>
      </c>
      <c r="E4577" s="6">
        <v>41.19</v>
      </c>
    </row>
    <row r="4578" spans="4:5" x14ac:dyDescent="0.25">
      <c r="D4578" s="4">
        <v>38323</v>
      </c>
      <c r="E4578" s="6">
        <v>38.49</v>
      </c>
    </row>
    <row r="4579" spans="4:5" x14ac:dyDescent="0.25">
      <c r="D4579" s="4">
        <v>38324</v>
      </c>
      <c r="E4579" s="6">
        <v>38.57</v>
      </c>
    </row>
    <row r="4580" spans="4:5" x14ac:dyDescent="0.25">
      <c r="D4580" s="4">
        <v>38327</v>
      </c>
      <c r="E4580" s="6">
        <v>38.43</v>
      </c>
    </row>
    <row r="4581" spans="4:5" x14ac:dyDescent="0.25">
      <c r="D4581" s="4">
        <v>38328</v>
      </c>
      <c r="E4581" s="6">
        <v>37.11</v>
      </c>
    </row>
    <row r="4582" spans="4:5" x14ac:dyDescent="0.25">
      <c r="D4582" s="4">
        <v>38329</v>
      </c>
      <c r="E4582" s="6">
        <v>36.9</v>
      </c>
    </row>
    <row r="4583" spans="4:5" x14ac:dyDescent="0.25">
      <c r="D4583" s="4">
        <v>38330</v>
      </c>
      <c r="E4583" s="6">
        <v>38.33</v>
      </c>
    </row>
    <row r="4584" spans="4:5" x14ac:dyDescent="0.25">
      <c r="D4584" s="4">
        <v>38331</v>
      </c>
      <c r="E4584" s="6">
        <v>37.24</v>
      </c>
    </row>
    <row r="4585" spans="4:5" x14ac:dyDescent="0.25">
      <c r="D4585" s="4">
        <v>38334</v>
      </c>
      <c r="E4585" s="6">
        <v>36.770000000000003</v>
      </c>
    </row>
    <row r="4586" spans="4:5" x14ac:dyDescent="0.25">
      <c r="D4586" s="4">
        <v>38335</v>
      </c>
      <c r="E4586" s="6">
        <v>37.03</v>
      </c>
    </row>
    <row r="4587" spans="4:5" x14ac:dyDescent="0.25">
      <c r="D4587" s="4">
        <v>38336</v>
      </c>
      <c r="E4587" s="6">
        <v>41.53</v>
      </c>
    </row>
    <row r="4588" spans="4:5" x14ac:dyDescent="0.25">
      <c r="D4588" s="4">
        <v>38337</v>
      </c>
      <c r="E4588" s="6">
        <v>41.49</v>
      </c>
    </row>
    <row r="4589" spans="4:5" x14ac:dyDescent="0.25">
      <c r="D4589" s="4">
        <v>38338</v>
      </c>
      <c r="E4589" s="6">
        <v>43.06</v>
      </c>
    </row>
    <row r="4590" spans="4:5" x14ac:dyDescent="0.25">
      <c r="D4590" s="4">
        <v>38341</v>
      </c>
      <c r="E4590" s="6">
        <v>42.67</v>
      </c>
    </row>
    <row r="4591" spans="4:5" x14ac:dyDescent="0.25">
      <c r="D4591" s="4">
        <v>38342</v>
      </c>
      <c r="E4591" s="6">
        <v>42.76</v>
      </c>
    </row>
    <row r="4592" spans="4:5" x14ac:dyDescent="0.25">
      <c r="D4592" s="4">
        <v>38343</v>
      </c>
      <c r="E4592" s="6">
        <v>40.44</v>
      </c>
    </row>
    <row r="4593" spans="4:5" x14ac:dyDescent="0.25">
      <c r="D4593" s="4">
        <v>38344</v>
      </c>
      <c r="E4593" s="6">
        <v>40.29</v>
      </c>
    </row>
    <row r="4594" spans="4:5" x14ac:dyDescent="0.25">
      <c r="D4594" s="4">
        <v>38345</v>
      </c>
      <c r="E4594" s="6">
        <v>39.6</v>
      </c>
    </row>
    <row r="4595" spans="4:5" x14ac:dyDescent="0.25">
      <c r="D4595" s="4">
        <v>38348</v>
      </c>
      <c r="E4595" s="6">
        <v>39.6</v>
      </c>
    </row>
    <row r="4596" spans="4:5" x14ac:dyDescent="0.25">
      <c r="D4596" s="4">
        <v>38349</v>
      </c>
      <c r="E4596" s="6">
        <v>40.24</v>
      </c>
    </row>
    <row r="4597" spans="4:5" x14ac:dyDescent="0.25">
      <c r="D4597" s="4">
        <v>38350</v>
      </c>
      <c r="E4597" s="6">
        <v>38.93</v>
      </c>
    </row>
    <row r="4598" spans="4:5" x14ac:dyDescent="0.25">
      <c r="D4598" s="4">
        <v>38351</v>
      </c>
      <c r="E4598" s="6">
        <v>39.799999999999997</v>
      </c>
    </row>
    <row r="4599" spans="4:5" x14ac:dyDescent="0.25">
      <c r="D4599" s="4">
        <v>38352</v>
      </c>
      <c r="E4599" s="6">
        <v>40.380000000000003</v>
      </c>
    </row>
    <row r="4600" spans="4:5" x14ac:dyDescent="0.25">
      <c r="D4600" s="4">
        <v>38355</v>
      </c>
      <c r="E4600" s="5"/>
    </row>
    <row r="4601" spans="4:5" x14ac:dyDescent="0.25">
      <c r="D4601" s="4">
        <v>38356</v>
      </c>
      <c r="E4601" s="6">
        <v>40.75</v>
      </c>
    </row>
    <row r="4602" spans="4:5" x14ac:dyDescent="0.25">
      <c r="D4602" s="4">
        <v>38357</v>
      </c>
      <c r="E4602" s="6">
        <v>41</v>
      </c>
    </row>
    <row r="4603" spans="4:5" x14ac:dyDescent="0.25">
      <c r="D4603" s="4">
        <v>38358</v>
      </c>
      <c r="E4603" s="6">
        <v>43.25</v>
      </c>
    </row>
    <row r="4604" spans="4:5" x14ac:dyDescent="0.25">
      <c r="D4604" s="4">
        <v>38359</v>
      </c>
      <c r="E4604" s="6">
        <v>43.28</v>
      </c>
    </row>
    <row r="4605" spans="4:5" x14ac:dyDescent="0.25">
      <c r="D4605" s="4">
        <v>38362</v>
      </c>
      <c r="E4605" s="6">
        <v>44.71</v>
      </c>
    </row>
    <row r="4606" spans="4:5" x14ac:dyDescent="0.25">
      <c r="D4606" s="4">
        <v>38363</v>
      </c>
      <c r="E4606" s="6">
        <v>43.45</v>
      </c>
    </row>
    <row r="4607" spans="4:5" x14ac:dyDescent="0.25">
      <c r="D4607" s="4">
        <v>38364</v>
      </c>
      <c r="E4607" s="6">
        <v>43.75</v>
      </c>
    </row>
    <row r="4608" spans="4:5" x14ac:dyDescent="0.25">
      <c r="D4608" s="4">
        <v>38365</v>
      </c>
      <c r="E4608" s="6">
        <v>45.76</v>
      </c>
    </row>
    <row r="4609" spans="4:5" x14ac:dyDescent="0.25">
      <c r="D4609" s="4">
        <v>38366</v>
      </c>
      <c r="E4609" s="6">
        <v>45.26</v>
      </c>
    </row>
    <row r="4610" spans="4:5" x14ac:dyDescent="0.25">
      <c r="D4610" s="4">
        <v>38369</v>
      </c>
      <c r="E4610" s="6">
        <v>45.1</v>
      </c>
    </row>
    <row r="4611" spans="4:5" x14ac:dyDescent="0.25">
      <c r="D4611" s="4">
        <v>38370</v>
      </c>
      <c r="E4611" s="6">
        <v>45.18</v>
      </c>
    </row>
    <row r="4612" spans="4:5" x14ac:dyDescent="0.25">
      <c r="D4612" s="4">
        <v>38371</v>
      </c>
      <c r="E4612" s="6">
        <v>45.16</v>
      </c>
    </row>
    <row r="4613" spans="4:5" x14ac:dyDescent="0.25">
      <c r="D4613" s="4">
        <v>38372</v>
      </c>
      <c r="E4613" s="6">
        <v>44.06</v>
      </c>
    </row>
    <row r="4614" spans="4:5" x14ac:dyDescent="0.25">
      <c r="D4614" s="4">
        <v>38373</v>
      </c>
      <c r="E4614" s="6">
        <v>45.88</v>
      </c>
    </row>
    <row r="4615" spans="4:5" x14ac:dyDescent="0.25">
      <c r="D4615" s="4">
        <v>38376</v>
      </c>
      <c r="E4615" s="6">
        <v>45.74</v>
      </c>
    </row>
    <row r="4616" spans="4:5" x14ac:dyDescent="0.25">
      <c r="D4616" s="4">
        <v>38377</v>
      </c>
      <c r="E4616" s="6">
        <v>46.14</v>
      </c>
    </row>
    <row r="4617" spans="4:5" x14ac:dyDescent="0.25">
      <c r="D4617" s="4">
        <v>38378</v>
      </c>
      <c r="E4617" s="6">
        <v>45.94</v>
      </c>
    </row>
    <row r="4618" spans="4:5" x14ac:dyDescent="0.25">
      <c r="D4618" s="4">
        <v>38379</v>
      </c>
      <c r="E4618" s="6">
        <v>46.51</v>
      </c>
    </row>
    <row r="4619" spans="4:5" x14ac:dyDescent="0.25">
      <c r="D4619" s="4">
        <v>38380</v>
      </c>
      <c r="E4619" s="6">
        <v>44.75</v>
      </c>
    </row>
    <row r="4620" spans="4:5" x14ac:dyDescent="0.25">
      <c r="D4620" s="4">
        <v>38383</v>
      </c>
      <c r="E4620" s="6">
        <v>44.51</v>
      </c>
    </row>
    <row r="4621" spans="4:5" x14ac:dyDescent="0.25">
      <c r="D4621" s="4">
        <v>38384</v>
      </c>
      <c r="E4621" s="6">
        <v>45.12</v>
      </c>
    </row>
    <row r="4622" spans="4:5" x14ac:dyDescent="0.25">
      <c r="D4622" s="4">
        <v>38385</v>
      </c>
      <c r="E4622" s="6">
        <v>44.17</v>
      </c>
    </row>
    <row r="4623" spans="4:5" x14ac:dyDescent="0.25">
      <c r="D4623" s="4">
        <v>38386</v>
      </c>
      <c r="E4623" s="6">
        <v>43.13</v>
      </c>
    </row>
    <row r="4624" spans="4:5" x14ac:dyDescent="0.25">
      <c r="D4624" s="4">
        <v>38387</v>
      </c>
      <c r="E4624" s="6">
        <v>43.26</v>
      </c>
    </row>
    <row r="4625" spans="4:5" x14ac:dyDescent="0.25">
      <c r="D4625" s="4">
        <v>38390</v>
      </c>
      <c r="E4625" s="6">
        <v>42.7</v>
      </c>
    </row>
    <row r="4626" spans="4:5" x14ac:dyDescent="0.25">
      <c r="D4626" s="4">
        <v>38391</v>
      </c>
      <c r="E4626" s="6">
        <v>42.79</v>
      </c>
    </row>
    <row r="4627" spans="4:5" x14ac:dyDescent="0.25">
      <c r="D4627" s="4">
        <v>38392</v>
      </c>
      <c r="E4627" s="6">
        <v>42.49</v>
      </c>
    </row>
    <row r="4628" spans="4:5" x14ac:dyDescent="0.25">
      <c r="D4628" s="4">
        <v>38393</v>
      </c>
      <c r="E4628" s="6">
        <v>44.04</v>
      </c>
    </row>
    <row r="4629" spans="4:5" x14ac:dyDescent="0.25">
      <c r="D4629" s="4">
        <v>38394</v>
      </c>
      <c r="E4629" s="6">
        <v>44.41</v>
      </c>
    </row>
    <row r="4630" spans="4:5" x14ac:dyDescent="0.25">
      <c r="D4630" s="4">
        <v>38397</v>
      </c>
      <c r="E4630" s="6">
        <v>44.51</v>
      </c>
    </row>
    <row r="4631" spans="4:5" x14ac:dyDescent="0.25">
      <c r="D4631" s="4">
        <v>38398</v>
      </c>
      <c r="E4631" s="6">
        <v>44.91</v>
      </c>
    </row>
    <row r="4632" spans="4:5" x14ac:dyDescent="0.25">
      <c r="D4632" s="4">
        <v>38399</v>
      </c>
      <c r="E4632" s="6">
        <v>45.42</v>
      </c>
    </row>
    <row r="4633" spans="4:5" x14ac:dyDescent="0.25">
      <c r="D4633" s="4">
        <v>38400</v>
      </c>
      <c r="E4633" s="6">
        <v>45.42</v>
      </c>
    </row>
    <row r="4634" spans="4:5" x14ac:dyDescent="0.25">
      <c r="D4634" s="4">
        <v>38401</v>
      </c>
      <c r="E4634" s="6">
        <v>45.86</v>
      </c>
    </row>
    <row r="4635" spans="4:5" x14ac:dyDescent="0.25">
      <c r="D4635" s="4">
        <v>38404</v>
      </c>
      <c r="E4635" s="6">
        <v>46.09</v>
      </c>
    </row>
    <row r="4636" spans="4:5" x14ac:dyDescent="0.25">
      <c r="D4636" s="4">
        <v>38405</v>
      </c>
      <c r="E4636" s="6">
        <v>47.6</v>
      </c>
    </row>
    <row r="4637" spans="4:5" x14ac:dyDescent="0.25">
      <c r="D4637" s="4">
        <v>38406</v>
      </c>
      <c r="E4637" s="6">
        <v>48.16</v>
      </c>
    </row>
    <row r="4638" spans="4:5" x14ac:dyDescent="0.25">
      <c r="D4638" s="4">
        <v>38407</v>
      </c>
      <c r="E4638" s="6">
        <v>49.24</v>
      </c>
    </row>
    <row r="4639" spans="4:5" x14ac:dyDescent="0.25">
      <c r="D4639" s="4">
        <v>38408</v>
      </c>
      <c r="E4639" s="6">
        <v>50.05</v>
      </c>
    </row>
    <row r="4640" spans="4:5" x14ac:dyDescent="0.25">
      <c r="D4640" s="4">
        <v>38411</v>
      </c>
      <c r="E4640" s="6">
        <v>50.13</v>
      </c>
    </row>
    <row r="4641" spans="4:5" x14ac:dyDescent="0.25">
      <c r="D4641" s="4">
        <v>38412</v>
      </c>
      <c r="E4641" s="6">
        <v>50.47</v>
      </c>
    </row>
    <row r="4642" spans="4:5" x14ac:dyDescent="0.25">
      <c r="D4642" s="4">
        <v>38413</v>
      </c>
      <c r="E4642" s="6">
        <v>51.05</v>
      </c>
    </row>
    <row r="4643" spans="4:5" x14ac:dyDescent="0.25">
      <c r="D4643" s="4">
        <v>38414</v>
      </c>
      <c r="E4643" s="6">
        <v>52.89</v>
      </c>
    </row>
    <row r="4644" spans="4:5" x14ac:dyDescent="0.25">
      <c r="D4644" s="4">
        <v>38415</v>
      </c>
      <c r="E4644" s="6">
        <v>52.1</v>
      </c>
    </row>
    <row r="4645" spans="4:5" x14ac:dyDescent="0.25">
      <c r="D4645" s="4">
        <v>38418</v>
      </c>
      <c r="E4645" s="6">
        <v>51.87</v>
      </c>
    </row>
    <row r="4646" spans="4:5" x14ac:dyDescent="0.25">
      <c r="D4646" s="4">
        <v>38419</v>
      </c>
      <c r="E4646" s="6">
        <v>53.29</v>
      </c>
    </row>
    <row r="4647" spans="4:5" x14ac:dyDescent="0.25">
      <c r="D4647" s="4">
        <v>38420</v>
      </c>
      <c r="E4647" s="6">
        <v>54.11</v>
      </c>
    </row>
    <row r="4648" spans="4:5" x14ac:dyDescent="0.25">
      <c r="D4648" s="4">
        <v>38421</v>
      </c>
      <c r="E4648" s="6">
        <v>53.04</v>
      </c>
    </row>
    <row r="4649" spans="4:5" x14ac:dyDescent="0.25">
      <c r="D4649" s="4">
        <v>38422</v>
      </c>
      <c r="E4649" s="6">
        <v>53.15</v>
      </c>
    </row>
    <row r="4650" spans="4:5" x14ac:dyDescent="0.25">
      <c r="D4650" s="4">
        <v>38425</v>
      </c>
      <c r="E4650" s="6">
        <v>53.68</v>
      </c>
    </row>
    <row r="4651" spans="4:5" x14ac:dyDescent="0.25">
      <c r="D4651" s="4">
        <v>38426</v>
      </c>
      <c r="E4651" s="6">
        <v>53.97</v>
      </c>
    </row>
    <row r="4652" spans="4:5" x14ac:dyDescent="0.25">
      <c r="D4652" s="4">
        <v>38427</v>
      </c>
      <c r="E4652" s="6">
        <v>54.61</v>
      </c>
    </row>
    <row r="4653" spans="4:5" x14ac:dyDescent="0.25">
      <c r="D4653" s="4">
        <v>38428</v>
      </c>
      <c r="E4653" s="6">
        <v>56.03</v>
      </c>
    </row>
    <row r="4654" spans="4:5" x14ac:dyDescent="0.25">
      <c r="D4654" s="4">
        <v>38429</v>
      </c>
      <c r="E4654" s="6">
        <v>55.97</v>
      </c>
    </row>
    <row r="4655" spans="4:5" x14ac:dyDescent="0.25">
      <c r="D4655" s="4">
        <v>38432</v>
      </c>
      <c r="E4655" s="6">
        <v>55.79</v>
      </c>
    </row>
    <row r="4656" spans="4:5" x14ac:dyDescent="0.25">
      <c r="D4656" s="4">
        <v>38433</v>
      </c>
      <c r="E4656" s="6">
        <v>55.39</v>
      </c>
    </row>
    <row r="4657" spans="4:5" x14ac:dyDescent="0.25">
      <c r="D4657" s="4">
        <v>38434</v>
      </c>
      <c r="E4657" s="6">
        <v>51.52</v>
      </c>
    </row>
    <row r="4658" spans="4:5" x14ac:dyDescent="0.25">
      <c r="D4658" s="4">
        <v>38435</v>
      </c>
      <c r="E4658" s="6">
        <v>52.35</v>
      </c>
    </row>
    <row r="4659" spans="4:5" x14ac:dyDescent="0.25">
      <c r="D4659" s="4">
        <v>38436</v>
      </c>
      <c r="E4659" s="5"/>
    </row>
    <row r="4660" spans="4:5" x14ac:dyDescent="0.25">
      <c r="D4660" s="4">
        <v>38439</v>
      </c>
      <c r="E4660" s="6">
        <v>51.75</v>
      </c>
    </row>
    <row r="4661" spans="4:5" x14ac:dyDescent="0.25">
      <c r="D4661" s="4">
        <v>38440</v>
      </c>
      <c r="E4661" s="6">
        <v>51.42</v>
      </c>
    </row>
    <row r="4662" spans="4:5" x14ac:dyDescent="0.25">
      <c r="D4662" s="4">
        <v>38441</v>
      </c>
      <c r="E4662" s="6">
        <v>50.63</v>
      </c>
    </row>
    <row r="4663" spans="4:5" x14ac:dyDescent="0.25">
      <c r="D4663" s="4">
        <v>38442</v>
      </c>
      <c r="E4663" s="6">
        <v>53.22</v>
      </c>
    </row>
    <row r="4664" spans="4:5" x14ac:dyDescent="0.25">
      <c r="D4664" s="4">
        <v>38443</v>
      </c>
      <c r="E4664" s="6">
        <v>54.14</v>
      </c>
    </row>
    <row r="4665" spans="4:5" x14ac:dyDescent="0.25">
      <c r="D4665" s="4">
        <v>38446</v>
      </c>
      <c r="E4665" s="6">
        <v>55.92</v>
      </c>
    </row>
    <row r="4666" spans="4:5" x14ac:dyDescent="0.25">
      <c r="D4666" s="4">
        <v>38447</v>
      </c>
      <c r="E4666" s="6">
        <v>54.53</v>
      </c>
    </row>
    <row r="4667" spans="4:5" x14ac:dyDescent="0.25">
      <c r="D4667" s="4">
        <v>38448</v>
      </c>
      <c r="E4667" s="6">
        <v>54.08</v>
      </c>
    </row>
    <row r="4668" spans="4:5" x14ac:dyDescent="0.25">
      <c r="D4668" s="4">
        <v>38449</v>
      </c>
      <c r="E4668" s="6">
        <v>52.57</v>
      </c>
    </row>
    <row r="4669" spans="4:5" x14ac:dyDescent="0.25">
      <c r="D4669" s="4">
        <v>38450</v>
      </c>
      <c r="E4669" s="6">
        <v>51.83</v>
      </c>
    </row>
    <row r="4670" spans="4:5" x14ac:dyDescent="0.25">
      <c r="D4670" s="4">
        <v>38453</v>
      </c>
      <c r="E4670" s="6">
        <v>51.21</v>
      </c>
    </row>
    <row r="4671" spans="4:5" x14ac:dyDescent="0.25">
      <c r="D4671" s="4">
        <v>38454</v>
      </c>
      <c r="E4671" s="6">
        <v>51.53</v>
      </c>
    </row>
    <row r="4672" spans="4:5" x14ac:dyDescent="0.25">
      <c r="D4672" s="4">
        <v>38455</v>
      </c>
      <c r="E4672" s="6">
        <v>49.67</v>
      </c>
    </row>
    <row r="4673" spans="4:5" x14ac:dyDescent="0.25">
      <c r="D4673" s="4">
        <v>38456</v>
      </c>
      <c r="E4673" s="6">
        <v>50.21</v>
      </c>
    </row>
    <row r="4674" spans="4:5" x14ac:dyDescent="0.25">
      <c r="D4674" s="4">
        <v>38457</v>
      </c>
      <c r="E4674" s="6">
        <v>49.52</v>
      </c>
    </row>
    <row r="4675" spans="4:5" x14ac:dyDescent="0.25">
      <c r="D4675" s="4">
        <v>38460</v>
      </c>
      <c r="E4675" s="6">
        <v>48.58</v>
      </c>
    </row>
    <row r="4676" spans="4:5" x14ac:dyDescent="0.25">
      <c r="D4676" s="4">
        <v>38461</v>
      </c>
      <c r="E4676" s="6">
        <v>50.79</v>
      </c>
    </row>
    <row r="4677" spans="4:5" x14ac:dyDescent="0.25">
      <c r="D4677" s="4">
        <v>38462</v>
      </c>
      <c r="E4677" s="6">
        <v>51.53</v>
      </c>
    </row>
    <row r="4678" spans="4:5" x14ac:dyDescent="0.25">
      <c r="D4678" s="4">
        <v>38463</v>
      </c>
      <c r="E4678" s="6">
        <v>51.73</v>
      </c>
    </row>
    <row r="4679" spans="4:5" x14ac:dyDescent="0.25">
      <c r="D4679" s="4">
        <v>38464</v>
      </c>
      <c r="E4679" s="6">
        <v>53.51</v>
      </c>
    </row>
    <row r="4680" spans="4:5" x14ac:dyDescent="0.25">
      <c r="D4680" s="4">
        <v>38467</v>
      </c>
      <c r="E4680" s="6">
        <v>53.1</v>
      </c>
    </row>
    <row r="4681" spans="4:5" x14ac:dyDescent="0.25">
      <c r="D4681" s="4">
        <v>38468</v>
      </c>
      <c r="E4681" s="6">
        <v>52.47</v>
      </c>
    </row>
    <row r="4682" spans="4:5" x14ac:dyDescent="0.25">
      <c r="D4682" s="4">
        <v>38469</v>
      </c>
      <c r="E4682" s="6">
        <v>51.29</v>
      </c>
    </row>
    <row r="4683" spans="4:5" x14ac:dyDescent="0.25">
      <c r="D4683" s="4">
        <v>38470</v>
      </c>
      <c r="E4683" s="6">
        <v>50.74</v>
      </c>
    </row>
    <row r="4684" spans="4:5" x14ac:dyDescent="0.25">
      <c r="D4684" s="4">
        <v>38471</v>
      </c>
      <c r="E4684" s="6">
        <v>50.61</v>
      </c>
    </row>
    <row r="4685" spans="4:5" x14ac:dyDescent="0.25">
      <c r="D4685" s="4">
        <v>38474</v>
      </c>
      <c r="E4685" s="6">
        <v>50.89</v>
      </c>
    </row>
    <row r="4686" spans="4:5" x14ac:dyDescent="0.25">
      <c r="D4686" s="4">
        <v>38475</v>
      </c>
      <c r="E4686" s="6">
        <v>49.48</v>
      </c>
    </row>
    <row r="4687" spans="4:5" x14ac:dyDescent="0.25">
      <c r="D4687" s="4">
        <v>38476</v>
      </c>
      <c r="E4687" s="6">
        <v>50.36</v>
      </c>
    </row>
    <row r="4688" spans="4:5" x14ac:dyDescent="0.25">
      <c r="D4688" s="4">
        <v>38477</v>
      </c>
      <c r="E4688" s="6">
        <v>49.81</v>
      </c>
    </row>
    <row r="4689" spans="4:5" x14ac:dyDescent="0.25">
      <c r="D4689" s="4">
        <v>38478</v>
      </c>
      <c r="E4689" s="6">
        <v>49.7</v>
      </c>
    </row>
    <row r="4690" spans="4:5" x14ac:dyDescent="0.25">
      <c r="D4690" s="4">
        <v>38481</v>
      </c>
      <c r="E4690" s="6">
        <v>49.71</v>
      </c>
    </row>
    <row r="4691" spans="4:5" x14ac:dyDescent="0.25">
      <c r="D4691" s="4">
        <v>38482</v>
      </c>
      <c r="E4691" s="6">
        <v>50.61</v>
      </c>
    </row>
    <row r="4692" spans="4:5" x14ac:dyDescent="0.25">
      <c r="D4692" s="4">
        <v>38483</v>
      </c>
      <c r="E4692" s="6">
        <v>48.91</v>
      </c>
    </row>
    <row r="4693" spans="4:5" x14ac:dyDescent="0.25">
      <c r="D4693" s="4">
        <v>38484</v>
      </c>
      <c r="E4693" s="6">
        <v>47.4</v>
      </c>
    </row>
    <row r="4694" spans="4:5" x14ac:dyDescent="0.25">
      <c r="D4694" s="4">
        <v>38485</v>
      </c>
      <c r="E4694" s="6">
        <v>46.85</v>
      </c>
    </row>
    <row r="4695" spans="4:5" x14ac:dyDescent="0.25">
      <c r="D4695" s="4">
        <v>38488</v>
      </c>
      <c r="E4695" s="6">
        <v>46.42</v>
      </c>
    </row>
    <row r="4696" spans="4:5" x14ac:dyDescent="0.25">
      <c r="D4696" s="4">
        <v>38489</v>
      </c>
      <c r="E4696" s="6">
        <v>47.31</v>
      </c>
    </row>
    <row r="4697" spans="4:5" x14ac:dyDescent="0.25">
      <c r="D4697" s="4">
        <v>38490</v>
      </c>
      <c r="E4697" s="6">
        <v>47.35</v>
      </c>
    </row>
    <row r="4698" spans="4:5" x14ac:dyDescent="0.25">
      <c r="D4698" s="4">
        <v>38491</v>
      </c>
      <c r="E4698" s="6">
        <v>46.92</v>
      </c>
    </row>
    <row r="4699" spans="4:5" x14ac:dyDescent="0.25">
      <c r="D4699" s="4">
        <v>38492</v>
      </c>
      <c r="E4699" s="6">
        <v>46.91</v>
      </c>
    </row>
    <row r="4700" spans="4:5" x14ac:dyDescent="0.25">
      <c r="D4700" s="4">
        <v>38495</v>
      </c>
      <c r="E4700" s="6">
        <v>47.28</v>
      </c>
    </row>
    <row r="4701" spans="4:5" x14ac:dyDescent="0.25">
      <c r="D4701" s="4">
        <v>38496</v>
      </c>
      <c r="E4701" s="6">
        <v>47.29</v>
      </c>
    </row>
    <row r="4702" spans="4:5" x14ac:dyDescent="0.25">
      <c r="D4702" s="4">
        <v>38497</v>
      </c>
      <c r="E4702" s="6">
        <v>49.24</v>
      </c>
    </row>
    <row r="4703" spans="4:5" x14ac:dyDescent="0.25">
      <c r="D4703" s="4">
        <v>38498</v>
      </c>
      <c r="E4703" s="6">
        <v>49.71</v>
      </c>
    </row>
    <row r="4704" spans="4:5" x14ac:dyDescent="0.25">
      <c r="D4704" s="4">
        <v>38499</v>
      </c>
      <c r="E4704" s="6">
        <v>49.42</v>
      </c>
    </row>
    <row r="4705" spans="4:5" x14ac:dyDescent="0.25">
      <c r="D4705" s="4">
        <v>38502</v>
      </c>
      <c r="E4705" s="6">
        <v>49.33</v>
      </c>
    </row>
    <row r="4706" spans="4:5" x14ac:dyDescent="0.25">
      <c r="D4706" s="4">
        <v>38503</v>
      </c>
      <c r="E4706" s="6">
        <v>49.3</v>
      </c>
    </row>
    <row r="4707" spans="4:5" x14ac:dyDescent="0.25">
      <c r="D4707" s="4">
        <v>38504</v>
      </c>
      <c r="E4707" s="6">
        <v>50.46</v>
      </c>
    </row>
    <row r="4708" spans="4:5" x14ac:dyDescent="0.25">
      <c r="D4708" s="4">
        <v>38505</v>
      </c>
      <c r="E4708" s="6">
        <v>51.3</v>
      </c>
    </row>
    <row r="4709" spans="4:5" x14ac:dyDescent="0.25">
      <c r="D4709" s="4">
        <v>38506</v>
      </c>
      <c r="E4709" s="6">
        <v>51.9</v>
      </c>
    </row>
    <row r="4710" spans="4:5" x14ac:dyDescent="0.25">
      <c r="D4710" s="4">
        <v>38509</v>
      </c>
      <c r="E4710" s="6">
        <v>52.61</v>
      </c>
    </row>
    <row r="4711" spans="4:5" x14ac:dyDescent="0.25">
      <c r="D4711" s="4">
        <v>38510</v>
      </c>
      <c r="E4711" s="6">
        <v>51.62</v>
      </c>
    </row>
    <row r="4712" spans="4:5" x14ac:dyDescent="0.25">
      <c r="D4712" s="4">
        <v>38511</v>
      </c>
      <c r="E4712" s="6">
        <v>51.92</v>
      </c>
    </row>
    <row r="4713" spans="4:5" x14ac:dyDescent="0.25">
      <c r="D4713" s="4">
        <v>38512</v>
      </c>
      <c r="E4713" s="6">
        <v>51.36</v>
      </c>
    </row>
    <row r="4714" spans="4:5" x14ac:dyDescent="0.25">
      <c r="D4714" s="4">
        <v>38513</v>
      </c>
      <c r="E4714" s="6">
        <v>51.98</v>
      </c>
    </row>
    <row r="4715" spans="4:5" x14ac:dyDescent="0.25">
      <c r="D4715" s="4">
        <v>38516</v>
      </c>
      <c r="E4715" s="6">
        <v>52</v>
      </c>
    </row>
    <row r="4716" spans="4:5" x14ac:dyDescent="0.25">
      <c r="D4716" s="4">
        <v>38517</v>
      </c>
      <c r="E4716" s="6">
        <v>53.52</v>
      </c>
    </row>
    <row r="4717" spans="4:5" x14ac:dyDescent="0.25">
      <c r="D4717" s="4">
        <v>38518</v>
      </c>
      <c r="E4717" s="6">
        <v>54.12</v>
      </c>
    </row>
    <row r="4718" spans="4:5" x14ac:dyDescent="0.25">
      <c r="D4718" s="4">
        <v>38519</v>
      </c>
      <c r="E4718" s="6">
        <v>54.3</v>
      </c>
    </row>
    <row r="4719" spans="4:5" x14ac:dyDescent="0.25">
      <c r="D4719" s="4">
        <v>38520</v>
      </c>
      <c r="E4719" s="6">
        <v>56.92</v>
      </c>
    </row>
    <row r="4720" spans="4:5" x14ac:dyDescent="0.25">
      <c r="D4720" s="4">
        <v>38523</v>
      </c>
      <c r="E4720" s="6">
        <v>57.1</v>
      </c>
    </row>
    <row r="4721" spans="4:5" x14ac:dyDescent="0.25">
      <c r="D4721" s="4">
        <v>38524</v>
      </c>
      <c r="E4721" s="6">
        <v>57.36</v>
      </c>
    </row>
    <row r="4722" spans="4:5" x14ac:dyDescent="0.25">
      <c r="D4722" s="4">
        <v>38525</v>
      </c>
      <c r="E4722" s="6">
        <v>56.06</v>
      </c>
    </row>
    <row r="4723" spans="4:5" x14ac:dyDescent="0.25">
      <c r="D4723" s="4">
        <v>38526</v>
      </c>
      <c r="E4723" s="6">
        <v>57.03</v>
      </c>
    </row>
    <row r="4724" spans="4:5" x14ac:dyDescent="0.25">
      <c r="D4724" s="4">
        <v>38527</v>
      </c>
      <c r="E4724" s="6">
        <v>57.21</v>
      </c>
    </row>
    <row r="4725" spans="4:5" x14ac:dyDescent="0.25">
      <c r="D4725" s="4">
        <v>38530</v>
      </c>
      <c r="E4725" s="6">
        <v>58.5</v>
      </c>
    </row>
    <row r="4726" spans="4:5" x14ac:dyDescent="0.25">
      <c r="D4726" s="4">
        <v>38531</v>
      </c>
      <c r="E4726" s="6">
        <v>57.75</v>
      </c>
    </row>
    <row r="4727" spans="4:5" x14ac:dyDescent="0.25">
      <c r="D4727" s="4">
        <v>38532</v>
      </c>
      <c r="E4727" s="6">
        <v>55.42</v>
      </c>
    </row>
    <row r="4728" spans="4:5" x14ac:dyDescent="0.25">
      <c r="D4728" s="4">
        <v>38533</v>
      </c>
      <c r="E4728" s="6">
        <v>55.36</v>
      </c>
    </row>
    <row r="4729" spans="4:5" x14ac:dyDescent="0.25">
      <c r="D4729" s="4">
        <v>38534</v>
      </c>
      <c r="E4729" s="6">
        <v>56.41</v>
      </c>
    </row>
    <row r="4730" spans="4:5" x14ac:dyDescent="0.25">
      <c r="D4730" s="4">
        <v>38537</v>
      </c>
      <c r="E4730" s="6">
        <v>57.13</v>
      </c>
    </row>
    <row r="4731" spans="4:5" x14ac:dyDescent="0.25">
      <c r="D4731" s="4">
        <v>38538</v>
      </c>
      <c r="E4731" s="6">
        <v>57.86</v>
      </c>
    </row>
    <row r="4732" spans="4:5" x14ac:dyDescent="0.25">
      <c r="D4732" s="4">
        <v>38539</v>
      </c>
      <c r="E4732" s="6">
        <v>58.38</v>
      </c>
    </row>
    <row r="4733" spans="4:5" x14ac:dyDescent="0.25">
      <c r="D4733" s="4">
        <v>38540</v>
      </c>
      <c r="E4733" s="6">
        <v>57.55</v>
      </c>
    </row>
    <row r="4734" spans="4:5" x14ac:dyDescent="0.25">
      <c r="D4734" s="4">
        <v>38541</v>
      </c>
      <c r="E4734" s="6">
        <v>59</v>
      </c>
    </row>
    <row r="4735" spans="4:5" x14ac:dyDescent="0.25">
      <c r="D4735" s="4">
        <v>38544</v>
      </c>
      <c r="E4735" s="6">
        <v>56.1</v>
      </c>
    </row>
    <row r="4736" spans="4:5" x14ac:dyDescent="0.25">
      <c r="D4736" s="4">
        <v>38545</v>
      </c>
      <c r="E4736" s="6">
        <v>58.95</v>
      </c>
    </row>
    <row r="4737" spans="4:5" x14ac:dyDescent="0.25">
      <c r="D4737" s="4">
        <v>38546</v>
      </c>
      <c r="E4737" s="6">
        <v>58.33</v>
      </c>
    </row>
    <row r="4738" spans="4:5" x14ac:dyDescent="0.25">
      <c r="D4738" s="4">
        <v>38547</v>
      </c>
      <c r="E4738" s="6">
        <v>56.79</v>
      </c>
    </row>
    <row r="4739" spans="4:5" x14ac:dyDescent="0.25">
      <c r="D4739" s="4">
        <v>38548</v>
      </c>
      <c r="E4739" s="6">
        <v>56.98</v>
      </c>
    </row>
    <row r="4740" spans="4:5" x14ac:dyDescent="0.25">
      <c r="D4740" s="4">
        <v>38551</v>
      </c>
      <c r="E4740" s="6">
        <v>56.25</v>
      </c>
    </row>
    <row r="4741" spans="4:5" x14ac:dyDescent="0.25">
      <c r="D4741" s="4">
        <v>38552</v>
      </c>
      <c r="E4741" s="6">
        <v>56.75</v>
      </c>
    </row>
    <row r="4742" spans="4:5" x14ac:dyDescent="0.25">
      <c r="D4742" s="4">
        <v>38553</v>
      </c>
      <c r="E4742" s="6">
        <v>56.39</v>
      </c>
    </row>
    <row r="4743" spans="4:5" x14ac:dyDescent="0.25">
      <c r="D4743" s="4">
        <v>38554</v>
      </c>
      <c r="E4743" s="6">
        <v>55.59</v>
      </c>
    </row>
    <row r="4744" spans="4:5" x14ac:dyDescent="0.25">
      <c r="D4744" s="4">
        <v>38555</v>
      </c>
      <c r="E4744" s="6">
        <v>56.98</v>
      </c>
    </row>
    <row r="4745" spans="4:5" x14ac:dyDescent="0.25">
      <c r="D4745" s="4">
        <v>38558</v>
      </c>
      <c r="E4745" s="6">
        <v>57.51</v>
      </c>
    </row>
    <row r="4746" spans="4:5" x14ac:dyDescent="0.25">
      <c r="D4746" s="4">
        <v>38559</v>
      </c>
      <c r="E4746" s="6">
        <v>58.58</v>
      </c>
    </row>
    <row r="4747" spans="4:5" x14ac:dyDescent="0.25">
      <c r="D4747" s="4">
        <v>38560</v>
      </c>
      <c r="E4747" s="6">
        <v>58.34</v>
      </c>
    </row>
    <row r="4748" spans="4:5" x14ac:dyDescent="0.25">
      <c r="D4748" s="4">
        <v>38561</v>
      </c>
      <c r="E4748" s="6">
        <v>58.28</v>
      </c>
    </row>
    <row r="4749" spans="4:5" x14ac:dyDescent="0.25">
      <c r="D4749" s="4">
        <v>38562</v>
      </c>
      <c r="E4749" s="6">
        <v>59.77</v>
      </c>
    </row>
    <row r="4750" spans="4:5" x14ac:dyDescent="0.25">
      <c r="D4750" s="4">
        <v>38565</v>
      </c>
      <c r="E4750" s="6">
        <v>60.56</v>
      </c>
    </row>
    <row r="4751" spans="4:5" x14ac:dyDescent="0.25">
      <c r="D4751" s="4">
        <v>38566</v>
      </c>
      <c r="E4751" s="6">
        <v>60.13</v>
      </c>
    </row>
    <row r="4752" spans="4:5" x14ac:dyDescent="0.25">
      <c r="D4752" s="4">
        <v>38567</v>
      </c>
      <c r="E4752" s="6">
        <v>60.04</v>
      </c>
    </row>
    <row r="4753" spans="4:5" x14ac:dyDescent="0.25">
      <c r="D4753" s="4">
        <v>38568</v>
      </c>
      <c r="E4753" s="6">
        <v>60.62</v>
      </c>
    </row>
    <row r="4754" spans="4:5" x14ac:dyDescent="0.25">
      <c r="D4754" s="4">
        <v>38569</v>
      </c>
      <c r="E4754" s="6">
        <v>60.73</v>
      </c>
    </row>
    <row r="4755" spans="4:5" x14ac:dyDescent="0.25">
      <c r="D4755" s="4">
        <v>38572</v>
      </c>
      <c r="E4755" s="6">
        <v>62.56</v>
      </c>
    </row>
    <row r="4756" spans="4:5" x14ac:dyDescent="0.25">
      <c r="D4756" s="4">
        <v>38573</v>
      </c>
      <c r="E4756" s="6">
        <v>62.79</v>
      </c>
    </row>
    <row r="4757" spans="4:5" x14ac:dyDescent="0.25">
      <c r="D4757" s="4">
        <v>38574</v>
      </c>
      <c r="E4757" s="6">
        <v>63.77</v>
      </c>
    </row>
    <row r="4758" spans="4:5" x14ac:dyDescent="0.25">
      <c r="D4758" s="4">
        <v>38575</v>
      </c>
      <c r="E4758" s="6">
        <v>65.900000000000006</v>
      </c>
    </row>
    <row r="4759" spans="4:5" x14ac:dyDescent="0.25">
      <c r="D4759" s="4">
        <v>38576</v>
      </c>
      <c r="E4759" s="6">
        <v>67.260000000000005</v>
      </c>
    </row>
    <row r="4760" spans="4:5" x14ac:dyDescent="0.25">
      <c r="D4760" s="4">
        <v>38579</v>
      </c>
      <c r="E4760" s="6">
        <v>66.680000000000007</v>
      </c>
    </row>
    <row r="4761" spans="4:5" x14ac:dyDescent="0.25">
      <c r="D4761" s="4">
        <v>38580</v>
      </c>
      <c r="E4761" s="6">
        <v>65.099999999999994</v>
      </c>
    </row>
    <row r="4762" spans="4:5" x14ac:dyDescent="0.25">
      <c r="D4762" s="4">
        <v>38581</v>
      </c>
      <c r="E4762" s="6">
        <v>63.41</v>
      </c>
    </row>
    <row r="4763" spans="4:5" x14ac:dyDescent="0.25">
      <c r="D4763" s="4">
        <v>38582</v>
      </c>
      <c r="E4763" s="6">
        <v>61.75</v>
      </c>
    </row>
    <row r="4764" spans="4:5" x14ac:dyDescent="0.25">
      <c r="D4764" s="4">
        <v>38583</v>
      </c>
      <c r="E4764" s="6">
        <v>64.209999999999994</v>
      </c>
    </row>
    <row r="4765" spans="4:5" x14ac:dyDescent="0.25">
      <c r="D4765" s="4">
        <v>38586</v>
      </c>
      <c r="E4765" s="6">
        <v>65.87</v>
      </c>
    </row>
    <row r="4766" spans="4:5" x14ac:dyDescent="0.25">
      <c r="D4766" s="4">
        <v>38587</v>
      </c>
      <c r="E4766" s="6">
        <v>65.16</v>
      </c>
    </row>
    <row r="4767" spans="4:5" x14ac:dyDescent="0.25">
      <c r="D4767" s="4">
        <v>38588</v>
      </c>
      <c r="E4767" s="6">
        <v>65.25</v>
      </c>
    </row>
    <row r="4768" spans="4:5" x14ac:dyDescent="0.25">
      <c r="D4768" s="4">
        <v>38589</v>
      </c>
      <c r="E4768" s="6">
        <v>65.88</v>
      </c>
    </row>
    <row r="4769" spans="4:5" x14ac:dyDescent="0.25">
      <c r="D4769" s="4">
        <v>38590</v>
      </c>
      <c r="E4769" s="6">
        <v>66.23</v>
      </c>
    </row>
    <row r="4770" spans="4:5" x14ac:dyDescent="0.25">
      <c r="D4770" s="4">
        <v>38593</v>
      </c>
      <c r="E4770" s="6">
        <v>64.77</v>
      </c>
    </row>
    <row r="4771" spans="4:5" x14ac:dyDescent="0.25">
      <c r="D4771" s="4">
        <v>38594</v>
      </c>
      <c r="E4771" s="6">
        <v>66.150000000000006</v>
      </c>
    </row>
    <row r="4772" spans="4:5" x14ac:dyDescent="0.25">
      <c r="D4772" s="4">
        <v>38595</v>
      </c>
      <c r="E4772" s="6">
        <v>66.8</v>
      </c>
    </row>
    <row r="4773" spans="4:5" x14ac:dyDescent="0.25">
      <c r="D4773" s="4">
        <v>38596</v>
      </c>
      <c r="E4773" s="6">
        <v>66.790000000000006</v>
      </c>
    </row>
    <row r="4774" spans="4:5" x14ac:dyDescent="0.25">
      <c r="D4774" s="4">
        <v>38597</v>
      </c>
      <c r="E4774" s="6">
        <v>65.95</v>
      </c>
    </row>
    <row r="4775" spans="4:5" x14ac:dyDescent="0.25">
      <c r="D4775" s="4">
        <v>38600</v>
      </c>
      <c r="E4775" s="6">
        <v>64.16</v>
      </c>
    </row>
    <row r="4776" spans="4:5" x14ac:dyDescent="0.25">
      <c r="D4776" s="4">
        <v>38601</v>
      </c>
      <c r="E4776" s="6">
        <v>64.16</v>
      </c>
    </row>
    <row r="4777" spans="4:5" x14ac:dyDescent="0.25">
      <c r="D4777" s="4">
        <v>38602</v>
      </c>
      <c r="E4777" s="6">
        <v>63.6</v>
      </c>
    </row>
    <row r="4778" spans="4:5" x14ac:dyDescent="0.25">
      <c r="D4778" s="4">
        <v>38603</v>
      </c>
      <c r="E4778" s="6">
        <v>61.66</v>
      </c>
    </row>
    <row r="4779" spans="4:5" x14ac:dyDescent="0.25">
      <c r="D4779" s="4">
        <v>38604</v>
      </c>
      <c r="E4779" s="6">
        <v>62.62</v>
      </c>
    </row>
    <row r="4780" spans="4:5" x14ac:dyDescent="0.25">
      <c r="D4780" s="4">
        <v>38607</v>
      </c>
      <c r="E4780" s="6">
        <v>60.69</v>
      </c>
    </row>
    <row r="4781" spans="4:5" x14ac:dyDescent="0.25">
      <c r="D4781" s="4">
        <v>38608</v>
      </c>
      <c r="E4781" s="6">
        <v>61.31</v>
      </c>
    </row>
    <row r="4782" spans="4:5" x14ac:dyDescent="0.25">
      <c r="D4782" s="4">
        <v>38609</v>
      </c>
      <c r="E4782" s="6">
        <v>61.7</v>
      </c>
    </row>
    <row r="4783" spans="4:5" x14ac:dyDescent="0.25">
      <c r="D4783" s="4">
        <v>38610</v>
      </c>
      <c r="E4783" s="6">
        <v>61.9</v>
      </c>
    </row>
    <row r="4784" spans="4:5" x14ac:dyDescent="0.25">
      <c r="D4784" s="4">
        <v>38611</v>
      </c>
      <c r="E4784" s="6">
        <v>60.48</v>
      </c>
    </row>
    <row r="4785" spans="4:5" x14ac:dyDescent="0.25">
      <c r="D4785" s="4">
        <v>38614</v>
      </c>
      <c r="E4785" s="6">
        <v>64.040000000000006</v>
      </c>
    </row>
    <row r="4786" spans="4:5" x14ac:dyDescent="0.25">
      <c r="D4786" s="4">
        <v>38615</v>
      </c>
      <c r="E4786" s="6">
        <v>62.98</v>
      </c>
    </row>
    <row r="4787" spans="4:5" x14ac:dyDescent="0.25">
      <c r="D4787" s="4">
        <v>38616</v>
      </c>
      <c r="E4787" s="6">
        <v>64.31</v>
      </c>
    </row>
    <row r="4788" spans="4:5" x14ac:dyDescent="0.25">
      <c r="D4788" s="4">
        <v>38617</v>
      </c>
      <c r="E4788" s="6">
        <v>64.64</v>
      </c>
    </row>
    <row r="4789" spans="4:5" x14ac:dyDescent="0.25">
      <c r="D4789" s="4">
        <v>38618</v>
      </c>
      <c r="E4789" s="6">
        <v>62.17</v>
      </c>
    </row>
    <row r="4790" spans="4:5" x14ac:dyDescent="0.25">
      <c r="D4790" s="4">
        <v>38621</v>
      </c>
      <c r="E4790" s="6">
        <v>61.73</v>
      </c>
    </row>
    <row r="4791" spans="4:5" x14ac:dyDescent="0.25">
      <c r="D4791" s="4">
        <v>38622</v>
      </c>
      <c r="E4791" s="6">
        <v>62.56</v>
      </c>
    </row>
    <row r="4792" spans="4:5" x14ac:dyDescent="0.25">
      <c r="D4792" s="4">
        <v>38623</v>
      </c>
      <c r="E4792" s="6">
        <v>62.81</v>
      </c>
    </row>
    <row r="4793" spans="4:5" x14ac:dyDescent="0.25">
      <c r="D4793" s="4">
        <v>38624</v>
      </c>
      <c r="E4793" s="6">
        <v>62.02</v>
      </c>
    </row>
    <row r="4794" spans="4:5" x14ac:dyDescent="0.25">
      <c r="D4794" s="4">
        <v>38625</v>
      </c>
      <c r="E4794" s="6">
        <v>61.7</v>
      </c>
    </row>
    <row r="4795" spans="4:5" x14ac:dyDescent="0.25">
      <c r="D4795" s="4">
        <v>38628</v>
      </c>
      <c r="E4795" s="6">
        <v>61.64</v>
      </c>
    </row>
    <row r="4796" spans="4:5" x14ac:dyDescent="0.25">
      <c r="D4796" s="4">
        <v>38629</v>
      </c>
      <c r="E4796" s="6">
        <v>59.17</v>
      </c>
    </row>
    <row r="4797" spans="4:5" x14ac:dyDescent="0.25">
      <c r="D4797" s="4">
        <v>38630</v>
      </c>
      <c r="E4797" s="6">
        <v>59.33</v>
      </c>
    </row>
    <row r="4798" spans="4:5" x14ac:dyDescent="0.25">
      <c r="D4798" s="4">
        <v>38631</v>
      </c>
      <c r="E4798" s="6">
        <v>57.2</v>
      </c>
    </row>
    <row r="4799" spans="4:5" x14ac:dyDescent="0.25">
      <c r="D4799" s="4">
        <v>38632</v>
      </c>
      <c r="E4799" s="6">
        <v>57.29</v>
      </c>
    </row>
    <row r="4800" spans="4:5" x14ac:dyDescent="0.25">
      <c r="D4800" s="4">
        <v>38635</v>
      </c>
      <c r="E4800" s="6">
        <v>57.01</v>
      </c>
    </row>
    <row r="4801" spans="4:5" x14ac:dyDescent="0.25">
      <c r="D4801" s="4">
        <v>38636</v>
      </c>
      <c r="E4801" s="6">
        <v>58.1</v>
      </c>
    </row>
    <row r="4802" spans="4:5" x14ac:dyDescent="0.25">
      <c r="D4802" s="4">
        <v>38637</v>
      </c>
      <c r="E4802" s="6">
        <v>59.91</v>
      </c>
    </row>
    <row r="4803" spans="4:5" x14ac:dyDescent="0.25">
      <c r="D4803" s="4">
        <v>38638</v>
      </c>
      <c r="E4803" s="6">
        <v>59.48</v>
      </c>
    </row>
    <row r="4804" spans="4:5" x14ac:dyDescent="0.25">
      <c r="D4804" s="4">
        <v>38639</v>
      </c>
      <c r="E4804" s="6">
        <v>58.45</v>
      </c>
    </row>
    <row r="4805" spans="4:5" x14ac:dyDescent="0.25">
      <c r="D4805" s="4">
        <v>38642</v>
      </c>
      <c r="E4805" s="6">
        <v>59.81</v>
      </c>
    </row>
    <row r="4806" spans="4:5" x14ac:dyDescent="0.25">
      <c r="D4806" s="4">
        <v>38643</v>
      </c>
      <c r="E4806" s="6">
        <v>58.85</v>
      </c>
    </row>
    <row r="4807" spans="4:5" x14ac:dyDescent="0.25">
      <c r="D4807" s="4">
        <v>38644</v>
      </c>
      <c r="E4807" s="6">
        <v>58.13</v>
      </c>
    </row>
    <row r="4808" spans="4:5" x14ac:dyDescent="0.25">
      <c r="D4808" s="4">
        <v>38645</v>
      </c>
      <c r="E4808" s="6">
        <v>57.04</v>
      </c>
    </row>
    <row r="4809" spans="4:5" x14ac:dyDescent="0.25">
      <c r="D4809" s="4">
        <v>38646</v>
      </c>
      <c r="E4809" s="6">
        <v>56.94</v>
      </c>
    </row>
    <row r="4810" spans="4:5" x14ac:dyDescent="0.25">
      <c r="D4810" s="4">
        <v>38649</v>
      </c>
      <c r="E4810" s="6">
        <v>57.64</v>
      </c>
    </row>
    <row r="4811" spans="4:5" x14ac:dyDescent="0.25">
      <c r="D4811" s="4">
        <v>38650</v>
      </c>
      <c r="E4811" s="6">
        <v>58.72</v>
      </c>
    </row>
    <row r="4812" spans="4:5" x14ac:dyDescent="0.25">
      <c r="D4812" s="4">
        <v>38651</v>
      </c>
      <c r="E4812" s="6">
        <v>58.56</v>
      </c>
    </row>
    <row r="4813" spans="4:5" x14ac:dyDescent="0.25">
      <c r="D4813" s="4">
        <v>38652</v>
      </c>
      <c r="E4813" s="6">
        <v>58.1</v>
      </c>
    </row>
    <row r="4814" spans="4:5" x14ac:dyDescent="0.25">
      <c r="D4814" s="4">
        <v>38653</v>
      </c>
      <c r="E4814" s="6">
        <v>59.47</v>
      </c>
    </row>
    <row r="4815" spans="4:5" x14ac:dyDescent="0.25">
      <c r="D4815" s="4">
        <v>38656</v>
      </c>
      <c r="E4815" s="6">
        <v>58.47</v>
      </c>
    </row>
    <row r="4816" spans="4:5" x14ac:dyDescent="0.25">
      <c r="D4816" s="4">
        <v>38657</v>
      </c>
      <c r="E4816" s="6">
        <v>56.69</v>
      </c>
    </row>
    <row r="4817" spans="4:5" x14ac:dyDescent="0.25">
      <c r="D4817" s="4">
        <v>38658</v>
      </c>
      <c r="E4817" s="6">
        <v>58.53</v>
      </c>
    </row>
    <row r="4818" spans="4:5" x14ac:dyDescent="0.25">
      <c r="D4818" s="4">
        <v>38659</v>
      </c>
      <c r="E4818" s="6">
        <v>59.55</v>
      </c>
    </row>
    <row r="4819" spans="4:5" x14ac:dyDescent="0.25">
      <c r="D4819" s="4">
        <v>38660</v>
      </c>
      <c r="E4819" s="6">
        <v>60.48</v>
      </c>
    </row>
    <row r="4820" spans="4:5" x14ac:dyDescent="0.25">
      <c r="D4820" s="4">
        <v>38663</v>
      </c>
      <c r="E4820" s="6">
        <v>58.19</v>
      </c>
    </row>
    <row r="4821" spans="4:5" x14ac:dyDescent="0.25">
      <c r="D4821" s="4">
        <v>38664</v>
      </c>
      <c r="E4821" s="6">
        <v>57.89</v>
      </c>
    </row>
    <row r="4822" spans="4:5" x14ac:dyDescent="0.25">
      <c r="D4822" s="4">
        <v>38665</v>
      </c>
      <c r="E4822" s="6">
        <v>57.71</v>
      </c>
    </row>
    <row r="4823" spans="4:5" x14ac:dyDescent="0.25">
      <c r="D4823" s="4">
        <v>38666</v>
      </c>
      <c r="E4823" s="6">
        <v>55.85</v>
      </c>
    </row>
    <row r="4824" spans="4:5" x14ac:dyDescent="0.25">
      <c r="D4824" s="4">
        <v>38667</v>
      </c>
      <c r="E4824" s="6">
        <v>54.3</v>
      </c>
    </row>
    <row r="4825" spans="4:5" x14ac:dyDescent="0.25">
      <c r="D4825" s="4">
        <v>38670</v>
      </c>
      <c r="E4825" s="6">
        <v>54.1</v>
      </c>
    </row>
    <row r="4826" spans="4:5" x14ac:dyDescent="0.25">
      <c r="D4826" s="4">
        <v>38671</v>
      </c>
      <c r="E4826" s="6">
        <v>54.45</v>
      </c>
    </row>
    <row r="4827" spans="4:5" x14ac:dyDescent="0.25">
      <c r="D4827" s="4">
        <v>38672</v>
      </c>
      <c r="E4827" s="6">
        <v>53.68</v>
      </c>
    </row>
    <row r="4828" spans="4:5" x14ac:dyDescent="0.25">
      <c r="D4828" s="4">
        <v>38673</v>
      </c>
      <c r="E4828" s="6">
        <v>53.8</v>
      </c>
    </row>
    <row r="4829" spans="4:5" x14ac:dyDescent="0.25">
      <c r="D4829" s="4">
        <v>38674</v>
      </c>
      <c r="E4829" s="6">
        <v>52.84</v>
      </c>
    </row>
    <row r="4830" spans="4:5" x14ac:dyDescent="0.25">
      <c r="D4830" s="4">
        <v>38677</v>
      </c>
      <c r="E4830" s="6">
        <v>53.36</v>
      </c>
    </row>
    <row r="4831" spans="4:5" x14ac:dyDescent="0.25">
      <c r="D4831" s="4">
        <v>38678</v>
      </c>
      <c r="E4831" s="6">
        <v>54.21</v>
      </c>
    </row>
    <row r="4832" spans="4:5" x14ac:dyDescent="0.25">
      <c r="D4832" s="4">
        <v>38679</v>
      </c>
      <c r="E4832" s="6">
        <v>53.73</v>
      </c>
    </row>
    <row r="4833" spans="4:5" x14ac:dyDescent="0.25">
      <c r="D4833" s="4">
        <v>38680</v>
      </c>
      <c r="E4833" s="6">
        <v>53.41</v>
      </c>
    </row>
    <row r="4834" spans="4:5" x14ac:dyDescent="0.25">
      <c r="D4834" s="4">
        <v>38681</v>
      </c>
      <c r="E4834" s="6">
        <v>53.15</v>
      </c>
    </row>
    <row r="4835" spans="4:5" x14ac:dyDescent="0.25">
      <c r="D4835" s="4">
        <v>38684</v>
      </c>
      <c r="E4835" s="6">
        <v>52.91</v>
      </c>
    </row>
    <row r="4836" spans="4:5" x14ac:dyDescent="0.25">
      <c r="D4836" s="4">
        <v>38685</v>
      </c>
      <c r="E4836" s="6">
        <v>53.24</v>
      </c>
    </row>
    <row r="4837" spans="4:5" x14ac:dyDescent="0.25">
      <c r="D4837" s="4">
        <v>38686</v>
      </c>
      <c r="E4837" s="6">
        <v>53.25</v>
      </c>
    </row>
    <row r="4838" spans="4:5" x14ac:dyDescent="0.25">
      <c r="D4838" s="4">
        <v>38687</v>
      </c>
      <c r="E4838" s="6">
        <v>53.65</v>
      </c>
    </row>
    <row r="4839" spans="4:5" x14ac:dyDescent="0.25">
      <c r="D4839" s="4">
        <v>38688</v>
      </c>
      <c r="E4839" s="6">
        <v>54.91</v>
      </c>
    </row>
    <row r="4840" spans="4:5" x14ac:dyDescent="0.25">
      <c r="D4840" s="4">
        <v>38691</v>
      </c>
      <c r="E4840" s="6">
        <v>56.05</v>
      </c>
    </row>
    <row r="4841" spans="4:5" x14ac:dyDescent="0.25">
      <c r="D4841" s="4">
        <v>38692</v>
      </c>
      <c r="E4841" s="6">
        <v>55.68</v>
      </c>
    </row>
    <row r="4842" spans="4:5" x14ac:dyDescent="0.25">
      <c r="D4842" s="4">
        <v>38693</v>
      </c>
      <c r="E4842" s="6">
        <v>55.17</v>
      </c>
    </row>
    <row r="4843" spans="4:5" x14ac:dyDescent="0.25">
      <c r="D4843" s="4">
        <v>38694</v>
      </c>
      <c r="E4843" s="6">
        <v>56.26</v>
      </c>
    </row>
    <row r="4844" spans="4:5" x14ac:dyDescent="0.25">
      <c r="D4844" s="4">
        <v>38695</v>
      </c>
      <c r="E4844" s="6">
        <v>57.18</v>
      </c>
    </row>
    <row r="4845" spans="4:5" x14ac:dyDescent="0.25">
      <c r="D4845" s="4">
        <v>38698</v>
      </c>
      <c r="E4845" s="6">
        <v>57.23</v>
      </c>
    </row>
    <row r="4846" spans="4:5" x14ac:dyDescent="0.25">
      <c r="D4846" s="4">
        <v>38699</v>
      </c>
      <c r="E4846" s="6">
        <v>59.16</v>
      </c>
    </row>
    <row r="4847" spans="4:5" x14ac:dyDescent="0.25">
      <c r="D4847" s="4">
        <v>38700</v>
      </c>
      <c r="E4847" s="6">
        <v>59.59</v>
      </c>
    </row>
    <row r="4848" spans="4:5" x14ac:dyDescent="0.25">
      <c r="D4848" s="4">
        <v>38701</v>
      </c>
      <c r="E4848" s="6">
        <v>59.67</v>
      </c>
    </row>
    <row r="4849" spans="4:5" x14ac:dyDescent="0.25">
      <c r="D4849" s="4">
        <v>38702</v>
      </c>
      <c r="E4849" s="6">
        <v>58.11</v>
      </c>
    </row>
    <row r="4850" spans="4:5" x14ac:dyDescent="0.25">
      <c r="D4850" s="4">
        <v>38705</v>
      </c>
      <c r="E4850" s="6">
        <v>56.09</v>
      </c>
    </row>
    <row r="4851" spans="4:5" x14ac:dyDescent="0.25">
      <c r="D4851" s="4">
        <v>38706</v>
      </c>
      <c r="E4851" s="6">
        <v>56.08</v>
      </c>
    </row>
    <row r="4852" spans="4:5" x14ac:dyDescent="0.25">
      <c r="D4852" s="4">
        <v>38707</v>
      </c>
      <c r="E4852" s="6">
        <v>56.05</v>
      </c>
    </row>
    <row r="4853" spans="4:5" x14ac:dyDescent="0.25">
      <c r="D4853" s="4">
        <v>38708</v>
      </c>
      <c r="E4853" s="6">
        <v>57.3</v>
      </c>
    </row>
    <row r="4854" spans="4:5" x14ac:dyDescent="0.25">
      <c r="D4854" s="4">
        <v>38709</v>
      </c>
      <c r="E4854" s="6">
        <v>56.28</v>
      </c>
    </row>
    <row r="4855" spans="4:5" x14ac:dyDescent="0.25">
      <c r="D4855" s="4">
        <v>38712</v>
      </c>
      <c r="E4855" s="6">
        <v>56.54</v>
      </c>
    </row>
    <row r="4856" spans="4:5" x14ac:dyDescent="0.25">
      <c r="D4856" s="4">
        <v>38713</v>
      </c>
      <c r="E4856" s="5"/>
    </row>
    <row r="4857" spans="4:5" x14ac:dyDescent="0.25">
      <c r="D4857" s="4">
        <v>38714</v>
      </c>
      <c r="E4857" s="6">
        <v>56.91</v>
      </c>
    </row>
    <row r="4858" spans="4:5" x14ac:dyDescent="0.25">
      <c r="D4858" s="4">
        <v>38715</v>
      </c>
      <c r="E4858" s="6">
        <v>57.72</v>
      </c>
    </row>
    <row r="4859" spans="4:5" x14ac:dyDescent="0.25">
      <c r="D4859" s="4">
        <v>38716</v>
      </c>
      <c r="E4859" s="6">
        <v>58.34</v>
      </c>
    </row>
    <row r="4860" spans="4:5" x14ac:dyDescent="0.25">
      <c r="D4860" s="4">
        <v>38719</v>
      </c>
      <c r="E4860" s="5"/>
    </row>
    <row r="4861" spans="4:5" x14ac:dyDescent="0.25">
      <c r="D4861" s="4">
        <v>38720</v>
      </c>
      <c r="E4861" s="6">
        <v>61.51</v>
      </c>
    </row>
    <row r="4862" spans="4:5" x14ac:dyDescent="0.25">
      <c r="D4862" s="4">
        <v>38721</v>
      </c>
      <c r="E4862" s="6">
        <v>61.25</v>
      </c>
    </row>
    <row r="4863" spans="4:5" x14ac:dyDescent="0.25">
      <c r="D4863" s="4">
        <v>38722</v>
      </c>
      <c r="E4863" s="6">
        <v>61.68</v>
      </c>
    </row>
    <row r="4864" spans="4:5" x14ac:dyDescent="0.25">
      <c r="D4864" s="4">
        <v>38723</v>
      </c>
      <c r="E4864" s="6">
        <v>62.43</v>
      </c>
    </row>
    <row r="4865" spans="4:5" x14ac:dyDescent="0.25">
      <c r="D4865" s="4">
        <v>38726</v>
      </c>
      <c r="E4865" s="6">
        <v>62.51</v>
      </c>
    </row>
    <row r="4866" spans="4:5" x14ac:dyDescent="0.25">
      <c r="D4866" s="4">
        <v>38727</v>
      </c>
      <c r="E4866" s="6">
        <v>62.32</v>
      </c>
    </row>
    <row r="4867" spans="4:5" x14ac:dyDescent="0.25">
      <c r="D4867" s="4">
        <v>38728</v>
      </c>
      <c r="E4867" s="6">
        <v>61.54</v>
      </c>
    </row>
    <row r="4868" spans="4:5" x14ac:dyDescent="0.25">
      <c r="D4868" s="4">
        <v>38729</v>
      </c>
      <c r="E4868" s="6">
        <v>62.95</v>
      </c>
    </row>
    <row r="4869" spans="4:5" x14ac:dyDescent="0.25">
      <c r="D4869" s="4">
        <v>38730</v>
      </c>
      <c r="E4869" s="6">
        <v>61.58</v>
      </c>
    </row>
    <row r="4870" spans="4:5" x14ac:dyDescent="0.25">
      <c r="D4870" s="4">
        <v>38733</v>
      </c>
      <c r="E4870" s="6">
        <v>62.34</v>
      </c>
    </row>
    <row r="4871" spans="4:5" x14ac:dyDescent="0.25">
      <c r="D4871" s="4">
        <v>38734</v>
      </c>
      <c r="E4871" s="6">
        <v>63.22</v>
      </c>
    </row>
    <row r="4872" spans="4:5" x14ac:dyDescent="0.25">
      <c r="D4872" s="4">
        <v>38735</v>
      </c>
      <c r="E4872" s="6">
        <v>63.6</v>
      </c>
    </row>
    <row r="4873" spans="4:5" x14ac:dyDescent="0.25">
      <c r="D4873" s="4">
        <v>38736</v>
      </c>
      <c r="E4873" s="6">
        <v>63.64</v>
      </c>
    </row>
    <row r="4874" spans="4:5" x14ac:dyDescent="0.25">
      <c r="D4874" s="4">
        <v>38737</v>
      </c>
      <c r="E4874" s="6">
        <v>64.92</v>
      </c>
    </row>
    <row r="4875" spans="4:5" x14ac:dyDescent="0.25">
      <c r="D4875" s="4">
        <v>38740</v>
      </c>
      <c r="E4875" s="6">
        <v>64.56</v>
      </c>
    </row>
    <row r="4876" spans="4:5" x14ac:dyDescent="0.25">
      <c r="D4876" s="4">
        <v>38741</v>
      </c>
      <c r="E4876" s="6">
        <v>63.82</v>
      </c>
    </row>
    <row r="4877" spans="4:5" x14ac:dyDescent="0.25">
      <c r="D4877" s="4">
        <v>38742</v>
      </c>
      <c r="E4877" s="6">
        <v>62.61</v>
      </c>
    </row>
    <row r="4878" spans="4:5" x14ac:dyDescent="0.25">
      <c r="D4878" s="4">
        <v>38743</v>
      </c>
      <c r="E4878" s="6">
        <v>62.93</v>
      </c>
    </row>
    <row r="4879" spans="4:5" x14ac:dyDescent="0.25">
      <c r="D4879" s="4">
        <v>38744</v>
      </c>
      <c r="E4879" s="6">
        <v>64.95</v>
      </c>
    </row>
    <row r="4880" spans="4:5" x14ac:dyDescent="0.25">
      <c r="D4880" s="4">
        <v>38747</v>
      </c>
      <c r="E4880" s="6">
        <v>65.14</v>
      </c>
    </row>
    <row r="4881" spans="4:5" x14ac:dyDescent="0.25">
      <c r="D4881" s="4">
        <v>38748</v>
      </c>
      <c r="E4881" s="6">
        <v>63.19</v>
      </c>
    </row>
    <row r="4882" spans="4:5" x14ac:dyDescent="0.25">
      <c r="D4882" s="4">
        <v>38749</v>
      </c>
      <c r="E4882" s="6">
        <v>65.64</v>
      </c>
    </row>
    <row r="4883" spans="4:5" x14ac:dyDescent="0.25">
      <c r="D4883" s="4">
        <v>38750</v>
      </c>
      <c r="E4883" s="6">
        <v>63.49</v>
      </c>
    </row>
    <row r="4884" spans="4:5" x14ac:dyDescent="0.25">
      <c r="D4884" s="4">
        <v>38751</v>
      </c>
      <c r="E4884" s="6">
        <v>62.54</v>
      </c>
    </row>
    <row r="4885" spans="4:5" x14ac:dyDescent="0.25">
      <c r="D4885" s="4">
        <v>38754</v>
      </c>
      <c r="E4885" s="6">
        <v>63.32</v>
      </c>
    </row>
    <row r="4886" spans="4:5" x14ac:dyDescent="0.25">
      <c r="D4886" s="4">
        <v>38755</v>
      </c>
      <c r="E4886" s="6">
        <v>61.64</v>
      </c>
    </row>
    <row r="4887" spans="4:5" x14ac:dyDescent="0.25">
      <c r="D4887" s="4">
        <v>38756</v>
      </c>
      <c r="E4887" s="6">
        <v>60.82</v>
      </c>
    </row>
    <row r="4888" spans="4:5" x14ac:dyDescent="0.25">
      <c r="D4888" s="4">
        <v>38757</v>
      </c>
      <c r="E4888" s="6">
        <v>60.7</v>
      </c>
    </row>
    <row r="4889" spans="4:5" x14ac:dyDescent="0.25">
      <c r="D4889" s="4">
        <v>38758</v>
      </c>
      <c r="E4889" s="6">
        <v>59.66</v>
      </c>
    </row>
    <row r="4890" spans="4:5" x14ac:dyDescent="0.25">
      <c r="D4890" s="4">
        <v>38761</v>
      </c>
      <c r="E4890" s="6">
        <v>59.16</v>
      </c>
    </row>
    <row r="4891" spans="4:5" x14ac:dyDescent="0.25">
      <c r="D4891" s="4">
        <v>38762</v>
      </c>
      <c r="E4891" s="6">
        <v>58.27</v>
      </c>
    </row>
    <row r="4892" spans="4:5" x14ac:dyDescent="0.25">
      <c r="D4892" s="4">
        <v>38763</v>
      </c>
      <c r="E4892" s="6">
        <v>57.67</v>
      </c>
    </row>
    <row r="4893" spans="4:5" x14ac:dyDescent="0.25">
      <c r="D4893" s="4">
        <v>38764</v>
      </c>
      <c r="E4893" s="6">
        <v>56.78</v>
      </c>
    </row>
    <row r="4894" spans="4:5" x14ac:dyDescent="0.25">
      <c r="D4894" s="4">
        <v>38765</v>
      </c>
      <c r="E4894" s="6">
        <v>58.34</v>
      </c>
    </row>
    <row r="4895" spans="4:5" x14ac:dyDescent="0.25">
      <c r="D4895" s="4">
        <v>38768</v>
      </c>
      <c r="E4895" s="6">
        <v>60.05</v>
      </c>
    </row>
    <row r="4896" spans="4:5" x14ac:dyDescent="0.25">
      <c r="D4896" s="4">
        <v>38769</v>
      </c>
      <c r="E4896" s="6">
        <v>59.35</v>
      </c>
    </row>
    <row r="4897" spans="4:5" x14ac:dyDescent="0.25">
      <c r="D4897" s="4">
        <v>38770</v>
      </c>
      <c r="E4897" s="6">
        <v>58.71</v>
      </c>
    </row>
    <row r="4898" spans="4:5" x14ac:dyDescent="0.25">
      <c r="D4898" s="4">
        <v>38771</v>
      </c>
      <c r="E4898" s="6">
        <v>58.71</v>
      </c>
    </row>
    <row r="4899" spans="4:5" x14ac:dyDescent="0.25">
      <c r="D4899" s="4">
        <v>38772</v>
      </c>
      <c r="E4899" s="6">
        <v>60.13</v>
      </c>
    </row>
    <row r="4900" spans="4:5" x14ac:dyDescent="0.25">
      <c r="D4900" s="4">
        <v>38775</v>
      </c>
      <c r="E4900" s="6">
        <v>59.44</v>
      </c>
    </row>
    <row r="4901" spans="4:5" x14ac:dyDescent="0.25">
      <c r="D4901" s="4">
        <v>38776</v>
      </c>
      <c r="E4901" s="6">
        <v>59.78</v>
      </c>
    </row>
    <row r="4902" spans="4:5" x14ac:dyDescent="0.25">
      <c r="D4902" s="4">
        <v>38777</v>
      </c>
      <c r="E4902" s="6">
        <v>61.12</v>
      </c>
    </row>
    <row r="4903" spans="4:5" x14ac:dyDescent="0.25">
      <c r="D4903" s="4">
        <v>38778</v>
      </c>
      <c r="E4903" s="6">
        <v>62.27</v>
      </c>
    </row>
    <row r="4904" spans="4:5" x14ac:dyDescent="0.25">
      <c r="D4904" s="4">
        <v>38779</v>
      </c>
      <c r="E4904" s="6">
        <v>62.69</v>
      </c>
    </row>
    <row r="4905" spans="4:5" x14ac:dyDescent="0.25">
      <c r="D4905" s="4">
        <v>38782</v>
      </c>
      <c r="E4905" s="6">
        <v>61.41</v>
      </c>
    </row>
    <row r="4906" spans="4:5" x14ac:dyDescent="0.25">
      <c r="D4906" s="4">
        <v>38783</v>
      </c>
      <c r="E4906" s="6">
        <v>59.79</v>
      </c>
    </row>
    <row r="4907" spans="4:5" x14ac:dyDescent="0.25">
      <c r="D4907" s="4">
        <v>38784</v>
      </c>
      <c r="E4907" s="6">
        <v>58.42</v>
      </c>
    </row>
    <row r="4908" spans="4:5" x14ac:dyDescent="0.25">
      <c r="D4908" s="4">
        <v>38785</v>
      </c>
      <c r="E4908" s="6">
        <v>58.82</v>
      </c>
    </row>
    <row r="4909" spans="4:5" x14ac:dyDescent="0.25">
      <c r="D4909" s="4">
        <v>38786</v>
      </c>
      <c r="E4909" s="6">
        <v>59.04</v>
      </c>
    </row>
    <row r="4910" spans="4:5" x14ac:dyDescent="0.25">
      <c r="D4910" s="4">
        <v>38789</v>
      </c>
      <c r="E4910" s="6">
        <v>60.99</v>
      </c>
    </row>
    <row r="4911" spans="4:5" x14ac:dyDescent="0.25">
      <c r="D4911" s="4">
        <v>38790</v>
      </c>
      <c r="E4911" s="6">
        <v>62.39</v>
      </c>
    </row>
    <row r="4912" spans="4:5" x14ac:dyDescent="0.25">
      <c r="D4912" s="4">
        <v>38791</v>
      </c>
      <c r="E4912" s="6">
        <v>63.12</v>
      </c>
    </row>
    <row r="4913" spans="4:5" x14ac:dyDescent="0.25">
      <c r="D4913" s="4">
        <v>38792</v>
      </c>
      <c r="E4913" s="6">
        <v>62.07</v>
      </c>
    </row>
    <row r="4914" spans="4:5" x14ac:dyDescent="0.25">
      <c r="D4914" s="4">
        <v>38793</v>
      </c>
      <c r="E4914" s="6">
        <v>63.54</v>
      </c>
    </row>
    <row r="4915" spans="4:5" x14ac:dyDescent="0.25">
      <c r="D4915" s="4">
        <v>38796</v>
      </c>
      <c r="E4915" s="6">
        <v>62.3</v>
      </c>
    </row>
    <row r="4916" spans="4:5" x14ac:dyDescent="0.25">
      <c r="D4916" s="4">
        <v>38797</v>
      </c>
      <c r="E4916" s="6">
        <v>59.96</v>
      </c>
    </row>
    <row r="4917" spans="4:5" x14ac:dyDescent="0.25">
      <c r="D4917" s="4">
        <v>38798</v>
      </c>
      <c r="E4917" s="6">
        <v>61.23</v>
      </c>
    </row>
    <row r="4918" spans="4:5" x14ac:dyDescent="0.25">
      <c r="D4918" s="4">
        <v>38799</v>
      </c>
      <c r="E4918" s="6">
        <v>61.76</v>
      </c>
    </row>
    <row r="4919" spans="4:5" x14ac:dyDescent="0.25">
      <c r="D4919" s="4">
        <v>38800</v>
      </c>
      <c r="E4919" s="6">
        <v>62.78</v>
      </c>
    </row>
    <row r="4920" spans="4:5" x14ac:dyDescent="0.25">
      <c r="D4920" s="4">
        <v>38803</v>
      </c>
      <c r="E4920" s="6">
        <v>62.59</v>
      </c>
    </row>
    <row r="4921" spans="4:5" x14ac:dyDescent="0.25">
      <c r="D4921" s="4">
        <v>38804</v>
      </c>
      <c r="E4921" s="6">
        <v>64.31</v>
      </c>
    </row>
    <row r="4922" spans="4:5" x14ac:dyDescent="0.25">
      <c r="D4922" s="4">
        <v>38805</v>
      </c>
      <c r="E4922" s="6">
        <v>64.88</v>
      </c>
    </row>
    <row r="4923" spans="4:5" x14ac:dyDescent="0.25">
      <c r="D4923" s="4">
        <v>38806</v>
      </c>
      <c r="E4923" s="6">
        <v>65.95</v>
      </c>
    </row>
    <row r="4924" spans="4:5" x14ac:dyDescent="0.25">
      <c r="D4924" s="4">
        <v>38807</v>
      </c>
      <c r="E4924" s="6">
        <v>66.06</v>
      </c>
    </row>
    <row r="4925" spans="4:5" x14ac:dyDescent="0.25">
      <c r="D4925" s="4">
        <v>38810</v>
      </c>
      <c r="E4925" s="6">
        <v>67.28</v>
      </c>
    </row>
    <row r="4926" spans="4:5" x14ac:dyDescent="0.25">
      <c r="D4926" s="4">
        <v>38811</v>
      </c>
      <c r="E4926" s="6">
        <v>65.930000000000007</v>
      </c>
    </row>
    <row r="4927" spans="4:5" x14ac:dyDescent="0.25">
      <c r="D4927" s="4">
        <v>38812</v>
      </c>
      <c r="E4927" s="6">
        <v>66.739999999999995</v>
      </c>
    </row>
    <row r="4928" spans="4:5" x14ac:dyDescent="0.25">
      <c r="D4928" s="4">
        <v>38813</v>
      </c>
      <c r="E4928" s="6">
        <v>67.58</v>
      </c>
    </row>
    <row r="4929" spans="4:5" x14ac:dyDescent="0.25">
      <c r="D4929" s="4">
        <v>38814</v>
      </c>
      <c r="E4929" s="6">
        <v>67.11</v>
      </c>
    </row>
    <row r="4930" spans="4:5" x14ac:dyDescent="0.25">
      <c r="D4930" s="4">
        <v>38817</v>
      </c>
      <c r="E4930" s="6">
        <v>68.2</v>
      </c>
    </row>
    <row r="4931" spans="4:5" x14ac:dyDescent="0.25">
      <c r="D4931" s="4">
        <v>38818</v>
      </c>
      <c r="E4931" s="6">
        <v>68.52</v>
      </c>
    </row>
    <row r="4932" spans="4:5" x14ac:dyDescent="0.25">
      <c r="D4932" s="4">
        <v>38819</v>
      </c>
      <c r="E4932" s="6">
        <v>69.540000000000006</v>
      </c>
    </row>
    <row r="4933" spans="4:5" x14ac:dyDescent="0.25">
      <c r="D4933" s="4">
        <v>38820</v>
      </c>
      <c r="E4933" s="6">
        <v>69.39</v>
      </c>
    </row>
    <row r="4934" spans="4:5" x14ac:dyDescent="0.25">
      <c r="D4934" s="4">
        <v>38821</v>
      </c>
      <c r="E4934" s="5"/>
    </row>
    <row r="4935" spans="4:5" x14ac:dyDescent="0.25">
      <c r="D4935" s="4">
        <v>38824</v>
      </c>
      <c r="E4935" s="5"/>
    </row>
    <row r="4936" spans="4:5" x14ac:dyDescent="0.25">
      <c r="D4936" s="4">
        <v>38825</v>
      </c>
      <c r="E4936" s="6">
        <v>70.97</v>
      </c>
    </row>
    <row r="4937" spans="4:5" x14ac:dyDescent="0.25">
      <c r="D4937" s="4">
        <v>38826</v>
      </c>
      <c r="E4937" s="6">
        <v>72.69</v>
      </c>
    </row>
    <row r="4938" spans="4:5" x14ac:dyDescent="0.25">
      <c r="D4938" s="4">
        <v>38827</v>
      </c>
      <c r="E4938" s="6">
        <v>72.569999999999993</v>
      </c>
    </row>
    <row r="4939" spans="4:5" x14ac:dyDescent="0.25">
      <c r="D4939" s="4">
        <v>38828</v>
      </c>
      <c r="E4939" s="6">
        <v>73.94</v>
      </c>
    </row>
    <row r="4940" spans="4:5" x14ac:dyDescent="0.25">
      <c r="D4940" s="4">
        <v>38831</v>
      </c>
      <c r="E4940" s="6">
        <v>73.959999999999994</v>
      </c>
    </row>
    <row r="4941" spans="4:5" x14ac:dyDescent="0.25">
      <c r="D4941" s="4">
        <v>38832</v>
      </c>
      <c r="E4941" s="6">
        <v>72.86</v>
      </c>
    </row>
    <row r="4942" spans="4:5" x14ac:dyDescent="0.25">
      <c r="D4942" s="4">
        <v>38833</v>
      </c>
      <c r="E4942" s="6">
        <v>73.459999999999994</v>
      </c>
    </row>
    <row r="4943" spans="4:5" x14ac:dyDescent="0.25">
      <c r="D4943" s="4">
        <v>38834</v>
      </c>
      <c r="E4943" s="6">
        <v>71.790000000000006</v>
      </c>
    </row>
    <row r="4944" spans="4:5" x14ac:dyDescent="0.25">
      <c r="D4944" s="4">
        <v>38835</v>
      </c>
      <c r="E4944" s="6">
        <v>72.150000000000006</v>
      </c>
    </row>
    <row r="4945" spans="4:5" x14ac:dyDescent="0.25">
      <c r="D4945" s="4">
        <v>38838</v>
      </c>
      <c r="E4945" s="6">
        <v>73.37</v>
      </c>
    </row>
    <row r="4946" spans="4:5" x14ac:dyDescent="0.25">
      <c r="D4946" s="4">
        <v>38839</v>
      </c>
      <c r="E4946" s="6">
        <v>74.45</v>
      </c>
    </row>
    <row r="4947" spans="4:5" x14ac:dyDescent="0.25">
      <c r="D4947" s="4">
        <v>38840</v>
      </c>
      <c r="E4947" s="6">
        <v>73.73</v>
      </c>
    </row>
    <row r="4948" spans="4:5" x14ac:dyDescent="0.25">
      <c r="D4948" s="4">
        <v>38841</v>
      </c>
      <c r="E4948" s="6">
        <v>71.84</v>
      </c>
    </row>
    <row r="4949" spans="4:5" x14ac:dyDescent="0.25">
      <c r="D4949" s="4">
        <v>38842</v>
      </c>
      <c r="E4949" s="6">
        <v>71.22</v>
      </c>
    </row>
    <row r="4950" spans="4:5" x14ac:dyDescent="0.25">
      <c r="D4950" s="4">
        <v>38845</v>
      </c>
      <c r="E4950" s="6">
        <v>68.260000000000005</v>
      </c>
    </row>
    <row r="4951" spans="4:5" x14ac:dyDescent="0.25">
      <c r="D4951" s="4">
        <v>38846</v>
      </c>
      <c r="E4951" s="6">
        <v>70.599999999999994</v>
      </c>
    </row>
    <row r="4952" spans="4:5" x14ac:dyDescent="0.25">
      <c r="D4952" s="4">
        <v>38847</v>
      </c>
      <c r="E4952" s="6">
        <v>69.83</v>
      </c>
    </row>
    <row r="4953" spans="4:5" x14ac:dyDescent="0.25">
      <c r="D4953" s="4">
        <v>38848</v>
      </c>
      <c r="E4953" s="6">
        <v>72.2</v>
      </c>
    </row>
    <row r="4954" spans="4:5" x14ac:dyDescent="0.25">
      <c r="D4954" s="4">
        <v>38849</v>
      </c>
      <c r="E4954" s="6">
        <v>71.3</v>
      </c>
    </row>
    <row r="4955" spans="4:5" x14ac:dyDescent="0.25">
      <c r="D4955" s="4">
        <v>38852</v>
      </c>
      <c r="E4955" s="6">
        <v>68.69</v>
      </c>
    </row>
    <row r="4956" spans="4:5" x14ac:dyDescent="0.25">
      <c r="D4956" s="4">
        <v>38853</v>
      </c>
      <c r="E4956" s="6">
        <v>68.66</v>
      </c>
    </row>
    <row r="4957" spans="4:5" x14ac:dyDescent="0.25">
      <c r="D4957" s="4">
        <v>38854</v>
      </c>
      <c r="E4957" s="6">
        <v>67.52</v>
      </c>
    </row>
    <row r="4958" spans="4:5" x14ac:dyDescent="0.25">
      <c r="D4958" s="4">
        <v>38855</v>
      </c>
      <c r="E4958" s="6">
        <v>67.39</v>
      </c>
    </row>
    <row r="4959" spans="4:5" x14ac:dyDescent="0.25">
      <c r="D4959" s="4">
        <v>38856</v>
      </c>
      <c r="E4959" s="6">
        <v>66.930000000000007</v>
      </c>
    </row>
    <row r="4960" spans="4:5" x14ac:dyDescent="0.25">
      <c r="D4960" s="4">
        <v>38859</v>
      </c>
      <c r="E4960" s="6">
        <v>66.52</v>
      </c>
    </row>
    <row r="4961" spans="4:5" x14ac:dyDescent="0.25">
      <c r="D4961" s="4">
        <v>38860</v>
      </c>
      <c r="E4961" s="6">
        <v>68.97</v>
      </c>
    </row>
    <row r="4962" spans="4:5" x14ac:dyDescent="0.25">
      <c r="D4962" s="4">
        <v>38861</v>
      </c>
      <c r="E4962" s="6">
        <v>68.45</v>
      </c>
    </row>
    <row r="4963" spans="4:5" x14ac:dyDescent="0.25">
      <c r="D4963" s="4">
        <v>38862</v>
      </c>
      <c r="E4963" s="6">
        <v>68.510000000000005</v>
      </c>
    </row>
    <row r="4964" spans="4:5" x14ac:dyDescent="0.25">
      <c r="D4964" s="4">
        <v>38863</v>
      </c>
      <c r="E4964" s="6">
        <v>69.88</v>
      </c>
    </row>
    <row r="4965" spans="4:5" x14ac:dyDescent="0.25">
      <c r="D4965" s="4">
        <v>38866</v>
      </c>
      <c r="E4965" s="6">
        <v>69.16</v>
      </c>
    </row>
    <row r="4966" spans="4:5" x14ac:dyDescent="0.25">
      <c r="D4966" s="4">
        <v>38867</v>
      </c>
      <c r="E4966" s="6">
        <v>69.819999999999993</v>
      </c>
    </row>
    <row r="4967" spans="4:5" x14ac:dyDescent="0.25">
      <c r="D4967" s="4">
        <v>38868</v>
      </c>
      <c r="E4967" s="6">
        <v>67.569999999999993</v>
      </c>
    </row>
    <row r="4968" spans="4:5" x14ac:dyDescent="0.25">
      <c r="D4968" s="4">
        <v>38869</v>
      </c>
      <c r="E4968" s="6">
        <v>68.77</v>
      </c>
    </row>
    <row r="4969" spans="4:5" x14ac:dyDescent="0.25">
      <c r="D4969" s="4">
        <v>38870</v>
      </c>
      <c r="E4969" s="6">
        <v>68.42</v>
      </c>
    </row>
    <row r="4970" spans="4:5" x14ac:dyDescent="0.25">
      <c r="D4970" s="4">
        <v>38873</v>
      </c>
      <c r="E4970" s="6">
        <v>69.13</v>
      </c>
    </row>
    <row r="4971" spans="4:5" x14ac:dyDescent="0.25">
      <c r="D4971" s="4">
        <v>38874</v>
      </c>
      <c r="E4971" s="6">
        <v>68.25</v>
      </c>
    </row>
    <row r="4972" spans="4:5" x14ac:dyDescent="0.25">
      <c r="D4972" s="4">
        <v>38875</v>
      </c>
      <c r="E4972" s="6">
        <v>67.17</v>
      </c>
    </row>
    <row r="4973" spans="4:5" x14ac:dyDescent="0.25">
      <c r="D4973" s="4">
        <v>38876</v>
      </c>
      <c r="E4973" s="6">
        <v>65.760000000000005</v>
      </c>
    </row>
    <row r="4974" spans="4:5" x14ac:dyDescent="0.25">
      <c r="D4974" s="4">
        <v>38877</v>
      </c>
      <c r="E4974" s="6">
        <v>69.13</v>
      </c>
    </row>
    <row r="4975" spans="4:5" x14ac:dyDescent="0.25">
      <c r="D4975" s="4">
        <v>38880</v>
      </c>
      <c r="E4975" s="6">
        <v>68.62</v>
      </c>
    </row>
    <row r="4976" spans="4:5" x14ac:dyDescent="0.25">
      <c r="D4976" s="4">
        <v>38881</v>
      </c>
      <c r="E4976" s="6">
        <v>65.67</v>
      </c>
    </row>
    <row r="4977" spans="4:5" x14ac:dyDescent="0.25">
      <c r="D4977" s="4">
        <v>38882</v>
      </c>
      <c r="E4977" s="6">
        <v>65.52</v>
      </c>
    </row>
    <row r="4978" spans="4:5" x14ac:dyDescent="0.25">
      <c r="D4978" s="4">
        <v>38883</v>
      </c>
      <c r="E4978" s="6">
        <v>66.040000000000006</v>
      </c>
    </row>
    <row r="4979" spans="4:5" x14ac:dyDescent="0.25">
      <c r="D4979" s="4">
        <v>38884</v>
      </c>
      <c r="E4979" s="6">
        <v>65.010000000000005</v>
      </c>
    </row>
    <row r="4980" spans="4:5" x14ac:dyDescent="0.25">
      <c r="D4980" s="4">
        <v>38887</v>
      </c>
      <c r="E4980" s="6">
        <v>66.400000000000006</v>
      </c>
    </row>
    <row r="4981" spans="4:5" x14ac:dyDescent="0.25">
      <c r="D4981" s="4">
        <v>38888</v>
      </c>
      <c r="E4981" s="6">
        <v>67.569999999999993</v>
      </c>
    </row>
    <row r="4982" spans="4:5" x14ac:dyDescent="0.25">
      <c r="D4982" s="4">
        <v>38889</v>
      </c>
      <c r="E4982" s="6">
        <v>68.17</v>
      </c>
    </row>
    <row r="4983" spans="4:5" x14ac:dyDescent="0.25">
      <c r="D4983" s="4">
        <v>38890</v>
      </c>
      <c r="E4983" s="6">
        <v>69.599999999999994</v>
      </c>
    </row>
    <row r="4984" spans="4:5" x14ac:dyDescent="0.25">
      <c r="D4984" s="4">
        <v>38891</v>
      </c>
      <c r="E4984" s="6">
        <v>69.91</v>
      </c>
    </row>
    <row r="4985" spans="4:5" x14ac:dyDescent="0.25">
      <c r="D4985" s="4">
        <v>38894</v>
      </c>
      <c r="E4985" s="6">
        <v>69.849999999999994</v>
      </c>
    </row>
    <row r="4986" spans="4:5" x14ac:dyDescent="0.25">
      <c r="D4986" s="4">
        <v>38895</v>
      </c>
      <c r="E4986" s="6">
        <v>71.260000000000005</v>
      </c>
    </row>
    <row r="4987" spans="4:5" x14ac:dyDescent="0.25">
      <c r="D4987" s="4">
        <v>38896</v>
      </c>
      <c r="E4987" s="6">
        <v>71.760000000000005</v>
      </c>
    </row>
    <row r="4988" spans="4:5" x14ac:dyDescent="0.25">
      <c r="D4988" s="4">
        <v>38897</v>
      </c>
      <c r="E4988" s="6">
        <v>73.02</v>
      </c>
    </row>
    <row r="4989" spans="4:5" x14ac:dyDescent="0.25">
      <c r="D4989" s="4">
        <v>38898</v>
      </c>
      <c r="E4989" s="6">
        <v>73.2</v>
      </c>
    </row>
    <row r="4990" spans="4:5" x14ac:dyDescent="0.25">
      <c r="D4990" s="4">
        <v>38901</v>
      </c>
      <c r="E4990" s="6">
        <v>73.94</v>
      </c>
    </row>
    <row r="4991" spans="4:5" x14ac:dyDescent="0.25">
      <c r="D4991" s="4">
        <v>38902</v>
      </c>
      <c r="E4991" s="6">
        <v>73.17</v>
      </c>
    </row>
    <row r="4992" spans="4:5" x14ac:dyDescent="0.25">
      <c r="D4992" s="4">
        <v>38903</v>
      </c>
      <c r="E4992" s="6">
        <v>72.88</v>
      </c>
    </row>
    <row r="4993" spans="4:5" x14ac:dyDescent="0.25">
      <c r="D4993" s="4">
        <v>38904</v>
      </c>
      <c r="E4993" s="6">
        <v>73.12</v>
      </c>
    </row>
    <row r="4994" spans="4:5" x14ac:dyDescent="0.25">
      <c r="D4994" s="4">
        <v>38905</v>
      </c>
      <c r="E4994" s="6">
        <v>74.14</v>
      </c>
    </row>
    <row r="4995" spans="4:5" x14ac:dyDescent="0.25">
      <c r="D4995" s="4">
        <v>38908</v>
      </c>
      <c r="E4995" s="6">
        <v>72.39</v>
      </c>
    </row>
    <row r="4996" spans="4:5" x14ac:dyDescent="0.25">
      <c r="D4996" s="4">
        <v>38909</v>
      </c>
      <c r="E4996" s="6">
        <v>73.14</v>
      </c>
    </row>
    <row r="4997" spans="4:5" x14ac:dyDescent="0.25">
      <c r="D4997" s="4">
        <v>38910</v>
      </c>
      <c r="E4997" s="6">
        <v>73.040000000000006</v>
      </c>
    </row>
    <row r="4998" spans="4:5" x14ac:dyDescent="0.25">
      <c r="D4998" s="4">
        <v>38911</v>
      </c>
      <c r="E4998" s="6">
        <v>75.23</v>
      </c>
    </row>
    <row r="4999" spans="4:5" x14ac:dyDescent="0.25">
      <c r="D4999" s="4">
        <v>38912</v>
      </c>
      <c r="E4999" s="6">
        <v>76.13</v>
      </c>
    </row>
    <row r="5000" spans="4:5" x14ac:dyDescent="0.25">
      <c r="D5000" s="4">
        <v>38915</v>
      </c>
      <c r="E5000" s="6">
        <v>75.12</v>
      </c>
    </row>
    <row r="5001" spans="4:5" x14ac:dyDescent="0.25">
      <c r="D5001" s="4">
        <v>38916</v>
      </c>
      <c r="E5001" s="6">
        <v>75.319999999999993</v>
      </c>
    </row>
    <row r="5002" spans="4:5" x14ac:dyDescent="0.25">
      <c r="D5002" s="4">
        <v>38917</v>
      </c>
      <c r="E5002" s="6">
        <v>71.62</v>
      </c>
    </row>
    <row r="5003" spans="4:5" x14ac:dyDescent="0.25">
      <c r="D5003" s="4">
        <v>38918</v>
      </c>
      <c r="E5003" s="6">
        <v>72.56</v>
      </c>
    </row>
    <row r="5004" spans="4:5" x14ac:dyDescent="0.25">
      <c r="D5004" s="4">
        <v>38919</v>
      </c>
      <c r="E5004" s="6">
        <v>72.959999999999994</v>
      </c>
    </row>
    <row r="5005" spans="4:5" x14ac:dyDescent="0.25">
      <c r="D5005" s="4">
        <v>38922</v>
      </c>
      <c r="E5005" s="6">
        <v>72.09</v>
      </c>
    </row>
    <row r="5006" spans="4:5" x14ac:dyDescent="0.25">
      <c r="D5006" s="4">
        <v>38923</v>
      </c>
      <c r="E5006" s="6">
        <v>72.489999999999995</v>
      </c>
    </row>
    <row r="5007" spans="4:5" x14ac:dyDescent="0.25">
      <c r="D5007" s="4">
        <v>38924</v>
      </c>
      <c r="E5007" s="6">
        <v>73.760000000000005</v>
      </c>
    </row>
    <row r="5008" spans="4:5" x14ac:dyDescent="0.25">
      <c r="D5008" s="4">
        <v>38925</v>
      </c>
      <c r="E5008" s="6">
        <v>75.36</v>
      </c>
    </row>
    <row r="5009" spans="4:5" x14ac:dyDescent="0.25">
      <c r="D5009" s="4">
        <v>38926</v>
      </c>
      <c r="E5009" s="6">
        <v>73.95</v>
      </c>
    </row>
    <row r="5010" spans="4:5" x14ac:dyDescent="0.25">
      <c r="D5010" s="4">
        <v>38929</v>
      </c>
      <c r="E5010" s="6">
        <v>74.75</v>
      </c>
    </row>
    <row r="5011" spans="4:5" x14ac:dyDescent="0.25">
      <c r="D5011" s="4">
        <v>38930</v>
      </c>
      <c r="E5011" s="6">
        <v>76.39</v>
      </c>
    </row>
    <row r="5012" spans="4:5" x14ac:dyDescent="0.25">
      <c r="D5012" s="4">
        <v>38931</v>
      </c>
      <c r="E5012" s="6">
        <v>77.63</v>
      </c>
    </row>
    <row r="5013" spans="4:5" x14ac:dyDescent="0.25">
      <c r="D5013" s="4">
        <v>38932</v>
      </c>
      <c r="E5013" s="6">
        <v>76.28</v>
      </c>
    </row>
    <row r="5014" spans="4:5" x14ac:dyDescent="0.25">
      <c r="D5014" s="4">
        <v>38933</v>
      </c>
      <c r="E5014" s="6">
        <v>76.53</v>
      </c>
    </row>
    <row r="5015" spans="4:5" x14ac:dyDescent="0.25">
      <c r="D5015" s="4">
        <v>38936</v>
      </c>
      <c r="E5015" s="6">
        <v>77.819999999999993</v>
      </c>
    </row>
    <row r="5016" spans="4:5" x14ac:dyDescent="0.25">
      <c r="D5016" s="4">
        <v>38937</v>
      </c>
      <c r="E5016" s="6">
        <v>77.930000000000007</v>
      </c>
    </row>
    <row r="5017" spans="4:5" x14ac:dyDescent="0.25">
      <c r="D5017" s="4">
        <v>38938</v>
      </c>
      <c r="E5017" s="6">
        <v>78.260000000000005</v>
      </c>
    </row>
    <row r="5018" spans="4:5" x14ac:dyDescent="0.25">
      <c r="D5018" s="4">
        <v>38939</v>
      </c>
      <c r="E5018" s="6">
        <v>75.69</v>
      </c>
    </row>
    <row r="5019" spans="4:5" x14ac:dyDescent="0.25">
      <c r="D5019" s="4">
        <v>38940</v>
      </c>
      <c r="E5019" s="6">
        <v>75.19</v>
      </c>
    </row>
    <row r="5020" spans="4:5" x14ac:dyDescent="0.25">
      <c r="D5020" s="4">
        <v>38943</v>
      </c>
      <c r="E5020" s="6">
        <v>73.78</v>
      </c>
    </row>
    <row r="5021" spans="4:5" x14ac:dyDescent="0.25">
      <c r="D5021" s="4">
        <v>38944</v>
      </c>
      <c r="E5021" s="6">
        <v>73.569999999999993</v>
      </c>
    </row>
    <row r="5022" spans="4:5" x14ac:dyDescent="0.25">
      <c r="D5022" s="4">
        <v>38945</v>
      </c>
      <c r="E5022" s="6">
        <v>72.67</v>
      </c>
    </row>
    <row r="5023" spans="4:5" x14ac:dyDescent="0.25">
      <c r="D5023" s="4">
        <v>38946</v>
      </c>
      <c r="E5023" s="6">
        <v>70.42</v>
      </c>
    </row>
    <row r="5024" spans="4:5" x14ac:dyDescent="0.25">
      <c r="D5024" s="4">
        <v>38947</v>
      </c>
      <c r="E5024" s="6">
        <v>71.3</v>
      </c>
    </row>
    <row r="5025" spans="4:5" x14ac:dyDescent="0.25">
      <c r="D5025" s="4">
        <v>38950</v>
      </c>
      <c r="E5025" s="6">
        <v>72.42</v>
      </c>
    </row>
    <row r="5026" spans="4:5" x14ac:dyDescent="0.25">
      <c r="D5026" s="4">
        <v>38951</v>
      </c>
      <c r="E5026" s="6">
        <v>72.06</v>
      </c>
    </row>
    <row r="5027" spans="4:5" x14ac:dyDescent="0.25">
      <c r="D5027" s="4">
        <v>38952</v>
      </c>
      <c r="E5027" s="6">
        <v>71.12</v>
      </c>
    </row>
    <row r="5028" spans="4:5" x14ac:dyDescent="0.25">
      <c r="D5028" s="4">
        <v>38953</v>
      </c>
      <c r="E5028" s="6">
        <v>71.400000000000006</v>
      </c>
    </row>
    <row r="5029" spans="4:5" x14ac:dyDescent="0.25">
      <c r="D5029" s="4">
        <v>38954</v>
      </c>
      <c r="E5029" s="6">
        <v>72.58</v>
      </c>
    </row>
    <row r="5030" spans="4:5" x14ac:dyDescent="0.25">
      <c r="D5030" s="4">
        <v>38957</v>
      </c>
      <c r="E5030" s="6">
        <v>69.44</v>
      </c>
    </row>
    <row r="5031" spans="4:5" x14ac:dyDescent="0.25">
      <c r="D5031" s="4">
        <v>38958</v>
      </c>
      <c r="E5031" s="6">
        <v>67.010000000000005</v>
      </c>
    </row>
    <row r="5032" spans="4:5" x14ac:dyDescent="0.25">
      <c r="D5032" s="4">
        <v>38959</v>
      </c>
      <c r="E5032" s="6">
        <v>67.150000000000006</v>
      </c>
    </row>
    <row r="5033" spans="4:5" x14ac:dyDescent="0.25">
      <c r="D5033" s="4">
        <v>38960</v>
      </c>
      <c r="E5033" s="6">
        <v>67.66</v>
      </c>
    </row>
    <row r="5034" spans="4:5" x14ac:dyDescent="0.25">
      <c r="D5034" s="4">
        <v>38961</v>
      </c>
      <c r="E5034" s="6">
        <v>70.489999999999995</v>
      </c>
    </row>
    <row r="5035" spans="4:5" x14ac:dyDescent="0.25">
      <c r="D5035" s="4">
        <v>38964</v>
      </c>
      <c r="E5035" s="6">
        <v>68.62</v>
      </c>
    </row>
    <row r="5036" spans="4:5" x14ac:dyDescent="0.25">
      <c r="D5036" s="4">
        <v>38965</v>
      </c>
      <c r="E5036" s="6">
        <v>65.94</v>
      </c>
    </row>
    <row r="5037" spans="4:5" x14ac:dyDescent="0.25">
      <c r="D5037" s="4">
        <v>38966</v>
      </c>
      <c r="E5037" s="6">
        <v>65.41</v>
      </c>
    </row>
    <row r="5038" spans="4:5" x14ac:dyDescent="0.25">
      <c r="D5038" s="4">
        <v>38967</v>
      </c>
      <c r="E5038" s="6">
        <v>64.52</v>
      </c>
    </row>
    <row r="5039" spans="4:5" x14ac:dyDescent="0.25">
      <c r="D5039" s="4">
        <v>38968</v>
      </c>
      <c r="E5039" s="6">
        <v>64.3</v>
      </c>
    </row>
    <row r="5040" spans="4:5" x14ac:dyDescent="0.25">
      <c r="D5040" s="4">
        <v>38971</v>
      </c>
      <c r="E5040" s="6">
        <v>62.41</v>
      </c>
    </row>
    <row r="5041" spans="4:5" x14ac:dyDescent="0.25">
      <c r="D5041" s="4">
        <v>38972</v>
      </c>
      <c r="E5041" s="6">
        <v>62.23</v>
      </c>
    </row>
    <row r="5042" spans="4:5" x14ac:dyDescent="0.25">
      <c r="D5042" s="4">
        <v>38973</v>
      </c>
      <c r="E5042" s="6">
        <v>61.28</v>
      </c>
    </row>
    <row r="5043" spans="4:5" x14ac:dyDescent="0.25">
      <c r="D5043" s="4">
        <v>38974</v>
      </c>
      <c r="E5043" s="6">
        <v>60.75</v>
      </c>
    </row>
    <row r="5044" spans="4:5" x14ac:dyDescent="0.25">
      <c r="D5044" s="4">
        <v>38975</v>
      </c>
      <c r="E5044" s="6">
        <v>60.23</v>
      </c>
    </row>
    <row r="5045" spans="4:5" x14ac:dyDescent="0.25">
      <c r="D5045" s="4">
        <v>38978</v>
      </c>
      <c r="E5045" s="6">
        <v>61.47</v>
      </c>
    </row>
    <row r="5046" spans="4:5" x14ac:dyDescent="0.25">
      <c r="D5046" s="4">
        <v>38979</v>
      </c>
      <c r="E5046" s="6">
        <v>62.52</v>
      </c>
    </row>
    <row r="5047" spans="4:5" x14ac:dyDescent="0.25">
      <c r="D5047" s="4">
        <v>38980</v>
      </c>
      <c r="E5047" s="6">
        <v>59.09</v>
      </c>
    </row>
    <row r="5048" spans="4:5" x14ac:dyDescent="0.25">
      <c r="D5048" s="4">
        <v>38981</v>
      </c>
      <c r="E5048" s="6">
        <v>59.27</v>
      </c>
    </row>
    <row r="5049" spans="4:5" x14ac:dyDescent="0.25">
      <c r="D5049" s="4">
        <v>38982</v>
      </c>
      <c r="E5049" s="6">
        <v>58.81</v>
      </c>
    </row>
    <row r="5050" spans="4:5" x14ac:dyDescent="0.25">
      <c r="D5050" s="4">
        <v>38985</v>
      </c>
      <c r="E5050" s="6">
        <v>57.89</v>
      </c>
    </row>
    <row r="5051" spans="4:5" x14ac:dyDescent="0.25">
      <c r="D5051" s="4">
        <v>38986</v>
      </c>
      <c r="E5051" s="6">
        <v>58.53</v>
      </c>
    </row>
    <row r="5052" spans="4:5" x14ac:dyDescent="0.25">
      <c r="D5052" s="4">
        <v>38987</v>
      </c>
      <c r="E5052" s="6">
        <v>57.6</v>
      </c>
    </row>
    <row r="5053" spans="4:5" x14ac:dyDescent="0.25">
      <c r="D5053" s="4">
        <v>38988</v>
      </c>
      <c r="E5053" s="6">
        <v>60.68</v>
      </c>
    </row>
    <row r="5054" spans="4:5" x14ac:dyDescent="0.25">
      <c r="D5054" s="4">
        <v>38989</v>
      </c>
      <c r="E5054" s="6">
        <v>59.09</v>
      </c>
    </row>
    <row r="5055" spans="4:5" x14ac:dyDescent="0.25">
      <c r="D5055" s="4">
        <v>38992</v>
      </c>
      <c r="E5055" s="6">
        <v>58.8</v>
      </c>
    </row>
    <row r="5056" spans="4:5" x14ac:dyDescent="0.25">
      <c r="D5056" s="4">
        <v>38993</v>
      </c>
      <c r="E5056" s="6">
        <v>56.28</v>
      </c>
    </row>
    <row r="5057" spans="4:5" x14ac:dyDescent="0.25">
      <c r="D5057" s="4">
        <v>38994</v>
      </c>
      <c r="E5057" s="6">
        <v>55.82</v>
      </c>
    </row>
    <row r="5058" spans="4:5" x14ac:dyDescent="0.25">
      <c r="D5058" s="4">
        <v>38995</v>
      </c>
      <c r="E5058" s="6">
        <v>57.93</v>
      </c>
    </row>
    <row r="5059" spans="4:5" x14ac:dyDescent="0.25">
      <c r="D5059" s="4">
        <v>38996</v>
      </c>
      <c r="E5059" s="6">
        <v>56.9</v>
      </c>
    </row>
    <row r="5060" spans="4:5" x14ac:dyDescent="0.25">
      <c r="D5060" s="4">
        <v>38999</v>
      </c>
      <c r="E5060" s="6">
        <v>59.25</v>
      </c>
    </row>
    <row r="5061" spans="4:5" x14ac:dyDescent="0.25">
      <c r="D5061" s="4">
        <v>39000</v>
      </c>
      <c r="E5061" s="6">
        <v>57.8</v>
      </c>
    </row>
    <row r="5062" spans="4:5" x14ac:dyDescent="0.25">
      <c r="D5062" s="4">
        <v>39001</v>
      </c>
      <c r="E5062" s="6">
        <v>57.75</v>
      </c>
    </row>
    <row r="5063" spans="4:5" x14ac:dyDescent="0.25">
      <c r="D5063" s="4">
        <v>39002</v>
      </c>
      <c r="E5063" s="6">
        <v>57.87</v>
      </c>
    </row>
    <row r="5064" spans="4:5" x14ac:dyDescent="0.25">
      <c r="D5064" s="4">
        <v>39003</v>
      </c>
      <c r="E5064" s="6">
        <v>58.97</v>
      </c>
    </row>
    <row r="5065" spans="4:5" x14ac:dyDescent="0.25">
      <c r="D5065" s="4">
        <v>39006</v>
      </c>
      <c r="E5065" s="6">
        <v>58.22</v>
      </c>
    </row>
    <row r="5066" spans="4:5" x14ac:dyDescent="0.25">
      <c r="D5066" s="4">
        <v>39007</v>
      </c>
      <c r="E5066" s="6">
        <v>60.13</v>
      </c>
    </row>
    <row r="5067" spans="4:5" x14ac:dyDescent="0.25">
      <c r="D5067" s="4">
        <v>39008</v>
      </c>
      <c r="E5067" s="6">
        <v>58.51</v>
      </c>
    </row>
    <row r="5068" spans="4:5" x14ac:dyDescent="0.25">
      <c r="D5068" s="4">
        <v>39009</v>
      </c>
      <c r="E5068" s="6">
        <v>57.74</v>
      </c>
    </row>
    <row r="5069" spans="4:5" x14ac:dyDescent="0.25">
      <c r="D5069" s="4">
        <v>39010</v>
      </c>
      <c r="E5069" s="6">
        <v>57.94</v>
      </c>
    </row>
    <row r="5070" spans="4:5" x14ac:dyDescent="0.25">
      <c r="D5070" s="4">
        <v>39013</v>
      </c>
      <c r="E5070" s="6">
        <v>56.56</v>
      </c>
    </row>
    <row r="5071" spans="4:5" x14ac:dyDescent="0.25">
      <c r="D5071" s="4">
        <v>39014</v>
      </c>
      <c r="E5071" s="6">
        <v>56.56</v>
      </c>
    </row>
    <row r="5072" spans="4:5" x14ac:dyDescent="0.25">
      <c r="D5072" s="4">
        <v>39015</v>
      </c>
      <c r="E5072" s="6">
        <v>58.79</v>
      </c>
    </row>
    <row r="5073" spans="4:5" x14ac:dyDescent="0.25">
      <c r="D5073" s="4">
        <v>39016</v>
      </c>
      <c r="E5073" s="6">
        <v>58.76</v>
      </c>
    </row>
    <row r="5074" spans="4:5" x14ac:dyDescent="0.25">
      <c r="D5074" s="4">
        <v>39017</v>
      </c>
      <c r="E5074" s="6">
        <v>57.99</v>
      </c>
    </row>
    <row r="5075" spans="4:5" x14ac:dyDescent="0.25">
      <c r="D5075" s="4">
        <v>39020</v>
      </c>
      <c r="E5075" s="6">
        <v>57.08</v>
      </c>
    </row>
    <row r="5076" spans="4:5" x14ac:dyDescent="0.25">
      <c r="D5076" s="4">
        <v>39021</v>
      </c>
      <c r="E5076" s="6">
        <v>56.13</v>
      </c>
    </row>
    <row r="5077" spans="4:5" x14ac:dyDescent="0.25">
      <c r="D5077" s="4">
        <v>39022</v>
      </c>
      <c r="E5077" s="6">
        <v>56.37</v>
      </c>
    </row>
    <row r="5078" spans="4:5" x14ac:dyDescent="0.25">
      <c r="D5078" s="4">
        <v>39023</v>
      </c>
      <c r="E5078" s="6">
        <v>56.26</v>
      </c>
    </row>
    <row r="5079" spans="4:5" x14ac:dyDescent="0.25">
      <c r="D5079" s="4">
        <v>39024</v>
      </c>
      <c r="E5079" s="6">
        <v>56.55</v>
      </c>
    </row>
    <row r="5080" spans="4:5" x14ac:dyDescent="0.25">
      <c r="D5080" s="4">
        <v>39027</v>
      </c>
      <c r="E5080" s="6">
        <v>57.02</v>
      </c>
    </row>
    <row r="5081" spans="4:5" x14ac:dyDescent="0.25">
      <c r="D5081" s="4">
        <v>39028</v>
      </c>
      <c r="E5081" s="6">
        <v>56.99</v>
      </c>
    </row>
    <row r="5082" spans="4:5" x14ac:dyDescent="0.25">
      <c r="D5082" s="4">
        <v>39029</v>
      </c>
      <c r="E5082" s="6">
        <v>57.18</v>
      </c>
    </row>
    <row r="5083" spans="4:5" x14ac:dyDescent="0.25">
      <c r="D5083" s="4">
        <v>39030</v>
      </c>
      <c r="E5083" s="6">
        <v>59.72</v>
      </c>
    </row>
    <row r="5084" spans="4:5" x14ac:dyDescent="0.25">
      <c r="D5084" s="4">
        <v>39031</v>
      </c>
      <c r="E5084" s="6">
        <v>59.18</v>
      </c>
    </row>
    <row r="5085" spans="4:5" x14ac:dyDescent="0.25">
      <c r="D5085" s="4">
        <v>39034</v>
      </c>
      <c r="E5085" s="6">
        <v>56.88</v>
      </c>
    </row>
    <row r="5086" spans="4:5" x14ac:dyDescent="0.25">
      <c r="D5086" s="4">
        <v>39035</v>
      </c>
      <c r="E5086" s="6">
        <v>57.9</v>
      </c>
    </row>
    <row r="5087" spans="4:5" x14ac:dyDescent="0.25">
      <c r="D5087" s="4">
        <v>39036</v>
      </c>
      <c r="E5087" s="6">
        <v>57.97</v>
      </c>
    </row>
    <row r="5088" spans="4:5" x14ac:dyDescent="0.25">
      <c r="D5088" s="4">
        <v>39037</v>
      </c>
      <c r="E5088" s="6">
        <v>59.5</v>
      </c>
    </row>
    <row r="5089" spans="4:5" x14ac:dyDescent="0.25">
      <c r="D5089" s="4">
        <v>39038</v>
      </c>
      <c r="E5089" s="6">
        <v>57.01</v>
      </c>
    </row>
    <row r="5090" spans="4:5" x14ac:dyDescent="0.25">
      <c r="D5090" s="4">
        <v>39041</v>
      </c>
      <c r="E5090" s="6">
        <v>57.38</v>
      </c>
    </row>
    <row r="5091" spans="4:5" x14ac:dyDescent="0.25">
      <c r="D5091" s="4">
        <v>39042</v>
      </c>
      <c r="E5091" s="6">
        <v>59.53</v>
      </c>
    </row>
    <row r="5092" spans="4:5" x14ac:dyDescent="0.25">
      <c r="D5092" s="4">
        <v>39043</v>
      </c>
      <c r="E5092" s="6">
        <v>58.66</v>
      </c>
    </row>
    <row r="5093" spans="4:5" x14ac:dyDescent="0.25">
      <c r="D5093" s="4">
        <v>39044</v>
      </c>
      <c r="E5093" s="6">
        <v>59.7</v>
      </c>
    </row>
    <row r="5094" spans="4:5" x14ac:dyDescent="0.25">
      <c r="D5094" s="4">
        <v>39045</v>
      </c>
      <c r="E5094" s="6">
        <v>60.72</v>
      </c>
    </row>
    <row r="5095" spans="4:5" x14ac:dyDescent="0.25">
      <c r="D5095" s="4">
        <v>39048</v>
      </c>
      <c r="E5095" s="6">
        <v>60.52</v>
      </c>
    </row>
    <row r="5096" spans="4:5" x14ac:dyDescent="0.25">
      <c r="D5096" s="4">
        <v>39049</v>
      </c>
      <c r="E5096" s="6">
        <v>61.22</v>
      </c>
    </row>
    <row r="5097" spans="4:5" x14ac:dyDescent="0.25">
      <c r="D5097" s="4">
        <v>39050</v>
      </c>
      <c r="E5097" s="6">
        <v>62.13</v>
      </c>
    </row>
    <row r="5098" spans="4:5" x14ac:dyDescent="0.25">
      <c r="D5098" s="4">
        <v>39051</v>
      </c>
      <c r="E5098" s="6">
        <v>64.36</v>
      </c>
    </row>
    <row r="5099" spans="4:5" x14ac:dyDescent="0.25">
      <c r="D5099" s="4">
        <v>39052</v>
      </c>
      <c r="E5099" s="6">
        <v>64.739999999999995</v>
      </c>
    </row>
    <row r="5100" spans="4:5" x14ac:dyDescent="0.25">
      <c r="D5100" s="4">
        <v>39055</v>
      </c>
      <c r="E5100" s="6">
        <v>63.97</v>
      </c>
    </row>
    <row r="5101" spans="4:5" x14ac:dyDescent="0.25">
      <c r="D5101" s="4">
        <v>39056</v>
      </c>
      <c r="E5101" s="6">
        <v>63.65</v>
      </c>
    </row>
    <row r="5102" spans="4:5" x14ac:dyDescent="0.25">
      <c r="D5102" s="4">
        <v>39057</v>
      </c>
      <c r="E5102" s="6">
        <v>63.7</v>
      </c>
    </row>
    <row r="5103" spans="4:5" x14ac:dyDescent="0.25">
      <c r="D5103" s="4">
        <v>39058</v>
      </c>
      <c r="E5103" s="6">
        <v>63.17</v>
      </c>
    </row>
    <row r="5104" spans="4:5" x14ac:dyDescent="0.25">
      <c r="D5104" s="4">
        <v>39059</v>
      </c>
      <c r="E5104" s="6">
        <v>63.67</v>
      </c>
    </row>
    <row r="5105" spans="4:5" x14ac:dyDescent="0.25">
      <c r="D5105" s="4">
        <v>39062</v>
      </c>
      <c r="E5105" s="6">
        <v>62.59</v>
      </c>
    </row>
    <row r="5106" spans="4:5" x14ac:dyDescent="0.25">
      <c r="D5106" s="4">
        <v>39063</v>
      </c>
      <c r="E5106" s="6">
        <v>62.58</v>
      </c>
    </row>
    <row r="5107" spans="4:5" x14ac:dyDescent="0.25">
      <c r="D5107" s="4">
        <v>39064</v>
      </c>
      <c r="E5107" s="6">
        <v>61.89</v>
      </c>
    </row>
    <row r="5108" spans="4:5" x14ac:dyDescent="0.25">
      <c r="D5108" s="4">
        <v>39065</v>
      </c>
      <c r="E5108" s="6">
        <v>62.85</v>
      </c>
    </row>
    <row r="5109" spans="4:5" x14ac:dyDescent="0.25">
      <c r="D5109" s="4">
        <v>39066</v>
      </c>
      <c r="E5109" s="6">
        <v>62.91</v>
      </c>
    </row>
    <row r="5110" spans="4:5" x14ac:dyDescent="0.25">
      <c r="D5110" s="4">
        <v>39069</v>
      </c>
      <c r="E5110" s="6">
        <v>62.81</v>
      </c>
    </row>
    <row r="5111" spans="4:5" x14ac:dyDescent="0.25">
      <c r="D5111" s="4">
        <v>39070</v>
      </c>
      <c r="E5111" s="6">
        <v>62.19</v>
      </c>
    </row>
    <row r="5112" spans="4:5" x14ac:dyDescent="0.25">
      <c r="D5112" s="4">
        <v>39071</v>
      </c>
      <c r="E5112" s="6">
        <v>63.13</v>
      </c>
    </row>
    <row r="5113" spans="4:5" x14ac:dyDescent="0.25">
      <c r="D5113" s="4">
        <v>39072</v>
      </c>
      <c r="E5113" s="6">
        <v>62.13</v>
      </c>
    </row>
    <row r="5114" spans="4:5" x14ac:dyDescent="0.25">
      <c r="D5114" s="4">
        <v>39073</v>
      </c>
      <c r="E5114" s="6">
        <v>61.92</v>
      </c>
    </row>
    <row r="5115" spans="4:5" x14ac:dyDescent="0.25">
      <c r="D5115" s="4">
        <v>39076</v>
      </c>
      <c r="E5115" s="5"/>
    </row>
    <row r="5116" spans="4:5" x14ac:dyDescent="0.25">
      <c r="D5116" s="4">
        <v>39077</v>
      </c>
      <c r="E5116" s="5"/>
    </row>
    <row r="5117" spans="4:5" x14ac:dyDescent="0.25">
      <c r="D5117" s="4">
        <v>39078</v>
      </c>
      <c r="E5117" s="6">
        <v>60.7</v>
      </c>
    </row>
    <row r="5118" spans="4:5" x14ac:dyDescent="0.25">
      <c r="D5118" s="4">
        <v>39079</v>
      </c>
      <c r="E5118" s="6">
        <v>59.41</v>
      </c>
    </row>
    <row r="5119" spans="4:5" x14ac:dyDescent="0.25">
      <c r="D5119" s="4">
        <v>39080</v>
      </c>
      <c r="E5119" s="6">
        <v>58.96</v>
      </c>
    </row>
    <row r="5120" spans="4:5" x14ac:dyDescent="0.25">
      <c r="D5120" s="4">
        <v>39083</v>
      </c>
      <c r="E5120" s="5"/>
    </row>
    <row r="5121" spans="4:5" x14ac:dyDescent="0.25">
      <c r="D5121" s="4">
        <v>39084</v>
      </c>
      <c r="E5121" s="6">
        <v>58.49</v>
      </c>
    </row>
    <row r="5122" spans="4:5" x14ac:dyDescent="0.25">
      <c r="D5122" s="4">
        <v>39085</v>
      </c>
      <c r="E5122" s="6">
        <v>56.63</v>
      </c>
    </row>
    <row r="5123" spans="4:5" x14ac:dyDescent="0.25">
      <c r="D5123" s="4">
        <v>39086</v>
      </c>
      <c r="E5123" s="6">
        <v>54.58</v>
      </c>
    </row>
    <row r="5124" spans="4:5" x14ac:dyDescent="0.25">
      <c r="D5124" s="4">
        <v>39087</v>
      </c>
      <c r="E5124" s="6">
        <v>52.82</v>
      </c>
    </row>
    <row r="5125" spans="4:5" x14ac:dyDescent="0.25">
      <c r="D5125" s="4">
        <v>39090</v>
      </c>
      <c r="E5125" s="6">
        <v>52.82</v>
      </c>
    </row>
    <row r="5126" spans="4:5" x14ac:dyDescent="0.25">
      <c r="D5126" s="4">
        <v>39091</v>
      </c>
      <c r="E5126" s="6">
        <v>52.38</v>
      </c>
    </row>
    <row r="5127" spans="4:5" x14ac:dyDescent="0.25">
      <c r="D5127" s="4">
        <v>39092</v>
      </c>
      <c r="E5127" s="6">
        <v>52.11</v>
      </c>
    </row>
    <row r="5128" spans="4:5" x14ac:dyDescent="0.25">
      <c r="D5128" s="4">
        <v>39093</v>
      </c>
      <c r="E5128" s="6">
        <v>51.68</v>
      </c>
    </row>
    <row r="5129" spans="4:5" x14ac:dyDescent="0.25">
      <c r="D5129" s="4">
        <v>39094</v>
      </c>
      <c r="E5129" s="6">
        <v>49.95</v>
      </c>
    </row>
    <row r="5130" spans="4:5" x14ac:dyDescent="0.25">
      <c r="D5130" s="4">
        <v>39097</v>
      </c>
      <c r="E5130" s="5"/>
    </row>
    <row r="5131" spans="4:5" x14ac:dyDescent="0.25">
      <c r="D5131" s="4">
        <v>39098</v>
      </c>
      <c r="E5131" s="6">
        <v>51.28</v>
      </c>
    </row>
    <row r="5132" spans="4:5" x14ac:dyDescent="0.25">
      <c r="D5132" s="4">
        <v>39099</v>
      </c>
      <c r="E5132" s="6">
        <v>51.19</v>
      </c>
    </row>
    <row r="5133" spans="4:5" x14ac:dyDescent="0.25">
      <c r="D5133" s="4">
        <v>39100</v>
      </c>
      <c r="E5133" s="6">
        <v>50.83</v>
      </c>
    </row>
    <row r="5134" spans="4:5" x14ac:dyDescent="0.25">
      <c r="D5134" s="4">
        <v>39101</v>
      </c>
      <c r="E5134" s="6">
        <v>52.29</v>
      </c>
    </row>
    <row r="5135" spans="4:5" x14ac:dyDescent="0.25">
      <c r="D5135" s="4">
        <v>39104</v>
      </c>
      <c r="E5135" s="6">
        <v>54.34</v>
      </c>
    </row>
    <row r="5136" spans="4:5" x14ac:dyDescent="0.25">
      <c r="D5136" s="4">
        <v>39105</v>
      </c>
      <c r="E5136" s="6">
        <v>53.93</v>
      </c>
    </row>
    <row r="5137" spans="4:5" x14ac:dyDescent="0.25">
      <c r="D5137" s="4">
        <v>39106</v>
      </c>
      <c r="E5137" s="6">
        <v>55.11</v>
      </c>
    </row>
    <row r="5138" spans="4:5" x14ac:dyDescent="0.25">
      <c r="D5138" s="4">
        <v>39107</v>
      </c>
      <c r="E5138" s="6">
        <v>55.67</v>
      </c>
    </row>
    <row r="5139" spans="4:5" x14ac:dyDescent="0.25">
      <c r="D5139" s="4">
        <v>39108</v>
      </c>
      <c r="E5139" s="6">
        <v>55.29</v>
      </c>
    </row>
    <row r="5140" spans="4:5" x14ac:dyDescent="0.25">
      <c r="D5140" s="4">
        <v>39111</v>
      </c>
      <c r="E5140" s="6">
        <v>54.71</v>
      </c>
    </row>
    <row r="5141" spans="4:5" x14ac:dyDescent="0.25">
      <c r="D5141" s="4">
        <v>39112</v>
      </c>
      <c r="E5141" s="6">
        <v>54.69</v>
      </c>
    </row>
    <row r="5142" spans="4:5" x14ac:dyDescent="0.25">
      <c r="D5142" s="4">
        <v>39113</v>
      </c>
      <c r="E5142" s="6">
        <v>56.52</v>
      </c>
    </row>
    <row r="5143" spans="4:5" x14ac:dyDescent="0.25">
      <c r="D5143" s="4">
        <v>39114</v>
      </c>
      <c r="E5143" s="6">
        <v>56.74</v>
      </c>
    </row>
    <row r="5144" spans="4:5" x14ac:dyDescent="0.25">
      <c r="D5144" s="4">
        <v>39115</v>
      </c>
      <c r="E5144" s="6">
        <v>56.93</v>
      </c>
    </row>
    <row r="5145" spans="4:5" x14ac:dyDescent="0.25">
      <c r="D5145" s="4">
        <v>39118</v>
      </c>
      <c r="E5145" s="6">
        <v>58.67</v>
      </c>
    </row>
    <row r="5146" spans="4:5" x14ac:dyDescent="0.25">
      <c r="D5146" s="4">
        <v>39119</v>
      </c>
      <c r="E5146" s="6">
        <v>58.04</v>
      </c>
    </row>
    <row r="5147" spans="4:5" x14ac:dyDescent="0.25">
      <c r="D5147" s="4">
        <v>39120</v>
      </c>
      <c r="E5147" s="6">
        <v>58.35</v>
      </c>
    </row>
    <row r="5148" spans="4:5" x14ac:dyDescent="0.25">
      <c r="D5148" s="4">
        <v>39121</v>
      </c>
      <c r="E5148" s="6">
        <v>57.24</v>
      </c>
    </row>
    <row r="5149" spans="4:5" x14ac:dyDescent="0.25">
      <c r="D5149" s="4">
        <v>39122</v>
      </c>
      <c r="E5149" s="6">
        <v>57.21</v>
      </c>
    </row>
    <row r="5150" spans="4:5" x14ac:dyDescent="0.25">
      <c r="D5150" s="4">
        <v>39125</v>
      </c>
      <c r="E5150" s="6">
        <v>55.52</v>
      </c>
    </row>
    <row r="5151" spans="4:5" x14ac:dyDescent="0.25">
      <c r="D5151" s="4">
        <v>39126</v>
      </c>
      <c r="E5151" s="6">
        <v>56.12</v>
      </c>
    </row>
    <row r="5152" spans="4:5" x14ac:dyDescent="0.25">
      <c r="D5152" s="4">
        <v>39127</v>
      </c>
      <c r="E5152" s="6">
        <v>55.05</v>
      </c>
    </row>
    <row r="5153" spans="4:5" x14ac:dyDescent="0.25">
      <c r="D5153" s="4">
        <v>39128</v>
      </c>
      <c r="E5153" s="6">
        <v>54.25</v>
      </c>
    </row>
    <row r="5154" spans="4:5" x14ac:dyDescent="0.25">
      <c r="D5154" s="4">
        <v>39129</v>
      </c>
      <c r="E5154" s="6">
        <v>56.78</v>
      </c>
    </row>
    <row r="5155" spans="4:5" x14ac:dyDescent="0.25">
      <c r="D5155" s="4">
        <v>39132</v>
      </c>
      <c r="E5155" s="5"/>
    </row>
    <row r="5156" spans="4:5" x14ac:dyDescent="0.25">
      <c r="D5156" s="4">
        <v>39133</v>
      </c>
      <c r="E5156" s="6">
        <v>55.91</v>
      </c>
    </row>
    <row r="5157" spans="4:5" x14ac:dyDescent="0.25">
      <c r="D5157" s="4">
        <v>39134</v>
      </c>
      <c r="E5157" s="6">
        <v>57.74</v>
      </c>
    </row>
    <row r="5158" spans="4:5" x14ac:dyDescent="0.25">
      <c r="D5158" s="4">
        <v>39135</v>
      </c>
      <c r="E5158" s="6">
        <v>58.62</v>
      </c>
    </row>
    <row r="5159" spans="4:5" x14ac:dyDescent="0.25">
      <c r="D5159" s="4">
        <v>39136</v>
      </c>
      <c r="E5159" s="6">
        <v>60.38</v>
      </c>
    </row>
    <row r="5160" spans="4:5" x14ac:dyDescent="0.25">
      <c r="D5160" s="4">
        <v>39139</v>
      </c>
      <c r="E5160" s="6">
        <v>60.34</v>
      </c>
    </row>
    <row r="5161" spans="4:5" x14ac:dyDescent="0.25">
      <c r="D5161" s="4">
        <v>39140</v>
      </c>
      <c r="E5161" s="6">
        <v>60.28</v>
      </c>
    </row>
    <row r="5162" spans="4:5" x14ac:dyDescent="0.25">
      <c r="D5162" s="4">
        <v>39141</v>
      </c>
      <c r="E5162" s="6">
        <v>59.39</v>
      </c>
    </row>
    <row r="5163" spans="4:5" x14ac:dyDescent="0.25">
      <c r="D5163" s="4">
        <v>39142</v>
      </c>
      <c r="E5163" s="6">
        <v>61.18</v>
      </c>
    </row>
    <row r="5164" spans="4:5" x14ac:dyDescent="0.25">
      <c r="D5164" s="4">
        <v>39143</v>
      </c>
      <c r="E5164" s="6">
        <v>61.92</v>
      </c>
    </row>
    <row r="5165" spans="4:5" x14ac:dyDescent="0.25">
      <c r="D5165" s="4">
        <v>39146</v>
      </c>
      <c r="E5165" s="6">
        <v>59.78</v>
      </c>
    </row>
    <row r="5166" spans="4:5" x14ac:dyDescent="0.25">
      <c r="D5166" s="4">
        <v>39147</v>
      </c>
      <c r="E5166" s="6">
        <v>59.68</v>
      </c>
    </row>
    <row r="5167" spans="4:5" x14ac:dyDescent="0.25">
      <c r="D5167" s="4">
        <v>39148</v>
      </c>
      <c r="E5167" s="6">
        <v>61.13</v>
      </c>
    </row>
    <row r="5168" spans="4:5" x14ac:dyDescent="0.25">
      <c r="D5168" s="4">
        <v>39149</v>
      </c>
      <c r="E5168" s="6">
        <v>60.9</v>
      </c>
    </row>
    <row r="5169" spans="4:5" x14ac:dyDescent="0.25">
      <c r="D5169" s="4">
        <v>39150</v>
      </c>
      <c r="E5169" s="6">
        <v>60.25</v>
      </c>
    </row>
    <row r="5170" spans="4:5" x14ac:dyDescent="0.25">
      <c r="D5170" s="4">
        <v>39153</v>
      </c>
      <c r="E5170" s="6">
        <v>60.59</v>
      </c>
    </row>
    <row r="5171" spans="4:5" x14ac:dyDescent="0.25">
      <c r="D5171" s="4">
        <v>39154</v>
      </c>
      <c r="E5171" s="6">
        <v>61.52</v>
      </c>
    </row>
    <row r="5172" spans="4:5" x14ac:dyDescent="0.25">
      <c r="D5172" s="4">
        <v>39155</v>
      </c>
      <c r="E5172" s="6">
        <v>60.89</v>
      </c>
    </row>
    <row r="5173" spans="4:5" x14ac:dyDescent="0.25">
      <c r="D5173" s="4">
        <v>39156</v>
      </c>
      <c r="E5173" s="6">
        <v>60.4</v>
      </c>
    </row>
    <row r="5174" spans="4:5" x14ac:dyDescent="0.25">
      <c r="D5174" s="4">
        <v>39157</v>
      </c>
      <c r="E5174" s="6">
        <v>60.93</v>
      </c>
    </row>
    <row r="5175" spans="4:5" x14ac:dyDescent="0.25">
      <c r="D5175" s="4">
        <v>39160</v>
      </c>
      <c r="E5175" s="6">
        <v>60.49</v>
      </c>
    </row>
    <row r="5176" spans="4:5" x14ac:dyDescent="0.25">
      <c r="D5176" s="4">
        <v>39161</v>
      </c>
      <c r="E5176" s="6">
        <v>60.11</v>
      </c>
    </row>
    <row r="5177" spans="4:5" x14ac:dyDescent="0.25">
      <c r="D5177" s="4">
        <v>39162</v>
      </c>
      <c r="E5177" s="6">
        <v>60.18</v>
      </c>
    </row>
    <row r="5178" spans="4:5" x14ac:dyDescent="0.25">
      <c r="D5178" s="4">
        <v>39163</v>
      </c>
      <c r="E5178" s="6">
        <v>61.57</v>
      </c>
    </row>
    <row r="5179" spans="4:5" x14ac:dyDescent="0.25">
      <c r="D5179" s="4">
        <v>39164</v>
      </c>
      <c r="E5179" s="6">
        <v>63.1</v>
      </c>
    </row>
    <row r="5180" spans="4:5" x14ac:dyDescent="0.25">
      <c r="D5180" s="4">
        <v>39167</v>
      </c>
      <c r="E5180" s="6">
        <v>64.430000000000007</v>
      </c>
    </row>
    <row r="5181" spans="4:5" x14ac:dyDescent="0.25">
      <c r="D5181" s="4">
        <v>39168</v>
      </c>
      <c r="E5181" s="6">
        <v>64.25</v>
      </c>
    </row>
    <row r="5182" spans="4:5" x14ac:dyDescent="0.25">
      <c r="D5182" s="4">
        <v>39169</v>
      </c>
      <c r="E5182" s="6">
        <v>66.150000000000006</v>
      </c>
    </row>
    <row r="5183" spans="4:5" x14ac:dyDescent="0.25">
      <c r="D5183" s="4">
        <v>39170</v>
      </c>
      <c r="E5183" s="6">
        <v>67.19</v>
      </c>
    </row>
    <row r="5184" spans="4:5" x14ac:dyDescent="0.25">
      <c r="D5184" s="4">
        <v>39171</v>
      </c>
      <c r="E5184" s="6">
        <v>68.47</v>
      </c>
    </row>
    <row r="5185" spans="4:5" x14ac:dyDescent="0.25">
      <c r="D5185" s="4">
        <v>39174</v>
      </c>
      <c r="E5185" s="6">
        <v>68.94</v>
      </c>
    </row>
    <row r="5186" spans="4:5" x14ac:dyDescent="0.25">
      <c r="D5186" s="4">
        <v>39175</v>
      </c>
      <c r="E5186" s="6">
        <v>68</v>
      </c>
    </row>
    <row r="5187" spans="4:5" x14ac:dyDescent="0.25">
      <c r="D5187" s="4">
        <v>39176</v>
      </c>
      <c r="E5187" s="6">
        <v>68.09</v>
      </c>
    </row>
    <row r="5188" spans="4:5" x14ac:dyDescent="0.25">
      <c r="D5188" s="4">
        <v>39177</v>
      </c>
      <c r="E5188" s="6">
        <v>69.150000000000006</v>
      </c>
    </row>
    <row r="5189" spans="4:5" x14ac:dyDescent="0.25">
      <c r="D5189" s="4">
        <v>39178</v>
      </c>
      <c r="E5189" s="5"/>
    </row>
    <row r="5190" spans="4:5" x14ac:dyDescent="0.25">
      <c r="D5190" s="4">
        <v>39181</v>
      </c>
      <c r="E5190" s="5"/>
    </row>
    <row r="5191" spans="4:5" x14ac:dyDescent="0.25">
      <c r="D5191" s="4">
        <v>39182</v>
      </c>
      <c r="E5191" s="6">
        <v>67.64</v>
      </c>
    </row>
    <row r="5192" spans="4:5" x14ac:dyDescent="0.25">
      <c r="D5192" s="4">
        <v>39183</v>
      </c>
      <c r="E5192" s="6">
        <v>68.599999999999994</v>
      </c>
    </row>
    <row r="5193" spans="4:5" x14ac:dyDescent="0.25">
      <c r="D5193" s="4">
        <v>39184</v>
      </c>
      <c r="E5193" s="6">
        <v>67.790000000000006</v>
      </c>
    </row>
    <row r="5194" spans="4:5" x14ac:dyDescent="0.25">
      <c r="D5194" s="4">
        <v>39185</v>
      </c>
      <c r="E5194" s="6">
        <v>68.78</v>
      </c>
    </row>
    <row r="5195" spans="4:5" x14ac:dyDescent="0.25">
      <c r="D5195" s="4">
        <v>39188</v>
      </c>
      <c r="E5195" s="6">
        <v>67.099999999999994</v>
      </c>
    </row>
    <row r="5196" spans="4:5" x14ac:dyDescent="0.25">
      <c r="D5196" s="4">
        <v>39189</v>
      </c>
      <c r="E5196" s="6">
        <v>66.34</v>
      </c>
    </row>
    <row r="5197" spans="4:5" x14ac:dyDescent="0.25">
      <c r="D5197" s="4">
        <v>39190</v>
      </c>
      <c r="E5197" s="6">
        <v>65.09</v>
      </c>
    </row>
    <row r="5198" spans="4:5" x14ac:dyDescent="0.25">
      <c r="D5198" s="4">
        <v>39191</v>
      </c>
      <c r="E5198" s="6">
        <v>66.17</v>
      </c>
    </row>
    <row r="5199" spans="4:5" x14ac:dyDescent="0.25">
      <c r="D5199" s="4">
        <v>39192</v>
      </c>
      <c r="E5199" s="6">
        <v>66.34</v>
      </c>
    </row>
    <row r="5200" spans="4:5" x14ac:dyDescent="0.25">
      <c r="D5200" s="4">
        <v>39195</v>
      </c>
      <c r="E5200" s="6">
        <v>66.8</v>
      </c>
    </row>
    <row r="5201" spans="4:5" x14ac:dyDescent="0.25">
      <c r="D5201" s="4">
        <v>39196</v>
      </c>
      <c r="E5201" s="6">
        <v>67.94</v>
      </c>
    </row>
    <row r="5202" spans="4:5" x14ac:dyDescent="0.25">
      <c r="D5202" s="4">
        <v>39197</v>
      </c>
      <c r="E5202" s="6">
        <v>67.44</v>
      </c>
    </row>
    <row r="5203" spans="4:5" x14ac:dyDescent="0.25">
      <c r="D5203" s="4">
        <v>39198</v>
      </c>
      <c r="E5203" s="6">
        <v>67.510000000000005</v>
      </c>
    </row>
    <row r="5204" spans="4:5" x14ac:dyDescent="0.25">
      <c r="D5204" s="4">
        <v>39199</v>
      </c>
      <c r="E5204" s="6">
        <v>67.28</v>
      </c>
    </row>
    <row r="5205" spans="4:5" x14ac:dyDescent="0.25">
      <c r="D5205" s="4">
        <v>39202</v>
      </c>
      <c r="E5205" s="6">
        <v>67.23</v>
      </c>
    </row>
    <row r="5206" spans="4:5" x14ac:dyDescent="0.25">
      <c r="D5206" s="4">
        <v>39203</v>
      </c>
      <c r="E5206" s="6">
        <v>67.400000000000006</v>
      </c>
    </row>
    <row r="5207" spans="4:5" x14ac:dyDescent="0.25">
      <c r="D5207" s="4">
        <v>39204</v>
      </c>
      <c r="E5207" s="6">
        <v>65.569999999999993</v>
      </c>
    </row>
    <row r="5208" spans="4:5" x14ac:dyDescent="0.25">
      <c r="D5208" s="4">
        <v>39205</v>
      </c>
      <c r="E5208" s="6">
        <v>64.849999999999994</v>
      </c>
    </row>
    <row r="5209" spans="4:5" x14ac:dyDescent="0.25">
      <c r="D5209" s="4">
        <v>39206</v>
      </c>
      <c r="E5209" s="6">
        <v>65.14</v>
      </c>
    </row>
    <row r="5210" spans="4:5" x14ac:dyDescent="0.25">
      <c r="D5210" s="4">
        <v>39209</v>
      </c>
      <c r="E5210" s="6">
        <v>62.7</v>
      </c>
    </row>
    <row r="5211" spans="4:5" x14ac:dyDescent="0.25">
      <c r="D5211" s="4">
        <v>39210</v>
      </c>
      <c r="E5211" s="6">
        <v>63.55</v>
      </c>
    </row>
    <row r="5212" spans="4:5" x14ac:dyDescent="0.25">
      <c r="D5212" s="4">
        <v>39211</v>
      </c>
      <c r="E5212" s="6">
        <v>63.5</v>
      </c>
    </row>
    <row r="5213" spans="4:5" x14ac:dyDescent="0.25">
      <c r="D5213" s="4">
        <v>39212</v>
      </c>
      <c r="E5213" s="6">
        <v>64.63</v>
      </c>
    </row>
    <row r="5214" spans="4:5" x14ac:dyDescent="0.25">
      <c r="D5214" s="4">
        <v>39213</v>
      </c>
      <c r="E5214" s="6">
        <v>65.180000000000007</v>
      </c>
    </row>
    <row r="5215" spans="4:5" x14ac:dyDescent="0.25">
      <c r="D5215" s="4">
        <v>39216</v>
      </c>
      <c r="E5215" s="6">
        <v>65.86</v>
      </c>
    </row>
    <row r="5216" spans="4:5" x14ac:dyDescent="0.25">
      <c r="D5216" s="4">
        <v>39217</v>
      </c>
      <c r="E5216" s="6">
        <v>66.739999999999995</v>
      </c>
    </row>
    <row r="5217" spans="4:5" x14ac:dyDescent="0.25">
      <c r="D5217" s="4">
        <v>39218</v>
      </c>
      <c r="E5217" s="6">
        <v>66.83</v>
      </c>
    </row>
    <row r="5218" spans="4:5" x14ac:dyDescent="0.25">
      <c r="D5218" s="4">
        <v>39219</v>
      </c>
      <c r="E5218" s="6">
        <v>69.08</v>
      </c>
    </row>
    <row r="5219" spans="4:5" x14ac:dyDescent="0.25">
      <c r="D5219" s="4">
        <v>39220</v>
      </c>
      <c r="E5219" s="6">
        <v>69.260000000000005</v>
      </c>
    </row>
    <row r="5220" spans="4:5" x14ac:dyDescent="0.25">
      <c r="D5220" s="4">
        <v>39223</v>
      </c>
      <c r="E5220" s="6">
        <v>69.510000000000005</v>
      </c>
    </row>
    <row r="5221" spans="4:5" x14ac:dyDescent="0.25">
      <c r="D5221" s="4">
        <v>39224</v>
      </c>
      <c r="E5221" s="6">
        <v>70.05</v>
      </c>
    </row>
    <row r="5222" spans="4:5" x14ac:dyDescent="0.25">
      <c r="D5222" s="4">
        <v>39225</v>
      </c>
      <c r="E5222" s="6">
        <v>71.010000000000005</v>
      </c>
    </row>
    <row r="5223" spans="4:5" x14ac:dyDescent="0.25">
      <c r="D5223" s="4">
        <v>39226</v>
      </c>
      <c r="E5223" s="6">
        <v>71.959999999999994</v>
      </c>
    </row>
    <row r="5224" spans="4:5" x14ac:dyDescent="0.25">
      <c r="D5224" s="4">
        <v>39227</v>
      </c>
      <c r="E5224" s="6">
        <v>70.72</v>
      </c>
    </row>
    <row r="5225" spans="4:5" x14ac:dyDescent="0.25">
      <c r="D5225" s="4">
        <v>39230</v>
      </c>
      <c r="E5225" s="5"/>
    </row>
    <row r="5226" spans="4:5" x14ac:dyDescent="0.25">
      <c r="D5226" s="4">
        <v>39231</v>
      </c>
      <c r="E5226" s="6">
        <v>69.31</v>
      </c>
    </row>
    <row r="5227" spans="4:5" x14ac:dyDescent="0.25">
      <c r="D5227" s="4">
        <v>39232</v>
      </c>
      <c r="E5227" s="6">
        <v>67.64</v>
      </c>
    </row>
    <row r="5228" spans="4:5" x14ac:dyDescent="0.25">
      <c r="D5228" s="4">
        <v>39233</v>
      </c>
      <c r="E5228" s="6">
        <v>68.180000000000007</v>
      </c>
    </row>
    <row r="5229" spans="4:5" x14ac:dyDescent="0.25">
      <c r="D5229" s="4">
        <v>39234</v>
      </c>
      <c r="E5229" s="6">
        <v>68.650000000000006</v>
      </c>
    </row>
    <row r="5230" spans="4:5" x14ac:dyDescent="0.25">
      <c r="D5230" s="4">
        <v>39237</v>
      </c>
      <c r="E5230" s="6">
        <v>70.900000000000006</v>
      </c>
    </row>
    <row r="5231" spans="4:5" x14ac:dyDescent="0.25">
      <c r="D5231" s="4">
        <v>39238</v>
      </c>
      <c r="E5231" s="6">
        <v>71.36</v>
      </c>
    </row>
    <row r="5232" spans="4:5" x14ac:dyDescent="0.25">
      <c r="D5232" s="4">
        <v>39239</v>
      </c>
      <c r="E5232" s="6">
        <v>71.5</v>
      </c>
    </row>
    <row r="5233" spans="4:5" x14ac:dyDescent="0.25">
      <c r="D5233" s="4">
        <v>39240</v>
      </c>
      <c r="E5233" s="6">
        <v>72.36</v>
      </c>
    </row>
    <row r="5234" spans="4:5" x14ac:dyDescent="0.25">
      <c r="D5234" s="4">
        <v>39241</v>
      </c>
      <c r="E5234" s="6">
        <v>70.040000000000006</v>
      </c>
    </row>
    <row r="5235" spans="4:5" x14ac:dyDescent="0.25">
      <c r="D5235" s="4">
        <v>39244</v>
      </c>
      <c r="E5235" s="6">
        <v>68.849999999999994</v>
      </c>
    </row>
    <row r="5236" spans="4:5" x14ac:dyDescent="0.25">
      <c r="D5236" s="4">
        <v>39245</v>
      </c>
      <c r="E5236" s="6">
        <v>68.56</v>
      </c>
    </row>
    <row r="5237" spans="4:5" x14ac:dyDescent="0.25">
      <c r="D5237" s="4">
        <v>39246</v>
      </c>
      <c r="E5237" s="6">
        <v>69.239999999999995</v>
      </c>
    </row>
    <row r="5238" spans="4:5" x14ac:dyDescent="0.25">
      <c r="D5238" s="4">
        <v>39247</v>
      </c>
      <c r="E5238" s="6">
        <v>71.180000000000007</v>
      </c>
    </row>
    <row r="5239" spans="4:5" x14ac:dyDescent="0.25">
      <c r="D5239" s="4">
        <v>39248</v>
      </c>
      <c r="E5239" s="6">
        <v>71.63</v>
      </c>
    </row>
    <row r="5240" spans="4:5" x14ac:dyDescent="0.25">
      <c r="D5240" s="4">
        <v>39251</v>
      </c>
      <c r="E5240" s="6">
        <v>72.33</v>
      </c>
    </row>
    <row r="5241" spans="4:5" x14ac:dyDescent="0.25">
      <c r="D5241" s="4">
        <v>39252</v>
      </c>
      <c r="E5241" s="6">
        <v>72.17</v>
      </c>
    </row>
    <row r="5242" spans="4:5" x14ac:dyDescent="0.25">
      <c r="D5242" s="4">
        <v>39253</v>
      </c>
      <c r="E5242" s="6">
        <v>70.55</v>
      </c>
    </row>
    <row r="5243" spans="4:5" x14ac:dyDescent="0.25">
      <c r="D5243" s="4">
        <v>39254</v>
      </c>
      <c r="E5243" s="6">
        <v>71.81</v>
      </c>
    </row>
    <row r="5244" spans="4:5" x14ac:dyDescent="0.25">
      <c r="D5244" s="4">
        <v>39255</v>
      </c>
      <c r="E5244" s="6">
        <v>72.040000000000006</v>
      </c>
    </row>
    <row r="5245" spans="4:5" x14ac:dyDescent="0.25">
      <c r="D5245" s="4">
        <v>39258</v>
      </c>
      <c r="E5245" s="6">
        <v>71.36</v>
      </c>
    </row>
    <row r="5246" spans="4:5" x14ac:dyDescent="0.25">
      <c r="D5246" s="4">
        <v>39259</v>
      </c>
      <c r="E5246" s="6">
        <v>71.41</v>
      </c>
    </row>
    <row r="5247" spans="4:5" x14ac:dyDescent="0.25">
      <c r="D5247" s="4">
        <v>39260</v>
      </c>
      <c r="E5247" s="6">
        <v>71.84</v>
      </c>
    </row>
    <row r="5248" spans="4:5" x14ac:dyDescent="0.25">
      <c r="D5248" s="4">
        <v>39261</v>
      </c>
      <c r="E5248" s="6">
        <v>71.959999999999994</v>
      </c>
    </row>
    <row r="5249" spans="4:5" x14ac:dyDescent="0.25">
      <c r="D5249" s="4">
        <v>39262</v>
      </c>
      <c r="E5249" s="6">
        <v>72.22</v>
      </c>
    </row>
    <row r="5250" spans="4:5" x14ac:dyDescent="0.25">
      <c r="D5250" s="4">
        <v>39265</v>
      </c>
      <c r="E5250" s="6">
        <v>72.900000000000006</v>
      </c>
    </row>
    <row r="5251" spans="4:5" x14ac:dyDescent="0.25">
      <c r="D5251" s="4">
        <v>39266</v>
      </c>
      <c r="E5251" s="6">
        <v>74.260000000000005</v>
      </c>
    </row>
    <row r="5252" spans="4:5" x14ac:dyDescent="0.25">
      <c r="D5252" s="4">
        <v>39267</v>
      </c>
      <c r="E5252" s="5"/>
    </row>
    <row r="5253" spans="4:5" x14ac:dyDescent="0.25">
      <c r="D5253" s="4">
        <v>39268</v>
      </c>
      <c r="E5253" s="6">
        <v>75.400000000000006</v>
      </c>
    </row>
    <row r="5254" spans="4:5" x14ac:dyDescent="0.25">
      <c r="D5254" s="4">
        <v>39269</v>
      </c>
      <c r="E5254" s="6">
        <v>76.58</v>
      </c>
    </row>
    <row r="5255" spans="4:5" x14ac:dyDescent="0.25">
      <c r="D5255" s="4">
        <v>39272</v>
      </c>
      <c r="E5255" s="6">
        <v>77.099999999999994</v>
      </c>
    </row>
    <row r="5256" spans="4:5" x14ac:dyDescent="0.25">
      <c r="D5256" s="4">
        <v>39273</v>
      </c>
      <c r="E5256" s="6">
        <v>77.88</v>
      </c>
    </row>
    <row r="5257" spans="4:5" x14ac:dyDescent="0.25">
      <c r="D5257" s="4">
        <v>39274</v>
      </c>
      <c r="E5257" s="6">
        <v>77.44</v>
      </c>
    </row>
    <row r="5258" spans="4:5" x14ac:dyDescent="0.25">
      <c r="D5258" s="4">
        <v>39275</v>
      </c>
      <c r="E5258" s="6">
        <v>78.239999999999995</v>
      </c>
    </row>
    <row r="5259" spans="4:5" x14ac:dyDescent="0.25">
      <c r="D5259" s="4">
        <v>39276</v>
      </c>
      <c r="E5259" s="6">
        <v>78.12</v>
      </c>
    </row>
    <row r="5260" spans="4:5" x14ac:dyDescent="0.25">
      <c r="D5260" s="4">
        <v>39279</v>
      </c>
      <c r="E5260" s="6">
        <v>78.17</v>
      </c>
    </row>
    <row r="5261" spans="4:5" x14ac:dyDescent="0.25">
      <c r="D5261" s="4">
        <v>39280</v>
      </c>
      <c r="E5261" s="6">
        <v>77.59</v>
      </c>
    </row>
    <row r="5262" spans="4:5" x14ac:dyDescent="0.25">
      <c r="D5262" s="4">
        <v>39281</v>
      </c>
      <c r="E5262" s="6">
        <v>78</v>
      </c>
    </row>
    <row r="5263" spans="4:5" x14ac:dyDescent="0.25">
      <c r="D5263" s="4">
        <v>39282</v>
      </c>
      <c r="E5263" s="6">
        <v>78.37</v>
      </c>
    </row>
    <row r="5264" spans="4:5" x14ac:dyDescent="0.25">
      <c r="D5264" s="4">
        <v>39283</v>
      </c>
      <c r="E5264" s="6">
        <v>79.09</v>
      </c>
    </row>
    <row r="5265" spans="4:5" x14ac:dyDescent="0.25">
      <c r="D5265" s="4">
        <v>39286</v>
      </c>
      <c r="E5265" s="6">
        <v>78.36</v>
      </c>
    </row>
    <row r="5266" spans="4:5" x14ac:dyDescent="0.25">
      <c r="D5266" s="4">
        <v>39287</v>
      </c>
      <c r="E5266" s="6">
        <v>75.88</v>
      </c>
    </row>
    <row r="5267" spans="4:5" x14ac:dyDescent="0.25">
      <c r="D5267" s="4">
        <v>39288</v>
      </c>
      <c r="E5267" s="6">
        <v>75.209999999999994</v>
      </c>
    </row>
    <row r="5268" spans="4:5" x14ac:dyDescent="0.25">
      <c r="D5268" s="4">
        <v>39289</v>
      </c>
      <c r="E5268" s="6">
        <v>77.28</v>
      </c>
    </row>
    <row r="5269" spans="4:5" x14ac:dyDescent="0.25">
      <c r="D5269" s="4">
        <v>39290</v>
      </c>
      <c r="E5269" s="6">
        <v>76.58</v>
      </c>
    </row>
    <row r="5270" spans="4:5" x14ac:dyDescent="0.25">
      <c r="D5270" s="4">
        <v>39293</v>
      </c>
      <c r="E5270" s="6">
        <v>76.069999999999993</v>
      </c>
    </row>
    <row r="5271" spans="4:5" x14ac:dyDescent="0.25">
      <c r="D5271" s="4">
        <v>39294</v>
      </c>
      <c r="E5271" s="6">
        <v>77.010000000000005</v>
      </c>
    </row>
    <row r="5272" spans="4:5" x14ac:dyDescent="0.25">
      <c r="D5272" s="4">
        <v>39295</v>
      </c>
      <c r="E5272" s="6">
        <v>77.11</v>
      </c>
    </row>
    <row r="5273" spans="4:5" x14ac:dyDescent="0.25">
      <c r="D5273" s="4">
        <v>39296</v>
      </c>
      <c r="E5273" s="6">
        <v>76.14</v>
      </c>
    </row>
    <row r="5274" spans="4:5" x14ac:dyDescent="0.25">
      <c r="D5274" s="4">
        <v>39297</v>
      </c>
      <c r="E5274" s="6">
        <v>75.36</v>
      </c>
    </row>
    <row r="5275" spans="4:5" x14ac:dyDescent="0.25">
      <c r="D5275" s="4">
        <v>39300</v>
      </c>
      <c r="E5275" s="6">
        <v>72.69</v>
      </c>
    </row>
    <row r="5276" spans="4:5" x14ac:dyDescent="0.25">
      <c r="D5276" s="4">
        <v>39301</v>
      </c>
      <c r="E5276" s="6">
        <v>70.42</v>
      </c>
    </row>
    <row r="5277" spans="4:5" x14ac:dyDescent="0.25">
      <c r="D5277" s="4">
        <v>39302</v>
      </c>
      <c r="E5277" s="6">
        <v>70.73</v>
      </c>
    </row>
    <row r="5278" spans="4:5" x14ac:dyDescent="0.25">
      <c r="D5278" s="4">
        <v>39303</v>
      </c>
      <c r="E5278" s="6">
        <v>70.08</v>
      </c>
    </row>
    <row r="5279" spans="4:5" x14ac:dyDescent="0.25">
      <c r="D5279" s="4">
        <v>39304</v>
      </c>
      <c r="E5279" s="6">
        <v>69.569999999999993</v>
      </c>
    </row>
    <row r="5280" spans="4:5" x14ac:dyDescent="0.25">
      <c r="D5280" s="4">
        <v>39307</v>
      </c>
      <c r="E5280" s="6">
        <v>71.3</v>
      </c>
    </row>
    <row r="5281" spans="4:5" x14ac:dyDescent="0.25">
      <c r="D5281" s="4">
        <v>39308</v>
      </c>
      <c r="E5281" s="6">
        <v>69.290000000000006</v>
      </c>
    </row>
    <row r="5282" spans="4:5" x14ac:dyDescent="0.25">
      <c r="D5282" s="4">
        <v>39309</v>
      </c>
      <c r="E5282" s="6">
        <v>71.3</v>
      </c>
    </row>
    <row r="5283" spans="4:5" x14ac:dyDescent="0.25">
      <c r="D5283" s="4">
        <v>39310</v>
      </c>
      <c r="E5283" s="6">
        <v>68.77</v>
      </c>
    </row>
    <row r="5284" spans="4:5" x14ac:dyDescent="0.25">
      <c r="D5284" s="4">
        <v>39311</v>
      </c>
      <c r="E5284" s="6">
        <v>69.8</v>
      </c>
    </row>
    <row r="5285" spans="4:5" x14ac:dyDescent="0.25">
      <c r="D5285" s="4">
        <v>39314</v>
      </c>
      <c r="E5285" s="6">
        <v>68.37</v>
      </c>
    </row>
    <row r="5286" spans="4:5" x14ac:dyDescent="0.25">
      <c r="D5286" s="4">
        <v>39315</v>
      </c>
      <c r="E5286" s="6">
        <v>67.88</v>
      </c>
    </row>
    <row r="5287" spans="4:5" x14ac:dyDescent="0.25">
      <c r="D5287" s="4">
        <v>39316</v>
      </c>
      <c r="E5287" s="6">
        <v>67.73</v>
      </c>
    </row>
    <row r="5288" spans="4:5" x14ac:dyDescent="0.25">
      <c r="D5288" s="4">
        <v>39317</v>
      </c>
      <c r="E5288" s="6">
        <v>68.73</v>
      </c>
    </row>
    <row r="5289" spans="4:5" x14ac:dyDescent="0.25">
      <c r="D5289" s="4">
        <v>39318</v>
      </c>
      <c r="E5289" s="6">
        <v>69.489999999999995</v>
      </c>
    </row>
    <row r="5290" spans="4:5" x14ac:dyDescent="0.25">
      <c r="D5290" s="4">
        <v>39321</v>
      </c>
      <c r="E5290" s="6">
        <v>68.849999999999994</v>
      </c>
    </row>
    <row r="5291" spans="4:5" x14ac:dyDescent="0.25">
      <c r="D5291" s="4">
        <v>39322</v>
      </c>
      <c r="E5291" s="6">
        <v>69.66</v>
      </c>
    </row>
    <row r="5292" spans="4:5" x14ac:dyDescent="0.25">
      <c r="D5292" s="4">
        <v>39323</v>
      </c>
      <c r="E5292" s="6">
        <v>70.48</v>
      </c>
    </row>
    <row r="5293" spans="4:5" x14ac:dyDescent="0.25">
      <c r="D5293" s="4">
        <v>39324</v>
      </c>
      <c r="E5293" s="6">
        <v>71.459999999999994</v>
      </c>
    </row>
    <row r="5294" spans="4:5" x14ac:dyDescent="0.25">
      <c r="D5294" s="4">
        <v>39325</v>
      </c>
      <c r="E5294" s="6">
        <v>72.290000000000006</v>
      </c>
    </row>
    <row r="5295" spans="4:5" x14ac:dyDescent="0.25">
      <c r="D5295" s="4">
        <v>39328</v>
      </c>
      <c r="E5295" s="5"/>
    </row>
    <row r="5296" spans="4:5" x14ac:dyDescent="0.25">
      <c r="D5296" s="4">
        <v>39329</v>
      </c>
      <c r="E5296" s="6">
        <v>74.22</v>
      </c>
    </row>
    <row r="5297" spans="4:5" x14ac:dyDescent="0.25">
      <c r="D5297" s="4">
        <v>39330</v>
      </c>
      <c r="E5297" s="6">
        <v>74.72</v>
      </c>
    </row>
    <row r="5298" spans="4:5" x14ac:dyDescent="0.25">
      <c r="D5298" s="4">
        <v>39331</v>
      </c>
      <c r="E5298" s="6">
        <v>76.209999999999994</v>
      </c>
    </row>
    <row r="5299" spans="4:5" x14ac:dyDescent="0.25">
      <c r="D5299" s="4">
        <v>39332</v>
      </c>
      <c r="E5299" s="6">
        <v>75.08</v>
      </c>
    </row>
    <row r="5300" spans="4:5" x14ac:dyDescent="0.25">
      <c r="D5300" s="4">
        <v>39335</v>
      </c>
      <c r="E5300" s="6">
        <v>74.97</v>
      </c>
    </row>
    <row r="5301" spans="4:5" x14ac:dyDescent="0.25">
      <c r="D5301" s="4">
        <v>39336</v>
      </c>
      <c r="E5301" s="6">
        <v>76.23</v>
      </c>
    </row>
    <row r="5302" spans="4:5" x14ac:dyDescent="0.25">
      <c r="D5302" s="4">
        <v>39337</v>
      </c>
      <c r="E5302" s="6">
        <v>77.150000000000006</v>
      </c>
    </row>
    <row r="5303" spans="4:5" x14ac:dyDescent="0.25">
      <c r="D5303" s="4">
        <v>39338</v>
      </c>
      <c r="E5303" s="6">
        <v>77.84</v>
      </c>
    </row>
    <row r="5304" spans="4:5" x14ac:dyDescent="0.25">
      <c r="D5304" s="4">
        <v>39339</v>
      </c>
      <c r="E5304" s="6">
        <v>78.27</v>
      </c>
    </row>
    <row r="5305" spans="4:5" x14ac:dyDescent="0.25">
      <c r="D5305" s="4">
        <v>39342</v>
      </c>
      <c r="E5305" s="6">
        <v>77.989999999999995</v>
      </c>
    </row>
    <row r="5306" spans="4:5" x14ac:dyDescent="0.25">
      <c r="D5306" s="4">
        <v>39343</v>
      </c>
      <c r="E5306" s="6">
        <v>77</v>
      </c>
    </row>
    <row r="5307" spans="4:5" x14ac:dyDescent="0.25">
      <c r="D5307" s="4">
        <v>39344</v>
      </c>
      <c r="E5307" s="6">
        <v>78.47</v>
      </c>
    </row>
    <row r="5308" spans="4:5" x14ac:dyDescent="0.25">
      <c r="D5308" s="4">
        <v>39345</v>
      </c>
      <c r="E5308" s="6">
        <v>78.48</v>
      </c>
    </row>
    <row r="5309" spans="4:5" x14ac:dyDescent="0.25">
      <c r="D5309" s="4">
        <v>39346</v>
      </c>
      <c r="E5309" s="6">
        <v>78.91</v>
      </c>
    </row>
    <row r="5310" spans="4:5" x14ac:dyDescent="0.25">
      <c r="D5310" s="4">
        <v>39349</v>
      </c>
      <c r="E5310" s="6">
        <v>77.87</v>
      </c>
    </row>
    <row r="5311" spans="4:5" x14ac:dyDescent="0.25">
      <c r="D5311" s="4">
        <v>39350</v>
      </c>
      <c r="E5311" s="6">
        <v>76.819999999999993</v>
      </c>
    </row>
    <row r="5312" spans="4:5" x14ac:dyDescent="0.25">
      <c r="D5312" s="4">
        <v>39351</v>
      </c>
      <c r="E5312" s="6">
        <v>76.209999999999994</v>
      </c>
    </row>
    <row r="5313" spans="4:5" x14ac:dyDescent="0.25">
      <c r="D5313" s="4">
        <v>39352</v>
      </c>
      <c r="E5313" s="6">
        <v>78.88</v>
      </c>
    </row>
    <row r="5314" spans="4:5" x14ac:dyDescent="0.25">
      <c r="D5314" s="4">
        <v>39353</v>
      </c>
      <c r="E5314" s="6">
        <v>80.97</v>
      </c>
    </row>
    <row r="5315" spans="4:5" x14ac:dyDescent="0.25">
      <c r="D5315" s="4">
        <v>39356</v>
      </c>
      <c r="E5315" s="6">
        <v>78.33</v>
      </c>
    </row>
    <row r="5316" spans="4:5" x14ac:dyDescent="0.25">
      <c r="D5316" s="4">
        <v>39357</v>
      </c>
      <c r="E5316" s="6">
        <v>76.87</v>
      </c>
    </row>
    <row r="5317" spans="4:5" x14ac:dyDescent="0.25">
      <c r="D5317" s="4">
        <v>39358</v>
      </c>
      <c r="E5317" s="6">
        <v>77.8</v>
      </c>
    </row>
    <row r="5318" spans="4:5" x14ac:dyDescent="0.25">
      <c r="D5318" s="4">
        <v>39359</v>
      </c>
      <c r="E5318" s="6">
        <v>77.84</v>
      </c>
    </row>
    <row r="5319" spans="4:5" x14ac:dyDescent="0.25">
      <c r="D5319" s="4">
        <v>39360</v>
      </c>
      <c r="E5319" s="6">
        <v>79.05</v>
      </c>
    </row>
    <row r="5320" spans="4:5" x14ac:dyDescent="0.25">
      <c r="D5320" s="4">
        <v>39363</v>
      </c>
      <c r="E5320" s="6">
        <v>76.94</v>
      </c>
    </row>
    <row r="5321" spans="4:5" x14ac:dyDescent="0.25">
      <c r="D5321" s="4">
        <v>39364</v>
      </c>
      <c r="E5321" s="6">
        <v>77.819999999999993</v>
      </c>
    </row>
    <row r="5322" spans="4:5" x14ac:dyDescent="0.25">
      <c r="D5322" s="4">
        <v>39365</v>
      </c>
      <c r="E5322" s="6">
        <v>77.849999999999994</v>
      </c>
    </row>
    <row r="5323" spans="4:5" x14ac:dyDescent="0.25">
      <c r="D5323" s="4">
        <v>39366</v>
      </c>
      <c r="E5323" s="6">
        <v>80.83</v>
      </c>
    </row>
    <row r="5324" spans="4:5" x14ac:dyDescent="0.25">
      <c r="D5324" s="4">
        <v>39367</v>
      </c>
      <c r="E5324" s="6">
        <v>80.819999999999993</v>
      </c>
    </row>
    <row r="5325" spans="4:5" x14ac:dyDescent="0.25">
      <c r="D5325" s="4">
        <v>39370</v>
      </c>
      <c r="E5325" s="6">
        <v>82.5</v>
      </c>
    </row>
    <row r="5326" spans="4:5" x14ac:dyDescent="0.25">
      <c r="D5326" s="4">
        <v>39371</v>
      </c>
      <c r="E5326" s="6">
        <v>84.43</v>
      </c>
    </row>
    <row r="5327" spans="4:5" x14ac:dyDescent="0.25">
      <c r="D5327" s="4">
        <v>39372</v>
      </c>
      <c r="E5327" s="6">
        <v>85.24</v>
      </c>
    </row>
    <row r="5328" spans="4:5" x14ac:dyDescent="0.25">
      <c r="D5328" s="4">
        <v>39373</v>
      </c>
      <c r="E5328" s="6">
        <v>85.03</v>
      </c>
    </row>
    <row r="5329" spans="4:5" x14ac:dyDescent="0.25">
      <c r="D5329" s="4">
        <v>39374</v>
      </c>
      <c r="E5329" s="6">
        <v>84.25</v>
      </c>
    </row>
    <row r="5330" spans="4:5" x14ac:dyDescent="0.25">
      <c r="D5330" s="4">
        <v>39377</v>
      </c>
      <c r="E5330" s="6">
        <v>82.72</v>
      </c>
    </row>
    <row r="5331" spans="4:5" x14ac:dyDescent="0.25">
      <c r="D5331" s="4">
        <v>39378</v>
      </c>
      <c r="E5331" s="6">
        <v>82.31</v>
      </c>
    </row>
    <row r="5332" spans="4:5" x14ac:dyDescent="0.25">
      <c r="D5332" s="4">
        <v>39379</v>
      </c>
      <c r="E5332" s="6">
        <v>83.47</v>
      </c>
    </row>
    <row r="5333" spans="4:5" x14ac:dyDescent="0.25">
      <c r="D5333" s="4">
        <v>39380</v>
      </c>
      <c r="E5333" s="6">
        <v>85.4</v>
      </c>
    </row>
    <row r="5334" spans="4:5" x14ac:dyDescent="0.25">
      <c r="D5334" s="4">
        <v>39381</v>
      </c>
      <c r="E5334" s="6">
        <v>84.71</v>
      </c>
    </row>
    <row r="5335" spans="4:5" x14ac:dyDescent="0.25">
      <c r="D5335" s="4">
        <v>39384</v>
      </c>
      <c r="E5335" s="6">
        <v>89.87</v>
      </c>
    </row>
    <row r="5336" spans="4:5" x14ac:dyDescent="0.25">
      <c r="D5336" s="4">
        <v>39385</v>
      </c>
      <c r="E5336" s="6">
        <v>89.87</v>
      </c>
    </row>
    <row r="5337" spans="4:5" x14ac:dyDescent="0.25">
      <c r="D5337" s="4">
        <v>39386</v>
      </c>
      <c r="E5337" s="6">
        <v>89.87</v>
      </c>
    </row>
    <row r="5338" spans="4:5" x14ac:dyDescent="0.25">
      <c r="D5338" s="4">
        <v>39387</v>
      </c>
      <c r="E5338" s="6">
        <v>90.36</v>
      </c>
    </row>
    <row r="5339" spans="4:5" x14ac:dyDescent="0.25">
      <c r="D5339" s="4">
        <v>39388</v>
      </c>
      <c r="E5339" s="6">
        <v>92.11</v>
      </c>
    </row>
    <row r="5340" spans="4:5" x14ac:dyDescent="0.25">
      <c r="D5340" s="4">
        <v>39391</v>
      </c>
      <c r="E5340" s="6">
        <v>92.16</v>
      </c>
    </row>
    <row r="5341" spans="4:5" x14ac:dyDescent="0.25">
      <c r="D5341" s="4">
        <v>39392</v>
      </c>
      <c r="E5341" s="6">
        <v>93.99</v>
      </c>
    </row>
    <row r="5342" spans="4:5" x14ac:dyDescent="0.25">
      <c r="D5342" s="4">
        <v>39393</v>
      </c>
      <c r="E5342" s="6">
        <v>94.85</v>
      </c>
    </row>
    <row r="5343" spans="4:5" x14ac:dyDescent="0.25">
      <c r="D5343" s="4">
        <v>39394</v>
      </c>
      <c r="E5343" s="6">
        <v>94.4</v>
      </c>
    </row>
    <row r="5344" spans="4:5" x14ac:dyDescent="0.25">
      <c r="D5344" s="4">
        <v>39395</v>
      </c>
      <c r="E5344" s="6">
        <v>92.32</v>
      </c>
    </row>
    <row r="5345" spans="4:5" x14ac:dyDescent="0.25">
      <c r="D5345" s="4">
        <v>39398</v>
      </c>
      <c r="E5345" s="6">
        <v>91.56</v>
      </c>
    </row>
    <row r="5346" spans="4:5" x14ac:dyDescent="0.25">
      <c r="D5346" s="4">
        <v>39399</v>
      </c>
      <c r="E5346" s="6">
        <v>89.09</v>
      </c>
    </row>
    <row r="5347" spans="4:5" x14ac:dyDescent="0.25">
      <c r="D5347" s="4">
        <v>39400</v>
      </c>
      <c r="E5347" s="6">
        <v>90.73</v>
      </c>
    </row>
    <row r="5348" spans="4:5" x14ac:dyDescent="0.25">
      <c r="D5348" s="4">
        <v>39401</v>
      </c>
      <c r="E5348" s="6">
        <v>90.32</v>
      </c>
    </row>
    <row r="5349" spans="4:5" x14ac:dyDescent="0.25">
      <c r="D5349" s="4">
        <v>39402</v>
      </c>
      <c r="E5349" s="6">
        <v>91.99</v>
      </c>
    </row>
    <row r="5350" spans="4:5" x14ac:dyDescent="0.25">
      <c r="D5350" s="4">
        <v>39405</v>
      </c>
      <c r="E5350" s="6">
        <v>91.59</v>
      </c>
    </row>
    <row r="5351" spans="4:5" x14ac:dyDescent="0.25">
      <c r="D5351" s="4">
        <v>39406</v>
      </c>
      <c r="E5351" s="6">
        <v>94.13</v>
      </c>
    </row>
    <row r="5352" spans="4:5" x14ac:dyDescent="0.25">
      <c r="D5352" s="4">
        <v>39407</v>
      </c>
      <c r="E5352" s="6">
        <v>94.97</v>
      </c>
    </row>
    <row r="5353" spans="4:5" x14ac:dyDescent="0.25">
      <c r="D5353" s="4">
        <v>39408</v>
      </c>
      <c r="E5353" s="5"/>
    </row>
    <row r="5354" spans="4:5" x14ac:dyDescent="0.25">
      <c r="D5354" s="4">
        <v>39409</v>
      </c>
      <c r="E5354" s="6">
        <v>95.33</v>
      </c>
    </row>
    <row r="5355" spans="4:5" x14ac:dyDescent="0.25">
      <c r="D5355" s="4">
        <v>39412</v>
      </c>
      <c r="E5355" s="6">
        <v>94.88</v>
      </c>
    </row>
    <row r="5356" spans="4:5" x14ac:dyDescent="0.25">
      <c r="D5356" s="4">
        <v>39413</v>
      </c>
      <c r="E5356" s="6">
        <v>93.23</v>
      </c>
    </row>
    <row r="5357" spans="4:5" x14ac:dyDescent="0.25">
      <c r="D5357" s="4">
        <v>39414</v>
      </c>
      <c r="E5357" s="6">
        <v>91.64</v>
      </c>
    </row>
    <row r="5358" spans="4:5" x14ac:dyDescent="0.25">
      <c r="D5358" s="4">
        <v>39415</v>
      </c>
      <c r="E5358" s="6">
        <v>92.34</v>
      </c>
    </row>
    <row r="5359" spans="4:5" x14ac:dyDescent="0.25">
      <c r="D5359" s="4">
        <v>39416</v>
      </c>
      <c r="E5359" s="6">
        <v>88.71</v>
      </c>
    </row>
    <row r="5360" spans="4:5" x14ac:dyDescent="0.25">
      <c r="D5360" s="4">
        <v>39419</v>
      </c>
      <c r="E5360" s="6">
        <v>87.85</v>
      </c>
    </row>
    <row r="5361" spans="4:5" x14ac:dyDescent="0.25">
      <c r="D5361" s="4">
        <v>39420</v>
      </c>
      <c r="E5361" s="6">
        <v>89.97</v>
      </c>
    </row>
    <row r="5362" spans="4:5" x14ac:dyDescent="0.25">
      <c r="D5362" s="4">
        <v>39421</v>
      </c>
      <c r="E5362" s="6">
        <v>90.7</v>
      </c>
    </row>
    <row r="5363" spans="4:5" x14ac:dyDescent="0.25">
      <c r="D5363" s="4">
        <v>39422</v>
      </c>
      <c r="E5363" s="6">
        <v>88.46</v>
      </c>
    </row>
    <row r="5364" spans="4:5" x14ac:dyDescent="0.25">
      <c r="D5364" s="4">
        <v>39423</v>
      </c>
      <c r="E5364" s="6">
        <v>88.46</v>
      </c>
    </row>
    <row r="5365" spans="4:5" x14ac:dyDescent="0.25">
      <c r="D5365" s="4">
        <v>39426</v>
      </c>
      <c r="E5365" s="6">
        <v>87.33</v>
      </c>
    </row>
    <row r="5366" spans="4:5" x14ac:dyDescent="0.25">
      <c r="D5366" s="4">
        <v>39427</v>
      </c>
      <c r="E5366" s="6">
        <v>87.77</v>
      </c>
    </row>
    <row r="5367" spans="4:5" x14ac:dyDescent="0.25">
      <c r="D5367" s="4">
        <v>39428</v>
      </c>
      <c r="E5367" s="6">
        <v>91.69</v>
      </c>
    </row>
    <row r="5368" spans="4:5" x14ac:dyDescent="0.25">
      <c r="D5368" s="4">
        <v>39429</v>
      </c>
      <c r="E5368" s="6">
        <v>92.57</v>
      </c>
    </row>
    <row r="5369" spans="4:5" x14ac:dyDescent="0.25">
      <c r="D5369" s="4">
        <v>39430</v>
      </c>
      <c r="E5369" s="6">
        <v>91.86</v>
      </c>
    </row>
    <row r="5370" spans="4:5" x14ac:dyDescent="0.25">
      <c r="D5370" s="4">
        <v>39433</v>
      </c>
      <c r="E5370" s="6">
        <v>90.32</v>
      </c>
    </row>
    <row r="5371" spans="4:5" x14ac:dyDescent="0.25">
      <c r="D5371" s="4">
        <v>39434</v>
      </c>
      <c r="E5371" s="6">
        <v>90.71</v>
      </c>
    </row>
    <row r="5372" spans="4:5" x14ac:dyDescent="0.25">
      <c r="D5372" s="4">
        <v>39435</v>
      </c>
      <c r="E5372" s="6">
        <v>90.98</v>
      </c>
    </row>
    <row r="5373" spans="4:5" x14ac:dyDescent="0.25">
      <c r="D5373" s="4">
        <v>39436</v>
      </c>
      <c r="E5373" s="6">
        <v>91.06</v>
      </c>
    </row>
    <row r="5374" spans="4:5" x14ac:dyDescent="0.25">
      <c r="D5374" s="4">
        <v>39437</v>
      </c>
      <c r="E5374" s="6">
        <v>91.03</v>
      </c>
    </row>
    <row r="5375" spans="4:5" x14ac:dyDescent="0.25">
      <c r="D5375" s="4">
        <v>39440</v>
      </c>
      <c r="E5375" s="6">
        <v>91.59</v>
      </c>
    </row>
    <row r="5376" spans="4:5" x14ac:dyDescent="0.25">
      <c r="D5376" s="4">
        <v>39441</v>
      </c>
      <c r="E5376" s="5"/>
    </row>
    <row r="5377" spans="4:5" x14ac:dyDescent="0.25">
      <c r="D5377" s="4">
        <v>39442</v>
      </c>
      <c r="E5377" s="5"/>
    </row>
    <row r="5378" spans="4:5" x14ac:dyDescent="0.25">
      <c r="D5378" s="4">
        <v>39443</v>
      </c>
      <c r="E5378" s="6">
        <v>95.66</v>
      </c>
    </row>
    <row r="5379" spans="4:5" x14ac:dyDescent="0.25">
      <c r="D5379" s="4">
        <v>39444</v>
      </c>
      <c r="E5379" s="6">
        <v>95.92</v>
      </c>
    </row>
    <row r="5380" spans="4:5" x14ac:dyDescent="0.25">
      <c r="D5380" s="4">
        <v>39447</v>
      </c>
      <c r="E5380" s="6">
        <v>93.68</v>
      </c>
    </row>
    <row r="5381" spans="4:5" x14ac:dyDescent="0.25">
      <c r="D5381" s="4">
        <v>39448</v>
      </c>
      <c r="E5381" s="5"/>
    </row>
    <row r="5382" spans="4:5" x14ac:dyDescent="0.25">
      <c r="D5382" s="4">
        <v>39449</v>
      </c>
      <c r="E5382" s="6">
        <v>97.01</v>
      </c>
    </row>
    <row r="5383" spans="4:5" x14ac:dyDescent="0.25">
      <c r="D5383" s="4">
        <v>39450</v>
      </c>
      <c r="E5383" s="6">
        <v>98.45</v>
      </c>
    </row>
    <row r="5384" spans="4:5" x14ac:dyDescent="0.25">
      <c r="D5384" s="4">
        <v>39451</v>
      </c>
      <c r="E5384" s="6">
        <v>96.87</v>
      </c>
    </row>
    <row r="5385" spans="4:5" x14ac:dyDescent="0.25">
      <c r="D5385" s="4">
        <v>39454</v>
      </c>
      <c r="E5385" s="6">
        <v>94.19</v>
      </c>
    </row>
    <row r="5386" spans="4:5" x14ac:dyDescent="0.25">
      <c r="D5386" s="4">
        <v>39455</v>
      </c>
      <c r="E5386" s="6">
        <v>96.37</v>
      </c>
    </row>
    <row r="5387" spans="4:5" x14ac:dyDescent="0.25">
      <c r="D5387" s="4">
        <v>39456</v>
      </c>
      <c r="E5387" s="6">
        <v>96.76</v>
      </c>
    </row>
    <row r="5388" spans="4:5" x14ac:dyDescent="0.25">
      <c r="D5388" s="4">
        <v>39457</v>
      </c>
      <c r="E5388" s="6">
        <v>92.8</v>
      </c>
    </row>
    <row r="5389" spans="4:5" x14ac:dyDescent="0.25">
      <c r="D5389" s="4">
        <v>39458</v>
      </c>
      <c r="E5389" s="6">
        <v>91.86</v>
      </c>
    </row>
    <row r="5390" spans="4:5" x14ac:dyDescent="0.25">
      <c r="D5390" s="4">
        <v>39461</v>
      </c>
      <c r="E5390" s="6">
        <v>92.58</v>
      </c>
    </row>
    <row r="5391" spans="4:5" x14ac:dyDescent="0.25">
      <c r="D5391" s="4">
        <v>39462</v>
      </c>
      <c r="E5391" s="6">
        <v>90.87</v>
      </c>
    </row>
    <row r="5392" spans="4:5" x14ac:dyDescent="0.25">
      <c r="D5392" s="4">
        <v>39463</v>
      </c>
      <c r="E5392" s="6">
        <v>88.1</v>
      </c>
    </row>
    <row r="5393" spans="4:5" x14ac:dyDescent="0.25">
      <c r="D5393" s="4">
        <v>39464</v>
      </c>
      <c r="E5393" s="6">
        <v>88.96</v>
      </c>
    </row>
    <row r="5394" spans="4:5" x14ac:dyDescent="0.25">
      <c r="D5394" s="4">
        <v>39465</v>
      </c>
      <c r="E5394" s="6">
        <v>89.66</v>
      </c>
    </row>
    <row r="5395" spans="4:5" x14ac:dyDescent="0.25">
      <c r="D5395" s="4">
        <v>39468</v>
      </c>
      <c r="E5395" s="5"/>
    </row>
    <row r="5396" spans="4:5" x14ac:dyDescent="0.25">
      <c r="D5396" s="4">
        <v>39469</v>
      </c>
      <c r="E5396" s="6">
        <v>88.11</v>
      </c>
    </row>
    <row r="5397" spans="4:5" x14ac:dyDescent="0.25">
      <c r="D5397" s="4">
        <v>39470</v>
      </c>
      <c r="E5397" s="6">
        <v>87.06</v>
      </c>
    </row>
    <row r="5398" spans="4:5" x14ac:dyDescent="0.25">
      <c r="D5398" s="4">
        <v>39471</v>
      </c>
      <c r="E5398" s="6">
        <v>87.69</v>
      </c>
    </row>
    <row r="5399" spans="4:5" x14ac:dyDescent="0.25">
      <c r="D5399" s="4">
        <v>39472</v>
      </c>
      <c r="E5399" s="6">
        <v>90.96</v>
      </c>
    </row>
    <row r="5400" spans="4:5" x14ac:dyDescent="0.25">
      <c r="D5400" s="4">
        <v>39475</v>
      </c>
      <c r="E5400" s="6">
        <v>90.91</v>
      </c>
    </row>
    <row r="5401" spans="4:5" x14ac:dyDescent="0.25">
      <c r="D5401" s="4">
        <v>39476</v>
      </c>
      <c r="E5401" s="6">
        <v>92.49</v>
      </c>
    </row>
    <row r="5402" spans="4:5" x14ac:dyDescent="0.25">
      <c r="D5402" s="4">
        <v>39477</v>
      </c>
      <c r="E5402" s="6">
        <v>92.46</v>
      </c>
    </row>
    <row r="5403" spans="4:5" x14ac:dyDescent="0.25">
      <c r="D5403" s="4">
        <v>39478</v>
      </c>
      <c r="E5403" s="6">
        <v>91.58</v>
      </c>
    </row>
    <row r="5404" spans="4:5" x14ac:dyDescent="0.25">
      <c r="D5404" s="4">
        <v>39479</v>
      </c>
      <c r="E5404" s="6">
        <v>91.41</v>
      </c>
    </row>
    <row r="5405" spans="4:5" x14ac:dyDescent="0.25">
      <c r="D5405" s="4">
        <v>39482</v>
      </c>
      <c r="E5405" s="6">
        <v>91.09</v>
      </c>
    </row>
    <row r="5406" spans="4:5" x14ac:dyDescent="0.25">
      <c r="D5406" s="4">
        <v>39483</v>
      </c>
      <c r="E5406" s="6">
        <v>89.6</v>
      </c>
    </row>
    <row r="5407" spans="4:5" x14ac:dyDescent="0.25">
      <c r="D5407" s="4">
        <v>39484</v>
      </c>
      <c r="E5407" s="6">
        <v>88.73</v>
      </c>
    </row>
    <row r="5408" spans="4:5" x14ac:dyDescent="0.25">
      <c r="D5408" s="4">
        <v>39485</v>
      </c>
      <c r="E5408" s="6">
        <v>88.55</v>
      </c>
    </row>
    <row r="5409" spans="4:5" x14ac:dyDescent="0.25">
      <c r="D5409" s="4">
        <v>39486</v>
      </c>
      <c r="E5409" s="6">
        <v>91.45</v>
      </c>
    </row>
    <row r="5410" spans="4:5" x14ac:dyDescent="0.25">
      <c r="D5410" s="4">
        <v>39489</v>
      </c>
      <c r="E5410" s="6">
        <v>93.93</v>
      </c>
    </row>
    <row r="5411" spans="4:5" x14ac:dyDescent="0.25">
      <c r="D5411" s="4">
        <v>39490</v>
      </c>
      <c r="E5411" s="6">
        <v>94.28</v>
      </c>
    </row>
    <row r="5412" spans="4:5" x14ac:dyDescent="0.25">
      <c r="D5412" s="4">
        <v>39491</v>
      </c>
      <c r="E5412" s="6">
        <v>93.82</v>
      </c>
    </row>
    <row r="5413" spans="4:5" x14ac:dyDescent="0.25">
      <c r="D5413" s="4">
        <v>39492</v>
      </c>
      <c r="E5413" s="6">
        <v>95.92</v>
      </c>
    </row>
    <row r="5414" spans="4:5" x14ac:dyDescent="0.25">
      <c r="D5414" s="4">
        <v>39493</v>
      </c>
      <c r="E5414" s="6">
        <v>96.96</v>
      </c>
    </row>
    <row r="5415" spans="4:5" x14ac:dyDescent="0.25">
      <c r="D5415" s="4">
        <v>39496</v>
      </c>
      <c r="E5415" s="5"/>
    </row>
    <row r="5416" spans="4:5" x14ac:dyDescent="0.25">
      <c r="D5416" s="4">
        <v>39497</v>
      </c>
      <c r="E5416" s="6">
        <v>97.03</v>
      </c>
    </row>
    <row r="5417" spans="4:5" x14ac:dyDescent="0.25">
      <c r="D5417" s="4">
        <v>39498</v>
      </c>
      <c r="E5417" s="6">
        <v>97.88</v>
      </c>
    </row>
    <row r="5418" spans="4:5" x14ac:dyDescent="0.25">
      <c r="D5418" s="4">
        <v>39499</v>
      </c>
      <c r="E5418" s="6">
        <v>97.52</v>
      </c>
    </row>
    <row r="5419" spans="4:5" x14ac:dyDescent="0.25">
      <c r="D5419" s="4">
        <v>39500</v>
      </c>
      <c r="E5419" s="6">
        <v>96.07</v>
      </c>
    </row>
    <row r="5420" spans="4:5" x14ac:dyDescent="0.25">
      <c r="D5420" s="4">
        <v>39503</v>
      </c>
      <c r="E5420" s="6">
        <v>97.43</v>
      </c>
    </row>
    <row r="5421" spans="4:5" x14ac:dyDescent="0.25">
      <c r="D5421" s="4">
        <v>39504</v>
      </c>
      <c r="E5421" s="6">
        <v>99.05</v>
      </c>
    </row>
    <row r="5422" spans="4:5" x14ac:dyDescent="0.25">
      <c r="D5422" s="4">
        <v>39505</v>
      </c>
      <c r="E5422" s="6">
        <v>98.28</v>
      </c>
    </row>
    <row r="5423" spans="4:5" x14ac:dyDescent="0.25">
      <c r="D5423" s="4">
        <v>39506</v>
      </c>
      <c r="E5423" s="6">
        <v>99.83</v>
      </c>
    </row>
    <row r="5424" spans="4:5" x14ac:dyDescent="0.25">
      <c r="D5424" s="4">
        <v>39507</v>
      </c>
      <c r="E5424" s="6">
        <v>100.9</v>
      </c>
    </row>
    <row r="5425" spans="4:5" x14ac:dyDescent="0.25">
      <c r="D5425" s="4">
        <v>39510</v>
      </c>
      <c r="E5425" s="6">
        <v>101.83</v>
      </c>
    </row>
    <row r="5426" spans="4:5" x14ac:dyDescent="0.25">
      <c r="D5426" s="4">
        <v>39511</v>
      </c>
      <c r="E5426" s="6">
        <v>98.6</v>
      </c>
    </row>
    <row r="5427" spans="4:5" x14ac:dyDescent="0.25">
      <c r="D5427" s="4">
        <v>39512</v>
      </c>
      <c r="E5427" s="6">
        <v>100.95</v>
      </c>
    </row>
    <row r="5428" spans="4:5" x14ac:dyDescent="0.25">
      <c r="D5428" s="4">
        <v>39513</v>
      </c>
      <c r="E5428" s="6">
        <v>103.47</v>
      </c>
    </row>
    <row r="5429" spans="4:5" x14ac:dyDescent="0.25">
      <c r="D5429" s="4">
        <v>39514</v>
      </c>
      <c r="E5429" s="6">
        <v>104.66</v>
      </c>
    </row>
    <row r="5430" spans="4:5" x14ac:dyDescent="0.25">
      <c r="D5430" s="4">
        <v>39517</v>
      </c>
      <c r="E5430" s="6">
        <v>105.33</v>
      </c>
    </row>
    <row r="5431" spans="4:5" x14ac:dyDescent="0.25">
      <c r="D5431" s="4">
        <v>39518</v>
      </c>
      <c r="E5431" s="6">
        <v>106.78</v>
      </c>
    </row>
    <row r="5432" spans="4:5" x14ac:dyDescent="0.25">
      <c r="D5432" s="4">
        <v>39519</v>
      </c>
      <c r="E5432" s="6">
        <v>107.99</v>
      </c>
    </row>
    <row r="5433" spans="4:5" x14ac:dyDescent="0.25">
      <c r="D5433" s="4">
        <v>39520</v>
      </c>
      <c r="E5433" s="6">
        <v>109.18</v>
      </c>
    </row>
    <row r="5434" spans="4:5" x14ac:dyDescent="0.25">
      <c r="D5434" s="4">
        <v>39521</v>
      </c>
      <c r="E5434" s="6">
        <v>109.16</v>
      </c>
    </row>
    <row r="5435" spans="4:5" x14ac:dyDescent="0.25">
      <c r="D5435" s="4">
        <v>39524</v>
      </c>
      <c r="E5435" s="6">
        <v>104.41</v>
      </c>
    </row>
    <row r="5436" spans="4:5" x14ac:dyDescent="0.25">
      <c r="D5436" s="4">
        <v>39525</v>
      </c>
      <c r="E5436" s="6">
        <v>105.35</v>
      </c>
    </row>
    <row r="5437" spans="4:5" x14ac:dyDescent="0.25">
      <c r="D5437" s="4">
        <v>39526</v>
      </c>
      <c r="E5437" s="6">
        <v>102.65</v>
      </c>
    </row>
    <row r="5438" spans="4:5" x14ac:dyDescent="0.25">
      <c r="D5438" s="4">
        <v>39527</v>
      </c>
      <c r="E5438" s="6">
        <v>99.78</v>
      </c>
    </row>
    <row r="5439" spans="4:5" x14ac:dyDescent="0.25">
      <c r="D5439" s="4">
        <v>39528</v>
      </c>
      <c r="E5439" s="5"/>
    </row>
    <row r="5440" spans="4:5" x14ac:dyDescent="0.25">
      <c r="D5440" s="4">
        <v>39531</v>
      </c>
      <c r="E5440" s="6">
        <v>100.93</v>
      </c>
    </row>
    <row r="5441" spans="4:5" x14ac:dyDescent="0.25">
      <c r="D5441" s="4">
        <v>39532</v>
      </c>
      <c r="E5441" s="6">
        <v>99.91</v>
      </c>
    </row>
    <row r="5442" spans="4:5" x14ac:dyDescent="0.25">
      <c r="D5442" s="4">
        <v>39533</v>
      </c>
      <c r="E5442" s="6">
        <v>102.83</v>
      </c>
    </row>
    <row r="5443" spans="4:5" x14ac:dyDescent="0.25">
      <c r="D5443" s="4">
        <v>39534</v>
      </c>
      <c r="E5443" s="6">
        <v>103.89</v>
      </c>
    </row>
    <row r="5444" spans="4:5" x14ac:dyDescent="0.25">
      <c r="D5444" s="4">
        <v>39535</v>
      </c>
      <c r="E5444" s="6">
        <v>102.68</v>
      </c>
    </row>
    <row r="5445" spans="4:5" x14ac:dyDescent="0.25">
      <c r="D5445" s="4">
        <v>39538</v>
      </c>
      <c r="E5445" s="6">
        <v>102.33</v>
      </c>
    </row>
    <row r="5446" spans="4:5" x14ac:dyDescent="0.25">
      <c r="D5446" s="4">
        <v>39539</v>
      </c>
      <c r="E5446" s="6">
        <v>98.69</v>
      </c>
    </row>
    <row r="5447" spans="4:5" x14ac:dyDescent="0.25">
      <c r="D5447" s="4">
        <v>39540</v>
      </c>
      <c r="E5447" s="6">
        <v>98.85</v>
      </c>
    </row>
    <row r="5448" spans="4:5" x14ac:dyDescent="0.25">
      <c r="D5448" s="4">
        <v>39541</v>
      </c>
      <c r="E5448" s="6">
        <v>102.31</v>
      </c>
    </row>
    <row r="5449" spans="4:5" x14ac:dyDescent="0.25">
      <c r="D5449" s="4">
        <v>39542</v>
      </c>
      <c r="E5449" s="6">
        <v>102.21</v>
      </c>
    </row>
    <row r="5450" spans="4:5" x14ac:dyDescent="0.25">
      <c r="D5450" s="4">
        <v>39545</v>
      </c>
      <c r="E5450" s="6">
        <v>105.98</v>
      </c>
    </row>
    <row r="5451" spans="4:5" x14ac:dyDescent="0.25">
      <c r="D5451" s="4">
        <v>39546</v>
      </c>
      <c r="E5451" s="6">
        <v>105.05</v>
      </c>
    </row>
    <row r="5452" spans="4:5" x14ac:dyDescent="0.25">
      <c r="D5452" s="4">
        <v>39547</v>
      </c>
      <c r="E5452" s="6">
        <v>107.46</v>
      </c>
    </row>
    <row r="5453" spans="4:5" x14ac:dyDescent="0.25">
      <c r="D5453" s="4">
        <v>39548</v>
      </c>
      <c r="E5453" s="6">
        <v>107.37</v>
      </c>
    </row>
    <row r="5454" spans="4:5" x14ac:dyDescent="0.25">
      <c r="D5454" s="4">
        <v>39549</v>
      </c>
      <c r="E5454" s="6">
        <v>107.15</v>
      </c>
    </row>
    <row r="5455" spans="4:5" x14ac:dyDescent="0.25">
      <c r="D5455" s="4">
        <v>39552</v>
      </c>
      <c r="E5455" s="6">
        <v>108.32</v>
      </c>
    </row>
    <row r="5456" spans="4:5" x14ac:dyDescent="0.25">
      <c r="D5456" s="4">
        <v>39553</v>
      </c>
      <c r="E5456" s="6">
        <v>110.84</v>
      </c>
    </row>
    <row r="5457" spans="4:5" x14ac:dyDescent="0.25">
      <c r="D5457" s="4">
        <v>39554</v>
      </c>
      <c r="E5457" s="6">
        <v>110.95</v>
      </c>
    </row>
    <row r="5458" spans="4:5" x14ac:dyDescent="0.25">
      <c r="D5458" s="4">
        <v>39555</v>
      </c>
      <c r="E5458" s="6">
        <v>111.34</v>
      </c>
    </row>
    <row r="5459" spans="4:5" x14ac:dyDescent="0.25">
      <c r="D5459" s="4">
        <v>39556</v>
      </c>
      <c r="E5459" s="6">
        <v>110.67</v>
      </c>
    </row>
    <row r="5460" spans="4:5" x14ac:dyDescent="0.25">
      <c r="D5460" s="4">
        <v>39559</v>
      </c>
      <c r="E5460" s="6">
        <v>111.35</v>
      </c>
    </row>
    <row r="5461" spans="4:5" x14ac:dyDescent="0.25">
      <c r="D5461" s="4">
        <v>39560</v>
      </c>
      <c r="E5461" s="6">
        <v>113.54</v>
      </c>
    </row>
    <row r="5462" spans="4:5" x14ac:dyDescent="0.25">
      <c r="D5462" s="4">
        <v>39561</v>
      </c>
      <c r="E5462" s="6">
        <v>115.34</v>
      </c>
    </row>
    <row r="5463" spans="4:5" x14ac:dyDescent="0.25">
      <c r="D5463" s="4">
        <v>39562</v>
      </c>
      <c r="E5463" s="6">
        <v>114.85</v>
      </c>
    </row>
    <row r="5464" spans="4:5" x14ac:dyDescent="0.25">
      <c r="D5464" s="4">
        <v>39563</v>
      </c>
      <c r="E5464" s="6">
        <v>116.62</v>
      </c>
    </row>
    <row r="5465" spans="4:5" x14ac:dyDescent="0.25">
      <c r="D5465" s="4">
        <v>39566</v>
      </c>
      <c r="E5465" s="6">
        <v>115.7</v>
      </c>
    </row>
    <row r="5466" spans="4:5" x14ac:dyDescent="0.25">
      <c r="D5466" s="4">
        <v>39567</v>
      </c>
      <c r="E5466" s="6">
        <v>113.86</v>
      </c>
    </row>
    <row r="5467" spans="4:5" x14ac:dyDescent="0.25">
      <c r="D5467" s="4">
        <v>39568</v>
      </c>
      <c r="E5467" s="6">
        <v>111.12</v>
      </c>
    </row>
    <row r="5468" spans="4:5" x14ac:dyDescent="0.25">
      <c r="D5468" s="4">
        <v>39569</v>
      </c>
      <c r="E5468" s="6">
        <v>107.3</v>
      </c>
    </row>
    <row r="5469" spans="4:5" x14ac:dyDescent="0.25">
      <c r="D5469" s="4">
        <v>39570</v>
      </c>
      <c r="E5469" s="6">
        <v>111.92</v>
      </c>
    </row>
    <row r="5470" spans="4:5" x14ac:dyDescent="0.25">
      <c r="D5470" s="4">
        <v>39573</v>
      </c>
      <c r="E5470" s="6">
        <v>115.68</v>
      </c>
    </row>
    <row r="5471" spans="4:5" x14ac:dyDescent="0.25">
      <c r="D5471" s="4">
        <v>39574</v>
      </c>
      <c r="E5471" s="6">
        <v>119.88</v>
      </c>
    </row>
    <row r="5472" spans="4:5" x14ac:dyDescent="0.25">
      <c r="D5472" s="4">
        <v>39575</v>
      </c>
      <c r="E5472" s="6">
        <v>120.27</v>
      </c>
    </row>
    <row r="5473" spans="4:5" x14ac:dyDescent="0.25">
      <c r="D5473" s="4">
        <v>39576</v>
      </c>
      <c r="E5473" s="6">
        <v>119.85</v>
      </c>
    </row>
    <row r="5474" spans="4:5" x14ac:dyDescent="0.25">
      <c r="D5474" s="4">
        <v>39577</v>
      </c>
      <c r="E5474" s="6">
        <v>123.54</v>
      </c>
    </row>
    <row r="5475" spans="4:5" x14ac:dyDescent="0.25">
      <c r="D5475" s="4">
        <v>39580</v>
      </c>
      <c r="E5475" s="6">
        <v>122.89</v>
      </c>
    </row>
    <row r="5476" spans="4:5" x14ac:dyDescent="0.25">
      <c r="D5476" s="4">
        <v>39581</v>
      </c>
      <c r="E5476" s="6">
        <v>123.11</v>
      </c>
    </row>
    <row r="5477" spans="4:5" x14ac:dyDescent="0.25">
      <c r="D5477" s="4">
        <v>39582</v>
      </c>
      <c r="E5477" s="6">
        <v>121.18</v>
      </c>
    </row>
    <row r="5478" spans="4:5" x14ac:dyDescent="0.25">
      <c r="D5478" s="4">
        <v>39583</v>
      </c>
      <c r="E5478" s="6">
        <v>122.76</v>
      </c>
    </row>
    <row r="5479" spans="4:5" x14ac:dyDescent="0.25">
      <c r="D5479" s="4">
        <v>39584</v>
      </c>
      <c r="E5479" s="6">
        <v>122.98</v>
      </c>
    </row>
    <row r="5480" spans="4:5" x14ac:dyDescent="0.25">
      <c r="D5480" s="4">
        <v>39587</v>
      </c>
      <c r="E5480" s="6">
        <v>122.19</v>
      </c>
    </row>
    <row r="5481" spans="4:5" x14ac:dyDescent="0.25">
      <c r="D5481" s="4">
        <v>39588</v>
      </c>
      <c r="E5481" s="6">
        <v>124.12</v>
      </c>
    </row>
    <row r="5482" spans="4:5" x14ac:dyDescent="0.25">
      <c r="D5482" s="4">
        <v>39589</v>
      </c>
      <c r="E5482" s="6">
        <v>127.28</v>
      </c>
    </row>
    <row r="5483" spans="4:5" x14ac:dyDescent="0.25">
      <c r="D5483" s="4">
        <v>39590</v>
      </c>
      <c r="E5483" s="6">
        <v>129.04</v>
      </c>
    </row>
    <row r="5484" spans="4:5" x14ac:dyDescent="0.25">
      <c r="D5484" s="4">
        <v>39591</v>
      </c>
      <c r="E5484" s="6">
        <v>129.72</v>
      </c>
    </row>
    <row r="5485" spans="4:5" x14ac:dyDescent="0.25">
      <c r="D5485" s="4">
        <v>39594</v>
      </c>
      <c r="E5485" s="5"/>
    </row>
    <row r="5486" spans="4:5" x14ac:dyDescent="0.25">
      <c r="D5486" s="4">
        <v>39595</v>
      </c>
      <c r="E5486" s="6">
        <v>128.91999999999999</v>
      </c>
    </row>
    <row r="5487" spans="4:5" x14ac:dyDescent="0.25">
      <c r="D5487" s="4">
        <v>39596</v>
      </c>
      <c r="E5487" s="6">
        <v>128.93</v>
      </c>
    </row>
    <row r="5488" spans="4:5" x14ac:dyDescent="0.25">
      <c r="D5488" s="4">
        <v>39597</v>
      </c>
      <c r="E5488" s="6">
        <v>129.33000000000001</v>
      </c>
    </row>
    <row r="5489" spans="4:5" x14ac:dyDescent="0.25">
      <c r="D5489" s="4">
        <v>39598</v>
      </c>
      <c r="E5489" s="6">
        <v>127.85</v>
      </c>
    </row>
    <row r="5490" spans="4:5" x14ac:dyDescent="0.25">
      <c r="D5490" s="4">
        <v>39601</v>
      </c>
      <c r="E5490" s="6">
        <v>128.5</v>
      </c>
    </row>
    <row r="5491" spans="4:5" x14ac:dyDescent="0.25">
      <c r="D5491" s="4">
        <v>39602</v>
      </c>
      <c r="E5491" s="6">
        <v>126.28</v>
      </c>
    </row>
    <row r="5492" spans="4:5" x14ac:dyDescent="0.25">
      <c r="D5492" s="4">
        <v>39603</v>
      </c>
      <c r="E5492" s="6">
        <v>121.72</v>
      </c>
    </row>
    <row r="5493" spans="4:5" x14ac:dyDescent="0.25">
      <c r="D5493" s="4">
        <v>39604</v>
      </c>
      <c r="E5493" s="6">
        <v>122.36</v>
      </c>
    </row>
    <row r="5494" spans="4:5" x14ac:dyDescent="0.25">
      <c r="D5494" s="4">
        <v>39605</v>
      </c>
      <c r="E5494" s="6">
        <v>132.81</v>
      </c>
    </row>
    <row r="5495" spans="4:5" x14ac:dyDescent="0.25">
      <c r="D5495" s="4">
        <v>39608</v>
      </c>
      <c r="E5495" s="6">
        <v>134.43</v>
      </c>
    </row>
    <row r="5496" spans="4:5" x14ac:dyDescent="0.25">
      <c r="D5496" s="4">
        <v>39609</v>
      </c>
      <c r="E5496" s="6">
        <v>135.24</v>
      </c>
    </row>
    <row r="5497" spans="4:5" x14ac:dyDescent="0.25">
      <c r="D5497" s="4">
        <v>39610</v>
      </c>
      <c r="E5497" s="6">
        <v>134.52000000000001</v>
      </c>
    </row>
    <row r="5498" spans="4:5" x14ac:dyDescent="0.25">
      <c r="D5498" s="4">
        <v>39611</v>
      </c>
      <c r="E5498" s="6">
        <v>132.11000000000001</v>
      </c>
    </row>
    <row r="5499" spans="4:5" x14ac:dyDescent="0.25">
      <c r="D5499" s="4">
        <v>39612</v>
      </c>
      <c r="E5499" s="6">
        <v>134.29</v>
      </c>
    </row>
    <row r="5500" spans="4:5" x14ac:dyDescent="0.25">
      <c r="D5500" s="4">
        <v>39615</v>
      </c>
      <c r="E5500" s="6">
        <v>133.9</v>
      </c>
    </row>
    <row r="5501" spans="4:5" x14ac:dyDescent="0.25">
      <c r="D5501" s="4">
        <v>39616</v>
      </c>
      <c r="E5501" s="6">
        <v>131.27000000000001</v>
      </c>
    </row>
    <row r="5502" spans="4:5" x14ac:dyDescent="0.25">
      <c r="D5502" s="4">
        <v>39617</v>
      </c>
      <c r="E5502" s="6">
        <v>129.12</v>
      </c>
    </row>
    <row r="5503" spans="4:5" x14ac:dyDescent="0.25">
      <c r="D5503" s="4">
        <v>39618</v>
      </c>
      <c r="E5503" s="6">
        <v>131.84</v>
      </c>
    </row>
    <row r="5504" spans="4:5" x14ac:dyDescent="0.25">
      <c r="D5504" s="4">
        <v>39619</v>
      </c>
      <c r="E5504" s="6">
        <v>134.28</v>
      </c>
    </row>
    <row r="5505" spans="4:5" x14ac:dyDescent="0.25">
      <c r="D5505" s="4">
        <v>39622</v>
      </c>
      <c r="E5505" s="6">
        <v>134.54</v>
      </c>
    </row>
    <row r="5506" spans="4:5" x14ac:dyDescent="0.25">
      <c r="D5506" s="4">
        <v>39623</v>
      </c>
      <c r="E5506" s="6">
        <v>135.37</v>
      </c>
    </row>
    <row r="5507" spans="4:5" x14ac:dyDescent="0.25">
      <c r="D5507" s="4">
        <v>39624</v>
      </c>
      <c r="E5507" s="6">
        <v>131.59</v>
      </c>
    </row>
    <row r="5508" spans="4:5" x14ac:dyDescent="0.25">
      <c r="D5508" s="4">
        <v>39625</v>
      </c>
      <c r="E5508" s="6">
        <v>136.82</v>
      </c>
    </row>
    <row r="5509" spans="4:5" x14ac:dyDescent="0.25">
      <c r="D5509" s="4">
        <v>39626</v>
      </c>
      <c r="E5509" s="6">
        <v>139.38</v>
      </c>
    </row>
    <row r="5510" spans="4:5" x14ac:dyDescent="0.25">
      <c r="D5510" s="4">
        <v>39629</v>
      </c>
      <c r="E5510" s="6">
        <v>138.4</v>
      </c>
    </row>
    <row r="5511" spans="4:5" x14ac:dyDescent="0.25">
      <c r="D5511" s="4">
        <v>39630</v>
      </c>
      <c r="E5511" s="6">
        <v>140.66999999999999</v>
      </c>
    </row>
    <row r="5512" spans="4:5" x14ac:dyDescent="0.25">
      <c r="D5512" s="4">
        <v>39631</v>
      </c>
      <c r="E5512" s="6">
        <v>141.24</v>
      </c>
    </row>
    <row r="5513" spans="4:5" x14ac:dyDescent="0.25">
      <c r="D5513" s="4">
        <v>39632</v>
      </c>
      <c r="E5513" s="6">
        <v>143.94999999999999</v>
      </c>
    </row>
    <row r="5514" spans="4:5" x14ac:dyDescent="0.25">
      <c r="D5514" s="4">
        <v>39633</v>
      </c>
      <c r="E5514" s="5"/>
    </row>
    <row r="5515" spans="4:5" x14ac:dyDescent="0.25">
      <c r="D5515" s="4">
        <v>39636</v>
      </c>
      <c r="E5515" s="6">
        <v>139.62</v>
      </c>
    </row>
    <row r="5516" spans="4:5" x14ac:dyDescent="0.25">
      <c r="D5516" s="4">
        <v>39637</v>
      </c>
      <c r="E5516" s="6">
        <v>134.15</v>
      </c>
    </row>
    <row r="5517" spans="4:5" x14ac:dyDescent="0.25">
      <c r="D5517" s="4">
        <v>39638</v>
      </c>
      <c r="E5517" s="6">
        <v>133.91</v>
      </c>
    </row>
    <row r="5518" spans="4:5" x14ac:dyDescent="0.25">
      <c r="D5518" s="4">
        <v>39639</v>
      </c>
      <c r="E5518" s="6">
        <v>135.81</v>
      </c>
    </row>
    <row r="5519" spans="4:5" x14ac:dyDescent="0.25">
      <c r="D5519" s="4">
        <v>39640</v>
      </c>
      <c r="E5519" s="6">
        <v>143.68</v>
      </c>
    </row>
    <row r="5520" spans="4:5" x14ac:dyDescent="0.25">
      <c r="D5520" s="4">
        <v>39643</v>
      </c>
      <c r="E5520" s="6">
        <v>142.43</v>
      </c>
    </row>
    <row r="5521" spans="4:5" x14ac:dyDescent="0.25">
      <c r="D5521" s="4">
        <v>39644</v>
      </c>
      <c r="E5521" s="6">
        <v>136.02000000000001</v>
      </c>
    </row>
    <row r="5522" spans="4:5" x14ac:dyDescent="0.25">
      <c r="D5522" s="4">
        <v>39645</v>
      </c>
      <c r="E5522" s="6">
        <v>133.31</v>
      </c>
    </row>
    <row r="5523" spans="4:5" x14ac:dyDescent="0.25">
      <c r="D5523" s="4">
        <v>39646</v>
      </c>
      <c r="E5523" s="6">
        <v>134.16</v>
      </c>
    </row>
    <row r="5524" spans="4:5" x14ac:dyDescent="0.25">
      <c r="D5524" s="4">
        <v>39647</v>
      </c>
      <c r="E5524" s="6">
        <v>129.34</v>
      </c>
    </row>
    <row r="5525" spans="4:5" x14ac:dyDescent="0.25">
      <c r="D5525" s="4">
        <v>39650</v>
      </c>
      <c r="E5525" s="6">
        <v>129.34</v>
      </c>
    </row>
    <row r="5526" spans="4:5" x14ac:dyDescent="0.25">
      <c r="D5526" s="4">
        <v>39651</v>
      </c>
      <c r="E5526" s="6">
        <v>127.18</v>
      </c>
    </row>
    <row r="5527" spans="4:5" x14ac:dyDescent="0.25">
      <c r="D5527" s="4">
        <v>39652</v>
      </c>
      <c r="E5527" s="6">
        <v>126.86</v>
      </c>
    </row>
    <row r="5528" spans="4:5" x14ac:dyDescent="0.25">
      <c r="D5528" s="4">
        <v>39653</v>
      </c>
      <c r="E5528" s="6">
        <v>125.43</v>
      </c>
    </row>
    <row r="5529" spans="4:5" x14ac:dyDescent="0.25">
      <c r="D5529" s="4">
        <v>39654</v>
      </c>
      <c r="E5529" s="6">
        <v>124.7</v>
      </c>
    </row>
    <row r="5530" spans="4:5" x14ac:dyDescent="0.25">
      <c r="D5530" s="4">
        <v>39657</v>
      </c>
      <c r="E5530" s="6">
        <v>125.67</v>
      </c>
    </row>
    <row r="5531" spans="4:5" x14ac:dyDescent="0.25">
      <c r="D5531" s="4">
        <v>39658</v>
      </c>
      <c r="E5531" s="6">
        <v>125.77</v>
      </c>
    </row>
    <row r="5532" spans="4:5" x14ac:dyDescent="0.25">
      <c r="D5532" s="4">
        <v>39659</v>
      </c>
      <c r="E5532" s="6">
        <v>122.46</v>
      </c>
    </row>
    <row r="5533" spans="4:5" x14ac:dyDescent="0.25">
      <c r="D5533" s="4">
        <v>39660</v>
      </c>
      <c r="E5533" s="6">
        <v>124.1</v>
      </c>
    </row>
    <row r="5534" spans="4:5" x14ac:dyDescent="0.25">
      <c r="D5534" s="4">
        <v>39661</v>
      </c>
      <c r="E5534" s="6">
        <v>124.16</v>
      </c>
    </row>
    <row r="5535" spans="4:5" x14ac:dyDescent="0.25">
      <c r="D5535" s="4">
        <v>39664</v>
      </c>
      <c r="E5535" s="6">
        <v>121.87</v>
      </c>
    </row>
    <row r="5536" spans="4:5" x14ac:dyDescent="0.25">
      <c r="D5536" s="4">
        <v>39665</v>
      </c>
      <c r="E5536" s="6">
        <v>116.5</v>
      </c>
    </row>
    <row r="5537" spans="4:5" x14ac:dyDescent="0.25">
      <c r="D5537" s="4">
        <v>39666</v>
      </c>
      <c r="E5537" s="6">
        <v>114.47</v>
      </c>
    </row>
    <row r="5538" spans="4:5" x14ac:dyDescent="0.25">
      <c r="D5538" s="4">
        <v>39667</v>
      </c>
      <c r="E5538" s="6">
        <v>116.94</v>
      </c>
    </row>
    <row r="5539" spans="4:5" x14ac:dyDescent="0.25">
      <c r="D5539" s="4">
        <v>39668</v>
      </c>
      <c r="E5539" s="6">
        <v>113.03</v>
      </c>
    </row>
    <row r="5540" spans="4:5" x14ac:dyDescent="0.25">
      <c r="D5540" s="4">
        <v>39671</v>
      </c>
      <c r="E5540" s="6">
        <v>110.54</v>
      </c>
    </row>
    <row r="5541" spans="4:5" x14ac:dyDescent="0.25">
      <c r="D5541" s="4">
        <v>39672</v>
      </c>
      <c r="E5541" s="6">
        <v>108.98</v>
      </c>
    </row>
    <row r="5542" spans="4:5" x14ac:dyDescent="0.25">
      <c r="D5542" s="4">
        <v>39673</v>
      </c>
      <c r="E5542" s="6">
        <v>110.68</v>
      </c>
    </row>
    <row r="5543" spans="4:5" x14ac:dyDescent="0.25">
      <c r="D5543" s="4">
        <v>39674</v>
      </c>
      <c r="E5543" s="6">
        <v>111.82</v>
      </c>
    </row>
    <row r="5544" spans="4:5" x14ac:dyDescent="0.25">
      <c r="D5544" s="4">
        <v>39675</v>
      </c>
      <c r="E5544" s="6">
        <v>108.8</v>
      </c>
    </row>
    <row r="5545" spans="4:5" x14ac:dyDescent="0.25">
      <c r="D5545" s="4">
        <v>39678</v>
      </c>
      <c r="E5545" s="6">
        <v>109.33</v>
      </c>
    </row>
    <row r="5546" spans="4:5" x14ac:dyDescent="0.25">
      <c r="D5546" s="4">
        <v>39679</v>
      </c>
      <c r="E5546" s="6">
        <v>109.02</v>
      </c>
    </row>
    <row r="5547" spans="4:5" x14ac:dyDescent="0.25">
      <c r="D5547" s="4">
        <v>39680</v>
      </c>
      <c r="E5547" s="6">
        <v>108.72</v>
      </c>
    </row>
    <row r="5548" spans="4:5" x14ac:dyDescent="0.25">
      <c r="D5548" s="4">
        <v>39681</v>
      </c>
      <c r="E5548" s="6">
        <v>117.24</v>
      </c>
    </row>
    <row r="5549" spans="4:5" x14ac:dyDescent="0.25">
      <c r="D5549" s="4">
        <v>39682</v>
      </c>
      <c r="E5549" s="6">
        <v>113.99</v>
      </c>
    </row>
    <row r="5550" spans="4:5" x14ac:dyDescent="0.25">
      <c r="D5550" s="4">
        <v>39685</v>
      </c>
      <c r="E5550" s="6">
        <v>109.74</v>
      </c>
    </row>
    <row r="5551" spans="4:5" x14ac:dyDescent="0.25">
      <c r="D5551" s="4">
        <v>39686</v>
      </c>
      <c r="E5551" s="6">
        <v>112.2</v>
      </c>
    </row>
    <row r="5552" spans="4:5" x14ac:dyDescent="0.25">
      <c r="D5552" s="4">
        <v>39687</v>
      </c>
      <c r="E5552" s="6">
        <v>113.05</v>
      </c>
    </row>
    <row r="5553" spans="4:5" x14ac:dyDescent="0.25">
      <c r="D5553" s="4">
        <v>39688</v>
      </c>
      <c r="E5553" s="6">
        <v>113.54</v>
      </c>
    </row>
    <row r="5554" spans="4:5" x14ac:dyDescent="0.25">
      <c r="D5554" s="4">
        <v>39689</v>
      </c>
      <c r="E5554" s="6">
        <v>113.49</v>
      </c>
    </row>
    <row r="5555" spans="4:5" x14ac:dyDescent="0.25">
      <c r="D5555" s="4">
        <v>39692</v>
      </c>
      <c r="E5555" s="5"/>
    </row>
    <row r="5556" spans="4:5" x14ac:dyDescent="0.25">
      <c r="D5556" s="4">
        <v>39693</v>
      </c>
      <c r="E5556" s="6">
        <v>104.94</v>
      </c>
    </row>
    <row r="5557" spans="4:5" x14ac:dyDescent="0.25">
      <c r="D5557" s="4">
        <v>39694</v>
      </c>
      <c r="E5557" s="6">
        <v>103.88</v>
      </c>
    </row>
    <row r="5558" spans="4:5" x14ac:dyDescent="0.25">
      <c r="D5558" s="4">
        <v>39695</v>
      </c>
      <c r="E5558" s="6">
        <v>103.41</v>
      </c>
    </row>
    <row r="5559" spans="4:5" x14ac:dyDescent="0.25">
      <c r="D5559" s="4">
        <v>39696</v>
      </c>
      <c r="E5559" s="6">
        <v>102.51</v>
      </c>
    </row>
    <row r="5560" spans="4:5" x14ac:dyDescent="0.25">
      <c r="D5560" s="4">
        <v>39699</v>
      </c>
      <c r="E5560" s="6">
        <v>101.08</v>
      </c>
    </row>
    <row r="5561" spans="4:5" x14ac:dyDescent="0.25">
      <c r="D5561" s="4">
        <v>39700</v>
      </c>
      <c r="E5561" s="6">
        <v>98.94</v>
      </c>
    </row>
    <row r="5562" spans="4:5" x14ac:dyDescent="0.25">
      <c r="D5562" s="4">
        <v>39701</v>
      </c>
      <c r="E5562" s="6">
        <v>96</v>
      </c>
    </row>
    <row r="5563" spans="4:5" x14ac:dyDescent="0.25">
      <c r="D5563" s="4">
        <v>39702</v>
      </c>
      <c r="E5563" s="6">
        <v>96.01</v>
      </c>
    </row>
    <row r="5564" spans="4:5" x14ac:dyDescent="0.25">
      <c r="D5564" s="4">
        <v>39703</v>
      </c>
      <c r="E5564" s="6">
        <v>94.37</v>
      </c>
    </row>
    <row r="5565" spans="4:5" x14ac:dyDescent="0.25">
      <c r="D5565" s="4">
        <v>39706</v>
      </c>
      <c r="E5565" s="6">
        <v>90.45</v>
      </c>
    </row>
    <row r="5566" spans="4:5" x14ac:dyDescent="0.25">
      <c r="D5566" s="4">
        <v>39707</v>
      </c>
      <c r="E5566" s="6">
        <v>85.85</v>
      </c>
    </row>
    <row r="5567" spans="4:5" x14ac:dyDescent="0.25">
      <c r="D5567" s="4">
        <v>39708</v>
      </c>
      <c r="E5567" s="6">
        <v>86.09</v>
      </c>
    </row>
    <row r="5568" spans="4:5" x14ac:dyDescent="0.25">
      <c r="D5568" s="4">
        <v>39709</v>
      </c>
      <c r="E5568" s="6">
        <v>90.89</v>
      </c>
    </row>
    <row r="5569" spans="4:5" x14ac:dyDescent="0.25">
      <c r="D5569" s="4">
        <v>39710</v>
      </c>
      <c r="E5569" s="6">
        <v>93.46</v>
      </c>
    </row>
    <row r="5570" spans="4:5" x14ac:dyDescent="0.25">
      <c r="D5570" s="4">
        <v>39713</v>
      </c>
      <c r="E5570" s="6">
        <v>100.43</v>
      </c>
    </row>
    <row r="5571" spans="4:5" x14ac:dyDescent="0.25">
      <c r="D5571" s="4">
        <v>39714</v>
      </c>
      <c r="E5571" s="6">
        <v>100.72</v>
      </c>
    </row>
    <row r="5572" spans="4:5" x14ac:dyDescent="0.25">
      <c r="D5572" s="4">
        <v>39715</v>
      </c>
      <c r="E5572" s="6">
        <v>102.09</v>
      </c>
    </row>
    <row r="5573" spans="4:5" x14ac:dyDescent="0.25">
      <c r="D5573" s="4">
        <v>39716</v>
      </c>
      <c r="E5573" s="6">
        <v>100.45</v>
      </c>
    </row>
    <row r="5574" spans="4:5" x14ac:dyDescent="0.25">
      <c r="D5574" s="4">
        <v>39717</v>
      </c>
      <c r="E5574" s="6">
        <v>100.88</v>
      </c>
    </row>
    <row r="5575" spans="4:5" x14ac:dyDescent="0.25">
      <c r="D5575" s="4">
        <v>39720</v>
      </c>
      <c r="E5575" s="6">
        <v>95.96</v>
      </c>
    </row>
    <row r="5576" spans="4:5" x14ac:dyDescent="0.25">
      <c r="D5576" s="4">
        <v>39721</v>
      </c>
      <c r="E5576" s="6">
        <v>93.52</v>
      </c>
    </row>
    <row r="5577" spans="4:5" x14ac:dyDescent="0.25">
      <c r="D5577" s="4">
        <v>39722</v>
      </c>
      <c r="E5577" s="6">
        <v>92.19</v>
      </c>
    </row>
    <row r="5578" spans="4:5" x14ac:dyDescent="0.25">
      <c r="D5578" s="4">
        <v>39723</v>
      </c>
      <c r="E5578" s="6">
        <v>88.88</v>
      </c>
    </row>
    <row r="5579" spans="4:5" x14ac:dyDescent="0.25">
      <c r="D5579" s="4">
        <v>39724</v>
      </c>
      <c r="E5579" s="6">
        <v>88.95</v>
      </c>
    </row>
    <row r="5580" spans="4:5" x14ac:dyDescent="0.25">
      <c r="D5580" s="4">
        <v>39727</v>
      </c>
      <c r="E5580" s="6">
        <v>84.71</v>
      </c>
    </row>
    <row r="5581" spans="4:5" x14ac:dyDescent="0.25">
      <c r="D5581" s="4">
        <v>39728</v>
      </c>
      <c r="E5581" s="6">
        <v>83.17</v>
      </c>
    </row>
    <row r="5582" spans="4:5" x14ac:dyDescent="0.25">
      <c r="D5582" s="4">
        <v>39729</v>
      </c>
      <c r="E5582" s="6">
        <v>80.77</v>
      </c>
    </row>
    <row r="5583" spans="4:5" x14ac:dyDescent="0.25">
      <c r="D5583" s="4">
        <v>39730</v>
      </c>
      <c r="E5583" s="6">
        <v>81.650000000000006</v>
      </c>
    </row>
    <row r="5584" spans="4:5" x14ac:dyDescent="0.25">
      <c r="D5584" s="4">
        <v>39731</v>
      </c>
      <c r="E5584" s="6">
        <v>74.58</v>
      </c>
    </row>
    <row r="5585" spans="4:5" x14ac:dyDescent="0.25">
      <c r="D5585" s="4">
        <v>39734</v>
      </c>
      <c r="E5585" s="6">
        <v>74.37</v>
      </c>
    </row>
    <row r="5586" spans="4:5" x14ac:dyDescent="0.25">
      <c r="D5586" s="4">
        <v>39735</v>
      </c>
      <c r="E5586" s="6">
        <v>74.98</v>
      </c>
    </row>
    <row r="5587" spans="4:5" x14ac:dyDescent="0.25">
      <c r="D5587" s="4">
        <v>39736</v>
      </c>
      <c r="E5587" s="6">
        <v>66.86</v>
      </c>
    </row>
    <row r="5588" spans="4:5" x14ac:dyDescent="0.25">
      <c r="D5588" s="4">
        <v>39737</v>
      </c>
      <c r="E5588" s="6">
        <v>64.14</v>
      </c>
    </row>
    <row r="5589" spans="4:5" x14ac:dyDescent="0.25">
      <c r="D5589" s="4">
        <v>39738</v>
      </c>
      <c r="E5589" s="6">
        <v>66.05</v>
      </c>
    </row>
    <row r="5590" spans="4:5" x14ac:dyDescent="0.25">
      <c r="D5590" s="4">
        <v>39741</v>
      </c>
      <c r="E5590" s="6">
        <v>67.45</v>
      </c>
    </row>
    <row r="5591" spans="4:5" x14ac:dyDescent="0.25">
      <c r="D5591" s="4">
        <v>39742</v>
      </c>
      <c r="E5591" s="6">
        <v>65.989999999999995</v>
      </c>
    </row>
    <row r="5592" spans="4:5" x14ac:dyDescent="0.25">
      <c r="D5592" s="4">
        <v>39743</v>
      </c>
      <c r="E5592" s="6">
        <v>62.95</v>
      </c>
    </row>
    <row r="5593" spans="4:5" x14ac:dyDescent="0.25">
      <c r="D5593" s="4">
        <v>39744</v>
      </c>
      <c r="E5593" s="6">
        <v>65.06</v>
      </c>
    </row>
    <row r="5594" spans="4:5" x14ac:dyDescent="0.25">
      <c r="D5594" s="4">
        <v>39745</v>
      </c>
      <c r="E5594" s="6">
        <v>60.57</v>
      </c>
    </row>
    <row r="5595" spans="4:5" x14ac:dyDescent="0.25">
      <c r="D5595" s="4">
        <v>39748</v>
      </c>
      <c r="E5595" s="6">
        <v>59.34</v>
      </c>
    </row>
    <row r="5596" spans="4:5" x14ac:dyDescent="0.25">
      <c r="D5596" s="4">
        <v>39749</v>
      </c>
      <c r="E5596" s="6">
        <v>58.87</v>
      </c>
    </row>
    <row r="5597" spans="4:5" x14ac:dyDescent="0.25">
      <c r="D5597" s="4">
        <v>39750</v>
      </c>
      <c r="E5597" s="6">
        <v>64</v>
      </c>
    </row>
    <row r="5598" spans="4:5" x14ac:dyDescent="0.25">
      <c r="D5598" s="4">
        <v>39751</v>
      </c>
      <c r="E5598" s="6">
        <v>60.86</v>
      </c>
    </row>
    <row r="5599" spans="4:5" x14ac:dyDescent="0.25">
      <c r="D5599" s="4">
        <v>39752</v>
      </c>
      <c r="E5599" s="6">
        <v>60</v>
      </c>
    </row>
    <row r="5600" spans="4:5" x14ac:dyDescent="0.25">
      <c r="D5600" s="4">
        <v>39755</v>
      </c>
      <c r="E5600" s="6">
        <v>60.32</v>
      </c>
    </row>
    <row r="5601" spans="4:5" x14ac:dyDescent="0.25">
      <c r="D5601" s="4">
        <v>39756</v>
      </c>
      <c r="E5601" s="6">
        <v>62.78</v>
      </c>
    </row>
    <row r="5602" spans="4:5" x14ac:dyDescent="0.25">
      <c r="D5602" s="4">
        <v>39757</v>
      </c>
      <c r="E5602" s="6">
        <v>61.09</v>
      </c>
    </row>
    <row r="5603" spans="4:5" x14ac:dyDescent="0.25">
      <c r="D5603" s="4">
        <v>39758</v>
      </c>
      <c r="E5603" s="6">
        <v>56.14</v>
      </c>
    </row>
    <row r="5604" spans="4:5" x14ac:dyDescent="0.25">
      <c r="D5604" s="4">
        <v>39759</v>
      </c>
      <c r="E5604" s="6">
        <v>56.84</v>
      </c>
    </row>
    <row r="5605" spans="4:5" x14ac:dyDescent="0.25">
      <c r="D5605" s="4">
        <v>39762</v>
      </c>
      <c r="E5605" s="6">
        <v>57.08</v>
      </c>
    </row>
    <row r="5606" spans="4:5" x14ac:dyDescent="0.25">
      <c r="D5606" s="4">
        <v>39763</v>
      </c>
      <c r="E5606" s="6">
        <v>54.76</v>
      </c>
    </row>
    <row r="5607" spans="4:5" x14ac:dyDescent="0.25">
      <c r="D5607" s="4">
        <v>39764</v>
      </c>
      <c r="E5607" s="6">
        <v>52.47</v>
      </c>
    </row>
    <row r="5608" spans="4:5" x14ac:dyDescent="0.25">
      <c r="D5608" s="4">
        <v>39765</v>
      </c>
      <c r="E5608" s="6">
        <v>51.32</v>
      </c>
    </row>
    <row r="5609" spans="4:5" x14ac:dyDescent="0.25">
      <c r="D5609" s="4">
        <v>39766</v>
      </c>
      <c r="E5609" s="6">
        <v>50.7</v>
      </c>
    </row>
    <row r="5610" spans="4:5" x14ac:dyDescent="0.25">
      <c r="D5610" s="4">
        <v>39769</v>
      </c>
      <c r="E5610" s="6">
        <v>50.82</v>
      </c>
    </row>
    <row r="5611" spans="4:5" x14ac:dyDescent="0.25">
      <c r="D5611" s="4">
        <v>39770</v>
      </c>
      <c r="E5611" s="6">
        <v>49.1</v>
      </c>
    </row>
    <row r="5612" spans="4:5" x14ac:dyDescent="0.25">
      <c r="D5612" s="4">
        <v>39771</v>
      </c>
      <c r="E5612" s="6">
        <v>48.35</v>
      </c>
    </row>
    <row r="5613" spans="4:5" x14ac:dyDescent="0.25">
      <c r="D5613" s="4">
        <v>39772</v>
      </c>
      <c r="E5613" s="6">
        <v>45.79</v>
      </c>
    </row>
    <row r="5614" spans="4:5" x14ac:dyDescent="0.25">
      <c r="D5614" s="4">
        <v>39773</v>
      </c>
      <c r="E5614" s="6">
        <v>44.91</v>
      </c>
    </row>
    <row r="5615" spans="4:5" x14ac:dyDescent="0.25">
      <c r="D5615" s="4">
        <v>39776</v>
      </c>
      <c r="E5615" s="6">
        <v>49.51</v>
      </c>
    </row>
    <row r="5616" spans="4:5" x14ac:dyDescent="0.25">
      <c r="D5616" s="4">
        <v>39777</v>
      </c>
      <c r="E5616" s="6">
        <v>47.51</v>
      </c>
    </row>
    <row r="5617" spans="4:5" x14ac:dyDescent="0.25">
      <c r="D5617" s="4">
        <v>39778</v>
      </c>
      <c r="E5617" s="6">
        <v>49.39</v>
      </c>
    </row>
    <row r="5618" spans="4:5" x14ac:dyDescent="0.25">
      <c r="D5618" s="4">
        <v>39779</v>
      </c>
      <c r="E5618" s="5"/>
    </row>
    <row r="5619" spans="4:5" x14ac:dyDescent="0.25">
      <c r="D5619" s="4">
        <v>39780</v>
      </c>
      <c r="E5619" s="6">
        <v>47.72</v>
      </c>
    </row>
    <row r="5620" spans="4:5" x14ac:dyDescent="0.25">
      <c r="D5620" s="4">
        <v>39783</v>
      </c>
      <c r="E5620" s="6">
        <v>47.58</v>
      </c>
    </row>
    <row r="5621" spans="4:5" x14ac:dyDescent="0.25">
      <c r="D5621" s="4">
        <v>39784</v>
      </c>
      <c r="E5621" s="6">
        <v>45.64</v>
      </c>
    </row>
    <row r="5622" spans="4:5" x14ac:dyDescent="0.25">
      <c r="D5622" s="4">
        <v>39785</v>
      </c>
      <c r="E5622" s="6">
        <v>44.39</v>
      </c>
    </row>
    <row r="5623" spans="4:5" x14ac:dyDescent="0.25">
      <c r="D5623" s="4">
        <v>39786</v>
      </c>
      <c r="E5623" s="6">
        <v>43.83</v>
      </c>
    </row>
    <row r="5624" spans="4:5" x14ac:dyDescent="0.25">
      <c r="D5624" s="4">
        <v>39787</v>
      </c>
      <c r="E5624" s="6">
        <v>37.04</v>
      </c>
    </row>
    <row r="5625" spans="4:5" x14ac:dyDescent="0.25">
      <c r="D5625" s="4">
        <v>39790</v>
      </c>
      <c r="E5625" s="6">
        <v>40.020000000000003</v>
      </c>
    </row>
    <row r="5626" spans="4:5" x14ac:dyDescent="0.25">
      <c r="D5626" s="4">
        <v>39791</v>
      </c>
      <c r="E5626" s="6">
        <v>39.770000000000003</v>
      </c>
    </row>
    <row r="5627" spans="4:5" x14ac:dyDescent="0.25">
      <c r="D5627" s="4">
        <v>39792</v>
      </c>
      <c r="E5627" s="6">
        <v>39.340000000000003</v>
      </c>
    </row>
    <row r="5628" spans="4:5" x14ac:dyDescent="0.25">
      <c r="D5628" s="4">
        <v>39793</v>
      </c>
      <c r="E5628" s="6">
        <v>43.54</v>
      </c>
    </row>
    <row r="5629" spans="4:5" x14ac:dyDescent="0.25">
      <c r="D5629" s="4">
        <v>39794</v>
      </c>
      <c r="E5629" s="6">
        <v>42.38</v>
      </c>
    </row>
    <row r="5630" spans="4:5" x14ac:dyDescent="0.25">
      <c r="D5630" s="4">
        <v>39797</v>
      </c>
      <c r="E5630" s="6">
        <v>45.02</v>
      </c>
    </row>
    <row r="5631" spans="4:5" x14ac:dyDescent="0.25">
      <c r="D5631" s="4">
        <v>39798</v>
      </c>
      <c r="E5631" s="6">
        <v>42</v>
      </c>
    </row>
    <row r="5632" spans="4:5" x14ac:dyDescent="0.25">
      <c r="D5632" s="4">
        <v>39799</v>
      </c>
      <c r="E5632" s="6">
        <v>41.84</v>
      </c>
    </row>
    <row r="5633" spans="4:5" x14ac:dyDescent="0.25">
      <c r="D5633" s="4">
        <v>39800</v>
      </c>
      <c r="E5633" s="6">
        <v>40.19</v>
      </c>
    </row>
    <row r="5634" spans="4:5" x14ac:dyDescent="0.25">
      <c r="D5634" s="4">
        <v>39801</v>
      </c>
      <c r="E5634" s="6">
        <v>39.520000000000003</v>
      </c>
    </row>
    <row r="5635" spans="4:5" x14ac:dyDescent="0.25">
      <c r="D5635" s="4">
        <v>39804</v>
      </c>
      <c r="E5635" s="6">
        <v>38.08</v>
      </c>
    </row>
    <row r="5636" spans="4:5" x14ac:dyDescent="0.25">
      <c r="D5636" s="4">
        <v>39805</v>
      </c>
      <c r="E5636" s="6">
        <v>35.270000000000003</v>
      </c>
    </row>
    <row r="5637" spans="4:5" x14ac:dyDescent="0.25">
      <c r="D5637" s="4">
        <v>39806</v>
      </c>
      <c r="E5637" s="6">
        <v>34.450000000000003</v>
      </c>
    </row>
    <row r="5638" spans="4:5" x14ac:dyDescent="0.25">
      <c r="D5638" s="4">
        <v>39807</v>
      </c>
      <c r="E5638" s="5"/>
    </row>
    <row r="5639" spans="4:5" x14ac:dyDescent="0.25">
      <c r="D5639" s="4">
        <v>39808</v>
      </c>
      <c r="E5639" s="6">
        <v>33.729999999999997</v>
      </c>
    </row>
    <row r="5640" spans="4:5" x14ac:dyDescent="0.25">
      <c r="D5640" s="4">
        <v>39811</v>
      </c>
      <c r="E5640" s="6">
        <v>34.159999999999997</v>
      </c>
    </row>
    <row r="5641" spans="4:5" x14ac:dyDescent="0.25">
      <c r="D5641" s="4">
        <v>39812</v>
      </c>
      <c r="E5641" s="6">
        <v>35.22</v>
      </c>
    </row>
    <row r="5642" spans="4:5" x14ac:dyDescent="0.25">
      <c r="D5642" s="4">
        <v>39813</v>
      </c>
      <c r="E5642" s="6">
        <v>35.82</v>
      </c>
    </row>
    <row r="5643" spans="4:5" x14ac:dyDescent="0.25">
      <c r="D5643" s="4">
        <v>39814</v>
      </c>
      <c r="E5643" s="5"/>
    </row>
    <row r="5644" spans="4:5" x14ac:dyDescent="0.25">
      <c r="D5644" s="4">
        <v>39815</v>
      </c>
      <c r="E5644" s="6">
        <v>42.94</v>
      </c>
    </row>
    <row r="5645" spans="4:5" x14ac:dyDescent="0.25">
      <c r="D5645" s="4">
        <v>39818</v>
      </c>
      <c r="E5645" s="6">
        <v>45.84</v>
      </c>
    </row>
    <row r="5646" spans="4:5" x14ac:dyDescent="0.25">
      <c r="D5646" s="4">
        <v>39819</v>
      </c>
      <c r="E5646" s="6">
        <v>48.89</v>
      </c>
    </row>
    <row r="5647" spans="4:5" x14ac:dyDescent="0.25">
      <c r="D5647" s="4">
        <v>39820</v>
      </c>
      <c r="E5647" s="6">
        <v>46.23</v>
      </c>
    </row>
    <row r="5648" spans="4:5" x14ac:dyDescent="0.25">
      <c r="D5648" s="4">
        <v>39821</v>
      </c>
      <c r="E5648" s="6">
        <v>42.94</v>
      </c>
    </row>
    <row r="5649" spans="4:5" x14ac:dyDescent="0.25">
      <c r="D5649" s="4">
        <v>39822</v>
      </c>
      <c r="E5649" s="6">
        <v>42.34</v>
      </c>
    </row>
    <row r="5650" spans="4:5" x14ac:dyDescent="0.25">
      <c r="D5650" s="4">
        <v>39825</v>
      </c>
      <c r="E5650" s="6">
        <v>40.86</v>
      </c>
    </row>
    <row r="5651" spans="4:5" x14ac:dyDescent="0.25">
      <c r="D5651" s="4">
        <v>39826</v>
      </c>
      <c r="E5651" s="6">
        <v>43.05</v>
      </c>
    </row>
    <row r="5652" spans="4:5" x14ac:dyDescent="0.25">
      <c r="D5652" s="4">
        <v>39827</v>
      </c>
      <c r="E5652" s="6">
        <v>42.27</v>
      </c>
    </row>
    <row r="5653" spans="4:5" x14ac:dyDescent="0.25">
      <c r="D5653" s="4">
        <v>39828</v>
      </c>
      <c r="E5653" s="6">
        <v>42.32</v>
      </c>
    </row>
    <row r="5654" spans="4:5" x14ac:dyDescent="0.25">
      <c r="D5654" s="4">
        <v>39829</v>
      </c>
      <c r="E5654" s="6">
        <v>43.42</v>
      </c>
    </row>
    <row r="5655" spans="4:5" x14ac:dyDescent="0.25">
      <c r="D5655" s="4">
        <v>39832</v>
      </c>
      <c r="E5655" s="5"/>
    </row>
    <row r="5656" spans="4:5" x14ac:dyDescent="0.25">
      <c r="D5656" s="4">
        <v>39833</v>
      </c>
      <c r="E5656" s="6">
        <v>41.22</v>
      </c>
    </row>
    <row r="5657" spans="4:5" x14ac:dyDescent="0.25">
      <c r="D5657" s="4">
        <v>39834</v>
      </c>
      <c r="E5657" s="6">
        <v>39.9</v>
      </c>
    </row>
    <row r="5658" spans="4:5" x14ac:dyDescent="0.25">
      <c r="D5658" s="4">
        <v>39835</v>
      </c>
      <c r="E5658" s="6">
        <v>42.42</v>
      </c>
    </row>
    <row r="5659" spans="4:5" x14ac:dyDescent="0.25">
      <c r="D5659" s="4">
        <v>39836</v>
      </c>
      <c r="E5659" s="6">
        <v>43.13</v>
      </c>
    </row>
    <row r="5660" spans="4:5" x14ac:dyDescent="0.25">
      <c r="D5660" s="4">
        <v>39839</v>
      </c>
      <c r="E5660" s="6">
        <v>48</v>
      </c>
    </row>
    <row r="5661" spans="4:5" x14ac:dyDescent="0.25">
      <c r="D5661" s="4">
        <v>39840</v>
      </c>
      <c r="E5661" s="6">
        <v>42.86</v>
      </c>
    </row>
    <row r="5662" spans="4:5" x14ac:dyDescent="0.25">
      <c r="D5662" s="4">
        <v>39841</v>
      </c>
      <c r="E5662" s="6">
        <v>42.86</v>
      </c>
    </row>
    <row r="5663" spans="4:5" x14ac:dyDescent="0.25">
      <c r="D5663" s="4">
        <v>39842</v>
      </c>
      <c r="E5663" s="6">
        <v>43.13</v>
      </c>
    </row>
    <row r="5664" spans="4:5" x14ac:dyDescent="0.25">
      <c r="D5664" s="4">
        <v>39843</v>
      </c>
      <c r="E5664" s="6">
        <v>44.17</v>
      </c>
    </row>
    <row r="5665" spans="4:5" x14ac:dyDescent="0.25">
      <c r="D5665" s="4">
        <v>39846</v>
      </c>
      <c r="E5665" s="6">
        <v>42.96</v>
      </c>
    </row>
    <row r="5666" spans="4:5" x14ac:dyDescent="0.25">
      <c r="D5666" s="4">
        <v>39847</v>
      </c>
      <c r="E5666" s="6">
        <v>43.15</v>
      </c>
    </row>
    <row r="5667" spans="4:5" x14ac:dyDescent="0.25">
      <c r="D5667" s="4">
        <v>39848</v>
      </c>
      <c r="E5667" s="6">
        <v>43.68</v>
      </c>
    </row>
    <row r="5668" spans="4:5" x14ac:dyDescent="0.25">
      <c r="D5668" s="4">
        <v>39849</v>
      </c>
      <c r="E5668" s="6">
        <v>43.92</v>
      </c>
    </row>
    <row r="5669" spans="4:5" x14ac:dyDescent="0.25">
      <c r="D5669" s="4">
        <v>39850</v>
      </c>
      <c r="E5669" s="6">
        <v>44.49</v>
      </c>
    </row>
    <row r="5670" spans="4:5" x14ac:dyDescent="0.25">
      <c r="D5670" s="4">
        <v>39853</v>
      </c>
      <c r="E5670" s="6">
        <v>47.23</v>
      </c>
    </row>
    <row r="5671" spans="4:5" x14ac:dyDescent="0.25">
      <c r="D5671" s="4">
        <v>39854</v>
      </c>
      <c r="E5671" s="6">
        <v>45.88</v>
      </c>
    </row>
    <row r="5672" spans="4:5" x14ac:dyDescent="0.25">
      <c r="D5672" s="4">
        <v>39855</v>
      </c>
      <c r="E5672" s="6">
        <v>44.24</v>
      </c>
    </row>
    <row r="5673" spans="4:5" x14ac:dyDescent="0.25">
      <c r="D5673" s="4">
        <v>39856</v>
      </c>
      <c r="E5673" s="6">
        <v>47.23</v>
      </c>
    </row>
    <row r="5674" spans="4:5" x14ac:dyDescent="0.25">
      <c r="D5674" s="4">
        <v>39857</v>
      </c>
      <c r="E5674" s="6">
        <v>43.36</v>
      </c>
    </row>
    <row r="5675" spans="4:5" x14ac:dyDescent="0.25">
      <c r="D5675" s="4">
        <v>39860</v>
      </c>
      <c r="E5675" s="5"/>
    </row>
    <row r="5676" spans="4:5" x14ac:dyDescent="0.25">
      <c r="D5676" s="4">
        <v>39861</v>
      </c>
      <c r="E5676" s="6">
        <v>39.69</v>
      </c>
    </row>
    <row r="5677" spans="4:5" x14ac:dyDescent="0.25">
      <c r="D5677" s="4">
        <v>39862</v>
      </c>
      <c r="E5677" s="6">
        <v>39.409999999999997</v>
      </c>
    </row>
    <row r="5678" spans="4:5" x14ac:dyDescent="0.25">
      <c r="D5678" s="4">
        <v>39863</v>
      </c>
      <c r="E5678" s="6">
        <v>42.36</v>
      </c>
    </row>
    <row r="5679" spans="4:5" x14ac:dyDescent="0.25">
      <c r="D5679" s="4">
        <v>39864</v>
      </c>
      <c r="E5679" s="6">
        <v>42.19</v>
      </c>
    </row>
    <row r="5680" spans="4:5" x14ac:dyDescent="0.25">
      <c r="D5680" s="4">
        <v>39867</v>
      </c>
      <c r="E5680" s="6">
        <v>41.27</v>
      </c>
    </row>
    <row r="5681" spans="4:5" x14ac:dyDescent="0.25">
      <c r="D5681" s="4">
        <v>39868</v>
      </c>
      <c r="E5681" s="6">
        <v>40.18</v>
      </c>
    </row>
    <row r="5682" spans="4:5" x14ac:dyDescent="0.25">
      <c r="D5682" s="4">
        <v>39869</v>
      </c>
      <c r="E5682" s="6">
        <v>42.37</v>
      </c>
    </row>
    <row r="5683" spans="4:5" x14ac:dyDescent="0.25">
      <c r="D5683" s="4">
        <v>39870</v>
      </c>
      <c r="E5683" s="6">
        <v>45.15</v>
      </c>
    </row>
    <row r="5684" spans="4:5" x14ac:dyDescent="0.25">
      <c r="D5684" s="4">
        <v>39871</v>
      </c>
      <c r="E5684" s="6">
        <v>44.41</v>
      </c>
    </row>
    <row r="5685" spans="4:5" x14ac:dyDescent="0.25">
      <c r="D5685" s="4">
        <v>39874</v>
      </c>
      <c r="E5685" s="6">
        <v>42.6</v>
      </c>
    </row>
    <row r="5686" spans="4:5" x14ac:dyDescent="0.25">
      <c r="D5686" s="4">
        <v>39875</v>
      </c>
      <c r="E5686" s="6">
        <v>42.72</v>
      </c>
    </row>
    <row r="5687" spans="4:5" x14ac:dyDescent="0.25">
      <c r="D5687" s="4">
        <v>39876</v>
      </c>
      <c r="E5687" s="6">
        <v>46.07</v>
      </c>
    </row>
    <row r="5688" spans="4:5" x14ac:dyDescent="0.25">
      <c r="D5688" s="4">
        <v>39877</v>
      </c>
      <c r="E5688" s="6">
        <v>44.45</v>
      </c>
    </row>
    <row r="5689" spans="4:5" x14ac:dyDescent="0.25">
      <c r="D5689" s="4">
        <v>39878</v>
      </c>
      <c r="E5689" s="6">
        <v>43.48</v>
      </c>
    </row>
    <row r="5690" spans="4:5" x14ac:dyDescent="0.25">
      <c r="D5690" s="4">
        <v>39881</v>
      </c>
      <c r="E5690" s="6">
        <v>44.55</v>
      </c>
    </row>
    <row r="5691" spans="4:5" x14ac:dyDescent="0.25">
      <c r="D5691" s="4">
        <v>39882</v>
      </c>
      <c r="E5691" s="6">
        <v>44.99</v>
      </c>
    </row>
    <row r="5692" spans="4:5" x14ac:dyDescent="0.25">
      <c r="D5692" s="4">
        <v>39883</v>
      </c>
      <c r="E5692" s="6">
        <v>43.2</v>
      </c>
    </row>
    <row r="5693" spans="4:5" x14ac:dyDescent="0.25">
      <c r="D5693" s="4">
        <v>39884</v>
      </c>
      <c r="E5693" s="6">
        <v>42.19</v>
      </c>
    </row>
    <row r="5694" spans="4:5" x14ac:dyDescent="0.25">
      <c r="D5694" s="4">
        <v>39885</v>
      </c>
      <c r="E5694" s="6">
        <v>44.97</v>
      </c>
    </row>
    <row r="5695" spans="4:5" x14ac:dyDescent="0.25">
      <c r="D5695" s="4">
        <v>39888</v>
      </c>
      <c r="E5695" s="6">
        <v>44.12</v>
      </c>
    </row>
    <row r="5696" spans="4:5" x14ac:dyDescent="0.25">
      <c r="D5696" s="4">
        <v>39889</v>
      </c>
      <c r="E5696" s="6">
        <v>45.53</v>
      </c>
    </row>
    <row r="5697" spans="4:5" x14ac:dyDescent="0.25">
      <c r="D5697" s="4">
        <v>39890</v>
      </c>
      <c r="E5697" s="6">
        <v>45.22</v>
      </c>
    </row>
    <row r="5698" spans="4:5" x14ac:dyDescent="0.25">
      <c r="D5698" s="4">
        <v>39891</v>
      </c>
      <c r="E5698" s="6">
        <v>48.03</v>
      </c>
    </row>
    <row r="5699" spans="4:5" x14ac:dyDescent="0.25">
      <c r="D5699" s="4">
        <v>39892</v>
      </c>
      <c r="E5699" s="6">
        <v>49.27</v>
      </c>
    </row>
    <row r="5700" spans="4:5" x14ac:dyDescent="0.25">
      <c r="D5700" s="4">
        <v>39895</v>
      </c>
      <c r="E5700" s="6">
        <v>51.84</v>
      </c>
    </row>
    <row r="5701" spans="4:5" x14ac:dyDescent="0.25">
      <c r="D5701" s="4">
        <v>39896</v>
      </c>
      <c r="E5701" s="6">
        <v>51.32</v>
      </c>
    </row>
    <row r="5702" spans="4:5" x14ac:dyDescent="0.25">
      <c r="D5702" s="4">
        <v>39897</v>
      </c>
      <c r="E5702" s="6">
        <v>51.46</v>
      </c>
    </row>
    <row r="5703" spans="4:5" x14ac:dyDescent="0.25">
      <c r="D5703" s="4">
        <v>39898</v>
      </c>
      <c r="E5703" s="6">
        <v>51.89</v>
      </c>
    </row>
    <row r="5704" spans="4:5" x14ac:dyDescent="0.25">
      <c r="D5704" s="4">
        <v>39899</v>
      </c>
      <c r="E5704" s="6">
        <v>50.81</v>
      </c>
    </row>
    <row r="5705" spans="4:5" x14ac:dyDescent="0.25">
      <c r="D5705" s="4">
        <v>39902</v>
      </c>
      <c r="E5705" s="6">
        <v>49.05</v>
      </c>
    </row>
    <row r="5706" spans="4:5" x14ac:dyDescent="0.25">
      <c r="D5706" s="4">
        <v>39903</v>
      </c>
      <c r="E5706" s="6">
        <v>46.13</v>
      </c>
    </row>
    <row r="5707" spans="4:5" x14ac:dyDescent="0.25">
      <c r="D5707" s="4">
        <v>39904</v>
      </c>
      <c r="E5707" s="6">
        <v>45.92</v>
      </c>
    </row>
    <row r="5708" spans="4:5" x14ac:dyDescent="0.25">
      <c r="D5708" s="4">
        <v>39905</v>
      </c>
      <c r="E5708" s="6">
        <v>50.89</v>
      </c>
    </row>
    <row r="5709" spans="4:5" x14ac:dyDescent="0.25">
      <c r="D5709" s="4">
        <v>39906</v>
      </c>
      <c r="E5709" s="6">
        <v>50.48</v>
      </c>
    </row>
    <row r="5710" spans="4:5" x14ac:dyDescent="0.25">
      <c r="D5710" s="4">
        <v>39909</v>
      </c>
      <c r="E5710" s="6">
        <v>50.91</v>
      </c>
    </row>
    <row r="5711" spans="4:5" x14ac:dyDescent="0.25">
      <c r="D5711" s="4">
        <v>39910</v>
      </c>
      <c r="E5711" s="6">
        <v>50.62</v>
      </c>
    </row>
    <row r="5712" spans="4:5" x14ac:dyDescent="0.25">
      <c r="D5712" s="4">
        <v>39911</v>
      </c>
      <c r="E5712" s="6">
        <v>52.06</v>
      </c>
    </row>
    <row r="5713" spans="4:5" x14ac:dyDescent="0.25">
      <c r="D5713" s="4">
        <v>39912</v>
      </c>
      <c r="E5713" s="6">
        <v>52.33</v>
      </c>
    </row>
    <row r="5714" spans="4:5" x14ac:dyDescent="0.25">
      <c r="D5714" s="4">
        <v>39913</v>
      </c>
      <c r="E5714" s="5"/>
    </row>
    <row r="5715" spans="4:5" x14ac:dyDescent="0.25">
      <c r="D5715" s="4">
        <v>39916</v>
      </c>
      <c r="E5715" s="6">
        <v>50.73</v>
      </c>
    </row>
    <row r="5716" spans="4:5" x14ac:dyDescent="0.25">
      <c r="D5716" s="4">
        <v>39917</v>
      </c>
      <c r="E5716" s="6">
        <v>52.06</v>
      </c>
    </row>
    <row r="5717" spans="4:5" x14ac:dyDescent="0.25">
      <c r="D5717" s="4">
        <v>39918</v>
      </c>
      <c r="E5717" s="6">
        <v>51.31</v>
      </c>
    </row>
    <row r="5718" spans="4:5" x14ac:dyDescent="0.25">
      <c r="D5718" s="4">
        <v>39919</v>
      </c>
      <c r="E5718" s="6">
        <v>51.83</v>
      </c>
    </row>
    <row r="5719" spans="4:5" x14ac:dyDescent="0.25">
      <c r="D5719" s="4">
        <v>39920</v>
      </c>
      <c r="E5719" s="6">
        <v>52.02</v>
      </c>
    </row>
    <row r="5720" spans="4:5" x14ac:dyDescent="0.25">
      <c r="D5720" s="4">
        <v>39923</v>
      </c>
      <c r="E5720" s="6">
        <v>49.06</v>
      </c>
    </row>
    <row r="5721" spans="4:5" x14ac:dyDescent="0.25">
      <c r="D5721" s="4">
        <v>39924</v>
      </c>
      <c r="E5721" s="6">
        <v>48.69</v>
      </c>
    </row>
    <row r="5722" spans="4:5" x14ac:dyDescent="0.25">
      <c r="D5722" s="4">
        <v>39925</v>
      </c>
      <c r="E5722" s="6">
        <v>48.5</v>
      </c>
    </row>
    <row r="5723" spans="4:5" x14ac:dyDescent="0.25">
      <c r="D5723" s="4">
        <v>39926</v>
      </c>
      <c r="E5723" s="6">
        <v>48.29</v>
      </c>
    </row>
    <row r="5724" spans="4:5" x14ac:dyDescent="0.25">
      <c r="D5724" s="4">
        <v>39927</v>
      </c>
      <c r="E5724" s="6">
        <v>50.29</v>
      </c>
    </row>
    <row r="5725" spans="4:5" x14ac:dyDescent="0.25">
      <c r="D5725" s="4">
        <v>39930</v>
      </c>
      <c r="E5725" s="6">
        <v>48.67</v>
      </c>
    </row>
    <row r="5726" spans="4:5" x14ac:dyDescent="0.25">
      <c r="D5726" s="4">
        <v>39931</v>
      </c>
      <c r="E5726" s="6">
        <v>48.64</v>
      </c>
    </row>
    <row r="5727" spans="4:5" x14ac:dyDescent="0.25">
      <c r="D5727" s="4">
        <v>39932</v>
      </c>
      <c r="E5727" s="6">
        <v>50.22</v>
      </c>
    </row>
    <row r="5728" spans="4:5" x14ac:dyDescent="0.25">
      <c r="D5728" s="4">
        <v>39933</v>
      </c>
      <c r="E5728" s="6">
        <v>50.3</v>
      </c>
    </row>
    <row r="5729" spans="4:5" x14ac:dyDescent="0.25">
      <c r="D5729" s="4">
        <v>39934</v>
      </c>
      <c r="E5729" s="6">
        <v>51.75</v>
      </c>
    </row>
    <row r="5730" spans="4:5" x14ac:dyDescent="0.25">
      <c r="D5730" s="4">
        <v>39937</v>
      </c>
      <c r="E5730" s="6">
        <v>53.26</v>
      </c>
    </row>
    <row r="5731" spans="4:5" x14ac:dyDescent="0.25">
      <c r="D5731" s="4">
        <v>39938</v>
      </c>
      <c r="E5731" s="6">
        <v>53.16</v>
      </c>
    </row>
    <row r="5732" spans="4:5" x14ac:dyDescent="0.25">
      <c r="D5732" s="4">
        <v>39939</v>
      </c>
      <c r="E5732" s="6">
        <v>55.07</v>
      </c>
    </row>
    <row r="5733" spans="4:5" x14ac:dyDescent="0.25">
      <c r="D5733" s="4">
        <v>39940</v>
      </c>
      <c r="E5733" s="6">
        <v>56.63</v>
      </c>
    </row>
    <row r="5734" spans="4:5" x14ac:dyDescent="0.25">
      <c r="D5734" s="4">
        <v>39941</v>
      </c>
      <c r="E5734" s="6">
        <v>56.02</v>
      </c>
    </row>
    <row r="5735" spans="4:5" x14ac:dyDescent="0.25">
      <c r="D5735" s="4">
        <v>39944</v>
      </c>
      <c r="E5735" s="6">
        <v>55.99</v>
      </c>
    </row>
    <row r="5736" spans="4:5" x14ac:dyDescent="0.25">
      <c r="D5736" s="4">
        <v>39945</v>
      </c>
      <c r="E5736" s="6">
        <v>56.52</v>
      </c>
    </row>
    <row r="5737" spans="4:5" x14ac:dyDescent="0.25">
      <c r="D5737" s="4">
        <v>39946</v>
      </c>
      <c r="E5737" s="6">
        <v>56.84</v>
      </c>
    </row>
    <row r="5738" spans="4:5" x14ac:dyDescent="0.25">
      <c r="D5738" s="4">
        <v>39947</v>
      </c>
      <c r="E5738" s="6">
        <v>56.25</v>
      </c>
    </row>
    <row r="5739" spans="4:5" x14ac:dyDescent="0.25">
      <c r="D5739" s="4">
        <v>39948</v>
      </c>
      <c r="E5739" s="6">
        <v>56.33</v>
      </c>
    </row>
    <row r="5740" spans="4:5" x14ac:dyDescent="0.25">
      <c r="D5740" s="4">
        <v>39951</v>
      </c>
      <c r="E5740" s="6">
        <v>56.51</v>
      </c>
    </row>
    <row r="5741" spans="4:5" x14ac:dyDescent="0.25">
      <c r="D5741" s="4">
        <v>39952</v>
      </c>
      <c r="E5741" s="6">
        <v>57.12</v>
      </c>
    </row>
    <row r="5742" spans="4:5" x14ac:dyDescent="0.25">
      <c r="D5742" s="4">
        <v>39953</v>
      </c>
      <c r="E5742" s="6">
        <v>59.1</v>
      </c>
    </row>
    <row r="5743" spans="4:5" x14ac:dyDescent="0.25">
      <c r="D5743" s="4">
        <v>39954</v>
      </c>
      <c r="E5743" s="6">
        <v>58.02</v>
      </c>
    </row>
    <row r="5744" spans="4:5" x14ac:dyDescent="0.25">
      <c r="D5744" s="4">
        <v>39955</v>
      </c>
      <c r="E5744" s="6">
        <v>58.7</v>
      </c>
    </row>
    <row r="5745" spans="4:5" x14ac:dyDescent="0.25">
      <c r="D5745" s="4">
        <v>39958</v>
      </c>
      <c r="E5745" s="5"/>
    </row>
    <row r="5746" spans="4:5" x14ac:dyDescent="0.25">
      <c r="D5746" s="4">
        <v>39959</v>
      </c>
      <c r="E5746" s="6">
        <v>59.05</v>
      </c>
    </row>
    <row r="5747" spans="4:5" x14ac:dyDescent="0.25">
      <c r="D5747" s="4">
        <v>39960</v>
      </c>
      <c r="E5747" s="6">
        <v>61.28</v>
      </c>
    </row>
    <row r="5748" spans="4:5" x14ac:dyDescent="0.25">
      <c r="D5748" s="4">
        <v>39961</v>
      </c>
      <c r="E5748" s="6">
        <v>63.47</v>
      </c>
    </row>
    <row r="5749" spans="4:5" x14ac:dyDescent="0.25">
      <c r="D5749" s="4">
        <v>39962</v>
      </c>
      <c r="E5749" s="6">
        <v>64.98</v>
      </c>
    </row>
    <row r="5750" spans="4:5" x14ac:dyDescent="0.25">
      <c r="D5750" s="4">
        <v>39965</v>
      </c>
      <c r="E5750" s="6">
        <v>66.599999999999994</v>
      </c>
    </row>
    <row r="5751" spans="4:5" x14ac:dyDescent="0.25">
      <c r="D5751" s="4">
        <v>39966</v>
      </c>
      <c r="E5751" s="6">
        <v>67.67</v>
      </c>
    </row>
    <row r="5752" spans="4:5" x14ac:dyDescent="0.25">
      <c r="D5752" s="4">
        <v>39967</v>
      </c>
      <c r="E5752" s="6">
        <v>66.150000000000006</v>
      </c>
    </row>
    <row r="5753" spans="4:5" x14ac:dyDescent="0.25">
      <c r="D5753" s="4">
        <v>39968</v>
      </c>
      <c r="E5753" s="6">
        <v>67.680000000000007</v>
      </c>
    </row>
    <row r="5754" spans="4:5" x14ac:dyDescent="0.25">
      <c r="D5754" s="4">
        <v>39969</v>
      </c>
      <c r="E5754" s="6">
        <v>67.77</v>
      </c>
    </row>
    <row r="5755" spans="4:5" x14ac:dyDescent="0.25">
      <c r="D5755" s="4">
        <v>39972</v>
      </c>
      <c r="E5755" s="6">
        <v>67.61</v>
      </c>
    </row>
    <row r="5756" spans="4:5" x14ac:dyDescent="0.25">
      <c r="D5756" s="4">
        <v>39973</v>
      </c>
      <c r="E5756" s="6">
        <v>68.94</v>
      </c>
    </row>
    <row r="5757" spans="4:5" x14ac:dyDescent="0.25">
      <c r="D5757" s="4">
        <v>39974</v>
      </c>
      <c r="E5757" s="6">
        <v>70.52</v>
      </c>
    </row>
    <row r="5758" spans="4:5" x14ac:dyDescent="0.25">
      <c r="D5758" s="4">
        <v>39975</v>
      </c>
      <c r="E5758" s="6">
        <v>71.709999999999994</v>
      </c>
    </row>
    <row r="5759" spans="4:5" x14ac:dyDescent="0.25">
      <c r="D5759" s="4">
        <v>39976</v>
      </c>
      <c r="E5759" s="6">
        <v>70.62</v>
      </c>
    </row>
    <row r="5760" spans="4:5" x14ac:dyDescent="0.25">
      <c r="D5760" s="4">
        <v>39979</v>
      </c>
      <c r="E5760" s="6">
        <v>68.489999999999995</v>
      </c>
    </row>
    <row r="5761" spans="4:5" x14ac:dyDescent="0.25">
      <c r="D5761" s="4">
        <v>39980</v>
      </c>
      <c r="E5761" s="6">
        <v>70.52</v>
      </c>
    </row>
    <row r="5762" spans="4:5" x14ac:dyDescent="0.25">
      <c r="D5762" s="4">
        <v>39981</v>
      </c>
      <c r="E5762" s="6">
        <v>68.95</v>
      </c>
    </row>
    <row r="5763" spans="4:5" x14ac:dyDescent="0.25">
      <c r="D5763" s="4">
        <v>39982</v>
      </c>
      <c r="E5763" s="6">
        <v>69.959999999999994</v>
      </c>
    </row>
    <row r="5764" spans="4:5" x14ac:dyDescent="0.25">
      <c r="D5764" s="4">
        <v>39983</v>
      </c>
      <c r="E5764" s="6">
        <v>70.48</v>
      </c>
    </row>
    <row r="5765" spans="4:5" x14ac:dyDescent="0.25">
      <c r="D5765" s="4">
        <v>39986</v>
      </c>
      <c r="E5765" s="6">
        <v>66.13</v>
      </c>
    </row>
    <row r="5766" spans="4:5" x14ac:dyDescent="0.25">
      <c r="D5766" s="4">
        <v>39987</v>
      </c>
      <c r="E5766" s="6">
        <v>66.36</v>
      </c>
    </row>
    <row r="5767" spans="4:5" x14ac:dyDescent="0.25">
      <c r="D5767" s="4">
        <v>39988</v>
      </c>
      <c r="E5767" s="6">
        <v>68.47</v>
      </c>
    </row>
    <row r="5768" spans="4:5" x14ac:dyDescent="0.25">
      <c r="D5768" s="4">
        <v>39989</v>
      </c>
      <c r="E5768" s="6">
        <v>68.819999999999993</v>
      </c>
    </row>
    <row r="5769" spans="4:5" x14ac:dyDescent="0.25">
      <c r="D5769" s="4">
        <v>39990</v>
      </c>
      <c r="E5769" s="6">
        <v>68.099999999999994</v>
      </c>
    </row>
    <row r="5770" spans="4:5" x14ac:dyDescent="0.25">
      <c r="D5770" s="4">
        <v>39993</v>
      </c>
      <c r="E5770" s="6">
        <v>69.75</v>
      </c>
    </row>
    <row r="5771" spans="4:5" x14ac:dyDescent="0.25">
      <c r="D5771" s="4">
        <v>39994</v>
      </c>
      <c r="E5771" s="6">
        <v>68.11</v>
      </c>
    </row>
    <row r="5772" spans="4:5" x14ac:dyDescent="0.25">
      <c r="D5772" s="4">
        <v>39995</v>
      </c>
      <c r="E5772" s="6">
        <v>68.52</v>
      </c>
    </row>
    <row r="5773" spans="4:5" x14ac:dyDescent="0.25">
      <c r="D5773" s="4">
        <v>39996</v>
      </c>
      <c r="E5773" s="6">
        <v>65.739999999999995</v>
      </c>
    </row>
    <row r="5774" spans="4:5" x14ac:dyDescent="0.25">
      <c r="D5774" s="4">
        <v>39997</v>
      </c>
      <c r="E5774" s="5"/>
    </row>
    <row r="5775" spans="4:5" x14ac:dyDescent="0.25">
      <c r="D5775" s="4">
        <v>40000</v>
      </c>
      <c r="E5775" s="6">
        <v>63.12</v>
      </c>
    </row>
    <row r="5776" spans="4:5" x14ac:dyDescent="0.25">
      <c r="D5776" s="4">
        <v>40001</v>
      </c>
      <c r="E5776" s="6">
        <v>61.54</v>
      </c>
    </row>
    <row r="5777" spans="4:5" x14ac:dyDescent="0.25">
      <c r="D5777" s="4">
        <v>40002</v>
      </c>
      <c r="E5777" s="6">
        <v>59.71</v>
      </c>
    </row>
    <row r="5778" spans="4:5" x14ac:dyDescent="0.25">
      <c r="D5778" s="4">
        <v>40003</v>
      </c>
      <c r="E5778" s="6">
        <v>59.17</v>
      </c>
    </row>
    <row r="5779" spans="4:5" x14ac:dyDescent="0.25">
      <c r="D5779" s="4">
        <v>40004</v>
      </c>
      <c r="E5779" s="6">
        <v>58.43</v>
      </c>
    </row>
    <row r="5780" spans="4:5" x14ac:dyDescent="0.25">
      <c r="D5780" s="4">
        <v>40007</v>
      </c>
      <c r="E5780" s="6">
        <v>58.25</v>
      </c>
    </row>
    <row r="5781" spans="4:5" x14ac:dyDescent="0.25">
      <c r="D5781" s="4">
        <v>40008</v>
      </c>
      <c r="E5781" s="6">
        <v>60.48</v>
      </c>
    </row>
    <row r="5782" spans="4:5" x14ac:dyDescent="0.25">
      <c r="D5782" s="4">
        <v>40009</v>
      </c>
      <c r="E5782" s="6">
        <v>61.25</v>
      </c>
    </row>
    <row r="5783" spans="4:5" x14ac:dyDescent="0.25">
      <c r="D5783" s="4">
        <v>40010</v>
      </c>
      <c r="E5783" s="6">
        <v>62.02</v>
      </c>
    </row>
    <row r="5784" spans="4:5" x14ac:dyDescent="0.25">
      <c r="D5784" s="4">
        <v>40011</v>
      </c>
      <c r="E5784" s="6">
        <v>63.54</v>
      </c>
    </row>
    <row r="5785" spans="4:5" x14ac:dyDescent="0.25">
      <c r="D5785" s="4">
        <v>40014</v>
      </c>
      <c r="E5785" s="6">
        <v>64.64</v>
      </c>
    </row>
    <row r="5786" spans="4:5" x14ac:dyDescent="0.25">
      <c r="D5786" s="4">
        <v>40015</v>
      </c>
      <c r="E5786" s="6">
        <v>65.930000000000007</v>
      </c>
    </row>
    <row r="5787" spans="4:5" x14ac:dyDescent="0.25">
      <c r="D5787" s="4">
        <v>40016</v>
      </c>
      <c r="E5787" s="6">
        <v>65.36</v>
      </c>
    </row>
    <row r="5788" spans="4:5" x14ac:dyDescent="0.25">
      <c r="D5788" s="4">
        <v>40017</v>
      </c>
      <c r="E5788" s="6">
        <v>68.06</v>
      </c>
    </row>
    <row r="5789" spans="4:5" x14ac:dyDescent="0.25">
      <c r="D5789" s="4">
        <v>40018</v>
      </c>
      <c r="E5789" s="6">
        <v>68.819999999999993</v>
      </c>
    </row>
    <row r="5790" spans="4:5" x14ac:dyDescent="0.25">
      <c r="D5790" s="4">
        <v>40021</v>
      </c>
      <c r="E5790" s="6">
        <v>69.78</v>
      </c>
    </row>
    <row r="5791" spans="4:5" x14ac:dyDescent="0.25">
      <c r="D5791" s="4">
        <v>40022</v>
      </c>
      <c r="E5791" s="6">
        <v>68.53</v>
      </c>
    </row>
    <row r="5792" spans="4:5" x14ac:dyDescent="0.25">
      <c r="D5792" s="4">
        <v>40023</v>
      </c>
      <c r="E5792" s="6">
        <v>65.790000000000006</v>
      </c>
    </row>
    <row r="5793" spans="4:5" x14ac:dyDescent="0.25">
      <c r="D5793" s="4">
        <v>40024</v>
      </c>
      <c r="E5793" s="6">
        <v>68.819999999999993</v>
      </c>
    </row>
    <row r="5794" spans="4:5" x14ac:dyDescent="0.25">
      <c r="D5794" s="4">
        <v>40025</v>
      </c>
      <c r="E5794" s="6">
        <v>70.08</v>
      </c>
    </row>
    <row r="5795" spans="4:5" x14ac:dyDescent="0.25">
      <c r="D5795" s="4">
        <v>40028</v>
      </c>
      <c r="E5795" s="6">
        <v>72.900000000000006</v>
      </c>
    </row>
    <row r="5796" spans="4:5" x14ac:dyDescent="0.25">
      <c r="D5796" s="4">
        <v>40029</v>
      </c>
      <c r="E5796" s="6">
        <v>73.819999999999993</v>
      </c>
    </row>
    <row r="5797" spans="4:5" x14ac:dyDescent="0.25">
      <c r="D5797" s="4">
        <v>40030</v>
      </c>
      <c r="E5797" s="6">
        <v>74.39</v>
      </c>
    </row>
    <row r="5798" spans="4:5" x14ac:dyDescent="0.25">
      <c r="D5798" s="4">
        <v>40031</v>
      </c>
      <c r="E5798" s="6">
        <v>74.61</v>
      </c>
    </row>
    <row r="5799" spans="4:5" x14ac:dyDescent="0.25">
      <c r="D5799" s="4">
        <v>40032</v>
      </c>
      <c r="E5799" s="6">
        <v>74.209999999999994</v>
      </c>
    </row>
    <row r="5800" spans="4:5" x14ac:dyDescent="0.25">
      <c r="D5800" s="4">
        <v>40035</v>
      </c>
      <c r="E5800" s="6">
        <v>73.790000000000006</v>
      </c>
    </row>
    <row r="5801" spans="4:5" x14ac:dyDescent="0.25">
      <c r="D5801" s="4">
        <v>40036</v>
      </c>
      <c r="E5801" s="6">
        <v>71.58</v>
      </c>
    </row>
    <row r="5802" spans="4:5" x14ac:dyDescent="0.25">
      <c r="D5802" s="4">
        <v>40037</v>
      </c>
      <c r="E5802" s="6">
        <v>74.03</v>
      </c>
    </row>
    <row r="5803" spans="4:5" x14ac:dyDescent="0.25">
      <c r="D5803" s="4">
        <v>40038</v>
      </c>
      <c r="E5803" s="6">
        <v>73.760000000000005</v>
      </c>
    </row>
    <row r="5804" spans="4:5" x14ac:dyDescent="0.25">
      <c r="D5804" s="4">
        <v>40039</v>
      </c>
      <c r="E5804" s="6">
        <v>71.33</v>
      </c>
    </row>
    <row r="5805" spans="4:5" x14ac:dyDescent="0.25">
      <c r="D5805" s="4">
        <v>40042</v>
      </c>
      <c r="E5805" s="6">
        <v>68.650000000000006</v>
      </c>
    </row>
    <row r="5806" spans="4:5" x14ac:dyDescent="0.25">
      <c r="D5806" s="4">
        <v>40043</v>
      </c>
      <c r="E5806" s="6">
        <v>68.66</v>
      </c>
    </row>
    <row r="5807" spans="4:5" x14ac:dyDescent="0.25">
      <c r="D5807" s="4">
        <v>40044</v>
      </c>
      <c r="E5807" s="6">
        <v>72.81</v>
      </c>
    </row>
    <row r="5808" spans="4:5" x14ac:dyDescent="0.25">
      <c r="D5808" s="4">
        <v>40045</v>
      </c>
      <c r="E5808" s="6">
        <v>73.75</v>
      </c>
    </row>
    <row r="5809" spans="4:5" x14ac:dyDescent="0.25">
      <c r="D5809" s="4">
        <v>40046</v>
      </c>
      <c r="E5809" s="6">
        <v>73.709999999999994</v>
      </c>
    </row>
    <row r="5810" spans="4:5" x14ac:dyDescent="0.25">
      <c r="D5810" s="4">
        <v>40049</v>
      </c>
      <c r="E5810" s="6">
        <v>74.34</v>
      </c>
    </row>
    <row r="5811" spans="4:5" x14ac:dyDescent="0.25">
      <c r="D5811" s="4">
        <v>40050</v>
      </c>
      <c r="E5811" s="6">
        <v>73.099999999999994</v>
      </c>
    </row>
    <row r="5812" spans="4:5" x14ac:dyDescent="0.25">
      <c r="D5812" s="4">
        <v>40051</v>
      </c>
      <c r="E5812" s="6">
        <v>70.739999999999995</v>
      </c>
    </row>
    <row r="5813" spans="4:5" x14ac:dyDescent="0.25">
      <c r="D5813" s="4">
        <v>40052</v>
      </c>
      <c r="E5813" s="6">
        <v>70.680000000000007</v>
      </c>
    </row>
    <row r="5814" spans="4:5" x14ac:dyDescent="0.25">
      <c r="D5814" s="4">
        <v>40053</v>
      </c>
      <c r="E5814" s="6">
        <v>72.8</v>
      </c>
    </row>
    <row r="5815" spans="4:5" x14ac:dyDescent="0.25">
      <c r="D5815" s="4">
        <v>40056</v>
      </c>
      <c r="E5815" s="6">
        <v>69.02</v>
      </c>
    </row>
    <row r="5816" spans="4:5" x14ac:dyDescent="0.25">
      <c r="D5816" s="4">
        <v>40057</v>
      </c>
      <c r="E5816" s="6">
        <v>68.78</v>
      </c>
    </row>
    <row r="5817" spans="4:5" x14ac:dyDescent="0.25">
      <c r="D5817" s="4">
        <v>40058</v>
      </c>
      <c r="E5817" s="6">
        <v>67.599999999999994</v>
      </c>
    </row>
    <row r="5818" spans="4:5" x14ac:dyDescent="0.25">
      <c r="D5818" s="4">
        <v>40059</v>
      </c>
      <c r="E5818" s="6">
        <v>66.78</v>
      </c>
    </row>
    <row r="5819" spans="4:5" x14ac:dyDescent="0.25">
      <c r="D5819" s="4">
        <v>40060</v>
      </c>
      <c r="E5819" s="6">
        <v>65.84</v>
      </c>
    </row>
    <row r="5820" spans="4:5" x14ac:dyDescent="0.25">
      <c r="D5820" s="4">
        <v>40063</v>
      </c>
      <c r="E5820" s="5"/>
    </row>
    <row r="5821" spans="4:5" x14ac:dyDescent="0.25">
      <c r="D5821" s="4">
        <v>40064</v>
      </c>
      <c r="E5821" s="6">
        <v>69.2</v>
      </c>
    </row>
    <row r="5822" spans="4:5" x14ac:dyDescent="0.25">
      <c r="D5822" s="4">
        <v>40065</v>
      </c>
      <c r="E5822" s="6">
        <v>69.760000000000005</v>
      </c>
    </row>
    <row r="5823" spans="4:5" x14ac:dyDescent="0.25">
      <c r="D5823" s="4">
        <v>40066</v>
      </c>
      <c r="E5823" s="6">
        <v>68.959999999999994</v>
      </c>
    </row>
    <row r="5824" spans="4:5" x14ac:dyDescent="0.25">
      <c r="D5824" s="4">
        <v>40067</v>
      </c>
      <c r="E5824" s="6">
        <v>68.760000000000005</v>
      </c>
    </row>
    <row r="5825" spans="4:5" x14ac:dyDescent="0.25">
      <c r="D5825" s="4">
        <v>40070</v>
      </c>
      <c r="E5825" s="6">
        <v>66.91</v>
      </c>
    </row>
    <row r="5826" spans="4:5" x14ac:dyDescent="0.25">
      <c r="D5826" s="4">
        <v>40071</v>
      </c>
      <c r="E5826" s="6">
        <v>66.53</v>
      </c>
    </row>
    <row r="5827" spans="4:5" x14ac:dyDescent="0.25">
      <c r="D5827" s="4">
        <v>40072</v>
      </c>
      <c r="E5827" s="6">
        <v>68.510000000000005</v>
      </c>
    </row>
    <row r="5828" spans="4:5" x14ac:dyDescent="0.25">
      <c r="D5828" s="4">
        <v>40073</v>
      </c>
      <c r="E5828" s="6">
        <v>71.56</v>
      </c>
    </row>
    <row r="5829" spans="4:5" x14ac:dyDescent="0.25">
      <c r="D5829" s="4">
        <v>40074</v>
      </c>
      <c r="E5829" s="6">
        <v>70.72</v>
      </c>
    </row>
    <row r="5830" spans="4:5" x14ac:dyDescent="0.25">
      <c r="D5830" s="4">
        <v>40077</v>
      </c>
      <c r="E5830" s="6">
        <v>68.11</v>
      </c>
    </row>
    <row r="5831" spans="4:5" x14ac:dyDescent="0.25">
      <c r="D5831" s="4">
        <v>40078</v>
      </c>
      <c r="E5831" s="6">
        <v>69.650000000000006</v>
      </c>
    </row>
    <row r="5832" spans="4:5" x14ac:dyDescent="0.25">
      <c r="D5832" s="4">
        <v>40079</v>
      </c>
      <c r="E5832" s="6">
        <v>67.430000000000007</v>
      </c>
    </row>
    <row r="5833" spans="4:5" x14ac:dyDescent="0.25">
      <c r="D5833" s="4">
        <v>40080</v>
      </c>
      <c r="E5833" s="6">
        <v>64.989999999999995</v>
      </c>
    </row>
    <row r="5834" spans="4:5" x14ac:dyDescent="0.25">
      <c r="D5834" s="4">
        <v>40081</v>
      </c>
      <c r="E5834" s="6">
        <v>64.599999999999994</v>
      </c>
    </row>
    <row r="5835" spans="4:5" x14ac:dyDescent="0.25">
      <c r="D5835" s="4">
        <v>40084</v>
      </c>
      <c r="E5835" s="6">
        <v>65.430000000000007</v>
      </c>
    </row>
    <row r="5836" spans="4:5" x14ac:dyDescent="0.25">
      <c r="D5836" s="4">
        <v>40085</v>
      </c>
      <c r="E5836" s="6">
        <v>64.63</v>
      </c>
    </row>
    <row r="5837" spans="4:5" x14ac:dyDescent="0.25">
      <c r="D5837" s="4">
        <v>40086</v>
      </c>
      <c r="E5837" s="6">
        <v>65.819999999999993</v>
      </c>
    </row>
    <row r="5838" spans="4:5" x14ac:dyDescent="0.25">
      <c r="D5838" s="4">
        <v>40087</v>
      </c>
      <c r="E5838" s="6">
        <v>67.12</v>
      </c>
    </row>
    <row r="5839" spans="4:5" x14ac:dyDescent="0.25">
      <c r="D5839" s="4">
        <v>40088</v>
      </c>
      <c r="E5839" s="6">
        <v>66.5</v>
      </c>
    </row>
    <row r="5840" spans="4:5" x14ac:dyDescent="0.25">
      <c r="D5840" s="4">
        <v>40091</v>
      </c>
      <c r="E5840" s="6">
        <v>65.260000000000005</v>
      </c>
    </row>
    <row r="5841" spans="4:5" x14ac:dyDescent="0.25">
      <c r="D5841" s="4">
        <v>40092</v>
      </c>
      <c r="E5841" s="6">
        <v>68.510000000000005</v>
      </c>
    </row>
    <row r="5842" spans="4:5" x14ac:dyDescent="0.25">
      <c r="D5842" s="4">
        <v>40093</v>
      </c>
      <c r="E5842" s="6">
        <v>67.650000000000006</v>
      </c>
    </row>
    <row r="5843" spans="4:5" x14ac:dyDescent="0.25">
      <c r="D5843" s="4">
        <v>40094</v>
      </c>
      <c r="E5843" s="6">
        <v>68.47</v>
      </c>
    </row>
    <row r="5844" spans="4:5" x14ac:dyDescent="0.25">
      <c r="D5844" s="4">
        <v>40095</v>
      </c>
      <c r="E5844" s="6">
        <v>69.45</v>
      </c>
    </row>
    <row r="5845" spans="4:5" x14ac:dyDescent="0.25">
      <c r="D5845" s="4">
        <v>40098</v>
      </c>
      <c r="E5845" s="6">
        <v>70.75</v>
      </c>
    </row>
    <row r="5846" spans="4:5" x14ac:dyDescent="0.25">
      <c r="D5846" s="4">
        <v>40099</v>
      </c>
      <c r="E5846" s="6">
        <v>70.81</v>
      </c>
    </row>
    <row r="5847" spans="4:5" x14ac:dyDescent="0.25">
      <c r="D5847" s="4">
        <v>40100</v>
      </c>
      <c r="E5847" s="6">
        <v>72.16</v>
      </c>
    </row>
    <row r="5848" spans="4:5" x14ac:dyDescent="0.25">
      <c r="D5848" s="4">
        <v>40101</v>
      </c>
      <c r="E5848" s="6">
        <v>73.14</v>
      </c>
    </row>
    <row r="5849" spans="4:5" x14ac:dyDescent="0.25">
      <c r="D5849" s="4">
        <v>40102</v>
      </c>
      <c r="E5849" s="6">
        <v>74.58</v>
      </c>
    </row>
    <row r="5850" spans="4:5" x14ac:dyDescent="0.25">
      <c r="D5850" s="4">
        <v>40105</v>
      </c>
      <c r="E5850" s="6">
        <v>75.86</v>
      </c>
    </row>
    <row r="5851" spans="4:5" x14ac:dyDescent="0.25">
      <c r="D5851" s="4">
        <v>40106</v>
      </c>
      <c r="E5851" s="6">
        <v>76.510000000000005</v>
      </c>
    </row>
    <row r="5852" spans="4:5" x14ac:dyDescent="0.25">
      <c r="D5852" s="4">
        <v>40107</v>
      </c>
      <c r="E5852" s="6">
        <v>77.739999999999995</v>
      </c>
    </row>
    <row r="5853" spans="4:5" x14ac:dyDescent="0.25">
      <c r="D5853" s="4">
        <v>40108</v>
      </c>
      <c r="E5853" s="6">
        <v>78.36</v>
      </c>
    </row>
    <row r="5854" spans="4:5" x14ac:dyDescent="0.25">
      <c r="D5854" s="4">
        <v>40109</v>
      </c>
      <c r="E5854" s="6">
        <v>77.72</v>
      </c>
    </row>
    <row r="5855" spans="4:5" x14ac:dyDescent="0.25">
      <c r="D5855" s="4">
        <v>40112</v>
      </c>
      <c r="E5855" s="6">
        <v>76.45</v>
      </c>
    </row>
    <row r="5856" spans="4:5" x14ac:dyDescent="0.25">
      <c r="D5856" s="4">
        <v>40113</v>
      </c>
      <c r="E5856" s="6">
        <v>76.69</v>
      </c>
    </row>
    <row r="5857" spans="4:5" x14ac:dyDescent="0.25">
      <c r="D5857" s="4">
        <v>40114</v>
      </c>
      <c r="E5857" s="6">
        <v>75.11</v>
      </c>
    </row>
    <row r="5858" spans="4:5" x14ac:dyDescent="0.25">
      <c r="D5858" s="4">
        <v>40115</v>
      </c>
      <c r="E5858" s="6">
        <v>77.180000000000007</v>
      </c>
    </row>
    <row r="5859" spans="4:5" x14ac:dyDescent="0.25">
      <c r="D5859" s="4">
        <v>40116</v>
      </c>
      <c r="E5859" s="6">
        <v>74.91</v>
      </c>
    </row>
    <row r="5860" spans="4:5" x14ac:dyDescent="0.25">
      <c r="D5860" s="4">
        <v>40119</v>
      </c>
      <c r="E5860" s="6">
        <v>75.56</v>
      </c>
    </row>
    <row r="5861" spans="4:5" x14ac:dyDescent="0.25">
      <c r="D5861" s="4">
        <v>40120</v>
      </c>
      <c r="E5861" s="6">
        <v>75.680000000000007</v>
      </c>
    </row>
    <row r="5862" spans="4:5" x14ac:dyDescent="0.25">
      <c r="D5862" s="4">
        <v>40121</v>
      </c>
      <c r="E5862" s="6">
        <v>78.209999999999994</v>
      </c>
    </row>
    <row r="5863" spans="4:5" x14ac:dyDescent="0.25">
      <c r="D5863" s="4">
        <v>40122</v>
      </c>
      <c r="E5863" s="6">
        <v>78.02</v>
      </c>
    </row>
    <row r="5864" spans="4:5" x14ac:dyDescent="0.25">
      <c r="D5864" s="4">
        <v>40123</v>
      </c>
      <c r="E5864" s="6">
        <v>75.510000000000005</v>
      </c>
    </row>
    <row r="5865" spans="4:5" x14ac:dyDescent="0.25">
      <c r="D5865" s="4">
        <v>40126</v>
      </c>
      <c r="E5865" s="6">
        <v>77.180000000000007</v>
      </c>
    </row>
    <row r="5866" spans="4:5" x14ac:dyDescent="0.25">
      <c r="D5866" s="4">
        <v>40127</v>
      </c>
      <c r="E5866" s="6">
        <v>77.069999999999993</v>
      </c>
    </row>
    <row r="5867" spans="4:5" x14ac:dyDescent="0.25">
      <c r="D5867" s="4">
        <v>40128</v>
      </c>
      <c r="E5867" s="6">
        <v>76.989999999999995</v>
      </c>
    </row>
    <row r="5868" spans="4:5" x14ac:dyDescent="0.25">
      <c r="D5868" s="4">
        <v>40129</v>
      </c>
      <c r="E5868" s="6">
        <v>75.180000000000007</v>
      </c>
    </row>
    <row r="5869" spans="4:5" x14ac:dyDescent="0.25">
      <c r="D5869" s="4">
        <v>40130</v>
      </c>
      <c r="E5869" s="6">
        <v>74.81</v>
      </c>
    </row>
    <row r="5870" spans="4:5" x14ac:dyDescent="0.25">
      <c r="D5870" s="4">
        <v>40133</v>
      </c>
      <c r="E5870" s="6">
        <v>77.14</v>
      </c>
    </row>
    <row r="5871" spans="4:5" x14ac:dyDescent="0.25">
      <c r="D5871" s="4">
        <v>40134</v>
      </c>
      <c r="E5871" s="6">
        <v>77.36</v>
      </c>
    </row>
    <row r="5872" spans="4:5" x14ac:dyDescent="0.25">
      <c r="D5872" s="4">
        <v>40135</v>
      </c>
      <c r="E5872" s="6">
        <v>78.64</v>
      </c>
    </row>
    <row r="5873" spans="4:5" x14ac:dyDescent="0.25">
      <c r="D5873" s="4">
        <v>40136</v>
      </c>
      <c r="E5873" s="6">
        <v>76.45</v>
      </c>
    </row>
    <row r="5874" spans="4:5" x14ac:dyDescent="0.25">
      <c r="D5874" s="4">
        <v>40137</v>
      </c>
      <c r="E5874" s="6">
        <v>75.61</v>
      </c>
    </row>
    <row r="5875" spans="4:5" x14ac:dyDescent="0.25">
      <c r="D5875" s="4">
        <v>40140</v>
      </c>
      <c r="E5875" s="6">
        <v>78.14</v>
      </c>
    </row>
    <row r="5876" spans="4:5" x14ac:dyDescent="0.25">
      <c r="D5876" s="4">
        <v>40141</v>
      </c>
      <c r="E5876" s="6">
        <v>75.349999999999994</v>
      </c>
    </row>
    <row r="5877" spans="4:5" x14ac:dyDescent="0.25">
      <c r="D5877" s="4">
        <v>40142</v>
      </c>
      <c r="E5877" s="6">
        <v>76.569999999999993</v>
      </c>
    </row>
    <row r="5878" spans="4:5" x14ac:dyDescent="0.25">
      <c r="D5878" s="4">
        <v>40143</v>
      </c>
      <c r="E5878" s="5"/>
    </row>
    <row r="5879" spans="4:5" x14ac:dyDescent="0.25">
      <c r="D5879" s="4">
        <v>40144</v>
      </c>
      <c r="E5879" s="6">
        <v>76</v>
      </c>
    </row>
    <row r="5880" spans="4:5" x14ac:dyDescent="0.25">
      <c r="D5880" s="4">
        <v>40147</v>
      </c>
      <c r="E5880" s="6">
        <v>77.77</v>
      </c>
    </row>
    <row r="5881" spans="4:5" x14ac:dyDescent="0.25">
      <c r="D5881" s="4">
        <v>40148</v>
      </c>
      <c r="E5881" s="6">
        <v>78.680000000000007</v>
      </c>
    </row>
    <row r="5882" spans="4:5" x14ac:dyDescent="0.25">
      <c r="D5882" s="4">
        <v>40149</v>
      </c>
      <c r="E5882" s="6">
        <v>76.959999999999994</v>
      </c>
    </row>
    <row r="5883" spans="4:5" x14ac:dyDescent="0.25">
      <c r="D5883" s="4">
        <v>40150</v>
      </c>
      <c r="E5883" s="6">
        <v>77.760000000000005</v>
      </c>
    </row>
    <row r="5884" spans="4:5" x14ac:dyDescent="0.25">
      <c r="D5884" s="4">
        <v>40151</v>
      </c>
      <c r="E5884" s="6">
        <v>77.739999999999995</v>
      </c>
    </row>
    <row r="5885" spans="4:5" x14ac:dyDescent="0.25">
      <c r="D5885" s="4">
        <v>40154</v>
      </c>
      <c r="E5885" s="6">
        <v>76.180000000000007</v>
      </c>
    </row>
    <row r="5886" spans="4:5" x14ac:dyDescent="0.25">
      <c r="D5886" s="4">
        <v>40155</v>
      </c>
      <c r="E5886" s="6">
        <v>74.930000000000007</v>
      </c>
    </row>
    <row r="5887" spans="4:5" x14ac:dyDescent="0.25">
      <c r="D5887" s="4">
        <v>40156</v>
      </c>
      <c r="E5887" s="6">
        <v>73.63</v>
      </c>
    </row>
    <row r="5888" spans="4:5" x14ac:dyDescent="0.25">
      <c r="D5888" s="4">
        <v>40157</v>
      </c>
      <c r="E5888" s="6">
        <v>70.91</v>
      </c>
    </row>
    <row r="5889" spans="4:5" x14ac:dyDescent="0.25">
      <c r="D5889" s="4">
        <v>40158</v>
      </c>
      <c r="E5889" s="6">
        <v>70.069999999999993</v>
      </c>
    </row>
    <row r="5890" spans="4:5" x14ac:dyDescent="0.25">
      <c r="D5890" s="4">
        <v>40161</v>
      </c>
      <c r="E5890" s="6">
        <v>71.19</v>
      </c>
    </row>
    <row r="5891" spans="4:5" x14ac:dyDescent="0.25">
      <c r="D5891" s="4">
        <v>40162</v>
      </c>
      <c r="E5891" s="6">
        <v>71.33</v>
      </c>
    </row>
    <row r="5892" spans="4:5" x14ac:dyDescent="0.25">
      <c r="D5892" s="4">
        <v>40163</v>
      </c>
      <c r="E5892" s="6">
        <v>73.34</v>
      </c>
    </row>
    <row r="5893" spans="4:5" x14ac:dyDescent="0.25">
      <c r="D5893" s="4">
        <v>40164</v>
      </c>
      <c r="E5893" s="6">
        <v>71.28</v>
      </c>
    </row>
    <row r="5894" spans="4:5" x14ac:dyDescent="0.25">
      <c r="D5894" s="4">
        <v>40165</v>
      </c>
      <c r="E5894" s="6">
        <v>71.87</v>
      </c>
    </row>
    <row r="5895" spans="4:5" x14ac:dyDescent="0.25">
      <c r="D5895" s="4">
        <v>40168</v>
      </c>
      <c r="E5895" s="6">
        <v>72.739999999999995</v>
      </c>
    </row>
    <row r="5896" spans="4:5" x14ac:dyDescent="0.25">
      <c r="D5896" s="4">
        <v>40169</v>
      </c>
      <c r="E5896" s="6">
        <v>71.64</v>
      </c>
    </row>
    <row r="5897" spans="4:5" x14ac:dyDescent="0.25">
      <c r="D5897" s="4">
        <v>40170</v>
      </c>
      <c r="E5897" s="6">
        <v>73.87</v>
      </c>
    </row>
    <row r="5898" spans="4:5" x14ac:dyDescent="0.25">
      <c r="D5898" s="4">
        <v>40171</v>
      </c>
      <c r="E5898" s="6">
        <v>75.150000000000006</v>
      </c>
    </row>
    <row r="5899" spans="4:5" x14ac:dyDescent="0.25">
      <c r="D5899" s="4">
        <v>40172</v>
      </c>
      <c r="E5899" s="5"/>
    </row>
    <row r="5900" spans="4:5" x14ac:dyDescent="0.25">
      <c r="D5900" s="4">
        <v>40175</v>
      </c>
      <c r="E5900" s="6">
        <v>76.59</v>
      </c>
    </row>
    <row r="5901" spans="4:5" x14ac:dyDescent="0.25">
      <c r="D5901" s="4">
        <v>40176</v>
      </c>
      <c r="E5901" s="6">
        <v>76.650000000000006</v>
      </c>
    </row>
    <row r="5902" spans="4:5" x14ac:dyDescent="0.25">
      <c r="D5902" s="4">
        <v>40177</v>
      </c>
      <c r="E5902" s="6">
        <v>77.62</v>
      </c>
    </row>
    <row r="5903" spans="4:5" x14ac:dyDescent="0.25">
      <c r="D5903" s="4">
        <v>40178</v>
      </c>
      <c r="E5903" s="6">
        <v>77.91</v>
      </c>
    </row>
    <row r="5904" spans="4:5" x14ac:dyDescent="0.25">
      <c r="D5904" s="4">
        <v>40179</v>
      </c>
      <c r="E5904" s="5"/>
    </row>
    <row r="5905" spans="4:5" x14ac:dyDescent="0.25">
      <c r="D5905" s="4">
        <v>40182</v>
      </c>
      <c r="E5905" s="6">
        <v>79.05</v>
      </c>
    </row>
    <row r="5906" spans="4:5" x14ac:dyDescent="0.25">
      <c r="D5906" s="4">
        <v>40183</v>
      </c>
      <c r="E5906" s="6">
        <v>79.27</v>
      </c>
    </row>
    <row r="5907" spans="4:5" x14ac:dyDescent="0.25">
      <c r="D5907" s="4">
        <v>40184</v>
      </c>
      <c r="E5907" s="6">
        <v>80.14</v>
      </c>
    </row>
    <row r="5908" spans="4:5" x14ac:dyDescent="0.25">
      <c r="D5908" s="4">
        <v>40185</v>
      </c>
      <c r="E5908" s="6">
        <v>80.569999999999993</v>
      </c>
    </row>
    <row r="5909" spans="4:5" x14ac:dyDescent="0.25">
      <c r="D5909" s="4">
        <v>40186</v>
      </c>
      <c r="E5909" s="6">
        <v>80.06</v>
      </c>
    </row>
    <row r="5910" spans="4:5" x14ac:dyDescent="0.25">
      <c r="D5910" s="4">
        <v>40189</v>
      </c>
      <c r="E5910" s="6">
        <v>80.14</v>
      </c>
    </row>
    <row r="5911" spans="4:5" x14ac:dyDescent="0.25">
      <c r="D5911" s="4">
        <v>40190</v>
      </c>
      <c r="E5911" s="6">
        <v>79.38</v>
      </c>
    </row>
    <row r="5912" spans="4:5" x14ac:dyDescent="0.25">
      <c r="D5912" s="4">
        <v>40191</v>
      </c>
      <c r="E5912" s="6">
        <v>77.569999999999993</v>
      </c>
    </row>
    <row r="5913" spans="4:5" x14ac:dyDescent="0.25">
      <c r="D5913" s="4">
        <v>40192</v>
      </c>
      <c r="E5913" s="6">
        <v>77.61</v>
      </c>
    </row>
    <row r="5914" spans="4:5" x14ac:dyDescent="0.25">
      <c r="D5914" s="4">
        <v>40193</v>
      </c>
      <c r="E5914" s="6">
        <v>76.849999999999994</v>
      </c>
    </row>
    <row r="5915" spans="4:5" x14ac:dyDescent="0.25">
      <c r="D5915" s="4">
        <v>40196</v>
      </c>
      <c r="E5915" s="5"/>
    </row>
    <row r="5916" spans="4:5" x14ac:dyDescent="0.25">
      <c r="D5916" s="4">
        <v>40197</v>
      </c>
      <c r="E5916" s="6">
        <v>75.180000000000007</v>
      </c>
    </row>
    <row r="5917" spans="4:5" x14ac:dyDescent="0.25">
      <c r="D5917" s="4">
        <v>40198</v>
      </c>
      <c r="E5917" s="6">
        <v>75.09</v>
      </c>
    </row>
    <row r="5918" spans="4:5" x14ac:dyDescent="0.25">
      <c r="D5918" s="4">
        <v>40199</v>
      </c>
      <c r="E5918" s="6">
        <v>74.13</v>
      </c>
    </row>
    <row r="5919" spans="4:5" x14ac:dyDescent="0.25">
      <c r="D5919" s="4">
        <v>40200</v>
      </c>
      <c r="E5919" s="6">
        <v>72.73</v>
      </c>
    </row>
    <row r="5920" spans="4:5" x14ac:dyDescent="0.25">
      <c r="D5920" s="4">
        <v>40203</v>
      </c>
      <c r="E5920" s="6">
        <v>72.180000000000007</v>
      </c>
    </row>
    <row r="5921" spans="4:5" x14ac:dyDescent="0.25">
      <c r="D5921" s="4">
        <v>40204</v>
      </c>
      <c r="E5921" s="6">
        <v>72.63</v>
      </c>
    </row>
    <row r="5922" spans="4:5" x14ac:dyDescent="0.25">
      <c r="D5922" s="4">
        <v>40205</v>
      </c>
      <c r="E5922" s="6">
        <v>72.75</v>
      </c>
    </row>
    <row r="5923" spans="4:5" x14ac:dyDescent="0.25">
      <c r="D5923" s="4">
        <v>40206</v>
      </c>
      <c r="E5923" s="6">
        <v>70.650000000000006</v>
      </c>
    </row>
    <row r="5924" spans="4:5" x14ac:dyDescent="0.25">
      <c r="D5924" s="4">
        <v>40207</v>
      </c>
      <c r="E5924" s="6">
        <v>71.2</v>
      </c>
    </row>
    <row r="5925" spans="4:5" x14ac:dyDescent="0.25">
      <c r="D5925" s="4">
        <v>40210</v>
      </c>
      <c r="E5925" s="6">
        <v>71.58</v>
      </c>
    </row>
    <row r="5926" spans="4:5" x14ac:dyDescent="0.25">
      <c r="D5926" s="4">
        <v>40211</v>
      </c>
      <c r="E5926" s="6">
        <v>73.94</v>
      </c>
    </row>
    <row r="5927" spans="4:5" x14ac:dyDescent="0.25">
      <c r="D5927" s="4">
        <v>40212</v>
      </c>
      <c r="E5927" s="6">
        <v>75.77</v>
      </c>
    </row>
    <row r="5928" spans="4:5" x14ac:dyDescent="0.25">
      <c r="D5928" s="4">
        <v>40213</v>
      </c>
      <c r="E5928" s="6">
        <v>71.3</v>
      </c>
    </row>
    <row r="5929" spans="4:5" x14ac:dyDescent="0.25">
      <c r="D5929" s="4">
        <v>40214</v>
      </c>
      <c r="E5929" s="6">
        <v>70.11</v>
      </c>
    </row>
    <row r="5930" spans="4:5" x14ac:dyDescent="0.25">
      <c r="D5930" s="4">
        <v>40217</v>
      </c>
      <c r="E5930" s="6">
        <v>69.62</v>
      </c>
    </row>
    <row r="5931" spans="4:5" x14ac:dyDescent="0.25">
      <c r="D5931" s="4">
        <v>40218</v>
      </c>
      <c r="E5931" s="6">
        <v>70.400000000000006</v>
      </c>
    </row>
    <row r="5932" spans="4:5" x14ac:dyDescent="0.25">
      <c r="D5932" s="4">
        <v>40219</v>
      </c>
      <c r="E5932" s="6">
        <v>70.400000000000006</v>
      </c>
    </row>
    <row r="5933" spans="4:5" x14ac:dyDescent="0.25">
      <c r="D5933" s="4">
        <v>40220</v>
      </c>
      <c r="E5933" s="6">
        <v>72.349999999999994</v>
      </c>
    </row>
    <row r="5934" spans="4:5" x14ac:dyDescent="0.25">
      <c r="D5934" s="4">
        <v>40221</v>
      </c>
      <c r="E5934" s="6">
        <v>71.489999999999995</v>
      </c>
    </row>
    <row r="5935" spans="4:5" x14ac:dyDescent="0.25">
      <c r="D5935" s="4">
        <v>40224</v>
      </c>
      <c r="E5935" s="5"/>
    </row>
    <row r="5936" spans="4:5" x14ac:dyDescent="0.25">
      <c r="D5936" s="4">
        <v>40225</v>
      </c>
      <c r="E5936" s="6">
        <v>74.819999999999993</v>
      </c>
    </row>
    <row r="5937" spans="4:5" x14ac:dyDescent="0.25">
      <c r="D5937" s="4">
        <v>40226</v>
      </c>
      <c r="E5937" s="6">
        <v>74.89</v>
      </c>
    </row>
    <row r="5938" spans="4:5" x14ac:dyDescent="0.25">
      <c r="D5938" s="4">
        <v>40227</v>
      </c>
      <c r="E5938" s="6">
        <v>76.61</v>
      </c>
    </row>
    <row r="5939" spans="4:5" x14ac:dyDescent="0.25">
      <c r="D5939" s="4">
        <v>40228</v>
      </c>
      <c r="E5939" s="6">
        <v>76.88</v>
      </c>
    </row>
    <row r="5940" spans="4:5" x14ac:dyDescent="0.25">
      <c r="D5940" s="4">
        <v>40231</v>
      </c>
      <c r="E5940" s="6">
        <v>76.95</v>
      </c>
    </row>
    <row r="5941" spans="4:5" x14ac:dyDescent="0.25">
      <c r="D5941" s="4">
        <v>40232</v>
      </c>
      <c r="E5941" s="6">
        <v>76.44</v>
      </c>
    </row>
    <row r="5942" spans="4:5" x14ac:dyDescent="0.25">
      <c r="D5942" s="4">
        <v>40233</v>
      </c>
      <c r="E5942" s="6">
        <v>77</v>
      </c>
    </row>
    <row r="5943" spans="4:5" x14ac:dyDescent="0.25">
      <c r="D5943" s="4">
        <v>40234</v>
      </c>
      <c r="E5943" s="6">
        <v>74.38</v>
      </c>
    </row>
    <row r="5944" spans="4:5" x14ac:dyDescent="0.25">
      <c r="D5944" s="4">
        <v>40235</v>
      </c>
      <c r="E5944" s="6">
        <v>76.36</v>
      </c>
    </row>
    <row r="5945" spans="4:5" x14ac:dyDescent="0.25">
      <c r="D5945" s="4">
        <v>40238</v>
      </c>
      <c r="E5945" s="6">
        <v>76.069999999999993</v>
      </c>
    </row>
    <row r="5946" spans="4:5" x14ac:dyDescent="0.25">
      <c r="D5946" s="4">
        <v>40239</v>
      </c>
      <c r="E5946" s="6">
        <v>77.5</v>
      </c>
    </row>
    <row r="5947" spans="4:5" x14ac:dyDescent="0.25">
      <c r="D5947" s="4">
        <v>40240</v>
      </c>
      <c r="E5947" s="6">
        <v>78.66</v>
      </c>
    </row>
    <row r="5948" spans="4:5" x14ac:dyDescent="0.25">
      <c r="D5948" s="4">
        <v>40241</v>
      </c>
      <c r="E5948" s="6">
        <v>77.88</v>
      </c>
    </row>
    <row r="5949" spans="4:5" x14ac:dyDescent="0.25">
      <c r="D5949" s="4">
        <v>40242</v>
      </c>
      <c r="E5949" s="6">
        <v>79.2</v>
      </c>
    </row>
    <row r="5950" spans="4:5" x14ac:dyDescent="0.25">
      <c r="D5950" s="4">
        <v>40245</v>
      </c>
      <c r="E5950" s="6">
        <v>78.94</v>
      </c>
    </row>
    <row r="5951" spans="4:5" x14ac:dyDescent="0.25">
      <c r="D5951" s="4">
        <v>40246</v>
      </c>
      <c r="E5951" s="6">
        <v>78.77</v>
      </c>
    </row>
    <row r="5952" spans="4:5" x14ac:dyDescent="0.25">
      <c r="D5952" s="4">
        <v>40247</v>
      </c>
      <c r="E5952" s="6">
        <v>80.290000000000006</v>
      </c>
    </row>
    <row r="5953" spans="4:5" x14ac:dyDescent="0.25">
      <c r="D5953" s="4">
        <v>40248</v>
      </c>
      <c r="E5953" s="6">
        <v>79.44</v>
      </c>
    </row>
    <row r="5954" spans="4:5" x14ac:dyDescent="0.25">
      <c r="D5954" s="4">
        <v>40249</v>
      </c>
      <c r="E5954" s="6">
        <v>79.38</v>
      </c>
    </row>
    <row r="5955" spans="4:5" x14ac:dyDescent="0.25">
      <c r="D5955" s="4">
        <v>40252</v>
      </c>
      <c r="E5955" s="6">
        <v>77.08</v>
      </c>
    </row>
    <row r="5956" spans="4:5" x14ac:dyDescent="0.25">
      <c r="D5956" s="4">
        <v>40253</v>
      </c>
      <c r="E5956" s="6">
        <v>79.45</v>
      </c>
    </row>
    <row r="5957" spans="4:5" x14ac:dyDescent="0.25">
      <c r="D5957" s="4">
        <v>40254</v>
      </c>
      <c r="E5957" s="6">
        <v>80.28</v>
      </c>
    </row>
    <row r="5958" spans="4:5" x14ac:dyDescent="0.25">
      <c r="D5958" s="4">
        <v>40255</v>
      </c>
      <c r="E5958" s="6">
        <v>80.09</v>
      </c>
    </row>
    <row r="5959" spans="4:5" x14ac:dyDescent="0.25">
      <c r="D5959" s="4">
        <v>40256</v>
      </c>
      <c r="E5959" s="6">
        <v>78.37</v>
      </c>
    </row>
    <row r="5960" spans="4:5" x14ac:dyDescent="0.25">
      <c r="D5960" s="4">
        <v>40259</v>
      </c>
      <c r="E5960" s="6">
        <v>78.09</v>
      </c>
    </row>
    <row r="5961" spans="4:5" x14ac:dyDescent="0.25">
      <c r="D5961" s="4">
        <v>40260</v>
      </c>
      <c r="E5961" s="6">
        <v>79.17</v>
      </c>
    </row>
    <row r="5962" spans="4:5" x14ac:dyDescent="0.25">
      <c r="D5962" s="4">
        <v>40261</v>
      </c>
      <c r="E5962" s="6">
        <v>78.03</v>
      </c>
    </row>
    <row r="5963" spans="4:5" x14ac:dyDescent="0.25">
      <c r="D5963" s="4">
        <v>40262</v>
      </c>
      <c r="E5963" s="6">
        <v>78.64</v>
      </c>
    </row>
    <row r="5964" spans="4:5" x14ac:dyDescent="0.25">
      <c r="D5964" s="4">
        <v>40263</v>
      </c>
      <c r="E5964" s="6">
        <v>77.98</v>
      </c>
    </row>
    <row r="5965" spans="4:5" x14ac:dyDescent="0.25">
      <c r="D5965" s="4">
        <v>40266</v>
      </c>
      <c r="E5965" s="6">
        <v>79.89</v>
      </c>
    </row>
    <row r="5966" spans="4:5" x14ac:dyDescent="0.25">
      <c r="D5966" s="4">
        <v>40267</v>
      </c>
      <c r="E5966" s="6">
        <v>79.459999999999994</v>
      </c>
    </row>
    <row r="5967" spans="4:5" x14ac:dyDescent="0.25">
      <c r="D5967" s="4">
        <v>40268</v>
      </c>
      <c r="E5967" s="6">
        <v>80.37</v>
      </c>
    </row>
    <row r="5968" spans="4:5" x14ac:dyDescent="0.25">
      <c r="D5968" s="4">
        <v>40269</v>
      </c>
      <c r="E5968" s="6">
        <v>82.63</v>
      </c>
    </row>
    <row r="5969" spans="4:5" x14ac:dyDescent="0.25">
      <c r="D5969" s="4">
        <v>40270</v>
      </c>
      <c r="E5969" s="5"/>
    </row>
    <row r="5970" spans="4:5" x14ac:dyDescent="0.25">
      <c r="D5970" s="4">
        <v>40273</v>
      </c>
      <c r="E5970" s="6">
        <v>84.48</v>
      </c>
    </row>
    <row r="5971" spans="4:5" x14ac:dyDescent="0.25">
      <c r="D5971" s="4">
        <v>40274</v>
      </c>
      <c r="E5971" s="6">
        <v>85.05</v>
      </c>
    </row>
    <row r="5972" spans="4:5" x14ac:dyDescent="0.25">
      <c r="D5972" s="4">
        <v>40275</v>
      </c>
      <c r="E5972" s="6">
        <v>84.49</v>
      </c>
    </row>
    <row r="5973" spans="4:5" x14ac:dyDescent="0.25">
      <c r="D5973" s="4">
        <v>40276</v>
      </c>
      <c r="E5973" s="6">
        <v>82.63</v>
      </c>
    </row>
    <row r="5974" spans="4:5" x14ac:dyDescent="0.25">
      <c r="D5974" s="4">
        <v>40277</v>
      </c>
      <c r="E5974" s="6">
        <v>82.77</v>
      </c>
    </row>
    <row r="5975" spans="4:5" x14ac:dyDescent="0.25">
      <c r="D5975" s="4">
        <v>40280</v>
      </c>
      <c r="E5975" s="6">
        <v>85.21</v>
      </c>
    </row>
    <row r="5976" spans="4:5" x14ac:dyDescent="0.25">
      <c r="D5976" s="4">
        <v>40281</v>
      </c>
      <c r="E5976" s="6">
        <v>83.44</v>
      </c>
    </row>
    <row r="5977" spans="4:5" x14ac:dyDescent="0.25">
      <c r="D5977" s="4">
        <v>40282</v>
      </c>
      <c r="E5977" s="6">
        <v>85.81</v>
      </c>
    </row>
    <row r="5978" spans="4:5" x14ac:dyDescent="0.25">
      <c r="D5978" s="4">
        <v>40283</v>
      </c>
      <c r="E5978" s="6">
        <v>86.9</v>
      </c>
    </row>
    <row r="5979" spans="4:5" x14ac:dyDescent="0.25">
      <c r="D5979" s="4">
        <v>40284</v>
      </c>
      <c r="E5979" s="6">
        <v>84.81</v>
      </c>
    </row>
    <row r="5980" spans="4:5" x14ac:dyDescent="0.25">
      <c r="D5980" s="4">
        <v>40287</v>
      </c>
      <c r="E5980" s="6">
        <v>83.09</v>
      </c>
    </row>
    <row r="5981" spans="4:5" x14ac:dyDescent="0.25">
      <c r="D5981" s="4">
        <v>40288</v>
      </c>
      <c r="E5981" s="6">
        <v>84.73</v>
      </c>
    </row>
    <row r="5982" spans="4:5" x14ac:dyDescent="0.25">
      <c r="D5982" s="4">
        <v>40289</v>
      </c>
      <c r="E5982" s="6">
        <v>84.55</v>
      </c>
    </row>
    <row r="5983" spans="4:5" x14ac:dyDescent="0.25">
      <c r="D5983" s="4">
        <v>40290</v>
      </c>
      <c r="E5983" s="6">
        <v>84.58</v>
      </c>
    </row>
    <row r="5984" spans="4:5" x14ac:dyDescent="0.25">
      <c r="D5984" s="4">
        <v>40291</v>
      </c>
      <c r="E5984" s="6">
        <v>86.09</v>
      </c>
    </row>
    <row r="5985" spans="4:5" x14ac:dyDescent="0.25">
      <c r="D5985" s="4">
        <v>40294</v>
      </c>
      <c r="E5985" s="6">
        <v>86.72</v>
      </c>
    </row>
    <row r="5986" spans="4:5" x14ac:dyDescent="0.25">
      <c r="D5986" s="4">
        <v>40295</v>
      </c>
      <c r="E5986" s="6">
        <v>85.59</v>
      </c>
    </row>
    <row r="5987" spans="4:5" x14ac:dyDescent="0.25">
      <c r="D5987" s="4">
        <v>40296</v>
      </c>
      <c r="E5987" s="6">
        <v>84.59</v>
      </c>
    </row>
    <row r="5988" spans="4:5" x14ac:dyDescent="0.25">
      <c r="D5988" s="4">
        <v>40297</v>
      </c>
      <c r="E5988" s="6">
        <v>86.82</v>
      </c>
    </row>
    <row r="5989" spans="4:5" x14ac:dyDescent="0.25">
      <c r="D5989" s="4">
        <v>40298</v>
      </c>
      <c r="E5989" s="6">
        <v>86.19</v>
      </c>
    </row>
    <row r="5990" spans="4:5" x14ac:dyDescent="0.25">
      <c r="D5990" s="4">
        <v>40301</v>
      </c>
      <c r="E5990" s="6">
        <v>88.09</v>
      </c>
    </row>
    <row r="5991" spans="4:5" x14ac:dyDescent="0.25">
      <c r="D5991" s="4">
        <v>40302</v>
      </c>
      <c r="E5991" s="6">
        <v>85.39</v>
      </c>
    </row>
    <row r="5992" spans="4:5" x14ac:dyDescent="0.25">
      <c r="D5992" s="4">
        <v>40303</v>
      </c>
      <c r="E5992" s="6">
        <v>82.31</v>
      </c>
    </row>
    <row r="5993" spans="4:5" x14ac:dyDescent="0.25">
      <c r="D5993" s="4">
        <v>40304</v>
      </c>
      <c r="E5993" s="6">
        <v>80.209999999999994</v>
      </c>
    </row>
    <row r="5994" spans="4:5" x14ac:dyDescent="0.25">
      <c r="D5994" s="4">
        <v>40305</v>
      </c>
      <c r="E5994" s="6">
        <v>76.48</v>
      </c>
    </row>
    <row r="5995" spans="4:5" x14ac:dyDescent="0.25">
      <c r="D5995" s="4">
        <v>40308</v>
      </c>
      <c r="E5995" s="6">
        <v>78.08</v>
      </c>
    </row>
    <row r="5996" spans="4:5" x14ac:dyDescent="0.25">
      <c r="D5996" s="4">
        <v>40309</v>
      </c>
      <c r="E5996" s="6">
        <v>79</v>
      </c>
    </row>
    <row r="5997" spans="4:5" x14ac:dyDescent="0.25">
      <c r="D5997" s="4">
        <v>40310</v>
      </c>
      <c r="E5997" s="6">
        <v>78.7</v>
      </c>
    </row>
    <row r="5998" spans="4:5" x14ac:dyDescent="0.25">
      <c r="D5998" s="4">
        <v>40311</v>
      </c>
      <c r="E5998" s="6">
        <v>79.41</v>
      </c>
    </row>
    <row r="5999" spans="4:5" x14ac:dyDescent="0.25">
      <c r="D5999" s="4">
        <v>40312</v>
      </c>
      <c r="E5999" s="6">
        <v>76.430000000000007</v>
      </c>
    </row>
    <row r="6000" spans="4:5" x14ac:dyDescent="0.25">
      <c r="D6000" s="4">
        <v>40315</v>
      </c>
      <c r="E6000" s="6">
        <v>73.87</v>
      </c>
    </row>
    <row r="6001" spans="4:5" x14ac:dyDescent="0.25">
      <c r="D6001" s="4">
        <v>40316</v>
      </c>
      <c r="E6001" s="6">
        <v>75.12</v>
      </c>
    </row>
    <row r="6002" spans="4:5" x14ac:dyDescent="0.25">
      <c r="D6002" s="4">
        <v>40317</v>
      </c>
      <c r="E6002" s="6">
        <v>71.86</v>
      </c>
    </row>
    <row r="6003" spans="4:5" x14ac:dyDescent="0.25">
      <c r="D6003" s="4">
        <v>40318</v>
      </c>
      <c r="E6003" s="6">
        <v>69.56</v>
      </c>
    </row>
    <row r="6004" spans="4:5" x14ac:dyDescent="0.25">
      <c r="D6004" s="4">
        <v>40319</v>
      </c>
      <c r="E6004" s="6">
        <v>70.45</v>
      </c>
    </row>
    <row r="6005" spans="4:5" x14ac:dyDescent="0.25">
      <c r="D6005" s="4">
        <v>40322</v>
      </c>
      <c r="E6005" s="6">
        <v>69.62</v>
      </c>
    </row>
    <row r="6006" spans="4:5" x14ac:dyDescent="0.25">
      <c r="D6006" s="4">
        <v>40323</v>
      </c>
      <c r="E6006" s="6">
        <v>67.180000000000007</v>
      </c>
    </row>
    <row r="6007" spans="4:5" x14ac:dyDescent="0.25">
      <c r="D6007" s="4">
        <v>40324</v>
      </c>
      <c r="E6007" s="6">
        <v>70.59</v>
      </c>
    </row>
    <row r="6008" spans="4:5" x14ac:dyDescent="0.25">
      <c r="D6008" s="4">
        <v>40325</v>
      </c>
      <c r="E6008" s="6">
        <v>73.56</v>
      </c>
    </row>
    <row r="6009" spans="4:5" x14ac:dyDescent="0.25">
      <c r="D6009" s="4">
        <v>40326</v>
      </c>
      <c r="E6009" s="6">
        <v>73</v>
      </c>
    </row>
    <row r="6010" spans="4:5" x14ac:dyDescent="0.25">
      <c r="D6010" s="4">
        <v>40329</v>
      </c>
      <c r="E6010" s="5"/>
    </row>
    <row r="6011" spans="4:5" x14ac:dyDescent="0.25">
      <c r="D6011" s="4">
        <v>40330</v>
      </c>
      <c r="E6011" s="6">
        <v>73.08</v>
      </c>
    </row>
    <row r="6012" spans="4:5" x14ac:dyDescent="0.25">
      <c r="D6012" s="4">
        <v>40331</v>
      </c>
      <c r="E6012" s="6">
        <v>72.78</v>
      </c>
    </row>
    <row r="6013" spans="4:5" x14ac:dyDescent="0.25">
      <c r="D6013" s="4">
        <v>40332</v>
      </c>
      <c r="E6013" s="6">
        <v>73.12</v>
      </c>
    </row>
    <row r="6014" spans="4:5" x14ac:dyDescent="0.25">
      <c r="D6014" s="4">
        <v>40333</v>
      </c>
      <c r="E6014" s="6">
        <v>71.84</v>
      </c>
    </row>
    <row r="6015" spans="4:5" x14ac:dyDescent="0.25">
      <c r="D6015" s="4">
        <v>40336</v>
      </c>
      <c r="E6015" s="6">
        <v>71.09</v>
      </c>
    </row>
    <row r="6016" spans="4:5" x14ac:dyDescent="0.25">
      <c r="D6016" s="4">
        <v>40337</v>
      </c>
      <c r="E6016" s="6">
        <v>71.430000000000007</v>
      </c>
    </row>
    <row r="6017" spans="4:5" x14ac:dyDescent="0.25">
      <c r="D6017" s="4">
        <v>40338</v>
      </c>
      <c r="E6017" s="6">
        <v>73.680000000000007</v>
      </c>
    </row>
    <row r="6018" spans="4:5" x14ac:dyDescent="0.25">
      <c r="D6018" s="4">
        <v>40339</v>
      </c>
      <c r="E6018" s="6">
        <v>74.33</v>
      </c>
    </row>
    <row r="6019" spans="4:5" x14ac:dyDescent="0.25">
      <c r="D6019" s="4">
        <v>40340</v>
      </c>
      <c r="E6019" s="6">
        <v>73.28</v>
      </c>
    </row>
    <row r="6020" spans="4:5" x14ac:dyDescent="0.25">
      <c r="D6020" s="4">
        <v>40343</v>
      </c>
      <c r="E6020" s="6">
        <v>75.11</v>
      </c>
    </row>
    <row r="6021" spans="4:5" x14ac:dyDescent="0.25">
      <c r="D6021" s="4">
        <v>40344</v>
      </c>
      <c r="E6021" s="6">
        <v>75.290000000000006</v>
      </c>
    </row>
    <row r="6022" spans="4:5" x14ac:dyDescent="0.25">
      <c r="D6022" s="4">
        <v>40345</v>
      </c>
      <c r="E6022" s="6">
        <v>76.12</v>
      </c>
    </row>
    <row r="6023" spans="4:5" x14ac:dyDescent="0.25">
      <c r="D6023" s="4">
        <v>40346</v>
      </c>
      <c r="E6023" s="6">
        <v>77.52</v>
      </c>
    </row>
    <row r="6024" spans="4:5" x14ac:dyDescent="0.25">
      <c r="D6024" s="4">
        <v>40347</v>
      </c>
      <c r="E6024" s="6">
        <v>77.05</v>
      </c>
    </row>
    <row r="6025" spans="4:5" x14ac:dyDescent="0.25">
      <c r="D6025" s="4">
        <v>40350</v>
      </c>
      <c r="E6025" s="6">
        <v>78.53</v>
      </c>
    </row>
    <row r="6026" spans="4:5" x14ac:dyDescent="0.25">
      <c r="D6026" s="4">
        <v>40351</v>
      </c>
      <c r="E6026" s="6">
        <v>78.08</v>
      </c>
    </row>
    <row r="6027" spans="4:5" x14ac:dyDescent="0.25">
      <c r="D6027" s="4">
        <v>40352</v>
      </c>
      <c r="E6027" s="6">
        <v>75.22</v>
      </c>
    </row>
    <row r="6028" spans="4:5" x14ac:dyDescent="0.25">
      <c r="D6028" s="4">
        <v>40353</v>
      </c>
      <c r="E6028" s="6">
        <v>75.17</v>
      </c>
    </row>
    <row r="6029" spans="4:5" x14ac:dyDescent="0.25">
      <c r="D6029" s="4">
        <v>40354</v>
      </c>
      <c r="E6029" s="6">
        <v>76.209999999999994</v>
      </c>
    </row>
    <row r="6030" spans="4:5" x14ac:dyDescent="0.25">
      <c r="D6030" s="4">
        <v>40357</v>
      </c>
      <c r="E6030" s="6">
        <v>76.66</v>
      </c>
    </row>
    <row r="6031" spans="4:5" x14ac:dyDescent="0.25">
      <c r="D6031" s="4">
        <v>40358</v>
      </c>
      <c r="E6031" s="6">
        <v>74.209999999999994</v>
      </c>
    </row>
    <row r="6032" spans="4:5" x14ac:dyDescent="0.25">
      <c r="D6032" s="4">
        <v>40359</v>
      </c>
      <c r="E6032" s="6">
        <v>74.94</v>
      </c>
    </row>
    <row r="6033" spans="4:5" x14ac:dyDescent="0.25">
      <c r="D6033" s="4">
        <v>40360</v>
      </c>
      <c r="E6033" s="6">
        <v>71.73</v>
      </c>
    </row>
    <row r="6034" spans="4:5" x14ac:dyDescent="0.25">
      <c r="D6034" s="4">
        <v>40361</v>
      </c>
      <c r="E6034" s="6">
        <v>71.75</v>
      </c>
    </row>
    <row r="6035" spans="4:5" x14ac:dyDescent="0.25">
      <c r="D6035" s="4">
        <v>40364</v>
      </c>
      <c r="E6035" s="5"/>
    </row>
    <row r="6036" spans="4:5" x14ac:dyDescent="0.25">
      <c r="D6036" s="4">
        <v>40365</v>
      </c>
      <c r="E6036" s="6">
        <v>73.08</v>
      </c>
    </row>
    <row r="6037" spans="4:5" x14ac:dyDescent="0.25">
      <c r="D6037" s="4">
        <v>40366</v>
      </c>
      <c r="E6037" s="6">
        <v>72.97</v>
      </c>
    </row>
    <row r="6038" spans="4:5" x14ac:dyDescent="0.25">
      <c r="D6038" s="4">
        <v>40367</v>
      </c>
      <c r="E6038" s="6">
        <v>74.56</v>
      </c>
    </row>
    <row r="6039" spans="4:5" x14ac:dyDescent="0.25">
      <c r="D6039" s="4">
        <v>40368</v>
      </c>
      <c r="E6039" s="6">
        <v>75.2</v>
      </c>
    </row>
    <row r="6040" spans="4:5" x14ac:dyDescent="0.25">
      <c r="D6040" s="4">
        <v>40371</v>
      </c>
      <c r="E6040" s="6">
        <v>74.349999999999994</v>
      </c>
    </row>
    <row r="6041" spans="4:5" x14ac:dyDescent="0.25">
      <c r="D6041" s="4">
        <v>40372</v>
      </c>
      <c r="E6041" s="6">
        <v>76.45</v>
      </c>
    </row>
    <row r="6042" spans="4:5" x14ac:dyDescent="0.25">
      <c r="D6042" s="4">
        <v>40373</v>
      </c>
      <c r="E6042" s="6">
        <v>76.63</v>
      </c>
    </row>
    <row r="6043" spans="4:5" x14ac:dyDescent="0.25">
      <c r="D6043" s="4">
        <v>40374</v>
      </c>
      <c r="E6043" s="6">
        <v>75.52</v>
      </c>
    </row>
    <row r="6044" spans="4:5" x14ac:dyDescent="0.25">
      <c r="D6044" s="4">
        <v>40375</v>
      </c>
      <c r="E6044" s="6">
        <v>75.55</v>
      </c>
    </row>
    <row r="6045" spans="4:5" x14ac:dyDescent="0.25">
      <c r="D6045" s="4">
        <v>40378</v>
      </c>
      <c r="E6045" s="6">
        <v>76.290000000000006</v>
      </c>
    </row>
    <row r="6046" spans="4:5" x14ac:dyDescent="0.25">
      <c r="D6046" s="4">
        <v>40379</v>
      </c>
      <c r="E6046" s="6">
        <v>76.31</v>
      </c>
    </row>
    <row r="6047" spans="4:5" x14ac:dyDescent="0.25">
      <c r="D6047" s="4">
        <v>40380</v>
      </c>
      <c r="E6047" s="6">
        <v>75.75</v>
      </c>
    </row>
    <row r="6048" spans="4:5" x14ac:dyDescent="0.25">
      <c r="D6048" s="4">
        <v>40381</v>
      </c>
      <c r="E6048" s="6">
        <v>77.59</v>
      </c>
    </row>
    <row r="6049" spans="4:5" x14ac:dyDescent="0.25">
      <c r="D6049" s="4">
        <v>40382</v>
      </c>
      <c r="E6049" s="6">
        <v>77.27</v>
      </c>
    </row>
    <row r="6050" spans="4:5" x14ac:dyDescent="0.25">
      <c r="D6050" s="4">
        <v>40385</v>
      </c>
      <c r="E6050" s="6">
        <v>77.900000000000006</v>
      </c>
    </row>
    <row r="6051" spans="4:5" x14ac:dyDescent="0.25">
      <c r="D6051" s="4">
        <v>40386</v>
      </c>
      <c r="E6051" s="6">
        <v>75.52</v>
      </c>
    </row>
    <row r="6052" spans="4:5" x14ac:dyDescent="0.25">
      <c r="D6052" s="4">
        <v>40387</v>
      </c>
      <c r="E6052" s="6">
        <v>76.66</v>
      </c>
    </row>
    <row r="6053" spans="4:5" x14ac:dyDescent="0.25">
      <c r="D6053" s="4">
        <v>40388</v>
      </c>
      <c r="E6053" s="6">
        <v>78.599999999999994</v>
      </c>
    </row>
    <row r="6054" spans="4:5" x14ac:dyDescent="0.25">
      <c r="D6054" s="4">
        <v>40389</v>
      </c>
      <c r="E6054" s="6">
        <v>77.5</v>
      </c>
    </row>
    <row r="6055" spans="4:5" x14ac:dyDescent="0.25">
      <c r="D6055" s="4">
        <v>40392</v>
      </c>
      <c r="E6055" s="6">
        <v>81.93</v>
      </c>
    </row>
    <row r="6056" spans="4:5" x14ac:dyDescent="0.25">
      <c r="D6056" s="4">
        <v>40393</v>
      </c>
      <c r="E6056" s="6">
        <v>83.6</v>
      </c>
    </row>
    <row r="6057" spans="4:5" x14ac:dyDescent="0.25">
      <c r="D6057" s="4">
        <v>40394</v>
      </c>
      <c r="E6057" s="6">
        <v>83.76</v>
      </c>
    </row>
    <row r="6058" spans="4:5" x14ac:dyDescent="0.25">
      <c r="D6058" s="4">
        <v>40395</v>
      </c>
      <c r="E6058" s="6">
        <v>82.9</v>
      </c>
    </row>
    <row r="6059" spans="4:5" x14ac:dyDescent="0.25">
      <c r="D6059" s="4">
        <v>40396</v>
      </c>
      <c r="E6059" s="6">
        <v>81.28</v>
      </c>
    </row>
    <row r="6060" spans="4:5" x14ac:dyDescent="0.25">
      <c r="D6060" s="4">
        <v>40399</v>
      </c>
      <c r="E6060" s="6">
        <v>81.540000000000006</v>
      </c>
    </row>
    <row r="6061" spans="4:5" x14ac:dyDescent="0.25">
      <c r="D6061" s="4">
        <v>40400</v>
      </c>
      <c r="E6061" s="6">
        <v>79.89</v>
      </c>
    </row>
    <row r="6062" spans="4:5" x14ac:dyDescent="0.25">
      <c r="D6062" s="4">
        <v>40401</v>
      </c>
      <c r="E6062" s="6">
        <v>77.83</v>
      </c>
    </row>
    <row r="6063" spans="4:5" x14ac:dyDescent="0.25">
      <c r="D6063" s="4">
        <v>40402</v>
      </c>
      <c r="E6063" s="6">
        <v>76.63</v>
      </c>
    </row>
    <row r="6064" spans="4:5" x14ac:dyDescent="0.25">
      <c r="D6064" s="4">
        <v>40403</v>
      </c>
      <c r="E6064" s="6">
        <v>75.14</v>
      </c>
    </row>
    <row r="6065" spans="4:5" x14ac:dyDescent="0.25">
      <c r="D6065" s="4">
        <v>40406</v>
      </c>
      <c r="E6065" s="6">
        <v>74.56</v>
      </c>
    </row>
    <row r="6066" spans="4:5" x14ac:dyDescent="0.25">
      <c r="D6066" s="4">
        <v>40407</v>
      </c>
      <c r="E6066" s="6">
        <v>76.739999999999995</v>
      </c>
    </row>
    <row r="6067" spans="4:5" x14ac:dyDescent="0.25">
      <c r="D6067" s="4">
        <v>40408</v>
      </c>
      <c r="E6067" s="6">
        <v>75.099999999999994</v>
      </c>
    </row>
    <row r="6068" spans="4:5" x14ac:dyDescent="0.25">
      <c r="D6068" s="4">
        <v>40409</v>
      </c>
      <c r="E6068" s="6">
        <v>74.84</v>
      </c>
    </row>
    <row r="6069" spans="4:5" x14ac:dyDescent="0.25">
      <c r="D6069" s="4">
        <v>40410</v>
      </c>
      <c r="E6069" s="6">
        <v>73.48</v>
      </c>
    </row>
    <row r="6070" spans="4:5" x14ac:dyDescent="0.25">
      <c r="D6070" s="4">
        <v>40413</v>
      </c>
      <c r="E6070" s="6">
        <v>73.08</v>
      </c>
    </row>
    <row r="6071" spans="4:5" x14ac:dyDescent="0.25">
      <c r="D6071" s="4">
        <v>40414</v>
      </c>
      <c r="E6071" s="6">
        <v>70.61</v>
      </c>
    </row>
    <row r="6072" spans="4:5" x14ac:dyDescent="0.25">
      <c r="D6072" s="4">
        <v>40415</v>
      </c>
      <c r="E6072" s="6">
        <v>70.739999999999995</v>
      </c>
    </row>
    <row r="6073" spans="4:5" x14ac:dyDescent="0.25">
      <c r="D6073" s="4">
        <v>40416</v>
      </c>
      <c r="E6073" s="6">
        <v>74.5</v>
      </c>
    </row>
    <row r="6074" spans="4:5" x14ac:dyDescent="0.25">
      <c r="D6074" s="4">
        <v>40417</v>
      </c>
      <c r="E6074" s="6">
        <v>75.16</v>
      </c>
    </row>
    <row r="6075" spans="4:5" x14ac:dyDescent="0.25">
      <c r="D6075" s="4">
        <v>40420</v>
      </c>
      <c r="E6075" s="6">
        <v>76.05</v>
      </c>
    </row>
    <row r="6076" spans="4:5" x14ac:dyDescent="0.25">
      <c r="D6076" s="4">
        <v>40421</v>
      </c>
      <c r="E6076" s="6">
        <v>75.510000000000005</v>
      </c>
    </row>
    <row r="6077" spans="4:5" x14ac:dyDescent="0.25">
      <c r="D6077" s="4">
        <v>40422</v>
      </c>
      <c r="E6077" s="6">
        <v>75.53</v>
      </c>
    </row>
    <row r="6078" spans="4:5" x14ac:dyDescent="0.25">
      <c r="D6078" s="4">
        <v>40423</v>
      </c>
      <c r="E6078" s="6">
        <v>74.930000000000007</v>
      </c>
    </row>
    <row r="6079" spans="4:5" x14ac:dyDescent="0.25">
      <c r="D6079" s="4">
        <v>40424</v>
      </c>
      <c r="E6079" s="6">
        <v>75.03</v>
      </c>
    </row>
    <row r="6080" spans="4:5" x14ac:dyDescent="0.25">
      <c r="D6080" s="4">
        <v>40427</v>
      </c>
      <c r="E6080" s="5"/>
    </row>
    <row r="6081" spans="4:5" x14ac:dyDescent="0.25">
      <c r="D6081" s="4">
        <v>40428</v>
      </c>
      <c r="E6081" s="6">
        <v>75.78</v>
      </c>
    </row>
    <row r="6082" spans="4:5" x14ac:dyDescent="0.25">
      <c r="D6082" s="4">
        <v>40429</v>
      </c>
      <c r="E6082" s="6">
        <v>77.48</v>
      </c>
    </row>
    <row r="6083" spans="4:5" x14ac:dyDescent="0.25">
      <c r="D6083" s="4">
        <v>40430</v>
      </c>
      <c r="E6083" s="6">
        <v>77.87</v>
      </c>
    </row>
    <row r="6084" spans="4:5" x14ac:dyDescent="0.25">
      <c r="D6084" s="4">
        <v>40431</v>
      </c>
      <c r="E6084" s="6">
        <v>77.540000000000006</v>
      </c>
    </row>
    <row r="6085" spans="4:5" x14ac:dyDescent="0.25">
      <c r="D6085" s="4">
        <v>40434</v>
      </c>
      <c r="E6085" s="6">
        <v>78.52</v>
      </c>
    </row>
    <row r="6086" spans="4:5" x14ac:dyDescent="0.25">
      <c r="D6086" s="4">
        <v>40435</v>
      </c>
      <c r="E6086" s="6">
        <v>78.89</v>
      </c>
    </row>
    <row r="6087" spans="4:5" x14ac:dyDescent="0.25">
      <c r="D6087" s="4">
        <v>40436</v>
      </c>
      <c r="E6087" s="6">
        <v>78.459999999999994</v>
      </c>
    </row>
    <row r="6088" spans="4:5" x14ac:dyDescent="0.25">
      <c r="D6088" s="4">
        <v>40437</v>
      </c>
      <c r="E6088" s="6">
        <v>78.89</v>
      </c>
    </row>
    <row r="6089" spans="4:5" x14ac:dyDescent="0.25">
      <c r="D6089" s="4">
        <v>40438</v>
      </c>
      <c r="E6089" s="6">
        <v>77.430000000000007</v>
      </c>
    </row>
    <row r="6090" spans="4:5" x14ac:dyDescent="0.25">
      <c r="D6090" s="4">
        <v>40441</v>
      </c>
      <c r="E6090" s="6">
        <v>79.42</v>
      </c>
    </row>
    <row r="6091" spans="4:5" x14ac:dyDescent="0.25">
      <c r="D6091" s="4">
        <v>40442</v>
      </c>
      <c r="E6091" s="6">
        <v>78.760000000000005</v>
      </c>
    </row>
    <row r="6092" spans="4:5" x14ac:dyDescent="0.25">
      <c r="D6092" s="4">
        <v>40443</v>
      </c>
      <c r="E6092" s="6">
        <v>77.290000000000006</v>
      </c>
    </row>
    <row r="6093" spans="4:5" x14ac:dyDescent="0.25">
      <c r="D6093" s="4">
        <v>40444</v>
      </c>
      <c r="E6093" s="6">
        <v>77.69</v>
      </c>
    </row>
    <row r="6094" spans="4:5" x14ac:dyDescent="0.25">
      <c r="D6094" s="4">
        <v>40445</v>
      </c>
      <c r="E6094" s="6">
        <v>78.73</v>
      </c>
    </row>
    <row r="6095" spans="4:5" x14ac:dyDescent="0.25">
      <c r="D6095" s="4">
        <v>40448</v>
      </c>
      <c r="E6095" s="6">
        <v>77.709999999999994</v>
      </c>
    </row>
    <row r="6096" spans="4:5" x14ac:dyDescent="0.25">
      <c r="D6096" s="4">
        <v>40449</v>
      </c>
      <c r="E6096" s="6">
        <v>79.14</v>
      </c>
    </row>
    <row r="6097" spans="4:5" x14ac:dyDescent="0.25">
      <c r="D6097" s="4">
        <v>40450</v>
      </c>
      <c r="E6097" s="6">
        <v>78.790000000000006</v>
      </c>
    </row>
    <row r="6098" spans="4:5" x14ac:dyDescent="0.25">
      <c r="D6098" s="4">
        <v>40451</v>
      </c>
      <c r="E6098" s="6">
        <v>80.77</v>
      </c>
    </row>
    <row r="6099" spans="4:5" x14ac:dyDescent="0.25">
      <c r="D6099" s="4">
        <v>40452</v>
      </c>
      <c r="E6099" s="6">
        <v>82.69</v>
      </c>
    </row>
    <row r="6100" spans="4:5" x14ac:dyDescent="0.25">
      <c r="D6100" s="4">
        <v>40455</v>
      </c>
      <c r="E6100" s="6">
        <v>83.42</v>
      </c>
    </row>
    <row r="6101" spans="4:5" x14ac:dyDescent="0.25">
      <c r="D6101" s="4">
        <v>40456</v>
      </c>
      <c r="E6101" s="6">
        <v>83.35</v>
      </c>
    </row>
    <row r="6102" spans="4:5" x14ac:dyDescent="0.25">
      <c r="D6102" s="4">
        <v>40457</v>
      </c>
      <c r="E6102" s="6">
        <v>85.01</v>
      </c>
    </row>
    <row r="6103" spans="4:5" x14ac:dyDescent="0.25">
      <c r="D6103" s="4">
        <v>40458</v>
      </c>
      <c r="E6103" s="6">
        <v>83.67</v>
      </c>
    </row>
    <row r="6104" spans="4:5" x14ac:dyDescent="0.25">
      <c r="D6104" s="4">
        <v>40459</v>
      </c>
      <c r="E6104" s="6">
        <v>83.88</v>
      </c>
    </row>
    <row r="6105" spans="4:5" x14ac:dyDescent="0.25">
      <c r="D6105" s="4">
        <v>40462</v>
      </c>
      <c r="E6105" s="6">
        <v>83.08</v>
      </c>
    </row>
    <row r="6106" spans="4:5" x14ac:dyDescent="0.25">
      <c r="D6106" s="4">
        <v>40463</v>
      </c>
      <c r="E6106" s="6">
        <v>82.99</v>
      </c>
    </row>
    <row r="6107" spans="4:5" x14ac:dyDescent="0.25">
      <c r="D6107" s="4">
        <v>40464</v>
      </c>
      <c r="E6107" s="6">
        <v>84.01</v>
      </c>
    </row>
    <row r="6108" spans="4:5" x14ac:dyDescent="0.25">
      <c r="D6108" s="4">
        <v>40465</v>
      </c>
      <c r="E6108" s="6">
        <v>83.55</v>
      </c>
    </row>
    <row r="6109" spans="4:5" x14ac:dyDescent="0.25">
      <c r="D6109" s="4">
        <v>40466</v>
      </c>
      <c r="E6109" s="6">
        <v>81.94</v>
      </c>
    </row>
    <row r="6110" spans="4:5" x14ac:dyDescent="0.25">
      <c r="D6110" s="4">
        <v>40469</v>
      </c>
      <c r="E6110" s="6">
        <v>82.3</v>
      </c>
    </row>
    <row r="6111" spans="4:5" x14ac:dyDescent="0.25">
      <c r="D6111" s="4">
        <v>40470</v>
      </c>
      <c r="E6111" s="6">
        <v>81.12</v>
      </c>
    </row>
    <row r="6112" spans="4:5" x14ac:dyDescent="0.25">
      <c r="D6112" s="4">
        <v>40471</v>
      </c>
      <c r="E6112" s="6">
        <v>81.680000000000007</v>
      </c>
    </row>
    <row r="6113" spans="4:5" x14ac:dyDescent="0.25">
      <c r="D6113" s="4">
        <v>40472</v>
      </c>
      <c r="E6113" s="6">
        <v>81.28</v>
      </c>
    </row>
    <row r="6114" spans="4:5" x14ac:dyDescent="0.25">
      <c r="D6114" s="4">
        <v>40473</v>
      </c>
      <c r="E6114" s="6">
        <v>80.75</v>
      </c>
    </row>
    <row r="6115" spans="4:5" x14ac:dyDescent="0.25">
      <c r="D6115" s="4">
        <v>40476</v>
      </c>
      <c r="E6115" s="6">
        <v>81.91</v>
      </c>
    </row>
    <row r="6116" spans="4:5" x14ac:dyDescent="0.25">
      <c r="D6116" s="4">
        <v>40477</v>
      </c>
      <c r="E6116" s="6">
        <v>82.62</v>
      </c>
    </row>
    <row r="6117" spans="4:5" x14ac:dyDescent="0.25">
      <c r="D6117" s="4">
        <v>40478</v>
      </c>
      <c r="E6117" s="6">
        <v>81.27</v>
      </c>
    </row>
    <row r="6118" spans="4:5" x14ac:dyDescent="0.25">
      <c r="D6118" s="4">
        <v>40479</v>
      </c>
      <c r="E6118" s="6">
        <v>82.97</v>
      </c>
    </row>
    <row r="6119" spans="4:5" x14ac:dyDescent="0.25">
      <c r="D6119" s="4">
        <v>40480</v>
      </c>
      <c r="E6119" s="6">
        <v>82.47</v>
      </c>
    </row>
    <row r="6120" spans="4:5" x14ac:dyDescent="0.25">
      <c r="D6120" s="4">
        <v>40483</v>
      </c>
      <c r="E6120" s="6">
        <v>84.06</v>
      </c>
    </row>
    <row r="6121" spans="4:5" x14ac:dyDescent="0.25">
      <c r="D6121" s="4">
        <v>40484</v>
      </c>
      <c r="E6121" s="6">
        <v>84.71</v>
      </c>
    </row>
    <row r="6122" spans="4:5" x14ac:dyDescent="0.25">
      <c r="D6122" s="4">
        <v>40485</v>
      </c>
      <c r="E6122" s="6">
        <v>85.33</v>
      </c>
    </row>
    <row r="6123" spans="4:5" x14ac:dyDescent="0.25">
      <c r="D6123" s="4">
        <v>40486</v>
      </c>
      <c r="E6123" s="6">
        <v>86.83</v>
      </c>
    </row>
    <row r="6124" spans="4:5" x14ac:dyDescent="0.25">
      <c r="D6124" s="4">
        <v>40487</v>
      </c>
      <c r="E6124" s="6">
        <v>87.05</v>
      </c>
    </row>
    <row r="6125" spans="4:5" x14ac:dyDescent="0.25">
      <c r="D6125" s="4">
        <v>40490</v>
      </c>
      <c r="E6125" s="6">
        <v>87.15</v>
      </c>
    </row>
    <row r="6126" spans="4:5" x14ac:dyDescent="0.25">
      <c r="D6126" s="4">
        <v>40491</v>
      </c>
      <c r="E6126" s="6">
        <v>87.93</v>
      </c>
    </row>
    <row r="6127" spans="4:5" x14ac:dyDescent="0.25">
      <c r="D6127" s="4">
        <v>40492</v>
      </c>
      <c r="E6127" s="6">
        <v>87.92</v>
      </c>
    </row>
    <row r="6128" spans="4:5" x14ac:dyDescent="0.25">
      <c r="D6128" s="4">
        <v>40493</v>
      </c>
      <c r="E6128" s="6">
        <v>88.08</v>
      </c>
    </row>
    <row r="6129" spans="4:5" x14ac:dyDescent="0.25">
      <c r="D6129" s="4">
        <v>40494</v>
      </c>
      <c r="E6129" s="6">
        <v>86.07</v>
      </c>
    </row>
    <row r="6130" spans="4:5" x14ac:dyDescent="0.25">
      <c r="D6130" s="4">
        <v>40497</v>
      </c>
      <c r="E6130" s="6">
        <v>85.49</v>
      </c>
    </row>
    <row r="6131" spans="4:5" x14ac:dyDescent="0.25">
      <c r="D6131" s="4">
        <v>40498</v>
      </c>
      <c r="E6131" s="6">
        <v>83.98</v>
      </c>
    </row>
    <row r="6132" spans="4:5" x14ac:dyDescent="0.25">
      <c r="D6132" s="4">
        <v>40499</v>
      </c>
      <c r="E6132" s="6">
        <v>83.36</v>
      </c>
    </row>
    <row r="6133" spans="4:5" x14ac:dyDescent="0.25">
      <c r="D6133" s="4">
        <v>40500</v>
      </c>
      <c r="E6133" s="6">
        <v>83.7</v>
      </c>
    </row>
    <row r="6134" spans="4:5" x14ac:dyDescent="0.25">
      <c r="D6134" s="4">
        <v>40501</v>
      </c>
      <c r="E6134" s="6">
        <v>83.17</v>
      </c>
    </row>
    <row r="6135" spans="4:5" x14ac:dyDescent="0.25">
      <c r="D6135" s="4">
        <v>40504</v>
      </c>
      <c r="E6135" s="6">
        <v>82.34</v>
      </c>
    </row>
    <row r="6136" spans="4:5" x14ac:dyDescent="0.25">
      <c r="D6136" s="4">
        <v>40505</v>
      </c>
      <c r="E6136" s="6">
        <v>82.37</v>
      </c>
    </row>
    <row r="6137" spans="4:5" x14ac:dyDescent="0.25">
      <c r="D6137" s="4">
        <v>40506</v>
      </c>
      <c r="E6137" s="6">
        <v>84.53</v>
      </c>
    </row>
    <row r="6138" spans="4:5" x14ac:dyDescent="0.25">
      <c r="D6138" s="4">
        <v>40507</v>
      </c>
      <c r="E6138" s="5"/>
    </row>
    <row r="6139" spans="4:5" x14ac:dyDescent="0.25">
      <c r="D6139" s="4">
        <v>40508</v>
      </c>
      <c r="E6139" s="6">
        <v>84.78</v>
      </c>
    </row>
    <row r="6140" spans="4:5" x14ac:dyDescent="0.25">
      <c r="D6140" s="4">
        <v>40511</v>
      </c>
      <c r="E6140" s="6">
        <v>85.9</v>
      </c>
    </row>
    <row r="6141" spans="4:5" x14ac:dyDescent="0.25">
      <c r="D6141" s="4">
        <v>40512</v>
      </c>
      <c r="E6141" s="6">
        <v>86.02</v>
      </c>
    </row>
    <row r="6142" spans="4:5" x14ac:dyDescent="0.25">
      <c r="D6142" s="4">
        <v>40513</v>
      </c>
      <c r="E6142" s="6">
        <v>88.56</v>
      </c>
    </row>
    <row r="6143" spans="4:5" x14ac:dyDescent="0.25">
      <c r="D6143" s="4">
        <v>40514</v>
      </c>
      <c r="E6143" s="6">
        <v>89.37</v>
      </c>
    </row>
    <row r="6144" spans="4:5" x14ac:dyDescent="0.25">
      <c r="D6144" s="4">
        <v>40515</v>
      </c>
      <c r="E6144" s="6">
        <v>90.65</v>
      </c>
    </row>
    <row r="6145" spans="4:5" x14ac:dyDescent="0.25">
      <c r="D6145" s="4">
        <v>40518</v>
      </c>
      <c r="E6145" s="6">
        <v>91.25</v>
      </c>
    </row>
    <row r="6146" spans="4:5" x14ac:dyDescent="0.25">
      <c r="D6146" s="4">
        <v>40519</v>
      </c>
      <c r="E6146" s="6">
        <v>90.78</v>
      </c>
    </row>
    <row r="6147" spans="4:5" x14ac:dyDescent="0.25">
      <c r="D6147" s="4">
        <v>40520</v>
      </c>
      <c r="E6147" s="6">
        <v>89.74</v>
      </c>
    </row>
    <row r="6148" spans="4:5" x14ac:dyDescent="0.25">
      <c r="D6148" s="4">
        <v>40521</v>
      </c>
      <c r="E6148" s="6">
        <v>89.93</v>
      </c>
    </row>
    <row r="6149" spans="4:5" x14ac:dyDescent="0.25">
      <c r="D6149" s="4">
        <v>40522</v>
      </c>
      <c r="E6149" s="6">
        <v>89.54</v>
      </c>
    </row>
    <row r="6150" spans="4:5" x14ac:dyDescent="0.25">
      <c r="D6150" s="4">
        <v>40525</v>
      </c>
      <c r="E6150" s="6">
        <v>90.4</v>
      </c>
    </row>
    <row r="6151" spans="4:5" x14ac:dyDescent="0.25">
      <c r="D6151" s="4">
        <v>40526</v>
      </c>
      <c r="E6151" s="6">
        <v>90.63</v>
      </c>
    </row>
    <row r="6152" spans="4:5" x14ac:dyDescent="0.25">
      <c r="D6152" s="4">
        <v>40527</v>
      </c>
      <c r="E6152" s="6">
        <v>91.33</v>
      </c>
    </row>
    <row r="6153" spans="4:5" x14ac:dyDescent="0.25">
      <c r="D6153" s="4">
        <v>40528</v>
      </c>
      <c r="E6153" s="6">
        <v>91.09</v>
      </c>
    </row>
    <row r="6154" spans="4:5" x14ac:dyDescent="0.25">
      <c r="D6154" s="4">
        <v>40529</v>
      </c>
      <c r="E6154" s="6">
        <v>91.11</v>
      </c>
    </row>
    <row r="6155" spans="4:5" x14ac:dyDescent="0.25">
      <c r="D6155" s="4">
        <v>40532</v>
      </c>
      <c r="E6155" s="6">
        <v>91.31</v>
      </c>
    </row>
    <row r="6156" spans="4:5" x14ac:dyDescent="0.25">
      <c r="D6156" s="4">
        <v>40533</v>
      </c>
      <c r="E6156" s="6">
        <v>93.11</v>
      </c>
    </row>
    <row r="6157" spans="4:5" x14ac:dyDescent="0.25">
      <c r="D6157" s="4">
        <v>40534</v>
      </c>
      <c r="E6157" s="6">
        <v>93.55</v>
      </c>
    </row>
    <row r="6158" spans="4:5" x14ac:dyDescent="0.25">
      <c r="D6158" s="4">
        <v>40535</v>
      </c>
      <c r="E6158" s="6">
        <v>93.63</v>
      </c>
    </row>
    <row r="6159" spans="4:5" x14ac:dyDescent="0.25">
      <c r="D6159" s="4">
        <v>40536</v>
      </c>
      <c r="E6159" s="5"/>
    </row>
    <row r="6160" spans="4:5" x14ac:dyDescent="0.25">
      <c r="D6160" s="4">
        <v>40539</v>
      </c>
      <c r="E6160" s="6">
        <v>93.08</v>
      </c>
    </row>
    <row r="6161" spans="4:5" x14ac:dyDescent="0.25">
      <c r="D6161" s="4">
        <v>40540</v>
      </c>
      <c r="E6161" s="6">
        <v>93.52</v>
      </c>
    </row>
    <row r="6162" spans="4:5" x14ac:dyDescent="0.25">
      <c r="D6162" s="4">
        <v>40541</v>
      </c>
      <c r="E6162" s="6">
        <v>93.52</v>
      </c>
    </row>
    <row r="6163" spans="4:5" x14ac:dyDescent="0.25">
      <c r="D6163" s="4">
        <v>40542</v>
      </c>
      <c r="E6163" s="6">
        <v>92.5</v>
      </c>
    </row>
    <row r="6164" spans="4:5" x14ac:dyDescent="0.25">
      <c r="D6164" s="4">
        <v>40543</v>
      </c>
      <c r="E6164" s="6">
        <v>93.23</v>
      </c>
    </row>
    <row r="6165" spans="4:5" x14ac:dyDescent="0.25">
      <c r="D6165" s="4">
        <v>40546</v>
      </c>
      <c r="E6165" s="6">
        <v>95.82</v>
      </c>
    </row>
    <row r="6166" spans="4:5" x14ac:dyDescent="0.25">
      <c r="D6166" s="4">
        <v>40547</v>
      </c>
      <c r="E6166" s="6">
        <v>93.52</v>
      </c>
    </row>
    <row r="6167" spans="4:5" x14ac:dyDescent="0.25">
      <c r="D6167" s="4">
        <v>40548</v>
      </c>
      <c r="E6167" s="6">
        <v>95.07</v>
      </c>
    </row>
    <row r="6168" spans="4:5" x14ac:dyDescent="0.25">
      <c r="D6168" s="4">
        <v>40549</v>
      </c>
      <c r="E6168" s="6">
        <v>94.95</v>
      </c>
    </row>
    <row r="6169" spans="4:5" x14ac:dyDescent="0.25">
      <c r="D6169" s="4">
        <v>40550</v>
      </c>
      <c r="E6169" s="6">
        <v>94.25</v>
      </c>
    </row>
    <row r="6170" spans="4:5" x14ac:dyDescent="0.25">
      <c r="D6170" s="4">
        <v>40553</v>
      </c>
      <c r="E6170" s="6">
        <v>95.05</v>
      </c>
    </row>
    <row r="6171" spans="4:5" x14ac:dyDescent="0.25">
      <c r="D6171" s="4">
        <v>40554</v>
      </c>
      <c r="E6171" s="6">
        <v>96.8</v>
      </c>
    </row>
    <row r="6172" spans="4:5" x14ac:dyDescent="0.25">
      <c r="D6172" s="4">
        <v>40555</v>
      </c>
      <c r="E6172" s="6">
        <v>97.86</v>
      </c>
    </row>
    <row r="6173" spans="4:5" x14ac:dyDescent="0.25">
      <c r="D6173" s="4">
        <v>40556</v>
      </c>
      <c r="E6173" s="6">
        <v>97.86</v>
      </c>
    </row>
    <row r="6174" spans="4:5" x14ac:dyDescent="0.25">
      <c r="D6174" s="4">
        <v>40557</v>
      </c>
      <c r="E6174" s="6">
        <v>97.86</v>
      </c>
    </row>
    <row r="6175" spans="4:5" x14ac:dyDescent="0.25">
      <c r="D6175" s="4">
        <v>40560</v>
      </c>
      <c r="E6175" s="5"/>
    </row>
    <row r="6176" spans="4:5" x14ac:dyDescent="0.25">
      <c r="D6176" s="4">
        <v>40561</v>
      </c>
      <c r="E6176" s="6">
        <v>97.83</v>
      </c>
    </row>
    <row r="6177" spans="4:5" x14ac:dyDescent="0.25">
      <c r="D6177" s="4">
        <v>40562</v>
      </c>
      <c r="E6177" s="6">
        <v>98.42</v>
      </c>
    </row>
    <row r="6178" spans="4:5" x14ac:dyDescent="0.25">
      <c r="D6178" s="4">
        <v>40563</v>
      </c>
      <c r="E6178" s="6">
        <v>96.27</v>
      </c>
    </row>
    <row r="6179" spans="4:5" x14ac:dyDescent="0.25">
      <c r="D6179" s="4">
        <v>40564</v>
      </c>
      <c r="E6179" s="6">
        <v>96.84</v>
      </c>
    </row>
    <row r="6180" spans="4:5" x14ac:dyDescent="0.25">
      <c r="D6180" s="4">
        <v>40567</v>
      </c>
      <c r="E6180" s="6">
        <v>96.76</v>
      </c>
    </row>
    <row r="6181" spans="4:5" x14ac:dyDescent="0.25">
      <c r="D6181" s="4">
        <v>40568</v>
      </c>
      <c r="E6181" s="6">
        <v>96.76</v>
      </c>
    </row>
    <row r="6182" spans="4:5" x14ac:dyDescent="0.25">
      <c r="D6182" s="4">
        <v>40569</v>
      </c>
      <c r="E6182" s="6">
        <v>96.04</v>
      </c>
    </row>
    <row r="6183" spans="4:5" x14ac:dyDescent="0.25">
      <c r="D6183" s="4">
        <v>40570</v>
      </c>
      <c r="E6183" s="6">
        <v>96.48</v>
      </c>
    </row>
    <row r="6184" spans="4:5" x14ac:dyDescent="0.25">
      <c r="D6184" s="4">
        <v>40571</v>
      </c>
      <c r="E6184" s="6">
        <v>97.06</v>
      </c>
    </row>
    <row r="6185" spans="4:5" x14ac:dyDescent="0.25">
      <c r="D6185" s="4">
        <v>40574</v>
      </c>
      <c r="E6185" s="6">
        <v>98.97</v>
      </c>
    </row>
    <row r="6186" spans="4:5" x14ac:dyDescent="0.25">
      <c r="D6186" s="4">
        <v>40575</v>
      </c>
      <c r="E6186" s="6">
        <v>100.4</v>
      </c>
    </row>
    <row r="6187" spans="4:5" x14ac:dyDescent="0.25">
      <c r="D6187" s="4">
        <v>40576</v>
      </c>
      <c r="E6187" s="6">
        <v>101.3</v>
      </c>
    </row>
    <row r="6188" spans="4:5" x14ac:dyDescent="0.25">
      <c r="D6188" s="4">
        <v>40577</v>
      </c>
      <c r="E6188" s="6">
        <v>101.69</v>
      </c>
    </row>
    <row r="6189" spans="4:5" x14ac:dyDescent="0.25">
      <c r="D6189" s="4">
        <v>40578</v>
      </c>
      <c r="E6189" s="6">
        <v>99.43</v>
      </c>
    </row>
    <row r="6190" spans="4:5" x14ac:dyDescent="0.25">
      <c r="D6190" s="4">
        <v>40581</v>
      </c>
      <c r="E6190" s="6">
        <v>99.44</v>
      </c>
    </row>
    <row r="6191" spans="4:5" x14ac:dyDescent="0.25">
      <c r="D6191" s="4">
        <v>40582</v>
      </c>
      <c r="E6191" s="6">
        <v>99.25</v>
      </c>
    </row>
    <row r="6192" spans="4:5" x14ac:dyDescent="0.25">
      <c r="D6192" s="4">
        <v>40583</v>
      </c>
      <c r="E6192" s="6">
        <v>100.16</v>
      </c>
    </row>
    <row r="6193" spans="4:5" x14ac:dyDescent="0.25">
      <c r="D6193" s="4">
        <v>40584</v>
      </c>
      <c r="E6193" s="6">
        <v>100.74</v>
      </c>
    </row>
    <row r="6194" spans="4:5" x14ac:dyDescent="0.25">
      <c r="D6194" s="4">
        <v>40585</v>
      </c>
      <c r="E6194" s="6">
        <v>99.93</v>
      </c>
    </row>
    <row r="6195" spans="4:5" x14ac:dyDescent="0.25">
      <c r="D6195" s="4">
        <v>40588</v>
      </c>
      <c r="E6195" s="6">
        <v>103.12</v>
      </c>
    </row>
    <row r="6196" spans="4:5" x14ac:dyDescent="0.25">
      <c r="D6196" s="4">
        <v>40589</v>
      </c>
      <c r="E6196" s="6">
        <v>102.48</v>
      </c>
    </row>
    <row r="6197" spans="4:5" x14ac:dyDescent="0.25">
      <c r="D6197" s="4">
        <v>40590</v>
      </c>
      <c r="E6197" s="6">
        <v>102.78</v>
      </c>
    </row>
    <row r="6198" spans="4:5" x14ac:dyDescent="0.25">
      <c r="D6198" s="4">
        <v>40591</v>
      </c>
      <c r="E6198" s="6">
        <v>103.45</v>
      </c>
    </row>
    <row r="6199" spans="4:5" x14ac:dyDescent="0.25">
      <c r="D6199" s="4">
        <v>40592</v>
      </c>
      <c r="E6199" s="6">
        <v>102.2</v>
      </c>
    </row>
    <row r="6200" spans="4:5" x14ac:dyDescent="0.25">
      <c r="D6200" s="4">
        <v>40595</v>
      </c>
      <c r="E6200" s="5"/>
    </row>
    <row r="6201" spans="4:5" x14ac:dyDescent="0.25">
      <c r="D6201" s="4">
        <v>40596</v>
      </c>
      <c r="E6201" s="6">
        <v>106.82</v>
      </c>
    </row>
    <row r="6202" spans="4:5" x14ac:dyDescent="0.25">
      <c r="D6202" s="4">
        <v>40597</v>
      </c>
      <c r="E6202" s="6">
        <v>109.77</v>
      </c>
    </row>
    <row r="6203" spans="4:5" x14ac:dyDescent="0.25">
      <c r="D6203" s="4">
        <v>40598</v>
      </c>
      <c r="E6203" s="6">
        <v>113.91</v>
      </c>
    </row>
    <row r="6204" spans="4:5" x14ac:dyDescent="0.25">
      <c r="D6204" s="4">
        <v>40599</v>
      </c>
      <c r="E6204" s="6">
        <v>111.47</v>
      </c>
    </row>
    <row r="6205" spans="4:5" x14ac:dyDescent="0.25">
      <c r="D6205" s="4">
        <v>40602</v>
      </c>
      <c r="E6205" s="6">
        <v>112.27</v>
      </c>
    </row>
    <row r="6206" spans="4:5" x14ac:dyDescent="0.25">
      <c r="D6206" s="4">
        <v>40603</v>
      </c>
      <c r="E6206" s="6">
        <v>113.34</v>
      </c>
    </row>
    <row r="6207" spans="4:5" x14ac:dyDescent="0.25">
      <c r="D6207" s="4">
        <v>40604</v>
      </c>
      <c r="E6207" s="6">
        <v>116.89</v>
      </c>
    </row>
    <row r="6208" spans="4:5" x14ac:dyDescent="0.25">
      <c r="D6208" s="4">
        <v>40605</v>
      </c>
      <c r="E6208" s="6">
        <v>114.42</v>
      </c>
    </row>
    <row r="6209" spans="4:5" x14ac:dyDescent="0.25">
      <c r="D6209" s="4">
        <v>40606</v>
      </c>
      <c r="E6209" s="6">
        <v>115.71</v>
      </c>
    </row>
    <row r="6210" spans="4:5" x14ac:dyDescent="0.25">
      <c r="D6210" s="4">
        <v>40609</v>
      </c>
      <c r="E6210" s="6">
        <v>116.58</v>
      </c>
    </row>
    <row r="6211" spans="4:5" x14ac:dyDescent="0.25">
      <c r="D6211" s="4">
        <v>40610</v>
      </c>
      <c r="E6211" s="6">
        <v>112.32</v>
      </c>
    </row>
    <row r="6212" spans="4:5" x14ac:dyDescent="0.25">
      <c r="D6212" s="4">
        <v>40611</v>
      </c>
      <c r="E6212" s="6">
        <v>115.19</v>
      </c>
    </row>
    <row r="6213" spans="4:5" x14ac:dyDescent="0.25">
      <c r="D6213" s="4">
        <v>40612</v>
      </c>
      <c r="E6213" s="6">
        <v>114.07</v>
      </c>
    </row>
    <row r="6214" spans="4:5" x14ac:dyDescent="0.25">
      <c r="D6214" s="4">
        <v>40613</v>
      </c>
      <c r="E6214" s="6">
        <v>114.07</v>
      </c>
    </row>
    <row r="6215" spans="4:5" x14ac:dyDescent="0.25">
      <c r="D6215" s="4">
        <v>40616</v>
      </c>
      <c r="E6215" s="6">
        <v>112.95</v>
      </c>
    </row>
    <row r="6216" spans="4:5" x14ac:dyDescent="0.25">
      <c r="D6216" s="4">
        <v>40617</v>
      </c>
      <c r="E6216" s="6">
        <v>111.11</v>
      </c>
    </row>
    <row r="6217" spans="4:5" x14ac:dyDescent="0.25">
      <c r="D6217" s="4">
        <v>40618</v>
      </c>
      <c r="E6217" s="6">
        <v>110.96</v>
      </c>
    </row>
    <row r="6218" spans="4:5" x14ac:dyDescent="0.25">
      <c r="D6218" s="4">
        <v>40619</v>
      </c>
      <c r="E6218" s="6">
        <v>114.18</v>
      </c>
    </row>
    <row r="6219" spans="4:5" x14ac:dyDescent="0.25">
      <c r="D6219" s="4">
        <v>40620</v>
      </c>
      <c r="E6219" s="6">
        <v>114.13</v>
      </c>
    </row>
    <row r="6220" spans="4:5" x14ac:dyDescent="0.25">
      <c r="D6220" s="4">
        <v>40623</v>
      </c>
      <c r="E6220" s="6">
        <v>114.92</v>
      </c>
    </row>
    <row r="6221" spans="4:5" x14ac:dyDescent="0.25">
      <c r="D6221" s="4">
        <v>40624</v>
      </c>
      <c r="E6221" s="6">
        <v>115.63</v>
      </c>
    </row>
    <row r="6222" spans="4:5" x14ac:dyDescent="0.25">
      <c r="D6222" s="4">
        <v>40625</v>
      </c>
      <c r="E6222" s="6">
        <v>115.65</v>
      </c>
    </row>
    <row r="6223" spans="4:5" x14ac:dyDescent="0.25">
      <c r="D6223" s="4">
        <v>40626</v>
      </c>
      <c r="E6223" s="6">
        <v>115.41</v>
      </c>
    </row>
    <row r="6224" spans="4:5" x14ac:dyDescent="0.25">
      <c r="D6224" s="4">
        <v>40627</v>
      </c>
      <c r="E6224" s="6">
        <v>115.45</v>
      </c>
    </row>
    <row r="6225" spans="4:5" x14ac:dyDescent="0.25">
      <c r="D6225" s="4">
        <v>40630</v>
      </c>
      <c r="E6225" s="6">
        <v>115.95</v>
      </c>
    </row>
    <row r="6226" spans="4:5" x14ac:dyDescent="0.25">
      <c r="D6226" s="4">
        <v>40631</v>
      </c>
      <c r="E6226" s="6">
        <v>115.58</v>
      </c>
    </row>
    <row r="6227" spans="4:5" x14ac:dyDescent="0.25">
      <c r="D6227" s="4">
        <v>40632</v>
      </c>
      <c r="E6227" s="6">
        <v>115.35</v>
      </c>
    </row>
    <row r="6228" spans="4:5" x14ac:dyDescent="0.25">
      <c r="D6228" s="4">
        <v>40633</v>
      </c>
      <c r="E6228" s="6">
        <v>116.94</v>
      </c>
    </row>
    <row r="6229" spans="4:5" x14ac:dyDescent="0.25">
      <c r="D6229" s="4">
        <v>40634</v>
      </c>
      <c r="E6229" s="6">
        <v>118.63</v>
      </c>
    </row>
    <row r="6230" spans="4:5" x14ac:dyDescent="0.25">
      <c r="D6230" s="4">
        <v>40637</v>
      </c>
      <c r="E6230" s="6">
        <v>120.07</v>
      </c>
    </row>
    <row r="6231" spans="4:5" x14ac:dyDescent="0.25">
      <c r="D6231" s="4">
        <v>40638</v>
      </c>
      <c r="E6231" s="6">
        <v>122.87</v>
      </c>
    </row>
    <row r="6232" spans="4:5" x14ac:dyDescent="0.25">
      <c r="D6232" s="4">
        <v>40639</v>
      </c>
      <c r="E6232" s="6">
        <v>123.01</v>
      </c>
    </row>
    <row r="6233" spans="4:5" x14ac:dyDescent="0.25">
      <c r="D6233" s="4">
        <v>40640</v>
      </c>
      <c r="E6233" s="6">
        <v>122.9</v>
      </c>
    </row>
    <row r="6234" spans="4:5" x14ac:dyDescent="0.25">
      <c r="D6234" s="4">
        <v>40641</v>
      </c>
      <c r="E6234" s="6">
        <v>126.3</v>
      </c>
    </row>
    <row r="6235" spans="4:5" x14ac:dyDescent="0.25">
      <c r="D6235" s="4">
        <v>40644</v>
      </c>
      <c r="E6235" s="6">
        <v>126.46</v>
      </c>
    </row>
    <row r="6236" spans="4:5" x14ac:dyDescent="0.25">
      <c r="D6236" s="4">
        <v>40645</v>
      </c>
      <c r="E6236" s="6">
        <v>121.33</v>
      </c>
    </row>
    <row r="6237" spans="4:5" x14ac:dyDescent="0.25">
      <c r="D6237" s="4">
        <v>40646</v>
      </c>
      <c r="E6237" s="6">
        <v>122.7</v>
      </c>
    </row>
    <row r="6238" spans="4:5" x14ac:dyDescent="0.25">
      <c r="D6238" s="4">
        <v>40647</v>
      </c>
      <c r="E6238" s="6">
        <v>122.74</v>
      </c>
    </row>
    <row r="6239" spans="4:5" x14ac:dyDescent="0.25">
      <c r="D6239" s="4">
        <v>40648</v>
      </c>
      <c r="E6239" s="6">
        <v>124.63</v>
      </c>
    </row>
    <row r="6240" spans="4:5" x14ac:dyDescent="0.25">
      <c r="D6240" s="4">
        <v>40651</v>
      </c>
      <c r="E6240" s="6">
        <v>121.69</v>
      </c>
    </row>
    <row r="6241" spans="4:5" x14ac:dyDescent="0.25">
      <c r="D6241" s="4">
        <v>40652</v>
      </c>
      <c r="E6241" s="6">
        <v>121.35</v>
      </c>
    </row>
    <row r="6242" spans="4:5" x14ac:dyDescent="0.25">
      <c r="D6242" s="4">
        <v>40653</v>
      </c>
      <c r="E6242" s="6">
        <v>124.26</v>
      </c>
    </row>
    <row r="6243" spans="4:5" x14ac:dyDescent="0.25">
      <c r="D6243" s="4">
        <v>40654</v>
      </c>
      <c r="E6243" s="6">
        <v>123.64</v>
      </c>
    </row>
    <row r="6244" spans="4:5" x14ac:dyDescent="0.25">
      <c r="D6244" s="4">
        <v>40655</v>
      </c>
      <c r="E6244" s="5"/>
    </row>
    <row r="6245" spans="4:5" x14ac:dyDescent="0.25">
      <c r="D6245" s="4">
        <v>40658</v>
      </c>
      <c r="E6245" s="5"/>
    </row>
    <row r="6246" spans="4:5" x14ac:dyDescent="0.25">
      <c r="D6246" s="4">
        <v>40659</v>
      </c>
      <c r="E6246" s="6">
        <v>124.55</v>
      </c>
    </row>
    <row r="6247" spans="4:5" x14ac:dyDescent="0.25">
      <c r="D6247" s="4">
        <v>40660</v>
      </c>
      <c r="E6247" s="6">
        <v>124.94</v>
      </c>
    </row>
    <row r="6248" spans="4:5" x14ac:dyDescent="0.25">
      <c r="D6248" s="4">
        <v>40661</v>
      </c>
      <c r="E6248" s="6">
        <v>126.59</v>
      </c>
    </row>
    <row r="6249" spans="4:5" x14ac:dyDescent="0.25">
      <c r="D6249" s="4">
        <v>40662</v>
      </c>
      <c r="E6249" s="5"/>
    </row>
    <row r="6250" spans="4:5" x14ac:dyDescent="0.25">
      <c r="D6250" s="4">
        <v>40665</v>
      </c>
      <c r="E6250" s="6">
        <v>126.64</v>
      </c>
    </row>
    <row r="6251" spans="4:5" x14ac:dyDescent="0.25">
      <c r="D6251" s="4">
        <v>40666</v>
      </c>
      <c r="E6251" s="6">
        <v>124.01</v>
      </c>
    </row>
    <row r="6252" spans="4:5" x14ac:dyDescent="0.25">
      <c r="D6252" s="4">
        <v>40667</v>
      </c>
      <c r="E6252" s="6">
        <v>121.55</v>
      </c>
    </row>
    <row r="6253" spans="4:5" x14ac:dyDescent="0.25">
      <c r="D6253" s="4">
        <v>40668</v>
      </c>
      <c r="E6253" s="6">
        <v>111.93</v>
      </c>
    </row>
    <row r="6254" spans="4:5" x14ac:dyDescent="0.25">
      <c r="D6254" s="4">
        <v>40669</v>
      </c>
      <c r="E6254" s="6">
        <v>113.69</v>
      </c>
    </row>
    <row r="6255" spans="4:5" x14ac:dyDescent="0.25">
      <c r="D6255" s="4">
        <v>40672</v>
      </c>
      <c r="E6255" s="6">
        <v>113.21</v>
      </c>
    </row>
    <row r="6256" spans="4:5" x14ac:dyDescent="0.25">
      <c r="D6256" s="4">
        <v>40673</v>
      </c>
      <c r="E6256" s="6">
        <v>117.82</v>
      </c>
    </row>
    <row r="6257" spans="4:5" x14ac:dyDescent="0.25">
      <c r="D6257" s="4">
        <v>40674</v>
      </c>
      <c r="E6257" s="6">
        <v>115.66</v>
      </c>
    </row>
    <row r="6258" spans="4:5" x14ac:dyDescent="0.25">
      <c r="D6258" s="4">
        <v>40675</v>
      </c>
      <c r="E6258" s="6">
        <v>112.87</v>
      </c>
    </row>
    <row r="6259" spans="4:5" x14ac:dyDescent="0.25">
      <c r="D6259" s="4">
        <v>40676</v>
      </c>
      <c r="E6259" s="6">
        <v>113.08</v>
      </c>
    </row>
    <row r="6260" spans="4:5" x14ac:dyDescent="0.25">
      <c r="D6260" s="4">
        <v>40679</v>
      </c>
      <c r="E6260" s="6">
        <v>113.72</v>
      </c>
    </row>
    <row r="6261" spans="4:5" x14ac:dyDescent="0.25">
      <c r="D6261" s="4">
        <v>40680</v>
      </c>
      <c r="E6261" s="6">
        <v>109.39</v>
      </c>
    </row>
    <row r="6262" spans="4:5" x14ac:dyDescent="0.25">
      <c r="D6262" s="4">
        <v>40681</v>
      </c>
      <c r="E6262" s="6">
        <v>112.54</v>
      </c>
    </row>
    <row r="6263" spans="4:5" x14ac:dyDescent="0.25">
      <c r="D6263" s="4">
        <v>40682</v>
      </c>
      <c r="E6263" s="6">
        <v>113.2</v>
      </c>
    </row>
    <row r="6264" spans="4:5" x14ac:dyDescent="0.25">
      <c r="D6264" s="4">
        <v>40683</v>
      </c>
      <c r="E6264" s="6">
        <v>111.25</v>
      </c>
    </row>
    <row r="6265" spans="4:5" x14ac:dyDescent="0.25">
      <c r="D6265" s="4">
        <v>40686</v>
      </c>
      <c r="E6265" s="6">
        <v>110.13</v>
      </c>
    </row>
    <row r="6266" spans="4:5" x14ac:dyDescent="0.25">
      <c r="D6266" s="4">
        <v>40687</v>
      </c>
      <c r="E6266" s="6">
        <v>112.52</v>
      </c>
    </row>
    <row r="6267" spans="4:5" x14ac:dyDescent="0.25">
      <c r="D6267" s="4">
        <v>40688</v>
      </c>
      <c r="E6267" s="6">
        <v>114.47</v>
      </c>
    </row>
    <row r="6268" spans="4:5" x14ac:dyDescent="0.25">
      <c r="D6268" s="4">
        <v>40689</v>
      </c>
      <c r="E6268" s="6">
        <v>115.06</v>
      </c>
    </row>
    <row r="6269" spans="4:5" x14ac:dyDescent="0.25">
      <c r="D6269" s="4">
        <v>40690</v>
      </c>
      <c r="E6269" s="6">
        <v>114.85</v>
      </c>
    </row>
    <row r="6270" spans="4:5" x14ac:dyDescent="0.25">
      <c r="D6270" s="4">
        <v>40693</v>
      </c>
      <c r="E6270" s="5"/>
    </row>
    <row r="6271" spans="4:5" x14ac:dyDescent="0.25">
      <c r="D6271" s="4">
        <v>40694</v>
      </c>
      <c r="E6271" s="6">
        <v>117.18</v>
      </c>
    </row>
    <row r="6272" spans="4:5" x14ac:dyDescent="0.25">
      <c r="D6272" s="4">
        <v>40695</v>
      </c>
      <c r="E6272" s="6">
        <v>116.15</v>
      </c>
    </row>
    <row r="6273" spans="4:5" x14ac:dyDescent="0.25">
      <c r="D6273" s="4">
        <v>40696</v>
      </c>
      <c r="E6273" s="6">
        <v>114.3</v>
      </c>
    </row>
    <row r="6274" spans="4:5" x14ac:dyDescent="0.25">
      <c r="D6274" s="4">
        <v>40697</v>
      </c>
      <c r="E6274" s="6">
        <v>115.09</v>
      </c>
    </row>
    <row r="6275" spans="4:5" x14ac:dyDescent="0.25">
      <c r="D6275" s="4">
        <v>40700</v>
      </c>
      <c r="E6275" s="6">
        <v>115.4</v>
      </c>
    </row>
    <row r="6276" spans="4:5" x14ac:dyDescent="0.25">
      <c r="D6276" s="4">
        <v>40701</v>
      </c>
      <c r="E6276" s="6">
        <v>116.14</v>
      </c>
    </row>
    <row r="6277" spans="4:5" x14ac:dyDescent="0.25">
      <c r="D6277" s="4">
        <v>40702</v>
      </c>
      <c r="E6277" s="6">
        <v>118.43</v>
      </c>
    </row>
    <row r="6278" spans="4:5" x14ac:dyDescent="0.25">
      <c r="D6278" s="4">
        <v>40703</v>
      </c>
      <c r="E6278" s="6">
        <v>119.95</v>
      </c>
    </row>
    <row r="6279" spans="4:5" x14ac:dyDescent="0.25">
      <c r="D6279" s="4">
        <v>40704</v>
      </c>
      <c r="E6279" s="6">
        <v>118.71</v>
      </c>
    </row>
    <row r="6280" spans="4:5" x14ac:dyDescent="0.25">
      <c r="D6280" s="4">
        <v>40707</v>
      </c>
      <c r="E6280" s="6">
        <v>120.49</v>
      </c>
    </row>
    <row r="6281" spans="4:5" x14ac:dyDescent="0.25">
      <c r="D6281" s="4">
        <v>40708</v>
      </c>
      <c r="E6281" s="6">
        <v>120.35</v>
      </c>
    </row>
    <row r="6282" spans="4:5" x14ac:dyDescent="0.25">
      <c r="D6282" s="4">
        <v>40709</v>
      </c>
      <c r="E6282" s="6">
        <v>114.67</v>
      </c>
    </row>
    <row r="6283" spans="4:5" x14ac:dyDescent="0.25">
      <c r="D6283" s="4">
        <v>40710</v>
      </c>
      <c r="E6283" s="6">
        <v>114.69</v>
      </c>
    </row>
    <row r="6284" spans="4:5" x14ac:dyDescent="0.25">
      <c r="D6284" s="4">
        <v>40711</v>
      </c>
      <c r="E6284" s="6">
        <v>113.74</v>
      </c>
    </row>
    <row r="6285" spans="4:5" x14ac:dyDescent="0.25">
      <c r="D6285" s="4">
        <v>40714</v>
      </c>
      <c r="E6285" s="6">
        <v>112.21</v>
      </c>
    </row>
    <row r="6286" spans="4:5" x14ac:dyDescent="0.25">
      <c r="D6286" s="4">
        <v>40715</v>
      </c>
      <c r="E6286" s="6">
        <v>112.02</v>
      </c>
    </row>
    <row r="6287" spans="4:5" x14ac:dyDescent="0.25">
      <c r="D6287" s="4">
        <v>40716</v>
      </c>
      <c r="E6287" s="6">
        <v>113.59</v>
      </c>
    </row>
    <row r="6288" spans="4:5" x14ac:dyDescent="0.25">
      <c r="D6288" s="4">
        <v>40717</v>
      </c>
      <c r="E6288" s="6">
        <v>108.27</v>
      </c>
    </row>
    <row r="6289" spans="4:5" x14ac:dyDescent="0.25">
      <c r="D6289" s="4">
        <v>40718</v>
      </c>
      <c r="E6289" s="6">
        <v>104.79</v>
      </c>
    </row>
    <row r="6290" spans="4:5" x14ac:dyDescent="0.25">
      <c r="D6290" s="4">
        <v>40721</v>
      </c>
      <c r="E6290" s="6">
        <v>104.57</v>
      </c>
    </row>
    <row r="6291" spans="4:5" x14ac:dyDescent="0.25">
      <c r="D6291" s="4">
        <v>40722</v>
      </c>
      <c r="E6291" s="6">
        <v>107.57</v>
      </c>
    </row>
    <row r="6292" spans="4:5" x14ac:dyDescent="0.25">
      <c r="D6292" s="4">
        <v>40723</v>
      </c>
      <c r="E6292" s="6">
        <v>111.49</v>
      </c>
    </row>
    <row r="6293" spans="4:5" x14ac:dyDescent="0.25">
      <c r="D6293" s="4">
        <v>40724</v>
      </c>
      <c r="E6293" s="6">
        <v>111.71</v>
      </c>
    </row>
    <row r="6294" spans="4:5" x14ac:dyDescent="0.25">
      <c r="D6294" s="4">
        <v>40725</v>
      </c>
      <c r="E6294" s="6">
        <v>109.82</v>
      </c>
    </row>
    <row r="6295" spans="4:5" x14ac:dyDescent="0.25">
      <c r="D6295" s="4">
        <v>40728</v>
      </c>
      <c r="E6295" s="5"/>
    </row>
    <row r="6296" spans="4:5" x14ac:dyDescent="0.25">
      <c r="D6296" s="4">
        <v>40729</v>
      </c>
      <c r="E6296" s="6">
        <v>113.21</v>
      </c>
    </row>
    <row r="6297" spans="4:5" x14ac:dyDescent="0.25">
      <c r="D6297" s="4">
        <v>40730</v>
      </c>
      <c r="E6297" s="6">
        <v>113.55</v>
      </c>
    </row>
    <row r="6298" spans="4:5" x14ac:dyDescent="0.25">
      <c r="D6298" s="4">
        <v>40731</v>
      </c>
      <c r="E6298" s="6">
        <v>117.4</v>
      </c>
    </row>
    <row r="6299" spans="4:5" x14ac:dyDescent="0.25">
      <c r="D6299" s="4">
        <v>40732</v>
      </c>
      <c r="E6299" s="6">
        <v>117.4</v>
      </c>
    </row>
    <row r="6300" spans="4:5" x14ac:dyDescent="0.25">
      <c r="D6300" s="4">
        <v>40735</v>
      </c>
      <c r="E6300" s="6">
        <v>117.35</v>
      </c>
    </row>
    <row r="6301" spans="4:5" x14ac:dyDescent="0.25">
      <c r="D6301" s="4">
        <v>40736</v>
      </c>
      <c r="E6301" s="6">
        <v>117.36</v>
      </c>
    </row>
    <row r="6302" spans="4:5" x14ac:dyDescent="0.25">
      <c r="D6302" s="4">
        <v>40737</v>
      </c>
      <c r="E6302" s="6">
        <v>118.46</v>
      </c>
    </row>
    <row r="6303" spans="4:5" x14ac:dyDescent="0.25">
      <c r="D6303" s="4">
        <v>40738</v>
      </c>
      <c r="E6303" s="6">
        <v>117.38</v>
      </c>
    </row>
    <row r="6304" spans="4:5" x14ac:dyDescent="0.25">
      <c r="D6304" s="4">
        <v>40739</v>
      </c>
      <c r="E6304" s="6">
        <v>118.06</v>
      </c>
    </row>
    <row r="6305" spans="4:5" x14ac:dyDescent="0.25">
      <c r="D6305" s="4">
        <v>40742</v>
      </c>
      <c r="E6305" s="6">
        <v>117.05</v>
      </c>
    </row>
    <row r="6306" spans="4:5" x14ac:dyDescent="0.25">
      <c r="D6306" s="4">
        <v>40743</v>
      </c>
      <c r="E6306" s="6">
        <v>118.18</v>
      </c>
    </row>
    <row r="6307" spans="4:5" x14ac:dyDescent="0.25">
      <c r="D6307" s="4">
        <v>40744</v>
      </c>
      <c r="E6307" s="6">
        <v>118.52</v>
      </c>
    </row>
    <row r="6308" spans="4:5" x14ac:dyDescent="0.25">
      <c r="D6308" s="4">
        <v>40745</v>
      </c>
      <c r="E6308" s="6">
        <v>118.25</v>
      </c>
    </row>
    <row r="6309" spans="4:5" x14ac:dyDescent="0.25">
      <c r="D6309" s="4">
        <v>40746</v>
      </c>
      <c r="E6309" s="6">
        <v>118.99</v>
      </c>
    </row>
    <row r="6310" spans="4:5" x14ac:dyDescent="0.25">
      <c r="D6310" s="4">
        <v>40749</v>
      </c>
      <c r="E6310" s="6">
        <v>118.27</v>
      </c>
    </row>
    <row r="6311" spans="4:5" x14ac:dyDescent="0.25">
      <c r="D6311" s="4">
        <v>40750</v>
      </c>
      <c r="E6311" s="6">
        <v>118.14</v>
      </c>
    </row>
    <row r="6312" spans="4:5" x14ac:dyDescent="0.25">
      <c r="D6312" s="4">
        <v>40751</v>
      </c>
      <c r="E6312" s="6">
        <v>117.99</v>
      </c>
    </row>
    <row r="6313" spans="4:5" x14ac:dyDescent="0.25">
      <c r="D6313" s="4">
        <v>40752</v>
      </c>
      <c r="E6313" s="6">
        <v>118.16</v>
      </c>
    </row>
    <row r="6314" spans="4:5" x14ac:dyDescent="0.25">
      <c r="D6314" s="4">
        <v>40753</v>
      </c>
      <c r="E6314" s="6">
        <v>115.93</v>
      </c>
    </row>
    <row r="6315" spans="4:5" x14ac:dyDescent="0.25">
      <c r="D6315" s="4">
        <v>40756</v>
      </c>
      <c r="E6315" s="6">
        <v>116.37</v>
      </c>
    </row>
    <row r="6316" spans="4:5" x14ac:dyDescent="0.25">
      <c r="D6316" s="4">
        <v>40757</v>
      </c>
      <c r="E6316" s="6">
        <v>116.02</v>
      </c>
    </row>
    <row r="6317" spans="4:5" x14ac:dyDescent="0.25">
      <c r="D6317" s="4">
        <v>40758</v>
      </c>
      <c r="E6317" s="6">
        <v>113.74</v>
      </c>
    </row>
    <row r="6318" spans="4:5" x14ac:dyDescent="0.25">
      <c r="D6318" s="4">
        <v>40759</v>
      </c>
      <c r="E6318" s="6">
        <v>110.22</v>
      </c>
    </row>
    <row r="6319" spans="4:5" x14ac:dyDescent="0.25">
      <c r="D6319" s="4">
        <v>40760</v>
      </c>
      <c r="E6319" s="6">
        <v>106.92</v>
      </c>
    </row>
    <row r="6320" spans="4:5" x14ac:dyDescent="0.25">
      <c r="D6320" s="4">
        <v>40763</v>
      </c>
      <c r="E6320" s="6">
        <v>103.06</v>
      </c>
    </row>
    <row r="6321" spans="4:5" x14ac:dyDescent="0.25">
      <c r="D6321" s="4">
        <v>40764</v>
      </c>
      <c r="E6321" s="6">
        <v>103.63</v>
      </c>
    </row>
    <row r="6322" spans="4:5" x14ac:dyDescent="0.25">
      <c r="D6322" s="4">
        <v>40765</v>
      </c>
      <c r="E6322" s="6">
        <v>103.84</v>
      </c>
    </row>
    <row r="6323" spans="4:5" x14ac:dyDescent="0.25">
      <c r="D6323" s="4">
        <v>40766</v>
      </c>
      <c r="E6323" s="6">
        <v>107.82</v>
      </c>
    </row>
    <row r="6324" spans="4:5" x14ac:dyDescent="0.25">
      <c r="D6324" s="4">
        <v>40767</v>
      </c>
      <c r="E6324" s="6">
        <v>108.17</v>
      </c>
    </row>
    <row r="6325" spans="4:5" x14ac:dyDescent="0.25">
      <c r="D6325" s="4">
        <v>40770</v>
      </c>
      <c r="E6325" s="6">
        <v>108.89</v>
      </c>
    </row>
    <row r="6326" spans="4:5" x14ac:dyDescent="0.25">
      <c r="D6326" s="4">
        <v>40771</v>
      </c>
      <c r="E6326" s="6">
        <v>109.69</v>
      </c>
    </row>
    <row r="6327" spans="4:5" x14ac:dyDescent="0.25">
      <c r="D6327" s="4">
        <v>40772</v>
      </c>
      <c r="E6327" s="6">
        <v>111.37</v>
      </c>
    </row>
    <row r="6328" spans="4:5" x14ac:dyDescent="0.25">
      <c r="D6328" s="4">
        <v>40773</v>
      </c>
      <c r="E6328" s="6">
        <v>108.36</v>
      </c>
    </row>
    <row r="6329" spans="4:5" x14ac:dyDescent="0.25">
      <c r="D6329" s="4">
        <v>40774</v>
      </c>
      <c r="E6329" s="6">
        <v>109.37</v>
      </c>
    </row>
    <row r="6330" spans="4:5" x14ac:dyDescent="0.25">
      <c r="D6330" s="4">
        <v>40777</v>
      </c>
      <c r="E6330" s="6">
        <v>108.83</v>
      </c>
    </row>
    <row r="6331" spans="4:5" x14ac:dyDescent="0.25">
      <c r="D6331" s="4">
        <v>40778</v>
      </c>
      <c r="E6331" s="6">
        <v>110.35</v>
      </c>
    </row>
    <row r="6332" spans="4:5" x14ac:dyDescent="0.25">
      <c r="D6332" s="4">
        <v>40779</v>
      </c>
      <c r="E6332" s="6">
        <v>111.91</v>
      </c>
    </row>
    <row r="6333" spans="4:5" x14ac:dyDescent="0.25">
      <c r="D6333" s="4">
        <v>40780</v>
      </c>
      <c r="E6333" s="6">
        <v>111.91</v>
      </c>
    </row>
    <row r="6334" spans="4:5" x14ac:dyDescent="0.25">
      <c r="D6334" s="4">
        <v>40781</v>
      </c>
      <c r="E6334" s="6">
        <v>112.29</v>
      </c>
    </row>
    <row r="6335" spans="4:5" x14ac:dyDescent="0.25">
      <c r="D6335" s="4">
        <v>40784</v>
      </c>
      <c r="E6335" s="5"/>
    </row>
    <row r="6336" spans="4:5" x14ac:dyDescent="0.25">
      <c r="D6336" s="4">
        <v>40785</v>
      </c>
      <c r="E6336" s="6">
        <v>115.59</v>
      </c>
    </row>
    <row r="6337" spans="4:5" x14ac:dyDescent="0.25">
      <c r="D6337" s="4">
        <v>40786</v>
      </c>
      <c r="E6337" s="6">
        <v>116.48</v>
      </c>
    </row>
    <row r="6338" spans="4:5" x14ac:dyDescent="0.25">
      <c r="D6338" s="4">
        <v>40787</v>
      </c>
      <c r="E6338" s="6">
        <v>116.43</v>
      </c>
    </row>
    <row r="6339" spans="4:5" x14ac:dyDescent="0.25">
      <c r="D6339" s="4">
        <v>40788</v>
      </c>
      <c r="E6339" s="6">
        <v>115.92</v>
      </c>
    </row>
    <row r="6340" spans="4:5" x14ac:dyDescent="0.25">
      <c r="D6340" s="4">
        <v>40791</v>
      </c>
      <c r="E6340" s="5"/>
    </row>
    <row r="6341" spans="4:5" x14ac:dyDescent="0.25">
      <c r="D6341" s="4">
        <v>40792</v>
      </c>
      <c r="E6341" s="6">
        <v>113.29</v>
      </c>
    </row>
    <row r="6342" spans="4:5" x14ac:dyDescent="0.25">
      <c r="D6342" s="4">
        <v>40793</v>
      </c>
      <c r="E6342" s="6">
        <v>117.5</v>
      </c>
    </row>
    <row r="6343" spans="4:5" x14ac:dyDescent="0.25">
      <c r="D6343" s="4">
        <v>40794</v>
      </c>
      <c r="E6343" s="6">
        <v>117.99</v>
      </c>
    </row>
    <row r="6344" spans="4:5" x14ac:dyDescent="0.25">
      <c r="D6344" s="4">
        <v>40795</v>
      </c>
      <c r="E6344" s="6">
        <v>115.1</v>
      </c>
    </row>
    <row r="6345" spans="4:5" x14ac:dyDescent="0.25">
      <c r="D6345" s="4">
        <v>40798</v>
      </c>
      <c r="E6345" s="6">
        <v>114.75</v>
      </c>
    </row>
    <row r="6346" spans="4:5" x14ac:dyDescent="0.25">
      <c r="D6346" s="4">
        <v>40799</v>
      </c>
      <c r="E6346" s="6">
        <v>114.08</v>
      </c>
    </row>
    <row r="6347" spans="4:5" x14ac:dyDescent="0.25">
      <c r="D6347" s="4">
        <v>40800</v>
      </c>
      <c r="E6347" s="6">
        <v>113.1</v>
      </c>
    </row>
    <row r="6348" spans="4:5" x14ac:dyDescent="0.25">
      <c r="D6348" s="4">
        <v>40801</v>
      </c>
      <c r="E6348" s="6">
        <v>116.71</v>
      </c>
    </row>
    <row r="6349" spans="4:5" x14ac:dyDescent="0.25">
      <c r="D6349" s="4">
        <v>40802</v>
      </c>
      <c r="E6349" s="6">
        <v>116.26</v>
      </c>
    </row>
    <row r="6350" spans="4:5" x14ac:dyDescent="0.25">
      <c r="D6350" s="4">
        <v>40805</v>
      </c>
      <c r="E6350" s="6">
        <v>112.89</v>
      </c>
    </row>
    <row r="6351" spans="4:5" x14ac:dyDescent="0.25">
      <c r="D6351" s="4">
        <v>40806</v>
      </c>
      <c r="E6351" s="6">
        <v>114.39</v>
      </c>
    </row>
    <row r="6352" spans="4:5" x14ac:dyDescent="0.25">
      <c r="D6352" s="4">
        <v>40807</v>
      </c>
      <c r="E6352" s="6">
        <v>114.26</v>
      </c>
    </row>
    <row r="6353" spans="4:5" x14ac:dyDescent="0.25">
      <c r="D6353" s="4">
        <v>40808</v>
      </c>
      <c r="E6353" s="6">
        <v>109.21</v>
      </c>
    </row>
    <row r="6354" spans="4:5" x14ac:dyDescent="0.25">
      <c r="D6354" s="4">
        <v>40809</v>
      </c>
      <c r="E6354" s="6">
        <v>109.17</v>
      </c>
    </row>
    <row r="6355" spans="4:5" x14ac:dyDescent="0.25">
      <c r="D6355" s="4">
        <v>40812</v>
      </c>
      <c r="E6355" s="6">
        <v>107.9</v>
      </c>
    </row>
    <row r="6356" spans="4:5" x14ac:dyDescent="0.25">
      <c r="D6356" s="4">
        <v>40813</v>
      </c>
      <c r="E6356" s="6">
        <v>109.54</v>
      </c>
    </row>
    <row r="6357" spans="4:5" x14ac:dyDescent="0.25">
      <c r="D6357" s="4">
        <v>40814</v>
      </c>
      <c r="E6357" s="6">
        <v>108.52</v>
      </c>
    </row>
    <row r="6358" spans="4:5" x14ac:dyDescent="0.25">
      <c r="D6358" s="4">
        <v>40815</v>
      </c>
      <c r="E6358" s="6">
        <v>107.08</v>
      </c>
    </row>
    <row r="6359" spans="4:5" x14ac:dyDescent="0.25">
      <c r="D6359" s="4">
        <v>40816</v>
      </c>
      <c r="E6359" s="6">
        <v>105.42</v>
      </c>
    </row>
    <row r="6360" spans="4:5" x14ac:dyDescent="0.25">
      <c r="D6360" s="4">
        <v>40819</v>
      </c>
      <c r="E6360" s="6">
        <v>103.61</v>
      </c>
    </row>
    <row r="6361" spans="4:5" x14ac:dyDescent="0.25">
      <c r="D6361" s="4">
        <v>40820</v>
      </c>
      <c r="E6361" s="6">
        <v>101.84</v>
      </c>
    </row>
    <row r="6362" spans="4:5" x14ac:dyDescent="0.25">
      <c r="D6362" s="4">
        <v>40821</v>
      </c>
      <c r="E6362" s="6">
        <v>103.77</v>
      </c>
    </row>
    <row r="6363" spans="4:5" x14ac:dyDescent="0.25">
      <c r="D6363" s="4">
        <v>40822</v>
      </c>
      <c r="E6363" s="6">
        <v>104.38</v>
      </c>
    </row>
    <row r="6364" spans="4:5" x14ac:dyDescent="0.25">
      <c r="D6364" s="4">
        <v>40823</v>
      </c>
      <c r="E6364" s="6">
        <v>106.56</v>
      </c>
    </row>
    <row r="6365" spans="4:5" x14ac:dyDescent="0.25">
      <c r="D6365" s="4">
        <v>40826</v>
      </c>
      <c r="E6365" s="6">
        <v>109.49</v>
      </c>
    </row>
    <row r="6366" spans="4:5" x14ac:dyDescent="0.25">
      <c r="D6366" s="4">
        <v>40827</v>
      </c>
      <c r="E6366" s="6">
        <v>109.22</v>
      </c>
    </row>
    <row r="6367" spans="4:5" x14ac:dyDescent="0.25">
      <c r="D6367" s="4">
        <v>40828</v>
      </c>
      <c r="E6367" s="6">
        <v>112.44</v>
      </c>
    </row>
    <row r="6368" spans="4:5" x14ac:dyDescent="0.25">
      <c r="D6368" s="4">
        <v>40829</v>
      </c>
      <c r="E6368" s="6">
        <v>112.45</v>
      </c>
    </row>
    <row r="6369" spans="4:5" x14ac:dyDescent="0.25">
      <c r="D6369" s="4">
        <v>40830</v>
      </c>
      <c r="E6369" s="6">
        <v>114.33</v>
      </c>
    </row>
    <row r="6370" spans="4:5" x14ac:dyDescent="0.25">
      <c r="D6370" s="4">
        <v>40833</v>
      </c>
      <c r="E6370" s="6">
        <v>112.92</v>
      </c>
    </row>
    <row r="6371" spans="4:5" x14ac:dyDescent="0.25">
      <c r="D6371" s="4">
        <v>40834</v>
      </c>
      <c r="E6371" s="6">
        <v>112.08</v>
      </c>
    </row>
    <row r="6372" spans="4:5" x14ac:dyDescent="0.25">
      <c r="D6372" s="4">
        <v>40835</v>
      </c>
      <c r="E6372" s="6">
        <v>111.76</v>
      </c>
    </row>
    <row r="6373" spans="4:5" x14ac:dyDescent="0.25">
      <c r="D6373" s="4">
        <v>40836</v>
      </c>
      <c r="E6373" s="6">
        <v>109</v>
      </c>
    </row>
    <row r="6374" spans="4:5" x14ac:dyDescent="0.25">
      <c r="D6374" s="4">
        <v>40837</v>
      </c>
      <c r="E6374" s="6">
        <v>111.6</v>
      </c>
    </row>
    <row r="6375" spans="4:5" x14ac:dyDescent="0.25">
      <c r="D6375" s="4">
        <v>40840</v>
      </c>
      <c r="E6375" s="6">
        <v>111.67</v>
      </c>
    </row>
    <row r="6376" spans="4:5" x14ac:dyDescent="0.25">
      <c r="D6376" s="4">
        <v>40841</v>
      </c>
      <c r="E6376" s="6">
        <v>112.11</v>
      </c>
    </row>
    <row r="6377" spans="4:5" x14ac:dyDescent="0.25">
      <c r="D6377" s="4">
        <v>40842</v>
      </c>
      <c r="E6377" s="6">
        <v>110.43</v>
      </c>
    </row>
    <row r="6378" spans="4:5" x14ac:dyDescent="0.25">
      <c r="D6378" s="4">
        <v>40843</v>
      </c>
      <c r="E6378" s="6">
        <v>112.45</v>
      </c>
    </row>
    <row r="6379" spans="4:5" x14ac:dyDescent="0.25">
      <c r="D6379" s="4">
        <v>40844</v>
      </c>
      <c r="E6379" s="6">
        <v>110.01</v>
      </c>
    </row>
    <row r="6380" spans="4:5" x14ac:dyDescent="0.25">
      <c r="D6380" s="4">
        <v>40847</v>
      </c>
      <c r="E6380" s="6">
        <v>108.43</v>
      </c>
    </row>
    <row r="6381" spans="4:5" x14ac:dyDescent="0.25">
      <c r="D6381" s="4">
        <v>40848</v>
      </c>
      <c r="E6381" s="6">
        <v>106.97</v>
      </c>
    </row>
    <row r="6382" spans="4:5" x14ac:dyDescent="0.25">
      <c r="D6382" s="4">
        <v>40849</v>
      </c>
      <c r="E6382" s="6">
        <v>110.82</v>
      </c>
    </row>
    <row r="6383" spans="4:5" x14ac:dyDescent="0.25">
      <c r="D6383" s="4">
        <v>40850</v>
      </c>
      <c r="E6383" s="6">
        <v>110.76</v>
      </c>
    </row>
    <row r="6384" spans="4:5" x14ac:dyDescent="0.25">
      <c r="D6384" s="4">
        <v>40851</v>
      </c>
      <c r="E6384" s="6">
        <v>112.22</v>
      </c>
    </row>
    <row r="6385" spans="4:5" x14ac:dyDescent="0.25">
      <c r="D6385" s="4">
        <v>40854</v>
      </c>
      <c r="E6385" s="6">
        <v>114.75</v>
      </c>
    </row>
    <row r="6386" spans="4:5" x14ac:dyDescent="0.25">
      <c r="D6386" s="4">
        <v>40855</v>
      </c>
      <c r="E6386" s="6">
        <v>115.61</v>
      </c>
    </row>
    <row r="6387" spans="4:5" x14ac:dyDescent="0.25">
      <c r="D6387" s="4">
        <v>40856</v>
      </c>
      <c r="E6387" s="6">
        <v>115.29</v>
      </c>
    </row>
    <row r="6388" spans="4:5" x14ac:dyDescent="0.25">
      <c r="D6388" s="4">
        <v>40857</v>
      </c>
      <c r="E6388" s="6">
        <v>113.32</v>
      </c>
    </row>
    <row r="6389" spans="4:5" x14ac:dyDescent="0.25">
      <c r="D6389" s="4">
        <v>40858</v>
      </c>
      <c r="E6389" s="6">
        <v>114.43</v>
      </c>
    </row>
    <row r="6390" spans="4:5" x14ac:dyDescent="0.25">
      <c r="D6390" s="4">
        <v>40861</v>
      </c>
      <c r="E6390" s="6">
        <v>112.57</v>
      </c>
    </row>
    <row r="6391" spans="4:5" x14ac:dyDescent="0.25">
      <c r="D6391" s="4">
        <v>40862</v>
      </c>
      <c r="E6391" s="6">
        <v>111.9</v>
      </c>
    </row>
    <row r="6392" spans="4:5" x14ac:dyDescent="0.25">
      <c r="D6392" s="4">
        <v>40863</v>
      </c>
      <c r="E6392" s="6">
        <v>111.91</v>
      </c>
    </row>
    <row r="6393" spans="4:5" x14ac:dyDescent="0.25">
      <c r="D6393" s="4">
        <v>40864</v>
      </c>
      <c r="E6393" s="6">
        <v>109.25</v>
      </c>
    </row>
    <row r="6394" spans="4:5" x14ac:dyDescent="0.25">
      <c r="D6394" s="4">
        <v>40865</v>
      </c>
      <c r="E6394" s="6">
        <v>107.82</v>
      </c>
    </row>
    <row r="6395" spans="4:5" x14ac:dyDescent="0.25">
      <c r="D6395" s="4">
        <v>40868</v>
      </c>
      <c r="E6395" s="6">
        <v>105.98</v>
      </c>
    </row>
    <row r="6396" spans="4:5" x14ac:dyDescent="0.25">
      <c r="D6396" s="4">
        <v>40869</v>
      </c>
      <c r="E6396" s="6">
        <v>107.77</v>
      </c>
    </row>
    <row r="6397" spans="4:5" x14ac:dyDescent="0.25">
      <c r="D6397" s="4">
        <v>40870</v>
      </c>
      <c r="E6397" s="6">
        <v>106.83</v>
      </c>
    </row>
    <row r="6398" spans="4:5" x14ac:dyDescent="0.25">
      <c r="D6398" s="4">
        <v>40871</v>
      </c>
      <c r="E6398" s="5"/>
    </row>
    <row r="6399" spans="4:5" x14ac:dyDescent="0.25">
      <c r="D6399" s="4">
        <v>40872</v>
      </c>
      <c r="E6399" s="6">
        <v>106.08</v>
      </c>
    </row>
    <row r="6400" spans="4:5" x14ac:dyDescent="0.25">
      <c r="D6400" s="4">
        <v>40875</v>
      </c>
      <c r="E6400" s="6">
        <v>109.38</v>
      </c>
    </row>
    <row r="6401" spans="4:5" x14ac:dyDescent="0.25">
      <c r="D6401" s="4">
        <v>40876</v>
      </c>
      <c r="E6401" s="6">
        <v>111.25</v>
      </c>
    </row>
    <row r="6402" spans="4:5" x14ac:dyDescent="0.25">
      <c r="D6402" s="4">
        <v>40877</v>
      </c>
      <c r="E6402" s="6">
        <v>111.22</v>
      </c>
    </row>
    <row r="6403" spans="4:5" x14ac:dyDescent="0.25">
      <c r="D6403" s="4">
        <v>40878</v>
      </c>
      <c r="E6403" s="6">
        <v>108.83</v>
      </c>
    </row>
    <row r="6404" spans="4:5" x14ac:dyDescent="0.25">
      <c r="D6404" s="4">
        <v>40879</v>
      </c>
      <c r="E6404" s="6">
        <v>109.59</v>
      </c>
    </row>
    <row r="6405" spans="4:5" x14ac:dyDescent="0.25">
      <c r="D6405" s="4">
        <v>40882</v>
      </c>
      <c r="E6405" s="6">
        <v>110.18</v>
      </c>
    </row>
    <row r="6406" spans="4:5" x14ac:dyDescent="0.25">
      <c r="D6406" s="4">
        <v>40883</v>
      </c>
      <c r="E6406" s="6">
        <v>110.16</v>
      </c>
    </row>
    <row r="6407" spans="4:5" x14ac:dyDescent="0.25">
      <c r="D6407" s="4">
        <v>40884</v>
      </c>
      <c r="E6407" s="6">
        <v>110.07</v>
      </c>
    </row>
    <row r="6408" spans="4:5" x14ac:dyDescent="0.25">
      <c r="D6408" s="4">
        <v>40885</v>
      </c>
      <c r="E6408" s="6">
        <v>108.23</v>
      </c>
    </row>
    <row r="6409" spans="4:5" x14ac:dyDescent="0.25">
      <c r="D6409" s="4">
        <v>40886</v>
      </c>
      <c r="E6409" s="6">
        <v>107.91</v>
      </c>
    </row>
    <row r="6410" spans="4:5" x14ac:dyDescent="0.25">
      <c r="D6410" s="4">
        <v>40889</v>
      </c>
      <c r="E6410" s="6">
        <v>107.82</v>
      </c>
    </row>
    <row r="6411" spans="4:5" x14ac:dyDescent="0.25">
      <c r="D6411" s="4">
        <v>40890</v>
      </c>
      <c r="E6411" s="6">
        <v>109.25</v>
      </c>
    </row>
    <row r="6412" spans="4:5" x14ac:dyDescent="0.25">
      <c r="D6412" s="4">
        <v>40891</v>
      </c>
      <c r="E6412" s="6">
        <v>105.72</v>
      </c>
    </row>
    <row r="6413" spans="4:5" x14ac:dyDescent="0.25">
      <c r="D6413" s="4">
        <v>40892</v>
      </c>
      <c r="E6413" s="6">
        <v>104.52</v>
      </c>
    </row>
    <row r="6414" spans="4:5" x14ac:dyDescent="0.25">
      <c r="D6414" s="4">
        <v>40893</v>
      </c>
      <c r="E6414" s="6">
        <v>104</v>
      </c>
    </row>
    <row r="6415" spans="4:5" x14ac:dyDescent="0.25">
      <c r="D6415" s="4">
        <v>40896</v>
      </c>
      <c r="E6415" s="6">
        <v>104.55</v>
      </c>
    </row>
    <row r="6416" spans="4:5" x14ac:dyDescent="0.25">
      <c r="D6416" s="4">
        <v>40897</v>
      </c>
      <c r="E6416" s="6">
        <v>107.8</v>
      </c>
    </row>
    <row r="6417" spans="4:5" x14ac:dyDescent="0.25">
      <c r="D6417" s="4">
        <v>40898</v>
      </c>
      <c r="E6417" s="6">
        <v>108</v>
      </c>
    </row>
    <row r="6418" spans="4:5" x14ac:dyDescent="0.25">
      <c r="D6418" s="4">
        <v>40899</v>
      </c>
      <c r="E6418" s="6">
        <v>108.98</v>
      </c>
    </row>
    <row r="6419" spans="4:5" x14ac:dyDescent="0.25">
      <c r="D6419" s="4">
        <v>40900</v>
      </c>
      <c r="E6419" s="6">
        <v>109.28</v>
      </c>
    </row>
    <row r="6420" spans="4:5" x14ac:dyDescent="0.25">
      <c r="D6420" s="4">
        <v>40903</v>
      </c>
      <c r="E6420" s="5"/>
    </row>
    <row r="6421" spans="4:5" x14ac:dyDescent="0.25">
      <c r="D6421" s="4">
        <v>40904</v>
      </c>
      <c r="E6421" s="5"/>
    </row>
    <row r="6422" spans="4:5" x14ac:dyDescent="0.25">
      <c r="D6422" s="4">
        <v>40905</v>
      </c>
      <c r="E6422" s="6">
        <v>107.54</v>
      </c>
    </row>
    <row r="6423" spans="4:5" x14ac:dyDescent="0.25">
      <c r="D6423" s="4">
        <v>40906</v>
      </c>
      <c r="E6423" s="6">
        <v>106.89</v>
      </c>
    </row>
    <row r="6424" spans="4:5" x14ac:dyDescent="0.25">
      <c r="D6424" s="4">
        <v>40907</v>
      </c>
      <c r="E6424" s="6">
        <v>108.09</v>
      </c>
    </row>
    <row r="6425" spans="4:5" x14ac:dyDescent="0.25">
      <c r="D6425" s="4">
        <v>40910</v>
      </c>
      <c r="E6425" s="5"/>
    </row>
    <row r="6426" spans="4:5" x14ac:dyDescent="0.25">
      <c r="D6426" s="4">
        <v>40911</v>
      </c>
      <c r="E6426" s="6">
        <v>111.12</v>
      </c>
    </row>
    <row r="6427" spans="4:5" x14ac:dyDescent="0.25">
      <c r="D6427" s="4">
        <v>40912</v>
      </c>
      <c r="E6427" s="6">
        <v>113.37</v>
      </c>
    </row>
    <row r="6428" spans="4:5" x14ac:dyDescent="0.25">
      <c r="D6428" s="4">
        <v>40913</v>
      </c>
      <c r="E6428" s="6">
        <v>113.59</v>
      </c>
    </row>
    <row r="6429" spans="4:5" x14ac:dyDescent="0.25">
      <c r="D6429" s="4">
        <v>40914</v>
      </c>
      <c r="E6429" s="6">
        <v>111.96</v>
      </c>
    </row>
    <row r="6430" spans="4:5" x14ac:dyDescent="0.25">
      <c r="D6430" s="4">
        <v>40917</v>
      </c>
      <c r="E6430" s="6">
        <v>111.07</v>
      </c>
    </row>
    <row r="6431" spans="4:5" x14ac:dyDescent="0.25">
      <c r="D6431" s="4">
        <v>40918</v>
      </c>
      <c r="E6431" s="6">
        <v>113.3</v>
      </c>
    </row>
    <row r="6432" spans="4:5" x14ac:dyDescent="0.25">
      <c r="D6432" s="4">
        <v>40919</v>
      </c>
      <c r="E6432" s="6">
        <v>111.66</v>
      </c>
    </row>
    <row r="6433" spans="4:5" x14ac:dyDescent="0.25">
      <c r="D6433" s="4">
        <v>40920</v>
      </c>
      <c r="E6433" s="6">
        <v>112.97</v>
      </c>
    </row>
    <row r="6434" spans="4:5" x14ac:dyDescent="0.25">
      <c r="D6434" s="4">
        <v>40921</v>
      </c>
      <c r="E6434" s="6">
        <v>109.88</v>
      </c>
    </row>
    <row r="6435" spans="4:5" x14ac:dyDescent="0.25">
      <c r="D6435" s="4">
        <v>40924</v>
      </c>
      <c r="E6435" s="5"/>
    </row>
    <row r="6436" spans="4:5" x14ac:dyDescent="0.25">
      <c r="D6436" s="4">
        <v>40925</v>
      </c>
      <c r="E6436" s="6">
        <v>110.55</v>
      </c>
    </row>
    <row r="6437" spans="4:5" x14ac:dyDescent="0.25">
      <c r="D6437" s="4">
        <v>40926</v>
      </c>
      <c r="E6437" s="6">
        <v>109.81</v>
      </c>
    </row>
    <row r="6438" spans="4:5" x14ac:dyDescent="0.25">
      <c r="D6438" s="4">
        <v>40927</v>
      </c>
      <c r="E6438" s="6">
        <v>109.54</v>
      </c>
    </row>
    <row r="6439" spans="4:5" x14ac:dyDescent="0.25">
      <c r="D6439" s="4">
        <v>40928</v>
      </c>
      <c r="E6439" s="6">
        <v>108.5</v>
      </c>
    </row>
    <row r="6440" spans="4:5" x14ac:dyDescent="0.25">
      <c r="D6440" s="4">
        <v>40931</v>
      </c>
      <c r="E6440" s="6">
        <v>109.46</v>
      </c>
    </row>
    <row r="6441" spans="4:5" x14ac:dyDescent="0.25">
      <c r="D6441" s="4">
        <v>40932</v>
      </c>
      <c r="E6441" s="6">
        <v>108.38</v>
      </c>
    </row>
    <row r="6442" spans="4:5" x14ac:dyDescent="0.25">
      <c r="D6442" s="4">
        <v>40933</v>
      </c>
      <c r="E6442" s="6">
        <v>108.48</v>
      </c>
    </row>
    <row r="6443" spans="4:5" x14ac:dyDescent="0.25">
      <c r="D6443" s="4">
        <v>40934</v>
      </c>
      <c r="E6443" s="6">
        <v>109.08</v>
      </c>
    </row>
    <row r="6444" spans="4:5" x14ac:dyDescent="0.25">
      <c r="D6444" s="4">
        <v>40935</v>
      </c>
      <c r="E6444" s="6">
        <v>110.5</v>
      </c>
    </row>
    <row r="6445" spans="4:5" x14ac:dyDescent="0.25">
      <c r="D6445" s="4">
        <v>40938</v>
      </c>
      <c r="E6445" s="6">
        <v>110.24</v>
      </c>
    </row>
    <row r="6446" spans="4:5" x14ac:dyDescent="0.25">
      <c r="D6446" s="4">
        <v>40939</v>
      </c>
      <c r="E6446" s="6">
        <v>110.26</v>
      </c>
    </row>
    <row r="6447" spans="4:5" x14ac:dyDescent="0.25">
      <c r="D6447" s="4">
        <v>40940</v>
      </c>
      <c r="E6447" s="6">
        <v>111.96</v>
      </c>
    </row>
    <row r="6448" spans="4:5" x14ac:dyDescent="0.25">
      <c r="D6448" s="4">
        <v>40941</v>
      </c>
      <c r="E6448" s="6">
        <v>110.96</v>
      </c>
    </row>
    <row r="6449" spans="4:5" x14ac:dyDescent="0.25">
      <c r="D6449" s="4">
        <v>40942</v>
      </c>
      <c r="E6449" s="6">
        <v>112.56</v>
      </c>
    </row>
    <row r="6450" spans="4:5" x14ac:dyDescent="0.25">
      <c r="D6450" s="4">
        <v>40945</v>
      </c>
      <c r="E6450" s="6">
        <v>115.47</v>
      </c>
    </row>
    <row r="6451" spans="4:5" x14ac:dyDescent="0.25">
      <c r="D6451" s="4">
        <v>40946</v>
      </c>
      <c r="E6451" s="6">
        <v>116.86</v>
      </c>
    </row>
    <row r="6452" spans="4:5" x14ac:dyDescent="0.25">
      <c r="D6452" s="4">
        <v>40947</v>
      </c>
      <c r="E6452" s="6">
        <v>117.18</v>
      </c>
    </row>
    <row r="6453" spans="4:5" x14ac:dyDescent="0.25">
      <c r="D6453" s="4">
        <v>40948</v>
      </c>
      <c r="E6453" s="6">
        <v>118.4</v>
      </c>
    </row>
    <row r="6454" spans="4:5" x14ac:dyDescent="0.25">
      <c r="D6454" s="4">
        <v>40949</v>
      </c>
      <c r="E6454" s="6">
        <v>118.13</v>
      </c>
    </row>
    <row r="6455" spans="4:5" x14ac:dyDescent="0.25">
      <c r="D6455" s="4">
        <v>40952</v>
      </c>
      <c r="E6455" s="6">
        <v>118.73</v>
      </c>
    </row>
    <row r="6456" spans="4:5" x14ac:dyDescent="0.25">
      <c r="D6456" s="4">
        <v>40953</v>
      </c>
      <c r="E6456" s="6">
        <v>118.3</v>
      </c>
    </row>
    <row r="6457" spans="4:5" x14ac:dyDescent="0.25">
      <c r="D6457" s="4">
        <v>40954</v>
      </c>
      <c r="E6457" s="6">
        <v>120.25</v>
      </c>
    </row>
    <row r="6458" spans="4:5" x14ac:dyDescent="0.25">
      <c r="D6458" s="4">
        <v>40955</v>
      </c>
      <c r="E6458" s="6">
        <v>121</v>
      </c>
    </row>
    <row r="6459" spans="4:5" x14ac:dyDescent="0.25">
      <c r="D6459" s="4">
        <v>40956</v>
      </c>
      <c r="E6459" s="6">
        <v>120.69</v>
      </c>
    </row>
    <row r="6460" spans="4:5" x14ac:dyDescent="0.25">
      <c r="D6460" s="4">
        <v>40959</v>
      </c>
      <c r="E6460" s="5"/>
    </row>
    <row r="6461" spans="4:5" x14ac:dyDescent="0.25">
      <c r="D6461" s="4">
        <v>40960</v>
      </c>
      <c r="E6461" s="6">
        <v>120.85</v>
      </c>
    </row>
    <row r="6462" spans="4:5" x14ac:dyDescent="0.25">
      <c r="D6462" s="4">
        <v>40961</v>
      </c>
      <c r="E6462" s="6">
        <v>123.07</v>
      </c>
    </row>
    <row r="6463" spans="4:5" x14ac:dyDescent="0.25">
      <c r="D6463" s="4">
        <v>40962</v>
      </c>
      <c r="E6463" s="6">
        <v>124.53</v>
      </c>
    </row>
    <row r="6464" spans="4:5" x14ac:dyDescent="0.25">
      <c r="D6464" s="4">
        <v>40963</v>
      </c>
      <c r="E6464" s="6">
        <v>124.89</v>
      </c>
    </row>
    <row r="6465" spans="4:5" x14ac:dyDescent="0.25">
      <c r="D6465" s="4">
        <v>40966</v>
      </c>
      <c r="E6465" s="6">
        <v>126.46</v>
      </c>
    </row>
    <row r="6466" spans="4:5" x14ac:dyDescent="0.25">
      <c r="D6466" s="4">
        <v>40967</v>
      </c>
      <c r="E6466" s="6">
        <v>124.02</v>
      </c>
    </row>
    <row r="6467" spans="4:5" x14ac:dyDescent="0.25">
      <c r="D6467" s="4">
        <v>40968</v>
      </c>
      <c r="E6467" s="6">
        <v>122.23</v>
      </c>
    </row>
    <row r="6468" spans="4:5" x14ac:dyDescent="0.25">
      <c r="D6468" s="4">
        <v>40969</v>
      </c>
      <c r="E6468" s="6">
        <v>125.76</v>
      </c>
    </row>
    <row r="6469" spans="4:5" x14ac:dyDescent="0.25">
      <c r="D6469" s="4">
        <v>40970</v>
      </c>
      <c r="E6469" s="6">
        <v>125.93</v>
      </c>
    </row>
    <row r="6470" spans="4:5" x14ac:dyDescent="0.25">
      <c r="D6470" s="4">
        <v>40973</v>
      </c>
      <c r="E6470" s="6">
        <v>126.68</v>
      </c>
    </row>
    <row r="6471" spans="4:5" x14ac:dyDescent="0.25">
      <c r="D6471" s="4">
        <v>40974</v>
      </c>
      <c r="E6471" s="6">
        <v>125.03</v>
      </c>
    </row>
    <row r="6472" spans="4:5" x14ac:dyDescent="0.25">
      <c r="D6472" s="4">
        <v>40975</v>
      </c>
      <c r="E6472" s="6">
        <v>125.37</v>
      </c>
    </row>
    <row r="6473" spans="4:5" x14ac:dyDescent="0.25">
      <c r="D6473" s="4">
        <v>40976</v>
      </c>
      <c r="E6473" s="6">
        <v>127.96</v>
      </c>
    </row>
    <row r="6474" spans="4:5" x14ac:dyDescent="0.25">
      <c r="D6474" s="4">
        <v>40977</v>
      </c>
      <c r="E6474" s="6">
        <v>128.08000000000001</v>
      </c>
    </row>
    <row r="6475" spans="4:5" x14ac:dyDescent="0.25">
      <c r="D6475" s="4">
        <v>40980</v>
      </c>
      <c r="E6475" s="6">
        <v>127.27</v>
      </c>
    </row>
    <row r="6476" spans="4:5" x14ac:dyDescent="0.25">
      <c r="D6476" s="4">
        <v>40981</v>
      </c>
      <c r="E6476" s="6">
        <v>128.13999999999999</v>
      </c>
    </row>
    <row r="6477" spans="4:5" x14ac:dyDescent="0.25">
      <c r="D6477" s="4">
        <v>40982</v>
      </c>
      <c r="E6477" s="6">
        <v>126.98</v>
      </c>
    </row>
    <row r="6478" spans="4:5" x14ac:dyDescent="0.25">
      <c r="D6478" s="4">
        <v>40983</v>
      </c>
      <c r="E6478" s="6">
        <v>123.63</v>
      </c>
    </row>
    <row r="6479" spans="4:5" x14ac:dyDescent="0.25">
      <c r="D6479" s="4">
        <v>40984</v>
      </c>
      <c r="E6479" s="6">
        <v>125.09</v>
      </c>
    </row>
    <row r="6480" spans="4:5" x14ac:dyDescent="0.25">
      <c r="D6480" s="4">
        <v>40987</v>
      </c>
      <c r="E6480" s="6">
        <v>125.76</v>
      </c>
    </row>
    <row r="6481" spans="4:5" x14ac:dyDescent="0.25">
      <c r="D6481" s="4">
        <v>40988</v>
      </c>
      <c r="E6481" s="6">
        <v>124.38</v>
      </c>
    </row>
    <row r="6482" spans="4:5" x14ac:dyDescent="0.25">
      <c r="D6482" s="4">
        <v>40989</v>
      </c>
      <c r="E6482" s="6">
        <v>123.89</v>
      </c>
    </row>
    <row r="6483" spans="4:5" x14ac:dyDescent="0.25">
      <c r="D6483" s="4">
        <v>40990</v>
      </c>
      <c r="E6483" s="6">
        <v>122.49</v>
      </c>
    </row>
    <row r="6484" spans="4:5" x14ac:dyDescent="0.25">
      <c r="D6484" s="4">
        <v>40991</v>
      </c>
      <c r="E6484" s="6">
        <v>125.21</v>
      </c>
    </row>
    <row r="6485" spans="4:5" x14ac:dyDescent="0.25">
      <c r="D6485" s="4">
        <v>40994</v>
      </c>
      <c r="E6485" s="6">
        <v>125.85</v>
      </c>
    </row>
    <row r="6486" spans="4:5" x14ac:dyDescent="0.25">
      <c r="D6486" s="4">
        <v>40995</v>
      </c>
      <c r="E6486" s="6">
        <v>125.25</v>
      </c>
    </row>
    <row r="6487" spans="4:5" x14ac:dyDescent="0.25">
      <c r="D6487" s="4">
        <v>40996</v>
      </c>
      <c r="E6487" s="6">
        <v>124.41</v>
      </c>
    </row>
    <row r="6488" spans="4:5" x14ac:dyDescent="0.25">
      <c r="D6488" s="4">
        <v>40997</v>
      </c>
      <c r="E6488" s="6">
        <v>123.23</v>
      </c>
    </row>
    <row r="6489" spans="4:5" x14ac:dyDescent="0.25">
      <c r="D6489" s="4">
        <v>40998</v>
      </c>
      <c r="E6489" s="6">
        <v>123.41</v>
      </c>
    </row>
    <row r="6490" spans="4:5" x14ac:dyDescent="0.25">
      <c r="D6490" s="4">
        <v>41001</v>
      </c>
      <c r="E6490" s="6">
        <v>124.44</v>
      </c>
    </row>
    <row r="6491" spans="4:5" x14ac:dyDescent="0.25">
      <c r="D6491" s="4">
        <v>41002</v>
      </c>
      <c r="E6491" s="5"/>
    </row>
    <row r="6492" spans="4:5" x14ac:dyDescent="0.25">
      <c r="D6492" s="4">
        <v>41003</v>
      </c>
      <c r="E6492" s="6">
        <v>123.04</v>
      </c>
    </row>
    <row r="6493" spans="4:5" x14ac:dyDescent="0.25">
      <c r="D6493" s="4">
        <v>41004</v>
      </c>
      <c r="E6493" s="6">
        <v>123.58</v>
      </c>
    </row>
    <row r="6494" spans="4:5" x14ac:dyDescent="0.25">
      <c r="D6494" s="4">
        <v>41005</v>
      </c>
      <c r="E6494" s="5"/>
    </row>
    <row r="6495" spans="4:5" x14ac:dyDescent="0.25">
      <c r="D6495" s="4">
        <v>41008</v>
      </c>
      <c r="E6495" s="5"/>
    </row>
    <row r="6496" spans="4:5" x14ac:dyDescent="0.25">
      <c r="D6496" s="4">
        <v>41009</v>
      </c>
      <c r="E6496" s="6">
        <v>121.89</v>
      </c>
    </row>
    <row r="6497" spans="4:5" x14ac:dyDescent="0.25">
      <c r="D6497" s="4">
        <v>41010</v>
      </c>
      <c r="E6497" s="6">
        <v>120.41</v>
      </c>
    </row>
    <row r="6498" spans="4:5" x14ac:dyDescent="0.25">
      <c r="D6498" s="4">
        <v>41011</v>
      </c>
      <c r="E6498" s="6">
        <v>120.57</v>
      </c>
    </row>
    <row r="6499" spans="4:5" x14ac:dyDescent="0.25">
      <c r="D6499" s="4">
        <v>41012</v>
      </c>
      <c r="E6499" s="6">
        <v>120.62</v>
      </c>
    </row>
    <row r="6500" spans="4:5" x14ac:dyDescent="0.25">
      <c r="D6500" s="4">
        <v>41015</v>
      </c>
      <c r="E6500" s="6">
        <v>118.23</v>
      </c>
    </row>
    <row r="6501" spans="4:5" x14ac:dyDescent="0.25">
      <c r="D6501" s="4">
        <v>41016</v>
      </c>
      <c r="E6501" s="6">
        <v>117.41</v>
      </c>
    </row>
    <row r="6502" spans="4:5" x14ac:dyDescent="0.25">
      <c r="D6502" s="4">
        <v>41017</v>
      </c>
      <c r="E6502" s="6">
        <v>115.18</v>
      </c>
    </row>
    <row r="6503" spans="4:5" x14ac:dyDescent="0.25">
      <c r="D6503" s="4">
        <v>41018</v>
      </c>
      <c r="E6503" s="6">
        <v>117</v>
      </c>
    </row>
    <row r="6504" spans="4:5" x14ac:dyDescent="0.25">
      <c r="D6504" s="4">
        <v>41019</v>
      </c>
      <c r="E6504" s="6">
        <v>118.08</v>
      </c>
    </row>
    <row r="6505" spans="4:5" x14ac:dyDescent="0.25">
      <c r="D6505" s="4">
        <v>41022</v>
      </c>
      <c r="E6505" s="6">
        <v>116.66</v>
      </c>
    </row>
    <row r="6506" spans="4:5" x14ac:dyDescent="0.25">
      <c r="D6506" s="4">
        <v>41023</v>
      </c>
      <c r="E6506" s="6">
        <v>117.74</v>
      </c>
    </row>
    <row r="6507" spans="4:5" x14ac:dyDescent="0.25">
      <c r="D6507" s="4">
        <v>41024</v>
      </c>
      <c r="E6507" s="6">
        <v>117.45</v>
      </c>
    </row>
    <row r="6508" spans="4:5" x14ac:dyDescent="0.25">
      <c r="D6508" s="4">
        <v>41025</v>
      </c>
      <c r="E6508" s="6">
        <v>119.33</v>
      </c>
    </row>
    <row r="6509" spans="4:5" x14ac:dyDescent="0.25">
      <c r="D6509" s="4">
        <v>41026</v>
      </c>
      <c r="E6509" s="6">
        <v>119.3</v>
      </c>
    </row>
    <row r="6510" spans="4:5" x14ac:dyDescent="0.25">
      <c r="D6510" s="4">
        <v>41029</v>
      </c>
      <c r="E6510" s="6">
        <v>118.66</v>
      </c>
    </row>
    <row r="6511" spans="4:5" x14ac:dyDescent="0.25">
      <c r="D6511" s="4">
        <v>41030</v>
      </c>
      <c r="E6511" s="6">
        <v>119.57</v>
      </c>
    </row>
    <row r="6512" spans="4:5" x14ac:dyDescent="0.25">
      <c r="D6512" s="4">
        <v>41031</v>
      </c>
      <c r="E6512" s="6">
        <v>117.57</v>
      </c>
    </row>
    <row r="6513" spans="4:5" x14ac:dyDescent="0.25">
      <c r="D6513" s="4">
        <v>41032</v>
      </c>
      <c r="E6513" s="6">
        <v>115.91</v>
      </c>
    </row>
    <row r="6514" spans="4:5" x14ac:dyDescent="0.25">
      <c r="D6514" s="4">
        <v>41033</v>
      </c>
      <c r="E6514" s="6">
        <v>111.66</v>
      </c>
    </row>
    <row r="6515" spans="4:5" x14ac:dyDescent="0.25">
      <c r="D6515" s="4">
        <v>41036</v>
      </c>
      <c r="E6515" s="5"/>
    </row>
    <row r="6516" spans="4:5" x14ac:dyDescent="0.25">
      <c r="D6516" s="4">
        <v>41037</v>
      </c>
      <c r="E6516" s="6">
        <v>110.48</v>
      </c>
    </row>
    <row r="6517" spans="4:5" x14ac:dyDescent="0.25">
      <c r="D6517" s="4">
        <v>41038</v>
      </c>
      <c r="E6517" s="6">
        <v>111.89</v>
      </c>
    </row>
    <row r="6518" spans="4:5" x14ac:dyDescent="0.25">
      <c r="D6518" s="4">
        <v>41039</v>
      </c>
      <c r="E6518" s="6">
        <v>112.24</v>
      </c>
    </row>
    <row r="6519" spans="4:5" x14ac:dyDescent="0.25">
      <c r="D6519" s="4">
        <v>41040</v>
      </c>
      <c r="E6519" s="6">
        <v>112.5</v>
      </c>
    </row>
    <row r="6520" spans="4:5" x14ac:dyDescent="0.25">
      <c r="D6520" s="4">
        <v>41043</v>
      </c>
      <c r="E6520" s="6">
        <v>110.79</v>
      </c>
    </row>
    <row r="6521" spans="4:5" x14ac:dyDescent="0.25">
      <c r="D6521" s="4">
        <v>41044</v>
      </c>
      <c r="E6521" s="6">
        <v>111.4</v>
      </c>
    </row>
    <row r="6522" spans="4:5" x14ac:dyDescent="0.25">
      <c r="D6522" s="4">
        <v>41045</v>
      </c>
      <c r="E6522" s="6">
        <v>109.8</v>
      </c>
    </row>
    <row r="6523" spans="4:5" x14ac:dyDescent="0.25">
      <c r="D6523" s="4">
        <v>41046</v>
      </c>
      <c r="E6523" s="6">
        <v>109.31</v>
      </c>
    </row>
    <row r="6524" spans="4:5" x14ac:dyDescent="0.25">
      <c r="D6524" s="4">
        <v>41047</v>
      </c>
      <c r="E6524" s="6">
        <v>108.03</v>
      </c>
    </row>
    <row r="6525" spans="4:5" x14ac:dyDescent="0.25">
      <c r="D6525" s="4">
        <v>41050</v>
      </c>
      <c r="E6525" s="6">
        <v>109.02</v>
      </c>
    </row>
    <row r="6526" spans="4:5" x14ac:dyDescent="0.25">
      <c r="D6526" s="4">
        <v>41051</v>
      </c>
      <c r="E6526" s="6">
        <v>109.76</v>
      </c>
    </row>
    <row r="6527" spans="4:5" x14ac:dyDescent="0.25">
      <c r="D6527" s="4">
        <v>41052</v>
      </c>
      <c r="E6527" s="6">
        <v>106.88</v>
      </c>
    </row>
    <row r="6528" spans="4:5" x14ac:dyDescent="0.25">
      <c r="D6528" s="4">
        <v>41053</v>
      </c>
      <c r="E6528" s="6">
        <v>107.2</v>
      </c>
    </row>
    <row r="6529" spans="4:5" x14ac:dyDescent="0.25">
      <c r="D6529" s="4">
        <v>41054</v>
      </c>
      <c r="E6529" s="6">
        <v>107.86</v>
      </c>
    </row>
    <row r="6530" spans="4:5" x14ac:dyDescent="0.25">
      <c r="D6530" s="4">
        <v>41057</v>
      </c>
      <c r="E6530" s="5"/>
    </row>
    <row r="6531" spans="4:5" x14ac:dyDescent="0.25">
      <c r="D6531" s="4">
        <v>41058</v>
      </c>
      <c r="E6531" s="6">
        <v>107.55</v>
      </c>
    </row>
    <row r="6532" spans="4:5" x14ac:dyDescent="0.25">
      <c r="D6532" s="4">
        <v>41059</v>
      </c>
      <c r="E6532" s="6">
        <v>103.85</v>
      </c>
    </row>
    <row r="6533" spans="4:5" x14ac:dyDescent="0.25">
      <c r="D6533" s="4">
        <v>41060</v>
      </c>
      <c r="E6533" s="6">
        <v>103.86</v>
      </c>
    </row>
    <row r="6534" spans="4:5" x14ac:dyDescent="0.25">
      <c r="D6534" s="4">
        <v>41061</v>
      </c>
      <c r="E6534" s="6">
        <v>98.63</v>
      </c>
    </row>
    <row r="6535" spans="4:5" x14ac:dyDescent="0.25">
      <c r="D6535" s="4">
        <v>41064</v>
      </c>
      <c r="E6535" s="6">
        <v>97.74</v>
      </c>
    </row>
    <row r="6536" spans="4:5" x14ac:dyDescent="0.25">
      <c r="D6536" s="4">
        <v>41065</v>
      </c>
      <c r="E6536" s="6">
        <v>98.65</v>
      </c>
    </row>
    <row r="6537" spans="4:5" x14ac:dyDescent="0.25">
      <c r="D6537" s="4">
        <v>41066</v>
      </c>
      <c r="E6537" s="6">
        <v>101.14</v>
      </c>
    </row>
    <row r="6538" spans="4:5" x14ac:dyDescent="0.25">
      <c r="D6538" s="4">
        <v>41067</v>
      </c>
      <c r="E6538" s="6">
        <v>100.05</v>
      </c>
    </row>
    <row r="6539" spans="4:5" x14ac:dyDescent="0.25">
      <c r="D6539" s="4">
        <v>41068</v>
      </c>
      <c r="E6539" s="6">
        <v>97.57</v>
      </c>
    </row>
    <row r="6540" spans="4:5" x14ac:dyDescent="0.25">
      <c r="D6540" s="4">
        <v>41071</v>
      </c>
      <c r="E6540" s="6">
        <v>98.6</v>
      </c>
    </row>
    <row r="6541" spans="4:5" x14ac:dyDescent="0.25">
      <c r="D6541" s="4">
        <v>41072</v>
      </c>
      <c r="E6541" s="6">
        <v>96.59</v>
      </c>
    </row>
    <row r="6542" spans="4:5" x14ac:dyDescent="0.25">
      <c r="D6542" s="4">
        <v>41073</v>
      </c>
      <c r="E6542" s="6">
        <v>97.29</v>
      </c>
    </row>
    <row r="6543" spans="4:5" x14ac:dyDescent="0.25">
      <c r="D6543" s="4">
        <v>41074</v>
      </c>
      <c r="E6543" s="6">
        <v>96.46</v>
      </c>
    </row>
    <row r="6544" spans="4:5" x14ac:dyDescent="0.25">
      <c r="D6544" s="4">
        <v>41075</v>
      </c>
      <c r="E6544" s="6">
        <v>97.13</v>
      </c>
    </row>
    <row r="6545" spans="4:5" x14ac:dyDescent="0.25">
      <c r="D6545" s="4">
        <v>41078</v>
      </c>
      <c r="E6545" s="6">
        <v>95.21</v>
      </c>
    </row>
    <row r="6546" spans="4:5" x14ac:dyDescent="0.25">
      <c r="D6546" s="4">
        <v>41079</v>
      </c>
      <c r="E6546" s="6">
        <v>95.14</v>
      </c>
    </row>
    <row r="6547" spans="4:5" x14ac:dyDescent="0.25">
      <c r="D6547" s="4">
        <v>41080</v>
      </c>
      <c r="E6547" s="6">
        <v>93.5</v>
      </c>
    </row>
    <row r="6548" spans="4:5" x14ac:dyDescent="0.25">
      <c r="D6548" s="4">
        <v>41081</v>
      </c>
      <c r="E6548" s="6">
        <v>89.22</v>
      </c>
    </row>
    <row r="6549" spans="4:5" x14ac:dyDescent="0.25">
      <c r="D6549" s="4">
        <v>41082</v>
      </c>
      <c r="E6549" s="6">
        <v>89.22</v>
      </c>
    </row>
    <row r="6550" spans="4:5" x14ac:dyDescent="0.25">
      <c r="D6550" s="4">
        <v>41085</v>
      </c>
      <c r="E6550" s="6">
        <v>88.69</v>
      </c>
    </row>
    <row r="6551" spans="4:5" x14ac:dyDescent="0.25">
      <c r="D6551" s="4">
        <v>41086</v>
      </c>
      <c r="E6551" s="6">
        <v>90.19</v>
      </c>
    </row>
    <row r="6552" spans="4:5" x14ac:dyDescent="0.25">
      <c r="D6552" s="4">
        <v>41087</v>
      </c>
      <c r="E6552" s="6">
        <v>92.06</v>
      </c>
    </row>
    <row r="6553" spans="4:5" x14ac:dyDescent="0.25">
      <c r="D6553" s="4">
        <v>41088</v>
      </c>
      <c r="E6553" s="6">
        <v>91.02</v>
      </c>
    </row>
    <row r="6554" spans="4:5" x14ac:dyDescent="0.25">
      <c r="D6554" s="4">
        <v>41089</v>
      </c>
      <c r="E6554" s="6">
        <v>94.17</v>
      </c>
    </row>
    <row r="6555" spans="4:5" x14ac:dyDescent="0.25">
      <c r="D6555" s="4">
        <v>41092</v>
      </c>
      <c r="E6555" s="6">
        <v>95.28</v>
      </c>
    </row>
    <row r="6556" spans="4:5" x14ac:dyDescent="0.25">
      <c r="D6556" s="4">
        <v>41093</v>
      </c>
      <c r="E6556" s="6">
        <v>99.89</v>
      </c>
    </row>
    <row r="6557" spans="4:5" x14ac:dyDescent="0.25">
      <c r="D6557" s="4">
        <v>41094</v>
      </c>
      <c r="E6557" s="5"/>
    </row>
    <row r="6558" spans="4:5" x14ac:dyDescent="0.25">
      <c r="D6558" s="4">
        <v>41095</v>
      </c>
      <c r="E6558" s="6">
        <v>101.54</v>
      </c>
    </row>
    <row r="6559" spans="4:5" x14ac:dyDescent="0.25">
      <c r="D6559" s="4">
        <v>41096</v>
      </c>
      <c r="E6559" s="6">
        <v>98.5</v>
      </c>
    </row>
    <row r="6560" spans="4:5" x14ac:dyDescent="0.25">
      <c r="D6560" s="4">
        <v>41099</v>
      </c>
      <c r="E6560" s="6">
        <v>99.94</v>
      </c>
    </row>
    <row r="6561" spans="4:5" x14ac:dyDescent="0.25">
      <c r="D6561" s="4">
        <v>41100</v>
      </c>
      <c r="E6561" s="6">
        <v>99.15</v>
      </c>
    </row>
    <row r="6562" spans="4:5" x14ac:dyDescent="0.25">
      <c r="D6562" s="4">
        <v>41101</v>
      </c>
      <c r="E6562" s="6">
        <v>99.23</v>
      </c>
    </row>
    <row r="6563" spans="4:5" x14ac:dyDescent="0.25">
      <c r="D6563" s="4">
        <v>41102</v>
      </c>
      <c r="E6563" s="6">
        <v>99.18</v>
      </c>
    </row>
    <row r="6564" spans="4:5" x14ac:dyDescent="0.25">
      <c r="D6564" s="4">
        <v>41103</v>
      </c>
      <c r="E6564" s="6">
        <v>101.91</v>
      </c>
    </row>
    <row r="6565" spans="4:5" x14ac:dyDescent="0.25">
      <c r="D6565" s="4">
        <v>41106</v>
      </c>
      <c r="E6565" s="6">
        <v>102.1</v>
      </c>
    </row>
    <row r="6566" spans="4:5" x14ac:dyDescent="0.25">
      <c r="D6566" s="4">
        <v>41107</v>
      </c>
      <c r="E6566" s="6">
        <v>104.21</v>
      </c>
    </row>
    <row r="6567" spans="4:5" x14ac:dyDescent="0.25">
      <c r="D6567" s="4">
        <v>41108</v>
      </c>
      <c r="E6567" s="6">
        <v>105.92</v>
      </c>
    </row>
    <row r="6568" spans="4:5" x14ac:dyDescent="0.25">
      <c r="D6568" s="4">
        <v>41109</v>
      </c>
      <c r="E6568" s="6">
        <v>107.79</v>
      </c>
    </row>
    <row r="6569" spans="4:5" x14ac:dyDescent="0.25">
      <c r="D6569" s="4">
        <v>41110</v>
      </c>
      <c r="E6569" s="6">
        <v>106.98</v>
      </c>
    </row>
    <row r="6570" spans="4:5" x14ac:dyDescent="0.25">
      <c r="D6570" s="4">
        <v>41113</v>
      </c>
      <c r="E6570" s="6">
        <v>103.91</v>
      </c>
    </row>
    <row r="6571" spans="4:5" x14ac:dyDescent="0.25">
      <c r="D6571" s="4">
        <v>41114</v>
      </c>
      <c r="E6571" s="6">
        <v>103.57</v>
      </c>
    </row>
    <row r="6572" spans="4:5" x14ac:dyDescent="0.25">
      <c r="D6572" s="4">
        <v>41115</v>
      </c>
      <c r="E6572" s="6">
        <v>102.35</v>
      </c>
    </row>
    <row r="6573" spans="4:5" x14ac:dyDescent="0.25">
      <c r="D6573" s="4">
        <v>41116</v>
      </c>
      <c r="E6573" s="6">
        <v>104.77</v>
      </c>
    </row>
    <row r="6574" spans="4:5" x14ac:dyDescent="0.25">
      <c r="D6574" s="4">
        <v>41117</v>
      </c>
      <c r="E6574" s="6">
        <v>106.3</v>
      </c>
    </row>
    <row r="6575" spans="4:5" x14ac:dyDescent="0.25">
      <c r="D6575" s="4">
        <v>41120</v>
      </c>
      <c r="E6575" s="6">
        <v>106.54</v>
      </c>
    </row>
    <row r="6576" spans="4:5" x14ac:dyDescent="0.25">
      <c r="D6576" s="4">
        <v>41121</v>
      </c>
      <c r="E6576" s="6">
        <v>105.93</v>
      </c>
    </row>
    <row r="6577" spans="4:5" x14ac:dyDescent="0.25">
      <c r="D6577" s="4">
        <v>41122</v>
      </c>
      <c r="E6577" s="6">
        <v>106.78</v>
      </c>
    </row>
    <row r="6578" spans="4:5" x14ac:dyDescent="0.25">
      <c r="D6578" s="4">
        <v>41123</v>
      </c>
      <c r="E6578" s="6">
        <v>107.55</v>
      </c>
    </row>
    <row r="6579" spans="4:5" x14ac:dyDescent="0.25">
      <c r="D6579" s="4">
        <v>41124</v>
      </c>
      <c r="E6579" s="6">
        <v>109.57</v>
      </c>
    </row>
    <row r="6580" spans="4:5" x14ac:dyDescent="0.25">
      <c r="D6580" s="4">
        <v>41127</v>
      </c>
      <c r="E6580" s="6">
        <v>110.01</v>
      </c>
    </row>
    <row r="6581" spans="4:5" x14ac:dyDescent="0.25">
      <c r="D6581" s="4">
        <v>41128</v>
      </c>
      <c r="E6581" s="6">
        <v>112.39</v>
      </c>
    </row>
    <row r="6582" spans="4:5" x14ac:dyDescent="0.25">
      <c r="D6582" s="4">
        <v>41129</v>
      </c>
      <c r="E6582" s="6">
        <v>113.42</v>
      </c>
    </row>
    <row r="6583" spans="4:5" x14ac:dyDescent="0.25">
      <c r="D6583" s="4">
        <v>41130</v>
      </c>
      <c r="E6583" s="6">
        <v>113.52</v>
      </c>
    </row>
    <row r="6584" spans="4:5" x14ac:dyDescent="0.25">
      <c r="D6584" s="4">
        <v>41131</v>
      </c>
      <c r="E6584" s="6">
        <v>113.13</v>
      </c>
    </row>
    <row r="6585" spans="4:5" x14ac:dyDescent="0.25">
      <c r="D6585" s="4">
        <v>41134</v>
      </c>
      <c r="E6585" s="6">
        <v>114.48</v>
      </c>
    </row>
    <row r="6586" spans="4:5" x14ac:dyDescent="0.25">
      <c r="D6586" s="4">
        <v>41135</v>
      </c>
      <c r="E6586" s="6">
        <v>113.9</v>
      </c>
    </row>
    <row r="6587" spans="4:5" x14ac:dyDescent="0.25">
      <c r="D6587" s="4">
        <v>41136</v>
      </c>
      <c r="E6587" s="6">
        <v>115.51</v>
      </c>
    </row>
    <row r="6588" spans="4:5" x14ac:dyDescent="0.25">
      <c r="D6588" s="4">
        <v>41137</v>
      </c>
      <c r="E6588" s="6">
        <v>116.12</v>
      </c>
    </row>
    <row r="6589" spans="4:5" x14ac:dyDescent="0.25">
      <c r="D6589" s="4">
        <v>41138</v>
      </c>
      <c r="E6589" s="6">
        <v>115.2</v>
      </c>
    </row>
    <row r="6590" spans="4:5" x14ac:dyDescent="0.25">
      <c r="D6590" s="4">
        <v>41141</v>
      </c>
      <c r="E6590" s="6">
        <v>115.5</v>
      </c>
    </row>
    <row r="6591" spans="4:5" x14ac:dyDescent="0.25">
      <c r="D6591" s="4">
        <v>41142</v>
      </c>
      <c r="E6591" s="6">
        <v>116.03</v>
      </c>
    </row>
    <row r="6592" spans="4:5" x14ac:dyDescent="0.25">
      <c r="D6592" s="4">
        <v>41143</v>
      </c>
      <c r="E6592" s="6">
        <v>115.77</v>
      </c>
    </row>
    <row r="6593" spans="4:5" x14ac:dyDescent="0.25">
      <c r="D6593" s="4">
        <v>41144</v>
      </c>
      <c r="E6593" s="6">
        <v>117.45</v>
      </c>
    </row>
    <row r="6594" spans="4:5" x14ac:dyDescent="0.25">
      <c r="D6594" s="4">
        <v>41145</v>
      </c>
      <c r="E6594" s="6">
        <v>115.76</v>
      </c>
    </row>
    <row r="6595" spans="4:5" x14ac:dyDescent="0.25">
      <c r="D6595" s="4">
        <v>41148</v>
      </c>
      <c r="E6595" s="6">
        <v>113.74</v>
      </c>
    </row>
    <row r="6596" spans="4:5" x14ac:dyDescent="0.25">
      <c r="D6596" s="4">
        <v>41149</v>
      </c>
      <c r="E6596" s="6">
        <v>112.62</v>
      </c>
    </row>
    <row r="6597" spans="4:5" x14ac:dyDescent="0.25">
      <c r="D6597" s="4">
        <v>41150</v>
      </c>
      <c r="E6597" s="6">
        <v>112.53</v>
      </c>
    </row>
    <row r="6598" spans="4:5" x14ac:dyDescent="0.25">
      <c r="D6598" s="4">
        <v>41151</v>
      </c>
      <c r="E6598" s="6">
        <v>112.28</v>
      </c>
    </row>
    <row r="6599" spans="4:5" x14ac:dyDescent="0.25">
      <c r="D6599" s="4">
        <v>41152</v>
      </c>
      <c r="E6599" s="6">
        <v>113.93</v>
      </c>
    </row>
    <row r="6600" spans="4:5" x14ac:dyDescent="0.25">
      <c r="D6600" s="4">
        <v>41155</v>
      </c>
      <c r="E6600" s="5"/>
    </row>
    <row r="6601" spans="4:5" x14ac:dyDescent="0.25">
      <c r="D6601" s="4">
        <v>41156</v>
      </c>
      <c r="E6601" s="6">
        <v>114.98</v>
      </c>
    </row>
    <row r="6602" spans="4:5" x14ac:dyDescent="0.25">
      <c r="D6602" s="4">
        <v>41157</v>
      </c>
      <c r="E6602" s="6">
        <v>113.32</v>
      </c>
    </row>
    <row r="6603" spans="4:5" x14ac:dyDescent="0.25">
      <c r="D6603" s="4">
        <v>41158</v>
      </c>
      <c r="E6603" s="6">
        <v>114.5</v>
      </c>
    </row>
    <row r="6604" spans="4:5" x14ac:dyDescent="0.25">
      <c r="D6604" s="4">
        <v>41159</v>
      </c>
      <c r="E6604" s="6">
        <v>113.64</v>
      </c>
    </row>
    <row r="6605" spans="4:5" x14ac:dyDescent="0.25">
      <c r="D6605" s="4">
        <v>41162</v>
      </c>
      <c r="E6605" s="6">
        <v>113.84</v>
      </c>
    </row>
    <row r="6606" spans="4:5" x14ac:dyDescent="0.25">
      <c r="D6606" s="4">
        <v>41163</v>
      </c>
      <c r="E6606" s="6">
        <v>114.86</v>
      </c>
    </row>
    <row r="6607" spans="4:5" x14ac:dyDescent="0.25">
      <c r="D6607" s="4">
        <v>41164</v>
      </c>
      <c r="E6607" s="6">
        <v>114.86</v>
      </c>
    </row>
    <row r="6608" spans="4:5" x14ac:dyDescent="0.25">
      <c r="D6608" s="4">
        <v>41165</v>
      </c>
      <c r="E6608" s="6">
        <v>116</v>
      </c>
    </row>
    <row r="6609" spans="4:5" x14ac:dyDescent="0.25">
      <c r="D6609" s="4">
        <v>41166</v>
      </c>
      <c r="E6609" s="6">
        <v>117.48</v>
      </c>
    </row>
    <row r="6610" spans="4:5" x14ac:dyDescent="0.25">
      <c r="D6610" s="4">
        <v>41169</v>
      </c>
      <c r="E6610" s="6">
        <v>116.7</v>
      </c>
    </row>
    <row r="6611" spans="4:5" x14ac:dyDescent="0.25">
      <c r="D6611" s="4">
        <v>41170</v>
      </c>
      <c r="E6611" s="6">
        <v>113.29</v>
      </c>
    </row>
    <row r="6612" spans="4:5" x14ac:dyDescent="0.25">
      <c r="D6612" s="4">
        <v>41171</v>
      </c>
      <c r="E6612" s="6">
        <v>108.49</v>
      </c>
    </row>
    <row r="6613" spans="4:5" x14ac:dyDescent="0.25">
      <c r="D6613" s="4">
        <v>41172</v>
      </c>
      <c r="E6613" s="6">
        <v>109.41</v>
      </c>
    </row>
    <row r="6614" spans="4:5" x14ac:dyDescent="0.25">
      <c r="D6614" s="4">
        <v>41173</v>
      </c>
      <c r="E6614" s="6">
        <v>111.27</v>
      </c>
    </row>
    <row r="6615" spans="4:5" x14ac:dyDescent="0.25">
      <c r="D6615" s="4">
        <v>41176</v>
      </c>
      <c r="E6615" s="6">
        <v>109.2</v>
      </c>
    </row>
    <row r="6616" spans="4:5" x14ac:dyDescent="0.25">
      <c r="D6616" s="4">
        <v>41177</v>
      </c>
      <c r="E6616" s="6">
        <v>110.77</v>
      </c>
    </row>
    <row r="6617" spans="4:5" x14ac:dyDescent="0.25">
      <c r="D6617" s="4">
        <v>41178</v>
      </c>
      <c r="E6617" s="6">
        <v>108.99</v>
      </c>
    </row>
    <row r="6618" spans="4:5" x14ac:dyDescent="0.25">
      <c r="D6618" s="4">
        <v>41179</v>
      </c>
      <c r="E6618" s="6">
        <v>111.45</v>
      </c>
    </row>
    <row r="6619" spans="4:5" x14ac:dyDescent="0.25">
      <c r="D6619" s="4">
        <v>41180</v>
      </c>
      <c r="E6619" s="6">
        <v>111.36</v>
      </c>
    </row>
    <row r="6620" spans="4:5" x14ac:dyDescent="0.25">
      <c r="D6620" s="4">
        <v>41183</v>
      </c>
      <c r="E6620" s="6">
        <v>112.58</v>
      </c>
    </row>
    <row r="6621" spans="4:5" x14ac:dyDescent="0.25">
      <c r="D6621" s="4">
        <v>41184</v>
      </c>
      <c r="E6621" s="6">
        <v>112.49</v>
      </c>
    </row>
    <row r="6622" spans="4:5" x14ac:dyDescent="0.25">
      <c r="D6622" s="4">
        <v>41185</v>
      </c>
      <c r="E6622" s="6">
        <v>109.32</v>
      </c>
    </row>
    <row r="6623" spans="4:5" x14ac:dyDescent="0.25">
      <c r="D6623" s="4">
        <v>41186</v>
      </c>
      <c r="E6623" s="6">
        <v>110.48</v>
      </c>
    </row>
    <row r="6624" spans="4:5" x14ac:dyDescent="0.25">
      <c r="D6624" s="4">
        <v>41187</v>
      </c>
      <c r="E6624" s="6">
        <v>112.17</v>
      </c>
    </row>
    <row r="6625" spans="4:5" x14ac:dyDescent="0.25">
      <c r="D6625" s="4">
        <v>41190</v>
      </c>
      <c r="E6625" s="6">
        <v>112.6</v>
      </c>
    </row>
    <row r="6626" spans="4:5" x14ac:dyDescent="0.25">
      <c r="D6626" s="4">
        <v>41191</v>
      </c>
      <c r="E6626" s="6">
        <v>114.32</v>
      </c>
    </row>
    <row r="6627" spans="4:5" x14ac:dyDescent="0.25">
      <c r="D6627" s="4">
        <v>41192</v>
      </c>
      <c r="E6627" s="6">
        <v>116.11</v>
      </c>
    </row>
    <row r="6628" spans="4:5" x14ac:dyDescent="0.25">
      <c r="D6628" s="4">
        <v>41193</v>
      </c>
      <c r="E6628" s="6">
        <v>116.18</v>
      </c>
    </row>
    <row r="6629" spans="4:5" x14ac:dyDescent="0.25">
      <c r="D6629" s="4">
        <v>41194</v>
      </c>
      <c r="E6629" s="6">
        <v>115.17</v>
      </c>
    </row>
    <row r="6630" spans="4:5" x14ac:dyDescent="0.25">
      <c r="D6630" s="4">
        <v>41197</v>
      </c>
      <c r="E6630" s="6">
        <v>115</v>
      </c>
    </row>
    <row r="6631" spans="4:5" x14ac:dyDescent="0.25">
      <c r="D6631" s="4">
        <v>41198</v>
      </c>
      <c r="E6631" s="6">
        <v>115</v>
      </c>
    </row>
    <row r="6632" spans="4:5" x14ac:dyDescent="0.25">
      <c r="D6632" s="4">
        <v>41199</v>
      </c>
      <c r="E6632" s="6">
        <v>113.49</v>
      </c>
    </row>
    <row r="6633" spans="4:5" x14ac:dyDescent="0.25">
      <c r="D6633" s="4">
        <v>41200</v>
      </c>
      <c r="E6633" s="6">
        <v>112.58</v>
      </c>
    </row>
    <row r="6634" spans="4:5" x14ac:dyDescent="0.25">
      <c r="D6634" s="4">
        <v>41201</v>
      </c>
      <c r="E6634" s="6">
        <v>111.89</v>
      </c>
    </row>
    <row r="6635" spans="4:5" x14ac:dyDescent="0.25">
      <c r="D6635" s="4">
        <v>41204</v>
      </c>
      <c r="E6635" s="6">
        <v>109.62</v>
      </c>
    </row>
    <row r="6636" spans="4:5" x14ac:dyDescent="0.25">
      <c r="D6636" s="4">
        <v>41205</v>
      </c>
      <c r="E6636" s="6">
        <v>107.53</v>
      </c>
    </row>
    <row r="6637" spans="4:5" x14ac:dyDescent="0.25">
      <c r="D6637" s="4">
        <v>41206</v>
      </c>
      <c r="E6637" s="6">
        <v>107.66</v>
      </c>
    </row>
    <row r="6638" spans="4:5" x14ac:dyDescent="0.25">
      <c r="D6638" s="4">
        <v>41207</v>
      </c>
      <c r="E6638" s="6">
        <v>107.64</v>
      </c>
    </row>
    <row r="6639" spans="4:5" x14ac:dyDescent="0.25">
      <c r="D6639" s="4">
        <v>41208</v>
      </c>
      <c r="E6639" s="6">
        <v>108.9</v>
      </c>
    </row>
    <row r="6640" spans="4:5" x14ac:dyDescent="0.25">
      <c r="D6640" s="4">
        <v>41211</v>
      </c>
      <c r="E6640" s="6">
        <v>109.33</v>
      </c>
    </row>
    <row r="6641" spans="4:5" x14ac:dyDescent="0.25">
      <c r="D6641" s="4">
        <v>41212</v>
      </c>
      <c r="E6641" s="6">
        <v>109.4</v>
      </c>
    </row>
    <row r="6642" spans="4:5" x14ac:dyDescent="0.25">
      <c r="D6642" s="4">
        <v>41213</v>
      </c>
      <c r="E6642" s="6">
        <v>109.89</v>
      </c>
    </row>
    <row r="6643" spans="4:5" x14ac:dyDescent="0.25">
      <c r="D6643" s="4">
        <v>41214</v>
      </c>
      <c r="E6643" s="6">
        <v>108.84</v>
      </c>
    </row>
    <row r="6644" spans="4:5" x14ac:dyDescent="0.25">
      <c r="D6644" s="4">
        <v>41215</v>
      </c>
      <c r="E6644" s="6">
        <v>106.79</v>
      </c>
    </row>
    <row r="6645" spans="4:5" x14ac:dyDescent="0.25">
      <c r="D6645" s="4">
        <v>41218</v>
      </c>
      <c r="E6645" s="6">
        <v>105.59</v>
      </c>
    </row>
    <row r="6646" spans="4:5" x14ac:dyDescent="0.25">
      <c r="D6646" s="4">
        <v>41219</v>
      </c>
      <c r="E6646" s="6">
        <v>109.27</v>
      </c>
    </row>
    <row r="6647" spans="4:5" x14ac:dyDescent="0.25">
      <c r="D6647" s="4">
        <v>41220</v>
      </c>
      <c r="E6647" s="6">
        <v>108.21</v>
      </c>
    </row>
    <row r="6648" spans="4:5" x14ac:dyDescent="0.25">
      <c r="D6648" s="4">
        <v>41221</v>
      </c>
      <c r="E6648" s="6">
        <v>107.23</v>
      </c>
    </row>
    <row r="6649" spans="4:5" x14ac:dyDescent="0.25">
      <c r="D6649" s="4">
        <v>41222</v>
      </c>
      <c r="E6649" s="6">
        <v>108.61</v>
      </c>
    </row>
    <row r="6650" spans="4:5" x14ac:dyDescent="0.25">
      <c r="D6650" s="4">
        <v>41225</v>
      </c>
      <c r="E6650" s="6">
        <v>110.23</v>
      </c>
    </row>
    <row r="6651" spans="4:5" x14ac:dyDescent="0.25">
      <c r="D6651" s="4">
        <v>41226</v>
      </c>
      <c r="E6651" s="6">
        <v>108.82</v>
      </c>
    </row>
    <row r="6652" spans="4:5" x14ac:dyDescent="0.25">
      <c r="D6652" s="4">
        <v>41227</v>
      </c>
      <c r="E6652" s="6">
        <v>109.66</v>
      </c>
    </row>
    <row r="6653" spans="4:5" x14ac:dyDescent="0.25">
      <c r="D6653" s="4">
        <v>41228</v>
      </c>
      <c r="E6653" s="6">
        <v>110.07</v>
      </c>
    </row>
    <row r="6654" spans="4:5" x14ac:dyDescent="0.25">
      <c r="D6654" s="4">
        <v>41229</v>
      </c>
      <c r="E6654" s="6">
        <v>106.81</v>
      </c>
    </row>
    <row r="6655" spans="4:5" x14ac:dyDescent="0.25">
      <c r="D6655" s="4">
        <v>41232</v>
      </c>
      <c r="E6655" s="6">
        <v>110.06</v>
      </c>
    </row>
    <row r="6656" spans="4:5" x14ac:dyDescent="0.25">
      <c r="D6656" s="4">
        <v>41233</v>
      </c>
      <c r="E6656" s="6">
        <v>110.01</v>
      </c>
    </row>
    <row r="6657" spans="4:5" x14ac:dyDescent="0.25">
      <c r="D6657" s="4">
        <v>41234</v>
      </c>
      <c r="E6657" s="6">
        <v>110.81</v>
      </c>
    </row>
    <row r="6658" spans="4:5" x14ac:dyDescent="0.25">
      <c r="D6658" s="4">
        <v>41235</v>
      </c>
      <c r="E6658" s="5"/>
    </row>
    <row r="6659" spans="4:5" x14ac:dyDescent="0.25">
      <c r="D6659" s="4">
        <v>41236</v>
      </c>
      <c r="E6659" s="6">
        <v>110.14</v>
      </c>
    </row>
    <row r="6660" spans="4:5" x14ac:dyDescent="0.25">
      <c r="D6660" s="4">
        <v>41239</v>
      </c>
      <c r="E6660" s="6">
        <v>110.18</v>
      </c>
    </row>
    <row r="6661" spans="4:5" x14ac:dyDescent="0.25">
      <c r="D6661" s="4">
        <v>41240</v>
      </c>
      <c r="E6661" s="6">
        <v>109.33</v>
      </c>
    </row>
    <row r="6662" spans="4:5" x14ac:dyDescent="0.25">
      <c r="D6662" s="4">
        <v>41241</v>
      </c>
      <c r="E6662" s="6">
        <v>108.26</v>
      </c>
    </row>
    <row r="6663" spans="4:5" x14ac:dyDescent="0.25">
      <c r="D6663" s="4">
        <v>41242</v>
      </c>
      <c r="E6663" s="6">
        <v>110.47</v>
      </c>
    </row>
    <row r="6664" spans="4:5" x14ac:dyDescent="0.25">
      <c r="D6664" s="4">
        <v>41243</v>
      </c>
      <c r="E6664" s="6">
        <v>110.84</v>
      </c>
    </row>
    <row r="6665" spans="4:5" x14ac:dyDescent="0.25">
      <c r="D6665" s="4">
        <v>41246</v>
      </c>
      <c r="E6665" s="6">
        <v>111.27</v>
      </c>
    </row>
    <row r="6666" spans="4:5" x14ac:dyDescent="0.25">
      <c r="D6666" s="4">
        <v>41247</v>
      </c>
      <c r="E6666" s="6">
        <v>109.99</v>
      </c>
    </row>
    <row r="6667" spans="4:5" x14ac:dyDescent="0.25">
      <c r="D6667" s="4">
        <v>41248</v>
      </c>
      <c r="E6667" s="6">
        <v>108.96</v>
      </c>
    </row>
    <row r="6668" spans="4:5" x14ac:dyDescent="0.25">
      <c r="D6668" s="4">
        <v>41249</v>
      </c>
      <c r="E6668" s="6">
        <v>108.01</v>
      </c>
    </row>
    <row r="6669" spans="4:5" x14ac:dyDescent="0.25">
      <c r="D6669" s="4">
        <v>41250</v>
      </c>
      <c r="E6669" s="6">
        <v>107.16</v>
      </c>
    </row>
    <row r="6670" spans="4:5" x14ac:dyDescent="0.25">
      <c r="D6670" s="4">
        <v>41253</v>
      </c>
      <c r="E6670" s="6">
        <v>108.25</v>
      </c>
    </row>
    <row r="6671" spans="4:5" x14ac:dyDescent="0.25">
      <c r="D6671" s="4">
        <v>41254</v>
      </c>
      <c r="E6671" s="6">
        <v>107.6</v>
      </c>
    </row>
    <row r="6672" spans="4:5" x14ac:dyDescent="0.25">
      <c r="D6672" s="4">
        <v>41255</v>
      </c>
      <c r="E6672" s="6">
        <v>110.17</v>
      </c>
    </row>
    <row r="6673" spans="4:5" x14ac:dyDescent="0.25">
      <c r="D6673" s="4">
        <v>41256</v>
      </c>
      <c r="E6673" s="6">
        <v>110.18</v>
      </c>
    </row>
    <row r="6674" spans="4:5" x14ac:dyDescent="0.25">
      <c r="D6674" s="4">
        <v>41257</v>
      </c>
      <c r="E6674" s="6">
        <v>109.28</v>
      </c>
    </row>
    <row r="6675" spans="4:5" x14ac:dyDescent="0.25">
      <c r="D6675" s="4">
        <v>41260</v>
      </c>
      <c r="E6675" s="6">
        <v>109.35</v>
      </c>
    </row>
    <row r="6676" spans="4:5" x14ac:dyDescent="0.25">
      <c r="D6676" s="4">
        <v>41261</v>
      </c>
      <c r="E6676" s="6">
        <v>109.96</v>
      </c>
    </row>
    <row r="6677" spans="4:5" x14ac:dyDescent="0.25">
      <c r="D6677" s="4">
        <v>41262</v>
      </c>
      <c r="E6677" s="6">
        <v>109.95</v>
      </c>
    </row>
    <row r="6678" spans="4:5" x14ac:dyDescent="0.25">
      <c r="D6678" s="4">
        <v>41263</v>
      </c>
      <c r="E6678" s="6">
        <v>110.57</v>
      </c>
    </row>
    <row r="6679" spans="4:5" x14ac:dyDescent="0.25">
      <c r="D6679" s="4">
        <v>41264</v>
      </c>
      <c r="E6679" s="6">
        <v>109.13</v>
      </c>
    </row>
    <row r="6680" spans="4:5" x14ac:dyDescent="0.25">
      <c r="D6680" s="4">
        <v>41267</v>
      </c>
      <c r="E6680" s="6">
        <v>108.44</v>
      </c>
    </row>
    <row r="6681" spans="4:5" x14ac:dyDescent="0.25">
      <c r="D6681" s="4">
        <v>41268</v>
      </c>
      <c r="E6681" s="5"/>
    </row>
    <row r="6682" spans="4:5" x14ac:dyDescent="0.25">
      <c r="D6682" s="4">
        <v>41269</v>
      </c>
      <c r="E6682" s="6">
        <v>110.72</v>
      </c>
    </row>
    <row r="6683" spans="4:5" x14ac:dyDescent="0.25">
      <c r="D6683" s="4">
        <v>41270</v>
      </c>
      <c r="E6683" s="6">
        <v>110.04</v>
      </c>
    </row>
    <row r="6684" spans="4:5" x14ac:dyDescent="0.25">
      <c r="D6684" s="4">
        <v>41271</v>
      </c>
      <c r="E6684" s="6">
        <v>110.05</v>
      </c>
    </row>
    <row r="6685" spans="4:5" x14ac:dyDescent="0.25">
      <c r="D6685" s="4">
        <v>41274</v>
      </c>
      <c r="E6685" s="6">
        <v>110.8</v>
      </c>
    </row>
    <row r="6686" spans="4:5" x14ac:dyDescent="0.25">
      <c r="D6686" s="4">
        <v>41275</v>
      </c>
      <c r="E6686" s="5"/>
    </row>
    <row r="6687" spans="4:5" x14ac:dyDescent="0.25">
      <c r="D6687" s="4">
        <v>41276</v>
      </c>
      <c r="E6687" s="6">
        <v>112.98</v>
      </c>
    </row>
    <row r="6688" spans="4:5" x14ac:dyDescent="0.25">
      <c r="D6688" s="4">
        <v>41277</v>
      </c>
      <c r="E6688" s="6">
        <v>113.03</v>
      </c>
    </row>
    <row r="6689" spans="4:5" x14ac:dyDescent="0.25">
      <c r="D6689" s="4">
        <v>41278</v>
      </c>
      <c r="E6689" s="6">
        <v>112.58</v>
      </c>
    </row>
    <row r="6690" spans="4:5" x14ac:dyDescent="0.25">
      <c r="D6690" s="4">
        <v>41281</v>
      </c>
      <c r="E6690" s="6">
        <v>112.49</v>
      </c>
    </row>
    <row r="6691" spans="4:5" x14ac:dyDescent="0.25">
      <c r="D6691" s="4">
        <v>41282</v>
      </c>
      <c r="E6691" s="6">
        <v>113.03</v>
      </c>
    </row>
    <row r="6692" spans="4:5" x14ac:dyDescent="0.25">
      <c r="D6692" s="4">
        <v>41283</v>
      </c>
      <c r="E6692" s="6">
        <v>113.07</v>
      </c>
    </row>
    <row r="6693" spans="4:5" x14ac:dyDescent="0.25">
      <c r="D6693" s="4">
        <v>41284</v>
      </c>
      <c r="E6693" s="6">
        <v>112.97</v>
      </c>
    </row>
    <row r="6694" spans="4:5" x14ac:dyDescent="0.25">
      <c r="D6694" s="4">
        <v>41285</v>
      </c>
      <c r="E6694" s="6">
        <v>110.3</v>
      </c>
    </row>
    <row r="6695" spans="4:5" x14ac:dyDescent="0.25">
      <c r="D6695" s="4">
        <v>41288</v>
      </c>
      <c r="E6695" s="6">
        <v>111.32</v>
      </c>
    </row>
    <row r="6696" spans="4:5" x14ac:dyDescent="0.25">
      <c r="D6696" s="4">
        <v>41289</v>
      </c>
      <c r="E6696" s="6">
        <v>111.72</v>
      </c>
    </row>
    <row r="6697" spans="4:5" x14ac:dyDescent="0.25">
      <c r="D6697" s="4">
        <v>41290</v>
      </c>
      <c r="E6697" s="6">
        <v>110.97</v>
      </c>
    </row>
    <row r="6698" spans="4:5" x14ac:dyDescent="0.25">
      <c r="D6698" s="4">
        <v>41291</v>
      </c>
      <c r="E6698" s="6">
        <v>111.01</v>
      </c>
    </row>
    <row r="6699" spans="4:5" x14ac:dyDescent="0.25">
      <c r="D6699" s="4">
        <v>41292</v>
      </c>
      <c r="E6699" s="6">
        <v>111.71</v>
      </c>
    </row>
    <row r="6700" spans="4:5" x14ac:dyDescent="0.25">
      <c r="D6700" s="4">
        <v>41295</v>
      </c>
      <c r="E6700" s="5"/>
    </row>
    <row r="6701" spans="4:5" x14ac:dyDescent="0.25">
      <c r="D6701" s="4">
        <v>41296</v>
      </c>
      <c r="E6701" s="6">
        <v>112.72</v>
      </c>
    </row>
    <row r="6702" spans="4:5" x14ac:dyDescent="0.25">
      <c r="D6702" s="4">
        <v>41297</v>
      </c>
      <c r="E6702" s="6">
        <v>113.68</v>
      </c>
    </row>
    <row r="6703" spans="4:5" x14ac:dyDescent="0.25">
      <c r="D6703" s="4">
        <v>41298</v>
      </c>
      <c r="E6703" s="6">
        <v>114.59</v>
      </c>
    </row>
    <row r="6704" spans="4:5" x14ac:dyDescent="0.25">
      <c r="D6704" s="4">
        <v>41299</v>
      </c>
      <c r="E6704" s="6">
        <v>113.88</v>
      </c>
    </row>
    <row r="6705" spans="4:5" x14ac:dyDescent="0.25">
      <c r="D6705" s="4">
        <v>41302</v>
      </c>
      <c r="E6705" s="6">
        <v>113.92</v>
      </c>
    </row>
    <row r="6706" spans="4:5" x14ac:dyDescent="0.25">
      <c r="D6706" s="4">
        <v>41303</v>
      </c>
      <c r="E6706" s="6">
        <v>115.22</v>
      </c>
    </row>
    <row r="6707" spans="4:5" x14ac:dyDescent="0.25">
      <c r="D6707" s="4">
        <v>41304</v>
      </c>
      <c r="E6707" s="6">
        <v>115.42</v>
      </c>
    </row>
    <row r="6708" spans="4:5" x14ac:dyDescent="0.25">
      <c r="D6708" s="4">
        <v>41305</v>
      </c>
      <c r="E6708" s="6">
        <v>115.55</v>
      </c>
    </row>
    <row r="6709" spans="4:5" x14ac:dyDescent="0.25">
      <c r="D6709" s="4">
        <v>41306</v>
      </c>
      <c r="E6709" s="6">
        <v>115.55</v>
      </c>
    </row>
    <row r="6710" spans="4:5" x14ac:dyDescent="0.25">
      <c r="D6710" s="4">
        <v>41309</v>
      </c>
      <c r="E6710" s="6">
        <v>116.06</v>
      </c>
    </row>
    <row r="6711" spans="4:5" x14ac:dyDescent="0.25">
      <c r="D6711" s="4">
        <v>41310</v>
      </c>
      <c r="E6711" s="6">
        <v>117.03</v>
      </c>
    </row>
    <row r="6712" spans="4:5" x14ac:dyDescent="0.25">
      <c r="D6712" s="4">
        <v>41311</v>
      </c>
      <c r="E6712" s="6">
        <v>116.61</v>
      </c>
    </row>
    <row r="6713" spans="4:5" x14ac:dyDescent="0.25">
      <c r="D6713" s="4">
        <v>41312</v>
      </c>
      <c r="E6713" s="6">
        <v>117.17</v>
      </c>
    </row>
    <row r="6714" spans="4:5" x14ac:dyDescent="0.25">
      <c r="D6714" s="4">
        <v>41313</v>
      </c>
      <c r="E6714" s="6">
        <v>118.9</v>
      </c>
    </row>
    <row r="6715" spans="4:5" x14ac:dyDescent="0.25">
      <c r="D6715" s="4">
        <v>41316</v>
      </c>
      <c r="E6715" s="6">
        <v>118.29</v>
      </c>
    </row>
    <row r="6716" spans="4:5" x14ac:dyDescent="0.25">
      <c r="D6716" s="4">
        <v>41317</v>
      </c>
      <c r="E6716" s="6">
        <v>117.89</v>
      </c>
    </row>
    <row r="6717" spans="4:5" x14ac:dyDescent="0.25">
      <c r="D6717" s="4">
        <v>41318</v>
      </c>
      <c r="E6717" s="6">
        <v>118.43</v>
      </c>
    </row>
    <row r="6718" spans="4:5" x14ac:dyDescent="0.25">
      <c r="D6718" s="4">
        <v>41319</v>
      </c>
      <c r="E6718" s="6">
        <v>118.48</v>
      </c>
    </row>
    <row r="6719" spans="4:5" x14ac:dyDescent="0.25">
      <c r="D6719" s="4">
        <v>41320</v>
      </c>
      <c r="E6719" s="6">
        <v>117.4</v>
      </c>
    </row>
    <row r="6720" spans="4:5" x14ac:dyDescent="0.25">
      <c r="D6720" s="4">
        <v>41323</v>
      </c>
      <c r="E6720" s="5"/>
    </row>
    <row r="6721" spans="4:5" x14ac:dyDescent="0.25">
      <c r="D6721" s="4">
        <v>41324</v>
      </c>
      <c r="E6721" s="6">
        <v>117.04</v>
      </c>
    </row>
    <row r="6722" spans="4:5" x14ac:dyDescent="0.25">
      <c r="D6722" s="4">
        <v>41325</v>
      </c>
      <c r="E6722" s="6">
        <v>116.23</v>
      </c>
    </row>
    <row r="6723" spans="4:5" x14ac:dyDescent="0.25">
      <c r="D6723" s="4">
        <v>41326</v>
      </c>
      <c r="E6723" s="6">
        <v>114.19</v>
      </c>
    </row>
    <row r="6724" spans="4:5" x14ac:dyDescent="0.25">
      <c r="D6724" s="4">
        <v>41327</v>
      </c>
      <c r="E6724" s="6">
        <v>113.74</v>
      </c>
    </row>
    <row r="6725" spans="4:5" x14ac:dyDescent="0.25">
      <c r="D6725" s="4">
        <v>41330</v>
      </c>
      <c r="E6725" s="6">
        <v>114.55</v>
      </c>
    </row>
    <row r="6726" spans="4:5" x14ac:dyDescent="0.25">
      <c r="D6726" s="4">
        <v>41331</v>
      </c>
      <c r="E6726" s="6">
        <v>112.96</v>
      </c>
    </row>
    <row r="6727" spans="4:5" x14ac:dyDescent="0.25">
      <c r="D6727" s="4">
        <v>41332</v>
      </c>
      <c r="E6727" s="6">
        <v>112.24</v>
      </c>
    </row>
    <row r="6728" spans="4:5" x14ac:dyDescent="0.25">
      <c r="D6728" s="4">
        <v>41333</v>
      </c>
      <c r="E6728" s="6">
        <v>112.2</v>
      </c>
    </row>
    <row r="6729" spans="4:5" x14ac:dyDescent="0.25">
      <c r="D6729" s="4">
        <v>41334</v>
      </c>
      <c r="E6729" s="6">
        <v>110.14</v>
      </c>
    </row>
    <row r="6730" spans="4:5" x14ac:dyDescent="0.25">
      <c r="D6730" s="4">
        <v>41337</v>
      </c>
      <c r="E6730" s="6">
        <v>109.9</v>
      </c>
    </row>
    <row r="6731" spans="4:5" x14ac:dyDescent="0.25">
      <c r="D6731" s="4">
        <v>41338</v>
      </c>
      <c r="E6731" s="6">
        <v>110.42</v>
      </c>
    </row>
    <row r="6732" spans="4:5" x14ac:dyDescent="0.25">
      <c r="D6732" s="4">
        <v>41339</v>
      </c>
      <c r="E6732" s="6">
        <v>110.27</v>
      </c>
    </row>
    <row r="6733" spans="4:5" x14ac:dyDescent="0.25">
      <c r="D6733" s="4">
        <v>41340</v>
      </c>
      <c r="E6733" s="6">
        <v>110.42</v>
      </c>
    </row>
    <row r="6734" spans="4:5" x14ac:dyDescent="0.25">
      <c r="D6734" s="4">
        <v>41341</v>
      </c>
      <c r="E6734" s="6">
        <v>108.91</v>
      </c>
    </row>
    <row r="6735" spans="4:5" x14ac:dyDescent="0.25">
      <c r="D6735" s="4">
        <v>41344</v>
      </c>
      <c r="E6735" s="6">
        <v>108.64</v>
      </c>
    </row>
    <row r="6736" spans="4:5" x14ac:dyDescent="0.25">
      <c r="D6736" s="4">
        <v>41345</v>
      </c>
      <c r="E6736" s="6">
        <v>108.48</v>
      </c>
    </row>
    <row r="6737" spans="4:5" x14ac:dyDescent="0.25">
      <c r="D6737" s="4">
        <v>41346</v>
      </c>
      <c r="E6737" s="6">
        <v>107.51</v>
      </c>
    </row>
    <row r="6738" spans="4:5" x14ac:dyDescent="0.25">
      <c r="D6738" s="4">
        <v>41347</v>
      </c>
      <c r="E6738" s="6">
        <v>108.1</v>
      </c>
    </row>
    <row r="6739" spans="4:5" x14ac:dyDescent="0.25">
      <c r="D6739" s="4">
        <v>41348</v>
      </c>
      <c r="E6739" s="6">
        <v>109.32</v>
      </c>
    </row>
    <row r="6740" spans="4:5" x14ac:dyDescent="0.25">
      <c r="D6740" s="4">
        <v>41351</v>
      </c>
      <c r="E6740" s="6">
        <v>108.54</v>
      </c>
    </row>
    <row r="6741" spans="4:5" x14ac:dyDescent="0.25">
      <c r="D6741" s="4">
        <v>41352</v>
      </c>
      <c r="E6741" s="6">
        <v>106.91</v>
      </c>
    </row>
    <row r="6742" spans="4:5" x14ac:dyDescent="0.25">
      <c r="D6742" s="4">
        <v>41353</v>
      </c>
      <c r="E6742" s="6">
        <v>108.27</v>
      </c>
    </row>
    <row r="6743" spans="4:5" x14ac:dyDescent="0.25">
      <c r="D6743" s="4">
        <v>41354</v>
      </c>
      <c r="E6743" s="6">
        <v>106.41</v>
      </c>
    </row>
    <row r="6744" spans="4:5" x14ac:dyDescent="0.25">
      <c r="D6744" s="4">
        <v>41355</v>
      </c>
      <c r="E6744" s="6">
        <v>106.51</v>
      </c>
    </row>
    <row r="6745" spans="4:5" x14ac:dyDescent="0.25">
      <c r="D6745" s="4">
        <v>41358</v>
      </c>
      <c r="E6745" s="6">
        <v>106.66</v>
      </c>
    </row>
    <row r="6746" spans="4:5" x14ac:dyDescent="0.25">
      <c r="D6746" s="4">
        <v>41359</v>
      </c>
      <c r="E6746" s="6">
        <v>107.1</v>
      </c>
    </row>
    <row r="6747" spans="4:5" x14ac:dyDescent="0.25">
      <c r="D6747" s="4">
        <v>41360</v>
      </c>
      <c r="E6747" s="6">
        <v>108.51</v>
      </c>
    </row>
    <row r="6748" spans="4:5" x14ac:dyDescent="0.25">
      <c r="D6748" s="4">
        <v>41361</v>
      </c>
      <c r="E6748" s="6">
        <v>108.46</v>
      </c>
    </row>
    <row r="6749" spans="4:5" x14ac:dyDescent="0.25">
      <c r="D6749" s="4">
        <v>41362</v>
      </c>
      <c r="E6749" s="5"/>
    </row>
    <row r="6750" spans="4:5" x14ac:dyDescent="0.25">
      <c r="D6750" s="4">
        <v>41365</v>
      </c>
      <c r="E6750" s="6">
        <v>108.76</v>
      </c>
    </row>
    <row r="6751" spans="4:5" x14ac:dyDescent="0.25">
      <c r="D6751" s="4">
        <v>41366</v>
      </c>
      <c r="E6751" s="6">
        <v>109.66</v>
      </c>
    </row>
    <row r="6752" spans="4:5" x14ac:dyDescent="0.25">
      <c r="D6752" s="4">
        <v>41367</v>
      </c>
      <c r="E6752" s="6">
        <v>107.82</v>
      </c>
    </row>
    <row r="6753" spans="4:5" x14ac:dyDescent="0.25">
      <c r="D6753" s="4">
        <v>41368</v>
      </c>
      <c r="E6753" s="6">
        <v>105.09</v>
      </c>
    </row>
    <row r="6754" spans="4:5" x14ac:dyDescent="0.25">
      <c r="D6754" s="4">
        <v>41369</v>
      </c>
      <c r="E6754" s="6">
        <v>103.98</v>
      </c>
    </row>
    <row r="6755" spans="4:5" x14ac:dyDescent="0.25">
      <c r="D6755" s="4">
        <v>41372</v>
      </c>
      <c r="E6755" s="6">
        <v>103.16</v>
      </c>
    </row>
    <row r="6756" spans="4:5" x14ac:dyDescent="0.25">
      <c r="D6756" s="4">
        <v>41373</v>
      </c>
      <c r="E6756" s="6">
        <v>104.08</v>
      </c>
    </row>
    <row r="6757" spans="4:5" x14ac:dyDescent="0.25">
      <c r="D6757" s="4">
        <v>41374</v>
      </c>
      <c r="E6757" s="6">
        <v>104.8</v>
      </c>
    </row>
    <row r="6758" spans="4:5" x14ac:dyDescent="0.25">
      <c r="D6758" s="4">
        <v>41375</v>
      </c>
      <c r="E6758" s="6">
        <v>103.62</v>
      </c>
    </row>
    <row r="6759" spans="4:5" x14ac:dyDescent="0.25">
      <c r="D6759" s="4">
        <v>41376</v>
      </c>
      <c r="E6759" s="6">
        <v>100.58</v>
      </c>
    </row>
    <row r="6760" spans="4:5" x14ac:dyDescent="0.25">
      <c r="D6760" s="4">
        <v>41379</v>
      </c>
      <c r="E6760" s="6">
        <v>99.32</v>
      </c>
    </row>
    <row r="6761" spans="4:5" x14ac:dyDescent="0.25">
      <c r="D6761" s="4">
        <v>41380</v>
      </c>
      <c r="E6761" s="6">
        <v>97.88</v>
      </c>
    </row>
    <row r="6762" spans="4:5" x14ac:dyDescent="0.25">
      <c r="D6762" s="4">
        <v>41381</v>
      </c>
      <c r="E6762" s="6">
        <v>96.84</v>
      </c>
    </row>
    <row r="6763" spans="4:5" x14ac:dyDescent="0.25">
      <c r="D6763" s="4">
        <v>41382</v>
      </c>
      <c r="E6763" s="6">
        <v>97.48</v>
      </c>
    </row>
    <row r="6764" spans="4:5" x14ac:dyDescent="0.25">
      <c r="D6764" s="4">
        <v>41383</v>
      </c>
      <c r="E6764" s="6">
        <v>98.94</v>
      </c>
    </row>
    <row r="6765" spans="4:5" x14ac:dyDescent="0.25">
      <c r="D6765" s="4">
        <v>41386</v>
      </c>
      <c r="E6765" s="6">
        <v>99.07</v>
      </c>
    </row>
    <row r="6766" spans="4:5" x14ac:dyDescent="0.25">
      <c r="D6766" s="4">
        <v>41387</v>
      </c>
      <c r="E6766" s="6">
        <v>99.25</v>
      </c>
    </row>
    <row r="6767" spans="4:5" x14ac:dyDescent="0.25">
      <c r="D6767" s="4">
        <v>41388</v>
      </c>
      <c r="E6767" s="6">
        <v>100.71</v>
      </c>
    </row>
    <row r="6768" spans="4:5" x14ac:dyDescent="0.25">
      <c r="D6768" s="4">
        <v>41389</v>
      </c>
      <c r="E6768" s="6">
        <v>101.62</v>
      </c>
    </row>
    <row r="6769" spans="4:5" x14ac:dyDescent="0.25">
      <c r="D6769" s="4">
        <v>41390</v>
      </c>
      <c r="E6769" s="6">
        <v>102.39</v>
      </c>
    </row>
    <row r="6770" spans="4:5" x14ac:dyDescent="0.25">
      <c r="D6770" s="4">
        <v>41393</v>
      </c>
      <c r="E6770" s="6">
        <v>102.88</v>
      </c>
    </row>
    <row r="6771" spans="4:5" x14ac:dyDescent="0.25">
      <c r="D6771" s="4">
        <v>41394</v>
      </c>
      <c r="E6771" s="6">
        <v>101.53</v>
      </c>
    </row>
    <row r="6772" spans="4:5" x14ac:dyDescent="0.25">
      <c r="D6772" s="4">
        <v>41395</v>
      </c>
      <c r="E6772" s="6">
        <v>98.34</v>
      </c>
    </row>
    <row r="6773" spans="4:5" x14ac:dyDescent="0.25">
      <c r="D6773" s="4">
        <v>41396</v>
      </c>
      <c r="E6773" s="6">
        <v>100.32</v>
      </c>
    </row>
    <row r="6774" spans="4:5" x14ac:dyDescent="0.25">
      <c r="D6774" s="4">
        <v>41397</v>
      </c>
      <c r="E6774" s="6">
        <v>104.6</v>
      </c>
    </row>
    <row r="6775" spans="4:5" x14ac:dyDescent="0.25">
      <c r="D6775" s="4">
        <v>41400</v>
      </c>
      <c r="E6775" s="6">
        <v>105</v>
      </c>
    </row>
    <row r="6776" spans="4:5" x14ac:dyDescent="0.25">
      <c r="D6776" s="4">
        <v>41401</v>
      </c>
      <c r="E6776" s="6">
        <v>105.18</v>
      </c>
    </row>
    <row r="6777" spans="4:5" x14ac:dyDescent="0.25">
      <c r="D6777" s="4">
        <v>41402</v>
      </c>
      <c r="E6777" s="6">
        <v>103.79</v>
      </c>
    </row>
    <row r="6778" spans="4:5" x14ac:dyDescent="0.25">
      <c r="D6778" s="4">
        <v>41403</v>
      </c>
      <c r="E6778" s="6">
        <v>103.59</v>
      </c>
    </row>
    <row r="6779" spans="4:5" x14ac:dyDescent="0.25">
      <c r="D6779" s="4">
        <v>41404</v>
      </c>
      <c r="E6779" s="6">
        <v>101.31</v>
      </c>
    </row>
    <row r="6780" spans="4:5" x14ac:dyDescent="0.25">
      <c r="D6780" s="4">
        <v>41407</v>
      </c>
      <c r="E6780" s="6">
        <v>102.17</v>
      </c>
    </row>
    <row r="6781" spans="4:5" x14ac:dyDescent="0.25">
      <c r="D6781" s="4">
        <v>41408</v>
      </c>
      <c r="E6781" s="6">
        <v>102.7</v>
      </c>
    </row>
    <row r="6782" spans="4:5" x14ac:dyDescent="0.25">
      <c r="D6782" s="4">
        <v>41409</v>
      </c>
      <c r="E6782" s="6">
        <v>101.57</v>
      </c>
    </row>
    <row r="6783" spans="4:5" x14ac:dyDescent="0.25">
      <c r="D6783" s="4">
        <v>41410</v>
      </c>
      <c r="E6783" s="6">
        <v>104.27</v>
      </c>
    </row>
    <row r="6784" spans="4:5" x14ac:dyDescent="0.25">
      <c r="D6784" s="4">
        <v>41411</v>
      </c>
      <c r="E6784" s="6">
        <v>103.83</v>
      </c>
    </row>
    <row r="6785" spans="4:5" x14ac:dyDescent="0.25">
      <c r="D6785" s="4">
        <v>41414</v>
      </c>
      <c r="E6785" s="6">
        <v>104.55</v>
      </c>
    </row>
    <row r="6786" spans="4:5" x14ac:dyDescent="0.25">
      <c r="D6786" s="4">
        <v>41415</v>
      </c>
      <c r="E6786" s="6">
        <v>103.1</v>
      </c>
    </row>
    <row r="6787" spans="4:5" x14ac:dyDescent="0.25">
      <c r="D6787" s="4">
        <v>41416</v>
      </c>
      <c r="E6787" s="6">
        <v>102.14</v>
      </c>
    </row>
    <row r="6788" spans="4:5" x14ac:dyDescent="0.25">
      <c r="D6788" s="4">
        <v>41417</v>
      </c>
      <c r="E6788" s="6">
        <v>100.46</v>
      </c>
    </row>
    <row r="6789" spans="4:5" x14ac:dyDescent="0.25">
      <c r="D6789" s="4">
        <v>41418</v>
      </c>
      <c r="E6789" s="6">
        <v>101.24</v>
      </c>
    </row>
    <row r="6790" spans="4:5" x14ac:dyDescent="0.25">
      <c r="D6790" s="4">
        <v>41421</v>
      </c>
      <c r="E6790" s="5"/>
    </row>
    <row r="6791" spans="4:5" x14ac:dyDescent="0.25">
      <c r="D6791" s="4">
        <v>41422</v>
      </c>
      <c r="E6791" s="6">
        <v>103.77</v>
      </c>
    </row>
    <row r="6792" spans="4:5" x14ac:dyDescent="0.25">
      <c r="D6792" s="4">
        <v>41423</v>
      </c>
      <c r="E6792" s="6">
        <v>102.14</v>
      </c>
    </row>
    <row r="6793" spans="4:5" x14ac:dyDescent="0.25">
      <c r="D6793" s="4">
        <v>41424</v>
      </c>
      <c r="E6793" s="6">
        <v>101.79</v>
      </c>
    </row>
    <row r="6794" spans="4:5" x14ac:dyDescent="0.25">
      <c r="D6794" s="4">
        <v>41425</v>
      </c>
      <c r="E6794" s="6">
        <v>100.43</v>
      </c>
    </row>
    <row r="6795" spans="4:5" x14ac:dyDescent="0.25">
      <c r="D6795" s="4">
        <v>41428</v>
      </c>
      <c r="E6795" s="6">
        <v>101.63</v>
      </c>
    </row>
    <row r="6796" spans="4:5" x14ac:dyDescent="0.25">
      <c r="D6796" s="4">
        <v>41429</v>
      </c>
      <c r="E6796" s="6">
        <v>102.04</v>
      </c>
    </row>
    <row r="6797" spans="4:5" x14ac:dyDescent="0.25">
      <c r="D6797" s="4">
        <v>41430</v>
      </c>
      <c r="E6797" s="6">
        <v>103.51</v>
      </c>
    </row>
    <row r="6798" spans="4:5" x14ac:dyDescent="0.25">
      <c r="D6798" s="4">
        <v>41431</v>
      </c>
      <c r="E6798" s="6">
        <v>103.37</v>
      </c>
    </row>
    <row r="6799" spans="4:5" x14ac:dyDescent="0.25">
      <c r="D6799" s="4">
        <v>41432</v>
      </c>
      <c r="E6799" s="6">
        <v>104.07</v>
      </c>
    </row>
    <row r="6800" spans="4:5" x14ac:dyDescent="0.25">
      <c r="D6800" s="4">
        <v>41435</v>
      </c>
      <c r="E6800" s="6">
        <v>103.87</v>
      </c>
    </row>
    <row r="6801" spans="4:5" x14ac:dyDescent="0.25">
      <c r="D6801" s="4">
        <v>41436</v>
      </c>
      <c r="E6801" s="6">
        <v>101.5</v>
      </c>
    </row>
    <row r="6802" spans="4:5" x14ac:dyDescent="0.25">
      <c r="D6802" s="4">
        <v>41437</v>
      </c>
      <c r="E6802" s="6">
        <v>103.11</v>
      </c>
    </row>
    <row r="6803" spans="4:5" x14ac:dyDescent="0.25">
      <c r="D6803" s="4">
        <v>41438</v>
      </c>
      <c r="E6803" s="6">
        <v>103.38</v>
      </c>
    </row>
    <row r="6804" spans="4:5" x14ac:dyDescent="0.25">
      <c r="D6804" s="4">
        <v>41439</v>
      </c>
      <c r="E6804" s="6">
        <v>105.1</v>
      </c>
    </row>
    <row r="6805" spans="4:5" x14ac:dyDescent="0.25">
      <c r="D6805" s="4">
        <v>41442</v>
      </c>
      <c r="E6805" s="6">
        <v>105.8</v>
      </c>
    </row>
    <row r="6806" spans="4:5" x14ac:dyDescent="0.25">
      <c r="D6806" s="4">
        <v>41443</v>
      </c>
      <c r="E6806" s="6">
        <v>105.21</v>
      </c>
    </row>
    <row r="6807" spans="4:5" x14ac:dyDescent="0.25">
      <c r="D6807" s="4">
        <v>41444</v>
      </c>
      <c r="E6807" s="6">
        <v>105.56</v>
      </c>
    </row>
    <row r="6808" spans="4:5" x14ac:dyDescent="0.25">
      <c r="D6808" s="4">
        <v>41445</v>
      </c>
      <c r="E6808" s="6">
        <v>102.72</v>
      </c>
    </row>
    <row r="6809" spans="4:5" x14ac:dyDescent="0.25">
      <c r="D6809" s="4">
        <v>41446</v>
      </c>
      <c r="E6809" s="6">
        <v>100.36</v>
      </c>
    </row>
    <row r="6810" spans="4:5" x14ac:dyDescent="0.25">
      <c r="D6810" s="4">
        <v>41449</v>
      </c>
      <c r="E6810" s="6">
        <v>99.8</v>
      </c>
    </row>
    <row r="6811" spans="4:5" x14ac:dyDescent="0.25">
      <c r="D6811" s="4">
        <v>41450</v>
      </c>
      <c r="E6811" s="6">
        <v>101.51</v>
      </c>
    </row>
    <row r="6812" spans="4:5" x14ac:dyDescent="0.25">
      <c r="D6812" s="4">
        <v>41451</v>
      </c>
      <c r="E6812" s="6">
        <v>100.62</v>
      </c>
    </row>
    <row r="6813" spans="4:5" x14ac:dyDescent="0.25">
      <c r="D6813" s="4">
        <v>41452</v>
      </c>
      <c r="E6813" s="6">
        <v>102.74</v>
      </c>
    </row>
    <row r="6814" spans="4:5" x14ac:dyDescent="0.25">
      <c r="D6814" s="4">
        <v>41453</v>
      </c>
      <c r="E6814" s="6">
        <v>102.49</v>
      </c>
    </row>
    <row r="6815" spans="4:5" x14ac:dyDescent="0.25">
      <c r="D6815" s="4">
        <v>41456</v>
      </c>
      <c r="E6815" s="6">
        <v>103.19</v>
      </c>
    </row>
    <row r="6816" spans="4:5" x14ac:dyDescent="0.25">
      <c r="D6816" s="4">
        <v>41457</v>
      </c>
      <c r="E6816" s="6">
        <v>103.96</v>
      </c>
    </row>
    <row r="6817" spans="4:5" x14ac:dyDescent="0.25">
      <c r="D6817" s="4">
        <v>41458</v>
      </c>
      <c r="E6817" s="6">
        <v>106.12</v>
      </c>
    </row>
    <row r="6818" spans="4:5" x14ac:dyDescent="0.25">
      <c r="D6818" s="4">
        <v>41459</v>
      </c>
      <c r="E6818" s="5"/>
    </row>
    <row r="6819" spans="4:5" x14ac:dyDescent="0.25">
      <c r="D6819" s="4">
        <v>41460</v>
      </c>
      <c r="E6819" s="6">
        <v>107.46</v>
      </c>
    </row>
    <row r="6820" spans="4:5" x14ac:dyDescent="0.25">
      <c r="D6820" s="4">
        <v>41463</v>
      </c>
      <c r="E6820" s="6">
        <v>107.75</v>
      </c>
    </row>
    <row r="6821" spans="4:5" x14ac:dyDescent="0.25">
      <c r="D6821" s="4">
        <v>41464</v>
      </c>
      <c r="E6821" s="6">
        <v>107.9</v>
      </c>
    </row>
    <row r="6822" spans="4:5" x14ac:dyDescent="0.25">
      <c r="D6822" s="4">
        <v>41465</v>
      </c>
      <c r="E6822" s="6">
        <v>108.43</v>
      </c>
    </row>
    <row r="6823" spans="4:5" x14ac:dyDescent="0.25">
      <c r="D6823" s="4">
        <v>41466</v>
      </c>
      <c r="E6823" s="6">
        <v>108.18</v>
      </c>
    </row>
    <row r="6824" spans="4:5" x14ac:dyDescent="0.25">
      <c r="D6824" s="4">
        <v>41467</v>
      </c>
      <c r="E6824" s="6">
        <v>109.03</v>
      </c>
    </row>
    <row r="6825" spans="4:5" x14ac:dyDescent="0.25">
      <c r="D6825" s="4">
        <v>41470</v>
      </c>
      <c r="E6825" s="6">
        <v>109.05</v>
      </c>
    </row>
    <row r="6826" spans="4:5" x14ac:dyDescent="0.25">
      <c r="D6826" s="4">
        <v>41471</v>
      </c>
      <c r="E6826" s="6">
        <v>109.29</v>
      </c>
    </row>
    <row r="6827" spans="4:5" x14ac:dyDescent="0.25">
      <c r="D6827" s="4">
        <v>41472</v>
      </c>
      <c r="E6827" s="6">
        <v>109.67</v>
      </c>
    </row>
    <row r="6828" spans="4:5" x14ac:dyDescent="0.25">
      <c r="D6828" s="4">
        <v>41473</v>
      </c>
      <c r="E6828" s="6">
        <v>109.71</v>
      </c>
    </row>
    <row r="6829" spans="4:5" x14ac:dyDescent="0.25">
      <c r="D6829" s="4">
        <v>41474</v>
      </c>
      <c r="E6829" s="6">
        <v>109.34</v>
      </c>
    </row>
    <row r="6830" spans="4:5" x14ac:dyDescent="0.25">
      <c r="D6830" s="4">
        <v>41477</v>
      </c>
      <c r="E6830" s="6">
        <v>108.82</v>
      </c>
    </row>
    <row r="6831" spans="4:5" x14ac:dyDescent="0.25">
      <c r="D6831" s="4">
        <v>41478</v>
      </c>
      <c r="E6831" s="6">
        <v>109.27</v>
      </c>
    </row>
    <row r="6832" spans="4:5" x14ac:dyDescent="0.25">
      <c r="D6832" s="4">
        <v>41479</v>
      </c>
      <c r="E6832" s="6">
        <v>108.23</v>
      </c>
    </row>
    <row r="6833" spans="4:5" x14ac:dyDescent="0.25">
      <c r="D6833" s="4">
        <v>41480</v>
      </c>
      <c r="E6833" s="6">
        <v>108.1</v>
      </c>
    </row>
    <row r="6834" spans="4:5" x14ac:dyDescent="0.25">
      <c r="D6834" s="4">
        <v>41481</v>
      </c>
      <c r="E6834" s="6">
        <v>107.57</v>
      </c>
    </row>
    <row r="6835" spans="4:5" x14ac:dyDescent="0.25">
      <c r="D6835" s="4">
        <v>41484</v>
      </c>
      <c r="E6835" s="6">
        <v>108.1</v>
      </c>
    </row>
    <row r="6836" spans="4:5" x14ac:dyDescent="0.25">
      <c r="D6836" s="4">
        <v>41485</v>
      </c>
      <c r="E6836" s="6">
        <v>107.47</v>
      </c>
    </row>
    <row r="6837" spans="4:5" x14ac:dyDescent="0.25">
      <c r="D6837" s="4">
        <v>41486</v>
      </c>
      <c r="E6837" s="6">
        <v>107.89</v>
      </c>
    </row>
    <row r="6838" spans="4:5" x14ac:dyDescent="0.25">
      <c r="D6838" s="4">
        <v>41487</v>
      </c>
      <c r="E6838" s="6">
        <v>109.94</v>
      </c>
    </row>
    <row r="6839" spans="4:5" x14ac:dyDescent="0.25">
      <c r="D6839" s="4">
        <v>41488</v>
      </c>
      <c r="E6839" s="6">
        <v>109.63</v>
      </c>
    </row>
    <row r="6840" spans="4:5" x14ac:dyDescent="0.25">
      <c r="D6840" s="4">
        <v>41491</v>
      </c>
      <c r="E6840" s="6">
        <v>109.81</v>
      </c>
    </row>
    <row r="6841" spans="4:5" x14ac:dyDescent="0.25">
      <c r="D6841" s="4">
        <v>41492</v>
      </c>
      <c r="E6841" s="6">
        <v>108.77</v>
      </c>
    </row>
    <row r="6842" spans="4:5" x14ac:dyDescent="0.25">
      <c r="D6842" s="4">
        <v>41493</v>
      </c>
      <c r="E6842" s="6">
        <v>108.39</v>
      </c>
    </row>
    <row r="6843" spans="4:5" x14ac:dyDescent="0.25">
      <c r="D6843" s="4">
        <v>41494</v>
      </c>
      <c r="E6843" s="6">
        <v>107.32</v>
      </c>
    </row>
    <row r="6844" spans="4:5" x14ac:dyDescent="0.25">
      <c r="D6844" s="4">
        <v>41495</v>
      </c>
      <c r="E6844" s="6">
        <v>108.49</v>
      </c>
    </row>
    <row r="6845" spans="4:5" x14ac:dyDescent="0.25">
      <c r="D6845" s="4">
        <v>41498</v>
      </c>
      <c r="E6845" s="6">
        <v>109.28</v>
      </c>
    </row>
    <row r="6846" spans="4:5" x14ac:dyDescent="0.25">
      <c r="D6846" s="4">
        <v>41499</v>
      </c>
      <c r="E6846" s="6">
        <v>110.69</v>
      </c>
    </row>
    <row r="6847" spans="4:5" x14ac:dyDescent="0.25">
      <c r="D6847" s="4">
        <v>41500</v>
      </c>
      <c r="E6847" s="6">
        <v>110.26</v>
      </c>
    </row>
    <row r="6848" spans="4:5" x14ac:dyDescent="0.25">
      <c r="D6848" s="4">
        <v>41501</v>
      </c>
      <c r="E6848" s="6">
        <v>111.58</v>
      </c>
    </row>
    <row r="6849" spans="4:5" x14ac:dyDescent="0.25">
      <c r="D6849" s="4">
        <v>41502</v>
      </c>
      <c r="E6849" s="6">
        <v>111.82</v>
      </c>
    </row>
    <row r="6850" spans="4:5" x14ac:dyDescent="0.25">
      <c r="D6850" s="4">
        <v>41505</v>
      </c>
      <c r="E6850" s="6">
        <v>111.41</v>
      </c>
    </row>
    <row r="6851" spans="4:5" x14ac:dyDescent="0.25">
      <c r="D6851" s="4">
        <v>41506</v>
      </c>
      <c r="E6851" s="6">
        <v>110.74</v>
      </c>
    </row>
    <row r="6852" spans="4:5" x14ac:dyDescent="0.25">
      <c r="D6852" s="4">
        <v>41507</v>
      </c>
      <c r="E6852" s="6">
        <v>110.82</v>
      </c>
    </row>
    <row r="6853" spans="4:5" x14ac:dyDescent="0.25">
      <c r="D6853" s="4">
        <v>41508</v>
      </c>
      <c r="E6853" s="6">
        <v>110.51</v>
      </c>
    </row>
    <row r="6854" spans="4:5" x14ac:dyDescent="0.25">
      <c r="D6854" s="4">
        <v>41509</v>
      </c>
      <c r="E6854" s="6">
        <v>112.12</v>
      </c>
    </row>
    <row r="6855" spans="4:5" x14ac:dyDescent="0.25">
      <c r="D6855" s="4">
        <v>41512</v>
      </c>
      <c r="E6855" s="6">
        <v>112.23</v>
      </c>
    </row>
    <row r="6856" spans="4:5" x14ac:dyDescent="0.25">
      <c r="D6856" s="4">
        <v>41513</v>
      </c>
      <c r="E6856" s="6">
        <v>115.21</v>
      </c>
    </row>
    <row r="6857" spans="4:5" x14ac:dyDescent="0.25">
      <c r="D6857" s="4">
        <v>41514</v>
      </c>
      <c r="E6857" s="6">
        <v>116.27</v>
      </c>
    </row>
    <row r="6858" spans="4:5" x14ac:dyDescent="0.25">
      <c r="D6858" s="4">
        <v>41515</v>
      </c>
      <c r="E6858" s="6">
        <v>116.91</v>
      </c>
    </row>
    <row r="6859" spans="4:5" x14ac:dyDescent="0.25">
      <c r="D6859" s="4">
        <v>41516</v>
      </c>
      <c r="E6859" s="6">
        <v>115.97</v>
      </c>
    </row>
    <row r="6860" spans="4:5" x14ac:dyDescent="0.25">
      <c r="D6860" s="4">
        <v>41519</v>
      </c>
      <c r="E6860" s="5"/>
    </row>
    <row r="6861" spans="4:5" x14ac:dyDescent="0.25">
      <c r="D6861" s="4">
        <v>41520</v>
      </c>
      <c r="E6861" s="6">
        <v>115.49</v>
      </c>
    </row>
    <row r="6862" spans="4:5" x14ac:dyDescent="0.25">
      <c r="D6862" s="4">
        <v>41521</v>
      </c>
      <c r="E6862" s="6">
        <v>115.65</v>
      </c>
    </row>
    <row r="6863" spans="4:5" x14ac:dyDescent="0.25">
      <c r="D6863" s="4">
        <v>41522</v>
      </c>
      <c r="E6863" s="6">
        <v>115.81</v>
      </c>
    </row>
    <row r="6864" spans="4:5" x14ac:dyDescent="0.25">
      <c r="D6864" s="4">
        <v>41523</v>
      </c>
      <c r="E6864" s="6">
        <v>117.15</v>
      </c>
    </row>
    <row r="6865" spans="4:5" x14ac:dyDescent="0.25">
      <c r="D6865" s="4">
        <v>41526</v>
      </c>
      <c r="E6865" s="6">
        <v>115.2</v>
      </c>
    </row>
    <row r="6866" spans="4:5" x14ac:dyDescent="0.25">
      <c r="D6866" s="4">
        <v>41527</v>
      </c>
      <c r="E6866" s="6">
        <v>112.1</v>
      </c>
    </row>
    <row r="6867" spans="4:5" x14ac:dyDescent="0.25">
      <c r="D6867" s="4">
        <v>41528</v>
      </c>
      <c r="E6867" s="6">
        <v>112.37</v>
      </c>
    </row>
    <row r="6868" spans="4:5" x14ac:dyDescent="0.25">
      <c r="D6868" s="4">
        <v>41529</v>
      </c>
      <c r="E6868" s="6">
        <v>113.11</v>
      </c>
    </row>
    <row r="6869" spans="4:5" x14ac:dyDescent="0.25">
      <c r="D6869" s="4">
        <v>41530</v>
      </c>
      <c r="E6869" s="6">
        <v>113.31</v>
      </c>
    </row>
    <row r="6870" spans="4:5" x14ac:dyDescent="0.25">
      <c r="D6870" s="4">
        <v>41533</v>
      </c>
      <c r="E6870" s="6">
        <v>110.86</v>
      </c>
    </row>
    <row r="6871" spans="4:5" x14ac:dyDescent="0.25">
      <c r="D6871" s="4">
        <v>41534</v>
      </c>
      <c r="E6871" s="6">
        <v>109.05</v>
      </c>
    </row>
    <row r="6872" spans="4:5" x14ac:dyDescent="0.25">
      <c r="D6872" s="4">
        <v>41535</v>
      </c>
      <c r="E6872" s="6">
        <v>109.09</v>
      </c>
    </row>
    <row r="6873" spans="4:5" x14ac:dyDescent="0.25">
      <c r="D6873" s="4">
        <v>41536</v>
      </c>
      <c r="E6873" s="6">
        <v>110.66</v>
      </c>
    </row>
    <row r="6874" spans="4:5" x14ac:dyDescent="0.25">
      <c r="D6874" s="4">
        <v>41537</v>
      </c>
      <c r="E6874" s="6">
        <v>110.22</v>
      </c>
    </row>
    <row r="6875" spans="4:5" x14ac:dyDescent="0.25">
      <c r="D6875" s="4">
        <v>41540</v>
      </c>
      <c r="E6875" s="6">
        <v>108.56</v>
      </c>
    </row>
    <row r="6876" spans="4:5" x14ac:dyDescent="0.25">
      <c r="D6876" s="4">
        <v>41541</v>
      </c>
      <c r="E6876" s="6">
        <v>107.68</v>
      </c>
    </row>
    <row r="6877" spans="4:5" x14ac:dyDescent="0.25">
      <c r="D6877" s="4">
        <v>41542</v>
      </c>
      <c r="E6877" s="6">
        <v>109.46</v>
      </c>
    </row>
    <row r="6878" spans="4:5" x14ac:dyDescent="0.25">
      <c r="D6878" s="4">
        <v>41543</v>
      </c>
      <c r="E6878" s="6">
        <v>108.86</v>
      </c>
    </row>
    <row r="6879" spans="4:5" x14ac:dyDescent="0.25">
      <c r="D6879" s="4">
        <v>41544</v>
      </c>
      <c r="E6879" s="6">
        <v>109.45</v>
      </c>
    </row>
    <row r="6880" spans="4:5" x14ac:dyDescent="0.25">
      <c r="D6880" s="4">
        <v>41547</v>
      </c>
      <c r="E6880" s="6">
        <v>107.85</v>
      </c>
    </row>
    <row r="6881" spans="4:5" x14ac:dyDescent="0.25">
      <c r="D6881" s="4">
        <v>41548</v>
      </c>
      <c r="E6881" s="6">
        <v>107.32</v>
      </c>
    </row>
    <row r="6882" spans="4:5" x14ac:dyDescent="0.25">
      <c r="D6882" s="4">
        <v>41549</v>
      </c>
      <c r="E6882" s="6">
        <v>109.09</v>
      </c>
    </row>
    <row r="6883" spans="4:5" x14ac:dyDescent="0.25">
      <c r="D6883" s="4">
        <v>41550</v>
      </c>
      <c r="E6883" s="6">
        <v>109.49</v>
      </c>
    </row>
    <row r="6884" spans="4:5" x14ac:dyDescent="0.25">
      <c r="D6884" s="4">
        <v>41551</v>
      </c>
      <c r="E6884" s="6">
        <v>109.42</v>
      </c>
    </row>
    <row r="6885" spans="4:5" x14ac:dyDescent="0.25">
      <c r="D6885" s="4">
        <v>41554</v>
      </c>
      <c r="E6885" s="6">
        <v>109.66</v>
      </c>
    </row>
    <row r="6886" spans="4:5" x14ac:dyDescent="0.25">
      <c r="D6886" s="4">
        <v>41555</v>
      </c>
      <c r="E6886" s="6">
        <v>110.56</v>
      </c>
    </row>
    <row r="6887" spans="4:5" x14ac:dyDescent="0.25">
      <c r="D6887" s="4">
        <v>41556</v>
      </c>
      <c r="E6887" s="6">
        <v>109.02</v>
      </c>
    </row>
    <row r="6888" spans="4:5" x14ac:dyDescent="0.25">
      <c r="D6888" s="4">
        <v>41557</v>
      </c>
      <c r="E6888" s="6">
        <v>111.63</v>
      </c>
    </row>
    <row r="6889" spans="4:5" x14ac:dyDescent="0.25">
      <c r="D6889" s="4">
        <v>41558</v>
      </c>
      <c r="E6889" s="6">
        <v>110.65</v>
      </c>
    </row>
    <row r="6890" spans="4:5" x14ac:dyDescent="0.25">
      <c r="D6890" s="4">
        <v>41561</v>
      </c>
      <c r="E6890" s="6">
        <v>110.13</v>
      </c>
    </row>
    <row r="6891" spans="4:5" x14ac:dyDescent="0.25">
      <c r="D6891" s="4">
        <v>41562</v>
      </c>
      <c r="E6891" s="6">
        <v>110.67</v>
      </c>
    </row>
    <row r="6892" spans="4:5" x14ac:dyDescent="0.25">
      <c r="D6892" s="4">
        <v>41563</v>
      </c>
      <c r="E6892" s="6">
        <v>110.79</v>
      </c>
    </row>
    <row r="6893" spans="4:5" x14ac:dyDescent="0.25">
      <c r="D6893" s="4">
        <v>41564</v>
      </c>
      <c r="E6893" s="6">
        <v>109.55</v>
      </c>
    </row>
    <row r="6894" spans="4:5" x14ac:dyDescent="0.25">
      <c r="D6894" s="4">
        <v>41565</v>
      </c>
      <c r="E6894" s="6">
        <v>109.4</v>
      </c>
    </row>
    <row r="6895" spans="4:5" x14ac:dyDescent="0.25">
      <c r="D6895" s="4">
        <v>41568</v>
      </c>
      <c r="E6895" s="6">
        <v>109.47</v>
      </c>
    </row>
    <row r="6896" spans="4:5" x14ac:dyDescent="0.25">
      <c r="D6896" s="4">
        <v>41569</v>
      </c>
      <c r="E6896" s="6">
        <v>109.57</v>
      </c>
    </row>
    <row r="6897" spans="4:5" x14ac:dyDescent="0.25">
      <c r="D6897" s="4">
        <v>41570</v>
      </c>
      <c r="E6897" s="6">
        <v>107.74</v>
      </c>
    </row>
    <row r="6898" spans="4:5" x14ac:dyDescent="0.25">
      <c r="D6898" s="4">
        <v>41571</v>
      </c>
      <c r="E6898" s="6">
        <v>106.63</v>
      </c>
    </row>
    <row r="6899" spans="4:5" x14ac:dyDescent="0.25">
      <c r="D6899" s="4">
        <v>41572</v>
      </c>
      <c r="E6899" s="6">
        <v>105.7</v>
      </c>
    </row>
    <row r="6900" spans="4:5" x14ac:dyDescent="0.25">
      <c r="D6900" s="4">
        <v>41575</v>
      </c>
      <c r="E6900" s="6">
        <v>108.29</v>
      </c>
    </row>
    <row r="6901" spans="4:5" x14ac:dyDescent="0.25">
      <c r="D6901" s="4">
        <v>41576</v>
      </c>
      <c r="E6901" s="6">
        <v>108.04</v>
      </c>
    </row>
    <row r="6902" spans="4:5" x14ac:dyDescent="0.25">
      <c r="D6902" s="4">
        <v>41577</v>
      </c>
      <c r="E6902" s="6">
        <v>108.41</v>
      </c>
    </row>
    <row r="6903" spans="4:5" x14ac:dyDescent="0.25">
      <c r="D6903" s="4">
        <v>41578</v>
      </c>
      <c r="E6903" s="6">
        <v>107.53</v>
      </c>
    </row>
    <row r="6904" spans="4:5" x14ac:dyDescent="0.25">
      <c r="D6904" s="4">
        <v>41579</v>
      </c>
      <c r="E6904" s="6">
        <v>105.78</v>
      </c>
    </row>
    <row r="6905" spans="4:5" x14ac:dyDescent="0.25">
      <c r="D6905" s="4">
        <v>41582</v>
      </c>
      <c r="E6905" s="6">
        <v>104.85</v>
      </c>
    </row>
    <row r="6906" spans="4:5" x14ac:dyDescent="0.25">
      <c r="D6906" s="4">
        <v>41583</v>
      </c>
      <c r="E6906" s="6">
        <v>105.01</v>
      </c>
    </row>
    <row r="6907" spans="4:5" x14ac:dyDescent="0.25">
      <c r="D6907" s="4">
        <v>41584</v>
      </c>
      <c r="E6907" s="6">
        <v>105.46</v>
      </c>
    </row>
    <row r="6908" spans="4:5" x14ac:dyDescent="0.25">
      <c r="D6908" s="4">
        <v>41585</v>
      </c>
      <c r="E6908" s="6">
        <v>103.08</v>
      </c>
    </row>
    <row r="6909" spans="4:5" x14ac:dyDescent="0.25">
      <c r="D6909" s="4">
        <v>41586</v>
      </c>
      <c r="E6909" s="6">
        <v>104.29</v>
      </c>
    </row>
    <row r="6910" spans="4:5" x14ac:dyDescent="0.25">
      <c r="D6910" s="4">
        <v>41589</v>
      </c>
      <c r="E6910" s="6">
        <v>105.76</v>
      </c>
    </row>
    <row r="6911" spans="4:5" x14ac:dyDescent="0.25">
      <c r="D6911" s="4">
        <v>41590</v>
      </c>
      <c r="E6911" s="6">
        <v>106.29</v>
      </c>
    </row>
    <row r="6912" spans="4:5" x14ac:dyDescent="0.25">
      <c r="D6912" s="4">
        <v>41591</v>
      </c>
      <c r="E6912" s="6">
        <v>106.9</v>
      </c>
    </row>
    <row r="6913" spans="4:5" x14ac:dyDescent="0.25">
      <c r="D6913" s="4">
        <v>41592</v>
      </c>
      <c r="E6913" s="6">
        <v>108.29</v>
      </c>
    </row>
    <row r="6914" spans="4:5" x14ac:dyDescent="0.25">
      <c r="D6914" s="4">
        <v>41593</v>
      </c>
      <c r="E6914" s="6">
        <v>108.25</v>
      </c>
    </row>
    <row r="6915" spans="4:5" x14ac:dyDescent="0.25">
      <c r="D6915" s="4">
        <v>41596</v>
      </c>
      <c r="E6915" s="6">
        <v>108.8</v>
      </c>
    </row>
    <row r="6916" spans="4:5" x14ac:dyDescent="0.25">
      <c r="D6916" s="4">
        <v>41597</v>
      </c>
      <c r="E6916" s="6">
        <v>108.29</v>
      </c>
    </row>
    <row r="6917" spans="4:5" x14ac:dyDescent="0.25">
      <c r="D6917" s="4">
        <v>41598</v>
      </c>
      <c r="E6917" s="6">
        <v>108.27</v>
      </c>
    </row>
    <row r="6918" spans="4:5" x14ac:dyDescent="0.25">
      <c r="D6918" s="4">
        <v>41599</v>
      </c>
      <c r="E6918" s="6">
        <v>109.9</v>
      </c>
    </row>
    <row r="6919" spans="4:5" x14ac:dyDescent="0.25">
      <c r="D6919" s="4">
        <v>41600</v>
      </c>
      <c r="E6919" s="6">
        <v>111.36</v>
      </c>
    </row>
    <row r="6920" spans="4:5" x14ac:dyDescent="0.25">
      <c r="D6920" s="4">
        <v>41603</v>
      </c>
      <c r="E6920" s="6">
        <v>110.83</v>
      </c>
    </row>
    <row r="6921" spans="4:5" x14ac:dyDescent="0.25">
      <c r="D6921" s="4">
        <v>41604</v>
      </c>
      <c r="E6921" s="6">
        <v>112.04</v>
      </c>
    </row>
    <row r="6922" spans="4:5" x14ac:dyDescent="0.25">
      <c r="D6922" s="4">
        <v>41605</v>
      </c>
      <c r="E6922" s="6">
        <v>111.32</v>
      </c>
    </row>
    <row r="6923" spans="4:5" x14ac:dyDescent="0.25">
      <c r="D6923" s="4">
        <v>41606</v>
      </c>
      <c r="E6923" s="5"/>
    </row>
    <row r="6924" spans="4:5" x14ac:dyDescent="0.25">
      <c r="D6924" s="4">
        <v>41607</v>
      </c>
      <c r="E6924" s="6">
        <v>111.07</v>
      </c>
    </row>
    <row r="6925" spans="4:5" x14ac:dyDescent="0.25">
      <c r="D6925" s="4">
        <v>41610</v>
      </c>
      <c r="E6925" s="6">
        <v>111.49</v>
      </c>
    </row>
    <row r="6926" spans="4:5" x14ac:dyDescent="0.25">
      <c r="D6926" s="4">
        <v>41611</v>
      </c>
      <c r="E6926" s="6">
        <v>113.06</v>
      </c>
    </row>
    <row r="6927" spans="4:5" x14ac:dyDescent="0.25">
      <c r="D6927" s="4">
        <v>41612</v>
      </c>
      <c r="E6927" s="6">
        <v>113.27</v>
      </c>
    </row>
    <row r="6928" spans="4:5" x14ac:dyDescent="0.25">
      <c r="D6928" s="4">
        <v>41613</v>
      </c>
      <c r="E6928" s="6">
        <v>112.07</v>
      </c>
    </row>
    <row r="6929" spans="4:5" x14ac:dyDescent="0.25">
      <c r="D6929" s="4">
        <v>41614</v>
      </c>
      <c r="E6929" s="6">
        <v>111.5</v>
      </c>
    </row>
    <row r="6930" spans="4:5" x14ac:dyDescent="0.25">
      <c r="D6930" s="4">
        <v>41617</v>
      </c>
      <c r="E6930" s="6">
        <v>110.07</v>
      </c>
    </row>
    <row r="6931" spans="4:5" x14ac:dyDescent="0.25">
      <c r="D6931" s="4">
        <v>41618</v>
      </c>
      <c r="E6931" s="6">
        <v>108.91</v>
      </c>
    </row>
    <row r="6932" spans="4:5" x14ac:dyDescent="0.25">
      <c r="D6932" s="4">
        <v>41619</v>
      </c>
      <c r="E6932" s="6">
        <v>109.47</v>
      </c>
    </row>
    <row r="6933" spans="4:5" x14ac:dyDescent="0.25">
      <c r="D6933" s="4">
        <v>41620</v>
      </c>
      <c r="E6933" s="6">
        <v>108.99</v>
      </c>
    </row>
    <row r="6934" spans="4:5" x14ac:dyDescent="0.25">
      <c r="D6934" s="4">
        <v>41621</v>
      </c>
      <c r="E6934" s="6">
        <v>108.08</v>
      </c>
    </row>
    <row r="6935" spans="4:5" x14ac:dyDescent="0.25">
      <c r="D6935" s="4">
        <v>41624</v>
      </c>
      <c r="E6935" s="6">
        <v>110.3</v>
      </c>
    </row>
    <row r="6936" spans="4:5" x14ac:dyDescent="0.25">
      <c r="D6936" s="4">
        <v>41625</v>
      </c>
      <c r="E6936" s="6">
        <v>108.91</v>
      </c>
    </row>
    <row r="6937" spans="4:5" x14ac:dyDescent="0.25">
      <c r="D6937" s="4">
        <v>41626</v>
      </c>
      <c r="E6937" s="6">
        <v>109.56</v>
      </c>
    </row>
    <row r="6938" spans="4:5" x14ac:dyDescent="0.25">
      <c r="D6938" s="4">
        <v>41627</v>
      </c>
      <c r="E6938" s="6">
        <v>110.78</v>
      </c>
    </row>
    <row r="6939" spans="4:5" x14ac:dyDescent="0.25">
      <c r="D6939" s="4">
        <v>41628</v>
      </c>
      <c r="E6939" s="6">
        <v>112.15</v>
      </c>
    </row>
    <row r="6940" spans="4:5" x14ac:dyDescent="0.25">
      <c r="D6940" s="4">
        <v>41631</v>
      </c>
      <c r="E6940" s="6">
        <v>111.58</v>
      </c>
    </row>
    <row r="6941" spans="4:5" x14ac:dyDescent="0.25">
      <c r="D6941" s="4">
        <v>41632</v>
      </c>
      <c r="E6941" s="6">
        <v>111.57</v>
      </c>
    </row>
    <row r="6942" spans="4:5" x14ac:dyDescent="0.25">
      <c r="D6942" s="4">
        <v>41633</v>
      </c>
      <c r="E6942" s="5"/>
    </row>
    <row r="6943" spans="4:5" x14ac:dyDescent="0.25">
      <c r="D6943" s="4">
        <v>41634</v>
      </c>
      <c r="E6943" s="6">
        <v>111.65</v>
      </c>
    </row>
    <row r="6944" spans="4:5" x14ac:dyDescent="0.25">
      <c r="D6944" s="4">
        <v>41635</v>
      </c>
      <c r="E6944" s="6">
        <v>112.06</v>
      </c>
    </row>
    <row r="6945" spans="4:5" x14ac:dyDescent="0.25">
      <c r="D6945" s="4">
        <v>41638</v>
      </c>
      <c r="E6945" s="6">
        <v>110.47</v>
      </c>
    </row>
    <row r="6946" spans="4:5" x14ac:dyDescent="0.25">
      <c r="D6946" s="4">
        <v>41639</v>
      </c>
      <c r="E6946" s="6">
        <v>109.95</v>
      </c>
    </row>
    <row r="6947" spans="4:5" x14ac:dyDescent="0.25">
      <c r="D6947" s="4">
        <v>41640</v>
      </c>
      <c r="E6947" s="5"/>
    </row>
    <row r="6948" spans="4:5" x14ac:dyDescent="0.25">
      <c r="D6948" s="4">
        <v>41641</v>
      </c>
      <c r="E6948" s="6">
        <v>107.94</v>
      </c>
    </row>
    <row r="6949" spans="4:5" x14ac:dyDescent="0.25">
      <c r="D6949" s="4">
        <v>41642</v>
      </c>
      <c r="E6949" s="6">
        <v>106.57</v>
      </c>
    </row>
    <row r="6950" spans="4:5" x14ac:dyDescent="0.25">
      <c r="D6950" s="4">
        <v>41645</v>
      </c>
      <c r="E6950" s="6">
        <v>106.71</v>
      </c>
    </row>
    <row r="6951" spans="4:5" x14ac:dyDescent="0.25">
      <c r="D6951" s="4">
        <v>41646</v>
      </c>
      <c r="E6951" s="6">
        <v>107.01</v>
      </c>
    </row>
    <row r="6952" spans="4:5" x14ac:dyDescent="0.25">
      <c r="D6952" s="4">
        <v>41647</v>
      </c>
      <c r="E6952" s="6">
        <v>107.42</v>
      </c>
    </row>
    <row r="6953" spans="4:5" x14ac:dyDescent="0.25">
      <c r="D6953" s="4">
        <v>41648</v>
      </c>
      <c r="E6953" s="6">
        <v>107.49</v>
      </c>
    </row>
    <row r="6954" spans="4:5" x14ac:dyDescent="0.25">
      <c r="D6954" s="4">
        <v>41649</v>
      </c>
      <c r="E6954" s="6">
        <v>106.44</v>
      </c>
    </row>
    <row r="6955" spans="4:5" x14ac:dyDescent="0.25">
      <c r="D6955" s="4">
        <v>41652</v>
      </c>
      <c r="E6955" s="6">
        <v>108.02</v>
      </c>
    </row>
    <row r="6956" spans="4:5" x14ac:dyDescent="0.25">
      <c r="D6956" s="4">
        <v>41653</v>
      </c>
      <c r="E6956" s="6">
        <v>107.12</v>
      </c>
    </row>
    <row r="6957" spans="4:5" x14ac:dyDescent="0.25">
      <c r="D6957" s="4">
        <v>41654</v>
      </c>
      <c r="E6957" s="6">
        <v>108.09</v>
      </c>
    </row>
    <row r="6958" spans="4:5" x14ac:dyDescent="0.25">
      <c r="D6958" s="4">
        <v>41655</v>
      </c>
      <c r="E6958" s="6">
        <v>107.46</v>
      </c>
    </row>
    <row r="6959" spans="4:5" x14ac:dyDescent="0.25">
      <c r="D6959" s="4">
        <v>41656</v>
      </c>
      <c r="E6959" s="6">
        <v>108.45</v>
      </c>
    </row>
    <row r="6960" spans="4:5" x14ac:dyDescent="0.25">
      <c r="D6960" s="4">
        <v>41659</v>
      </c>
      <c r="E6960" s="6">
        <v>108.01</v>
      </c>
    </row>
    <row r="6961" spans="4:5" x14ac:dyDescent="0.25">
      <c r="D6961" s="4">
        <v>41660</v>
      </c>
      <c r="E6961" s="6">
        <v>109.17</v>
      </c>
    </row>
    <row r="6962" spans="4:5" x14ac:dyDescent="0.25">
      <c r="D6962" s="4">
        <v>41661</v>
      </c>
      <c r="E6962" s="6">
        <v>109.69</v>
      </c>
    </row>
    <row r="6963" spans="4:5" x14ac:dyDescent="0.25">
      <c r="D6963" s="4">
        <v>41662</v>
      </c>
      <c r="E6963" s="6">
        <v>109.69</v>
      </c>
    </row>
    <row r="6964" spans="4:5" x14ac:dyDescent="0.25">
      <c r="D6964" s="4">
        <v>41663</v>
      </c>
      <c r="E6964" s="6">
        <v>109.14</v>
      </c>
    </row>
    <row r="6965" spans="4:5" x14ac:dyDescent="0.25">
      <c r="D6965" s="4">
        <v>41666</v>
      </c>
      <c r="E6965" s="6">
        <v>108.72</v>
      </c>
    </row>
    <row r="6966" spans="4:5" x14ac:dyDescent="0.25">
      <c r="D6966" s="4">
        <v>41667</v>
      </c>
      <c r="E6966" s="6">
        <v>109.1</v>
      </c>
    </row>
    <row r="6967" spans="4:5" x14ac:dyDescent="0.25">
      <c r="D6967" s="4">
        <v>41668</v>
      </c>
      <c r="E6967" s="6">
        <v>108.83</v>
      </c>
    </row>
    <row r="6968" spans="4:5" x14ac:dyDescent="0.25">
      <c r="D6968" s="4">
        <v>41669</v>
      </c>
      <c r="E6968" s="6">
        <v>109.36</v>
      </c>
    </row>
    <row r="6969" spans="4:5" x14ac:dyDescent="0.25">
      <c r="D6969" s="4">
        <v>41670</v>
      </c>
      <c r="E6969" s="6">
        <v>108.16</v>
      </c>
    </row>
    <row r="6970" spans="4:5" x14ac:dyDescent="0.25">
      <c r="D6970" s="4">
        <v>41673</v>
      </c>
      <c r="E6970" s="6">
        <v>106.55</v>
      </c>
    </row>
    <row r="6971" spans="4:5" x14ac:dyDescent="0.25">
      <c r="D6971" s="4">
        <v>41674</v>
      </c>
      <c r="E6971" s="6">
        <v>107.04</v>
      </c>
    </row>
    <row r="6972" spans="4:5" x14ac:dyDescent="0.25">
      <c r="D6972" s="4">
        <v>41675</v>
      </c>
      <c r="E6972" s="6">
        <v>106.81</v>
      </c>
    </row>
    <row r="6973" spans="4:5" x14ac:dyDescent="0.25">
      <c r="D6973" s="4">
        <v>41676</v>
      </c>
      <c r="E6973" s="6">
        <v>108.15</v>
      </c>
    </row>
    <row r="6974" spans="4:5" x14ac:dyDescent="0.25">
      <c r="D6974" s="4">
        <v>41677</v>
      </c>
      <c r="E6974" s="6">
        <v>110.12</v>
      </c>
    </row>
    <row r="6975" spans="4:5" x14ac:dyDescent="0.25">
      <c r="D6975" s="4">
        <v>41680</v>
      </c>
      <c r="E6975" s="6">
        <v>110.18</v>
      </c>
    </row>
    <row r="6976" spans="4:5" x14ac:dyDescent="0.25">
      <c r="D6976" s="4">
        <v>41681</v>
      </c>
      <c r="E6976" s="6">
        <v>109.21</v>
      </c>
    </row>
    <row r="6977" spans="4:5" x14ac:dyDescent="0.25">
      <c r="D6977" s="4">
        <v>41682</v>
      </c>
      <c r="E6977" s="6">
        <v>108.62</v>
      </c>
    </row>
    <row r="6978" spans="4:5" x14ac:dyDescent="0.25">
      <c r="D6978" s="4">
        <v>41683</v>
      </c>
      <c r="E6978" s="6">
        <v>108.98</v>
      </c>
    </row>
    <row r="6979" spans="4:5" x14ac:dyDescent="0.25">
      <c r="D6979" s="4">
        <v>41684</v>
      </c>
      <c r="E6979" s="6">
        <v>108.63</v>
      </c>
    </row>
    <row r="6980" spans="4:5" x14ac:dyDescent="0.25">
      <c r="D6980" s="4">
        <v>41687</v>
      </c>
      <c r="E6980" s="5"/>
    </row>
    <row r="6981" spans="4:5" x14ac:dyDescent="0.25">
      <c r="D6981" s="4">
        <v>41688</v>
      </c>
      <c r="E6981" s="6">
        <v>110.14</v>
      </c>
    </row>
    <row r="6982" spans="4:5" x14ac:dyDescent="0.25">
      <c r="D6982" s="4">
        <v>41689</v>
      </c>
      <c r="E6982" s="6">
        <v>110.37</v>
      </c>
    </row>
    <row r="6983" spans="4:5" x14ac:dyDescent="0.25">
      <c r="D6983" s="4">
        <v>41690</v>
      </c>
      <c r="E6983" s="6">
        <v>109.42</v>
      </c>
    </row>
    <row r="6984" spans="4:5" x14ac:dyDescent="0.25">
      <c r="D6984" s="4">
        <v>41691</v>
      </c>
      <c r="E6984" s="6">
        <v>109.03</v>
      </c>
    </row>
    <row r="6985" spans="4:5" x14ac:dyDescent="0.25">
      <c r="D6985" s="4">
        <v>41694</v>
      </c>
      <c r="E6985" s="6">
        <v>109.76</v>
      </c>
    </row>
    <row r="6986" spans="4:5" x14ac:dyDescent="0.25">
      <c r="D6986" s="4">
        <v>41695</v>
      </c>
      <c r="E6986" s="6">
        <v>109.19</v>
      </c>
    </row>
    <row r="6987" spans="4:5" x14ac:dyDescent="0.25">
      <c r="D6987" s="4">
        <v>41696</v>
      </c>
      <c r="E6987" s="6">
        <v>109.39</v>
      </c>
    </row>
    <row r="6988" spans="4:5" x14ac:dyDescent="0.25">
      <c r="D6988" s="4">
        <v>41697</v>
      </c>
      <c r="E6988" s="6">
        <v>108.54</v>
      </c>
    </row>
    <row r="6989" spans="4:5" x14ac:dyDescent="0.25">
      <c r="D6989" s="4">
        <v>41698</v>
      </c>
      <c r="E6989" s="6">
        <v>108.98</v>
      </c>
    </row>
    <row r="6990" spans="4:5" x14ac:dyDescent="0.25">
      <c r="D6990" s="4">
        <v>41701</v>
      </c>
      <c r="E6990" s="6">
        <v>111.26</v>
      </c>
    </row>
    <row r="6991" spans="4:5" x14ac:dyDescent="0.25">
      <c r="D6991" s="4">
        <v>41702</v>
      </c>
      <c r="E6991" s="6">
        <v>109.17</v>
      </c>
    </row>
    <row r="6992" spans="4:5" x14ac:dyDescent="0.25">
      <c r="D6992" s="4">
        <v>41703</v>
      </c>
      <c r="E6992" s="6">
        <v>108.15</v>
      </c>
    </row>
    <row r="6993" spans="4:5" x14ac:dyDescent="0.25">
      <c r="D6993" s="4">
        <v>41704</v>
      </c>
      <c r="E6993" s="6">
        <v>107.99</v>
      </c>
    </row>
    <row r="6994" spans="4:5" x14ac:dyDescent="0.25">
      <c r="D6994" s="4">
        <v>41705</v>
      </c>
      <c r="E6994" s="6">
        <v>109.14</v>
      </c>
    </row>
    <row r="6995" spans="4:5" x14ac:dyDescent="0.25">
      <c r="D6995" s="4">
        <v>41708</v>
      </c>
      <c r="E6995" s="6">
        <v>108.27</v>
      </c>
    </row>
    <row r="6996" spans="4:5" x14ac:dyDescent="0.25">
      <c r="D6996" s="4">
        <v>41709</v>
      </c>
      <c r="E6996" s="6">
        <v>108.35</v>
      </c>
    </row>
    <row r="6997" spans="4:5" x14ac:dyDescent="0.25">
      <c r="D6997" s="4">
        <v>41710</v>
      </c>
      <c r="E6997" s="6">
        <v>107.88</v>
      </c>
    </row>
    <row r="6998" spans="4:5" x14ac:dyDescent="0.25">
      <c r="D6998" s="4">
        <v>41711</v>
      </c>
      <c r="E6998" s="6">
        <v>107.48</v>
      </c>
    </row>
    <row r="6999" spans="4:5" x14ac:dyDescent="0.25">
      <c r="D6999" s="4">
        <v>41712</v>
      </c>
      <c r="E6999" s="6">
        <v>108.08</v>
      </c>
    </row>
    <row r="7000" spans="4:5" x14ac:dyDescent="0.25">
      <c r="D7000" s="4">
        <v>41715</v>
      </c>
      <c r="E7000" s="6">
        <v>106.99</v>
      </c>
    </row>
    <row r="7001" spans="4:5" x14ac:dyDescent="0.25">
      <c r="D7001" s="4">
        <v>41716</v>
      </c>
      <c r="E7001" s="6">
        <v>106.79</v>
      </c>
    </row>
    <row r="7002" spans="4:5" x14ac:dyDescent="0.25">
      <c r="D7002" s="4">
        <v>41717</v>
      </c>
      <c r="E7002" s="6">
        <v>105.95</v>
      </c>
    </row>
    <row r="7003" spans="4:5" x14ac:dyDescent="0.25">
      <c r="D7003" s="4">
        <v>41718</v>
      </c>
      <c r="E7003" s="6">
        <v>105.73</v>
      </c>
    </row>
    <row r="7004" spans="4:5" x14ac:dyDescent="0.25">
      <c r="D7004" s="4">
        <v>41719</v>
      </c>
      <c r="E7004" s="6">
        <v>107.2</v>
      </c>
    </row>
    <row r="7005" spans="4:5" x14ac:dyDescent="0.25">
      <c r="D7005" s="4">
        <v>41722</v>
      </c>
      <c r="E7005" s="6">
        <v>106.59</v>
      </c>
    </row>
    <row r="7006" spans="4:5" x14ac:dyDescent="0.25">
      <c r="D7006" s="4">
        <v>41723</v>
      </c>
      <c r="E7006" s="6">
        <v>107.01</v>
      </c>
    </row>
    <row r="7007" spans="4:5" x14ac:dyDescent="0.25">
      <c r="D7007" s="4">
        <v>41724</v>
      </c>
      <c r="E7007" s="6">
        <v>105.9</v>
      </c>
    </row>
    <row r="7008" spans="4:5" x14ac:dyDescent="0.25">
      <c r="D7008" s="4">
        <v>41725</v>
      </c>
      <c r="E7008" s="6">
        <v>106.58</v>
      </c>
    </row>
    <row r="7009" spans="4:5" x14ac:dyDescent="0.25">
      <c r="D7009" s="4">
        <v>41726</v>
      </c>
      <c r="E7009" s="6">
        <v>106.64</v>
      </c>
    </row>
    <row r="7010" spans="4:5" x14ac:dyDescent="0.25">
      <c r="D7010" s="4">
        <v>41729</v>
      </c>
      <c r="E7010" s="6">
        <v>105.95</v>
      </c>
    </row>
    <row r="7011" spans="4:5" x14ac:dyDescent="0.25">
      <c r="D7011" s="4">
        <v>41730</v>
      </c>
      <c r="E7011" s="6">
        <v>105.7</v>
      </c>
    </row>
    <row r="7012" spans="4:5" x14ac:dyDescent="0.25">
      <c r="D7012" s="4">
        <v>41731</v>
      </c>
      <c r="E7012" s="6">
        <v>103.37</v>
      </c>
    </row>
    <row r="7013" spans="4:5" x14ac:dyDescent="0.25">
      <c r="D7013" s="4">
        <v>41732</v>
      </c>
      <c r="E7013" s="6">
        <v>104.88</v>
      </c>
    </row>
    <row r="7014" spans="4:5" x14ac:dyDescent="0.25">
      <c r="D7014" s="4">
        <v>41733</v>
      </c>
      <c r="E7014" s="6">
        <v>106.41</v>
      </c>
    </row>
    <row r="7015" spans="4:5" x14ac:dyDescent="0.25">
      <c r="D7015" s="4">
        <v>41736</v>
      </c>
      <c r="E7015" s="6">
        <v>104.89</v>
      </c>
    </row>
    <row r="7016" spans="4:5" x14ac:dyDescent="0.25">
      <c r="D7016" s="4">
        <v>41737</v>
      </c>
      <c r="E7016" s="6">
        <v>105.83</v>
      </c>
    </row>
    <row r="7017" spans="4:5" x14ac:dyDescent="0.25">
      <c r="D7017" s="4">
        <v>41738</v>
      </c>
      <c r="E7017" s="6">
        <v>107.39</v>
      </c>
    </row>
    <row r="7018" spans="4:5" x14ac:dyDescent="0.25">
      <c r="D7018" s="4">
        <v>41739</v>
      </c>
      <c r="E7018" s="6">
        <v>107.1</v>
      </c>
    </row>
    <row r="7019" spans="4:5" x14ac:dyDescent="0.25">
      <c r="D7019" s="4">
        <v>41740</v>
      </c>
      <c r="E7019" s="6">
        <v>107.34</v>
      </c>
    </row>
    <row r="7020" spans="4:5" x14ac:dyDescent="0.25">
      <c r="D7020" s="4">
        <v>41743</v>
      </c>
      <c r="E7020" s="6">
        <v>107.68</v>
      </c>
    </row>
    <row r="7021" spans="4:5" x14ac:dyDescent="0.25">
      <c r="D7021" s="4">
        <v>41744</v>
      </c>
      <c r="E7021" s="6">
        <v>109.1</v>
      </c>
    </row>
    <row r="7022" spans="4:5" x14ac:dyDescent="0.25">
      <c r="D7022" s="4">
        <v>41745</v>
      </c>
      <c r="E7022" s="6">
        <v>109.71</v>
      </c>
    </row>
    <row r="7023" spans="4:5" x14ac:dyDescent="0.25">
      <c r="D7023" s="4">
        <v>41746</v>
      </c>
      <c r="E7023" s="6">
        <v>109.79</v>
      </c>
    </row>
    <row r="7024" spans="4:5" x14ac:dyDescent="0.25">
      <c r="D7024" s="4">
        <v>41747</v>
      </c>
      <c r="E7024" s="5"/>
    </row>
    <row r="7025" spans="4:5" x14ac:dyDescent="0.25">
      <c r="D7025" s="4">
        <v>41750</v>
      </c>
      <c r="E7025" s="6">
        <v>109.69</v>
      </c>
    </row>
    <row r="7026" spans="4:5" x14ac:dyDescent="0.25">
      <c r="D7026" s="4">
        <v>41751</v>
      </c>
      <c r="E7026" s="6">
        <v>108.54</v>
      </c>
    </row>
    <row r="7027" spans="4:5" x14ac:dyDescent="0.25">
      <c r="D7027" s="4">
        <v>41752</v>
      </c>
      <c r="E7027" s="6">
        <v>108.48</v>
      </c>
    </row>
    <row r="7028" spans="4:5" x14ac:dyDescent="0.25">
      <c r="D7028" s="4">
        <v>41753</v>
      </c>
      <c r="E7028" s="6">
        <v>109.79</v>
      </c>
    </row>
    <row r="7029" spans="4:5" x14ac:dyDescent="0.25">
      <c r="D7029" s="4">
        <v>41754</v>
      </c>
      <c r="E7029" s="6">
        <v>109.53</v>
      </c>
    </row>
    <row r="7030" spans="4:5" x14ac:dyDescent="0.25">
      <c r="D7030" s="4">
        <v>41757</v>
      </c>
      <c r="E7030" s="6">
        <v>109.12</v>
      </c>
    </row>
    <row r="7031" spans="4:5" x14ac:dyDescent="0.25">
      <c r="D7031" s="4">
        <v>41758</v>
      </c>
      <c r="E7031" s="6">
        <v>109.89</v>
      </c>
    </row>
    <row r="7032" spans="4:5" x14ac:dyDescent="0.25">
      <c r="D7032" s="4">
        <v>41759</v>
      </c>
      <c r="E7032" s="6">
        <v>108.63</v>
      </c>
    </row>
    <row r="7033" spans="4:5" x14ac:dyDescent="0.25">
      <c r="D7033" s="4">
        <v>41760</v>
      </c>
      <c r="E7033" s="6">
        <v>108.63</v>
      </c>
    </row>
    <row r="7034" spans="4:5" x14ac:dyDescent="0.25">
      <c r="D7034" s="4">
        <v>41761</v>
      </c>
      <c r="E7034" s="6">
        <v>109.48</v>
      </c>
    </row>
    <row r="7035" spans="4:5" x14ac:dyDescent="0.25">
      <c r="D7035" s="4">
        <v>41764</v>
      </c>
      <c r="E7035" s="6">
        <v>109.48</v>
      </c>
    </row>
    <row r="7036" spans="4:5" x14ac:dyDescent="0.25">
      <c r="D7036" s="4">
        <v>41765</v>
      </c>
      <c r="E7036" s="6">
        <v>108.3</v>
      </c>
    </row>
    <row r="7037" spans="4:5" x14ac:dyDescent="0.25">
      <c r="D7037" s="4">
        <v>41766</v>
      </c>
      <c r="E7037" s="6">
        <v>108.17</v>
      </c>
    </row>
    <row r="7038" spans="4:5" x14ac:dyDescent="0.25">
      <c r="D7038" s="4">
        <v>41767</v>
      </c>
      <c r="E7038" s="6">
        <v>108.19</v>
      </c>
    </row>
    <row r="7039" spans="4:5" x14ac:dyDescent="0.25">
      <c r="D7039" s="4">
        <v>41768</v>
      </c>
      <c r="E7039" s="6">
        <v>108.26</v>
      </c>
    </row>
    <row r="7040" spans="4:5" x14ac:dyDescent="0.25">
      <c r="D7040" s="4">
        <v>41771</v>
      </c>
      <c r="E7040" s="6">
        <v>108.37</v>
      </c>
    </row>
    <row r="7041" spans="4:5" x14ac:dyDescent="0.25">
      <c r="D7041" s="4">
        <v>41772</v>
      </c>
      <c r="E7041" s="6">
        <v>108.78</v>
      </c>
    </row>
    <row r="7042" spans="4:5" x14ac:dyDescent="0.25">
      <c r="D7042" s="4">
        <v>41773</v>
      </c>
      <c r="E7042" s="6">
        <v>109.87</v>
      </c>
    </row>
    <row r="7043" spans="4:5" x14ac:dyDescent="0.25">
      <c r="D7043" s="4">
        <v>41774</v>
      </c>
      <c r="E7043" s="6">
        <v>109.74</v>
      </c>
    </row>
    <row r="7044" spans="4:5" x14ac:dyDescent="0.25">
      <c r="D7044" s="4">
        <v>41775</v>
      </c>
      <c r="E7044" s="6">
        <v>110.9</v>
      </c>
    </row>
    <row r="7045" spans="4:5" x14ac:dyDescent="0.25">
      <c r="D7045" s="4">
        <v>41778</v>
      </c>
      <c r="E7045" s="6">
        <v>110.84</v>
      </c>
    </row>
    <row r="7046" spans="4:5" x14ac:dyDescent="0.25">
      <c r="D7046" s="4">
        <v>41779</v>
      </c>
      <c r="E7046" s="6">
        <v>110.35</v>
      </c>
    </row>
    <row r="7047" spans="4:5" x14ac:dyDescent="0.25">
      <c r="D7047" s="4">
        <v>41780</v>
      </c>
      <c r="E7047" s="6">
        <v>111.32</v>
      </c>
    </row>
    <row r="7048" spans="4:5" x14ac:dyDescent="0.25">
      <c r="D7048" s="4">
        <v>41781</v>
      </c>
      <c r="E7048" s="6">
        <v>110.89</v>
      </c>
    </row>
    <row r="7049" spans="4:5" x14ac:dyDescent="0.25">
      <c r="D7049" s="4">
        <v>41782</v>
      </c>
      <c r="E7049" s="6">
        <v>110.19</v>
      </c>
    </row>
    <row r="7050" spans="4:5" x14ac:dyDescent="0.25">
      <c r="D7050" s="4">
        <v>41785</v>
      </c>
      <c r="E7050" s="6">
        <v>110.01</v>
      </c>
    </row>
    <row r="7051" spans="4:5" x14ac:dyDescent="0.25">
      <c r="D7051" s="4">
        <v>41786</v>
      </c>
      <c r="E7051" s="6">
        <v>109.81</v>
      </c>
    </row>
    <row r="7052" spans="4:5" x14ac:dyDescent="0.25">
      <c r="D7052" s="4">
        <v>41787</v>
      </c>
      <c r="E7052" s="6">
        <v>109.09</v>
      </c>
    </row>
    <row r="7053" spans="4:5" x14ac:dyDescent="0.25">
      <c r="D7053" s="4">
        <v>41788</v>
      </c>
      <c r="E7053" s="6">
        <v>109.98</v>
      </c>
    </row>
    <row r="7054" spans="4:5" x14ac:dyDescent="0.25">
      <c r="D7054" s="4">
        <v>41789</v>
      </c>
      <c r="E7054" s="6">
        <v>109.21</v>
      </c>
    </row>
    <row r="7055" spans="4:5" x14ac:dyDescent="0.25">
      <c r="D7055" s="4">
        <v>41792</v>
      </c>
      <c r="E7055" s="6">
        <v>109.34</v>
      </c>
    </row>
    <row r="7056" spans="4:5" x14ac:dyDescent="0.25">
      <c r="D7056" s="4">
        <v>41793</v>
      </c>
      <c r="E7056" s="6">
        <v>108.87</v>
      </c>
    </row>
    <row r="7057" spans="4:5" x14ac:dyDescent="0.25">
      <c r="D7057" s="4">
        <v>41794</v>
      </c>
      <c r="E7057" s="6">
        <v>109.07</v>
      </c>
    </row>
    <row r="7058" spans="4:5" x14ac:dyDescent="0.25">
      <c r="D7058" s="4">
        <v>41795</v>
      </c>
      <c r="E7058" s="6">
        <v>108.43</v>
      </c>
    </row>
    <row r="7059" spans="4:5" x14ac:dyDescent="0.25">
      <c r="D7059" s="4">
        <v>41796</v>
      </c>
      <c r="E7059" s="6">
        <v>109.21</v>
      </c>
    </row>
    <row r="7060" spans="4:5" x14ac:dyDescent="0.25">
      <c r="D7060" s="4">
        <v>41799</v>
      </c>
      <c r="E7060" s="6">
        <v>110.55</v>
      </c>
    </row>
    <row r="7061" spans="4:5" x14ac:dyDescent="0.25">
      <c r="D7061" s="4">
        <v>41800</v>
      </c>
      <c r="E7061" s="6">
        <v>109.18</v>
      </c>
    </row>
    <row r="7062" spans="4:5" x14ac:dyDescent="0.25">
      <c r="D7062" s="4">
        <v>41801</v>
      </c>
      <c r="E7062" s="6">
        <v>109.83</v>
      </c>
    </row>
    <row r="7063" spans="4:5" x14ac:dyDescent="0.25">
      <c r="D7063" s="4">
        <v>41802</v>
      </c>
      <c r="E7063" s="6">
        <v>112.18</v>
      </c>
    </row>
    <row r="7064" spans="4:5" x14ac:dyDescent="0.25">
      <c r="D7064" s="4">
        <v>41803</v>
      </c>
      <c r="E7064" s="6">
        <v>113.15</v>
      </c>
    </row>
    <row r="7065" spans="4:5" x14ac:dyDescent="0.25">
      <c r="D7065" s="4">
        <v>41806</v>
      </c>
      <c r="E7065" s="6">
        <v>113.42</v>
      </c>
    </row>
    <row r="7066" spans="4:5" x14ac:dyDescent="0.25">
      <c r="D7066" s="4">
        <v>41807</v>
      </c>
      <c r="E7066" s="6">
        <v>114.02</v>
      </c>
    </row>
    <row r="7067" spans="4:5" x14ac:dyDescent="0.25">
      <c r="D7067" s="4">
        <v>41808</v>
      </c>
      <c r="E7067" s="6">
        <v>114.25</v>
      </c>
    </row>
    <row r="7068" spans="4:5" x14ac:dyDescent="0.25">
      <c r="D7068" s="4">
        <v>41809</v>
      </c>
      <c r="E7068" s="6">
        <v>115.19</v>
      </c>
    </row>
    <row r="7069" spans="4:5" x14ac:dyDescent="0.25">
      <c r="D7069" s="4">
        <v>41810</v>
      </c>
      <c r="E7069" s="6">
        <v>114.55</v>
      </c>
    </row>
    <row r="7070" spans="4:5" x14ac:dyDescent="0.25">
      <c r="D7070" s="4">
        <v>41813</v>
      </c>
      <c r="E7070" s="6">
        <v>113.62</v>
      </c>
    </row>
    <row r="7071" spans="4:5" x14ac:dyDescent="0.25">
      <c r="D7071" s="4">
        <v>41814</v>
      </c>
      <c r="E7071" s="6">
        <v>113.74</v>
      </c>
    </row>
    <row r="7072" spans="4:5" x14ac:dyDescent="0.25">
      <c r="D7072" s="4">
        <v>41815</v>
      </c>
      <c r="E7072" s="6">
        <v>112.84</v>
      </c>
    </row>
    <row r="7073" spans="4:5" x14ac:dyDescent="0.25">
      <c r="D7073" s="4">
        <v>41816</v>
      </c>
      <c r="E7073" s="6">
        <v>112.61</v>
      </c>
    </row>
    <row r="7074" spans="4:5" x14ac:dyDescent="0.25">
      <c r="D7074" s="4">
        <v>41817</v>
      </c>
      <c r="E7074" s="6">
        <v>112.62</v>
      </c>
    </row>
    <row r="7075" spans="4:5" x14ac:dyDescent="0.25">
      <c r="D7075" s="4">
        <v>41820</v>
      </c>
      <c r="E7075" s="6">
        <v>111.03</v>
      </c>
    </row>
    <row r="7076" spans="4:5" x14ac:dyDescent="0.25">
      <c r="D7076" s="4">
        <v>41821</v>
      </c>
      <c r="E7076" s="6">
        <v>110.84</v>
      </c>
    </row>
    <row r="7077" spans="4:5" x14ac:dyDescent="0.25">
      <c r="D7077" s="4">
        <v>41822</v>
      </c>
      <c r="E7077" s="6">
        <v>110.18</v>
      </c>
    </row>
    <row r="7078" spans="4:5" x14ac:dyDescent="0.25">
      <c r="D7078" s="4">
        <v>41823</v>
      </c>
      <c r="E7078" s="6">
        <v>108.98</v>
      </c>
    </row>
    <row r="7079" spans="4:5" x14ac:dyDescent="0.25">
      <c r="D7079" s="4">
        <v>41824</v>
      </c>
      <c r="E7079" s="5"/>
    </row>
    <row r="7080" spans="4:5" x14ac:dyDescent="0.25">
      <c r="D7080" s="4">
        <v>41827</v>
      </c>
      <c r="E7080" s="6">
        <v>108.7</v>
      </c>
    </row>
    <row r="7081" spans="4:5" x14ac:dyDescent="0.25">
      <c r="D7081" s="4">
        <v>41828</v>
      </c>
      <c r="E7081" s="6">
        <v>107.65</v>
      </c>
    </row>
    <row r="7082" spans="4:5" x14ac:dyDescent="0.25">
      <c r="D7082" s="4">
        <v>41829</v>
      </c>
      <c r="E7082" s="6">
        <v>106.84</v>
      </c>
    </row>
    <row r="7083" spans="4:5" x14ac:dyDescent="0.25">
      <c r="D7083" s="4">
        <v>41830</v>
      </c>
      <c r="E7083" s="6">
        <v>106.2</v>
      </c>
    </row>
    <row r="7084" spans="4:5" x14ac:dyDescent="0.25">
      <c r="D7084" s="4">
        <v>41831</v>
      </c>
      <c r="E7084" s="6">
        <v>105.77</v>
      </c>
    </row>
    <row r="7085" spans="4:5" x14ac:dyDescent="0.25">
      <c r="D7085" s="4">
        <v>41834</v>
      </c>
      <c r="E7085" s="6">
        <v>104.73</v>
      </c>
    </row>
    <row r="7086" spans="4:5" x14ac:dyDescent="0.25">
      <c r="D7086" s="4">
        <v>41835</v>
      </c>
      <c r="E7086" s="6">
        <v>104.73</v>
      </c>
    </row>
    <row r="7087" spans="4:5" x14ac:dyDescent="0.25">
      <c r="D7087" s="4">
        <v>41836</v>
      </c>
      <c r="E7087" s="6">
        <v>105.41</v>
      </c>
    </row>
    <row r="7088" spans="4:5" x14ac:dyDescent="0.25">
      <c r="D7088" s="4">
        <v>41837</v>
      </c>
      <c r="E7088" s="6">
        <v>106.04</v>
      </c>
    </row>
    <row r="7089" spans="4:5" x14ac:dyDescent="0.25">
      <c r="D7089" s="4">
        <v>41838</v>
      </c>
      <c r="E7089" s="6">
        <v>106.03</v>
      </c>
    </row>
    <row r="7090" spans="4:5" x14ac:dyDescent="0.25">
      <c r="D7090" s="4">
        <v>41841</v>
      </c>
      <c r="E7090" s="6">
        <v>105.71</v>
      </c>
    </row>
    <row r="7091" spans="4:5" x14ac:dyDescent="0.25">
      <c r="D7091" s="4">
        <v>41842</v>
      </c>
      <c r="E7091" s="6">
        <v>106.48</v>
      </c>
    </row>
    <row r="7092" spans="4:5" x14ac:dyDescent="0.25">
      <c r="D7092" s="4">
        <v>41843</v>
      </c>
      <c r="E7092" s="6">
        <v>106.85</v>
      </c>
    </row>
    <row r="7093" spans="4:5" x14ac:dyDescent="0.25">
      <c r="D7093" s="4">
        <v>41844</v>
      </c>
      <c r="E7093" s="6">
        <v>105.78</v>
      </c>
    </row>
    <row r="7094" spans="4:5" x14ac:dyDescent="0.25">
      <c r="D7094" s="4">
        <v>41845</v>
      </c>
      <c r="E7094" s="6">
        <v>106.89</v>
      </c>
    </row>
    <row r="7095" spans="4:5" x14ac:dyDescent="0.25">
      <c r="D7095" s="4">
        <v>41848</v>
      </c>
      <c r="E7095" s="6">
        <v>106.7</v>
      </c>
    </row>
    <row r="7096" spans="4:5" x14ac:dyDescent="0.25">
      <c r="D7096" s="4">
        <v>41849</v>
      </c>
      <c r="E7096" s="6">
        <v>106.98</v>
      </c>
    </row>
    <row r="7097" spans="4:5" x14ac:dyDescent="0.25">
      <c r="D7097" s="4">
        <v>41850</v>
      </c>
      <c r="E7097" s="6">
        <v>106.47</v>
      </c>
    </row>
    <row r="7098" spans="4:5" x14ac:dyDescent="0.25">
      <c r="D7098" s="4">
        <v>41851</v>
      </c>
      <c r="E7098" s="6">
        <v>104.94</v>
      </c>
    </row>
    <row r="7099" spans="4:5" x14ac:dyDescent="0.25">
      <c r="D7099" s="4">
        <v>41852</v>
      </c>
      <c r="E7099" s="6">
        <v>103.45</v>
      </c>
    </row>
    <row r="7100" spans="4:5" x14ac:dyDescent="0.25">
      <c r="D7100" s="4">
        <v>41855</v>
      </c>
      <c r="E7100" s="6">
        <v>103.63</v>
      </c>
    </row>
    <row r="7101" spans="4:5" x14ac:dyDescent="0.25">
      <c r="D7101" s="4">
        <v>41856</v>
      </c>
      <c r="E7101" s="6">
        <v>102.82</v>
      </c>
    </row>
    <row r="7102" spans="4:5" x14ac:dyDescent="0.25">
      <c r="D7102" s="4">
        <v>41857</v>
      </c>
      <c r="E7102" s="6">
        <v>104.17</v>
      </c>
    </row>
    <row r="7103" spans="4:5" x14ac:dyDescent="0.25">
      <c r="D7103" s="4">
        <v>41858</v>
      </c>
      <c r="E7103" s="6">
        <v>104.02</v>
      </c>
    </row>
    <row r="7104" spans="4:5" x14ac:dyDescent="0.25">
      <c r="D7104" s="4">
        <v>41859</v>
      </c>
      <c r="E7104" s="6">
        <v>103.36</v>
      </c>
    </row>
    <row r="7105" spans="4:5" x14ac:dyDescent="0.25">
      <c r="D7105" s="4">
        <v>41862</v>
      </c>
      <c r="E7105" s="6">
        <v>103.47</v>
      </c>
    </row>
    <row r="7106" spans="4:5" x14ac:dyDescent="0.25">
      <c r="D7106" s="4">
        <v>41863</v>
      </c>
      <c r="E7106" s="6">
        <v>101.68</v>
      </c>
    </row>
    <row r="7107" spans="4:5" x14ac:dyDescent="0.25">
      <c r="D7107" s="4">
        <v>41864</v>
      </c>
      <c r="E7107" s="6">
        <v>102.27</v>
      </c>
    </row>
    <row r="7108" spans="4:5" x14ac:dyDescent="0.25">
      <c r="D7108" s="4">
        <v>41865</v>
      </c>
      <c r="E7108" s="6">
        <v>101.15</v>
      </c>
    </row>
    <row r="7109" spans="4:5" x14ac:dyDescent="0.25">
      <c r="D7109" s="4">
        <v>41866</v>
      </c>
      <c r="E7109" s="6">
        <v>101.13</v>
      </c>
    </row>
    <row r="7110" spans="4:5" x14ac:dyDescent="0.25">
      <c r="D7110" s="4">
        <v>41869</v>
      </c>
      <c r="E7110" s="6">
        <v>99.37</v>
      </c>
    </row>
    <row r="7111" spans="4:5" x14ac:dyDescent="0.25">
      <c r="D7111" s="4">
        <v>41870</v>
      </c>
      <c r="E7111" s="6">
        <v>99.74</v>
      </c>
    </row>
    <row r="7112" spans="4:5" x14ac:dyDescent="0.25">
      <c r="D7112" s="4">
        <v>41871</v>
      </c>
      <c r="E7112" s="6">
        <v>99.92</v>
      </c>
    </row>
    <row r="7113" spans="4:5" x14ac:dyDescent="0.25">
      <c r="D7113" s="4">
        <v>41872</v>
      </c>
      <c r="E7113" s="6">
        <v>100.28</v>
      </c>
    </row>
    <row r="7114" spans="4:5" x14ac:dyDescent="0.25">
      <c r="D7114" s="4">
        <v>41873</v>
      </c>
      <c r="E7114" s="6">
        <v>100.09</v>
      </c>
    </row>
    <row r="7115" spans="4:5" x14ac:dyDescent="0.25">
      <c r="D7115" s="4">
        <v>41876</v>
      </c>
      <c r="E7115" s="6">
        <v>100.49</v>
      </c>
    </row>
    <row r="7116" spans="4:5" x14ac:dyDescent="0.25">
      <c r="D7116" s="4">
        <v>41877</v>
      </c>
      <c r="E7116" s="6">
        <v>100.5</v>
      </c>
    </row>
    <row r="7117" spans="4:5" x14ac:dyDescent="0.25">
      <c r="D7117" s="4">
        <v>41878</v>
      </c>
      <c r="E7117" s="6">
        <v>100.4</v>
      </c>
    </row>
    <row r="7118" spans="4:5" x14ac:dyDescent="0.25">
      <c r="D7118" s="4">
        <v>41879</v>
      </c>
      <c r="E7118" s="6">
        <v>100.71</v>
      </c>
    </row>
    <row r="7119" spans="4:5" x14ac:dyDescent="0.25">
      <c r="D7119" s="4">
        <v>41880</v>
      </c>
      <c r="E7119" s="6">
        <v>101.12</v>
      </c>
    </row>
    <row r="7120" spans="4:5" x14ac:dyDescent="0.25">
      <c r="D7120" s="4">
        <v>41883</v>
      </c>
      <c r="E7120" s="5"/>
    </row>
    <row r="7121" spans="4:5" x14ac:dyDescent="0.25">
      <c r="D7121" s="4">
        <v>41884</v>
      </c>
      <c r="E7121" s="6">
        <v>100.21</v>
      </c>
    </row>
    <row r="7122" spans="4:5" x14ac:dyDescent="0.25">
      <c r="D7122" s="4">
        <v>41885</v>
      </c>
      <c r="E7122" s="6">
        <v>100.88</v>
      </c>
    </row>
    <row r="7123" spans="4:5" x14ac:dyDescent="0.25">
      <c r="D7123" s="4">
        <v>41886</v>
      </c>
      <c r="E7123" s="6">
        <v>101.21</v>
      </c>
    </row>
    <row r="7124" spans="4:5" x14ac:dyDescent="0.25">
      <c r="D7124" s="4">
        <v>41887</v>
      </c>
      <c r="E7124" s="6">
        <v>99.51</v>
      </c>
    </row>
    <row r="7125" spans="4:5" x14ac:dyDescent="0.25">
      <c r="D7125" s="4">
        <v>41890</v>
      </c>
      <c r="E7125" s="6">
        <v>99.53</v>
      </c>
    </row>
    <row r="7126" spans="4:5" x14ac:dyDescent="0.25">
      <c r="D7126" s="4">
        <v>41891</v>
      </c>
      <c r="E7126" s="6">
        <v>98.08</v>
      </c>
    </row>
    <row r="7127" spans="4:5" x14ac:dyDescent="0.25">
      <c r="D7127" s="4">
        <v>41892</v>
      </c>
      <c r="E7127" s="6">
        <v>96.26</v>
      </c>
    </row>
    <row r="7128" spans="4:5" x14ac:dyDescent="0.25">
      <c r="D7128" s="4">
        <v>41893</v>
      </c>
      <c r="E7128" s="6">
        <v>96.42</v>
      </c>
    </row>
    <row r="7129" spans="4:5" x14ac:dyDescent="0.25">
      <c r="D7129" s="4">
        <v>41894</v>
      </c>
      <c r="E7129" s="6">
        <v>96.31</v>
      </c>
    </row>
    <row r="7130" spans="4:5" x14ac:dyDescent="0.25">
      <c r="D7130" s="4">
        <v>41897</v>
      </c>
      <c r="E7130" s="6">
        <v>96.43</v>
      </c>
    </row>
    <row r="7131" spans="4:5" x14ac:dyDescent="0.25">
      <c r="D7131" s="4">
        <v>41898</v>
      </c>
      <c r="E7131" s="6">
        <v>97.39</v>
      </c>
    </row>
    <row r="7132" spans="4:5" x14ac:dyDescent="0.25">
      <c r="D7132" s="4">
        <v>41899</v>
      </c>
      <c r="E7132" s="6">
        <v>97.7</v>
      </c>
    </row>
    <row r="7133" spans="4:5" x14ac:dyDescent="0.25">
      <c r="D7133" s="4">
        <v>41900</v>
      </c>
      <c r="E7133" s="6">
        <v>96.82</v>
      </c>
    </row>
    <row r="7134" spans="4:5" x14ac:dyDescent="0.25">
      <c r="D7134" s="4">
        <v>41901</v>
      </c>
      <c r="E7134" s="6">
        <v>96.75</v>
      </c>
    </row>
    <row r="7135" spans="4:5" x14ac:dyDescent="0.25">
      <c r="D7135" s="4">
        <v>41904</v>
      </c>
      <c r="E7135" s="6">
        <v>95.37</v>
      </c>
    </row>
    <row r="7136" spans="4:5" x14ac:dyDescent="0.25">
      <c r="D7136" s="4">
        <v>41905</v>
      </c>
      <c r="E7136" s="6">
        <v>94.87</v>
      </c>
    </row>
    <row r="7137" spans="4:5" x14ac:dyDescent="0.25">
      <c r="D7137" s="4">
        <v>41906</v>
      </c>
      <c r="E7137" s="6">
        <v>94.53</v>
      </c>
    </row>
    <row r="7138" spans="4:5" x14ac:dyDescent="0.25">
      <c r="D7138" s="4">
        <v>41907</v>
      </c>
      <c r="E7138" s="6">
        <v>95.2</v>
      </c>
    </row>
    <row r="7139" spans="4:5" x14ac:dyDescent="0.25">
      <c r="D7139" s="4">
        <v>41908</v>
      </c>
      <c r="E7139" s="6">
        <v>95.08</v>
      </c>
    </row>
    <row r="7140" spans="4:5" x14ac:dyDescent="0.25">
      <c r="D7140" s="4">
        <v>41911</v>
      </c>
      <c r="E7140" s="6">
        <v>95.7</v>
      </c>
    </row>
    <row r="7141" spans="4:5" x14ac:dyDescent="0.25">
      <c r="D7141" s="4">
        <v>41912</v>
      </c>
      <c r="E7141" s="6">
        <v>94.67</v>
      </c>
    </row>
    <row r="7142" spans="4:5" x14ac:dyDescent="0.25">
      <c r="D7142" s="4">
        <v>41913</v>
      </c>
      <c r="E7142" s="6">
        <v>94.57</v>
      </c>
    </row>
    <row r="7143" spans="4:5" x14ac:dyDescent="0.25">
      <c r="D7143" s="4">
        <v>41914</v>
      </c>
      <c r="E7143" s="6">
        <v>91.29</v>
      </c>
    </row>
    <row r="7144" spans="4:5" x14ac:dyDescent="0.25">
      <c r="D7144" s="4">
        <v>41915</v>
      </c>
      <c r="E7144" s="6">
        <v>90.8</v>
      </c>
    </row>
    <row r="7145" spans="4:5" x14ac:dyDescent="0.25">
      <c r="D7145" s="4">
        <v>41918</v>
      </c>
      <c r="E7145" s="6">
        <v>90.65</v>
      </c>
    </row>
    <row r="7146" spans="4:5" x14ac:dyDescent="0.25">
      <c r="D7146" s="4">
        <v>41919</v>
      </c>
      <c r="E7146" s="6">
        <v>90.9</v>
      </c>
    </row>
    <row r="7147" spans="4:5" x14ac:dyDescent="0.25">
      <c r="D7147" s="4">
        <v>41920</v>
      </c>
      <c r="E7147" s="6">
        <v>90.25</v>
      </c>
    </row>
    <row r="7148" spans="4:5" x14ac:dyDescent="0.25">
      <c r="D7148" s="4">
        <v>41921</v>
      </c>
      <c r="E7148" s="6">
        <v>90.47</v>
      </c>
    </row>
    <row r="7149" spans="4:5" x14ac:dyDescent="0.25">
      <c r="D7149" s="4">
        <v>41922</v>
      </c>
      <c r="E7149" s="6">
        <v>88.66</v>
      </c>
    </row>
    <row r="7150" spans="4:5" x14ac:dyDescent="0.25">
      <c r="D7150" s="4">
        <v>41925</v>
      </c>
      <c r="E7150" s="6">
        <v>87.82</v>
      </c>
    </row>
    <row r="7151" spans="4:5" x14ac:dyDescent="0.25">
      <c r="D7151" s="4">
        <v>41926</v>
      </c>
      <c r="E7151" s="6">
        <v>86.36</v>
      </c>
    </row>
    <row r="7152" spans="4:5" x14ac:dyDescent="0.25">
      <c r="D7152" s="4">
        <v>41927</v>
      </c>
      <c r="E7152" s="6">
        <v>84.02</v>
      </c>
    </row>
    <row r="7153" spans="4:5" x14ac:dyDescent="0.25">
      <c r="D7153" s="4">
        <v>41928</v>
      </c>
      <c r="E7153" s="6">
        <v>84.02</v>
      </c>
    </row>
    <row r="7154" spans="4:5" x14ac:dyDescent="0.25">
      <c r="D7154" s="4">
        <v>41929</v>
      </c>
      <c r="E7154" s="6">
        <v>85.27</v>
      </c>
    </row>
    <row r="7155" spans="4:5" x14ac:dyDescent="0.25">
      <c r="D7155" s="4">
        <v>41932</v>
      </c>
      <c r="E7155" s="6">
        <v>84.42</v>
      </c>
    </row>
    <row r="7156" spans="4:5" x14ac:dyDescent="0.25">
      <c r="D7156" s="4">
        <v>41933</v>
      </c>
      <c r="E7156" s="6">
        <v>85.17</v>
      </c>
    </row>
    <row r="7157" spans="4:5" x14ac:dyDescent="0.25">
      <c r="D7157" s="4">
        <v>41934</v>
      </c>
      <c r="E7157" s="6">
        <v>86.38</v>
      </c>
    </row>
    <row r="7158" spans="4:5" x14ac:dyDescent="0.25">
      <c r="D7158" s="4">
        <v>41935</v>
      </c>
      <c r="E7158" s="6">
        <v>85.94</v>
      </c>
    </row>
    <row r="7159" spans="4:5" x14ac:dyDescent="0.25">
      <c r="D7159" s="4">
        <v>41936</v>
      </c>
      <c r="E7159" s="6">
        <v>86</v>
      </c>
    </row>
    <row r="7160" spans="4:5" x14ac:dyDescent="0.25">
      <c r="D7160" s="4">
        <v>41939</v>
      </c>
      <c r="E7160" s="6">
        <v>85.64</v>
      </c>
    </row>
    <row r="7161" spans="4:5" x14ac:dyDescent="0.25">
      <c r="D7161" s="4">
        <v>41940</v>
      </c>
      <c r="E7161" s="6">
        <v>85.57</v>
      </c>
    </row>
    <row r="7162" spans="4:5" x14ac:dyDescent="0.25">
      <c r="D7162" s="4">
        <v>41941</v>
      </c>
      <c r="E7162" s="6">
        <v>86.91</v>
      </c>
    </row>
    <row r="7163" spans="4:5" x14ac:dyDescent="0.25">
      <c r="D7163" s="4">
        <v>41942</v>
      </c>
      <c r="E7163" s="6">
        <v>85.5</v>
      </c>
    </row>
    <row r="7164" spans="4:5" x14ac:dyDescent="0.25">
      <c r="D7164" s="4">
        <v>41943</v>
      </c>
      <c r="E7164" s="6">
        <v>84.17</v>
      </c>
    </row>
    <row r="7165" spans="4:5" x14ac:dyDescent="0.25">
      <c r="D7165" s="4">
        <v>41946</v>
      </c>
      <c r="E7165" s="6">
        <v>84.9</v>
      </c>
    </row>
    <row r="7166" spans="4:5" x14ac:dyDescent="0.25">
      <c r="D7166" s="4">
        <v>41947</v>
      </c>
      <c r="E7166" s="6">
        <v>82.12</v>
      </c>
    </row>
    <row r="7167" spans="4:5" x14ac:dyDescent="0.25">
      <c r="D7167" s="4">
        <v>41948</v>
      </c>
      <c r="E7167" s="6">
        <v>82.88</v>
      </c>
    </row>
    <row r="7168" spans="4:5" x14ac:dyDescent="0.25">
      <c r="D7168" s="4">
        <v>41949</v>
      </c>
      <c r="E7168" s="6">
        <v>82.08</v>
      </c>
    </row>
    <row r="7169" spans="4:5" x14ac:dyDescent="0.25">
      <c r="D7169" s="4">
        <v>41950</v>
      </c>
      <c r="E7169" s="6">
        <v>83.2</v>
      </c>
    </row>
    <row r="7170" spans="4:5" x14ac:dyDescent="0.25">
      <c r="D7170" s="4">
        <v>41953</v>
      </c>
      <c r="E7170" s="6">
        <v>82.9</v>
      </c>
    </row>
    <row r="7171" spans="4:5" x14ac:dyDescent="0.25">
      <c r="D7171" s="4">
        <v>41954</v>
      </c>
      <c r="E7171" s="6">
        <v>80.94</v>
      </c>
    </row>
    <row r="7172" spans="4:5" x14ac:dyDescent="0.25">
      <c r="D7172" s="4">
        <v>41955</v>
      </c>
      <c r="E7172" s="6">
        <v>80.42</v>
      </c>
    </row>
    <row r="7173" spans="4:5" x14ac:dyDescent="0.25">
      <c r="D7173" s="4">
        <v>41956</v>
      </c>
      <c r="E7173" s="6">
        <v>77.739999999999995</v>
      </c>
    </row>
    <row r="7174" spans="4:5" x14ac:dyDescent="0.25">
      <c r="D7174" s="4">
        <v>41957</v>
      </c>
      <c r="E7174" s="6">
        <v>77.510000000000005</v>
      </c>
    </row>
    <row r="7175" spans="4:5" x14ac:dyDescent="0.25">
      <c r="D7175" s="4">
        <v>41960</v>
      </c>
      <c r="E7175" s="6">
        <v>76.86</v>
      </c>
    </row>
    <row r="7176" spans="4:5" x14ac:dyDescent="0.25">
      <c r="D7176" s="4">
        <v>41961</v>
      </c>
      <c r="E7176" s="6">
        <v>77.23</v>
      </c>
    </row>
    <row r="7177" spans="4:5" x14ac:dyDescent="0.25">
      <c r="D7177" s="4">
        <v>41962</v>
      </c>
      <c r="E7177" s="6">
        <v>77.209999999999994</v>
      </c>
    </row>
    <row r="7178" spans="4:5" x14ac:dyDescent="0.25">
      <c r="D7178" s="4">
        <v>41963</v>
      </c>
      <c r="E7178" s="6">
        <v>77.61</v>
      </c>
    </row>
    <row r="7179" spans="4:5" x14ac:dyDescent="0.25">
      <c r="D7179" s="4">
        <v>41964</v>
      </c>
      <c r="E7179" s="6">
        <v>79.2</v>
      </c>
    </row>
    <row r="7180" spans="4:5" x14ac:dyDescent="0.25">
      <c r="D7180" s="4">
        <v>41967</v>
      </c>
      <c r="E7180" s="6">
        <v>79.62</v>
      </c>
    </row>
    <row r="7181" spans="4:5" x14ac:dyDescent="0.25">
      <c r="D7181" s="4">
        <v>41968</v>
      </c>
      <c r="E7181" s="6">
        <v>77.62</v>
      </c>
    </row>
    <row r="7182" spans="4:5" x14ac:dyDescent="0.25">
      <c r="D7182" s="4">
        <v>41969</v>
      </c>
      <c r="E7182" s="6">
        <v>77.39</v>
      </c>
    </row>
    <row r="7183" spans="4:5" x14ac:dyDescent="0.25">
      <c r="D7183" s="4">
        <v>41970</v>
      </c>
      <c r="E7183" s="5"/>
    </row>
    <row r="7184" spans="4:5" x14ac:dyDescent="0.25">
      <c r="D7184" s="4">
        <v>41971</v>
      </c>
      <c r="E7184" s="6">
        <v>71.89</v>
      </c>
    </row>
    <row r="7185" spans="4:5" x14ac:dyDescent="0.25">
      <c r="D7185" s="4">
        <v>41974</v>
      </c>
      <c r="E7185" s="6">
        <v>70.87</v>
      </c>
    </row>
    <row r="7186" spans="4:5" x14ac:dyDescent="0.25">
      <c r="D7186" s="4">
        <v>41975</v>
      </c>
      <c r="E7186" s="6">
        <v>71.13</v>
      </c>
    </row>
    <row r="7187" spans="4:5" x14ac:dyDescent="0.25">
      <c r="D7187" s="4">
        <v>41976</v>
      </c>
      <c r="E7187" s="6">
        <v>70.13</v>
      </c>
    </row>
    <row r="7188" spans="4:5" x14ac:dyDescent="0.25">
      <c r="D7188" s="4">
        <v>41977</v>
      </c>
      <c r="E7188" s="6">
        <v>68.48</v>
      </c>
    </row>
    <row r="7189" spans="4:5" x14ac:dyDescent="0.25">
      <c r="D7189" s="4">
        <v>41978</v>
      </c>
      <c r="E7189" s="6">
        <v>68</v>
      </c>
    </row>
    <row r="7190" spans="4:5" x14ac:dyDescent="0.25">
      <c r="D7190" s="4">
        <v>41981</v>
      </c>
      <c r="E7190" s="6">
        <v>65.64</v>
      </c>
    </row>
    <row r="7191" spans="4:5" x14ac:dyDescent="0.25">
      <c r="D7191" s="4">
        <v>41982</v>
      </c>
      <c r="E7191" s="6">
        <v>66.11</v>
      </c>
    </row>
    <row r="7192" spans="4:5" x14ac:dyDescent="0.25">
      <c r="D7192" s="4">
        <v>41983</v>
      </c>
      <c r="E7192" s="6">
        <v>63.32</v>
      </c>
    </row>
    <row r="7193" spans="4:5" x14ac:dyDescent="0.25">
      <c r="D7193" s="4">
        <v>41984</v>
      </c>
      <c r="E7193" s="6">
        <v>63.65</v>
      </c>
    </row>
    <row r="7194" spans="4:5" x14ac:dyDescent="0.25">
      <c r="D7194" s="4">
        <v>41985</v>
      </c>
      <c r="E7194" s="6">
        <v>61.67</v>
      </c>
    </row>
    <row r="7195" spans="4:5" x14ac:dyDescent="0.25">
      <c r="D7195" s="4">
        <v>41988</v>
      </c>
      <c r="E7195" s="6">
        <v>61.09</v>
      </c>
    </row>
    <row r="7196" spans="4:5" x14ac:dyDescent="0.25">
      <c r="D7196" s="4">
        <v>41989</v>
      </c>
      <c r="E7196" s="6">
        <v>60.26</v>
      </c>
    </row>
    <row r="7197" spans="4:5" x14ac:dyDescent="0.25">
      <c r="D7197" s="4">
        <v>41990</v>
      </c>
      <c r="E7197" s="6">
        <v>59.84</v>
      </c>
    </row>
    <row r="7198" spans="4:5" x14ac:dyDescent="0.25">
      <c r="D7198" s="4">
        <v>41991</v>
      </c>
      <c r="E7198" s="6">
        <v>58.81</v>
      </c>
    </row>
    <row r="7199" spans="4:5" x14ac:dyDescent="0.25">
      <c r="D7199" s="4">
        <v>41992</v>
      </c>
      <c r="E7199" s="6">
        <v>58.87</v>
      </c>
    </row>
    <row r="7200" spans="4:5" x14ac:dyDescent="0.25">
      <c r="D7200" s="4">
        <v>41995</v>
      </c>
      <c r="E7200" s="6">
        <v>58.31</v>
      </c>
    </row>
    <row r="7201" spans="4:5" x14ac:dyDescent="0.25">
      <c r="D7201" s="4">
        <v>41996</v>
      </c>
      <c r="E7201" s="6">
        <v>59.07</v>
      </c>
    </row>
    <row r="7202" spans="4:5" x14ac:dyDescent="0.25">
      <c r="D7202" s="4">
        <v>41997</v>
      </c>
      <c r="E7202" s="6">
        <v>58.67</v>
      </c>
    </row>
    <row r="7203" spans="4:5" x14ac:dyDescent="0.25">
      <c r="D7203" s="4">
        <v>41998</v>
      </c>
      <c r="E7203" s="5"/>
    </row>
    <row r="7204" spans="4:5" x14ac:dyDescent="0.25">
      <c r="D7204" s="4">
        <v>41999</v>
      </c>
      <c r="E7204" s="6">
        <v>58.72</v>
      </c>
    </row>
    <row r="7205" spans="4:5" x14ac:dyDescent="0.25">
      <c r="D7205" s="4">
        <v>42002</v>
      </c>
      <c r="E7205" s="6">
        <v>57.86</v>
      </c>
    </row>
    <row r="7206" spans="4:5" x14ac:dyDescent="0.25">
      <c r="D7206" s="4">
        <v>42003</v>
      </c>
      <c r="E7206" s="6">
        <v>55.6</v>
      </c>
    </row>
    <row r="7207" spans="4:5" x14ac:dyDescent="0.25">
      <c r="D7207" s="4">
        <v>42004</v>
      </c>
      <c r="E7207" s="6">
        <v>55.27</v>
      </c>
    </row>
    <row r="7208" spans="4:5" x14ac:dyDescent="0.25">
      <c r="D7208" s="4">
        <v>42005</v>
      </c>
      <c r="E7208" s="5"/>
    </row>
    <row r="7209" spans="4:5" x14ac:dyDescent="0.25">
      <c r="D7209" s="4">
        <v>42006</v>
      </c>
      <c r="E7209" s="6">
        <v>55.38</v>
      </c>
    </row>
    <row r="7210" spans="4:5" x14ac:dyDescent="0.25">
      <c r="D7210" s="4">
        <v>42009</v>
      </c>
      <c r="E7210" s="6">
        <v>51.08</v>
      </c>
    </row>
    <row r="7211" spans="4:5" x14ac:dyDescent="0.25">
      <c r="D7211" s="4">
        <v>42010</v>
      </c>
      <c r="E7211" s="6">
        <v>50.12</v>
      </c>
    </row>
    <row r="7212" spans="4:5" x14ac:dyDescent="0.25">
      <c r="D7212" s="4">
        <v>42011</v>
      </c>
      <c r="E7212" s="6">
        <v>49.06</v>
      </c>
    </row>
    <row r="7213" spans="4:5" x14ac:dyDescent="0.25">
      <c r="D7213" s="4">
        <v>42012</v>
      </c>
      <c r="E7213" s="6">
        <v>49.43</v>
      </c>
    </row>
    <row r="7214" spans="4:5" x14ac:dyDescent="0.25">
      <c r="D7214" s="4">
        <v>42013</v>
      </c>
      <c r="E7214" s="6">
        <v>47.64</v>
      </c>
    </row>
    <row r="7215" spans="4:5" x14ac:dyDescent="0.25">
      <c r="D7215" s="4">
        <v>42016</v>
      </c>
      <c r="E7215" s="6">
        <v>46.9</v>
      </c>
    </row>
    <row r="7216" spans="4:5" x14ac:dyDescent="0.25">
      <c r="D7216" s="4">
        <v>42017</v>
      </c>
      <c r="E7216" s="6">
        <v>45.13</v>
      </c>
    </row>
    <row r="7217" spans="4:5" x14ac:dyDescent="0.25">
      <c r="D7217" s="4">
        <v>42018</v>
      </c>
      <c r="E7217" s="6">
        <v>45.82</v>
      </c>
    </row>
    <row r="7218" spans="4:5" x14ac:dyDescent="0.25">
      <c r="D7218" s="4">
        <v>42019</v>
      </c>
      <c r="E7218" s="6">
        <v>47.66</v>
      </c>
    </row>
    <row r="7219" spans="4:5" x14ac:dyDescent="0.25">
      <c r="D7219" s="4">
        <v>42020</v>
      </c>
      <c r="E7219" s="6">
        <v>47.38</v>
      </c>
    </row>
    <row r="7220" spans="4:5" x14ac:dyDescent="0.25">
      <c r="D7220" s="4">
        <v>42023</v>
      </c>
      <c r="E7220" s="5"/>
    </row>
    <row r="7221" spans="4:5" x14ac:dyDescent="0.25">
      <c r="D7221" s="4">
        <v>42024</v>
      </c>
      <c r="E7221" s="6">
        <v>46.49</v>
      </c>
    </row>
    <row r="7222" spans="4:5" x14ac:dyDescent="0.25">
      <c r="D7222" s="4">
        <v>42025</v>
      </c>
      <c r="E7222" s="6">
        <v>46.5</v>
      </c>
    </row>
    <row r="7223" spans="4:5" x14ac:dyDescent="0.25">
      <c r="D7223" s="4">
        <v>42026</v>
      </c>
      <c r="E7223" s="6">
        <v>46.09</v>
      </c>
    </row>
    <row r="7224" spans="4:5" x14ac:dyDescent="0.25">
      <c r="D7224" s="4">
        <v>42027</v>
      </c>
      <c r="E7224" s="6">
        <v>46.69</v>
      </c>
    </row>
    <row r="7225" spans="4:5" x14ac:dyDescent="0.25">
      <c r="D7225" s="4">
        <v>42030</v>
      </c>
      <c r="E7225" s="6">
        <v>46.07</v>
      </c>
    </row>
    <row r="7226" spans="4:5" x14ac:dyDescent="0.25">
      <c r="D7226" s="4">
        <v>42031</v>
      </c>
      <c r="E7226" s="6">
        <v>46.55</v>
      </c>
    </row>
    <row r="7227" spans="4:5" x14ac:dyDescent="0.25">
      <c r="D7227" s="4">
        <v>42032</v>
      </c>
      <c r="E7227" s="6">
        <v>47.07</v>
      </c>
    </row>
    <row r="7228" spans="4:5" x14ac:dyDescent="0.25">
      <c r="D7228" s="4">
        <v>42033</v>
      </c>
      <c r="E7228" s="6">
        <v>46.61</v>
      </c>
    </row>
    <row r="7229" spans="4:5" x14ac:dyDescent="0.25">
      <c r="D7229" s="4">
        <v>42034</v>
      </c>
      <c r="E7229" s="6">
        <v>47.52</v>
      </c>
    </row>
    <row r="7230" spans="4:5" x14ac:dyDescent="0.25">
      <c r="D7230" s="4">
        <v>42037</v>
      </c>
      <c r="E7230" s="6">
        <v>51.74</v>
      </c>
    </row>
    <row r="7231" spans="4:5" x14ac:dyDescent="0.25">
      <c r="D7231" s="4">
        <v>42038</v>
      </c>
      <c r="E7231" s="6">
        <v>54.41</v>
      </c>
    </row>
    <row r="7232" spans="4:5" x14ac:dyDescent="0.25">
      <c r="D7232" s="4">
        <v>42039</v>
      </c>
      <c r="E7232" s="6">
        <v>55.07</v>
      </c>
    </row>
    <row r="7233" spans="4:5" x14ac:dyDescent="0.25">
      <c r="D7233" s="4">
        <v>42040</v>
      </c>
      <c r="E7233" s="6">
        <v>55.98</v>
      </c>
    </row>
    <row r="7234" spans="4:5" x14ac:dyDescent="0.25">
      <c r="D7234" s="4">
        <v>42041</v>
      </c>
      <c r="E7234" s="6">
        <v>55.88</v>
      </c>
    </row>
    <row r="7235" spans="4:5" x14ac:dyDescent="0.25">
      <c r="D7235" s="4">
        <v>42044</v>
      </c>
      <c r="E7235" s="6">
        <v>57</v>
      </c>
    </row>
    <row r="7236" spans="4:5" x14ac:dyDescent="0.25">
      <c r="D7236" s="4">
        <v>42045</v>
      </c>
      <c r="E7236" s="6">
        <v>55.79</v>
      </c>
    </row>
    <row r="7237" spans="4:5" x14ac:dyDescent="0.25">
      <c r="D7237" s="4">
        <v>42046</v>
      </c>
      <c r="E7237" s="6">
        <v>53.48</v>
      </c>
    </row>
    <row r="7238" spans="4:5" x14ac:dyDescent="0.25">
      <c r="D7238" s="4">
        <v>42047</v>
      </c>
      <c r="E7238" s="6">
        <v>56.23</v>
      </c>
    </row>
    <row r="7239" spans="4:5" x14ac:dyDescent="0.25">
      <c r="D7239" s="4">
        <v>42048</v>
      </c>
      <c r="E7239" s="6">
        <v>60.33</v>
      </c>
    </row>
    <row r="7240" spans="4:5" x14ac:dyDescent="0.25">
      <c r="D7240" s="4">
        <v>42051</v>
      </c>
      <c r="E7240" s="6">
        <v>61.57</v>
      </c>
    </row>
    <row r="7241" spans="4:5" x14ac:dyDescent="0.25">
      <c r="D7241" s="4">
        <v>42052</v>
      </c>
      <c r="E7241" s="6">
        <v>60.78</v>
      </c>
    </row>
    <row r="7242" spans="4:5" x14ac:dyDescent="0.25">
      <c r="D7242" s="4">
        <v>42053</v>
      </c>
      <c r="E7242" s="6">
        <v>60.72</v>
      </c>
    </row>
    <row r="7243" spans="4:5" x14ac:dyDescent="0.25">
      <c r="D7243" s="4">
        <v>42054</v>
      </c>
      <c r="E7243" s="6">
        <v>58.78</v>
      </c>
    </row>
    <row r="7244" spans="4:5" x14ac:dyDescent="0.25">
      <c r="D7244" s="4">
        <v>42055</v>
      </c>
      <c r="E7244" s="6">
        <v>60.99</v>
      </c>
    </row>
    <row r="7245" spans="4:5" x14ac:dyDescent="0.25">
      <c r="D7245" s="4">
        <v>42058</v>
      </c>
      <c r="E7245" s="6">
        <v>59.78</v>
      </c>
    </row>
    <row r="7246" spans="4:5" x14ac:dyDescent="0.25">
      <c r="D7246" s="4">
        <v>42059</v>
      </c>
      <c r="E7246" s="6">
        <v>60.33</v>
      </c>
    </row>
    <row r="7247" spans="4:5" x14ac:dyDescent="0.25">
      <c r="D7247" s="4">
        <v>42060</v>
      </c>
      <c r="E7247" s="6">
        <v>59.77</v>
      </c>
    </row>
    <row r="7248" spans="4:5" x14ac:dyDescent="0.25">
      <c r="D7248" s="4">
        <v>42061</v>
      </c>
      <c r="E7248" s="6">
        <v>61.39</v>
      </c>
    </row>
    <row r="7249" spans="4:5" x14ac:dyDescent="0.25">
      <c r="D7249" s="4">
        <v>42062</v>
      </c>
      <c r="E7249" s="6">
        <v>61.89</v>
      </c>
    </row>
    <row r="7250" spans="4:5" x14ac:dyDescent="0.25">
      <c r="D7250" s="4">
        <v>42065</v>
      </c>
      <c r="E7250" s="6">
        <v>60.75</v>
      </c>
    </row>
    <row r="7251" spans="4:5" x14ac:dyDescent="0.25">
      <c r="D7251" s="4">
        <v>42066</v>
      </c>
      <c r="E7251" s="6">
        <v>61.18</v>
      </c>
    </row>
    <row r="7252" spans="4:5" x14ac:dyDescent="0.25">
      <c r="D7252" s="4">
        <v>42067</v>
      </c>
      <c r="E7252" s="6">
        <v>59.18</v>
      </c>
    </row>
    <row r="7253" spans="4:5" x14ac:dyDescent="0.25">
      <c r="D7253" s="4">
        <v>42068</v>
      </c>
      <c r="E7253" s="6">
        <v>60.33</v>
      </c>
    </row>
    <row r="7254" spans="4:5" x14ac:dyDescent="0.25">
      <c r="D7254" s="4">
        <v>42069</v>
      </c>
      <c r="E7254" s="6">
        <v>59.15</v>
      </c>
    </row>
    <row r="7255" spans="4:5" x14ac:dyDescent="0.25">
      <c r="D7255" s="4">
        <v>42072</v>
      </c>
      <c r="E7255" s="6">
        <v>58.67</v>
      </c>
    </row>
    <row r="7256" spans="4:5" x14ac:dyDescent="0.25">
      <c r="D7256" s="4">
        <v>42073</v>
      </c>
      <c r="E7256" s="6">
        <v>55.95</v>
      </c>
    </row>
    <row r="7257" spans="4:5" x14ac:dyDescent="0.25">
      <c r="D7257" s="4">
        <v>42074</v>
      </c>
      <c r="E7257" s="6">
        <v>56.46</v>
      </c>
    </row>
    <row r="7258" spans="4:5" x14ac:dyDescent="0.25">
      <c r="D7258" s="4">
        <v>42075</v>
      </c>
      <c r="E7258" s="6">
        <v>56.66</v>
      </c>
    </row>
    <row r="7259" spans="4:5" x14ac:dyDescent="0.25">
      <c r="D7259" s="4">
        <v>42076</v>
      </c>
      <c r="E7259" s="6">
        <v>54.8</v>
      </c>
    </row>
    <row r="7260" spans="4:5" x14ac:dyDescent="0.25">
      <c r="D7260" s="4">
        <v>42079</v>
      </c>
      <c r="E7260" s="6">
        <v>52</v>
      </c>
    </row>
    <row r="7261" spans="4:5" x14ac:dyDescent="0.25">
      <c r="D7261" s="4">
        <v>42080</v>
      </c>
      <c r="E7261" s="6">
        <v>52.17</v>
      </c>
    </row>
    <row r="7262" spans="4:5" x14ac:dyDescent="0.25">
      <c r="D7262" s="4">
        <v>42081</v>
      </c>
      <c r="E7262" s="6">
        <v>52.59</v>
      </c>
    </row>
    <row r="7263" spans="4:5" x14ac:dyDescent="0.25">
      <c r="D7263" s="4">
        <v>42082</v>
      </c>
      <c r="E7263" s="6">
        <v>52.96</v>
      </c>
    </row>
    <row r="7264" spans="4:5" x14ac:dyDescent="0.25">
      <c r="D7264" s="4">
        <v>42083</v>
      </c>
      <c r="E7264" s="6">
        <v>53.88</v>
      </c>
    </row>
    <row r="7265" spans="4:5" x14ac:dyDescent="0.25">
      <c r="D7265" s="4">
        <v>42086</v>
      </c>
      <c r="E7265" s="6">
        <v>53.82</v>
      </c>
    </row>
    <row r="7266" spans="4:5" x14ac:dyDescent="0.25">
      <c r="D7266" s="4">
        <v>42087</v>
      </c>
      <c r="E7266" s="6">
        <v>53.61</v>
      </c>
    </row>
    <row r="7267" spans="4:5" x14ac:dyDescent="0.25">
      <c r="D7267" s="4">
        <v>42088</v>
      </c>
      <c r="E7267" s="6">
        <v>54.18</v>
      </c>
    </row>
    <row r="7268" spans="4:5" x14ac:dyDescent="0.25">
      <c r="D7268" s="4">
        <v>42089</v>
      </c>
      <c r="E7268" s="6">
        <v>57.02</v>
      </c>
    </row>
    <row r="7269" spans="4:5" x14ac:dyDescent="0.25">
      <c r="D7269" s="4">
        <v>42090</v>
      </c>
      <c r="E7269" s="6">
        <v>56.44</v>
      </c>
    </row>
    <row r="7270" spans="4:5" x14ac:dyDescent="0.25">
      <c r="D7270" s="4">
        <v>42093</v>
      </c>
      <c r="E7270" s="6">
        <v>53.99</v>
      </c>
    </row>
    <row r="7271" spans="4:5" x14ac:dyDescent="0.25">
      <c r="D7271" s="4">
        <v>42094</v>
      </c>
      <c r="E7271" s="6">
        <v>53.69</v>
      </c>
    </row>
    <row r="7272" spans="4:5" x14ac:dyDescent="0.25">
      <c r="D7272" s="4">
        <v>42095</v>
      </c>
      <c r="E7272" s="6">
        <v>55.73</v>
      </c>
    </row>
    <row r="7273" spans="4:5" x14ac:dyDescent="0.25">
      <c r="D7273" s="4">
        <v>42096</v>
      </c>
      <c r="E7273" s="6">
        <v>55.73</v>
      </c>
    </row>
    <row r="7274" spans="4:5" x14ac:dyDescent="0.25">
      <c r="D7274" s="4">
        <v>42097</v>
      </c>
      <c r="E7274" s="5"/>
    </row>
    <row r="7275" spans="4:5" x14ac:dyDescent="0.25">
      <c r="D7275" s="4">
        <v>42100</v>
      </c>
      <c r="E7275" s="6">
        <v>55.73</v>
      </c>
    </row>
    <row r="7276" spans="4:5" x14ac:dyDescent="0.25">
      <c r="D7276" s="4">
        <v>42101</v>
      </c>
      <c r="E7276" s="6">
        <v>57.55</v>
      </c>
    </row>
    <row r="7277" spans="4:5" x14ac:dyDescent="0.25">
      <c r="D7277" s="4">
        <v>42102</v>
      </c>
      <c r="E7277" s="6">
        <v>56.42</v>
      </c>
    </row>
    <row r="7278" spans="4:5" x14ac:dyDescent="0.25">
      <c r="D7278" s="4">
        <v>42103</v>
      </c>
      <c r="E7278" s="6">
        <v>56.04</v>
      </c>
    </row>
    <row r="7279" spans="4:5" x14ac:dyDescent="0.25">
      <c r="D7279" s="4">
        <v>42104</v>
      </c>
      <c r="E7279" s="6">
        <v>56.82</v>
      </c>
    </row>
    <row r="7280" spans="4:5" x14ac:dyDescent="0.25">
      <c r="D7280" s="4">
        <v>42107</v>
      </c>
      <c r="E7280" s="6">
        <v>57.14</v>
      </c>
    </row>
    <row r="7281" spans="4:5" x14ac:dyDescent="0.25">
      <c r="D7281" s="4">
        <v>42108</v>
      </c>
      <c r="E7281" s="6">
        <v>57.69</v>
      </c>
    </row>
    <row r="7282" spans="4:5" x14ac:dyDescent="0.25">
      <c r="D7282" s="4">
        <v>42109</v>
      </c>
      <c r="E7282" s="6">
        <v>59.32</v>
      </c>
    </row>
    <row r="7283" spans="4:5" x14ac:dyDescent="0.25">
      <c r="D7283" s="4">
        <v>42110</v>
      </c>
      <c r="E7283" s="6">
        <v>60.13</v>
      </c>
    </row>
    <row r="7284" spans="4:5" x14ac:dyDescent="0.25">
      <c r="D7284" s="4">
        <v>42111</v>
      </c>
      <c r="E7284" s="6">
        <v>61.31</v>
      </c>
    </row>
    <row r="7285" spans="4:5" x14ac:dyDescent="0.25">
      <c r="D7285" s="4">
        <v>42114</v>
      </c>
      <c r="E7285" s="6">
        <v>61.2</v>
      </c>
    </row>
    <row r="7286" spans="4:5" x14ac:dyDescent="0.25">
      <c r="D7286" s="4">
        <v>42115</v>
      </c>
      <c r="E7286" s="6">
        <v>60.12</v>
      </c>
    </row>
    <row r="7287" spans="4:5" x14ac:dyDescent="0.25">
      <c r="D7287" s="4">
        <v>42116</v>
      </c>
      <c r="E7287" s="6">
        <v>60.12</v>
      </c>
    </row>
    <row r="7288" spans="4:5" x14ac:dyDescent="0.25">
      <c r="D7288" s="4">
        <v>42117</v>
      </c>
      <c r="E7288" s="6">
        <v>62.66</v>
      </c>
    </row>
    <row r="7289" spans="4:5" x14ac:dyDescent="0.25">
      <c r="D7289" s="4">
        <v>42118</v>
      </c>
      <c r="E7289" s="6">
        <v>62.96</v>
      </c>
    </row>
    <row r="7290" spans="4:5" x14ac:dyDescent="0.25">
      <c r="D7290" s="4">
        <v>42121</v>
      </c>
      <c r="E7290" s="6">
        <v>62.86</v>
      </c>
    </row>
    <row r="7291" spans="4:5" x14ac:dyDescent="0.25">
      <c r="D7291" s="4">
        <v>42122</v>
      </c>
      <c r="E7291" s="6">
        <v>62.61</v>
      </c>
    </row>
    <row r="7292" spans="4:5" x14ac:dyDescent="0.25">
      <c r="D7292" s="4">
        <v>42123</v>
      </c>
      <c r="E7292" s="6">
        <v>63.97</v>
      </c>
    </row>
    <row r="7293" spans="4:5" x14ac:dyDescent="0.25">
      <c r="D7293" s="4">
        <v>42124</v>
      </c>
      <c r="E7293" s="6">
        <v>63.9</v>
      </c>
    </row>
    <row r="7294" spans="4:5" x14ac:dyDescent="0.25">
      <c r="D7294" s="4">
        <v>42125</v>
      </c>
      <c r="E7294" s="6">
        <v>64.13</v>
      </c>
    </row>
    <row r="7295" spans="4:5" x14ac:dyDescent="0.25">
      <c r="D7295" s="4">
        <v>42128</v>
      </c>
      <c r="E7295" s="6">
        <v>64.62</v>
      </c>
    </row>
    <row r="7296" spans="4:5" x14ac:dyDescent="0.25">
      <c r="D7296" s="4">
        <v>42129</v>
      </c>
      <c r="E7296" s="6">
        <v>65.44</v>
      </c>
    </row>
    <row r="7297" spans="4:5" x14ac:dyDescent="0.25">
      <c r="D7297" s="4">
        <v>42130</v>
      </c>
      <c r="E7297" s="6">
        <v>66.22</v>
      </c>
    </row>
    <row r="7298" spans="4:5" x14ac:dyDescent="0.25">
      <c r="D7298" s="4">
        <v>42131</v>
      </c>
      <c r="E7298" s="6">
        <v>64.930000000000007</v>
      </c>
    </row>
    <row r="7299" spans="4:5" x14ac:dyDescent="0.25">
      <c r="D7299" s="4">
        <v>42132</v>
      </c>
      <c r="E7299" s="6">
        <v>63.82</v>
      </c>
    </row>
    <row r="7300" spans="4:5" x14ac:dyDescent="0.25">
      <c r="D7300" s="4">
        <v>42135</v>
      </c>
      <c r="E7300" s="6">
        <v>62.82</v>
      </c>
    </row>
    <row r="7301" spans="4:5" x14ac:dyDescent="0.25">
      <c r="D7301" s="4">
        <v>42136</v>
      </c>
      <c r="E7301" s="6">
        <v>65.09</v>
      </c>
    </row>
    <row r="7302" spans="4:5" x14ac:dyDescent="0.25">
      <c r="D7302" s="4">
        <v>42137</v>
      </c>
      <c r="E7302" s="6">
        <v>66.33</v>
      </c>
    </row>
    <row r="7303" spans="4:5" x14ac:dyDescent="0.25">
      <c r="D7303" s="4">
        <v>42138</v>
      </c>
      <c r="E7303" s="6">
        <v>65.58</v>
      </c>
    </row>
    <row r="7304" spans="4:5" x14ac:dyDescent="0.25">
      <c r="D7304" s="4">
        <v>42139</v>
      </c>
      <c r="E7304" s="6">
        <v>64.69</v>
      </c>
    </row>
    <row r="7305" spans="4:5" x14ac:dyDescent="0.25">
      <c r="D7305" s="4">
        <v>42142</v>
      </c>
      <c r="E7305" s="6">
        <v>65.150000000000006</v>
      </c>
    </row>
    <row r="7306" spans="4:5" x14ac:dyDescent="0.25">
      <c r="D7306" s="4">
        <v>42143</v>
      </c>
      <c r="E7306" s="6">
        <v>63.48</v>
      </c>
    </row>
    <row r="7307" spans="4:5" x14ac:dyDescent="0.25">
      <c r="D7307" s="4">
        <v>42144</v>
      </c>
      <c r="E7307" s="6">
        <v>63.52</v>
      </c>
    </row>
    <row r="7308" spans="4:5" x14ac:dyDescent="0.25">
      <c r="D7308" s="4">
        <v>42145</v>
      </c>
      <c r="E7308" s="6">
        <v>64.7</v>
      </c>
    </row>
    <row r="7309" spans="4:5" x14ac:dyDescent="0.25">
      <c r="D7309" s="4">
        <v>42146</v>
      </c>
      <c r="E7309" s="6">
        <v>64.7</v>
      </c>
    </row>
    <row r="7310" spans="4:5" x14ac:dyDescent="0.25">
      <c r="D7310" s="4">
        <v>42149</v>
      </c>
      <c r="E7310" s="5"/>
    </row>
    <row r="7311" spans="4:5" x14ac:dyDescent="0.25">
      <c r="D7311" s="4">
        <v>42150</v>
      </c>
      <c r="E7311" s="6">
        <v>61.65</v>
      </c>
    </row>
    <row r="7312" spans="4:5" x14ac:dyDescent="0.25">
      <c r="D7312" s="4">
        <v>42151</v>
      </c>
      <c r="E7312" s="6">
        <v>61.35</v>
      </c>
    </row>
    <row r="7313" spans="4:5" x14ac:dyDescent="0.25">
      <c r="D7313" s="4">
        <v>42152</v>
      </c>
      <c r="E7313" s="6">
        <v>60.12</v>
      </c>
    </row>
    <row r="7314" spans="4:5" x14ac:dyDescent="0.25">
      <c r="D7314" s="4">
        <v>42153</v>
      </c>
      <c r="E7314" s="6">
        <v>63.16</v>
      </c>
    </row>
    <row r="7315" spans="4:5" x14ac:dyDescent="0.25">
      <c r="D7315" s="4">
        <v>42156</v>
      </c>
      <c r="E7315" s="6">
        <v>62.87</v>
      </c>
    </row>
    <row r="7316" spans="4:5" x14ac:dyDescent="0.25">
      <c r="D7316" s="4">
        <v>42157</v>
      </c>
      <c r="E7316" s="6">
        <v>63.14</v>
      </c>
    </row>
    <row r="7317" spans="4:5" x14ac:dyDescent="0.25">
      <c r="D7317" s="4">
        <v>42158</v>
      </c>
      <c r="E7317" s="6">
        <v>62.78</v>
      </c>
    </row>
    <row r="7318" spans="4:5" x14ac:dyDescent="0.25">
      <c r="D7318" s="4">
        <v>42159</v>
      </c>
      <c r="E7318" s="6">
        <v>60.34</v>
      </c>
    </row>
    <row r="7319" spans="4:5" x14ac:dyDescent="0.25">
      <c r="D7319" s="4">
        <v>42160</v>
      </c>
      <c r="E7319" s="6">
        <v>60.36</v>
      </c>
    </row>
    <row r="7320" spans="4:5" x14ac:dyDescent="0.25">
      <c r="D7320" s="4">
        <v>42163</v>
      </c>
      <c r="E7320" s="6">
        <v>61.33</v>
      </c>
    </row>
    <row r="7321" spans="4:5" x14ac:dyDescent="0.25">
      <c r="D7321" s="4">
        <v>42164</v>
      </c>
      <c r="E7321" s="6">
        <v>63.23</v>
      </c>
    </row>
    <row r="7322" spans="4:5" x14ac:dyDescent="0.25">
      <c r="D7322" s="4">
        <v>42165</v>
      </c>
      <c r="E7322" s="6">
        <v>64.680000000000007</v>
      </c>
    </row>
    <row r="7323" spans="4:5" x14ac:dyDescent="0.25">
      <c r="D7323" s="4">
        <v>42166</v>
      </c>
      <c r="E7323" s="6">
        <v>63.76</v>
      </c>
    </row>
    <row r="7324" spans="4:5" x14ac:dyDescent="0.25">
      <c r="D7324" s="4">
        <v>42167</v>
      </c>
      <c r="E7324" s="6">
        <v>63.19</v>
      </c>
    </row>
    <row r="7325" spans="4:5" x14ac:dyDescent="0.25">
      <c r="D7325" s="4">
        <v>42170</v>
      </c>
      <c r="E7325" s="6">
        <v>60.99</v>
      </c>
    </row>
    <row r="7326" spans="4:5" x14ac:dyDescent="0.25">
      <c r="D7326" s="4">
        <v>42171</v>
      </c>
      <c r="E7326" s="6">
        <v>60.75</v>
      </c>
    </row>
    <row r="7327" spans="4:5" x14ac:dyDescent="0.25">
      <c r="D7327" s="4">
        <v>42172</v>
      </c>
      <c r="E7327" s="6">
        <v>60.75</v>
      </c>
    </row>
    <row r="7328" spans="4:5" x14ac:dyDescent="0.25">
      <c r="D7328" s="4">
        <v>42173</v>
      </c>
      <c r="E7328" s="6">
        <v>61.37</v>
      </c>
    </row>
    <row r="7329" spans="4:5" x14ac:dyDescent="0.25">
      <c r="D7329" s="4">
        <v>42174</v>
      </c>
      <c r="E7329" s="6">
        <v>59.41</v>
      </c>
    </row>
    <row r="7330" spans="4:5" x14ac:dyDescent="0.25">
      <c r="D7330" s="4">
        <v>42177</v>
      </c>
      <c r="E7330" s="6">
        <v>60.54</v>
      </c>
    </row>
    <row r="7331" spans="4:5" x14ac:dyDescent="0.25">
      <c r="D7331" s="4">
        <v>42178</v>
      </c>
      <c r="E7331" s="6">
        <v>61.67</v>
      </c>
    </row>
    <row r="7332" spans="4:5" x14ac:dyDescent="0.25">
      <c r="D7332" s="4">
        <v>42179</v>
      </c>
      <c r="E7332" s="6">
        <v>61.63</v>
      </c>
    </row>
    <row r="7333" spans="4:5" x14ac:dyDescent="0.25">
      <c r="D7333" s="4">
        <v>42180</v>
      </c>
      <c r="E7333" s="6">
        <v>60.24</v>
      </c>
    </row>
    <row r="7334" spans="4:5" x14ac:dyDescent="0.25">
      <c r="D7334" s="4">
        <v>42181</v>
      </c>
      <c r="E7334" s="6">
        <v>60.14</v>
      </c>
    </row>
    <row r="7335" spans="4:5" x14ac:dyDescent="0.25">
      <c r="D7335" s="4">
        <v>42184</v>
      </c>
      <c r="E7335" s="6">
        <v>59.03</v>
      </c>
    </row>
    <row r="7336" spans="4:5" x14ac:dyDescent="0.25">
      <c r="D7336" s="4">
        <v>42185</v>
      </c>
      <c r="E7336" s="6">
        <v>60.31</v>
      </c>
    </row>
    <row r="7337" spans="4:5" x14ac:dyDescent="0.25">
      <c r="D7337" s="4">
        <v>42186</v>
      </c>
      <c r="E7337" s="6">
        <v>61.65</v>
      </c>
    </row>
    <row r="7338" spans="4:5" x14ac:dyDescent="0.25">
      <c r="D7338" s="4">
        <v>42187</v>
      </c>
      <c r="E7338" s="6">
        <v>61.73</v>
      </c>
    </row>
    <row r="7339" spans="4:5" x14ac:dyDescent="0.25">
      <c r="D7339" s="4">
        <v>42188</v>
      </c>
      <c r="E7339" s="6">
        <v>59.06</v>
      </c>
    </row>
    <row r="7340" spans="4:5" x14ac:dyDescent="0.25">
      <c r="D7340" s="4">
        <v>42191</v>
      </c>
      <c r="E7340" s="6">
        <v>57.19</v>
      </c>
    </row>
    <row r="7341" spans="4:5" x14ac:dyDescent="0.25">
      <c r="D7341" s="4">
        <v>42192</v>
      </c>
      <c r="E7341" s="6">
        <v>54.72</v>
      </c>
    </row>
    <row r="7342" spans="4:5" x14ac:dyDescent="0.25">
      <c r="D7342" s="4">
        <v>42193</v>
      </c>
      <c r="E7342" s="6">
        <v>55.7</v>
      </c>
    </row>
    <row r="7343" spans="4:5" x14ac:dyDescent="0.25">
      <c r="D7343" s="4">
        <v>42194</v>
      </c>
      <c r="E7343" s="6">
        <v>57.83</v>
      </c>
    </row>
    <row r="7344" spans="4:5" x14ac:dyDescent="0.25">
      <c r="D7344" s="4">
        <v>42195</v>
      </c>
      <c r="E7344" s="6">
        <v>57.72</v>
      </c>
    </row>
    <row r="7345" spans="4:5" x14ac:dyDescent="0.25">
      <c r="D7345" s="4">
        <v>42198</v>
      </c>
      <c r="E7345" s="6">
        <v>57.63</v>
      </c>
    </row>
    <row r="7346" spans="4:5" x14ac:dyDescent="0.25">
      <c r="D7346" s="4">
        <v>42199</v>
      </c>
      <c r="E7346" s="6">
        <v>57.2</v>
      </c>
    </row>
    <row r="7347" spans="4:5" x14ac:dyDescent="0.25">
      <c r="D7347" s="4">
        <v>42200</v>
      </c>
      <c r="E7347" s="6">
        <v>57.34</v>
      </c>
    </row>
    <row r="7348" spans="4:5" x14ac:dyDescent="0.25">
      <c r="D7348" s="4">
        <v>42201</v>
      </c>
      <c r="E7348" s="6">
        <v>57.31</v>
      </c>
    </row>
    <row r="7349" spans="4:5" x14ac:dyDescent="0.25">
      <c r="D7349" s="4">
        <v>42202</v>
      </c>
      <c r="E7349" s="6">
        <v>56.38</v>
      </c>
    </row>
    <row r="7350" spans="4:5" x14ac:dyDescent="0.25">
      <c r="D7350" s="4">
        <v>42205</v>
      </c>
      <c r="E7350" s="6">
        <v>56.42</v>
      </c>
    </row>
    <row r="7351" spans="4:5" x14ac:dyDescent="0.25">
      <c r="D7351" s="4">
        <v>42206</v>
      </c>
      <c r="E7351" s="6">
        <v>55.94</v>
      </c>
    </row>
    <row r="7352" spans="4:5" x14ac:dyDescent="0.25">
      <c r="D7352" s="4">
        <v>42207</v>
      </c>
      <c r="E7352" s="6">
        <v>56.36</v>
      </c>
    </row>
    <row r="7353" spans="4:5" x14ac:dyDescent="0.25">
      <c r="D7353" s="4">
        <v>42208</v>
      </c>
      <c r="E7353" s="6">
        <v>55.76</v>
      </c>
    </row>
    <row r="7354" spans="4:5" x14ac:dyDescent="0.25">
      <c r="D7354" s="4">
        <v>42209</v>
      </c>
      <c r="E7354" s="6">
        <v>54.29</v>
      </c>
    </row>
    <row r="7355" spans="4:5" x14ac:dyDescent="0.25">
      <c r="D7355" s="4">
        <v>42212</v>
      </c>
      <c r="E7355" s="6">
        <v>54.07</v>
      </c>
    </row>
    <row r="7356" spans="4:5" x14ac:dyDescent="0.25">
      <c r="D7356" s="4">
        <v>42213</v>
      </c>
      <c r="E7356" s="6">
        <v>54.3</v>
      </c>
    </row>
    <row r="7357" spans="4:5" x14ac:dyDescent="0.25">
      <c r="D7357" s="4">
        <v>42214</v>
      </c>
      <c r="E7357" s="6">
        <v>54.73</v>
      </c>
    </row>
    <row r="7358" spans="4:5" x14ac:dyDescent="0.25">
      <c r="D7358" s="4">
        <v>42215</v>
      </c>
      <c r="E7358" s="6">
        <v>54.29</v>
      </c>
    </row>
    <row r="7359" spans="4:5" x14ac:dyDescent="0.25">
      <c r="D7359" s="4">
        <v>42216</v>
      </c>
      <c r="E7359" s="6">
        <v>53.29</v>
      </c>
    </row>
    <row r="7360" spans="4:5" x14ac:dyDescent="0.25">
      <c r="D7360" s="4">
        <v>42219</v>
      </c>
      <c r="E7360" s="6">
        <v>49.49</v>
      </c>
    </row>
    <row r="7361" spans="4:5" x14ac:dyDescent="0.25">
      <c r="D7361" s="4">
        <v>42220</v>
      </c>
      <c r="E7361" s="6">
        <v>49.08</v>
      </c>
    </row>
    <row r="7362" spans="4:5" x14ac:dyDescent="0.25">
      <c r="D7362" s="4">
        <v>42221</v>
      </c>
      <c r="E7362" s="6">
        <v>49.04</v>
      </c>
    </row>
    <row r="7363" spans="4:5" x14ac:dyDescent="0.25">
      <c r="D7363" s="4">
        <v>42222</v>
      </c>
      <c r="E7363" s="6">
        <v>47.8</v>
      </c>
    </row>
    <row r="7364" spans="4:5" x14ac:dyDescent="0.25">
      <c r="D7364" s="4">
        <v>42223</v>
      </c>
      <c r="E7364" s="6">
        <v>47.54</v>
      </c>
    </row>
    <row r="7365" spans="4:5" x14ac:dyDescent="0.25">
      <c r="D7365" s="4">
        <v>42226</v>
      </c>
      <c r="E7365" s="6">
        <v>48.3</v>
      </c>
    </row>
    <row r="7366" spans="4:5" x14ac:dyDescent="0.25">
      <c r="D7366" s="4">
        <v>42227</v>
      </c>
      <c r="E7366" s="6">
        <v>47.33</v>
      </c>
    </row>
    <row r="7367" spans="4:5" x14ac:dyDescent="0.25">
      <c r="D7367" s="4">
        <v>42228</v>
      </c>
      <c r="E7367" s="6">
        <v>48.29</v>
      </c>
    </row>
    <row r="7368" spans="4:5" x14ac:dyDescent="0.25">
      <c r="D7368" s="4">
        <v>42229</v>
      </c>
      <c r="E7368" s="6">
        <v>48.01</v>
      </c>
    </row>
    <row r="7369" spans="4:5" x14ac:dyDescent="0.25">
      <c r="D7369" s="4">
        <v>42230</v>
      </c>
      <c r="E7369" s="6">
        <v>47.79</v>
      </c>
    </row>
    <row r="7370" spans="4:5" x14ac:dyDescent="0.25">
      <c r="D7370" s="4">
        <v>42233</v>
      </c>
      <c r="E7370" s="6">
        <v>47.77</v>
      </c>
    </row>
    <row r="7371" spans="4:5" x14ac:dyDescent="0.25">
      <c r="D7371" s="4">
        <v>42234</v>
      </c>
      <c r="E7371" s="6">
        <v>47</v>
      </c>
    </row>
    <row r="7372" spans="4:5" x14ac:dyDescent="0.25">
      <c r="D7372" s="4">
        <v>42235</v>
      </c>
      <c r="E7372" s="6">
        <v>45.75</v>
      </c>
    </row>
    <row r="7373" spans="4:5" x14ac:dyDescent="0.25">
      <c r="D7373" s="4">
        <v>42236</v>
      </c>
      <c r="E7373" s="6">
        <v>45.63</v>
      </c>
    </row>
    <row r="7374" spans="4:5" x14ac:dyDescent="0.25">
      <c r="D7374" s="4">
        <v>42237</v>
      </c>
      <c r="E7374" s="6">
        <v>43.84</v>
      </c>
    </row>
    <row r="7375" spans="4:5" x14ac:dyDescent="0.25">
      <c r="D7375" s="4">
        <v>42240</v>
      </c>
      <c r="E7375" s="6">
        <v>41.59</v>
      </c>
    </row>
    <row r="7376" spans="4:5" x14ac:dyDescent="0.25">
      <c r="D7376" s="4">
        <v>42241</v>
      </c>
      <c r="E7376" s="6">
        <v>41.86</v>
      </c>
    </row>
    <row r="7377" spans="4:5" x14ac:dyDescent="0.25">
      <c r="D7377" s="4">
        <v>42242</v>
      </c>
      <c r="E7377" s="6">
        <v>41.76</v>
      </c>
    </row>
    <row r="7378" spans="4:5" x14ac:dyDescent="0.25">
      <c r="D7378" s="4">
        <v>42243</v>
      </c>
      <c r="E7378" s="6">
        <v>44.46</v>
      </c>
    </row>
    <row r="7379" spans="4:5" x14ac:dyDescent="0.25">
      <c r="D7379" s="4">
        <v>42244</v>
      </c>
      <c r="E7379" s="6">
        <v>47.97</v>
      </c>
    </row>
    <row r="7380" spans="4:5" x14ac:dyDescent="0.25">
      <c r="D7380" s="4">
        <v>42247</v>
      </c>
      <c r="E7380" s="5"/>
    </row>
    <row r="7381" spans="4:5" x14ac:dyDescent="0.25">
      <c r="D7381" s="4">
        <v>42248</v>
      </c>
      <c r="E7381" s="6">
        <v>48.8</v>
      </c>
    </row>
    <row r="7382" spans="4:5" x14ac:dyDescent="0.25">
      <c r="D7382" s="4">
        <v>42249</v>
      </c>
      <c r="E7382" s="6">
        <v>47.67</v>
      </c>
    </row>
    <row r="7383" spans="4:5" x14ac:dyDescent="0.25">
      <c r="D7383" s="4">
        <v>42250</v>
      </c>
      <c r="E7383" s="6">
        <v>50.41</v>
      </c>
    </row>
    <row r="7384" spans="4:5" x14ac:dyDescent="0.25">
      <c r="D7384" s="4">
        <v>42251</v>
      </c>
      <c r="E7384" s="6">
        <v>48.59</v>
      </c>
    </row>
    <row r="7385" spans="4:5" x14ac:dyDescent="0.25">
      <c r="D7385" s="4">
        <v>42254</v>
      </c>
      <c r="E7385" s="6">
        <v>46.42</v>
      </c>
    </row>
    <row r="7386" spans="4:5" x14ac:dyDescent="0.25">
      <c r="D7386" s="4">
        <v>42255</v>
      </c>
      <c r="E7386" s="6">
        <v>48.88</v>
      </c>
    </row>
    <row r="7387" spans="4:5" x14ac:dyDescent="0.25">
      <c r="D7387" s="4">
        <v>42256</v>
      </c>
      <c r="E7387" s="6">
        <v>48.04</v>
      </c>
    </row>
    <row r="7388" spans="4:5" x14ac:dyDescent="0.25">
      <c r="D7388" s="4">
        <v>42257</v>
      </c>
      <c r="E7388" s="6">
        <v>47.77</v>
      </c>
    </row>
    <row r="7389" spans="4:5" x14ac:dyDescent="0.25">
      <c r="D7389" s="4">
        <v>42258</v>
      </c>
      <c r="E7389" s="6">
        <v>46.87</v>
      </c>
    </row>
    <row r="7390" spans="4:5" x14ac:dyDescent="0.25">
      <c r="D7390" s="4">
        <v>42261</v>
      </c>
      <c r="E7390" s="6">
        <v>45.87</v>
      </c>
    </row>
    <row r="7391" spans="4:5" x14ac:dyDescent="0.25">
      <c r="D7391" s="4">
        <v>42262</v>
      </c>
      <c r="E7391" s="6">
        <v>45.91</v>
      </c>
    </row>
    <row r="7392" spans="4:5" x14ac:dyDescent="0.25">
      <c r="D7392" s="4">
        <v>42263</v>
      </c>
      <c r="E7392" s="6">
        <v>49.35</v>
      </c>
    </row>
    <row r="7393" spans="4:5" x14ac:dyDescent="0.25">
      <c r="D7393" s="4">
        <v>42264</v>
      </c>
      <c r="E7393" s="6">
        <v>48.27</v>
      </c>
    </row>
    <row r="7394" spans="4:5" x14ac:dyDescent="0.25">
      <c r="D7394" s="4">
        <v>42265</v>
      </c>
      <c r="E7394" s="6">
        <v>47.28</v>
      </c>
    </row>
    <row r="7395" spans="4:5" x14ac:dyDescent="0.25">
      <c r="D7395" s="4">
        <v>42268</v>
      </c>
      <c r="E7395" s="6">
        <v>47.64</v>
      </c>
    </row>
    <row r="7396" spans="4:5" x14ac:dyDescent="0.25">
      <c r="D7396" s="4">
        <v>42269</v>
      </c>
      <c r="E7396" s="6">
        <v>46.69</v>
      </c>
    </row>
    <row r="7397" spans="4:5" x14ac:dyDescent="0.25">
      <c r="D7397" s="4">
        <v>42270</v>
      </c>
      <c r="E7397" s="6">
        <v>48</v>
      </c>
    </row>
    <row r="7398" spans="4:5" x14ac:dyDescent="0.25">
      <c r="D7398" s="4">
        <v>42271</v>
      </c>
      <c r="E7398" s="6">
        <v>47.06</v>
      </c>
    </row>
    <row r="7399" spans="4:5" x14ac:dyDescent="0.25">
      <c r="D7399" s="4">
        <v>42272</v>
      </c>
      <c r="E7399" s="6">
        <v>47.28</v>
      </c>
    </row>
    <row r="7400" spans="4:5" x14ac:dyDescent="0.25">
      <c r="D7400" s="4">
        <v>42275</v>
      </c>
      <c r="E7400" s="6">
        <v>46.04</v>
      </c>
    </row>
    <row r="7401" spans="4:5" x14ac:dyDescent="0.25">
      <c r="D7401" s="4">
        <v>42276</v>
      </c>
      <c r="E7401" s="6">
        <v>47.58</v>
      </c>
    </row>
    <row r="7402" spans="4:5" x14ac:dyDescent="0.25">
      <c r="D7402" s="4">
        <v>42277</v>
      </c>
      <c r="E7402" s="6">
        <v>47.29</v>
      </c>
    </row>
    <row r="7403" spans="4:5" x14ac:dyDescent="0.25">
      <c r="D7403" s="4">
        <v>42278</v>
      </c>
      <c r="E7403" s="6">
        <v>47.48</v>
      </c>
    </row>
    <row r="7404" spans="4:5" x14ac:dyDescent="0.25">
      <c r="D7404" s="4">
        <v>42279</v>
      </c>
      <c r="E7404" s="6">
        <v>46.55</v>
      </c>
    </row>
    <row r="7405" spans="4:5" x14ac:dyDescent="0.25">
      <c r="D7405" s="4">
        <v>42282</v>
      </c>
      <c r="E7405" s="6">
        <v>49.45</v>
      </c>
    </row>
    <row r="7406" spans="4:5" x14ac:dyDescent="0.25">
      <c r="D7406" s="4">
        <v>42283</v>
      </c>
      <c r="E7406" s="6">
        <v>51.34</v>
      </c>
    </row>
    <row r="7407" spans="4:5" x14ac:dyDescent="0.25">
      <c r="D7407" s="4">
        <v>42284</v>
      </c>
      <c r="E7407" s="6">
        <v>51.66</v>
      </c>
    </row>
    <row r="7408" spans="4:5" x14ac:dyDescent="0.25">
      <c r="D7408" s="4">
        <v>42285</v>
      </c>
      <c r="E7408" s="6">
        <v>52.13</v>
      </c>
    </row>
    <row r="7409" spans="4:5" x14ac:dyDescent="0.25">
      <c r="D7409" s="4">
        <v>42286</v>
      </c>
      <c r="E7409" s="6">
        <v>52.08</v>
      </c>
    </row>
    <row r="7410" spans="4:5" x14ac:dyDescent="0.25">
      <c r="D7410" s="4">
        <v>42289</v>
      </c>
      <c r="E7410" s="6">
        <v>50.95</v>
      </c>
    </row>
    <row r="7411" spans="4:5" x14ac:dyDescent="0.25">
      <c r="D7411" s="4">
        <v>42290</v>
      </c>
      <c r="E7411" s="6">
        <v>48.94</v>
      </c>
    </row>
    <row r="7412" spans="4:5" x14ac:dyDescent="0.25">
      <c r="D7412" s="4">
        <v>42291</v>
      </c>
      <c r="E7412" s="6">
        <v>48.25</v>
      </c>
    </row>
    <row r="7413" spans="4:5" x14ac:dyDescent="0.25">
      <c r="D7413" s="4">
        <v>42292</v>
      </c>
      <c r="E7413" s="6">
        <v>47.87</v>
      </c>
    </row>
    <row r="7414" spans="4:5" x14ac:dyDescent="0.25">
      <c r="D7414" s="4">
        <v>42293</v>
      </c>
      <c r="E7414" s="6">
        <v>48.96</v>
      </c>
    </row>
    <row r="7415" spans="4:5" x14ac:dyDescent="0.25">
      <c r="D7415" s="4">
        <v>42296</v>
      </c>
      <c r="E7415" s="6">
        <v>47.51</v>
      </c>
    </row>
    <row r="7416" spans="4:5" x14ac:dyDescent="0.25">
      <c r="D7416" s="4">
        <v>42297</v>
      </c>
      <c r="E7416" s="6">
        <v>46.93</v>
      </c>
    </row>
    <row r="7417" spans="4:5" x14ac:dyDescent="0.25">
      <c r="D7417" s="4">
        <v>42298</v>
      </c>
      <c r="E7417" s="6">
        <v>46.72</v>
      </c>
    </row>
    <row r="7418" spans="4:5" x14ac:dyDescent="0.25">
      <c r="D7418" s="4">
        <v>42299</v>
      </c>
      <c r="E7418" s="6">
        <v>46.59</v>
      </c>
    </row>
    <row r="7419" spans="4:5" x14ac:dyDescent="0.25">
      <c r="D7419" s="4">
        <v>42300</v>
      </c>
      <c r="E7419" s="6">
        <v>46.3</v>
      </c>
    </row>
    <row r="7420" spans="4:5" x14ac:dyDescent="0.25">
      <c r="D7420" s="4">
        <v>42303</v>
      </c>
      <c r="E7420" s="6">
        <v>46.57</v>
      </c>
    </row>
    <row r="7421" spans="4:5" x14ac:dyDescent="0.25">
      <c r="D7421" s="4">
        <v>42304</v>
      </c>
      <c r="E7421" s="6">
        <v>45.54</v>
      </c>
    </row>
    <row r="7422" spans="4:5" x14ac:dyDescent="0.25">
      <c r="D7422" s="4">
        <v>42305</v>
      </c>
      <c r="E7422" s="6">
        <v>47.6</v>
      </c>
    </row>
    <row r="7423" spans="4:5" x14ac:dyDescent="0.25">
      <c r="D7423" s="4">
        <v>42306</v>
      </c>
      <c r="E7423" s="6">
        <v>48.04</v>
      </c>
    </row>
    <row r="7424" spans="4:5" x14ac:dyDescent="0.25">
      <c r="D7424" s="4">
        <v>42307</v>
      </c>
      <c r="E7424" s="6">
        <v>48</v>
      </c>
    </row>
    <row r="7425" spans="4:5" x14ac:dyDescent="0.25">
      <c r="D7425" s="4">
        <v>42310</v>
      </c>
      <c r="E7425" s="6">
        <v>47.91</v>
      </c>
    </row>
    <row r="7426" spans="4:5" x14ac:dyDescent="0.25">
      <c r="D7426" s="4">
        <v>42311</v>
      </c>
      <c r="E7426" s="6">
        <v>48</v>
      </c>
    </row>
    <row r="7427" spans="4:5" x14ac:dyDescent="0.25">
      <c r="D7427" s="4">
        <v>42312</v>
      </c>
      <c r="E7427" s="6">
        <v>46.96</v>
      </c>
    </row>
    <row r="7428" spans="4:5" x14ac:dyDescent="0.25">
      <c r="D7428" s="4">
        <v>42313</v>
      </c>
      <c r="E7428" s="6">
        <v>47.19</v>
      </c>
    </row>
    <row r="7429" spans="4:5" x14ac:dyDescent="0.25">
      <c r="D7429" s="4">
        <v>42314</v>
      </c>
      <c r="E7429" s="6">
        <v>46.09</v>
      </c>
    </row>
    <row r="7430" spans="4:5" x14ac:dyDescent="0.25">
      <c r="D7430" s="4">
        <v>42317</v>
      </c>
      <c r="E7430" s="6">
        <v>45.38</v>
      </c>
    </row>
    <row r="7431" spans="4:5" x14ac:dyDescent="0.25">
      <c r="D7431" s="4">
        <v>42318</v>
      </c>
      <c r="E7431" s="6">
        <v>46.44</v>
      </c>
    </row>
    <row r="7432" spans="4:5" x14ac:dyDescent="0.25">
      <c r="D7432" s="4">
        <v>42319</v>
      </c>
      <c r="E7432" s="6">
        <v>44.98</v>
      </c>
    </row>
    <row r="7433" spans="4:5" x14ac:dyDescent="0.25">
      <c r="D7433" s="4">
        <v>42320</v>
      </c>
      <c r="E7433" s="6">
        <v>44.98</v>
      </c>
    </row>
    <row r="7434" spans="4:5" x14ac:dyDescent="0.25">
      <c r="D7434" s="4">
        <v>42321</v>
      </c>
      <c r="E7434" s="6">
        <v>41.98</v>
      </c>
    </row>
    <row r="7435" spans="4:5" x14ac:dyDescent="0.25">
      <c r="D7435" s="4">
        <v>42324</v>
      </c>
      <c r="E7435" s="6">
        <v>40.28</v>
      </c>
    </row>
    <row r="7436" spans="4:5" x14ac:dyDescent="0.25">
      <c r="D7436" s="4">
        <v>42325</v>
      </c>
      <c r="E7436" s="6">
        <v>41.28</v>
      </c>
    </row>
    <row r="7437" spans="4:5" x14ac:dyDescent="0.25">
      <c r="D7437" s="4">
        <v>42326</v>
      </c>
      <c r="E7437" s="6">
        <v>41.45</v>
      </c>
    </row>
    <row r="7438" spans="4:5" x14ac:dyDescent="0.25">
      <c r="D7438" s="4">
        <v>42327</v>
      </c>
      <c r="E7438" s="6">
        <v>42.22</v>
      </c>
    </row>
    <row r="7439" spans="4:5" x14ac:dyDescent="0.25">
      <c r="D7439" s="4">
        <v>42328</v>
      </c>
      <c r="E7439" s="6">
        <v>42.49</v>
      </c>
    </row>
    <row r="7440" spans="4:5" x14ac:dyDescent="0.25">
      <c r="D7440" s="4">
        <v>42331</v>
      </c>
      <c r="E7440" s="6">
        <v>43.7</v>
      </c>
    </row>
    <row r="7441" spans="4:5" x14ac:dyDescent="0.25">
      <c r="D7441" s="4">
        <v>42332</v>
      </c>
      <c r="E7441" s="6">
        <v>44.38</v>
      </c>
    </row>
    <row r="7442" spans="4:5" x14ac:dyDescent="0.25">
      <c r="D7442" s="4">
        <v>42333</v>
      </c>
      <c r="E7442" s="6">
        <v>43.56</v>
      </c>
    </row>
    <row r="7443" spans="4:5" x14ac:dyDescent="0.25">
      <c r="D7443" s="4">
        <v>42334</v>
      </c>
      <c r="E7443" s="6">
        <v>43.55</v>
      </c>
    </row>
    <row r="7444" spans="4:5" x14ac:dyDescent="0.25">
      <c r="D7444" s="4">
        <v>42335</v>
      </c>
      <c r="E7444" s="6">
        <v>43.07</v>
      </c>
    </row>
    <row r="7445" spans="4:5" x14ac:dyDescent="0.25">
      <c r="D7445" s="4">
        <v>42338</v>
      </c>
      <c r="E7445" s="6">
        <v>43.73</v>
      </c>
    </row>
    <row r="7446" spans="4:5" x14ac:dyDescent="0.25">
      <c r="D7446" s="4">
        <v>42339</v>
      </c>
      <c r="E7446" s="6">
        <v>42.97</v>
      </c>
    </row>
    <row r="7447" spans="4:5" x14ac:dyDescent="0.25">
      <c r="D7447" s="4">
        <v>42340</v>
      </c>
      <c r="E7447" s="6">
        <v>41.92</v>
      </c>
    </row>
    <row r="7448" spans="4:5" x14ac:dyDescent="0.25">
      <c r="D7448" s="4">
        <v>42341</v>
      </c>
      <c r="E7448" s="6">
        <v>42</v>
      </c>
    </row>
    <row r="7449" spans="4:5" x14ac:dyDescent="0.25">
      <c r="D7449" s="4">
        <v>42342</v>
      </c>
      <c r="E7449" s="6">
        <v>41.44</v>
      </c>
    </row>
    <row r="7450" spans="4:5" x14ac:dyDescent="0.25">
      <c r="D7450" s="4">
        <v>42345</v>
      </c>
      <c r="E7450" s="6">
        <v>39.69</v>
      </c>
    </row>
    <row r="7451" spans="4:5" x14ac:dyDescent="0.25">
      <c r="D7451" s="4">
        <v>42346</v>
      </c>
      <c r="E7451" s="6">
        <v>39.44</v>
      </c>
    </row>
    <row r="7452" spans="4:5" x14ac:dyDescent="0.25">
      <c r="D7452" s="4">
        <v>42347</v>
      </c>
      <c r="E7452" s="6">
        <v>39.04</v>
      </c>
    </row>
    <row r="7453" spans="4:5" x14ac:dyDescent="0.25">
      <c r="D7453" s="4">
        <v>42348</v>
      </c>
      <c r="E7453" s="6">
        <v>38.65</v>
      </c>
    </row>
    <row r="7454" spans="4:5" x14ac:dyDescent="0.25">
      <c r="D7454" s="4">
        <v>42349</v>
      </c>
      <c r="E7454" s="6">
        <v>36.99</v>
      </c>
    </row>
    <row r="7455" spans="4:5" x14ac:dyDescent="0.25">
      <c r="D7455" s="4">
        <v>42352</v>
      </c>
      <c r="E7455" s="6">
        <v>36.51</v>
      </c>
    </row>
    <row r="7456" spans="4:5" x14ac:dyDescent="0.25">
      <c r="D7456" s="4">
        <v>42353</v>
      </c>
      <c r="E7456" s="6">
        <v>37.659999999999997</v>
      </c>
    </row>
    <row r="7457" spans="4:5" x14ac:dyDescent="0.25">
      <c r="D7457" s="4">
        <v>42354</v>
      </c>
      <c r="E7457" s="6">
        <v>36.96</v>
      </c>
    </row>
    <row r="7458" spans="4:5" x14ac:dyDescent="0.25">
      <c r="D7458" s="4">
        <v>42355</v>
      </c>
      <c r="E7458" s="6">
        <v>36.29</v>
      </c>
    </row>
    <row r="7459" spans="4:5" x14ac:dyDescent="0.25">
      <c r="D7459" s="4">
        <v>42356</v>
      </c>
      <c r="E7459" s="6">
        <v>36.76</v>
      </c>
    </row>
    <row r="7460" spans="4:5" x14ac:dyDescent="0.25">
      <c r="D7460" s="4">
        <v>42359</v>
      </c>
      <c r="E7460" s="6">
        <v>35.340000000000003</v>
      </c>
    </row>
    <row r="7461" spans="4:5" x14ac:dyDescent="0.25">
      <c r="D7461" s="4">
        <v>42360</v>
      </c>
      <c r="E7461" s="6">
        <v>35.26</v>
      </c>
    </row>
    <row r="7462" spans="4:5" x14ac:dyDescent="0.25">
      <c r="D7462" s="4">
        <v>42361</v>
      </c>
      <c r="E7462" s="6">
        <v>35.79</v>
      </c>
    </row>
    <row r="7463" spans="4:5" x14ac:dyDescent="0.25">
      <c r="D7463" s="4">
        <v>42362</v>
      </c>
      <c r="E7463" s="6">
        <v>37.22</v>
      </c>
    </row>
    <row r="7464" spans="4:5" x14ac:dyDescent="0.25">
      <c r="D7464" s="4">
        <v>42363</v>
      </c>
      <c r="E7464" s="5"/>
    </row>
    <row r="7465" spans="4:5" x14ac:dyDescent="0.25">
      <c r="D7465" s="4">
        <v>42366</v>
      </c>
      <c r="E7465" s="6">
        <v>37.08</v>
      </c>
    </row>
    <row r="7466" spans="4:5" x14ac:dyDescent="0.25">
      <c r="D7466" s="4">
        <v>42367</v>
      </c>
      <c r="E7466" s="6">
        <v>36.85</v>
      </c>
    </row>
    <row r="7467" spans="4:5" x14ac:dyDescent="0.25">
      <c r="D7467" s="4">
        <v>42368</v>
      </c>
      <c r="E7467" s="6">
        <v>35.65</v>
      </c>
    </row>
    <row r="7468" spans="4:5" x14ac:dyDescent="0.25">
      <c r="D7468" s="4">
        <v>42369</v>
      </c>
      <c r="E7468" s="6">
        <v>36.61</v>
      </c>
    </row>
    <row r="7469" spans="4:5" x14ac:dyDescent="0.25">
      <c r="D7469" s="4">
        <v>42370</v>
      </c>
      <c r="E7469" s="5"/>
    </row>
    <row r="7470" spans="4:5" x14ac:dyDescent="0.25">
      <c r="D7470" s="4">
        <v>42373</v>
      </c>
      <c r="E7470" s="6">
        <v>36.28</v>
      </c>
    </row>
    <row r="7471" spans="4:5" x14ac:dyDescent="0.25">
      <c r="D7471" s="4">
        <v>42374</v>
      </c>
      <c r="E7471" s="6">
        <v>35.56</v>
      </c>
    </row>
    <row r="7472" spans="4:5" x14ac:dyDescent="0.25">
      <c r="D7472" s="4">
        <v>42375</v>
      </c>
      <c r="E7472" s="6">
        <v>33.89</v>
      </c>
    </row>
    <row r="7473" spans="4:5" x14ac:dyDescent="0.25">
      <c r="D7473" s="4">
        <v>42376</v>
      </c>
      <c r="E7473" s="6">
        <v>33.57</v>
      </c>
    </row>
    <row r="7474" spans="4:5" x14ac:dyDescent="0.25">
      <c r="D7474" s="4">
        <v>42377</v>
      </c>
      <c r="E7474" s="6">
        <v>31.67</v>
      </c>
    </row>
    <row r="7475" spans="4:5" x14ac:dyDescent="0.25">
      <c r="D7475" s="4">
        <v>42380</v>
      </c>
      <c r="E7475" s="6">
        <v>30.14</v>
      </c>
    </row>
    <row r="7476" spans="4:5" x14ac:dyDescent="0.25">
      <c r="D7476" s="4">
        <v>42381</v>
      </c>
      <c r="E7476" s="6">
        <v>29.14</v>
      </c>
    </row>
    <row r="7477" spans="4:5" x14ac:dyDescent="0.25">
      <c r="D7477" s="4">
        <v>42382</v>
      </c>
      <c r="E7477" s="6">
        <v>28.58</v>
      </c>
    </row>
    <row r="7478" spans="4:5" x14ac:dyDescent="0.25">
      <c r="D7478" s="4">
        <v>42383</v>
      </c>
      <c r="E7478" s="6">
        <v>28.84</v>
      </c>
    </row>
    <row r="7479" spans="4:5" x14ac:dyDescent="0.25">
      <c r="D7479" s="4">
        <v>42384</v>
      </c>
      <c r="E7479" s="6">
        <v>28.8</v>
      </c>
    </row>
    <row r="7480" spans="4:5" x14ac:dyDescent="0.25">
      <c r="D7480" s="4">
        <v>42387</v>
      </c>
      <c r="E7480" s="6">
        <v>27.36</v>
      </c>
    </row>
    <row r="7481" spans="4:5" x14ac:dyDescent="0.25">
      <c r="D7481" s="4">
        <v>42388</v>
      </c>
      <c r="E7481" s="6">
        <v>27.36</v>
      </c>
    </row>
    <row r="7482" spans="4:5" x14ac:dyDescent="0.25">
      <c r="D7482" s="4">
        <v>42389</v>
      </c>
      <c r="E7482" s="6">
        <v>26.01</v>
      </c>
    </row>
    <row r="7483" spans="4:5" x14ac:dyDescent="0.25">
      <c r="D7483" s="4">
        <v>42390</v>
      </c>
      <c r="E7483" s="6">
        <v>27.59</v>
      </c>
    </row>
    <row r="7484" spans="4:5" x14ac:dyDescent="0.25">
      <c r="D7484" s="4">
        <v>42391</v>
      </c>
      <c r="E7484" s="6">
        <v>30.46</v>
      </c>
    </row>
    <row r="7485" spans="4:5" x14ac:dyDescent="0.25">
      <c r="D7485" s="4">
        <v>42394</v>
      </c>
      <c r="E7485" s="6">
        <v>29.82</v>
      </c>
    </row>
    <row r="7486" spans="4:5" x14ac:dyDescent="0.25">
      <c r="D7486" s="4">
        <v>42395</v>
      </c>
      <c r="E7486" s="6">
        <v>30.94</v>
      </c>
    </row>
    <row r="7487" spans="4:5" x14ac:dyDescent="0.25">
      <c r="D7487" s="4">
        <v>42396</v>
      </c>
      <c r="E7487" s="6">
        <v>31.83</v>
      </c>
    </row>
    <row r="7488" spans="4:5" x14ac:dyDescent="0.25">
      <c r="D7488" s="4">
        <v>42397</v>
      </c>
      <c r="E7488" s="6">
        <v>33.01</v>
      </c>
    </row>
    <row r="7489" spans="4:5" x14ac:dyDescent="0.25">
      <c r="D7489" s="4">
        <v>42398</v>
      </c>
      <c r="E7489" s="6">
        <v>33.14</v>
      </c>
    </row>
    <row r="7490" spans="4:5" x14ac:dyDescent="0.25">
      <c r="D7490" s="4">
        <v>42401</v>
      </c>
      <c r="E7490" s="6">
        <v>32.450000000000003</v>
      </c>
    </row>
    <row r="7491" spans="4:5" x14ac:dyDescent="0.25">
      <c r="D7491" s="4">
        <v>42402</v>
      </c>
      <c r="E7491" s="6">
        <v>30.98</v>
      </c>
    </row>
    <row r="7492" spans="4:5" x14ac:dyDescent="0.25">
      <c r="D7492" s="4">
        <v>42403</v>
      </c>
      <c r="E7492" s="6">
        <v>32.380000000000003</v>
      </c>
    </row>
    <row r="7493" spans="4:5" x14ac:dyDescent="0.25">
      <c r="D7493" s="4">
        <v>42404</v>
      </c>
      <c r="E7493" s="6">
        <v>32.76</v>
      </c>
    </row>
    <row r="7494" spans="4:5" x14ac:dyDescent="0.25">
      <c r="D7494" s="4">
        <v>42405</v>
      </c>
      <c r="E7494" s="6">
        <v>32.35</v>
      </c>
    </row>
    <row r="7495" spans="4:5" x14ac:dyDescent="0.25">
      <c r="D7495" s="4">
        <v>42408</v>
      </c>
      <c r="E7495" s="6">
        <v>31.64</v>
      </c>
    </row>
    <row r="7496" spans="4:5" x14ac:dyDescent="0.25">
      <c r="D7496" s="4">
        <v>42409</v>
      </c>
      <c r="E7496" s="6">
        <v>30.15</v>
      </c>
    </row>
    <row r="7497" spans="4:5" x14ac:dyDescent="0.25">
      <c r="D7497" s="4">
        <v>42410</v>
      </c>
      <c r="E7497" s="6">
        <v>29.64</v>
      </c>
    </row>
    <row r="7498" spans="4:5" x14ac:dyDescent="0.25">
      <c r="D7498" s="4">
        <v>42411</v>
      </c>
      <c r="E7498" s="6">
        <v>28.82</v>
      </c>
    </row>
    <row r="7499" spans="4:5" x14ac:dyDescent="0.25">
      <c r="D7499" s="4">
        <v>42412</v>
      </c>
      <c r="E7499" s="6">
        <v>31.8</v>
      </c>
    </row>
    <row r="7500" spans="4:5" x14ac:dyDescent="0.25">
      <c r="D7500" s="4">
        <v>42415</v>
      </c>
      <c r="E7500" s="5"/>
    </row>
    <row r="7501" spans="4:5" x14ac:dyDescent="0.25">
      <c r="D7501" s="4">
        <v>42416</v>
      </c>
      <c r="E7501" s="6">
        <v>31.09</v>
      </c>
    </row>
    <row r="7502" spans="4:5" x14ac:dyDescent="0.25">
      <c r="D7502" s="4">
        <v>42417</v>
      </c>
      <c r="E7502" s="6">
        <v>33.21</v>
      </c>
    </row>
    <row r="7503" spans="4:5" x14ac:dyDescent="0.25">
      <c r="D7503" s="4">
        <v>42418</v>
      </c>
      <c r="E7503" s="6">
        <v>33.200000000000003</v>
      </c>
    </row>
    <row r="7504" spans="4:5" x14ac:dyDescent="0.25">
      <c r="D7504" s="4">
        <v>42419</v>
      </c>
      <c r="E7504" s="6">
        <v>31.66</v>
      </c>
    </row>
    <row r="7505" spans="4:5" x14ac:dyDescent="0.25">
      <c r="D7505" s="4">
        <v>42422</v>
      </c>
      <c r="E7505" s="6">
        <v>33.590000000000003</v>
      </c>
    </row>
    <row r="7506" spans="4:5" x14ac:dyDescent="0.25">
      <c r="D7506" s="4">
        <v>42423</v>
      </c>
      <c r="E7506" s="6">
        <v>31.9</v>
      </c>
    </row>
    <row r="7507" spans="4:5" x14ac:dyDescent="0.25">
      <c r="D7507" s="4">
        <v>42424</v>
      </c>
      <c r="E7507" s="6">
        <v>31.5</v>
      </c>
    </row>
    <row r="7508" spans="4:5" x14ac:dyDescent="0.25">
      <c r="D7508" s="4">
        <v>42425</v>
      </c>
      <c r="E7508" s="6">
        <v>32.83</v>
      </c>
    </row>
    <row r="7509" spans="4:5" x14ac:dyDescent="0.25">
      <c r="D7509" s="4">
        <v>42426</v>
      </c>
      <c r="E7509" s="6">
        <v>35.76</v>
      </c>
    </row>
    <row r="7510" spans="4:5" x14ac:dyDescent="0.25">
      <c r="D7510" s="4">
        <v>42429</v>
      </c>
      <c r="E7510" s="6">
        <v>35.92</v>
      </c>
    </row>
    <row r="7511" spans="4:5" x14ac:dyDescent="0.25">
      <c r="D7511" s="4">
        <v>42430</v>
      </c>
      <c r="E7511" s="6">
        <v>35.729999999999997</v>
      </c>
    </row>
    <row r="7512" spans="4:5" x14ac:dyDescent="0.25">
      <c r="D7512" s="4">
        <v>42431</v>
      </c>
      <c r="E7512" s="6">
        <v>36.380000000000003</v>
      </c>
    </row>
    <row r="7513" spans="4:5" x14ac:dyDescent="0.25">
      <c r="D7513" s="4">
        <v>42432</v>
      </c>
      <c r="E7513" s="6">
        <v>35.75</v>
      </c>
    </row>
    <row r="7514" spans="4:5" x14ac:dyDescent="0.25">
      <c r="D7514" s="4">
        <v>42433</v>
      </c>
      <c r="E7514" s="6">
        <v>37.61</v>
      </c>
    </row>
    <row r="7515" spans="4:5" x14ac:dyDescent="0.25">
      <c r="D7515" s="4">
        <v>42436</v>
      </c>
      <c r="E7515" s="6">
        <v>39.020000000000003</v>
      </c>
    </row>
    <row r="7516" spans="4:5" x14ac:dyDescent="0.25">
      <c r="D7516" s="4">
        <v>42437</v>
      </c>
      <c r="E7516" s="6">
        <v>39.159999999999997</v>
      </c>
    </row>
    <row r="7517" spans="4:5" x14ac:dyDescent="0.25">
      <c r="D7517" s="4">
        <v>42438</v>
      </c>
      <c r="E7517" s="6">
        <v>40.26</v>
      </c>
    </row>
    <row r="7518" spans="4:5" x14ac:dyDescent="0.25">
      <c r="D7518" s="4">
        <v>42439</v>
      </c>
      <c r="E7518" s="6">
        <v>38.630000000000003</v>
      </c>
    </row>
    <row r="7519" spans="4:5" x14ac:dyDescent="0.25">
      <c r="D7519" s="4">
        <v>42440</v>
      </c>
      <c r="E7519" s="6">
        <v>39.409999999999997</v>
      </c>
    </row>
    <row r="7520" spans="4:5" x14ac:dyDescent="0.25">
      <c r="D7520" s="4">
        <v>42443</v>
      </c>
      <c r="E7520" s="6">
        <v>38.06</v>
      </c>
    </row>
    <row r="7521" spans="4:5" x14ac:dyDescent="0.25">
      <c r="D7521" s="4">
        <v>42444</v>
      </c>
      <c r="E7521" s="6">
        <v>37.49</v>
      </c>
    </row>
    <row r="7522" spans="4:5" x14ac:dyDescent="0.25">
      <c r="D7522" s="4">
        <v>42445</v>
      </c>
      <c r="E7522" s="6">
        <v>38.380000000000003</v>
      </c>
    </row>
    <row r="7523" spans="4:5" x14ac:dyDescent="0.25">
      <c r="D7523" s="4">
        <v>42446</v>
      </c>
      <c r="E7523" s="6">
        <v>39.29</v>
      </c>
    </row>
    <row r="7524" spans="4:5" x14ac:dyDescent="0.25">
      <c r="D7524" s="4">
        <v>42447</v>
      </c>
      <c r="E7524" s="6">
        <v>39.26</v>
      </c>
    </row>
    <row r="7525" spans="4:5" x14ac:dyDescent="0.25">
      <c r="D7525" s="4">
        <v>42450</v>
      </c>
      <c r="E7525" s="6">
        <v>39.909999999999997</v>
      </c>
    </row>
    <row r="7526" spans="4:5" x14ac:dyDescent="0.25">
      <c r="D7526" s="4">
        <v>42451</v>
      </c>
      <c r="E7526" s="6">
        <v>40.54</v>
      </c>
    </row>
    <row r="7527" spans="4:5" x14ac:dyDescent="0.25">
      <c r="D7527" s="4">
        <v>42452</v>
      </c>
      <c r="E7527" s="6">
        <v>38.840000000000003</v>
      </c>
    </row>
    <row r="7528" spans="4:5" x14ac:dyDescent="0.25">
      <c r="D7528" s="4">
        <v>42453</v>
      </c>
      <c r="E7528" s="6">
        <v>38.33</v>
      </c>
    </row>
    <row r="7529" spans="4:5" x14ac:dyDescent="0.25">
      <c r="D7529" s="4">
        <v>42454</v>
      </c>
      <c r="E7529" s="5"/>
    </row>
    <row r="7530" spans="4:5" x14ac:dyDescent="0.25">
      <c r="D7530" s="4">
        <v>42457</v>
      </c>
      <c r="E7530" s="6">
        <v>38.33</v>
      </c>
    </row>
    <row r="7531" spans="4:5" x14ac:dyDescent="0.25">
      <c r="D7531" s="4">
        <v>42458</v>
      </c>
      <c r="E7531" s="6">
        <v>36.75</v>
      </c>
    </row>
    <row r="7532" spans="4:5" x14ac:dyDescent="0.25">
      <c r="D7532" s="4">
        <v>42459</v>
      </c>
      <c r="E7532" s="6">
        <v>36.75</v>
      </c>
    </row>
    <row r="7533" spans="4:5" x14ac:dyDescent="0.25">
      <c r="D7533" s="4">
        <v>42460</v>
      </c>
      <c r="E7533" s="6">
        <v>36.75</v>
      </c>
    </row>
    <row r="7534" spans="4:5" x14ac:dyDescent="0.25">
      <c r="D7534" s="4">
        <v>42461</v>
      </c>
      <c r="E7534" s="6">
        <v>36.42</v>
      </c>
    </row>
    <row r="7535" spans="4:5" x14ac:dyDescent="0.25">
      <c r="D7535" s="4">
        <v>42464</v>
      </c>
      <c r="E7535" s="6">
        <v>36.049999999999997</v>
      </c>
    </row>
    <row r="7536" spans="4:5" x14ac:dyDescent="0.25">
      <c r="D7536" s="4">
        <v>42465</v>
      </c>
      <c r="E7536" s="6">
        <v>35.880000000000003</v>
      </c>
    </row>
    <row r="7537" spans="4:5" x14ac:dyDescent="0.25">
      <c r="D7537" s="4">
        <v>42466</v>
      </c>
      <c r="E7537" s="6">
        <v>37.770000000000003</v>
      </c>
    </row>
    <row r="7538" spans="4:5" x14ac:dyDescent="0.25">
      <c r="D7538" s="4">
        <v>42467</v>
      </c>
      <c r="E7538" s="6">
        <v>37.15</v>
      </c>
    </row>
    <row r="7539" spans="4:5" x14ac:dyDescent="0.25">
      <c r="D7539" s="4">
        <v>42468</v>
      </c>
      <c r="E7539" s="6">
        <v>40.71</v>
      </c>
    </row>
    <row r="7540" spans="4:5" x14ac:dyDescent="0.25">
      <c r="D7540" s="4">
        <v>42471</v>
      </c>
      <c r="E7540" s="6">
        <v>41.58</v>
      </c>
    </row>
    <row r="7541" spans="4:5" x14ac:dyDescent="0.25">
      <c r="D7541" s="4">
        <v>42472</v>
      </c>
      <c r="E7541" s="6">
        <v>43.02</v>
      </c>
    </row>
    <row r="7542" spans="4:5" x14ac:dyDescent="0.25">
      <c r="D7542" s="4">
        <v>42473</v>
      </c>
      <c r="E7542" s="6">
        <v>42.81</v>
      </c>
    </row>
    <row r="7543" spans="4:5" x14ac:dyDescent="0.25">
      <c r="D7543" s="4">
        <v>42474</v>
      </c>
      <c r="E7543" s="6">
        <v>43.02</v>
      </c>
    </row>
    <row r="7544" spans="4:5" x14ac:dyDescent="0.25">
      <c r="D7544" s="4">
        <v>42475</v>
      </c>
      <c r="E7544" s="6">
        <v>41.32</v>
      </c>
    </row>
    <row r="7545" spans="4:5" x14ac:dyDescent="0.25">
      <c r="D7545" s="4">
        <v>42478</v>
      </c>
      <c r="E7545" s="6">
        <v>41.64</v>
      </c>
    </row>
    <row r="7546" spans="4:5" x14ac:dyDescent="0.25">
      <c r="D7546" s="4">
        <v>42479</v>
      </c>
      <c r="E7546" s="6">
        <v>43.02</v>
      </c>
    </row>
    <row r="7547" spans="4:5" x14ac:dyDescent="0.25">
      <c r="D7547" s="4">
        <v>42480</v>
      </c>
      <c r="E7547" s="6">
        <v>43.09</v>
      </c>
    </row>
    <row r="7548" spans="4:5" x14ac:dyDescent="0.25">
      <c r="D7548" s="4">
        <v>42481</v>
      </c>
      <c r="E7548" s="6">
        <v>43.48</v>
      </c>
    </row>
    <row r="7549" spans="4:5" x14ac:dyDescent="0.25">
      <c r="D7549" s="4">
        <v>42482</v>
      </c>
      <c r="E7549" s="6">
        <v>43.97</v>
      </c>
    </row>
    <row r="7550" spans="4:5" x14ac:dyDescent="0.25">
      <c r="D7550" s="4">
        <v>42485</v>
      </c>
      <c r="E7550" s="6">
        <v>42.97</v>
      </c>
    </row>
    <row r="7551" spans="4:5" x14ac:dyDescent="0.25">
      <c r="D7551" s="4">
        <v>42486</v>
      </c>
      <c r="E7551" s="6">
        <v>43.94</v>
      </c>
    </row>
    <row r="7552" spans="4:5" x14ac:dyDescent="0.25">
      <c r="D7552" s="4">
        <v>42487</v>
      </c>
      <c r="E7552" s="6">
        <v>44.17</v>
      </c>
    </row>
    <row r="7553" spans="4:5" x14ac:dyDescent="0.25">
      <c r="D7553" s="4">
        <v>42488</v>
      </c>
      <c r="E7553" s="6">
        <v>45.6</v>
      </c>
    </row>
    <row r="7554" spans="4:5" x14ac:dyDescent="0.25">
      <c r="D7554" s="4">
        <v>42489</v>
      </c>
      <c r="E7554" s="6">
        <v>45.64</v>
      </c>
    </row>
    <row r="7555" spans="4:5" x14ac:dyDescent="0.25">
      <c r="D7555" s="4">
        <v>42492</v>
      </c>
      <c r="E7555" s="6">
        <v>45.82</v>
      </c>
    </row>
    <row r="7556" spans="4:5" x14ac:dyDescent="0.25">
      <c r="D7556" s="4">
        <v>42493</v>
      </c>
      <c r="E7556" s="6">
        <v>43.09</v>
      </c>
    </row>
    <row r="7557" spans="4:5" x14ac:dyDescent="0.25">
      <c r="D7557" s="4">
        <v>42494</v>
      </c>
      <c r="E7557" s="6">
        <v>43.08</v>
      </c>
    </row>
    <row r="7558" spans="4:5" x14ac:dyDescent="0.25">
      <c r="D7558" s="4">
        <v>42495</v>
      </c>
      <c r="E7558" s="6">
        <v>44.39</v>
      </c>
    </row>
    <row r="7559" spans="4:5" x14ac:dyDescent="0.25">
      <c r="D7559" s="4">
        <v>42496</v>
      </c>
      <c r="E7559" s="6">
        <v>44.6</v>
      </c>
    </row>
    <row r="7560" spans="4:5" x14ac:dyDescent="0.25">
      <c r="D7560" s="4">
        <v>42499</v>
      </c>
      <c r="E7560" s="6">
        <v>42.43</v>
      </c>
    </row>
    <row r="7561" spans="4:5" x14ac:dyDescent="0.25">
      <c r="D7561" s="4">
        <v>42500</v>
      </c>
      <c r="E7561" s="6">
        <v>44.01</v>
      </c>
    </row>
    <row r="7562" spans="4:5" x14ac:dyDescent="0.25">
      <c r="D7562" s="4">
        <v>42501</v>
      </c>
      <c r="E7562" s="6">
        <v>46.08</v>
      </c>
    </row>
    <row r="7563" spans="4:5" x14ac:dyDescent="0.25">
      <c r="D7563" s="4">
        <v>42502</v>
      </c>
      <c r="E7563" s="6">
        <v>46.43</v>
      </c>
    </row>
    <row r="7564" spans="4:5" x14ac:dyDescent="0.25">
      <c r="D7564" s="4">
        <v>42503</v>
      </c>
      <c r="E7564" s="6">
        <v>47.05</v>
      </c>
    </row>
    <row r="7565" spans="4:5" x14ac:dyDescent="0.25">
      <c r="D7565" s="4">
        <v>42506</v>
      </c>
      <c r="E7565" s="6">
        <v>48.49</v>
      </c>
    </row>
    <row r="7566" spans="4:5" x14ac:dyDescent="0.25">
      <c r="D7566" s="4">
        <v>42507</v>
      </c>
      <c r="E7566" s="6">
        <v>48.71</v>
      </c>
    </row>
    <row r="7567" spans="4:5" x14ac:dyDescent="0.25">
      <c r="D7567" s="4">
        <v>42508</v>
      </c>
      <c r="E7567" s="6">
        <v>48.93</v>
      </c>
    </row>
    <row r="7568" spans="4:5" x14ac:dyDescent="0.25">
      <c r="D7568" s="4">
        <v>42509</v>
      </c>
      <c r="E7568" s="6">
        <v>47.01</v>
      </c>
    </row>
    <row r="7569" spans="4:5" x14ac:dyDescent="0.25">
      <c r="D7569" s="4">
        <v>42510</v>
      </c>
      <c r="E7569" s="6">
        <v>48.54</v>
      </c>
    </row>
    <row r="7570" spans="4:5" x14ac:dyDescent="0.25">
      <c r="D7570" s="4">
        <v>42513</v>
      </c>
      <c r="E7570" s="6">
        <v>47.77</v>
      </c>
    </row>
    <row r="7571" spans="4:5" x14ac:dyDescent="0.25">
      <c r="D7571" s="4">
        <v>42514</v>
      </c>
      <c r="E7571" s="6">
        <v>48.42</v>
      </c>
    </row>
    <row r="7572" spans="4:5" x14ac:dyDescent="0.25">
      <c r="D7572" s="4">
        <v>42515</v>
      </c>
      <c r="E7572" s="6">
        <v>48.87</v>
      </c>
    </row>
    <row r="7573" spans="4:5" x14ac:dyDescent="0.25">
      <c r="D7573" s="4">
        <v>42516</v>
      </c>
      <c r="E7573" s="6">
        <v>49.52</v>
      </c>
    </row>
    <row r="7574" spans="4:5" x14ac:dyDescent="0.25">
      <c r="D7574" s="4">
        <v>42517</v>
      </c>
      <c r="E7574" s="6">
        <v>49.09</v>
      </c>
    </row>
    <row r="7575" spans="4:5" x14ac:dyDescent="0.25">
      <c r="D7575" s="4">
        <v>42520</v>
      </c>
      <c r="E7575" s="5"/>
    </row>
    <row r="7576" spans="4:5" x14ac:dyDescent="0.25">
      <c r="D7576" s="4">
        <v>42521</v>
      </c>
      <c r="E7576" s="6">
        <v>49.26</v>
      </c>
    </row>
    <row r="7577" spans="4:5" x14ac:dyDescent="0.25">
      <c r="D7577" s="4">
        <v>42522</v>
      </c>
      <c r="E7577" s="6">
        <v>48.81</v>
      </c>
    </row>
    <row r="7578" spans="4:5" x14ac:dyDescent="0.25">
      <c r="D7578" s="4">
        <v>42523</v>
      </c>
      <c r="E7578" s="6">
        <v>49.05</v>
      </c>
    </row>
    <row r="7579" spans="4:5" x14ac:dyDescent="0.25">
      <c r="D7579" s="4">
        <v>42524</v>
      </c>
      <c r="E7579" s="6">
        <v>48.5</v>
      </c>
    </row>
    <row r="7580" spans="4:5" x14ac:dyDescent="0.25">
      <c r="D7580" s="4">
        <v>42527</v>
      </c>
      <c r="E7580" s="6">
        <v>48.94</v>
      </c>
    </row>
    <row r="7581" spans="4:5" x14ac:dyDescent="0.25">
      <c r="D7581" s="4">
        <v>42528</v>
      </c>
      <c r="E7581" s="6">
        <v>49.76</v>
      </c>
    </row>
    <row r="7582" spans="4:5" x14ac:dyDescent="0.25">
      <c r="D7582" s="4">
        <v>42529</v>
      </c>
      <c r="E7582" s="6">
        <v>50.73</v>
      </c>
    </row>
    <row r="7583" spans="4:5" x14ac:dyDescent="0.25">
      <c r="D7583" s="4">
        <v>42530</v>
      </c>
      <c r="E7583" s="6">
        <v>50.59</v>
      </c>
    </row>
    <row r="7584" spans="4:5" x14ac:dyDescent="0.25">
      <c r="D7584" s="4">
        <v>42531</v>
      </c>
      <c r="E7584" s="6">
        <v>49.7</v>
      </c>
    </row>
    <row r="7585" spans="4:5" x14ac:dyDescent="0.25">
      <c r="D7585" s="4">
        <v>42534</v>
      </c>
      <c r="E7585" s="6">
        <v>49.36</v>
      </c>
    </row>
    <row r="7586" spans="4:5" x14ac:dyDescent="0.25">
      <c r="D7586" s="4">
        <v>42535</v>
      </c>
      <c r="E7586" s="6">
        <v>47.88</v>
      </c>
    </row>
    <row r="7587" spans="4:5" x14ac:dyDescent="0.25">
      <c r="D7587" s="4">
        <v>42536</v>
      </c>
      <c r="E7587" s="6">
        <v>47.47</v>
      </c>
    </row>
    <row r="7588" spans="4:5" x14ac:dyDescent="0.25">
      <c r="D7588" s="4">
        <v>42537</v>
      </c>
      <c r="E7588" s="6">
        <v>45.66</v>
      </c>
    </row>
    <row r="7589" spans="4:5" x14ac:dyDescent="0.25">
      <c r="D7589" s="4">
        <v>42538</v>
      </c>
      <c r="E7589" s="6">
        <v>46.57</v>
      </c>
    </row>
    <row r="7590" spans="4:5" x14ac:dyDescent="0.25">
      <c r="D7590" s="4">
        <v>42541</v>
      </c>
      <c r="E7590" s="6">
        <v>48.68</v>
      </c>
    </row>
    <row r="7591" spans="4:5" x14ac:dyDescent="0.25">
      <c r="D7591" s="4">
        <v>42542</v>
      </c>
      <c r="E7591" s="6">
        <v>48.18</v>
      </c>
    </row>
    <row r="7592" spans="4:5" x14ac:dyDescent="0.25">
      <c r="D7592" s="4">
        <v>42543</v>
      </c>
      <c r="E7592" s="6">
        <v>48.43</v>
      </c>
    </row>
    <row r="7593" spans="4:5" x14ac:dyDescent="0.25">
      <c r="D7593" s="4">
        <v>42544</v>
      </c>
      <c r="E7593" s="6">
        <v>48.63</v>
      </c>
    </row>
    <row r="7594" spans="4:5" x14ac:dyDescent="0.25">
      <c r="D7594" s="4">
        <v>42545</v>
      </c>
      <c r="E7594" s="6">
        <v>46.69</v>
      </c>
    </row>
    <row r="7595" spans="4:5" x14ac:dyDescent="0.25">
      <c r="D7595" s="4">
        <v>42548</v>
      </c>
      <c r="E7595" s="6">
        <v>45.07</v>
      </c>
    </row>
    <row r="7596" spans="4:5" x14ac:dyDescent="0.25">
      <c r="D7596" s="4">
        <v>42549</v>
      </c>
      <c r="E7596" s="6">
        <v>46.29</v>
      </c>
    </row>
    <row r="7597" spans="4:5" x14ac:dyDescent="0.25">
      <c r="D7597" s="4">
        <v>42550</v>
      </c>
      <c r="E7597" s="6">
        <v>48.4</v>
      </c>
    </row>
    <row r="7598" spans="4:5" x14ac:dyDescent="0.25">
      <c r="D7598" s="4">
        <v>42551</v>
      </c>
      <c r="E7598" s="6">
        <v>48.05</v>
      </c>
    </row>
    <row r="7599" spans="4:5" x14ac:dyDescent="0.25">
      <c r="D7599" s="4">
        <v>42552</v>
      </c>
      <c r="E7599" s="6">
        <v>47.65</v>
      </c>
    </row>
    <row r="7600" spans="4:5" x14ac:dyDescent="0.25">
      <c r="D7600" s="4">
        <v>42555</v>
      </c>
      <c r="E7600" s="6">
        <v>48.02</v>
      </c>
    </row>
    <row r="7601" spans="4:5" x14ac:dyDescent="0.25">
      <c r="D7601" s="4">
        <v>42556</v>
      </c>
      <c r="E7601" s="6">
        <v>45.64</v>
      </c>
    </row>
    <row r="7602" spans="4:5" x14ac:dyDescent="0.25">
      <c r="D7602" s="4">
        <v>42557</v>
      </c>
      <c r="E7602" s="6">
        <v>45.7</v>
      </c>
    </row>
    <row r="7603" spans="4:5" x14ac:dyDescent="0.25">
      <c r="D7603" s="4">
        <v>42558</v>
      </c>
      <c r="E7603" s="6">
        <v>45.93</v>
      </c>
    </row>
    <row r="7604" spans="4:5" x14ac:dyDescent="0.25">
      <c r="D7604" s="4">
        <v>42559</v>
      </c>
      <c r="E7604" s="6">
        <v>44.53</v>
      </c>
    </row>
    <row r="7605" spans="4:5" x14ac:dyDescent="0.25">
      <c r="D7605" s="4">
        <v>42562</v>
      </c>
      <c r="E7605" s="6">
        <v>44.04</v>
      </c>
    </row>
    <row r="7606" spans="4:5" x14ac:dyDescent="0.25">
      <c r="D7606" s="4">
        <v>42563</v>
      </c>
      <c r="E7606" s="6">
        <v>46.72</v>
      </c>
    </row>
    <row r="7607" spans="4:5" x14ac:dyDescent="0.25">
      <c r="D7607" s="4">
        <v>42564</v>
      </c>
      <c r="E7607" s="6">
        <v>44.67</v>
      </c>
    </row>
    <row r="7608" spans="4:5" x14ac:dyDescent="0.25">
      <c r="D7608" s="4">
        <v>42565</v>
      </c>
      <c r="E7608" s="6">
        <v>46.01</v>
      </c>
    </row>
    <row r="7609" spans="4:5" x14ac:dyDescent="0.25">
      <c r="D7609" s="4">
        <v>42566</v>
      </c>
      <c r="E7609" s="6">
        <v>46.25</v>
      </c>
    </row>
    <row r="7610" spans="4:5" x14ac:dyDescent="0.25">
      <c r="D7610" s="4">
        <v>42569</v>
      </c>
      <c r="E7610" s="6">
        <v>45.35</v>
      </c>
    </row>
    <row r="7611" spans="4:5" x14ac:dyDescent="0.25">
      <c r="D7611" s="4">
        <v>42570</v>
      </c>
      <c r="E7611" s="6">
        <v>45.7</v>
      </c>
    </row>
    <row r="7612" spans="4:5" x14ac:dyDescent="0.25">
      <c r="D7612" s="4">
        <v>42571</v>
      </c>
      <c r="E7612" s="6">
        <v>45.82</v>
      </c>
    </row>
    <row r="7613" spans="4:5" x14ac:dyDescent="0.25">
      <c r="D7613" s="4">
        <v>42572</v>
      </c>
      <c r="E7613" s="6">
        <v>44.99</v>
      </c>
    </row>
    <row r="7614" spans="4:5" x14ac:dyDescent="0.25">
      <c r="D7614" s="4">
        <v>42573</v>
      </c>
      <c r="E7614" s="6">
        <v>44.24</v>
      </c>
    </row>
    <row r="7615" spans="4:5" x14ac:dyDescent="0.25">
      <c r="D7615" s="4">
        <v>42576</v>
      </c>
      <c r="E7615" s="6">
        <v>43.76</v>
      </c>
    </row>
    <row r="7616" spans="4:5" x14ac:dyDescent="0.25">
      <c r="D7616" s="4">
        <v>42577</v>
      </c>
      <c r="E7616" s="6">
        <v>43.56</v>
      </c>
    </row>
    <row r="7617" spans="4:5" x14ac:dyDescent="0.25">
      <c r="D7617" s="4">
        <v>42578</v>
      </c>
      <c r="E7617" s="6">
        <v>42.78</v>
      </c>
    </row>
    <row r="7618" spans="4:5" x14ac:dyDescent="0.25">
      <c r="D7618" s="4">
        <v>42579</v>
      </c>
      <c r="E7618" s="6">
        <v>41.87</v>
      </c>
    </row>
    <row r="7619" spans="4:5" x14ac:dyDescent="0.25">
      <c r="D7619" s="4">
        <v>42580</v>
      </c>
      <c r="E7619" s="6">
        <v>40.76</v>
      </c>
    </row>
    <row r="7620" spans="4:5" x14ac:dyDescent="0.25">
      <c r="D7620" s="4">
        <v>42583</v>
      </c>
      <c r="E7620" s="6">
        <v>40.17</v>
      </c>
    </row>
    <row r="7621" spans="4:5" x14ac:dyDescent="0.25">
      <c r="D7621" s="4">
        <v>42584</v>
      </c>
      <c r="E7621" s="6">
        <v>40</v>
      </c>
    </row>
    <row r="7622" spans="4:5" x14ac:dyDescent="0.25">
      <c r="D7622" s="4">
        <v>42585</v>
      </c>
      <c r="E7622" s="6">
        <v>40.450000000000003</v>
      </c>
    </row>
    <row r="7623" spans="4:5" x14ac:dyDescent="0.25">
      <c r="D7623" s="4">
        <v>42586</v>
      </c>
      <c r="E7623" s="6">
        <v>41.33</v>
      </c>
    </row>
    <row r="7624" spans="4:5" x14ac:dyDescent="0.25">
      <c r="D7624" s="4">
        <v>42587</v>
      </c>
      <c r="E7624" s="6">
        <v>42.47</v>
      </c>
    </row>
    <row r="7625" spans="4:5" x14ac:dyDescent="0.25">
      <c r="D7625" s="4">
        <v>42590</v>
      </c>
      <c r="E7625" s="6">
        <v>43.24</v>
      </c>
    </row>
    <row r="7626" spans="4:5" x14ac:dyDescent="0.25">
      <c r="D7626" s="4">
        <v>42591</v>
      </c>
      <c r="E7626" s="6">
        <v>43.37</v>
      </c>
    </row>
    <row r="7627" spans="4:5" x14ac:dyDescent="0.25">
      <c r="D7627" s="4">
        <v>42592</v>
      </c>
      <c r="E7627" s="6">
        <v>42.19</v>
      </c>
    </row>
    <row r="7628" spans="4:5" x14ac:dyDescent="0.25">
      <c r="D7628" s="4">
        <v>42593</v>
      </c>
      <c r="E7628" s="6">
        <v>44.23</v>
      </c>
    </row>
    <row r="7629" spans="4:5" x14ac:dyDescent="0.25">
      <c r="D7629" s="4">
        <v>42594</v>
      </c>
      <c r="E7629" s="6">
        <v>45.12</v>
      </c>
    </row>
    <row r="7630" spans="4:5" x14ac:dyDescent="0.25">
      <c r="D7630" s="4">
        <v>42597</v>
      </c>
      <c r="E7630" s="6">
        <v>47.31</v>
      </c>
    </row>
    <row r="7631" spans="4:5" x14ac:dyDescent="0.25">
      <c r="D7631" s="4">
        <v>42598</v>
      </c>
      <c r="E7631" s="6">
        <v>48.27</v>
      </c>
    </row>
    <row r="7632" spans="4:5" x14ac:dyDescent="0.25">
      <c r="D7632" s="4">
        <v>42599</v>
      </c>
      <c r="E7632" s="6">
        <v>48.58</v>
      </c>
    </row>
    <row r="7633" spans="4:5" x14ac:dyDescent="0.25">
      <c r="D7633" s="4">
        <v>42600</v>
      </c>
      <c r="E7633" s="6">
        <v>49.46</v>
      </c>
    </row>
    <row r="7634" spans="4:5" x14ac:dyDescent="0.25">
      <c r="D7634" s="4">
        <v>42601</v>
      </c>
      <c r="E7634" s="6">
        <v>49.39</v>
      </c>
    </row>
    <row r="7635" spans="4:5" x14ac:dyDescent="0.25">
      <c r="D7635" s="4">
        <v>42604</v>
      </c>
      <c r="E7635" s="6">
        <v>48.1</v>
      </c>
    </row>
    <row r="7636" spans="4:5" x14ac:dyDescent="0.25">
      <c r="D7636" s="4">
        <v>42605</v>
      </c>
      <c r="E7636" s="6">
        <v>48.7</v>
      </c>
    </row>
    <row r="7637" spans="4:5" x14ac:dyDescent="0.25">
      <c r="D7637" s="4">
        <v>42606</v>
      </c>
      <c r="E7637" s="6">
        <v>47.56</v>
      </c>
    </row>
    <row r="7638" spans="4:5" x14ac:dyDescent="0.25">
      <c r="D7638" s="4">
        <v>42607</v>
      </c>
      <c r="E7638" s="6">
        <v>49.25</v>
      </c>
    </row>
    <row r="7639" spans="4:5" x14ac:dyDescent="0.25">
      <c r="D7639" s="4">
        <v>42608</v>
      </c>
      <c r="E7639" s="6">
        <v>49.66</v>
      </c>
    </row>
    <row r="7640" spans="4:5" x14ac:dyDescent="0.25">
      <c r="D7640" s="4">
        <v>42611</v>
      </c>
      <c r="E7640" s="6">
        <v>49.66</v>
      </c>
    </row>
    <row r="7641" spans="4:5" x14ac:dyDescent="0.25">
      <c r="D7641" s="4">
        <v>42612</v>
      </c>
      <c r="E7641" s="6">
        <v>47.94</v>
      </c>
    </row>
    <row r="7642" spans="4:5" x14ac:dyDescent="0.25">
      <c r="D7642" s="4">
        <v>42613</v>
      </c>
      <c r="E7642" s="6">
        <v>47.94</v>
      </c>
    </row>
    <row r="7643" spans="4:5" x14ac:dyDescent="0.25">
      <c r="D7643" s="4">
        <v>42614</v>
      </c>
      <c r="E7643" s="6">
        <v>45.05</v>
      </c>
    </row>
    <row r="7644" spans="4:5" x14ac:dyDescent="0.25">
      <c r="D7644" s="4">
        <v>42615</v>
      </c>
      <c r="E7644" s="6">
        <v>45.96</v>
      </c>
    </row>
    <row r="7645" spans="4:5" x14ac:dyDescent="0.25">
      <c r="D7645" s="4">
        <v>42618</v>
      </c>
      <c r="E7645" s="6">
        <v>46.72</v>
      </c>
    </row>
    <row r="7646" spans="4:5" x14ac:dyDescent="0.25">
      <c r="D7646" s="4">
        <v>42619</v>
      </c>
      <c r="E7646" s="6">
        <v>46.21</v>
      </c>
    </row>
    <row r="7647" spans="4:5" x14ac:dyDescent="0.25">
      <c r="D7647" s="4">
        <v>42620</v>
      </c>
      <c r="E7647" s="6">
        <v>47</v>
      </c>
    </row>
    <row r="7648" spans="4:5" x14ac:dyDescent="0.25">
      <c r="D7648" s="4">
        <v>42621</v>
      </c>
      <c r="E7648" s="6">
        <v>49.23</v>
      </c>
    </row>
    <row r="7649" spans="4:5" x14ac:dyDescent="0.25">
      <c r="D7649" s="4">
        <v>42622</v>
      </c>
      <c r="E7649" s="6">
        <v>48.37</v>
      </c>
    </row>
    <row r="7650" spans="4:5" x14ac:dyDescent="0.25">
      <c r="D7650" s="4">
        <v>42625</v>
      </c>
      <c r="E7650" s="6">
        <v>47.82</v>
      </c>
    </row>
    <row r="7651" spans="4:5" x14ac:dyDescent="0.25">
      <c r="D7651" s="4">
        <v>42626</v>
      </c>
      <c r="E7651" s="6">
        <v>46.48</v>
      </c>
    </row>
    <row r="7652" spans="4:5" x14ac:dyDescent="0.25">
      <c r="D7652" s="4">
        <v>42627</v>
      </c>
      <c r="E7652" s="6">
        <v>45.65</v>
      </c>
    </row>
    <row r="7653" spans="4:5" x14ac:dyDescent="0.25">
      <c r="D7653" s="4">
        <v>42628</v>
      </c>
      <c r="E7653" s="6">
        <v>45.83</v>
      </c>
    </row>
    <row r="7654" spans="4:5" x14ac:dyDescent="0.25">
      <c r="D7654" s="4">
        <v>42629</v>
      </c>
      <c r="E7654" s="6">
        <v>45.26</v>
      </c>
    </row>
    <row r="7655" spans="4:5" x14ac:dyDescent="0.25">
      <c r="D7655" s="4">
        <v>42632</v>
      </c>
      <c r="E7655" s="6">
        <v>46.04</v>
      </c>
    </row>
    <row r="7656" spans="4:5" x14ac:dyDescent="0.25">
      <c r="D7656" s="4">
        <v>42633</v>
      </c>
      <c r="E7656" s="6">
        <v>45.24</v>
      </c>
    </row>
    <row r="7657" spans="4:5" x14ac:dyDescent="0.25">
      <c r="D7657" s="4">
        <v>42634</v>
      </c>
      <c r="E7657" s="6">
        <v>45.99</v>
      </c>
    </row>
    <row r="7658" spans="4:5" x14ac:dyDescent="0.25">
      <c r="D7658" s="4">
        <v>42635</v>
      </c>
      <c r="E7658" s="6">
        <v>47.21</v>
      </c>
    </row>
    <row r="7659" spans="4:5" x14ac:dyDescent="0.25">
      <c r="D7659" s="4">
        <v>42636</v>
      </c>
      <c r="E7659" s="6">
        <v>46.71</v>
      </c>
    </row>
    <row r="7660" spans="4:5" x14ac:dyDescent="0.25">
      <c r="D7660" s="4">
        <v>42639</v>
      </c>
      <c r="E7660" s="6">
        <v>46.61</v>
      </c>
    </row>
    <row r="7661" spans="4:5" x14ac:dyDescent="0.25">
      <c r="D7661" s="4">
        <v>42640</v>
      </c>
      <c r="E7661" s="6">
        <v>44.95</v>
      </c>
    </row>
    <row r="7662" spans="4:5" x14ac:dyDescent="0.25">
      <c r="D7662" s="4">
        <v>42641</v>
      </c>
      <c r="E7662" s="6">
        <v>45.49</v>
      </c>
    </row>
    <row r="7663" spans="4:5" x14ac:dyDescent="0.25">
      <c r="D7663" s="4">
        <v>42642</v>
      </c>
      <c r="E7663" s="6">
        <v>48.43</v>
      </c>
    </row>
    <row r="7664" spans="4:5" x14ac:dyDescent="0.25">
      <c r="D7664" s="4">
        <v>42643</v>
      </c>
      <c r="E7664" s="6">
        <v>48.24</v>
      </c>
    </row>
    <row r="7665" spans="4:5" x14ac:dyDescent="0.25">
      <c r="D7665" s="4">
        <v>42646</v>
      </c>
      <c r="E7665" s="6">
        <v>48.61</v>
      </c>
    </row>
    <row r="7666" spans="4:5" x14ac:dyDescent="0.25">
      <c r="D7666" s="4">
        <v>42647</v>
      </c>
      <c r="E7666" s="6">
        <v>48.81</v>
      </c>
    </row>
    <row r="7667" spans="4:5" x14ac:dyDescent="0.25">
      <c r="D7667" s="4">
        <v>42648</v>
      </c>
      <c r="E7667" s="6">
        <v>49.57</v>
      </c>
    </row>
    <row r="7668" spans="4:5" x14ac:dyDescent="0.25">
      <c r="D7668" s="4">
        <v>42649</v>
      </c>
      <c r="E7668" s="6">
        <v>50.14</v>
      </c>
    </row>
    <row r="7669" spans="4:5" x14ac:dyDescent="0.25">
      <c r="D7669" s="4">
        <v>42650</v>
      </c>
      <c r="E7669" s="6">
        <v>50.49</v>
      </c>
    </row>
    <row r="7670" spans="4:5" x14ac:dyDescent="0.25">
      <c r="D7670" s="4">
        <v>42653</v>
      </c>
      <c r="E7670" s="6">
        <v>51.54</v>
      </c>
    </row>
    <row r="7671" spans="4:5" x14ac:dyDescent="0.25">
      <c r="D7671" s="4">
        <v>42654</v>
      </c>
      <c r="E7671" s="6">
        <v>50.48</v>
      </c>
    </row>
    <row r="7672" spans="4:5" x14ac:dyDescent="0.25">
      <c r="D7672" s="4">
        <v>42655</v>
      </c>
      <c r="E7672" s="6">
        <v>49.53</v>
      </c>
    </row>
    <row r="7673" spans="4:5" x14ac:dyDescent="0.25">
      <c r="D7673" s="4">
        <v>42656</v>
      </c>
      <c r="E7673" s="6">
        <v>49.29</v>
      </c>
    </row>
    <row r="7674" spans="4:5" x14ac:dyDescent="0.25">
      <c r="D7674" s="4">
        <v>42657</v>
      </c>
      <c r="E7674" s="6">
        <v>48.87</v>
      </c>
    </row>
    <row r="7675" spans="4:5" x14ac:dyDescent="0.25">
      <c r="D7675" s="4">
        <v>42660</v>
      </c>
      <c r="E7675" s="6">
        <v>49.31</v>
      </c>
    </row>
    <row r="7676" spans="4:5" x14ac:dyDescent="0.25">
      <c r="D7676" s="4">
        <v>42661</v>
      </c>
      <c r="E7676" s="6">
        <v>49.81</v>
      </c>
    </row>
    <row r="7677" spans="4:5" x14ac:dyDescent="0.25">
      <c r="D7677" s="4">
        <v>42662</v>
      </c>
      <c r="E7677" s="6">
        <v>51.85</v>
      </c>
    </row>
    <row r="7678" spans="4:5" x14ac:dyDescent="0.25">
      <c r="D7678" s="4">
        <v>42663</v>
      </c>
      <c r="E7678" s="6">
        <v>50.42</v>
      </c>
    </row>
    <row r="7679" spans="4:5" x14ac:dyDescent="0.25">
      <c r="D7679" s="4">
        <v>42664</v>
      </c>
      <c r="E7679" s="6">
        <v>50.28</v>
      </c>
    </row>
    <row r="7680" spans="4:5" x14ac:dyDescent="0.25">
      <c r="D7680" s="4">
        <v>42667</v>
      </c>
      <c r="E7680" s="6">
        <v>49.8</v>
      </c>
    </row>
    <row r="7681" spans="4:5" x14ac:dyDescent="0.25">
      <c r="D7681" s="4">
        <v>42668</v>
      </c>
      <c r="E7681" s="6">
        <v>49.08</v>
      </c>
    </row>
    <row r="7682" spans="4:5" x14ac:dyDescent="0.25">
      <c r="D7682" s="4">
        <v>42669</v>
      </c>
      <c r="E7682" s="6">
        <v>48.98</v>
      </c>
    </row>
    <row r="7683" spans="4:5" x14ac:dyDescent="0.25">
      <c r="D7683" s="4">
        <v>42670</v>
      </c>
      <c r="E7683" s="6">
        <v>49.13</v>
      </c>
    </row>
    <row r="7684" spans="4:5" x14ac:dyDescent="0.25">
      <c r="D7684" s="4">
        <v>42671</v>
      </c>
      <c r="E7684" s="6">
        <v>47.78</v>
      </c>
    </row>
    <row r="7685" spans="4:5" x14ac:dyDescent="0.25">
      <c r="D7685" s="4">
        <v>42674</v>
      </c>
      <c r="E7685" s="6">
        <v>46.2</v>
      </c>
    </row>
    <row r="7686" spans="4:5" x14ac:dyDescent="0.25">
      <c r="D7686" s="4">
        <v>42675</v>
      </c>
      <c r="E7686" s="6">
        <v>45.77</v>
      </c>
    </row>
    <row r="7687" spans="4:5" x14ac:dyDescent="0.25">
      <c r="D7687" s="4">
        <v>42676</v>
      </c>
      <c r="E7687" s="6">
        <v>44.26</v>
      </c>
    </row>
    <row r="7688" spans="4:5" x14ac:dyDescent="0.25">
      <c r="D7688" s="4">
        <v>42677</v>
      </c>
      <c r="E7688" s="6">
        <v>43.84</v>
      </c>
    </row>
    <row r="7689" spans="4:5" x14ac:dyDescent="0.25">
      <c r="D7689" s="4">
        <v>42678</v>
      </c>
      <c r="E7689" s="6">
        <v>43.06</v>
      </c>
    </row>
    <row r="7690" spans="4:5" x14ac:dyDescent="0.25">
      <c r="D7690" s="4">
        <v>42681</v>
      </c>
      <c r="E7690" s="6">
        <v>42.83</v>
      </c>
    </row>
    <row r="7691" spans="4:5" x14ac:dyDescent="0.25">
      <c r="D7691" s="4">
        <v>42682</v>
      </c>
      <c r="E7691" s="6">
        <v>43.47</v>
      </c>
    </row>
    <row r="7692" spans="4:5" x14ac:dyDescent="0.25">
      <c r="D7692" s="4">
        <v>42683</v>
      </c>
      <c r="E7692" s="6">
        <v>43.88</v>
      </c>
    </row>
    <row r="7693" spans="4:5" x14ac:dyDescent="0.25">
      <c r="D7693" s="4">
        <v>42684</v>
      </c>
      <c r="E7693" s="6">
        <v>43.67</v>
      </c>
    </row>
    <row r="7694" spans="4:5" x14ac:dyDescent="0.25">
      <c r="D7694" s="4">
        <v>42685</v>
      </c>
      <c r="E7694" s="6">
        <v>41.61</v>
      </c>
    </row>
    <row r="7695" spans="4:5" x14ac:dyDescent="0.25">
      <c r="D7695" s="4">
        <v>42688</v>
      </c>
      <c r="E7695" s="6">
        <v>41.83</v>
      </c>
    </row>
    <row r="7696" spans="4:5" x14ac:dyDescent="0.25">
      <c r="D7696" s="4">
        <v>42689</v>
      </c>
      <c r="E7696" s="6">
        <v>44.15</v>
      </c>
    </row>
    <row r="7697" spans="4:5" x14ac:dyDescent="0.25">
      <c r="D7697" s="4">
        <v>42690</v>
      </c>
      <c r="E7697" s="6">
        <v>45.07</v>
      </c>
    </row>
    <row r="7698" spans="4:5" x14ac:dyDescent="0.25">
      <c r="D7698" s="4">
        <v>42691</v>
      </c>
      <c r="E7698" s="6">
        <v>44.57</v>
      </c>
    </row>
    <row r="7699" spans="4:5" x14ac:dyDescent="0.25">
      <c r="D7699" s="4">
        <v>42692</v>
      </c>
      <c r="E7699" s="6">
        <v>44.41</v>
      </c>
    </row>
    <row r="7700" spans="4:5" x14ac:dyDescent="0.25">
      <c r="D7700" s="4">
        <v>42695</v>
      </c>
      <c r="E7700" s="6">
        <v>45.96</v>
      </c>
    </row>
    <row r="7701" spans="4:5" x14ac:dyDescent="0.25">
      <c r="D7701" s="4">
        <v>42696</v>
      </c>
      <c r="E7701" s="6">
        <v>46.1</v>
      </c>
    </row>
    <row r="7702" spans="4:5" x14ac:dyDescent="0.25">
      <c r="D7702" s="4">
        <v>42697</v>
      </c>
      <c r="E7702" s="6">
        <v>46.54</v>
      </c>
    </row>
    <row r="7703" spans="4:5" x14ac:dyDescent="0.25">
      <c r="D7703" s="4">
        <v>42698</v>
      </c>
      <c r="E7703" s="6">
        <v>47.54</v>
      </c>
    </row>
    <row r="7704" spans="4:5" x14ac:dyDescent="0.25">
      <c r="D7704" s="4">
        <v>42699</v>
      </c>
      <c r="E7704" s="6">
        <v>46.32</v>
      </c>
    </row>
    <row r="7705" spans="4:5" x14ac:dyDescent="0.25">
      <c r="D7705" s="4">
        <v>42702</v>
      </c>
      <c r="E7705" s="6">
        <v>46.64</v>
      </c>
    </row>
    <row r="7706" spans="4:5" x14ac:dyDescent="0.25">
      <c r="D7706" s="4">
        <v>42703</v>
      </c>
      <c r="E7706" s="6">
        <v>44.68</v>
      </c>
    </row>
    <row r="7707" spans="4:5" x14ac:dyDescent="0.25">
      <c r="D7707" s="4">
        <v>42704</v>
      </c>
      <c r="E7707" s="6">
        <v>47.95</v>
      </c>
    </row>
    <row r="7708" spans="4:5" x14ac:dyDescent="0.25">
      <c r="D7708" s="4">
        <v>42705</v>
      </c>
      <c r="E7708" s="6">
        <v>52.28</v>
      </c>
    </row>
    <row r="7709" spans="4:5" x14ac:dyDescent="0.25">
      <c r="D7709" s="4">
        <v>42706</v>
      </c>
      <c r="E7709" s="6">
        <v>52.35</v>
      </c>
    </row>
    <row r="7710" spans="4:5" x14ac:dyDescent="0.25">
      <c r="D7710" s="4">
        <v>42709</v>
      </c>
      <c r="E7710" s="6">
        <v>53.3</v>
      </c>
    </row>
    <row r="7711" spans="4:5" x14ac:dyDescent="0.25">
      <c r="D7711" s="4">
        <v>42710</v>
      </c>
      <c r="E7711" s="6">
        <v>52.31</v>
      </c>
    </row>
    <row r="7712" spans="4:5" x14ac:dyDescent="0.25">
      <c r="D7712" s="4">
        <v>42711</v>
      </c>
      <c r="E7712" s="6">
        <v>51.9</v>
      </c>
    </row>
    <row r="7713" spans="4:5" x14ac:dyDescent="0.25">
      <c r="D7713" s="4">
        <v>42712</v>
      </c>
      <c r="E7713" s="6">
        <v>51.6</v>
      </c>
    </row>
    <row r="7714" spans="4:5" x14ac:dyDescent="0.25">
      <c r="D7714" s="4">
        <v>42713</v>
      </c>
      <c r="E7714" s="6">
        <v>52.19</v>
      </c>
    </row>
    <row r="7715" spans="4:5" x14ac:dyDescent="0.25">
      <c r="D7715" s="4">
        <v>42716</v>
      </c>
      <c r="E7715" s="6">
        <v>53.99</v>
      </c>
    </row>
    <row r="7716" spans="4:5" x14ac:dyDescent="0.25">
      <c r="D7716" s="4">
        <v>42717</v>
      </c>
      <c r="E7716" s="6">
        <v>53.28</v>
      </c>
    </row>
    <row r="7717" spans="4:5" x14ac:dyDescent="0.25">
      <c r="D7717" s="4">
        <v>42718</v>
      </c>
      <c r="E7717" s="6">
        <v>53.15</v>
      </c>
    </row>
    <row r="7718" spans="4:5" x14ac:dyDescent="0.25">
      <c r="D7718" s="4">
        <v>42719</v>
      </c>
      <c r="E7718" s="6">
        <v>51.72</v>
      </c>
    </row>
    <row r="7719" spans="4:5" x14ac:dyDescent="0.25">
      <c r="D7719" s="4">
        <v>42720</v>
      </c>
      <c r="E7719" s="6">
        <v>54.15</v>
      </c>
    </row>
    <row r="7720" spans="4:5" x14ac:dyDescent="0.25">
      <c r="D7720" s="4">
        <v>42723</v>
      </c>
      <c r="E7720" s="6">
        <v>53.53</v>
      </c>
    </row>
    <row r="7721" spans="4:5" x14ac:dyDescent="0.25">
      <c r="D7721" s="4">
        <v>42724</v>
      </c>
      <c r="E7721" s="6">
        <v>54.56</v>
      </c>
    </row>
    <row r="7722" spans="4:5" x14ac:dyDescent="0.25">
      <c r="D7722" s="4">
        <v>42725</v>
      </c>
      <c r="E7722" s="6">
        <v>53.01</v>
      </c>
    </row>
    <row r="7723" spans="4:5" x14ac:dyDescent="0.25">
      <c r="D7723" s="4">
        <v>42726</v>
      </c>
      <c r="E7723" s="6">
        <v>54.04</v>
      </c>
    </row>
    <row r="7724" spans="4:5" x14ac:dyDescent="0.25">
      <c r="D7724" s="4">
        <v>42727</v>
      </c>
      <c r="E7724" s="6">
        <v>53.93</v>
      </c>
    </row>
    <row r="7725" spans="4:5" x14ac:dyDescent="0.25">
      <c r="D7725" s="4">
        <v>42730</v>
      </c>
      <c r="E7725" s="5"/>
    </row>
    <row r="7726" spans="4:5" x14ac:dyDescent="0.25">
      <c r="D7726" s="4">
        <v>42731</v>
      </c>
      <c r="E7726" s="5"/>
    </row>
    <row r="7727" spans="4:5" x14ac:dyDescent="0.25">
      <c r="D7727" s="4">
        <v>42732</v>
      </c>
      <c r="E7727" s="6">
        <v>54.95</v>
      </c>
    </row>
    <row r="7728" spans="4:5" x14ac:dyDescent="0.25">
      <c r="D7728" s="4">
        <v>42733</v>
      </c>
      <c r="E7728" s="6">
        <v>54.97</v>
      </c>
    </row>
    <row r="7729" spans="4:5" x14ac:dyDescent="0.25">
      <c r="D7729" s="4">
        <v>42734</v>
      </c>
      <c r="E7729" s="6">
        <v>54.96</v>
      </c>
    </row>
    <row r="7730" spans="4:5" x14ac:dyDescent="0.25">
      <c r="D7730" s="4">
        <v>42737</v>
      </c>
      <c r="E7730" s="5"/>
    </row>
    <row r="7731" spans="4:5" x14ac:dyDescent="0.25">
      <c r="D7731" s="4">
        <v>42738</v>
      </c>
      <c r="E7731" s="6">
        <v>55.05</v>
      </c>
    </row>
    <row r="7732" spans="4:5" x14ac:dyDescent="0.25">
      <c r="D7732" s="4">
        <v>42739</v>
      </c>
      <c r="E7732" s="6">
        <v>54.57</v>
      </c>
    </row>
    <row r="7733" spans="4:5" x14ac:dyDescent="0.25">
      <c r="D7733" s="4">
        <v>42740</v>
      </c>
      <c r="E7733" s="6">
        <v>54.99</v>
      </c>
    </row>
    <row r="7734" spans="4:5" x14ac:dyDescent="0.25">
      <c r="D7734" s="4">
        <v>42741</v>
      </c>
      <c r="E7734" s="6">
        <v>55.9</v>
      </c>
    </row>
    <row r="7735" spans="4:5" x14ac:dyDescent="0.25">
      <c r="D7735" s="4">
        <v>42744</v>
      </c>
      <c r="E7735" s="6">
        <v>54.39</v>
      </c>
    </row>
    <row r="7736" spans="4:5" x14ac:dyDescent="0.25">
      <c r="D7736" s="4">
        <v>42745</v>
      </c>
      <c r="E7736" s="6">
        <v>53.2</v>
      </c>
    </row>
    <row r="7737" spans="4:5" x14ac:dyDescent="0.25">
      <c r="D7737" s="4">
        <v>42746</v>
      </c>
      <c r="E7737" s="6">
        <v>53.61</v>
      </c>
    </row>
    <row r="7738" spans="4:5" x14ac:dyDescent="0.25">
      <c r="D7738" s="4">
        <v>42747</v>
      </c>
      <c r="E7738" s="6">
        <v>54.51</v>
      </c>
    </row>
    <row r="7739" spans="4:5" x14ac:dyDescent="0.25">
      <c r="D7739" s="4">
        <v>42748</v>
      </c>
      <c r="E7739" s="6">
        <v>54.37</v>
      </c>
    </row>
    <row r="7740" spans="4:5" x14ac:dyDescent="0.25">
      <c r="D7740" s="4">
        <v>42751</v>
      </c>
      <c r="E7740" s="6">
        <v>54.3</v>
      </c>
    </row>
    <row r="7741" spans="4:5" x14ac:dyDescent="0.25">
      <c r="D7741" s="4">
        <v>42752</v>
      </c>
      <c r="E7741" s="6">
        <v>54.68</v>
      </c>
    </row>
    <row r="7742" spans="4:5" x14ac:dyDescent="0.25">
      <c r="D7742" s="4">
        <v>42753</v>
      </c>
      <c r="E7742" s="6">
        <v>53.77</v>
      </c>
    </row>
    <row r="7743" spans="4:5" x14ac:dyDescent="0.25">
      <c r="D7743" s="4">
        <v>42754</v>
      </c>
      <c r="E7743" s="6">
        <v>53.18</v>
      </c>
    </row>
    <row r="7744" spans="4:5" x14ac:dyDescent="0.25">
      <c r="D7744" s="4">
        <v>42755</v>
      </c>
      <c r="E7744" s="6">
        <v>55.04</v>
      </c>
    </row>
    <row r="7745" spans="4:5" x14ac:dyDescent="0.25">
      <c r="D7745" s="4">
        <v>42758</v>
      </c>
      <c r="E7745" s="6">
        <v>54.8</v>
      </c>
    </row>
    <row r="7746" spans="4:5" x14ac:dyDescent="0.25">
      <c r="D7746" s="4">
        <v>42759</v>
      </c>
      <c r="E7746" s="6">
        <v>54.7</v>
      </c>
    </row>
    <row r="7747" spans="4:5" x14ac:dyDescent="0.25">
      <c r="D7747" s="4">
        <v>42760</v>
      </c>
      <c r="E7747" s="6">
        <v>54.34</v>
      </c>
    </row>
    <row r="7748" spans="4:5" x14ac:dyDescent="0.25">
      <c r="D7748" s="4">
        <v>42761</v>
      </c>
      <c r="E7748" s="6">
        <v>55.89</v>
      </c>
    </row>
    <row r="7749" spans="4:5" x14ac:dyDescent="0.25">
      <c r="D7749" s="4">
        <v>42762</v>
      </c>
      <c r="E7749" s="6">
        <v>54.8</v>
      </c>
    </row>
    <row r="7750" spans="4:5" x14ac:dyDescent="0.25">
      <c r="D7750" s="4">
        <v>42765</v>
      </c>
      <c r="E7750" s="6">
        <v>54.77</v>
      </c>
    </row>
    <row r="7751" spans="4:5" x14ac:dyDescent="0.25">
      <c r="D7751" s="4">
        <v>42766</v>
      </c>
      <c r="E7751" s="6">
        <v>55.25</v>
      </c>
    </row>
    <row r="7752" spans="4:5" x14ac:dyDescent="0.25">
      <c r="D7752" s="4">
        <v>42767</v>
      </c>
      <c r="E7752" s="6">
        <v>55.79</v>
      </c>
    </row>
    <row r="7753" spans="4:5" x14ac:dyDescent="0.25">
      <c r="D7753" s="4">
        <v>42768</v>
      </c>
      <c r="E7753" s="6">
        <v>55.94</v>
      </c>
    </row>
    <row r="7754" spans="4:5" x14ac:dyDescent="0.25">
      <c r="D7754" s="4">
        <v>42769</v>
      </c>
      <c r="E7754" s="6">
        <v>55.92</v>
      </c>
    </row>
    <row r="7755" spans="4:5" x14ac:dyDescent="0.25">
      <c r="D7755" s="4">
        <v>42772</v>
      </c>
      <c r="E7755" s="6">
        <v>55.02</v>
      </c>
    </row>
    <row r="7756" spans="4:5" x14ac:dyDescent="0.25">
      <c r="D7756" s="4">
        <v>42773</v>
      </c>
      <c r="E7756" s="6">
        <v>53.79</v>
      </c>
    </row>
    <row r="7757" spans="4:5" x14ac:dyDescent="0.25">
      <c r="D7757" s="4">
        <v>42774</v>
      </c>
      <c r="E7757" s="6">
        <v>54.42</v>
      </c>
    </row>
    <row r="7758" spans="4:5" x14ac:dyDescent="0.25">
      <c r="D7758" s="4">
        <v>42775</v>
      </c>
      <c r="E7758" s="6">
        <v>53.98</v>
      </c>
    </row>
    <row r="7759" spans="4:5" x14ac:dyDescent="0.25">
      <c r="D7759" s="4">
        <v>42776</v>
      </c>
      <c r="E7759" s="6">
        <v>55.2</v>
      </c>
    </row>
    <row r="7760" spans="4:5" x14ac:dyDescent="0.25">
      <c r="D7760" s="4">
        <v>42779</v>
      </c>
      <c r="E7760" s="6">
        <v>54.15</v>
      </c>
    </row>
    <row r="7761" spans="4:5" x14ac:dyDescent="0.25">
      <c r="D7761" s="4">
        <v>42780</v>
      </c>
      <c r="E7761" s="6">
        <v>54.96</v>
      </c>
    </row>
    <row r="7762" spans="4:5" x14ac:dyDescent="0.25">
      <c r="D7762" s="4">
        <v>42781</v>
      </c>
      <c r="E7762" s="6">
        <v>54.57</v>
      </c>
    </row>
    <row r="7763" spans="4:5" x14ac:dyDescent="0.25">
      <c r="D7763" s="4">
        <v>42782</v>
      </c>
      <c r="E7763" s="6">
        <v>54.16</v>
      </c>
    </row>
    <row r="7764" spans="4:5" x14ac:dyDescent="0.25">
      <c r="D7764" s="4">
        <v>42783</v>
      </c>
      <c r="E7764" s="6">
        <v>54.48</v>
      </c>
    </row>
    <row r="7765" spans="4:5" x14ac:dyDescent="0.25">
      <c r="D7765" s="4">
        <v>42786</v>
      </c>
      <c r="E7765" s="6">
        <v>55.25</v>
      </c>
    </row>
    <row r="7766" spans="4:5" x14ac:dyDescent="0.25">
      <c r="D7766" s="4">
        <v>42787</v>
      </c>
      <c r="E7766" s="6">
        <v>56.34</v>
      </c>
    </row>
    <row r="7767" spans="4:5" x14ac:dyDescent="0.25">
      <c r="D7767" s="4">
        <v>42788</v>
      </c>
      <c r="E7767" s="6">
        <v>54.9</v>
      </c>
    </row>
    <row r="7768" spans="4:5" x14ac:dyDescent="0.25">
      <c r="D7768" s="4">
        <v>42789</v>
      </c>
      <c r="E7768" s="6">
        <v>55.82</v>
      </c>
    </row>
    <row r="7769" spans="4:5" x14ac:dyDescent="0.25">
      <c r="D7769" s="4">
        <v>42790</v>
      </c>
      <c r="E7769" s="6">
        <v>54.69</v>
      </c>
    </row>
    <row r="7770" spans="4:5" x14ac:dyDescent="0.25">
      <c r="D7770" s="4">
        <v>42793</v>
      </c>
      <c r="E7770" s="6">
        <v>54.65</v>
      </c>
    </row>
    <row r="7771" spans="4:5" x14ac:dyDescent="0.25">
      <c r="D7771" s="4">
        <v>42794</v>
      </c>
      <c r="E7771" s="6">
        <v>53.36</v>
      </c>
    </row>
    <row r="7772" spans="4:5" x14ac:dyDescent="0.25">
      <c r="D7772" s="4">
        <v>42795</v>
      </c>
      <c r="E7772" s="6">
        <v>55.72</v>
      </c>
    </row>
    <row r="7773" spans="4:5" x14ac:dyDescent="0.25">
      <c r="D7773" s="4">
        <v>42796</v>
      </c>
      <c r="E7773" s="6">
        <v>54.16</v>
      </c>
    </row>
    <row r="7774" spans="4:5" x14ac:dyDescent="0.25">
      <c r="D7774" s="4">
        <v>42797</v>
      </c>
      <c r="E7774" s="6">
        <v>54.12</v>
      </c>
    </row>
    <row r="7775" spans="4:5" x14ac:dyDescent="0.25">
      <c r="D7775" s="4">
        <v>42800</v>
      </c>
      <c r="E7775" s="6">
        <v>54.73</v>
      </c>
    </row>
    <row r="7776" spans="4:5" x14ac:dyDescent="0.25">
      <c r="D7776" s="4">
        <v>42801</v>
      </c>
      <c r="E7776" s="6">
        <v>54.61</v>
      </c>
    </row>
    <row r="7777" spans="4:5" x14ac:dyDescent="0.25">
      <c r="D7777" s="4">
        <v>42802</v>
      </c>
      <c r="E7777" s="6">
        <v>53.3</v>
      </c>
    </row>
    <row r="7778" spans="4:5" x14ac:dyDescent="0.25">
      <c r="D7778" s="4">
        <v>42803</v>
      </c>
      <c r="E7778" s="6">
        <v>50.65</v>
      </c>
    </row>
    <row r="7779" spans="4:5" x14ac:dyDescent="0.25">
      <c r="D7779" s="4">
        <v>42804</v>
      </c>
      <c r="E7779" s="6">
        <v>50.63</v>
      </c>
    </row>
    <row r="7780" spans="4:5" x14ac:dyDescent="0.25">
      <c r="D7780" s="4">
        <v>42807</v>
      </c>
      <c r="E7780" s="6">
        <v>50.1</v>
      </c>
    </row>
    <row r="7781" spans="4:5" x14ac:dyDescent="0.25">
      <c r="D7781" s="4">
        <v>42808</v>
      </c>
      <c r="E7781" s="6">
        <v>49.6</v>
      </c>
    </row>
    <row r="7782" spans="4:5" x14ac:dyDescent="0.25">
      <c r="D7782" s="4">
        <v>42809</v>
      </c>
      <c r="E7782" s="6">
        <v>50.63</v>
      </c>
    </row>
    <row r="7783" spans="4:5" x14ac:dyDescent="0.25">
      <c r="D7783" s="4">
        <v>42810</v>
      </c>
      <c r="E7783" s="6">
        <v>50.56</v>
      </c>
    </row>
    <row r="7784" spans="4:5" x14ac:dyDescent="0.25">
      <c r="D7784" s="4">
        <v>42811</v>
      </c>
      <c r="E7784" s="6">
        <v>50.58</v>
      </c>
    </row>
    <row r="7785" spans="4:5" x14ac:dyDescent="0.25">
      <c r="D7785" s="4">
        <v>42814</v>
      </c>
      <c r="E7785" s="6">
        <v>50.67</v>
      </c>
    </row>
    <row r="7786" spans="4:5" x14ac:dyDescent="0.25">
      <c r="D7786" s="4">
        <v>42815</v>
      </c>
      <c r="E7786" s="6">
        <v>50.14</v>
      </c>
    </row>
    <row r="7787" spans="4:5" x14ac:dyDescent="0.25">
      <c r="D7787" s="4">
        <v>42816</v>
      </c>
      <c r="E7787" s="6">
        <v>49.56</v>
      </c>
    </row>
    <row r="7788" spans="4:5" x14ac:dyDescent="0.25">
      <c r="D7788" s="4">
        <v>42817</v>
      </c>
      <c r="E7788" s="6">
        <v>50.17</v>
      </c>
    </row>
    <row r="7789" spans="4:5" x14ac:dyDescent="0.25">
      <c r="D7789" s="4">
        <v>42818</v>
      </c>
      <c r="E7789" s="6">
        <v>49.97</v>
      </c>
    </row>
    <row r="7790" spans="4:5" x14ac:dyDescent="0.25">
      <c r="D7790" s="4">
        <v>42821</v>
      </c>
      <c r="E7790" s="6">
        <v>50.12</v>
      </c>
    </row>
    <row r="7791" spans="4:5" x14ac:dyDescent="0.25">
      <c r="D7791" s="4">
        <v>42822</v>
      </c>
      <c r="E7791" s="6">
        <v>50.72</v>
      </c>
    </row>
    <row r="7792" spans="4:5" x14ac:dyDescent="0.25">
      <c r="D7792" s="4">
        <v>42823</v>
      </c>
      <c r="E7792" s="6">
        <v>51.36</v>
      </c>
    </row>
    <row r="7793" spans="4:5" x14ac:dyDescent="0.25">
      <c r="D7793" s="4">
        <v>42824</v>
      </c>
      <c r="E7793" s="6">
        <v>52.25</v>
      </c>
    </row>
    <row r="7794" spans="4:5" x14ac:dyDescent="0.25">
      <c r="D7794" s="4">
        <v>42825</v>
      </c>
      <c r="E7794" s="6">
        <v>52.2</v>
      </c>
    </row>
    <row r="7795" spans="4:5" x14ac:dyDescent="0.25">
      <c r="D7795" s="4">
        <v>42828</v>
      </c>
      <c r="E7795" s="6">
        <v>52.04</v>
      </c>
    </row>
    <row r="7796" spans="4:5" x14ac:dyDescent="0.25">
      <c r="D7796" s="4">
        <v>42829</v>
      </c>
      <c r="E7796" s="6">
        <v>53.08</v>
      </c>
    </row>
    <row r="7797" spans="4:5" x14ac:dyDescent="0.25">
      <c r="D7797" s="4">
        <v>42830</v>
      </c>
      <c r="E7797" s="6">
        <v>53.41</v>
      </c>
    </row>
    <row r="7798" spans="4:5" x14ac:dyDescent="0.25">
      <c r="D7798" s="4">
        <v>42831</v>
      </c>
      <c r="E7798" s="6">
        <v>53.62</v>
      </c>
    </row>
    <row r="7799" spans="4:5" x14ac:dyDescent="0.25">
      <c r="D7799" s="4">
        <v>42832</v>
      </c>
      <c r="E7799" s="6">
        <v>54.24</v>
      </c>
    </row>
    <row r="7800" spans="4:5" x14ac:dyDescent="0.25">
      <c r="D7800" s="4">
        <v>42835</v>
      </c>
      <c r="E7800" s="6">
        <v>54.79</v>
      </c>
    </row>
    <row r="7801" spans="4:5" x14ac:dyDescent="0.25">
      <c r="D7801" s="4">
        <v>42836</v>
      </c>
      <c r="E7801" s="6">
        <v>54.73</v>
      </c>
    </row>
    <row r="7802" spans="4:5" x14ac:dyDescent="0.25">
      <c r="D7802" s="4">
        <v>42837</v>
      </c>
      <c r="E7802" s="6">
        <v>54.75</v>
      </c>
    </row>
    <row r="7803" spans="4:5" x14ac:dyDescent="0.25">
      <c r="D7803" s="4">
        <v>42838</v>
      </c>
      <c r="E7803" s="6">
        <v>55.05</v>
      </c>
    </row>
    <row r="7804" spans="4:5" x14ac:dyDescent="0.25">
      <c r="D7804" s="4">
        <v>42839</v>
      </c>
      <c r="E7804" s="5"/>
    </row>
    <row r="7805" spans="4:5" x14ac:dyDescent="0.25">
      <c r="D7805" s="4">
        <v>42842</v>
      </c>
      <c r="E7805" s="6">
        <v>54.79</v>
      </c>
    </row>
    <row r="7806" spans="4:5" x14ac:dyDescent="0.25">
      <c r="D7806" s="4">
        <v>42843</v>
      </c>
      <c r="E7806" s="6">
        <v>52.6</v>
      </c>
    </row>
    <row r="7807" spans="4:5" x14ac:dyDescent="0.25">
      <c r="D7807" s="4">
        <v>42844</v>
      </c>
      <c r="E7807" s="6">
        <v>52.43</v>
      </c>
    </row>
    <row r="7808" spans="4:5" x14ac:dyDescent="0.25">
      <c r="D7808" s="4">
        <v>42845</v>
      </c>
      <c r="E7808" s="6">
        <v>50.66</v>
      </c>
    </row>
    <row r="7809" spans="4:5" x14ac:dyDescent="0.25">
      <c r="D7809" s="4">
        <v>42846</v>
      </c>
      <c r="E7809" s="6">
        <v>49.93</v>
      </c>
    </row>
    <row r="7810" spans="4:5" x14ac:dyDescent="0.25">
      <c r="D7810" s="4">
        <v>42849</v>
      </c>
      <c r="E7810" s="6">
        <v>49.45</v>
      </c>
    </row>
    <row r="7811" spans="4:5" x14ac:dyDescent="0.25">
      <c r="D7811" s="4">
        <v>42850</v>
      </c>
      <c r="E7811" s="6">
        <v>49.37</v>
      </c>
    </row>
    <row r="7812" spans="4:5" x14ac:dyDescent="0.25">
      <c r="D7812" s="4">
        <v>42851</v>
      </c>
      <c r="E7812" s="6">
        <v>49.99</v>
      </c>
    </row>
    <row r="7813" spans="4:5" x14ac:dyDescent="0.25">
      <c r="D7813" s="4">
        <v>42852</v>
      </c>
      <c r="E7813" s="6">
        <v>49.46</v>
      </c>
    </row>
    <row r="7814" spans="4:5" x14ac:dyDescent="0.25">
      <c r="D7814" s="4">
        <v>42853</v>
      </c>
      <c r="E7814" s="6">
        <v>49.46</v>
      </c>
    </row>
    <row r="7815" spans="4:5" x14ac:dyDescent="0.25">
      <c r="D7815" s="4">
        <v>42856</v>
      </c>
      <c r="E7815" s="6">
        <v>50.41</v>
      </c>
    </row>
    <row r="7816" spans="4:5" x14ac:dyDescent="0.25">
      <c r="D7816" s="4">
        <v>42857</v>
      </c>
      <c r="E7816" s="6">
        <v>49.31</v>
      </c>
    </row>
    <row r="7817" spans="4:5" x14ac:dyDescent="0.25">
      <c r="D7817" s="4">
        <v>42858</v>
      </c>
      <c r="E7817" s="6">
        <v>48.82</v>
      </c>
    </row>
    <row r="7818" spans="4:5" x14ac:dyDescent="0.25">
      <c r="D7818" s="4">
        <v>42859</v>
      </c>
      <c r="E7818" s="6">
        <v>47.53</v>
      </c>
    </row>
    <row r="7819" spans="4:5" x14ac:dyDescent="0.25">
      <c r="D7819" s="4">
        <v>42860</v>
      </c>
      <c r="E7819" s="6">
        <v>47.45</v>
      </c>
    </row>
    <row r="7820" spans="4:5" x14ac:dyDescent="0.25">
      <c r="D7820" s="4">
        <v>42863</v>
      </c>
      <c r="E7820" s="6">
        <v>46.61</v>
      </c>
    </row>
    <row r="7821" spans="4:5" x14ac:dyDescent="0.25">
      <c r="D7821" s="4">
        <v>42864</v>
      </c>
      <c r="E7821" s="6">
        <v>47.06</v>
      </c>
    </row>
    <row r="7822" spans="4:5" x14ac:dyDescent="0.25">
      <c r="D7822" s="4">
        <v>42865</v>
      </c>
      <c r="E7822" s="6">
        <v>48.09</v>
      </c>
    </row>
    <row r="7823" spans="4:5" x14ac:dyDescent="0.25">
      <c r="D7823" s="4">
        <v>42866</v>
      </c>
      <c r="E7823" s="6">
        <v>49.18</v>
      </c>
    </row>
    <row r="7824" spans="4:5" x14ac:dyDescent="0.25">
      <c r="D7824" s="4">
        <v>42867</v>
      </c>
      <c r="E7824" s="6">
        <v>49.08</v>
      </c>
    </row>
    <row r="7825" spans="4:5" x14ac:dyDescent="0.25">
      <c r="D7825" s="4">
        <v>42870</v>
      </c>
      <c r="E7825" s="6">
        <v>51.29</v>
      </c>
    </row>
    <row r="7826" spans="4:5" x14ac:dyDescent="0.25">
      <c r="D7826" s="4">
        <v>42871</v>
      </c>
      <c r="E7826" s="6">
        <v>51.21</v>
      </c>
    </row>
    <row r="7827" spans="4:5" x14ac:dyDescent="0.25">
      <c r="D7827" s="4">
        <v>42872</v>
      </c>
      <c r="E7827" s="6">
        <v>51.76</v>
      </c>
    </row>
    <row r="7828" spans="4:5" x14ac:dyDescent="0.25">
      <c r="D7828" s="4">
        <v>42873</v>
      </c>
      <c r="E7828" s="6">
        <v>51.71</v>
      </c>
    </row>
    <row r="7829" spans="4:5" x14ac:dyDescent="0.25">
      <c r="D7829" s="4">
        <v>42874</v>
      </c>
      <c r="E7829" s="6">
        <v>52.78</v>
      </c>
    </row>
    <row r="7830" spans="4:5" x14ac:dyDescent="0.25">
      <c r="D7830" s="4">
        <v>42877</v>
      </c>
      <c r="E7830" s="6">
        <v>53.35</v>
      </c>
    </row>
    <row r="7831" spans="4:5" x14ac:dyDescent="0.25">
      <c r="D7831" s="4">
        <v>42878</v>
      </c>
      <c r="E7831" s="6">
        <v>53.19</v>
      </c>
    </row>
    <row r="7832" spans="4:5" x14ac:dyDescent="0.25">
      <c r="D7832" s="4">
        <v>42879</v>
      </c>
      <c r="E7832" s="6">
        <v>53.29</v>
      </c>
    </row>
    <row r="7833" spans="4:5" x14ac:dyDescent="0.25">
      <c r="D7833" s="4">
        <v>42880</v>
      </c>
      <c r="E7833" s="6">
        <v>52.25</v>
      </c>
    </row>
    <row r="7834" spans="4:5" x14ac:dyDescent="0.25">
      <c r="D7834" s="4">
        <v>42881</v>
      </c>
      <c r="E7834" s="6">
        <v>50.84</v>
      </c>
    </row>
    <row r="7835" spans="4:5" x14ac:dyDescent="0.25">
      <c r="D7835" s="4">
        <v>42884</v>
      </c>
      <c r="E7835" s="6">
        <v>52.25</v>
      </c>
    </row>
    <row r="7836" spans="4:5" x14ac:dyDescent="0.25">
      <c r="D7836" s="4">
        <v>42885</v>
      </c>
      <c r="E7836" s="6">
        <v>50.65</v>
      </c>
    </row>
    <row r="7837" spans="4:5" x14ac:dyDescent="0.25">
      <c r="D7837" s="4">
        <v>42886</v>
      </c>
      <c r="E7837" s="6">
        <v>49.4</v>
      </c>
    </row>
    <row r="7838" spans="4:5" x14ac:dyDescent="0.25">
      <c r="D7838" s="4">
        <v>42887</v>
      </c>
      <c r="E7838" s="6">
        <v>50.41</v>
      </c>
    </row>
    <row r="7839" spans="4:5" x14ac:dyDescent="0.25">
      <c r="D7839" s="4">
        <v>42888</v>
      </c>
      <c r="E7839" s="6">
        <v>48.46</v>
      </c>
    </row>
    <row r="7840" spans="4:5" x14ac:dyDescent="0.25">
      <c r="D7840" s="4">
        <v>42891</v>
      </c>
      <c r="E7840" s="6">
        <v>48.25</v>
      </c>
    </row>
    <row r="7841" spans="4:5" x14ac:dyDescent="0.25">
      <c r="D7841" s="4">
        <v>42892</v>
      </c>
      <c r="E7841" s="6">
        <v>48.11</v>
      </c>
    </row>
    <row r="7842" spans="4:5" x14ac:dyDescent="0.25">
      <c r="D7842" s="4">
        <v>42893</v>
      </c>
      <c r="E7842" s="6">
        <v>47.08</v>
      </c>
    </row>
    <row r="7843" spans="4:5" x14ac:dyDescent="0.25">
      <c r="D7843" s="4">
        <v>42894</v>
      </c>
      <c r="E7843" s="6">
        <v>46.3</v>
      </c>
    </row>
    <row r="7844" spans="4:5" x14ac:dyDescent="0.25">
      <c r="D7844" s="4">
        <v>42895</v>
      </c>
      <c r="E7844" s="6">
        <v>46.64</v>
      </c>
    </row>
    <row r="7845" spans="4:5" x14ac:dyDescent="0.25">
      <c r="D7845" s="4">
        <v>42898</v>
      </c>
      <c r="E7845" s="6">
        <v>47.18</v>
      </c>
    </row>
    <row r="7846" spans="4:5" x14ac:dyDescent="0.25">
      <c r="D7846" s="4">
        <v>42899</v>
      </c>
      <c r="E7846" s="6">
        <v>46.95</v>
      </c>
    </row>
    <row r="7847" spans="4:5" x14ac:dyDescent="0.25">
      <c r="D7847" s="4">
        <v>42900</v>
      </c>
      <c r="E7847" s="6">
        <v>45.47</v>
      </c>
    </row>
    <row r="7848" spans="4:5" x14ac:dyDescent="0.25">
      <c r="D7848" s="4">
        <v>42901</v>
      </c>
      <c r="E7848" s="6">
        <v>45.61</v>
      </c>
    </row>
    <row r="7849" spans="4:5" x14ac:dyDescent="0.25">
      <c r="D7849" s="4">
        <v>42902</v>
      </c>
      <c r="E7849" s="6">
        <v>45.7</v>
      </c>
    </row>
    <row r="7850" spans="4:5" x14ac:dyDescent="0.25">
      <c r="D7850" s="4">
        <v>42905</v>
      </c>
      <c r="E7850" s="6">
        <v>45.93</v>
      </c>
    </row>
    <row r="7851" spans="4:5" x14ac:dyDescent="0.25">
      <c r="D7851" s="4">
        <v>42906</v>
      </c>
      <c r="E7851" s="6">
        <v>43.98</v>
      </c>
    </row>
    <row r="7852" spans="4:5" x14ac:dyDescent="0.25">
      <c r="D7852" s="4">
        <v>42907</v>
      </c>
      <c r="E7852" s="6">
        <v>44.62</v>
      </c>
    </row>
    <row r="7853" spans="4:5" x14ac:dyDescent="0.25">
      <c r="D7853" s="4">
        <v>42908</v>
      </c>
      <c r="E7853" s="6">
        <v>44.46</v>
      </c>
    </row>
    <row r="7854" spans="4:5" x14ac:dyDescent="0.25">
      <c r="D7854" s="4">
        <v>42909</v>
      </c>
      <c r="E7854" s="6">
        <v>44.14</v>
      </c>
    </row>
    <row r="7855" spans="4:5" x14ac:dyDescent="0.25">
      <c r="D7855" s="4">
        <v>42912</v>
      </c>
      <c r="E7855" s="6">
        <v>44.09</v>
      </c>
    </row>
    <row r="7856" spans="4:5" x14ac:dyDescent="0.25">
      <c r="D7856" s="4">
        <v>42913</v>
      </c>
      <c r="E7856" s="6">
        <v>46.17</v>
      </c>
    </row>
    <row r="7857" spans="4:5" x14ac:dyDescent="0.25">
      <c r="D7857" s="4">
        <v>42914</v>
      </c>
      <c r="E7857" s="6">
        <v>46.45</v>
      </c>
    </row>
    <row r="7858" spans="4:5" x14ac:dyDescent="0.25">
      <c r="D7858" s="4">
        <v>42915</v>
      </c>
      <c r="E7858" s="6">
        <v>47.02</v>
      </c>
    </row>
    <row r="7859" spans="4:5" x14ac:dyDescent="0.25">
      <c r="D7859" s="4">
        <v>42916</v>
      </c>
      <c r="E7859" s="6">
        <v>47.08</v>
      </c>
    </row>
    <row r="7860" spans="4:5" x14ac:dyDescent="0.25">
      <c r="D7860" s="4">
        <v>42919</v>
      </c>
      <c r="E7860" s="6">
        <v>49.13</v>
      </c>
    </row>
    <row r="7861" spans="4:5" x14ac:dyDescent="0.25">
      <c r="D7861" s="4">
        <v>42920</v>
      </c>
      <c r="E7861" s="6">
        <v>49.15</v>
      </c>
    </row>
    <row r="7862" spans="4:5" x14ac:dyDescent="0.25">
      <c r="D7862" s="4">
        <v>42921</v>
      </c>
      <c r="E7862" s="6">
        <v>47.58</v>
      </c>
    </row>
    <row r="7863" spans="4:5" x14ac:dyDescent="0.25">
      <c r="D7863" s="4">
        <v>42922</v>
      </c>
      <c r="E7863" s="6">
        <v>48.53</v>
      </c>
    </row>
    <row r="7864" spans="4:5" x14ac:dyDescent="0.25">
      <c r="D7864" s="4">
        <v>42923</v>
      </c>
      <c r="E7864" s="6">
        <v>46.47</v>
      </c>
    </row>
    <row r="7865" spans="4:5" x14ac:dyDescent="0.25">
      <c r="D7865" s="4">
        <v>42926</v>
      </c>
      <c r="E7865" s="6">
        <v>46.57</v>
      </c>
    </row>
    <row r="7866" spans="4:5" x14ac:dyDescent="0.25">
      <c r="D7866" s="4">
        <v>42927</v>
      </c>
      <c r="E7866" s="6">
        <v>46.68</v>
      </c>
    </row>
    <row r="7867" spans="4:5" x14ac:dyDescent="0.25">
      <c r="D7867" s="4">
        <v>42928</v>
      </c>
      <c r="E7867" s="6">
        <v>46.73</v>
      </c>
    </row>
    <row r="7868" spans="4:5" x14ac:dyDescent="0.25">
      <c r="D7868" s="4">
        <v>42929</v>
      </c>
      <c r="E7868" s="6">
        <v>47.65</v>
      </c>
    </row>
    <row r="7869" spans="4:5" x14ac:dyDescent="0.25">
      <c r="D7869" s="4">
        <v>42930</v>
      </c>
      <c r="E7869" s="6">
        <v>47.89</v>
      </c>
    </row>
    <row r="7870" spans="4:5" x14ac:dyDescent="0.25">
      <c r="D7870" s="4">
        <v>42933</v>
      </c>
      <c r="E7870" s="6">
        <v>47.66</v>
      </c>
    </row>
    <row r="7871" spans="4:5" x14ac:dyDescent="0.25">
      <c r="D7871" s="4">
        <v>42934</v>
      </c>
      <c r="E7871" s="6">
        <v>47.92</v>
      </c>
    </row>
    <row r="7872" spans="4:5" x14ac:dyDescent="0.25">
      <c r="D7872" s="4">
        <v>42935</v>
      </c>
      <c r="E7872" s="6">
        <v>48.34</v>
      </c>
    </row>
    <row r="7873" spans="4:5" x14ac:dyDescent="0.25">
      <c r="D7873" s="4">
        <v>42936</v>
      </c>
      <c r="E7873" s="6">
        <v>48.54</v>
      </c>
    </row>
    <row r="7874" spans="4:5" x14ac:dyDescent="0.25">
      <c r="D7874" s="4">
        <v>42937</v>
      </c>
      <c r="E7874" s="6">
        <v>47.47</v>
      </c>
    </row>
    <row r="7875" spans="4:5" x14ac:dyDescent="0.25">
      <c r="D7875" s="4">
        <v>42940</v>
      </c>
      <c r="E7875" s="6">
        <v>47.81</v>
      </c>
    </row>
    <row r="7876" spans="4:5" x14ac:dyDescent="0.25">
      <c r="D7876" s="4">
        <v>42941</v>
      </c>
      <c r="E7876" s="6">
        <v>49.19</v>
      </c>
    </row>
    <row r="7877" spans="4:5" x14ac:dyDescent="0.25">
      <c r="D7877" s="4">
        <v>42942</v>
      </c>
      <c r="E7877" s="6">
        <v>50.08</v>
      </c>
    </row>
    <row r="7878" spans="4:5" x14ac:dyDescent="0.25">
      <c r="D7878" s="4">
        <v>42943</v>
      </c>
      <c r="E7878" s="6">
        <v>50.67</v>
      </c>
    </row>
    <row r="7879" spans="4:5" x14ac:dyDescent="0.25">
      <c r="D7879" s="4">
        <v>42944</v>
      </c>
      <c r="E7879" s="6">
        <v>52</v>
      </c>
    </row>
    <row r="7880" spans="4:5" x14ac:dyDescent="0.25">
      <c r="D7880" s="4">
        <v>42947</v>
      </c>
      <c r="E7880" s="6">
        <v>51.99</v>
      </c>
    </row>
    <row r="7881" spans="4:5" x14ac:dyDescent="0.25">
      <c r="D7881" s="4">
        <v>42948</v>
      </c>
      <c r="E7881" s="6">
        <v>50.77</v>
      </c>
    </row>
    <row r="7882" spans="4:5" x14ac:dyDescent="0.25">
      <c r="D7882" s="4">
        <v>42949</v>
      </c>
      <c r="E7882" s="6">
        <v>52.09</v>
      </c>
    </row>
    <row r="7883" spans="4:5" x14ac:dyDescent="0.25">
      <c r="D7883" s="4">
        <v>42950</v>
      </c>
      <c r="E7883" s="6">
        <v>52.88</v>
      </c>
    </row>
    <row r="7884" spans="4:5" x14ac:dyDescent="0.25">
      <c r="D7884" s="4">
        <v>42951</v>
      </c>
      <c r="E7884" s="6">
        <v>52.48</v>
      </c>
    </row>
    <row r="7885" spans="4:5" x14ac:dyDescent="0.25">
      <c r="D7885" s="4">
        <v>42954</v>
      </c>
      <c r="E7885" s="6">
        <v>51.42</v>
      </c>
    </row>
    <row r="7886" spans="4:5" x14ac:dyDescent="0.25">
      <c r="D7886" s="4">
        <v>42955</v>
      </c>
      <c r="E7886" s="6">
        <v>52.18</v>
      </c>
    </row>
    <row r="7887" spans="4:5" x14ac:dyDescent="0.25">
      <c r="D7887" s="4">
        <v>42956</v>
      </c>
      <c r="E7887" s="6">
        <v>52.16</v>
      </c>
    </row>
    <row r="7888" spans="4:5" x14ac:dyDescent="0.25">
      <c r="D7888" s="4">
        <v>42957</v>
      </c>
      <c r="E7888" s="6">
        <v>52.59</v>
      </c>
    </row>
    <row r="7889" spans="4:5" x14ac:dyDescent="0.25">
      <c r="D7889" s="4">
        <v>42958</v>
      </c>
      <c r="E7889" s="6">
        <v>51.47</v>
      </c>
    </row>
    <row r="7890" spans="4:5" x14ac:dyDescent="0.25">
      <c r="D7890" s="4">
        <v>42961</v>
      </c>
      <c r="E7890" s="6">
        <v>51.29</v>
      </c>
    </row>
    <row r="7891" spans="4:5" x14ac:dyDescent="0.25">
      <c r="D7891" s="4">
        <v>42962</v>
      </c>
      <c r="E7891" s="6">
        <v>49.9</v>
      </c>
    </row>
    <row r="7892" spans="4:5" x14ac:dyDescent="0.25">
      <c r="D7892" s="4">
        <v>42963</v>
      </c>
      <c r="E7892" s="6">
        <v>50.39</v>
      </c>
    </row>
    <row r="7893" spans="4:5" x14ac:dyDescent="0.25">
      <c r="D7893" s="4">
        <v>42964</v>
      </c>
      <c r="E7893" s="6">
        <v>50.37</v>
      </c>
    </row>
    <row r="7894" spans="4:5" x14ac:dyDescent="0.25">
      <c r="D7894" s="4">
        <v>42965</v>
      </c>
      <c r="E7894" s="6">
        <v>50.96</v>
      </c>
    </row>
    <row r="7895" spans="4:5" x14ac:dyDescent="0.25">
      <c r="D7895" s="4">
        <v>42968</v>
      </c>
      <c r="E7895" s="6">
        <v>51.94</v>
      </c>
    </row>
    <row r="7896" spans="4:5" x14ac:dyDescent="0.25">
      <c r="D7896" s="4">
        <v>42969</v>
      </c>
      <c r="E7896" s="6">
        <v>52.29</v>
      </c>
    </row>
    <row r="7897" spans="4:5" x14ac:dyDescent="0.25">
      <c r="D7897" s="4">
        <v>42970</v>
      </c>
      <c r="E7897" s="6">
        <v>52.31</v>
      </c>
    </row>
    <row r="7898" spans="4:5" x14ac:dyDescent="0.25">
      <c r="D7898" s="4">
        <v>42971</v>
      </c>
      <c r="E7898" s="6">
        <v>51.73</v>
      </c>
    </row>
    <row r="7899" spans="4:5" x14ac:dyDescent="0.25">
      <c r="D7899" s="4">
        <v>42972</v>
      </c>
      <c r="E7899" s="6">
        <v>51.87</v>
      </c>
    </row>
    <row r="7900" spans="4:5" x14ac:dyDescent="0.25">
      <c r="D7900" s="4">
        <v>42975</v>
      </c>
      <c r="E7900" s="6">
        <v>51.87</v>
      </c>
    </row>
    <row r="7901" spans="4:5" x14ac:dyDescent="0.25">
      <c r="D7901" s="4">
        <v>42976</v>
      </c>
      <c r="E7901" s="6">
        <v>51.64</v>
      </c>
    </row>
    <row r="7902" spans="4:5" x14ac:dyDescent="0.25">
      <c r="D7902" s="4">
        <v>42977</v>
      </c>
      <c r="E7902" s="6">
        <v>51.91</v>
      </c>
    </row>
    <row r="7903" spans="4:5" x14ac:dyDescent="0.25">
      <c r="D7903" s="4">
        <v>42978</v>
      </c>
      <c r="E7903" s="6">
        <v>52.69</v>
      </c>
    </row>
    <row r="7904" spans="4:5" x14ac:dyDescent="0.25">
      <c r="D7904" s="4">
        <v>42979</v>
      </c>
      <c r="E7904" s="6">
        <v>53.15</v>
      </c>
    </row>
    <row r="7905" spans="4:5" x14ac:dyDescent="0.25">
      <c r="D7905" s="4">
        <v>42982</v>
      </c>
      <c r="E7905" s="6">
        <v>52.6</v>
      </c>
    </row>
    <row r="7906" spans="4:5" x14ac:dyDescent="0.25">
      <c r="D7906" s="4">
        <v>42983</v>
      </c>
      <c r="E7906" s="6">
        <v>53.63</v>
      </c>
    </row>
    <row r="7907" spans="4:5" x14ac:dyDescent="0.25">
      <c r="D7907" s="4">
        <v>42984</v>
      </c>
      <c r="E7907" s="6">
        <v>54.48</v>
      </c>
    </row>
    <row r="7908" spans="4:5" x14ac:dyDescent="0.25">
      <c r="D7908" s="4">
        <v>42985</v>
      </c>
      <c r="E7908" s="6">
        <v>54.16</v>
      </c>
    </row>
    <row r="7909" spans="4:5" x14ac:dyDescent="0.25">
      <c r="D7909" s="4">
        <v>42986</v>
      </c>
      <c r="E7909" s="6">
        <v>54.55</v>
      </c>
    </row>
    <row r="7910" spans="4:5" x14ac:dyDescent="0.25">
      <c r="D7910" s="4">
        <v>42989</v>
      </c>
      <c r="E7910" s="6">
        <v>54.2</v>
      </c>
    </row>
    <row r="7911" spans="4:5" x14ac:dyDescent="0.25">
      <c r="D7911" s="4">
        <v>42990</v>
      </c>
      <c r="E7911" s="6">
        <v>55.06</v>
      </c>
    </row>
    <row r="7912" spans="4:5" x14ac:dyDescent="0.25">
      <c r="D7912" s="4">
        <v>42991</v>
      </c>
      <c r="E7912" s="6">
        <v>55.52</v>
      </c>
    </row>
    <row r="7913" spans="4:5" x14ac:dyDescent="0.25">
      <c r="D7913" s="4">
        <v>42992</v>
      </c>
      <c r="E7913" s="6">
        <v>56.76</v>
      </c>
    </row>
    <row r="7914" spans="4:5" x14ac:dyDescent="0.25">
      <c r="D7914" s="4">
        <v>42993</v>
      </c>
      <c r="E7914" s="6">
        <v>56.18</v>
      </c>
    </row>
    <row r="7915" spans="4:5" x14ac:dyDescent="0.25">
      <c r="D7915" s="4">
        <v>42996</v>
      </c>
      <c r="E7915" s="6">
        <v>55.5</v>
      </c>
    </row>
    <row r="7916" spans="4:5" x14ac:dyDescent="0.25">
      <c r="D7916" s="4">
        <v>42997</v>
      </c>
      <c r="E7916" s="6">
        <v>56.58</v>
      </c>
    </row>
    <row r="7917" spans="4:5" x14ac:dyDescent="0.25">
      <c r="D7917" s="4">
        <v>42998</v>
      </c>
      <c r="E7917" s="6">
        <v>57.2</v>
      </c>
    </row>
    <row r="7918" spans="4:5" x14ac:dyDescent="0.25">
      <c r="D7918" s="4">
        <v>42999</v>
      </c>
      <c r="E7918" s="6">
        <v>57.73</v>
      </c>
    </row>
    <row r="7919" spans="4:5" x14ac:dyDescent="0.25">
      <c r="D7919" s="4">
        <v>43000</v>
      </c>
      <c r="E7919" s="6">
        <v>58.16</v>
      </c>
    </row>
    <row r="7920" spans="4:5" x14ac:dyDescent="0.25">
      <c r="D7920" s="4">
        <v>43003</v>
      </c>
      <c r="E7920" s="6">
        <v>59.42</v>
      </c>
    </row>
    <row r="7921" spans="4:5" x14ac:dyDescent="0.25">
      <c r="D7921" s="4">
        <v>43004</v>
      </c>
      <c r="E7921" s="6">
        <v>59.77</v>
      </c>
    </row>
    <row r="7922" spans="4:5" x14ac:dyDescent="0.25">
      <c r="D7922" s="4">
        <v>43005</v>
      </c>
      <c r="E7922" s="6">
        <v>58.74</v>
      </c>
    </row>
    <row r="7923" spans="4:5" x14ac:dyDescent="0.25">
      <c r="D7923" s="4">
        <v>43006</v>
      </c>
      <c r="E7923" s="6">
        <v>58.8</v>
      </c>
    </row>
    <row r="7924" spans="4:5" x14ac:dyDescent="0.25">
      <c r="D7924" s="4">
        <v>43007</v>
      </c>
      <c r="E7924" s="6">
        <v>57.02</v>
      </c>
    </row>
    <row r="7925" spans="4:5" x14ac:dyDescent="0.25">
      <c r="D7925" s="4">
        <v>43010</v>
      </c>
      <c r="E7925" s="6">
        <v>55.67</v>
      </c>
    </row>
    <row r="7926" spans="4:5" x14ac:dyDescent="0.25">
      <c r="D7926" s="4">
        <v>43011</v>
      </c>
      <c r="E7926" s="6">
        <v>56.12</v>
      </c>
    </row>
    <row r="7927" spans="4:5" x14ac:dyDescent="0.25">
      <c r="D7927" s="4">
        <v>43012</v>
      </c>
      <c r="E7927" s="6">
        <v>56</v>
      </c>
    </row>
    <row r="7928" spans="4:5" x14ac:dyDescent="0.25">
      <c r="D7928" s="4">
        <v>43013</v>
      </c>
      <c r="E7928" s="6">
        <v>57.09</v>
      </c>
    </row>
    <row r="7929" spans="4:5" x14ac:dyDescent="0.25">
      <c r="D7929" s="4">
        <v>43014</v>
      </c>
      <c r="E7929" s="6">
        <v>55.5</v>
      </c>
    </row>
    <row r="7930" spans="4:5" x14ac:dyDescent="0.25">
      <c r="D7930" s="4">
        <v>43017</v>
      </c>
      <c r="E7930" s="6">
        <v>55.29</v>
      </c>
    </row>
    <row r="7931" spans="4:5" x14ac:dyDescent="0.25">
      <c r="D7931" s="4">
        <v>43018</v>
      </c>
      <c r="E7931" s="6">
        <v>56.62</v>
      </c>
    </row>
    <row r="7932" spans="4:5" x14ac:dyDescent="0.25">
      <c r="D7932" s="4">
        <v>43019</v>
      </c>
      <c r="E7932" s="6">
        <v>56.13</v>
      </c>
    </row>
    <row r="7933" spans="4:5" x14ac:dyDescent="0.25">
      <c r="D7933" s="4">
        <v>43020</v>
      </c>
      <c r="E7933" s="6">
        <v>56.13</v>
      </c>
    </row>
    <row r="7934" spans="4:5" x14ac:dyDescent="0.25">
      <c r="D7934" s="4">
        <v>43021</v>
      </c>
      <c r="E7934" s="6">
        <v>56.86</v>
      </c>
    </row>
    <row r="7935" spans="4:5" x14ac:dyDescent="0.25">
      <c r="D7935" s="4">
        <v>43024</v>
      </c>
      <c r="E7935" s="6">
        <v>57.49</v>
      </c>
    </row>
    <row r="7936" spans="4:5" x14ac:dyDescent="0.25">
      <c r="D7936" s="4">
        <v>43025</v>
      </c>
      <c r="E7936" s="6">
        <v>57.63</v>
      </c>
    </row>
    <row r="7937" spans="4:5" x14ac:dyDescent="0.25">
      <c r="D7937" s="4">
        <v>43026</v>
      </c>
      <c r="E7937" s="6">
        <v>58.05</v>
      </c>
    </row>
    <row r="7938" spans="4:5" x14ac:dyDescent="0.25">
      <c r="D7938" s="4">
        <v>43027</v>
      </c>
      <c r="E7938" s="6">
        <v>57.82</v>
      </c>
    </row>
    <row r="7939" spans="4:5" x14ac:dyDescent="0.25">
      <c r="D7939" s="4">
        <v>43028</v>
      </c>
      <c r="E7939" s="6">
        <v>57.89</v>
      </c>
    </row>
    <row r="7940" spans="4:5" x14ac:dyDescent="0.25">
      <c r="D7940" s="4">
        <v>43031</v>
      </c>
      <c r="E7940" s="6">
        <v>57.69</v>
      </c>
    </row>
    <row r="7941" spans="4:5" x14ac:dyDescent="0.25">
      <c r="D7941" s="4">
        <v>43032</v>
      </c>
      <c r="E7941" s="6">
        <v>57.84</v>
      </c>
    </row>
    <row r="7942" spans="4:5" x14ac:dyDescent="0.25">
      <c r="D7942" s="4">
        <v>43033</v>
      </c>
      <c r="E7942" s="6">
        <v>58.45</v>
      </c>
    </row>
    <row r="7943" spans="4:5" x14ac:dyDescent="0.25">
      <c r="D7943" s="4">
        <v>43034</v>
      </c>
      <c r="E7943" s="6">
        <v>58.75</v>
      </c>
    </row>
    <row r="7944" spans="4:5" x14ac:dyDescent="0.25">
      <c r="D7944" s="4">
        <v>43035</v>
      </c>
      <c r="E7944" s="6">
        <v>60.15</v>
      </c>
    </row>
    <row r="7945" spans="4:5" x14ac:dyDescent="0.25">
      <c r="D7945" s="4">
        <v>43038</v>
      </c>
      <c r="E7945" s="6">
        <v>60.65</v>
      </c>
    </row>
    <row r="7946" spans="4:5" x14ac:dyDescent="0.25">
      <c r="D7946" s="4">
        <v>43039</v>
      </c>
      <c r="E7946" s="6">
        <v>61.35</v>
      </c>
    </row>
    <row r="7947" spans="4:5" x14ac:dyDescent="0.25">
      <c r="D7947" s="4">
        <v>43040</v>
      </c>
      <c r="E7947" s="6">
        <v>60.98</v>
      </c>
    </row>
    <row r="7948" spans="4:5" x14ac:dyDescent="0.25">
      <c r="D7948" s="4">
        <v>43041</v>
      </c>
      <c r="E7948" s="6">
        <v>60.79</v>
      </c>
    </row>
    <row r="7949" spans="4:5" x14ac:dyDescent="0.25">
      <c r="D7949" s="4">
        <v>43042</v>
      </c>
      <c r="E7949" s="6">
        <v>61.42</v>
      </c>
    </row>
    <row r="7950" spans="4:5" x14ac:dyDescent="0.25">
      <c r="D7950" s="4">
        <v>43045</v>
      </c>
      <c r="E7950" s="6">
        <v>64.27</v>
      </c>
    </row>
    <row r="7951" spans="4:5" x14ac:dyDescent="0.25">
      <c r="D7951" s="4">
        <v>43046</v>
      </c>
      <c r="E7951" s="6">
        <v>64.36</v>
      </c>
    </row>
    <row r="7952" spans="4:5" x14ac:dyDescent="0.25">
      <c r="D7952" s="4">
        <v>43047</v>
      </c>
      <c r="E7952" s="6">
        <v>63.96</v>
      </c>
    </row>
    <row r="7953" spans="4:5" x14ac:dyDescent="0.25">
      <c r="D7953" s="4">
        <v>43048</v>
      </c>
      <c r="E7953" s="6">
        <v>64.489999999999995</v>
      </c>
    </row>
    <row r="7954" spans="4:5" x14ac:dyDescent="0.25">
      <c r="D7954" s="4">
        <v>43049</v>
      </c>
      <c r="E7954" s="6">
        <v>64.349999999999994</v>
      </c>
    </row>
    <row r="7955" spans="4:5" x14ac:dyDescent="0.25">
      <c r="D7955" s="4">
        <v>43052</v>
      </c>
      <c r="E7955" s="6">
        <v>62.94</v>
      </c>
    </row>
    <row r="7956" spans="4:5" x14ac:dyDescent="0.25">
      <c r="D7956" s="4">
        <v>43053</v>
      </c>
      <c r="E7956" s="6">
        <v>60.91</v>
      </c>
    </row>
    <row r="7957" spans="4:5" x14ac:dyDescent="0.25">
      <c r="D7957" s="4">
        <v>43054</v>
      </c>
      <c r="E7957" s="6">
        <v>61.25</v>
      </c>
    </row>
    <row r="7958" spans="4:5" x14ac:dyDescent="0.25">
      <c r="D7958" s="4">
        <v>43055</v>
      </c>
      <c r="E7958" s="6">
        <v>61.18</v>
      </c>
    </row>
    <row r="7959" spans="4:5" x14ac:dyDescent="0.25">
      <c r="D7959" s="4">
        <v>43056</v>
      </c>
      <c r="E7959" s="6">
        <v>61.34</v>
      </c>
    </row>
    <row r="7960" spans="4:5" x14ac:dyDescent="0.25">
      <c r="D7960" s="4">
        <v>43059</v>
      </c>
      <c r="E7960" s="6">
        <v>61.34</v>
      </c>
    </row>
    <row r="7961" spans="4:5" x14ac:dyDescent="0.25">
      <c r="D7961" s="4">
        <v>43060</v>
      </c>
      <c r="E7961" s="6">
        <v>62.28</v>
      </c>
    </row>
    <row r="7962" spans="4:5" x14ac:dyDescent="0.25">
      <c r="D7962" s="4">
        <v>43061</v>
      </c>
      <c r="E7962" s="6">
        <v>62.92</v>
      </c>
    </row>
    <row r="7963" spans="4:5" x14ac:dyDescent="0.25">
      <c r="D7963" s="4">
        <v>43062</v>
      </c>
      <c r="E7963" s="6">
        <v>63.27</v>
      </c>
    </row>
    <row r="7964" spans="4:5" x14ac:dyDescent="0.25">
      <c r="D7964" s="4">
        <v>43063</v>
      </c>
      <c r="E7964" s="6">
        <v>63.58</v>
      </c>
    </row>
    <row r="7965" spans="4:5" x14ac:dyDescent="0.25">
      <c r="D7965" s="4">
        <v>43066</v>
      </c>
      <c r="E7965" s="6">
        <v>63.25</v>
      </c>
    </row>
    <row r="7966" spans="4:5" x14ac:dyDescent="0.25">
      <c r="D7966" s="4">
        <v>43067</v>
      </c>
      <c r="E7966" s="6">
        <v>63.56</v>
      </c>
    </row>
    <row r="7967" spans="4:5" x14ac:dyDescent="0.25">
      <c r="D7967" s="4">
        <v>43068</v>
      </c>
      <c r="E7967" s="6">
        <v>63.74</v>
      </c>
    </row>
    <row r="7968" spans="4:5" x14ac:dyDescent="0.25">
      <c r="D7968" s="4">
        <v>43069</v>
      </c>
      <c r="E7968" s="6">
        <v>63.53</v>
      </c>
    </row>
    <row r="7969" spans="4:5" x14ac:dyDescent="0.25">
      <c r="D7969" s="4">
        <v>43070</v>
      </c>
      <c r="E7969" s="6">
        <v>64.569999999999993</v>
      </c>
    </row>
    <row r="7970" spans="4:5" x14ac:dyDescent="0.25">
      <c r="D7970" s="4">
        <v>43073</v>
      </c>
      <c r="E7970" s="6">
        <v>63.45</v>
      </c>
    </row>
    <row r="7971" spans="4:5" x14ac:dyDescent="0.25">
      <c r="D7971" s="4">
        <v>43074</v>
      </c>
      <c r="E7971" s="6">
        <v>63.45</v>
      </c>
    </row>
    <row r="7972" spans="4:5" x14ac:dyDescent="0.25">
      <c r="D7972" s="4">
        <v>43075</v>
      </c>
      <c r="E7972" s="6">
        <v>62.25</v>
      </c>
    </row>
    <row r="7973" spans="4:5" x14ac:dyDescent="0.25">
      <c r="D7973" s="4">
        <v>43076</v>
      </c>
      <c r="E7973" s="6">
        <v>62.37</v>
      </c>
    </row>
    <row r="7974" spans="4:5" x14ac:dyDescent="0.25">
      <c r="D7974" s="4">
        <v>43077</v>
      </c>
      <c r="E7974" s="6">
        <v>63.86</v>
      </c>
    </row>
    <row r="7975" spans="4:5" x14ac:dyDescent="0.25">
      <c r="D7975" s="4">
        <v>43080</v>
      </c>
      <c r="E7975" s="6">
        <v>65.62</v>
      </c>
    </row>
    <row r="7976" spans="4:5" x14ac:dyDescent="0.25">
      <c r="D7976" s="4">
        <v>43081</v>
      </c>
      <c r="E7976" s="6">
        <v>64.959999999999994</v>
      </c>
    </row>
    <row r="7977" spans="4:5" x14ac:dyDescent="0.25">
      <c r="D7977" s="4">
        <v>43082</v>
      </c>
      <c r="E7977" s="6">
        <v>63.66</v>
      </c>
    </row>
    <row r="7978" spans="4:5" x14ac:dyDescent="0.25">
      <c r="D7978" s="4">
        <v>43083</v>
      </c>
      <c r="E7978" s="6">
        <v>63.72</v>
      </c>
    </row>
    <row r="7979" spans="4:5" x14ac:dyDescent="0.25">
      <c r="D7979" s="4">
        <v>43084</v>
      </c>
      <c r="E7979" s="6">
        <v>63.81</v>
      </c>
    </row>
    <row r="7980" spans="4:5" x14ac:dyDescent="0.25">
      <c r="D7980" s="4">
        <v>43087</v>
      </c>
      <c r="E7980" s="6">
        <v>64.45</v>
      </c>
    </row>
    <row r="7981" spans="4:5" x14ac:dyDescent="0.25">
      <c r="D7981" s="4">
        <v>43088</v>
      </c>
      <c r="E7981" s="6">
        <v>63.69</v>
      </c>
    </row>
    <row r="7982" spans="4:5" x14ac:dyDescent="0.25">
      <c r="D7982" s="4">
        <v>43089</v>
      </c>
      <c r="E7982" s="6">
        <v>64.430000000000007</v>
      </c>
    </row>
    <row r="7983" spans="4:5" x14ac:dyDescent="0.25">
      <c r="D7983" s="4">
        <v>43090</v>
      </c>
      <c r="E7983" s="6">
        <v>64.64</v>
      </c>
    </row>
    <row r="7984" spans="4:5" x14ac:dyDescent="0.25">
      <c r="D7984" s="4">
        <v>43091</v>
      </c>
      <c r="E7984" s="6">
        <v>64.61</v>
      </c>
    </row>
    <row r="7985" spans="4:5" x14ac:dyDescent="0.25">
      <c r="D7985" s="4">
        <v>43094</v>
      </c>
      <c r="E7985" s="5"/>
    </row>
    <row r="7986" spans="4:5" x14ac:dyDescent="0.25">
      <c r="D7986" s="4">
        <v>43095</v>
      </c>
      <c r="E7986" s="5"/>
    </row>
    <row r="7987" spans="4:5" x14ac:dyDescent="0.25">
      <c r="D7987" s="4">
        <v>43096</v>
      </c>
      <c r="E7987" s="6">
        <v>66.03</v>
      </c>
    </row>
    <row r="7988" spans="4:5" x14ac:dyDescent="0.25">
      <c r="D7988" s="4">
        <v>43097</v>
      </c>
      <c r="E7988" s="6">
        <v>66.8</v>
      </c>
    </row>
    <row r="7989" spans="4:5" x14ac:dyDescent="0.25">
      <c r="D7989" s="4">
        <v>43098</v>
      </c>
      <c r="E7989" s="6">
        <v>66.73</v>
      </c>
    </row>
    <row r="7990" spans="4:5" x14ac:dyDescent="0.25">
      <c r="D7990" s="4">
        <v>43101</v>
      </c>
      <c r="E7990" s="5"/>
    </row>
    <row r="7991" spans="4:5" x14ac:dyDescent="0.25">
      <c r="D7991" s="4">
        <v>43102</v>
      </c>
      <c r="E7991" s="6">
        <v>66.650000000000006</v>
      </c>
    </row>
    <row r="7992" spans="4:5" x14ac:dyDescent="0.25">
      <c r="D7992" s="4">
        <v>43103</v>
      </c>
      <c r="E7992" s="6">
        <v>67.849999999999994</v>
      </c>
    </row>
    <row r="7993" spans="4:5" x14ac:dyDescent="0.25">
      <c r="D7993" s="4">
        <v>43104</v>
      </c>
      <c r="E7993" s="6">
        <v>68.73</v>
      </c>
    </row>
    <row r="7994" spans="4:5" x14ac:dyDescent="0.25">
      <c r="D7994" s="4">
        <v>43105</v>
      </c>
      <c r="E7994" s="6">
        <v>68.010000000000005</v>
      </c>
    </row>
    <row r="7995" spans="4:5" x14ac:dyDescent="0.25">
      <c r="D7995" s="4">
        <v>43108</v>
      </c>
      <c r="E7995" s="6">
        <v>68.48</v>
      </c>
    </row>
    <row r="7996" spans="4:5" x14ac:dyDescent="0.25">
      <c r="D7996" s="4">
        <v>43109</v>
      </c>
      <c r="E7996" s="6">
        <v>69.08</v>
      </c>
    </row>
    <row r="7997" spans="4:5" x14ac:dyDescent="0.25">
      <c r="D7997" s="4">
        <v>43110</v>
      </c>
      <c r="E7997" s="6">
        <v>69.790000000000006</v>
      </c>
    </row>
    <row r="7998" spans="4:5" x14ac:dyDescent="0.25">
      <c r="D7998" s="4">
        <v>43111</v>
      </c>
      <c r="E7998" s="6">
        <v>70.36</v>
      </c>
    </row>
    <row r="7999" spans="4:5" x14ac:dyDescent="0.25">
      <c r="D7999" s="4">
        <v>43112</v>
      </c>
      <c r="E7999" s="6">
        <v>69.64</v>
      </c>
    </row>
    <row r="8000" spans="4:5" x14ac:dyDescent="0.25">
      <c r="D8000" s="4">
        <v>43115</v>
      </c>
      <c r="E8000" s="6">
        <v>70.31</v>
      </c>
    </row>
    <row r="8001" spans="4:5" x14ac:dyDescent="0.25">
      <c r="D8001" s="4">
        <v>43116</v>
      </c>
      <c r="E8001" s="6">
        <v>69.400000000000006</v>
      </c>
    </row>
    <row r="8002" spans="4:5" x14ac:dyDescent="0.25">
      <c r="D8002" s="4">
        <v>43117</v>
      </c>
      <c r="E8002" s="6">
        <v>69.19</v>
      </c>
    </row>
    <row r="8003" spans="4:5" x14ac:dyDescent="0.25">
      <c r="D8003" s="4">
        <v>43118</v>
      </c>
      <c r="E8003" s="6">
        <v>69.48</v>
      </c>
    </row>
    <row r="8004" spans="4:5" x14ac:dyDescent="0.25">
      <c r="D8004" s="4">
        <v>43119</v>
      </c>
      <c r="E8004" s="6">
        <v>68.56</v>
      </c>
    </row>
    <row r="8005" spans="4:5" x14ac:dyDescent="0.25">
      <c r="D8005" s="4">
        <v>43122</v>
      </c>
      <c r="E8005" s="6">
        <v>69.319999999999993</v>
      </c>
    </row>
    <row r="8006" spans="4:5" x14ac:dyDescent="0.25">
      <c r="D8006" s="4">
        <v>43123</v>
      </c>
      <c r="E8006" s="6">
        <v>69.81</v>
      </c>
    </row>
    <row r="8007" spans="4:5" x14ac:dyDescent="0.25">
      <c r="D8007" s="4">
        <v>43124</v>
      </c>
      <c r="E8007" s="6">
        <v>69.91</v>
      </c>
    </row>
    <row r="8008" spans="4:5" x14ac:dyDescent="0.25">
      <c r="D8008" s="4">
        <v>43125</v>
      </c>
      <c r="E8008" s="6">
        <v>71.08</v>
      </c>
    </row>
    <row r="8009" spans="4:5" x14ac:dyDescent="0.25">
      <c r="D8009" s="4">
        <v>43126</v>
      </c>
      <c r="E8009" s="6">
        <v>70.08</v>
      </c>
    </row>
    <row r="8010" spans="4:5" x14ac:dyDescent="0.25">
      <c r="D8010" s="4">
        <v>43129</v>
      </c>
      <c r="E8010" s="6">
        <v>68.41</v>
      </c>
    </row>
    <row r="8011" spans="4:5" x14ac:dyDescent="0.25">
      <c r="D8011" s="4">
        <v>43130</v>
      </c>
      <c r="E8011" s="6">
        <v>67.78</v>
      </c>
    </row>
    <row r="8012" spans="4:5" x14ac:dyDescent="0.25">
      <c r="D8012" s="4">
        <v>43131</v>
      </c>
      <c r="E8012" s="6">
        <v>67.78</v>
      </c>
    </row>
    <row r="8013" spans="4:5" x14ac:dyDescent="0.25">
      <c r="D8013" s="4">
        <v>43132</v>
      </c>
      <c r="E8013" s="6">
        <v>68.599999999999994</v>
      </c>
    </row>
    <row r="8014" spans="4:5" x14ac:dyDescent="0.25">
      <c r="D8014" s="4">
        <v>43133</v>
      </c>
      <c r="E8014" s="6">
        <v>67.45</v>
      </c>
    </row>
    <row r="8015" spans="4:5" x14ac:dyDescent="0.25">
      <c r="D8015" s="4">
        <v>43136</v>
      </c>
      <c r="E8015" s="6">
        <v>67.69</v>
      </c>
    </row>
    <row r="8016" spans="4:5" x14ac:dyDescent="0.25">
      <c r="D8016" s="4">
        <v>43137</v>
      </c>
      <c r="E8016" s="6">
        <v>66.75</v>
      </c>
    </row>
    <row r="8017" spans="4:5" x14ac:dyDescent="0.25">
      <c r="D8017" s="4">
        <v>43138</v>
      </c>
      <c r="E8017" s="6">
        <v>65.739999999999995</v>
      </c>
    </row>
    <row r="8018" spans="4:5" x14ac:dyDescent="0.25">
      <c r="D8018" s="4">
        <v>43139</v>
      </c>
      <c r="E8018" s="6">
        <v>64.260000000000005</v>
      </c>
    </row>
    <row r="8019" spans="4:5" x14ac:dyDescent="0.25">
      <c r="D8019" s="4">
        <v>43140</v>
      </c>
      <c r="E8019" s="6">
        <v>63.04</v>
      </c>
    </row>
    <row r="8020" spans="4:5" x14ac:dyDescent="0.25">
      <c r="D8020" s="4">
        <v>43143</v>
      </c>
      <c r="E8020" s="6">
        <v>62.2</v>
      </c>
    </row>
    <row r="8021" spans="4:5" x14ac:dyDescent="0.25">
      <c r="D8021" s="4">
        <v>43144</v>
      </c>
      <c r="E8021" s="6">
        <v>61.94</v>
      </c>
    </row>
    <row r="8022" spans="4:5" x14ac:dyDescent="0.25">
      <c r="D8022" s="4">
        <v>43145</v>
      </c>
      <c r="E8022" s="6">
        <v>62.29</v>
      </c>
    </row>
    <row r="8023" spans="4:5" x14ac:dyDescent="0.25">
      <c r="D8023" s="4">
        <v>43146</v>
      </c>
      <c r="E8023" s="6">
        <v>62.86</v>
      </c>
    </row>
    <row r="8024" spans="4:5" x14ac:dyDescent="0.25">
      <c r="D8024" s="4">
        <v>43147</v>
      </c>
      <c r="E8024" s="6">
        <v>64.3</v>
      </c>
    </row>
    <row r="8025" spans="4:5" x14ac:dyDescent="0.25">
      <c r="D8025" s="4">
        <v>43150</v>
      </c>
      <c r="E8025" s="6">
        <v>64.95</v>
      </c>
    </row>
    <row r="8026" spans="4:5" x14ac:dyDescent="0.25">
      <c r="D8026" s="4">
        <v>43151</v>
      </c>
      <c r="E8026" s="6">
        <v>64.680000000000007</v>
      </c>
    </row>
    <row r="8027" spans="4:5" x14ac:dyDescent="0.25">
      <c r="D8027" s="4">
        <v>43152</v>
      </c>
      <c r="E8027" s="6">
        <v>64.81</v>
      </c>
    </row>
    <row r="8028" spans="4:5" x14ac:dyDescent="0.25">
      <c r="D8028" s="4">
        <v>43153</v>
      </c>
      <c r="E8028" s="6">
        <v>66.12</v>
      </c>
    </row>
    <row r="8029" spans="4:5" x14ac:dyDescent="0.25">
      <c r="D8029" s="4">
        <v>43154</v>
      </c>
      <c r="E8029" s="6">
        <v>67.040000000000006</v>
      </c>
    </row>
    <row r="8030" spans="4:5" x14ac:dyDescent="0.25">
      <c r="D8030" s="4">
        <v>43157</v>
      </c>
      <c r="E8030" s="6">
        <v>67.959999999999994</v>
      </c>
    </row>
    <row r="8031" spans="4:5" x14ac:dyDescent="0.25">
      <c r="D8031" s="4">
        <v>43158</v>
      </c>
      <c r="E8031" s="6">
        <v>67.59</v>
      </c>
    </row>
    <row r="8032" spans="4:5" x14ac:dyDescent="0.25">
      <c r="D8032" s="4">
        <v>43159</v>
      </c>
      <c r="E8032" s="6">
        <v>66.08</v>
      </c>
    </row>
    <row r="8033" spans="4:5" x14ac:dyDescent="0.25">
      <c r="D8033" s="4">
        <v>43160</v>
      </c>
      <c r="E8033" s="6">
        <v>64.23</v>
      </c>
    </row>
    <row r="8034" spans="4:5" x14ac:dyDescent="0.25">
      <c r="D8034" s="4">
        <v>43161</v>
      </c>
      <c r="E8034" s="6">
        <v>64.260000000000005</v>
      </c>
    </row>
    <row r="8035" spans="4:5" x14ac:dyDescent="0.25">
      <c r="D8035" s="4">
        <v>43164</v>
      </c>
      <c r="E8035" s="6">
        <v>65.78</v>
      </c>
    </row>
    <row r="8036" spans="4:5" x14ac:dyDescent="0.25">
      <c r="D8036" s="4">
        <v>43165</v>
      </c>
      <c r="E8036" s="6">
        <v>65.67</v>
      </c>
    </row>
    <row r="8037" spans="4:5" x14ac:dyDescent="0.25">
      <c r="D8037" s="4">
        <v>43166</v>
      </c>
      <c r="E8037" s="6">
        <v>65.09</v>
      </c>
    </row>
    <row r="8038" spans="4:5" x14ac:dyDescent="0.25">
      <c r="D8038" s="4">
        <v>43167</v>
      </c>
      <c r="E8038" s="6">
        <v>63.87</v>
      </c>
    </row>
    <row r="8039" spans="4:5" x14ac:dyDescent="0.25">
      <c r="D8039" s="4">
        <v>43168</v>
      </c>
      <c r="E8039" s="6">
        <v>65.19</v>
      </c>
    </row>
    <row r="8040" spans="4:5" x14ac:dyDescent="0.25">
      <c r="D8040" s="4">
        <v>43171</v>
      </c>
      <c r="E8040" s="6">
        <v>64.53</v>
      </c>
    </row>
    <row r="8041" spans="4:5" x14ac:dyDescent="0.25">
      <c r="D8041" s="4">
        <v>43172</v>
      </c>
      <c r="E8041" s="6">
        <v>64.2</v>
      </c>
    </row>
    <row r="8042" spans="4:5" x14ac:dyDescent="0.25">
      <c r="D8042" s="4">
        <v>43173</v>
      </c>
      <c r="E8042" s="6">
        <v>63.61</v>
      </c>
    </row>
    <row r="8043" spans="4:5" x14ac:dyDescent="0.25">
      <c r="D8043" s="4">
        <v>43174</v>
      </c>
      <c r="E8043" s="6">
        <v>63.67</v>
      </c>
    </row>
    <row r="8044" spans="4:5" x14ac:dyDescent="0.25">
      <c r="D8044" s="4">
        <v>43175</v>
      </c>
      <c r="E8044" s="6">
        <v>64.680000000000007</v>
      </c>
    </row>
    <row r="8045" spans="4:5" x14ac:dyDescent="0.25">
      <c r="D8045" s="4">
        <v>43178</v>
      </c>
      <c r="E8045" s="6">
        <v>64.819999999999993</v>
      </c>
    </row>
    <row r="8046" spans="4:5" x14ac:dyDescent="0.25">
      <c r="D8046" s="4">
        <v>43179</v>
      </c>
      <c r="E8046" s="6">
        <v>66</v>
      </c>
    </row>
    <row r="8047" spans="4:5" x14ac:dyDescent="0.25">
      <c r="D8047" s="4">
        <v>43180</v>
      </c>
      <c r="E8047" s="6">
        <v>68.150000000000006</v>
      </c>
    </row>
    <row r="8048" spans="4:5" x14ac:dyDescent="0.25">
      <c r="D8048" s="4">
        <v>43181</v>
      </c>
      <c r="E8048" s="6">
        <v>68.98</v>
      </c>
    </row>
    <row r="8049" spans="4:5" x14ac:dyDescent="0.25">
      <c r="D8049" s="4">
        <v>43182</v>
      </c>
      <c r="E8049" s="6">
        <v>69.03</v>
      </c>
    </row>
    <row r="8050" spans="4:5" x14ac:dyDescent="0.25">
      <c r="D8050" s="4">
        <v>43185</v>
      </c>
      <c r="E8050" s="6">
        <v>68.81</v>
      </c>
    </row>
    <row r="8051" spans="4:5" x14ac:dyDescent="0.25">
      <c r="D8051" s="4">
        <v>43186</v>
      </c>
      <c r="E8051" s="6">
        <v>68.63</v>
      </c>
    </row>
    <row r="8052" spans="4:5" x14ac:dyDescent="0.25">
      <c r="D8052" s="4">
        <v>43187</v>
      </c>
      <c r="E8052" s="6">
        <v>68.13</v>
      </c>
    </row>
    <row r="8053" spans="4:5" x14ac:dyDescent="0.25">
      <c r="D8053" s="4">
        <v>43188</v>
      </c>
      <c r="E8053" s="6">
        <v>69.02</v>
      </c>
    </row>
    <row r="8054" spans="4:5" x14ac:dyDescent="0.25">
      <c r="D8054" s="4">
        <v>43189</v>
      </c>
      <c r="E8054" s="5"/>
    </row>
    <row r="8055" spans="4:5" x14ac:dyDescent="0.25">
      <c r="D8055" s="4">
        <v>43192</v>
      </c>
      <c r="E8055" s="5"/>
    </row>
    <row r="8056" spans="4:5" x14ac:dyDescent="0.25">
      <c r="D8056" s="4">
        <v>43193</v>
      </c>
      <c r="E8056" s="6">
        <v>69.02</v>
      </c>
    </row>
    <row r="8057" spans="4:5" x14ac:dyDescent="0.25">
      <c r="D8057" s="4">
        <v>43194</v>
      </c>
      <c r="E8057" s="6">
        <v>66.040000000000006</v>
      </c>
    </row>
    <row r="8058" spans="4:5" x14ac:dyDescent="0.25">
      <c r="D8058" s="4">
        <v>43195</v>
      </c>
      <c r="E8058" s="6">
        <v>66.540000000000006</v>
      </c>
    </row>
    <row r="8059" spans="4:5" x14ac:dyDescent="0.25">
      <c r="D8059" s="4">
        <v>43196</v>
      </c>
      <c r="E8059" s="6">
        <v>66.510000000000005</v>
      </c>
    </row>
    <row r="8060" spans="4:5" x14ac:dyDescent="0.25">
      <c r="D8060" s="4">
        <v>43199</v>
      </c>
      <c r="E8060" s="6">
        <v>68.19</v>
      </c>
    </row>
    <row r="8061" spans="4:5" x14ac:dyDescent="0.25">
      <c r="D8061" s="4">
        <v>43200</v>
      </c>
      <c r="E8061" s="6">
        <v>70.67</v>
      </c>
    </row>
    <row r="8062" spans="4:5" x14ac:dyDescent="0.25">
      <c r="D8062" s="4">
        <v>43201</v>
      </c>
      <c r="E8062" s="6">
        <v>72.739999999999995</v>
      </c>
    </row>
    <row r="8063" spans="4:5" x14ac:dyDescent="0.25">
      <c r="D8063" s="4">
        <v>43202</v>
      </c>
      <c r="E8063" s="6">
        <v>71.44</v>
      </c>
    </row>
    <row r="8064" spans="4:5" x14ac:dyDescent="0.25">
      <c r="D8064" s="4">
        <v>43203</v>
      </c>
      <c r="E8064" s="6">
        <v>73.180000000000007</v>
      </c>
    </row>
    <row r="8065" spans="4:5" x14ac:dyDescent="0.25">
      <c r="D8065" s="4">
        <v>43206</v>
      </c>
      <c r="E8065" s="6">
        <v>72.05</v>
      </c>
    </row>
    <row r="8066" spans="4:5" x14ac:dyDescent="0.25">
      <c r="D8066" s="4">
        <v>43207</v>
      </c>
      <c r="E8066" s="6">
        <v>71.709999999999994</v>
      </c>
    </row>
    <row r="8067" spans="4:5" x14ac:dyDescent="0.25">
      <c r="D8067" s="4">
        <v>43208</v>
      </c>
      <c r="E8067" s="6">
        <v>73.73</v>
      </c>
    </row>
    <row r="8068" spans="4:5" x14ac:dyDescent="0.25">
      <c r="D8068" s="4">
        <v>43209</v>
      </c>
      <c r="E8068" s="6">
        <v>74.849999999999994</v>
      </c>
    </row>
    <row r="8069" spans="4:5" x14ac:dyDescent="0.25">
      <c r="D8069" s="4">
        <v>43210</v>
      </c>
      <c r="E8069" s="6">
        <v>74.62</v>
      </c>
    </row>
    <row r="8070" spans="4:5" x14ac:dyDescent="0.25">
      <c r="D8070" s="4">
        <v>43213</v>
      </c>
      <c r="E8070" s="6">
        <v>74.540000000000006</v>
      </c>
    </row>
    <row r="8071" spans="4:5" x14ac:dyDescent="0.25">
      <c r="D8071" s="4">
        <v>43214</v>
      </c>
      <c r="E8071" s="6">
        <v>75.86</v>
      </c>
    </row>
    <row r="8072" spans="4:5" x14ac:dyDescent="0.25">
      <c r="D8072" s="4">
        <v>43215</v>
      </c>
      <c r="E8072" s="6">
        <v>73.790000000000006</v>
      </c>
    </row>
    <row r="8073" spans="4:5" x14ac:dyDescent="0.25">
      <c r="D8073" s="4">
        <v>43216</v>
      </c>
      <c r="E8073" s="6">
        <v>75.39</v>
      </c>
    </row>
    <row r="8074" spans="4:5" x14ac:dyDescent="0.25">
      <c r="D8074" s="4">
        <v>43217</v>
      </c>
      <c r="E8074" s="6">
        <v>75.33</v>
      </c>
    </row>
    <row r="8075" spans="4:5" x14ac:dyDescent="0.25">
      <c r="D8075" s="4">
        <v>43220</v>
      </c>
      <c r="E8075" s="6">
        <v>75.92</v>
      </c>
    </row>
    <row r="8076" spans="4:5" x14ac:dyDescent="0.25">
      <c r="D8076" s="4">
        <v>43221</v>
      </c>
      <c r="E8076" s="6">
        <v>74.849999999999994</v>
      </c>
    </row>
    <row r="8077" spans="4:5" x14ac:dyDescent="0.25">
      <c r="D8077" s="4">
        <v>43222</v>
      </c>
      <c r="E8077" s="6">
        <v>73.14</v>
      </c>
    </row>
    <row r="8078" spans="4:5" x14ac:dyDescent="0.25">
      <c r="D8078" s="4">
        <v>43223</v>
      </c>
      <c r="E8078" s="6">
        <v>73.45</v>
      </c>
    </row>
    <row r="8079" spans="4:5" x14ac:dyDescent="0.25">
      <c r="D8079" s="4">
        <v>43224</v>
      </c>
      <c r="E8079" s="6">
        <v>74.75</v>
      </c>
    </row>
    <row r="8080" spans="4:5" x14ac:dyDescent="0.25">
      <c r="D8080" s="4">
        <v>43227</v>
      </c>
      <c r="E8080" s="5"/>
    </row>
    <row r="8081" spans="4:5" x14ac:dyDescent="0.25">
      <c r="D8081" s="4">
        <v>43228</v>
      </c>
      <c r="E8081" s="6">
        <v>74.16</v>
      </c>
    </row>
    <row r="8082" spans="4:5" x14ac:dyDescent="0.25">
      <c r="D8082" s="4">
        <v>43229</v>
      </c>
      <c r="E8082" s="6">
        <v>77.599999999999994</v>
      </c>
    </row>
    <row r="8083" spans="4:5" x14ac:dyDescent="0.25">
      <c r="D8083" s="4">
        <v>43230</v>
      </c>
      <c r="E8083" s="6">
        <v>77.59</v>
      </c>
    </row>
    <row r="8084" spans="4:5" x14ac:dyDescent="0.25">
      <c r="D8084" s="4">
        <v>43231</v>
      </c>
      <c r="E8084" s="6">
        <v>77.37</v>
      </c>
    </row>
    <row r="8085" spans="4:5" x14ac:dyDescent="0.25">
      <c r="D8085" s="4">
        <v>43234</v>
      </c>
      <c r="E8085" s="6">
        <v>78.17</v>
      </c>
    </row>
    <row r="8086" spans="4:5" x14ac:dyDescent="0.25">
      <c r="D8086" s="4">
        <v>43235</v>
      </c>
      <c r="E8086" s="6">
        <v>78.94</v>
      </c>
    </row>
    <row r="8087" spans="4:5" x14ac:dyDescent="0.25">
      <c r="D8087" s="4">
        <v>43236</v>
      </c>
      <c r="E8087" s="6">
        <v>78.19</v>
      </c>
    </row>
    <row r="8088" spans="4:5" x14ac:dyDescent="0.25">
      <c r="D8088" s="4">
        <v>43237</v>
      </c>
      <c r="E8088" s="6">
        <v>80.09</v>
      </c>
    </row>
    <row r="8089" spans="4:5" x14ac:dyDescent="0.25">
      <c r="D8089" s="4">
        <v>43238</v>
      </c>
      <c r="E8089" s="6">
        <v>78.38</v>
      </c>
    </row>
    <row r="8090" spans="4:5" x14ac:dyDescent="0.25">
      <c r="D8090" s="4">
        <v>43241</v>
      </c>
      <c r="E8090" s="6">
        <v>78.34</v>
      </c>
    </row>
    <row r="8091" spans="4:5" x14ac:dyDescent="0.25">
      <c r="D8091" s="4">
        <v>43242</v>
      </c>
      <c r="E8091" s="6">
        <v>80.42</v>
      </c>
    </row>
    <row r="8092" spans="4:5" x14ac:dyDescent="0.25">
      <c r="D8092" s="4">
        <v>43243</v>
      </c>
      <c r="E8092" s="6">
        <v>78.69</v>
      </c>
    </row>
    <row r="8093" spans="4:5" x14ac:dyDescent="0.25">
      <c r="D8093" s="4">
        <v>43244</v>
      </c>
      <c r="E8093" s="6">
        <v>78.900000000000006</v>
      </c>
    </row>
    <row r="8094" spans="4:5" x14ac:dyDescent="0.25">
      <c r="D8094" s="4">
        <v>43245</v>
      </c>
      <c r="E8094" s="6">
        <v>76.599999999999994</v>
      </c>
    </row>
    <row r="8095" spans="4:5" x14ac:dyDescent="0.25">
      <c r="D8095" s="4">
        <v>43248</v>
      </c>
      <c r="E8095" s="5"/>
    </row>
    <row r="8096" spans="4:5" x14ac:dyDescent="0.25">
      <c r="D8096" s="4">
        <v>43249</v>
      </c>
      <c r="E8096" s="6">
        <v>74.510000000000005</v>
      </c>
    </row>
    <row r="8097" spans="4:5" x14ac:dyDescent="0.25">
      <c r="D8097" s="4">
        <v>43250</v>
      </c>
      <c r="E8097" s="6">
        <v>75.89</v>
      </c>
    </row>
    <row r="8098" spans="4:5" x14ac:dyDescent="0.25">
      <c r="D8098" s="4">
        <v>43251</v>
      </c>
      <c r="E8098" s="6">
        <v>76.45</v>
      </c>
    </row>
    <row r="8099" spans="4:5" x14ac:dyDescent="0.25">
      <c r="D8099" s="4">
        <v>43252</v>
      </c>
      <c r="E8099" s="6">
        <v>74.540000000000006</v>
      </c>
    </row>
    <row r="8100" spans="4:5" x14ac:dyDescent="0.25">
      <c r="D8100" s="4">
        <v>43255</v>
      </c>
      <c r="E8100" s="6">
        <v>73.41</v>
      </c>
    </row>
    <row r="8101" spans="4:5" x14ac:dyDescent="0.25">
      <c r="D8101" s="4">
        <v>43256</v>
      </c>
      <c r="E8101" s="6">
        <v>72.91</v>
      </c>
    </row>
    <row r="8102" spans="4:5" x14ac:dyDescent="0.25">
      <c r="D8102" s="4">
        <v>43257</v>
      </c>
      <c r="E8102" s="6">
        <v>73.23</v>
      </c>
    </row>
    <row r="8103" spans="4:5" x14ac:dyDescent="0.25">
      <c r="D8103" s="4">
        <v>43258</v>
      </c>
      <c r="E8103" s="6">
        <v>75.23</v>
      </c>
    </row>
    <row r="8104" spans="4:5" x14ac:dyDescent="0.25">
      <c r="D8104" s="4">
        <v>43259</v>
      </c>
      <c r="E8104" s="6">
        <v>75.11</v>
      </c>
    </row>
    <row r="8105" spans="4:5" x14ac:dyDescent="0.25">
      <c r="D8105" s="4">
        <v>43262</v>
      </c>
      <c r="E8105" s="6">
        <v>74.58</v>
      </c>
    </row>
    <row r="8106" spans="4:5" x14ac:dyDescent="0.25">
      <c r="D8106" s="4">
        <v>43263</v>
      </c>
      <c r="E8106" s="6">
        <v>74.86</v>
      </c>
    </row>
    <row r="8107" spans="4:5" x14ac:dyDescent="0.25">
      <c r="D8107" s="4">
        <v>43264</v>
      </c>
      <c r="E8107" s="6">
        <v>75.069999999999993</v>
      </c>
    </row>
    <row r="8108" spans="4:5" x14ac:dyDescent="0.25">
      <c r="D8108" s="4">
        <v>43265</v>
      </c>
      <c r="E8108" s="6">
        <v>74.77</v>
      </c>
    </row>
    <row r="8109" spans="4:5" x14ac:dyDescent="0.25">
      <c r="D8109" s="4">
        <v>43266</v>
      </c>
      <c r="E8109" s="6">
        <v>72.02</v>
      </c>
    </row>
    <row r="8110" spans="4:5" x14ac:dyDescent="0.25">
      <c r="D8110" s="4">
        <v>43269</v>
      </c>
      <c r="E8110" s="6">
        <v>74.87</v>
      </c>
    </row>
    <row r="8111" spans="4:5" x14ac:dyDescent="0.25">
      <c r="D8111" s="4">
        <v>43270</v>
      </c>
      <c r="E8111" s="6">
        <v>74.92</v>
      </c>
    </row>
    <row r="8112" spans="4:5" x14ac:dyDescent="0.25">
      <c r="D8112" s="4">
        <v>43271</v>
      </c>
      <c r="E8112" s="6">
        <v>74.25</v>
      </c>
    </row>
    <row r="8113" spans="4:5" x14ac:dyDescent="0.25">
      <c r="D8113" s="4">
        <v>43272</v>
      </c>
      <c r="E8113" s="6">
        <v>72.87</v>
      </c>
    </row>
    <row r="8114" spans="4:5" x14ac:dyDescent="0.25">
      <c r="D8114" s="4">
        <v>43273</v>
      </c>
      <c r="E8114" s="6">
        <v>73.67</v>
      </c>
    </row>
    <row r="8115" spans="4:5" x14ac:dyDescent="0.25">
      <c r="D8115" s="4">
        <v>43276</v>
      </c>
      <c r="E8115" s="6">
        <v>72.819999999999993</v>
      </c>
    </row>
    <row r="8116" spans="4:5" x14ac:dyDescent="0.25">
      <c r="D8116" s="4">
        <v>43277</v>
      </c>
      <c r="E8116" s="6">
        <v>73.58</v>
      </c>
    </row>
    <row r="8117" spans="4:5" x14ac:dyDescent="0.25">
      <c r="D8117" s="4">
        <v>43278</v>
      </c>
      <c r="E8117" s="6">
        <v>76.09</v>
      </c>
    </row>
    <row r="8118" spans="4:5" x14ac:dyDescent="0.25">
      <c r="D8118" s="4">
        <v>43279</v>
      </c>
      <c r="E8118" s="6">
        <v>76.260000000000005</v>
      </c>
    </row>
    <row r="8119" spans="4:5" x14ac:dyDescent="0.25">
      <c r="D8119" s="4">
        <v>43280</v>
      </c>
      <c r="E8119" s="6">
        <v>77.44</v>
      </c>
    </row>
    <row r="8120" spans="4:5" x14ac:dyDescent="0.25">
      <c r="D8120" s="4">
        <v>43283</v>
      </c>
      <c r="E8120" s="6">
        <v>76.709999999999994</v>
      </c>
    </row>
    <row r="8121" spans="4:5" x14ac:dyDescent="0.25">
      <c r="D8121" s="4">
        <v>43284</v>
      </c>
      <c r="E8121" s="6">
        <v>75.87</v>
      </c>
    </row>
    <row r="8122" spans="4:5" x14ac:dyDescent="0.25">
      <c r="D8122" s="4">
        <v>43285</v>
      </c>
      <c r="E8122" s="6">
        <v>76.989999999999995</v>
      </c>
    </row>
    <row r="8123" spans="4:5" x14ac:dyDescent="0.25">
      <c r="D8123" s="4">
        <v>43286</v>
      </c>
      <c r="E8123" s="6">
        <v>77.09</v>
      </c>
    </row>
    <row r="8124" spans="4:5" x14ac:dyDescent="0.25">
      <c r="D8124" s="4">
        <v>43287</v>
      </c>
      <c r="E8124" s="6">
        <v>74.98</v>
      </c>
    </row>
    <row r="8125" spans="4:5" x14ac:dyDescent="0.25">
      <c r="D8125" s="4">
        <v>43290</v>
      </c>
      <c r="E8125" s="6">
        <v>77.08</v>
      </c>
    </row>
    <row r="8126" spans="4:5" x14ac:dyDescent="0.25">
      <c r="D8126" s="4">
        <v>43291</v>
      </c>
      <c r="E8126" s="6">
        <v>77.8</v>
      </c>
    </row>
    <row r="8127" spans="4:5" x14ac:dyDescent="0.25">
      <c r="D8127" s="4">
        <v>43292</v>
      </c>
      <c r="E8127" s="6">
        <v>75.349999999999994</v>
      </c>
    </row>
    <row r="8128" spans="4:5" x14ac:dyDescent="0.25">
      <c r="D8128" s="4">
        <v>43293</v>
      </c>
      <c r="E8128" s="6">
        <v>72.11</v>
      </c>
    </row>
    <row r="8129" spans="4:5" x14ac:dyDescent="0.25">
      <c r="D8129" s="4">
        <v>43294</v>
      </c>
      <c r="E8129" s="6">
        <v>74.11</v>
      </c>
    </row>
    <row r="8130" spans="4:5" x14ac:dyDescent="0.25">
      <c r="D8130" s="4">
        <v>43297</v>
      </c>
      <c r="E8130" s="6">
        <v>71.03</v>
      </c>
    </row>
    <row r="8131" spans="4:5" x14ac:dyDescent="0.25">
      <c r="D8131" s="4">
        <v>43298</v>
      </c>
      <c r="E8131" s="6">
        <v>70.87</v>
      </c>
    </row>
    <row r="8132" spans="4:5" x14ac:dyDescent="0.25">
      <c r="D8132" s="4">
        <v>43299</v>
      </c>
      <c r="E8132" s="6">
        <v>70.52</v>
      </c>
    </row>
    <row r="8133" spans="4:5" x14ac:dyDescent="0.25">
      <c r="D8133" s="4">
        <v>43300</v>
      </c>
      <c r="E8133" s="6">
        <v>71.94</v>
      </c>
    </row>
    <row r="8134" spans="4:5" x14ac:dyDescent="0.25">
      <c r="D8134" s="4">
        <v>43301</v>
      </c>
      <c r="E8134" s="6">
        <v>71.989999999999995</v>
      </c>
    </row>
    <row r="8135" spans="4:5" x14ac:dyDescent="0.25">
      <c r="D8135" s="4">
        <v>43304</v>
      </c>
      <c r="E8135" s="6">
        <v>73.45</v>
      </c>
    </row>
    <row r="8136" spans="4:5" x14ac:dyDescent="0.25">
      <c r="D8136" s="4">
        <v>43305</v>
      </c>
      <c r="E8136" s="6">
        <v>73.53</v>
      </c>
    </row>
    <row r="8137" spans="4:5" x14ac:dyDescent="0.25">
      <c r="D8137" s="4">
        <v>43306</v>
      </c>
      <c r="E8137" s="6">
        <v>73.67</v>
      </c>
    </row>
    <row r="8138" spans="4:5" x14ac:dyDescent="0.25">
      <c r="D8138" s="4">
        <v>43307</v>
      </c>
      <c r="E8138" s="6">
        <v>74.510000000000005</v>
      </c>
    </row>
    <row r="8139" spans="4:5" x14ac:dyDescent="0.25">
      <c r="D8139" s="4">
        <v>43308</v>
      </c>
      <c r="E8139" s="6">
        <v>74.84</v>
      </c>
    </row>
    <row r="8140" spans="4:5" x14ac:dyDescent="0.25">
      <c r="D8140" s="4">
        <v>43311</v>
      </c>
      <c r="E8140" s="6">
        <v>74.989999999999995</v>
      </c>
    </row>
    <row r="8141" spans="4:5" x14ac:dyDescent="0.25">
      <c r="D8141" s="4">
        <v>43312</v>
      </c>
      <c r="E8141" s="6">
        <v>74.16</v>
      </c>
    </row>
    <row r="8142" spans="4:5" x14ac:dyDescent="0.25">
      <c r="D8142" s="4">
        <v>43313</v>
      </c>
      <c r="E8142" s="6">
        <v>72.28</v>
      </c>
    </row>
    <row r="8143" spans="4:5" x14ac:dyDescent="0.25">
      <c r="D8143" s="4">
        <v>43314</v>
      </c>
      <c r="E8143" s="6">
        <v>72.95</v>
      </c>
    </row>
    <row r="8144" spans="4:5" x14ac:dyDescent="0.25">
      <c r="D8144" s="4">
        <v>43315</v>
      </c>
      <c r="E8144" s="6">
        <v>72.48</v>
      </c>
    </row>
    <row r="8145" spans="4:5" x14ac:dyDescent="0.25">
      <c r="D8145" s="4">
        <v>43318</v>
      </c>
      <c r="E8145" s="6">
        <v>72.510000000000005</v>
      </c>
    </row>
    <row r="8146" spans="4:5" x14ac:dyDescent="0.25">
      <c r="D8146" s="4">
        <v>43319</v>
      </c>
      <c r="E8146" s="6">
        <v>72.31</v>
      </c>
    </row>
    <row r="8147" spans="4:5" x14ac:dyDescent="0.25">
      <c r="D8147" s="4">
        <v>43320</v>
      </c>
      <c r="E8147" s="6">
        <v>70.709999999999994</v>
      </c>
    </row>
    <row r="8148" spans="4:5" x14ac:dyDescent="0.25">
      <c r="D8148" s="4">
        <v>43321</v>
      </c>
      <c r="E8148" s="6">
        <v>70.55</v>
      </c>
    </row>
    <row r="8149" spans="4:5" x14ac:dyDescent="0.25">
      <c r="D8149" s="4">
        <v>43322</v>
      </c>
      <c r="E8149" s="6">
        <v>71</v>
      </c>
    </row>
    <row r="8150" spans="4:5" x14ac:dyDescent="0.25">
      <c r="D8150" s="4">
        <v>43325</v>
      </c>
      <c r="E8150" s="6">
        <v>70.62</v>
      </c>
    </row>
    <row r="8151" spans="4:5" x14ac:dyDescent="0.25">
      <c r="D8151" s="4">
        <v>43326</v>
      </c>
      <c r="E8151" s="6">
        <v>70.77</v>
      </c>
    </row>
    <row r="8152" spans="4:5" x14ac:dyDescent="0.25">
      <c r="D8152" s="4">
        <v>43327</v>
      </c>
      <c r="E8152" s="6">
        <v>68.38</v>
      </c>
    </row>
    <row r="8153" spans="4:5" x14ac:dyDescent="0.25">
      <c r="D8153" s="4">
        <v>43328</v>
      </c>
      <c r="E8153" s="6">
        <v>69.209999999999994</v>
      </c>
    </row>
    <row r="8154" spans="4:5" x14ac:dyDescent="0.25">
      <c r="D8154" s="4">
        <v>43329</v>
      </c>
      <c r="E8154" s="6">
        <v>70.14</v>
      </c>
    </row>
    <row r="8155" spans="4:5" x14ac:dyDescent="0.25">
      <c r="D8155" s="4">
        <v>43332</v>
      </c>
      <c r="E8155" s="6">
        <v>71.11</v>
      </c>
    </row>
    <row r="8156" spans="4:5" x14ac:dyDescent="0.25">
      <c r="D8156" s="4">
        <v>43333</v>
      </c>
      <c r="E8156" s="6">
        <v>71.650000000000006</v>
      </c>
    </row>
    <row r="8157" spans="4:5" x14ac:dyDescent="0.25">
      <c r="D8157" s="4">
        <v>43334</v>
      </c>
      <c r="E8157" s="6">
        <v>72.959999999999994</v>
      </c>
    </row>
    <row r="8158" spans="4:5" x14ac:dyDescent="0.25">
      <c r="D8158" s="4">
        <v>43335</v>
      </c>
      <c r="E8158" s="6">
        <v>73.73</v>
      </c>
    </row>
    <row r="8159" spans="4:5" x14ac:dyDescent="0.25">
      <c r="D8159" s="4">
        <v>43336</v>
      </c>
      <c r="E8159" s="6">
        <v>74.41</v>
      </c>
    </row>
    <row r="8160" spans="4:5" x14ac:dyDescent="0.25">
      <c r="D8160" s="4">
        <v>43339</v>
      </c>
      <c r="E8160" s="6">
        <v>74.41</v>
      </c>
    </row>
    <row r="8161" spans="4:5" x14ac:dyDescent="0.25">
      <c r="D8161" s="4">
        <v>43340</v>
      </c>
      <c r="E8161" s="6">
        <v>75.91</v>
      </c>
    </row>
    <row r="8162" spans="4:5" x14ac:dyDescent="0.25">
      <c r="D8162" s="4">
        <v>43341</v>
      </c>
      <c r="E8162" s="6">
        <v>76.069999999999993</v>
      </c>
    </row>
    <row r="8163" spans="4:5" x14ac:dyDescent="0.25">
      <c r="D8163" s="4">
        <v>43342</v>
      </c>
      <c r="E8163" s="6">
        <v>77.05</v>
      </c>
    </row>
    <row r="8164" spans="4:5" x14ac:dyDescent="0.25">
      <c r="D8164" s="4">
        <v>43343</v>
      </c>
      <c r="E8164" s="6">
        <v>76.94</v>
      </c>
    </row>
    <row r="8165" spans="4:5" x14ac:dyDescent="0.25">
      <c r="D8165" s="4">
        <v>43346</v>
      </c>
      <c r="E8165" s="6">
        <v>77.81</v>
      </c>
    </row>
    <row r="8166" spans="4:5" x14ac:dyDescent="0.25">
      <c r="D8166" s="4">
        <v>43347</v>
      </c>
      <c r="E8166" s="6">
        <v>77.510000000000005</v>
      </c>
    </row>
    <row r="8167" spans="4:5" x14ac:dyDescent="0.25">
      <c r="D8167" s="4">
        <v>43348</v>
      </c>
      <c r="E8167" s="6">
        <v>76.680000000000007</v>
      </c>
    </row>
    <row r="8168" spans="4:5" x14ac:dyDescent="0.25">
      <c r="D8168" s="4">
        <v>43349</v>
      </c>
      <c r="E8168" s="6">
        <v>75.67</v>
      </c>
    </row>
    <row r="8169" spans="4:5" x14ac:dyDescent="0.25">
      <c r="D8169" s="4">
        <v>43350</v>
      </c>
      <c r="E8169" s="6">
        <v>75.55</v>
      </c>
    </row>
    <row r="8170" spans="4:5" x14ac:dyDescent="0.25">
      <c r="D8170" s="4">
        <v>43353</v>
      </c>
      <c r="E8170" s="6">
        <v>76.77</v>
      </c>
    </row>
    <row r="8171" spans="4:5" x14ac:dyDescent="0.25">
      <c r="D8171" s="4">
        <v>43354</v>
      </c>
      <c r="E8171" s="6">
        <v>78.22</v>
      </c>
    </row>
    <row r="8172" spans="4:5" x14ac:dyDescent="0.25">
      <c r="D8172" s="4">
        <v>43355</v>
      </c>
      <c r="E8172" s="6">
        <v>80.02</v>
      </c>
    </row>
    <row r="8173" spans="4:5" x14ac:dyDescent="0.25">
      <c r="D8173" s="4">
        <v>43356</v>
      </c>
      <c r="E8173" s="6">
        <v>77.66</v>
      </c>
    </row>
    <row r="8174" spans="4:5" x14ac:dyDescent="0.25">
      <c r="D8174" s="4">
        <v>43357</v>
      </c>
      <c r="E8174" s="6">
        <v>77.87</v>
      </c>
    </row>
    <row r="8175" spans="4:5" x14ac:dyDescent="0.25">
      <c r="D8175" s="4">
        <v>43360</v>
      </c>
      <c r="E8175" s="6">
        <v>78.22</v>
      </c>
    </row>
    <row r="8176" spans="4:5" x14ac:dyDescent="0.25">
      <c r="D8176" s="4">
        <v>43361</v>
      </c>
      <c r="E8176" s="6">
        <v>79.25</v>
      </c>
    </row>
    <row r="8177" spans="4:5" x14ac:dyDescent="0.25">
      <c r="D8177" s="4">
        <v>43362</v>
      </c>
      <c r="E8177" s="6">
        <v>79.430000000000007</v>
      </c>
    </row>
    <row r="8178" spans="4:5" x14ac:dyDescent="0.25">
      <c r="D8178" s="4">
        <v>43363</v>
      </c>
      <c r="E8178" s="6">
        <v>79.03</v>
      </c>
    </row>
    <row r="8179" spans="4:5" x14ac:dyDescent="0.25">
      <c r="D8179" s="4">
        <v>43364</v>
      </c>
      <c r="E8179" s="6">
        <v>78.900000000000006</v>
      </c>
    </row>
    <row r="8180" spans="4:5" x14ac:dyDescent="0.25">
      <c r="D8180" s="4">
        <v>43367</v>
      </c>
      <c r="E8180" s="6">
        <v>80.89</v>
      </c>
    </row>
    <row r="8181" spans="4:5" x14ac:dyDescent="0.25">
      <c r="D8181" s="4">
        <v>43368</v>
      </c>
      <c r="E8181" s="6">
        <v>82.21</v>
      </c>
    </row>
    <row r="8182" spans="4:5" x14ac:dyDescent="0.25">
      <c r="D8182" s="4">
        <v>43369</v>
      </c>
      <c r="E8182" s="6">
        <v>81.87</v>
      </c>
    </row>
    <row r="8183" spans="4:5" x14ac:dyDescent="0.25">
      <c r="D8183" s="4">
        <v>43370</v>
      </c>
      <c r="E8183" s="6">
        <v>81.540000000000006</v>
      </c>
    </row>
    <row r="8184" spans="4:5" x14ac:dyDescent="0.25">
      <c r="D8184" s="4">
        <v>43371</v>
      </c>
      <c r="E8184" s="6">
        <v>82.72</v>
      </c>
    </row>
    <row r="8185" spans="4:5" x14ac:dyDescent="0.25">
      <c r="D8185" s="4">
        <v>43374</v>
      </c>
      <c r="E8185" s="6">
        <v>84.94</v>
      </c>
    </row>
    <row r="8186" spans="4:5" x14ac:dyDescent="0.25">
      <c r="D8186" s="4">
        <v>43375</v>
      </c>
      <c r="E8186" s="6">
        <v>85.63</v>
      </c>
    </row>
    <row r="8187" spans="4:5" x14ac:dyDescent="0.25">
      <c r="D8187" s="4">
        <v>43376</v>
      </c>
      <c r="E8187" s="6">
        <v>85.45</v>
      </c>
    </row>
    <row r="8188" spans="4:5" x14ac:dyDescent="0.25">
      <c r="D8188" s="4">
        <v>43377</v>
      </c>
      <c r="E8188" s="6">
        <v>86.07</v>
      </c>
    </row>
    <row r="8189" spans="4:5" x14ac:dyDescent="0.25">
      <c r="D8189" s="4">
        <v>43378</v>
      </c>
      <c r="E8189" s="6">
        <v>85.12</v>
      </c>
    </row>
    <row r="8190" spans="4:5" x14ac:dyDescent="0.25">
      <c r="D8190" s="4">
        <v>43381</v>
      </c>
      <c r="E8190" s="6">
        <v>84.22</v>
      </c>
    </row>
    <row r="8191" spans="4:5" x14ac:dyDescent="0.25">
      <c r="D8191" s="4">
        <v>43382</v>
      </c>
      <c r="E8191" s="6">
        <v>85.16</v>
      </c>
    </row>
    <row r="8192" spans="4:5" x14ac:dyDescent="0.25">
      <c r="D8192" s="4">
        <v>43383</v>
      </c>
      <c r="E8192" s="6">
        <v>83.82</v>
      </c>
    </row>
    <row r="8193" spans="4:5" x14ac:dyDescent="0.25">
      <c r="D8193" s="4">
        <v>43384</v>
      </c>
      <c r="E8193" s="6">
        <v>81.349999999999994</v>
      </c>
    </row>
    <row r="8194" spans="4:5" x14ac:dyDescent="0.25">
      <c r="D8194" s="4">
        <v>43385</v>
      </c>
      <c r="E8194" s="6">
        <v>80.709999999999994</v>
      </c>
    </row>
    <row r="8195" spans="4:5" x14ac:dyDescent="0.25">
      <c r="D8195" s="4">
        <v>43388</v>
      </c>
      <c r="E8195" s="6">
        <v>80.91</v>
      </c>
    </row>
    <row r="8196" spans="4:5" x14ac:dyDescent="0.25">
      <c r="D8196" s="4">
        <v>43389</v>
      </c>
      <c r="E8196" s="6">
        <v>80.53</v>
      </c>
    </row>
    <row r="8197" spans="4:5" x14ac:dyDescent="0.25">
      <c r="D8197" s="4">
        <v>43390</v>
      </c>
      <c r="E8197" s="6">
        <v>79.91</v>
      </c>
    </row>
    <row r="8198" spans="4:5" x14ac:dyDescent="0.25">
      <c r="D8198" s="4">
        <v>43391</v>
      </c>
      <c r="E8198" s="6">
        <v>80.3</v>
      </c>
    </row>
    <row r="8199" spans="4:5" x14ac:dyDescent="0.25">
      <c r="D8199" s="4">
        <v>43392</v>
      </c>
      <c r="E8199" s="6">
        <v>80.38</v>
      </c>
    </row>
    <row r="8200" spans="4:5" x14ac:dyDescent="0.25">
      <c r="D8200" s="4">
        <v>43395</v>
      </c>
      <c r="E8200" s="6">
        <v>80.45</v>
      </c>
    </row>
    <row r="8201" spans="4:5" x14ac:dyDescent="0.25">
      <c r="D8201" s="4">
        <v>43396</v>
      </c>
      <c r="E8201" s="6">
        <v>78.67</v>
      </c>
    </row>
    <row r="8202" spans="4:5" x14ac:dyDescent="0.25">
      <c r="D8202" s="4">
        <v>43397</v>
      </c>
      <c r="E8202" s="6">
        <v>77.34</v>
      </c>
    </row>
    <row r="8203" spans="4:5" x14ac:dyDescent="0.25">
      <c r="D8203" s="4">
        <v>43398</v>
      </c>
      <c r="E8203" s="6">
        <v>77.3</v>
      </c>
    </row>
    <row r="8204" spans="4:5" x14ac:dyDescent="0.25">
      <c r="D8204" s="4">
        <v>43399</v>
      </c>
      <c r="E8204" s="6">
        <v>77.400000000000006</v>
      </c>
    </row>
    <row r="8205" spans="4:5" x14ac:dyDescent="0.25">
      <c r="D8205" s="4">
        <v>43402</v>
      </c>
      <c r="E8205" s="6">
        <v>77.56</v>
      </c>
    </row>
    <row r="8206" spans="4:5" x14ac:dyDescent="0.25">
      <c r="D8206" s="4">
        <v>43403</v>
      </c>
      <c r="E8206" s="6">
        <v>75.680000000000007</v>
      </c>
    </row>
    <row r="8207" spans="4:5" x14ac:dyDescent="0.25">
      <c r="D8207" s="4">
        <v>43404</v>
      </c>
      <c r="E8207" s="6">
        <v>74.84</v>
      </c>
    </row>
    <row r="8208" spans="4:5" x14ac:dyDescent="0.25">
      <c r="D8208" s="4">
        <v>43405</v>
      </c>
      <c r="E8208" s="6">
        <v>71.25</v>
      </c>
    </row>
    <row r="8209" spans="4:5" x14ac:dyDescent="0.25">
      <c r="D8209" s="4">
        <v>43406</v>
      </c>
      <c r="E8209" s="6">
        <v>71.11</v>
      </c>
    </row>
    <row r="8210" spans="4:5" x14ac:dyDescent="0.25">
      <c r="D8210" s="4">
        <v>43409</v>
      </c>
      <c r="E8210" s="6">
        <v>72.680000000000007</v>
      </c>
    </row>
    <row r="8211" spans="4:5" x14ac:dyDescent="0.25">
      <c r="D8211" s="4">
        <v>43410</v>
      </c>
      <c r="E8211" s="6">
        <v>70.64</v>
      </c>
    </row>
    <row r="8212" spans="4:5" x14ac:dyDescent="0.25">
      <c r="D8212" s="4">
        <v>43411</v>
      </c>
      <c r="E8212" s="6">
        <v>70.099999999999994</v>
      </c>
    </row>
    <row r="8213" spans="4:5" x14ac:dyDescent="0.25">
      <c r="D8213" s="4">
        <v>43412</v>
      </c>
      <c r="E8213" s="6">
        <v>69.290000000000006</v>
      </c>
    </row>
    <row r="8214" spans="4:5" x14ac:dyDescent="0.25">
      <c r="D8214" s="4">
        <v>43413</v>
      </c>
      <c r="E8214" s="6">
        <v>69.010000000000005</v>
      </c>
    </row>
    <row r="8215" spans="4:5" x14ac:dyDescent="0.25">
      <c r="D8215" s="4">
        <v>43416</v>
      </c>
      <c r="E8215" s="6">
        <v>69.81</v>
      </c>
    </row>
    <row r="8216" spans="4:5" x14ac:dyDescent="0.25">
      <c r="D8216" s="4">
        <v>43417</v>
      </c>
      <c r="E8216" s="6">
        <v>65.45</v>
      </c>
    </row>
    <row r="8217" spans="4:5" x14ac:dyDescent="0.25">
      <c r="D8217" s="4">
        <v>43418</v>
      </c>
      <c r="E8217" s="6">
        <v>64.88</v>
      </c>
    </row>
    <row r="8218" spans="4:5" x14ac:dyDescent="0.25">
      <c r="D8218" s="4">
        <v>43419</v>
      </c>
      <c r="E8218" s="6">
        <v>65.61</v>
      </c>
    </row>
    <row r="8219" spans="4:5" x14ac:dyDescent="0.25">
      <c r="D8219" s="4">
        <v>43420</v>
      </c>
      <c r="E8219" s="6">
        <v>65.290000000000006</v>
      </c>
    </row>
    <row r="8220" spans="4:5" x14ac:dyDescent="0.25">
      <c r="D8220" s="4">
        <v>43423</v>
      </c>
      <c r="E8220" s="6">
        <v>64.14</v>
      </c>
    </row>
    <row r="8221" spans="4:5" x14ac:dyDescent="0.25">
      <c r="D8221" s="4">
        <v>43424</v>
      </c>
      <c r="E8221" s="6">
        <v>61.5</v>
      </c>
    </row>
    <row r="8222" spans="4:5" x14ac:dyDescent="0.25">
      <c r="D8222" s="4">
        <v>43425</v>
      </c>
      <c r="E8222" s="6">
        <v>61.65</v>
      </c>
    </row>
    <row r="8223" spans="4:5" x14ac:dyDescent="0.25">
      <c r="D8223" s="4">
        <v>43426</v>
      </c>
      <c r="E8223" s="6">
        <v>61.11</v>
      </c>
    </row>
    <row r="8224" spans="4:5" x14ac:dyDescent="0.25">
      <c r="D8224" s="4">
        <v>43427</v>
      </c>
      <c r="E8224" s="6">
        <v>57.69</v>
      </c>
    </row>
    <row r="8225" spans="4:5" x14ac:dyDescent="0.25">
      <c r="D8225" s="4">
        <v>43430</v>
      </c>
      <c r="E8225" s="6">
        <v>59.7</v>
      </c>
    </row>
    <row r="8226" spans="4:5" x14ac:dyDescent="0.25">
      <c r="D8226" s="4">
        <v>43431</v>
      </c>
      <c r="E8226" s="6">
        <v>59.58</v>
      </c>
    </row>
    <row r="8227" spans="4:5" x14ac:dyDescent="0.25">
      <c r="D8227" s="4">
        <v>43432</v>
      </c>
      <c r="E8227" s="6">
        <v>57.97</v>
      </c>
    </row>
    <row r="8228" spans="4:5" x14ac:dyDescent="0.25">
      <c r="D8228" s="4">
        <v>43433</v>
      </c>
      <c r="E8228" s="6">
        <v>58.29</v>
      </c>
    </row>
    <row r="8229" spans="4:5" x14ac:dyDescent="0.25">
      <c r="D8229" s="4">
        <v>43434</v>
      </c>
      <c r="E8229" s="6">
        <v>57.71</v>
      </c>
    </row>
    <row r="8230" spans="4:5" x14ac:dyDescent="0.25">
      <c r="D8230" s="4">
        <v>43437</v>
      </c>
      <c r="E8230" s="6">
        <v>60.17</v>
      </c>
    </row>
    <row r="8231" spans="4:5" x14ac:dyDescent="0.25">
      <c r="D8231" s="4">
        <v>43438</v>
      </c>
      <c r="E8231" s="6">
        <v>61.22</v>
      </c>
    </row>
    <row r="8232" spans="4:5" x14ac:dyDescent="0.25">
      <c r="D8232" s="4">
        <v>43439</v>
      </c>
      <c r="E8232" s="6">
        <v>61.4</v>
      </c>
    </row>
    <row r="8233" spans="4:5" x14ac:dyDescent="0.25">
      <c r="D8233" s="4">
        <v>43440</v>
      </c>
      <c r="E8233" s="6">
        <v>57.83</v>
      </c>
    </row>
    <row r="8234" spans="4:5" x14ac:dyDescent="0.25">
      <c r="D8234" s="4">
        <v>43441</v>
      </c>
      <c r="E8234" s="6">
        <v>61.71</v>
      </c>
    </row>
    <row r="8235" spans="4:5" x14ac:dyDescent="0.25">
      <c r="D8235" s="4">
        <v>43444</v>
      </c>
      <c r="E8235" s="6">
        <v>60.29</v>
      </c>
    </row>
    <row r="8236" spans="4:5" x14ac:dyDescent="0.25">
      <c r="D8236" s="4">
        <v>43445</v>
      </c>
      <c r="E8236" s="6">
        <v>59.73</v>
      </c>
    </row>
    <row r="8237" spans="4:5" x14ac:dyDescent="0.25">
      <c r="D8237" s="4">
        <v>43446</v>
      </c>
      <c r="E8237" s="6">
        <v>59.94</v>
      </c>
    </row>
    <row r="8238" spans="4:5" x14ac:dyDescent="0.25">
      <c r="D8238" s="4">
        <v>43447</v>
      </c>
      <c r="E8238" s="6">
        <v>59.03</v>
      </c>
    </row>
    <row r="8239" spans="4:5" x14ac:dyDescent="0.25">
      <c r="D8239" s="4">
        <v>43448</v>
      </c>
      <c r="E8239" s="6">
        <v>58.56</v>
      </c>
    </row>
    <row r="8240" spans="4:5" x14ac:dyDescent="0.25">
      <c r="D8240" s="4">
        <v>43451</v>
      </c>
      <c r="E8240" s="6">
        <v>57.59</v>
      </c>
    </row>
    <row r="8241" spans="4:5" x14ac:dyDescent="0.25">
      <c r="D8241" s="4">
        <v>43452</v>
      </c>
      <c r="E8241" s="6">
        <v>55.26</v>
      </c>
    </row>
    <row r="8242" spans="4:5" x14ac:dyDescent="0.25">
      <c r="D8242" s="4">
        <v>43453</v>
      </c>
      <c r="E8242" s="6">
        <v>55.6</v>
      </c>
    </row>
    <row r="8243" spans="4:5" x14ac:dyDescent="0.25">
      <c r="D8243" s="4">
        <v>43454</v>
      </c>
      <c r="E8243" s="6">
        <v>52.84</v>
      </c>
    </row>
    <row r="8244" spans="4:5" x14ac:dyDescent="0.25">
      <c r="D8244" s="4">
        <v>43455</v>
      </c>
      <c r="E8244" s="6">
        <v>51.93</v>
      </c>
    </row>
    <row r="8245" spans="4:5" x14ac:dyDescent="0.25">
      <c r="D8245" s="4">
        <v>43458</v>
      </c>
      <c r="E8245" s="5"/>
    </row>
    <row r="8246" spans="4:5" x14ac:dyDescent="0.25">
      <c r="D8246" s="4">
        <v>43459</v>
      </c>
      <c r="E8246" s="5"/>
    </row>
    <row r="8247" spans="4:5" x14ac:dyDescent="0.25">
      <c r="D8247" s="4">
        <v>43460</v>
      </c>
      <c r="E8247" s="5"/>
    </row>
    <row r="8248" spans="4:5" x14ac:dyDescent="0.25">
      <c r="D8248" s="4">
        <v>43461</v>
      </c>
      <c r="E8248" s="6">
        <v>51.49</v>
      </c>
    </row>
    <row r="8249" spans="4:5" x14ac:dyDescent="0.25">
      <c r="D8249" s="4">
        <v>43462</v>
      </c>
      <c r="E8249" s="6">
        <v>50.57</v>
      </c>
    </row>
    <row r="8250" spans="4:5" x14ac:dyDescent="0.25">
      <c r="D8250" s="4">
        <v>43465</v>
      </c>
      <c r="E8250" s="5"/>
    </row>
    <row r="8251" spans="4:5" x14ac:dyDescent="0.25">
      <c r="D8251" s="4">
        <v>43466</v>
      </c>
      <c r="E8251" s="5"/>
    </row>
    <row r="8252" spans="4:5" x14ac:dyDescent="0.25">
      <c r="D8252" s="4">
        <v>43467</v>
      </c>
      <c r="E8252" s="6">
        <v>54.06</v>
      </c>
    </row>
    <row r="8253" spans="4:5" x14ac:dyDescent="0.25">
      <c r="D8253" s="4">
        <v>43468</v>
      </c>
      <c r="E8253" s="6">
        <v>53.23</v>
      </c>
    </row>
    <row r="8254" spans="4:5" x14ac:dyDescent="0.25">
      <c r="D8254" s="4">
        <v>43469</v>
      </c>
      <c r="E8254" s="6">
        <v>55.64</v>
      </c>
    </row>
    <row r="8255" spans="4:5" x14ac:dyDescent="0.25">
      <c r="D8255" s="4">
        <v>43472</v>
      </c>
      <c r="E8255" s="6">
        <v>57.1</v>
      </c>
    </row>
    <row r="8256" spans="4:5" x14ac:dyDescent="0.25">
      <c r="D8256" s="4">
        <v>43473</v>
      </c>
      <c r="E8256" s="6">
        <v>56.91</v>
      </c>
    </row>
    <row r="8257" spans="4:5" x14ac:dyDescent="0.25">
      <c r="D8257" s="4">
        <v>43474</v>
      </c>
      <c r="E8257" s="6">
        <v>59.46</v>
      </c>
    </row>
    <row r="8258" spans="4:5" x14ac:dyDescent="0.25">
      <c r="D8258" s="4">
        <v>43475</v>
      </c>
      <c r="E8258" s="6">
        <v>60.47</v>
      </c>
    </row>
    <row r="8259" spans="4:5" x14ac:dyDescent="0.25">
      <c r="D8259" s="4">
        <v>43476</v>
      </c>
      <c r="E8259" s="6">
        <v>59.24</v>
      </c>
    </row>
    <row r="8260" spans="4:5" x14ac:dyDescent="0.25">
      <c r="D8260" s="4">
        <v>43479</v>
      </c>
      <c r="E8260" s="6">
        <v>58.8</v>
      </c>
    </row>
    <row r="8261" spans="4:5" x14ac:dyDescent="0.25">
      <c r="D8261" s="4">
        <v>43480</v>
      </c>
      <c r="E8261" s="6">
        <v>58.65</v>
      </c>
    </row>
    <row r="8262" spans="4:5" x14ac:dyDescent="0.25">
      <c r="D8262" s="4">
        <v>43481</v>
      </c>
      <c r="E8262" s="6">
        <v>59.81</v>
      </c>
    </row>
    <row r="8263" spans="4:5" x14ac:dyDescent="0.25">
      <c r="D8263" s="4">
        <v>43482</v>
      </c>
      <c r="E8263" s="6">
        <v>59.85</v>
      </c>
    </row>
    <row r="8264" spans="4:5" x14ac:dyDescent="0.25">
      <c r="D8264" s="4">
        <v>43483</v>
      </c>
      <c r="E8264" s="6">
        <v>62.04</v>
      </c>
    </row>
    <row r="8265" spans="4:5" x14ac:dyDescent="0.25">
      <c r="D8265" s="4">
        <v>43486</v>
      </c>
      <c r="E8265" s="6">
        <v>62.18</v>
      </c>
    </row>
    <row r="8266" spans="4:5" x14ac:dyDescent="0.25">
      <c r="D8266" s="4">
        <v>43487</v>
      </c>
      <c r="E8266" s="6">
        <v>60.9</v>
      </c>
    </row>
    <row r="8267" spans="4:5" x14ac:dyDescent="0.25">
      <c r="D8267" s="4">
        <v>43488</v>
      </c>
      <c r="E8267" s="6">
        <v>61.05</v>
      </c>
    </row>
    <row r="8268" spans="4:5" x14ac:dyDescent="0.25">
      <c r="D8268" s="4">
        <v>43489</v>
      </c>
      <c r="E8268" s="6">
        <v>61.09</v>
      </c>
    </row>
    <row r="8269" spans="4:5" x14ac:dyDescent="0.25">
      <c r="D8269" s="4">
        <v>43490</v>
      </c>
      <c r="E8269" s="6">
        <v>61.49</v>
      </c>
    </row>
    <row r="8270" spans="4:5" x14ac:dyDescent="0.25">
      <c r="D8270" s="4">
        <v>43493</v>
      </c>
      <c r="E8270" s="6">
        <v>59.71</v>
      </c>
    </row>
    <row r="8271" spans="4:5" x14ac:dyDescent="0.25">
      <c r="D8271" s="4">
        <v>43494</v>
      </c>
      <c r="E8271" s="6">
        <v>60.98</v>
      </c>
    </row>
    <row r="8272" spans="4:5" x14ac:dyDescent="0.25">
      <c r="D8272" s="4">
        <v>43495</v>
      </c>
      <c r="E8272" s="6">
        <v>61.89</v>
      </c>
    </row>
    <row r="8273" spans="4:5" x14ac:dyDescent="0.25">
      <c r="D8273" s="4">
        <v>43496</v>
      </c>
      <c r="E8273" s="6">
        <v>62.46</v>
      </c>
    </row>
    <row r="8274" spans="4:5" x14ac:dyDescent="0.25">
      <c r="D8274" s="4">
        <v>43497</v>
      </c>
      <c r="E8274" s="6">
        <v>61.86</v>
      </c>
    </row>
    <row r="8275" spans="4:5" x14ac:dyDescent="0.25">
      <c r="D8275" s="4">
        <v>43500</v>
      </c>
      <c r="E8275" s="6">
        <v>62.26</v>
      </c>
    </row>
    <row r="8276" spans="4:5" x14ac:dyDescent="0.25">
      <c r="D8276" s="4">
        <v>43501</v>
      </c>
      <c r="E8276" s="6">
        <v>61.67</v>
      </c>
    </row>
    <row r="8277" spans="4:5" x14ac:dyDescent="0.25">
      <c r="D8277" s="4">
        <v>43502</v>
      </c>
      <c r="E8277" s="6">
        <v>62.22</v>
      </c>
    </row>
    <row r="8278" spans="4:5" x14ac:dyDescent="0.25">
      <c r="D8278" s="4">
        <v>43503</v>
      </c>
      <c r="E8278" s="6">
        <v>61.01</v>
      </c>
    </row>
    <row r="8279" spans="4:5" x14ac:dyDescent="0.25">
      <c r="D8279" s="4">
        <v>43504</v>
      </c>
      <c r="E8279" s="6">
        <v>61.37</v>
      </c>
    </row>
    <row r="8280" spans="4:5" x14ac:dyDescent="0.25">
      <c r="D8280" s="4">
        <v>43507</v>
      </c>
      <c r="E8280" s="6">
        <v>61.3</v>
      </c>
    </row>
    <row r="8281" spans="4:5" x14ac:dyDescent="0.25">
      <c r="D8281" s="4">
        <v>43508</v>
      </c>
      <c r="E8281" s="6">
        <v>62.58</v>
      </c>
    </row>
    <row r="8282" spans="4:5" x14ac:dyDescent="0.25">
      <c r="D8282" s="4">
        <v>43509</v>
      </c>
      <c r="E8282" s="6">
        <v>63.27</v>
      </c>
    </row>
    <row r="8283" spans="4:5" x14ac:dyDescent="0.25">
      <c r="D8283" s="4">
        <v>43510</v>
      </c>
      <c r="E8283" s="6">
        <v>64</v>
      </c>
    </row>
    <row r="8284" spans="4:5" x14ac:dyDescent="0.25">
      <c r="D8284" s="4">
        <v>43511</v>
      </c>
      <c r="E8284" s="6">
        <v>65.650000000000006</v>
      </c>
    </row>
    <row r="8285" spans="4:5" x14ac:dyDescent="0.25">
      <c r="D8285" s="4">
        <v>43514</v>
      </c>
      <c r="E8285" s="6">
        <v>66.41</v>
      </c>
    </row>
    <row r="8286" spans="4:5" x14ac:dyDescent="0.25">
      <c r="D8286" s="4">
        <v>43515</v>
      </c>
      <c r="E8286" s="6">
        <v>65.86</v>
      </c>
    </row>
    <row r="8287" spans="4:5" x14ac:dyDescent="0.25">
      <c r="D8287" s="4">
        <v>43516</v>
      </c>
      <c r="E8287" s="6">
        <v>66.819999999999993</v>
      </c>
    </row>
    <row r="8288" spans="4:5" x14ac:dyDescent="0.25">
      <c r="D8288" s="4">
        <v>43517</v>
      </c>
      <c r="E8288" s="6">
        <v>66.91</v>
      </c>
    </row>
    <row r="8289" spans="4:5" x14ac:dyDescent="0.25">
      <c r="D8289" s="4">
        <v>43518</v>
      </c>
      <c r="E8289" s="6">
        <v>66.91</v>
      </c>
    </row>
    <row r="8290" spans="4:5" x14ac:dyDescent="0.25">
      <c r="D8290" s="4">
        <v>43521</v>
      </c>
      <c r="E8290" s="6">
        <v>64.02</v>
      </c>
    </row>
    <row r="8291" spans="4:5" x14ac:dyDescent="0.25">
      <c r="D8291" s="4">
        <v>43522</v>
      </c>
      <c r="E8291" s="6">
        <v>64.510000000000005</v>
      </c>
    </row>
    <row r="8292" spans="4:5" x14ac:dyDescent="0.25">
      <c r="D8292" s="4">
        <v>43523</v>
      </c>
      <c r="E8292" s="6">
        <v>65.55</v>
      </c>
    </row>
    <row r="8293" spans="4:5" x14ac:dyDescent="0.25">
      <c r="D8293" s="4">
        <v>43524</v>
      </c>
      <c r="E8293" s="6">
        <v>65.03</v>
      </c>
    </row>
    <row r="8294" spans="4:5" x14ac:dyDescent="0.25">
      <c r="D8294" s="4">
        <v>43525</v>
      </c>
      <c r="E8294" s="6">
        <v>63.71</v>
      </c>
    </row>
    <row r="8295" spans="4:5" x14ac:dyDescent="0.25">
      <c r="D8295" s="4">
        <v>43528</v>
      </c>
      <c r="E8295" s="6">
        <v>64.44</v>
      </c>
    </row>
    <row r="8296" spans="4:5" x14ac:dyDescent="0.25">
      <c r="D8296" s="4">
        <v>43529</v>
      </c>
      <c r="E8296" s="6">
        <v>64.239999999999995</v>
      </c>
    </row>
    <row r="8297" spans="4:5" x14ac:dyDescent="0.25">
      <c r="D8297" s="4">
        <v>43530</v>
      </c>
      <c r="E8297" s="6">
        <v>64.510000000000005</v>
      </c>
    </row>
    <row r="8298" spans="4:5" x14ac:dyDescent="0.25">
      <c r="D8298" s="4">
        <v>43531</v>
      </c>
      <c r="E8298" s="6">
        <v>64.819999999999993</v>
      </c>
    </row>
    <row r="8299" spans="4:5" x14ac:dyDescent="0.25">
      <c r="D8299" s="4">
        <v>43532</v>
      </c>
      <c r="E8299" s="6">
        <v>65.66</v>
      </c>
    </row>
    <row r="8300" spans="4:5" x14ac:dyDescent="0.25">
      <c r="D8300" s="4">
        <v>43535</v>
      </c>
      <c r="E8300" s="6">
        <v>65.06</v>
      </c>
    </row>
    <row r="8301" spans="4:5" x14ac:dyDescent="0.25">
      <c r="D8301" s="4">
        <v>43536</v>
      </c>
      <c r="E8301" s="6">
        <v>65.33</v>
      </c>
    </row>
    <row r="8302" spans="4:5" x14ac:dyDescent="0.25">
      <c r="D8302" s="4">
        <v>43537</v>
      </c>
      <c r="E8302" s="6">
        <v>65.89</v>
      </c>
    </row>
    <row r="8303" spans="4:5" x14ac:dyDescent="0.25">
      <c r="D8303" s="4">
        <v>43538</v>
      </c>
      <c r="E8303" s="6">
        <v>66.180000000000007</v>
      </c>
    </row>
    <row r="8304" spans="4:5" x14ac:dyDescent="0.25">
      <c r="D8304" s="4">
        <v>43539</v>
      </c>
      <c r="E8304" s="6">
        <v>66.11</v>
      </c>
    </row>
    <row r="8305" spans="4:5" x14ac:dyDescent="0.25">
      <c r="D8305" s="4">
        <v>43542</v>
      </c>
      <c r="E8305" s="6">
        <v>66.650000000000006</v>
      </c>
    </row>
    <row r="8306" spans="4:5" x14ac:dyDescent="0.25">
      <c r="D8306" s="4">
        <v>43543</v>
      </c>
      <c r="E8306" s="6">
        <v>67.13</v>
      </c>
    </row>
    <row r="8307" spans="4:5" x14ac:dyDescent="0.25">
      <c r="D8307" s="4">
        <v>43544</v>
      </c>
      <c r="E8307" s="6">
        <v>68.349999999999994</v>
      </c>
    </row>
    <row r="8308" spans="4:5" x14ac:dyDescent="0.25">
      <c r="D8308" s="4">
        <v>43545</v>
      </c>
      <c r="E8308" s="6">
        <v>68.3</v>
      </c>
    </row>
    <row r="8309" spans="4:5" x14ac:dyDescent="0.25">
      <c r="D8309" s="4">
        <v>43546</v>
      </c>
      <c r="E8309" s="6">
        <v>66.290000000000006</v>
      </c>
    </row>
    <row r="8310" spans="4:5" x14ac:dyDescent="0.25">
      <c r="D8310" s="4">
        <v>43549</v>
      </c>
      <c r="E8310" s="6">
        <v>67.37</v>
      </c>
    </row>
    <row r="8311" spans="4:5" x14ac:dyDescent="0.25">
      <c r="D8311" s="4">
        <v>43550</v>
      </c>
      <c r="E8311" s="6">
        <v>67.510000000000005</v>
      </c>
    </row>
    <row r="8312" spans="4:5" x14ac:dyDescent="0.25">
      <c r="D8312" s="4">
        <v>43551</v>
      </c>
      <c r="E8312" s="6">
        <v>67.349999999999994</v>
      </c>
    </row>
    <row r="8313" spans="4:5" x14ac:dyDescent="0.25">
      <c r="D8313" s="4">
        <v>43552</v>
      </c>
      <c r="E8313" s="6">
        <v>66.08</v>
      </c>
    </row>
    <row r="8314" spans="4:5" x14ac:dyDescent="0.25">
      <c r="D8314" s="4">
        <v>43553</v>
      </c>
      <c r="E8314" s="6">
        <v>67.930000000000007</v>
      </c>
    </row>
    <row r="8315" spans="4:5" x14ac:dyDescent="0.25">
      <c r="D8315" s="4">
        <v>43556</v>
      </c>
      <c r="E8315" s="6">
        <v>69.08</v>
      </c>
    </row>
    <row r="8316" spans="4:5" x14ac:dyDescent="0.25">
      <c r="D8316" s="4">
        <v>43557</v>
      </c>
      <c r="E8316" s="6">
        <v>69.680000000000007</v>
      </c>
    </row>
    <row r="8317" spans="4:5" x14ac:dyDescent="0.25">
      <c r="D8317" s="4">
        <v>43558</v>
      </c>
      <c r="E8317" s="6">
        <v>69.209999999999994</v>
      </c>
    </row>
    <row r="8318" spans="4:5" x14ac:dyDescent="0.25">
      <c r="D8318" s="4">
        <v>43559</v>
      </c>
      <c r="E8318" s="6">
        <v>69.8</v>
      </c>
    </row>
    <row r="8319" spans="4:5" x14ac:dyDescent="0.25">
      <c r="D8319" s="4">
        <v>43560</v>
      </c>
      <c r="E8319" s="6">
        <v>69.930000000000007</v>
      </c>
    </row>
    <row r="8320" spans="4:5" x14ac:dyDescent="0.25">
      <c r="D8320" s="4">
        <v>43563</v>
      </c>
      <c r="E8320" s="6">
        <v>71.12</v>
      </c>
    </row>
    <row r="8321" spans="4:5" x14ac:dyDescent="0.25">
      <c r="D8321" s="4">
        <v>43564</v>
      </c>
      <c r="E8321" s="6">
        <v>71.02</v>
      </c>
    </row>
    <row r="8322" spans="4:5" x14ac:dyDescent="0.25">
      <c r="D8322" s="4">
        <v>43565</v>
      </c>
      <c r="E8322" s="6">
        <v>71.63</v>
      </c>
    </row>
    <row r="8323" spans="4:5" x14ac:dyDescent="0.25">
      <c r="D8323" s="4">
        <v>43566</v>
      </c>
      <c r="E8323" s="6">
        <v>71.3</v>
      </c>
    </row>
    <row r="8324" spans="4:5" x14ac:dyDescent="0.25">
      <c r="D8324" s="4">
        <v>43567</v>
      </c>
      <c r="E8324" s="6">
        <v>71.569999999999993</v>
      </c>
    </row>
    <row r="8325" spans="4:5" x14ac:dyDescent="0.25">
      <c r="D8325" s="4">
        <v>43570</v>
      </c>
      <c r="E8325" s="6">
        <v>70.900000000000006</v>
      </c>
    </row>
    <row r="8326" spans="4:5" x14ac:dyDescent="0.25">
      <c r="D8326" s="4">
        <v>43571</v>
      </c>
      <c r="E8326" s="6">
        <v>70.739999999999995</v>
      </c>
    </row>
    <row r="8327" spans="4:5" x14ac:dyDescent="0.25">
      <c r="D8327" s="4">
        <v>43572</v>
      </c>
      <c r="E8327" s="6">
        <v>71.14</v>
      </c>
    </row>
    <row r="8328" spans="4:5" x14ac:dyDescent="0.25">
      <c r="D8328" s="4">
        <v>43573</v>
      </c>
      <c r="E8328" s="6">
        <v>70.709999999999994</v>
      </c>
    </row>
    <row r="8329" spans="4:5" x14ac:dyDescent="0.25">
      <c r="D8329" s="4">
        <v>43574</v>
      </c>
      <c r="E8329" s="5"/>
    </row>
    <row r="8330" spans="4:5" x14ac:dyDescent="0.25">
      <c r="D8330" s="4">
        <v>43577</v>
      </c>
      <c r="E8330" s="6">
        <v>70.709999999999994</v>
      </c>
    </row>
    <row r="8331" spans="4:5" x14ac:dyDescent="0.25">
      <c r="D8331" s="4">
        <v>43578</v>
      </c>
      <c r="E8331" s="6">
        <v>74.39</v>
      </c>
    </row>
    <row r="8332" spans="4:5" x14ac:dyDescent="0.25">
      <c r="D8332" s="4">
        <v>43579</v>
      </c>
      <c r="E8332" s="6">
        <v>73.59</v>
      </c>
    </row>
    <row r="8333" spans="4:5" x14ac:dyDescent="0.25">
      <c r="D8333" s="4">
        <v>43580</v>
      </c>
      <c r="E8333" s="6">
        <v>74.94</v>
      </c>
    </row>
    <row r="8334" spans="4:5" x14ac:dyDescent="0.25">
      <c r="D8334" s="4">
        <v>43581</v>
      </c>
      <c r="E8334" s="6">
        <v>71.03</v>
      </c>
    </row>
    <row r="8335" spans="4:5" x14ac:dyDescent="0.25">
      <c r="D8335" s="4">
        <v>43584</v>
      </c>
      <c r="E8335" s="6">
        <v>71.22</v>
      </c>
    </row>
    <row r="8336" spans="4:5" x14ac:dyDescent="0.25">
      <c r="D8336" s="4">
        <v>43585</v>
      </c>
      <c r="E8336" s="6">
        <v>72.19</v>
      </c>
    </row>
    <row r="8337" spans="4:5" x14ac:dyDescent="0.25">
      <c r="D8337" s="4">
        <v>43586</v>
      </c>
      <c r="E8337" s="6">
        <v>72.010000000000005</v>
      </c>
    </row>
    <row r="8338" spans="4:5" x14ac:dyDescent="0.25">
      <c r="D8338" s="4">
        <v>43587</v>
      </c>
      <c r="E8338" s="6">
        <v>70.56</v>
      </c>
    </row>
    <row r="8339" spans="4:5" x14ac:dyDescent="0.25">
      <c r="D8339" s="4">
        <v>43588</v>
      </c>
      <c r="E8339" s="6">
        <v>71.95</v>
      </c>
    </row>
    <row r="8340" spans="4:5" x14ac:dyDescent="0.25">
      <c r="D8340" s="4">
        <v>43591</v>
      </c>
      <c r="E8340" s="6">
        <v>71.95</v>
      </c>
    </row>
    <row r="8341" spans="4:5" x14ac:dyDescent="0.25">
      <c r="D8341" s="4">
        <v>43592</v>
      </c>
      <c r="E8341" s="6">
        <v>70.98</v>
      </c>
    </row>
    <row r="8342" spans="4:5" x14ac:dyDescent="0.25">
      <c r="D8342" s="4">
        <v>43593</v>
      </c>
      <c r="E8342" s="6">
        <v>71.09</v>
      </c>
    </row>
    <row r="8343" spans="4:5" x14ac:dyDescent="0.25">
      <c r="D8343" s="4">
        <v>43594</v>
      </c>
      <c r="E8343" s="6">
        <v>70.61</v>
      </c>
    </row>
    <row r="8344" spans="4:5" x14ac:dyDescent="0.25">
      <c r="D8344" s="4">
        <v>43595</v>
      </c>
      <c r="E8344" s="6">
        <v>71.63</v>
      </c>
    </row>
    <row r="8345" spans="4:5" x14ac:dyDescent="0.25">
      <c r="D8345" s="4">
        <v>43598</v>
      </c>
      <c r="E8345" s="6">
        <v>72.349999999999994</v>
      </c>
    </row>
    <row r="8346" spans="4:5" x14ac:dyDescent="0.25">
      <c r="D8346" s="4">
        <v>43599</v>
      </c>
      <c r="E8346" s="6">
        <v>72.53</v>
      </c>
    </row>
    <row r="8347" spans="4:5" x14ac:dyDescent="0.25">
      <c r="D8347" s="4">
        <v>43600</v>
      </c>
      <c r="E8347" s="6">
        <v>73.09</v>
      </c>
    </row>
    <row r="8348" spans="4:5" x14ac:dyDescent="0.25">
      <c r="D8348" s="4">
        <v>43601</v>
      </c>
      <c r="E8348" s="6">
        <v>74.7</v>
      </c>
    </row>
    <row r="8349" spans="4:5" x14ac:dyDescent="0.25">
      <c r="D8349" s="4">
        <v>43602</v>
      </c>
      <c r="E8349" s="6">
        <v>73.94</v>
      </c>
    </row>
    <row r="8350" spans="4:5" x14ac:dyDescent="0.25">
      <c r="D8350" s="4">
        <v>43605</v>
      </c>
      <c r="E8350" s="6">
        <v>73.209999999999994</v>
      </c>
    </row>
    <row r="8351" spans="4:5" x14ac:dyDescent="0.25">
      <c r="D8351" s="4">
        <v>43606</v>
      </c>
      <c r="E8351" s="6">
        <v>72.94</v>
      </c>
    </row>
    <row r="8352" spans="4:5" x14ac:dyDescent="0.25">
      <c r="D8352" s="4">
        <v>43607</v>
      </c>
      <c r="E8352" s="6">
        <v>71.94</v>
      </c>
    </row>
    <row r="8353" spans="4:5" x14ac:dyDescent="0.25">
      <c r="D8353" s="4">
        <v>43608</v>
      </c>
      <c r="E8353" s="6">
        <v>68.37</v>
      </c>
    </row>
    <row r="8354" spans="4:5" x14ac:dyDescent="0.25">
      <c r="D8354" s="4">
        <v>43609</v>
      </c>
      <c r="E8354" s="6">
        <v>67.98</v>
      </c>
    </row>
    <row r="8355" spans="4:5" x14ac:dyDescent="0.25">
      <c r="D8355" s="4">
        <v>43612</v>
      </c>
      <c r="E8355" s="5"/>
    </row>
    <row r="8356" spans="4:5" x14ac:dyDescent="0.25">
      <c r="D8356" s="4">
        <v>43613</v>
      </c>
      <c r="E8356" s="6">
        <v>70.19</v>
      </c>
    </row>
    <row r="8357" spans="4:5" x14ac:dyDescent="0.25">
      <c r="D8357" s="4">
        <v>43614</v>
      </c>
      <c r="E8357" s="6">
        <v>70.64</v>
      </c>
    </row>
    <row r="8358" spans="4:5" x14ac:dyDescent="0.25">
      <c r="D8358" s="4">
        <v>43615</v>
      </c>
      <c r="E8358" s="6">
        <v>69.55</v>
      </c>
    </row>
    <row r="8359" spans="4:5" x14ac:dyDescent="0.25">
      <c r="D8359" s="4">
        <v>43616</v>
      </c>
      <c r="E8359" s="6">
        <v>66.78</v>
      </c>
    </row>
    <row r="8360" spans="4:5" x14ac:dyDescent="0.25">
      <c r="D8360" s="4">
        <v>43619</v>
      </c>
      <c r="E8360" s="6">
        <v>63.16</v>
      </c>
    </row>
    <row r="8361" spans="4:5" x14ac:dyDescent="0.25">
      <c r="D8361" s="4">
        <v>43620</v>
      </c>
      <c r="E8361" s="6">
        <v>63.56</v>
      </c>
    </row>
    <row r="8362" spans="4:5" x14ac:dyDescent="0.25">
      <c r="D8362" s="4">
        <v>43621</v>
      </c>
      <c r="E8362" s="6">
        <v>62.14</v>
      </c>
    </row>
    <row r="8363" spans="4:5" x14ac:dyDescent="0.25">
      <c r="D8363" s="4">
        <v>43622</v>
      </c>
      <c r="E8363" s="6">
        <v>62.77</v>
      </c>
    </row>
    <row r="8364" spans="4:5" x14ac:dyDescent="0.25">
      <c r="D8364" s="4">
        <v>43623</v>
      </c>
      <c r="E8364" s="6">
        <v>64.099999999999994</v>
      </c>
    </row>
    <row r="8365" spans="4:5" x14ac:dyDescent="0.25">
      <c r="D8365" s="4">
        <v>43626</v>
      </c>
      <c r="E8365" s="6">
        <v>64.31</v>
      </c>
    </row>
    <row r="8366" spans="4:5" x14ac:dyDescent="0.25">
      <c r="D8366" s="4">
        <v>43627</v>
      </c>
      <c r="E8366" s="6">
        <v>63.56</v>
      </c>
    </row>
    <row r="8367" spans="4:5" x14ac:dyDescent="0.25">
      <c r="D8367" s="4">
        <v>43628</v>
      </c>
      <c r="E8367" s="6">
        <v>61.66</v>
      </c>
    </row>
    <row r="8368" spans="4:5" x14ac:dyDescent="0.25">
      <c r="D8368" s="4">
        <v>43629</v>
      </c>
      <c r="E8368" s="6">
        <v>63.28</v>
      </c>
    </row>
    <row r="8369" spans="4:5" x14ac:dyDescent="0.25">
      <c r="D8369" s="4">
        <v>43630</v>
      </c>
      <c r="E8369" s="6">
        <v>63.13</v>
      </c>
    </row>
    <row r="8370" spans="4:5" x14ac:dyDescent="0.25">
      <c r="D8370" s="4">
        <v>43633</v>
      </c>
      <c r="E8370" s="6">
        <v>62.56</v>
      </c>
    </row>
    <row r="8371" spans="4:5" x14ac:dyDescent="0.25">
      <c r="D8371" s="4">
        <v>43634</v>
      </c>
      <c r="E8371" s="6">
        <v>63.35</v>
      </c>
    </row>
    <row r="8372" spans="4:5" x14ac:dyDescent="0.25">
      <c r="D8372" s="4">
        <v>43635</v>
      </c>
      <c r="E8372" s="6">
        <v>62.85</v>
      </c>
    </row>
    <row r="8373" spans="4:5" x14ac:dyDescent="0.25">
      <c r="D8373" s="4">
        <v>43636</v>
      </c>
      <c r="E8373" s="6">
        <v>65.44</v>
      </c>
    </row>
    <row r="8374" spans="4:5" x14ac:dyDescent="0.25">
      <c r="D8374" s="4">
        <v>43637</v>
      </c>
      <c r="E8374" s="6">
        <v>65.989999999999995</v>
      </c>
    </row>
    <row r="8375" spans="4:5" x14ac:dyDescent="0.25">
      <c r="D8375" s="4">
        <v>43640</v>
      </c>
      <c r="E8375" s="6">
        <v>65.16</v>
      </c>
    </row>
    <row r="8376" spans="4:5" x14ac:dyDescent="0.25">
      <c r="D8376" s="4">
        <v>43641</v>
      </c>
      <c r="E8376" s="6">
        <v>66.239999999999995</v>
      </c>
    </row>
    <row r="8377" spans="4:5" x14ac:dyDescent="0.25">
      <c r="D8377" s="4">
        <v>43642</v>
      </c>
      <c r="E8377" s="6">
        <v>66.849999999999994</v>
      </c>
    </row>
    <row r="8378" spans="4:5" x14ac:dyDescent="0.25">
      <c r="D8378" s="4">
        <v>43643</v>
      </c>
      <c r="E8378" s="6">
        <v>66.78</v>
      </c>
    </row>
    <row r="8379" spans="4:5" x14ac:dyDescent="0.25">
      <c r="D8379" s="4">
        <v>43644</v>
      </c>
      <c r="E8379" s="6">
        <v>67.52</v>
      </c>
    </row>
    <row r="8380" spans="4:5" x14ac:dyDescent="0.25">
      <c r="D8380" s="4">
        <v>43647</v>
      </c>
      <c r="E8380" s="6">
        <v>65.099999999999994</v>
      </c>
    </row>
    <row r="8381" spans="4:5" x14ac:dyDescent="0.25">
      <c r="D8381" s="4">
        <v>43648</v>
      </c>
      <c r="E8381" s="6">
        <v>62.72</v>
      </c>
    </row>
    <row r="8382" spans="4:5" x14ac:dyDescent="0.25">
      <c r="D8382" s="4">
        <v>43649</v>
      </c>
      <c r="E8382" s="6">
        <v>63.53</v>
      </c>
    </row>
    <row r="8383" spans="4:5" x14ac:dyDescent="0.25">
      <c r="D8383" s="4">
        <v>43650</v>
      </c>
      <c r="E8383" s="6">
        <v>63.62</v>
      </c>
    </row>
    <row r="8384" spans="4:5" x14ac:dyDescent="0.25">
      <c r="D8384" s="4">
        <v>43651</v>
      </c>
      <c r="E8384" s="6">
        <v>64.23</v>
      </c>
    </row>
    <row r="8385" spans="4:5" x14ac:dyDescent="0.25">
      <c r="D8385" s="4">
        <v>43654</v>
      </c>
      <c r="E8385" s="6">
        <v>64.89</v>
      </c>
    </row>
    <row r="8386" spans="4:5" x14ac:dyDescent="0.25">
      <c r="D8386" s="4">
        <v>43655</v>
      </c>
      <c r="E8386" s="6">
        <v>64.3</v>
      </c>
    </row>
    <row r="8387" spans="4:5" x14ac:dyDescent="0.25">
      <c r="D8387" s="4">
        <v>43656</v>
      </c>
      <c r="E8387" s="6">
        <v>66.41</v>
      </c>
    </row>
    <row r="8388" spans="4:5" x14ac:dyDescent="0.25">
      <c r="D8388" s="4">
        <v>43657</v>
      </c>
      <c r="E8388" s="6">
        <v>67.64</v>
      </c>
    </row>
    <row r="8389" spans="4:5" x14ac:dyDescent="0.25">
      <c r="D8389" s="4">
        <v>43658</v>
      </c>
      <c r="E8389" s="6">
        <v>66.650000000000006</v>
      </c>
    </row>
    <row r="8390" spans="4:5" x14ac:dyDescent="0.25">
      <c r="D8390" s="4">
        <v>43661</v>
      </c>
      <c r="E8390" s="6">
        <v>66.86</v>
      </c>
    </row>
    <row r="8391" spans="4:5" x14ac:dyDescent="0.25">
      <c r="D8391" s="4">
        <v>43662</v>
      </c>
      <c r="E8391" s="6">
        <v>65.87</v>
      </c>
    </row>
    <row r="8392" spans="4:5" x14ac:dyDescent="0.25">
      <c r="D8392" s="4">
        <v>43663</v>
      </c>
      <c r="E8392" s="6">
        <v>63.67</v>
      </c>
    </row>
    <row r="8393" spans="4:5" x14ac:dyDescent="0.25">
      <c r="D8393" s="4">
        <v>43664</v>
      </c>
      <c r="E8393" s="6">
        <v>60.7</v>
      </c>
    </row>
    <row r="8394" spans="4:5" x14ac:dyDescent="0.25">
      <c r="D8394" s="4">
        <v>43665</v>
      </c>
      <c r="E8394" s="6">
        <v>61.04</v>
      </c>
    </row>
    <row r="8395" spans="4:5" x14ac:dyDescent="0.25">
      <c r="D8395" s="4">
        <v>43668</v>
      </c>
      <c r="E8395" s="6">
        <v>61.96</v>
      </c>
    </row>
    <row r="8396" spans="4:5" x14ac:dyDescent="0.25">
      <c r="D8396" s="4">
        <v>43669</v>
      </c>
      <c r="E8396" s="6">
        <v>62.28</v>
      </c>
    </row>
    <row r="8397" spans="4:5" x14ac:dyDescent="0.25">
      <c r="D8397" s="4">
        <v>43670</v>
      </c>
      <c r="E8397" s="6">
        <v>63.83</v>
      </c>
    </row>
    <row r="8398" spans="4:5" x14ac:dyDescent="0.25">
      <c r="D8398" s="4">
        <v>43671</v>
      </c>
      <c r="E8398" s="6">
        <v>63.47</v>
      </c>
    </row>
    <row r="8399" spans="4:5" x14ac:dyDescent="0.25">
      <c r="D8399" s="4">
        <v>43672</v>
      </c>
      <c r="E8399" s="6">
        <v>62.46</v>
      </c>
    </row>
    <row r="8400" spans="4:5" x14ac:dyDescent="0.25">
      <c r="D8400" s="4">
        <v>43675</v>
      </c>
      <c r="E8400" s="6">
        <v>62.29</v>
      </c>
    </row>
    <row r="8401" spans="4:5" x14ac:dyDescent="0.25">
      <c r="D8401" s="4">
        <v>43676</v>
      </c>
      <c r="E8401" s="6">
        <v>62.55</v>
      </c>
    </row>
    <row r="8402" spans="4:5" x14ac:dyDescent="0.25">
      <c r="D8402" s="4">
        <v>43677</v>
      </c>
      <c r="E8402" s="6">
        <v>64.069999999999993</v>
      </c>
    </row>
    <row r="8403" spans="4:5" x14ac:dyDescent="0.25">
      <c r="D8403" s="4">
        <v>43678</v>
      </c>
      <c r="E8403" s="6">
        <v>62.9</v>
      </c>
    </row>
    <row r="8404" spans="4:5" x14ac:dyDescent="0.25">
      <c r="D8404" s="4">
        <v>43679</v>
      </c>
      <c r="E8404" s="6">
        <v>61.12</v>
      </c>
    </row>
    <row r="8405" spans="4:5" x14ac:dyDescent="0.25">
      <c r="D8405" s="4">
        <v>43682</v>
      </c>
      <c r="E8405" s="6">
        <v>59.32</v>
      </c>
    </row>
    <row r="8406" spans="4:5" x14ac:dyDescent="0.25">
      <c r="D8406" s="4">
        <v>43683</v>
      </c>
      <c r="E8406" s="6">
        <v>58.63</v>
      </c>
    </row>
    <row r="8407" spans="4:5" x14ac:dyDescent="0.25">
      <c r="D8407" s="4">
        <v>43684</v>
      </c>
      <c r="E8407" s="6">
        <v>55.03</v>
      </c>
    </row>
    <row r="8408" spans="4:5" x14ac:dyDescent="0.25">
      <c r="D8408" s="4">
        <v>43685</v>
      </c>
      <c r="E8408" s="6">
        <v>56.29</v>
      </c>
    </row>
    <row r="8409" spans="4:5" x14ac:dyDescent="0.25">
      <c r="D8409" s="4">
        <v>43686</v>
      </c>
      <c r="E8409" s="6">
        <v>57.37</v>
      </c>
    </row>
    <row r="8410" spans="4:5" x14ac:dyDescent="0.25">
      <c r="D8410" s="4">
        <v>43689</v>
      </c>
      <c r="E8410" s="6">
        <v>57.13</v>
      </c>
    </row>
    <row r="8411" spans="4:5" x14ac:dyDescent="0.25">
      <c r="D8411" s="4">
        <v>43690</v>
      </c>
      <c r="E8411" s="6">
        <v>59.9</v>
      </c>
    </row>
    <row r="8412" spans="4:5" x14ac:dyDescent="0.25">
      <c r="D8412" s="4">
        <v>43691</v>
      </c>
      <c r="E8412" s="6">
        <v>57.86</v>
      </c>
    </row>
    <row r="8413" spans="4:5" x14ac:dyDescent="0.25">
      <c r="D8413" s="4">
        <v>43692</v>
      </c>
      <c r="E8413" s="6">
        <v>57.37</v>
      </c>
    </row>
    <row r="8414" spans="4:5" x14ac:dyDescent="0.25">
      <c r="D8414" s="4">
        <v>43693</v>
      </c>
      <c r="E8414" s="6">
        <v>59</v>
      </c>
    </row>
    <row r="8415" spans="4:5" x14ac:dyDescent="0.25">
      <c r="D8415" s="4">
        <v>43696</v>
      </c>
      <c r="E8415" s="6">
        <v>59.79</v>
      </c>
    </row>
    <row r="8416" spans="4:5" x14ac:dyDescent="0.25">
      <c r="D8416" s="4">
        <v>43697</v>
      </c>
      <c r="E8416" s="6">
        <v>59.03</v>
      </c>
    </row>
    <row r="8417" spans="4:5" x14ac:dyDescent="0.25">
      <c r="D8417" s="4">
        <v>43698</v>
      </c>
      <c r="E8417" s="6">
        <v>60.6</v>
      </c>
    </row>
    <row r="8418" spans="4:5" x14ac:dyDescent="0.25">
      <c r="D8418" s="4">
        <v>43699</v>
      </c>
      <c r="E8418" s="6">
        <v>59.81</v>
      </c>
    </row>
    <row r="8419" spans="4:5" x14ac:dyDescent="0.25">
      <c r="D8419" s="4">
        <v>43700</v>
      </c>
      <c r="E8419" s="6">
        <v>58.64</v>
      </c>
    </row>
    <row r="8420" spans="4:5" x14ac:dyDescent="0.25">
      <c r="D8420" s="4">
        <v>43703</v>
      </c>
      <c r="E8420" s="6">
        <v>58.64</v>
      </c>
    </row>
    <row r="8421" spans="4:5" x14ac:dyDescent="0.25">
      <c r="D8421" s="4">
        <v>43704</v>
      </c>
      <c r="E8421" s="6">
        <v>58.44</v>
      </c>
    </row>
    <row r="8422" spans="4:5" x14ac:dyDescent="0.25">
      <c r="D8422" s="4">
        <v>43705</v>
      </c>
      <c r="E8422" s="6">
        <v>60.42</v>
      </c>
    </row>
    <row r="8423" spans="4:5" x14ac:dyDescent="0.25">
      <c r="D8423" s="4">
        <v>43706</v>
      </c>
      <c r="E8423" s="6">
        <v>60.59</v>
      </c>
    </row>
    <row r="8424" spans="4:5" x14ac:dyDescent="0.25">
      <c r="D8424" s="4">
        <v>43707</v>
      </c>
      <c r="E8424" s="6">
        <v>61.04</v>
      </c>
    </row>
    <row r="8425" spans="4:5" x14ac:dyDescent="0.25">
      <c r="D8425" s="4">
        <v>43710</v>
      </c>
      <c r="E8425" s="6">
        <v>58.55</v>
      </c>
    </row>
    <row r="8426" spans="4:5" x14ac:dyDescent="0.25">
      <c r="D8426" s="4">
        <v>43711</v>
      </c>
      <c r="E8426" s="6">
        <v>57.93</v>
      </c>
    </row>
    <row r="8427" spans="4:5" x14ac:dyDescent="0.25">
      <c r="D8427" s="4">
        <v>43712</v>
      </c>
      <c r="E8427" s="6">
        <v>60.68</v>
      </c>
    </row>
    <row r="8428" spans="4:5" x14ac:dyDescent="0.25">
      <c r="D8428" s="4">
        <v>43713</v>
      </c>
      <c r="E8428" s="6">
        <v>62.7</v>
      </c>
    </row>
    <row r="8429" spans="4:5" x14ac:dyDescent="0.25">
      <c r="D8429" s="4">
        <v>43714</v>
      </c>
      <c r="E8429" s="6">
        <v>61.28</v>
      </c>
    </row>
    <row r="8430" spans="4:5" x14ac:dyDescent="0.25">
      <c r="D8430" s="4">
        <v>43717</v>
      </c>
      <c r="E8430" s="6">
        <v>63.99</v>
      </c>
    </row>
    <row r="8431" spans="4:5" x14ac:dyDescent="0.25">
      <c r="D8431" s="4">
        <v>43718</v>
      </c>
      <c r="E8431" s="6">
        <v>64.67</v>
      </c>
    </row>
    <row r="8432" spans="4:5" x14ac:dyDescent="0.25">
      <c r="D8432" s="4">
        <v>43719</v>
      </c>
      <c r="E8432" s="6">
        <v>63.02</v>
      </c>
    </row>
    <row r="8433" spans="4:5" x14ac:dyDescent="0.25">
      <c r="D8433" s="4">
        <v>43720</v>
      </c>
      <c r="E8433" s="6">
        <v>60.76</v>
      </c>
    </row>
    <row r="8434" spans="4:5" x14ac:dyDescent="0.25">
      <c r="D8434" s="4">
        <v>43721</v>
      </c>
      <c r="E8434" s="6">
        <v>61.25</v>
      </c>
    </row>
    <row r="8435" spans="4:5" x14ac:dyDescent="0.25">
      <c r="D8435" s="4">
        <v>43724</v>
      </c>
      <c r="E8435" s="6">
        <v>68.42</v>
      </c>
    </row>
    <row r="8436" spans="4:5" x14ac:dyDescent="0.25">
      <c r="D8436" s="4">
        <v>43725</v>
      </c>
      <c r="E8436" s="6">
        <v>65.59</v>
      </c>
    </row>
    <row r="8437" spans="4:5" x14ac:dyDescent="0.25">
      <c r="D8437" s="4">
        <v>43726</v>
      </c>
      <c r="E8437" s="6">
        <v>64.290000000000006</v>
      </c>
    </row>
    <row r="8438" spans="4:5" x14ac:dyDescent="0.25">
      <c r="D8438" s="4">
        <v>43727</v>
      </c>
      <c r="E8438" s="6">
        <v>64.25</v>
      </c>
    </row>
    <row r="8439" spans="4:5" x14ac:dyDescent="0.25">
      <c r="D8439" s="4">
        <v>43728</v>
      </c>
      <c r="E8439" s="6">
        <v>65.23</v>
      </c>
    </row>
    <row r="8440" spans="4:5" x14ac:dyDescent="0.25">
      <c r="D8440" s="4">
        <v>43731</v>
      </c>
      <c r="E8440" s="6">
        <v>64.66</v>
      </c>
    </row>
    <row r="8441" spans="4:5" x14ac:dyDescent="0.25">
      <c r="D8441" s="4">
        <v>43732</v>
      </c>
      <c r="E8441" s="6">
        <v>64.13</v>
      </c>
    </row>
    <row r="8442" spans="4:5" x14ac:dyDescent="0.25">
      <c r="D8442" s="4">
        <v>43733</v>
      </c>
      <c r="E8442" s="6">
        <v>62.41</v>
      </c>
    </row>
    <row r="8443" spans="4:5" x14ac:dyDescent="0.25">
      <c r="D8443" s="4">
        <v>43734</v>
      </c>
      <c r="E8443" s="6">
        <v>62.08</v>
      </c>
    </row>
    <row r="8444" spans="4:5" x14ac:dyDescent="0.25">
      <c r="D8444" s="4">
        <v>43735</v>
      </c>
      <c r="E8444" s="6">
        <v>62.48</v>
      </c>
    </row>
    <row r="8445" spans="4:5" x14ac:dyDescent="0.25">
      <c r="D8445" s="4">
        <v>43738</v>
      </c>
      <c r="E8445" s="6">
        <v>60.99</v>
      </c>
    </row>
    <row r="8446" spans="4:5" x14ac:dyDescent="0.25">
      <c r="D8446" s="4">
        <v>43739</v>
      </c>
      <c r="E8446" s="6">
        <v>60.06</v>
      </c>
    </row>
    <row r="8447" spans="4:5" x14ac:dyDescent="0.25">
      <c r="D8447" s="4">
        <v>43740</v>
      </c>
      <c r="E8447" s="6">
        <v>57.92</v>
      </c>
    </row>
    <row r="8448" spans="4:5" x14ac:dyDescent="0.25">
      <c r="D8448" s="4">
        <v>43741</v>
      </c>
      <c r="E8448" s="6">
        <v>58.01</v>
      </c>
    </row>
    <row r="8449" spans="4:5" x14ac:dyDescent="0.25">
      <c r="D8449" s="4">
        <v>43742</v>
      </c>
      <c r="E8449" s="6">
        <v>59.13</v>
      </c>
    </row>
    <row r="8450" spans="4:5" x14ac:dyDescent="0.25">
      <c r="D8450" s="4">
        <v>43745</v>
      </c>
      <c r="E8450" s="6">
        <v>59.46</v>
      </c>
    </row>
    <row r="8451" spans="4:5" x14ac:dyDescent="0.25">
      <c r="D8451" s="4">
        <v>43746</v>
      </c>
      <c r="E8451" s="6">
        <v>58.14</v>
      </c>
    </row>
    <row r="8452" spans="4:5" x14ac:dyDescent="0.25">
      <c r="D8452" s="4">
        <v>43747</v>
      </c>
      <c r="E8452" s="6">
        <v>59.7</v>
      </c>
    </row>
    <row r="8453" spans="4:5" x14ac:dyDescent="0.25">
      <c r="D8453" s="4">
        <v>43748</v>
      </c>
      <c r="E8453" s="6">
        <v>59.08</v>
      </c>
    </row>
    <row r="8454" spans="4:5" x14ac:dyDescent="0.25">
      <c r="D8454" s="4">
        <v>43749</v>
      </c>
      <c r="E8454" s="6">
        <v>60.59</v>
      </c>
    </row>
    <row r="8455" spans="4:5" x14ac:dyDescent="0.25">
      <c r="D8455" s="4">
        <v>43752</v>
      </c>
      <c r="E8455" s="6">
        <v>58.81</v>
      </c>
    </row>
    <row r="8456" spans="4:5" x14ac:dyDescent="0.25">
      <c r="D8456" s="4">
        <v>43753</v>
      </c>
      <c r="E8456" s="6">
        <v>59.19</v>
      </c>
    </row>
    <row r="8457" spans="4:5" x14ac:dyDescent="0.25">
      <c r="D8457" s="4">
        <v>43754</v>
      </c>
      <c r="E8457" s="6">
        <v>59.3</v>
      </c>
    </row>
    <row r="8458" spans="4:5" x14ac:dyDescent="0.25">
      <c r="D8458" s="4">
        <v>43755</v>
      </c>
      <c r="E8458" s="6">
        <v>59.35</v>
      </c>
    </row>
    <row r="8459" spans="4:5" x14ac:dyDescent="0.25">
      <c r="D8459" s="4">
        <v>43756</v>
      </c>
      <c r="E8459" s="6">
        <v>59.96</v>
      </c>
    </row>
    <row r="8460" spans="4:5" x14ac:dyDescent="0.25">
      <c r="D8460" s="4">
        <v>43759</v>
      </c>
      <c r="E8460" s="6">
        <v>58.95</v>
      </c>
    </row>
    <row r="8461" spans="4:5" x14ac:dyDescent="0.25">
      <c r="D8461" s="4">
        <v>43760</v>
      </c>
      <c r="E8461" s="6">
        <v>60.5</v>
      </c>
    </row>
    <row r="8462" spans="4:5" x14ac:dyDescent="0.25">
      <c r="D8462" s="4">
        <v>43761</v>
      </c>
      <c r="E8462" s="6">
        <v>60.52</v>
      </c>
    </row>
    <row r="8463" spans="4:5" x14ac:dyDescent="0.25">
      <c r="D8463" s="4">
        <v>43762</v>
      </c>
      <c r="E8463" s="6">
        <v>61.71</v>
      </c>
    </row>
    <row r="8464" spans="4:5" x14ac:dyDescent="0.25">
      <c r="D8464" s="4">
        <v>43763</v>
      </c>
      <c r="E8464" s="6">
        <v>62.06</v>
      </c>
    </row>
    <row r="8465" spans="4:5" x14ac:dyDescent="0.25">
      <c r="D8465" s="4">
        <v>43766</v>
      </c>
      <c r="E8465" s="6">
        <v>60.39</v>
      </c>
    </row>
    <row r="8466" spans="4:5" x14ac:dyDescent="0.25">
      <c r="D8466" s="4">
        <v>43767</v>
      </c>
      <c r="E8466" s="6">
        <v>61.05</v>
      </c>
    </row>
    <row r="8467" spans="4:5" x14ac:dyDescent="0.25">
      <c r="D8467" s="4">
        <v>43768</v>
      </c>
      <c r="E8467" s="6">
        <v>60.22</v>
      </c>
    </row>
    <row r="8468" spans="4:5" x14ac:dyDescent="0.25">
      <c r="D8468" s="4">
        <v>43769</v>
      </c>
      <c r="E8468" s="6">
        <v>59.3</v>
      </c>
    </row>
    <row r="8469" spans="4:5" x14ac:dyDescent="0.25">
      <c r="D8469" s="4">
        <v>43770</v>
      </c>
      <c r="E8469" s="6">
        <v>60.17</v>
      </c>
    </row>
    <row r="8470" spans="4:5" x14ac:dyDescent="0.25">
      <c r="D8470" s="4">
        <v>43773</v>
      </c>
      <c r="E8470" s="6">
        <v>62.52</v>
      </c>
    </row>
    <row r="8471" spans="4:5" x14ac:dyDescent="0.25">
      <c r="D8471" s="4">
        <v>43774</v>
      </c>
      <c r="E8471" s="6">
        <v>62.72</v>
      </c>
    </row>
    <row r="8472" spans="4:5" x14ac:dyDescent="0.25">
      <c r="D8472" s="4">
        <v>43775</v>
      </c>
      <c r="E8472" s="6">
        <v>62.11</v>
      </c>
    </row>
    <row r="8473" spans="4:5" x14ac:dyDescent="0.25">
      <c r="D8473" s="4">
        <v>43776</v>
      </c>
      <c r="E8473" s="6">
        <v>62.6</v>
      </c>
    </row>
    <row r="8474" spans="4:5" x14ac:dyDescent="0.25">
      <c r="D8474" s="4">
        <v>43777</v>
      </c>
      <c r="E8474" s="6">
        <v>62</v>
      </c>
    </row>
    <row r="8475" spans="4:5" x14ac:dyDescent="0.25">
      <c r="D8475" s="4">
        <v>43780</v>
      </c>
      <c r="E8475" s="6">
        <v>62.58</v>
      </c>
    </row>
    <row r="8476" spans="4:5" x14ac:dyDescent="0.25">
      <c r="D8476" s="4">
        <v>43781</v>
      </c>
      <c r="E8476" s="6">
        <v>62.19</v>
      </c>
    </row>
    <row r="8477" spans="4:5" x14ac:dyDescent="0.25">
      <c r="D8477" s="4">
        <v>43782</v>
      </c>
      <c r="E8477" s="6">
        <v>62.27</v>
      </c>
    </row>
    <row r="8478" spans="4:5" x14ac:dyDescent="0.25">
      <c r="D8478" s="4">
        <v>43783</v>
      </c>
      <c r="E8478" s="6">
        <v>62.46</v>
      </c>
    </row>
    <row r="8479" spans="4:5" x14ac:dyDescent="0.25">
      <c r="D8479" s="4">
        <v>43784</v>
      </c>
      <c r="E8479" s="6">
        <v>63.32</v>
      </c>
    </row>
    <row r="8480" spans="4:5" x14ac:dyDescent="0.25">
      <c r="D8480" s="4">
        <v>43787</v>
      </c>
      <c r="E8480" s="6">
        <v>62.82</v>
      </c>
    </row>
    <row r="8481" spans="4:5" x14ac:dyDescent="0.25">
      <c r="D8481" s="4">
        <v>43788</v>
      </c>
      <c r="E8481" s="6">
        <v>62.37</v>
      </c>
    </row>
    <row r="8482" spans="4:5" x14ac:dyDescent="0.25">
      <c r="D8482" s="4">
        <v>43789</v>
      </c>
      <c r="E8482" s="6">
        <v>63.8</v>
      </c>
    </row>
    <row r="8483" spans="4:5" x14ac:dyDescent="0.25">
      <c r="D8483" s="4">
        <v>43790</v>
      </c>
      <c r="E8483" s="6">
        <v>64.989999999999995</v>
      </c>
    </row>
    <row r="8484" spans="4:5" x14ac:dyDescent="0.25">
      <c r="D8484" s="4">
        <v>43791</v>
      </c>
      <c r="E8484" s="6">
        <v>64.83</v>
      </c>
    </row>
    <row r="8485" spans="4:5" x14ac:dyDescent="0.25">
      <c r="D8485" s="4">
        <v>43794</v>
      </c>
      <c r="E8485" s="6">
        <v>64.67</v>
      </c>
    </row>
    <row r="8486" spans="4:5" x14ac:dyDescent="0.25">
      <c r="D8486" s="4">
        <v>43795</v>
      </c>
      <c r="E8486" s="6">
        <v>64.819999999999993</v>
      </c>
    </row>
    <row r="8487" spans="4:5" x14ac:dyDescent="0.25">
      <c r="D8487" s="4">
        <v>43796</v>
      </c>
      <c r="E8487" s="6">
        <v>65.03</v>
      </c>
    </row>
    <row r="8488" spans="4:5" x14ac:dyDescent="0.25">
      <c r="D8488" s="4">
        <v>43797</v>
      </c>
      <c r="E8488" s="6">
        <v>64.680000000000007</v>
      </c>
    </row>
    <row r="8489" spans="4:5" x14ac:dyDescent="0.25">
      <c r="D8489" s="4">
        <v>43798</v>
      </c>
      <c r="E8489" s="6">
        <v>64.5</v>
      </c>
    </row>
    <row r="8490" spans="4:5" x14ac:dyDescent="0.25">
      <c r="D8490" s="4">
        <v>43801</v>
      </c>
      <c r="E8490" s="6">
        <v>63.2</v>
      </c>
    </row>
    <row r="8491" spans="4:5" x14ac:dyDescent="0.25">
      <c r="D8491" s="4">
        <v>43802</v>
      </c>
      <c r="E8491" s="6">
        <v>62.95</v>
      </c>
    </row>
    <row r="8492" spans="4:5" x14ac:dyDescent="0.25">
      <c r="D8492" s="4">
        <v>43803</v>
      </c>
      <c r="E8492" s="6">
        <v>65.25</v>
      </c>
    </row>
    <row r="8493" spans="4:5" x14ac:dyDescent="0.25">
      <c r="D8493" s="4">
        <v>43804</v>
      </c>
      <c r="E8493" s="6">
        <v>65.67</v>
      </c>
    </row>
    <row r="8494" spans="4:5" x14ac:dyDescent="0.25">
      <c r="D8494" s="4">
        <v>43805</v>
      </c>
      <c r="E8494" s="6">
        <v>66.5</v>
      </c>
    </row>
    <row r="8495" spans="4:5" x14ac:dyDescent="0.25">
      <c r="D8495" s="4">
        <v>43808</v>
      </c>
      <c r="E8495" s="6">
        <v>66.44</v>
      </c>
    </row>
    <row r="8496" spans="4:5" x14ac:dyDescent="0.25">
      <c r="D8496" s="4">
        <v>43809</v>
      </c>
      <c r="E8496" s="6">
        <v>66.569999999999993</v>
      </c>
    </row>
    <row r="8497" spans="4:5" x14ac:dyDescent="0.25">
      <c r="D8497" s="4">
        <v>43810</v>
      </c>
      <c r="E8497" s="6">
        <v>65.37</v>
      </c>
    </row>
    <row r="8498" spans="4:5" x14ac:dyDescent="0.25">
      <c r="D8498" s="4">
        <v>43811</v>
      </c>
      <c r="E8498" s="6">
        <v>66.67</v>
      </c>
    </row>
    <row r="8499" spans="4:5" x14ac:dyDescent="0.25">
      <c r="D8499" s="4">
        <v>43812</v>
      </c>
      <c r="E8499" s="6">
        <v>67.44</v>
      </c>
    </row>
    <row r="8500" spans="4:5" x14ac:dyDescent="0.25">
      <c r="D8500" s="4">
        <v>43815</v>
      </c>
      <c r="E8500" s="6">
        <v>68.040000000000006</v>
      </c>
    </row>
    <row r="8501" spans="4:5" x14ac:dyDescent="0.25">
      <c r="D8501" s="4">
        <v>43816</v>
      </c>
      <c r="E8501" s="6">
        <v>68.989999999999995</v>
      </c>
    </row>
    <row r="8502" spans="4:5" x14ac:dyDescent="0.25">
      <c r="D8502" s="4">
        <v>43817</v>
      </c>
      <c r="E8502" s="6">
        <v>69.12</v>
      </c>
    </row>
    <row r="8503" spans="4:5" x14ac:dyDescent="0.25">
      <c r="D8503" s="4">
        <v>43818</v>
      </c>
      <c r="E8503" s="6">
        <v>69.7</v>
      </c>
    </row>
    <row r="8504" spans="4:5" x14ac:dyDescent="0.25">
      <c r="D8504" s="4">
        <v>43819</v>
      </c>
      <c r="E8504" s="6">
        <v>68.66</v>
      </c>
    </row>
    <row r="8505" spans="4:5" x14ac:dyDescent="0.25">
      <c r="D8505" s="4">
        <v>43822</v>
      </c>
      <c r="E8505" s="6">
        <v>67.489999999999995</v>
      </c>
    </row>
    <row r="8506" spans="4:5" x14ac:dyDescent="0.25">
      <c r="D8506" s="4">
        <v>43823</v>
      </c>
      <c r="E8506" s="6">
        <v>69.260000000000005</v>
      </c>
    </row>
    <row r="8507" spans="4:5" x14ac:dyDescent="0.25">
      <c r="D8507" s="4">
        <v>43824</v>
      </c>
      <c r="E8507" s="5"/>
    </row>
    <row r="8508" spans="4:5" x14ac:dyDescent="0.25">
      <c r="D8508" s="4">
        <v>43825</v>
      </c>
      <c r="E8508" s="6">
        <v>69.260000000000005</v>
      </c>
    </row>
    <row r="8509" spans="4:5" x14ac:dyDescent="0.25">
      <c r="D8509" s="4">
        <v>43826</v>
      </c>
      <c r="E8509" s="6">
        <v>68.91</v>
      </c>
    </row>
    <row r="8510" spans="4:5" x14ac:dyDescent="0.25">
      <c r="D8510" s="4">
        <v>43829</v>
      </c>
      <c r="E8510" s="6">
        <v>68.3</v>
      </c>
    </row>
    <row r="8511" spans="4:5" x14ac:dyDescent="0.25">
      <c r="D8511" s="4">
        <v>43830</v>
      </c>
      <c r="E8511" s="6">
        <v>67.77</v>
      </c>
    </row>
    <row r="8512" spans="4:5" x14ac:dyDescent="0.25">
      <c r="D8512" s="4">
        <v>43831</v>
      </c>
      <c r="E8512" s="5"/>
    </row>
    <row r="8513" spans="4:5" x14ac:dyDescent="0.25">
      <c r="D8513" s="4">
        <v>43832</v>
      </c>
      <c r="E8513" s="6">
        <v>67.05</v>
      </c>
    </row>
    <row r="8514" spans="4:5" x14ac:dyDescent="0.25">
      <c r="D8514" s="4">
        <v>43833</v>
      </c>
      <c r="E8514" s="6">
        <v>69.08</v>
      </c>
    </row>
    <row r="8515" spans="4:5" x14ac:dyDescent="0.25">
      <c r="D8515" s="4">
        <v>43836</v>
      </c>
      <c r="E8515" s="6">
        <v>70.25</v>
      </c>
    </row>
    <row r="8516" spans="4:5" x14ac:dyDescent="0.25">
      <c r="D8516" s="4">
        <v>43837</v>
      </c>
      <c r="E8516" s="6">
        <v>68.739999999999995</v>
      </c>
    </row>
    <row r="8517" spans="4:5" x14ac:dyDescent="0.25">
      <c r="D8517" s="4">
        <v>43838</v>
      </c>
      <c r="E8517" s="6">
        <v>67.31</v>
      </c>
    </row>
    <row r="8518" spans="4:5" x14ac:dyDescent="0.25">
      <c r="D8518" s="4">
        <v>43839</v>
      </c>
      <c r="E8518" s="6">
        <v>66.58</v>
      </c>
    </row>
    <row r="8519" spans="4:5" x14ac:dyDescent="0.25">
      <c r="D8519" s="4">
        <v>43840</v>
      </c>
      <c r="E8519" s="6">
        <v>66.77</v>
      </c>
    </row>
    <row r="8520" spans="4:5" x14ac:dyDescent="0.25">
      <c r="D8520" s="4">
        <v>43843</v>
      </c>
      <c r="E8520" s="6">
        <v>64.14</v>
      </c>
    </row>
    <row r="8521" spans="4:5" x14ac:dyDescent="0.25">
      <c r="D8521" s="4">
        <v>43844</v>
      </c>
      <c r="E8521" s="6">
        <v>64.45</v>
      </c>
    </row>
    <row r="8522" spans="4:5" x14ac:dyDescent="0.25">
      <c r="D8522" s="4">
        <v>43845</v>
      </c>
      <c r="E8522" s="6">
        <v>63.29</v>
      </c>
    </row>
    <row r="8523" spans="4:5" x14ac:dyDescent="0.25">
      <c r="D8523" s="4">
        <v>43846</v>
      </c>
      <c r="E8523" s="6">
        <v>64.63</v>
      </c>
    </row>
    <row r="8524" spans="4:5" x14ac:dyDescent="0.25">
      <c r="D8524" s="4">
        <v>43847</v>
      </c>
      <c r="E8524" s="6">
        <v>64.05</v>
      </c>
    </row>
    <row r="8525" spans="4:5" x14ac:dyDescent="0.25">
      <c r="D8525" s="4">
        <v>43850</v>
      </c>
      <c r="E8525" s="6">
        <v>64.63</v>
      </c>
    </row>
    <row r="8526" spans="4:5" x14ac:dyDescent="0.25">
      <c r="D8526" s="4">
        <v>43851</v>
      </c>
      <c r="E8526" s="6">
        <v>63.66</v>
      </c>
    </row>
    <row r="8527" spans="4:5" x14ac:dyDescent="0.25">
      <c r="D8527" s="4">
        <v>43852</v>
      </c>
      <c r="E8527" s="6">
        <v>62.11</v>
      </c>
    </row>
    <row r="8528" spans="4:5" x14ac:dyDescent="0.25">
      <c r="D8528" s="4">
        <v>43853</v>
      </c>
      <c r="E8528" s="6">
        <v>61.26</v>
      </c>
    </row>
    <row r="8529" spans="4:5" x14ac:dyDescent="0.25">
      <c r="D8529" s="4">
        <v>43854</v>
      </c>
      <c r="E8529" s="6">
        <v>59.34</v>
      </c>
    </row>
    <row r="8530" spans="4:5" x14ac:dyDescent="0.25">
      <c r="D8530" s="4">
        <v>43857</v>
      </c>
      <c r="E8530" s="6">
        <v>58.54</v>
      </c>
    </row>
    <row r="8531" spans="4:5" x14ac:dyDescent="0.25">
      <c r="D8531" s="4">
        <v>43858</v>
      </c>
      <c r="E8531" s="6">
        <v>59.37</v>
      </c>
    </row>
    <row r="8532" spans="4:5" x14ac:dyDescent="0.25">
      <c r="D8532" s="4">
        <v>43859</v>
      </c>
      <c r="E8532" s="6">
        <v>59.46</v>
      </c>
    </row>
    <row r="8533" spans="4:5" x14ac:dyDescent="0.25">
      <c r="D8533" s="4">
        <v>43860</v>
      </c>
      <c r="E8533" s="6">
        <v>57.72</v>
      </c>
    </row>
    <row r="8534" spans="4:5" x14ac:dyDescent="0.25">
      <c r="D8534" s="4">
        <v>43861</v>
      </c>
      <c r="E8534" s="6">
        <v>57.77</v>
      </c>
    </row>
    <row r="8535" spans="4:5" x14ac:dyDescent="0.25">
      <c r="D8535" s="4">
        <v>43864</v>
      </c>
      <c r="E8535" s="6">
        <v>54</v>
      </c>
    </row>
    <row r="8536" spans="4:5" x14ac:dyDescent="0.25">
      <c r="D8536" s="4">
        <v>43865</v>
      </c>
      <c r="E8536" s="6">
        <v>53.9</v>
      </c>
    </row>
    <row r="8537" spans="4:5" x14ac:dyDescent="0.25">
      <c r="D8537" s="4">
        <v>43866</v>
      </c>
      <c r="E8537" s="6">
        <v>55.36</v>
      </c>
    </row>
    <row r="8538" spans="4:5" x14ac:dyDescent="0.25">
      <c r="D8538" s="4">
        <v>43867</v>
      </c>
      <c r="E8538" s="6">
        <v>55.18</v>
      </c>
    </row>
    <row r="8539" spans="4:5" x14ac:dyDescent="0.25">
      <c r="D8539" s="4">
        <v>43868</v>
      </c>
      <c r="E8539" s="6">
        <v>54.53</v>
      </c>
    </row>
    <row r="8540" spans="4:5" x14ac:dyDescent="0.25">
      <c r="D8540" s="4">
        <v>43871</v>
      </c>
      <c r="E8540" s="6">
        <v>53.39</v>
      </c>
    </row>
    <row r="8541" spans="4:5" x14ac:dyDescent="0.25">
      <c r="D8541" s="4">
        <v>43872</v>
      </c>
      <c r="E8541" s="6">
        <v>54</v>
      </c>
    </row>
    <row r="8542" spans="4:5" x14ac:dyDescent="0.25">
      <c r="D8542" s="4">
        <v>43873</v>
      </c>
      <c r="E8542" s="6">
        <v>55.54</v>
      </c>
    </row>
    <row r="8543" spans="4:5" x14ac:dyDescent="0.25">
      <c r="D8543" s="4">
        <v>43874</v>
      </c>
      <c r="E8543" s="6">
        <v>56.34</v>
      </c>
    </row>
    <row r="8544" spans="4:5" x14ac:dyDescent="0.25">
      <c r="D8544" s="4">
        <v>43875</v>
      </c>
      <c r="E8544" s="6">
        <v>57.37</v>
      </c>
    </row>
    <row r="8545" spans="4:5" x14ac:dyDescent="0.25">
      <c r="D8545" s="4">
        <v>43878</v>
      </c>
      <c r="E8545" s="6">
        <v>57.83</v>
      </c>
    </row>
    <row r="8546" spans="4:5" x14ac:dyDescent="0.25">
      <c r="D8546" s="4">
        <v>43879</v>
      </c>
      <c r="E8546" s="6">
        <v>57.35</v>
      </c>
    </row>
    <row r="8547" spans="4:5" x14ac:dyDescent="0.25">
      <c r="D8547" s="4">
        <v>43880</v>
      </c>
      <c r="E8547" s="6">
        <v>59.72</v>
      </c>
    </row>
    <row r="8548" spans="4:5" x14ac:dyDescent="0.25">
      <c r="D8548" s="4">
        <v>43881</v>
      </c>
      <c r="E8548" s="6">
        <v>59.57</v>
      </c>
    </row>
    <row r="8549" spans="4:5" x14ac:dyDescent="0.25">
      <c r="D8549" s="4">
        <v>43882</v>
      </c>
      <c r="E8549" s="6">
        <v>58.6</v>
      </c>
    </row>
    <row r="8550" spans="4:5" x14ac:dyDescent="0.25">
      <c r="D8550" s="4">
        <v>43885</v>
      </c>
      <c r="E8550" s="6">
        <v>56.71</v>
      </c>
    </row>
    <row r="8551" spans="4:5" x14ac:dyDescent="0.25">
      <c r="D8551" s="4">
        <v>43886</v>
      </c>
      <c r="E8551" s="6">
        <v>55.29</v>
      </c>
    </row>
    <row r="8552" spans="4:5" x14ac:dyDescent="0.25">
      <c r="D8552" s="4">
        <v>43887</v>
      </c>
      <c r="E8552" s="6">
        <v>54.96</v>
      </c>
    </row>
    <row r="8553" spans="4:5" x14ac:dyDescent="0.25">
      <c r="D8553" s="4">
        <v>43888</v>
      </c>
      <c r="E8553" s="6">
        <v>52.19</v>
      </c>
    </row>
    <row r="8554" spans="4:5" x14ac:dyDescent="0.25">
      <c r="D8554" s="4">
        <v>43889</v>
      </c>
      <c r="E8554" s="6">
        <v>51.31</v>
      </c>
    </row>
    <row r="8555" spans="4:5" x14ac:dyDescent="0.25">
      <c r="D8555" s="4">
        <v>43892</v>
      </c>
      <c r="E8555" s="6">
        <v>52.52</v>
      </c>
    </row>
    <row r="8556" spans="4:5" x14ac:dyDescent="0.25">
      <c r="D8556" s="4">
        <v>43893</v>
      </c>
      <c r="E8556" s="6">
        <v>52.24</v>
      </c>
    </row>
    <row r="8557" spans="4:5" x14ac:dyDescent="0.25">
      <c r="D8557" s="4">
        <v>43894</v>
      </c>
      <c r="E8557" s="6">
        <v>51.86</v>
      </c>
    </row>
    <row r="8558" spans="4:5" x14ac:dyDescent="0.25">
      <c r="D8558" s="4">
        <v>43895</v>
      </c>
      <c r="E8558" s="6">
        <v>51.29</v>
      </c>
    </row>
    <row r="8559" spans="4:5" x14ac:dyDescent="0.25">
      <c r="D8559" s="4">
        <v>43896</v>
      </c>
      <c r="E8559" s="6">
        <v>45.6</v>
      </c>
    </row>
    <row r="8560" spans="4:5" x14ac:dyDescent="0.25">
      <c r="D8560" s="4">
        <v>43899</v>
      </c>
      <c r="E8560" s="6">
        <v>35.33</v>
      </c>
    </row>
    <row r="8561" spans="4:5" x14ac:dyDescent="0.25">
      <c r="D8561" s="4">
        <v>43900</v>
      </c>
      <c r="E8561" s="6">
        <v>35.57</v>
      </c>
    </row>
    <row r="8562" spans="4:5" x14ac:dyDescent="0.25">
      <c r="D8562" s="4">
        <v>43901</v>
      </c>
      <c r="E8562" s="6">
        <v>34.450000000000003</v>
      </c>
    </row>
    <row r="8563" spans="4:5" x14ac:dyDescent="0.25">
      <c r="D8563" s="4">
        <v>43902</v>
      </c>
      <c r="E8563" s="6">
        <v>31.02</v>
      </c>
    </row>
    <row r="8564" spans="4:5" x14ac:dyDescent="0.25">
      <c r="D8564" s="4">
        <v>43903</v>
      </c>
      <c r="E8564" s="6">
        <v>32.25</v>
      </c>
    </row>
    <row r="8565" spans="4:5" x14ac:dyDescent="0.25">
      <c r="D8565" s="4">
        <v>43906</v>
      </c>
      <c r="E8565" s="6">
        <v>27.98</v>
      </c>
    </row>
    <row r="8566" spans="4:5" x14ac:dyDescent="0.25">
      <c r="D8566" s="4">
        <v>43907</v>
      </c>
      <c r="E8566" s="6">
        <v>27.97</v>
      </c>
    </row>
    <row r="8567" spans="4:5" x14ac:dyDescent="0.25">
      <c r="D8567" s="4">
        <v>43908</v>
      </c>
      <c r="E8567" s="6">
        <v>22.79</v>
      </c>
    </row>
    <row r="8568" spans="4:5" x14ac:dyDescent="0.25">
      <c r="D8568" s="4">
        <v>43909</v>
      </c>
      <c r="E8568" s="6">
        <v>23.98</v>
      </c>
    </row>
    <row r="8569" spans="4:5" x14ac:dyDescent="0.25">
      <c r="D8569" s="4">
        <v>43910</v>
      </c>
      <c r="E8569" s="6">
        <v>25.55</v>
      </c>
    </row>
    <row r="8570" spans="4:5" x14ac:dyDescent="0.25">
      <c r="D8570" s="4">
        <v>43913</v>
      </c>
      <c r="E8570" s="6">
        <v>23.75</v>
      </c>
    </row>
    <row r="8571" spans="4:5" x14ac:dyDescent="0.25">
      <c r="D8571" s="4">
        <v>43914</v>
      </c>
      <c r="E8571" s="6">
        <v>24.5</v>
      </c>
    </row>
    <row r="8572" spans="4:5" x14ac:dyDescent="0.25">
      <c r="D8572" s="4">
        <v>43915</v>
      </c>
      <c r="E8572" s="6">
        <v>25.62</v>
      </c>
    </row>
    <row r="8573" spans="4:5" x14ac:dyDescent="0.25">
      <c r="D8573" s="4">
        <v>43916</v>
      </c>
      <c r="E8573" s="6">
        <v>23.55</v>
      </c>
    </row>
    <row r="8574" spans="4:5" x14ac:dyDescent="0.25">
      <c r="D8574" s="4">
        <v>43917</v>
      </c>
      <c r="E8574" s="6">
        <v>22.39</v>
      </c>
    </row>
    <row r="8575" spans="4:5" x14ac:dyDescent="0.25">
      <c r="D8575" s="4">
        <v>43920</v>
      </c>
      <c r="E8575" s="6">
        <v>19.190000000000001</v>
      </c>
    </row>
    <row r="8576" spans="4:5" x14ac:dyDescent="0.25">
      <c r="D8576" s="4">
        <v>43921</v>
      </c>
      <c r="E8576" s="6">
        <v>14.85</v>
      </c>
    </row>
    <row r="8577" spans="4:5" x14ac:dyDescent="0.25">
      <c r="D8577" s="4">
        <v>43922</v>
      </c>
      <c r="E8577" s="6">
        <v>14.97</v>
      </c>
    </row>
    <row r="8578" spans="4:5" x14ac:dyDescent="0.25">
      <c r="D8578" s="4">
        <v>43923</v>
      </c>
      <c r="E8578" s="6">
        <v>20.239999999999998</v>
      </c>
    </row>
    <row r="8579" spans="4:5" x14ac:dyDescent="0.25">
      <c r="D8579" s="4">
        <v>43924</v>
      </c>
      <c r="E8579" s="6">
        <v>24.33</v>
      </c>
    </row>
    <row r="8580" spans="4:5" x14ac:dyDescent="0.25">
      <c r="D8580" s="4">
        <v>43927</v>
      </c>
      <c r="E8580" s="6">
        <v>22.58</v>
      </c>
    </row>
    <row r="8581" spans="4:5" x14ac:dyDescent="0.25">
      <c r="D8581" s="4">
        <v>43928</v>
      </c>
      <c r="E8581" s="6">
        <v>22.1</v>
      </c>
    </row>
    <row r="8582" spans="4:5" x14ac:dyDescent="0.25">
      <c r="D8582" s="4">
        <v>43929</v>
      </c>
      <c r="E8582" s="6">
        <v>25.22</v>
      </c>
    </row>
    <row r="8583" spans="4:5" x14ac:dyDescent="0.25">
      <c r="D8583" s="4">
        <v>43930</v>
      </c>
      <c r="E8583" s="6">
        <v>20.23</v>
      </c>
    </row>
    <row r="8584" spans="4:5" x14ac:dyDescent="0.25">
      <c r="D8584" s="4">
        <v>43931</v>
      </c>
      <c r="E8584" s="5"/>
    </row>
    <row r="8585" spans="4:5" x14ac:dyDescent="0.25">
      <c r="D8585" s="4">
        <v>43934</v>
      </c>
      <c r="E8585" s="5"/>
    </row>
    <row r="8586" spans="4:5" x14ac:dyDescent="0.25">
      <c r="D8586" s="4">
        <v>43935</v>
      </c>
      <c r="E8586" s="6">
        <v>21.74</v>
      </c>
    </row>
    <row r="8587" spans="4:5" x14ac:dyDescent="0.25">
      <c r="D8587" s="4">
        <v>43936</v>
      </c>
      <c r="E8587" s="6">
        <v>19.8</v>
      </c>
    </row>
    <row r="8588" spans="4:5" x14ac:dyDescent="0.25">
      <c r="D8588" s="4">
        <v>43937</v>
      </c>
      <c r="E8588" s="6">
        <v>18.690000000000001</v>
      </c>
    </row>
    <row r="8589" spans="4:5" x14ac:dyDescent="0.25">
      <c r="D8589" s="4">
        <v>43938</v>
      </c>
      <c r="E8589" s="6">
        <v>19.75</v>
      </c>
    </row>
    <row r="8590" spans="4:5" x14ac:dyDescent="0.25">
      <c r="D8590" s="4">
        <v>43941</v>
      </c>
      <c r="E8590" s="6">
        <v>17.36</v>
      </c>
    </row>
    <row r="8591" spans="4:5" x14ac:dyDescent="0.25">
      <c r="D8591" s="4">
        <v>43942</v>
      </c>
      <c r="E8591" s="6">
        <v>9.1199999999999992</v>
      </c>
    </row>
    <row r="8592" spans="4:5" x14ac:dyDescent="0.25">
      <c r="D8592" s="4">
        <v>43943</v>
      </c>
      <c r="E8592" s="6">
        <v>13.77</v>
      </c>
    </row>
    <row r="8593" spans="4:5" x14ac:dyDescent="0.25">
      <c r="D8593" s="4">
        <v>43944</v>
      </c>
      <c r="E8593" s="6">
        <v>15.06</v>
      </c>
    </row>
    <row r="8594" spans="4:5" x14ac:dyDescent="0.25">
      <c r="D8594" s="4">
        <v>43945</v>
      </c>
      <c r="E8594" s="6">
        <v>15.87</v>
      </c>
    </row>
    <row r="8595" spans="4:5" x14ac:dyDescent="0.25">
      <c r="D8595" s="4">
        <v>43948</v>
      </c>
      <c r="E8595" s="6">
        <v>15.17</v>
      </c>
    </row>
    <row r="8596" spans="4:5" x14ac:dyDescent="0.25">
      <c r="D8596" s="4">
        <v>43949</v>
      </c>
      <c r="E8596" s="6">
        <v>15.6</v>
      </c>
    </row>
    <row r="8597" spans="4:5" x14ac:dyDescent="0.25">
      <c r="D8597" s="4">
        <v>43950</v>
      </c>
      <c r="E8597" s="6">
        <v>17.86</v>
      </c>
    </row>
    <row r="8598" spans="4:5" x14ac:dyDescent="0.25">
      <c r="D8598" s="4">
        <v>43951</v>
      </c>
      <c r="E8598" s="6">
        <v>18.11</v>
      </c>
    </row>
    <row r="8599" spans="4:5" x14ac:dyDescent="0.25">
      <c r="D8599" s="4">
        <v>43952</v>
      </c>
      <c r="E8599" s="6">
        <v>18.489999999999998</v>
      </c>
    </row>
    <row r="8600" spans="4:5" x14ac:dyDescent="0.25">
      <c r="D8600" s="4">
        <v>43955</v>
      </c>
      <c r="E8600" s="6">
        <v>20.399999999999999</v>
      </c>
    </row>
    <row r="8601" spans="4:5" x14ac:dyDescent="0.25">
      <c r="D8601" s="4">
        <v>43956</v>
      </c>
      <c r="E8601" s="6">
        <v>25.46</v>
      </c>
    </row>
    <row r="8602" spans="4:5" x14ac:dyDescent="0.25">
      <c r="D8602" s="4">
        <v>43957</v>
      </c>
      <c r="E8602" s="6">
        <v>24.2</v>
      </c>
    </row>
    <row r="8603" spans="4:5" x14ac:dyDescent="0.25">
      <c r="D8603" s="4">
        <v>43958</v>
      </c>
      <c r="E8603" s="6">
        <v>24.23</v>
      </c>
    </row>
    <row r="8604" spans="4:5" x14ac:dyDescent="0.25">
      <c r="D8604" s="4">
        <v>43959</v>
      </c>
      <c r="E8604" s="5"/>
    </row>
    <row r="8605" spans="4:5" x14ac:dyDescent="0.25">
      <c r="D8605" s="4">
        <v>43962</v>
      </c>
      <c r="E8605" s="6">
        <v>25.53</v>
      </c>
    </row>
    <row r="8606" spans="4:5" x14ac:dyDescent="0.25">
      <c r="D8606" s="4">
        <v>43963</v>
      </c>
      <c r="E8606" s="6">
        <v>26.67</v>
      </c>
    </row>
    <row r="8607" spans="4:5" x14ac:dyDescent="0.25">
      <c r="D8607" s="4">
        <v>43964</v>
      </c>
      <c r="E8607" s="6">
        <v>27.89</v>
      </c>
    </row>
    <row r="8608" spans="4:5" x14ac:dyDescent="0.25">
      <c r="D8608" s="4">
        <v>43965</v>
      </c>
      <c r="E8608" s="6">
        <v>29.87</v>
      </c>
    </row>
    <row r="8609" spans="4:5" x14ac:dyDescent="0.25">
      <c r="D8609" s="4">
        <v>43966</v>
      </c>
      <c r="E8609" s="6">
        <v>30.95</v>
      </c>
    </row>
    <row r="8610" spans="4:5" x14ac:dyDescent="0.25">
      <c r="D8610" s="4">
        <v>43969</v>
      </c>
      <c r="E8610" s="6">
        <v>33.299999999999997</v>
      </c>
    </row>
    <row r="8611" spans="4:5" x14ac:dyDescent="0.25">
      <c r="D8611" s="4">
        <v>43970</v>
      </c>
      <c r="E8611" s="6">
        <v>33.06</v>
      </c>
    </row>
    <row r="8612" spans="4:5" x14ac:dyDescent="0.25">
      <c r="D8612" s="4">
        <v>43971</v>
      </c>
      <c r="E8612" s="6">
        <v>34.76</v>
      </c>
    </row>
    <row r="8613" spans="4:5" x14ac:dyDescent="0.25">
      <c r="D8613" s="4">
        <v>43972</v>
      </c>
      <c r="E8613" s="6">
        <v>34.78</v>
      </c>
    </row>
    <row r="8614" spans="4:5" x14ac:dyDescent="0.25">
      <c r="D8614" s="4">
        <v>43973</v>
      </c>
      <c r="E8614" s="6">
        <v>33.799999999999997</v>
      </c>
    </row>
    <row r="8615" spans="4:5" x14ac:dyDescent="0.25">
      <c r="D8615" s="4">
        <v>43976</v>
      </c>
      <c r="E8615" s="5"/>
    </row>
    <row r="8616" spans="4:5" x14ac:dyDescent="0.25">
      <c r="D8616" s="4">
        <v>43977</v>
      </c>
      <c r="E8616" s="6">
        <v>33.950000000000003</v>
      </c>
    </row>
    <row r="8617" spans="4:5" x14ac:dyDescent="0.25">
      <c r="D8617" s="4">
        <v>43978</v>
      </c>
      <c r="E8617" s="6">
        <v>32.729999999999997</v>
      </c>
    </row>
    <row r="8618" spans="4:5" x14ac:dyDescent="0.25">
      <c r="D8618" s="4">
        <v>43979</v>
      </c>
      <c r="E8618" s="6">
        <v>33.979999999999997</v>
      </c>
    </row>
    <row r="8619" spans="4:5" x14ac:dyDescent="0.25">
      <c r="D8619" s="4">
        <v>43980</v>
      </c>
      <c r="E8619" s="6">
        <v>34.15</v>
      </c>
    </row>
    <row r="8620" spans="4:5" x14ac:dyDescent="0.25">
      <c r="D8620" s="4">
        <v>43983</v>
      </c>
      <c r="E8620" s="6">
        <v>36.74</v>
      </c>
    </row>
    <row r="8621" spans="4:5" x14ac:dyDescent="0.25">
      <c r="D8621" s="4">
        <v>43984</v>
      </c>
      <c r="E8621" s="6">
        <v>37.72</v>
      </c>
    </row>
    <row r="8622" spans="4:5" x14ac:dyDescent="0.25">
      <c r="D8622" s="4">
        <v>43985</v>
      </c>
      <c r="E8622" s="6">
        <v>37.979999999999997</v>
      </c>
    </row>
    <row r="8623" spans="4:5" x14ac:dyDescent="0.25">
      <c r="D8623" s="4">
        <v>43986</v>
      </c>
      <c r="E8623" s="6">
        <v>38.409999999999997</v>
      </c>
    </row>
    <row r="8624" spans="4:5" x14ac:dyDescent="0.25">
      <c r="D8624" s="4">
        <v>43987</v>
      </c>
      <c r="E8624" s="6">
        <v>41</v>
      </c>
    </row>
    <row r="8625" spans="4:5" x14ac:dyDescent="0.25">
      <c r="D8625" s="4">
        <v>43990</v>
      </c>
      <c r="E8625" s="6">
        <v>39.659999999999997</v>
      </c>
    </row>
    <row r="8626" spans="4:5" x14ac:dyDescent="0.25">
      <c r="D8626" s="4">
        <v>43991</v>
      </c>
      <c r="E8626" s="6">
        <v>40.450000000000003</v>
      </c>
    </row>
    <row r="8627" spans="4:5" x14ac:dyDescent="0.25">
      <c r="D8627" s="4">
        <v>43992</v>
      </c>
      <c r="E8627" s="6">
        <v>41.18</v>
      </c>
    </row>
    <row r="8628" spans="4:5" x14ac:dyDescent="0.25">
      <c r="D8628" s="4">
        <v>43993</v>
      </c>
      <c r="E8628" s="6">
        <v>37.76</v>
      </c>
    </row>
    <row r="8629" spans="4:5" x14ac:dyDescent="0.25">
      <c r="D8629" s="4">
        <v>43994</v>
      </c>
      <c r="E8629" s="6">
        <v>38.54</v>
      </c>
    </row>
    <row r="8630" spans="4:5" x14ac:dyDescent="0.25">
      <c r="D8630" s="4">
        <v>43997</v>
      </c>
      <c r="E8630" s="6">
        <v>39.44</v>
      </c>
    </row>
    <row r="8631" spans="4:5" x14ac:dyDescent="0.25">
      <c r="D8631" s="4">
        <v>43998</v>
      </c>
      <c r="E8631" s="6">
        <v>40.75</v>
      </c>
    </row>
    <row r="8632" spans="4:5" x14ac:dyDescent="0.25">
      <c r="D8632" s="4">
        <v>43999</v>
      </c>
      <c r="E8632" s="6">
        <v>40.47</v>
      </c>
    </row>
    <row r="8633" spans="4:5" x14ac:dyDescent="0.25">
      <c r="D8633" s="4">
        <v>44000</v>
      </c>
      <c r="E8633" s="6">
        <v>41.75</v>
      </c>
    </row>
    <row r="8634" spans="4:5" x14ac:dyDescent="0.25">
      <c r="D8634" s="4">
        <v>44001</v>
      </c>
      <c r="E8634" s="6">
        <v>42.33</v>
      </c>
    </row>
    <row r="8635" spans="4:5" x14ac:dyDescent="0.25">
      <c r="D8635" s="4">
        <v>44004</v>
      </c>
      <c r="E8635" s="6">
        <v>43.2</v>
      </c>
    </row>
    <row r="8636" spans="4:5" x14ac:dyDescent="0.25">
      <c r="D8636" s="4">
        <v>44005</v>
      </c>
      <c r="E8636" s="6">
        <v>42.72</v>
      </c>
    </row>
    <row r="8637" spans="4:5" x14ac:dyDescent="0.25">
      <c r="D8637" s="4">
        <v>44006</v>
      </c>
      <c r="E8637" s="6">
        <v>40.4</v>
      </c>
    </row>
    <row r="8638" spans="4:5" x14ac:dyDescent="0.25">
      <c r="D8638" s="4">
        <v>44007</v>
      </c>
      <c r="E8638" s="6">
        <v>41.18</v>
      </c>
    </row>
    <row r="8639" spans="4:5" x14ac:dyDescent="0.25">
      <c r="D8639" s="4">
        <v>44008</v>
      </c>
      <c r="E8639" s="6">
        <v>40.97</v>
      </c>
    </row>
    <row r="8640" spans="4:5" x14ac:dyDescent="0.25">
      <c r="D8640" s="4">
        <v>44011</v>
      </c>
      <c r="E8640" s="6">
        <v>41.58</v>
      </c>
    </row>
    <row r="8641" spans="4:5" x14ac:dyDescent="0.25">
      <c r="D8641" s="4">
        <v>44012</v>
      </c>
      <c r="E8641" s="6">
        <v>41.64</v>
      </c>
    </row>
    <row r="8642" spans="4:5" x14ac:dyDescent="0.25">
      <c r="D8642" s="4">
        <v>44013</v>
      </c>
      <c r="E8642" s="6">
        <v>42.18</v>
      </c>
    </row>
    <row r="8643" spans="4:5" x14ac:dyDescent="0.25">
      <c r="D8643" s="4">
        <v>44014</v>
      </c>
      <c r="E8643" s="6">
        <v>43.19</v>
      </c>
    </row>
    <row r="8644" spans="4:5" x14ac:dyDescent="0.25">
      <c r="D8644" s="4">
        <v>44015</v>
      </c>
      <c r="E8644" s="6">
        <v>42.92</v>
      </c>
    </row>
    <row r="8645" spans="4:5" x14ac:dyDescent="0.25">
      <c r="D8645" s="4">
        <v>44018</v>
      </c>
      <c r="E8645" s="6">
        <v>42.73</v>
      </c>
    </row>
    <row r="8646" spans="4:5" x14ac:dyDescent="0.25">
      <c r="D8646" s="4">
        <v>44019</v>
      </c>
      <c r="E8646" s="6">
        <v>43.28</v>
      </c>
    </row>
    <row r="8647" spans="4:5" x14ac:dyDescent="0.25">
      <c r="D8647" s="4">
        <v>44020</v>
      </c>
      <c r="E8647" s="6">
        <v>43.67</v>
      </c>
    </row>
    <row r="8648" spans="4:5" x14ac:dyDescent="0.25">
      <c r="D8648" s="4">
        <v>44021</v>
      </c>
      <c r="E8648" s="6">
        <v>42.35</v>
      </c>
    </row>
    <row r="8649" spans="4:5" x14ac:dyDescent="0.25">
      <c r="D8649" s="4">
        <v>44022</v>
      </c>
      <c r="E8649" s="6">
        <v>43.27</v>
      </c>
    </row>
    <row r="8650" spans="4:5" x14ac:dyDescent="0.25">
      <c r="D8650" s="4">
        <v>44025</v>
      </c>
      <c r="E8650" s="6">
        <v>42.85</v>
      </c>
    </row>
    <row r="8651" spans="4:5" x14ac:dyDescent="0.25">
      <c r="D8651" s="4">
        <v>44026</v>
      </c>
      <c r="E8651" s="6">
        <v>42.97</v>
      </c>
    </row>
    <row r="8652" spans="4:5" x14ac:dyDescent="0.25">
      <c r="D8652" s="4">
        <v>44027</v>
      </c>
      <c r="E8652" s="6">
        <v>43.96</v>
      </c>
    </row>
    <row r="8653" spans="4:5" x14ac:dyDescent="0.25">
      <c r="D8653" s="4">
        <v>44028</v>
      </c>
      <c r="E8653" s="6">
        <v>43.71</v>
      </c>
    </row>
    <row r="8654" spans="4:5" x14ac:dyDescent="0.25">
      <c r="D8654" s="4">
        <v>44029</v>
      </c>
      <c r="E8654" s="6">
        <v>43.53</v>
      </c>
    </row>
    <row r="8655" spans="4:5" x14ac:dyDescent="0.25">
      <c r="D8655" s="4">
        <v>44032</v>
      </c>
      <c r="E8655" s="6">
        <v>43.3</v>
      </c>
    </row>
    <row r="8656" spans="4:5" x14ac:dyDescent="0.25">
      <c r="D8656" s="4">
        <v>44033</v>
      </c>
      <c r="E8656" s="6">
        <v>44.31</v>
      </c>
    </row>
    <row r="8657" spans="4:5" x14ac:dyDescent="0.25">
      <c r="D8657" s="4">
        <v>44034</v>
      </c>
      <c r="E8657" s="6">
        <v>43.98</v>
      </c>
    </row>
    <row r="8658" spans="4:5" x14ac:dyDescent="0.25">
      <c r="D8658" s="4">
        <v>44035</v>
      </c>
      <c r="E8658" s="6">
        <v>42.96</v>
      </c>
    </row>
    <row r="8659" spans="4:5" x14ac:dyDescent="0.25">
      <c r="D8659" s="4">
        <v>44036</v>
      </c>
      <c r="E8659" s="6">
        <v>43.29</v>
      </c>
    </row>
    <row r="8660" spans="4:5" x14ac:dyDescent="0.25">
      <c r="D8660" s="4">
        <v>44039</v>
      </c>
      <c r="E8660" s="6">
        <v>43.39</v>
      </c>
    </row>
    <row r="8661" spans="4:5" x14ac:dyDescent="0.25">
      <c r="D8661" s="4">
        <v>44040</v>
      </c>
      <c r="E8661" s="6">
        <v>43.11</v>
      </c>
    </row>
    <row r="8662" spans="4:5" x14ac:dyDescent="0.25">
      <c r="D8662" s="4">
        <v>44041</v>
      </c>
      <c r="E8662" s="6">
        <v>43.51</v>
      </c>
    </row>
    <row r="8663" spans="4:5" x14ac:dyDescent="0.25">
      <c r="D8663" s="4">
        <v>44042</v>
      </c>
      <c r="E8663" s="6">
        <v>42.98</v>
      </c>
    </row>
    <row r="8664" spans="4:5" x14ac:dyDescent="0.25">
      <c r="D8664" s="4">
        <v>44043</v>
      </c>
      <c r="E8664" s="6">
        <v>43.13</v>
      </c>
    </row>
    <row r="8665" spans="4:5" x14ac:dyDescent="0.25">
      <c r="D8665" s="4">
        <v>44046</v>
      </c>
      <c r="E8665" s="6">
        <v>43.76</v>
      </c>
    </row>
    <row r="8666" spans="4:5" x14ac:dyDescent="0.25">
      <c r="D8666" s="4">
        <v>44047</v>
      </c>
      <c r="E8666" s="6">
        <v>43.99</v>
      </c>
    </row>
    <row r="8667" spans="4:5" x14ac:dyDescent="0.25">
      <c r="D8667" s="4">
        <v>44048</v>
      </c>
      <c r="E8667" s="6">
        <v>44.92</v>
      </c>
    </row>
    <row r="8668" spans="4:5" x14ac:dyDescent="0.25">
      <c r="D8668" s="4">
        <v>44049</v>
      </c>
      <c r="E8668" s="6">
        <v>45.04</v>
      </c>
    </row>
    <row r="8669" spans="4:5" x14ac:dyDescent="0.25">
      <c r="D8669" s="4">
        <v>44050</v>
      </c>
      <c r="E8669" s="6">
        <v>44.07</v>
      </c>
    </row>
    <row r="8670" spans="4:5" x14ac:dyDescent="0.25">
      <c r="D8670" s="4">
        <v>44053</v>
      </c>
      <c r="E8670" s="6">
        <v>44.19</v>
      </c>
    </row>
    <row r="8671" spans="4:5" x14ac:dyDescent="0.25">
      <c r="D8671" s="4">
        <v>44054</v>
      </c>
      <c r="E8671" s="6">
        <v>43.68</v>
      </c>
    </row>
    <row r="8672" spans="4:5" x14ac:dyDescent="0.25">
      <c r="D8672" s="4">
        <v>44055</v>
      </c>
      <c r="E8672" s="6">
        <v>45.09</v>
      </c>
    </row>
    <row r="8673" spans="4:5" x14ac:dyDescent="0.25">
      <c r="D8673" s="4">
        <v>44056</v>
      </c>
      <c r="E8673" s="6">
        <v>44.87</v>
      </c>
    </row>
    <row r="8674" spans="4:5" x14ac:dyDescent="0.25">
      <c r="D8674" s="4">
        <v>44057</v>
      </c>
      <c r="E8674" s="6">
        <v>44.86</v>
      </c>
    </row>
    <row r="8675" spans="4:5" x14ac:dyDescent="0.25">
      <c r="D8675" s="4">
        <v>44060</v>
      </c>
      <c r="E8675" s="6">
        <v>44.91</v>
      </c>
    </row>
    <row r="8676" spans="4:5" x14ac:dyDescent="0.25">
      <c r="D8676" s="4">
        <v>44061</v>
      </c>
      <c r="E8676" s="6">
        <v>45.34</v>
      </c>
    </row>
    <row r="8677" spans="4:5" x14ac:dyDescent="0.25">
      <c r="D8677" s="4">
        <v>44062</v>
      </c>
      <c r="E8677" s="6">
        <v>45.21</v>
      </c>
    </row>
    <row r="8678" spans="4:5" x14ac:dyDescent="0.25">
      <c r="D8678" s="4">
        <v>44063</v>
      </c>
      <c r="E8678" s="6">
        <v>44.56</v>
      </c>
    </row>
    <row r="8679" spans="4:5" x14ac:dyDescent="0.25">
      <c r="D8679" s="4">
        <v>44064</v>
      </c>
      <c r="E8679" s="6">
        <v>43.94</v>
      </c>
    </row>
    <row r="8680" spans="4:5" x14ac:dyDescent="0.25">
      <c r="D8680" s="4">
        <v>44067</v>
      </c>
      <c r="E8680" s="6">
        <v>44.43</v>
      </c>
    </row>
    <row r="8681" spans="4:5" x14ac:dyDescent="0.25">
      <c r="D8681" s="4">
        <v>44068</v>
      </c>
      <c r="E8681" s="6">
        <v>46.01</v>
      </c>
    </row>
    <row r="8682" spans="4:5" x14ac:dyDescent="0.25">
      <c r="D8682" s="4">
        <v>44069</v>
      </c>
      <c r="E8682" s="6">
        <v>45.79</v>
      </c>
    </row>
    <row r="8683" spans="4:5" x14ac:dyDescent="0.25">
      <c r="D8683" s="4">
        <v>44070</v>
      </c>
      <c r="E8683" s="6">
        <v>44.84</v>
      </c>
    </row>
    <row r="8684" spans="4:5" x14ac:dyDescent="0.25">
      <c r="D8684" s="4">
        <v>44071</v>
      </c>
      <c r="E8684" s="6">
        <v>45.22</v>
      </c>
    </row>
    <row r="8685" spans="4:5" x14ac:dyDescent="0.25">
      <c r="D8685" s="4">
        <v>44074</v>
      </c>
      <c r="E8685" s="5"/>
    </row>
    <row r="8686" spans="4:5" x14ac:dyDescent="0.25">
      <c r="D8686" s="4">
        <v>44075</v>
      </c>
      <c r="E8686" s="6">
        <v>45.72</v>
      </c>
    </row>
    <row r="8687" spans="4:5" x14ac:dyDescent="0.25">
      <c r="D8687" s="4">
        <v>44076</v>
      </c>
      <c r="E8687" s="6">
        <v>42.7</v>
      </c>
    </row>
    <row r="8688" spans="4:5" x14ac:dyDescent="0.25">
      <c r="D8688" s="4">
        <v>44077</v>
      </c>
      <c r="E8688" s="6">
        <v>42.72</v>
      </c>
    </row>
    <row r="8689" spans="4:5" x14ac:dyDescent="0.25">
      <c r="D8689" s="4">
        <v>44078</v>
      </c>
      <c r="E8689" s="6">
        <v>41.1</v>
      </c>
    </row>
    <row r="8690" spans="4:5" x14ac:dyDescent="0.25">
      <c r="D8690" s="4">
        <v>44081</v>
      </c>
      <c r="E8690" s="6">
        <v>40.67</v>
      </c>
    </row>
    <row r="8691" spans="4:5" x14ac:dyDescent="0.25">
      <c r="D8691" s="4">
        <v>44082</v>
      </c>
      <c r="E8691" s="6">
        <v>38.53</v>
      </c>
    </row>
    <row r="8692" spans="4:5" x14ac:dyDescent="0.25">
      <c r="D8692" s="4">
        <v>44083</v>
      </c>
      <c r="E8692" s="6">
        <v>39.979999999999997</v>
      </c>
    </row>
    <row r="8693" spans="4:5" x14ac:dyDescent="0.25">
      <c r="D8693" s="4">
        <v>44084</v>
      </c>
      <c r="E8693" s="6">
        <v>39.270000000000003</v>
      </c>
    </row>
    <row r="8694" spans="4:5" x14ac:dyDescent="0.25">
      <c r="D8694" s="4">
        <v>44085</v>
      </c>
      <c r="E8694" s="6">
        <v>38.799999999999997</v>
      </c>
    </row>
    <row r="8695" spans="4:5" x14ac:dyDescent="0.25">
      <c r="D8695" s="4">
        <v>44088</v>
      </c>
      <c r="E8695" s="6">
        <v>38.57</v>
      </c>
    </row>
    <row r="8696" spans="4:5" x14ac:dyDescent="0.25">
      <c r="D8696" s="4">
        <v>44089</v>
      </c>
      <c r="E8696" s="6">
        <v>39.54</v>
      </c>
    </row>
    <row r="8697" spans="4:5" x14ac:dyDescent="0.25">
      <c r="D8697" s="4">
        <v>44090</v>
      </c>
      <c r="E8697" s="6">
        <v>41.23</v>
      </c>
    </row>
    <row r="8698" spans="4:5" x14ac:dyDescent="0.25">
      <c r="D8698" s="4">
        <v>44091</v>
      </c>
      <c r="E8698" s="6">
        <v>42.35</v>
      </c>
    </row>
    <row r="8699" spans="4:5" x14ac:dyDescent="0.25">
      <c r="D8699" s="4">
        <v>44092</v>
      </c>
      <c r="E8699" s="6">
        <v>42.16</v>
      </c>
    </row>
    <row r="8700" spans="4:5" x14ac:dyDescent="0.25">
      <c r="D8700" s="4">
        <v>44095</v>
      </c>
      <c r="E8700" s="6">
        <v>40.369999999999997</v>
      </c>
    </row>
    <row r="8701" spans="4:5" x14ac:dyDescent="0.25">
      <c r="D8701" s="4">
        <v>44096</v>
      </c>
      <c r="E8701" s="6">
        <v>40.840000000000003</v>
      </c>
    </row>
    <row r="8702" spans="4:5" x14ac:dyDescent="0.25">
      <c r="D8702" s="4">
        <v>44097</v>
      </c>
      <c r="E8702" s="6">
        <v>41.09</v>
      </c>
    </row>
    <row r="8703" spans="4:5" x14ac:dyDescent="0.25">
      <c r="D8703" s="4">
        <v>44098</v>
      </c>
      <c r="E8703" s="6">
        <v>41.24</v>
      </c>
    </row>
    <row r="8704" spans="4:5" x14ac:dyDescent="0.25">
      <c r="D8704" s="4">
        <v>44099</v>
      </c>
      <c r="E8704" s="6">
        <v>40.909999999999997</v>
      </c>
    </row>
    <row r="8705" spans="4:5" x14ac:dyDescent="0.25">
      <c r="D8705" s="4">
        <v>44102</v>
      </c>
      <c r="E8705" s="6">
        <v>41.59</v>
      </c>
    </row>
    <row r="8706" spans="4:5" x14ac:dyDescent="0.25">
      <c r="D8706" s="4">
        <v>44103</v>
      </c>
      <c r="E8706" s="6">
        <v>40.33</v>
      </c>
    </row>
    <row r="8707" spans="4:5" x14ac:dyDescent="0.25">
      <c r="D8707" s="4">
        <v>44104</v>
      </c>
      <c r="E8707" s="6">
        <v>40.299999999999997</v>
      </c>
    </row>
    <row r="8708" spans="4:5" x14ac:dyDescent="0.25">
      <c r="D8708" s="4">
        <v>44105</v>
      </c>
      <c r="E8708" s="6">
        <v>39.75</v>
      </c>
    </row>
    <row r="8709" spans="4:5" x14ac:dyDescent="0.25">
      <c r="D8709" s="4">
        <v>44106</v>
      </c>
      <c r="E8709" s="6">
        <v>38</v>
      </c>
    </row>
    <row r="8710" spans="4:5" x14ac:dyDescent="0.25">
      <c r="D8710" s="4">
        <v>44109</v>
      </c>
      <c r="E8710" s="6">
        <v>39.78</v>
      </c>
    </row>
    <row r="8711" spans="4:5" x14ac:dyDescent="0.25">
      <c r="D8711" s="4">
        <v>44110</v>
      </c>
      <c r="E8711" s="6">
        <v>41.27</v>
      </c>
    </row>
    <row r="8712" spans="4:5" x14ac:dyDescent="0.25">
      <c r="D8712" s="4">
        <v>44111</v>
      </c>
      <c r="E8712" s="6">
        <v>40.619999999999997</v>
      </c>
    </row>
    <row r="8713" spans="4:5" x14ac:dyDescent="0.25">
      <c r="D8713" s="4">
        <v>44112</v>
      </c>
      <c r="E8713" s="6">
        <v>42</v>
      </c>
    </row>
    <row r="8714" spans="4:5" x14ac:dyDescent="0.25">
      <c r="D8714" s="4">
        <v>44113</v>
      </c>
      <c r="E8714" s="6">
        <v>41.63</v>
      </c>
    </row>
    <row r="8715" spans="4:5" x14ac:dyDescent="0.25">
      <c r="D8715" s="4">
        <v>44116</v>
      </c>
      <c r="E8715" s="6">
        <v>40.5</v>
      </c>
    </row>
    <row r="8716" spans="4:5" x14ac:dyDescent="0.25">
      <c r="D8716" s="4">
        <v>44117</v>
      </c>
      <c r="E8716" s="6">
        <v>41.34</v>
      </c>
    </row>
    <row r="8717" spans="4:5" x14ac:dyDescent="0.25">
      <c r="D8717" s="4">
        <v>44118</v>
      </c>
      <c r="E8717" s="6">
        <v>41.81</v>
      </c>
    </row>
    <row r="8718" spans="4:5" x14ac:dyDescent="0.25">
      <c r="D8718" s="4">
        <v>44119</v>
      </c>
      <c r="E8718" s="6">
        <v>41.61</v>
      </c>
    </row>
    <row r="8719" spans="4:5" x14ac:dyDescent="0.25">
      <c r="D8719" s="4">
        <v>44120</v>
      </c>
      <c r="E8719" s="6">
        <v>41.34</v>
      </c>
    </row>
    <row r="8720" spans="4:5" x14ac:dyDescent="0.25">
      <c r="D8720" s="4">
        <v>44123</v>
      </c>
      <c r="E8720" s="6">
        <v>41.29</v>
      </c>
    </row>
    <row r="8721" spans="4:5" x14ac:dyDescent="0.25">
      <c r="D8721" s="4">
        <v>44124</v>
      </c>
      <c r="E8721" s="6">
        <v>41.62</v>
      </c>
    </row>
    <row r="8722" spans="4:5" x14ac:dyDescent="0.25">
      <c r="D8722" s="4">
        <v>44125</v>
      </c>
      <c r="E8722" s="6">
        <v>40.090000000000003</v>
      </c>
    </row>
    <row r="8723" spans="4:5" x14ac:dyDescent="0.25">
      <c r="D8723" s="4">
        <v>44126</v>
      </c>
      <c r="E8723" s="6">
        <v>41.28</v>
      </c>
    </row>
    <row r="8724" spans="4:5" x14ac:dyDescent="0.25">
      <c r="D8724" s="4">
        <v>44127</v>
      </c>
      <c r="E8724" s="6">
        <v>40.71</v>
      </c>
    </row>
    <row r="8725" spans="4:5" x14ac:dyDescent="0.25">
      <c r="D8725" s="4">
        <v>44130</v>
      </c>
      <c r="E8725" s="6">
        <v>39.06</v>
      </c>
    </row>
    <row r="8726" spans="4:5" x14ac:dyDescent="0.25">
      <c r="D8726" s="4">
        <v>44131</v>
      </c>
      <c r="E8726" s="6">
        <v>39.72</v>
      </c>
    </row>
    <row r="8727" spans="4:5" x14ac:dyDescent="0.25">
      <c r="D8727" s="4">
        <v>44132</v>
      </c>
      <c r="E8727" s="6">
        <v>37.86</v>
      </c>
    </row>
    <row r="8728" spans="4:5" x14ac:dyDescent="0.25">
      <c r="D8728" s="4">
        <v>44133</v>
      </c>
      <c r="E8728" s="6">
        <v>36.56</v>
      </c>
    </row>
    <row r="8729" spans="4:5" x14ac:dyDescent="0.25">
      <c r="D8729" s="4">
        <v>44134</v>
      </c>
      <c r="E8729" s="6">
        <v>36.33</v>
      </c>
    </row>
    <row r="8730" spans="4:5" x14ac:dyDescent="0.25">
      <c r="D8730" s="4">
        <v>44137</v>
      </c>
      <c r="E8730" s="6">
        <v>37.78</v>
      </c>
    </row>
    <row r="8731" spans="4:5" x14ac:dyDescent="0.25">
      <c r="D8731" s="4">
        <v>44138</v>
      </c>
      <c r="E8731" s="6">
        <v>38.17</v>
      </c>
    </row>
    <row r="8732" spans="4:5" x14ac:dyDescent="0.25">
      <c r="D8732" s="4">
        <v>44139</v>
      </c>
      <c r="E8732" s="6">
        <v>39.68</v>
      </c>
    </row>
    <row r="8733" spans="4:5" x14ac:dyDescent="0.25">
      <c r="D8733" s="4">
        <v>44140</v>
      </c>
      <c r="E8733" s="6">
        <v>39.47</v>
      </c>
    </row>
    <row r="8734" spans="4:5" x14ac:dyDescent="0.25">
      <c r="D8734" s="4">
        <v>44141</v>
      </c>
      <c r="E8734" s="6">
        <v>38.08</v>
      </c>
    </row>
    <row r="8735" spans="4:5" x14ac:dyDescent="0.25">
      <c r="D8735" s="4">
        <v>44144</v>
      </c>
      <c r="E8735" s="6">
        <v>40.93</v>
      </c>
    </row>
    <row r="8736" spans="4:5" x14ac:dyDescent="0.25">
      <c r="D8736" s="4">
        <v>44145</v>
      </c>
      <c r="E8736" s="6">
        <v>42.25</v>
      </c>
    </row>
    <row r="8737" spans="4:5" x14ac:dyDescent="0.25">
      <c r="D8737" s="4">
        <v>44146</v>
      </c>
      <c r="E8737" s="6">
        <v>42.5</v>
      </c>
    </row>
    <row r="8738" spans="4:5" x14ac:dyDescent="0.25">
      <c r="D8738" s="4">
        <v>44147</v>
      </c>
      <c r="E8738" s="6">
        <v>42.16</v>
      </c>
    </row>
    <row r="8739" spans="4:5" x14ac:dyDescent="0.25">
      <c r="D8739" s="4">
        <v>44148</v>
      </c>
      <c r="E8739" s="6">
        <v>41.51</v>
      </c>
    </row>
    <row r="8740" spans="4:5" x14ac:dyDescent="0.25">
      <c r="D8740" s="4">
        <v>44151</v>
      </c>
      <c r="E8740" s="6">
        <v>42.71</v>
      </c>
    </row>
    <row r="8741" spans="4:5" x14ac:dyDescent="0.25">
      <c r="D8741" s="4">
        <v>44152</v>
      </c>
      <c r="E8741" s="6">
        <v>42.54</v>
      </c>
    </row>
    <row r="8742" spans="4:5" x14ac:dyDescent="0.25">
      <c r="D8742" s="4">
        <v>44153</v>
      </c>
      <c r="E8742" s="6">
        <v>42.91</v>
      </c>
    </row>
    <row r="8743" spans="4:5" x14ac:dyDescent="0.25">
      <c r="D8743" s="4">
        <v>44154</v>
      </c>
      <c r="E8743" s="6">
        <v>43.09</v>
      </c>
    </row>
    <row r="8744" spans="4:5" x14ac:dyDescent="0.25">
      <c r="D8744" s="4">
        <v>44155</v>
      </c>
      <c r="E8744" s="6">
        <v>43.79</v>
      </c>
    </row>
    <row r="8745" spans="4:5" x14ac:dyDescent="0.25">
      <c r="D8745" s="4">
        <v>44158</v>
      </c>
      <c r="E8745" s="6">
        <v>45</v>
      </c>
    </row>
    <row r="8746" spans="4:5" x14ac:dyDescent="0.25">
      <c r="D8746" s="4">
        <v>44159</v>
      </c>
      <c r="E8746" s="6">
        <v>46.63</v>
      </c>
    </row>
    <row r="8747" spans="4:5" x14ac:dyDescent="0.25">
      <c r="D8747" s="4">
        <v>44160</v>
      </c>
      <c r="E8747" s="6">
        <v>47.3</v>
      </c>
    </row>
    <row r="8748" spans="4:5" x14ac:dyDescent="0.25">
      <c r="D8748" s="4">
        <v>44161</v>
      </c>
      <c r="E8748" s="6">
        <v>46.32</v>
      </c>
    </row>
    <row r="8749" spans="4:5" x14ac:dyDescent="0.25">
      <c r="D8749" s="4">
        <v>44162</v>
      </c>
      <c r="E8749" s="6">
        <v>46.88</v>
      </c>
    </row>
    <row r="8750" spans="4:5" x14ac:dyDescent="0.25">
      <c r="D8750" s="4">
        <v>44165</v>
      </c>
      <c r="E8750" s="6">
        <v>46.84</v>
      </c>
    </row>
    <row r="8751" spans="4:5" x14ac:dyDescent="0.25">
      <c r="D8751" s="4">
        <v>44166</v>
      </c>
      <c r="E8751" s="6">
        <v>47.03</v>
      </c>
    </row>
    <row r="8752" spans="4:5" x14ac:dyDescent="0.25">
      <c r="D8752" s="4">
        <v>44167</v>
      </c>
      <c r="E8752" s="6">
        <v>47.8</v>
      </c>
    </row>
    <row r="8753" spans="4:5" x14ac:dyDescent="0.25">
      <c r="D8753" s="4">
        <v>44168</v>
      </c>
      <c r="E8753" s="6">
        <v>48.37</v>
      </c>
    </row>
    <row r="8754" spans="4:5" x14ac:dyDescent="0.25">
      <c r="D8754" s="4">
        <v>44169</v>
      </c>
      <c r="E8754" s="6">
        <v>49.1</v>
      </c>
    </row>
    <row r="8755" spans="4:5" x14ac:dyDescent="0.25">
      <c r="D8755" s="4">
        <v>44172</v>
      </c>
      <c r="E8755" s="6">
        <v>48.63</v>
      </c>
    </row>
    <row r="8756" spans="4:5" x14ac:dyDescent="0.25">
      <c r="D8756" s="4">
        <v>44173</v>
      </c>
      <c r="E8756" s="6">
        <v>48.84</v>
      </c>
    </row>
    <row r="8757" spans="4:5" x14ac:dyDescent="0.25">
      <c r="D8757" s="4">
        <v>44174</v>
      </c>
      <c r="E8757" s="6">
        <v>48.81</v>
      </c>
    </row>
    <row r="8758" spans="4:5" x14ac:dyDescent="0.25">
      <c r="D8758" s="4">
        <v>44175</v>
      </c>
      <c r="E8758" s="6">
        <v>50.33</v>
      </c>
    </row>
    <row r="8759" spans="4:5" x14ac:dyDescent="0.25">
      <c r="D8759" s="4">
        <v>44176</v>
      </c>
      <c r="E8759" s="6">
        <v>50.01</v>
      </c>
    </row>
    <row r="8760" spans="4:5" x14ac:dyDescent="0.25">
      <c r="D8760" s="4">
        <v>44179</v>
      </c>
      <c r="E8760" s="6">
        <v>50.27</v>
      </c>
    </row>
    <row r="8761" spans="4:5" x14ac:dyDescent="0.25">
      <c r="D8761" s="4">
        <v>44180</v>
      </c>
      <c r="E8761" s="6">
        <v>50.77</v>
      </c>
    </row>
    <row r="8762" spans="4:5" x14ac:dyDescent="0.25">
      <c r="D8762" s="4">
        <v>44181</v>
      </c>
      <c r="E8762" s="6">
        <v>50.83</v>
      </c>
    </row>
    <row r="8763" spans="4:5" x14ac:dyDescent="0.25">
      <c r="D8763" s="4">
        <v>44182</v>
      </c>
      <c r="E8763" s="6">
        <v>51.2</v>
      </c>
    </row>
    <row r="8764" spans="4:5" x14ac:dyDescent="0.25">
      <c r="D8764" s="4">
        <v>44183</v>
      </c>
      <c r="E8764" s="6">
        <v>52.17</v>
      </c>
    </row>
    <row r="8765" spans="4:5" x14ac:dyDescent="0.25">
      <c r="D8765" s="4">
        <v>44186</v>
      </c>
      <c r="E8765" s="6">
        <v>50.61</v>
      </c>
    </row>
    <row r="8766" spans="4:5" x14ac:dyDescent="0.25">
      <c r="D8766" s="4">
        <v>44187</v>
      </c>
      <c r="E8766" s="6">
        <v>49.88</v>
      </c>
    </row>
    <row r="8767" spans="4:5" x14ac:dyDescent="0.25">
      <c r="D8767" s="4">
        <v>44188</v>
      </c>
      <c r="E8767" s="6">
        <v>51.05</v>
      </c>
    </row>
    <row r="8768" spans="4:5" x14ac:dyDescent="0.25">
      <c r="D8768" s="4">
        <v>44189</v>
      </c>
      <c r="E8768" s="6">
        <v>50.88</v>
      </c>
    </row>
    <row r="8769" spans="4:5" x14ac:dyDescent="0.25">
      <c r="D8769" s="4">
        <v>44190</v>
      </c>
      <c r="E8769" s="5"/>
    </row>
    <row r="8770" spans="4:5" x14ac:dyDescent="0.25">
      <c r="D8770" s="4">
        <v>44193</v>
      </c>
      <c r="E8770" s="6">
        <v>50.88</v>
      </c>
    </row>
    <row r="8771" spans="4:5" x14ac:dyDescent="0.25">
      <c r="D8771" s="4">
        <v>44194</v>
      </c>
      <c r="E8771" s="6">
        <v>50.44</v>
      </c>
    </row>
    <row r="8772" spans="4:5" x14ac:dyDescent="0.25">
      <c r="D8772" s="4">
        <v>44195</v>
      </c>
      <c r="E8772" s="6">
        <v>50.74</v>
      </c>
    </row>
    <row r="8773" spans="4:5" x14ac:dyDescent="0.25">
      <c r="D8773" s="4">
        <v>44196</v>
      </c>
      <c r="E8773" s="6">
        <v>51.22</v>
      </c>
    </row>
    <row r="8774" spans="4:5" x14ac:dyDescent="0.25">
      <c r="D8774" s="4">
        <v>44197</v>
      </c>
      <c r="E8774" s="5"/>
    </row>
    <row r="8775" spans="4:5" x14ac:dyDescent="0.25">
      <c r="D8775" s="4">
        <v>44200</v>
      </c>
      <c r="E8775" s="6">
        <v>50.37</v>
      </c>
    </row>
    <row r="8776" spans="4:5" x14ac:dyDescent="0.25">
      <c r="D8776" s="4">
        <v>44201</v>
      </c>
      <c r="E8776" s="6">
        <v>53.16</v>
      </c>
    </row>
    <row r="8777" spans="4:5" x14ac:dyDescent="0.25">
      <c r="D8777" s="4">
        <v>44202</v>
      </c>
      <c r="E8777" s="6">
        <v>53.8</v>
      </c>
    </row>
    <row r="8778" spans="4:5" x14ac:dyDescent="0.25">
      <c r="D8778" s="4">
        <v>44203</v>
      </c>
      <c r="E8778" s="6">
        <v>53.7</v>
      </c>
    </row>
    <row r="8779" spans="4:5" x14ac:dyDescent="0.25">
      <c r="D8779" s="4">
        <v>44204</v>
      </c>
      <c r="E8779" s="6">
        <v>55.51</v>
      </c>
    </row>
    <row r="8780" spans="4:5" x14ac:dyDescent="0.25">
      <c r="D8780" s="4">
        <v>44207</v>
      </c>
      <c r="E8780" s="6">
        <v>54.84</v>
      </c>
    </row>
    <row r="8781" spans="4:5" x14ac:dyDescent="0.25">
      <c r="D8781" s="4">
        <v>44208</v>
      </c>
      <c r="E8781" s="6">
        <v>55.98</v>
      </c>
    </row>
    <row r="8782" spans="4:5" x14ac:dyDescent="0.25">
      <c r="D8782" s="4">
        <v>44209</v>
      </c>
      <c r="E8782" s="6">
        <v>55.52</v>
      </c>
    </row>
    <row r="8783" spans="4:5" x14ac:dyDescent="0.25">
      <c r="D8783" s="4">
        <v>44210</v>
      </c>
      <c r="E8783" s="6">
        <v>55.76</v>
      </c>
    </row>
    <row r="8784" spans="4:5" x14ac:dyDescent="0.25">
      <c r="D8784" s="4">
        <v>44211</v>
      </c>
      <c r="E8784" s="6">
        <v>54.8</v>
      </c>
    </row>
    <row r="8785" spans="4:5" x14ac:dyDescent="0.25">
      <c r="D8785" s="4">
        <v>44214</v>
      </c>
      <c r="E8785" s="6">
        <v>54.21</v>
      </c>
    </row>
    <row r="8786" spans="4:5" x14ac:dyDescent="0.25">
      <c r="D8786" s="4">
        <v>44215</v>
      </c>
      <c r="E8786" s="6">
        <v>55.38</v>
      </c>
    </row>
    <row r="8787" spans="4:5" x14ac:dyDescent="0.25">
      <c r="D8787" s="4">
        <v>44216</v>
      </c>
      <c r="E8787" s="6">
        <v>55.66</v>
      </c>
    </row>
    <row r="8788" spans="4:5" x14ac:dyDescent="0.25">
      <c r="D8788" s="4">
        <v>44217</v>
      </c>
      <c r="E8788" s="6">
        <v>55.68</v>
      </c>
    </row>
    <row r="8789" spans="4:5" x14ac:dyDescent="0.25">
      <c r="D8789" s="4">
        <v>44218</v>
      </c>
      <c r="E8789" s="6">
        <v>55.22</v>
      </c>
    </row>
    <row r="8790" spans="4:5" x14ac:dyDescent="0.25">
      <c r="D8790" s="4">
        <v>44221</v>
      </c>
      <c r="E8790" s="6">
        <v>55.44</v>
      </c>
    </row>
    <row r="8791" spans="4:5" x14ac:dyDescent="0.25">
      <c r="D8791" s="4">
        <v>44222</v>
      </c>
      <c r="E8791" s="6">
        <v>55.26</v>
      </c>
    </row>
    <row r="8792" spans="4:5" x14ac:dyDescent="0.25">
      <c r="D8792" s="4">
        <v>44223</v>
      </c>
      <c r="E8792" s="6">
        <v>55.07</v>
      </c>
    </row>
    <row r="8793" spans="4:5" x14ac:dyDescent="0.25">
      <c r="D8793" s="4">
        <v>44224</v>
      </c>
      <c r="E8793" s="6">
        <v>54.87</v>
      </c>
    </row>
    <row r="8794" spans="4:5" x14ac:dyDescent="0.25">
      <c r="D8794" s="4">
        <v>44225</v>
      </c>
      <c r="E8794" s="6">
        <v>55.25</v>
      </c>
    </row>
    <row r="8795" spans="4:5" x14ac:dyDescent="0.25">
      <c r="D8795" s="4">
        <v>44228</v>
      </c>
      <c r="E8795" s="6">
        <v>56.42</v>
      </c>
    </row>
    <row r="8796" spans="4:5" x14ac:dyDescent="0.25">
      <c r="D8796" s="4">
        <v>44229</v>
      </c>
      <c r="E8796" s="6">
        <v>57.62</v>
      </c>
    </row>
    <row r="8797" spans="4:5" x14ac:dyDescent="0.25">
      <c r="D8797" s="4">
        <v>44230</v>
      </c>
      <c r="E8797" s="6">
        <v>58.61</v>
      </c>
    </row>
    <row r="8798" spans="4:5" x14ac:dyDescent="0.25">
      <c r="D8798" s="4">
        <v>44231</v>
      </c>
      <c r="E8798" s="6">
        <v>58.98</v>
      </c>
    </row>
    <row r="8799" spans="4:5" x14ac:dyDescent="0.25">
      <c r="D8799" s="4">
        <v>44232</v>
      </c>
      <c r="E8799" s="6">
        <v>59.48</v>
      </c>
    </row>
    <row r="8800" spans="4:5" x14ac:dyDescent="0.25">
      <c r="D8800" s="4">
        <v>44235</v>
      </c>
      <c r="E8800" s="6">
        <v>60.17</v>
      </c>
    </row>
    <row r="8801" spans="4:5" x14ac:dyDescent="0.25">
      <c r="D8801" s="4">
        <v>44236</v>
      </c>
      <c r="E8801" s="6">
        <v>60.74</v>
      </c>
    </row>
    <row r="8802" spans="4:5" x14ac:dyDescent="0.25">
      <c r="D8802" s="4">
        <v>44237</v>
      </c>
      <c r="E8802" s="6">
        <v>61.17</v>
      </c>
    </row>
    <row r="8803" spans="4:5" x14ac:dyDescent="0.25">
      <c r="D8803" s="4">
        <v>44238</v>
      </c>
      <c r="E8803" s="6">
        <v>61.09</v>
      </c>
    </row>
    <row r="8804" spans="4:5" x14ac:dyDescent="0.25">
      <c r="D8804" s="4">
        <v>44239</v>
      </c>
      <c r="E8804" s="6">
        <v>62.47</v>
      </c>
    </row>
    <row r="8805" spans="4:5" x14ac:dyDescent="0.25">
      <c r="D8805" s="4">
        <v>44242</v>
      </c>
      <c r="E8805" s="6">
        <v>63.58</v>
      </c>
    </row>
    <row r="8806" spans="4:5" x14ac:dyDescent="0.25">
      <c r="D8806" s="4">
        <v>44243</v>
      </c>
      <c r="E8806" s="6">
        <v>63.96</v>
      </c>
    </row>
    <row r="8807" spans="4:5" x14ac:dyDescent="0.25">
      <c r="D8807" s="4">
        <v>44244</v>
      </c>
      <c r="E8807" s="6">
        <v>65.02</v>
      </c>
    </row>
    <row r="8808" spans="4:5" x14ac:dyDescent="0.25">
      <c r="D8808" s="4">
        <v>44245</v>
      </c>
      <c r="E8808" s="6">
        <v>64.09</v>
      </c>
    </row>
    <row r="8809" spans="4:5" x14ac:dyDescent="0.25">
      <c r="D8809" s="4">
        <v>44246</v>
      </c>
      <c r="E8809" s="6">
        <v>62.84</v>
      </c>
    </row>
    <row r="8810" spans="4:5" x14ac:dyDescent="0.25">
      <c r="D8810" s="4">
        <v>44249</v>
      </c>
      <c r="E8810" s="6">
        <v>64.73</v>
      </c>
    </row>
    <row r="8811" spans="4:5" x14ac:dyDescent="0.25">
      <c r="D8811" s="4">
        <v>44250</v>
      </c>
      <c r="E8811" s="6">
        <v>65.16</v>
      </c>
    </row>
    <row r="8812" spans="4:5" x14ac:dyDescent="0.25">
      <c r="D8812" s="4">
        <v>44251</v>
      </c>
      <c r="E8812" s="6">
        <v>66.849999999999994</v>
      </c>
    </row>
    <row r="8813" spans="4:5" x14ac:dyDescent="0.25">
      <c r="D8813" s="4">
        <v>44252</v>
      </c>
      <c r="E8813" s="6">
        <v>66.69</v>
      </c>
    </row>
    <row r="8814" spans="4:5" x14ac:dyDescent="0.25">
      <c r="D8814" s="4">
        <v>44253</v>
      </c>
      <c r="E8814" s="6">
        <v>65.86</v>
      </c>
    </row>
    <row r="8815" spans="4:5" x14ac:dyDescent="0.25">
      <c r="D8815" s="4">
        <v>44256</v>
      </c>
      <c r="E8815" s="6">
        <v>64.56</v>
      </c>
    </row>
    <row r="8816" spans="4:5" x14ac:dyDescent="0.25">
      <c r="D8816" s="4">
        <v>44257</v>
      </c>
      <c r="E8816" s="6">
        <v>63.17</v>
      </c>
    </row>
    <row r="8817" spans="4:5" x14ac:dyDescent="0.25">
      <c r="D8817" s="4">
        <v>44258</v>
      </c>
      <c r="E8817" s="6">
        <v>64.7</v>
      </c>
    </row>
    <row r="8818" spans="4:5" x14ac:dyDescent="0.25">
      <c r="D8818" s="4">
        <v>44259</v>
      </c>
      <c r="E8818" s="6">
        <v>67.319999999999993</v>
      </c>
    </row>
    <row r="8819" spans="4:5" x14ac:dyDescent="0.25">
      <c r="D8819" s="4">
        <v>44260</v>
      </c>
      <c r="E8819" s="6">
        <v>69.95</v>
      </c>
    </row>
    <row r="8820" spans="4:5" x14ac:dyDescent="0.25">
      <c r="D8820" s="4">
        <v>44263</v>
      </c>
      <c r="E8820" s="6">
        <v>68</v>
      </c>
    </row>
    <row r="8821" spans="4:5" x14ac:dyDescent="0.25">
      <c r="D8821" s="4">
        <v>44264</v>
      </c>
      <c r="E8821" s="6">
        <v>67.03</v>
      </c>
    </row>
    <row r="8822" spans="4:5" x14ac:dyDescent="0.25">
      <c r="D8822" s="4">
        <v>44265</v>
      </c>
      <c r="E8822" s="6">
        <v>67.53</v>
      </c>
    </row>
    <row r="8823" spans="4:5" x14ac:dyDescent="0.25">
      <c r="D8823" s="4">
        <v>44266</v>
      </c>
      <c r="E8823" s="6">
        <v>69.34</v>
      </c>
    </row>
    <row r="8824" spans="4:5" x14ac:dyDescent="0.25">
      <c r="D8824" s="4">
        <v>44267</v>
      </c>
      <c r="E8824" s="6">
        <v>68.87</v>
      </c>
    </row>
    <row r="8825" spans="4:5" x14ac:dyDescent="0.25">
      <c r="D8825" s="4">
        <v>44270</v>
      </c>
      <c r="E8825" s="6">
        <v>68.78</v>
      </c>
    </row>
    <row r="8826" spans="4:5" x14ac:dyDescent="0.25">
      <c r="D8826" s="4">
        <v>44271</v>
      </c>
      <c r="E8826" s="6">
        <v>67.95</v>
      </c>
    </row>
    <row r="8827" spans="4:5" x14ac:dyDescent="0.25">
      <c r="D8827" s="4">
        <v>44272</v>
      </c>
      <c r="E8827" s="6">
        <v>67.73</v>
      </c>
    </row>
    <row r="8828" spans="4:5" x14ac:dyDescent="0.25">
      <c r="D8828" s="4">
        <v>44273</v>
      </c>
      <c r="E8828" s="6">
        <v>62.11</v>
      </c>
    </row>
    <row r="8829" spans="4:5" x14ac:dyDescent="0.25">
      <c r="D8829" s="4">
        <v>44274</v>
      </c>
      <c r="E8829" s="6">
        <v>64</v>
      </c>
    </row>
    <row r="8830" spans="4:5" x14ac:dyDescent="0.25">
      <c r="D8830" s="4">
        <v>44277</v>
      </c>
      <c r="E8830" s="6">
        <v>63.89</v>
      </c>
    </row>
    <row r="8831" spans="4:5" x14ac:dyDescent="0.25">
      <c r="D8831" s="4">
        <v>44278</v>
      </c>
      <c r="E8831" s="6">
        <v>59.96</v>
      </c>
    </row>
    <row r="8832" spans="4:5" x14ac:dyDescent="0.25">
      <c r="D8832" s="4">
        <v>44279</v>
      </c>
      <c r="E8832" s="6">
        <v>63.7</v>
      </c>
    </row>
    <row r="8833" spans="4:5" x14ac:dyDescent="0.25">
      <c r="D8833" s="4">
        <v>44280</v>
      </c>
      <c r="E8833" s="6">
        <v>61.21</v>
      </c>
    </row>
    <row r="8834" spans="4:5" x14ac:dyDescent="0.25">
      <c r="D8834" s="4">
        <v>44281</v>
      </c>
      <c r="E8834" s="6">
        <v>63.77</v>
      </c>
    </row>
    <row r="8835" spans="4:5" x14ac:dyDescent="0.25">
      <c r="D8835" s="4">
        <v>44284</v>
      </c>
      <c r="E8835" s="6">
        <v>64.06</v>
      </c>
    </row>
    <row r="8836" spans="4:5" x14ac:dyDescent="0.25">
      <c r="D8836" s="4">
        <v>44285</v>
      </c>
      <c r="E8836" s="6">
        <v>63.28</v>
      </c>
    </row>
    <row r="8837" spans="4:5" x14ac:dyDescent="0.25">
      <c r="D8837" s="4">
        <v>44286</v>
      </c>
      <c r="E8837" s="6">
        <v>63.52</v>
      </c>
    </row>
    <row r="8838" spans="4:5" x14ac:dyDescent="0.25">
      <c r="D8838" s="4">
        <v>44287</v>
      </c>
      <c r="E8838" s="6">
        <v>63.85</v>
      </c>
    </row>
    <row r="8839" spans="4:5" x14ac:dyDescent="0.25">
      <c r="D8839" s="4">
        <v>44288</v>
      </c>
      <c r="E8839" s="5"/>
    </row>
    <row r="8840" spans="4:5" x14ac:dyDescent="0.25">
      <c r="D8840" s="4">
        <v>44291</v>
      </c>
      <c r="E8840" s="5"/>
    </row>
    <row r="8841" spans="4:5" x14ac:dyDescent="0.25">
      <c r="D8841" s="4">
        <v>44292</v>
      </c>
      <c r="E8841" s="6">
        <v>61.47</v>
      </c>
    </row>
    <row r="8842" spans="4:5" x14ac:dyDescent="0.25">
      <c r="D8842" s="4">
        <v>44293</v>
      </c>
      <c r="E8842" s="6">
        <v>61.86</v>
      </c>
    </row>
    <row r="8843" spans="4:5" x14ac:dyDescent="0.25">
      <c r="D8843" s="4">
        <v>44294</v>
      </c>
      <c r="E8843" s="6">
        <v>62.09</v>
      </c>
    </row>
    <row r="8844" spans="4:5" x14ac:dyDescent="0.25">
      <c r="D8844" s="4">
        <v>44295</v>
      </c>
      <c r="E8844" s="6">
        <v>61.89</v>
      </c>
    </row>
    <row r="8845" spans="4:5" x14ac:dyDescent="0.25">
      <c r="D8845" s="4">
        <v>44298</v>
      </c>
      <c r="E8845" s="6">
        <v>62.38</v>
      </c>
    </row>
    <row r="8846" spans="4:5" x14ac:dyDescent="0.25">
      <c r="D8846" s="4">
        <v>44299</v>
      </c>
      <c r="E8846" s="6">
        <v>62.83</v>
      </c>
    </row>
    <row r="8847" spans="4:5" x14ac:dyDescent="0.25">
      <c r="D8847" s="4">
        <v>44300</v>
      </c>
      <c r="E8847" s="6">
        <v>66.11</v>
      </c>
    </row>
    <row r="8848" spans="4:5" x14ac:dyDescent="0.25">
      <c r="D8848" s="4">
        <v>44301</v>
      </c>
      <c r="E8848" s="6">
        <v>66.13</v>
      </c>
    </row>
    <row r="8849" spans="4:5" x14ac:dyDescent="0.25">
      <c r="D8849" s="4">
        <v>44302</v>
      </c>
      <c r="E8849" s="6">
        <v>65.98</v>
      </c>
    </row>
    <row r="8850" spans="4:5" x14ac:dyDescent="0.25">
      <c r="D8850" s="4">
        <v>44305</v>
      </c>
      <c r="E8850" s="6">
        <v>66.540000000000006</v>
      </c>
    </row>
    <row r="8851" spans="4:5" x14ac:dyDescent="0.25">
      <c r="D8851" s="4">
        <v>44306</v>
      </c>
      <c r="E8851" s="6">
        <v>65.34</v>
      </c>
    </row>
    <row r="8852" spans="4:5" x14ac:dyDescent="0.25">
      <c r="D8852" s="4">
        <v>44307</v>
      </c>
      <c r="E8852" s="6">
        <v>64.02</v>
      </c>
    </row>
    <row r="8853" spans="4:5" x14ac:dyDescent="0.25">
      <c r="D8853" s="4">
        <v>44308</v>
      </c>
      <c r="E8853" s="6">
        <v>65.069999999999993</v>
      </c>
    </row>
    <row r="8854" spans="4:5" x14ac:dyDescent="0.25">
      <c r="D8854" s="4">
        <v>44309</v>
      </c>
      <c r="E8854" s="6">
        <v>65.75</v>
      </c>
    </row>
    <row r="8855" spans="4:5" x14ac:dyDescent="0.25">
      <c r="D8855" s="4">
        <v>44312</v>
      </c>
      <c r="E8855" s="6">
        <v>65.5</v>
      </c>
    </row>
    <row r="8856" spans="4:5" x14ac:dyDescent="0.25">
      <c r="D8856" s="4">
        <v>44313</v>
      </c>
      <c r="E8856" s="6">
        <v>66.25</v>
      </c>
    </row>
    <row r="8857" spans="4:5" x14ac:dyDescent="0.25">
      <c r="D8857" s="4">
        <v>44314</v>
      </c>
      <c r="E8857" s="6">
        <v>67.08</v>
      </c>
    </row>
    <row r="8858" spans="4:5" x14ac:dyDescent="0.25">
      <c r="D8858" s="4">
        <v>44315</v>
      </c>
      <c r="E8858" s="6">
        <v>68.260000000000005</v>
      </c>
    </row>
    <row r="8859" spans="4:5" x14ac:dyDescent="0.25">
      <c r="D8859" s="4">
        <v>44316</v>
      </c>
      <c r="E8859" s="6">
        <v>67.73</v>
      </c>
    </row>
    <row r="8860" spans="4:5" x14ac:dyDescent="0.25">
      <c r="D8860" s="4">
        <v>44319</v>
      </c>
      <c r="E8860" s="5"/>
    </row>
    <row r="8861" spans="4:5" x14ac:dyDescent="0.25">
      <c r="D8861" s="4">
        <v>44320</v>
      </c>
      <c r="E8861" s="6">
        <v>68.91</v>
      </c>
    </row>
    <row r="8862" spans="4:5" x14ac:dyDescent="0.25">
      <c r="D8862" s="4">
        <v>44321</v>
      </c>
      <c r="E8862" s="6">
        <v>69.709999999999994</v>
      </c>
    </row>
    <row r="8863" spans="4:5" x14ac:dyDescent="0.25">
      <c r="D8863" s="4">
        <v>44322</v>
      </c>
      <c r="E8863" s="6">
        <v>68.62</v>
      </c>
    </row>
    <row r="8864" spans="4:5" x14ac:dyDescent="0.25">
      <c r="D8864" s="4">
        <v>44323</v>
      </c>
      <c r="E8864" s="6">
        <v>68.73</v>
      </c>
    </row>
    <row r="8865" spans="4:5" x14ac:dyDescent="0.25">
      <c r="D8865" s="4">
        <v>44326</v>
      </c>
      <c r="E8865" s="6">
        <v>68.61</v>
      </c>
    </row>
    <row r="8866" spans="4:5" x14ac:dyDescent="0.25">
      <c r="D8866" s="4">
        <v>44327</v>
      </c>
      <c r="E8866" s="6">
        <v>68.83</v>
      </c>
    </row>
    <row r="8867" spans="4:5" x14ac:dyDescent="0.25">
      <c r="D8867" s="4">
        <v>44328</v>
      </c>
      <c r="E8867" s="6">
        <v>69.62</v>
      </c>
    </row>
    <row r="8868" spans="4:5" x14ac:dyDescent="0.25">
      <c r="D8868" s="4">
        <v>44329</v>
      </c>
      <c r="E8868" s="6">
        <v>67.36</v>
      </c>
    </row>
    <row r="8869" spans="4:5" x14ac:dyDescent="0.25">
      <c r="D8869" s="4">
        <v>44330</v>
      </c>
      <c r="E8869" s="6">
        <v>69.239999999999995</v>
      </c>
    </row>
    <row r="8870" spans="4:5" x14ac:dyDescent="0.25">
      <c r="D8870" s="4">
        <v>44333</v>
      </c>
      <c r="E8870" s="6">
        <v>69.62</v>
      </c>
    </row>
    <row r="8871" spans="4:5" x14ac:dyDescent="0.25">
      <c r="D8871" s="4">
        <v>44334</v>
      </c>
      <c r="E8871" s="6">
        <v>69.010000000000005</v>
      </c>
    </row>
    <row r="8872" spans="4:5" x14ac:dyDescent="0.25">
      <c r="D8872" s="4">
        <v>44335</v>
      </c>
      <c r="E8872" s="6">
        <v>66.88</v>
      </c>
    </row>
    <row r="8873" spans="4:5" x14ac:dyDescent="0.25">
      <c r="D8873" s="4">
        <v>44336</v>
      </c>
      <c r="E8873" s="6">
        <v>65.180000000000007</v>
      </c>
    </row>
    <row r="8874" spans="4:5" x14ac:dyDescent="0.25">
      <c r="D8874" s="4">
        <v>44337</v>
      </c>
      <c r="E8874" s="6">
        <v>66.72</v>
      </c>
    </row>
    <row r="8875" spans="4:5" x14ac:dyDescent="0.25">
      <c r="D8875" s="4">
        <v>44340</v>
      </c>
      <c r="E8875" s="6">
        <v>68.59</v>
      </c>
    </row>
    <row r="8876" spans="4:5" x14ac:dyDescent="0.25">
      <c r="D8876" s="4">
        <v>44341</v>
      </c>
      <c r="E8876" s="6">
        <v>68.8</v>
      </c>
    </row>
    <row r="8877" spans="4:5" x14ac:dyDescent="0.25">
      <c r="D8877" s="4">
        <v>44342</v>
      </c>
      <c r="E8877" s="6">
        <v>68.930000000000007</v>
      </c>
    </row>
    <row r="8878" spans="4:5" x14ac:dyDescent="0.25">
      <c r="D8878" s="4">
        <v>44343</v>
      </c>
      <c r="E8878" s="6">
        <v>69.430000000000007</v>
      </c>
    </row>
    <row r="8879" spans="4:5" x14ac:dyDescent="0.25">
      <c r="D8879" s="4">
        <v>44344</v>
      </c>
      <c r="E8879" s="6">
        <v>69.36</v>
      </c>
    </row>
    <row r="8880" spans="4:5" x14ac:dyDescent="0.25">
      <c r="D8880" s="4">
        <v>44347</v>
      </c>
      <c r="E8880" s="5"/>
    </row>
    <row r="8881" spans="4:5" x14ac:dyDescent="0.25">
      <c r="D8881" s="4">
        <v>44348</v>
      </c>
      <c r="E8881" s="6">
        <v>70.03</v>
      </c>
    </row>
    <row r="8882" spans="4:5" x14ac:dyDescent="0.25">
      <c r="D8882" s="4">
        <v>44349</v>
      </c>
      <c r="E8882" s="6">
        <v>70.599999999999994</v>
      </c>
    </row>
    <row r="8883" spans="4:5" x14ac:dyDescent="0.25">
      <c r="D8883" s="4">
        <v>44350</v>
      </c>
      <c r="E8883" s="6">
        <v>70.709999999999994</v>
      </c>
    </row>
    <row r="8884" spans="4:5" x14ac:dyDescent="0.25">
      <c r="D8884" s="4">
        <v>44351</v>
      </c>
      <c r="E8884" s="6">
        <v>71.3</v>
      </c>
    </row>
    <row r="8885" spans="4:5" x14ac:dyDescent="0.25">
      <c r="D8885" s="4">
        <v>44354</v>
      </c>
      <c r="E8885" s="6">
        <v>70.89</v>
      </c>
    </row>
    <row r="8886" spans="4:5" x14ac:dyDescent="0.25">
      <c r="D8886" s="4">
        <v>44355</v>
      </c>
      <c r="E8886" s="6">
        <v>71.39</v>
      </c>
    </row>
    <row r="8887" spans="4:5" x14ac:dyDescent="0.25">
      <c r="D8887" s="4">
        <v>44356</v>
      </c>
      <c r="E8887" s="6">
        <v>71.31</v>
      </c>
    </row>
    <row r="8888" spans="4:5" x14ac:dyDescent="0.25">
      <c r="D8888" s="4">
        <v>44357</v>
      </c>
      <c r="E8888" s="6">
        <v>71.650000000000006</v>
      </c>
    </row>
    <row r="8889" spans="4:5" x14ac:dyDescent="0.25">
      <c r="D8889" s="4">
        <v>44358</v>
      </c>
      <c r="E8889" s="6">
        <v>72.05</v>
      </c>
    </row>
    <row r="8890" spans="4:5" x14ac:dyDescent="0.25">
      <c r="D8890" s="4">
        <v>44361</v>
      </c>
      <c r="E8890" s="6">
        <v>72.27</v>
      </c>
    </row>
    <row r="8891" spans="4:5" x14ac:dyDescent="0.25">
      <c r="D8891" s="4">
        <v>44362</v>
      </c>
      <c r="E8891" s="6">
        <v>73.38</v>
      </c>
    </row>
    <row r="8892" spans="4:5" x14ac:dyDescent="0.25">
      <c r="D8892" s="4">
        <v>44363</v>
      </c>
      <c r="E8892" s="6">
        <v>73.88</v>
      </c>
    </row>
    <row r="8893" spans="4:5" x14ac:dyDescent="0.25">
      <c r="D8893" s="4">
        <v>44364</v>
      </c>
      <c r="E8893" s="6">
        <v>72.92</v>
      </c>
    </row>
    <row r="8894" spans="4:5" x14ac:dyDescent="0.25">
      <c r="D8894" s="4">
        <v>44365</v>
      </c>
      <c r="E8894" s="6">
        <v>73.099999999999994</v>
      </c>
    </row>
    <row r="8895" spans="4:5" x14ac:dyDescent="0.25">
      <c r="D8895" s="4">
        <v>44368</v>
      </c>
      <c r="E8895" s="6">
        <v>74.489999999999995</v>
      </c>
    </row>
    <row r="8896" spans="4:5" x14ac:dyDescent="0.25">
      <c r="D8896" s="4">
        <v>44369</v>
      </c>
      <c r="E8896" s="6">
        <v>74.92</v>
      </c>
    </row>
    <row r="8897" spans="4:5" x14ac:dyDescent="0.25">
      <c r="D8897" s="4">
        <v>44370</v>
      </c>
      <c r="E8897" s="6">
        <v>75.22</v>
      </c>
    </row>
    <row r="8898" spans="4:5" x14ac:dyDescent="0.25">
      <c r="D8898" s="4">
        <v>44371</v>
      </c>
      <c r="E8898" s="6">
        <v>75.95</v>
      </c>
    </row>
    <row r="8899" spans="4:5" x14ac:dyDescent="0.25">
      <c r="D8899" s="4">
        <v>44372</v>
      </c>
      <c r="E8899" s="6">
        <v>76.45</v>
      </c>
    </row>
    <row r="8900" spans="4:5" x14ac:dyDescent="0.25">
      <c r="D8900" s="4">
        <v>44375</v>
      </c>
      <c r="E8900" s="6">
        <v>74.78</v>
      </c>
    </row>
    <row r="8901" spans="4:5" x14ac:dyDescent="0.25">
      <c r="D8901" s="4">
        <v>44376</v>
      </c>
      <c r="E8901" s="6">
        <v>75.38</v>
      </c>
    </row>
    <row r="8902" spans="4:5" x14ac:dyDescent="0.25">
      <c r="D8902" s="4">
        <v>44377</v>
      </c>
      <c r="E8902" s="6">
        <v>76.94</v>
      </c>
    </row>
    <row r="8903" spans="4:5" x14ac:dyDescent="0.25">
      <c r="D8903" s="4">
        <v>44378</v>
      </c>
      <c r="E8903" s="6">
        <v>76.69</v>
      </c>
    </row>
    <row r="8904" spans="4:5" x14ac:dyDescent="0.25">
      <c r="D8904" s="4">
        <v>44379</v>
      </c>
      <c r="E8904" s="6">
        <v>77.510000000000005</v>
      </c>
    </row>
    <row r="8905" spans="4:5" x14ac:dyDescent="0.25">
      <c r="D8905" s="4">
        <v>44382</v>
      </c>
      <c r="E8905" s="6">
        <v>78.34</v>
      </c>
    </row>
    <row r="8906" spans="4:5" x14ac:dyDescent="0.25">
      <c r="D8906" s="4">
        <v>44383</v>
      </c>
      <c r="E8906" s="6">
        <v>75.81</v>
      </c>
    </row>
    <row r="8907" spans="4:5" x14ac:dyDescent="0.25">
      <c r="D8907" s="4">
        <v>44384</v>
      </c>
      <c r="E8907" s="6">
        <v>74.31</v>
      </c>
    </row>
    <row r="8908" spans="4:5" x14ac:dyDescent="0.25">
      <c r="D8908" s="4">
        <v>44385</v>
      </c>
      <c r="E8908" s="6">
        <v>75.069999999999993</v>
      </c>
    </row>
    <row r="8909" spans="4:5" x14ac:dyDescent="0.25">
      <c r="D8909" s="4">
        <v>44386</v>
      </c>
      <c r="E8909" s="6">
        <v>77.14</v>
      </c>
    </row>
    <row r="8910" spans="4:5" x14ac:dyDescent="0.25">
      <c r="D8910" s="4">
        <v>44389</v>
      </c>
      <c r="E8910" s="6">
        <v>76.77</v>
      </c>
    </row>
    <row r="8911" spans="4:5" x14ac:dyDescent="0.25">
      <c r="D8911" s="4">
        <v>44390</v>
      </c>
      <c r="E8911" s="6">
        <v>77.5</v>
      </c>
    </row>
    <row r="8912" spans="4:5" x14ac:dyDescent="0.25">
      <c r="D8912" s="4">
        <v>44391</v>
      </c>
      <c r="E8912" s="6">
        <v>75.739999999999995</v>
      </c>
    </row>
    <row r="8913" spans="4:5" x14ac:dyDescent="0.25">
      <c r="D8913" s="4">
        <v>44392</v>
      </c>
      <c r="E8913" s="6">
        <v>74.53</v>
      </c>
    </row>
    <row r="8914" spans="4:5" x14ac:dyDescent="0.25">
      <c r="D8914" s="4">
        <v>44393</v>
      </c>
      <c r="E8914" s="6">
        <v>74.459999999999994</v>
      </c>
    </row>
    <row r="8915" spans="4:5" x14ac:dyDescent="0.25">
      <c r="D8915" s="4">
        <v>44396</v>
      </c>
      <c r="E8915" s="6">
        <v>69.33</v>
      </c>
    </row>
    <row r="8916" spans="4:5" x14ac:dyDescent="0.25">
      <c r="D8916" s="4">
        <v>44397</v>
      </c>
      <c r="E8916" s="6">
        <v>70.03</v>
      </c>
    </row>
    <row r="8917" spans="4:5" x14ac:dyDescent="0.25">
      <c r="D8917" s="4">
        <v>44398</v>
      </c>
      <c r="E8917" s="6">
        <v>72.540000000000006</v>
      </c>
    </row>
    <row r="8918" spans="4:5" x14ac:dyDescent="0.25">
      <c r="D8918" s="4">
        <v>44399</v>
      </c>
      <c r="E8918" s="6">
        <v>74.25</v>
      </c>
    </row>
    <row r="8919" spans="4:5" x14ac:dyDescent="0.25">
      <c r="D8919" s="4">
        <v>44400</v>
      </c>
      <c r="E8919" s="6">
        <v>74.86</v>
      </c>
    </row>
    <row r="8920" spans="4:5" x14ac:dyDescent="0.25">
      <c r="D8920" s="4">
        <v>44403</v>
      </c>
      <c r="E8920" s="6">
        <v>74.790000000000006</v>
      </c>
    </row>
    <row r="8921" spans="4:5" x14ac:dyDescent="0.25">
      <c r="D8921" s="4">
        <v>44404</v>
      </c>
      <c r="E8921" s="6">
        <v>74.87</v>
      </c>
    </row>
    <row r="8922" spans="4:5" x14ac:dyDescent="0.25">
      <c r="D8922" s="4">
        <v>44405</v>
      </c>
      <c r="E8922" s="6">
        <v>75.09</v>
      </c>
    </row>
    <row r="8923" spans="4:5" x14ac:dyDescent="0.25">
      <c r="D8923" s="4">
        <v>44406</v>
      </c>
      <c r="E8923" s="6">
        <v>76.3</v>
      </c>
    </row>
    <row r="8924" spans="4:5" x14ac:dyDescent="0.25">
      <c r="D8924" s="4">
        <v>44407</v>
      </c>
      <c r="E8924" s="6">
        <v>77.72</v>
      </c>
    </row>
    <row r="8925" spans="4:5" x14ac:dyDescent="0.25">
      <c r="D8925" s="4">
        <v>44410</v>
      </c>
      <c r="E8925" s="6">
        <v>73.91</v>
      </c>
    </row>
    <row r="8926" spans="4:5" x14ac:dyDescent="0.25">
      <c r="D8926" s="4">
        <v>44411</v>
      </c>
      <c r="E8926" s="6">
        <v>73.239999999999995</v>
      </c>
    </row>
    <row r="8927" spans="4:5" x14ac:dyDescent="0.25">
      <c r="D8927" s="4">
        <v>44412</v>
      </c>
      <c r="E8927" s="6">
        <v>70.989999999999995</v>
      </c>
    </row>
    <row r="8928" spans="4:5" x14ac:dyDescent="0.25">
      <c r="D8928" s="4">
        <v>44413</v>
      </c>
      <c r="E8928" s="6">
        <v>72.14</v>
      </c>
    </row>
    <row r="8929" spans="4:5" x14ac:dyDescent="0.25">
      <c r="D8929" s="4">
        <v>44414</v>
      </c>
      <c r="E8929" s="6">
        <v>71.02</v>
      </c>
    </row>
    <row r="8930" spans="4:5" x14ac:dyDescent="0.25">
      <c r="D8930" s="4">
        <v>44417</v>
      </c>
      <c r="E8930" s="6">
        <v>69.650000000000006</v>
      </c>
    </row>
    <row r="8931" spans="4:5" x14ac:dyDescent="0.25">
      <c r="D8931" s="4">
        <v>44418</v>
      </c>
      <c r="E8931" s="6">
        <v>71.14</v>
      </c>
    </row>
    <row r="8932" spans="4:5" x14ac:dyDescent="0.25">
      <c r="D8932" s="4">
        <v>44419</v>
      </c>
      <c r="E8932" s="6">
        <v>71.989999999999995</v>
      </c>
    </row>
    <row r="8933" spans="4:5" x14ac:dyDescent="0.25">
      <c r="D8933" s="4">
        <v>44420</v>
      </c>
      <c r="E8933" s="6">
        <v>71.790000000000006</v>
      </c>
    </row>
    <row r="8934" spans="4:5" x14ac:dyDescent="0.25">
      <c r="D8934" s="4">
        <v>44421</v>
      </c>
      <c r="E8934" s="6">
        <v>70.900000000000006</v>
      </c>
    </row>
    <row r="8935" spans="4:5" x14ac:dyDescent="0.25">
      <c r="D8935" s="4">
        <v>44424</v>
      </c>
      <c r="E8935" s="6">
        <v>70.069999999999993</v>
      </c>
    </row>
    <row r="8936" spans="4:5" x14ac:dyDescent="0.25">
      <c r="D8936" s="4">
        <v>44425</v>
      </c>
      <c r="E8936" s="6">
        <v>69.400000000000006</v>
      </c>
    </row>
    <row r="8937" spans="4:5" x14ac:dyDescent="0.25">
      <c r="D8937" s="4">
        <v>44426</v>
      </c>
      <c r="E8937" s="6">
        <v>68.61</v>
      </c>
    </row>
    <row r="8938" spans="4:5" x14ac:dyDescent="0.25">
      <c r="D8938" s="4">
        <v>44427</v>
      </c>
      <c r="E8938" s="6">
        <v>66.8</v>
      </c>
    </row>
    <row r="8939" spans="4:5" x14ac:dyDescent="0.25">
      <c r="D8939" s="4">
        <v>44428</v>
      </c>
      <c r="E8939" s="6">
        <v>65.510000000000005</v>
      </c>
    </row>
    <row r="8940" spans="4:5" x14ac:dyDescent="0.25">
      <c r="D8940" s="4">
        <v>44431</v>
      </c>
      <c r="E8940" s="6">
        <v>69.069999999999993</v>
      </c>
    </row>
    <row r="8941" spans="4:5" x14ac:dyDescent="0.25">
      <c r="D8941" s="4">
        <v>44432</v>
      </c>
      <c r="E8941" s="6">
        <v>71.209999999999994</v>
      </c>
    </row>
    <row r="8942" spans="4:5" x14ac:dyDescent="0.25">
      <c r="D8942" s="4">
        <v>44433</v>
      </c>
      <c r="E8942" s="6">
        <v>72.12</v>
      </c>
    </row>
    <row r="8943" spans="4:5" x14ac:dyDescent="0.25">
      <c r="D8943" s="4">
        <v>44434</v>
      </c>
      <c r="E8943" s="6">
        <v>70.42</v>
      </c>
    </row>
    <row r="8944" spans="4:5" x14ac:dyDescent="0.25">
      <c r="D8944" s="4">
        <v>44435</v>
      </c>
      <c r="E8944" s="6">
        <v>72.260000000000005</v>
      </c>
    </row>
    <row r="8945" spans="4:5" x14ac:dyDescent="0.25">
      <c r="D8945" s="4">
        <v>44438</v>
      </c>
      <c r="E8945" s="5"/>
    </row>
    <row r="8946" spans="4:5" x14ac:dyDescent="0.25">
      <c r="D8946" s="4">
        <v>44439</v>
      </c>
      <c r="E8946" s="6">
        <v>73.45</v>
      </c>
    </row>
    <row r="8947" spans="4:5" x14ac:dyDescent="0.25">
      <c r="D8947" s="4">
        <v>44440</v>
      </c>
      <c r="E8947" s="6">
        <v>71.989999999999995</v>
      </c>
    </row>
    <row r="8948" spans="4:5" x14ac:dyDescent="0.25">
      <c r="D8948" s="4">
        <v>44441</v>
      </c>
      <c r="E8948" s="6">
        <v>73.56</v>
      </c>
    </row>
    <row r="8949" spans="4:5" x14ac:dyDescent="0.25">
      <c r="D8949" s="4">
        <v>44442</v>
      </c>
      <c r="E8949" s="6">
        <v>73.069999999999993</v>
      </c>
    </row>
    <row r="8950" spans="4:5" x14ac:dyDescent="0.25">
      <c r="D8950" s="4">
        <v>44445</v>
      </c>
      <c r="E8950" s="6">
        <v>72.430000000000007</v>
      </c>
    </row>
    <row r="8951" spans="4:5" x14ac:dyDescent="0.25">
      <c r="D8951" s="4">
        <v>44446</v>
      </c>
      <c r="E8951" s="6">
        <v>71.52</v>
      </c>
    </row>
    <row r="8952" spans="4:5" x14ac:dyDescent="0.25">
      <c r="D8952" s="4">
        <v>44447</v>
      </c>
      <c r="E8952" s="6">
        <v>72.36</v>
      </c>
    </row>
    <row r="8953" spans="4:5" x14ac:dyDescent="0.25">
      <c r="D8953" s="4">
        <v>44448</v>
      </c>
      <c r="E8953" s="6">
        <v>71.319999999999993</v>
      </c>
    </row>
    <row r="8954" spans="4:5" x14ac:dyDescent="0.25">
      <c r="D8954" s="4">
        <v>44449</v>
      </c>
      <c r="E8954" s="6">
        <v>72.44</v>
      </c>
    </row>
    <row r="8955" spans="4:5" x14ac:dyDescent="0.25">
      <c r="D8955" s="4">
        <v>44452</v>
      </c>
      <c r="E8955" s="6">
        <v>72.97</v>
      </c>
    </row>
    <row r="8956" spans="4:5" x14ac:dyDescent="0.25">
      <c r="D8956" s="4">
        <v>44453</v>
      </c>
      <c r="E8956" s="6">
        <v>73.05</v>
      </c>
    </row>
    <row r="8957" spans="4:5" x14ac:dyDescent="0.25">
      <c r="D8957" s="4">
        <v>44454</v>
      </c>
      <c r="E8957" s="6">
        <v>74.84</v>
      </c>
    </row>
    <row r="8958" spans="4:5" x14ac:dyDescent="0.25">
      <c r="D8958" s="4">
        <v>44455</v>
      </c>
      <c r="E8958" s="6">
        <v>75.14</v>
      </c>
    </row>
    <row r="8959" spans="4:5" x14ac:dyDescent="0.25">
      <c r="D8959" s="4">
        <v>44456</v>
      </c>
      <c r="E8959" s="6">
        <v>74.64</v>
      </c>
    </row>
    <row r="8960" spans="4:5" x14ac:dyDescent="0.25">
      <c r="D8960" s="4">
        <v>44459</v>
      </c>
      <c r="E8960" s="6">
        <v>73.59</v>
      </c>
    </row>
    <row r="8961" spans="4:5" x14ac:dyDescent="0.25">
      <c r="D8961" s="4">
        <v>44460</v>
      </c>
      <c r="E8961" s="6">
        <v>73.650000000000006</v>
      </c>
    </row>
    <row r="8962" spans="4:5" x14ac:dyDescent="0.25">
      <c r="D8962" s="4">
        <v>44461</v>
      </c>
      <c r="E8962" s="6">
        <v>75.5</v>
      </c>
    </row>
    <row r="8963" spans="4:5" x14ac:dyDescent="0.25">
      <c r="D8963" s="4">
        <v>44462</v>
      </c>
      <c r="E8963" s="6">
        <v>76.44</v>
      </c>
    </row>
    <row r="8964" spans="4:5" x14ac:dyDescent="0.25">
      <c r="D8964" s="4">
        <v>44463</v>
      </c>
      <c r="E8964" s="6">
        <v>77.42</v>
      </c>
    </row>
    <row r="8965" spans="4:5" x14ac:dyDescent="0.25">
      <c r="D8965" s="4">
        <v>44466</v>
      </c>
      <c r="E8965" s="6">
        <v>78.849999999999994</v>
      </c>
    </row>
    <row r="8966" spans="4:5" x14ac:dyDescent="0.25">
      <c r="D8966" s="4">
        <v>44467</v>
      </c>
      <c r="E8966" s="6">
        <v>78.3</v>
      </c>
    </row>
    <row r="8967" spans="4:5" x14ac:dyDescent="0.25">
      <c r="D8967" s="4">
        <v>44468</v>
      </c>
      <c r="E8967" s="6">
        <v>77.86</v>
      </c>
    </row>
    <row r="8968" spans="4:5" x14ac:dyDescent="0.25">
      <c r="D8968" s="4">
        <v>44469</v>
      </c>
      <c r="E8968" s="6">
        <v>77.81</v>
      </c>
    </row>
    <row r="8969" spans="4:5" x14ac:dyDescent="0.25">
      <c r="D8969" s="4">
        <v>44470</v>
      </c>
      <c r="E8969" s="6">
        <v>79.400000000000006</v>
      </c>
    </row>
    <row r="8970" spans="4:5" x14ac:dyDescent="0.25">
      <c r="D8970" s="4">
        <v>44473</v>
      </c>
      <c r="E8970" s="6">
        <v>81.44</v>
      </c>
    </row>
    <row r="8971" spans="4:5" x14ac:dyDescent="0.25">
      <c r="D8971" s="4">
        <v>44474</v>
      </c>
      <c r="E8971" s="6">
        <v>82.72</v>
      </c>
    </row>
    <row r="8972" spans="4:5" x14ac:dyDescent="0.25">
      <c r="D8972" s="4">
        <v>44475</v>
      </c>
      <c r="E8972" s="6">
        <v>81.39</v>
      </c>
    </row>
    <row r="8973" spans="4:5" x14ac:dyDescent="0.25">
      <c r="D8973" s="4">
        <v>44476</v>
      </c>
      <c r="E8973" s="6">
        <v>82.34</v>
      </c>
    </row>
    <row r="8974" spans="4:5" x14ac:dyDescent="0.25">
      <c r="D8974" s="4">
        <v>44477</v>
      </c>
      <c r="E8974" s="6">
        <v>82.17</v>
      </c>
    </row>
    <row r="8975" spans="4:5" x14ac:dyDescent="0.25">
      <c r="D8975" s="4">
        <v>44480</v>
      </c>
      <c r="E8975" s="6">
        <v>83.75</v>
      </c>
    </row>
    <row r="8976" spans="4:5" x14ac:dyDescent="0.25">
      <c r="D8976" s="4">
        <v>44481</v>
      </c>
      <c r="E8976" s="6">
        <v>83.53</v>
      </c>
    </row>
    <row r="8977" spans="4:5" x14ac:dyDescent="0.25">
      <c r="D8977" s="4">
        <v>44482</v>
      </c>
      <c r="E8977" s="6">
        <v>83.53</v>
      </c>
    </row>
    <row r="8978" spans="4:5" x14ac:dyDescent="0.25">
      <c r="D8978" s="4">
        <v>44483</v>
      </c>
      <c r="E8978" s="6">
        <v>83.86</v>
      </c>
    </row>
    <row r="8979" spans="4:5" x14ac:dyDescent="0.25">
      <c r="D8979" s="4">
        <v>44484</v>
      </c>
      <c r="E8979" s="6">
        <v>84.67</v>
      </c>
    </row>
    <row r="8980" spans="4:5" x14ac:dyDescent="0.25">
      <c r="D8980" s="4">
        <v>44487</v>
      </c>
      <c r="E8980" s="6">
        <v>84.13</v>
      </c>
    </row>
    <row r="8981" spans="4:5" x14ac:dyDescent="0.25">
      <c r="D8981" s="4">
        <v>44488</v>
      </c>
      <c r="E8981" s="6">
        <v>85.02</v>
      </c>
    </row>
    <row r="8982" spans="4:5" x14ac:dyDescent="0.25">
      <c r="D8982" s="4">
        <v>44489</v>
      </c>
      <c r="E8982" s="6">
        <v>85.76</v>
      </c>
    </row>
    <row r="8983" spans="4:5" x14ac:dyDescent="0.25">
      <c r="D8983" s="4">
        <v>44490</v>
      </c>
      <c r="E8983" s="6">
        <v>84.58</v>
      </c>
    </row>
    <row r="8984" spans="4:5" x14ac:dyDescent="0.25">
      <c r="D8984" s="4">
        <v>44491</v>
      </c>
      <c r="E8984" s="6">
        <v>85.43</v>
      </c>
    </row>
    <row r="8985" spans="4:5" x14ac:dyDescent="0.25">
      <c r="D8985" s="4">
        <v>44494</v>
      </c>
      <c r="E8985" s="6">
        <v>84.85</v>
      </c>
    </row>
    <row r="8986" spans="4:5" x14ac:dyDescent="0.25">
      <c r="D8986" s="4">
        <v>44495</v>
      </c>
      <c r="E8986" s="6">
        <v>85.11</v>
      </c>
    </row>
    <row r="8987" spans="4:5" x14ac:dyDescent="0.25">
      <c r="D8987" s="4">
        <v>44496</v>
      </c>
      <c r="E8987" s="6">
        <v>84.12</v>
      </c>
    </row>
    <row r="8988" spans="4:5" x14ac:dyDescent="0.25">
      <c r="D8988" s="4">
        <v>44497</v>
      </c>
      <c r="E8988" s="6">
        <v>83.4</v>
      </c>
    </row>
    <row r="8989" spans="4:5" x14ac:dyDescent="0.25">
      <c r="D8989" s="4">
        <v>44498</v>
      </c>
      <c r="E8989" s="6">
        <v>83.1</v>
      </c>
    </row>
    <row r="8990" spans="4:5" x14ac:dyDescent="0.25">
      <c r="D8990" s="4">
        <v>44501</v>
      </c>
      <c r="E8990" s="6">
        <v>84.51</v>
      </c>
    </row>
    <row r="8991" spans="4:5" x14ac:dyDescent="0.25">
      <c r="D8991" s="4">
        <v>44502</v>
      </c>
      <c r="E8991" s="6">
        <v>84.42</v>
      </c>
    </row>
    <row r="8992" spans="4:5" x14ac:dyDescent="0.25">
      <c r="D8992" s="4">
        <v>44503</v>
      </c>
      <c r="E8992" s="6">
        <v>81.099999999999994</v>
      </c>
    </row>
    <row r="8993" spans="4:5" x14ac:dyDescent="0.25">
      <c r="D8993" s="4">
        <v>44504</v>
      </c>
      <c r="E8993" s="6">
        <v>80.150000000000006</v>
      </c>
    </row>
    <row r="8994" spans="4:5" x14ac:dyDescent="0.25">
      <c r="D8994" s="4">
        <v>44505</v>
      </c>
      <c r="E8994" s="6">
        <v>82.43</v>
      </c>
    </row>
    <row r="8995" spans="4:5" x14ac:dyDescent="0.25">
      <c r="D8995" s="4">
        <v>44508</v>
      </c>
      <c r="E8995" s="6">
        <v>83.22</v>
      </c>
    </row>
    <row r="8996" spans="4:5" x14ac:dyDescent="0.25">
      <c r="D8996" s="4">
        <v>44509</v>
      </c>
      <c r="E8996" s="6">
        <v>84.52</v>
      </c>
    </row>
    <row r="8997" spans="4:5" x14ac:dyDescent="0.25">
      <c r="D8997" s="4">
        <v>44510</v>
      </c>
      <c r="E8997" s="6">
        <v>82.91</v>
      </c>
    </row>
    <row r="8998" spans="4:5" x14ac:dyDescent="0.25">
      <c r="D8998" s="4">
        <v>44511</v>
      </c>
      <c r="E8998" s="6">
        <v>83.4</v>
      </c>
    </row>
    <row r="8999" spans="4:5" x14ac:dyDescent="0.25">
      <c r="D8999" s="4">
        <v>44512</v>
      </c>
      <c r="E8999" s="6">
        <v>82.9</v>
      </c>
    </row>
    <row r="9000" spans="4:5" x14ac:dyDescent="0.25">
      <c r="D9000" s="4">
        <v>44515</v>
      </c>
      <c r="E9000" s="6">
        <v>81.94</v>
      </c>
    </row>
    <row r="9001" spans="4:5" x14ac:dyDescent="0.25">
      <c r="D9001" s="4">
        <v>44516</v>
      </c>
      <c r="E9001" s="6">
        <v>82.85</v>
      </c>
    </row>
    <row r="9002" spans="4:5" x14ac:dyDescent="0.25">
      <c r="D9002" s="4">
        <v>44517</v>
      </c>
      <c r="E9002" s="6">
        <v>80.67</v>
      </c>
    </row>
    <row r="9003" spans="4:5" x14ac:dyDescent="0.25">
      <c r="D9003" s="4">
        <v>44518</v>
      </c>
      <c r="E9003" s="6">
        <v>82.45</v>
      </c>
    </row>
    <row r="9004" spans="4:5" x14ac:dyDescent="0.25">
      <c r="D9004" s="4">
        <v>44519</v>
      </c>
      <c r="E9004" s="6">
        <v>80.239999999999995</v>
      </c>
    </row>
    <row r="9005" spans="4:5" x14ac:dyDescent="0.25">
      <c r="D9005" s="4">
        <v>44522</v>
      </c>
      <c r="E9005" s="6">
        <v>80.97</v>
      </c>
    </row>
    <row r="9006" spans="4:5" x14ac:dyDescent="0.25">
      <c r="D9006" s="4">
        <v>44523</v>
      </c>
      <c r="E9006" s="6">
        <v>83.43</v>
      </c>
    </row>
    <row r="9007" spans="4:5" x14ac:dyDescent="0.25">
      <c r="D9007" s="4">
        <v>44524</v>
      </c>
      <c r="E9007" s="6">
        <v>82.37</v>
      </c>
    </row>
    <row r="9008" spans="4:5" x14ac:dyDescent="0.25">
      <c r="D9008" s="4">
        <v>44525</v>
      </c>
      <c r="E9008" s="6">
        <v>82.05</v>
      </c>
    </row>
    <row r="9009" spans="4:5" x14ac:dyDescent="0.25">
      <c r="D9009" s="4">
        <v>44526</v>
      </c>
      <c r="E9009" s="6">
        <v>72.37</v>
      </c>
    </row>
    <row r="9010" spans="4:5" x14ac:dyDescent="0.25">
      <c r="D9010" s="4">
        <v>44529</v>
      </c>
      <c r="E9010" s="6">
        <v>73.34</v>
      </c>
    </row>
    <row r="9011" spans="4:5" x14ac:dyDescent="0.25">
      <c r="D9011" s="4">
        <v>44530</v>
      </c>
      <c r="E9011" s="6">
        <v>70.86</v>
      </c>
    </row>
    <row r="9012" spans="4:5" x14ac:dyDescent="0.25">
      <c r="D9012" s="4">
        <v>44531</v>
      </c>
      <c r="E9012" s="6">
        <v>69.53</v>
      </c>
    </row>
    <row r="9013" spans="4:5" x14ac:dyDescent="0.25">
      <c r="D9013" s="4">
        <v>44532</v>
      </c>
      <c r="E9013" s="6">
        <v>70.56</v>
      </c>
    </row>
    <row r="9014" spans="4:5" x14ac:dyDescent="0.25">
      <c r="D9014" s="4">
        <v>44533</v>
      </c>
      <c r="E9014" s="6">
        <v>70.709999999999994</v>
      </c>
    </row>
    <row r="9015" spans="4:5" x14ac:dyDescent="0.25">
      <c r="D9015" s="4">
        <v>44536</v>
      </c>
      <c r="E9015" s="6">
        <v>73.38</v>
      </c>
    </row>
    <row r="9016" spans="4:5" x14ac:dyDescent="0.25">
      <c r="D9016" s="4">
        <v>44537</v>
      </c>
      <c r="E9016" s="6">
        <v>75.540000000000006</v>
      </c>
    </row>
    <row r="9017" spans="4:5" x14ac:dyDescent="0.25">
      <c r="D9017" s="4">
        <v>44538</v>
      </c>
      <c r="E9017" s="6">
        <v>75.94</v>
      </c>
    </row>
    <row r="9018" spans="4:5" x14ac:dyDescent="0.25">
      <c r="D9018" s="4">
        <v>44539</v>
      </c>
      <c r="E9018" s="6">
        <v>74.099999999999994</v>
      </c>
    </row>
    <row r="9019" spans="4:5" x14ac:dyDescent="0.25">
      <c r="D9019" s="4">
        <v>44540</v>
      </c>
      <c r="E9019" s="6">
        <v>74.98</v>
      </c>
    </row>
    <row r="9020" spans="4:5" x14ac:dyDescent="0.25">
      <c r="D9020" s="4">
        <v>44543</v>
      </c>
      <c r="E9020" s="6">
        <v>74.12</v>
      </c>
    </row>
    <row r="9021" spans="4:5" x14ac:dyDescent="0.25">
      <c r="D9021" s="4">
        <v>44544</v>
      </c>
      <c r="E9021" s="6">
        <v>73.37</v>
      </c>
    </row>
    <row r="9022" spans="4:5" x14ac:dyDescent="0.25">
      <c r="D9022" s="4">
        <v>44545</v>
      </c>
      <c r="E9022" s="6">
        <v>73.709999999999994</v>
      </c>
    </row>
    <row r="9023" spans="4:5" x14ac:dyDescent="0.25">
      <c r="D9023" s="4">
        <v>44546</v>
      </c>
      <c r="E9023" s="6">
        <v>74.64</v>
      </c>
    </row>
    <row r="9024" spans="4:5" x14ac:dyDescent="0.25">
      <c r="D9024" s="4">
        <v>44547</v>
      </c>
      <c r="E9024" s="6">
        <v>72.97</v>
      </c>
    </row>
    <row r="9025" spans="4:5" x14ac:dyDescent="0.25">
      <c r="D9025" s="4">
        <v>44550</v>
      </c>
      <c r="E9025" s="6">
        <v>70.510000000000005</v>
      </c>
    </row>
    <row r="9026" spans="4:5" x14ac:dyDescent="0.25">
      <c r="D9026" s="4">
        <v>44551</v>
      </c>
      <c r="E9026" s="6">
        <v>72.849999999999994</v>
      </c>
    </row>
    <row r="9027" spans="4:5" x14ac:dyDescent="0.25">
      <c r="D9027" s="4">
        <v>44552</v>
      </c>
      <c r="E9027" s="6">
        <v>74.69</v>
      </c>
    </row>
    <row r="9028" spans="4:5" x14ac:dyDescent="0.25">
      <c r="D9028" s="4">
        <v>44553</v>
      </c>
      <c r="E9028" s="6">
        <v>76.260000000000005</v>
      </c>
    </row>
    <row r="9029" spans="4:5" x14ac:dyDescent="0.25">
      <c r="D9029" s="4">
        <v>44554</v>
      </c>
      <c r="E9029" s="6">
        <v>75.239999999999995</v>
      </c>
    </row>
    <row r="9030" spans="4:5" x14ac:dyDescent="0.25">
      <c r="D9030" s="4">
        <v>44557</v>
      </c>
      <c r="E9030" s="5"/>
    </row>
    <row r="9031" spans="4:5" x14ac:dyDescent="0.25">
      <c r="D9031" s="4">
        <v>44558</v>
      </c>
      <c r="E9031" s="5"/>
    </row>
    <row r="9032" spans="4:5" x14ac:dyDescent="0.25">
      <c r="D9032" s="4">
        <v>44559</v>
      </c>
      <c r="E9032" s="6">
        <v>78.63</v>
      </c>
    </row>
    <row r="9033" spans="4:5" x14ac:dyDescent="0.25">
      <c r="D9033" s="4">
        <v>44560</v>
      </c>
      <c r="E9033" s="6">
        <v>78.61</v>
      </c>
    </row>
    <row r="9034" spans="4:5" x14ac:dyDescent="0.25">
      <c r="D9034" s="4">
        <v>44561</v>
      </c>
      <c r="E9034" s="6">
        <v>77.239999999999995</v>
      </c>
    </row>
    <row r="9035" spans="4:5" x14ac:dyDescent="0.25">
      <c r="D9035" s="4">
        <v>44564</v>
      </c>
      <c r="E9035" s="6">
        <v>78.25</v>
      </c>
    </row>
    <row r="9036" spans="4:5" x14ac:dyDescent="0.25">
      <c r="D9036" s="4">
        <v>44565</v>
      </c>
      <c r="E9036" s="6">
        <v>79.39</v>
      </c>
    </row>
    <row r="9037" spans="4:5" x14ac:dyDescent="0.25">
      <c r="D9037" s="4">
        <v>44566</v>
      </c>
      <c r="E9037" s="6">
        <v>80.599999999999994</v>
      </c>
    </row>
    <row r="9038" spans="4:5" x14ac:dyDescent="0.25">
      <c r="D9038" s="4">
        <v>44567</v>
      </c>
      <c r="E9038" s="6">
        <v>81.99</v>
      </c>
    </row>
    <row r="9039" spans="4:5" x14ac:dyDescent="0.25">
      <c r="D9039" s="4">
        <v>44568</v>
      </c>
      <c r="E9039" s="6">
        <v>82.28</v>
      </c>
    </row>
    <row r="9040" spans="4:5" x14ac:dyDescent="0.25">
      <c r="D9040" s="4">
        <v>44571</v>
      </c>
      <c r="E9040" s="6">
        <v>81.56</v>
      </c>
    </row>
    <row r="9041" spans="4:5" x14ac:dyDescent="0.25">
      <c r="D9041" s="4">
        <v>44572</v>
      </c>
      <c r="E9041" s="6">
        <v>84.98</v>
      </c>
    </row>
    <row r="9042" spans="4:5" x14ac:dyDescent="0.25">
      <c r="D9042" s="4">
        <v>44573</v>
      </c>
      <c r="E9042" s="6">
        <v>85.83</v>
      </c>
    </row>
    <row r="9043" spans="4:5" x14ac:dyDescent="0.25">
      <c r="D9043" s="4">
        <v>44574</v>
      </c>
      <c r="E9043" s="6">
        <v>85.8</v>
      </c>
    </row>
    <row r="9044" spans="4:5" x14ac:dyDescent="0.25">
      <c r="D9044" s="4">
        <v>44575</v>
      </c>
      <c r="E9044" s="6">
        <v>87.17</v>
      </c>
    </row>
    <row r="9045" spans="4:5" x14ac:dyDescent="0.25">
      <c r="D9045" s="4">
        <v>44578</v>
      </c>
      <c r="E9045" s="6">
        <v>87.82</v>
      </c>
    </row>
    <row r="9046" spans="4:5" x14ac:dyDescent="0.25">
      <c r="D9046" s="4">
        <v>44579</v>
      </c>
      <c r="E9046" s="6">
        <v>88.83</v>
      </c>
    </row>
    <row r="9047" spans="4:5" x14ac:dyDescent="0.25">
      <c r="D9047" s="4">
        <v>44580</v>
      </c>
      <c r="E9047" s="6">
        <v>89.64</v>
      </c>
    </row>
    <row r="9048" spans="4:5" x14ac:dyDescent="0.25">
      <c r="D9048" s="4">
        <v>44581</v>
      </c>
      <c r="E9048" s="6">
        <v>89.75</v>
      </c>
    </row>
    <row r="9049" spans="4:5" x14ac:dyDescent="0.25">
      <c r="D9049" s="4">
        <v>44582</v>
      </c>
      <c r="E9049" s="6">
        <v>89.75</v>
      </c>
    </row>
    <row r="9050" spans="4:5" x14ac:dyDescent="0.25">
      <c r="D9050" s="4">
        <v>44585</v>
      </c>
      <c r="E9050" s="6">
        <v>87.74</v>
      </c>
    </row>
    <row r="9051" spans="4:5" x14ac:dyDescent="0.25">
      <c r="D9051" s="4">
        <v>44586</v>
      </c>
      <c r="E9051" s="6">
        <v>89.49</v>
      </c>
    </row>
    <row r="9052" spans="4:5" x14ac:dyDescent="0.25">
      <c r="D9052" s="4">
        <v>44587</v>
      </c>
      <c r="E9052" s="6">
        <v>91.22</v>
      </c>
    </row>
    <row r="9053" spans="4:5" x14ac:dyDescent="0.25">
      <c r="D9053" s="4">
        <v>44588</v>
      </c>
      <c r="E9053" s="6">
        <v>90.7</v>
      </c>
    </row>
    <row r="9054" spans="4:5" x14ac:dyDescent="0.25">
      <c r="D9054" s="4">
        <v>44589</v>
      </c>
      <c r="E9054" s="6">
        <v>91.47</v>
      </c>
    </row>
    <row r="9055" spans="4:5" x14ac:dyDescent="0.25">
      <c r="D9055" s="4">
        <v>44592</v>
      </c>
      <c r="E9055" s="6">
        <v>92.35</v>
      </c>
    </row>
    <row r="9056" spans="4:5" x14ac:dyDescent="0.25">
      <c r="D9056" s="4">
        <v>44593</v>
      </c>
      <c r="E9056" s="6">
        <v>90.24</v>
      </c>
    </row>
    <row r="9057" spans="4:5" x14ac:dyDescent="0.25">
      <c r="D9057" s="4">
        <v>44594</v>
      </c>
      <c r="E9057" s="6">
        <v>91.43</v>
      </c>
    </row>
    <row r="9058" spans="4:5" x14ac:dyDescent="0.25">
      <c r="D9058" s="4">
        <v>44595</v>
      </c>
      <c r="E9058" s="6">
        <v>92.99</v>
      </c>
    </row>
    <row r="9059" spans="4:5" x14ac:dyDescent="0.25">
      <c r="D9059" s="4">
        <v>44596</v>
      </c>
      <c r="E9059" s="6">
        <v>96.86</v>
      </c>
    </row>
    <row r="9060" spans="4:5" x14ac:dyDescent="0.25">
      <c r="D9060" s="4">
        <v>44599</v>
      </c>
      <c r="E9060" s="6">
        <v>97.28</v>
      </c>
    </row>
    <row r="9061" spans="4:5" x14ac:dyDescent="0.25">
      <c r="D9061" s="4">
        <v>44600</v>
      </c>
      <c r="E9061" s="6">
        <v>96.07</v>
      </c>
    </row>
    <row r="9062" spans="4:5" x14ac:dyDescent="0.25">
      <c r="D9062" s="4">
        <v>44601</v>
      </c>
      <c r="E9062" s="6">
        <v>94.95</v>
      </c>
    </row>
    <row r="9063" spans="4:5" x14ac:dyDescent="0.25">
      <c r="D9063" s="4">
        <v>44602</v>
      </c>
      <c r="E9063" s="6">
        <v>96.37</v>
      </c>
    </row>
    <row r="9064" spans="4:5" x14ac:dyDescent="0.25">
      <c r="D9064" s="4">
        <v>44603</v>
      </c>
      <c r="E9064" s="6">
        <v>97.5</v>
      </c>
    </row>
    <row r="9065" spans="4:5" x14ac:dyDescent="0.25">
      <c r="D9065" s="4">
        <v>44606</v>
      </c>
      <c r="E9065" s="6">
        <v>101.66</v>
      </c>
    </row>
    <row r="9066" spans="4:5" x14ac:dyDescent="0.25">
      <c r="D9066" s="4">
        <v>44607</v>
      </c>
      <c r="E9066" s="6">
        <v>98.43</v>
      </c>
    </row>
    <row r="9067" spans="4:5" x14ac:dyDescent="0.25">
      <c r="D9067" s="4">
        <v>44608</v>
      </c>
      <c r="E9067" s="6">
        <v>97.44</v>
      </c>
    </row>
    <row r="9068" spans="4:5" x14ac:dyDescent="0.25">
      <c r="D9068" s="4">
        <v>44609</v>
      </c>
      <c r="E9068" s="6">
        <v>95.28</v>
      </c>
    </row>
    <row r="9069" spans="4:5" x14ac:dyDescent="0.25">
      <c r="D9069" s="4">
        <v>44610</v>
      </c>
      <c r="E9069" s="6">
        <v>96.18</v>
      </c>
    </row>
    <row r="9070" spans="4:5" x14ac:dyDescent="0.25">
      <c r="D9070" s="4">
        <v>44613</v>
      </c>
      <c r="E9070" s="6">
        <v>98.95</v>
      </c>
    </row>
    <row r="9071" spans="4:5" x14ac:dyDescent="0.25">
      <c r="D9071" s="4">
        <v>44614</v>
      </c>
      <c r="E9071" s="6">
        <v>98.73</v>
      </c>
    </row>
    <row r="9072" spans="4:5" x14ac:dyDescent="0.25">
      <c r="D9072" s="4">
        <v>44615</v>
      </c>
      <c r="E9072" s="6">
        <v>99.29</v>
      </c>
    </row>
    <row r="9073" spans="4:5" x14ac:dyDescent="0.25">
      <c r="D9073" s="4">
        <v>44616</v>
      </c>
      <c r="E9073" s="6">
        <v>101.29</v>
      </c>
    </row>
    <row r="9074" spans="4:5" x14ac:dyDescent="0.25">
      <c r="D9074" s="4">
        <v>44617</v>
      </c>
      <c r="E9074" s="6">
        <v>98.56</v>
      </c>
    </row>
    <row r="9075" spans="4:5" x14ac:dyDescent="0.25">
      <c r="D9075" s="4">
        <v>44620</v>
      </c>
      <c r="E9075" s="6">
        <v>103.08</v>
      </c>
    </row>
    <row r="9076" spans="4:5" x14ac:dyDescent="0.25">
      <c r="D9076" s="4">
        <v>44621</v>
      </c>
      <c r="E9076" s="6">
        <v>110.93</v>
      </c>
    </row>
    <row r="9077" spans="4:5" x14ac:dyDescent="0.25">
      <c r="D9077" s="4">
        <v>44622</v>
      </c>
      <c r="E9077" s="6">
        <v>118.94</v>
      </c>
    </row>
    <row r="9078" spans="4:5" x14ac:dyDescent="0.25">
      <c r="D9078" s="4">
        <v>44623</v>
      </c>
      <c r="E9078" s="6">
        <v>115.36</v>
      </c>
    </row>
    <row r="9079" spans="4:5" x14ac:dyDescent="0.25">
      <c r="D9079" s="4">
        <v>44624</v>
      </c>
      <c r="E9079" s="6">
        <v>123.86</v>
      </c>
    </row>
    <row r="9080" spans="4:5" x14ac:dyDescent="0.25">
      <c r="D9080" s="4">
        <v>44627</v>
      </c>
      <c r="E9080" s="6">
        <v>129.02000000000001</v>
      </c>
    </row>
    <row r="9081" spans="4:5" x14ac:dyDescent="0.25">
      <c r="D9081" s="4">
        <v>44628</v>
      </c>
      <c r="E9081" s="6">
        <v>133.18</v>
      </c>
    </row>
    <row r="9082" spans="4:5" x14ac:dyDescent="0.25">
      <c r="D9082" s="4">
        <v>44629</v>
      </c>
      <c r="E9082" s="6">
        <v>116.58</v>
      </c>
    </row>
    <row r="9083" spans="4:5" x14ac:dyDescent="0.25">
      <c r="D9083" s="4">
        <v>44630</v>
      </c>
      <c r="E9083" s="6">
        <v>114.54</v>
      </c>
    </row>
    <row r="9084" spans="4:5" x14ac:dyDescent="0.25">
      <c r="D9084" s="4">
        <v>44631</v>
      </c>
      <c r="E9084" s="6">
        <v>118.11</v>
      </c>
    </row>
    <row r="9085" spans="4:5" x14ac:dyDescent="0.25">
      <c r="D9085" s="4">
        <v>44634</v>
      </c>
      <c r="E9085" s="6">
        <v>110.39</v>
      </c>
    </row>
    <row r="9086" spans="4:5" x14ac:dyDescent="0.25">
      <c r="D9086" s="4">
        <v>44635</v>
      </c>
      <c r="E9086" s="6">
        <v>105.14</v>
      </c>
    </row>
    <row r="9087" spans="4:5" x14ac:dyDescent="0.25">
      <c r="D9087" s="4">
        <v>44636</v>
      </c>
      <c r="E9087" s="6">
        <v>104.61</v>
      </c>
    </row>
    <row r="9088" spans="4:5" x14ac:dyDescent="0.25">
      <c r="D9088" s="4">
        <v>44637</v>
      </c>
      <c r="E9088" s="6">
        <v>113.5</v>
      </c>
    </row>
    <row r="9089" spans="4:5" x14ac:dyDescent="0.25">
      <c r="D9089" s="4">
        <v>44638</v>
      </c>
      <c r="E9089" s="6">
        <v>114.32</v>
      </c>
    </row>
    <row r="9090" spans="4:5" x14ac:dyDescent="0.25">
      <c r="D9090" s="4">
        <v>44641</v>
      </c>
      <c r="E9090" s="6">
        <v>122.29</v>
      </c>
    </row>
    <row r="9091" spans="4:5" x14ac:dyDescent="0.25">
      <c r="D9091" s="4">
        <v>44642</v>
      </c>
      <c r="E9091" s="6">
        <v>121.53</v>
      </c>
    </row>
    <row r="9092" spans="4:5" x14ac:dyDescent="0.25">
      <c r="D9092" s="4">
        <v>44643</v>
      </c>
      <c r="E9092" s="6">
        <v>127.52</v>
      </c>
    </row>
    <row r="9093" spans="4:5" x14ac:dyDescent="0.25">
      <c r="D9093" s="4">
        <v>44644</v>
      </c>
      <c r="E9093" s="6">
        <v>123.98</v>
      </c>
    </row>
    <row r="9094" spans="4:5" x14ac:dyDescent="0.25">
      <c r="D9094" s="4">
        <v>44645</v>
      </c>
      <c r="E9094" s="6">
        <v>122.67</v>
      </c>
    </row>
    <row r="9095" spans="4:5" x14ac:dyDescent="0.25">
      <c r="D9095" s="4">
        <v>44648</v>
      </c>
      <c r="E9095" s="6">
        <v>114.5</v>
      </c>
    </row>
    <row r="9096" spans="4:5" x14ac:dyDescent="0.25">
      <c r="D9096" s="4">
        <v>44649</v>
      </c>
      <c r="E9096" s="6">
        <v>112.79</v>
      </c>
    </row>
    <row r="9097" spans="4:5" x14ac:dyDescent="0.25">
      <c r="D9097" s="4">
        <v>44650</v>
      </c>
      <c r="E9097" s="6">
        <v>115.59</v>
      </c>
    </row>
    <row r="9098" spans="4:5" x14ac:dyDescent="0.25">
      <c r="D9098" s="4">
        <v>44651</v>
      </c>
      <c r="E9098" s="6">
        <v>107.29</v>
      </c>
    </row>
    <row r="9099" spans="4:5" x14ac:dyDescent="0.25">
      <c r="D9099" s="4">
        <v>44652</v>
      </c>
      <c r="E9099" s="6">
        <v>106.13</v>
      </c>
    </row>
    <row r="9100" spans="4:5" x14ac:dyDescent="0.25">
      <c r="D9100" s="4">
        <v>44655</v>
      </c>
      <c r="E9100" s="6">
        <v>108.15</v>
      </c>
    </row>
    <row r="9101" spans="4:5" x14ac:dyDescent="0.25">
      <c r="D9101" s="4">
        <v>44656</v>
      </c>
      <c r="E9101" s="6">
        <v>106.6</v>
      </c>
    </row>
    <row r="9102" spans="4:5" x14ac:dyDescent="0.25">
      <c r="D9102" s="4">
        <v>44657</v>
      </c>
      <c r="E9102" s="6">
        <v>100.81</v>
      </c>
    </row>
    <row r="9103" spans="4:5" x14ac:dyDescent="0.25">
      <c r="D9103" s="4">
        <v>44658</v>
      </c>
      <c r="E9103" s="6">
        <v>99.83</v>
      </c>
    </row>
    <row r="9104" spans="4:5" x14ac:dyDescent="0.25">
      <c r="D9104" s="4">
        <v>44659</v>
      </c>
      <c r="E9104" s="6">
        <v>101.26</v>
      </c>
    </row>
    <row r="9105" spans="4:5" x14ac:dyDescent="0.25">
      <c r="D9105" s="4">
        <v>44662</v>
      </c>
      <c r="E9105" s="6">
        <v>97.92</v>
      </c>
    </row>
    <row r="9106" spans="4:5" x14ac:dyDescent="0.25">
      <c r="D9106" s="4">
        <v>44663</v>
      </c>
      <c r="E9106" s="6">
        <v>104.42</v>
      </c>
    </row>
    <row r="9107" spans="4:5" x14ac:dyDescent="0.25">
      <c r="D9107" s="4">
        <v>44664</v>
      </c>
      <c r="E9107" s="6">
        <v>108.49</v>
      </c>
    </row>
    <row r="9108" spans="4:5" x14ac:dyDescent="0.25">
      <c r="D9108" s="4">
        <v>44665</v>
      </c>
      <c r="E9108" s="6">
        <v>110.83</v>
      </c>
    </row>
    <row r="9109" spans="4:5" x14ac:dyDescent="0.25">
      <c r="D9109" s="4">
        <v>44666</v>
      </c>
      <c r="E9109" s="5"/>
    </row>
    <row r="9110" spans="4:5" x14ac:dyDescent="0.25">
      <c r="D9110" s="4">
        <v>44669</v>
      </c>
      <c r="E9110" s="5"/>
    </row>
    <row r="9111" spans="4:5" x14ac:dyDescent="0.25">
      <c r="D9111" s="4">
        <v>44670</v>
      </c>
      <c r="E9111" s="6">
        <v>105.49</v>
      </c>
    </row>
    <row r="9112" spans="4:5" x14ac:dyDescent="0.25">
      <c r="D9112" s="4">
        <v>44671</v>
      </c>
      <c r="E9112" s="6">
        <v>105.05</v>
      </c>
    </row>
    <row r="9113" spans="4:5" x14ac:dyDescent="0.25">
      <c r="D9113" s="4">
        <v>44672</v>
      </c>
      <c r="E9113" s="6">
        <v>107.2</v>
      </c>
    </row>
    <row r="9114" spans="4:5" x14ac:dyDescent="0.25">
      <c r="D9114" s="4">
        <v>44673</v>
      </c>
      <c r="E9114" s="6">
        <v>105.15</v>
      </c>
    </row>
    <row r="9115" spans="4:5" x14ac:dyDescent="0.25">
      <c r="D9115" s="4">
        <v>44676</v>
      </c>
      <c r="E9115" s="6">
        <v>99.27</v>
      </c>
    </row>
    <row r="9116" spans="4:5" x14ac:dyDescent="0.25">
      <c r="D9116" s="4">
        <v>44677</v>
      </c>
      <c r="E9116" s="6">
        <v>102.89</v>
      </c>
    </row>
    <row r="9117" spans="4:5" x14ac:dyDescent="0.25">
      <c r="D9117" s="4">
        <v>44678</v>
      </c>
      <c r="E9117" s="6">
        <v>103.3</v>
      </c>
    </row>
    <row r="9118" spans="4:5" x14ac:dyDescent="0.25">
      <c r="D9118" s="4">
        <v>44679</v>
      </c>
      <c r="E9118" s="6">
        <v>105.78</v>
      </c>
    </row>
    <row r="9119" spans="4:5" x14ac:dyDescent="0.25">
      <c r="D9119" s="4">
        <v>44680</v>
      </c>
      <c r="E9119" s="6">
        <v>108.36</v>
      </c>
    </row>
    <row r="9120" spans="4:5" x14ac:dyDescent="0.25">
      <c r="D9120" s="4">
        <v>44683</v>
      </c>
      <c r="E9120" s="5"/>
    </row>
    <row r="9121" spans="4:5" x14ac:dyDescent="0.25">
      <c r="D9121" s="4">
        <v>44684</v>
      </c>
      <c r="E9121" s="6">
        <v>104.94</v>
      </c>
    </row>
    <row r="9122" spans="4:5" x14ac:dyDescent="0.25">
      <c r="D9122" s="4">
        <v>44685</v>
      </c>
      <c r="E9122" s="6">
        <v>110.53</v>
      </c>
    </row>
    <row r="9123" spans="4:5" x14ac:dyDescent="0.25">
      <c r="D9123" s="4">
        <v>44686</v>
      </c>
      <c r="E9123" s="6">
        <v>112.11</v>
      </c>
    </row>
    <row r="9124" spans="4:5" x14ac:dyDescent="0.25">
      <c r="D9124" s="4">
        <v>44687</v>
      </c>
      <c r="E9124" s="6">
        <v>113.86</v>
      </c>
    </row>
    <row r="9125" spans="4:5" x14ac:dyDescent="0.25">
      <c r="D9125" s="4">
        <v>44690</v>
      </c>
      <c r="E9125" s="6">
        <v>106.67</v>
      </c>
    </row>
    <row r="9126" spans="4:5" x14ac:dyDescent="0.25">
      <c r="D9126" s="4">
        <v>44691</v>
      </c>
      <c r="E9126" s="6">
        <v>102.61</v>
      </c>
    </row>
    <row r="9127" spans="4:5" x14ac:dyDescent="0.25">
      <c r="D9127" s="4">
        <v>44692</v>
      </c>
      <c r="E9127" s="6">
        <v>107.7</v>
      </c>
    </row>
    <row r="9128" spans="4:5" x14ac:dyDescent="0.25">
      <c r="D9128" s="4">
        <v>44693</v>
      </c>
      <c r="E9128" s="6">
        <v>108.06</v>
      </c>
    </row>
    <row r="9129" spans="4:5" x14ac:dyDescent="0.25">
      <c r="D9129" s="4">
        <v>44694</v>
      </c>
      <c r="E9129" s="6">
        <v>112.12</v>
      </c>
    </row>
    <row r="9130" spans="4:5" x14ac:dyDescent="0.25">
      <c r="D9130" s="4">
        <v>44697</v>
      </c>
      <c r="E9130" s="6">
        <v>114.86</v>
      </c>
    </row>
    <row r="9131" spans="4:5" x14ac:dyDescent="0.25">
      <c r="D9131" s="4">
        <v>44698</v>
      </c>
      <c r="E9131" s="6">
        <v>112.89</v>
      </c>
    </row>
    <row r="9132" spans="4:5" x14ac:dyDescent="0.25">
      <c r="D9132" s="4">
        <v>44699</v>
      </c>
      <c r="E9132" s="6">
        <v>110.04</v>
      </c>
    </row>
    <row r="9133" spans="4:5" x14ac:dyDescent="0.25">
      <c r="D9133" s="4">
        <v>44700</v>
      </c>
      <c r="E9133" s="6">
        <v>113.22</v>
      </c>
    </row>
    <row r="9134" spans="4:5" x14ac:dyDescent="0.25">
      <c r="D9134" s="4">
        <v>44701</v>
      </c>
      <c r="E9134" s="6">
        <v>113.63</v>
      </c>
    </row>
    <row r="9135" spans="4:5" x14ac:dyDescent="0.25">
      <c r="D9135" s="4">
        <v>44704</v>
      </c>
      <c r="E9135" s="6">
        <v>115.13</v>
      </c>
    </row>
    <row r="9136" spans="4:5" x14ac:dyDescent="0.25">
      <c r="D9136" s="4">
        <v>44705</v>
      </c>
      <c r="E9136" s="6">
        <v>115.77</v>
      </c>
    </row>
    <row r="9137" spans="4:5" x14ac:dyDescent="0.25">
      <c r="D9137" s="4">
        <v>44706</v>
      </c>
      <c r="E9137" s="6">
        <v>116.41</v>
      </c>
    </row>
    <row r="9138" spans="4:5" x14ac:dyDescent="0.25">
      <c r="D9138" s="4">
        <v>44707</v>
      </c>
      <c r="E9138" s="6">
        <v>119.81</v>
      </c>
    </row>
    <row r="9139" spans="4:5" x14ac:dyDescent="0.25">
      <c r="D9139" s="4">
        <v>44708</v>
      </c>
      <c r="E9139" s="6">
        <v>121.19</v>
      </c>
    </row>
    <row r="9140" spans="4:5" x14ac:dyDescent="0.25">
      <c r="D9140" s="4">
        <v>44711</v>
      </c>
      <c r="E9140" s="6">
        <v>123.01</v>
      </c>
    </row>
    <row r="9141" spans="4:5" x14ac:dyDescent="0.25">
      <c r="D9141" s="4">
        <v>44712</v>
      </c>
      <c r="E9141" s="6">
        <v>125.53</v>
      </c>
    </row>
    <row r="9142" spans="4:5" x14ac:dyDescent="0.25">
      <c r="D9142" s="4">
        <v>44713</v>
      </c>
      <c r="E9142" s="6">
        <v>122.2</v>
      </c>
    </row>
    <row r="9143" spans="4:5" x14ac:dyDescent="0.25">
      <c r="D9143" s="4">
        <v>44714</v>
      </c>
      <c r="E9143" s="5"/>
    </row>
    <row r="9144" spans="4:5" x14ac:dyDescent="0.25">
      <c r="D9144" s="4">
        <v>44715</v>
      </c>
      <c r="E9144" s="6">
        <v>125.68</v>
      </c>
    </row>
    <row r="9145" spans="4:5" x14ac:dyDescent="0.25">
      <c r="D9145" s="4">
        <v>44718</v>
      </c>
      <c r="E9145" s="6">
        <v>124.99</v>
      </c>
    </row>
    <row r="9146" spans="4:5" x14ac:dyDescent="0.25">
      <c r="D9146" s="4">
        <v>44719</v>
      </c>
      <c r="E9146" s="6">
        <v>126.89</v>
      </c>
    </row>
    <row r="9147" spans="4:5" x14ac:dyDescent="0.25">
      <c r="D9147" s="4">
        <v>44720</v>
      </c>
      <c r="E9147" s="6">
        <v>129.19999999999999</v>
      </c>
    </row>
    <row r="9148" spans="4:5" x14ac:dyDescent="0.25">
      <c r="D9148" s="4">
        <v>44721</v>
      </c>
      <c r="E9148" s="6">
        <v>128.47</v>
      </c>
    </row>
    <row r="9149" spans="4:5" x14ac:dyDescent="0.25">
      <c r="D9149" s="4">
        <v>44722</v>
      </c>
      <c r="E9149" s="6">
        <v>127.44</v>
      </c>
    </row>
    <row r="9150" spans="4:5" x14ac:dyDescent="0.25">
      <c r="D9150" s="4">
        <v>44725</v>
      </c>
      <c r="E9150" s="6">
        <v>128.44</v>
      </c>
    </row>
    <row r="9151" spans="4:5" x14ac:dyDescent="0.25">
      <c r="D9151" s="4">
        <v>44726</v>
      </c>
      <c r="E9151" s="6">
        <v>127.02</v>
      </c>
    </row>
    <row r="9152" spans="4:5" x14ac:dyDescent="0.25">
      <c r="D9152" s="4">
        <v>44727</v>
      </c>
      <c r="E9152" s="6">
        <v>124.96</v>
      </c>
    </row>
    <row r="9153" spans="4:5" x14ac:dyDescent="0.25">
      <c r="D9153" s="4">
        <v>44728</v>
      </c>
      <c r="E9153" s="6">
        <v>125.78</v>
      </c>
    </row>
    <row r="9154" spans="4:5" x14ac:dyDescent="0.25">
      <c r="D9154" s="4">
        <v>44729</v>
      </c>
      <c r="E9154" s="6">
        <v>119.22</v>
      </c>
    </row>
    <row r="9155" spans="4:5" x14ac:dyDescent="0.25">
      <c r="D9155" s="4">
        <v>44732</v>
      </c>
      <c r="E9155" s="6">
        <v>118.25</v>
      </c>
    </row>
    <row r="9156" spans="4:5" x14ac:dyDescent="0.25">
      <c r="D9156" s="4">
        <v>44733</v>
      </c>
      <c r="E9156" s="6">
        <v>118.51</v>
      </c>
    </row>
    <row r="9157" spans="4:5" x14ac:dyDescent="0.25">
      <c r="D9157" s="4">
        <v>44734</v>
      </c>
      <c r="E9157" s="6">
        <v>115.54</v>
      </c>
    </row>
    <row r="9158" spans="4:5" x14ac:dyDescent="0.25">
      <c r="D9158" s="4">
        <v>44735</v>
      </c>
      <c r="E9158" s="6">
        <v>114.5</v>
      </c>
    </row>
    <row r="9159" spans="4:5" x14ac:dyDescent="0.25">
      <c r="D9159" s="4">
        <v>44736</v>
      </c>
      <c r="E9159" s="6">
        <v>117.36</v>
      </c>
    </row>
    <row r="9160" spans="4:5" x14ac:dyDescent="0.25">
      <c r="D9160" s="4">
        <v>44739</v>
      </c>
      <c r="E9160" s="6">
        <v>119.69</v>
      </c>
    </row>
    <row r="9161" spans="4:5" x14ac:dyDescent="0.25">
      <c r="D9161" s="4">
        <v>44740</v>
      </c>
      <c r="E9161" s="6">
        <v>122.21</v>
      </c>
    </row>
    <row r="9162" spans="4:5" x14ac:dyDescent="0.25">
      <c r="D9162" s="4">
        <v>44741</v>
      </c>
      <c r="E9162" s="6">
        <v>120.8</v>
      </c>
    </row>
    <row r="9163" spans="4:5" x14ac:dyDescent="0.25">
      <c r="D9163" s="4">
        <v>44742</v>
      </c>
      <c r="E9163" s="6">
        <v>119.78</v>
      </c>
    </row>
    <row r="9164" spans="4:5" x14ac:dyDescent="0.25">
      <c r="D9164" s="4">
        <v>44743</v>
      </c>
      <c r="E9164" s="6">
        <v>119.21</v>
      </c>
    </row>
    <row r="9165" spans="4:5" x14ac:dyDescent="0.25">
      <c r="D9165" s="4">
        <v>44746</v>
      </c>
      <c r="E9165" s="6">
        <v>121.8</v>
      </c>
    </row>
    <row r="9166" spans="4:5" x14ac:dyDescent="0.25">
      <c r="D9166" s="4">
        <v>44747</v>
      </c>
      <c r="E9166" s="6">
        <v>110.49</v>
      </c>
    </row>
    <row r="9167" spans="4:5" x14ac:dyDescent="0.25">
      <c r="D9167" s="4">
        <v>44748</v>
      </c>
      <c r="E9167" s="6">
        <v>108.54</v>
      </c>
    </row>
    <row r="9168" spans="4:5" x14ac:dyDescent="0.25">
      <c r="D9168" s="4">
        <v>44749</v>
      </c>
      <c r="E9168" s="6">
        <v>113.4</v>
      </c>
    </row>
    <row r="9169" spans="4:5" x14ac:dyDescent="0.25">
      <c r="D9169" s="4">
        <v>44750</v>
      </c>
      <c r="E9169" s="6">
        <v>113.95</v>
      </c>
    </row>
    <row r="9170" spans="4:5" x14ac:dyDescent="0.25">
      <c r="D9170" s="4">
        <v>44753</v>
      </c>
      <c r="E9170" s="6">
        <v>114.85</v>
      </c>
    </row>
    <row r="9171" spans="4:5" x14ac:dyDescent="0.25">
      <c r="D9171" s="4">
        <v>44754</v>
      </c>
      <c r="E9171" s="6">
        <v>106.98</v>
      </c>
    </row>
    <row r="9172" spans="4:5" x14ac:dyDescent="0.25">
      <c r="D9172" s="4">
        <v>44755</v>
      </c>
      <c r="E9172" s="6">
        <v>107.17</v>
      </c>
    </row>
    <row r="9173" spans="4:5" x14ac:dyDescent="0.25">
      <c r="D9173" s="4">
        <v>44756</v>
      </c>
      <c r="E9173" s="6">
        <v>107.74</v>
      </c>
    </row>
    <row r="9174" spans="4:5" x14ac:dyDescent="0.25">
      <c r="D9174" s="4">
        <v>44757</v>
      </c>
      <c r="E9174" s="6">
        <v>112.26</v>
      </c>
    </row>
    <row r="9175" spans="4:5" x14ac:dyDescent="0.25">
      <c r="D9175" s="4">
        <v>44760</v>
      </c>
      <c r="E9175" s="6">
        <v>117.27</v>
      </c>
    </row>
    <row r="9176" spans="4:5" x14ac:dyDescent="0.25">
      <c r="D9176" s="4">
        <v>44761</v>
      </c>
      <c r="E9176" s="6">
        <v>114.96</v>
      </c>
    </row>
    <row r="9177" spans="4:5" x14ac:dyDescent="0.25">
      <c r="D9177" s="4">
        <v>44762</v>
      </c>
      <c r="E9177" s="6">
        <v>115.86</v>
      </c>
    </row>
    <row r="9178" spans="4:5" x14ac:dyDescent="0.25">
      <c r="D9178" s="4">
        <v>44763</v>
      </c>
      <c r="E9178" s="6">
        <v>112.81</v>
      </c>
    </row>
    <row r="9179" spans="4:5" x14ac:dyDescent="0.25">
      <c r="D9179" s="4">
        <v>44764</v>
      </c>
      <c r="E9179" s="6">
        <v>106.77</v>
      </c>
    </row>
    <row r="9180" spans="4:5" x14ac:dyDescent="0.25">
      <c r="D9180" s="4">
        <v>44767</v>
      </c>
      <c r="E9180" s="6">
        <v>108.23</v>
      </c>
    </row>
    <row r="9181" spans="4:5" x14ac:dyDescent="0.25">
      <c r="D9181" s="4">
        <v>44768</v>
      </c>
      <c r="E9181" s="6">
        <v>107.32</v>
      </c>
    </row>
    <row r="9182" spans="4:5" x14ac:dyDescent="0.25">
      <c r="D9182" s="4">
        <v>44769</v>
      </c>
      <c r="E9182" s="6">
        <v>109.64</v>
      </c>
    </row>
    <row r="9183" spans="4:5" x14ac:dyDescent="0.25">
      <c r="D9183" s="4">
        <v>44770</v>
      </c>
      <c r="E9183" s="6">
        <v>109.68</v>
      </c>
    </row>
    <row r="9184" spans="4:5" x14ac:dyDescent="0.25">
      <c r="D9184" s="4">
        <v>44771</v>
      </c>
      <c r="E9184" s="6">
        <v>111.51</v>
      </c>
    </row>
    <row r="9185" spans="4:5" x14ac:dyDescent="0.25">
      <c r="D9185" s="4">
        <v>44774</v>
      </c>
      <c r="E9185" s="6">
        <v>106.09</v>
      </c>
    </row>
    <row r="9186" spans="4:5" x14ac:dyDescent="0.25">
      <c r="D9186" s="4">
        <v>44775</v>
      </c>
      <c r="E9186" s="6">
        <v>106.51</v>
      </c>
    </row>
    <row r="9187" spans="4:5" x14ac:dyDescent="0.25">
      <c r="D9187" s="4">
        <v>44776</v>
      </c>
      <c r="E9187" s="6">
        <v>101.82</v>
      </c>
    </row>
    <row r="9188" spans="4:5" x14ac:dyDescent="0.25">
      <c r="D9188" s="4">
        <v>44777</v>
      </c>
      <c r="E9188" s="6">
        <v>97.99</v>
      </c>
    </row>
    <row r="9189" spans="4:5" x14ac:dyDescent="0.25">
      <c r="D9189" s="4">
        <v>44778</v>
      </c>
      <c r="E9189" s="6">
        <v>100.31</v>
      </c>
    </row>
    <row r="9190" spans="4:5" x14ac:dyDescent="0.25">
      <c r="D9190" s="4">
        <v>44781</v>
      </c>
      <c r="E9190" s="6">
        <v>103.46</v>
      </c>
    </row>
    <row r="9191" spans="4:5" x14ac:dyDescent="0.25">
      <c r="D9191" s="4">
        <v>44782</v>
      </c>
      <c r="E9191" s="6">
        <v>103.81</v>
      </c>
    </row>
    <row r="9192" spans="4:5" x14ac:dyDescent="0.25">
      <c r="D9192" s="4">
        <v>44783</v>
      </c>
      <c r="E9192" s="6">
        <v>105.06</v>
      </c>
    </row>
    <row r="9193" spans="4:5" x14ac:dyDescent="0.25">
      <c r="D9193" s="4">
        <v>44784</v>
      </c>
      <c r="E9193" s="6">
        <v>107.19</v>
      </c>
    </row>
    <row r="9194" spans="4:5" x14ac:dyDescent="0.25">
      <c r="D9194" s="4">
        <v>44785</v>
      </c>
      <c r="E9194" s="6">
        <v>103.7</v>
      </c>
    </row>
    <row r="9195" spans="4:5" x14ac:dyDescent="0.25">
      <c r="D9195" s="4">
        <v>44788</v>
      </c>
      <c r="E9195" s="6">
        <v>98.25</v>
      </c>
    </row>
    <row r="9196" spans="4:5" x14ac:dyDescent="0.25">
      <c r="D9196" s="4">
        <v>44789</v>
      </c>
      <c r="E9196" s="6">
        <v>95.36</v>
      </c>
    </row>
    <row r="9197" spans="4:5" x14ac:dyDescent="0.25">
      <c r="D9197" s="4">
        <v>44790</v>
      </c>
      <c r="E9197" s="6">
        <v>97.22</v>
      </c>
    </row>
    <row r="9198" spans="4:5" x14ac:dyDescent="0.25">
      <c r="D9198" s="4">
        <v>44791</v>
      </c>
      <c r="E9198" s="6">
        <v>96.35</v>
      </c>
    </row>
    <row r="9199" spans="4:5" x14ac:dyDescent="0.25">
      <c r="D9199" s="4">
        <v>44792</v>
      </c>
      <c r="E9199" s="6">
        <v>96.45</v>
      </c>
    </row>
    <row r="9200" spans="4:5" x14ac:dyDescent="0.25">
      <c r="D9200" s="4">
        <v>44795</v>
      </c>
      <c r="E9200" s="6">
        <v>95.06</v>
      </c>
    </row>
    <row r="9201" spans="4:5" x14ac:dyDescent="0.25">
      <c r="D9201" s="4">
        <v>44796</v>
      </c>
      <c r="E9201" s="6">
        <v>99.49</v>
      </c>
    </row>
    <row r="9202" spans="4:5" x14ac:dyDescent="0.25">
      <c r="D9202" s="4">
        <v>44797</v>
      </c>
      <c r="E9202" s="6">
        <v>99.87</v>
      </c>
    </row>
    <row r="9203" spans="4:5" x14ac:dyDescent="0.25">
      <c r="D9203" s="4">
        <v>44798</v>
      </c>
      <c r="E9203" s="6">
        <v>98.81</v>
      </c>
    </row>
    <row r="9204" spans="4:5" x14ac:dyDescent="0.25">
      <c r="D9204" s="4">
        <v>44799</v>
      </c>
      <c r="E9204" s="6">
        <v>101.13</v>
      </c>
    </row>
    <row r="9205" spans="4:5" x14ac:dyDescent="0.25">
      <c r="D9205" s="4">
        <v>44802</v>
      </c>
      <c r="E9205" s="5"/>
    </row>
    <row r="9206" spans="4:5" x14ac:dyDescent="0.25">
      <c r="D9206" s="4">
        <v>44803</v>
      </c>
      <c r="E9206" s="6">
        <v>99.34</v>
      </c>
    </row>
    <row r="9207" spans="4:5" x14ac:dyDescent="0.25">
      <c r="D9207" s="4">
        <v>44804</v>
      </c>
      <c r="E9207" s="6">
        <v>96.55</v>
      </c>
    </row>
    <row r="9208" spans="4:5" x14ac:dyDescent="0.25">
      <c r="D9208" s="4">
        <v>44805</v>
      </c>
      <c r="E9208" s="6">
        <v>92.24</v>
      </c>
    </row>
    <row r="9209" spans="4:5" x14ac:dyDescent="0.25">
      <c r="D9209" s="4">
        <v>44806</v>
      </c>
      <c r="E9209" s="6">
        <v>93.09</v>
      </c>
    </row>
    <row r="9210" spans="4:5" x14ac:dyDescent="0.25">
      <c r="D9210" s="4">
        <v>44809</v>
      </c>
      <c r="E9210" s="6">
        <v>94.22</v>
      </c>
    </row>
    <row r="9211" spans="4:5" x14ac:dyDescent="0.25">
      <c r="D9211" s="4">
        <v>44810</v>
      </c>
      <c r="E9211" s="6">
        <v>91.43</v>
      </c>
    </row>
    <row r="9212" spans="4:5" x14ac:dyDescent="0.25">
      <c r="D9212" s="4">
        <v>44811</v>
      </c>
      <c r="E9212" s="6">
        <v>86.83</v>
      </c>
    </row>
    <row r="9213" spans="4:5" x14ac:dyDescent="0.25">
      <c r="D9213" s="4">
        <v>44812</v>
      </c>
      <c r="E9213" s="6">
        <v>87.99</v>
      </c>
    </row>
    <row r="9214" spans="4:5" x14ac:dyDescent="0.25">
      <c r="D9214" s="4">
        <v>44813</v>
      </c>
      <c r="E9214" s="6">
        <v>91.68</v>
      </c>
    </row>
    <row r="9215" spans="4:5" x14ac:dyDescent="0.25">
      <c r="D9215" s="4">
        <v>44816</v>
      </c>
      <c r="E9215" s="6">
        <v>93.45</v>
      </c>
    </row>
    <row r="9216" spans="4:5" x14ac:dyDescent="0.25">
      <c r="D9216" s="4">
        <v>44817</v>
      </c>
      <c r="E9216" s="6">
        <v>92.04</v>
      </c>
    </row>
    <row r="9217" spans="4:5" x14ac:dyDescent="0.25">
      <c r="D9217" s="4">
        <v>44818</v>
      </c>
      <c r="E9217" s="6">
        <v>92.83</v>
      </c>
    </row>
    <row r="9218" spans="4:5" x14ac:dyDescent="0.25">
      <c r="D9218" s="4">
        <v>44819</v>
      </c>
      <c r="E9218" s="6">
        <v>89.28</v>
      </c>
    </row>
    <row r="9219" spans="4:5" x14ac:dyDescent="0.25">
      <c r="D9219" s="4">
        <v>44820</v>
      </c>
      <c r="E9219" s="6">
        <v>89.43</v>
      </c>
    </row>
    <row r="9220" spans="4:5" x14ac:dyDescent="0.25">
      <c r="D9220" s="4">
        <v>44823</v>
      </c>
      <c r="E9220" s="5"/>
    </row>
    <row r="9221" spans="4:5" x14ac:dyDescent="0.25">
      <c r="D9221" s="4">
        <v>44824</v>
      </c>
      <c r="E9221" s="6">
        <v>89.62</v>
      </c>
    </row>
    <row r="9222" spans="4:5" x14ac:dyDescent="0.25">
      <c r="D9222" s="4">
        <v>44825</v>
      </c>
      <c r="E9222" s="6">
        <v>89.86</v>
      </c>
    </row>
    <row r="9223" spans="4:5" x14ac:dyDescent="0.25">
      <c r="D9223" s="4">
        <v>44826</v>
      </c>
      <c r="E9223" s="6">
        <v>90.4</v>
      </c>
    </row>
    <row r="9224" spans="4:5" x14ac:dyDescent="0.25">
      <c r="D9224" s="4">
        <v>44827</v>
      </c>
      <c r="E9224" s="6">
        <v>84.29</v>
      </c>
    </row>
    <row r="9225" spans="4:5" x14ac:dyDescent="0.25">
      <c r="D9225" s="4">
        <v>44830</v>
      </c>
      <c r="E9225" s="6">
        <v>82.55</v>
      </c>
    </row>
    <row r="9226" spans="4:5" x14ac:dyDescent="0.25">
      <c r="D9226" s="4">
        <v>44831</v>
      </c>
      <c r="E9226" s="6">
        <v>85.97</v>
      </c>
    </row>
    <row r="9227" spans="4:5" x14ac:dyDescent="0.25">
      <c r="D9227" s="4">
        <v>44832</v>
      </c>
      <c r="E9227" s="6">
        <v>89.55</v>
      </c>
    </row>
    <row r="9228" spans="4:5" x14ac:dyDescent="0.25">
      <c r="D9228" s="4">
        <v>44833</v>
      </c>
      <c r="E9228" s="6">
        <v>89.41</v>
      </c>
    </row>
    <row r="9229" spans="4:5" x14ac:dyDescent="0.25">
      <c r="D9229" s="4">
        <v>44834</v>
      </c>
      <c r="E9229" s="6">
        <v>88.9</v>
      </c>
    </row>
    <row r="9230" spans="4:5" x14ac:dyDescent="0.25">
      <c r="D9230" s="4">
        <v>44837</v>
      </c>
      <c r="E9230" s="6">
        <v>90.68</v>
      </c>
    </row>
    <row r="9231" spans="4:5" x14ac:dyDescent="0.25">
      <c r="D9231" s="4">
        <v>44838</v>
      </c>
      <c r="E9231" s="6">
        <v>93.74</v>
      </c>
    </row>
    <row r="9232" spans="4:5" x14ac:dyDescent="0.25">
      <c r="D9232" s="4">
        <v>44839</v>
      </c>
      <c r="E9232" s="6">
        <v>94.35</v>
      </c>
    </row>
    <row r="9233" spans="4:5" x14ac:dyDescent="0.25">
      <c r="D9233" s="4">
        <v>44840</v>
      </c>
      <c r="E9233" s="6">
        <v>95.65</v>
      </c>
    </row>
    <row r="9234" spans="4:5" x14ac:dyDescent="0.25">
      <c r="D9234" s="4">
        <v>44841</v>
      </c>
      <c r="E9234" s="6">
        <v>98.88</v>
      </c>
    </row>
    <row r="9235" spans="4:5" x14ac:dyDescent="0.25">
      <c r="D9235" s="4">
        <v>44844</v>
      </c>
      <c r="E9235" s="6">
        <v>97.13</v>
      </c>
    </row>
    <row r="9236" spans="4:5" x14ac:dyDescent="0.25">
      <c r="D9236" s="4">
        <v>44845</v>
      </c>
      <c r="E9236" s="6">
        <v>95.17</v>
      </c>
    </row>
    <row r="9237" spans="4:5" x14ac:dyDescent="0.25">
      <c r="D9237" s="4">
        <v>44846</v>
      </c>
      <c r="E9237" s="6">
        <v>93.44</v>
      </c>
    </row>
    <row r="9238" spans="4:5" x14ac:dyDescent="0.25">
      <c r="D9238" s="4">
        <v>44847</v>
      </c>
      <c r="E9238" s="6">
        <v>95.16</v>
      </c>
    </row>
    <row r="9239" spans="4:5" x14ac:dyDescent="0.25">
      <c r="D9239" s="4">
        <v>44848</v>
      </c>
      <c r="E9239" s="6">
        <v>92.22</v>
      </c>
    </row>
    <row r="9240" spans="4:5" x14ac:dyDescent="0.25">
      <c r="D9240" s="4">
        <v>44851</v>
      </c>
      <c r="E9240" s="6">
        <v>91.04</v>
      </c>
    </row>
    <row r="9241" spans="4:5" x14ac:dyDescent="0.25">
      <c r="D9241" s="4">
        <v>44852</v>
      </c>
      <c r="E9241" s="6">
        <v>89.46</v>
      </c>
    </row>
    <row r="9242" spans="4:5" x14ac:dyDescent="0.25">
      <c r="D9242" s="4">
        <v>44853</v>
      </c>
      <c r="E9242" s="6">
        <v>91.34</v>
      </c>
    </row>
    <row r="9243" spans="4:5" x14ac:dyDescent="0.25">
      <c r="D9243" s="4">
        <v>44854</v>
      </c>
      <c r="E9243" s="6">
        <v>91.52</v>
      </c>
    </row>
    <row r="9244" spans="4:5" x14ac:dyDescent="0.25">
      <c r="D9244" s="4">
        <v>44855</v>
      </c>
      <c r="E9244" s="6">
        <v>91.82</v>
      </c>
    </row>
    <row r="9245" spans="4:5" x14ac:dyDescent="0.25">
      <c r="D9245" s="4">
        <v>44858</v>
      </c>
      <c r="E9245" s="6">
        <v>91.57</v>
      </c>
    </row>
    <row r="9246" spans="4:5" x14ac:dyDescent="0.25">
      <c r="D9246" s="4">
        <v>44859</v>
      </c>
      <c r="E9246" s="6">
        <v>91.76</v>
      </c>
    </row>
    <row r="9247" spans="4:5" x14ac:dyDescent="0.25">
      <c r="D9247" s="4">
        <v>44860</v>
      </c>
      <c r="E9247" s="6">
        <v>92.93</v>
      </c>
    </row>
    <row r="9248" spans="4:5" x14ac:dyDescent="0.25">
      <c r="D9248" s="4">
        <v>44861</v>
      </c>
      <c r="E9248" s="6">
        <v>94.17</v>
      </c>
    </row>
    <row r="9249" spans="4:5" x14ac:dyDescent="0.25">
      <c r="D9249" s="4">
        <v>44862</v>
      </c>
      <c r="E9249" s="6">
        <v>94.64</v>
      </c>
    </row>
    <row r="9250" spans="4:5" x14ac:dyDescent="0.25">
      <c r="D9250" s="4">
        <v>44865</v>
      </c>
      <c r="E9250" s="6">
        <v>93.3</v>
      </c>
    </row>
    <row r="9251" spans="4:5" x14ac:dyDescent="0.25">
      <c r="D9251" s="4">
        <v>44866</v>
      </c>
      <c r="E9251" s="6">
        <v>95.12</v>
      </c>
    </row>
    <row r="9252" spans="4:5" x14ac:dyDescent="0.25">
      <c r="D9252" s="4">
        <v>44867</v>
      </c>
      <c r="E9252" s="6">
        <v>96.07</v>
      </c>
    </row>
    <row r="9253" spans="4:5" x14ac:dyDescent="0.25">
      <c r="D9253" s="4">
        <v>44868</v>
      </c>
      <c r="E9253" s="6">
        <v>95.29</v>
      </c>
    </row>
    <row r="9254" spans="4:5" x14ac:dyDescent="0.25">
      <c r="D9254" s="4">
        <v>44869</v>
      </c>
      <c r="E9254" s="6">
        <v>99.53</v>
      </c>
    </row>
    <row r="9255" spans="4:5" x14ac:dyDescent="0.25">
      <c r="D9255" s="4">
        <v>44872</v>
      </c>
      <c r="E9255" s="6">
        <v>99.87</v>
      </c>
    </row>
    <row r="9256" spans="4:5" x14ac:dyDescent="0.25">
      <c r="D9256" s="4">
        <v>44873</v>
      </c>
      <c r="E9256" s="6">
        <v>96.85</v>
      </c>
    </row>
    <row r="9257" spans="4:5" x14ac:dyDescent="0.25">
      <c r="D9257" s="4">
        <v>44874</v>
      </c>
      <c r="E9257" s="6">
        <v>93.05</v>
      </c>
    </row>
    <row r="9258" spans="4:5" x14ac:dyDescent="0.25">
      <c r="D9258" s="4">
        <v>44875</v>
      </c>
      <c r="E9258" s="6">
        <v>94.25</v>
      </c>
    </row>
    <row r="9259" spans="4:5" x14ac:dyDescent="0.25">
      <c r="D9259" s="4">
        <v>44876</v>
      </c>
      <c r="E9259" s="6">
        <v>96.37</v>
      </c>
    </row>
    <row r="9260" spans="4:5" x14ac:dyDescent="0.25">
      <c r="D9260" s="4">
        <v>44879</v>
      </c>
      <c r="E9260" s="6">
        <v>93.59</v>
      </c>
    </row>
    <row r="9261" spans="4:5" x14ac:dyDescent="0.25">
      <c r="D9261" s="4">
        <v>44880</v>
      </c>
      <c r="E9261" s="6">
        <v>94.3</v>
      </c>
    </row>
    <row r="9262" spans="4:5" x14ac:dyDescent="0.25">
      <c r="D9262" s="4">
        <v>44881</v>
      </c>
      <c r="E9262" s="6">
        <v>92.61</v>
      </c>
    </row>
    <row r="9263" spans="4:5" x14ac:dyDescent="0.25">
      <c r="D9263" s="4">
        <v>44882</v>
      </c>
      <c r="E9263" s="6">
        <v>91</v>
      </c>
    </row>
    <row r="9264" spans="4:5" x14ac:dyDescent="0.25">
      <c r="D9264" s="4">
        <v>44883</v>
      </c>
      <c r="E9264" s="6">
        <v>88.93</v>
      </c>
    </row>
    <row r="9265" spans="4:5" x14ac:dyDescent="0.25">
      <c r="D9265" s="4">
        <v>44886</v>
      </c>
      <c r="E9265" s="6">
        <v>88.44</v>
      </c>
    </row>
    <row r="9266" spans="4:5" x14ac:dyDescent="0.25">
      <c r="D9266" s="4">
        <v>44887</v>
      </c>
      <c r="E9266" s="6">
        <v>88.65</v>
      </c>
    </row>
    <row r="9267" spans="4:5" x14ac:dyDescent="0.25">
      <c r="D9267" s="4">
        <v>44888</v>
      </c>
      <c r="E9267" s="6">
        <v>85.9</v>
      </c>
    </row>
    <row r="9268" spans="4:5" x14ac:dyDescent="0.25">
      <c r="D9268" s="4">
        <v>44889</v>
      </c>
      <c r="E9268" s="6">
        <v>85.59</v>
      </c>
    </row>
    <row r="9269" spans="4:5" x14ac:dyDescent="0.25">
      <c r="D9269" s="4">
        <v>44890</v>
      </c>
      <c r="E9269" s="6">
        <v>83.4</v>
      </c>
    </row>
    <row r="9270" spans="4:5" x14ac:dyDescent="0.25">
      <c r="D9270" s="4">
        <v>44893</v>
      </c>
      <c r="E9270" s="6">
        <v>83.5</v>
      </c>
    </row>
    <row r="9271" spans="4:5" x14ac:dyDescent="0.25">
      <c r="D9271" s="4">
        <v>44894</v>
      </c>
      <c r="E9271" s="6">
        <v>83.22</v>
      </c>
    </row>
    <row r="9272" spans="4:5" x14ac:dyDescent="0.25">
      <c r="D9272" s="4">
        <v>44895</v>
      </c>
      <c r="E9272" s="6">
        <v>85.61</v>
      </c>
    </row>
    <row r="9273" spans="4:5" x14ac:dyDescent="0.25">
      <c r="D9273" s="4">
        <v>44896</v>
      </c>
      <c r="E9273" s="6">
        <v>86.28</v>
      </c>
    </row>
    <row r="9274" spans="4:5" x14ac:dyDescent="0.25">
      <c r="D9274" s="4">
        <v>44897</v>
      </c>
      <c r="E9274" s="6">
        <v>86.54</v>
      </c>
    </row>
    <row r="9275" spans="4:5" x14ac:dyDescent="0.25">
      <c r="D9275" s="4">
        <v>44900</v>
      </c>
      <c r="E9275" s="6">
        <v>83.36</v>
      </c>
    </row>
    <row r="9276" spans="4:5" x14ac:dyDescent="0.25">
      <c r="D9276" s="4">
        <v>44901</v>
      </c>
      <c r="E9276" s="6">
        <v>79.92</v>
      </c>
    </row>
    <row r="9277" spans="4:5" x14ac:dyDescent="0.25">
      <c r="D9277" s="4">
        <v>44902</v>
      </c>
      <c r="E9277" s="6">
        <v>77.11</v>
      </c>
    </row>
    <row r="9278" spans="4:5" x14ac:dyDescent="0.25">
      <c r="D9278" s="4">
        <v>44903</v>
      </c>
      <c r="E9278" s="6">
        <v>76.02</v>
      </c>
    </row>
    <row r="9279" spans="4:5" x14ac:dyDescent="0.25">
      <c r="D9279" s="4">
        <v>44904</v>
      </c>
      <c r="E9279" s="6">
        <v>76.37</v>
      </c>
    </row>
    <row r="9280" spans="4:5" x14ac:dyDescent="0.25">
      <c r="D9280" s="4">
        <v>44907</v>
      </c>
      <c r="E9280" s="6">
        <v>78</v>
      </c>
    </row>
    <row r="9281" spans="4:5" x14ac:dyDescent="0.25">
      <c r="D9281" s="4">
        <v>44908</v>
      </c>
      <c r="E9281" s="6">
        <v>80.14</v>
      </c>
    </row>
    <row r="9282" spans="4:5" x14ac:dyDescent="0.25">
      <c r="D9282" s="4">
        <v>44909</v>
      </c>
      <c r="E9282" s="6">
        <v>83.33</v>
      </c>
    </row>
    <row r="9283" spans="4:5" x14ac:dyDescent="0.25">
      <c r="D9283" s="4">
        <v>44910</v>
      </c>
      <c r="E9283" s="6">
        <v>82.34</v>
      </c>
    </row>
    <row r="9284" spans="4:5" x14ac:dyDescent="0.25">
      <c r="D9284" s="4">
        <v>44911</v>
      </c>
      <c r="E9284" s="6">
        <v>80.2</v>
      </c>
    </row>
    <row r="9285" spans="4:5" x14ac:dyDescent="0.25">
      <c r="D9285" s="4">
        <v>44914</v>
      </c>
      <c r="E9285" s="6">
        <v>81.66</v>
      </c>
    </row>
    <row r="9286" spans="4:5" x14ac:dyDescent="0.25">
      <c r="D9286" s="4">
        <v>44915</v>
      </c>
      <c r="E9286" s="6">
        <v>79.45</v>
      </c>
    </row>
    <row r="9287" spans="4:5" x14ac:dyDescent="0.25">
      <c r="D9287" s="4">
        <v>44916</v>
      </c>
      <c r="E9287" s="6">
        <v>80.25</v>
      </c>
    </row>
    <row r="9288" spans="4:5" x14ac:dyDescent="0.25">
      <c r="D9288" s="4">
        <v>44917</v>
      </c>
      <c r="E9288" s="6">
        <v>79.58</v>
      </c>
    </row>
    <row r="9289" spans="4:5" x14ac:dyDescent="0.25">
      <c r="D9289" s="4">
        <v>44918</v>
      </c>
      <c r="E9289" s="6">
        <v>82.45</v>
      </c>
    </row>
    <row r="9290" spans="4:5" x14ac:dyDescent="0.25">
      <c r="D9290" s="4">
        <v>44921</v>
      </c>
      <c r="E9290" s="5"/>
    </row>
    <row r="9291" spans="4:5" x14ac:dyDescent="0.25">
      <c r="D9291" s="4">
        <v>44922</v>
      </c>
      <c r="E9291" s="5"/>
    </row>
    <row r="9292" spans="4:5" x14ac:dyDescent="0.25">
      <c r="D9292" s="4">
        <v>44923</v>
      </c>
      <c r="E9292" s="6">
        <v>81.7</v>
      </c>
    </row>
    <row r="9293" spans="4:5" x14ac:dyDescent="0.25">
      <c r="D9293" s="4">
        <v>44924</v>
      </c>
      <c r="E9293" s="6">
        <v>80.959999999999994</v>
      </c>
    </row>
    <row r="9294" spans="4:5" x14ac:dyDescent="0.25">
      <c r="D9294" s="4">
        <v>44925</v>
      </c>
      <c r="E9294" s="6">
        <v>82.82</v>
      </c>
    </row>
    <row r="9295" spans="4:5" x14ac:dyDescent="0.25">
      <c r="D9295" s="4">
        <v>44928</v>
      </c>
      <c r="E9295" s="5"/>
    </row>
    <row r="9296" spans="4:5" x14ac:dyDescent="0.25">
      <c r="D9296" s="4">
        <v>44929</v>
      </c>
      <c r="E9296" s="6">
        <v>80.36</v>
      </c>
    </row>
    <row r="9297" spans="4:5" x14ac:dyDescent="0.25">
      <c r="D9297" s="4">
        <v>44930</v>
      </c>
      <c r="E9297" s="6">
        <v>75.31</v>
      </c>
    </row>
    <row r="9298" spans="4:5" x14ac:dyDescent="0.25">
      <c r="D9298" s="4">
        <v>44931</v>
      </c>
      <c r="E9298" s="6">
        <v>76.73</v>
      </c>
    </row>
    <row r="9299" spans="4:5" x14ac:dyDescent="0.25">
      <c r="D9299" s="4">
        <v>44932</v>
      </c>
      <c r="E9299" s="6">
        <v>76.41</v>
      </c>
    </row>
    <row r="9300" spans="4:5" x14ac:dyDescent="0.25">
      <c r="D9300" s="4">
        <v>44935</v>
      </c>
      <c r="E9300" s="6">
        <v>77.5</v>
      </c>
    </row>
    <row r="9301" spans="4:5" x14ac:dyDescent="0.25">
      <c r="D9301" s="4">
        <v>44936</v>
      </c>
      <c r="E9301" s="6">
        <v>78.400000000000006</v>
      </c>
    </row>
    <row r="9302" spans="4:5" x14ac:dyDescent="0.25">
      <c r="D9302" s="4">
        <v>44937</v>
      </c>
      <c r="E9302" s="6">
        <v>81.11</v>
      </c>
    </row>
    <row r="9303" spans="4:5" x14ac:dyDescent="0.25">
      <c r="D9303" s="4">
        <v>44938</v>
      </c>
      <c r="E9303" s="6">
        <v>82.59</v>
      </c>
    </row>
    <row r="9304" spans="4:5" x14ac:dyDescent="0.25">
      <c r="D9304" s="4">
        <v>44939</v>
      </c>
      <c r="E9304" s="6">
        <v>83.43</v>
      </c>
    </row>
    <row r="9305" spans="4:5" x14ac:dyDescent="0.25">
      <c r="D9305" s="4">
        <v>44942</v>
      </c>
      <c r="E9305" s="6">
        <v>82.65</v>
      </c>
    </row>
    <row r="9306" spans="4:5" x14ac:dyDescent="0.25">
      <c r="D9306" s="4">
        <v>44943</v>
      </c>
      <c r="E9306" s="6">
        <v>84.38</v>
      </c>
    </row>
    <row r="9307" spans="4:5" x14ac:dyDescent="0.25">
      <c r="D9307" s="4">
        <v>44944</v>
      </c>
      <c r="E9307" s="6">
        <v>83.78</v>
      </c>
    </row>
    <row r="9308" spans="4:5" x14ac:dyDescent="0.25">
      <c r="D9308" s="4">
        <v>44945</v>
      </c>
      <c r="E9308" s="6">
        <v>85.08</v>
      </c>
    </row>
    <row r="9309" spans="4:5" x14ac:dyDescent="0.25">
      <c r="D9309" s="4">
        <v>44946</v>
      </c>
      <c r="E9309" s="6">
        <v>86.96</v>
      </c>
    </row>
    <row r="9310" spans="4:5" x14ac:dyDescent="0.25">
      <c r="D9310" s="4">
        <v>44949</v>
      </c>
      <c r="E9310" s="6">
        <v>87.54</v>
      </c>
    </row>
    <row r="9311" spans="4:5" x14ac:dyDescent="0.25">
      <c r="D9311" s="4">
        <v>44950</v>
      </c>
      <c r="E9311" s="6">
        <v>85.25</v>
      </c>
    </row>
    <row r="9312" spans="4:5" x14ac:dyDescent="0.25">
      <c r="D9312" s="4">
        <v>44951</v>
      </c>
      <c r="E9312" s="6">
        <v>85.08</v>
      </c>
    </row>
    <row r="9313" spans="4:5" x14ac:dyDescent="0.25">
      <c r="D9313" s="4">
        <v>44952</v>
      </c>
      <c r="E9313" s="6">
        <v>86.29</v>
      </c>
    </row>
    <row r="9314" spans="4:5" x14ac:dyDescent="0.25">
      <c r="D9314" s="4">
        <v>44953</v>
      </c>
      <c r="E9314" s="6">
        <v>85.36</v>
      </c>
    </row>
    <row r="9315" spans="4:5" x14ac:dyDescent="0.25">
      <c r="D9315" s="4">
        <v>44956</v>
      </c>
      <c r="E9315" s="6">
        <v>84.9</v>
      </c>
    </row>
    <row r="9316" spans="4:5" x14ac:dyDescent="0.25">
      <c r="D9316" s="4">
        <v>44957</v>
      </c>
      <c r="E9316" s="6">
        <v>83.42</v>
      </c>
    </row>
    <row r="9317" spans="4:5" x14ac:dyDescent="0.25">
      <c r="D9317" s="4">
        <v>44958</v>
      </c>
      <c r="E9317" s="6">
        <v>81.61</v>
      </c>
    </row>
    <row r="9318" spans="4:5" x14ac:dyDescent="0.25">
      <c r="D9318" s="4">
        <v>44959</v>
      </c>
      <c r="E9318" s="6">
        <v>80.569999999999993</v>
      </c>
    </row>
    <row r="9319" spans="4:5" x14ac:dyDescent="0.25">
      <c r="D9319" s="4">
        <v>44960</v>
      </c>
      <c r="E9319" s="6">
        <v>78.849999999999994</v>
      </c>
    </row>
    <row r="9320" spans="4:5" x14ac:dyDescent="0.25">
      <c r="D9320" s="4">
        <v>44963</v>
      </c>
      <c r="E9320" s="6">
        <v>80.48</v>
      </c>
    </row>
    <row r="9321" spans="4:5" x14ac:dyDescent="0.25">
      <c r="D9321" s="4">
        <v>44964</v>
      </c>
      <c r="E9321" s="6">
        <v>82.92</v>
      </c>
    </row>
    <row r="9322" spans="4:5" x14ac:dyDescent="0.25">
      <c r="D9322" s="4">
        <v>44965</v>
      </c>
      <c r="E9322" s="6">
        <v>84.17</v>
      </c>
    </row>
    <row r="9323" spans="4:5" x14ac:dyDescent="0.25">
      <c r="D9323" s="4">
        <v>44966</v>
      </c>
      <c r="E9323" s="6">
        <v>83.46</v>
      </c>
    </row>
    <row r="9324" spans="4:5" x14ac:dyDescent="0.25">
      <c r="D9324" s="4">
        <v>44967</v>
      </c>
      <c r="E9324" s="6">
        <v>85.46</v>
      </c>
    </row>
    <row r="9325" spans="4:5" x14ac:dyDescent="0.25">
      <c r="D9325" s="4">
        <v>44970</v>
      </c>
      <c r="E9325" s="6">
        <v>85.98</v>
      </c>
    </row>
    <row r="9326" spans="4:5" x14ac:dyDescent="0.25">
      <c r="D9326" s="4">
        <v>44971</v>
      </c>
      <c r="E9326" s="6">
        <v>84.96</v>
      </c>
    </row>
    <row r="9327" spans="4:5" x14ac:dyDescent="0.25">
      <c r="D9327" s="4">
        <v>44972</v>
      </c>
      <c r="E9327" s="6">
        <v>84.11</v>
      </c>
    </row>
    <row r="9328" spans="4:5" x14ac:dyDescent="0.25">
      <c r="D9328" s="4">
        <v>44973</v>
      </c>
      <c r="E9328" s="6">
        <v>83.84</v>
      </c>
    </row>
    <row r="9329" spans="4:5" x14ac:dyDescent="0.25">
      <c r="D9329" s="4">
        <v>44974</v>
      </c>
      <c r="E9329" s="6">
        <v>81.97</v>
      </c>
    </row>
    <row r="9330" spans="4:5" x14ac:dyDescent="0.25">
      <c r="D9330" s="4">
        <v>44977</v>
      </c>
      <c r="E9330" s="6">
        <v>82.79</v>
      </c>
    </row>
    <row r="9331" spans="4:5" x14ac:dyDescent="0.25">
      <c r="D9331" s="4">
        <v>44978</v>
      </c>
      <c r="E9331" s="6">
        <v>82.14</v>
      </c>
    </row>
    <row r="9332" spans="4:5" x14ac:dyDescent="0.25">
      <c r="D9332" s="4">
        <v>44979</v>
      </c>
      <c r="E9332" s="6">
        <v>79.55</v>
      </c>
    </row>
    <row r="9333" spans="4:5" x14ac:dyDescent="0.25">
      <c r="D9333" s="4">
        <v>44980</v>
      </c>
      <c r="E9333" s="6">
        <v>82.08</v>
      </c>
    </row>
    <row r="9334" spans="4:5" x14ac:dyDescent="0.25">
      <c r="D9334" s="4">
        <v>44981</v>
      </c>
      <c r="E9334" s="6">
        <v>82.31</v>
      </c>
    </row>
    <row r="9335" spans="4:5" x14ac:dyDescent="0.25">
      <c r="D9335" s="4">
        <v>44984</v>
      </c>
      <c r="E9335" s="6">
        <v>81.239999999999995</v>
      </c>
    </row>
    <row r="9336" spans="4:5" x14ac:dyDescent="0.25">
      <c r="D9336" s="4">
        <v>44985</v>
      </c>
      <c r="E9336" s="6">
        <v>83.21</v>
      </c>
    </row>
    <row r="9337" spans="4:5" x14ac:dyDescent="0.25">
      <c r="D9337" s="4">
        <v>44986</v>
      </c>
      <c r="E9337" s="6">
        <v>83.68</v>
      </c>
    </row>
    <row r="9338" spans="4:5" x14ac:dyDescent="0.25">
      <c r="D9338" s="4">
        <v>44987</v>
      </c>
      <c r="E9338" s="6">
        <v>84.15</v>
      </c>
    </row>
    <row r="9339" spans="4:5" x14ac:dyDescent="0.25">
      <c r="D9339" s="4">
        <v>44988</v>
      </c>
      <c r="E9339" s="6">
        <v>85.74</v>
      </c>
    </row>
    <row r="9340" spans="4:5" x14ac:dyDescent="0.25">
      <c r="D9340" s="4">
        <v>44991</v>
      </c>
      <c r="E9340" s="6">
        <v>85.86</v>
      </c>
    </row>
    <row r="9341" spans="4:5" x14ac:dyDescent="0.25">
      <c r="D9341" s="4">
        <v>44992</v>
      </c>
      <c r="E9341" s="6">
        <v>83.03</v>
      </c>
    </row>
    <row r="9342" spans="4:5" x14ac:dyDescent="0.25">
      <c r="D9342" s="4">
        <v>44993</v>
      </c>
      <c r="E9342" s="6">
        <v>82.1</v>
      </c>
    </row>
    <row r="9343" spans="4:5" x14ac:dyDescent="0.25">
      <c r="D9343" s="4">
        <v>44994</v>
      </c>
      <c r="E9343" s="6">
        <v>81</v>
      </c>
    </row>
    <row r="9344" spans="4:5" x14ac:dyDescent="0.25">
      <c r="D9344" s="4">
        <v>44995</v>
      </c>
      <c r="E9344" s="6">
        <v>82.3</v>
      </c>
    </row>
    <row r="9345" spans="4:5" x14ac:dyDescent="0.25">
      <c r="D9345" s="4">
        <v>44998</v>
      </c>
      <c r="E9345" s="6">
        <v>79.67</v>
      </c>
    </row>
    <row r="9346" spans="4:5" x14ac:dyDescent="0.25">
      <c r="D9346" s="4">
        <v>44999</v>
      </c>
      <c r="E9346" s="6">
        <v>76.77</v>
      </c>
    </row>
    <row r="9347" spans="4:5" x14ac:dyDescent="0.25">
      <c r="D9347" s="4">
        <v>45000</v>
      </c>
      <c r="E9347" s="6">
        <v>74.3</v>
      </c>
    </row>
    <row r="9348" spans="4:5" x14ac:dyDescent="0.25">
      <c r="D9348" s="4">
        <v>45001</v>
      </c>
      <c r="E9348" s="6">
        <v>73.12</v>
      </c>
    </row>
    <row r="9349" spans="4:5" x14ac:dyDescent="0.25">
      <c r="D9349" s="4">
        <v>45002</v>
      </c>
      <c r="E9349" s="6">
        <v>71.03</v>
      </c>
    </row>
    <row r="9350" spans="4:5" x14ac:dyDescent="0.25">
      <c r="D9350" s="4">
        <v>45005</v>
      </c>
      <c r="E9350" s="6">
        <v>72.42</v>
      </c>
    </row>
    <row r="9351" spans="4:5" x14ac:dyDescent="0.25">
      <c r="D9351" s="4">
        <v>45006</v>
      </c>
      <c r="E9351" s="6">
        <v>74.78</v>
      </c>
    </row>
    <row r="9352" spans="4:5" x14ac:dyDescent="0.25">
      <c r="D9352" s="4">
        <v>45007</v>
      </c>
      <c r="E9352" s="6">
        <v>76.08</v>
      </c>
    </row>
    <row r="9353" spans="4:5" x14ac:dyDescent="0.25">
      <c r="D9353" s="4">
        <v>45008</v>
      </c>
      <c r="E9353" s="6">
        <v>74.31</v>
      </c>
    </row>
    <row r="9354" spans="4:5" x14ac:dyDescent="0.25">
      <c r="D9354" s="4">
        <v>45009</v>
      </c>
      <c r="E9354" s="6">
        <v>73.63</v>
      </c>
    </row>
    <row r="9355" spans="4:5" x14ac:dyDescent="0.25">
      <c r="D9355" s="4">
        <v>45012</v>
      </c>
      <c r="E9355" s="6">
        <v>76.8</v>
      </c>
    </row>
    <row r="9356" spans="4:5" x14ac:dyDescent="0.25">
      <c r="D9356" s="4">
        <v>45013</v>
      </c>
      <c r="E9356" s="6">
        <v>78.069999999999993</v>
      </c>
    </row>
    <row r="9357" spans="4:5" x14ac:dyDescent="0.25">
      <c r="D9357" s="4">
        <v>45014</v>
      </c>
      <c r="E9357" s="6">
        <v>77.510000000000005</v>
      </c>
    </row>
    <row r="9358" spans="4:5" x14ac:dyDescent="0.25">
      <c r="D9358" s="4">
        <v>45015</v>
      </c>
      <c r="E9358" s="6">
        <v>78.45</v>
      </c>
    </row>
    <row r="9359" spans="4:5" x14ac:dyDescent="0.25">
      <c r="D9359" s="4">
        <v>45016</v>
      </c>
      <c r="E9359" s="6">
        <v>79.19</v>
      </c>
    </row>
    <row r="9360" spans="4:5" x14ac:dyDescent="0.25">
      <c r="D9360" s="4">
        <v>45019</v>
      </c>
      <c r="E9360" s="6">
        <v>85.81</v>
      </c>
    </row>
    <row r="9361" spans="4:5" x14ac:dyDescent="0.25">
      <c r="D9361" s="4">
        <v>45020</v>
      </c>
      <c r="E9361" s="6">
        <v>85.7</v>
      </c>
    </row>
    <row r="9362" spans="4:5" x14ac:dyDescent="0.25">
      <c r="D9362" s="4">
        <v>45021</v>
      </c>
      <c r="E9362" s="6">
        <v>85.89</v>
      </c>
    </row>
    <row r="9363" spans="4:5" x14ac:dyDescent="0.25">
      <c r="D9363" s="4">
        <v>45022</v>
      </c>
      <c r="E9363" s="6">
        <v>86.56</v>
      </c>
    </row>
    <row r="9364" spans="4:5" x14ac:dyDescent="0.25">
      <c r="D9364" s="4">
        <v>45023</v>
      </c>
      <c r="E9364" s="5"/>
    </row>
    <row r="9365" spans="4:5" x14ac:dyDescent="0.25">
      <c r="D9365" s="4">
        <v>45026</v>
      </c>
      <c r="E9365" s="5"/>
    </row>
    <row r="9366" spans="4:5" x14ac:dyDescent="0.25">
      <c r="D9366" s="4">
        <v>45027</v>
      </c>
      <c r="E9366" s="6">
        <v>87.32</v>
      </c>
    </row>
    <row r="9367" spans="4:5" x14ac:dyDescent="0.25">
      <c r="D9367" s="4">
        <v>45028</v>
      </c>
      <c r="E9367" s="6">
        <v>88.31</v>
      </c>
    </row>
    <row r="9368" spans="4:5" x14ac:dyDescent="0.25">
      <c r="D9368" s="4">
        <v>45029</v>
      </c>
      <c r="E9368" s="6">
        <v>86.51</v>
      </c>
    </row>
    <row r="9369" spans="4:5" x14ac:dyDescent="0.25">
      <c r="D9369" s="4">
        <v>45030</v>
      </c>
      <c r="E9369" s="6">
        <v>87.31</v>
      </c>
    </row>
    <row r="9370" spans="4:5" x14ac:dyDescent="0.25">
      <c r="D9370" s="4">
        <v>45033</v>
      </c>
      <c r="E9370" s="6">
        <v>85.63</v>
      </c>
    </row>
    <row r="9371" spans="4:5" x14ac:dyDescent="0.25">
      <c r="D9371" s="4">
        <v>45034</v>
      </c>
      <c r="E9371" s="6">
        <v>85.48</v>
      </c>
    </row>
    <row r="9372" spans="4:5" x14ac:dyDescent="0.25">
      <c r="D9372" s="4">
        <v>45035</v>
      </c>
      <c r="E9372" s="6">
        <v>85.34</v>
      </c>
    </row>
    <row r="9373" spans="4:5" x14ac:dyDescent="0.25">
      <c r="D9373" s="4">
        <v>45036</v>
      </c>
      <c r="E9373" s="6">
        <v>83.29</v>
      </c>
    </row>
    <row r="9374" spans="4:5" x14ac:dyDescent="0.25">
      <c r="D9374" s="4">
        <v>45037</v>
      </c>
      <c r="E9374" s="6">
        <v>83.36</v>
      </c>
    </row>
    <row r="9375" spans="4:5" x14ac:dyDescent="0.25">
      <c r="D9375" s="4">
        <v>45040</v>
      </c>
      <c r="E9375" s="6">
        <v>84.23</v>
      </c>
    </row>
    <row r="9376" spans="4:5" x14ac:dyDescent="0.25">
      <c r="D9376" s="4">
        <v>45041</v>
      </c>
      <c r="E9376" s="6">
        <v>82.13</v>
      </c>
    </row>
    <row r="9377" spans="4:5" x14ac:dyDescent="0.25">
      <c r="D9377" s="4">
        <v>45042</v>
      </c>
      <c r="E9377" s="6">
        <v>79.19</v>
      </c>
    </row>
    <row r="9378" spans="4:5" x14ac:dyDescent="0.25">
      <c r="D9378" s="4">
        <v>45043</v>
      </c>
      <c r="E9378" s="6">
        <v>80.11</v>
      </c>
    </row>
    <row r="9379" spans="4:5" x14ac:dyDescent="0.25">
      <c r="D9379" s="4">
        <v>45044</v>
      </c>
      <c r="E9379" s="6">
        <v>81.319999999999993</v>
      </c>
    </row>
    <row r="9380" spans="4:5" x14ac:dyDescent="0.25">
      <c r="D9380" s="4">
        <v>45047</v>
      </c>
      <c r="E9380" s="5"/>
    </row>
    <row r="9381" spans="4:5" x14ac:dyDescent="0.25">
      <c r="D9381" s="4">
        <v>45048</v>
      </c>
      <c r="E9381" s="6">
        <v>76.709999999999994</v>
      </c>
    </row>
    <row r="9382" spans="4:5" x14ac:dyDescent="0.25">
      <c r="D9382" s="4">
        <v>45049</v>
      </c>
      <c r="E9382" s="6">
        <v>72.91</v>
      </c>
    </row>
    <row r="9383" spans="4:5" x14ac:dyDescent="0.25">
      <c r="D9383" s="4">
        <v>45050</v>
      </c>
      <c r="E9383" s="6">
        <v>73</v>
      </c>
    </row>
    <row r="9384" spans="4:5" x14ac:dyDescent="0.25">
      <c r="D9384" s="4">
        <v>45051</v>
      </c>
      <c r="E9384" s="6">
        <v>75.849999999999994</v>
      </c>
    </row>
    <row r="9385" spans="4:5" x14ac:dyDescent="0.25">
      <c r="D9385" s="4">
        <v>45054</v>
      </c>
      <c r="E9385" s="5"/>
    </row>
    <row r="9386" spans="4:5" x14ac:dyDescent="0.25">
      <c r="D9386" s="4">
        <v>45055</v>
      </c>
      <c r="E9386" s="6">
        <v>77.760000000000005</v>
      </c>
    </row>
    <row r="9387" spans="4:5" x14ac:dyDescent="0.25">
      <c r="D9387" s="4">
        <v>45056</v>
      </c>
      <c r="E9387" s="6">
        <v>76.7</v>
      </c>
    </row>
    <row r="9388" spans="4:5" x14ac:dyDescent="0.25">
      <c r="D9388" s="4">
        <v>45057</v>
      </c>
      <c r="E9388" s="6">
        <v>75.319999999999993</v>
      </c>
    </row>
    <row r="9389" spans="4:5" x14ac:dyDescent="0.25">
      <c r="D9389" s="4">
        <v>45058</v>
      </c>
      <c r="E9389" s="6">
        <v>74.540000000000006</v>
      </c>
    </row>
    <row r="9390" spans="4:5" x14ac:dyDescent="0.25">
      <c r="D9390" s="4">
        <v>45061</v>
      </c>
      <c r="E9390" s="6">
        <v>75.459999999999994</v>
      </c>
    </row>
    <row r="9391" spans="4:5" x14ac:dyDescent="0.25">
      <c r="D9391" s="4">
        <v>45062</v>
      </c>
      <c r="E9391" s="6">
        <v>75.150000000000006</v>
      </c>
    </row>
    <row r="9392" spans="4:5" x14ac:dyDescent="0.25">
      <c r="D9392" s="4">
        <v>45063</v>
      </c>
      <c r="E9392" s="6">
        <v>76.98</v>
      </c>
    </row>
    <row r="9393" spans="4:5" x14ac:dyDescent="0.25">
      <c r="D9393" s="4">
        <v>45064</v>
      </c>
      <c r="E9393" s="6">
        <v>75.75</v>
      </c>
    </row>
    <row r="9394" spans="4:5" x14ac:dyDescent="0.25">
      <c r="D9394" s="4">
        <v>45065</v>
      </c>
      <c r="E9394" s="6">
        <v>75.42</v>
      </c>
    </row>
    <row r="9395" spans="4:5" x14ac:dyDescent="0.25">
      <c r="D9395" s="4">
        <v>45068</v>
      </c>
      <c r="E9395" s="6">
        <v>75.77</v>
      </c>
    </row>
    <row r="9396" spans="4:5" x14ac:dyDescent="0.25">
      <c r="D9396" s="4">
        <v>45069</v>
      </c>
      <c r="E9396" s="6">
        <v>76.66</v>
      </c>
    </row>
    <row r="9397" spans="4:5" x14ac:dyDescent="0.25">
      <c r="D9397" s="4">
        <v>45070</v>
      </c>
      <c r="E9397" s="6">
        <v>77.989999999999995</v>
      </c>
    </row>
    <row r="9398" spans="4:5" x14ac:dyDescent="0.25">
      <c r="D9398" s="4">
        <v>45071</v>
      </c>
      <c r="E9398" s="6">
        <v>75.66</v>
      </c>
    </row>
    <row r="9399" spans="4:5" x14ac:dyDescent="0.25">
      <c r="D9399" s="4">
        <v>45072</v>
      </c>
      <c r="E9399" s="6">
        <v>76.33</v>
      </c>
    </row>
    <row r="9400" spans="4:5" x14ac:dyDescent="0.25">
      <c r="D9400" s="4">
        <v>45075</v>
      </c>
      <c r="E9400" s="5"/>
    </row>
    <row r="9401" spans="4:5" x14ac:dyDescent="0.25">
      <c r="D9401" s="4">
        <v>45076</v>
      </c>
      <c r="E9401" s="6">
        <v>73.38</v>
      </c>
    </row>
    <row r="9402" spans="4:5" x14ac:dyDescent="0.25">
      <c r="D9402" s="4">
        <v>45077</v>
      </c>
      <c r="E9402" s="6">
        <v>71.98</v>
      </c>
    </row>
    <row r="9403" spans="4:5" x14ac:dyDescent="0.25">
      <c r="D9403" s="4">
        <v>45078</v>
      </c>
      <c r="E9403" s="6">
        <v>74.180000000000007</v>
      </c>
    </row>
    <row r="9404" spans="4:5" x14ac:dyDescent="0.25">
      <c r="D9404" s="4">
        <v>45079</v>
      </c>
      <c r="E9404" s="6">
        <v>76</v>
      </c>
    </row>
    <row r="9405" spans="4:5" x14ac:dyDescent="0.25">
      <c r="D9405" s="4">
        <v>45082</v>
      </c>
      <c r="E9405" s="6">
        <v>76.61</v>
      </c>
    </row>
    <row r="9406" spans="4:5" x14ac:dyDescent="0.25">
      <c r="D9406" s="4">
        <v>45083</v>
      </c>
      <c r="E9406" s="6">
        <v>76.22</v>
      </c>
    </row>
    <row r="9407" spans="4:5" x14ac:dyDescent="0.25">
      <c r="D9407" s="4">
        <v>45084</v>
      </c>
      <c r="E9407" s="6">
        <v>76.849999999999994</v>
      </c>
    </row>
    <row r="9408" spans="4:5" x14ac:dyDescent="0.25">
      <c r="D9408" s="4">
        <v>45085</v>
      </c>
      <c r="E9408" s="6">
        <v>75.88</v>
      </c>
    </row>
    <row r="9409" spans="4:5" x14ac:dyDescent="0.25">
      <c r="D9409" s="4">
        <v>45086</v>
      </c>
      <c r="E9409" s="6">
        <v>74.739999999999995</v>
      </c>
    </row>
    <row r="9410" spans="4:5" x14ac:dyDescent="0.25">
      <c r="D9410" s="4">
        <v>45089</v>
      </c>
      <c r="E9410" s="6">
        <v>71.8</v>
      </c>
    </row>
    <row r="9411" spans="4:5" x14ac:dyDescent="0.25">
      <c r="D9411" s="4">
        <v>45090</v>
      </c>
      <c r="E9411" s="6">
        <v>74.239999999999995</v>
      </c>
    </row>
    <row r="9412" spans="4:5" x14ac:dyDescent="0.25">
      <c r="D9412" s="4">
        <v>45091</v>
      </c>
      <c r="E9412" s="6">
        <v>73.39</v>
      </c>
    </row>
    <row r="9413" spans="4:5" x14ac:dyDescent="0.25">
      <c r="D9413" s="4">
        <v>45092</v>
      </c>
      <c r="E9413" s="6">
        <v>75.75</v>
      </c>
    </row>
    <row r="9414" spans="4:5" x14ac:dyDescent="0.25">
      <c r="D9414" s="4">
        <v>45093</v>
      </c>
      <c r="E9414" s="6">
        <v>76.760000000000005</v>
      </c>
    </row>
    <row r="9415" spans="4:5" x14ac:dyDescent="0.25">
      <c r="D9415" s="4">
        <v>45096</v>
      </c>
      <c r="E9415" s="6">
        <v>76.09</v>
      </c>
    </row>
    <row r="9416" spans="4:5" x14ac:dyDescent="0.25">
      <c r="D9416" s="4">
        <v>45097</v>
      </c>
      <c r="E9416" s="6">
        <v>75.790000000000006</v>
      </c>
    </row>
    <row r="9417" spans="4:5" x14ac:dyDescent="0.25">
      <c r="D9417" s="4">
        <v>45098</v>
      </c>
      <c r="E9417" s="6">
        <v>76.92</v>
      </c>
    </row>
    <row r="9418" spans="4:5" x14ac:dyDescent="0.25">
      <c r="D9418" s="4">
        <v>45099</v>
      </c>
      <c r="E9418" s="6">
        <v>73.930000000000007</v>
      </c>
    </row>
    <row r="9419" spans="4:5" x14ac:dyDescent="0.25">
      <c r="D9419" s="4">
        <v>45100</v>
      </c>
      <c r="E9419" s="6">
        <v>73.56</v>
      </c>
    </row>
    <row r="9420" spans="4:5" x14ac:dyDescent="0.25">
      <c r="D9420" s="4">
        <v>45103</v>
      </c>
      <c r="E9420" s="6">
        <v>73.86</v>
      </c>
    </row>
    <row r="9421" spans="4:5" x14ac:dyDescent="0.25">
      <c r="D9421" s="4">
        <v>45104</v>
      </c>
      <c r="E9421" s="6">
        <v>71.88</v>
      </c>
    </row>
    <row r="9422" spans="4:5" x14ac:dyDescent="0.25">
      <c r="D9422" s="4">
        <v>45105</v>
      </c>
      <c r="E9422" s="6">
        <v>73.64</v>
      </c>
    </row>
    <row r="9423" spans="4:5" x14ac:dyDescent="0.25">
      <c r="D9423" s="4">
        <v>45106</v>
      </c>
      <c r="E9423" s="6">
        <v>73.86</v>
      </c>
    </row>
    <row r="9424" spans="4:5" x14ac:dyDescent="0.25">
      <c r="D9424" s="4">
        <v>45107</v>
      </c>
      <c r="E9424" s="6">
        <v>74.510000000000005</v>
      </c>
    </row>
    <row r="9425" spans="4:5" x14ac:dyDescent="0.25">
      <c r="D9425" s="4">
        <v>45110</v>
      </c>
      <c r="E9425" s="6">
        <v>74.52</v>
      </c>
    </row>
    <row r="9426" spans="4:5" x14ac:dyDescent="0.25">
      <c r="D9426" s="4">
        <v>45111</v>
      </c>
      <c r="E9426" s="6">
        <v>76.23</v>
      </c>
    </row>
    <row r="9427" spans="4:5" x14ac:dyDescent="0.25">
      <c r="D9427" s="4">
        <v>45112</v>
      </c>
      <c r="E9427" s="6">
        <v>76.739999999999995</v>
      </c>
    </row>
    <row r="9428" spans="4:5" x14ac:dyDescent="0.25">
      <c r="D9428" s="4">
        <v>45113</v>
      </c>
      <c r="E9428" s="6">
        <v>76.72</v>
      </c>
    </row>
    <row r="9429" spans="4:5" x14ac:dyDescent="0.25">
      <c r="D9429" s="4">
        <v>45114</v>
      </c>
      <c r="E9429" s="6">
        <v>78.77</v>
      </c>
    </row>
    <row r="9430" spans="4:5" x14ac:dyDescent="0.25">
      <c r="D9430" s="4">
        <v>45117</v>
      </c>
      <c r="E9430" s="6">
        <v>77.83</v>
      </c>
    </row>
    <row r="9431" spans="4:5" x14ac:dyDescent="0.25">
      <c r="D9431" s="4">
        <v>45118</v>
      </c>
      <c r="E9431" s="6">
        <v>79.540000000000006</v>
      </c>
    </row>
    <row r="9432" spans="4:5" x14ac:dyDescent="0.25">
      <c r="D9432" s="4">
        <v>45119</v>
      </c>
      <c r="E9432" s="6">
        <v>80.349999999999994</v>
      </c>
    </row>
    <row r="9433" spans="4:5" x14ac:dyDescent="0.25">
      <c r="D9433" s="4">
        <v>45120</v>
      </c>
      <c r="E9433" s="6">
        <v>81.31</v>
      </c>
    </row>
    <row r="9434" spans="4:5" x14ac:dyDescent="0.25">
      <c r="D9434" s="4">
        <v>45121</v>
      </c>
      <c r="E9434" s="6">
        <v>79.900000000000006</v>
      </c>
    </row>
    <row r="9435" spans="4:5" x14ac:dyDescent="0.25">
      <c r="D9435" s="4">
        <v>45124</v>
      </c>
      <c r="E9435" s="6">
        <v>77.8</v>
      </c>
    </row>
    <row r="9436" spans="4:5" x14ac:dyDescent="0.25">
      <c r="D9436" s="4">
        <v>45125</v>
      </c>
      <c r="E9436" s="6">
        <v>79.540000000000006</v>
      </c>
    </row>
    <row r="9437" spans="4:5" x14ac:dyDescent="0.25">
      <c r="D9437" s="4">
        <v>45126</v>
      </c>
      <c r="E9437" s="6">
        <v>79.38</v>
      </c>
    </row>
    <row r="9438" spans="4:5" x14ac:dyDescent="0.25">
      <c r="D9438" s="4">
        <v>45127</v>
      </c>
      <c r="E9438" s="6">
        <v>79.62</v>
      </c>
    </row>
    <row r="9439" spans="4:5" x14ac:dyDescent="0.25">
      <c r="D9439" s="4">
        <v>45128</v>
      </c>
      <c r="E9439" s="6">
        <v>81.06</v>
      </c>
    </row>
    <row r="9440" spans="4:5" x14ac:dyDescent="0.25">
      <c r="D9440" s="4">
        <v>45131</v>
      </c>
      <c r="E9440" s="6">
        <v>82.53</v>
      </c>
    </row>
    <row r="9441" spans="4:5" x14ac:dyDescent="0.25">
      <c r="D9441" s="4">
        <v>45132</v>
      </c>
      <c r="E9441" s="6">
        <v>83.46</v>
      </c>
    </row>
    <row r="9442" spans="4:5" x14ac:dyDescent="0.25">
      <c r="D9442" s="4">
        <v>45133</v>
      </c>
      <c r="E9442" s="6">
        <v>82.98</v>
      </c>
    </row>
    <row r="9443" spans="4:5" x14ac:dyDescent="0.25">
      <c r="D9443" s="4">
        <v>45134</v>
      </c>
      <c r="E9443" s="6">
        <v>84.28</v>
      </c>
    </row>
    <row r="9444" spans="4:5" x14ac:dyDescent="0.25">
      <c r="D9444" s="4">
        <v>45135</v>
      </c>
      <c r="E9444" s="6">
        <v>84.49</v>
      </c>
    </row>
    <row r="9445" spans="4:5" x14ac:dyDescent="0.25">
      <c r="D9445" s="4">
        <v>45138</v>
      </c>
      <c r="E9445" s="6">
        <v>85.22</v>
      </c>
    </row>
    <row r="9446" spans="4:5" x14ac:dyDescent="0.25">
      <c r="D9446" s="4">
        <v>45139</v>
      </c>
      <c r="E9446" s="6">
        <v>85.34</v>
      </c>
    </row>
    <row r="9447" spans="4:5" x14ac:dyDescent="0.25">
      <c r="D9447" s="4">
        <v>45140</v>
      </c>
      <c r="E9447" s="6">
        <v>84.01</v>
      </c>
    </row>
    <row r="9448" spans="4:5" x14ac:dyDescent="0.25">
      <c r="D9448" s="4">
        <v>45141</v>
      </c>
      <c r="E9448" s="6">
        <v>86.19</v>
      </c>
    </row>
    <row r="9449" spans="4:5" x14ac:dyDescent="0.25">
      <c r="D9449" s="4">
        <v>45142</v>
      </c>
      <c r="E9449" s="6">
        <v>87.38</v>
      </c>
    </row>
    <row r="9450" spans="4:5" x14ac:dyDescent="0.25">
      <c r="D9450" s="4">
        <v>45145</v>
      </c>
      <c r="E9450" s="6">
        <v>86.47</v>
      </c>
    </row>
    <row r="9451" spans="4:5" x14ac:dyDescent="0.25">
      <c r="D9451" s="4">
        <v>45146</v>
      </c>
      <c r="E9451" s="6">
        <v>88</v>
      </c>
    </row>
    <row r="9452" spans="4:5" x14ac:dyDescent="0.25">
      <c r="D9452" s="4">
        <v>45147</v>
      </c>
      <c r="E9452" s="6">
        <v>89.31</v>
      </c>
    </row>
    <row r="9453" spans="4:5" x14ac:dyDescent="0.25">
      <c r="D9453" s="4">
        <v>45148</v>
      </c>
      <c r="E9453" s="6">
        <v>87.44</v>
      </c>
    </row>
    <row r="9454" spans="4:5" x14ac:dyDescent="0.25">
      <c r="D9454" s="4">
        <v>45149</v>
      </c>
      <c r="E9454" s="6">
        <v>87.93</v>
      </c>
    </row>
    <row r="9455" spans="4:5" x14ac:dyDescent="0.25">
      <c r="D9455" s="4">
        <v>45152</v>
      </c>
      <c r="E9455" s="6">
        <v>87.4</v>
      </c>
    </row>
    <row r="9456" spans="4:5" x14ac:dyDescent="0.25">
      <c r="D9456" s="4">
        <v>45153</v>
      </c>
      <c r="E9456" s="6">
        <v>86.28</v>
      </c>
    </row>
    <row r="9457" spans="4:5" x14ac:dyDescent="0.25">
      <c r="D9457" s="4">
        <v>45154</v>
      </c>
      <c r="E9457" s="6">
        <v>84.49</v>
      </c>
    </row>
    <row r="9458" spans="4:5" x14ac:dyDescent="0.25">
      <c r="D9458" s="4">
        <v>45155</v>
      </c>
      <c r="E9458" s="6">
        <v>85.24</v>
      </c>
    </row>
    <row r="9459" spans="4:5" x14ac:dyDescent="0.25">
      <c r="D9459" s="4">
        <v>45156</v>
      </c>
      <c r="E9459" s="6">
        <v>85.92</v>
      </c>
    </row>
    <row r="9460" spans="4:5" x14ac:dyDescent="0.25">
      <c r="D9460" s="4">
        <v>45159</v>
      </c>
      <c r="E9460" s="6">
        <v>85.44</v>
      </c>
    </row>
    <row r="9461" spans="4:5" x14ac:dyDescent="0.25">
      <c r="D9461" s="4">
        <v>45160</v>
      </c>
      <c r="E9461" s="6">
        <v>84.7</v>
      </c>
    </row>
    <row r="9462" spans="4:5" x14ac:dyDescent="0.25">
      <c r="D9462" s="4">
        <v>45161</v>
      </c>
      <c r="E9462" s="6">
        <v>83.94</v>
      </c>
    </row>
    <row r="9463" spans="4:5" x14ac:dyDescent="0.25">
      <c r="D9463" s="4">
        <v>45162</v>
      </c>
      <c r="E9463" s="6">
        <v>84.07</v>
      </c>
    </row>
    <row r="9464" spans="4:5" x14ac:dyDescent="0.25">
      <c r="D9464" s="4">
        <v>45163</v>
      </c>
      <c r="E9464" s="6">
        <v>85.42</v>
      </c>
    </row>
    <row r="9465" spans="4:5" x14ac:dyDescent="0.25">
      <c r="D9465" s="4">
        <v>45166</v>
      </c>
      <c r="E9465" s="5"/>
    </row>
    <row r="9466" spans="4:5" x14ac:dyDescent="0.25">
      <c r="D9466" s="4">
        <v>45167</v>
      </c>
      <c r="E9466" s="6">
        <v>86.37</v>
      </c>
    </row>
    <row r="9467" spans="4:5" x14ac:dyDescent="0.25">
      <c r="D9467" s="4">
        <v>45168</v>
      </c>
      <c r="E9467" s="6">
        <v>86.62</v>
      </c>
    </row>
    <row r="9468" spans="4:5" x14ac:dyDescent="0.25">
      <c r="D9468" s="4">
        <v>45169</v>
      </c>
      <c r="E9468" s="6">
        <v>87.29</v>
      </c>
    </row>
    <row r="9469" spans="4:5" x14ac:dyDescent="0.25">
      <c r="D9469" s="4">
        <v>45170</v>
      </c>
      <c r="E9469" s="6">
        <v>89.98</v>
      </c>
    </row>
    <row r="9470" spans="4:5" x14ac:dyDescent="0.25">
      <c r="D9470" s="4">
        <v>45173</v>
      </c>
      <c r="E9470" s="6">
        <v>90.42</v>
      </c>
    </row>
    <row r="9471" spans="4:5" x14ac:dyDescent="0.25">
      <c r="D9471" s="4">
        <v>45174</v>
      </c>
      <c r="E9471" s="6">
        <v>91.25</v>
      </c>
    </row>
    <row r="9472" spans="4:5" x14ac:dyDescent="0.25">
      <c r="D9472" s="4">
        <v>45175</v>
      </c>
      <c r="E9472" s="6">
        <v>91.79</v>
      </c>
    </row>
    <row r="9473" spans="4:5" x14ac:dyDescent="0.25">
      <c r="D9473" s="4">
        <v>45176</v>
      </c>
      <c r="E9473" s="6">
        <v>91.16</v>
      </c>
    </row>
    <row r="9474" spans="4:5" x14ac:dyDescent="0.25">
      <c r="D9474" s="4">
        <v>45177</v>
      </c>
      <c r="E9474" s="6">
        <v>91.85</v>
      </c>
    </row>
    <row r="9475" spans="4:5" x14ac:dyDescent="0.25">
      <c r="D9475" s="4">
        <v>45180</v>
      </c>
      <c r="E9475" s="6">
        <v>91.97</v>
      </c>
    </row>
    <row r="9476" spans="4:5" x14ac:dyDescent="0.25">
      <c r="D9476" s="4">
        <v>45181</v>
      </c>
      <c r="E9476" s="6">
        <v>93.58</v>
      </c>
    </row>
    <row r="9477" spans="4:5" x14ac:dyDescent="0.25">
      <c r="D9477" s="4">
        <v>45182</v>
      </c>
      <c r="E9477" s="6">
        <v>93.04</v>
      </c>
    </row>
    <row r="9478" spans="4:5" x14ac:dyDescent="0.25">
      <c r="D9478" s="4">
        <v>45183</v>
      </c>
      <c r="E9478" s="6">
        <v>95.2</v>
      </c>
    </row>
    <row r="9479" spans="4:5" x14ac:dyDescent="0.25">
      <c r="D9479" s="4">
        <v>45184</v>
      </c>
      <c r="E9479" s="6">
        <v>95.55</v>
      </c>
    </row>
    <row r="9480" spans="4:5" x14ac:dyDescent="0.25">
      <c r="D9480" s="4">
        <v>45187</v>
      </c>
      <c r="E9480" s="6">
        <v>95.95</v>
      </c>
    </row>
    <row r="9481" spans="4:5" x14ac:dyDescent="0.25">
      <c r="D9481" s="4">
        <v>45188</v>
      </c>
      <c r="E9481" s="6">
        <v>96.11</v>
      </c>
    </row>
    <row r="9482" spans="4:5" x14ac:dyDescent="0.25">
      <c r="D9482" s="4">
        <v>45189</v>
      </c>
      <c r="E9482" s="6">
        <v>94.56</v>
      </c>
    </row>
    <row r="9483" spans="4:5" x14ac:dyDescent="0.25">
      <c r="D9483" s="4">
        <v>45190</v>
      </c>
      <c r="E9483" s="6">
        <v>93.7</v>
      </c>
    </row>
    <row r="9484" spans="4:5" x14ac:dyDescent="0.25">
      <c r="D9484" s="4">
        <v>45191</v>
      </c>
      <c r="E9484" s="6">
        <v>93.99</v>
      </c>
    </row>
    <row r="9485" spans="4:5" x14ac:dyDescent="0.25">
      <c r="D9485" s="4">
        <v>45194</v>
      </c>
      <c r="E9485" s="6">
        <v>94.01</v>
      </c>
    </row>
    <row r="9486" spans="4:5" x14ac:dyDescent="0.25">
      <c r="D9486" s="4">
        <v>45195</v>
      </c>
      <c r="E9486" s="6">
        <v>94.46</v>
      </c>
    </row>
    <row r="9487" spans="4:5" x14ac:dyDescent="0.25">
      <c r="D9487" s="4">
        <v>45196</v>
      </c>
      <c r="E9487" s="6">
        <v>97.1</v>
      </c>
    </row>
    <row r="9488" spans="4:5" x14ac:dyDescent="0.25">
      <c r="D9488" s="4">
        <v>45197</v>
      </c>
      <c r="E9488" s="6">
        <v>96.64</v>
      </c>
    </row>
    <row r="9489" spans="4:5" x14ac:dyDescent="0.25">
      <c r="D9489" s="4">
        <v>45198</v>
      </c>
      <c r="E9489" s="6">
        <v>95.86</v>
      </c>
    </row>
    <row r="9490" spans="4:5" x14ac:dyDescent="0.25">
      <c r="D9490" s="4">
        <v>45201</v>
      </c>
      <c r="E9490" s="6">
        <v>91.21</v>
      </c>
    </row>
    <row r="9491" spans="4:5" x14ac:dyDescent="0.25">
      <c r="D9491" s="4">
        <v>45202</v>
      </c>
      <c r="E9491" s="6">
        <v>94.46</v>
      </c>
    </row>
    <row r="9492" spans="4:5" x14ac:dyDescent="0.25">
      <c r="D9492" s="4">
        <v>45203</v>
      </c>
      <c r="E9492" s="6">
        <v>89.83</v>
      </c>
    </row>
    <row r="9493" spans="4:5" x14ac:dyDescent="0.25">
      <c r="D9493" s="4">
        <v>45204</v>
      </c>
      <c r="E9493" s="6">
        <v>88.28</v>
      </c>
    </row>
    <row r="9494" spans="4:5" x14ac:dyDescent="0.25">
      <c r="D9494" s="4">
        <v>45205</v>
      </c>
      <c r="E9494" s="6">
        <v>87.86</v>
      </c>
    </row>
    <row r="9495" spans="4:5" x14ac:dyDescent="0.25">
      <c r="D9495" s="4">
        <v>45208</v>
      </c>
      <c r="E9495" s="6">
        <v>91.37</v>
      </c>
    </row>
    <row r="9496" spans="4:5" x14ac:dyDescent="0.25">
      <c r="D9496" s="4">
        <v>45209</v>
      </c>
      <c r="E9496" s="6">
        <v>90.7</v>
      </c>
    </row>
    <row r="9497" spans="4:5" x14ac:dyDescent="0.25">
      <c r="D9497" s="4">
        <v>45210</v>
      </c>
      <c r="E9497" s="6">
        <v>87.58</v>
      </c>
    </row>
    <row r="9498" spans="4:5" x14ac:dyDescent="0.25">
      <c r="D9498" s="4">
        <v>45211</v>
      </c>
      <c r="E9498" s="6">
        <v>88.4</v>
      </c>
    </row>
    <row r="9499" spans="4:5" x14ac:dyDescent="0.25">
      <c r="D9499" s="4">
        <v>45212</v>
      </c>
      <c r="E9499" s="6">
        <v>94.33</v>
      </c>
    </row>
    <row r="9500" spans="4:5" x14ac:dyDescent="0.25">
      <c r="D9500" s="4">
        <v>45215</v>
      </c>
      <c r="E9500" s="6">
        <v>90.99</v>
      </c>
    </row>
    <row r="9501" spans="4:5" x14ac:dyDescent="0.25">
      <c r="D9501" s="4">
        <v>45216</v>
      </c>
      <c r="E9501" s="6">
        <v>92.52</v>
      </c>
    </row>
    <row r="9502" spans="4:5" x14ac:dyDescent="0.25">
      <c r="D9502" s="4">
        <v>45217</v>
      </c>
      <c r="E9502" s="6">
        <v>91.99</v>
      </c>
    </row>
    <row r="9503" spans="4:5" x14ac:dyDescent="0.25">
      <c r="D9503" s="4">
        <v>45218</v>
      </c>
      <c r="E9503" s="6">
        <v>93.12</v>
      </c>
    </row>
    <row r="9504" spans="4:5" x14ac:dyDescent="0.25">
      <c r="D9504" s="4">
        <v>45219</v>
      </c>
      <c r="E9504" s="6">
        <v>93.72</v>
      </c>
    </row>
    <row r="9505" spans="4:5" x14ac:dyDescent="0.25">
      <c r="D9505" s="4">
        <v>45222</v>
      </c>
      <c r="E9505" s="6">
        <v>91.88</v>
      </c>
    </row>
    <row r="9506" spans="4:5" x14ac:dyDescent="0.25">
      <c r="D9506" s="4">
        <v>45223</v>
      </c>
      <c r="E9506" s="6">
        <v>88</v>
      </c>
    </row>
    <row r="9507" spans="4:5" x14ac:dyDescent="0.25">
      <c r="D9507" s="4">
        <v>45224</v>
      </c>
      <c r="E9507" s="6">
        <v>90.14</v>
      </c>
    </row>
    <row r="9508" spans="4:5" x14ac:dyDescent="0.25">
      <c r="D9508" s="4">
        <v>45225</v>
      </c>
      <c r="E9508" s="6">
        <v>88.45</v>
      </c>
    </row>
    <row r="9509" spans="4:5" x14ac:dyDescent="0.25">
      <c r="D9509" s="4">
        <v>45226</v>
      </c>
      <c r="E9509" s="6">
        <v>90.73</v>
      </c>
    </row>
    <row r="9510" spans="4:5" x14ac:dyDescent="0.25">
      <c r="D9510" s="4">
        <v>45229</v>
      </c>
      <c r="E9510" s="6">
        <v>90.73</v>
      </c>
    </row>
    <row r="9511" spans="4:5" x14ac:dyDescent="0.25">
      <c r="D9511" s="4">
        <v>45230</v>
      </c>
      <c r="E9511" s="6">
        <v>86.82</v>
      </c>
    </row>
    <row r="9512" spans="4:5" x14ac:dyDescent="0.25">
      <c r="D9512" s="4">
        <v>45231</v>
      </c>
      <c r="E9512" s="6">
        <v>86.92</v>
      </c>
    </row>
    <row r="9513" spans="4:5" x14ac:dyDescent="0.25">
      <c r="D9513" s="4">
        <v>45232</v>
      </c>
      <c r="E9513" s="6">
        <v>89.02</v>
      </c>
    </row>
    <row r="9514" spans="4:5" x14ac:dyDescent="0.25">
      <c r="D9514" s="4">
        <v>45233</v>
      </c>
      <c r="E9514" s="6">
        <v>87.55</v>
      </c>
    </row>
    <row r="9515" spans="4:5" x14ac:dyDescent="0.25">
      <c r="D9515" s="4">
        <v>45236</v>
      </c>
      <c r="E9515" s="6">
        <v>87.31</v>
      </c>
    </row>
    <row r="9516" spans="4:5" x14ac:dyDescent="0.25">
      <c r="D9516" s="4">
        <v>45237</v>
      </c>
      <c r="E9516" s="6">
        <v>83.43</v>
      </c>
    </row>
    <row r="9517" spans="4:5" x14ac:dyDescent="0.25">
      <c r="D9517" s="4">
        <v>45238</v>
      </c>
      <c r="E9517" s="6">
        <v>81.459999999999994</v>
      </c>
    </row>
    <row r="9518" spans="4:5" x14ac:dyDescent="0.25">
      <c r="D9518" s="4">
        <v>45239</v>
      </c>
      <c r="E9518" s="6">
        <v>81.739999999999995</v>
      </c>
    </row>
    <row r="9519" spans="4:5" x14ac:dyDescent="0.25">
      <c r="D9519" s="4">
        <v>45240</v>
      </c>
      <c r="E9519" s="6">
        <v>83.66</v>
      </c>
    </row>
    <row r="9520" spans="4:5" x14ac:dyDescent="0.25">
      <c r="D9520" s="4">
        <v>45243</v>
      </c>
      <c r="E9520" s="6">
        <v>84.09</v>
      </c>
    </row>
    <row r="9521" spans="4:5" x14ac:dyDescent="0.25">
      <c r="D9521" s="4">
        <v>45244</v>
      </c>
      <c r="E9521" s="6">
        <v>84.2</v>
      </c>
    </row>
    <row r="9522" spans="4:5" x14ac:dyDescent="0.25">
      <c r="D9522" s="4">
        <v>45245</v>
      </c>
      <c r="E9522" s="6">
        <v>82.4</v>
      </c>
    </row>
    <row r="9523" spans="4:5" x14ac:dyDescent="0.25">
      <c r="D9523" s="4">
        <v>45246</v>
      </c>
      <c r="E9523" s="6">
        <v>77.73</v>
      </c>
    </row>
    <row r="9524" spans="4:5" x14ac:dyDescent="0.25">
      <c r="D9524" s="4">
        <v>45247</v>
      </c>
      <c r="E9524" s="6">
        <v>81.22</v>
      </c>
    </row>
    <row r="9525" spans="4:5" x14ac:dyDescent="0.25">
      <c r="D9525" s="4">
        <v>45250</v>
      </c>
      <c r="E9525" s="6">
        <v>83.25</v>
      </c>
    </row>
    <row r="9526" spans="4:5" x14ac:dyDescent="0.25">
      <c r="D9526" s="4">
        <v>45251</v>
      </c>
      <c r="E9526" s="6">
        <v>82.42</v>
      </c>
    </row>
    <row r="9527" spans="4:5" x14ac:dyDescent="0.25">
      <c r="D9527" s="4">
        <v>45252</v>
      </c>
      <c r="E9527" s="6">
        <v>81.760000000000005</v>
      </c>
    </row>
    <row r="9528" spans="4:5" x14ac:dyDescent="0.25">
      <c r="D9528" s="4">
        <v>45253</v>
      </c>
      <c r="E9528" s="6">
        <v>80.849999999999994</v>
      </c>
    </row>
    <row r="9529" spans="4:5" x14ac:dyDescent="0.25">
      <c r="D9529" s="4">
        <v>45254</v>
      </c>
      <c r="E9529" s="6">
        <v>79.819999999999993</v>
      </c>
    </row>
    <row r="9530" spans="4:5" x14ac:dyDescent="0.25">
      <c r="D9530" s="4">
        <v>45257</v>
      </c>
      <c r="E9530" s="6">
        <v>79.489999999999995</v>
      </c>
    </row>
    <row r="9531" spans="4:5" x14ac:dyDescent="0.25">
      <c r="D9531" s="4">
        <v>45258</v>
      </c>
      <c r="E9531" s="6">
        <v>81.66</v>
      </c>
    </row>
    <row r="9532" spans="4:5" x14ac:dyDescent="0.25">
      <c r="D9532" s="4">
        <v>45259</v>
      </c>
      <c r="E9532" s="6">
        <v>82.98</v>
      </c>
    </row>
    <row r="9533" spans="4:5" x14ac:dyDescent="0.25">
      <c r="D9533" s="4">
        <v>45260</v>
      </c>
      <c r="E9533" s="6">
        <v>81.72</v>
      </c>
    </row>
    <row r="9534" spans="4:5" x14ac:dyDescent="0.25">
      <c r="D9534" s="4">
        <v>45261</v>
      </c>
      <c r="E9534" s="6">
        <v>78.72</v>
      </c>
    </row>
    <row r="9535" spans="4:5" x14ac:dyDescent="0.25">
      <c r="D9535" s="4">
        <v>45264</v>
      </c>
      <c r="E9535" s="6">
        <v>78.16</v>
      </c>
    </row>
    <row r="9536" spans="4:5" x14ac:dyDescent="0.25">
      <c r="D9536" s="4">
        <v>45265</v>
      </c>
      <c r="E9536" s="6">
        <v>77.27</v>
      </c>
    </row>
    <row r="9537" spans="4:5" x14ac:dyDescent="0.25">
      <c r="D9537" s="4">
        <v>45266</v>
      </c>
      <c r="E9537" s="6">
        <v>74.33</v>
      </c>
    </row>
    <row r="9538" spans="4:5" x14ac:dyDescent="0.25">
      <c r="D9538" s="4">
        <v>45267</v>
      </c>
      <c r="E9538" s="6">
        <v>74.209999999999994</v>
      </c>
    </row>
    <row r="9539" spans="4:5" x14ac:dyDescent="0.25">
      <c r="D9539" s="4">
        <v>45268</v>
      </c>
      <c r="E9539" s="6">
        <v>75.94</v>
      </c>
    </row>
    <row r="9540" spans="4:5" x14ac:dyDescent="0.25">
      <c r="D9540" s="4">
        <v>45271</v>
      </c>
      <c r="E9540" s="6">
        <v>75.75</v>
      </c>
    </row>
    <row r="9541" spans="4:5" x14ac:dyDescent="0.25">
      <c r="D9541" s="4">
        <v>45272</v>
      </c>
      <c r="E9541" s="6">
        <v>74.11</v>
      </c>
    </row>
    <row r="9542" spans="4:5" x14ac:dyDescent="0.25">
      <c r="D9542" s="4">
        <v>45273</v>
      </c>
      <c r="E9542" s="6">
        <v>74.14</v>
      </c>
    </row>
    <row r="9543" spans="4:5" x14ac:dyDescent="0.25">
      <c r="D9543" s="4">
        <v>45274</v>
      </c>
      <c r="E9543" s="6">
        <v>77.05</v>
      </c>
    </row>
    <row r="9544" spans="4:5" x14ac:dyDescent="0.25">
      <c r="D9544" s="4">
        <v>45275</v>
      </c>
      <c r="E9544" s="6">
        <v>76.84</v>
      </c>
    </row>
    <row r="9545" spans="4:5" x14ac:dyDescent="0.25">
      <c r="D9545" s="4">
        <v>45278</v>
      </c>
      <c r="E9545" s="6">
        <v>78.89</v>
      </c>
    </row>
    <row r="9546" spans="4:5" x14ac:dyDescent="0.25">
      <c r="D9546" s="4">
        <v>45279</v>
      </c>
      <c r="E9546" s="6">
        <v>79.819999999999993</v>
      </c>
    </row>
    <row r="9547" spans="4:5" x14ac:dyDescent="0.25">
      <c r="D9547" s="4">
        <v>45280</v>
      </c>
      <c r="E9547" s="6">
        <v>81.099999999999994</v>
      </c>
    </row>
    <row r="9548" spans="4:5" x14ac:dyDescent="0.25">
      <c r="D9548" s="4">
        <v>45281</v>
      </c>
      <c r="E9548" s="6">
        <v>80.73</v>
      </c>
    </row>
    <row r="9549" spans="4:5" x14ac:dyDescent="0.25">
      <c r="D9549" s="4">
        <v>45282</v>
      </c>
      <c r="E9549" s="6">
        <v>80.23</v>
      </c>
    </row>
    <row r="9550" spans="4:5" x14ac:dyDescent="0.25">
      <c r="D9550" s="4">
        <v>45285</v>
      </c>
      <c r="E9550" s="5"/>
    </row>
    <row r="9551" spans="4:5" x14ac:dyDescent="0.25">
      <c r="D9551" s="4">
        <v>45286</v>
      </c>
      <c r="E9551" s="5"/>
    </row>
    <row r="9552" spans="4:5" x14ac:dyDescent="0.25">
      <c r="D9552" s="4">
        <v>45287</v>
      </c>
      <c r="E9552" s="6">
        <v>80.97</v>
      </c>
    </row>
    <row r="9553" spans="4:5" x14ac:dyDescent="0.25">
      <c r="D9553" s="4">
        <v>45288</v>
      </c>
      <c r="E9553" s="6">
        <v>79.040000000000006</v>
      </c>
    </row>
    <row r="9554" spans="4:5" x14ac:dyDescent="0.25">
      <c r="D9554" s="4">
        <v>45289</v>
      </c>
      <c r="E9554" s="6">
        <v>77.69</v>
      </c>
    </row>
    <row r="9555" spans="4:5" x14ac:dyDescent="0.25">
      <c r="D9555" s="4">
        <v>45292</v>
      </c>
      <c r="E9555" s="5"/>
    </row>
    <row r="9556" spans="4:5" x14ac:dyDescent="0.25">
      <c r="D9556" s="4">
        <v>45293</v>
      </c>
      <c r="E9556" s="6">
        <v>76.239999999999995</v>
      </c>
    </row>
    <row r="9557" spans="4:5" x14ac:dyDescent="0.25">
      <c r="D9557" s="4">
        <v>45294</v>
      </c>
      <c r="E9557" s="6">
        <v>77.180000000000007</v>
      </c>
    </row>
    <row r="9558" spans="4:5" x14ac:dyDescent="0.25">
      <c r="D9558" s="4">
        <v>45295</v>
      </c>
      <c r="E9558" s="6">
        <v>75.790000000000006</v>
      </c>
    </row>
    <row r="9559" spans="4:5" x14ac:dyDescent="0.25">
      <c r="D9559" s="4">
        <v>45296</v>
      </c>
      <c r="E9559" s="6">
        <v>78.31</v>
      </c>
    </row>
    <row r="9560" spans="4:5" x14ac:dyDescent="0.25">
      <c r="D9560" s="4">
        <v>45299</v>
      </c>
      <c r="E9560" s="6">
        <v>75.47</v>
      </c>
    </row>
    <row r="9561" spans="4:5" x14ac:dyDescent="0.25">
      <c r="D9561" s="4">
        <v>45300</v>
      </c>
      <c r="E9561" s="6">
        <v>77.97</v>
      </c>
    </row>
    <row r="9562" spans="4:5" x14ac:dyDescent="0.25">
      <c r="D9562" s="4">
        <v>45301</v>
      </c>
      <c r="E9562" s="6">
        <v>78.459999999999994</v>
      </c>
    </row>
    <row r="9563" spans="4:5" x14ac:dyDescent="0.25">
      <c r="D9563" s="4">
        <v>45302</v>
      </c>
      <c r="E9563" s="6">
        <v>80.209999999999994</v>
      </c>
    </row>
    <row r="9564" spans="4:5" x14ac:dyDescent="0.25">
      <c r="D9564" s="4">
        <v>45303</v>
      </c>
      <c r="E9564" s="6">
        <v>79.89</v>
      </c>
    </row>
    <row r="9565" spans="4:5" x14ac:dyDescent="0.25">
      <c r="D9565" s="4">
        <v>45306</v>
      </c>
      <c r="E9565" s="6">
        <v>79.760000000000005</v>
      </c>
    </row>
    <row r="9566" spans="4:5" x14ac:dyDescent="0.25">
      <c r="D9566" s="4">
        <v>45307</v>
      </c>
      <c r="E9566" s="6">
        <v>80.150000000000006</v>
      </c>
    </row>
    <row r="9567" spans="4:5" x14ac:dyDescent="0.25">
      <c r="D9567" s="4">
        <v>45308</v>
      </c>
      <c r="E9567" s="6">
        <v>78.88</v>
      </c>
    </row>
    <row r="9568" spans="4:5" x14ac:dyDescent="0.25">
      <c r="D9568" s="4">
        <v>45309</v>
      </c>
      <c r="E9568" s="6">
        <v>81.040000000000006</v>
      </c>
    </row>
    <row r="9569" spans="4:5" x14ac:dyDescent="0.25">
      <c r="D9569" s="4">
        <v>45310</v>
      </c>
      <c r="E9569" s="6">
        <v>80.709999999999994</v>
      </c>
    </row>
    <row r="9570" spans="4:5" x14ac:dyDescent="0.25">
      <c r="D9570" s="4">
        <v>45313</v>
      </c>
      <c r="E9570" s="6">
        <v>81.7</v>
      </c>
    </row>
    <row r="9571" spans="4:5" x14ac:dyDescent="0.25">
      <c r="D9571" s="4">
        <v>45314</v>
      </c>
      <c r="E9571" s="6">
        <v>82.04</v>
      </c>
    </row>
    <row r="9572" spans="4:5" x14ac:dyDescent="0.25">
      <c r="D9572" s="4">
        <v>45315</v>
      </c>
      <c r="E9572" s="6">
        <v>82.15</v>
      </c>
    </row>
    <row r="9573" spans="4:5" x14ac:dyDescent="0.25">
      <c r="D9573" s="4">
        <v>45316</v>
      </c>
      <c r="E9573" s="6">
        <v>82.33</v>
      </c>
    </row>
    <row r="9574" spans="4:5" x14ac:dyDescent="0.25">
      <c r="D9574" s="4">
        <v>45317</v>
      </c>
      <c r="E9574" s="6">
        <v>83.34</v>
      </c>
    </row>
    <row r="9575" spans="4:5" x14ac:dyDescent="0.25">
      <c r="D9575" s="4">
        <v>45320</v>
      </c>
      <c r="E9575" s="6">
        <v>83.99</v>
      </c>
    </row>
    <row r="9576" spans="4:5" x14ac:dyDescent="0.25">
      <c r="D9576" s="4">
        <v>45321</v>
      </c>
      <c r="E9576" s="6">
        <v>84.14</v>
      </c>
    </row>
    <row r="9577" spans="4:5" x14ac:dyDescent="0.25">
      <c r="D9577" s="4">
        <v>45322</v>
      </c>
      <c r="E9577" s="6">
        <v>82.98</v>
      </c>
    </row>
    <row r="9578" spans="4:5" x14ac:dyDescent="0.25">
      <c r="D9578" s="4">
        <v>45323</v>
      </c>
      <c r="E9578" s="6">
        <v>82.2</v>
      </c>
    </row>
    <row r="9579" spans="4:5" x14ac:dyDescent="0.25">
      <c r="D9579" s="4">
        <v>45324</v>
      </c>
      <c r="E9579" s="6">
        <v>79.540000000000006</v>
      </c>
    </row>
    <row r="9580" spans="4:5" x14ac:dyDescent="0.25">
      <c r="D9580" s="4">
        <v>45327</v>
      </c>
      <c r="E9580" s="6">
        <v>79.3</v>
      </c>
    </row>
    <row r="9581" spans="4:5" x14ac:dyDescent="0.25">
      <c r="D9581" s="4">
        <v>45328</v>
      </c>
      <c r="E9581" s="6">
        <v>80.459999999999994</v>
      </c>
    </row>
    <row r="9582" spans="4:5" x14ac:dyDescent="0.25">
      <c r="D9582" s="4">
        <v>45329</v>
      </c>
      <c r="E9582" s="6">
        <v>81.180000000000007</v>
      </c>
    </row>
    <row r="9583" spans="4:5" x14ac:dyDescent="0.25">
      <c r="D9583" s="4">
        <v>45330</v>
      </c>
      <c r="E9583" s="6">
        <v>83.01</v>
      </c>
    </row>
    <row r="9584" spans="4:5" x14ac:dyDescent="0.25">
      <c r="D9584" s="4">
        <v>45331</v>
      </c>
      <c r="E9584" s="6">
        <v>83.58</v>
      </c>
    </row>
    <row r="9585" spans="4:5" x14ac:dyDescent="0.25">
      <c r="D9585" s="4">
        <v>45334</v>
      </c>
      <c r="E9585" s="6">
        <v>83.88</v>
      </c>
    </row>
    <row r="9586" spans="4:5" x14ac:dyDescent="0.25">
      <c r="D9586" s="4">
        <v>45335</v>
      </c>
      <c r="E9586" s="6">
        <v>84.72</v>
      </c>
    </row>
    <row r="9587" spans="4:5" x14ac:dyDescent="0.25">
      <c r="D9587" s="4">
        <v>45336</v>
      </c>
      <c r="E9587" s="6">
        <v>84.41</v>
      </c>
    </row>
    <row r="9588" spans="4:5" x14ac:dyDescent="0.25">
      <c r="D9588" s="4">
        <v>45337</v>
      </c>
      <c r="E9588" s="6">
        <v>84.33</v>
      </c>
    </row>
    <row r="9589" spans="4:5" x14ac:dyDescent="0.25">
      <c r="D9589" s="4">
        <v>45338</v>
      </c>
      <c r="E9589" s="6">
        <v>84.88</v>
      </c>
    </row>
    <row r="9590" spans="4:5" x14ac:dyDescent="0.25">
      <c r="D9590" s="4">
        <v>45341</v>
      </c>
      <c r="E9590" s="6">
        <v>85.52</v>
      </c>
    </row>
    <row r="9591" spans="4:5" x14ac:dyDescent="0.25">
      <c r="D9591" s="4">
        <v>45342</v>
      </c>
      <c r="E9591" s="6">
        <v>84.78</v>
      </c>
    </row>
    <row r="9592" spans="4:5" x14ac:dyDescent="0.25">
      <c r="D9592" s="4">
        <v>45343</v>
      </c>
      <c r="E9592" s="6">
        <v>84.77</v>
      </c>
    </row>
    <row r="9593" spans="4:5" x14ac:dyDescent="0.25">
      <c r="D9593" s="4">
        <v>45344</v>
      </c>
      <c r="E9593" s="6">
        <v>85.84</v>
      </c>
    </row>
    <row r="9594" spans="4:5" x14ac:dyDescent="0.25">
      <c r="D9594" s="4">
        <v>45345</v>
      </c>
      <c r="E9594" s="6">
        <v>84.18</v>
      </c>
    </row>
    <row r="9595" spans="4:5" x14ac:dyDescent="0.25">
      <c r="D9595" s="4">
        <v>45348</v>
      </c>
      <c r="E9595" s="6">
        <v>84.01</v>
      </c>
    </row>
    <row r="9596" spans="4:5" x14ac:dyDescent="0.25">
      <c r="D9596" s="4">
        <v>45349</v>
      </c>
      <c r="E9596" s="6">
        <v>83.8</v>
      </c>
    </row>
    <row r="9597" spans="4:5" x14ac:dyDescent="0.25">
      <c r="D9597" s="4">
        <v>45350</v>
      </c>
      <c r="E9597" s="6">
        <v>84.08</v>
      </c>
    </row>
    <row r="9598" spans="4:5" x14ac:dyDescent="0.25">
      <c r="D9598" s="4">
        <v>45351</v>
      </c>
      <c r="E9598" s="6">
        <v>84.57</v>
      </c>
    </row>
    <row r="9599" spans="4:5" x14ac:dyDescent="0.25">
      <c r="D9599" s="4">
        <v>45352</v>
      </c>
      <c r="E9599" s="6">
        <v>84.82</v>
      </c>
    </row>
    <row r="9600" spans="4:5" x14ac:dyDescent="0.25">
      <c r="D9600" s="4">
        <v>45355</v>
      </c>
      <c r="E9600" s="6">
        <v>86.58</v>
      </c>
    </row>
    <row r="9601" spans="4:5" x14ac:dyDescent="0.25">
      <c r="D9601" s="4">
        <v>45356</v>
      </c>
      <c r="E9601" s="6">
        <v>85.82</v>
      </c>
    </row>
    <row r="9602" spans="4:5" x14ac:dyDescent="0.25">
      <c r="D9602" s="4">
        <v>45357</v>
      </c>
      <c r="E9602" s="6">
        <v>86.59</v>
      </c>
    </row>
    <row r="9603" spans="4:5" x14ac:dyDescent="0.25">
      <c r="D9603" s="4">
        <v>45358</v>
      </c>
      <c r="E9603" s="6">
        <v>84.88</v>
      </c>
    </row>
    <row r="9604" spans="4:5" x14ac:dyDescent="0.25">
      <c r="D9604" s="4">
        <v>45359</v>
      </c>
      <c r="E9604" s="6">
        <v>84.29</v>
      </c>
    </row>
    <row r="9605" spans="4:5" x14ac:dyDescent="0.25">
      <c r="D9605" s="4">
        <v>45362</v>
      </c>
      <c r="E9605" s="6">
        <v>83.44</v>
      </c>
    </row>
    <row r="9606" spans="4:5" x14ac:dyDescent="0.25">
      <c r="D9606" s="4">
        <v>45363</v>
      </c>
      <c r="E9606" s="6">
        <v>83.66</v>
      </c>
    </row>
    <row r="9607" spans="4:5" x14ac:dyDescent="0.25">
      <c r="D9607" s="4">
        <v>45364</v>
      </c>
      <c r="E9607" s="6">
        <v>83.95</v>
      </c>
    </row>
    <row r="9608" spans="4:5" x14ac:dyDescent="0.25">
      <c r="D9608" s="4">
        <v>45365</v>
      </c>
      <c r="E9608" s="6">
        <v>86.16</v>
      </c>
    </row>
    <row r="9609" spans="4:5" x14ac:dyDescent="0.25">
      <c r="D9609" s="4">
        <v>45366</v>
      </c>
      <c r="E9609" s="6">
        <v>85.39</v>
      </c>
    </row>
    <row r="9610" spans="4:5" x14ac:dyDescent="0.25">
      <c r="D9610" s="4">
        <v>45369</v>
      </c>
      <c r="E9610" s="6">
        <v>86.47</v>
      </c>
    </row>
    <row r="9611" spans="4:5" x14ac:dyDescent="0.25">
      <c r="D9611" s="4">
        <v>45370</v>
      </c>
      <c r="E9611" s="6">
        <v>87.36</v>
      </c>
    </row>
    <row r="9612" spans="4:5" x14ac:dyDescent="0.25">
      <c r="D9612" s="4">
        <v>45371</v>
      </c>
      <c r="E9612" s="6">
        <v>85.77</v>
      </c>
    </row>
    <row r="9613" spans="4:5" x14ac:dyDescent="0.25">
      <c r="D9613" s="4">
        <v>45372</v>
      </c>
      <c r="E9613" s="6">
        <v>84.92</v>
      </c>
    </row>
    <row r="9614" spans="4:5" x14ac:dyDescent="0.25">
      <c r="D9614" s="4">
        <v>45373</v>
      </c>
      <c r="E9614" s="6">
        <v>84.87</v>
      </c>
    </row>
    <row r="9615" spans="4:5" x14ac:dyDescent="0.25">
      <c r="D9615" s="4">
        <v>45376</v>
      </c>
      <c r="E9615" s="6">
        <v>86.18</v>
      </c>
    </row>
    <row r="9616" spans="4:5" x14ac:dyDescent="0.25">
      <c r="D9616" s="4">
        <v>45377</v>
      </c>
      <c r="E9616" s="6">
        <v>85.91</v>
      </c>
    </row>
    <row r="9617" spans="4:5" x14ac:dyDescent="0.25">
      <c r="D9617" s="4">
        <v>45378</v>
      </c>
      <c r="E9617" s="6">
        <v>84.94</v>
      </c>
    </row>
    <row r="9618" spans="4:5" x14ac:dyDescent="0.25">
      <c r="D9618" s="4">
        <v>45379</v>
      </c>
      <c r="E9618" s="6">
        <v>86.17</v>
      </c>
    </row>
    <row r="9619" spans="4:5" x14ac:dyDescent="0.25">
      <c r="D9619" s="4">
        <v>45380</v>
      </c>
      <c r="E9619" s="5"/>
    </row>
    <row r="9620" spans="4:5" x14ac:dyDescent="0.25">
      <c r="D9620" s="4">
        <v>45383</v>
      </c>
      <c r="E9620" s="5"/>
    </row>
    <row r="9621" spans="4:5" x14ac:dyDescent="0.25">
      <c r="D9621" s="4">
        <v>45384</v>
      </c>
      <c r="E9621" s="6">
        <v>87.63</v>
      </c>
    </row>
    <row r="9622" spans="4:5" x14ac:dyDescent="0.25">
      <c r="D9622" s="4">
        <v>45385</v>
      </c>
      <c r="E9622" s="6">
        <v>90.6</v>
      </c>
    </row>
    <row r="9623" spans="4:5" x14ac:dyDescent="0.25">
      <c r="D9623" s="4">
        <v>45386</v>
      </c>
      <c r="E9623" s="6">
        <v>90.32</v>
      </c>
    </row>
    <row r="9624" spans="4:5" x14ac:dyDescent="0.25">
      <c r="D9624" s="4">
        <v>45387</v>
      </c>
      <c r="E9624" s="6">
        <v>92.81</v>
      </c>
    </row>
    <row r="9625" spans="4:5" x14ac:dyDescent="0.25">
      <c r="D9625" s="4">
        <v>45390</v>
      </c>
      <c r="E9625" s="6">
        <v>91.73</v>
      </c>
    </row>
    <row r="9626" spans="4:5" x14ac:dyDescent="0.25">
      <c r="D9626" s="4">
        <v>45391</v>
      </c>
      <c r="E9626" s="6">
        <v>92.13</v>
      </c>
    </row>
    <row r="9627" spans="4:5" x14ac:dyDescent="0.25">
      <c r="D9627" s="4">
        <v>45392</v>
      </c>
      <c r="E9627" s="6">
        <v>91.57</v>
      </c>
    </row>
    <row r="9628" spans="4:5" x14ac:dyDescent="0.25">
      <c r="D9628" s="4">
        <v>45393</v>
      </c>
      <c r="E9628" s="6">
        <v>91.49</v>
      </c>
    </row>
    <row r="9629" spans="4:5" x14ac:dyDescent="0.25">
      <c r="D9629" s="4">
        <v>45394</v>
      </c>
      <c r="E9629" s="6">
        <v>93.12</v>
      </c>
    </row>
    <row r="9630" spans="4:5" x14ac:dyDescent="0.25">
      <c r="D9630" s="4">
        <v>45397</v>
      </c>
      <c r="E9630" s="6">
        <v>90.84</v>
      </c>
    </row>
    <row r="9631" spans="4:5" x14ac:dyDescent="0.25">
      <c r="D9631" s="4">
        <v>45398</v>
      </c>
      <c r="E9631" s="6">
        <v>91.29</v>
      </c>
    </row>
    <row r="9632" spans="4:5" x14ac:dyDescent="0.25">
      <c r="D9632" s="4">
        <v>45399</v>
      </c>
      <c r="E9632" s="6">
        <v>89.54</v>
      </c>
    </row>
    <row r="9633" spans="4:5" x14ac:dyDescent="0.25">
      <c r="D9633" s="4">
        <v>45400</v>
      </c>
      <c r="E9633" s="6">
        <v>88.34</v>
      </c>
    </row>
    <row r="9634" spans="4:5" x14ac:dyDescent="0.25">
      <c r="D9634" s="4">
        <v>45401</v>
      </c>
      <c r="E9634" s="6">
        <v>87.96</v>
      </c>
    </row>
    <row r="9635" spans="4:5" x14ac:dyDescent="0.25">
      <c r="D9635" s="4">
        <v>45404</v>
      </c>
      <c r="E9635" s="6">
        <v>87.3</v>
      </c>
    </row>
    <row r="9636" spans="4:5" x14ac:dyDescent="0.25">
      <c r="D9636" s="4">
        <v>45405</v>
      </c>
      <c r="E9636" s="6">
        <v>88.29</v>
      </c>
    </row>
    <row r="9637" spans="4:5" x14ac:dyDescent="0.25">
      <c r="D9637" s="4">
        <v>45406</v>
      </c>
      <c r="E9637" s="6">
        <v>89.02</v>
      </c>
    </row>
    <row r="9638" spans="4:5" x14ac:dyDescent="0.25">
      <c r="D9638" s="4">
        <v>45407</v>
      </c>
      <c r="E9638" s="6">
        <v>88.1</v>
      </c>
    </row>
    <row r="9639" spans="4:5" x14ac:dyDescent="0.25">
      <c r="D9639" s="4">
        <v>45408</v>
      </c>
      <c r="E9639" s="6">
        <v>89.95</v>
      </c>
    </row>
    <row r="9640" spans="4:5" x14ac:dyDescent="0.25">
      <c r="D9640" s="4">
        <v>45411</v>
      </c>
      <c r="E9640" s="6">
        <v>88.44</v>
      </c>
    </row>
    <row r="9641" spans="4:5" x14ac:dyDescent="0.25">
      <c r="D9641" s="4">
        <v>45412</v>
      </c>
      <c r="E9641" s="6">
        <v>88.23</v>
      </c>
    </row>
    <row r="9642" spans="4:5" x14ac:dyDescent="0.25">
      <c r="D9642" s="4">
        <v>45413</v>
      </c>
      <c r="E9642" s="6">
        <v>83.55</v>
      </c>
    </row>
    <row r="9643" spans="4:5" x14ac:dyDescent="0.25">
      <c r="D9643" s="4">
        <v>45414</v>
      </c>
      <c r="E9643" s="6">
        <v>84.81</v>
      </c>
    </row>
    <row r="9644" spans="4:5" x14ac:dyDescent="0.25">
      <c r="D9644" s="4">
        <v>45415</v>
      </c>
      <c r="E9644" s="6">
        <v>83.6</v>
      </c>
    </row>
    <row r="9645" spans="4:5" x14ac:dyDescent="0.25">
      <c r="D9645" s="4">
        <v>45418</v>
      </c>
      <c r="E9645" s="5"/>
    </row>
    <row r="9646" spans="4:5" x14ac:dyDescent="0.25">
      <c r="D9646" s="4">
        <v>45419</v>
      </c>
      <c r="E9646" s="6">
        <v>82.69</v>
      </c>
    </row>
    <row r="9647" spans="4:5" x14ac:dyDescent="0.25">
      <c r="D9647" s="4">
        <v>45420</v>
      </c>
      <c r="E9647" s="6">
        <v>82.44</v>
      </c>
    </row>
    <row r="9648" spans="4:5" x14ac:dyDescent="0.25">
      <c r="D9648" s="4">
        <v>45421</v>
      </c>
      <c r="E9648" s="6">
        <v>83.27</v>
      </c>
    </row>
    <row r="9649" spans="4:5" x14ac:dyDescent="0.25">
      <c r="D9649" s="4">
        <v>45422</v>
      </c>
      <c r="E9649" s="6">
        <v>83.39</v>
      </c>
    </row>
    <row r="9650" spans="4:5" x14ac:dyDescent="0.25">
      <c r="D9650" s="4">
        <v>45425</v>
      </c>
      <c r="E9650" s="6">
        <v>83.18</v>
      </c>
    </row>
    <row r="9651" spans="4:5" x14ac:dyDescent="0.25">
      <c r="D9651" s="4">
        <v>45426</v>
      </c>
      <c r="E9651" s="6">
        <v>81</v>
      </c>
    </row>
    <row r="9652" spans="4:5" x14ac:dyDescent="0.25">
      <c r="D9652" s="4">
        <v>45427</v>
      </c>
      <c r="E9652" s="6">
        <v>79.98</v>
      </c>
    </row>
    <row r="9653" spans="4:5" x14ac:dyDescent="0.25">
      <c r="D9653" s="4">
        <v>45428</v>
      </c>
      <c r="E9653" s="6">
        <v>81.650000000000006</v>
      </c>
    </row>
    <row r="9654" spans="4:5" x14ac:dyDescent="0.25">
      <c r="D9654" s="4">
        <v>45429</v>
      </c>
      <c r="E9654" s="6">
        <v>82.24</v>
      </c>
    </row>
    <row r="9655" spans="4:5" x14ac:dyDescent="0.25">
      <c r="D9655" s="4">
        <v>45432</v>
      </c>
      <c r="E9655" s="6">
        <v>81.91</v>
      </c>
    </row>
    <row r="9656" spans="4:5" x14ac:dyDescent="0.25">
      <c r="D9656" s="4">
        <v>45433</v>
      </c>
      <c r="E9656" s="6">
        <v>81.22</v>
      </c>
    </row>
    <row r="9657" spans="4:5" x14ac:dyDescent="0.25">
      <c r="D9657" s="4">
        <v>45434</v>
      </c>
      <c r="E9657" s="6">
        <v>79.900000000000006</v>
      </c>
    </row>
    <row r="9658" spans="4:5" x14ac:dyDescent="0.25">
      <c r="D9658" s="4">
        <v>45435</v>
      </c>
      <c r="E9658" s="6">
        <v>79.25</v>
      </c>
    </row>
    <row r="9659" spans="4:5" x14ac:dyDescent="0.25">
      <c r="D9659" s="4">
        <v>45436</v>
      </c>
      <c r="E9659" s="6">
        <v>78.92</v>
      </c>
    </row>
    <row r="9660" spans="4:5" x14ac:dyDescent="0.25">
      <c r="D9660" s="4">
        <v>45439</v>
      </c>
      <c r="E9660" s="5"/>
    </row>
    <row r="9661" spans="4:5" x14ac:dyDescent="0.25">
      <c r="D9661" s="4">
        <v>45440</v>
      </c>
      <c r="E9661" s="6">
        <v>81.34</v>
      </c>
    </row>
    <row r="9662" spans="4:5" x14ac:dyDescent="0.25">
      <c r="D9662" s="4">
        <v>45441</v>
      </c>
      <c r="E9662" s="6">
        <v>81.5</v>
      </c>
    </row>
    <row r="9663" spans="4:5" x14ac:dyDescent="0.25">
      <c r="D9663" s="4">
        <v>45442</v>
      </c>
      <c r="E9663" s="6">
        <v>81.42</v>
      </c>
    </row>
    <row r="9664" spans="4:5" x14ac:dyDescent="0.25">
      <c r="D9664" s="4">
        <v>45443</v>
      </c>
      <c r="E9664" s="6">
        <v>79.41</v>
      </c>
    </row>
    <row r="9665" spans="4:5" x14ac:dyDescent="0.25">
      <c r="D9665" s="4">
        <v>45446</v>
      </c>
      <c r="E9665" s="6">
        <v>76.45</v>
      </c>
    </row>
    <row r="9666" spans="4:5" x14ac:dyDescent="0.25">
      <c r="D9666" s="4">
        <v>45447</v>
      </c>
      <c r="E9666" s="6">
        <v>75.33</v>
      </c>
    </row>
    <row r="9667" spans="4:5" x14ac:dyDescent="0.25">
      <c r="D9667" s="4">
        <v>45448</v>
      </c>
      <c r="E9667" s="6">
        <v>75.41</v>
      </c>
    </row>
    <row r="9668" spans="4:5" x14ac:dyDescent="0.25">
      <c r="D9668" s="4">
        <v>45449</v>
      </c>
      <c r="E9668" s="6">
        <v>77.62</v>
      </c>
    </row>
    <row r="9669" spans="4:5" x14ac:dyDescent="0.25">
      <c r="D9669" s="4">
        <v>45450</v>
      </c>
      <c r="E9669" s="6">
        <v>78.12</v>
      </c>
    </row>
    <row r="9670" spans="4:5" x14ac:dyDescent="0.25">
      <c r="D9670" s="4">
        <v>45453</v>
      </c>
      <c r="E9670" s="6">
        <v>79.59</v>
      </c>
    </row>
    <row r="9671" spans="4:5" x14ac:dyDescent="0.25">
      <c r="D9671" s="4">
        <v>45454</v>
      </c>
      <c r="E9671" s="6">
        <v>80.150000000000006</v>
      </c>
    </row>
    <row r="9672" spans="4:5" x14ac:dyDescent="0.25">
      <c r="D9672" s="4">
        <v>45455</v>
      </c>
      <c r="E9672" s="6">
        <v>80.52</v>
      </c>
    </row>
    <row r="9673" spans="4:5" x14ac:dyDescent="0.25">
      <c r="D9673" s="4">
        <v>45456</v>
      </c>
      <c r="E9673" s="6">
        <v>81.44</v>
      </c>
    </row>
    <row r="9674" spans="4:5" x14ac:dyDescent="0.25">
      <c r="D9674" s="4">
        <v>45457</v>
      </c>
      <c r="E9674" s="6">
        <v>81.489999999999995</v>
      </c>
    </row>
    <row r="9675" spans="4:5" x14ac:dyDescent="0.25">
      <c r="D9675" s="4">
        <v>45460</v>
      </c>
      <c r="E9675" s="6">
        <v>82.45</v>
      </c>
    </row>
    <row r="9676" spans="4:5" x14ac:dyDescent="0.25">
      <c r="D9676" s="4">
        <v>45461</v>
      </c>
      <c r="E9676" s="6">
        <v>84.79</v>
      </c>
    </row>
    <row r="9677" spans="4:5" x14ac:dyDescent="0.25">
      <c r="D9677" s="4">
        <v>45462</v>
      </c>
      <c r="E9677" s="6">
        <v>85.64</v>
      </c>
    </row>
    <row r="9678" spans="4:5" x14ac:dyDescent="0.25">
      <c r="D9678" s="4">
        <v>45463</v>
      </c>
      <c r="E9678" s="6">
        <v>85.92</v>
      </c>
    </row>
    <row r="9679" spans="4:5" x14ac:dyDescent="0.25">
      <c r="D9679" s="4">
        <v>45464</v>
      </c>
      <c r="E9679" s="6">
        <v>86.42</v>
      </c>
    </row>
    <row r="9680" spans="4:5" x14ac:dyDescent="0.25">
      <c r="D9680" s="4">
        <v>45467</v>
      </c>
      <c r="E9680" s="6">
        <v>86.75</v>
      </c>
    </row>
    <row r="9681" spans="4:5" x14ac:dyDescent="0.25">
      <c r="D9681" s="4">
        <v>45468</v>
      </c>
      <c r="E9681" s="6">
        <v>86.81</v>
      </c>
    </row>
    <row r="9682" spans="4:5" x14ac:dyDescent="0.25">
      <c r="D9682" s="4">
        <v>45469</v>
      </c>
      <c r="E9682" s="6">
        <v>85.76</v>
      </c>
    </row>
    <row r="9683" spans="4:5" x14ac:dyDescent="0.25">
      <c r="D9683" s="4">
        <v>45470</v>
      </c>
      <c r="E9683" s="6">
        <v>87</v>
      </c>
    </row>
    <row r="9684" spans="4:5" x14ac:dyDescent="0.25">
      <c r="D9684" s="4">
        <v>45471</v>
      </c>
      <c r="E9684" s="6">
        <v>87.26</v>
      </c>
    </row>
    <row r="9685" spans="4:5" x14ac:dyDescent="0.25">
      <c r="D9685" s="4">
        <v>45474</v>
      </c>
      <c r="E9685" s="6">
        <v>86.57</v>
      </c>
    </row>
    <row r="9686" spans="4:5" x14ac:dyDescent="0.25">
      <c r="D9686" s="4">
        <v>45475</v>
      </c>
      <c r="E9686" s="6">
        <v>88.28</v>
      </c>
    </row>
    <row r="9687" spans="4:5" x14ac:dyDescent="0.25">
      <c r="D9687" s="4">
        <v>45476</v>
      </c>
      <c r="E9687" s="6">
        <v>88.25</v>
      </c>
    </row>
    <row r="9688" spans="4:5" x14ac:dyDescent="0.25">
      <c r="D9688" s="4">
        <v>45477</v>
      </c>
      <c r="E9688" s="6">
        <v>88.34</v>
      </c>
    </row>
    <row r="9689" spans="4:5" x14ac:dyDescent="0.25">
      <c r="D9689" s="4">
        <v>45478</v>
      </c>
      <c r="E9689" s="6">
        <v>88.66</v>
      </c>
    </row>
    <row r="9690" spans="4:5" x14ac:dyDescent="0.25">
      <c r="D9690" s="4">
        <v>45481</v>
      </c>
      <c r="E9690" s="6">
        <v>87.15</v>
      </c>
    </row>
    <row r="9691" spans="4:5" x14ac:dyDescent="0.25">
      <c r="D9691" s="4">
        <v>45482</v>
      </c>
      <c r="E9691" s="6">
        <v>86.48</v>
      </c>
    </row>
    <row r="9692" spans="4:5" x14ac:dyDescent="0.25">
      <c r="D9692" s="4">
        <v>45483</v>
      </c>
      <c r="E9692" s="6">
        <v>86.55</v>
      </c>
    </row>
    <row r="9693" spans="4:5" x14ac:dyDescent="0.25">
      <c r="D9693" s="4">
        <v>45484</v>
      </c>
      <c r="E9693" s="6">
        <v>86.49</v>
      </c>
    </row>
    <row r="9694" spans="4:5" x14ac:dyDescent="0.25">
      <c r="D9694" s="4">
        <v>45485</v>
      </c>
      <c r="E9694" s="6">
        <v>87.35</v>
      </c>
    </row>
    <row r="9695" spans="4:5" x14ac:dyDescent="0.25">
      <c r="D9695" s="4">
        <v>45488</v>
      </c>
      <c r="E9695" s="6">
        <v>86.42</v>
      </c>
    </row>
    <row r="9696" spans="4:5" x14ac:dyDescent="0.25">
      <c r="D9696" s="4">
        <v>45489</v>
      </c>
      <c r="E9696" s="6">
        <v>86.6</v>
      </c>
    </row>
    <row r="9697" spans="4:5" x14ac:dyDescent="0.25">
      <c r="D9697" s="4">
        <v>45490</v>
      </c>
      <c r="E9697" s="6">
        <v>85.76</v>
      </c>
    </row>
    <row r="9698" spans="4:5" x14ac:dyDescent="0.25">
      <c r="D9698" s="4">
        <v>45491</v>
      </c>
      <c r="E9698" s="6">
        <v>86.26</v>
      </c>
    </row>
    <row r="9699" spans="4:5" x14ac:dyDescent="0.25">
      <c r="D9699" s="4">
        <v>45492</v>
      </c>
      <c r="E9699" s="6">
        <v>85.19</v>
      </c>
    </row>
    <row r="9700" spans="4:5" x14ac:dyDescent="0.25">
      <c r="D9700" s="4">
        <v>45495</v>
      </c>
      <c r="E9700" s="6">
        <v>83.44</v>
      </c>
    </row>
    <row r="9701" spans="4:5" x14ac:dyDescent="0.25">
      <c r="D9701" s="4">
        <v>45496</v>
      </c>
      <c r="E9701" s="6">
        <v>82.2</v>
      </c>
    </row>
    <row r="9702" spans="4:5" x14ac:dyDescent="0.25">
      <c r="D9702" s="4">
        <v>45497</v>
      </c>
      <c r="E9702" s="6">
        <v>83.01</v>
      </c>
    </row>
    <row r="9703" spans="4:5" x14ac:dyDescent="0.25">
      <c r="D9703" s="4">
        <v>45498</v>
      </c>
      <c r="E9703" s="6">
        <v>82.58</v>
      </c>
    </row>
    <row r="9704" spans="4:5" x14ac:dyDescent="0.25">
      <c r="D9704" s="4">
        <v>45499</v>
      </c>
      <c r="E9704" s="6">
        <v>81.349999999999994</v>
      </c>
    </row>
    <row r="9705" spans="4:5" x14ac:dyDescent="0.25">
      <c r="D9705" s="4">
        <v>45502</v>
      </c>
      <c r="E9705" s="6">
        <v>80.94</v>
      </c>
    </row>
    <row r="9706" spans="4:5" x14ac:dyDescent="0.25">
      <c r="D9706" s="4">
        <v>45503</v>
      </c>
      <c r="E9706" s="6">
        <v>79.260000000000005</v>
      </c>
    </row>
    <row r="9707" spans="4:5" x14ac:dyDescent="0.25">
      <c r="D9707" s="4">
        <v>45504</v>
      </c>
      <c r="E9707" s="6">
        <v>81.39</v>
      </c>
    </row>
    <row r="9708" spans="4:5" x14ac:dyDescent="0.25">
      <c r="D9708" s="4">
        <v>45505</v>
      </c>
      <c r="E9708" s="6">
        <v>81.37</v>
      </c>
    </row>
    <row r="9709" spans="4:5" x14ac:dyDescent="0.25">
      <c r="D9709" s="4">
        <v>45506</v>
      </c>
      <c r="E9709" s="6">
        <v>78.349999999999994</v>
      </c>
    </row>
    <row r="9710" spans="4:5" x14ac:dyDescent="0.25">
      <c r="D9710" s="4">
        <v>45509</v>
      </c>
      <c r="E9710" s="6">
        <v>77.510000000000005</v>
      </c>
    </row>
    <row r="9711" spans="4:5" x14ac:dyDescent="0.25">
      <c r="D9711" s="4">
        <v>45510</v>
      </c>
      <c r="E9711" s="6">
        <v>76.62</v>
      </c>
    </row>
    <row r="9712" spans="4:5" x14ac:dyDescent="0.25">
      <c r="D9712" s="4">
        <v>45511</v>
      </c>
      <c r="E9712" s="6">
        <v>78.260000000000005</v>
      </c>
    </row>
    <row r="9713" spans="4:5" x14ac:dyDescent="0.25">
      <c r="D9713" s="4">
        <v>45512</v>
      </c>
      <c r="E9713" s="6">
        <v>80.760000000000005</v>
      </c>
    </row>
    <row r="9714" spans="4:5" x14ac:dyDescent="0.25">
      <c r="D9714" s="4">
        <v>45513</v>
      </c>
      <c r="E9714" s="6">
        <v>81.069999999999993</v>
      </c>
    </row>
    <row r="9715" spans="4:5" x14ac:dyDescent="0.25">
      <c r="D9715" s="4">
        <v>45516</v>
      </c>
      <c r="E9715" s="6">
        <v>83.06</v>
      </c>
    </row>
    <row r="9716" spans="4:5" x14ac:dyDescent="0.25">
      <c r="D9716" s="4">
        <v>45517</v>
      </c>
      <c r="E9716" s="6">
        <v>82.51</v>
      </c>
    </row>
    <row r="9717" spans="4:5" x14ac:dyDescent="0.25">
      <c r="D9717" s="4">
        <v>45518</v>
      </c>
      <c r="E9717" s="6">
        <v>82.15</v>
      </c>
    </row>
    <row r="9718" spans="4:5" x14ac:dyDescent="0.25">
      <c r="D9718" s="4">
        <v>45519</v>
      </c>
      <c r="E9718" s="6">
        <v>83.09</v>
      </c>
    </row>
    <row r="9719" spans="4:5" x14ac:dyDescent="0.25">
      <c r="D9719" s="4">
        <v>45520</v>
      </c>
      <c r="E9719" s="6">
        <v>81.56</v>
      </c>
    </row>
    <row r="9720" spans="4:5" x14ac:dyDescent="0.25">
      <c r="D9720" s="4">
        <v>45523</v>
      </c>
      <c r="E9720" s="6">
        <v>81.09</v>
      </c>
    </row>
    <row r="9721" spans="4:5" x14ac:dyDescent="0.25">
      <c r="D9721" s="4">
        <v>45524</v>
      </c>
      <c r="E9721" s="6">
        <v>78.849999999999994</v>
      </c>
    </row>
    <row r="9722" spans="4:5" x14ac:dyDescent="0.25">
      <c r="D9722" s="4">
        <v>45525</v>
      </c>
      <c r="E9722" s="6">
        <v>78.77</v>
      </c>
    </row>
    <row r="9723" spans="4:5" x14ac:dyDescent="0.25">
      <c r="D9723" s="4">
        <v>45526</v>
      </c>
      <c r="E9723" s="6">
        <v>78.8</v>
      </c>
    </row>
    <row r="9724" spans="4:5" x14ac:dyDescent="0.25">
      <c r="D9724" s="4">
        <v>45527</v>
      </c>
      <c r="E9724" s="6">
        <v>80.34</v>
      </c>
    </row>
    <row r="9725" spans="4:5" x14ac:dyDescent="0.25">
      <c r="D9725" s="4">
        <v>45530</v>
      </c>
      <c r="E9725" s="5"/>
    </row>
    <row r="9726" spans="4:5" x14ac:dyDescent="0.25">
      <c r="D9726" s="4">
        <v>45531</v>
      </c>
      <c r="E9726" s="6">
        <v>81.510000000000005</v>
      </c>
    </row>
    <row r="9727" spans="4:5" x14ac:dyDescent="0.25">
      <c r="D9727" s="4">
        <v>45532</v>
      </c>
      <c r="E9727" s="6">
        <v>80.040000000000006</v>
      </c>
    </row>
    <row r="9728" spans="4:5" x14ac:dyDescent="0.25">
      <c r="D9728" s="4">
        <v>45533</v>
      </c>
      <c r="E9728" s="6">
        <v>81.55</v>
      </c>
    </row>
    <row r="9729" spans="4:5" x14ac:dyDescent="0.25">
      <c r="D9729" s="4">
        <v>45534</v>
      </c>
      <c r="E9729" s="6">
        <v>80.2</v>
      </c>
    </row>
    <row r="9730" spans="4:5" x14ac:dyDescent="0.25">
      <c r="D9730" s="4">
        <v>45537</v>
      </c>
      <c r="E9730" s="6">
        <v>77.819999999999993</v>
      </c>
    </row>
    <row r="9731" spans="4:5" x14ac:dyDescent="0.25">
      <c r="D9731" s="4">
        <v>45538</v>
      </c>
      <c r="E9731" s="6">
        <v>76.459999999999994</v>
      </c>
    </row>
    <row r="9732" spans="4:5" x14ac:dyDescent="0.25">
      <c r="D9732" s="4">
        <v>45539</v>
      </c>
      <c r="E9732" s="6">
        <v>74.67</v>
      </c>
    </row>
    <row r="9733" spans="4:5" x14ac:dyDescent="0.25">
      <c r="D9733" s="4">
        <v>45540</v>
      </c>
      <c r="E9733" s="6">
        <v>74.47</v>
      </c>
    </row>
    <row r="9734" spans="4:5" x14ac:dyDescent="0.25">
      <c r="D9734" s="4">
        <v>45541</v>
      </c>
      <c r="E9734" s="6">
        <v>72.819999999999993</v>
      </c>
    </row>
    <row r="9735" spans="4:5" x14ac:dyDescent="0.25">
      <c r="D9735" s="4">
        <v>45544</v>
      </c>
      <c r="E9735" s="6">
        <v>72.37</v>
      </c>
    </row>
    <row r="9736" spans="4:5" x14ac:dyDescent="0.25">
      <c r="D9736" s="4">
        <v>45545</v>
      </c>
      <c r="E9736" s="6">
        <v>70.34</v>
      </c>
    </row>
    <row r="9737" spans="4:5" x14ac:dyDescent="0.25">
      <c r="D9737" s="4">
        <v>45546</v>
      </c>
      <c r="E9737" s="6">
        <v>70.31</v>
      </c>
    </row>
    <row r="9738" spans="4:5" x14ac:dyDescent="0.25">
      <c r="D9738" s="4">
        <v>45547</v>
      </c>
      <c r="E9738" s="6">
        <v>73.81</v>
      </c>
    </row>
    <row r="9739" spans="4:5" x14ac:dyDescent="0.25">
      <c r="D9739" s="4">
        <v>45548</v>
      </c>
      <c r="E9739" s="6">
        <v>73.680000000000007</v>
      </c>
    </row>
    <row r="9740" spans="4:5" x14ac:dyDescent="0.25">
      <c r="D9740" s="4">
        <v>45551</v>
      </c>
      <c r="E9740" s="6">
        <v>73.959999999999994</v>
      </c>
    </row>
    <row r="9741" spans="4:5" x14ac:dyDescent="0.25">
      <c r="D9741" s="4">
        <v>45552</v>
      </c>
      <c r="E9741" s="6">
        <v>74.55</v>
      </c>
    </row>
    <row r="9742" spans="4:5" x14ac:dyDescent="0.25">
      <c r="D9742" s="4">
        <v>45553</v>
      </c>
      <c r="E9742" s="6">
        <v>74.52</v>
      </c>
    </row>
    <row r="9743" spans="4:5" x14ac:dyDescent="0.25">
      <c r="D9743" s="4">
        <v>45554</v>
      </c>
      <c r="E9743" s="6">
        <v>75.930000000000007</v>
      </c>
    </row>
    <row r="9744" spans="4:5" x14ac:dyDescent="0.25">
      <c r="D9744" s="4">
        <v>45555</v>
      </c>
      <c r="E9744" s="6">
        <v>75.959999999999994</v>
      </c>
    </row>
    <row r="9745" spans="4:5" x14ac:dyDescent="0.25">
      <c r="D9745" s="4">
        <v>45558</v>
      </c>
      <c r="E9745" s="6">
        <v>74.95</v>
      </c>
    </row>
    <row r="9746" spans="4:5" x14ac:dyDescent="0.25">
      <c r="D9746" s="4">
        <v>45559</v>
      </c>
      <c r="E9746" s="6">
        <v>75.290000000000006</v>
      </c>
    </row>
    <row r="9747" spans="4:5" x14ac:dyDescent="0.25">
      <c r="D9747" s="4">
        <v>45560</v>
      </c>
      <c r="E9747" s="6">
        <v>75.400000000000006</v>
      </c>
    </row>
    <row r="9748" spans="4:5" x14ac:dyDescent="0.25">
      <c r="D9748" s="4">
        <v>45561</v>
      </c>
      <c r="E9748" s="6">
        <v>73.06</v>
      </c>
    </row>
    <row r="9749" spans="4:5" x14ac:dyDescent="0.25">
      <c r="D9749" s="4">
        <v>45562</v>
      </c>
      <c r="E9749" s="6">
        <v>71.63</v>
      </c>
    </row>
    <row r="9750" spans="4:5" x14ac:dyDescent="0.25">
      <c r="D9750" s="4">
        <v>45565</v>
      </c>
      <c r="E9750" s="6">
        <v>72.349999999999994</v>
      </c>
    </row>
    <row r="9751" spans="4:5" x14ac:dyDescent="0.25">
      <c r="D9751" s="4">
        <v>45566</v>
      </c>
      <c r="E9751" s="6">
        <v>75.3</v>
      </c>
    </row>
    <row r="9752" spans="4:5" x14ac:dyDescent="0.25">
      <c r="D9752" s="4">
        <v>45567</v>
      </c>
      <c r="E9752" s="6">
        <v>74.86</v>
      </c>
    </row>
    <row r="9753" spans="4:5" x14ac:dyDescent="0.25">
      <c r="D9753" s="4">
        <v>45568</v>
      </c>
      <c r="E9753" s="6">
        <v>77.569999999999993</v>
      </c>
    </row>
    <row r="9754" spans="4:5" x14ac:dyDescent="0.25">
      <c r="D9754" s="4">
        <v>45569</v>
      </c>
      <c r="E9754" s="6">
        <v>79.319999999999993</v>
      </c>
    </row>
    <row r="9755" spans="4:5" x14ac:dyDescent="0.25">
      <c r="D9755" s="4">
        <v>45572</v>
      </c>
      <c r="E9755" s="6">
        <v>81.739999999999995</v>
      </c>
    </row>
    <row r="9756" spans="4:5" x14ac:dyDescent="0.25">
      <c r="D9756" s="4">
        <v>45573</v>
      </c>
      <c r="E9756" s="6">
        <v>78.19</v>
      </c>
    </row>
    <row r="9757" spans="4:5" x14ac:dyDescent="0.25">
      <c r="D9757" s="4">
        <v>45574</v>
      </c>
      <c r="E9757" s="6">
        <v>77.06</v>
      </c>
    </row>
    <row r="9758" spans="4:5" x14ac:dyDescent="0.25">
      <c r="D9758" s="4">
        <v>45575</v>
      </c>
      <c r="E9758" s="6">
        <v>79.45</v>
      </c>
    </row>
    <row r="9759" spans="4:5" x14ac:dyDescent="0.25">
      <c r="D9759" s="4">
        <v>45576</v>
      </c>
      <c r="E9759" s="6">
        <v>80.27</v>
      </c>
    </row>
    <row r="9760" spans="4:5" x14ac:dyDescent="0.25">
      <c r="D9760" s="4">
        <v>45579</v>
      </c>
      <c r="E9760" s="6">
        <v>78.47</v>
      </c>
    </row>
    <row r="9761" spans="4:5" x14ac:dyDescent="0.25">
      <c r="D9761" s="4">
        <v>45580</v>
      </c>
      <c r="E9761" s="6">
        <v>73.680000000000007</v>
      </c>
    </row>
    <row r="9762" spans="4:5" x14ac:dyDescent="0.25">
      <c r="D9762" s="4">
        <v>45581</v>
      </c>
      <c r="E9762" s="6">
        <v>73.650000000000006</v>
      </c>
    </row>
    <row r="9763" spans="4:5" x14ac:dyDescent="0.25">
      <c r="D9763" s="4">
        <v>45582</v>
      </c>
      <c r="E9763" s="6">
        <v>74.37</v>
      </c>
    </row>
    <row r="9764" spans="4:5" x14ac:dyDescent="0.25">
      <c r="D9764" s="4">
        <v>45583</v>
      </c>
      <c r="E9764" s="6">
        <v>72.75</v>
      </c>
    </row>
    <row r="9765" spans="4:5" x14ac:dyDescent="0.25">
      <c r="D9765" s="4">
        <v>45586</v>
      </c>
      <c r="E9765" s="6">
        <v>73.290000000000006</v>
      </c>
    </row>
    <row r="9766" spans="4:5" x14ac:dyDescent="0.25">
      <c r="D9766" s="4">
        <v>45587</v>
      </c>
      <c r="E9766" s="6">
        <v>75.59</v>
      </c>
    </row>
    <row r="9767" spans="4:5" x14ac:dyDescent="0.25">
      <c r="D9767" s="4">
        <v>45588</v>
      </c>
      <c r="E9767" s="6">
        <v>74.680000000000007</v>
      </c>
    </row>
    <row r="9768" spans="4:5" x14ac:dyDescent="0.25">
      <c r="D9768" s="4">
        <v>45589</v>
      </c>
      <c r="E9768" s="6">
        <v>74.27</v>
      </c>
    </row>
    <row r="9769" spans="4:5" x14ac:dyDescent="0.25">
      <c r="D9769" s="4">
        <v>45590</v>
      </c>
      <c r="E9769" s="6">
        <v>75.62</v>
      </c>
    </row>
    <row r="9770" spans="4:5" x14ac:dyDescent="0.25">
      <c r="D9770" s="4">
        <v>45593</v>
      </c>
      <c r="E9770" s="6">
        <v>71.87</v>
      </c>
    </row>
    <row r="9771" spans="4:5" x14ac:dyDescent="0.25">
      <c r="D9771" s="4">
        <v>45594</v>
      </c>
      <c r="E9771" s="6">
        <v>71.09</v>
      </c>
    </row>
    <row r="9772" spans="4:5" x14ac:dyDescent="0.25">
      <c r="D9772" s="4">
        <v>45595</v>
      </c>
      <c r="E9772" s="6">
        <v>73.209999999999994</v>
      </c>
    </row>
    <row r="9773" spans="4:5" x14ac:dyDescent="0.25">
      <c r="D9773" s="4">
        <v>45596</v>
      </c>
      <c r="E9773" s="6">
        <v>73.25</v>
      </c>
    </row>
    <row r="9774" spans="4:5" x14ac:dyDescent="0.25">
      <c r="D9774" s="4">
        <v>45597</v>
      </c>
      <c r="E9774" s="6">
        <v>73.63</v>
      </c>
    </row>
    <row r="9775" spans="4:5" x14ac:dyDescent="0.25">
      <c r="D9775" s="4">
        <v>45600</v>
      </c>
      <c r="E9775" s="6">
        <v>74.89</v>
      </c>
    </row>
    <row r="9776" spans="4:5" x14ac:dyDescent="0.25">
      <c r="D9776" s="4">
        <v>45601</v>
      </c>
      <c r="E9776" s="6">
        <v>76.98</v>
      </c>
    </row>
    <row r="9777" spans="4:5" x14ac:dyDescent="0.25">
      <c r="D9777" s="4">
        <v>45602</v>
      </c>
      <c r="E9777" s="6">
        <v>76.52</v>
      </c>
    </row>
    <row r="9778" spans="4:5" x14ac:dyDescent="0.25">
      <c r="D9778" s="4">
        <v>45603</v>
      </c>
      <c r="E9778" s="6">
        <v>75.73</v>
      </c>
    </row>
    <row r="9779" spans="4:5" x14ac:dyDescent="0.25">
      <c r="D9779" s="4">
        <v>45604</v>
      </c>
      <c r="E9779" s="6">
        <v>74.040000000000006</v>
      </c>
    </row>
    <row r="9780" spans="4:5" x14ac:dyDescent="0.25">
      <c r="D9780" s="4">
        <v>45607</v>
      </c>
      <c r="E9780" s="6">
        <v>72.19</v>
      </c>
    </row>
    <row r="9781" spans="4:5" x14ac:dyDescent="0.25">
      <c r="D9781" s="4">
        <v>45608</v>
      </c>
      <c r="E9781" s="6">
        <v>72.56</v>
      </c>
    </row>
    <row r="9782" spans="4:5" x14ac:dyDescent="0.25">
      <c r="D9782" s="4">
        <v>45609</v>
      </c>
      <c r="E9782" s="6">
        <v>72.86</v>
      </c>
    </row>
    <row r="9783" spans="4:5" x14ac:dyDescent="0.25">
      <c r="D9783" s="4">
        <v>45610</v>
      </c>
      <c r="E9783" s="6">
        <v>73.39</v>
      </c>
    </row>
    <row r="9784" spans="4:5" x14ac:dyDescent="0.25">
      <c r="D9784" s="4">
        <v>45611</v>
      </c>
      <c r="E9784" s="6">
        <v>73.45</v>
      </c>
    </row>
    <row r="9785" spans="4:5" x14ac:dyDescent="0.25">
      <c r="D9785" s="4">
        <v>45614</v>
      </c>
      <c r="E9785" s="6">
        <v>74.349999999999994</v>
      </c>
    </row>
    <row r="9786" spans="4:5" x14ac:dyDescent="0.25">
      <c r="D9786" s="4">
        <v>45615</v>
      </c>
      <c r="E9786" s="6">
        <v>74.319999999999993</v>
      </c>
    </row>
    <row r="9787" spans="4:5" x14ac:dyDescent="0.25">
      <c r="D9787" s="4">
        <v>45616</v>
      </c>
      <c r="E9787" s="6">
        <v>74.33</v>
      </c>
    </row>
    <row r="9788" spans="4:5" x14ac:dyDescent="0.25">
      <c r="D9788" s="4">
        <v>45617</v>
      </c>
      <c r="E9788" s="6">
        <v>75.09</v>
      </c>
    </row>
    <row r="9789" spans="4:5" x14ac:dyDescent="0.25">
      <c r="D9789" s="4">
        <v>45618</v>
      </c>
      <c r="E9789" s="6">
        <v>76.099999999999994</v>
      </c>
    </row>
    <row r="9790" spans="4:5" x14ac:dyDescent="0.25">
      <c r="D9790" s="4">
        <v>45621</v>
      </c>
      <c r="E9790" s="6">
        <v>74.27</v>
      </c>
    </row>
    <row r="9791" spans="4:5" x14ac:dyDescent="0.25">
      <c r="D9791" s="4">
        <v>45622</v>
      </c>
      <c r="E9791" s="6">
        <v>74.56</v>
      </c>
    </row>
    <row r="9792" spans="4:5" x14ac:dyDescent="0.25">
      <c r="D9792" s="4">
        <v>45623</v>
      </c>
      <c r="E9792" s="6">
        <v>73.91</v>
      </c>
    </row>
    <row r="9793" spans="4:5" x14ac:dyDescent="0.25">
      <c r="D9793" s="4">
        <v>45624</v>
      </c>
      <c r="E9793" s="6">
        <v>73.92</v>
      </c>
    </row>
    <row r="9794" spans="4:5" x14ac:dyDescent="0.25">
      <c r="D9794" s="4">
        <v>45625</v>
      </c>
      <c r="E9794" s="6">
        <v>74.16</v>
      </c>
    </row>
    <row r="9795" spans="4:5" x14ac:dyDescent="0.25">
      <c r="D9795" s="4">
        <v>45628</v>
      </c>
      <c r="E9795" s="6">
        <v>72.81</v>
      </c>
    </row>
    <row r="9796" spans="4:5" x14ac:dyDescent="0.25">
      <c r="D9796" s="4">
        <v>45629</v>
      </c>
      <c r="E9796" s="6">
        <v>74.8</v>
      </c>
    </row>
    <row r="9797" spans="4:5" x14ac:dyDescent="0.25">
      <c r="D9797" s="4">
        <v>45630</v>
      </c>
      <c r="E9797" s="6">
        <v>74.680000000000007</v>
      </c>
    </row>
    <row r="9798" spans="4:5" x14ac:dyDescent="0.25">
      <c r="D9798" s="4">
        <v>45631</v>
      </c>
      <c r="E9798" s="6">
        <v>73.78</v>
      </c>
    </row>
    <row r="9799" spans="4:5" x14ac:dyDescent="0.25">
      <c r="D9799" s="4">
        <v>45632</v>
      </c>
      <c r="E9799" s="6">
        <v>73.78</v>
      </c>
    </row>
    <row r="9800" spans="4:5" x14ac:dyDescent="0.25">
      <c r="D9800" s="4">
        <v>45635</v>
      </c>
      <c r="E9800" s="6">
        <v>73.73</v>
      </c>
    </row>
    <row r="9801" spans="4:5" x14ac:dyDescent="0.25">
      <c r="D9801" s="4">
        <v>45636</v>
      </c>
      <c r="E9801" s="6">
        <v>73.64</v>
      </c>
    </row>
    <row r="9802" spans="4:5" x14ac:dyDescent="0.25">
      <c r="D9802" s="4">
        <v>45637</v>
      </c>
      <c r="E9802" s="6">
        <v>74.38</v>
      </c>
    </row>
    <row r="9803" spans="4:5" x14ac:dyDescent="0.25">
      <c r="D9803" s="4">
        <v>45638</v>
      </c>
      <c r="E9803" s="6">
        <v>73.52</v>
      </c>
    </row>
    <row r="9804" spans="4:5" x14ac:dyDescent="0.25">
      <c r="D9804" s="4">
        <v>45639</v>
      </c>
      <c r="E9804" s="6">
        <v>74.89</v>
      </c>
    </row>
    <row r="9805" spans="4:5" x14ac:dyDescent="0.25">
      <c r="D9805" s="4">
        <v>45642</v>
      </c>
      <c r="E9805" s="6">
        <v>74.3</v>
      </c>
    </row>
    <row r="9806" spans="4:5" x14ac:dyDescent="0.25">
      <c r="D9806" s="4">
        <v>45643</v>
      </c>
      <c r="E9806" s="6">
        <v>73.16</v>
      </c>
    </row>
    <row r="9807" spans="4:5" x14ac:dyDescent="0.25">
      <c r="D9807" s="4">
        <v>45644</v>
      </c>
      <c r="E9807" s="6">
        <v>74.569999999999993</v>
      </c>
    </row>
    <row r="9808" spans="4:5" x14ac:dyDescent="0.25">
      <c r="D9808" s="4">
        <v>45645</v>
      </c>
      <c r="E9808" s="6">
        <v>73.75</v>
      </c>
    </row>
    <row r="9809" spans="4:5" x14ac:dyDescent="0.25">
      <c r="D9809" s="4">
        <v>45646</v>
      </c>
      <c r="E9809" s="6">
        <v>73.19</v>
      </c>
    </row>
    <row r="9810" spans="4:5" x14ac:dyDescent="0.25">
      <c r="D9810" s="4">
        <v>45649</v>
      </c>
      <c r="E9810" s="6">
        <v>72.12</v>
      </c>
    </row>
    <row r="9811" spans="4:5" x14ac:dyDescent="0.25">
      <c r="D9811" s="4">
        <v>45650</v>
      </c>
      <c r="E9811" s="6">
        <v>73.5</v>
      </c>
    </row>
    <row r="9812" spans="4:5" x14ac:dyDescent="0.25">
      <c r="D9812" s="4">
        <v>45651</v>
      </c>
      <c r="E9812" s="5"/>
    </row>
    <row r="9813" spans="4:5" x14ac:dyDescent="0.25">
      <c r="D9813" s="4">
        <v>45652</v>
      </c>
      <c r="E9813" s="5"/>
    </row>
    <row r="9814" spans="4:5" x14ac:dyDescent="0.25">
      <c r="D9814" s="4">
        <v>45653</v>
      </c>
      <c r="E9814" s="6">
        <v>73.77</v>
      </c>
    </row>
    <row r="9815" spans="4:5" x14ac:dyDescent="0.25">
      <c r="D9815" s="4">
        <v>45656</v>
      </c>
      <c r="E9815" s="6">
        <v>74.239999999999995</v>
      </c>
    </row>
    <row r="9816" spans="4:5" x14ac:dyDescent="0.25">
      <c r="D9816" s="4">
        <v>45657</v>
      </c>
      <c r="E9816" s="6">
        <v>74.58</v>
      </c>
    </row>
    <row r="9817" spans="4:5" x14ac:dyDescent="0.25">
      <c r="D9817" s="4">
        <v>45658</v>
      </c>
      <c r="E9817" s="5"/>
    </row>
    <row r="9818" spans="4:5" x14ac:dyDescent="0.25">
      <c r="D9818" s="4">
        <v>45659</v>
      </c>
      <c r="E9818" s="6">
        <v>76.14</v>
      </c>
    </row>
    <row r="9819" spans="4:5" x14ac:dyDescent="0.25">
      <c r="D9819" s="4">
        <v>45660</v>
      </c>
      <c r="E9819" s="6">
        <v>76.72</v>
      </c>
    </row>
    <row r="9820" spans="4:5" x14ac:dyDescent="0.25">
      <c r="D9820" s="4">
        <v>45663</v>
      </c>
      <c r="E9820" s="6">
        <v>77.27</v>
      </c>
    </row>
    <row r="9821" spans="4:5" x14ac:dyDescent="0.25">
      <c r="D9821" s="4">
        <v>45664</v>
      </c>
      <c r="E9821" s="6">
        <v>77.84</v>
      </c>
    </row>
    <row r="9822" spans="4:5" x14ac:dyDescent="0.25">
      <c r="D9822" s="4">
        <v>45665</v>
      </c>
      <c r="E9822" s="6">
        <v>77.37</v>
      </c>
    </row>
    <row r="9823" spans="4:5" x14ac:dyDescent="0.25">
      <c r="D9823" s="4">
        <v>45666</v>
      </c>
      <c r="E9823" s="6">
        <v>78.44</v>
      </c>
    </row>
    <row r="9824" spans="4:5" x14ac:dyDescent="0.25">
      <c r="D9824" s="4">
        <v>45667</v>
      </c>
      <c r="E9824" s="6">
        <v>79.760000000000005</v>
      </c>
    </row>
    <row r="9825" spans="4:5" x14ac:dyDescent="0.25">
      <c r="D9825" s="4">
        <v>45670</v>
      </c>
      <c r="E9825" s="6">
        <v>82.69</v>
      </c>
    </row>
    <row r="9826" spans="4:5" x14ac:dyDescent="0.25">
      <c r="D9826" s="4">
        <v>45671</v>
      </c>
      <c r="E9826" s="6">
        <v>82.39</v>
      </c>
    </row>
    <row r="9827" spans="4:5" x14ac:dyDescent="0.25">
      <c r="D9827" s="4">
        <v>45672</v>
      </c>
      <c r="E9827" s="6">
        <v>83.48</v>
      </c>
    </row>
    <row r="9828" spans="4:5" x14ac:dyDescent="0.25">
      <c r="D9828" s="4">
        <v>45673</v>
      </c>
      <c r="E9828" s="6">
        <v>82.39</v>
      </c>
    </row>
    <row r="9829" spans="4:5" x14ac:dyDescent="0.25">
      <c r="D9829" s="4">
        <v>45674</v>
      </c>
      <c r="E9829" s="6">
        <v>83.02</v>
      </c>
    </row>
    <row r="9830" spans="4:5" x14ac:dyDescent="0.25">
      <c r="D9830" s="4">
        <v>45677</v>
      </c>
      <c r="E9830" s="6">
        <v>81.680000000000007</v>
      </c>
    </row>
    <row r="9831" spans="4:5" x14ac:dyDescent="0.25">
      <c r="D9831" s="4">
        <v>45678</v>
      </c>
      <c r="E9831" s="6">
        <v>80.569999999999993</v>
      </c>
    </row>
    <row r="9832" spans="4:5" x14ac:dyDescent="0.25">
      <c r="D9832" s="4">
        <v>45679</v>
      </c>
      <c r="E9832" s="6">
        <v>80</v>
      </c>
    </row>
    <row r="9833" spans="4:5" x14ac:dyDescent="0.25">
      <c r="D9833" s="4">
        <v>45680</v>
      </c>
      <c r="E9833" s="6">
        <v>78.62</v>
      </c>
    </row>
    <row r="9834" spans="4:5" x14ac:dyDescent="0.25">
      <c r="D9834" s="4">
        <v>45681</v>
      </c>
      <c r="E9834" s="6">
        <v>78.709999999999994</v>
      </c>
    </row>
    <row r="9835" spans="4:5" x14ac:dyDescent="0.25">
      <c r="D9835" s="4">
        <v>45684</v>
      </c>
      <c r="E9835" s="6">
        <v>77.3</v>
      </c>
    </row>
    <row r="9836" spans="4:5" x14ac:dyDescent="0.25">
      <c r="D9836" s="4">
        <v>45685</v>
      </c>
      <c r="E9836" s="6">
        <v>78.010000000000005</v>
      </c>
    </row>
    <row r="9837" spans="4:5" x14ac:dyDescent="0.25">
      <c r="D9837" s="4">
        <v>45686</v>
      </c>
      <c r="E9837" s="6">
        <v>77.02</v>
      </c>
    </row>
    <row r="9838" spans="4:5" x14ac:dyDescent="0.25">
      <c r="D9838" s="4">
        <v>45687</v>
      </c>
      <c r="E9838" s="6">
        <v>77.42</v>
      </c>
    </row>
    <row r="9839" spans="4:5" x14ac:dyDescent="0.25">
      <c r="D9839" s="4">
        <v>45688</v>
      </c>
      <c r="E9839" s="6">
        <v>77.11</v>
      </c>
    </row>
    <row r="9840" spans="4:5" x14ac:dyDescent="0.25">
      <c r="D9840" s="4">
        <v>45691</v>
      </c>
      <c r="E9840" s="6">
        <v>76.489999999999995</v>
      </c>
    </row>
    <row r="9841" spans="4:5" x14ac:dyDescent="0.25">
      <c r="D9841" s="4">
        <v>45692</v>
      </c>
      <c r="E9841" s="6">
        <v>76.58</v>
      </c>
    </row>
    <row r="9842" spans="4:5" x14ac:dyDescent="0.25">
      <c r="D9842" s="4">
        <v>45693</v>
      </c>
      <c r="E9842" s="6">
        <v>74.709999999999994</v>
      </c>
    </row>
    <row r="9843" spans="4:5" x14ac:dyDescent="0.25">
      <c r="D9843" s="4">
        <v>45694</v>
      </c>
      <c r="E9843" s="6">
        <v>74.540000000000006</v>
      </c>
    </row>
    <row r="9844" spans="4:5" x14ac:dyDescent="0.25">
      <c r="D9844" s="4">
        <v>45695</v>
      </c>
      <c r="E9844" s="6">
        <v>74.680000000000007</v>
      </c>
    </row>
    <row r="9845" spans="4:5" x14ac:dyDescent="0.25">
      <c r="D9845" s="4">
        <v>45698</v>
      </c>
      <c r="E9845" s="6">
        <v>76.23</v>
      </c>
    </row>
    <row r="9846" spans="4:5" x14ac:dyDescent="0.25">
      <c r="D9846" s="4">
        <v>45699</v>
      </c>
      <c r="E9846" s="6">
        <v>77.650000000000006</v>
      </c>
    </row>
    <row r="9847" spans="4:5" x14ac:dyDescent="0.25">
      <c r="D9847" s="4">
        <v>45700</v>
      </c>
      <c r="E9847" s="6">
        <v>75.38</v>
      </c>
    </row>
    <row r="9848" spans="4:5" x14ac:dyDescent="0.25">
      <c r="D9848" s="4">
        <v>45701</v>
      </c>
      <c r="E9848" s="6">
        <v>75.61</v>
      </c>
    </row>
    <row r="9849" spans="4:5" x14ac:dyDescent="0.25">
      <c r="D9849" s="4">
        <v>45702</v>
      </c>
      <c r="E9849" s="6">
        <v>75.19</v>
      </c>
    </row>
    <row r="9850" spans="4:5" x14ac:dyDescent="0.25">
      <c r="D9850" s="4">
        <v>45705</v>
      </c>
      <c r="E9850" s="6">
        <v>75.81</v>
      </c>
    </row>
    <row r="9851" spans="4:5" x14ac:dyDescent="0.25">
      <c r="D9851" s="4">
        <v>45706</v>
      </c>
      <c r="E9851" s="6">
        <v>76.459999999999994</v>
      </c>
    </row>
    <row r="9852" spans="4:5" x14ac:dyDescent="0.25">
      <c r="D9852" s="4">
        <v>45707</v>
      </c>
      <c r="E9852" s="6">
        <v>76.34</v>
      </c>
    </row>
    <row r="9853" spans="4:5" x14ac:dyDescent="0.25">
      <c r="D9853" s="4">
        <v>45708</v>
      </c>
      <c r="E9853" s="6">
        <v>76.95</v>
      </c>
    </row>
    <row r="9854" spans="4:5" x14ac:dyDescent="0.25">
      <c r="D9854" s="4">
        <v>45709</v>
      </c>
      <c r="E9854" s="6">
        <v>74.88</v>
      </c>
    </row>
    <row r="9855" spans="4:5" x14ac:dyDescent="0.25">
      <c r="D9855" s="4">
        <v>45712</v>
      </c>
      <c r="E9855" s="6">
        <v>74.89</v>
      </c>
    </row>
    <row r="9856" spans="4:5" x14ac:dyDescent="0.25">
      <c r="D9856" s="4">
        <v>45713</v>
      </c>
      <c r="E9856" s="6">
        <v>73.11</v>
      </c>
    </row>
    <row r="9857" spans="4:5" x14ac:dyDescent="0.25">
      <c r="D9857" s="4">
        <v>45714</v>
      </c>
      <c r="E9857" s="6">
        <v>73.489999999999995</v>
      </c>
    </row>
    <row r="9858" spans="4:5" x14ac:dyDescent="0.25">
      <c r="D9858" s="4">
        <v>45715</v>
      </c>
      <c r="E9858" s="6">
        <v>75.010000000000005</v>
      </c>
    </row>
    <row r="9859" spans="4:5" x14ac:dyDescent="0.25">
      <c r="D9859" s="4">
        <v>45716</v>
      </c>
      <c r="E9859" s="6">
        <v>74.760000000000005</v>
      </c>
    </row>
    <row r="9860" spans="4:5" x14ac:dyDescent="0.25">
      <c r="D9860" s="4">
        <v>45719</v>
      </c>
      <c r="E9860" s="6">
        <v>72.849999999999994</v>
      </c>
    </row>
    <row r="9861" spans="4:5" x14ac:dyDescent="0.25">
      <c r="D9861" s="4">
        <v>45720</v>
      </c>
      <c r="E9861" s="6">
        <v>72.31</v>
      </c>
    </row>
    <row r="9862" spans="4:5" x14ac:dyDescent="0.25">
      <c r="D9862" s="4">
        <v>45721</v>
      </c>
      <c r="E9862" s="6">
        <v>70.92</v>
      </c>
    </row>
    <row r="9863" spans="4:5" x14ac:dyDescent="0.25">
      <c r="D9863" s="4">
        <v>45722</v>
      </c>
      <c r="E9863" s="6">
        <v>71.08</v>
      </c>
    </row>
    <row r="9864" spans="4:5" x14ac:dyDescent="0.25">
      <c r="D9864" s="4">
        <v>45723</v>
      </c>
      <c r="E9864" s="6">
        <v>72.489999999999995</v>
      </c>
    </row>
    <row r="9865" spans="4:5" x14ac:dyDescent="0.25">
      <c r="D9865" s="4">
        <v>45726</v>
      </c>
      <c r="E9865" s="6">
        <v>71.08</v>
      </c>
    </row>
    <row r="9866" spans="4:5" x14ac:dyDescent="0.25">
      <c r="D9866" s="4">
        <v>45727</v>
      </c>
      <c r="E9866" s="6">
        <v>71.510000000000005</v>
      </c>
    </row>
    <row r="9867" spans="4:5" x14ac:dyDescent="0.25">
      <c r="D9867" s="4">
        <v>45728</v>
      </c>
      <c r="E9867" s="6">
        <v>72.36</v>
      </c>
    </row>
    <row r="9868" spans="4:5" x14ac:dyDescent="0.25">
      <c r="D9868" s="4">
        <v>45729</v>
      </c>
      <c r="E9868" s="6">
        <v>70.819999999999993</v>
      </c>
    </row>
    <row r="9869" spans="4:5" x14ac:dyDescent="0.25">
      <c r="D9869" s="4">
        <v>45730</v>
      </c>
      <c r="E9869" s="6">
        <v>71.94</v>
      </c>
    </row>
    <row r="9870" spans="4:5" x14ac:dyDescent="0.25">
      <c r="D9870" s="4">
        <v>45733</v>
      </c>
      <c r="E9870" s="6">
        <v>71.930000000000007</v>
      </c>
    </row>
    <row r="9871" spans="4:5" x14ac:dyDescent="0.25">
      <c r="D9871" s="4">
        <v>45734</v>
      </c>
      <c r="E9871" s="6">
        <v>71.930000000000007</v>
      </c>
    </row>
    <row r="9872" spans="4:5" x14ac:dyDescent="0.25">
      <c r="D9872" s="4">
        <v>45735</v>
      </c>
      <c r="E9872" s="6">
        <v>71.94</v>
      </c>
    </row>
    <row r="9873" spans="4:5" x14ac:dyDescent="0.25">
      <c r="D9873" s="4">
        <v>45736</v>
      </c>
      <c r="E9873" s="6">
        <v>72.61</v>
      </c>
    </row>
    <row r="9874" spans="4:5" x14ac:dyDescent="0.25">
      <c r="D9874" s="4">
        <v>45737</v>
      </c>
      <c r="E9874" s="6">
        <v>72.64</v>
      </c>
    </row>
    <row r="9875" spans="4:5" x14ac:dyDescent="0.25">
      <c r="D9875" s="4">
        <v>45740</v>
      </c>
      <c r="E9875" s="6">
        <v>73.959999999999994</v>
      </c>
    </row>
    <row r="9876" spans="4:5" x14ac:dyDescent="0.25">
      <c r="D9876" s="4">
        <v>45741</v>
      </c>
      <c r="E9876" s="6">
        <v>73.78</v>
      </c>
    </row>
    <row r="9877" spans="4:5" x14ac:dyDescent="0.25">
      <c r="D9877" s="4">
        <v>45742</v>
      </c>
      <c r="E9877" s="6">
        <v>74.599999999999994</v>
      </c>
    </row>
    <row r="9878" spans="4:5" x14ac:dyDescent="0.25">
      <c r="D9878" s="4">
        <v>45743</v>
      </c>
      <c r="E9878" s="6">
        <v>74.72</v>
      </c>
    </row>
    <row r="9879" spans="4:5" x14ac:dyDescent="0.25">
      <c r="D9879" s="4">
        <v>45744</v>
      </c>
      <c r="E9879" s="6">
        <v>74.69</v>
      </c>
    </row>
    <row r="9880" spans="4:5" x14ac:dyDescent="0.25">
      <c r="D9880" s="4">
        <v>45747</v>
      </c>
      <c r="E9880" s="6">
        <v>77.23</v>
      </c>
    </row>
    <row r="9881" spans="4:5" x14ac:dyDescent="0.25">
      <c r="D9881" s="4">
        <v>45748</v>
      </c>
      <c r="E9881" s="6">
        <v>77.78</v>
      </c>
    </row>
    <row r="9882" spans="4:5" x14ac:dyDescent="0.25">
      <c r="D9882" s="4">
        <v>45749</v>
      </c>
      <c r="E9882" s="6">
        <v>77.27</v>
      </c>
    </row>
    <row r="9883" spans="4:5" x14ac:dyDescent="0.25">
      <c r="D9883" s="4">
        <v>45750</v>
      </c>
      <c r="E9883" s="6">
        <v>72.540000000000006</v>
      </c>
    </row>
    <row r="9884" spans="4:5" x14ac:dyDescent="0.25">
      <c r="D9884" s="4">
        <v>45751</v>
      </c>
      <c r="E9884" s="6">
        <v>68.36</v>
      </c>
    </row>
    <row r="9885" spans="4:5" x14ac:dyDescent="0.25">
      <c r="D9885" s="4">
        <v>45754</v>
      </c>
      <c r="E9885" s="6">
        <v>66.13</v>
      </c>
    </row>
    <row r="9886" spans="4:5" x14ac:dyDescent="0.25">
      <c r="D9886" s="4">
        <v>45755</v>
      </c>
      <c r="E9886" s="6">
        <v>64.86</v>
      </c>
    </row>
    <row r="9887" spans="4:5" x14ac:dyDescent="0.25">
      <c r="D9887" s="4">
        <v>45756</v>
      </c>
      <c r="E9887" s="6">
        <v>67.3</v>
      </c>
    </row>
    <row r="9888" spans="4:5" x14ac:dyDescent="0.25">
      <c r="D9888" s="4">
        <v>45757</v>
      </c>
      <c r="E9888" s="6">
        <v>65.37</v>
      </c>
    </row>
    <row r="9889" spans="4:5" x14ac:dyDescent="0.25">
      <c r="D9889" s="4">
        <v>45758</v>
      </c>
      <c r="E9889" s="6">
        <v>66.83</v>
      </c>
    </row>
    <row r="9890" spans="4:5" x14ac:dyDescent="0.25">
      <c r="D9890" s="4">
        <v>45761</v>
      </c>
      <c r="E9890" s="6">
        <v>67.180000000000007</v>
      </c>
    </row>
    <row r="9891" spans="4:5" x14ac:dyDescent="0.25">
      <c r="D9891" s="4">
        <v>45762</v>
      </c>
      <c r="E9891" s="6">
        <v>66.58</v>
      </c>
    </row>
    <row r="9892" spans="4:5" x14ac:dyDescent="0.25">
      <c r="D9892" s="4">
        <v>45763</v>
      </c>
      <c r="E9892" s="6">
        <v>67.94</v>
      </c>
    </row>
    <row r="9893" spans="4:5" x14ac:dyDescent="0.25">
      <c r="D9893" s="4">
        <v>45764</v>
      </c>
      <c r="E9893" s="6">
        <v>69.33</v>
      </c>
    </row>
    <row r="9894" spans="4:5" x14ac:dyDescent="0.25">
      <c r="D9894" s="4">
        <v>45765</v>
      </c>
      <c r="E9894" s="5"/>
    </row>
    <row r="9895" spans="4:5" x14ac:dyDescent="0.25">
      <c r="D9895" s="4">
        <v>45768</v>
      </c>
      <c r="E9895" s="5"/>
    </row>
    <row r="9896" spans="4:5" x14ac:dyDescent="0.25">
      <c r="D9896" s="4">
        <v>45769</v>
      </c>
      <c r="E9896" s="6">
        <v>68.930000000000007</v>
      </c>
    </row>
    <row r="9897" spans="4:5" x14ac:dyDescent="0.25">
      <c r="D9897" s="4">
        <v>45770</v>
      </c>
      <c r="E9897" s="6">
        <v>68.260000000000005</v>
      </c>
    </row>
    <row r="9898" spans="4:5" x14ac:dyDescent="0.25">
      <c r="D9898" s="4">
        <v>45771</v>
      </c>
      <c r="E9898" s="6">
        <v>67.5</v>
      </c>
    </row>
    <row r="9899" spans="4:5" x14ac:dyDescent="0.25">
      <c r="D9899" s="4">
        <v>45772</v>
      </c>
      <c r="E9899" s="6">
        <v>66.989999999999995</v>
      </c>
    </row>
    <row r="9900" spans="4:5" x14ac:dyDescent="0.25">
      <c r="D9900" s="4">
        <v>45775</v>
      </c>
      <c r="E9900" s="6">
        <v>66.13</v>
      </c>
    </row>
    <row r="9901" spans="4:5" x14ac:dyDescent="0.25">
      <c r="D9901" s="4">
        <v>45776</v>
      </c>
      <c r="E9901" s="6">
        <v>64.040000000000006</v>
      </c>
    </row>
    <row r="9902" spans="4:5" x14ac:dyDescent="0.25">
      <c r="D9902" s="4">
        <v>45777</v>
      </c>
      <c r="E9902" s="6">
        <v>63.37</v>
      </c>
    </row>
    <row r="9903" spans="4:5" x14ac:dyDescent="0.25">
      <c r="D9903" s="4">
        <v>45778</v>
      </c>
      <c r="E9903" s="6">
        <v>62.37</v>
      </c>
    </row>
    <row r="9904" spans="4:5" x14ac:dyDescent="0.25">
      <c r="D9904" s="4">
        <v>45779</v>
      </c>
      <c r="E9904" s="6">
        <v>61.57</v>
      </c>
    </row>
    <row r="9905" spans="4:5" x14ac:dyDescent="0.25">
      <c r="D9905" s="4">
        <v>45782</v>
      </c>
      <c r="E9905" s="5"/>
    </row>
    <row r="9906" spans="4:5" x14ac:dyDescent="0.25">
      <c r="D9906" s="4">
        <v>45783</v>
      </c>
      <c r="E9906" s="6">
        <v>62.37</v>
      </c>
    </row>
    <row r="9907" spans="4:5" x14ac:dyDescent="0.25">
      <c r="D9907" s="4">
        <v>45784</v>
      </c>
      <c r="E9907" s="6">
        <v>60.31</v>
      </c>
    </row>
    <row r="9908" spans="4:5" x14ac:dyDescent="0.25">
      <c r="D9908" s="4">
        <v>45785</v>
      </c>
      <c r="E9908" s="6">
        <v>62.22</v>
      </c>
    </row>
    <row r="9909" spans="4:5" x14ac:dyDescent="0.25">
      <c r="D9909" s="4">
        <v>45786</v>
      </c>
      <c r="E9909" s="6">
        <v>64.260000000000005</v>
      </c>
    </row>
    <row r="9910" spans="4:5" x14ac:dyDescent="0.25">
      <c r="D9910" s="4">
        <v>45789</v>
      </c>
      <c r="E9910" s="6">
        <v>65.28</v>
      </c>
    </row>
    <row r="9911" spans="4:5" x14ac:dyDescent="0.25">
      <c r="D9911" s="4">
        <v>45790</v>
      </c>
      <c r="E9911" s="6">
        <v>66.930000000000007</v>
      </c>
    </row>
    <row r="9912" spans="4:5" x14ac:dyDescent="0.25">
      <c r="D9912" s="4">
        <v>45791</v>
      </c>
      <c r="E9912" s="6">
        <v>65.91</v>
      </c>
    </row>
    <row r="9913" spans="4:5" x14ac:dyDescent="0.25">
      <c r="D9913" s="4">
        <v>45792</v>
      </c>
      <c r="E9913" s="6">
        <v>64.36</v>
      </c>
    </row>
    <row r="9914" spans="4:5" x14ac:dyDescent="0.25">
      <c r="D9914" s="4">
        <v>45793</v>
      </c>
      <c r="E9914" s="6">
        <v>65.2</v>
      </c>
    </row>
    <row r="9915" spans="4:5" x14ac:dyDescent="0.25">
      <c r="D9915" s="4">
        <v>45796</v>
      </c>
      <c r="E9915" s="6">
        <v>66.25</v>
      </c>
    </row>
    <row r="9916" spans="4:5" x14ac:dyDescent="0.25">
      <c r="D9916" s="4">
        <v>45797</v>
      </c>
      <c r="E9916" s="6">
        <v>66.930000000000007</v>
      </c>
    </row>
    <row r="9917" spans="4:5" x14ac:dyDescent="0.25">
      <c r="D9917" s="4">
        <v>45798</v>
      </c>
      <c r="E9917" s="6">
        <v>65.86</v>
      </c>
    </row>
    <row r="9918" spans="4:5" x14ac:dyDescent="0.25">
      <c r="D9918" s="4">
        <v>45799</v>
      </c>
      <c r="E9918" s="6">
        <v>64.87</v>
      </c>
    </row>
    <row r="9919" spans="4:5" x14ac:dyDescent="0.25">
      <c r="D9919" s="4">
        <v>45800</v>
      </c>
      <c r="E9919" s="6">
        <v>65.41</v>
      </c>
    </row>
    <row r="9920" spans="4:5" x14ac:dyDescent="0.25">
      <c r="D9920" s="4">
        <v>45803</v>
      </c>
      <c r="E9920" s="5"/>
    </row>
    <row r="9921" spans="4:5" x14ac:dyDescent="0.25">
      <c r="D9921" s="4">
        <v>45804</v>
      </c>
      <c r="E9921" s="6">
        <v>64.319999999999993</v>
      </c>
    </row>
    <row r="9922" spans="4:5" x14ac:dyDescent="0.25">
      <c r="D9922" s="4">
        <v>45805</v>
      </c>
      <c r="E9922" s="6">
        <v>65.72</v>
      </c>
    </row>
    <row r="9923" spans="4:5" x14ac:dyDescent="0.25">
      <c r="D9923" s="4">
        <v>45806</v>
      </c>
      <c r="E9923" s="6">
        <v>64.599999999999994</v>
      </c>
    </row>
    <row r="9924" spans="4:5" x14ac:dyDescent="0.25">
      <c r="D9924" s="4">
        <v>45807</v>
      </c>
      <c r="E9924" s="6">
        <v>64.319999999999993</v>
      </c>
    </row>
    <row r="9925" spans="4:5" x14ac:dyDescent="0.25">
      <c r="D9925" s="4">
        <v>45810</v>
      </c>
      <c r="E9925" s="6">
        <v>66.55</v>
      </c>
    </row>
    <row r="9926" spans="4:5" x14ac:dyDescent="0.25">
      <c r="D9926" s="4">
        <v>45811</v>
      </c>
      <c r="E9926" s="6">
        <v>67.48</v>
      </c>
    </row>
    <row r="9927" spans="4:5" x14ac:dyDescent="0.25">
      <c r="D9927" s="4">
        <v>45812</v>
      </c>
      <c r="E9927" s="6">
        <v>66.69</v>
      </c>
    </row>
    <row r="9928" spans="4:5" x14ac:dyDescent="0.25">
      <c r="D9928" s="4">
        <v>45813</v>
      </c>
      <c r="E9928" s="6">
        <v>67.14</v>
      </c>
    </row>
    <row r="9929" spans="4:5" x14ac:dyDescent="0.25">
      <c r="D9929" s="4">
        <v>45814</v>
      </c>
      <c r="E9929" s="6">
        <v>68.02</v>
      </c>
    </row>
    <row r="9930" spans="4:5" x14ac:dyDescent="0.25">
      <c r="D9930" s="4">
        <v>45817</v>
      </c>
      <c r="E9930" s="6">
        <v>68.73</v>
      </c>
    </row>
    <row r="9931" spans="4:5" x14ac:dyDescent="0.25">
      <c r="D9931" s="4">
        <v>45818</v>
      </c>
      <c r="E9931" s="6">
        <v>68.41</v>
      </c>
    </row>
    <row r="9932" spans="4:5" x14ac:dyDescent="0.25">
      <c r="D9932" s="4">
        <v>45819</v>
      </c>
      <c r="E9932" s="6">
        <v>71.290000000000006</v>
      </c>
    </row>
    <row r="9933" spans="4:5" x14ac:dyDescent="0.25">
      <c r="D9933" s="4">
        <v>45820</v>
      </c>
      <c r="E9933" s="6">
        <v>70.84</v>
      </c>
    </row>
    <row r="9934" spans="4:5" x14ac:dyDescent="0.25">
      <c r="D9934" s="4">
        <v>45821</v>
      </c>
      <c r="E9934" s="6">
        <v>76</v>
      </c>
    </row>
    <row r="9935" spans="4:5" x14ac:dyDescent="0.25">
      <c r="D9935" s="4">
        <v>45824</v>
      </c>
      <c r="E9935" s="6">
        <v>75.05</v>
      </c>
    </row>
    <row r="9936" spans="4:5" x14ac:dyDescent="0.25">
      <c r="D9936" s="4">
        <v>45825</v>
      </c>
      <c r="E9936" s="6">
        <v>78.7</v>
      </c>
    </row>
    <row r="9937" spans="4:5" x14ac:dyDescent="0.25">
      <c r="D9937" s="4">
        <v>45826</v>
      </c>
      <c r="E9937" s="6">
        <v>78.38</v>
      </c>
    </row>
    <row r="9938" spans="4:5" x14ac:dyDescent="0.25">
      <c r="D9938" s="4">
        <v>45827</v>
      </c>
      <c r="E9938" s="6">
        <v>80.37</v>
      </c>
    </row>
    <row r="9939" spans="4:5" x14ac:dyDescent="0.25">
      <c r="D9939" s="4">
        <v>45828</v>
      </c>
      <c r="E9939" s="6">
        <v>78.73</v>
      </c>
    </row>
    <row r="9940" spans="4:5" x14ac:dyDescent="0.25">
      <c r="D9940" s="4">
        <v>45831</v>
      </c>
      <c r="E9940" s="6">
        <v>74.34</v>
      </c>
    </row>
    <row r="9941" spans="4:5" x14ac:dyDescent="0.25">
      <c r="D9941" s="4">
        <v>45832</v>
      </c>
      <c r="E9941" s="6">
        <v>69.13</v>
      </c>
    </row>
    <row r="9942" spans="4:5" x14ac:dyDescent="0.25">
      <c r="D9942" s="4">
        <v>45833</v>
      </c>
      <c r="E9942" s="6">
        <v>68.400000000000006</v>
      </c>
    </row>
    <row r="9943" spans="4:5" x14ac:dyDescent="0.25">
      <c r="D9943" s="4">
        <v>45834</v>
      </c>
      <c r="E9943" s="6">
        <v>68.569999999999993</v>
      </c>
    </row>
    <row r="9944" spans="4:5" x14ac:dyDescent="0.25">
      <c r="D9944" s="4">
        <v>45835</v>
      </c>
      <c r="E9944" s="6">
        <v>69.37</v>
      </c>
    </row>
    <row r="9945" spans="4:5" x14ac:dyDescent="0.25">
      <c r="D9945" s="4">
        <v>45838</v>
      </c>
      <c r="E9945" s="6">
        <v>68.150000000000006</v>
      </c>
    </row>
    <row r="9946" spans="4:5" x14ac:dyDescent="0.25">
      <c r="D9946" s="4">
        <v>45839</v>
      </c>
      <c r="E9946" s="6">
        <v>67.63</v>
      </c>
    </row>
    <row r="9947" spans="4:5" x14ac:dyDescent="0.25">
      <c r="D9947" s="4">
        <v>45840</v>
      </c>
      <c r="E9947" s="6">
        <v>70.8</v>
      </c>
    </row>
    <row r="9948" spans="4:5" x14ac:dyDescent="0.25">
      <c r="D9948" s="4">
        <v>45841</v>
      </c>
      <c r="E9948" s="6">
        <v>70.42</v>
      </c>
    </row>
    <row r="9949" spans="4:5" x14ac:dyDescent="0.25">
      <c r="D9949" s="4">
        <v>45842</v>
      </c>
      <c r="E9949" s="6">
        <v>71.03</v>
      </c>
    </row>
    <row r="9950" spans="4:5" x14ac:dyDescent="0.25">
      <c r="D9950" s="4">
        <v>45845</v>
      </c>
      <c r="E9950" s="6">
        <v>71.95</v>
      </c>
    </row>
    <row r="9951" spans="4:5" x14ac:dyDescent="0.25">
      <c r="D9951" s="4">
        <v>45846</v>
      </c>
      <c r="E9951" s="6">
        <v>72.5</v>
      </c>
    </row>
    <row r="9952" spans="4:5" x14ac:dyDescent="0.25">
      <c r="D9952" s="4">
        <v>45847</v>
      </c>
      <c r="E9952" s="6">
        <v>71.98</v>
      </c>
    </row>
    <row r="9953" spans="4:5" x14ac:dyDescent="0.25">
      <c r="D9953" s="4">
        <v>45848</v>
      </c>
      <c r="E9953" s="6">
        <v>70.38</v>
      </c>
    </row>
    <row r="9954" spans="4:5" x14ac:dyDescent="0.25">
      <c r="D9954" s="4">
        <v>45849</v>
      </c>
      <c r="E9954" s="6">
        <v>72.06</v>
      </c>
    </row>
    <row r="9955" spans="4:5" x14ac:dyDescent="0.25">
      <c r="D9955" s="4">
        <v>45852</v>
      </c>
      <c r="E9955" s="6">
        <v>70.959999999999994</v>
      </c>
    </row>
    <row r="9956" spans="4:5" x14ac:dyDescent="0.25">
      <c r="D9956" s="4">
        <v>45853</v>
      </c>
      <c r="E9956" s="6">
        <v>70.27</v>
      </c>
    </row>
    <row r="9957" spans="4:5" x14ac:dyDescent="0.25">
      <c r="D9957" s="4">
        <v>45854</v>
      </c>
      <c r="E9957" s="6">
        <v>69.67</v>
      </c>
    </row>
    <row r="9958" spans="4:5" x14ac:dyDescent="0.25">
      <c r="D9958" s="4">
        <v>45855</v>
      </c>
      <c r="E9958" s="6">
        <v>71.319999999999993</v>
      </c>
    </row>
    <row r="9959" spans="4:5" x14ac:dyDescent="0.25">
      <c r="D9959" s="4">
        <v>45856</v>
      </c>
      <c r="E9959" s="6">
        <v>71.06</v>
      </c>
    </row>
    <row r="9960" spans="4:5" x14ac:dyDescent="0.25">
      <c r="D9960" s="4">
        <v>45859</v>
      </c>
      <c r="E9960" s="6">
        <v>71.92</v>
      </c>
    </row>
    <row r="9961" spans="4:5" x14ac:dyDescent="0.25">
      <c r="D9961" s="4">
        <v>45860</v>
      </c>
      <c r="E9961" s="6">
        <v>69.69</v>
      </c>
    </row>
    <row r="9962" spans="4:5" x14ac:dyDescent="0.25">
      <c r="D9962" s="4">
        <v>45861</v>
      </c>
      <c r="E9962" s="6">
        <v>69.17</v>
      </c>
    </row>
    <row r="9963" spans="4:5" x14ac:dyDescent="0.25">
      <c r="D9963" s="4">
        <v>45862</v>
      </c>
      <c r="E9963" s="6">
        <v>70.42</v>
      </c>
    </row>
    <row r="9964" spans="4:5" x14ac:dyDescent="0.25">
      <c r="D9964" s="4">
        <v>45863</v>
      </c>
      <c r="E9964" s="6">
        <v>69.23</v>
      </c>
    </row>
    <row r="9965" spans="4:5" x14ac:dyDescent="0.25">
      <c r="D9965" s="4">
        <v>45866</v>
      </c>
      <c r="E9965" s="6">
        <v>70.87</v>
      </c>
    </row>
    <row r="9966" spans="4:5" x14ac:dyDescent="0.25">
      <c r="D9966" s="4">
        <v>45867</v>
      </c>
      <c r="E9966" s="6">
        <v>73.209999999999994</v>
      </c>
    </row>
    <row r="9967" spans="4:5" x14ac:dyDescent="0.25">
      <c r="D9967" s="4">
        <v>45868</v>
      </c>
      <c r="E9967" s="6">
        <v>73.98</v>
      </c>
    </row>
    <row r="9968" spans="4:5" x14ac:dyDescent="0.25">
      <c r="D9968" s="4">
        <v>45869</v>
      </c>
      <c r="E9968" s="6">
        <v>73.430000000000007</v>
      </c>
    </row>
    <row r="9969" spans="4:5" x14ac:dyDescent="0.25">
      <c r="D9969" s="4">
        <v>45870</v>
      </c>
      <c r="E9969" s="6">
        <v>70.55</v>
      </c>
    </row>
    <row r="9970" spans="4:5" x14ac:dyDescent="0.25">
      <c r="D9970" s="4">
        <v>45873</v>
      </c>
      <c r="E9970" s="6">
        <v>69.56</v>
      </c>
    </row>
    <row r="9971" spans="4:5" x14ac:dyDescent="0.25">
      <c r="D9971" s="4">
        <v>45874</v>
      </c>
      <c r="E9971" s="6">
        <v>69.14</v>
      </c>
    </row>
    <row r="9972" spans="4:5" x14ac:dyDescent="0.25">
      <c r="D9972" s="4">
        <v>45875</v>
      </c>
      <c r="E9972" s="6">
        <v>67.97</v>
      </c>
    </row>
    <row r="9973" spans="4:5" x14ac:dyDescent="0.25">
      <c r="D9973" s="4">
        <v>45876</v>
      </c>
      <c r="E9973" s="6">
        <v>66.989999999999995</v>
      </c>
    </row>
    <row r="9974" spans="4:5" x14ac:dyDescent="0.25">
      <c r="D9974" s="4">
        <v>45877</v>
      </c>
      <c r="E9974" s="6">
        <v>67.17</v>
      </c>
    </row>
    <row r="9975" spans="4:5" x14ac:dyDescent="0.25">
      <c r="D9975" s="4">
        <v>45880</v>
      </c>
      <c r="E9975" s="6">
        <v>67.36</v>
      </c>
    </row>
    <row r="9976" spans="4:5" x14ac:dyDescent="0.25">
      <c r="D9976" s="4">
        <v>45881</v>
      </c>
      <c r="E9976" s="6">
        <v>66.8</v>
      </c>
    </row>
    <row r="9977" spans="4:5" x14ac:dyDescent="0.25">
      <c r="D9977" s="4">
        <v>45882</v>
      </c>
      <c r="E9977" s="6">
        <v>66.25</v>
      </c>
    </row>
    <row r="9978" spans="4:5" x14ac:dyDescent="0.25">
      <c r="D9978" s="4">
        <v>45883</v>
      </c>
      <c r="E9978" s="6">
        <v>68.12</v>
      </c>
    </row>
    <row r="9979" spans="4:5" x14ac:dyDescent="0.25">
      <c r="D9979" s="4">
        <v>45884</v>
      </c>
      <c r="E9979" s="6">
        <v>67.3</v>
      </c>
    </row>
    <row r="9980" spans="4:5" x14ac:dyDescent="0.25">
      <c r="D9980" s="4">
        <v>45887</v>
      </c>
      <c r="E9980" s="6">
        <v>68.180000000000007</v>
      </c>
    </row>
    <row r="9981" spans="4:5" x14ac:dyDescent="0.25">
      <c r="D9981" s="4">
        <v>45888</v>
      </c>
      <c r="E9981" s="6">
        <v>66.62</v>
      </c>
    </row>
    <row r="9982" spans="4:5" x14ac:dyDescent="0.25">
      <c r="D9982" s="4">
        <v>45889</v>
      </c>
      <c r="E9982" s="6">
        <v>67.61</v>
      </c>
    </row>
    <row r="9983" spans="4:5" x14ac:dyDescent="0.25">
      <c r="D9983" s="4">
        <v>45890</v>
      </c>
      <c r="E9983" s="6">
        <v>68.41</v>
      </c>
    </row>
    <row r="9984" spans="4:5" x14ac:dyDescent="0.25">
      <c r="D9984" s="4">
        <v>45891</v>
      </c>
      <c r="E9984" s="6">
        <v>68.290000000000006</v>
      </c>
    </row>
    <row r="9985" spans="4:5" x14ac:dyDescent="0.25">
      <c r="D9985" s="4">
        <v>45894</v>
      </c>
      <c r="E9985" s="5"/>
    </row>
    <row r="9986" spans="4:5" x14ac:dyDescent="0.25">
      <c r="D9986" s="4">
        <v>45895</v>
      </c>
      <c r="E9986" s="6">
        <v>66.89</v>
      </c>
    </row>
    <row r="9987" spans="4:5" x14ac:dyDescent="0.25">
      <c r="D9987" s="4">
        <v>45896</v>
      </c>
      <c r="E9987" s="6">
        <v>67.75</v>
      </c>
    </row>
    <row r="9988" spans="4:5" x14ac:dyDescent="0.25">
      <c r="D9988" s="4">
        <v>45897</v>
      </c>
      <c r="E9988" s="6">
        <v>68.61</v>
      </c>
    </row>
    <row r="9989" spans="4:5" x14ac:dyDescent="0.25">
      <c r="D9989" s="4">
        <v>45898</v>
      </c>
      <c r="E9989" s="6">
        <v>67.83</v>
      </c>
    </row>
    <row r="9990" spans="4:5" x14ac:dyDescent="0.25">
      <c r="D9990" s="4">
        <v>45901</v>
      </c>
      <c r="E9990" s="6">
        <v>67.09</v>
      </c>
    </row>
    <row r="9991" spans="4:5" x14ac:dyDescent="0.25">
      <c r="D9991" s="4">
        <v>45902</v>
      </c>
      <c r="E9991" s="6">
        <v>68.09</v>
      </c>
    </row>
    <row r="9992" spans="4:5" x14ac:dyDescent="0.25">
      <c r="D9992" s="4">
        <v>45903</v>
      </c>
      <c r="E9992" s="6">
        <v>67.760000000000005</v>
      </c>
    </row>
    <row r="9993" spans="4:5" x14ac:dyDescent="0.25">
      <c r="D9993" s="4">
        <v>45904</v>
      </c>
      <c r="E9993" s="6">
        <v>66.41</v>
      </c>
    </row>
    <row r="9994" spans="4:5" x14ac:dyDescent="0.25">
      <c r="D9994" s="4">
        <v>45905</v>
      </c>
      <c r="E9994" s="6">
        <v>64.92</v>
      </c>
    </row>
    <row r="9995" spans="4:5" x14ac:dyDescent="0.25">
      <c r="D9995" s="4">
        <v>45908</v>
      </c>
      <c r="E9995" s="6">
        <v>65.44</v>
      </c>
    </row>
    <row r="9996" spans="4:5" x14ac:dyDescent="0.25">
      <c r="D9996" s="4">
        <v>45909</v>
      </c>
      <c r="E9996" s="6">
        <v>67.97</v>
      </c>
    </row>
    <row r="9997" spans="4:5" x14ac:dyDescent="0.25">
      <c r="D9997" s="4">
        <v>45910</v>
      </c>
      <c r="E9997" s="6">
        <v>67.62</v>
      </c>
    </row>
    <row r="9998" spans="4:5" x14ac:dyDescent="0.25">
      <c r="D9998" s="4">
        <v>45911</v>
      </c>
      <c r="E9998" s="6">
        <v>67.25</v>
      </c>
    </row>
    <row r="9999" spans="4:5" x14ac:dyDescent="0.25">
      <c r="D9999" s="4">
        <v>45912</v>
      </c>
      <c r="E9999" s="6">
        <v>67.87</v>
      </c>
    </row>
    <row r="10000" spans="4:5" x14ac:dyDescent="0.25">
      <c r="D10000" s="4">
        <v>45915</v>
      </c>
      <c r="E10000" s="6">
        <v>67.88</v>
      </c>
    </row>
    <row r="10001" spans="4:5" x14ac:dyDescent="0.25">
      <c r="D10001" s="4">
        <v>45916</v>
      </c>
      <c r="E10001" s="6">
        <v>69.69</v>
      </c>
    </row>
    <row r="10002" spans="4:5" x14ac:dyDescent="0.25">
      <c r="D10002" s="4">
        <v>45917</v>
      </c>
      <c r="E10002" s="6">
        <v>69.19</v>
      </c>
    </row>
    <row r="10003" spans="4:5" x14ac:dyDescent="0.25">
      <c r="D10003" s="4">
        <v>45918</v>
      </c>
      <c r="E10003" s="6">
        <v>67.83</v>
      </c>
    </row>
    <row r="10004" spans="4:5" x14ac:dyDescent="0.25">
      <c r="D10004" s="4">
        <v>45919</v>
      </c>
      <c r="E10004" s="6">
        <v>67.05</v>
      </c>
    </row>
    <row r="10005" spans="4:5" x14ac:dyDescent="0.25">
      <c r="D10005" s="4">
        <v>45922</v>
      </c>
      <c r="E10005" s="6">
        <v>66.87</v>
      </c>
    </row>
    <row r="10006" spans="4:5" x14ac:dyDescent="0.25">
      <c r="D10006" s="4">
        <v>45923</v>
      </c>
      <c r="E10006" s="6">
        <v>67.959999999999994</v>
      </c>
    </row>
    <row r="10007" spans="4:5" x14ac:dyDescent="0.25">
      <c r="D10007" s="4">
        <v>45924</v>
      </c>
      <c r="E10007" s="6">
        <v>69.64</v>
      </c>
    </row>
    <row r="10008" spans="4:5" x14ac:dyDescent="0.25">
      <c r="D10008" s="4">
        <v>45925</v>
      </c>
      <c r="E10008" s="6">
        <v>70.48</v>
      </c>
    </row>
    <row r="10009" spans="4:5" x14ac:dyDescent="0.25">
      <c r="D10009" s="4">
        <v>45926</v>
      </c>
      <c r="E10009" s="6">
        <v>71.150000000000006</v>
      </c>
    </row>
    <row r="10010" spans="4:5" x14ac:dyDescent="0.25">
      <c r="D10010" s="4">
        <v>45929</v>
      </c>
      <c r="E10010" s="6">
        <v>69</v>
      </c>
    </row>
    <row r="10011" spans="4:5" x14ac:dyDescent="0.25">
      <c r="D10011" s="4">
        <v>45930</v>
      </c>
      <c r="E10011" s="6">
        <v>68.52</v>
      </c>
    </row>
    <row r="10012" spans="4:5" x14ac:dyDescent="0.25">
      <c r="D10012" s="4">
        <v>45931</v>
      </c>
      <c r="E10012" s="6">
        <v>66.67</v>
      </c>
    </row>
    <row r="10013" spans="4:5" x14ac:dyDescent="0.25">
      <c r="D10013" s="4">
        <v>45932</v>
      </c>
      <c r="E10013" s="6">
        <v>65.44</v>
      </c>
    </row>
    <row r="10014" spans="4:5" x14ac:dyDescent="0.25">
      <c r="D10014" s="4">
        <v>45933</v>
      </c>
      <c r="E10014" s="6">
        <v>66.13</v>
      </c>
    </row>
    <row r="10015" spans="4:5" x14ac:dyDescent="0.25">
      <c r="D10015" s="4">
        <v>45936</v>
      </c>
      <c r="E10015" s="6">
        <v>67.09</v>
      </c>
    </row>
    <row r="10016" spans="4:5" x14ac:dyDescent="0.25">
      <c r="D10016" s="4">
        <v>45937</v>
      </c>
      <c r="E10016" s="6">
        <v>67.099999999999994</v>
      </c>
    </row>
    <row r="10017" spans="4:5" x14ac:dyDescent="0.25">
      <c r="D10017" s="4">
        <v>45938</v>
      </c>
      <c r="E10017" s="6">
        <v>67.42</v>
      </c>
    </row>
    <row r="10018" spans="4:5" x14ac:dyDescent="0.25">
      <c r="D10018" s="4">
        <v>45939</v>
      </c>
      <c r="E10018" s="6">
        <v>67.23</v>
      </c>
    </row>
    <row r="10019" spans="4:5" x14ac:dyDescent="0.25">
      <c r="D10019" s="4">
        <v>45940</v>
      </c>
      <c r="E10019" s="6">
        <v>64.41</v>
      </c>
    </row>
    <row r="10020" spans="4:5" x14ac:dyDescent="0.25">
      <c r="D10020" s="4">
        <v>45943</v>
      </c>
      <c r="E10020" s="6">
        <v>64.150000000000006</v>
      </c>
    </row>
    <row r="10021" spans="4:5" x14ac:dyDescent="0.25">
      <c r="D10021" s="4">
        <v>45944</v>
      </c>
      <c r="E10021" s="6">
        <v>63</v>
      </c>
    </row>
    <row r="10022" spans="4:5" x14ac:dyDescent="0.25">
      <c r="D10022" s="4">
        <v>45945</v>
      </c>
      <c r="E10022" s="6">
        <v>62.33</v>
      </c>
    </row>
    <row r="10023" spans="4:5" x14ac:dyDescent="0.25">
      <c r="D10023" s="4">
        <v>45946</v>
      </c>
      <c r="E10023" s="6">
        <v>61.08</v>
      </c>
    </row>
    <row r="10024" spans="4:5" x14ac:dyDescent="0.25">
      <c r="D10024" s="4">
        <v>45947</v>
      </c>
      <c r="E10024" s="6">
        <v>61.23</v>
      </c>
    </row>
    <row r="10025" spans="4:5" x14ac:dyDescent="0.25">
      <c r="D10025" s="4">
        <v>45950</v>
      </c>
      <c r="E10025" s="6">
        <v>60.71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7591-540D-4B61-9ADD-C12772C69C7B}">
  <dimension ref="A1:S3818"/>
  <sheetViews>
    <sheetView workbookViewId="0">
      <selection activeCell="A11" sqref="A11"/>
    </sheetView>
  </sheetViews>
  <sheetFormatPr defaultRowHeight="15" x14ac:dyDescent="0.25"/>
  <cols>
    <col min="1" max="1" width="12" style="4" bestFit="1" customWidth="1"/>
    <col min="3" max="3" width="10.140625" bestFit="1" customWidth="1"/>
    <col min="4" max="4" width="13.140625" style="13" bestFit="1" customWidth="1"/>
    <col min="5" max="5" width="13.28515625" style="13" customWidth="1"/>
    <col min="6" max="6" width="9.5703125" style="13" bestFit="1" customWidth="1"/>
    <col min="7" max="9" width="9.5703125" style="13" customWidth="1"/>
    <col min="10" max="10" width="10.140625" style="14" bestFit="1" customWidth="1"/>
    <col min="11" max="11" width="9.140625" style="14"/>
    <col min="12" max="12" width="9.140625" style="15"/>
    <col min="13" max="13" width="10.140625" style="13" bestFit="1" customWidth="1"/>
    <col min="14" max="19" width="9.140625" style="13"/>
  </cols>
  <sheetData>
    <row r="1" spans="1:4" x14ac:dyDescent="0.25">
      <c r="A1" s="4" t="s">
        <v>0</v>
      </c>
      <c r="B1" t="s">
        <v>1</v>
      </c>
    </row>
    <row r="2" spans="1:4" x14ac:dyDescent="0.25">
      <c r="A2" s="4">
        <v>35800</v>
      </c>
      <c r="B2">
        <v>69</v>
      </c>
      <c r="D2" s="16"/>
    </row>
    <row r="3" spans="1:4" x14ac:dyDescent="0.25">
      <c r="A3" s="4">
        <v>35801</v>
      </c>
      <c r="B3">
        <v>69.5</v>
      </c>
      <c r="D3" s="16"/>
    </row>
    <row r="4" spans="1:4" x14ac:dyDescent="0.25">
      <c r="A4" s="4">
        <v>35802</v>
      </c>
      <c r="B4">
        <v>63.5</v>
      </c>
      <c r="D4" s="16"/>
    </row>
    <row r="5" spans="1:4" x14ac:dyDescent="0.25">
      <c r="A5" s="4">
        <v>35803</v>
      </c>
      <c r="B5">
        <v>63.25</v>
      </c>
      <c r="D5" s="16"/>
    </row>
    <row r="6" spans="1:4" x14ac:dyDescent="0.25">
      <c r="A6" s="4">
        <v>35804</v>
      </c>
      <c r="B6">
        <v>60.5</v>
      </c>
      <c r="D6" s="16"/>
    </row>
    <row r="7" spans="1:4" x14ac:dyDescent="0.25">
      <c r="A7" s="4">
        <v>35807</v>
      </c>
      <c r="B7">
        <v>62.5</v>
      </c>
      <c r="D7" s="16"/>
    </row>
    <row r="8" spans="1:4" x14ac:dyDescent="0.25">
      <c r="A8" s="4">
        <v>35808</v>
      </c>
      <c r="B8">
        <v>63.5</v>
      </c>
      <c r="D8" s="16"/>
    </row>
    <row r="9" spans="1:4" x14ac:dyDescent="0.25">
      <c r="A9" s="4">
        <v>35809</v>
      </c>
      <c r="B9">
        <v>63.5</v>
      </c>
      <c r="D9" s="16"/>
    </row>
    <row r="10" spans="1:4" x14ac:dyDescent="0.25">
      <c r="A10" s="4">
        <v>35810</v>
      </c>
      <c r="B10">
        <v>65</v>
      </c>
      <c r="D10" s="16"/>
    </row>
    <row r="11" spans="1:4" x14ac:dyDescent="0.25">
      <c r="A11" s="4">
        <v>35811</v>
      </c>
      <c r="B11">
        <v>64.5</v>
      </c>
      <c r="D11" s="16"/>
    </row>
    <row r="12" spans="1:4" x14ac:dyDescent="0.25">
      <c r="A12" s="4">
        <v>35814</v>
      </c>
      <c r="B12">
        <v>67</v>
      </c>
      <c r="D12" s="16"/>
    </row>
    <row r="13" spans="1:4" x14ac:dyDescent="0.25">
      <c r="A13" s="4">
        <v>35815</v>
      </c>
      <c r="B13">
        <v>67</v>
      </c>
      <c r="D13" s="16"/>
    </row>
    <row r="14" spans="1:4" x14ac:dyDescent="0.25">
      <c r="A14" s="4">
        <v>35816</v>
      </c>
      <c r="B14">
        <v>67</v>
      </c>
      <c r="D14" s="16"/>
    </row>
    <row r="15" spans="1:4" x14ac:dyDescent="0.25">
      <c r="A15" s="4">
        <v>35817</v>
      </c>
      <c r="B15">
        <v>66</v>
      </c>
      <c r="D15" s="16"/>
    </row>
    <row r="16" spans="1:4" x14ac:dyDescent="0.25">
      <c r="A16" s="4">
        <v>35818</v>
      </c>
      <c r="B16">
        <v>66.75</v>
      </c>
      <c r="D16" s="16"/>
    </row>
    <row r="17" spans="1:4" x14ac:dyDescent="0.25">
      <c r="A17" s="4">
        <v>35821</v>
      </c>
      <c r="B17">
        <v>70</v>
      </c>
      <c r="D17" s="16"/>
    </row>
    <row r="18" spans="1:4" x14ac:dyDescent="0.25">
      <c r="A18" s="4">
        <v>35822</v>
      </c>
      <c r="B18">
        <v>67.5</v>
      </c>
      <c r="D18" s="16"/>
    </row>
    <row r="19" spans="1:4" x14ac:dyDescent="0.25">
      <c r="A19" s="4">
        <v>35828</v>
      </c>
      <c r="B19">
        <v>64.25</v>
      </c>
      <c r="D19" s="16"/>
    </row>
    <row r="20" spans="1:4" x14ac:dyDescent="0.25">
      <c r="A20" s="4">
        <v>35829</v>
      </c>
      <c r="B20">
        <v>63.5</v>
      </c>
      <c r="D20" s="16"/>
    </row>
    <row r="21" spans="1:4" x14ac:dyDescent="0.25">
      <c r="A21" s="4">
        <v>35830</v>
      </c>
      <c r="B21">
        <v>64</v>
      </c>
      <c r="D21" s="16"/>
    </row>
    <row r="22" spans="1:4" x14ac:dyDescent="0.25">
      <c r="A22" s="4">
        <v>35831</v>
      </c>
      <c r="B22">
        <v>67</v>
      </c>
      <c r="D22" s="16"/>
    </row>
    <row r="23" spans="1:4" x14ac:dyDescent="0.25">
      <c r="A23" s="4">
        <v>35832</v>
      </c>
      <c r="B23">
        <v>65.5</v>
      </c>
      <c r="D23" s="16"/>
    </row>
    <row r="24" spans="1:4" x14ac:dyDescent="0.25">
      <c r="A24" s="4">
        <v>35835</v>
      </c>
      <c r="B24">
        <v>67</v>
      </c>
      <c r="D24" s="16"/>
    </row>
    <row r="25" spans="1:4" x14ac:dyDescent="0.25">
      <c r="A25" s="4">
        <v>35836</v>
      </c>
      <c r="B25">
        <v>66</v>
      </c>
      <c r="D25" s="16"/>
    </row>
    <row r="26" spans="1:4" x14ac:dyDescent="0.25">
      <c r="A26" s="4">
        <v>35837</v>
      </c>
      <c r="B26">
        <v>66</v>
      </c>
      <c r="D26" s="16"/>
    </row>
    <row r="27" spans="1:4" x14ac:dyDescent="0.25">
      <c r="A27" s="4">
        <v>35838</v>
      </c>
      <c r="B27">
        <v>67</v>
      </c>
      <c r="D27" s="16"/>
    </row>
    <row r="28" spans="1:4" x14ac:dyDescent="0.25">
      <c r="A28" s="4">
        <v>35839</v>
      </c>
      <c r="B28">
        <v>67.5</v>
      </c>
      <c r="D28" s="16"/>
    </row>
    <row r="29" spans="1:4" x14ac:dyDescent="0.25">
      <c r="A29" s="4">
        <v>35842</v>
      </c>
      <c r="B29">
        <v>64.25</v>
      </c>
      <c r="D29" s="16"/>
    </row>
    <row r="30" spans="1:4" x14ac:dyDescent="0.25">
      <c r="A30" s="4">
        <v>35843</v>
      </c>
      <c r="B30">
        <v>65.5</v>
      </c>
      <c r="D30" s="16"/>
    </row>
    <row r="31" spans="1:4" x14ac:dyDescent="0.25">
      <c r="A31" s="4">
        <v>35844</v>
      </c>
      <c r="B31">
        <v>65</v>
      </c>
      <c r="D31" s="16"/>
    </row>
    <row r="32" spans="1:4" x14ac:dyDescent="0.25">
      <c r="A32" s="4">
        <v>35845</v>
      </c>
      <c r="B32">
        <v>64.75</v>
      </c>
      <c r="D32" s="16"/>
    </row>
    <row r="33" spans="1:4" x14ac:dyDescent="0.25">
      <c r="A33" s="4">
        <v>35846</v>
      </c>
      <c r="B33">
        <v>64.5</v>
      </c>
      <c r="D33" s="16"/>
    </row>
    <row r="34" spans="1:4" x14ac:dyDescent="0.25">
      <c r="A34" s="4">
        <v>35849</v>
      </c>
      <c r="B34">
        <v>62</v>
      </c>
      <c r="D34" s="16"/>
    </row>
    <row r="35" spans="1:4" x14ac:dyDescent="0.25">
      <c r="A35" s="4">
        <v>35850</v>
      </c>
      <c r="B35">
        <v>58.5</v>
      </c>
      <c r="D35" s="16"/>
    </row>
    <row r="36" spans="1:4" x14ac:dyDescent="0.25">
      <c r="A36" s="4">
        <v>35851</v>
      </c>
      <c r="B36">
        <v>58.5</v>
      </c>
      <c r="D36" s="16"/>
    </row>
    <row r="37" spans="1:4" x14ac:dyDescent="0.25">
      <c r="A37" s="4">
        <v>35852</v>
      </c>
      <c r="B37">
        <v>59</v>
      </c>
      <c r="D37" s="16"/>
    </row>
    <row r="38" spans="1:4" x14ac:dyDescent="0.25">
      <c r="A38" s="4">
        <v>35853</v>
      </c>
      <c r="B38">
        <v>58.5</v>
      </c>
      <c r="D38" s="16"/>
    </row>
    <row r="39" spans="1:4" x14ac:dyDescent="0.25">
      <c r="A39" s="4">
        <v>35856</v>
      </c>
      <c r="B39">
        <v>67</v>
      </c>
      <c r="D39" s="16"/>
    </row>
    <row r="40" spans="1:4" x14ac:dyDescent="0.25">
      <c r="A40" s="4">
        <v>35857</v>
      </c>
      <c r="B40">
        <v>66.75</v>
      </c>
      <c r="D40" s="16"/>
    </row>
    <row r="41" spans="1:4" x14ac:dyDescent="0.25">
      <c r="A41" s="4">
        <v>35858</v>
      </c>
      <c r="B41">
        <v>65.25</v>
      </c>
      <c r="D41" s="16"/>
    </row>
    <row r="42" spans="1:4" x14ac:dyDescent="0.25">
      <c r="A42" s="4">
        <v>35859</v>
      </c>
      <c r="B42">
        <v>69</v>
      </c>
      <c r="D42" s="16"/>
    </row>
    <row r="43" spans="1:4" x14ac:dyDescent="0.25">
      <c r="A43" s="4">
        <v>35860</v>
      </c>
      <c r="B43">
        <v>70</v>
      </c>
      <c r="D43" s="16"/>
    </row>
    <row r="44" spans="1:4" x14ac:dyDescent="0.25">
      <c r="A44" s="4">
        <v>35863</v>
      </c>
      <c r="B44">
        <v>71.5</v>
      </c>
      <c r="D44" s="16"/>
    </row>
    <row r="45" spans="1:4" x14ac:dyDescent="0.25">
      <c r="A45" s="4">
        <v>35864</v>
      </c>
      <c r="B45">
        <v>66.5</v>
      </c>
      <c r="D45" s="16"/>
    </row>
    <row r="46" spans="1:4" x14ac:dyDescent="0.25">
      <c r="A46" s="4">
        <v>35865</v>
      </c>
      <c r="B46">
        <v>67.5</v>
      </c>
      <c r="D46" s="16"/>
    </row>
    <row r="47" spans="1:4" x14ac:dyDescent="0.25">
      <c r="A47" s="4">
        <v>35866</v>
      </c>
      <c r="B47">
        <v>70</v>
      </c>
      <c r="D47" s="16"/>
    </row>
    <row r="48" spans="1:4" x14ac:dyDescent="0.25">
      <c r="A48" s="4">
        <v>35867</v>
      </c>
      <c r="B48">
        <v>72.5</v>
      </c>
      <c r="D48" s="16"/>
    </row>
    <row r="49" spans="1:4" x14ac:dyDescent="0.25">
      <c r="A49" s="4">
        <v>35870</v>
      </c>
      <c r="B49">
        <v>74</v>
      </c>
      <c r="D49" s="16"/>
    </row>
    <row r="50" spans="1:4" x14ac:dyDescent="0.25">
      <c r="A50" s="4">
        <v>35871</v>
      </c>
      <c r="B50">
        <v>72</v>
      </c>
      <c r="D50" s="16"/>
    </row>
    <row r="51" spans="1:4" x14ac:dyDescent="0.25">
      <c r="A51" s="4">
        <v>35872</v>
      </c>
      <c r="B51">
        <v>73.5</v>
      </c>
      <c r="D51" s="16"/>
    </row>
    <row r="52" spans="1:4" x14ac:dyDescent="0.25">
      <c r="A52" s="4">
        <v>35873</v>
      </c>
      <c r="B52">
        <v>75.5</v>
      </c>
      <c r="D52" s="16"/>
    </row>
    <row r="53" spans="1:4" x14ac:dyDescent="0.25">
      <c r="A53" s="4">
        <v>35874</v>
      </c>
      <c r="B53">
        <v>74.5</v>
      </c>
      <c r="D53" s="16"/>
    </row>
    <row r="54" spans="1:4" x14ac:dyDescent="0.25">
      <c r="A54" s="4">
        <v>35877</v>
      </c>
      <c r="B54">
        <v>76.25</v>
      </c>
      <c r="D54" s="16"/>
    </row>
    <row r="55" spans="1:4" x14ac:dyDescent="0.25">
      <c r="A55" s="4">
        <v>35878</v>
      </c>
      <c r="B55">
        <v>81</v>
      </c>
      <c r="D55" s="16"/>
    </row>
    <row r="56" spans="1:4" x14ac:dyDescent="0.25">
      <c r="A56" s="4">
        <v>35879</v>
      </c>
      <c r="B56">
        <v>83</v>
      </c>
      <c r="D56" s="16"/>
    </row>
    <row r="57" spans="1:4" x14ac:dyDescent="0.25">
      <c r="A57" s="4">
        <v>35880</v>
      </c>
      <c r="B57">
        <v>82.75</v>
      </c>
      <c r="D57" s="16"/>
    </row>
    <row r="58" spans="1:4" x14ac:dyDescent="0.25">
      <c r="A58" s="4">
        <v>35881</v>
      </c>
      <c r="B58">
        <v>85</v>
      </c>
      <c r="D58" s="16"/>
    </row>
    <row r="59" spans="1:4" x14ac:dyDescent="0.25">
      <c r="A59" s="4">
        <v>35884</v>
      </c>
      <c r="B59">
        <v>84</v>
      </c>
      <c r="D59" s="16"/>
    </row>
    <row r="60" spans="1:4" x14ac:dyDescent="0.25">
      <c r="A60" s="4">
        <v>35885</v>
      </c>
      <c r="B60">
        <v>80.5</v>
      </c>
      <c r="D60" s="16"/>
    </row>
    <row r="61" spans="1:4" x14ac:dyDescent="0.25">
      <c r="A61" s="4">
        <v>35886</v>
      </c>
      <c r="B61">
        <v>77</v>
      </c>
      <c r="D61" s="16"/>
    </row>
    <row r="62" spans="1:4" x14ac:dyDescent="0.25">
      <c r="A62" s="4">
        <v>35887</v>
      </c>
      <c r="B62">
        <v>76.5</v>
      </c>
      <c r="D62" s="16"/>
    </row>
    <row r="63" spans="1:4" x14ac:dyDescent="0.25">
      <c r="A63" s="4">
        <v>35888</v>
      </c>
      <c r="B63">
        <v>78.5</v>
      </c>
      <c r="D63" s="16"/>
    </row>
    <row r="64" spans="1:4" x14ac:dyDescent="0.25">
      <c r="A64" s="4">
        <v>35891</v>
      </c>
      <c r="B64">
        <v>78.5</v>
      </c>
      <c r="D64" s="16"/>
    </row>
    <row r="65" spans="1:4" x14ac:dyDescent="0.25">
      <c r="A65" s="4">
        <v>35893</v>
      </c>
      <c r="B65">
        <v>75.25</v>
      </c>
      <c r="D65" s="16"/>
    </row>
    <row r="66" spans="1:4" x14ac:dyDescent="0.25">
      <c r="A66" s="4">
        <v>35894</v>
      </c>
      <c r="B66">
        <v>75.75</v>
      </c>
      <c r="D66" s="16"/>
    </row>
    <row r="67" spans="1:4" x14ac:dyDescent="0.25">
      <c r="A67" s="4">
        <v>35898</v>
      </c>
      <c r="B67">
        <v>75.75</v>
      </c>
      <c r="D67" s="16"/>
    </row>
    <row r="68" spans="1:4" x14ac:dyDescent="0.25">
      <c r="A68" s="4">
        <v>35899</v>
      </c>
      <c r="B68">
        <v>77.5</v>
      </c>
      <c r="D68" s="16"/>
    </row>
    <row r="69" spans="1:4" x14ac:dyDescent="0.25">
      <c r="A69" s="4">
        <v>35900</v>
      </c>
      <c r="B69">
        <v>75</v>
      </c>
      <c r="D69" s="16"/>
    </row>
    <row r="70" spans="1:4" x14ac:dyDescent="0.25">
      <c r="A70" s="4">
        <v>35901</v>
      </c>
      <c r="B70">
        <v>71.75</v>
      </c>
      <c r="D70" s="16"/>
    </row>
    <row r="71" spans="1:4" x14ac:dyDescent="0.25">
      <c r="A71" s="4">
        <v>35902</v>
      </c>
      <c r="B71">
        <v>70.5</v>
      </c>
      <c r="D71" s="16"/>
    </row>
    <row r="72" spans="1:4" x14ac:dyDescent="0.25">
      <c r="A72" s="4">
        <v>35905</v>
      </c>
      <c r="B72">
        <v>69</v>
      </c>
      <c r="D72" s="16"/>
    </row>
    <row r="73" spans="1:4" x14ac:dyDescent="0.25">
      <c r="A73" s="4">
        <v>35906</v>
      </c>
      <c r="B73">
        <v>69</v>
      </c>
      <c r="D73" s="16"/>
    </row>
    <row r="74" spans="1:4" x14ac:dyDescent="0.25">
      <c r="A74" s="4">
        <v>35907</v>
      </c>
      <c r="B74">
        <v>70.25</v>
      </c>
      <c r="D74" s="16"/>
    </row>
    <row r="75" spans="1:4" x14ac:dyDescent="0.25">
      <c r="A75" s="4">
        <v>35908</v>
      </c>
      <c r="B75">
        <v>68.5</v>
      </c>
      <c r="D75" s="16"/>
    </row>
    <row r="76" spans="1:4" x14ac:dyDescent="0.25">
      <c r="A76" s="4">
        <v>35909</v>
      </c>
      <c r="B76">
        <v>69</v>
      </c>
      <c r="D76" s="16"/>
    </row>
    <row r="77" spans="1:4" x14ac:dyDescent="0.25">
      <c r="A77" s="4">
        <v>35912</v>
      </c>
      <c r="B77">
        <v>69.5</v>
      </c>
      <c r="D77" s="16"/>
    </row>
    <row r="78" spans="1:4" x14ac:dyDescent="0.25">
      <c r="A78" s="4">
        <v>35913</v>
      </c>
      <c r="B78">
        <v>67.5</v>
      </c>
      <c r="D78" s="16"/>
    </row>
    <row r="79" spans="1:4" x14ac:dyDescent="0.25">
      <c r="A79" s="4">
        <v>35914</v>
      </c>
      <c r="B79">
        <v>66.25</v>
      </c>
      <c r="D79" s="16"/>
    </row>
    <row r="80" spans="1:4" x14ac:dyDescent="0.25">
      <c r="A80" s="4">
        <v>35915</v>
      </c>
      <c r="B80">
        <v>64.5</v>
      </c>
      <c r="D80" s="16"/>
    </row>
    <row r="81" spans="1:4" x14ac:dyDescent="0.25">
      <c r="A81" s="4">
        <v>35919</v>
      </c>
      <c r="B81">
        <v>63.5</v>
      </c>
      <c r="D81" s="16"/>
    </row>
    <row r="82" spans="1:4" x14ac:dyDescent="0.25">
      <c r="A82" s="4">
        <v>35920</v>
      </c>
      <c r="B82">
        <v>63.5</v>
      </c>
      <c r="D82" s="16"/>
    </row>
    <row r="83" spans="1:4" x14ac:dyDescent="0.25">
      <c r="A83" s="4">
        <v>35921</v>
      </c>
      <c r="B83">
        <v>65.75</v>
      </c>
      <c r="D83" s="16"/>
    </row>
    <row r="84" spans="1:4" x14ac:dyDescent="0.25">
      <c r="A84" s="4">
        <v>35922</v>
      </c>
      <c r="B84">
        <v>67.25</v>
      </c>
      <c r="D84" s="16"/>
    </row>
    <row r="85" spans="1:4" x14ac:dyDescent="0.25">
      <c r="A85" s="4">
        <v>35923</v>
      </c>
      <c r="B85">
        <v>65</v>
      </c>
      <c r="D85" s="16"/>
    </row>
    <row r="86" spans="1:4" x14ac:dyDescent="0.25">
      <c r="A86" s="4">
        <v>35927</v>
      </c>
      <c r="B86">
        <v>64.25</v>
      </c>
      <c r="D86" s="16"/>
    </row>
    <row r="87" spans="1:4" x14ac:dyDescent="0.25">
      <c r="A87" s="4">
        <v>35928</v>
      </c>
      <c r="B87">
        <v>63.5</v>
      </c>
      <c r="D87" s="16"/>
    </row>
    <row r="88" spans="1:4" x14ac:dyDescent="0.25">
      <c r="A88" s="4">
        <v>35929</v>
      </c>
      <c r="B88">
        <v>64.5</v>
      </c>
      <c r="D88" s="16"/>
    </row>
    <row r="89" spans="1:4" x14ac:dyDescent="0.25">
      <c r="A89" s="4">
        <v>35930</v>
      </c>
      <c r="B89">
        <v>63.5</v>
      </c>
      <c r="D89" s="16"/>
    </row>
    <row r="90" spans="1:4" x14ac:dyDescent="0.25">
      <c r="A90" s="4">
        <v>35933</v>
      </c>
      <c r="B90">
        <v>64.5</v>
      </c>
      <c r="D90" s="16"/>
    </row>
    <row r="91" spans="1:4" x14ac:dyDescent="0.25">
      <c r="A91" s="4">
        <v>35934</v>
      </c>
      <c r="B91">
        <v>64.5</v>
      </c>
      <c r="D91" s="16"/>
    </row>
    <row r="92" spans="1:4" x14ac:dyDescent="0.25">
      <c r="A92" s="4">
        <v>35935</v>
      </c>
      <c r="B92">
        <v>64.75</v>
      </c>
      <c r="D92" s="16"/>
    </row>
    <row r="93" spans="1:4" x14ac:dyDescent="0.25">
      <c r="A93" s="4">
        <v>35936</v>
      </c>
      <c r="B93">
        <v>62.75</v>
      </c>
      <c r="D93" s="16"/>
    </row>
    <row r="94" spans="1:4" x14ac:dyDescent="0.25">
      <c r="A94" s="4">
        <v>35937</v>
      </c>
      <c r="B94">
        <v>62</v>
      </c>
      <c r="D94" s="16"/>
    </row>
    <row r="95" spans="1:4" x14ac:dyDescent="0.25">
      <c r="A95" s="4">
        <v>35940</v>
      </c>
      <c r="B95">
        <v>62.75</v>
      </c>
      <c r="D95" s="16"/>
    </row>
    <row r="96" spans="1:4" x14ac:dyDescent="0.25">
      <c r="A96" s="4">
        <v>35941</v>
      </c>
      <c r="B96">
        <v>61.25</v>
      </c>
      <c r="D96" s="16"/>
    </row>
    <row r="97" spans="1:4" x14ac:dyDescent="0.25">
      <c r="A97" s="4">
        <v>35942</v>
      </c>
      <c r="B97">
        <v>63.5</v>
      </c>
      <c r="D97" s="16"/>
    </row>
    <row r="98" spans="1:4" x14ac:dyDescent="0.25">
      <c r="A98" s="4">
        <v>35943</v>
      </c>
      <c r="B98">
        <v>64</v>
      </c>
      <c r="D98" s="16"/>
    </row>
    <row r="99" spans="1:4" x14ac:dyDescent="0.25">
      <c r="A99" s="4">
        <v>35944</v>
      </c>
      <c r="B99">
        <v>65</v>
      </c>
      <c r="D99" s="16"/>
    </row>
    <row r="100" spans="1:4" x14ac:dyDescent="0.25">
      <c r="A100" s="4">
        <v>35947</v>
      </c>
      <c r="B100">
        <v>65</v>
      </c>
      <c r="D100" s="16"/>
    </row>
    <row r="101" spans="1:4" x14ac:dyDescent="0.25">
      <c r="A101" s="4">
        <v>35948</v>
      </c>
      <c r="B101">
        <v>65.5</v>
      </c>
      <c r="D101" s="16"/>
    </row>
    <row r="102" spans="1:4" x14ac:dyDescent="0.25">
      <c r="A102" s="4">
        <v>35949</v>
      </c>
      <c r="B102">
        <v>67</v>
      </c>
      <c r="D102" s="16"/>
    </row>
    <row r="103" spans="1:4" x14ac:dyDescent="0.25">
      <c r="A103" s="4">
        <v>35950</v>
      </c>
      <c r="B103">
        <v>69</v>
      </c>
      <c r="D103" s="16"/>
    </row>
    <row r="104" spans="1:4" x14ac:dyDescent="0.25">
      <c r="A104" s="4">
        <v>35951</v>
      </c>
      <c r="B104">
        <v>69.5</v>
      </c>
      <c r="D104" s="16"/>
    </row>
    <row r="105" spans="1:4" x14ac:dyDescent="0.25">
      <c r="A105" s="4">
        <v>35954</v>
      </c>
      <c r="B105">
        <v>66</v>
      </c>
      <c r="D105" s="16"/>
    </row>
    <row r="106" spans="1:4" x14ac:dyDescent="0.25">
      <c r="A106" s="4">
        <v>35955</v>
      </c>
      <c r="B106">
        <v>65.5</v>
      </c>
      <c r="D106" s="16"/>
    </row>
    <row r="107" spans="1:4" x14ac:dyDescent="0.25">
      <c r="A107" s="4">
        <v>35956</v>
      </c>
      <c r="B107">
        <v>65</v>
      </c>
      <c r="D107" s="16"/>
    </row>
    <row r="108" spans="1:4" x14ac:dyDescent="0.25">
      <c r="A108" s="4">
        <v>35957</v>
      </c>
      <c r="B108">
        <v>66.5</v>
      </c>
      <c r="D108" s="16"/>
    </row>
    <row r="109" spans="1:4" x14ac:dyDescent="0.25">
      <c r="A109" s="4">
        <v>35958</v>
      </c>
      <c r="B109">
        <v>66.25</v>
      </c>
      <c r="D109" s="16"/>
    </row>
    <row r="110" spans="1:4" x14ac:dyDescent="0.25">
      <c r="A110" s="4">
        <v>35961</v>
      </c>
      <c r="B110">
        <v>67.5</v>
      </c>
      <c r="D110" s="16"/>
    </row>
    <row r="111" spans="1:4" x14ac:dyDescent="0.25">
      <c r="A111" s="4">
        <v>35962</v>
      </c>
      <c r="B111">
        <v>65</v>
      </c>
      <c r="D111" s="16"/>
    </row>
    <row r="112" spans="1:4" x14ac:dyDescent="0.25">
      <c r="A112" s="4">
        <v>35963</v>
      </c>
      <c r="B112">
        <v>65</v>
      </c>
      <c r="D112" s="16"/>
    </row>
    <row r="113" spans="1:4" x14ac:dyDescent="0.25">
      <c r="A113" s="4">
        <v>35964</v>
      </c>
      <c r="B113">
        <v>63.5</v>
      </c>
      <c r="D113" s="16"/>
    </row>
    <row r="114" spans="1:4" x14ac:dyDescent="0.25">
      <c r="A114" s="4">
        <v>35965</v>
      </c>
      <c r="B114">
        <v>63.75</v>
      </c>
      <c r="D114" s="16"/>
    </row>
    <row r="115" spans="1:4" x14ac:dyDescent="0.25">
      <c r="A115" s="4">
        <v>35968</v>
      </c>
      <c r="B115">
        <v>63</v>
      </c>
      <c r="D115" s="16"/>
    </row>
    <row r="116" spans="1:4" x14ac:dyDescent="0.25">
      <c r="A116" s="4">
        <v>35969</v>
      </c>
      <c r="B116">
        <v>61.5</v>
      </c>
      <c r="D116" s="16"/>
    </row>
    <row r="117" spans="1:4" x14ac:dyDescent="0.25">
      <c r="A117" s="4">
        <v>35970</v>
      </c>
      <c r="B117">
        <v>60.75</v>
      </c>
      <c r="D117" s="16"/>
    </row>
    <row r="118" spans="1:4" x14ac:dyDescent="0.25">
      <c r="A118" s="4">
        <v>35971</v>
      </c>
      <c r="B118">
        <v>61</v>
      </c>
      <c r="D118" s="16"/>
    </row>
    <row r="119" spans="1:4" x14ac:dyDescent="0.25">
      <c r="A119" s="4">
        <v>35972</v>
      </c>
      <c r="B119">
        <v>62.5</v>
      </c>
      <c r="D119" s="16"/>
    </row>
    <row r="120" spans="1:4" x14ac:dyDescent="0.25">
      <c r="A120" s="4">
        <v>35975</v>
      </c>
      <c r="B120">
        <v>62.5</v>
      </c>
      <c r="D120" s="16"/>
    </row>
    <row r="121" spans="1:4" x14ac:dyDescent="0.25">
      <c r="A121" s="4">
        <v>35976</v>
      </c>
      <c r="B121">
        <v>61.5</v>
      </c>
      <c r="D121" s="16"/>
    </row>
    <row r="122" spans="1:4" x14ac:dyDescent="0.25">
      <c r="A122" s="4">
        <v>35977</v>
      </c>
      <c r="B122">
        <v>59.25</v>
      </c>
      <c r="D122" s="16"/>
    </row>
    <row r="123" spans="1:4" x14ac:dyDescent="0.25">
      <c r="A123" s="4">
        <v>35978</v>
      </c>
      <c r="B123">
        <v>58.5</v>
      </c>
      <c r="D123" s="16"/>
    </row>
    <row r="124" spans="1:4" x14ac:dyDescent="0.25">
      <c r="A124" s="4">
        <v>35979</v>
      </c>
      <c r="B124">
        <v>59.75</v>
      </c>
      <c r="D124" s="16"/>
    </row>
    <row r="125" spans="1:4" x14ac:dyDescent="0.25">
      <c r="A125" s="4">
        <v>35982</v>
      </c>
      <c r="B125">
        <v>61.75</v>
      </c>
      <c r="D125" s="16"/>
    </row>
    <row r="126" spans="1:4" x14ac:dyDescent="0.25">
      <c r="A126" s="4">
        <v>35983</v>
      </c>
      <c r="B126">
        <v>60.5</v>
      </c>
      <c r="D126" s="16"/>
    </row>
    <row r="127" spans="1:4" x14ac:dyDescent="0.25">
      <c r="A127" s="4">
        <v>35984</v>
      </c>
      <c r="B127">
        <v>62.75</v>
      </c>
      <c r="D127" s="16"/>
    </row>
    <row r="128" spans="1:4" x14ac:dyDescent="0.25">
      <c r="A128" s="4">
        <v>35985</v>
      </c>
      <c r="B128">
        <v>64.25</v>
      </c>
      <c r="D128" s="16"/>
    </row>
    <row r="129" spans="1:4" x14ac:dyDescent="0.25">
      <c r="A129" s="4">
        <v>35986</v>
      </c>
      <c r="B129">
        <v>63.5</v>
      </c>
      <c r="D129" s="16"/>
    </row>
    <row r="130" spans="1:4" x14ac:dyDescent="0.25">
      <c r="A130" s="4">
        <v>35989</v>
      </c>
      <c r="B130">
        <v>64.5</v>
      </c>
      <c r="D130" s="16"/>
    </row>
    <row r="131" spans="1:4" x14ac:dyDescent="0.25">
      <c r="A131" s="4">
        <v>35990</v>
      </c>
      <c r="B131">
        <v>63.5</v>
      </c>
      <c r="D131" s="16"/>
    </row>
    <row r="132" spans="1:4" x14ac:dyDescent="0.25">
      <c r="A132" s="4">
        <v>35991</v>
      </c>
      <c r="B132">
        <v>65</v>
      </c>
      <c r="D132" s="16"/>
    </row>
    <row r="133" spans="1:4" x14ac:dyDescent="0.25">
      <c r="A133" s="4">
        <v>35992</v>
      </c>
      <c r="B133">
        <v>64.25</v>
      </c>
      <c r="D133" s="16"/>
    </row>
    <row r="134" spans="1:4" x14ac:dyDescent="0.25">
      <c r="A134" s="4">
        <v>35993</v>
      </c>
      <c r="B134">
        <v>63.5</v>
      </c>
      <c r="D134" s="16"/>
    </row>
    <row r="135" spans="1:4" x14ac:dyDescent="0.25">
      <c r="A135" s="4">
        <v>35996</v>
      </c>
      <c r="B135">
        <v>63</v>
      </c>
      <c r="D135" s="16"/>
    </row>
    <row r="136" spans="1:4" x14ac:dyDescent="0.25">
      <c r="A136" s="4">
        <v>35997</v>
      </c>
      <c r="B136">
        <v>62.75</v>
      </c>
      <c r="D136" s="16"/>
    </row>
    <row r="137" spans="1:4" x14ac:dyDescent="0.25">
      <c r="A137" s="4">
        <v>35998</v>
      </c>
      <c r="B137">
        <v>60.75</v>
      </c>
      <c r="D137" s="16"/>
    </row>
    <row r="138" spans="1:4" x14ac:dyDescent="0.25">
      <c r="A138" s="4">
        <v>35999</v>
      </c>
      <c r="B138">
        <v>58.25</v>
      </c>
      <c r="D138" s="16"/>
    </row>
    <row r="139" spans="1:4" x14ac:dyDescent="0.25">
      <c r="A139" s="4">
        <v>36000</v>
      </c>
      <c r="B139">
        <v>60.5</v>
      </c>
      <c r="D139" s="16"/>
    </row>
    <row r="140" spans="1:4" x14ac:dyDescent="0.25">
      <c r="A140" s="4">
        <v>36003</v>
      </c>
      <c r="B140">
        <v>60</v>
      </c>
      <c r="D140" s="16"/>
    </row>
    <row r="141" spans="1:4" x14ac:dyDescent="0.25">
      <c r="A141" s="4">
        <v>36004</v>
      </c>
      <c r="B141">
        <v>61.5</v>
      </c>
      <c r="D141" s="16"/>
    </row>
    <row r="142" spans="1:4" x14ac:dyDescent="0.25">
      <c r="A142" s="4">
        <v>36005</v>
      </c>
      <c r="B142">
        <v>62</v>
      </c>
      <c r="D142" s="16"/>
    </row>
    <row r="143" spans="1:4" x14ac:dyDescent="0.25">
      <c r="A143" s="4">
        <v>36006</v>
      </c>
      <c r="B143">
        <v>61.5</v>
      </c>
      <c r="D143" s="16"/>
    </row>
    <row r="144" spans="1:4" x14ac:dyDescent="0.25">
      <c r="A144" s="4">
        <v>36007</v>
      </c>
      <c r="B144">
        <v>59.5</v>
      </c>
      <c r="D144" s="16"/>
    </row>
    <row r="145" spans="1:4" x14ac:dyDescent="0.25">
      <c r="A145" s="4">
        <v>36010</v>
      </c>
      <c r="B145">
        <v>58.25</v>
      </c>
      <c r="D145" s="16"/>
    </row>
    <row r="146" spans="1:4" x14ac:dyDescent="0.25">
      <c r="A146" s="4">
        <v>36011</v>
      </c>
      <c r="B146">
        <v>58</v>
      </c>
      <c r="D146" s="16"/>
    </row>
    <row r="147" spans="1:4" x14ac:dyDescent="0.25">
      <c r="A147" s="4">
        <v>36012</v>
      </c>
      <c r="B147">
        <v>56</v>
      </c>
      <c r="D147" s="16"/>
    </row>
    <row r="148" spans="1:4" x14ac:dyDescent="0.25">
      <c r="A148" s="4">
        <v>36013</v>
      </c>
      <c r="B148">
        <v>56.75</v>
      </c>
      <c r="D148" s="16"/>
    </row>
    <row r="149" spans="1:4" x14ac:dyDescent="0.25">
      <c r="A149" s="4">
        <v>36014</v>
      </c>
      <c r="B149">
        <v>56.75</v>
      </c>
      <c r="D149" s="16"/>
    </row>
    <row r="150" spans="1:4" x14ac:dyDescent="0.25">
      <c r="A150" s="4">
        <v>36018</v>
      </c>
      <c r="B150">
        <v>55.25</v>
      </c>
      <c r="D150" s="16"/>
    </row>
    <row r="151" spans="1:4" x14ac:dyDescent="0.25">
      <c r="A151" s="4">
        <v>36019</v>
      </c>
      <c r="B151">
        <v>54</v>
      </c>
      <c r="D151" s="16"/>
    </row>
    <row r="152" spans="1:4" x14ac:dyDescent="0.25">
      <c r="A152" s="4">
        <v>36020</v>
      </c>
      <c r="B152">
        <v>54.25</v>
      </c>
      <c r="D152" s="16"/>
    </row>
    <row r="153" spans="1:4" x14ac:dyDescent="0.25">
      <c r="A153" s="4">
        <v>36021</v>
      </c>
      <c r="B153">
        <v>55.25</v>
      </c>
      <c r="D153" s="16"/>
    </row>
    <row r="154" spans="1:4" x14ac:dyDescent="0.25">
      <c r="A154" s="4">
        <v>36024</v>
      </c>
      <c r="B154">
        <v>58.5</v>
      </c>
      <c r="D154" s="16"/>
    </row>
    <row r="155" spans="1:4" x14ac:dyDescent="0.25">
      <c r="A155" s="4">
        <v>36025</v>
      </c>
      <c r="B155">
        <v>61.25</v>
      </c>
      <c r="D155" s="16"/>
    </row>
    <row r="156" spans="1:4" x14ac:dyDescent="0.25">
      <c r="A156" s="4">
        <v>36026</v>
      </c>
      <c r="B156">
        <v>60.25</v>
      </c>
      <c r="D156" s="16"/>
    </row>
    <row r="157" spans="1:4" x14ac:dyDescent="0.25">
      <c r="A157" s="4">
        <v>36027</v>
      </c>
      <c r="B157">
        <v>59.75</v>
      </c>
      <c r="D157" s="16"/>
    </row>
    <row r="158" spans="1:4" x14ac:dyDescent="0.25">
      <c r="A158" s="4">
        <v>36028</v>
      </c>
      <c r="B158">
        <v>60</v>
      </c>
      <c r="D158" s="16"/>
    </row>
    <row r="159" spans="1:4" x14ac:dyDescent="0.25">
      <c r="A159" s="4">
        <v>36031</v>
      </c>
      <c r="B159">
        <v>62</v>
      </c>
      <c r="D159" s="16"/>
    </row>
    <row r="160" spans="1:4" x14ac:dyDescent="0.25">
      <c r="A160" s="4">
        <v>36032</v>
      </c>
      <c r="B160">
        <v>66</v>
      </c>
      <c r="D160" s="16"/>
    </row>
    <row r="161" spans="1:4" x14ac:dyDescent="0.25">
      <c r="A161" s="4">
        <v>36033</v>
      </c>
      <c r="B161">
        <v>65.25</v>
      </c>
      <c r="D161" s="16"/>
    </row>
    <row r="162" spans="1:4" x14ac:dyDescent="0.25">
      <c r="A162" s="4">
        <v>36034</v>
      </c>
      <c r="B162">
        <v>64.5</v>
      </c>
      <c r="D162" s="16"/>
    </row>
    <row r="163" spans="1:4" x14ac:dyDescent="0.25">
      <c r="A163" s="4">
        <v>36035</v>
      </c>
      <c r="B163">
        <v>66</v>
      </c>
      <c r="D163" s="16"/>
    </row>
    <row r="164" spans="1:4" x14ac:dyDescent="0.25">
      <c r="A164" s="4">
        <v>36038</v>
      </c>
      <c r="B164">
        <v>66.25</v>
      </c>
      <c r="D164" s="16"/>
    </row>
    <row r="165" spans="1:4" x14ac:dyDescent="0.25">
      <c r="A165" s="4">
        <v>36039</v>
      </c>
      <c r="B165">
        <v>67</v>
      </c>
      <c r="D165" s="16"/>
    </row>
    <row r="166" spans="1:4" x14ac:dyDescent="0.25">
      <c r="A166" s="4">
        <v>36040</v>
      </c>
      <c r="B166">
        <v>70.75</v>
      </c>
      <c r="D166" s="16"/>
    </row>
    <row r="167" spans="1:4" x14ac:dyDescent="0.25">
      <c r="A167" s="4">
        <v>36041</v>
      </c>
      <c r="B167">
        <v>69</v>
      </c>
      <c r="D167" s="16"/>
    </row>
    <row r="168" spans="1:4" x14ac:dyDescent="0.25">
      <c r="A168" s="4">
        <v>36042</v>
      </c>
      <c r="B168">
        <v>71</v>
      </c>
      <c r="D168" s="16"/>
    </row>
    <row r="169" spans="1:4" x14ac:dyDescent="0.25">
      <c r="A169" s="4">
        <v>36045</v>
      </c>
      <c r="B169">
        <v>70</v>
      </c>
      <c r="D169" s="16"/>
    </row>
    <row r="170" spans="1:4" x14ac:dyDescent="0.25">
      <c r="A170" s="4">
        <v>36046</v>
      </c>
      <c r="B170">
        <v>70.75</v>
      </c>
      <c r="D170" s="16"/>
    </row>
    <row r="171" spans="1:4" x14ac:dyDescent="0.25">
      <c r="A171" s="4">
        <v>36047</v>
      </c>
      <c r="B171">
        <v>71</v>
      </c>
      <c r="D171" s="16"/>
    </row>
    <row r="172" spans="1:4" x14ac:dyDescent="0.25">
      <c r="A172" s="4">
        <v>36048</v>
      </c>
      <c r="B172">
        <v>71.75</v>
      </c>
      <c r="D172" s="16"/>
    </row>
    <row r="173" spans="1:4" x14ac:dyDescent="0.25">
      <c r="A173" s="4">
        <v>36049</v>
      </c>
      <c r="B173">
        <v>71.5</v>
      </c>
      <c r="D173" s="16"/>
    </row>
    <row r="174" spans="1:4" x14ac:dyDescent="0.25">
      <c r="A174" s="4">
        <v>36052</v>
      </c>
      <c r="B174">
        <v>71.5</v>
      </c>
      <c r="D174" s="16"/>
    </row>
    <row r="175" spans="1:4" x14ac:dyDescent="0.25">
      <c r="A175" s="4">
        <v>36053</v>
      </c>
      <c r="B175">
        <v>70</v>
      </c>
      <c r="D175" s="16"/>
    </row>
    <row r="176" spans="1:4" x14ac:dyDescent="0.25">
      <c r="A176" s="4">
        <v>36054</v>
      </c>
      <c r="B176">
        <v>70</v>
      </c>
      <c r="D176" s="16"/>
    </row>
    <row r="177" spans="1:4" x14ac:dyDescent="0.25">
      <c r="A177" s="4">
        <v>36055</v>
      </c>
      <c r="B177">
        <v>70.25</v>
      </c>
      <c r="D177" s="16"/>
    </row>
    <row r="178" spans="1:4" x14ac:dyDescent="0.25">
      <c r="A178" s="4">
        <v>36056</v>
      </c>
      <c r="B178">
        <v>68.75</v>
      </c>
      <c r="D178" s="16"/>
    </row>
    <row r="179" spans="1:4" x14ac:dyDescent="0.25">
      <c r="A179" s="4">
        <v>36059</v>
      </c>
      <c r="B179">
        <v>66.5</v>
      </c>
      <c r="D179" s="16"/>
    </row>
    <row r="180" spans="1:4" x14ac:dyDescent="0.25">
      <c r="A180" s="4">
        <v>36060</v>
      </c>
      <c r="B180">
        <v>66.5</v>
      </c>
      <c r="D180" s="16"/>
    </row>
    <row r="181" spans="1:4" x14ac:dyDescent="0.25">
      <c r="A181" s="4">
        <v>36061</v>
      </c>
      <c r="B181">
        <v>67.5</v>
      </c>
      <c r="D181" s="16"/>
    </row>
    <row r="182" spans="1:4" x14ac:dyDescent="0.25">
      <c r="A182" s="4">
        <v>36062</v>
      </c>
      <c r="B182">
        <v>67.25</v>
      </c>
      <c r="D182" s="16"/>
    </row>
    <row r="183" spans="1:4" x14ac:dyDescent="0.25">
      <c r="A183" s="4">
        <v>36063</v>
      </c>
      <c r="B183">
        <v>65.75</v>
      </c>
      <c r="D183" s="16"/>
    </row>
    <row r="184" spans="1:4" x14ac:dyDescent="0.25">
      <c r="A184" s="4">
        <v>36066</v>
      </c>
      <c r="B184">
        <v>64.25</v>
      </c>
      <c r="D184" s="16"/>
    </row>
    <row r="185" spans="1:4" x14ac:dyDescent="0.25">
      <c r="A185" s="4">
        <v>36067</v>
      </c>
      <c r="B185">
        <v>64.5</v>
      </c>
      <c r="D185" s="16"/>
    </row>
    <row r="186" spans="1:4" x14ac:dyDescent="0.25">
      <c r="A186" s="4">
        <v>36068</v>
      </c>
      <c r="B186">
        <v>64.5</v>
      </c>
      <c r="D186" s="16"/>
    </row>
    <row r="187" spans="1:4" x14ac:dyDescent="0.25">
      <c r="A187" s="4">
        <v>36069</v>
      </c>
      <c r="B187">
        <v>62</v>
      </c>
      <c r="D187" s="16"/>
    </row>
    <row r="188" spans="1:4" x14ac:dyDescent="0.25">
      <c r="A188" s="4">
        <v>36070</v>
      </c>
      <c r="B188">
        <v>63.75</v>
      </c>
      <c r="D188" s="16"/>
    </row>
    <row r="189" spans="1:4" x14ac:dyDescent="0.25">
      <c r="A189" s="4">
        <v>36073</v>
      </c>
      <c r="B189">
        <v>64.5</v>
      </c>
      <c r="D189" s="16"/>
    </row>
    <row r="190" spans="1:4" x14ac:dyDescent="0.25">
      <c r="A190" s="4">
        <v>36074</v>
      </c>
      <c r="B190">
        <v>65.75</v>
      </c>
      <c r="D190" s="16"/>
    </row>
    <row r="191" spans="1:4" x14ac:dyDescent="0.25">
      <c r="A191" s="4">
        <v>36075</v>
      </c>
      <c r="B191">
        <v>65.75</v>
      </c>
      <c r="D191" s="16"/>
    </row>
    <row r="192" spans="1:4" x14ac:dyDescent="0.25">
      <c r="A192" s="4">
        <v>36076</v>
      </c>
      <c r="B192">
        <v>65.5</v>
      </c>
      <c r="D192" s="16"/>
    </row>
    <row r="193" spans="1:4" x14ac:dyDescent="0.25">
      <c r="A193" s="4">
        <v>36077</v>
      </c>
      <c r="B193">
        <v>63.75</v>
      </c>
      <c r="D193" s="16"/>
    </row>
    <row r="194" spans="1:4" x14ac:dyDescent="0.25">
      <c r="A194" s="4">
        <v>36080</v>
      </c>
      <c r="B194">
        <v>63.25</v>
      </c>
      <c r="D194" s="16"/>
    </row>
    <row r="195" spans="1:4" x14ac:dyDescent="0.25">
      <c r="A195" s="4">
        <v>36081</v>
      </c>
      <c r="B195">
        <v>62.5</v>
      </c>
      <c r="D195" s="16"/>
    </row>
    <row r="196" spans="1:4" x14ac:dyDescent="0.25">
      <c r="A196" s="4">
        <v>36082</v>
      </c>
      <c r="B196">
        <v>63.75</v>
      </c>
      <c r="D196" s="16"/>
    </row>
    <row r="197" spans="1:4" x14ac:dyDescent="0.25">
      <c r="A197" s="4">
        <v>36083</v>
      </c>
      <c r="B197">
        <v>62.25</v>
      </c>
      <c r="D197" s="16"/>
    </row>
    <row r="198" spans="1:4" x14ac:dyDescent="0.25">
      <c r="A198" s="4">
        <v>36084</v>
      </c>
      <c r="B198">
        <v>60.75</v>
      </c>
      <c r="D198" s="16"/>
    </row>
    <row r="199" spans="1:4" x14ac:dyDescent="0.25">
      <c r="A199" s="4">
        <v>36088</v>
      </c>
      <c r="B199">
        <v>60.5</v>
      </c>
      <c r="D199" s="16"/>
    </row>
    <row r="200" spans="1:4" x14ac:dyDescent="0.25">
      <c r="A200" s="4">
        <v>36089</v>
      </c>
      <c r="B200">
        <v>61.75</v>
      </c>
      <c r="D200" s="16"/>
    </row>
    <row r="201" spans="1:4" x14ac:dyDescent="0.25">
      <c r="A201" s="4">
        <v>36090</v>
      </c>
      <c r="B201">
        <v>60.75</v>
      </c>
      <c r="D201" s="16"/>
    </row>
    <row r="202" spans="1:4" x14ac:dyDescent="0.25">
      <c r="A202" s="4">
        <v>36091</v>
      </c>
      <c r="B202">
        <v>58.5</v>
      </c>
      <c r="D202" s="16"/>
    </row>
    <row r="203" spans="1:4" x14ac:dyDescent="0.25">
      <c r="A203" s="4">
        <v>36094</v>
      </c>
      <c r="B203">
        <v>59.25</v>
      </c>
      <c r="D203" s="16"/>
    </row>
    <row r="204" spans="1:4" x14ac:dyDescent="0.25">
      <c r="A204" s="4">
        <v>36095</v>
      </c>
      <c r="B204">
        <v>61.5</v>
      </c>
      <c r="D204" s="16"/>
    </row>
    <row r="205" spans="1:4" x14ac:dyDescent="0.25">
      <c r="A205" s="4">
        <v>36096</v>
      </c>
      <c r="B205">
        <v>61.5</v>
      </c>
      <c r="D205" s="16"/>
    </row>
    <row r="206" spans="1:4" x14ac:dyDescent="0.25">
      <c r="A206" s="4">
        <v>36097</v>
      </c>
      <c r="B206">
        <v>57</v>
      </c>
      <c r="D206" s="16"/>
    </row>
    <row r="207" spans="1:4" x14ac:dyDescent="0.25">
      <c r="A207" s="4">
        <v>36098</v>
      </c>
      <c r="B207">
        <v>55.5</v>
      </c>
      <c r="D207" s="16"/>
    </row>
    <row r="208" spans="1:4" x14ac:dyDescent="0.25">
      <c r="A208" s="4">
        <v>36101</v>
      </c>
      <c r="B208">
        <v>55.5</v>
      </c>
      <c r="D208" s="16"/>
    </row>
    <row r="209" spans="1:4" x14ac:dyDescent="0.25">
      <c r="A209" s="4">
        <v>36102</v>
      </c>
      <c r="B209">
        <v>56.75</v>
      </c>
      <c r="D209" s="16"/>
    </row>
    <row r="210" spans="1:4" x14ac:dyDescent="0.25">
      <c r="A210" s="4">
        <v>36103</v>
      </c>
      <c r="B210">
        <v>54.75</v>
      </c>
      <c r="D210" s="16"/>
    </row>
    <row r="211" spans="1:4" x14ac:dyDescent="0.25">
      <c r="A211" s="4">
        <v>36104</v>
      </c>
      <c r="B211">
        <v>55.5</v>
      </c>
      <c r="D211" s="16"/>
    </row>
    <row r="212" spans="1:4" x14ac:dyDescent="0.25">
      <c r="A212" s="4">
        <v>36105</v>
      </c>
      <c r="B212">
        <v>54</v>
      </c>
      <c r="D212" s="16"/>
    </row>
    <row r="213" spans="1:4" x14ac:dyDescent="0.25">
      <c r="A213" s="4">
        <v>36108</v>
      </c>
      <c r="B213">
        <v>51</v>
      </c>
      <c r="D213" s="16"/>
    </row>
    <row r="214" spans="1:4" x14ac:dyDescent="0.25">
      <c r="A214" s="4">
        <v>36109</v>
      </c>
      <c r="B214">
        <v>51.5</v>
      </c>
      <c r="D214" s="16"/>
    </row>
    <row r="215" spans="1:4" x14ac:dyDescent="0.25">
      <c r="A215" s="4">
        <v>36110</v>
      </c>
      <c r="B215">
        <v>52.5</v>
      </c>
      <c r="D215" s="16"/>
    </row>
    <row r="216" spans="1:4" x14ac:dyDescent="0.25">
      <c r="A216" s="4">
        <v>36111</v>
      </c>
      <c r="B216">
        <v>53.5</v>
      </c>
      <c r="D216" s="16"/>
    </row>
    <row r="217" spans="1:4" x14ac:dyDescent="0.25">
      <c r="A217" s="4">
        <v>36112</v>
      </c>
      <c r="B217">
        <v>48.5</v>
      </c>
      <c r="D217" s="16"/>
    </row>
    <row r="218" spans="1:4" x14ac:dyDescent="0.25">
      <c r="A218" s="4">
        <v>36115</v>
      </c>
      <c r="B218">
        <v>49.5</v>
      </c>
      <c r="D218" s="16"/>
    </row>
    <row r="219" spans="1:4" x14ac:dyDescent="0.25">
      <c r="A219" s="4">
        <v>36116</v>
      </c>
      <c r="B219">
        <v>51</v>
      </c>
      <c r="D219" s="16"/>
    </row>
    <row r="220" spans="1:4" x14ac:dyDescent="0.25">
      <c r="A220" s="4">
        <v>36117</v>
      </c>
      <c r="B220">
        <v>49.5</v>
      </c>
      <c r="D220" s="16"/>
    </row>
    <row r="221" spans="1:4" x14ac:dyDescent="0.25">
      <c r="A221" s="4">
        <v>36118</v>
      </c>
      <c r="B221">
        <v>48.25</v>
      </c>
      <c r="D221" s="16"/>
    </row>
    <row r="222" spans="1:4" x14ac:dyDescent="0.25">
      <c r="A222" s="4">
        <v>36119</v>
      </c>
      <c r="B222">
        <v>47.25</v>
      </c>
      <c r="D222" s="16"/>
    </row>
    <row r="223" spans="1:4" x14ac:dyDescent="0.25">
      <c r="A223" s="4">
        <v>36122</v>
      </c>
      <c r="B223">
        <v>47</v>
      </c>
      <c r="D223" s="16"/>
    </row>
    <row r="224" spans="1:4" x14ac:dyDescent="0.25">
      <c r="A224" s="4">
        <v>36123</v>
      </c>
      <c r="B224">
        <v>48</v>
      </c>
      <c r="D224" s="16"/>
    </row>
    <row r="225" spans="1:4" x14ac:dyDescent="0.25">
      <c r="A225" s="4">
        <v>36124</v>
      </c>
      <c r="B225">
        <v>47</v>
      </c>
      <c r="D225" s="16"/>
    </row>
    <row r="226" spans="1:4" x14ac:dyDescent="0.25">
      <c r="A226" s="4">
        <v>36125</v>
      </c>
      <c r="B226">
        <v>48</v>
      </c>
      <c r="D226" s="16"/>
    </row>
    <row r="227" spans="1:4" x14ac:dyDescent="0.25">
      <c r="A227" s="4">
        <v>36126</v>
      </c>
      <c r="B227">
        <v>51.5</v>
      </c>
      <c r="D227" s="16"/>
    </row>
    <row r="228" spans="1:4" x14ac:dyDescent="0.25">
      <c r="A228" s="4">
        <v>36129</v>
      </c>
      <c r="B228">
        <v>56</v>
      </c>
      <c r="D228" s="16"/>
    </row>
    <row r="229" spans="1:4" x14ac:dyDescent="0.25">
      <c r="A229" s="4">
        <v>36130</v>
      </c>
      <c r="B229">
        <v>56</v>
      </c>
      <c r="D229" s="16"/>
    </row>
    <row r="230" spans="1:4" x14ac:dyDescent="0.25">
      <c r="A230" s="4">
        <v>36131</v>
      </c>
      <c r="B230">
        <v>46.5</v>
      </c>
      <c r="D230" s="16"/>
    </row>
    <row r="231" spans="1:4" x14ac:dyDescent="0.25">
      <c r="A231" s="4">
        <v>36132</v>
      </c>
      <c r="B231">
        <v>47</v>
      </c>
      <c r="D231" s="16"/>
    </row>
    <row r="232" spans="1:4" x14ac:dyDescent="0.25">
      <c r="A232" s="4">
        <v>36133</v>
      </c>
      <c r="B232">
        <v>49.5</v>
      </c>
      <c r="D232" s="16"/>
    </row>
    <row r="233" spans="1:4" x14ac:dyDescent="0.25">
      <c r="A233" s="4">
        <v>36136</v>
      </c>
      <c r="B233">
        <v>51</v>
      </c>
      <c r="D233" s="16"/>
    </row>
    <row r="234" spans="1:4" x14ac:dyDescent="0.25">
      <c r="A234" s="4">
        <v>36137</v>
      </c>
      <c r="B234">
        <v>54</v>
      </c>
      <c r="D234" s="16"/>
    </row>
    <row r="235" spans="1:4" x14ac:dyDescent="0.25">
      <c r="A235" s="4">
        <v>36138</v>
      </c>
      <c r="B235">
        <v>60.25</v>
      </c>
      <c r="D235" s="16"/>
    </row>
    <row r="236" spans="1:4" x14ac:dyDescent="0.25">
      <c r="A236" s="4">
        <v>36139</v>
      </c>
      <c r="B236">
        <v>59.5</v>
      </c>
      <c r="D236" s="16"/>
    </row>
    <row r="237" spans="1:4" x14ac:dyDescent="0.25">
      <c r="A237" s="4">
        <v>36140</v>
      </c>
      <c r="B237">
        <v>57.5</v>
      </c>
      <c r="D237" s="16"/>
    </row>
    <row r="238" spans="1:4" x14ac:dyDescent="0.25">
      <c r="A238" s="4">
        <v>36143</v>
      </c>
      <c r="B238">
        <v>61</v>
      </c>
      <c r="D238" s="16"/>
    </row>
    <row r="239" spans="1:4" x14ac:dyDescent="0.25">
      <c r="A239" s="4">
        <v>36144</v>
      </c>
      <c r="B239">
        <v>63</v>
      </c>
      <c r="D239" s="16"/>
    </row>
    <row r="240" spans="1:4" x14ac:dyDescent="0.25">
      <c r="A240" s="4">
        <v>36145</v>
      </c>
      <c r="B240">
        <v>62</v>
      </c>
      <c r="D240" s="16"/>
    </row>
    <row r="241" spans="1:4" x14ac:dyDescent="0.25">
      <c r="A241" s="4">
        <v>36146</v>
      </c>
      <c r="B241">
        <v>65</v>
      </c>
      <c r="D241" s="16"/>
    </row>
    <row r="242" spans="1:4" x14ac:dyDescent="0.25">
      <c r="A242" s="4">
        <v>36147</v>
      </c>
      <c r="B242">
        <v>63.75</v>
      </c>
      <c r="D242" s="16"/>
    </row>
    <row r="243" spans="1:4" x14ac:dyDescent="0.25">
      <c r="A243" s="4">
        <v>36150</v>
      </c>
      <c r="B243">
        <v>66.5</v>
      </c>
      <c r="D243" s="16"/>
    </row>
    <row r="244" spans="1:4" x14ac:dyDescent="0.25">
      <c r="A244" s="4">
        <v>36151</v>
      </c>
      <c r="B244">
        <v>65</v>
      </c>
      <c r="D244" s="16"/>
    </row>
    <row r="245" spans="1:4" x14ac:dyDescent="0.25">
      <c r="A245" s="4">
        <v>36152</v>
      </c>
      <c r="B245">
        <v>64</v>
      </c>
      <c r="D245" s="16"/>
    </row>
    <row r="246" spans="1:4" x14ac:dyDescent="0.25">
      <c r="A246" s="4">
        <v>36153</v>
      </c>
      <c r="B246">
        <v>64</v>
      </c>
      <c r="D246" s="16"/>
    </row>
    <row r="247" spans="1:4" x14ac:dyDescent="0.25">
      <c r="A247" s="4">
        <v>36157</v>
      </c>
      <c r="B247">
        <v>63.75</v>
      </c>
      <c r="D247" s="16"/>
    </row>
    <row r="248" spans="1:4" x14ac:dyDescent="0.25">
      <c r="A248" s="4">
        <v>36158</v>
      </c>
      <c r="B248">
        <v>63.5</v>
      </c>
      <c r="D248" s="16"/>
    </row>
    <row r="249" spans="1:4" x14ac:dyDescent="0.25">
      <c r="A249" s="4">
        <v>36159</v>
      </c>
      <c r="B249">
        <v>60.5</v>
      </c>
      <c r="D249" s="16"/>
    </row>
    <row r="250" spans="1:4" x14ac:dyDescent="0.25">
      <c r="A250" s="4">
        <v>36160</v>
      </c>
      <c r="B250">
        <v>59.5</v>
      </c>
      <c r="D250" s="16"/>
    </row>
    <row r="251" spans="1:4" x14ac:dyDescent="0.25">
      <c r="A251" s="4">
        <v>36164</v>
      </c>
      <c r="B251">
        <v>59.5</v>
      </c>
      <c r="D251" s="16"/>
    </row>
    <row r="252" spans="1:4" x14ac:dyDescent="0.25">
      <c r="A252" s="4">
        <v>36165</v>
      </c>
      <c r="B252">
        <v>61</v>
      </c>
      <c r="D252" s="16"/>
    </row>
    <row r="253" spans="1:4" x14ac:dyDescent="0.25">
      <c r="A253" s="4">
        <v>36166</v>
      </c>
      <c r="B253">
        <v>59.25</v>
      </c>
      <c r="D253" s="16"/>
    </row>
    <row r="254" spans="1:4" x14ac:dyDescent="0.25">
      <c r="A254" s="4">
        <v>36167</v>
      </c>
      <c r="B254">
        <v>57.25</v>
      </c>
      <c r="D254" s="16"/>
    </row>
    <row r="255" spans="1:4" x14ac:dyDescent="0.25">
      <c r="A255" s="4">
        <v>36168</v>
      </c>
      <c r="B255">
        <v>56.75</v>
      </c>
      <c r="D255" s="16"/>
    </row>
    <row r="256" spans="1:4" x14ac:dyDescent="0.25">
      <c r="A256" s="4">
        <v>36171</v>
      </c>
      <c r="B256">
        <v>58</v>
      </c>
      <c r="D256" s="16"/>
    </row>
    <row r="257" spans="1:4" x14ac:dyDescent="0.25">
      <c r="A257" s="4">
        <v>36172</v>
      </c>
      <c r="B257">
        <v>58</v>
      </c>
      <c r="D257" s="16"/>
    </row>
    <row r="258" spans="1:4" x14ac:dyDescent="0.25">
      <c r="A258" s="4">
        <v>36173</v>
      </c>
      <c r="B258">
        <v>58.75</v>
      </c>
      <c r="D258" s="16"/>
    </row>
    <row r="259" spans="1:4" x14ac:dyDescent="0.25">
      <c r="A259" s="4">
        <v>36174</v>
      </c>
      <c r="B259">
        <v>56.75</v>
      </c>
      <c r="D259" s="16"/>
    </row>
    <row r="260" spans="1:4" x14ac:dyDescent="0.25">
      <c r="A260" s="4">
        <v>36175</v>
      </c>
      <c r="B260">
        <v>55.25</v>
      </c>
      <c r="D260" s="16"/>
    </row>
    <row r="261" spans="1:4" x14ac:dyDescent="0.25">
      <c r="A261" s="4">
        <v>36178</v>
      </c>
      <c r="B261">
        <v>56.5</v>
      </c>
      <c r="D261" s="16"/>
    </row>
    <row r="262" spans="1:4" x14ac:dyDescent="0.25">
      <c r="A262" s="4">
        <v>36180</v>
      </c>
      <c r="B262">
        <v>55.25</v>
      </c>
      <c r="D262" s="16"/>
    </row>
    <row r="263" spans="1:4" x14ac:dyDescent="0.25">
      <c r="A263" s="4">
        <v>36181</v>
      </c>
      <c r="B263">
        <v>55</v>
      </c>
      <c r="D263" s="16"/>
    </row>
    <row r="264" spans="1:4" x14ac:dyDescent="0.25">
      <c r="A264" s="4">
        <v>36182</v>
      </c>
      <c r="B264">
        <v>53.5</v>
      </c>
      <c r="D264" s="16"/>
    </row>
    <row r="265" spans="1:4" x14ac:dyDescent="0.25">
      <c r="A265" s="4">
        <v>36185</v>
      </c>
      <c r="B265">
        <v>53.25</v>
      </c>
      <c r="D265" s="16"/>
    </row>
    <row r="266" spans="1:4" x14ac:dyDescent="0.25">
      <c r="A266" s="4">
        <v>36186</v>
      </c>
      <c r="B266">
        <v>52.5</v>
      </c>
      <c r="D266" s="16"/>
    </row>
    <row r="267" spans="1:4" x14ac:dyDescent="0.25">
      <c r="A267" s="4">
        <v>36187</v>
      </c>
      <c r="B267">
        <v>53</v>
      </c>
      <c r="D267" s="16"/>
    </row>
    <row r="268" spans="1:4" x14ac:dyDescent="0.25">
      <c r="A268" s="4">
        <v>36188</v>
      </c>
      <c r="B268">
        <v>53</v>
      </c>
      <c r="D268" s="16"/>
    </row>
    <row r="269" spans="1:4" x14ac:dyDescent="0.25">
      <c r="A269" s="4">
        <v>36189</v>
      </c>
      <c r="B269">
        <v>53.5</v>
      </c>
      <c r="D269" s="16"/>
    </row>
    <row r="270" spans="1:4" x14ac:dyDescent="0.25">
      <c r="A270" s="4">
        <v>36192</v>
      </c>
      <c r="B270">
        <v>52.5</v>
      </c>
      <c r="D270" s="16"/>
    </row>
    <row r="271" spans="1:4" x14ac:dyDescent="0.25">
      <c r="A271" s="4">
        <v>36193</v>
      </c>
      <c r="B271">
        <v>53.25</v>
      </c>
      <c r="D271" s="16"/>
    </row>
    <row r="272" spans="1:4" x14ac:dyDescent="0.25">
      <c r="A272" s="4">
        <v>36194</v>
      </c>
      <c r="B272">
        <v>54.75</v>
      </c>
      <c r="D272" s="16"/>
    </row>
    <row r="273" spans="1:4" x14ac:dyDescent="0.25">
      <c r="A273" s="4">
        <v>36195</v>
      </c>
      <c r="B273">
        <v>55.25</v>
      </c>
      <c r="D273" s="16"/>
    </row>
    <row r="274" spans="1:4" x14ac:dyDescent="0.25">
      <c r="A274" s="4">
        <v>36196</v>
      </c>
      <c r="B274">
        <v>55.75</v>
      </c>
      <c r="D274" s="16"/>
    </row>
    <row r="275" spans="1:4" x14ac:dyDescent="0.25">
      <c r="A275" s="4">
        <v>36199</v>
      </c>
      <c r="B275">
        <v>56.25</v>
      </c>
      <c r="D275" s="16"/>
    </row>
    <row r="276" spans="1:4" x14ac:dyDescent="0.25">
      <c r="A276" s="4">
        <v>36200</v>
      </c>
      <c r="B276">
        <v>57.5</v>
      </c>
      <c r="D276" s="16"/>
    </row>
    <row r="277" spans="1:4" x14ac:dyDescent="0.25">
      <c r="A277" s="4">
        <v>36201</v>
      </c>
      <c r="B277">
        <v>56.75</v>
      </c>
      <c r="D277" s="16"/>
    </row>
    <row r="278" spans="1:4" x14ac:dyDescent="0.25">
      <c r="A278" s="4">
        <v>36202</v>
      </c>
      <c r="B278">
        <v>56.75</v>
      </c>
      <c r="D278" s="16"/>
    </row>
    <row r="279" spans="1:4" x14ac:dyDescent="0.25">
      <c r="A279" s="4">
        <v>36203</v>
      </c>
      <c r="B279">
        <v>56.25</v>
      </c>
      <c r="D279" s="16"/>
    </row>
    <row r="280" spans="1:4" x14ac:dyDescent="0.25">
      <c r="A280" s="4">
        <v>36206</v>
      </c>
      <c r="B280">
        <v>57.25</v>
      </c>
      <c r="D280" s="16"/>
    </row>
    <row r="281" spans="1:4" x14ac:dyDescent="0.25">
      <c r="A281" s="4">
        <v>36209</v>
      </c>
      <c r="B281">
        <v>57.5</v>
      </c>
      <c r="D281" s="16"/>
    </row>
    <row r="282" spans="1:4" x14ac:dyDescent="0.25">
      <c r="A282" s="4">
        <v>36210</v>
      </c>
      <c r="B282">
        <v>57.5</v>
      </c>
      <c r="D282" s="16"/>
    </row>
    <row r="283" spans="1:4" x14ac:dyDescent="0.25">
      <c r="A283" s="4">
        <v>36213</v>
      </c>
      <c r="B283">
        <v>57.75</v>
      </c>
      <c r="D283" s="16"/>
    </row>
    <row r="284" spans="1:4" x14ac:dyDescent="0.25">
      <c r="A284" s="4">
        <v>36214</v>
      </c>
      <c r="B284">
        <v>55.5</v>
      </c>
      <c r="D284" s="16"/>
    </row>
    <row r="285" spans="1:4" x14ac:dyDescent="0.25">
      <c r="A285" s="4">
        <v>36215</v>
      </c>
      <c r="B285">
        <v>55.25</v>
      </c>
      <c r="D285" s="16"/>
    </row>
    <row r="286" spans="1:4" x14ac:dyDescent="0.25">
      <c r="A286" s="4">
        <v>36216</v>
      </c>
      <c r="B286">
        <v>57.5</v>
      </c>
      <c r="D286" s="16"/>
    </row>
    <row r="287" spans="1:4" x14ac:dyDescent="0.25">
      <c r="A287" s="4">
        <v>36217</v>
      </c>
      <c r="B287">
        <v>57.5</v>
      </c>
      <c r="D287" s="16"/>
    </row>
    <row r="288" spans="1:4" x14ac:dyDescent="0.25">
      <c r="A288" s="4">
        <v>36220</v>
      </c>
      <c r="B288">
        <v>57.5</v>
      </c>
      <c r="D288" s="16"/>
    </row>
    <row r="289" spans="1:4" x14ac:dyDescent="0.25">
      <c r="A289" s="4">
        <v>36221</v>
      </c>
      <c r="B289">
        <v>57.5</v>
      </c>
      <c r="D289" s="16"/>
    </row>
    <row r="290" spans="1:4" x14ac:dyDescent="0.25">
      <c r="A290" s="4">
        <v>36222</v>
      </c>
      <c r="B290">
        <v>58</v>
      </c>
      <c r="D290" s="16"/>
    </row>
    <row r="291" spans="1:4" x14ac:dyDescent="0.25">
      <c r="A291" s="4">
        <v>36223</v>
      </c>
      <c r="B291">
        <v>60.75</v>
      </c>
      <c r="D291" s="16"/>
    </row>
    <row r="292" spans="1:4" x14ac:dyDescent="0.25">
      <c r="A292" s="4">
        <v>36224</v>
      </c>
      <c r="B292">
        <v>60.5</v>
      </c>
      <c r="D292" s="16"/>
    </row>
    <row r="293" spans="1:4" x14ac:dyDescent="0.25">
      <c r="A293" s="4">
        <v>36227</v>
      </c>
      <c r="B293">
        <v>61.75</v>
      </c>
      <c r="D293" s="16"/>
    </row>
    <row r="294" spans="1:4" x14ac:dyDescent="0.25">
      <c r="A294" s="4">
        <v>36228</v>
      </c>
      <c r="B294">
        <v>63.75</v>
      </c>
      <c r="D294" s="16"/>
    </row>
    <row r="295" spans="1:4" x14ac:dyDescent="0.25">
      <c r="A295" s="4">
        <v>36229</v>
      </c>
      <c r="B295">
        <v>64</v>
      </c>
      <c r="D295" s="16"/>
    </row>
    <row r="296" spans="1:4" x14ac:dyDescent="0.25">
      <c r="A296" s="4">
        <v>36230</v>
      </c>
      <c r="B296">
        <v>63.25</v>
      </c>
      <c r="D296" s="16"/>
    </row>
    <row r="297" spans="1:4" x14ac:dyDescent="0.25">
      <c r="A297" s="4">
        <v>36231</v>
      </c>
      <c r="B297">
        <v>64.75</v>
      </c>
      <c r="D297" s="16"/>
    </row>
    <row r="298" spans="1:4" x14ac:dyDescent="0.25">
      <c r="A298" s="4">
        <v>36234</v>
      </c>
      <c r="B298">
        <v>68</v>
      </c>
      <c r="D298" s="16"/>
    </row>
    <row r="299" spans="1:4" x14ac:dyDescent="0.25">
      <c r="A299" s="4">
        <v>36235</v>
      </c>
      <c r="B299">
        <v>69.5</v>
      </c>
      <c r="D299" s="16"/>
    </row>
    <row r="300" spans="1:4" x14ac:dyDescent="0.25">
      <c r="A300" s="4">
        <v>36236</v>
      </c>
      <c r="B300">
        <v>69.5</v>
      </c>
      <c r="D300" s="16"/>
    </row>
    <row r="301" spans="1:4" x14ac:dyDescent="0.25">
      <c r="A301" s="4">
        <v>36237</v>
      </c>
      <c r="B301">
        <v>68.5</v>
      </c>
      <c r="D301" s="16"/>
    </row>
    <row r="302" spans="1:4" x14ac:dyDescent="0.25">
      <c r="A302" s="4">
        <v>36238</v>
      </c>
      <c r="B302">
        <v>70</v>
      </c>
      <c r="D302" s="16"/>
    </row>
    <row r="303" spans="1:4" x14ac:dyDescent="0.25">
      <c r="A303" s="4">
        <v>36241</v>
      </c>
      <c r="B303">
        <v>69.5</v>
      </c>
      <c r="D303" s="16"/>
    </row>
    <row r="304" spans="1:4" x14ac:dyDescent="0.25">
      <c r="A304" s="4">
        <v>36242</v>
      </c>
      <c r="B304">
        <v>68</v>
      </c>
      <c r="D304" s="16"/>
    </row>
    <row r="305" spans="1:4" x14ac:dyDescent="0.25">
      <c r="A305" s="4">
        <v>36243</v>
      </c>
      <c r="B305">
        <v>68</v>
      </c>
      <c r="D305" s="16"/>
    </row>
    <row r="306" spans="1:4" x14ac:dyDescent="0.25">
      <c r="A306" s="4">
        <v>36244</v>
      </c>
      <c r="B306">
        <v>68.5</v>
      </c>
      <c r="D306" s="16"/>
    </row>
    <row r="307" spans="1:4" x14ac:dyDescent="0.25">
      <c r="A307" s="4">
        <v>36245</v>
      </c>
      <c r="B307">
        <v>68</v>
      </c>
      <c r="D307" s="16"/>
    </row>
    <row r="308" spans="1:4" x14ac:dyDescent="0.25">
      <c r="A308" s="4">
        <v>36249</v>
      </c>
      <c r="B308">
        <v>67.5</v>
      </c>
      <c r="D308" s="16"/>
    </row>
    <row r="309" spans="1:4" x14ac:dyDescent="0.25">
      <c r="A309" s="4">
        <v>36250</v>
      </c>
      <c r="B309">
        <v>68.25</v>
      </c>
      <c r="D309" s="16"/>
    </row>
    <row r="310" spans="1:4" x14ac:dyDescent="0.25">
      <c r="A310" s="4">
        <v>36251</v>
      </c>
      <c r="B310">
        <v>67.75</v>
      </c>
      <c r="D310" s="16"/>
    </row>
    <row r="311" spans="1:4" x14ac:dyDescent="0.25">
      <c r="A311" s="4">
        <v>36255</v>
      </c>
      <c r="B311">
        <v>70.25</v>
      </c>
      <c r="D311" s="16"/>
    </row>
    <row r="312" spans="1:4" x14ac:dyDescent="0.25">
      <c r="A312" s="4">
        <v>36256</v>
      </c>
      <c r="B312">
        <v>71.25</v>
      </c>
      <c r="D312" s="16"/>
    </row>
    <row r="313" spans="1:4" x14ac:dyDescent="0.25">
      <c r="A313" s="4">
        <v>36257</v>
      </c>
      <c r="B313">
        <v>70.25</v>
      </c>
      <c r="D313" s="16"/>
    </row>
    <row r="314" spans="1:4" x14ac:dyDescent="0.25">
      <c r="A314" s="4">
        <v>36258</v>
      </c>
      <c r="B314">
        <v>70.25</v>
      </c>
      <c r="D314" s="16"/>
    </row>
    <row r="315" spans="1:4" x14ac:dyDescent="0.25">
      <c r="A315" s="4">
        <v>36259</v>
      </c>
      <c r="B315">
        <v>72</v>
      </c>
      <c r="D315" s="16"/>
    </row>
    <row r="316" spans="1:4" x14ac:dyDescent="0.25">
      <c r="A316" s="4">
        <v>36262</v>
      </c>
      <c r="B316">
        <v>72</v>
      </c>
      <c r="D316" s="16"/>
    </row>
    <row r="317" spans="1:4" x14ac:dyDescent="0.25">
      <c r="A317" s="4">
        <v>36263</v>
      </c>
      <c r="B317">
        <v>71.5</v>
      </c>
      <c r="D317" s="16"/>
    </row>
    <row r="318" spans="1:4" x14ac:dyDescent="0.25">
      <c r="A318" s="4">
        <v>36264</v>
      </c>
      <c r="B318">
        <v>73</v>
      </c>
      <c r="D318" s="16"/>
    </row>
    <row r="319" spans="1:4" x14ac:dyDescent="0.25">
      <c r="A319" s="4">
        <v>36265</v>
      </c>
      <c r="B319">
        <v>75</v>
      </c>
      <c r="D319" s="16"/>
    </row>
    <row r="320" spans="1:4" x14ac:dyDescent="0.25">
      <c r="A320" s="4">
        <v>36266</v>
      </c>
      <c r="B320">
        <v>75.75</v>
      </c>
      <c r="D320" s="16"/>
    </row>
    <row r="321" spans="1:4" x14ac:dyDescent="0.25">
      <c r="A321" s="4">
        <v>36269</v>
      </c>
      <c r="B321">
        <v>76.75</v>
      </c>
      <c r="D321" s="16"/>
    </row>
    <row r="322" spans="1:4" x14ac:dyDescent="0.25">
      <c r="A322" s="4">
        <v>36270</v>
      </c>
      <c r="B322">
        <v>75.75</v>
      </c>
      <c r="D322" s="16"/>
    </row>
    <row r="323" spans="1:4" x14ac:dyDescent="0.25">
      <c r="A323" s="4">
        <v>36271</v>
      </c>
      <c r="B323">
        <v>77</v>
      </c>
      <c r="D323" s="16"/>
    </row>
    <row r="324" spans="1:4" x14ac:dyDescent="0.25">
      <c r="A324" s="4">
        <v>36272</v>
      </c>
      <c r="B324">
        <v>73.5</v>
      </c>
      <c r="D324" s="16"/>
    </row>
    <row r="325" spans="1:4" x14ac:dyDescent="0.25">
      <c r="A325" s="4">
        <v>36273</v>
      </c>
      <c r="B325">
        <v>73.5</v>
      </c>
      <c r="D325" s="16"/>
    </row>
    <row r="326" spans="1:4" x14ac:dyDescent="0.25">
      <c r="A326" s="4">
        <v>36276</v>
      </c>
      <c r="B326">
        <v>72.75</v>
      </c>
      <c r="D326" s="16"/>
    </row>
    <row r="327" spans="1:4" x14ac:dyDescent="0.25">
      <c r="A327" s="4">
        <v>36277</v>
      </c>
      <c r="B327">
        <v>69.75</v>
      </c>
      <c r="D327" s="16"/>
    </row>
    <row r="328" spans="1:4" x14ac:dyDescent="0.25">
      <c r="A328" s="4">
        <v>36278</v>
      </c>
      <c r="B328">
        <v>69.75</v>
      </c>
      <c r="D328" s="16"/>
    </row>
    <row r="329" spans="1:4" x14ac:dyDescent="0.25">
      <c r="A329" s="4">
        <v>36279</v>
      </c>
      <c r="B329">
        <v>71.25</v>
      </c>
      <c r="D329" s="16"/>
    </row>
    <row r="330" spans="1:4" x14ac:dyDescent="0.25">
      <c r="A330" s="4">
        <v>36280</v>
      </c>
      <c r="B330">
        <v>70.25</v>
      </c>
      <c r="D330" s="16"/>
    </row>
    <row r="331" spans="1:4" x14ac:dyDescent="0.25">
      <c r="A331" s="4">
        <v>36284</v>
      </c>
      <c r="B331">
        <v>66.5</v>
      </c>
      <c r="D331" s="16"/>
    </row>
    <row r="332" spans="1:4" x14ac:dyDescent="0.25">
      <c r="A332" s="4">
        <v>36285</v>
      </c>
      <c r="B332">
        <v>63</v>
      </c>
      <c r="D332" s="16"/>
    </row>
    <row r="333" spans="1:4" x14ac:dyDescent="0.25">
      <c r="A333" s="4">
        <v>36286</v>
      </c>
      <c r="B333">
        <v>62</v>
      </c>
      <c r="D333" s="16"/>
    </row>
    <row r="334" spans="1:4" x14ac:dyDescent="0.25">
      <c r="A334" s="4">
        <v>36287</v>
      </c>
      <c r="B334">
        <v>61.5</v>
      </c>
      <c r="D334" s="16"/>
    </row>
    <row r="335" spans="1:4" x14ac:dyDescent="0.25">
      <c r="A335" s="4">
        <v>36290</v>
      </c>
      <c r="B335">
        <v>61</v>
      </c>
      <c r="D335" s="16"/>
    </row>
    <row r="336" spans="1:4" x14ac:dyDescent="0.25">
      <c r="A336" s="4">
        <v>36291</v>
      </c>
      <c r="B336">
        <v>63.5</v>
      </c>
      <c r="D336" s="16"/>
    </row>
    <row r="337" spans="1:4" x14ac:dyDescent="0.25">
      <c r="A337" s="4">
        <v>36292</v>
      </c>
      <c r="B337">
        <v>67.25</v>
      </c>
      <c r="D337" s="16"/>
    </row>
    <row r="338" spans="1:4" x14ac:dyDescent="0.25">
      <c r="A338" s="4">
        <v>36293</v>
      </c>
      <c r="B338">
        <v>68</v>
      </c>
      <c r="D338" s="16"/>
    </row>
    <row r="339" spans="1:4" x14ac:dyDescent="0.25">
      <c r="A339" s="4">
        <v>36294</v>
      </c>
      <c r="B339">
        <v>67.5</v>
      </c>
      <c r="D339" s="16"/>
    </row>
    <row r="340" spans="1:4" x14ac:dyDescent="0.25">
      <c r="A340" s="4">
        <v>36297</v>
      </c>
      <c r="B340">
        <v>67.25</v>
      </c>
      <c r="D340" s="16"/>
    </row>
    <row r="341" spans="1:4" x14ac:dyDescent="0.25">
      <c r="A341" s="4">
        <v>36298</v>
      </c>
      <c r="B341">
        <v>65.75</v>
      </c>
      <c r="D341" s="16"/>
    </row>
    <row r="342" spans="1:4" x14ac:dyDescent="0.25">
      <c r="A342" s="4">
        <v>36299</v>
      </c>
      <c r="B342">
        <v>67.5</v>
      </c>
      <c r="D342" s="16"/>
    </row>
    <row r="343" spans="1:4" x14ac:dyDescent="0.25">
      <c r="A343" s="4">
        <v>36300</v>
      </c>
      <c r="B343">
        <v>68.25</v>
      </c>
      <c r="D343" s="16"/>
    </row>
    <row r="344" spans="1:4" x14ac:dyDescent="0.25">
      <c r="A344" s="4">
        <v>36301</v>
      </c>
      <c r="B344">
        <v>73</v>
      </c>
      <c r="D344" s="16"/>
    </row>
    <row r="345" spans="1:4" x14ac:dyDescent="0.25">
      <c r="A345" s="4">
        <v>36304</v>
      </c>
      <c r="B345">
        <v>74.5</v>
      </c>
      <c r="D345" s="16"/>
    </row>
    <row r="346" spans="1:4" x14ac:dyDescent="0.25">
      <c r="A346" s="4">
        <v>36305</v>
      </c>
      <c r="B346">
        <v>73</v>
      </c>
      <c r="D346" s="16"/>
    </row>
    <row r="347" spans="1:4" x14ac:dyDescent="0.25">
      <c r="A347" s="4">
        <v>36306</v>
      </c>
      <c r="B347">
        <v>76</v>
      </c>
      <c r="D347" s="16"/>
    </row>
    <row r="348" spans="1:4" x14ac:dyDescent="0.25">
      <c r="A348" s="4">
        <v>36307</v>
      </c>
      <c r="B348">
        <v>77.5</v>
      </c>
      <c r="D348" s="16"/>
    </row>
    <row r="349" spans="1:4" x14ac:dyDescent="0.25">
      <c r="A349" s="4">
        <v>36308</v>
      </c>
      <c r="B349">
        <v>80.5</v>
      </c>
      <c r="D349" s="16"/>
    </row>
    <row r="350" spans="1:4" x14ac:dyDescent="0.25">
      <c r="A350" s="4">
        <v>36312</v>
      </c>
      <c r="B350">
        <v>83.5</v>
      </c>
      <c r="D350" s="16"/>
    </row>
    <row r="351" spans="1:4" x14ac:dyDescent="0.25">
      <c r="A351" s="4">
        <v>36313</v>
      </c>
      <c r="B351">
        <v>89</v>
      </c>
      <c r="D351" s="16"/>
    </row>
    <row r="352" spans="1:4" x14ac:dyDescent="0.25">
      <c r="A352" s="4">
        <v>36314</v>
      </c>
      <c r="B352">
        <v>85</v>
      </c>
      <c r="D352" s="16"/>
    </row>
    <row r="353" spans="1:4" x14ac:dyDescent="0.25">
      <c r="A353" s="4">
        <v>36315</v>
      </c>
      <c r="B353">
        <v>91.75</v>
      </c>
      <c r="D353" s="16"/>
    </row>
    <row r="354" spans="1:4" x14ac:dyDescent="0.25">
      <c r="A354" s="4">
        <v>36318</v>
      </c>
      <c r="B354">
        <v>88.5</v>
      </c>
      <c r="D354" s="16"/>
    </row>
    <row r="355" spans="1:4" x14ac:dyDescent="0.25">
      <c r="A355" s="4">
        <v>36319</v>
      </c>
      <c r="B355">
        <v>87.5</v>
      </c>
      <c r="D355" s="16"/>
    </row>
    <row r="356" spans="1:4" x14ac:dyDescent="0.25">
      <c r="A356" s="4">
        <v>36320</v>
      </c>
      <c r="B356">
        <v>87.5</v>
      </c>
      <c r="D356" s="16"/>
    </row>
    <row r="357" spans="1:4" x14ac:dyDescent="0.25">
      <c r="A357" s="4">
        <v>36321</v>
      </c>
      <c r="B357">
        <v>84.25</v>
      </c>
      <c r="D357" s="16"/>
    </row>
    <row r="358" spans="1:4" x14ac:dyDescent="0.25">
      <c r="A358" s="4">
        <v>36322</v>
      </c>
      <c r="B358">
        <v>83.75</v>
      </c>
      <c r="D358" s="16"/>
    </row>
    <row r="359" spans="1:4" x14ac:dyDescent="0.25">
      <c r="A359" s="4">
        <v>36325</v>
      </c>
      <c r="B359">
        <v>83</v>
      </c>
      <c r="D359" s="16"/>
    </row>
    <row r="360" spans="1:4" x14ac:dyDescent="0.25">
      <c r="A360" s="4">
        <v>36326</v>
      </c>
      <c r="B360">
        <v>81</v>
      </c>
      <c r="D360" s="16"/>
    </row>
    <row r="361" spans="1:4" x14ac:dyDescent="0.25">
      <c r="A361" s="4">
        <v>36327</v>
      </c>
      <c r="B361">
        <v>83.75</v>
      </c>
      <c r="D361" s="16"/>
    </row>
    <row r="362" spans="1:4" x14ac:dyDescent="0.25">
      <c r="A362" s="4">
        <v>36328</v>
      </c>
      <c r="B362">
        <v>89</v>
      </c>
      <c r="D362" s="16"/>
    </row>
    <row r="363" spans="1:4" x14ac:dyDescent="0.25">
      <c r="A363" s="4">
        <v>36329</v>
      </c>
      <c r="B363">
        <v>86.5</v>
      </c>
      <c r="D363" s="16"/>
    </row>
    <row r="364" spans="1:4" x14ac:dyDescent="0.25">
      <c r="A364" s="4">
        <v>36332</v>
      </c>
      <c r="B364">
        <v>91</v>
      </c>
      <c r="D364" s="16"/>
    </row>
    <row r="365" spans="1:4" x14ac:dyDescent="0.25">
      <c r="A365" s="4">
        <v>36333</v>
      </c>
      <c r="B365">
        <v>92</v>
      </c>
      <c r="D365" s="16"/>
    </row>
    <row r="366" spans="1:4" x14ac:dyDescent="0.25">
      <c r="A366" s="4">
        <v>36334</v>
      </c>
      <c r="B366">
        <v>90</v>
      </c>
      <c r="D366" s="16"/>
    </row>
    <row r="367" spans="1:4" x14ac:dyDescent="0.25">
      <c r="A367" s="4">
        <v>36335</v>
      </c>
      <c r="B367">
        <v>92.75</v>
      </c>
      <c r="D367" s="16"/>
    </row>
    <row r="368" spans="1:4" x14ac:dyDescent="0.25">
      <c r="A368" s="4">
        <v>36336</v>
      </c>
      <c r="B368">
        <v>90</v>
      </c>
      <c r="D368" s="16"/>
    </row>
    <row r="369" spans="1:4" x14ac:dyDescent="0.25">
      <c r="A369" s="4">
        <v>36339</v>
      </c>
      <c r="B369">
        <v>92</v>
      </c>
      <c r="D369" s="16"/>
    </row>
    <row r="370" spans="1:4" x14ac:dyDescent="0.25">
      <c r="A370" s="4">
        <v>36340</v>
      </c>
      <c r="B370">
        <v>93.25</v>
      </c>
      <c r="D370" s="16"/>
    </row>
    <row r="371" spans="1:4" x14ac:dyDescent="0.25">
      <c r="A371" s="4">
        <v>36341</v>
      </c>
      <c r="B371">
        <v>94.75</v>
      </c>
      <c r="D371" s="16"/>
    </row>
    <row r="372" spans="1:4" x14ac:dyDescent="0.25">
      <c r="A372" s="4">
        <v>36342</v>
      </c>
      <c r="B372">
        <v>92.25</v>
      </c>
      <c r="D372" s="16"/>
    </row>
    <row r="373" spans="1:4" x14ac:dyDescent="0.25">
      <c r="A373" s="4">
        <v>36343</v>
      </c>
      <c r="B373">
        <v>94.5</v>
      </c>
      <c r="D373" s="16"/>
    </row>
    <row r="374" spans="1:4" x14ac:dyDescent="0.25">
      <c r="A374" s="4">
        <v>36346</v>
      </c>
      <c r="B374">
        <v>95.05</v>
      </c>
      <c r="D374" s="16"/>
    </row>
    <row r="375" spans="1:4" x14ac:dyDescent="0.25">
      <c r="A375" s="4">
        <v>36347</v>
      </c>
      <c r="B375">
        <v>92.75</v>
      </c>
      <c r="D375" s="16"/>
    </row>
    <row r="376" spans="1:4" x14ac:dyDescent="0.25">
      <c r="A376" s="4">
        <v>36348</v>
      </c>
      <c r="B376">
        <v>88</v>
      </c>
      <c r="D376" s="16"/>
    </row>
    <row r="377" spans="1:4" x14ac:dyDescent="0.25">
      <c r="A377" s="4">
        <v>36349</v>
      </c>
      <c r="B377">
        <v>90</v>
      </c>
      <c r="D377" s="16"/>
    </row>
    <row r="378" spans="1:4" x14ac:dyDescent="0.25">
      <c r="A378" s="4">
        <v>36350</v>
      </c>
      <c r="B378">
        <v>89.5</v>
      </c>
      <c r="D378" s="16"/>
    </row>
    <row r="379" spans="1:4" x14ac:dyDescent="0.25">
      <c r="A379" s="4">
        <v>36353</v>
      </c>
      <c r="B379">
        <v>94</v>
      </c>
      <c r="D379" s="16"/>
    </row>
    <row r="380" spans="1:4" x14ac:dyDescent="0.25">
      <c r="A380" s="4">
        <v>36354</v>
      </c>
      <c r="B380">
        <v>95.25</v>
      </c>
      <c r="D380" s="16"/>
    </row>
    <row r="381" spans="1:4" x14ac:dyDescent="0.25">
      <c r="A381" s="4">
        <v>36355</v>
      </c>
      <c r="B381">
        <v>98.75</v>
      </c>
      <c r="D381" s="16"/>
    </row>
    <row r="382" spans="1:4" x14ac:dyDescent="0.25">
      <c r="A382" s="4">
        <v>36356</v>
      </c>
      <c r="B382">
        <v>101.5</v>
      </c>
      <c r="D382" s="16"/>
    </row>
    <row r="383" spans="1:4" x14ac:dyDescent="0.25">
      <c r="A383" s="4">
        <v>36357</v>
      </c>
      <c r="B383">
        <v>104</v>
      </c>
      <c r="D383" s="16"/>
    </row>
    <row r="384" spans="1:4" x14ac:dyDescent="0.25">
      <c r="A384" s="4">
        <v>36360</v>
      </c>
      <c r="B384">
        <v>104</v>
      </c>
      <c r="D384" s="16"/>
    </row>
    <row r="385" spans="1:4" x14ac:dyDescent="0.25">
      <c r="A385" s="4">
        <v>36361</v>
      </c>
      <c r="B385">
        <v>107</v>
      </c>
      <c r="D385" s="16"/>
    </row>
    <row r="386" spans="1:4" x14ac:dyDescent="0.25">
      <c r="A386" s="4">
        <v>36362</v>
      </c>
      <c r="B386">
        <v>106.5</v>
      </c>
      <c r="D386" s="16"/>
    </row>
    <row r="387" spans="1:4" x14ac:dyDescent="0.25">
      <c r="A387" s="4">
        <v>36363</v>
      </c>
      <c r="B387">
        <v>109.75</v>
      </c>
      <c r="D387" s="16"/>
    </row>
    <row r="388" spans="1:4" x14ac:dyDescent="0.25">
      <c r="A388" s="4">
        <v>36364</v>
      </c>
      <c r="B388">
        <v>111</v>
      </c>
      <c r="D388" s="16"/>
    </row>
    <row r="389" spans="1:4" x14ac:dyDescent="0.25">
      <c r="A389" s="4">
        <v>36367</v>
      </c>
      <c r="B389">
        <v>112</v>
      </c>
      <c r="D389" s="16"/>
    </row>
    <row r="390" spans="1:4" x14ac:dyDescent="0.25">
      <c r="A390" s="4">
        <v>36368</v>
      </c>
      <c r="B390">
        <v>110.5</v>
      </c>
      <c r="D390" s="16"/>
    </row>
    <row r="391" spans="1:4" x14ac:dyDescent="0.25">
      <c r="A391" s="4">
        <v>36369</v>
      </c>
      <c r="B391">
        <v>108.5</v>
      </c>
      <c r="D391" s="16"/>
    </row>
    <row r="392" spans="1:4" x14ac:dyDescent="0.25">
      <c r="A392" s="4">
        <v>36370</v>
      </c>
      <c r="B392">
        <v>108</v>
      </c>
      <c r="D392" s="16"/>
    </row>
    <row r="393" spans="1:4" x14ac:dyDescent="0.25">
      <c r="A393" s="4">
        <v>36371</v>
      </c>
      <c r="B393">
        <v>108.75</v>
      </c>
      <c r="D393" s="16"/>
    </row>
    <row r="394" spans="1:4" x14ac:dyDescent="0.25">
      <c r="A394" s="4">
        <v>36374</v>
      </c>
      <c r="B394">
        <v>111.75</v>
      </c>
      <c r="D394" s="16"/>
    </row>
    <row r="395" spans="1:4" x14ac:dyDescent="0.25">
      <c r="A395" s="4">
        <v>36375</v>
      </c>
      <c r="B395">
        <v>111.5</v>
      </c>
      <c r="D395" s="16"/>
    </row>
    <row r="396" spans="1:4" x14ac:dyDescent="0.25">
      <c r="A396" s="4">
        <v>36376</v>
      </c>
      <c r="B396">
        <v>114.25</v>
      </c>
      <c r="D396" s="16"/>
    </row>
    <row r="397" spans="1:4" x14ac:dyDescent="0.25">
      <c r="A397" s="4">
        <v>36377</v>
      </c>
      <c r="B397">
        <v>114.5</v>
      </c>
      <c r="D397" s="16"/>
    </row>
    <row r="398" spans="1:4" x14ac:dyDescent="0.25">
      <c r="A398" s="4">
        <v>36378</v>
      </c>
      <c r="B398">
        <v>116</v>
      </c>
      <c r="D398" s="16"/>
    </row>
    <row r="399" spans="1:4" x14ac:dyDescent="0.25">
      <c r="A399" s="4">
        <v>36382</v>
      </c>
      <c r="B399">
        <v>117</v>
      </c>
      <c r="D399" s="16"/>
    </row>
    <row r="400" spans="1:4" x14ac:dyDescent="0.25">
      <c r="A400" s="4">
        <v>36383</v>
      </c>
      <c r="B400">
        <v>115</v>
      </c>
      <c r="D400" s="16"/>
    </row>
    <row r="401" spans="1:4" x14ac:dyDescent="0.25">
      <c r="A401" s="4">
        <v>36384</v>
      </c>
      <c r="B401">
        <v>111</v>
      </c>
      <c r="D401" s="16"/>
    </row>
    <row r="402" spans="1:4" x14ac:dyDescent="0.25">
      <c r="A402" s="4">
        <v>36385</v>
      </c>
      <c r="B402">
        <v>108</v>
      </c>
      <c r="D402" s="16"/>
    </row>
    <row r="403" spans="1:4" x14ac:dyDescent="0.25">
      <c r="A403" s="4">
        <v>36388</v>
      </c>
      <c r="B403">
        <v>109</v>
      </c>
      <c r="D403" s="16"/>
    </row>
    <row r="404" spans="1:4" x14ac:dyDescent="0.25">
      <c r="A404" s="4">
        <v>36389</v>
      </c>
      <c r="B404">
        <v>116.5</v>
      </c>
      <c r="D404" s="16"/>
    </row>
    <row r="405" spans="1:4" x14ac:dyDescent="0.25">
      <c r="A405" s="4">
        <v>36390</v>
      </c>
      <c r="B405">
        <v>114</v>
      </c>
      <c r="D405" s="16"/>
    </row>
    <row r="406" spans="1:4" x14ac:dyDescent="0.25">
      <c r="A406" s="4">
        <v>36391</v>
      </c>
      <c r="B406">
        <v>111.5</v>
      </c>
      <c r="D406" s="16"/>
    </row>
    <row r="407" spans="1:4" x14ac:dyDescent="0.25">
      <c r="A407" s="4">
        <v>36392</v>
      </c>
      <c r="B407">
        <v>108</v>
      </c>
      <c r="D407" s="16"/>
    </row>
    <row r="408" spans="1:4" x14ac:dyDescent="0.25">
      <c r="A408" s="4">
        <v>36395</v>
      </c>
      <c r="B408">
        <v>111</v>
      </c>
      <c r="D408" s="16"/>
    </row>
    <row r="409" spans="1:4" x14ac:dyDescent="0.25">
      <c r="A409" s="4">
        <v>36396</v>
      </c>
      <c r="B409">
        <v>111</v>
      </c>
      <c r="D409" s="16"/>
    </row>
    <row r="410" spans="1:4" x14ac:dyDescent="0.25">
      <c r="A410" s="4">
        <v>36397</v>
      </c>
      <c r="B410">
        <v>112.75</v>
      </c>
      <c r="D410" s="16"/>
    </row>
    <row r="411" spans="1:4" x14ac:dyDescent="0.25">
      <c r="A411" s="4">
        <v>36398</v>
      </c>
      <c r="B411">
        <v>115</v>
      </c>
      <c r="D411" s="16"/>
    </row>
    <row r="412" spans="1:4" x14ac:dyDescent="0.25">
      <c r="A412" s="4">
        <v>36399</v>
      </c>
      <c r="B412">
        <v>115</v>
      </c>
      <c r="D412" s="16"/>
    </row>
    <row r="413" spans="1:4" x14ac:dyDescent="0.25">
      <c r="A413" s="4">
        <v>36402</v>
      </c>
      <c r="B413">
        <v>116.5</v>
      </c>
      <c r="D413" s="16"/>
    </row>
    <row r="414" spans="1:4" x14ac:dyDescent="0.25">
      <c r="A414" s="4">
        <v>36403</v>
      </c>
      <c r="B414">
        <v>116.5</v>
      </c>
      <c r="D414" s="16"/>
    </row>
    <row r="415" spans="1:4" x14ac:dyDescent="0.25">
      <c r="A415" s="4">
        <v>36404</v>
      </c>
      <c r="B415">
        <v>113.5</v>
      </c>
      <c r="D415" s="16"/>
    </row>
    <row r="416" spans="1:4" x14ac:dyDescent="0.25">
      <c r="A416" s="4">
        <v>36405</v>
      </c>
      <c r="B416">
        <v>116.75</v>
      </c>
      <c r="D416" s="16"/>
    </row>
    <row r="417" spans="1:4" x14ac:dyDescent="0.25">
      <c r="A417" s="4">
        <v>36406</v>
      </c>
      <c r="B417">
        <v>117.5</v>
      </c>
      <c r="D417" s="16"/>
    </row>
    <row r="418" spans="1:4" x14ac:dyDescent="0.25">
      <c r="A418" s="4">
        <v>36409</v>
      </c>
      <c r="B418">
        <v>118</v>
      </c>
      <c r="D418" s="16"/>
    </row>
    <row r="419" spans="1:4" x14ac:dyDescent="0.25">
      <c r="A419" s="4">
        <v>36410</v>
      </c>
      <c r="B419">
        <v>116.5</v>
      </c>
      <c r="D419" s="16"/>
    </row>
    <row r="420" spans="1:4" x14ac:dyDescent="0.25">
      <c r="A420" s="4">
        <v>36411</v>
      </c>
      <c r="B420">
        <v>117.5</v>
      </c>
      <c r="D420" s="16"/>
    </row>
    <row r="421" spans="1:4" x14ac:dyDescent="0.25">
      <c r="A421" s="4">
        <v>36412</v>
      </c>
      <c r="B421">
        <v>118.75</v>
      </c>
      <c r="D421" s="16"/>
    </row>
    <row r="422" spans="1:4" x14ac:dyDescent="0.25">
      <c r="A422" s="4">
        <v>36413</v>
      </c>
      <c r="B422">
        <v>119.75</v>
      </c>
      <c r="D422" s="16"/>
    </row>
    <row r="423" spans="1:4" x14ac:dyDescent="0.25">
      <c r="A423" s="4">
        <v>36416</v>
      </c>
      <c r="B423">
        <v>119.5</v>
      </c>
      <c r="D423" s="16"/>
    </row>
    <row r="424" spans="1:4" x14ac:dyDescent="0.25">
      <c r="A424" s="4">
        <v>36417</v>
      </c>
      <c r="B424">
        <v>120.5</v>
      </c>
      <c r="D424" s="16"/>
    </row>
    <row r="425" spans="1:4" x14ac:dyDescent="0.25">
      <c r="A425" s="4">
        <v>36418</v>
      </c>
      <c r="B425">
        <v>122</v>
      </c>
      <c r="D425" s="16"/>
    </row>
    <row r="426" spans="1:4" x14ac:dyDescent="0.25">
      <c r="A426" s="4">
        <v>36419</v>
      </c>
      <c r="B426">
        <v>122.5</v>
      </c>
      <c r="D426" s="16"/>
    </row>
    <row r="427" spans="1:4" x14ac:dyDescent="0.25">
      <c r="A427" s="4">
        <v>36420</v>
      </c>
      <c r="B427">
        <v>125</v>
      </c>
      <c r="D427" s="16"/>
    </row>
    <row r="428" spans="1:4" x14ac:dyDescent="0.25">
      <c r="A428" s="4">
        <v>36423</v>
      </c>
      <c r="B428">
        <v>125</v>
      </c>
      <c r="D428" s="16"/>
    </row>
    <row r="429" spans="1:4" x14ac:dyDescent="0.25">
      <c r="A429" s="4">
        <v>36424</v>
      </c>
      <c r="B429">
        <v>122.75</v>
      </c>
      <c r="D429" s="16"/>
    </row>
    <row r="430" spans="1:4" x14ac:dyDescent="0.25">
      <c r="A430" s="4">
        <v>36425</v>
      </c>
      <c r="B430">
        <v>123.75</v>
      </c>
      <c r="D430" s="16"/>
    </row>
    <row r="431" spans="1:4" x14ac:dyDescent="0.25">
      <c r="A431" s="4">
        <v>36426</v>
      </c>
      <c r="B431">
        <v>122</v>
      </c>
      <c r="D431" s="16"/>
    </row>
    <row r="432" spans="1:4" x14ac:dyDescent="0.25">
      <c r="A432" s="4">
        <v>36427</v>
      </c>
      <c r="B432">
        <v>116</v>
      </c>
      <c r="D432" s="16"/>
    </row>
    <row r="433" spans="1:4" x14ac:dyDescent="0.25">
      <c r="A433" s="4">
        <v>36430</v>
      </c>
      <c r="B433">
        <v>116.5</v>
      </c>
      <c r="D433" s="16"/>
    </row>
    <row r="434" spans="1:4" x14ac:dyDescent="0.25">
      <c r="A434" s="4">
        <v>36431</v>
      </c>
      <c r="B434">
        <v>119.5</v>
      </c>
      <c r="D434" s="16"/>
    </row>
    <row r="435" spans="1:4" x14ac:dyDescent="0.25">
      <c r="A435" s="4">
        <v>36432</v>
      </c>
      <c r="B435">
        <v>128</v>
      </c>
      <c r="D435" s="16"/>
    </row>
    <row r="436" spans="1:4" x14ac:dyDescent="0.25">
      <c r="A436" s="4">
        <v>36433</v>
      </c>
      <c r="B436">
        <v>127.5</v>
      </c>
      <c r="D436" s="16"/>
    </row>
    <row r="437" spans="1:4" x14ac:dyDescent="0.25">
      <c r="A437" s="4">
        <v>36434</v>
      </c>
      <c r="B437">
        <v>127</v>
      </c>
      <c r="D437" s="16"/>
    </row>
    <row r="438" spans="1:4" x14ac:dyDescent="0.25">
      <c r="A438" s="4">
        <v>36437</v>
      </c>
      <c r="B438">
        <v>127.5</v>
      </c>
      <c r="D438" s="16"/>
    </row>
    <row r="439" spans="1:4" x14ac:dyDescent="0.25">
      <c r="A439" s="4">
        <v>36438</v>
      </c>
      <c r="B439">
        <v>125</v>
      </c>
      <c r="D439" s="16"/>
    </row>
    <row r="440" spans="1:4" x14ac:dyDescent="0.25">
      <c r="A440" s="4">
        <v>36439</v>
      </c>
      <c r="B440">
        <v>126</v>
      </c>
      <c r="D440" s="16"/>
    </row>
    <row r="441" spans="1:4" x14ac:dyDescent="0.25">
      <c r="A441" s="4">
        <v>36440</v>
      </c>
      <c r="B441">
        <v>126.5</v>
      </c>
      <c r="D441" s="16"/>
    </row>
    <row r="442" spans="1:4" x14ac:dyDescent="0.25">
      <c r="A442" s="4">
        <v>36441</v>
      </c>
      <c r="B442">
        <v>126.5</v>
      </c>
      <c r="D442" s="16"/>
    </row>
    <row r="443" spans="1:4" x14ac:dyDescent="0.25">
      <c r="A443" s="4">
        <v>36444</v>
      </c>
      <c r="B443">
        <v>129</v>
      </c>
      <c r="D443" s="16"/>
    </row>
    <row r="444" spans="1:4" x14ac:dyDescent="0.25">
      <c r="A444" s="4">
        <v>36445</v>
      </c>
      <c r="B444">
        <v>125.5</v>
      </c>
      <c r="D444" s="16"/>
    </row>
    <row r="445" spans="1:4" x14ac:dyDescent="0.25">
      <c r="A445" s="4">
        <v>36446</v>
      </c>
      <c r="B445">
        <v>124.5</v>
      </c>
      <c r="D445" s="16"/>
    </row>
    <row r="446" spans="1:4" x14ac:dyDescent="0.25">
      <c r="A446" s="4">
        <v>36447</v>
      </c>
      <c r="B446">
        <v>125</v>
      </c>
      <c r="D446" s="16"/>
    </row>
    <row r="447" spans="1:4" x14ac:dyDescent="0.25">
      <c r="A447" s="4">
        <v>36448</v>
      </c>
      <c r="B447">
        <v>122</v>
      </c>
      <c r="D447" s="16"/>
    </row>
    <row r="448" spans="1:4" x14ac:dyDescent="0.25">
      <c r="A448" s="4">
        <v>36451</v>
      </c>
      <c r="B448">
        <v>122</v>
      </c>
      <c r="D448" s="16"/>
    </row>
    <row r="449" spans="1:4" x14ac:dyDescent="0.25">
      <c r="A449" s="4">
        <v>36452</v>
      </c>
      <c r="B449">
        <v>121.9</v>
      </c>
      <c r="D449" s="16"/>
    </row>
    <row r="450" spans="1:4" x14ac:dyDescent="0.25">
      <c r="A450" s="4">
        <v>36453</v>
      </c>
      <c r="B450">
        <v>120</v>
      </c>
      <c r="D450" s="16"/>
    </row>
    <row r="451" spans="1:4" x14ac:dyDescent="0.25">
      <c r="A451" s="4">
        <v>36454</v>
      </c>
      <c r="B451">
        <v>120.5</v>
      </c>
      <c r="D451" s="16"/>
    </row>
    <row r="452" spans="1:4" x14ac:dyDescent="0.25">
      <c r="A452" s="4">
        <v>36455</v>
      </c>
      <c r="B452">
        <v>120.25</v>
      </c>
      <c r="D452" s="16"/>
    </row>
    <row r="453" spans="1:4" x14ac:dyDescent="0.25">
      <c r="A453" s="4">
        <v>36458</v>
      </c>
      <c r="B453">
        <v>120.5</v>
      </c>
      <c r="D453" s="16"/>
    </row>
    <row r="454" spans="1:4" x14ac:dyDescent="0.25">
      <c r="A454" s="4">
        <v>36459</v>
      </c>
      <c r="B454">
        <v>123</v>
      </c>
      <c r="D454" s="16"/>
    </row>
    <row r="455" spans="1:4" x14ac:dyDescent="0.25">
      <c r="A455" s="4">
        <v>36460</v>
      </c>
      <c r="B455">
        <v>126.5</v>
      </c>
      <c r="D455" s="16"/>
    </row>
    <row r="456" spans="1:4" x14ac:dyDescent="0.25">
      <c r="A456" s="4">
        <v>36461</v>
      </c>
      <c r="B456">
        <v>125</v>
      </c>
      <c r="D456" s="16"/>
    </row>
    <row r="457" spans="1:4" x14ac:dyDescent="0.25">
      <c r="A457" s="4">
        <v>36462</v>
      </c>
      <c r="B457">
        <v>125</v>
      </c>
      <c r="D457" s="16"/>
    </row>
    <row r="458" spans="1:4" x14ac:dyDescent="0.25">
      <c r="A458" s="4">
        <v>36465</v>
      </c>
      <c r="B458">
        <v>128.25</v>
      </c>
      <c r="D458" s="16"/>
    </row>
    <row r="459" spans="1:4" x14ac:dyDescent="0.25">
      <c r="A459" s="4">
        <v>36466</v>
      </c>
      <c r="B459">
        <v>128.5</v>
      </c>
      <c r="D459" s="16"/>
    </row>
    <row r="460" spans="1:4" x14ac:dyDescent="0.25">
      <c r="A460" s="4">
        <v>36467</v>
      </c>
      <c r="B460">
        <v>130.5</v>
      </c>
      <c r="D460" s="16"/>
    </row>
    <row r="461" spans="1:4" x14ac:dyDescent="0.25">
      <c r="A461" s="4">
        <v>36468</v>
      </c>
      <c r="B461">
        <v>129.75</v>
      </c>
      <c r="D461" s="16"/>
    </row>
    <row r="462" spans="1:4" x14ac:dyDescent="0.25">
      <c r="A462" s="4">
        <v>36469</v>
      </c>
      <c r="B462">
        <v>128.5</v>
      </c>
      <c r="D462" s="16"/>
    </row>
    <row r="463" spans="1:4" x14ac:dyDescent="0.25">
      <c r="A463" s="4">
        <v>36473</v>
      </c>
      <c r="B463">
        <v>133.5</v>
      </c>
      <c r="D463" s="16"/>
    </row>
    <row r="464" spans="1:4" x14ac:dyDescent="0.25">
      <c r="A464" s="4">
        <v>36474</v>
      </c>
      <c r="B464">
        <v>130.75</v>
      </c>
      <c r="D464" s="16"/>
    </row>
    <row r="465" spans="1:4" x14ac:dyDescent="0.25">
      <c r="A465" s="4">
        <v>36475</v>
      </c>
      <c r="B465">
        <v>131</v>
      </c>
      <c r="D465" s="16"/>
    </row>
    <row r="466" spans="1:4" x14ac:dyDescent="0.25">
      <c r="A466" s="4">
        <v>36476</v>
      </c>
      <c r="B466">
        <v>131.25</v>
      </c>
      <c r="D466" s="16"/>
    </row>
    <row r="467" spans="1:4" x14ac:dyDescent="0.25">
      <c r="A467" s="4">
        <v>36479</v>
      </c>
      <c r="B467">
        <v>131</v>
      </c>
      <c r="D467" s="16"/>
    </row>
    <row r="468" spans="1:4" x14ac:dyDescent="0.25">
      <c r="A468" s="4">
        <v>36480</v>
      </c>
      <c r="B468">
        <v>131.25</v>
      </c>
      <c r="D468" s="16"/>
    </row>
    <row r="469" spans="1:4" x14ac:dyDescent="0.25">
      <c r="A469" s="4">
        <v>36481</v>
      </c>
      <c r="B469">
        <v>130</v>
      </c>
      <c r="D469" s="16"/>
    </row>
    <row r="470" spans="1:4" x14ac:dyDescent="0.25">
      <c r="A470" s="4">
        <v>36482</v>
      </c>
      <c r="B470">
        <v>127</v>
      </c>
      <c r="D470" s="16"/>
    </row>
    <row r="471" spans="1:4" x14ac:dyDescent="0.25">
      <c r="A471" s="4">
        <v>36483</v>
      </c>
      <c r="B471">
        <v>129.5</v>
      </c>
      <c r="D471" s="16"/>
    </row>
    <row r="472" spans="1:4" x14ac:dyDescent="0.25">
      <c r="A472" s="4">
        <v>36486</v>
      </c>
      <c r="B472">
        <v>130.75</v>
      </c>
      <c r="D472" s="16"/>
    </row>
    <row r="473" spans="1:4" x14ac:dyDescent="0.25">
      <c r="A473" s="4">
        <v>36487</v>
      </c>
      <c r="B473">
        <v>132</v>
      </c>
      <c r="D473" s="16"/>
    </row>
    <row r="474" spans="1:4" x14ac:dyDescent="0.25">
      <c r="A474" s="4">
        <v>36488</v>
      </c>
      <c r="B474">
        <v>131</v>
      </c>
      <c r="D474" s="16"/>
    </row>
    <row r="475" spans="1:4" x14ac:dyDescent="0.25">
      <c r="A475" s="4">
        <v>36489</v>
      </c>
      <c r="B475">
        <v>127</v>
      </c>
      <c r="D475" s="16"/>
    </row>
    <row r="476" spans="1:4" x14ac:dyDescent="0.25">
      <c r="A476" s="4">
        <v>36490</v>
      </c>
      <c r="B476">
        <v>129.5</v>
      </c>
      <c r="D476" s="16"/>
    </row>
    <row r="477" spans="1:4" x14ac:dyDescent="0.25">
      <c r="A477" s="4">
        <v>36493</v>
      </c>
      <c r="B477">
        <v>126.5</v>
      </c>
      <c r="D477" s="16"/>
    </row>
    <row r="478" spans="1:4" x14ac:dyDescent="0.25">
      <c r="A478" s="4">
        <v>36494</v>
      </c>
      <c r="B478">
        <v>125.5</v>
      </c>
      <c r="D478" s="16"/>
    </row>
    <row r="479" spans="1:4" x14ac:dyDescent="0.25">
      <c r="A479" s="4">
        <v>36495</v>
      </c>
      <c r="B479">
        <v>123</v>
      </c>
      <c r="D479" s="16"/>
    </row>
    <row r="480" spans="1:4" x14ac:dyDescent="0.25">
      <c r="A480" s="4">
        <v>36496</v>
      </c>
      <c r="B480">
        <v>122.5</v>
      </c>
      <c r="D480" s="16"/>
    </row>
    <row r="481" spans="1:4" x14ac:dyDescent="0.25">
      <c r="A481" s="4">
        <v>36497</v>
      </c>
      <c r="B481">
        <v>120.5</v>
      </c>
      <c r="D481" s="16"/>
    </row>
    <row r="482" spans="1:4" x14ac:dyDescent="0.25">
      <c r="A482" s="4">
        <v>36500</v>
      </c>
      <c r="B482">
        <v>118.75</v>
      </c>
      <c r="D482" s="16"/>
    </row>
    <row r="483" spans="1:4" x14ac:dyDescent="0.25">
      <c r="A483" s="4">
        <v>36501</v>
      </c>
      <c r="B483">
        <v>116</v>
      </c>
      <c r="D483" s="16"/>
    </row>
    <row r="484" spans="1:4" x14ac:dyDescent="0.25">
      <c r="A484" s="4">
        <v>36502</v>
      </c>
      <c r="B484">
        <v>116.5</v>
      </c>
      <c r="D484" s="16"/>
    </row>
    <row r="485" spans="1:4" x14ac:dyDescent="0.25">
      <c r="A485" s="4">
        <v>36503</v>
      </c>
      <c r="B485">
        <v>117.5</v>
      </c>
      <c r="D485" s="16"/>
    </row>
    <row r="486" spans="1:4" x14ac:dyDescent="0.25">
      <c r="A486" s="4">
        <v>36504</v>
      </c>
      <c r="B486">
        <v>116</v>
      </c>
      <c r="D486" s="16"/>
    </row>
    <row r="487" spans="1:4" x14ac:dyDescent="0.25">
      <c r="A487" s="4">
        <v>36507</v>
      </c>
      <c r="B487">
        <v>116</v>
      </c>
      <c r="D487" s="16"/>
    </row>
    <row r="488" spans="1:4" x14ac:dyDescent="0.25">
      <c r="A488" s="4">
        <v>36508</v>
      </c>
      <c r="B488">
        <v>122.5</v>
      </c>
      <c r="D488" s="16"/>
    </row>
    <row r="489" spans="1:4" x14ac:dyDescent="0.25">
      <c r="A489" s="4">
        <v>36509</v>
      </c>
      <c r="B489">
        <v>124.25</v>
      </c>
      <c r="D489" s="16"/>
    </row>
    <row r="490" spans="1:4" x14ac:dyDescent="0.25">
      <c r="A490" s="4">
        <v>36510</v>
      </c>
      <c r="B490">
        <v>122.5</v>
      </c>
      <c r="D490" s="16"/>
    </row>
    <row r="491" spans="1:4" x14ac:dyDescent="0.25">
      <c r="A491" s="4">
        <v>36511</v>
      </c>
      <c r="B491">
        <v>122.25</v>
      </c>
      <c r="D491" s="16"/>
    </row>
    <row r="492" spans="1:4" x14ac:dyDescent="0.25">
      <c r="A492" s="4">
        <v>36514</v>
      </c>
      <c r="B492">
        <v>121</v>
      </c>
      <c r="D492" s="16"/>
    </row>
    <row r="493" spans="1:4" x14ac:dyDescent="0.25">
      <c r="A493" s="4">
        <v>36515</v>
      </c>
      <c r="B493">
        <v>120.25</v>
      </c>
      <c r="D493" s="16"/>
    </row>
    <row r="494" spans="1:4" x14ac:dyDescent="0.25">
      <c r="A494" s="4">
        <v>36516</v>
      </c>
      <c r="B494">
        <v>118.75</v>
      </c>
      <c r="D494" s="16"/>
    </row>
    <row r="495" spans="1:4" x14ac:dyDescent="0.25">
      <c r="A495" s="4">
        <v>36517</v>
      </c>
      <c r="B495">
        <v>122</v>
      </c>
      <c r="D495" s="16"/>
    </row>
    <row r="496" spans="1:4" x14ac:dyDescent="0.25">
      <c r="A496" s="4">
        <v>36518</v>
      </c>
      <c r="B496">
        <v>122.5</v>
      </c>
      <c r="D496" s="16"/>
    </row>
    <row r="497" spans="1:4" x14ac:dyDescent="0.25">
      <c r="A497" s="4">
        <v>36522</v>
      </c>
      <c r="B497">
        <v>124</v>
      </c>
      <c r="D497" s="16"/>
    </row>
    <row r="498" spans="1:4" x14ac:dyDescent="0.25">
      <c r="A498" s="4">
        <v>36523</v>
      </c>
      <c r="B498">
        <v>124</v>
      </c>
      <c r="D498" s="16"/>
    </row>
    <row r="499" spans="1:4" x14ac:dyDescent="0.25">
      <c r="A499" s="4">
        <v>36524</v>
      </c>
      <c r="B499">
        <v>126.75</v>
      </c>
      <c r="D499" s="16"/>
    </row>
    <row r="500" spans="1:4" x14ac:dyDescent="0.25">
      <c r="A500" s="4">
        <v>36529</v>
      </c>
      <c r="B500">
        <v>126.5</v>
      </c>
      <c r="D500" s="16"/>
    </row>
    <row r="501" spans="1:4" x14ac:dyDescent="0.25">
      <c r="A501" s="4">
        <v>36530</v>
      </c>
      <c r="B501">
        <v>126.75</v>
      </c>
      <c r="D501" s="16"/>
    </row>
    <row r="502" spans="1:4" x14ac:dyDescent="0.25">
      <c r="A502" s="4">
        <v>36531</v>
      </c>
      <c r="B502">
        <v>126.75</v>
      </c>
      <c r="D502" s="16"/>
    </row>
    <row r="503" spans="1:4" x14ac:dyDescent="0.25">
      <c r="A503" s="4">
        <v>36532</v>
      </c>
      <c r="B503">
        <v>128.5</v>
      </c>
      <c r="D503" s="16"/>
    </row>
    <row r="504" spans="1:4" x14ac:dyDescent="0.25">
      <c r="A504" s="4">
        <v>36536</v>
      </c>
      <c r="B504">
        <v>129</v>
      </c>
      <c r="D504" s="16"/>
    </row>
    <row r="505" spans="1:4" x14ac:dyDescent="0.25">
      <c r="A505" s="4">
        <v>36537</v>
      </c>
      <c r="B505">
        <v>126.5</v>
      </c>
      <c r="D505" s="16"/>
    </row>
    <row r="506" spans="1:4" x14ac:dyDescent="0.25">
      <c r="A506" s="4">
        <v>36538</v>
      </c>
      <c r="B506">
        <v>127.5</v>
      </c>
      <c r="D506" s="16"/>
    </row>
    <row r="507" spans="1:4" x14ac:dyDescent="0.25">
      <c r="A507" s="4">
        <v>36539</v>
      </c>
      <c r="B507">
        <v>126.5</v>
      </c>
      <c r="D507" s="16"/>
    </row>
    <row r="508" spans="1:4" x14ac:dyDescent="0.25">
      <c r="A508" s="4">
        <v>36542</v>
      </c>
      <c r="B508">
        <v>125.5</v>
      </c>
      <c r="D508" s="16"/>
    </row>
    <row r="509" spans="1:4" x14ac:dyDescent="0.25">
      <c r="A509" s="4">
        <v>36543</v>
      </c>
      <c r="B509">
        <v>125.5</v>
      </c>
      <c r="D509" s="16"/>
    </row>
    <row r="510" spans="1:4" x14ac:dyDescent="0.25">
      <c r="A510" s="4">
        <v>36544</v>
      </c>
      <c r="B510">
        <v>128.5</v>
      </c>
      <c r="D510" s="16"/>
    </row>
    <row r="511" spans="1:4" x14ac:dyDescent="0.25">
      <c r="A511" s="4">
        <v>36545</v>
      </c>
      <c r="B511">
        <v>129.5</v>
      </c>
      <c r="D511" s="16"/>
    </row>
    <row r="512" spans="1:4" x14ac:dyDescent="0.25">
      <c r="A512" s="4">
        <v>36546</v>
      </c>
      <c r="B512">
        <v>127</v>
      </c>
      <c r="D512" s="16"/>
    </row>
    <row r="513" spans="1:4" x14ac:dyDescent="0.25">
      <c r="A513" s="4">
        <v>36549</v>
      </c>
      <c r="B513">
        <v>127.5</v>
      </c>
      <c r="D513" s="16"/>
    </row>
    <row r="514" spans="1:4" x14ac:dyDescent="0.25">
      <c r="A514" s="4">
        <v>36550</v>
      </c>
      <c r="B514">
        <v>129.75</v>
      </c>
      <c r="D514" s="16"/>
    </row>
    <row r="515" spans="1:4" x14ac:dyDescent="0.25">
      <c r="A515" s="4">
        <v>36551</v>
      </c>
      <c r="B515">
        <v>128.75</v>
      </c>
      <c r="D515" s="16"/>
    </row>
    <row r="516" spans="1:4" x14ac:dyDescent="0.25">
      <c r="A516" s="4">
        <v>36552</v>
      </c>
      <c r="B516">
        <v>127.75</v>
      </c>
      <c r="D516" s="16"/>
    </row>
    <row r="517" spans="1:4" x14ac:dyDescent="0.25">
      <c r="A517" s="4">
        <v>36553</v>
      </c>
      <c r="B517">
        <v>128.25</v>
      </c>
      <c r="D517" s="16"/>
    </row>
    <row r="518" spans="1:4" x14ac:dyDescent="0.25">
      <c r="A518" s="4">
        <v>36556</v>
      </c>
      <c r="B518">
        <v>128.5</v>
      </c>
      <c r="D518" s="16"/>
    </row>
    <row r="519" spans="1:4" x14ac:dyDescent="0.25">
      <c r="A519" s="4">
        <v>36557</v>
      </c>
      <c r="B519">
        <v>127.5</v>
      </c>
      <c r="D519" s="16"/>
    </row>
    <row r="520" spans="1:4" x14ac:dyDescent="0.25">
      <c r="A520" s="4">
        <v>36558</v>
      </c>
      <c r="B520">
        <v>130.5</v>
      </c>
      <c r="D520" s="16"/>
    </row>
    <row r="521" spans="1:4" x14ac:dyDescent="0.25">
      <c r="A521" s="4">
        <v>36559</v>
      </c>
      <c r="B521">
        <v>130.5</v>
      </c>
      <c r="D521" s="16"/>
    </row>
    <row r="522" spans="1:4" x14ac:dyDescent="0.25">
      <c r="A522" s="4">
        <v>36560</v>
      </c>
      <c r="B522">
        <v>131</v>
      </c>
      <c r="D522" s="16"/>
    </row>
    <row r="523" spans="1:4" x14ac:dyDescent="0.25">
      <c r="A523" s="4">
        <v>36564</v>
      </c>
      <c r="B523">
        <v>130.5</v>
      </c>
      <c r="D523" s="16"/>
    </row>
    <row r="524" spans="1:4" x14ac:dyDescent="0.25">
      <c r="A524" s="4">
        <v>36565</v>
      </c>
      <c r="B524">
        <v>128</v>
      </c>
      <c r="D524" s="16"/>
    </row>
    <row r="525" spans="1:4" x14ac:dyDescent="0.25">
      <c r="A525" s="4">
        <v>36566</v>
      </c>
      <c r="B525">
        <v>127</v>
      </c>
      <c r="D525" s="16"/>
    </row>
    <row r="526" spans="1:4" x14ac:dyDescent="0.25">
      <c r="A526" s="4">
        <v>36567</v>
      </c>
      <c r="B526">
        <v>131.75</v>
      </c>
      <c r="D526" s="16"/>
    </row>
    <row r="527" spans="1:4" x14ac:dyDescent="0.25">
      <c r="A527" s="4">
        <v>36570</v>
      </c>
      <c r="B527">
        <v>136.5</v>
      </c>
      <c r="D527" s="16"/>
    </row>
    <row r="528" spans="1:4" x14ac:dyDescent="0.25">
      <c r="A528" s="4">
        <v>36571</v>
      </c>
      <c r="B528">
        <v>141.25</v>
      </c>
      <c r="D528" s="16"/>
    </row>
    <row r="529" spans="1:4" x14ac:dyDescent="0.25">
      <c r="A529" s="4">
        <v>36572</v>
      </c>
      <c r="B529">
        <v>140.5</v>
      </c>
      <c r="D529" s="16"/>
    </row>
    <row r="530" spans="1:4" x14ac:dyDescent="0.25">
      <c r="A530" s="4">
        <v>36573</v>
      </c>
      <c r="B530">
        <v>144</v>
      </c>
      <c r="D530" s="16"/>
    </row>
    <row r="531" spans="1:4" x14ac:dyDescent="0.25">
      <c r="A531" s="4">
        <v>36574</v>
      </c>
      <c r="B531">
        <v>151.25</v>
      </c>
      <c r="D531" s="16"/>
    </row>
    <row r="532" spans="1:4" x14ac:dyDescent="0.25">
      <c r="A532" s="4">
        <v>36577</v>
      </c>
      <c r="B532">
        <v>164.25</v>
      </c>
      <c r="D532" s="16"/>
    </row>
    <row r="533" spans="1:4" x14ac:dyDescent="0.25">
      <c r="A533" s="4">
        <v>36578</v>
      </c>
      <c r="B533">
        <v>166.25</v>
      </c>
      <c r="D533" s="16"/>
    </row>
    <row r="534" spans="1:4" x14ac:dyDescent="0.25">
      <c r="A534" s="4">
        <v>36579</v>
      </c>
      <c r="B534">
        <v>164.5</v>
      </c>
      <c r="D534" s="16"/>
    </row>
    <row r="535" spans="1:4" x14ac:dyDescent="0.25">
      <c r="A535" s="4">
        <v>36580</v>
      </c>
      <c r="B535">
        <v>168.5</v>
      </c>
      <c r="D535" s="16"/>
    </row>
    <row r="536" spans="1:4" x14ac:dyDescent="0.25">
      <c r="A536" s="4">
        <v>36581</v>
      </c>
      <c r="B536">
        <v>171</v>
      </c>
      <c r="D536" s="16"/>
    </row>
    <row r="537" spans="1:4" x14ac:dyDescent="0.25">
      <c r="A537" s="4">
        <v>36584</v>
      </c>
      <c r="B537">
        <v>162</v>
      </c>
      <c r="D537" s="16"/>
    </row>
    <row r="538" spans="1:4" x14ac:dyDescent="0.25">
      <c r="A538" s="4">
        <v>36585</v>
      </c>
      <c r="B538">
        <v>167</v>
      </c>
      <c r="D538" s="16"/>
    </row>
    <row r="539" spans="1:4" x14ac:dyDescent="0.25">
      <c r="A539" s="4">
        <v>36586</v>
      </c>
      <c r="B539">
        <v>162.5</v>
      </c>
      <c r="D539" s="16"/>
    </row>
    <row r="540" spans="1:4" x14ac:dyDescent="0.25">
      <c r="A540" s="4">
        <v>36587</v>
      </c>
      <c r="B540">
        <v>157</v>
      </c>
      <c r="D540" s="16"/>
    </row>
    <row r="541" spans="1:4" x14ac:dyDescent="0.25">
      <c r="A541" s="4">
        <v>36588</v>
      </c>
      <c r="B541">
        <v>153</v>
      </c>
      <c r="D541" s="16"/>
    </row>
    <row r="542" spans="1:4" x14ac:dyDescent="0.25">
      <c r="A542" s="4">
        <v>36591</v>
      </c>
      <c r="B542">
        <v>142.5</v>
      </c>
      <c r="D542" s="16"/>
    </row>
    <row r="543" spans="1:4" x14ac:dyDescent="0.25">
      <c r="A543" s="4">
        <v>36592</v>
      </c>
      <c r="B543">
        <v>144.5</v>
      </c>
      <c r="D543" s="16"/>
    </row>
    <row r="544" spans="1:4" x14ac:dyDescent="0.25">
      <c r="A544" s="4">
        <v>36593</v>
      </c>
      <c r="B544">
        <v>140</v>
      </c>
      <c r="D544" s="16"/>
    </row>
    <row r="545" spans="1:4" x14ac:dyDescent="0.25">
      <c r="A545" s="4">
        <v>36594</v>
      </c>
      <c r="B545">
        <v>132.5</v>
      </c>
      <c r="D545" s="16"/>
    </row>
    <row r="546" spans="1:4" x14ac:dyDescent="0.25">
      <c r="A546" s="4">
        <v>36595</v>
      </c>
      <c r="B546">
        <v>131.5</v>
      </c>
      <c r="D546" s="16"/>
    </row>
    <row r="547" spans="1:4" x14ac:dyDescent="0.25">
      <c r="A547" s="4">
        <v>36598</v>
      </c>
      <c r="B547">
        <v>126.5</v>
      </c>
      <c r="D547" s="16"/>
    </row>
    <row r="548" spans="1:4" x14ac:dyDescent="0.25">
      <c r="A548" s="4">
        <v>36599</v>
      </c>
      <c r="B548">
        <v>126.5</v>
      </c>
      <c r="D548" s="16"/>
    </row>
    <row r="549" spans="1:4" x14ac:dyDescent="0.25">
      <c r="A549" s="4">
        <v>36600</v>
      </c>
      <c r="B549">
        <v>128</v>
      </c>
      <c r="D549" s="16"/>
    </row>
    <row r="550" spans="1:4" x14ac:dyDescent="0.25">
      <c r="A550" s="4">
        <v>36602</v>
      </c>
      <c r="B550">
        <v>128</v>
      </c>
      <c r="D550" s="16"/>
    </row>
    <row r="551" spans="1:4" x14ac:dyDescent="0.25">
      <c r="A551" s="4">
        <v>36605</v>
      </c>
      <c r="B551">
        <v>127</v>
      </c>
      <c r="D551" s="16"/>
    </row>
    <row r="552" spans="1:4" x14ac:dyDescent="0.25">
      <c r="A552" s="4">
        <v>36606</v>
      </c>
      <c r="B552">
        <v>126.5</v>
      </c>
      <c r="D552" s="16"/>
    </row>
    <row r="553" spans="1:4" x14ac:dyDescent="0.25">
      <c r="A553" s="4">
        <v>36607</v>
      </c>
      <c r="B553">
        <v>127</v>
      </c>
      <c r="D553" s="16"/>
    </row>
    <row r="554" spans="1:4" x14ac:dyDescent="0.25">
      <c r="A554" s="4">
        <v>36608</v>
      </c>
      <c r="B554">
        <v>128.5</v>
      </c>
      <c r="D554" s="16"/>
    </row>
    <row r="555" spans="1:4" x14ac:dyDescent="0.25">
      <c r="A555" s="4">
        <v>36609</v>
      </c>
      <c r="B555">
        <v>127.25</v>
      </c>
      <c r="D555" s="16"/>
    </row>
    <row r="556" spans="1:4" x14ac:dyDescent="0.25">
      <c r="A556" s="4">
        <v>36612</v>
      </c>
      <c r="B556">
        <v>126</v>
      </c>
      <c r="D556" s="16"/>
    </row>
    <row r="557" spans="1:4" x14ac:dyDescent="0.25">
      <c r="A557" s="4">
        <v>36613</v>
      </c>
      <c r="B557">
        <v>129</v>
      </c>
      <c r="D557" s="16"/>
    </row>
    <row r="558" spans="1:4" x14ac:dyDescent="0.25">
      <c r="A558" s="4">
        <v>36614</v>
      </c>
      <c r="B558">
        <v>125</v>
      </c>
      <c r="D558" s="16"/>
    </row>
    <row r="559" spans="1:4" x14ac:dyDescent="0.25">
      <c r="A559" s="4">
        <v>36615</v>
      </c>
      <c r="B559">
        <v>117</v>
      </c>
      <c r="D559" s="16"/>
    </row>
    <row r="560" spans="1:4" x14ac:dyDescent="0.25">
      <c r="A560" s="4">
        <v>36616</v>
      </c>
      <c r="B560">
        <v>111.75</v>
      </c>
      <c r="D560" s="16"/>
    </row>
    <row r="561" spans="1:4" x14ac:dyDescent="0.25">
      <c r="A561" s="4">
        <v>36619</v>
      </c>
      <c r="B561">
        <v>116</v>
      </c>
      <c r="D561" s="16"/>
    </row>
    <row r="562" spans="1:4" x14ac:dyDescent="0.25">
      <c r="A562" s="4">
        <v>36620</v>
      </c>
      <c r="B562">
        <v>122</v>
      </c>
      <c r="D562" s="16"/>
    </row>
    <row r="563" spans="1:4" x14ac:dyDescent="0.25">
      <c r="A563" s="4">
        <v>36621</v>
      </c>
      <c r="B563">
        <v>119.5</v>
      </c>
      <c r="D563" s="16"/>
    </row>
    <row r="564" spans="1:4" x14ac:dyDescent="0.25">
      <c r="A564" s="4">
        <v>36622</v>
      </c>
      <c r="B564">
        <v>116.5</v>
      </c>
      <c r="D564" s="16"/>
    </row>
    <row r="565" spans="1:4" x14ac:dyDescent="0.25">
      <c r="A565" s="4">
        <v>36623</v>
      </c>
      <c r="B565">
        <v>118</v>
      </c>
      <c r="D565" s="16"/>
    </row>
    <row r="566" spans="1:4" x14ac:dyDescent="0.25">
      <c r="A566" s="4">
        <v>36626</v>
      </c>
      <c r="B566">
        <v>116.5</v>
      </c>
      <c r="D566" s="16"/>
    </row>
    <row r="567" spans="1:4" x14ac:dyDescent="0.25">
      <c r="A567" s="4">
        <v>36627</v>
      </c>
      <c r="B567">
        <v>119</v>
      </c>
      <c r="D567" s="16"/>
    </row>
    <row r="568" spans="1:4" x14ac:dyDescent="0.25">
      <c r="A568" s="4">
        <v>36628</v>
      </c>
      <c r="B568">
        <v>117</v>
      </c>
      <c r="D568" s="16"/>
    </row>
    <row r="569" spans="1:4" x14ac:dyDescent="0.25">
      <c r="A569" s="4">
        <v>36629</v>
      </c>
      <c r="B569">
        <v>117.25</v>
      </c>
      <c r="D569" s="16"/>
    </row>
    <row r="570" spans="1:4" x14ac:dyDescent="0.25">
      <c r="A570" s="4">
        <v>36630</v>
      </c>
      <c r="B570">
        <v>116</v>
      </c>
      <c r="D570" s="16"/>
    </row>
    <row r="571" spans="1:4" x14ac:dyDescent="0.25">
      <c r="A571" s="4">
        <v>36633</v>
      </c>
      <c r="B571">
        <v>116.75</v>
      </c>
      <c r="D571" s="16"/>
    </row>
    <row r="572" spans="1:4" x14ac:dyDescent="0.25">
      <c r="A572" s="4">
        <v>36634</v>
      </c>
      <c r="B572">
        <v>118.5</v>
      </c>
      <c r="D572" s="16"/>
    </row>
    <row r="573" spans="1:4" x14ac:dyDescent="0.25">
      <c r="A573" s="4">
        <v>36635</v>
      </c>
      <c r="B573">
        <v>120</v>
      </c>
      <c r="D573" s="16"/>
    </row>
    <row r="574" spans="1:4" x14ac:dyDescent="0.25">
      <c r="A574" s="4">
        <v>36636</v>
      </c>
      <c r="B574">
        <v>115.5</v>
      </c>
      <c r="D574" s="16"/>
    </row>
    <row r="575" spans="1:4" x14ac:dyDescent="0.25">
      <c r="A575" s="4">
        <v>36640</v>
      </c>
      <c r="B575">
        <v>114.25</v>
      </c>
      <c r="D575" s="16"/>
    </row>
    <row r="576" spans="1:4" x14ac:dyDescent="0.25">
      <c r="A576" s="4">
        <v>36641</v>
      </c>
      <c r="B576">
        <v>113</v>
      </c>
      <c r="D576" s="16"/>
    </row>
    <row r="577" spans="1:4" x14ac:dyDescent="0.25">
      <c r="A577" s="4">
        <v>36642</v>
      </c>
      <c r="B577">
        <v>114</v>
      </c>
      <c r="D577" s="16"/>
    </row>
    <row r="578" spans="1:4" x14ac:dyDescent="0.25">
      <c r="A578" s="4">
        <v>36643</v>
      </c>
      <c r="B578">
        <v>114.5</v>
      </c>
      <c r="D578" s="16"/>
    </row>
    <row r="579" spans="1:4" x14ac:dyDescent="0.25">
      <c r="A579" s="4">
        <v>36644</v>
      </c>
      <c r="B579">
        <v>116</v>
      </c>
      <c r="D579" s="16"/>
    </row>
    <row r="580" spans="1:4" x14ac:dyDescent="0.25">
      <c r="A580" s="4">
        <v>36648</v>
      </c>
      <c r="B580">
        <v>119.5</v>
      </c>
      <c r="D580" s="16"/>
    </row>
    <row r="581" spans="1:4" x14ac:dyDescent="0.25">
      <c r="A581" s="4">
        <v>36649</v>
      </c>
      <c r="B581">
        <v>124</v>
      </c>
      <c r="D581" s="16"/>
    </row>
    <row r="582" spans="1:4" x14ac:dyDescent="0.25">
      <c r="A582" s="4">
        <v>36650</v>
      </c>
      <c r="B582">
        <v>126</v>
      </c>
      <c r="D582" s="16"/>
    </row>
    <row r="583" spans="1:4" x14ac:dyDescent="0.25">
      <c r="A583" s="4">
        <v>36651</v>
      </c>
      <c r="B583">
        <v>124</v>
      </c>
      <c r="D583" s="16"/>
    </row>
    <row r="584" spans="1:4" x14ac:dyDescent="0.25">
      <c r="A584" s="4">
        <v>36654</v>
      </c>
      <c r="B584">
        <v>126.5</v>
      </c>
      <c r="D584" s="16"/>
    </row>
    <row r="585" spans="1:4" x14ac:dyDescent="0.25">
      <c r="A585" s="4">
        <v>36655</v>
      </c>
      <c r="B585">
        <v>127.25</v>
      </c>
      <c r="D585" s="16"/>
    </row>
    <row r="586" spans="1:4" x14ac:dyDescent="0.25">
      <c r="A586" s="4">
        <v>36656</v>
      </c>
      <c r="B586">
        <v>129</v>
      </c>
      <c r="D586" s="16"/>
    </row>
    <row r="587" spans="1:4" x14ac:dyDescent="0.25">
      <c r="A587" s="4">
        <v>36657</v>
      </c>
      <c r="B587">
        <v>125.5</v>
      </c>
      <c r="D587" s="16"/>
    </row>
    <row r="588" spans="1:4" x14ac:dyDescent="0.25">
      <c r="A588" s="4">
        <v>36658</v>
      </c>
      <c r="B588">
        <v>128.5</v>
      </c>
      <c r="D588" s="16"/>
    </row>
    <row r="589" spans="1:4" x14ac:dyDescent="0.25">
      <c r="A589" s="4">
        <v>36661</v>
      </c>
      <c r="B589">
        <v>132.5</v>
      </c>
      <c r="D589" s="16"/>
    </row>
    <row r="590" spans="1:4" x14ac:dyDescent="0.25">
      <c r="A590" s="4">
        <v>36662</v>
      </c>
      <c r="B590">
        <v>135.5</v>
      </c>
      <c r="D590" s="16"/>
    </row>
    <row r="591" spans="1:4" x14ac:dyDescent="0.25">
      <c r="A591" s="4">
        <v>36663</v>
      </c>
      <c r="B591">
        <v>138.5</v>
      </c>
      <c r="D591" s="16"/>
    </row>
    <row r="592" spans="1:4" x14ac:dyDescent="0.25">
      <c r="A592" s="4">
        <v>36665</v>
      </c>
      <c r="B592">
        <v>138</v>
      </c>
      <c r="D592" s="16"/>
    </row>
    <row r="593" spans="1:4" x14ac:dyDescent="0.25">
      <c r="A593" s="4">
        <v>36668</v>
      </c>
      <c r="B593">
        <v>133.5</v>
      </c>
      <c r="D593" s="16"/>
    </row>
    <row r="594" spans="1:4" x14ac:dyDescent="0.25">
      <c r="A594" s="4">
        <v>36669</v>
      </c>
      <c r="B594">
        <v>138</v>
      </c>
      <c r="D594" s="16"/>
    </row>
    <row r="595" spans="1:4" x14ac:dyDescent="0.25">
      <c r="A595" s="4">
        <v>36670</v>
      </c>
      <c r="B595">
        <v>139</v>
      </c>
      <c r="D595" s="16"/>
    </row>
    <row r="596" spans="1:4" x14ac:dyDescent="0.25">
      <c r="A596" s="4">
        <v>36671</v>
      </c>
      <c r="B596">
        <v>137</v>
      </c>
      <c r="D596" s="16"/>
    </row>
    <row r="597" spans="1:4" x14ac:dyDescent="0.25">
      <c r="A597" s="4">
        <v>36672</v>
      </c>
      <c r="B597">
        <v>135</v>
      </c>
      <c r="D597" s="16"/>
    </row>
    <row r="598" spans="1:4" x14ac:dyDescent="0.25">
      <c r="A598" s="4">
        <v>36675</v>
      </c>
      <c r="B598">
        <v>138</v>
      </c>
      <c r="D598" s="16"/>
    </row>
    <row r="599" spans="1:4" x14ac:dyDescent="0.25">
      <c r="A599" s="4">
        <v>36676</v>
      </c>
      <c r="B599">
        <v>136.5</v>
      </c>
      <c r="D599" s="16"/>
    </row>
    <row r="600" spans="1:4" x14ac:dyDescent="0.25">
      <c r="A600" s="4">
        <v>36677</v>
      </c>
      <c r="B600">
        <v>140</v>
      </c>
      <c r="D600" s="16"/>
    </row>
    <row r="601" spans="1:4" x14ac:dyDescent="0.25">
      <c r="A601" s="4">
        <v>36678</v>
      </c>
      <c r="B601">
        <v>145</v>
      </c>
      <c r="D601" s="16"/>
    </row>
    <row r="602" spans="1:4" x14ac:dyDescent="0.25">
      <c r="A602" s="4">
        <v>36679</v>
      </c>
      <c r="B602">
        <v>144.5</v>
      </c>
      <c r="D602" s="16"/>
    </row>
    <row r="603" spans="1:4" x14ac:dyDescent="0.25">
      <c r="A603" s="4">
        <v>36682</v>
      </c>
      <c r="B603">
        <v>142.75</v>
      </c>
      <c r="D603" s="16"/>
    </row>
    <row r="604" spans="1:4" x14ac:dyDescent="0.25">
      <c r="A604" s="4">
        <v>36683</v>
      </c>
      <c r="B604">
        <v>139</v>
      </c>
      <c r="D604" s="16"/>
    </row>
    <row r="605" spans="1:4" x14ac:dyDescent="0.25">
      <c r="A605" s="4">
        <v>36684</v>
      </c>
      <c r="B605">
        <v>135.75</v>
      </c>
      <c r="D605" s="16"/>
    </row>
    <row r="606" spans="1:4" x14ac:dyDescent="0.25">
      <c r="A606" s="4">
        <v>36685</v>
      </c>
      <c r="B606">
        <v>138</v>
      </c>
      <c r="D606" s="16"/>
    </row>
    <row r="607" spans="1:4" x14ac:dyDescent="0.25">
      <c r="A607" s="4">
        <v>36686</v>
      </c>
      <c r="B607">
        <v>139.5</v>
      </c>
      <c r="D607" s="16"/>
    </row>
    <row r="608" spans="1:4" x14ac:dyDescent="0.25">
      <c r="A608" s="4">
        <v>36689</v>
      </c>
      <c r="B608">
        <v>139</v>
      </c>
      <c r="D608" s="16"/>
    </row>
    <row r="609" spans="1:4" x14ac:dyDescent="0.25">
      <c r="A609" s="4">
        <v>36690</v>
      </c>
      <c r="B609">
        <v>142.5</v>
      </c>
      <c r="D609" s="16"/>
    </row>
    <row r="610" spans="1:4" x14ac:dyDescent="0.25">
      <c r="A610" s="4">
        <v>36691</v>
      </c>
      <c r="B610">
        <v>144.5</v>
      </c>
      <c r="D610" s="16"/>
    </row>
    <row r="611" spans="1:4" x14ac:dyDescent="0.25">
      <c r="A611" s="4">
        <v>36692</v>
      </c>
      <c r="B611">
        <v>142.5</v>
      </c>
      <c r="D611" s="16"/>
    </row>
    <row r="612" spans="1:4" x14ac:dyDescent="0.25">
      <c r="A612" s="4">
        <v>36693</v>
      </c>
      <c r="B612">
        <v>147</v>
      </c>
      <c r="D612" s="16"/>
    </row>
    <row r="613" spans="1:4" x14ac:dyDescent="0.25">
      <c r="A613" s="4">
        <v>36696</v>
      </c>
      <c r="B613">
        <v>147</v>
      </c>
      <c r="D613" s="16"/>
    </row>
    <row r="614" spans="1:4" x14ac:dyDescent="0.25">
      <c r="A614" s="4">
        <v>36697</v>
      </c>
      <c r="B614">
        <v>148</v>
      </c>
      <c r="D614" s="16"/>
    </row>
    <row r="615" spans="1:4" x14ac:dyDescent="0.25">
      <c r="A615" s="4">
        <v>36698</v>
      </c>
      <c r="B615">
        <v>147.75</v>
      </c>
      <c r="D615" s="16"/>
    </row>
    <row r="616" spans="1:4" x14ac:dyDescent="0.25">
      <c r="A616" s="4">
        <v>36699</v>
      </c>
      <c r="B616">
        <v>143.5</v>
      </c>
      <c r="D616" s="16"/>
    </row>
    <row r="617" spans="1:4" x14ac:dyDescent="0.25">
      <c r="A617" s="4">
        <v>36700</v>
      </c>
      <c r="B617">
        <v>138</v>
      </c>
      <c r="D617" s="16"/>
    </row>
    <row r="618" spans="1:4" x14ac:dyDescent="0.25">
      <c r="A618" s="4">
        <v>36703</v>
      </c>
      <c r="B618">
        <v>137.5</v>
      </c>
      <c r="D618" s="16"/>
    </row>
    <row r="619" spans="1:4" x14ac:dyDescent="0.25">
      <c r="A619" s="4">
        <v>36704</v>
      </c>
      <c r="B619">
        <v>137</v>
      </c>
      <c r="D619" s="16"/>
    </row>
    <row r="620" spans="1:4" x14ac:dyDescent="0.25">
      <c r="A620" s="4">
        <v>36705</v>
      </c>
      <c r="B620">
        <v>135.75</v>
      </c>
      <c r="D620" s="16"/>
    </row>
    <row r="621" spans="1:4" x14ac:dyDescent="0.25">
      <c r="A621" s="4">
        <v>36706</v>
      </c>
      <c r="B621">
        <v>133.5</v>
      </c>
      <c r="D621" s="16"/>
    </row>
    <row r="622" spans="1:4" x14ac:dyDescent="0.25">
      <c r="A622" s="4">
        <v>36707</v>
      </c>
      <c r="B622">
        <v>130</v>
      </c>
      <c r="D622" s="16"/>
    </row>
    <row r="623" spans="1:4" x14ac:dyDescent="0.25">
      <c r="A623" s="4">
        <v>36710</v>
      </c>
      <c r="B623">
        <v>132.5</v>
      </c>
      <c r="D623" s="16"/>
    </row>
    <row r="624" spans="1:4" x14ac:dyDescent="0.25">
      <c r="A624" s="4">
        <v>36711</v>
      </c>
      <c r="B624">
        <v>134.5</v>
      </c>
      <c r="D624" s="16"/>
    </row>
    <row r="625" spans="1:4" x14ac:dyDescent="0.25">
      <c r="A625" s="4">
        <v>36712</v>
      </c>
      <c r="B625">
        <v>130.5</v>
      </c>
      <c r="D625" s="16"/>
    </row>
    <row r="626" spans="1:4" x14ac:dyDescent="0.25">
      <c r="A626" s="4">
        <v>36713</v>
      </c>
      <c r="B626">
        <v>128</v>
      </c>
      <c r="D626" s="16"/>
    </row>
    <row r="627" spans="1:4" x14ac:dyDescent="0.25">
      <c r="A627" s="4">
        <v>36714</v>
      </c>
      <c r="B627">
        <v>129.75</v>
      </c>
      <c r="D627" s="16"/>
    </row>
    <row r="628" spans="1:4" x14ac:dyDescent="0.25">
      <c r="A628" s="4">
        <v>36717</v>
      </c>
      <c r="B628">
        <v>126.25</v>
      </c>
      <c r="D628" s="16"/>
    </row>
    <row r="629" spans="1:4" x14ac:dyDescent="0.25">
      <c r="A629" s="4">
        <v>36718</v>
      </c>
      <c r="B629">
        <v>123.25</v>
      </c>
      <c r="D629" s="16"/>
    </row>
    <row r="630" spans="1:4" x14ac:dyDescent="0.25">
      <c r="A630" s="4">
        <v>36719</v>
      </c>
      <c r="B630">
        <v>122.5</v>
      </c>
      <c r="D630" s="16"/>
    </row>
    <row r="631" spans="1:4" x14ac:dyDescent="0.25">
      <c r="A631" s="4">
        <v>36720</v>
      </c>
      <c r="B631">
        <v>122.75</v>
      </c>
      <c r="D631" s="16"/>
    </row>
    <row r="632" spans="1:4" x14ac:dyDescent="0.25">
      <c r="A632" s="4">
        <v>36721</v>
      </c>
      <c r="B632">
        <v>122.5</v>
      </c>
      <c r="D632" s="16"/>
    </row>
    <row r="633" spans="1:4" x14ac:dyDescent="0.25">
      <c r="A633" s="4">
        <v>36724</v>
      </c>
      <c r="B633">
        <v>125.25</v>
      </c>
      <c r="D633" s="16"/>
    </row>
    <row r="634" spans="1:4" x14ac:dyDescent="0.25">
      <c r="A634" s="4">
        <v>36725</v>
      </c>
      <c r="B634">
        <v>125.25</v>
      </c>
      <c r="D634" s="16"/>
    </row>
    <row r="635" spans="1:4" x14ac:dyDescent="0.25">
      <c r="A635" s="4">
        <v>36726</v>
      </c>
      <c r="B635">
        <v>125.25</v>
      </c>
      <c r="D635" s="16"/>
    </row>
    <row r="636" spans="1:4" x14ac:dyDescent="0.25">
      <c r="A636" s="4">
        <v>36727</v>
      </c>
      <c r="B636">
        <v>124</v>
      </c>
      <c r="D636" s="16"/>
    </row>
    <row r="637" spans="1:4" x14ac:dyDescent="0.25">
      <c r="A637" s="4">
        <v>36728</v>
      </c>
      <c r="B637">
        <v>125.5</v>
      </c>
      <c r="D637" s="16"/>
    </row>
    <row r="638" spans="1:4" x14ac:dyDescent="0.25">
      <c r="A638" s="4">
        <v>36731</v>
      </c>
      <c r="B638">
        <v>128</v>
      </c>
      <c r="D638" s="16"/>
    </row>
    <row r="639" spans="1:4" x14ac:dyDescent="0.25">
      <c r="A639" s="4">
        <v>36732</v>
      </c>
      <c r="B639">
        <v>127</v>
      </c>
      <c r="D639" s="16"/>
    </row>
    <row r="640" spans="1:4" x14ac:dyDescent="0.25">
      <c r="A640" s="4">
        <v>36733</v>
      </c>
      <c r="B640">
        <v>130.5</v>
      </c>
      <c r="D640" s="16"/>
    </row>
    <row r="641" spans="1:4" x14ac:dyDescent="0.25">
      <c r="A641" s="4">
        <v>36734</v>
      </c>
      <c r="B641">
        <v>125</v>
      </c>
      <c r="D641" s="16"/>
    </row>
    <row r="642" spans="1:4" x14ac:dyDescent="0.25">
      <c r="A642" s="4">
        <v>36735</v>
      </c>
      <c r="B642">
        <v>128.5</v>
      </c>
      <c r="D642" s="16"/>
    </row>
    <row r="643" spans="1:4" x14ac:dyDescent="0.25">
      <c r="A643" s="4">
        <v>36738</v>
      </c>
      <c r="B643">
        <v>127</v>
      </c>
      <c r="D643" s="16"/>
    </row>
    <row r="644" spans="1:4" x14ac:dyDescent="0.25">
      <c r="A644" s="4">
        <v>36739</v>
      </c>
      <c r="B644">
        <v>126.5</v>
      </c>
      <c r="D644" s="16"/>
    </row>
    <row r="645" spans="1:4" x14ac:dyDescent="0.25">
      <c r="A645" s="4">
        <v>36740</v>
      </c>
      <c r="B645">
        <v>125</v>
      </c>
      <c r="D645" s="16"/>
    </row>
    <row r="646" spans="1:4" x14ac:dyDescent="0.25">
      <c r="A646" s="4">
        <v>36741</v>
      </c>
      <c r="B646">
        <v>127</v>
      </c>
      <c r="D646" s="16"/>
    </row>
    <row r="647" spans="1:4" x14ac:dyDescent="0.25">
      <c r="A647" s="4">
        <v>36742</v>
      </c>
      <c r="B647">
        <v>126.25</v>
      </c>
      <c r="D647" s="16"/>
    </row>
    <row r="648" spans="1:4" x14ac:dyDescent="0.25">
      <c r="A648" s="4">
        <v>36745</v>
      </c>
      <c r="B648">
        <v>129</v>
      </c>
      <c r="D648" s="16"/>
    </row>
    <row r="649" spans="1:4" x14ac:dyDescent="0.25">
      <c r="A649" s="4">
        <v>36746</v>
      </c>
      <c r="B649">
        <v>128</v>
      </c>
      <c r="D649" s="16"/>
    </row>
    <row r="650" spans="1:4" x14ac:dyDescent="0.25">
      <c r="A650" s="4">
        <v>36748</v>
      </c>
      <c r="B650">
        <v>130</v>
      </c>
      <c r="D650" s="16"/>
    </row>
    <row r="651" spans="1:4" x14ac:dyDescent="0.25">
      <c r="A651" s="4">
        <v>36749</v>
      </c>
      <c r="B651">
        <v>133</v>
      </c>
      <c r="D651" s="16"/>
    </row>
    <row r="652" spans="1:4" x14ac:dyDescent="0.25">
      <c r="A652" s="4">
        <v>36752</v>
      </c>
      <c r="B652">
        <v>136</v>
      </c>
      <c r="D652" s="16"/>
    </row>
    <row r="653" spans="1:4" x14ac:dyDescent="0.25">
      <c r="A653" s="4">
        <v>36753</v>
      </c>
      <c r="B653">
        <v>137</v>
      </c>
      <c r="D653" s="16"/>
    </row>
    <row r="654" spans="1:4" x14ac:dyDescent="0.25">
      <c r="A654" s="4">
        <v>36754</v>
      </c>
      <c r="B654">
        <v>133.75</v>
      </c>
      <c r="D654" s="16"/>
    </row>
    <row r="655" spans="1:4" x14ac:dyDescent="0.25">
      <c r="A655" s="4">
        <v>36755</v>
      </c>
      <c r="B655">
        <v>139</v>
      </c>
      <c r="D655" s="16"/>
    </row>
    <row r="656" spans="1:4" x14ac:dyDescent="0.25">
      <c r="A656" s="4">
        <v>36756</v>
      </c>
      <c r="B656">
        <v>140</v>
      </c>
      <c r="D656" s="16"/>
    </row>
    <row r="657" spans="1:4" x14ac:dyDescent="0.25">
      <c r="A657" s="4">
        <v>36759</v>
      </c>
      <c r="B657">
        <v>141.75</v>
      </c>
      <c r="D657" s="16"/>
    </row>
    <row r="658" spans="1:4" x14ac:dyDescent="0.25">
      <c r="A658" s="4">
        <v>36760</v>
      </c>
      <c r="B658">
        <v>145.25</v>
      </c>
      <c r="D658" s="16"/>
    </row>
    <row r="659" spans="1:4" x14ac:dyDescent="0.25">
      <c r="A659" s="4">
        <v>36761</v>
      </c>
      <c r="B659">
        <v>149.5</v>
      </c>
      <c r="D659" s="16"/>
    </row>
    <row r="660" spans="1:4" x14ac:dyDescent="0.25">
      <c r="A660" s="4">
        <v>36762</v>
      </c>
      <c r="B660">
        <v>157</v>
      </c>
      <c r="D660" s="16"/>
    </row>
    <row r="661" spans="1:4" x14ac:dyDescent="0.25">
      <c r="A661" s="4">
        <v>36763</v>
      </c>
      <c r="B661">
        <v>155</v>
      </c>
      <c r="D661" s="16"/>
    </row>
    <row r="662" spans="1:4" x14ac:dyDescent="0.25">
      <c r="A662" s="4">
        <v>36766</v>
      </c>
      <c r="B662">
        <v>160</v>
      </c>
      <c r="D662" s="16"/>
    </row>
    <row r="663" spans="1:4" x14ac:dyDescent="0.25">
      <c r="A663" s="4">
        <v>36767</v>
      </c>
      <c r="B663">
        <v>154.5</v>
      </c>
      <c r="D663" s="16"/>
    </row>
    <row r="664" spans="1:4" x14ac:dyDescent="0.25">
      <c r="A664" s="4">
        <v>36768</v>
      </c>
      <c r="B664">
        <v>150</v>
      </c>
      <c r="D664" s="16"/>
    </row>
    <row r="665" spans="1:4" x14ac:dyDescent="0.25">
      <c r="A665" s="4">
        <v>36769</v>
      </c>
      <c r="B665">
        <v>156</v>
      </c>
      <c r="D665" s="16"/>
    </row>
    <row r="666" spans="1:4" x14ac:dyDescent="0.25">
      <c r="A666" s="4">
        <v>36770</v>
      </c>
      <c r="B666">
        <v>147</v>
      </c>
      <c r="D666" s="16"/>
    </row>
    <row r="667" spans="1:4" x14ac:dyDescent="0.25">
      <c r="A667" s="4">
        <v>36773</v>
      </c>
      <c r="B667">
        <v>146.5</v>
      </c>
      <c r="D667" s="16"/>
    </row>
    <row r="668" spans="1:4" x14ac:dyDescent="0.25">
      <c r="A668" s="4">
        <v>36774</v>
      </c>
      <c r="B668">
        <v>152.5</v>
      </c>
      <c r="D668" s="16"/>
    </row>
    <row r="669" spans="1:4" x14ac:dyDescent="0.25">
      <c r="A669" s="4">
        <v>36775</v>
      </c>
      <c r="B669">
        <v>157.5</v>
      </c>
      <c r="D669" s="16"/>
    </row>
    <row r="670" spans="1:4" x14ac:dyDescent="0.25">
      <c r="A670" s="4">
        <v>36776</v>
      </c>
      <c r="B670">
        <v>158</v>
      </c>
      <c r="D670" s="16"/>
    </row>
    <row r="671" spans="1:4" x14ac:dyDescent="0.25">
      <c r="A671" s="4">
        <v>36777</v>
      </c>
      <c r="B671">
        <v>158.5</v>
      </c>
      <c r="D671" s="16"/>
    </row>
    <row r="672" spans="1:4" x14ac:dyDescent="0.25">
      <c r="A672" s="4">
        <v>36780</v>
      </c>
      <c r="B672">
        <v>156</v>
      </c>
      <c r="D672" s="16"/>
    </row>
    <row r="673" spans="1:4" x14ac:dyDescent="0.25">
      <c r="A673" s="4">
        <v>36781</v>
      </c>
      <c r="B673">
        <v>155.5</v>
      </c>
      <c r="D673" s="16"/>
    </row>
    <row r="674" spans="1:4" x14ac:dyDescent="0.25">
      <c r="A674" s="4">
        <v>36782</v>
      </c>
      <c r="B674">
        <v>145</v>
      </c>
      <c r="D674" s="16"/>
    </row>
    <row r="675" spans="1:4" x14ac:dyDescent="0.25">
      <c r="A675" s="4">
        <v>36783</v>
      </c>
      <c r="B675">
        <v>149.25</v>
      </c>
      <c r="D675" s="16"/>
    </row>
    <row r="676" spans="1:4" x14ac:dyDescent="0.25">
      <c r="A676" s="4">
        <v>36784</v>
      </c>
      <c r="B676">
        <v>150.25</v>
      </c>
      <c r="D676" s="16"/>
    </row>
    <row r="677" spans="1:4" x14ac:dyDescent="0.25">
      <c r="A677" s="4">
        <v>36787</v>
      </c>
      <c r="B677">
        <v>151</v>
      </c>
      <c r="D677" s="16"/>
    </row>
    <row r="678" spans="1:4" x14ac:dyDescent="0.25">
      <c r="A678" s="4">
        <v>36788</v>
      </c>
      <c r="B678">
        <v>149</v>
      </c>
      <c r="D678" s="16"/>
    </row>
    <row r="679" spans="1:4" x14ac:dyDescent="0.25">
      <c r="A679" s="4">
        <v>36789</v>
      </c>
      <c r="B679">
        <v>155.5</v>
      </c>
      <c r="D679" s="16"/>
    </row>
    <row r="680" spans="1:4" x14ac:dyDescent="0.25">
      <c r="A680" s="4">
        <v>36790</v>
      </c>
      <c r="B680">
        <v>154</v>
      </c>
      <c r="D680" s="16"/>
    </row>
    <row r="681" spans="1:4" x14ac:dyDescent="0.25">
      <c r="A681" s="4">
        <v>36791</v>
      </c>
      <c r="B681">
        <v>155.5</v>
      </c>
      <c r="D681" s="16"/>
    </row>
    <row r="682" spans="1:4" x14ac:dyDescent="0.25">
      <c r="A682" s="4">
        <v>36794</v>
      </c>
      <c r="B682">
        <v>153.5</v>
      </c>
      <c r="D682" s="16"/>
    </row>
    <row r="683" spans="1:4" x14ac:dyDescent="0.25">
      <c r="A683" s="4">
        <v>36795</v>
      </c>
      <c r="B683">
        <v>153.5</v>
      </c>
      <c r="D683" s="16"/>
    </row>
    <row r="684" spans="1:4" x14ac:dyDescent="0.25">
      <c r="A684" s="4">
        <v>36796</v>
      </c>
      <c r="B684">
        <v>156</v>
      </c>
      <c r="D684" s="16"/>
    </row>
    <row r="685" spans="1:4" x14ac:dyDescent="0.25">
      <c r="A685" s="4">
        <v>36797</v>
      </c>
      <c r="B685">
        <v>160.75</v>
      </c>
      <c r="D685" s="16"/>
    </row>
    <row r="686" spans="1:4" x14ac:dyDescent="0.25">
      <c r="A686" s="4">
        <v>36798</v>
      </c>
      <c r="B686">
        <v>167.25</v>
      </c>
      <c r="D686" s="16"/>
    </row>
    <row r="687" spans="1:4" x14ac:dyDescent="0.25">
      <c r="A687" s="4">
        <v>36801</v>
      </c>
      <c r="B687">
        <v>168.5</v>
      </c>
      <c r="D687" s="16"/>
    </row>
    <row r="688" spans="1:4" x14ac:dyDescent="0.25">
      <c r="A688" s="4">
        <v>36802</v>
      </c>
      <c r="B688">
        <v>171</v>
      </c>
      <c r="D688" s="16"/>
    </row>
    <row r="689" spans="1:4" x14ac:dyDescent="0.25">
      <c r="A689" s="4">
        <v>36803</v>
      </c>
      <c r="B689">
        <v>164</v>
      </c>
      <c r="D689" s="16"/>
    </row>
    <row r="690" spans="1:4" x14ac:dyDescent="0.25">
      <c r="A690" s="4">
        <v>36804</v>
      </c>
      <c r="B690">
        <v>160.25</v>
      </c>
      <c r="D690" s="16"/>
    </row>
    <row r="691" spans="1:4" x14ac:dyDescent="0.25">
      <c r="A691" s="4">
        <v>36805</v>
      </c>
      <c r="B691">
        <v>161.5</v>
      </c>
      <c r="D691" s="16"/>
    </row>
    <row r="692" spans="1:4" x14ac:dyDescent="0.25">
      <c r="A692" s="4">
        <v>36808</v>
      </c>
      <c r="B692">
        <v>158.75</v>
      </c>
      <c r="D692" s="16"/>
    </row>
    <row r="693" spans="1:4" x14ac:dyDescent="0.25">
      <c r="A693" s="4">
        <v>36809</v>
      </c>
      <c r="B693">
        <v>153.5</v>
      </c>
      <c r="D693" s="16"/>
    </row>
    <row r="694" spans="1:4" x14ac:dyDescent="0.25">
      <c r="A694" s="4">
        <v>36810</v>
      </c>
      <c r="B694">
        <v>156</v>
      </c>
      <c r="D694" s="16"/>
    </row>
    <row r="695" spans="1:4" x14ac:dyDescent="0.25">
      <c r="A695" s="4">
        <v>36811</v>
      </c>
      <c r="B695">
        <v>155</v>
      </c>
      <c r="D695" s="16"/>
    </row>
    <row r="696" spans="1:4" x14ac:dyDescent="0.25">
      <c r="A696" s="4">
        <v>36812</v>
      </c>
      <c r="B696">
        <v>154.5</v>
      </c>
      <c r="D696" s="16"/>
    </row>
    <row r="697" spans="1:4" x14ac:dyDescent="0.25">
      <c r="A697" s="4">
        <v>36815</v>
      </c>
      <c r="B697">
        <v>153</v>
      </c>
      <c r="D697" s="16"/>
    </row>
    <row r="698" spans="1:4" x14ac:dyDescent="0.25">
      <c r="A698" s="4">
        <v>36816</v>
      </c>
      <c r="B698">
        <v>151</v>
      </c>
      <c r="D698" s="16"/>
    </row>
    <row r="699" spans="1:4" x14ac:dyDescent="0.25">
      <c r="A699" s="4">
        <v>36817</v>
      </c>
      <c r="B699">
        <v>146.5</v>
      </c>
      <c r="D699" s="16"/>
    </row>
    <row r="700" spans="1:4" x14ac:dyDescent="0.25">
      <c r="A700" s="4">
        <v>36818</v>
      </c>
      <c r="B700">
        <v>144.5</v>
      </c>
      <c r="D700" s="16"/>
    </row>
    <row r="701" spans="1:4" x14ac:dyDescent="0.25">
      <c r="A701" s="4">
        <v>36819</v>
      </c>
      <c r="B701">
        <v>146</v>
      </c>
      <c r="D701" s="16"/>
    </row>
    <row r="702" spans="1:4" x14ac:dyDescent="0.25">
      <c r="A702" s="4">
        <v>36822</v>
      </c>
      <c r="B702">
        <v>143.25</v>
      </c>
      <c r="D702" s="16"/>
    </row>
    <row r="703" spans="1:4" x14ac:dyDescent="0.25">
      <c r="A703" s="4">
        <v>36823</v>
      </c>
      <c r="B703">
        <v>142</v>
      </c>
      <c r="D703" s="16"/>
    </row>
    <row r="704" spans="1:4" x14ac:dyDescent="0.25">
      <c r="A704" s="4">
        <v>36824</v>
      </c>
      <c r="B704">
        <v>138.75</v>
      </c>
      <c r="D704" s="16"/>
    </row>
    <row r="705" spans="1:4" x14ac:dyDescent="0.25">
      <c r="A705" s="4">
        <v>36826</v>
      </c>
      <c r="B705">
        <v>139.5</v>
      </c>
      <c r="D705" s="16"/>
    </row>
    <row r="706" spans="1:4" x14ac:dyDescent="0.25">
      <c r="A706" s="4">
        <v>36829</v>
      </c>
      <c r="B706">
        <v>140</v>
      </c>
      <c r="D706" s="16"/>
    </row>
    <row r="707" spans="1:4" x14ac:dyDescent="0.25">
      <c r="A707" s="4">
        <v>36830</v>
      </c>
      <c r="B707">
        <v>139.25</v>
      </c>
      <c r="D707" s="16"/>
    </row>
    <row r="708" spans="1:4" x14ac:dyDescent="0.25">
      <c r="A708" s="4">
        <v>36831</v>
      </c>
      <c r="B708">
        <v>142.25</v>
      </c>
      <c r="D708" s="16"/>
    </row>
    <row r="709" spans="1:4" x14ac:dyDescent="0.25">
      <c r="A709" s="4">
        <v>36832</v>
      </c>
      <c r="B709">
        <v>144.5</v>
      </c>
      <c r="D709" s="16"/>
    </row>
    <row r="710" spans="1:4" x14ac:dyDescent="0.25">
      <c r="A710" s="4">
        <v>36833</v>
      </c>
      <c r="B710">
        <v>147.5</v>
      </c>
      <c r="D710" s="16"/>
    </row>
    <row r="711" spans="1:4" x14ac:dyDescent="0.25">
      <c r="A711" s="4">
        <v>36836</v>
      </c>
      <c r="B711">
        <v>152</v>
      </c>
      <c r="D711" s="16"/>
    </row>
    <row r="712" spans="1:4" x14ac:dyDescent="0.25">
      <c r="A712" s="4">
        <v>36837</v>
      </c>
      <c r="B712">
        <v>151.5</v>
      </c>
      <c r="D712" s="16"/>
    </row>
    <row r="713" spans="1:4" x14ac:dyDescent="0.25">
      <c r="A713" s="4">
        <v>36838</v>
      </c>
      <c r="B713">
        <v>147.25</v>
      </c>
      <c r="D713" s="16"/>
    </row>
    <row r="714" spans="1:4" x14ac:dyDescent="0.25">
      <c r="A714" s="4">
        <v>36839</v>
      </c>
      <c r="B714">
        <v>153</v>
      </c>
      <c r="D714" s="16"/>
    </row>
    <row r="715" spans="1:4" x14ac:dyDescent="0.25">
      <c r="A715" s="4">
        <v>36840</v>
      </c>
      <c r="B715">
        <v>151</v>
      </c>
      <c r="D715" s="16"/>
    </row>
    <row r="716" spans="1:4" x14ac:dyDescent="0.25">
      <c r="A716" s="4">
        <v>36843</v>
      </c>
      <c r="B716">
        <v>147.5</v>
      </c>
      <c r="D716" s="16"/>
    </row>
    <row r="717" spans="1:4" x14ac:dyDescent="0.25">
      <c r="A717" s="4">
        <v>36844</v>
      </c>
      <c r="B717">
        <v>150</v>
      </c>
      <c r="D717" s="16"/>
    </row>
    <row r="718" spans="1:4" x14ac:dyDescent="0.25">
      <c r="A718" s="4">
        <v>36845</v>
      </c>
      <c r="B718">
        <v>148</v>
      </c>
      <c r="D718" s="16"/>
    </row>
    <row r="719" spans="1:4" x14ac:dyDescent="0.25">
      <c r="A719" s="4">
        <v>36846</v>
      </c>
      <c r="B719">
        <v>151</v>
      </c>
      <c r="D719" s="16"/>
    </row>
    <row r="720" spans="1:4" x14ac:dyDescent="0.25">
      <c r="A720" s="4">
        <v>36847</v>
      </c>
      <c r="B720">
        <v>150</v>
      </c>
      <c r="D720" s="16"/>
    </row>
    <row r="721" spans="1:4" x14ac:dyDescent="0.25">
      <c r="A721" s="4">
        <v>36850</v>
      </c>
      <c r="B721">
        <v>147.25</v>
      </c>
      <c r="D721" s="16"/>
    </row>
    <row r="722" spans="1:4" x14ac:dyDescent="0.25">
      <c r="A722" s="4">
        <v>36851</v>
      </c>
      <c r="B722">
        <v>150.5</v>
      </c>
      <c r="D722" s="16"/>
    </row>
    <row r="723" spans="1:4" x14ac:dyDescent="0.25">
      <c r="A723" s="4">
        <v>36852</v>
      </c>
      <c r="B723">
        <v>148.75</v>
      </c>
      <c r="D723" s="16"/>
    </row>
    <row r="724" spans="1:4" x14ac:dyDescent="0.25">
      <c r="A724" s="4">
        <v>36853</v>
      </c>
      <c r="B724">
        <v>146.75</v>
      </c>
      <c r="D724" s="16"/>
    </row>
    <row r="725" spans="1:4" x14ac:dyDescent="0.25">
      <c r="A725" s="4">
        <v>36854</v>
      </c>
      <c r="B725">
        <v>139</v>
      </c>
      <c r="D725" s="16"/>
    </row>
    <row r="726" spans="1:4" x14ac:dyDescent="0.25">
      <c r="A726" s="4">
        <v>36857</v>
      </c>
      <c r="B726">
        <v>133.25</v>
      </c>
      <c r="D726" s="16"/>
    </row>
    <row r="727" spans="1:4" x14ac:dyDescent="0.25">
      <c r="A727" s="4">
        <v>36858</v>
      </c>
      <c r="B727">
        <v>136.5</v>
      </c>
      <c r="D727" s="16"/>
    </row>
    <row r="728" spans="1:4" x14ac:dyDescent="0.25">
      <c r="A728" s="4">
        <v>36859</v>
      </c>
      <c r="B728">
        <v>129</v>
      </c>
      <c r="D728" s="16"/>
    </row>
    <row r="729" spans="1:4" x14ac:dyDescent="0.25">
      <c r="A729" s="4">
        <v>36860</v>
      </c>
      <c r="B729">
        <v>128.5</v>
      </c>
      <c r="D729" s="16"/>
    </row>
    <row r="730" spans="1:4" x14ac:dyDescent="0.25">
      <c r="A730" s="4">
        <v>36861</v>
      </c>
      <c r="B730">
        <v>129</v>
      </c>
      <c r="D730" s="16"/>
    </row>
    <row r="731" spans="1:4" x14ac:dyDescent="0.25">
      <c r="A731" s="4">
        <v>36864</v>
      </c>
      <c r="B731">
        <v>129.5</v>
      </c>
      <c r="D731" s="16"/>
    </row>
    <row r="732" spans="1:4" x14ac:dyDescent="0.25">
      <c r="A732" s="4">
        <v>36865</v>
      </c>
      <c r="B732">
        <v>122</v>
      </c>
      <c r="D732" s="16"/>
    </row>
    <row r="733" spans="1:4" x14ac:dyDescent="0.25">
      <c r="A733" s="4">
        <v>36866</v>
      </c>
      <c r="B733">
        <v>111.5</v>
      </c>
      <c r="D733" s="16"/>
    </row>
    <row r="734" spans="1:4" x14ac:dyDescent="0.25">
      <c r="A734" s="4">
        <v>36867</v>
      </c>
      <c r="B734">
        <v>116.75</v>
      </c>
      <c r="D734" s="16"/>
    </row>
    <row r="735" spans="1:4" x14ac:dyDescent="0.25">
      <c r="A735" s="4">
        <v>36868</v>
      </c>
      <c r="B735">
        <v>114</v>
      </c>
      <c r="D735" s="16"/>
    </row>
    <row r="736" spans="1:4" x14ac:dyDescent="0.25">
      <c r="A736" s="4">
        <v>36871</v>
      </c>
      <c r="B736">
        <v>109.5</v>
      </c>
      <c r="D736" s="16"/>
    </row>
    <row r="737" spans="1:4" x14ac:dyDescent="0.25">
      <c r="A737" s="4">
        <v>36872</v>
      </c>
      <c r="B737">
        <v>101</v>
      </c>
      <c r="D737" s="16"/>
    </row>
    <row r="738" spans="1:4" x14ac:dyDescent="0.25">
      <c r="A738" s="4">
        <v>36873</v>
      </c>
      <c r="B738">
        <v>99.5</v>
      </c>
      <c r="D738" s="16"/>
    </row>
    <row r="739" spans="1:4" x14ac:dyDescent="0.25">
      <c r="A739" s="4">
        <v>36874</v>
      </c>
      <c r="B739">
        <v>106</v>
      </c>
      <c r="D739" s="16"/>
    </row>
    <row r="740" spans="1:4" x14ac:dyDescent="0.25">
      <c r="A740" s="4">
        <v>36875</v>
      </c>
      <c r="B740">
        <v>105</v>
      </c>
      <c r="D740" s="16"/>
    </row>
    <row r="741" spans="1:4" x14ac:dyDescent="0.25">
      <c r="A741" s="4">
        <v>36878</v>
      </c>
      <c r="B741">
        <v>101.25</v>
      </c>
      <c r="D741" s="16"/>
    </row>
    <row r="742" spans="1:4" x14ac:dyDescent="0.25">
      <c r="A742" s="4">
        <v>36879</v>
      </c>
      <c r="B742">
        <v>108</v>
      </c>
      <c r="D742" s="16"/>
    </row>
    <row r="743" spans="1:4" x14ac:dyDescent="0.25">
      <c r="A743" s="4">
        <v>36880</v>
      </c>
      <c r="B743">
        <v>106</v>
      </c>
      <c r="D743" s="16"/>
    </row>
    <row r="744" spans="1:4" x14ac:dyDescent="0.25">
      <c r="A744" s="4">
        <v>36881</v>
      </c>
      <c r="B744">
        <v>103</v>
      </c>
      <c r="D744" s="16"/>
    </row>
    <row r="745" spans="1:4" x14ac:dyDescent="0.25">
      <c r="A745" s="4">
        <v>36882</v>
      </c>
      <c r="B745">
        <v>98.5</v>
      </c>
      <c r="D745" s="16"/>
    </row>
    <row r="746" spans="1:4" x14ac:dyDescent="0.25">
      <c r="A746" s="4">
        <v>36886</v>
      </c>
      <c r="B746">
        <v>102</v>
      </c>
      <c r="D746" s="16"/>
    </row>
    <row r="747" spans="1:4" x14ac:dyDescent="0.25">
      <c r="A747" s="4">
        <v>36888</v>
      </c>
      <c r="B747">
        <v>99.5</v>
      </c>
      <c r="D747" s="16"/>
    </row>
    <row r="748" spans="1:4" x14ac:dyDescent="0.25">
      <c r="A748" s="4">
        <v>36889</v>
      </c>
      <c r="B748">
        <v>100</v>
      </c>
      <c r="D748" s="16"/>
    </row>
    <row r="749" spans="1:4" x14ac:dyDescent="0.25">
      <c r="A749" s="4">
        <v>36893</v>
      </c>
      <c r="B749">
        <v>102</v>
      </c>
      <c r="D749" s="16"/>
    </row>
    <row r="750" spans="1:4" x14ac:dyDescent="0.25">
      <c r="A750" s="4">
        <v>36894</v>
      </c>
      <c r="B750">
        <v>96.5</v>
      </c>
      <c r="D750" s="16"/>
    </row>
    <row r="751" spans="1:4" x14ac:dyDescent="0.25">
      <c r="A751" s="4">
        <v>36895</v>
      </c>
      <c r="B751">
        <v>98</v>
      </c>
      <c r="D751" s="16"/>
    </row>
    <row r="752" spans="1:4" x14ac:dyDescent="0.25">
      <c r="A752" s="4">
        <v>36896</v>
      </c>
      <c r="B752">
        <v>98</v>
      </c>
      <c r="D752" s="16"/>
    </row>
    <row r="753" spans="1:4" x14ac:dyDescent="0.25">
      <c r="A753" s="4">
        <v>36899</v>
      </c>
      <c r="B753">
        <v>97</v>
      </c>
      <c r="D753" s="16"/>
    </row>
    <row r="754" spans="1:4" x14ac:dyDescent="0.25">
      <c r="A754" s="4">
        <v>36900</v>
      </c>
      <c r="B754">
        <v>96</v>
      </c>
      <c r="D754" s="16"/>
    </row>
    <row r="755" spans="1:4" x14ac:dyDescent="0.25">
      <c r="A755" s="4">
        <v>36901</v>
      </c>
      <c r="B755">
        <v>100</v>
      </c>
      <c r="D755" s="16"/>
    </row>
    <row r="756" spans="1:4" x14ac:dyDescent="0.25">
      <c r="A756" s="4">
        <v>36902</v>
      </c>
      <c r="B756">
        <v>104.5</v>
      </c>
      <c r="D756" s="16"/>
    </row>
    <row r="757" spans="1:4" x14ac:dyDescent="0.25">
      <c r="A757" s="4">
        <v>36903</v>
      </c>
      <c r="B757">
        <v>102</v>
      </c>
      <c r="D757" s="16"/>
    </row>
    <row r="758" spans="1:4" x14ac:dyDescent="0.25">
      <c r="A758" s="4">
        <v>36906</v>
      </c>
      <c r="B758">
        <v>103</v>
      </c>
      <c r="D758" s="16"/>
    </row>
    <row r="759" spans="1:4" x14ac:dyDescent="0.25">
      <c r="A759" s="4">
        <v>36907</v>
      </c>
      <c r="B759">
        <v>101.5</v>
      </c>
      <c r="D759" s="16"/>
    </row>
    <row r="760" spans="1:4" x14ac:dyDescent="0.25">
      <c r="A760" s="4">
        <v>36908</v>
      </c>
      <c r="B760">
        <v>103.5</v>
      </c>
      <c r="D760" s="16"/>
    </row>
    <row r="761" spans="1:4" x14ac:dyDescent="0.25">
      <c r="A761" s="4">
        <v>36909</v>
      </c>
      <c r="B761">
        <v>109</v>
      </c>
      <c r="D761" s="16"/>
    </row>
    <row r="762" spans="1:4" x14ac:dyDescent="0.25">
      <c r="A762" s="4">
        <v>36910</v>
      </c>
      <c r="B762">
        <v>108.5</v>
      </c>
      <c r="D762" s="16"/>
    </row>
    <row r="763" spans="1:4" x14ac:dyDescent="0.25">
      <c r="A763" s="4">
        <v>36913</v>
      </c>
      <c r="B763">
        <v>109</v>
      </c>
      <c r="D763" s="16"/>
    </row>
    <row r="764" spans="1:4" x14ac:dyDescent="0.25">
      <c r="A764" s="4">
        <v>36914</v>
      </c>
      <c r="B764">
        <v>109</v>
      </c>
      <c r="D764" s="16"/>
    </row>
    <row r="765" spans="1:4" x14ac:dyDescent="0.25">
      <c r="A765" s="4">
        <v>36917</v>
      </c>
      <c r="B765">
        <v>112</v>
      </c>
      <c r="D765" s="16"/>
    </row>
    <row r="766" spans="1:4" x14ac:dyDescent="0.25">
      <c r="A766" s="4">
        <v>36920</v>
      </c>
      <c r="B766">
        <v>123</v>
      </c>
      <c r="D766" s="16"/>
    </row>
    <row r="767" spans="1:4" x14ac:dyDescent="0.25">
      <c r="A767" s="4">
        <v>36921</v>
      </c>
      <c r="B767">
        <v>121.5</v>
      </c>
      <c r="D767" s="16"/>
    </row>
    <row r="768" spans="1:4" x14ac:dyDescent="0.25">
      <c r="A768" s="4">
        <v>36922</v>
      </c>
      <c r="B768">
        <v>121.25</v>
      </c>
      <c r="D768" s="16"/>
    </row>
    <row r="769" spans="1:4" x14ac:dyDescent="0.25">
      <c r="A769" s="4">
        <v>36923</v>
      </c>
      <c r="B769">
        <v>122</v>
      </c>
      <c r="D769" s="16"/>
    </row>
    <row r="770" spans="1:4" x14ac:dyDescent="0.25">
      <c r="A770" s="4">
        <v>36924</v>
      </c>
      <c r="B770">
        <v>122</v>
      </c>
      <c r="D770" s="16"/>
    </row>
    <row r="771" spans="1:4" x14ac:dyDescent="0.25">
      <c r="A771" s="4">
        <v>36927</v>
      </c>
      <c r="B771">
        <v>113.5</v>
      </c>
      <c r="D771" s="16"/>
    </row>
    <row r="772" spans="1:4" x14ac:dyDescent="0.25">
      <c r="A772" s="4">
        <v>36928</v>
      </c>
      <c r="B772">
        <v>106.5</v>
      </c>
      <c r="D772" s="16"/>
    </row>
    <row r="773" spans="1:4" x14ac:dyDescent="0.25">
      <c r="A773" s="4">
        <v>36929</v>
      </c>
      <c r="B773">
        <v>105.5</v>
      </c>
      <c r="D773" s="16"/>
    </row>
    <row r="774" spans="1:4" x14ac:dyDescent="0.25">
      <c r="A774" s="4">
        <v>36930</v>
      </c>
      <c r="B774">
        <v>112.5</v>
      </c>
      <c r="D774" s="16"/>
    </row>
    <row r="775" spans="1:4" x14ac:dyDescent="0.25">
      <c r="A775" s="4">
        <v>36931</v>
      </c>
      <c r="B775">
        <v>120</v>
      </c>
      <c r="D775" s="16"/>
    </row>
    <row r="776" spans="1:4" x14ac:dyDescent="0.25">
      <c r="A776" s="4">
        <v>36934</v>
      </c>
      <c r="B776">
        <v>123</v>
      </c>
      <c r="D776" s="16"/>
    </row>
    <row r="777" spans="1:4" x14ac:dyDescent="0.25">
      <c r="A777" s="4">
        <v>36935</v>
      </c>
      <c r="B777">
        <v>126</v>
      </c>
      <c r="D777" s="16"/>
    </row>
    <row r="778" spans="1:4" x14ac:dyDescent="0.25">
      <c r="A778" s="4">
        <v>36936</v>
      </c>
      <c r="B778">
        <v>121.5</v>
      </c>
      <c r="D778" s="16"/>
    </row>
    <row r="779" spans="1:4" x14ac:dyDescent="0.25">
      <c r="A779" s="4">
        <v>36937</v>
      </c>
      <c r="B779">
        <v>122.5</v>
      </c>
      <c r="D779" s="16"/>
    </row>
    <row r="780" spans="1:4" x14ac:dyDescent="0.25">
      <c r="A780" s="4">
        <v>36938</v>
      </c>
      <c r="B780">
        <v>125</v>
      </c>
      <c r="D780" s="16"/>
    </row>
    <row r="781" spans="1:4" x14ac:dyDescent="0.25">
      <c r="A781" s="4">
        <v>36941</v>
      </c>
      <c r="B781">
        <v>125.5</v>
      </c>
      <c r="D781" s="16"/>
    </row>
    <row r="782" spans="1:4" x14ac:dyDescent="0.25">
      <c r="A782" s="4">
        <v>36942</v>
      </c>
      <c r="B782">
        <v>126.5</v>
      </c>
      <c r="D782" s="16"/>
    </row>
    <row r="783" spans="1:4" x14ac:dyDescent="0.25">
      <c r="A783" s="4">
        <v>36943</v>
      </c>
      <c r="B783">
        <v>126.5</v>
      </c>
      <c r="D783" s="16"/>
    </row>
    <row r="784" spans="1:4" x14ac:dyDescent="0.25">
      <c r="A784" s="4">
        <v>36944</v>
      </c>
      <c r="B784">
        <v>131.5</v>
      </c>
      <c r="D784" s="16"/>
    </row>
    <row r="785" spans="1:4" x14ac:dyDescent="0.25">
      <c r="A785" s="4">
        <v>36945</v>
      </c>
      <c r="B785">
        <v>128.5</v>
      </c>
      <c r="D785" s="16"/>
    </row>
    <row r="786" spans="1:4" x14ac:dyDescent="0.25">
      <c r="A786" s="4">
        <v>36948</v>
      </c>
      <c r="B786">
        <v>133.5</v>
      </c>
      <c r="D786" s="16"/>
    </row>
    <row r="787" spans="1:4" x14ac:dyDescent="0.25">
      <c r="A787" s="4">
        <v>36949</v>
      </c>
      <c r="B787">
        <v>134</v>
      </c>
      <c r="D787" s="16"/>
    </row>
    <row r="788" spans="1:4" x14ac:dyDescent="0.25">
      <c r="A788" s="4">
        <v>36950</v>
      </c>
      <c r="B788">
        <v>131</v>
      </c>
      <c r="D788" s="16"/>
    </row>
    <row r="789" spans="1:4" x14ac:dyDescent="0.25">
      <c r="A789" s="4">
        <v>36951</v>
      </c>
      <c r="B789">
        <v>127</v>
      </c>
      <c r="D789" s="16"/>
    </row>
    <row r="790" spans="1:4" x14ac:dyDescent="0.25">
      <c r="A790" s="4">
        <v>36952</v>
      </c>
      <c r="B790">
        <v>123.5</v>
      </c>
      <c r="D790" s="16"/>
    </row>
    <row r="791" spans="1:4" x14ac:dyDescent="0.25">
      <c r="A791" s="4">
        <v>36955</v>
      </c>
      <c r="B791">
        <v>122</v>
      </c>
      <c r="D791" s="16"/>
    </row>
    <row r="792" spans="1:4" x14ac:dyDescent="0.25">
      <c r="A792" s="4">
        <v>36957</v>
      </c>
      <c r="B792">
        <v>120</v>
      </c>
      <c r="D792" s="16"/>
    </row>
    <row r="793" spans="1:4" x14ac:dyDescent="0.25">
      <c r="A793" s="4">
        <v>36958</v>
      </c>
      <c r="B793">
        <v>119.5</v>
      </c>
      <c r="D793" s="16"/>
    </row>
    <row r="794" spans="1:4" x14ac:dyDescent="0.25">
      <c r="A794" s="4">
        <v>36959</v>
      </c>
      <c r="B794">
        <v>113.5</v>
      </c>
      <c r="D794" s="16"/>
    </row>
    <row r="795" spans="1:4" x14ac:dyDescent="0.25">
      <c r="A795" s="4">
        <v>36962</v>
      </c>
      <c r="B795">
        <v>114.75</v>
      </c>
      <c r="D795" s="16"/>
    </row>
    <row r="796" spans="1:4" x14ac:dyDescent="0.25">
      <c r="A796" s="4">
        <v>36963</v>
      </c>
      <c r="B796">
        <v>111.5</v>
      </c>
      <c r="C796" s="4"/>
    </row>
    <row r="797" spans="1:4" x14ac:dyDescent="0.25">
      <c r="A797" s="4">
        <v>36964</v>
      </c>
      <c r="B797">
        <v>108</v>
      </c>
      <c r="C797" s="4"/>
    </row>
    <row r="798" spans="1:4" x14ac:dyDescent="0.25">
      <c r="A798" s="4">
        <v>36965</v>
      </c>
      <c r="B798">
        <v>104</v>
      </c>
      <c r="C798" s="4"/>
    </row>
    <row r="799" spans="1:4" x14ac:dyDescent="0.25">
      <c r="A799" s="4">
        <v>36966</v>
      </c>
      <c r="B799">
        <v>109</v>
      </c>
      <c r="C799" s="4"/>
    </row>
    <row r="800" spans="1:4" x14ac:dyDescent="0.25">
      <c r="A800" s="4">
        <v>36969</v>
      </c>
      <c r="B800">
        <v>109.5</v>
      </c>
      <c r="C800" s="4"/>
    </row>
    <row r="801" spans="1:3" x14ac:dyDescent="0.25">
      <c r="A801" s="4">
        <v>36970</v>
      </c>
      <c r="B801">
        <v>112.5</v>
      </c>
      <c r="C801" s="4"/>
    </row>
    <row r="802" spans="1:3" x14ac:dyDescent="0.25">
      <c r="A802" s="4">
        <v>36971</v>
      </c>
      <c r="B802">
        <v>110.5</v>
      </c>
      <c r="C802" s="4"/>
    </row>
    <row r="803" spans="1:3" x14ac:dyDescent="0.25">
      <c r="A803" s="4">
        <v>36972</v>
      </c>
      <c r="B803">
        <v>106</v>
      </c>
      <c r="C803" s="4"/>
    </row>
    <row r="804" spans="1:3" x14ac:dyDescent="0.25">
      <c r="A804" s="4">
        <v>36973</v>
      </c>
      <c r="B804">
        <v>105</v>
      </c>
      <c r="C804" s="4"/>
    </row>
    <row r="805" spans="1:3" x14ac:dyDescent="0.25">
      <c r="A805" s="4">
        <v>36976</v>
      </c>
      <c r="B805">
        <v>101.75</v>
      </c>
      <c r="C805" s="4"/>
    </row>
    <row r="806" spans="1:3" x14ac:dyDescent="0.25">
      <c r="A806" s="4">
        <v>36977</v>
      </c>
      <c r="B806">
        <v>106</v>
      </c>
      <c r="C806" s="4"/>
    </row>
    <row r="807" spans="1:3" x14ac:dyDescent="0.25">
      <c r="A807" s="4">
        <v>36978</v>
      </c>
      <c r="B807">
        <v>103.5</v>
      </c>
      <c r="C807" s="4"/>
    </row>
    <row r="808" spans="1:3" x14ac:dyDescent="0.25">
      <c r="A808" s="4">
        <v>36979</v>
      </c>
      <c r="B808">
        <v>105.5</v>
      </c>
      <c r="C808" s="4"/>
    </row>
    <row r="809" spans="1:3" x14ac:dyDescent="0.25">
      <c r="A809" s="4">
        <v>36980</v>
      </c>
      <c r="B809">
        <v>108.25</v>
      </c>
      <c r="C809" s="4"/>
    </row>
    <row r="810" spans="1:3" x14ac:dyDescent="0.25">
      <c r="A810" s="4">
        <v>36983</v>
      </c>
      <c r="B810">
        <v>106.25</v>
      </c>
      <c r="C810" s="4"/>
    </row>
    <row r="811" spans="1:3" x14ac:dyDescent="0.25">
      <c r="A811" s="4">
        <v>36984</v>
      </c>
      <c r="B811">
        <v>107.5</v>
      </c>
      <c r="C811" s="4"/>
    </row>
    <row r="812" spans="1:3" x14ac:dyDescent="0.25">
      <c r="A812" s="4">
        <v>36985</v>
      </c>
      <c r="B812">
        <v>108.5</v>
      </c>
      <c r="C812" s="4"/>
    </row>
    <row r="813" spans="1:3" x14ac:dyDescent="0.25">
      <c r="A813" s="4">
        <v>36986</v>
      </c>
      <c r="B813">
        <v>111.5</v>
      </c>
      <c r="C813" s="4"/>
    </row>
    <row r="814" spans="1:3" x14ac:dyDescent="0.25">
      <c r="A814" s="4">
        <v>36987</v>
      </c>
      <c r="B814">
        <v>110.5</v>
      </c>
      <c r="C814" s="4"/>
    </row>
    <row r="815" spans="1:3" x14ac:dyDescent="0.25">
      <c r="A815" s="4">
        <v>36990</v>
      </c>
      <c r="B815">
        <v>114</v>
      </c>
      <c r="C815" s="4"/>
    </row>
    <row r="816" spans="1:3" x14ac:dyDescent="0.25">
      <c r="A816" s="4">
        <v>36991</v>
      </c>
      <c r="B816">
        <v>111</v>
      </c>
      <c r="C816" s="4"/>
    </row>
    <row r="817" spans="1:3" x14ac:dyDescent="0.25">
      <c r="A817" s="4">
        <v>36992</v>
      </c>
      <c r="B817">
        <v>114.25</v>
      </c>
      <c r="C817" s="4"/>
    </row>
    <row r="818" spans="1:3" x14ac:dyDescent="0.25">
      <c r="A818" s="4">
        <v>36993</v>
      </c>
      <c r="B818">
        <v>113.5</v>
      </c>
      <c r="C818" s="4"/>
    </row>
    <row r="819" spans="1:3" x14ac:dyDescent="0.25">
      <c r="A819" s="4">
        <v>36997</v>
      </c>
      <c r="B819">
        <v>116.5</v>
      </c>
      <c r="C819" s="4"/>
    </row>
    <row r="820" spans="1:3" x14ac:dyDescent="0.25">
      <c r="A820" s="4">
        <v>36998</v>
      </c>
      <c r="B820">
        <v>117</v>
      </c>
      <c r="C820" s="4"/>
    </row>
    <row r="821" spans="1:3" x14ac:dyDescent="0.25">
      <c r="A821" s="4">
        <v>36999</v>
      </c>
      <c r="B821">
        <v>114.5</v>
      </c>
      <c r="C821" s="4"/>
    </row>
    <row r="822" spans="1:3" x14ac:dyDescent="0.25">
      <c r="A822" s="4">
        <v>37000</v>
      </c>
      <c r="B822">
        <v>119</v>
      </c>
      <c r="C822" s="4"/>
    </row>
    <row r="823" spans="1:3" x14ac:dyDescent="0.25">
      <c r="A823" s="4">
        <v>37001</v>
      </c>
      <c r="B823">
        <v>122.5</v>
      </c>
      <c r="C823" s="4"/>
    </row>
    <row r="824" spans="1:3" x14ac:dyDescent="0.25">
      <c r="A824" s="4">
        <v>37004</v>
      </c>
      <c r="B824">
        <v>120.75</v>
      </c>
      <c r="C824" s="4"/>
    </row>
    <row r="825" spans="1:3" x14ac:dyDescent="0.25">
      <c r="A825" s="4">
        <v>37005</v>
      </c>
      <c r="B825">
        <v>120</v>
      </c>
      <c r="C825" s="4"/>
    </row>
    <row r="826" spans="1:3" x14ac:dyDescent="0.25">
      <c r="A826" s="4">
        <v>37006</v>
      </c>
      <c r="B826">
        <v>120.5</v>
      </c>
      <c r="C826" s="4"/>
    </row>
    <row r="827" spans="1:3" x14ac:dyDescent="0.25">
      <c r="A827" s="4">
        <v>37007</v>
      </c>
      <c r="B827">
        <v>122</v>
      </c>
      <c r="C827" s="4"/>
    </row>
    <row r="828" spans="1:3" x14ac:dyDescent="0.25">
      <c r="A828" s="4">
        <v>37008</v>
      </c>
      <c r="B828">
        <v>127</v>
      </c>
      <c r="C828" s="4"/>
    </row>
    <row r="829" spans="1:3" x14ac:dyDescent="0.25">
      <c r="A829" s="4">
        <v>37011</v>
      </c>
      <c r="B829">
        <v>125.5</v>
      </c>
      <c r="C829" s="4"/>
    </row>
    <row r="830" spans="1:3" x14ac:dyDescent="0.25">
      <c r="A830" s="4">
        <v>37013</v>
      </c>
      <c r="B830">
        <v>122.5</v>
      </c>
      <c r="C830" s="4"/>
    </row>
    <row r="831" spans="1:3" x14ac:dyDescent="0.25">
      <c r="A831" s="4">
        <v>37014</v>
      </c>
      <c r="B831">
        <v>120</v>
      </c>
      <c r="C831" s="4"/>
    </row>
    <row r="832" spans="1:3" x14ac:dyDescent="0.25">
      <c r="A832" s="4">
        <v>37015</v>
      </c>
      <c r="B832">
        <v>119</v>
      </c>
      <c r="C832" s="4"/>
    </row>
    <row r="833" spans="1:3" x14ac:dyDescent="0.25">
      <c r="A833" s="4">
        <v>37019</v>
      </c>
      <c r="B833">
        <v>118</v>
      </c>
      <c r="C833" s="4"/>
    </row>
    <row r="834" spans="1:3" x14ac:dyDescent="0.25">
      <c r="A834" s="4">
        <v>37020</v>
      </c>
      <c r="B834">
        <v>116</v>
      </c>
      <c r="C834" s="4"/>
    </row>
    <row r="835" spans="1:3" x14ac:dyDescent="0.25">
      <c r="A835" s="4">
        <v>37021</v>
      </c>
      <c r="B835">
        <v>113.25</v>
      </c>
      <c r="C835" s="4"/>
    </row>
    <row r="836" spans="1:3" x14ac:dyDescent="0.25">
      <c r="A836" s="4">
        <v>37022</v>
      </c>
      <c r="B836">
        <v>114</v>
      </c>
      <c r="C836" s="4"/>
    </row>
    <row r="837" spans="1:3" x14ac:dyDescent="0.25">
      <c r="A837" s="4">
        <v>37025</v>
      </c>
      <c r="B837">
        <v>116.5</v>
      </c>
      <c r="C837" s="4"/>
    </row>
    <row r="838" spans="1:3" x14ac:dyDescent="0.25">
      <c r="A838" s="4">
        <v>37026</v>
      </c>
      <c r="B838">
        <v>122.5</v>
      </c>
      <c r="C838" s="4"/>
    </row>
    <row r="839" spans="1:3" x14ac:dyDescent="0.25">
      <c r="A839" s="4">
        <v>37027</v>
      </c>
      <c r="B839">
        <v>123.5</v>
      </c>
      <c r="C839" s="4"/>
    </row>
    <row r="840" spans="1:3" x14ac:dyDescent="0.25">
      <c r="A840" s="4">
        <v>37028</v>
      </c>
      <c r="B840">
        <v>121.75</v>
      </c>
      <c r="C840" s="4"/>
    </row>
    <row r="841" spans="1:3" x14ac:dyDescent="0.25">
      <c r="A841" s="4">
        <v>37029</v>
      </c>
      <c r="B841">
        <v>119.5</v>
      </c>
      <c r="C841" s="4"/>
    </row>
    <row r="842" spans="1:3" x14ac:dyDescent="0.25">
      <c r="A842" s="4">
        <v>37032</v>
      </c>
      <c r="B842">
        <v>113.5</v>
      </c>
      <c r="C842" s="4"/>
    </row>
    <row r="843" spans="1:3" x14ac:dyDescent="0.25">
      <c r="A843" s="4">
        <v>37033</v>
      </c>
      <c r="B843">
        <v>121</v>
      </c>
      <c r="C843" s="4"/>
    </row>
    <row r="844" spans="1:3" x14ac:dyDescent="0.25">
      <c r="A844" s="4">
        <v>37034</v>
      </c>
      <c r="B844">
        <v>122.5</v>
      </c>
      <c r="C844" s="4"/>
    </row>
    <row r="845" spans="1:3" x14ac:dyDescent="0.25">
      <c r="A845" s="4">
        <v>37035</v>
      </c>
      <c r="B845">
        <v>119.25</v>
      </c>
      <c r="C845" s="4"/>
    </row>
    <row r="846" spans="1:3" x14ac:dyDescent="0.25">
      <c r="A846" s="4">
        <v>37036</v>
      </c>
      <c r="B846">
        <v>117</v>
      </c>
      <c r="C846" s="4"/>
    </row>
    <row r="847" spans="1:3" x14ac:dyDescent="0.25">
      <c r="A847" s="4">
        <v>37039</v>
      </c>
      <c r="B847">
        <v>116.5</v>
      </c>
      <c r="C847" s="4"/>
    </row>
    <row r="848" spans="1:3" x14ac:dyDescent="0.25">
      <c r="A848" s="4">
        <v>37040</v>
      </c>
      <c r="B848">
        <v>119.5</v>
      </c>
      <c r="C848" s="4"/>
    </row>
    <row r="849" spans="1:3" x14ac:dyDescent="0.25">
      <c r="A849" s="4">
        <v>37041</v>
      </c>
      <c r="B849">
        <v>117</v>
      </c>
      <c r="C849" s="4"/>
    </row>
    <row r="850" spans="1:3" x14ac:dyDescent="0.25">
      <c r="A850" s="4">
        <v>37042</v>
      </c>
      <c r="B850">
        <v>115.75</v>
      </c>
      <c r="C850" s="4"/>
    </row>
    <row r="851" spans="1:3" x14ac:dyDescent="0.25">
      <c r="A851" s="4">
        <v>37043</v>
      </c>
      <c r="B851">
        <v>116.75</v>
      </c>
      <c r="C851" s="4"/>
    </row>
    <row r="852" spans="1:3" x14ac:dyDescent="0.25">
      <c r="A852" s="4">
        <v>37046</v>
      </c>
      <c r="B852">
        <v>120.5</v>
      </c>
      <c r="C852" s="4"/>
    </row>
    <row r="853" spans="1:3" x14ac:dyDescent="0.25">
      <c r="A853" s="4">
        <v>37047</v>
      </c>
      <c r="B853">
        <v>121</v>
      </c>
      <c r="C853" s="4"/>
    </row>
    <row r="854" spans="1:3" x14ac:dyDescent="0.25">
      <c r="A854" s="4">
        <v>37048</v>
      </c>
      <c r="B854">
        <v>120.25</v>
      </c>
      <c r="C854" s="4"/>
    </row>
    <row r="855" spans="1:3" x14ac:dyDescent="0.25">
      <c r="A855" s="4">
        <v>37049</v>
      </c>
      <c r="B855">
        <v>120.25</v>
      </c>
      <c r="C855" s="4"/>
    </row>
    <row r="856" spans="1:3" x14ac:dyDescent="0.25">
      <c r="A856" s="4">
        <v>37050</v>
      </c>
      <c r="B856">
        <v>120.5</v>
      </c>
      <c r="C856" s="4"/>
    </row>
    <row r="857" spans="1:3" x14ac:dyDescent="0.25">
      <c r="A857" s="4">
        <v>37053</v>
      </c>
      <c r="B857">
        <v>121</v>
      </c>
      <c r="C857" s="4"/>
    </row>
    <row r="858" spans="1:3" x14ac:dyDescent="0.25">
      <c r="A858" s="4">
        <v>37054</v>
      </c>
      <c r="B858">
        <v>121</v>
      </c>
      <c r="C858" s="4"/>
    </row>
    <row r="859" spans="1:3" x14ac:dyDescent="0.25">
      <c r="A859" s="4">
        <v>37055</v>
      </c>
      <c r="B859">
        <v>121</v>
      </c>
      <c r="C859" s="4"/>
    </row>
    <row r="860" spans="1:3" x14ac:dyDescent="0.25">
      <c r="A860" s="4">
        <v>37056</v>
      </c>
      <c r="B860">
        <v>118.5</v>
      </c>
      <c r="C860" s="4"/>
    </row>
    <row r="861" spans="1:3" x14ac:dyDescent="0.25">
      <c r="A861" s="4">
        <v>37057</v>
      </c>
      <c r="B861">
        <v>120</v>
      </c>
      <c r="C861" s="4"/>
    </row>
    <row r="862" spans="1:3" x14ac:dyDescent="0.25">
      <c r="A862" s="4">
        <v>37060</v>
      </c>
      <c r="B862">
        <v>121.25</v>
      </c>
      <c r="C862" s="4"/>
    </row>
    <row r="863" spans="1:3" x14ac:dyDescent="0.25">
      <c r="A863" s="4">
        <v>37061</v>
      </c>
      <c r="B863">
        <v>123.5</v>
      </c>
      <c r="C863" s="4"/>
    </row>
    <row r="864" spans="1:3" x14ac:dyDescent="0.25">
      <c r="A864" s="4">
        <v>37062</v>
      </c>
      <c r="B864">
        <v>120.5</v>
      </c>
      <c r="C864" s="4"/>
    </row>
    <row r="865" spans="1:3" x14ac:dyDescent="0.25">
      <c r="A865" s="4">
        <v>37063</v>
      </c>
      <c r="B865">
        <v>116</v>
      </c>
      <c r="C865" s="4"/>
    </row>
    <row r="866" spans="1:3" x14ac:dyDescent="0.25">
      <c r="A866" s="4">
        <v>37064</v>
      </c>
      <c r="B866">
        <v>114.75</v>
      </c>
      <c r="C866" s="4"/>
    </row>
    <row r="867" spans="1:3" x14ac:dyDescent="0.25">
      <c r="A867" s="4">
        <v>37067</v>
      </c>
      <c r="B867">
        <v>114.25</v>
      </c>
      <c r="C867" s="4"/>
    </row>
    <row r="868" spans="1:3" x14ac:dyDescent="0.25">
      <c r="A868" s="4">
        <v>37068</v>
      </c>
      <c r="B868">
        <v>110</v>
      </c>
      <c r="C868" s="4"/>
    </row>
    <row r="869" spans="1:3" x14ac:dyDescent="0.25">
      <c r="A869" s="4">
        <v>37069</v>
      </c>
      <c r="B869">
        <v>110.5</v>
      </c>
      <c r="C869" s="4"/>
    </row>
    <row r="870" spans="1:3" x14ac:dyDescent="0.25">
      <c r="A870" s="4">
        <v>37070</v>
      </c>
      <c r="B870">
        <v>112.25</v>
      </c>
      <c r="C870" s="4"/>
    </row>
    <row r="871" spans="1:3" x14ac:dyDescent="0.25">
      <c r="A871" s="4">
        <v>37071</v>
      </c>
      <c r="B871">
        <v>110</v>
      </c>
      <c r="C871" s="4"/>
    </row>
    <row r="872" spans="1:3" x14ac:dyDescent="0.25">
      <c r="A872" s="4">
        <v>37074</v>
      </c>
      <c r="B872">
        <v>114.5</v>
      </c>
      <c r="C872" s="4"/>
    </row>
    <row r="873" spans="1:3" x14ac:dyDescent="0.25">
      <c r="A873" s="4">
        <v>37075</v>
      </c>
      <c r="B873">
        <v>112.25</v>
      </c>
      <c r="C873" s="4"/>
    </row>
    <row r="874" spans="1:3" x14ac:dyDescent="0.25">
      <c r="A874" s="4">
        <v>37076</v>
      </c>
      <c r="B874">
        <v>113</v>
      </c>
      <c r="C874" s="4"/>
    </row>
    <row r="875" spans="1:3" x14ac:dyDescent="0.25">
      <c r="A875" s="4">
        <v>37077</v>
      </c>
      <c r="B875">
        <v>112.25</v>
      </c>
      <c r="C875" s="4"/>
    </row>
    <row r="876" spans="1:3" x14ac:dyDescent="0.25">
      <c r="A876" s="4">
        <v>37078</v>
      </c>
      <c r="B876">
        <v>114</v>
      </c>
      <c r="C876" s="4"/>
    </row>
    <row r="877" spans="1:3" x14ac:dyDescent="0.25">
      <c r="A877" s="4">
        <v>37081</v>
      </c>
      <c r="B877">
        <v>114</v>
      </c>
      <c r="C877" s="4"/>
    </row>
    <row r="878" spans="1:3" x14ac:dyDescent="0.25">
      <c r="A878" s="4">
        <v>37082</v>
      </c>
      <c r="B878">
        <v>115.5</v>
      </c>
      <c r="C878" s="4"/>
    </row>
    <row r="879" spans="1:3" x14ac:dyDescent="0.25">
      <c r="A879" s="4">
        <v>37083</v>
      </c>
      <c r="B879">
        <v>115.25</v>
      </c>
      <c r="C879" s="4"/>
    </row>
    <row r="880" spans="1:3" x14ac:dyDescent="0.25">
      <c r="A880" s="4">
        <v>37084</v>
      </c>
      <c r="B880">
        <v>115.25</v>
      </c>
      <c r="C880" s="4"/>
    </row>
    <row r="881" spans="1:3" x14ac:dyDescent="0.25">
      <c r="A881" s="4">
        <v>37085</v>
      </c>
      <c r="B881">
        <v>114</v>
      </c>
      <c r="C881" s="4"/>
    </row>
    <row r="882" spans="1:3" x14ac:dyDescent="0.25">
      <c r="A882" s="4">
        <v>37088</v>
      </c>
      <c r="B882">
        <v>117.25</v>
      </c>
      <c r="C882" s="4"/>
    </row>
    <row r="883" spans="1:3" x14ac:dyDescent="0.25">
      <c r="A883" s="4">
        <v>37089</v>
      </c>
      <c r="B883">
        <v>117</v>
      </c>
      <c r="C883" s="4"/>
    </row>
    <row r="884" spans="1:3" x14ac:dyDescent="0.25">
      <c r="A884" s="4">
        <v>37090</v>
      </c>
      <c r="B884">
        <v>116.25</v>
      </c>
      <c r="C884" s="4"/>
    </row>
    <row r="885" spans="1:3" x14ac:dyDescent="0.25">
      <c r="A885" s="4">
        <v>37091</v>
      </c>
      <c r="B885">
        <v>116.25</v>
      </c>
      <c r="C885" s="4"/>
    </row>
    <row r="886" spans="1:3" x14ac:dyDescent="0.25">
      <c r="A886" s="4">
        <v>37092</v>
      </c>
      <c r="B886">
        <v>116</v>
      </c>
      <c r="C886" s="4"/>
    </row>
    <row r="887" spans="1:3" x14ac:dyDescent="0.25">
      <c r="A887" s="4">
        <v>37095</v>
      </c>
      <c r="B887">
        <v>114</v>
      </c>
      <c r="C887" s="4"/>
    </row>
    <row r="888" spans="1:3" x14ac:dyDescent="0.25">
      <c r="A888" s="4">
        <v>37096</v>
      </c>
      <c r="B888">
        <v>116.5</v>
      </c>
      <c r="C888" s="4"/>
    </row>
    <row r="889" spans="1:3" x14ac:dyDescent="0.25">
      <c r="A889" s="4">
        <v>37097</v>
      </c>
      <c r="B889">
        <v>117.5</v>
      </c>
      <c r="C889" s="4"/>
    </row>
    <row r="890" spans="1:3" x14ac:dyDescent="0.25">
      <c r="A890" s="4">
        <v>37098</v>
      </c>
      <c r="B890">
        <v>121</v>
      </c>
      <c r="C890" s="4"/>
    </row>
    <row r="891" spans="1:3" x14ac:dyDescent="0.25">
      <c r="A891" s="4">
        <v>37099</v>
      </c>
      <c r="B891">
        <v>123.5</v>
      </c>
      <c r="C891" s="4"/>
    </row>
    <row r="892" spans="1:3" x14ac:dyDescent="0.25">
      <c r="A892" s="4">
        <v>37102</v>
      </c>
      <c r="B892">
        <v>121.25</v>
      </c>
      <c r="C892" s="4"/>
    </row>
    <row r="893" spans="1:3" x14ac:dyDescent="0.25">
      <c r="A893" s="4">
        <v>37103</v>
      </c>
      <c r="B893">
        <v>123.5</v>
      </c>
      <c r="C893" s="4"/>
    </row>
    <row r="894" spans="1:3" x14ac:dyDescent="0.25">
      <c r="A894" s="4">
        <v>37104</v>
      </c>
      <c r="B894">
        <v>123.25</v>
      </c>
      <c r="C894" s="4"/>
    </row>
    <row r="895" spans="1:3" x14ac:dyDescent="0.25">
      <c r="A895" s="4">
        <v>37105</v>
      </c>
      <c r="B895">
        <v>120</v>
      </c>
      <c r="C895" s="4"/>
    </row>
    <row r="896" spans="1:3" x14ac:dyDescent="0.25">
      <c r="A896" s="4">
        <v>37106</v>
      </c>
      <c r="B896">
        <v>120.5</v>
      </c>
      <c r="C896" s="4"/>
    </row>
    <row r="897" spans="1:3" x14ac:dyDescent="0.25">
      <c r="A897" s="4">
        <v>37109</v>
      </c>
      <c r="B897">
        <v>122</v>
      </c>
      <c r="C897" s="4"/>
    </row>
    <row r="898" spans="1:3" x14ac:dyDescent="0.25">
      <c r="A898" s="4">
        <v>37110</v>
      </c>
      <c r="B898">
        <v>121.5</v>
      </c>
      <c r="C898" s="4"/>
    </row>
    <row r="899" spans="1:3" x14ac:dyDescent="0.25">
      <c r="A899" s="4">
        <v>37111</v>
      </c>
      <c r="B899">
        <v>122</v>
      </c>
      <c r="C899" s="4"/>
    </row>
    <row r="900" spans="1:3" x14ac:dyDescent="0.25">
      <c r="A900" s="4">
        <v>37113</v>
      </c>
      <c r="B900">
        <v>122.25</v>
      </c>
      <c r="C900" s="4"/>
    </row>
    <row r="901" spans="1:3" x14ac:dyDescent="0.25">
      <c r="A901" s="4">
        <v>37116</v>
      </c>
      <c r="B901">
        <v>120.5</v>
      </c>
      <c r="C901" s="4"/>
    </row>
    <row r="902" spans="1:3" x14ac:dyDescent="0.25">
      <c r="A902" s="4">
        <v>37117</v>
      </c>
      <c r="B902">
        <v>119</v>
      </c>
      <c r="C902" s="4"/>
    </row>
    <row r="903" spans="1:3" x14ac:dyDescent="0.25">
      <c r="A903" s="4">
        <v>37118</v>
      </c>
      <c r="B903">
        <v>119.5</v>
      </c>
      <c r="C903" s="4"/>
    </row>
    <row r="904" spans="1:3" x14ac:dyDescent="0.25">
      <c r="A904" s="4">
        <v>37119</v>
      </c>
      <c r="B904">
        <v>120.75</v>
      </c>
      <c r="C904" s="4"/>
    </row>
    <row r="905" spans="1:3" x14ac:dyDescent="0.25">
      <c r="A905" s="4">
        <v>37120</v>
      </c>
      <c r="B905">
        <v>121</v>
      </c>
      <c r="C905" s="4"/>
    </row>
    <row r="906" spans="1:3" x14ac:dyDescent="0.25">
      <c r="A906" s="4">
        <v>37123</v>
      </c>
      <c r="B906">
        <v>121.5</v>
      </c>
      <c r="C906" s="4"/>
    </row>
    <row r="907" spans="1:3" x14ac:dyDescent="0.25">
      <c r="A907" s="4">
        <v>37124</v>
      </c>
      <c r="B907">
        <v>124.75</v>
      </c>
      <c r="C907" s="4"/>
    </row>
    <row r="908" spans="1:3" x14ac:dyDescent="0.25">
      <c r="A908" s="4">
        <v>37125</v>
      </c>
      <c r="B908">
        <v>126</v>
      </c>
      <c r="C908" s="4"/>
    </row>
    <row r="909" spans="1:3" x14ac:dyDescent="0.25">
      <c r="A909" s="4">
        <v>37126</v>
      </c>
      <c r="B909">
        <v>126.25</v>
      </c>
      <c r="C909" s="4"/>
    </row>
    <row r="910" spans="1:3" x14ac:dyDescent="0.25">
      <c r="A910" s="4">
        <v>37127</v>
      </c>
      <c r="B910">
        <v>124.75</v>
      </c>
      <c r="C910" s="4"/>
    </row>
    <row r="911" spans="1:3" x14ac:dyDescent="0.25">
      <c r="A911" s="4">
        <v>37130</v>
      </c>
      <c r="B911">
        <v>127.5</v>
      </c>
      <c r="C911" s="4"/>
    </row>
    <row r="912" spans="1:3" x14ac:dyDescent="0.25">
      <c r="A912" s="4">
        <v>37131</v>
      </c>
      <c r="B912">
        <v>127.75</v>
      </c>
      <c r="C912" s="4"/>
    </row>
    <row r="913" spans="1:3" x14ac:dyDescent="0.25">
      <c r="A913" s="4">
        <v>37132</v>
      </c>
      <c r="B913">
        <v>125.25</v>
      </c>
      <c r="C913" s="4"/>
    </row>
    <row r="914" spans="1:3" x14ac:dyDescent="0.25">
      <c r="A914" s="4">
        <v>37133</v>
      </c>
      <c r="B914">
        <v>126.5</v>
      </c>
      <c r="C914" s="4"/>
    </row>
    <row r="915" spans="1:3" x14ac:dyDescent="0.25">
      <c r="A915" s="4">
        <v>37134</v>
      </c>
      <c r="B915">
        <v>129</v>
      </c>
      <c r="C915" s="4"/>
    </row>
    <row r="916" spans="1:3" x14ac:dyDescent="0.25">
      <c r="A916" s="4">
        <v>37137</v>
      </c>
      <c r="B916">
        <v>131.5</v>
      </c>
      <c r="C916" s="4"/>
    </row>
    <row r="917" spans="1:3" x14ac:dyDescent="0.25">
      <c r="A917" s="4">
        <v>37138</v>
      </c>
      <c r="B917">
        <v>134.5</v>
      </c>
      <c r="C917" s="4"/>
    </row>
    <row r="918" spans="1:3" x14ac:dyDescent="0.25">
      <c r="A918" s="4">
        <v>37139</v>
      </c>
      <c r="B918">
        <v>135.5</v>
      </c>
      <c r="C918" s="4"/>
    </row>
    <row r="919" spans="1:3" x14ac:dyDescent="0.25">
      <c r="A919" s="4">
        <v>37140</v>
      </c>
      <c r="B919">
        <v>133</v>
      </c>
      <c r="C919" s="4"/>
    </row>
    <row r="920" spans="1:3" x14ac:dyDescent="0.25">
      <c r="A920" s="4">
        <v>37141</v>
      </c>
      <c r="B920">
        <v>138.25</v>
      </c>
      <c r="C920" s="4"/>
    </row>
    <row r="921" spans="1:3" x14ac:dyDescent="0.25">
      <c r="A921" s="4">
        <v>37144</v>
      </c>
      <c r="B921">
        <v>139</v>
      </c>
      <c r="C921" s="4"/>
    </row>
    <row r="922" spans="1:3" x14ac:dyDescent="0.25">
      <c r="A922" s="4">
        <v>37145</v>
      </c>
      <c r="B922">
        <v>136.5</v>
      </c>
      <c r="C922" s="4"/>
    </row>
    <row r="923" spans="1:3" x14ac:dyDescent="0.25">
      <c r="A923" s="4">
        <v>37146</v>
      </c>
      <c r="B923">
        <v>131.75</v>
      </c>
      <c r="C923" s="4"/>
    </row>
    <row r="924" spans="1:3" x14ac:dyDescent="0.25">
      <c r="A924" s="4">
        <v>37147</v>
      </c>
      <c r="B924">
        <v>131.5</v>
      </c>
      <c r="C924" s="4"/>
    </row>
    <row r="925" spans="1:3" x14ac:dyDescent="0.25">
      <c r="A925" s="4">
        <v>37148</v>
      </c>
      <c r="B925">
        <v>129</v>
      </c>
      <c r="C925" s="4"/>
    </row>
    <row r="926" spans="1:3" x14ac:dyDescent="0.25">
      <c r="A926" s="4">
        <v>37151</v>
      </c>
      <c r="B926">
        <v>124</v>
      </c>
      <c r="C926" s="4"/>
    </row>
    <row r="927" spans="1:3" x14ac:dyDescent="0.25">
      <c r="A927" s="4">
        <v>37152</v>
      </c>
      <c r="B927">
        <v>118.5</v>
      </c>
      <c r="C927" s="4"/>
    </row>
    <row r="928" spans="1:3" x14ac:dyDescent="0.25">
      <c r="A928" s="4">
        <v>37153</v>
      </c>
      <c r="B928">
        <v>115</v>
      </c>
      <c r="C928" s="4"/>
    </row>
    <row r="929" spans="1:3" x14ac:dyDescent="0.25">
      <c r="A929" s="4">
        <v>37154</v>
      </c>
      <c r="B929">
        <v>114</v>
      </c>
      <c r="C929" s="4"/>
    </row>
    <row r="930" spans="1:3" x14ac:dyDescent="0.25">
      <c r="A930" s="4">
        <v>37155</v>
      </c>
      <c r="B930">
        <v>110.5</v>
      </c>
      <c r="C930" s="4"/>
    </row>
    <row r="931" spans="1:3" x14ac:dyDescent="0.25">
      <c r="A931" s="4">
        <v>37158</v>
      </c>
      <c r="B931">
        <v>117</v>
      </c>
      <c r="C931" s="4"/>
    </row>
    <row r="932" spans="1:3" x14ac:dyDescent="0.25">
      <c r="A932" s="4">
        <v>37159</v>
      </c>
      <c r="B932">
        <v>114.5</v>
      </c>
      <c r="C932" s="4"/>
    </row>
    <row r="933" spans="1:3" x14ac:dyDescent="0.25">
      <c r="A933" s="4">
        <v>37160</v>
      </c>
      <c r="B933">
        <v>110.25</v>
      </c>
      <c r="C933" s="4"/>
    </row>
    <row r="934" spans="1:3" x14ac:dyDescent="0.25">
      <c r="A934" s="4">
        <v>37161</v>
      </c>
      <c r="B934">
        <v>111.5</v>
      </c>
      <c r="C934" s="4"/>
    </row>
    <row r="935" spans="1:3" x14ac:dyDescent="0.25">
      <c r="A935" s="4">
        <v>37162</v>
      </c>
      <c r="B935">
        <v>113</v>
      </c>
      <c r="C935" s="4"/>
    </row>
    <row r="936" spans="1:3" x14ac:dyDescent="0.25">
      <c r="A936" s="4">
        <v>37165</v>
      </c>
      <c r="B936">
        <v>112</v>
      </c>
      <c r="C936" s="4"/>
    </row>
    <row r="937" spans="1:3" x14ac:dyDescent="0.25">
      <c r="A937" s="4">
        <v>37166</v>
      </c>
      <c r="B937">
        <v>110.5</v>
      </c>
      <c r="C937" s="4"/>
    </row>
    <row r="938" spans="1:3" x14ac:dyDescent="0.25">
      <c r="A938" s="4">
        <v>37167</v>
      </c>
      <c r="B938">
        <v>111.75</v>
      </c>
      <c r="C938" s="4"/>
    </row>
    <row r="939" spans="1:3" x14ac:dyDescent="0.25">
      <c r="A939" s="4">
        <v>37168</v>
      </c>
      <c r="B939">
        <v>112</v>
      </c>
      <c r="C939" s="4"/>
    </row>
    <row r="940" spans="1:3" x14ac:dyDescent="0.25">
      <c r="A940" s="4">
        <v>37169</v>
      </c>
      <c r="B940">
        <v>112.5</v>
      </c>
      <c r="C940" s="4"/>
    </row>
    <row r="941" spans="1:3" x14ac:dyDescent="0.25">
      <c r="A941" s="4">
        <v>37172</v>
      </c>
      <c r="B941">
        <v>108.5</v>
      </c>
      <c r="C941" s="4"/>
    </row>
    <row r="942" spans="1:3" x14ac:dyDescent="0.25">
      <c r="A942" s="4">
        <v>37173</v>
      </c>
      <c r="B942">
        <v>108</v>
      </c>
      <c r="C942" s="4"/>
    </row>
    <row r="943" spans="1:3" x14ac:dyDescent="0.25">
      <c r="A943" s="4">
        <v>37174</v>
      </c>
      <c r="B943">
        <v>107</v>
      </c>
      <c r="C943" s="4"/>
    </row>
    <row r="944" spans="1:3" x14ac:dyDescent="0.25">
      <c r="A944" s="4">
        <v>37175</v>
      </c>
      <c r="B944">
        <v>103</v>
      </c>
      <c r="C944" s="4"/>
    </row>
    <row r="945" spans="1:3" x14ac:dyDescent="0.25">
      <c r="A945" s="4">
        <v>37176</v>
      </c>
      <c r="B945">
        <v>100</v>
      </c>
      <c r="C945" s="4"/>
    </row>
    <row r="946" spans="1:3" x14ac:dyDescent="0.25">
      <c r="A946" s="4">
        <v>37179</v>
      </c>
      <c r="B946">
        <v>102.5</v>
      </c>
      <c r="C946" s="4"/>
    </row>
    <row r="947" spans="1:3" x14ac:dyDescent="0.25">
      <c r="A947" s="4">
        <v>37180</v>
      </c>
      <c r="B947">
        <v>101.25</v>
      </c>
      <c r="C947" s="4"/>
    </row>
    <row r="948" spans="1:3" x14ac:dyDescent="0.25">
      <c r="A948" s="4">
        <v>37181</v>
      </c>
      <c r="B948">
        <v>98.25</v>
      </c>
      <c r="C948" s="4"/>
    </row>
    <row r="949" spans="1:3" x14ac:dyDescent="0.25">
      <c r="A949" s="4">
        <v>37182</v>
      </c>
      <c r="B949">
        <v>100</v>
      </c>
      <c r="C949" s="4"/>
    </row>
    <row r="950" spans="1:3" x14ac:dyDescent="0.25">
      <c r="A950" s="4">
        <v>37183</v>
      </c>
      <c r="B950">
        <v>96</v>
      </c>
      <c r="C950" s="4"/>
    </row>
    <row r="951" spans="1:3" x14ac:dyDescent="0.25">
      <c r="A951" s="4">
        <v>37186</v>
      </c>
      <c r="B951">
        <v>99.5</v>
      </c>
      <c r="C951" s="4"/>
    </row>
    <row r="952" spans="1:3" x14ac:dyDescent="0.25">
      <c r="A952" s="4">
        <v>37187</v>
      </c>
      <c r="B952">
        <v>98.75</v>
      </c>
      <c r="C952" s="4"/>
    </row>
    <row r="953" spans="1:3" x14ac:dyDescent="0.25">
      <c r="A953" s="4">
        <v>37188</v>
      </c>
      <c r="B953">
        <v>97</v>
      </c>
      <c r="C953" s="4"/>
    </row>
    <row r="954" spans="1:3" x14ac:dyDescent="0.25">
      <c r="A954" s="4">
        <v>37189</v>
      </c>
      <c r="B954">
        <v>96.5</v>
      </c>
      <c r="C954" s="4"/>
    </row>
    <row r="955" spans="1:3" x14ac:dyDescent="0.25">
      <c r="A955" s="4">
        <v>37190</v>
      </c>
      <c r="B955">
        <v>91.75</v>
      </c>
      <c r="C955" s="4"/>
    </row>
    <row r="956" spans="1:3" x14ac:dyDescent="0.25">
      <c r="A956" s="4">
        <v>37193</v>
      </c>
      <c r="B956">
        <v>92.5</v>
      </c>
      <c r="C956" s="4"/>
    </row>
    <row r="957" spans="1:3" x14ac:dyDescent="0.25">
      <c r="A957" s="4">
        <v>37194</v>
      </c>
      <c r="B957">
        <v>91.5</v>
      </c>
      <c r="C957" s="4"/>
    </row>
    <row r="958" spans="1:3" x14ac:dyDescent="0.25">
      <c r="A958" s="4">
        <v>37195</v>
      </c>
      <c r="B958">
        <v>90.25</v>
      </c>
      <c r="C958" s="4"/>
    </row>
    <row r="959" spans="1:3" x14ac:dyDescent="0.25">
      <c r="A959" s="4">
        <v>37196</v>
      </c>
      <c r="B959">
        <v>94.25</v>
      </c>
      <c r="C959" s="4"/>
    </row>
    <row r="960" spans="1:3" x14ac:dyDescent="0.25">
      <c r="A960" s="4">
        <v>37197</v>
      </c>
      <c r="B960">
        <v>96.5</v>
      </c>
      <c r="C960" s="4"/>
    </row>
    <row r="961" spans="1:3" x14ac:dyDescent="0.25">
      <c r="A961" s="4">
        <v>37200</v>
      </c>
      <c r="B961">
        <v>103.5</v>
      </c>
      <c r="C961" s="4"/>
    </row>
    <row r="962" spans="1:3" x14ac:dyDescent="0.25">
      <c r="A962" s="4">
        <v>37201</v>
      </c>
      <c r="B962">
        <v>99.5</v>
      </c>
      <c r="C962" s="4"/>
    </row>
    <row r="963" spans="1:3" x14ac:dyDescent="0.25">
      <c r="A963" s="4">
        <v>37202</v>
      </c>
      <c r="B963">
        <v>98</v>
      </c>
      <c r="C963" s="4"/>
    </row>
    <row r="964" spans="1:3" x14ac:dyDescent="0.25">
      <c r="A964" s="4">
        <v>37203</v>
      </c>
      <c r="B964">
        <v>93.5</v>
      </c>
      <c r="C964" s="4"/>
    </row>
    <row r="965" spans="1:3" x14ac:dyDescent="0.25">
      <c r="A965" s="4">
        <v>37204</v>
      </c>
      <c r="B965">
        <v>93</v>
      </c>
      <c r="C965" s="4"/>
    </row>
    <row r="966" spans="1:3" x14ac:dyDescent="0.25">
      <c r="A966" s="4">
        <v>37207</v>
      </c>
      <c r="B966">
        <v>91.5</v>
      </c>
      <c r="C966" s="4"/>
    </row>
    <row r="967" spans="1:3" x14ac:dyDescent="0.25">
      <c r="A967" s="4">
        <v>37208</v>
      </c>
      <c r="B967">
        <v>96.5</v>
      </c>
      <c r="C967" s="4"/>
    </row>
    <row r="968" spans="1:3" x14ac:dyDescent="0.25">
      <c r="A968" s="4">
        <v>37210</v>
      </c>
      <c r="B968">
        <v>99</v>
      </c>
      <c r="C968" s="4"/>
    </row>
    <row r="969" spans="1:3" x14ac:dyDescent="0.25">
      <c r="A969" s="4">
        <v>37211</v>
      </c>
      <c r="B969">
        <v>101.75</v>
      </c>
      <c r="C969" s="4"/>
    </row>
    <row r="970" spans="1:3" x14ac:dyDescent="0.25">
      <c r="A970" s="4">
        <v>37214</v>
      </c>
      <c r="B970">
        <v>103</v>
      </c>
      <c r="C970" s="4"/>
    </row>
    <row r="971" spans="1:3" x14ac:dyDescent="0.25">
      <c r="A971" s="4">
        <v>37215</v>
      </c>
      <c r="B971">
        <v>100.5</v>
      </c>
      <c r="C971" s="4"/>
    </row>
    <row r="972" spans="1:3" x14ac:dyDescent="0.25">
      <c r="A972" s="4">
        <v>37216</v>
      </c>
      <c r="B972">
        <v>101</v>
      </c>
      <c r="C972" s="4"/>
    </row>
    <row r="973" spans="1:3" x14ac:dyDescent="0.25">
      <c r="A973" s="4">
        <v>37217</v>
      </c>
      <c r="B973">
        <v>102.25</v>
      </c>
      <c r="C973" s="4"/>
    </row>
    <row r="974" spans="1:3" x14ac:dyDescent="0.25">
      <c r="A974" s="4">
        <v>37218</v>
      </c>
      <c r="B974">
        <v>102.5</v>
      </c>
      <c r="C974" s="4"/>
    </row>
    <row r="975" spans="1:3" x14ac:dyDescent="0.25">
      <c r="A975" s="4">
        <v>37221</v>
      </c>
      <c r="B975">
        <v>101.75</v>
      </c>
      <c r="C975" s="4"/>
    </row>
    <row r="976" spans="1:3" x14ac:dyDescent="0.25">
      <c r="A976" s="4">
        <v>37222</v>
      </c>
      <c r="B976">
        <v>105.5</v>
      </c>
      <c r="C976" s="4"/>
    </row>
    <row r="977" spans="1:3" x14ac:dyDescent="0.25">
      <c r="A977" s="4">
        <v>37223</v>
      </c>
      <c r="B977">
        <v>107</v>
      </c>
      <c r="C977" s="4"/>
    </row>
    <row r="978" spans="1:3" x14ac:dyDescent="0.25">
      <c r="A978" s="4">
        <v>37224</v>
      </c>
      <c r="B978">
        <v>107.5</v>
      </c>
      <c r="C978" s="4"/>
    </row>
    <row r="979" spans="1:3" x14ac:dyDescent="0.25">
      <c r="A979" s="4">
        <v>37225</v>
      </c>
      <c r="B979">
        <v>106</v>
      </c>
      <c r="C979" s="4"/>
    </row>
    <row r="980" spans="1:3" x14ac:dyDescent="0.25">
      <c r="A980" s="4">
        <v>37228</v>
      </c>
      <c r="B980">
        <v>100.5</v>
      </c>
      <c r="C980" s="4"/>
    </row>
    <row r="981" spans="1:3" x14ac:dyDescent="0.25">
      <c r="A981" s="4">
        <v>37229</v>
      </c>
      <c r="B981">
        <v>99</v>
      </c>
      <c r="C981" s="4"/>
    </row>
    <row r="982" spans="1:3" x14ac:dyDescent="0.25">
      <c r="A982" s="4">
        <v>37230</v>
      </c>
      <c r="B982">
        <v>94.75</v>
      </c>
      <c r="C982" s="4"/>
    </row>
    <row r="983" spans="1:3" x14ac:dyDescent="0.25">
      <c r="A983" s="4">
        <v>37231</v>
      </c>
      <c r="B983">
        <v>94.75</v>
      </c>
      <c r="C983" s="4"/>
    </row>
    <row r="984" spans="1:3" x14ac:dyDescent="0.25">
      <c r="A984" s="4">
        <v>37232</v>
      </c>
      <c r="B984">
        <v>94.5</v>
      </c>
      <c r="C984" s="4"/>
    </row>
    <row r="985" spans="1:3" x14ac:dyDescent="0.25">
      <c r="A985" s="4">
        <v>37235</v>
      </c>
      <c r="B985">
        <v>91</v>
      </c>
      <c r="C985" s="4"/>
    </row>
    <row r="986" spans="1:3" x14ac:dyDescent="0.25">
      <c r="A986" s="4">
        <v>37236</v>
      </c>
      <c r="B986">
        <v>96</v>
      </c>
      <c r="C986" s="4"/>
    </row>
    <row r="987" spans="1:3" x14ac:dyDescent="0.25">
      <c r="A987" s="4">
        <v>37237</v>
      </c>
      <c r="B987">
        <v>96</v>
      </c>
      <c r="C987" s="4"/>
    </row>
    <row r="988" spans="1:3" x14ac:dyDescent="0.25">
      <c r="A988" s="4">
        <v>37238</v>
      </c>
      <c r="B988">
        <v>97</v>
      </c>
      <c r="C988" s="4"/>
    </row>
    <row r="989" spans="1:3" x14ac:dyDescent="0.25">
      <c r="A989" s="4">
        <v>37239</v>
      </c>
      <c r="B989">
        <v>96.5</v>
      </c>
      <c r="C989" s="4"/>
    </row>
    <row r="990" spans="1:3" x14ac:dyDescent="0.25">
      <c r="A990" s="4">
        <v>37243</v>
      </c>
      <c r="B990">
        <v>96.5</v>
      </c>
      <c r="C990" s="4"/>
    </row>
    <row r="991" spans="1:3" x14ac:dyDescent="0.25">
      <c r="A991" s="4">
        <v>37244</v>
      </c>
      <c r="B991">
        <v>96.75</v>
      </c>
      <c r="C991" s="4"/>
    </row>
    <row r="992" spans="1:3" x14ac:dyDescent="0.25">
      <c r="A992" s="4">
        <v>37245</v>
      </c>
      <c r="B992">
        <v>102</v>
      </c>
      <c r="C992" s="4"/>
    </row>
    <row r="993" spans="1:3" x14ac:dyDescent="0.25">
      <c r="A993" s="4">
        <v>37246</v>
      </c>
      <c r="B993">
        <v>100.25</v>
      </c>
      <c r="C993" s="4"/>
    </row>
    <row r="994" spans="1:3" x14ac:dyDescent="0.25">
      <c r="A994" s="4">
        <v>37249</v>
      </c>
      <c r="B994">
        <v>98</v>
      </c>
      <c r="C994" s="4"/>
    </row>
    <row r="995" spans="1:3" x14ac:dyDescent="0.25">
      <c r="A995" s="4">
        <v>37251</v>
      </c>
      <c r="B995">
        <v>97.5</v>
      </c>
      <c r="C995" s="4"/>
    </row>
    <row r="996" spans="1:3" x14ac:dyDescent="0.25">
      <c r="A996" s="4">
        <v>37252</v>
      </c>
      <c r="B996">
        <v>101.5</v>
      </c>
      <c r="C996" s="4"/>
    </row>
    <row r="997" spans="1:3" x14ac:dyDescent="0.25">
      <c r="A997" s="4">
        <v>37253</v>
      </c>
      <c r="B997">
        <v>101</v>
      </c>
      <c r="C997" s="4"/>
    </row>
    <row r="998" spans="1:3" x14ac:dyDescent="0.25">
      <c r="A998" s="4">
        <v>37256</v>
      </c>
      <c r="B998">
        <v>106</v>
      </c>
      <c r="C998" s="4"/>
    </row>
    <row r="999" spans="1:3" x14ac:dyDescent="0.25">
      <c r="A999" s="4">
        <v>37258</v>
      </c>
      <c r="B999">
        <v>105.5</v>
      </c>
      <c r="C999" s="4"/>
    </row>
    <row r="1000" spans="1:3" x14ac:dyDescent="0.25">
      <c r="A1000" s="4">
        <v>37259</v>
      </c>
      <c r="B1000">
        <v>105</v>
      </c>
      <c r="C1000" s="4"/>
    </row>
    <row r="1001" spans="1:3" x14ac:dyDescent="0.25">
      <c r="A1001" s="4">
        <v>37260</v>
      </c>
      <c r="B1001">
        <v>104.75</v>
      </c>
      <c r="C1001" s="4"/>
    </row>
    <row r="1002" spans="1:3" x14ac:dyDescent="0.25">
      <c r="A1002" s="4">
        <v>37263</v>
      </c>
      <c r="B1002">
        <v>105.75</v>
      </c>
      <c r="C1002" s="4"/>
    </row>
    <row r="1003" spans="1:3" x14ac:dyDescent="0.25">
      <c r="A1003" s="4">
        <v>37264</v>
      </c>
      <c r="B1003">
        <v>103.75</v>
      </c>
      <c r="C1003" s="4"/>
    </row>
    <row r="1004" spans="1:3" x14ac:dyDescent="0.25">
      <c r="A1004" s="4">
        <v>37265</v>
      </c>
      <c r="B1004">
        <v>100.5</v>
      </c>
      <c r="C1004" s="4"/>
    </row>
    <row r="1005" spans="1:3" x14ac:dyDescent="0.25">
      <c r="A1005" s="4">
        <v>37266</v>
      </c>
      <c r="B1005">
        <v>97.75</v>
      </c>
      <c r="C1005" s="4"/>
    </row>
    <row r="1006" spans="1:3" x14ac:dyDescent="0.25">
      <c r="A1006" s="4">
        <v>37267</v>
      </c>
      <c r="B1006">
        <v>98.5</v>
      </c>
      <c r="C1006" s="4"/>
    </row>
    <row r="1007" spans="1:3" x14ac:dyDescent="0.25">
      <c r="A1007" s="4">
        <v>37270</v>
      </c>
      <c r="B1007">
        <v>99.5</v>
      </c>
      <c r="C1007" s="4"/>
    </row>
    <row r="1008" spans="1:3" x14ac:dyDescent="0.25">
      <c r="A1008" s="4">
        <v>37271</v>
      </c>
      <c r="B1008">
        <v>99</v>
      </c>
      <c r="C1008" s="4"/>
    </row>
    <row r="1009" spans="1:3" x14ac:dyDescent="0.25">
      <c r="A1009" s="4">
        <v>37272</v>
      </c>
      <c r="B1009">
        <v>99.5</v>
      </c>
      <c r="C1009" s="4"/>
    </row>
    <row r="1010" spans="1:3" x14ac:dyDescent="0.25">
      <c r="A1010" s="4">
        <v>37273</v>
      </c>
      <c r="B1010">
        <v>100.75</v>
      </c>
      <c r="C1010" s="4"/>
    </row>
    <row r="1011" spans="1:3" x14ac:dyDescent="0.25">
      <c r="A1011" s="4">
        <v>37274</v>
      </c>
      <c r="B1011">
        <v>100.25</v>
      </c>
      <c r="C1011" s="4"/>
    </row>
    <row r="1012" spans="1:3" x14ac:dyDescent="0.25">
      <c r="A1012" s="4">
        <v>37277</v>
      </c>
      <c r="B1012">
        <v>100.5</v>
      </c>
      <c r="C1012" s="4"/>
    </row>
    <row r="1013" spans="1:3" x14ac:dyDescent="0.25">
      <c r="A1013" s="4">
        <v>37278</v>
      </c>
      <c r="B1013">
        <v>101.25</v>
      </c>
      <c r="C1013" s="4"/>
    </row>
    <row r="1014" spans="1:3" x14ac:dyDescent="0.25">
      <c r="A1014" s="4">
        <v>37279</v>
      </c>
      <c r="B1014">
        <v>99</v>
      </c>
      <c r="C1014" s="4"/>
    </row>
    <row r="1015" spans="1:3" x14ac:dyDescent="0.25">
      <c r="A1015" s="4">
        <v>37280</v>
      </c>
      <c r="B1015">
        <v>97.25</v>
      </c>
      <c r="C1015" s="4"/>
    </row>
    <row r="1016" spans="1:3" x14ac:dyDescent="0.25">
      <c r="A1016" s="4">
        <v>37281</v>
      </c>
      <c r="B1016">
        <v>97.25</v>
      </c>
      <c r="C1016" s="4"/>
    </row>
    <row r="1017" spans="1:3" x14ac:dyDescent="0.25">
      <c r="A1017" s="4">
        <v>37284</v>
      </c>
      <c r="B1017">
        <v>98.75</v>
      </c>
      <c r="C1017" s="4"/>
    </row>
    <row r="1018" spans="1:3" x14ac:dyDescent="0.25">
      <c r="A1018" s="4">
        <v>37285</v>
      </c>
      <c r="B1018">
        <v>100</v>
      </c>
      <c r="C1018" s="4"/>
    </row>
    <row r="1019" spans="1:3" x14ac:dyDescent="0.25">
      <c r="A1019" s="4">
        <v>37286</v>
      </c>
      <c r="B1019">
        <v>99</v>
      </c>
      <c r="C1019" s="4"/>
    </row>
    <row r="1020" spans="1:3" x14ac:dyDescent="0.25">
      <c r="A1020" s="4">
        <v>37287</v>
      </c>
      <c r="B1020">
        <v>99.25</v>
      </c>
      <c r="C1020" s="4"/>
    </row>
    <row r="1021" spans="1:3" x14ac:dyDescent="0.25">
      <c r="A1021" s="4">
        <v>37288</v>
      </c>
      <c r="B1021">
        <v>99</v>
      </c>
      <c r="C1021" s="4"/>
    </row>
    <row r="1022" spans="1:3" x14ac:dyDescent="0.25">
      <c r="A1022" s="4">
        <v>37291</v>
      </c>
      <c r="B1022">
        <v>99.25</v>
      </c>
      <c r="C1022" s="4"/>
    </row>
    <row r="1023" spans="1:3" x14ac:dyDescent="0.25">
      <c r="A1023" s="4">
        <v>37292</v>
      </c>
      <c r="B1023">
        <v>99.75</v>
      </c>
      <c r="C1023" s="4"/>
    </row>
    <row r="1024" spans="1:3" x14ac:dyDescent="0.25">
      <c r="A1024" s="4">
        <v>37293</v>
      </c>
      <c r="B1024">
        <v>102</v>
      </c>
      <c r="C1024" s="4"/>
    </row>
    <row r="1025" spans="1:3" x14ac:dyDescent="0.25">
      <c r="A1025" s="4">
        <v>37294</v>
      </c>
      <c r="B1025">
        <v>100</v>
      </c>
      <c r="C1025" s="4"/>
    </row>
    <row r="1026" spans="1:3" x14ac:dyDescent="0.25">
      <c r="A1026" s="4">
        <v>37295</v>
      </c>
      <c r="B1026">
        <v>102</v>
      </c>
      <c r="C1026" s="4"/>
    </row>
    <row r="1027" spans="1:3" x14ac:dyDescent="0.25">
      <c r="A1027" s="4">
        <v>37298</v>
      </c>
      <c r="B1027">
        <v>102</v>
      </c>
      <c r="C1027" s="4"/>
    </row>
    <row r="1028" spans="1:3" x14ac:dyDescent="0.25">
      <c r="A1028" s="4">
        <v>37301</v>
      </c>
      <c r="B1028">
        <v>104.25</v>
      </c>
      <c r="C1028" s="4"/>
    </row>
    <row r="1029" spans="1:3" x14ac:dyDescent="0.25">
      <c r="A1029" s="4">
        <v>37302</v>
      </c>
      <c r="B1029">
        <v>102</v>
      </c>
      <c r="C1029" s="4"/>
    </row>
    <row r="1030" spans="1:3" x14ac:dyDescent="0.25">
      <c r="A1030" s="4">
        <v>37305</v>
      </c>
      <c r="B1030">
        <v>102.5</v>
      </c>
      <c r="C1030" s="4"/>
    </row>
    <row r="1031" spans="1:3" x14ac:dyDescent="0.25">
      <c r="A1031" s="4">
        <v>37306</v>
      </c>
      <c r="B1031">
        <v>103</v>
      </c>
      <c r="C1031" s="4"/>
    </row>
    <row r="1032" spans="1:3" x14ac:dyDescent="0.25">
      <c r="A1032" s="4">
        <v>37307</v>
      </c>
      <c r="B1032">
        <v>104</v>
      </c>
      <c r="C1032" s="4"/>
    </row>
    <row r="1033" spans="1:3" x14ac:dyDescent="0.25">
      <c r="A1033" s="4">
        <v>37308</v>
      </c>
      <c r="B1033">
        <v>106</v>
      </c>
      <c r="C1033" s="4"/>
    </row>
    <row r="1034" spans="1:3" x14ac:dyDescent="0.25">
      <c r="A1034" s="4">
        <v>37309</v>
      </c>
      <c r="B1034">
        <v>108.5</v>
      </c>
      <c r="C1034" s="4"/>
    </row>
    <row r="1035" spans="1:3" x14ac:dyDescent="0.25">
      <c r="A1035" s="4">
        <v>37313</v>
      </c>
      <c r="B1035">
        <v>112</v>
      </c>
      <c r="C1035" s="4"/>
    </row>
    <row r="1036" spans="1:3" x14ac:dyDescent="0.25">
      <c r="A1036" s="4">
        <v>37314</v>
      </c>
      <c r="B1036">
        <v>112</v>
      </c>
      <c r="C1036" s="4"/>
    </row>
    <row r="1037" spans="1:3" x14ac:dyDescent="0.25">
      <c r="A1037" s="4">
        <v>37315</v>
      </c>
      <c r="B1037">
        <v>115</v>
      </c>
      <c r="C1037" s="4"/>
    </row>
    <row r="1038" spans="1:3" x14ac:dyDescent="0.25">
      <c r="A1038" s="4">
        <v>37316</v>
      </c>
      <c r="B1038">
        <v>114.5</v>
      </c>
      <c r="C1038" s="4"/>
    </row>
    <row r="1039" spans="1:3" x14ac:dyDescent="0.25">
      <c r="A1039" s="4">
        <v>37319</v>
      </c>
      <c r="B1039">
        <v>114</v>
      </c>
      <c r="C1039" s="4"/>
    </row>
    <row r="1040" spans="1:3" x14ac:dyDescent="0.25">
      <c r="A1040" s="4">
        <v>37320</v>
      </c>
      <c r="B1040">
        <v>114.5</v>
      </c>
      <c r="C1040" s="4"/>
    </row>
    <row r="1041" spans="1:3" x14ac:dyDescent="0.25">
      <c r="A1041" s="4">
        <v>37321</v>
      </c>
      <c r="B1041">
        <v>117</v>
      </c>
      <c r="C1041" s="4"/>
    </row>
    <row r="1042" spans="1:3" x14ac:dyDescent="0.25">
      <c r="A1042" s="4">
        <v>37322</v>
      </c>
      <c r="B1042">
        <v>114.5</v>
      </c>
      <c r="C1042" s="4"/>
    </row>
    <row r="1043" spans="1:3" x14ac:dyDescent="0.25">
      <c r="A1043" s="4">
        <v>37323</v>
      </c>
      <c r="B1043">
        <v>118</v>
      </c>
      <c r="C1043" s="4"/>
    </row>
    <row r="1044" spans="1:3" x14ac:dyDescent="0.25">
      <c r="A1044" s="4">
        <v>37326</v>
      </c>
      <c r="B1044">
        <v>118</v>
      </c>
      <c r="C1044" s="4"/>
    </row>
    <row r="1045" spans="1:3" x14ac:dyDescent="0.25">
      <c r="A1045" s="4">
        <v>37327</v>
      </c>
      <c r="B1045">
        <v>120.5</v>
      </c>
      <c r="C1045" s="4"/>
    </row>
    <row r="1046" spans="1:3" x14ac:dyDescent="0.25">
      <c r="A1046" s="4">
        <v>37328</v>
      </c>
      <c r="B1046">
        <v>119.75</v>
      </c>
      <c r="C1046" s="4"/>
    </row>
    <row r="1047" spans="1:3" x14ac:dyDescent="0.25">
      <c r="A1047" s="4">
        <v>37329</v>
      </c>
      <c r="B1047">
        <v>120</v>
      </c>
      <c r="C1047" s="4"/>
    </row>
    <row r="1048" spans="1:3" x14ac:dyDescent="0.25">
      <c r="A1048" s="4">
        <v>37330</v>
      </c>
      <c r="B1048">
        <v>117.5</v>
      </c>
      <c r="C1048" s="4"/>
    </row>
    <row r="1049" spans="1:3" x14ac:dyDescent="0.25">
      <c r="A1049" s="4">
        <v>37333</v>
      </c>
      <c r="B1049">
        <v>120</v>
      </c>
      <c r="C1049" s="4"/>
    </row>
    <row r="1050" spans="1:3" x14ac:dyDescent="0.25">
      <c r="A1050" s="4">
        <v>37334</v>
      </c>
      <c r="B1050">
        <v>119</v>
      </c>
      <c r="C1050" s="4"/>
    </row>
    <row r="1051" spans="1:3" x14ac:dyDescent="0.25">
      <c r="A1051" s="4">
        <v>37335</v>
      </c>
      <c r="B1051">
        <v>118.5</v>
      </c>
      <c r="C1051" s="4"/>
    </row>
    <row r="1052" spans="1:3" x14ac:dyDescent="0.25">
      <c r="A1052" s="4">
        <v>37336</v>
      </c>
      <c r="B1052">
        <v>120.5</v>
      </c>
      <c r="C1052" s="4"/>
    </row>
    <row r="1053" spans="1:3" x14ac:dyDescent="0.25">
      <c r="A1053" s="4">
        <v>37337</v>
      </c>
      <c r="B1053">
        <v>120.5</v>
      </c>
      <c r="C1053" s="4"/>
    </row>
    <row r="1054" spans="1:3" x14ac:dyDescent="0.25">
      <c r="A1054" s="4">
        <v>37340</v>
      </c>
      <c r="B1054">
        <v>121</v>
      </c>
      <c r="C1054" s="4"/>
    </row>
    <row r="1055" spans="1:3" x14ac:dyDescent="0.25">
      <c r="A1055" s="4">
        <v>37341</v>
      </c>
      <c r="B1055">
        <v>122.75</v>
      </c>
      <c r="C1055" s="4"/>
    </row>
    <row r="1056" spans="1:3" x14ac:dyDescent="0.25">
      <c r="A1056" s="4">
        <v>37342</v>
      </c>
      <c r="B1056">
        <v>120.5</v>
      </c>
      <c r="C1056" s="4"/>
    </row>
    <row r="1057" spans="1:3" x14ac:dyDescent="0.25">
      <c r="A1057" s="4">
        <v>37343</v>
      </c>
      <c r="B1057">
        <v>127</v>
      </c>
      <c r="C1057" s="4"/>
    </row>
    <row r="1058" spans="1:3" x14ac:dyDescent="0.25">
      <c r="A1058" s="4">
        <v>37347</v>
      </c>
      <c r="B1058">
        <v>130.5</v>
      </c>
      <c r="C1058" s="4"/>
    </row>
    <row r="1059" spans="1:3" x14ac:dyDescent="0.25">
      <c r="A1059" s="4">
        <v>37348</v>
      </c>
      <c r="B1059">
        <v>135.5</v>
      </c>
      <c r="C1059" s="4"/>
    </row>
    <row r="1060" spans="1:3" x14ac:dyDescent="0.25">
      <c r="A1060" s="4">
        <v>37349</v>
      </c>
      <c r="B1060">
        <v>132</v>
      </c>
      <c r="C1060" s="4"/>
    </row>
    <row r="1061" spans="1:3" x14ac:dyDescent="0.25">
      <c r="A1061" s="4">
        <v>37350</v>
      </c>
      <c r="B1061">
        <v>133</v>
      </c>
      <c r="C1061" s="4"/>
    </row>
    <row r="1062" spans="1:3" x14ac:dyDescent="0.25">
      <c r="A1062" s="4">
        <v>37351</v>
      </c>
      <c r="B1062">
        <v>131</v>
      </c>
      <c r="C1062" s="4"/>
    </row>
    <row r="1063" spans="1:3" x14ac:dyDescent="0.25">
      <c r="A1063" s="4">
        <v>37354</v>
      </c>
      <c r="B1063">
        <v>129.5</v>
      </c>
      <c r="C1063" s="4"/>
    </row>
    <row r="1064" spans="1:3" x14ac:dyDescent="0.25">
      <c r="A1064" s="4">
        <v>37355</v>
      </c>
      <c r="B1064">
        <v>129</v>
      </c>
      <c r="C1064" s="4"/>
    </row>
    <row r="1065" spans="1:3" x14ac:dyDescent="0.25">
      <c r="A1065" s="4">
        <v>37356</v>
      </c>
      <c r="B1065">
        <v>123.5</v>
      </c>
      <c r="C1065" s="4"/>
    </row>
    <row r="1066" spans="1:3" x14ac:dyDescent="0.25">
      <c r="A1066" s="4">
        <v>37357</v>
      </c>
      <c r="B1066">
        <v>122.5</v>
      </c>
      <c r="C1066" s="4"/>
    </row>
    <row r="1067" spans="1:3" x14ac:dyDescent="0.25">
      <c r="A1067" s="4">
        <v>37358</v>
      </c>
      <c r="B1067">
        <v>127.75</v>
      </c>
      <c r="C1067" s="4"/>
    </row>
    <row r="1068" spans="1:3" x14ac:dyDescent="0.25">
      <c r="A1068" s="4">
        <v>37361</v>
      </c>
      <c r="B1068">
        <v>130.75</v>
      </c>
      <c r="C1068" s="4"/>
    </row>
    <row r="1069" spans="1:3" x14ac:dyDescent="0.25">
      <c r="A1069" s="4">
        <v>37362</v>
      </c>
      <c r="B1069">
        <v>133.5</v>
      </c>
      <c r="C1069" s="4"/>
    </row>
    <row r="1070" spans="1:3" x14ac:dyDescent="0.25">
      <c r="A1070" s="4">
        <v>37363</v>
      </c>
      <c r="B1070">
        <v>132.25</v>
      </c>
      <c r="C1070" s="4"/>
    </row>
    <row r="1071" spans="1:3" x14ac:dyDescent="0.25">
      <c r="A1071" s="4">
        <v>37364</v>
      </c>
      <c r="B1071">
        <v>135</v>
      </c>
      <c r="C1071" s="4"/>
    </row>
    <row r="1072" spans="1:3" x14ac:dyDescent="0.25">
      <c r="A1072" s="4">
        <v>37365</v>
      </c>
      <c r="B1072">
        <v>136</v>
      </c>
      <c r="C1072" s="4"/>
    </row>
    <row r="1073" spans="1:3" x14ac:dyDescent="0.25">
      <c r="A1073" s="4">
        <v>37368</v>
      </c>
      <c r="B1073">
        <v>133.5</v>
      </c>
      <c r="C1073" s="4"/>
    </row>
    <row r="1074" spans="1:3" x14ac:dyDescent="0.25">
      <c r="A1074" s="4">
        <v>37369</v>
      </c>
      <c r="B1074">
        <v>138</v>
      </c>
      <c r="C1074" s="4"/>
    </row>
    <row r="1075" spans="1:3" x14ac:dyDescent="0.25">
      <c r="A1075" s="4">
        <v>37370</v>
      </c>
      <c r="B1075">
        <v>138.5</v>
      </c>
      <c r="C1075" s="4"/>
    </row>
    <row r="1076" spans="1:3" x14ac:dyDescent="0.25">
      <c r="A1076" s="4">
        <v>37371</v>
      </c>
      <c r="B1076">
        <v>140.25</v>
      </c>
      <c r="C1076" s="4"/>
    </row>
    <row r="1077" spans="1:3" x14ac:dyDescent="0.25">
      <c r="A1077" s="4">
        <v>37372</v>
      </c>
      <c r="B1077">
        <v>142.5</v>
      </c>
      <c r="C1077" s="4"/>
    </row>
    <row r="1078" spans="1:3" x14ac:dyDescent="0.25">
      <c r="A1078" s="4">
        <v>37375</v>
      </c>
      <c r="B1078">
        <v>142.5</v>
      </c>
      <c r="C1078" s="4"/>
    </row>
    <row r="1079" spans="1:3" x14ac:dyDescent="0.25">
      <c r="A1079" s="4">
        <v>37376</v>
      </c>
      <c r="B1079">
        <v>137.5</v>
      </c>
      <c r="C1079" s="4"/>
    </row>
    <row r="1080" spans="1:3" x14ac:dyDescent="0.25">
      <c r="A1080" s="4">
        <v>37378</v>
      </c>
      <c r="B1080">
        <v>137.5</v>
      </c>
      <c r="C1080" s="4"/>
    </row>
    <row r="1081" spans="1:3" x14ac:dyDescent="0.25">
      <c r="A1081" s="4">
        <v>37379</v>
      </c>
      <c r="B1081">
        <v>137.25</v>
      </c>
      <c r="C1081" s="4"/>
    </row>
    <row r="1082" spans="1:3" x14ac:dyDescent="0.25">
      <c r="A1082" s="4">
        <v>37382</v>
      </c>
      <c r="B1082">
        <v>138.5</v>
      </c>
      <c r="C1082" s="4"/>
    </row>
    <row r="1083" spans="1:3" x14ac:dyDescent="0.25">
      <c r="A1083" s="4">
        <v>37383</v>
      </c>
      <c r="B1083">
        <v>141.5</v>
      </c>
      <c r="C1083" s="4"/>
    </row>
    <row r="1084" spans="1:3" x14ac:dyDescent="0.25">
      <c r="A1084" s="4">
        <v>37384</v>
      </c>
      <c r="B1084">
        <v>140</v>
      </c>
      <c r="C1084" s="4"/>
    </row>
    <row r="1085" spans="1:3" x14ac:dyDescent="0.25">
      <c r="A1085" s="4">
        <v>37385</v>
      </c>
      <c r="B1085">
        <v>139.75</v>
      </c>
      <c r="C1085" s="4"/>
    </row>
    <row r="1086" spans="1:3" x14ac:dyDescent="0.25">
      <c r="A1086" s="4">
        <v>37386</v>
      </c>
      <c r="B1086">
        <v>142.5</v>
      </c>
      <c r="C1086" s="4"/>
    </row>
    <row r="1087" spans="1:3" x14ac:dyDescent="0.25">
      <c r="A1087" s="4">
        <v>37389</v>
      </c>
      <c r="B1087">
        <v>144.75</v>
      </c>
      <c r="C1087" s="4"/>
    </row>
    <row r="1088" spans="1:3" x14ac:dyDescent="0.25">
      <c r="A1088" s="4">
        <v>37390</v>
      </c>
      <c r="B1088">
        <v>144</v>
      </c>
      <c r="C1088" s="4"/>
    </row>
    <row r="1089" spans="1:3" x14ac:dyDescent="0.25">
      <c r="A1089" s="4">
        <v>37391</v>
      </c>
      <c r="B1089">
        <v>144</v>
      </c>
      <c r="C1089" s="4"/>
    </row>
    <row r="1090" spans="1:3" x14ac:dyDescent="0.25">
      <c r="A1090" s="4">
        <v>37392</v>
      </c>
      <c r="B1090">
        <v>143.5</v>
      </c>
      <c r="C1090" s="4"/>
    </row>
    <row r="1091" spans="1:3" x14ac:dyDescent="0.25">
      <c r="A1091" s="4">
        <v>37393</v>
      </c>
      <c r="B1091">
        <v>143</v>
      </c>
      <c r="C1091" s="4"/>
    </row>
    <row r="1092" spans="1:3" x14ac:dyDescent="0.25">
      <c r="A1092" s="4">
        <v>37396</v>
      </c>
      <c r="B1092">
        <v>140.25</v>
      </c>
      <c r="C1092" s="4"/>
    </row>
    <row r="1093" spans="1:3" x14ac:dyDescent="0.25">
      <c r="A1093" s="4">
        <v>37397</v>
      </c>
      <c r="B1093">
        <v>139</v>
      </c>
      <c r="C1093" s="4"/>
    </row>
    <row r="1094" spans="1:3" x14ac:dyDescent="0.25">
      <c r="A1094" s="4">
        <v>37398</v>
      </c>
      <c r="B1094">
        <v>137.5</v>
      </c>
      <c r="C1094" s="4"/>
    </row>
    <row r="1095" spans="1:3" x14ac:dyDescent="0.25">
      <c r="A1095" s="4">
        <v>37399</v>
      </c>
      <c r="B1095">
        <v>137.5</v>
      </c>
      <c r="C1095" s="4"/>
    </row>
    <row r="1096" spans="1:3" x14ac:dyDescent="0.25">
      <c r="A1096" s="4">
        <v>37400</v>
      </c>
      <c r="B1096">
        <v>137</v>
      </c>
      <c r="C1096" s="4"/>
    </row>
    <row r="1097" spans="1:3" x14ac:dyDescent="0.25">
      <c r="A1097" s="4">
        <v>37404</v>
      </c>
      <c r="B1097">
        <v>133.25</v>
      </c>
      <c r="C1097" s="4"/>
    </row>
    <row r="1098" spans="1:3" x14ac:dyDescent="0.25">
      <c r="A1098" s="4">
        <v>37405</v>
      </c>
      <c r="B1098">
        <v>132</v>
      </c>
      <c r="C1098" s="4"/>
    </row>
    <row r="1099" spans="1:3" x14ac:dyDescent="0.25">
      <c r="A1099" s="4">
        <v>37406</v>
      </c>
      <c r="B1099">
        <v>131</v>
      </c>
      <c r="C1099" s="4"/>
    </row>
    <row r="1100" spans="1:3" x14ac:dyDescent="0.25">
      <c r="A1100" s="4">
        <v>37407</v>
      </c>
      <c r="B1100">
        <v>137</v>
      </c>
      <c r="C1100" s="4"/>
    </row>
    <row r="1101" spans="1:3" x14ac:dyDescent="0.25">
      <c r="A1101" s="4">
        <v>37410</v>
      </c>
      <c r="B1101">
        <v>137.5</v>
      </c>
      <c r="C1101" s="4"/>
    </row>
    <row r="1102" spans="1:3" x14ac:dyDescent="0.25">
      <c r="A1102" s="4">
        <v>37411</v>
      </c>
      <c r="B1102">
        <v>134.75</v>
      </c>
      <c r="C1102" s="4"/>
    </row>
    <row r="1103" spans="1:3" x14ac:dyDescent="0.25">
      <c r="A1103" s="4">
        <v>37412</v>
      </c>
      <c r="B1103">
        <v>133</v>
      </c>
      <c r="C1103" s="4"/>
    </row>
    <row r="1104" spans="1:3" x14ac:dyDescent="0.25">
      <c r="A1104" s="4">
        <v>37413</v>
      </c>
      <c r="B1104">
        <v>128</v>
      </c>
      <c r="C1104" s="4"/>
    </row>
    <row r="1105" spans="1:3" x14ac:dyDescent="0.25">
      <c r="A1105" s="4">
        <v>37414</v>
      </c>
      <c r="B1105">
        <v>128</v>
      </c>
      <c r="C1105" s="4"/>
    </row>
    <row r="1106" spans="1:3" x14ac:dyDescent="0.25">
      <c r="A1106" s="4">
        <v>37417</v>
      </c>
      <c r="B1106">
        <v>130</v>
      </c>
      <c r="C1106" s="4"/>
    </row>
    <row r="1107" spans="1:3" x14ac:dyDescent="0.25">
      <c r="A1107" s="4">
        <v>37418</v>
      </c>
      <c r="B1107">
        <v>132.5</v>
      </c>
      <c r="C1107" s="4"/>
    </row>
    <row r="1108" spans="1:3" x14ac:dyDescent="0.25">
      <c r="A1108" s="4">
        <v>37419</v>
      </c>
      <c r="B1108">
        <v>134</v>
      </c>
      <c r="C1108" s="4"/>
    </row>
    <row r="1109" spans="1:3" x14ac:dyDescent="0.25">
      <c r="A1109" s="4">
        <v>37420</v>
      </c>
      <c r="B1109">
        <v>132.5</v>
      </c>
      <c r="C1109" s="4"/>
    </row>
    <row r="1110" spans="1:3" x14ac:dyDescent="0.25">
      <c r="A1110" s="4">
        <v>37421</v>
      </c>
      <c r="B1110">
        <v>128.5</v>
      </c>
      <c r="C1110" s="4"/>
    </row>
    <row r="1111" spans="1:3" x14ac:dyDescent="0.25">
      <c r="A1111" s="4">
        <v>37424</v>
      </c>
      <c r="B1111">
        <v>129.75</v>
      </c>
      <c r="C1111" s="4"/>
    </row>
    <row r="1112" spans="1:3" x14ac:dyDescent="0.25">
      <c r="A1112" s="4">
        <v>37425</v>
      </c>
      <c r="B1112">
        <v>127.5</v>
      </c>
      <c r="C1112" s="4"/>
    </row>
    <row r="1113" spans="1:3" x14ac:dyDescent="0.25">
      <c r="A1113" s="4">
        <v>37426</v>
      </c>
      <c r="B1113">
        <v>129.25</v>
      </c>
      <c r="C1113" s="4"/>
    </row>
    <row r="1114" spans="1:3" x14ac:dyDescent="0.25">
      <c r="A1114" s="4">
        <v>37427</v>
      </c>
      <c r="B1114">
        <v>133.25</v>
      </c>
      <c r="C1114" s="4"/>
    </row>
    <row r="1115" spans="1:3" x14ac:dyDescent="0.25">
      <c r="A1115" s="4">
        <v>37428</v>
      </c>
      <c r="B1115">
        <v>131.5</v>
      </c>
      <c r="C1115" s="4"/>
    </row>
    <row r="1116" spans="1:3" x14ac:dyDescent="0.25">
      <c r="A1116" s="4">
        <v>37431</v>
      </c>
      <c r="B1116">
        <v>135</v>
      </c>
      <c r="C1116" s="4"/>
    </row>
    <row r="1117" spans="1:3" x14ac:dyDescent="0.25">
      <c r="A1117" s="4">
        <v>37432</v>
      </c>
      <c r="B1117">
        <v>133.5</v>
      </c>
      <c r="C1117" s="4"/>
    </row>
    <row r="1118" spans="1:3" x14ac:dyDescent="0.25">
      <c r="A1118" s="4">
        <v>37433</v>
      </c>
      <c r="B1118">
        <v>137.75</v>
      </c>
      <c r="C1118" s="4"/>
    </row>
    <row r="1119" spans="1:3" x14ac:dyDescent="0.25">
      <c r="A1119" s="4">
        <v>37434</v>
      </c>
      <c r="B1119">
        <v>141.5</v>
      </c>
      <c r="C1119" s="4"/>
    </row>
    <row r="1120" spans="1:3" x14ac:dyDescent="0.25">
      <c r="A1120" s="4">
        <v>37435</v>
      </c>
      <c r="B1120">
        <v>141</v>
      </c>
      <c r="C1120" s="4"/>
    </row>
    <row r="1121" spans="1:3" x14ac:dyDescent="0.25">
      <c r="A1121" s="4">
        <v>37438</v>
      </c>
      <c r="B1121">
        <v>140.5</v>
      </c>
      <c r="C1121" s="4"/>
    </row>
    <row r="1122" spans="1:3" x14ac:dyDescent="0.25">
      <c r="A1122" s="4">
        <v>37439</v>
      </c>
      <c r="B1122">
        <v>138</v>
      </c>
      <c r="C1122" s="4"/>
    </row>
    <row r="1123" spans="1:3" x14ac:dyDescent="0.25">
      <c r="A1123" s="4">
        <v>37440</v>
      </c>
      <c r="B1123">
        <v>140</v>
      </c>
      <c r="C1123" s="4"/>
    </row>
    <row r="1124" spans="1:3" x14ac:dyDescent="0.25">
      <c r="A1124" s="4">
        <v>37441</v>
      </c>
      <c r="B1124">
        <v>139</v>
      </c>
      <c r="C1124" s="4"/>
    </row>
    <row r="1125" spans="1:3" x14ac:dyDescent="0.25">
      <c r="A1125" s="4">
        <v>37442</v>
      </c>
      <c r="B1125">
        <v>143.5</v>
      </c>
      <c r="C1125" s="4"/>
    </row>
    <row r="1126" spans="1:3" x14ac:dyDescent="0.25">
      <c r="A1126" s="4">
        <v>37445</v>
      </c>
      <c r="B1126">
        <v>142</v>
      </c>
      <c r="C1126" s="4"/>
    </row>
    <row r="1127" spans="1:3" x14ac:dyDescent="0.25">
      <c r="A1127" s="4">
        <v>37446</v>
      </c>
      <c r="B1127">
        <v>141.5</v>
      </c>
      <c r="C1127" s="4"/>
    </row>
    <row r="1128" spans="1:3" x14ac:dyDescent="0.25">
      <c r="A1128" s="4">
        <v>37447</v>
      </c>
      <c r="B1128">
        <v>143.5</v>
      </c>
      <c r="C1128" s="4"/>
    </row>
    <row r="1129" spans="1:3" x14ac:dyDescent="0.25">
      <c r="A1129" s="4">
        <v>37448</v>
      </c>
      <c r="B1129">
        <v>141</v>
      </c>
      <c r="C1129" s="4"/>
    </row>
    <row r="1130" spans="1:3" x14ac:dyDescent="0.25">
      <c r="A1130" s="4">
        <v>37449</v>
      </c>
      <c r="B1130">
        <v>141.5</v>
      </c>
      <c r="C1130" s="4"/>
    </row>
    <row r="1131" spans="1:3" x14ac:dyDescent="0.25">
      <c r="A1131" s="4">
        <v>37452</v>
      </c>
      <c r="B1131">
        <v>140.5</v>
      </c>
      <c r="C1131" s="4"/>
    </row>
    <row r="1132" spans="1:3" x14ac:dyDescent="0.25">
      <c r="A1132" s="4">
        <v>37453</v>
      </c>
      <c r="B1132">
        <v>139.5</v>
      </c>
      <c r="C1132" s="4"/>
    </row>
    <row r="1133" spans="1:3" x14ac:dyDescent="0.25">
      <c r="A1133" s="4">
        <v>37454</v>
      </c>
      <c r="B1133">
        <v>137.5</v>
      </c>
      <c r="C1133" s="4"/>
    </row>
    <row r="1134" spans="1:3" x14ac:dyDescent="0.25">
      <c r="A1134" s="4">
        <v>37455</v>
      </c>
      <c r="B1134">
        <v>135.25</v>
      </c>
      <c r="C1134" s="4"/>
    </row>
    <row r="1135" spans="1:3" x14ac:dyDescent="0.25">
      <c r="A1135" s="4">
        <v>37456</v>
      </c>
      <c r="B1135">
        <v>135.5</v>
      </c>
      <c r="C1135" s="4"/>
    </row>
    <row r="1136" spans="1:3" x14ac:dyDescent="0.25">
      <c r="A1136" s="4">
        <v>37459</v>
      </c>
      <c r="B1136">
        <v>135</v>
      </c>
      <c r="C1136" s="4"/>
    </row>
    <row r="1137" spans="1:3" x14ac:dyDescent="0.25">
      <c r="A1137" s="4">
        <v>37460</v>
      </c>
      <c r="B1137">
        <v>134</v>
      </c>
      <c r="C1137" s="4"/>
    </row>
    <row r="1138" spans="1:3" x14ac:dyDescent="0.25">
      <c r="A1138" s="4">
        <v>37461</v>
      </c>
      <c r="B1138">
        <v>136.25</v>
      </c>
      <c r="C1138" s="4"/>
    </row>
    <row r="1139" spans="1:3" x14ac:dyDescent="0.25">
      <c r="A1139" s="4">
        <v>37462</v>
      </c>
      <c r="B1139">
        <v>137.25</v>
      </c>
      <c r="C1139" s="4"/>
    </row>
    <row r="1140" spans="1:3" x14ac:dyDescent="0.25">
      <c r="A1140" s="4">
        <v>37463</v>
      </c>
      <c r="B1140">
        <v>139</v>
      </c>
      <c r="C1140" s="4"/>
    </row>
    <row r="1141" spans="1:3" x14ac:dyDescent="0.25">
      <c r="A1141" s="4">
        <v>37466</v>
      </c>
      <c r="B1141">
        <v>139.5</v>
      </c>
      <c r="C1141" s="4"/>
    </row>
    <row r="1142" spans="1:3" x14ac:dyDescent="0.25">
      <c r="A1142" s="4">
        <v>37467</v>
      </c>
      <c r="B1142">
        <v>137.25</v>
      </c>
      <c r="C1142" s="4"/>
    </row>
    <row r="1143" spans="1:3" x14ac:dyDescent="0.25">
      <c r="A1143" s="4">
        <v>37468</v>
      </c>
      <c r="B1143">
        <v>138.75</v>
      </c>
      <c r="C1143" s="4"/>
    </row>
    <row r="1144" spans="1:3" x14ac:dyDescent="0.25">
      <c r="A1144" s="4">
        <v>37469</v>
      </c>
      <c r="B1144">
        <v>137.75</v>
      </c>
      <c r="C1144" s="4"/>
    </row>
    <row r="1145" spans="1:3" x14ac:dyDescent="0.25">
      <c r="A1145" s="4">
        <v>37470</v>
      </c>
      <c r="B1145">
        <v>138</v>
      </c>
      <c r="C1145" s="4"/>
    </row>
    <row r="1146" spans="1:3" x14ac:dyDescent="0.25">
      <c r="A1146" s="4">
        <v>37473</v>
      </c>
      <c r="B1146">
        <v>136.75</v>
      </c>
      <c r="C1146" s="4"/>
    </row>
    <row r="1147" spans="1:3" x14ac:dyDescent="0.25">
      <c r="A1147" s="4">
        <v>37474</v>
      </c>
      <c r="B1147">
        <v>137.25</v>
      </c>
      <c r="C1147" s="4"/>
    </row>
    <row r="1148" spans="1:3" x14ac:dyDescent="0.25">
      <c r="A1148" s="4">
        <v>37475</v>
      </c>
      <c r="B1148">
        <v>138.25</v>
      </c>
      <c r="C1148" s="4"/>
    </row>
    <row r="1149" spans="1:3" x14ac:dyDescent="0.25">
      <c r="A1149" s="4">
        <v>37476</v>
      </c>
      <c r="B1149">
        <v>140.5</v>
      </c>
      <c r="C1149" s="4"/>
    </row>
    <row r="1150" spans="1:3" x14ac:dyDescent="0.25">
      <c r="A1150" s="4">
        <v>37480</v>
      </c>
      <c r="B1150">
        <v>141.75</v>
      </c>
      <c r="C1150" s="4"/>
    </row>
    <row r="1151" spans="1:3" x14ac:dyDescent="0.25">
      <c r="A1151" s="4">
        <v>37481</v>
      </c>
      <c r="B1151">
        <v>142</v>
      </c>
      <c r="C1151" s="4"/>
    </row>
    <row r="1152" spans="1:3" x14ac:dyDescent="0.25">
      <c r="A1152" s="4">
        <v>37482</v>
      </c>
      <c r="B1152">
        <v>143</v>
      </c>
      <c r="C1152" s="4"/>
    </row>
    <row r="1153" spans="1:3" x14ac:dyDescent="0.25">
      <c r="A1153" s="4">
        <v>37483</v>
      </c>
      <c r="B1153">
        <v>144.5</v>
      </c>
      <c r="C1153" s="4"/>
    </row>
    <row r="1154" spans="1:3" x14ac:dyDescent="0.25">
      <c r="A1154" s="4">
        <v>37484</v>
      </c>
      <c r="B1154">
        <v>146.5</v>
      </c>
      <c r="C1154" s="4"/>
    </row>
    <row r="1155" spans="1:3" x14ac:dyDescent="0.25">
      <c r="A1155" s="4">
        <v>37487</v>
      </c>
      <c r="B1155">
        <v>145.5</v>
      </c>
      <c r="C1155" s="4"/>
    </row>
    <row r="1156" spans="1:3" x14ac:dyDescent="0.25">
      <c r="A1156" s="4">
        <v>37488</v>
      </c>
      <c r="B1156">
        <v>149</v>
      </c>
      <c r="C1156" s="4"/>
    </row>
    <row r="1157" spans="1:3" x14ac:dyDescent="0.25">
      <c r="A1157" s="4">
        <v>37489</v>
      </c>
      <c r="B1157">
        <v>147.5</v>
      </c>
      <c r="C1157" s="4"/>
    </row>
    <row r="1158" spans="1:3" x14ac:dyDescent="0.25">
      <c r="A1158" s="4">
        <v>37490</v>
      </c>
      <c r="B1158">
        <v>154</v>
      </c>
      <c r="C1158" s="4"/>
    </row>
    <row r="1159" spans="1:3" x14ac:dyDescent="0.25">
      <c r="A1159" s="4">
        <v>37491</v>
      </c>
      <c r="B1159">
        <v>152.25</v>
      </c>
      <c r="C1159" s="4"/>
    </row>
    <row r="1160" spans="1:3" x14ac:dyDescent="0.25">
      <c r="A1160" s="4">
        <v>37494</v>
      </c>
      <c r="B1160">
        <v>150.5</v>
      </c>
      <c r="C1160" s="4"/>
    </row>
    <row r="1161" spans="1:3" x14ac:dyDescent="0.25">
      <c r="A1161" s="4">
        <v>37495</v>
      </c>
      <c r="B1161">
        <v>152</v>
      </c>
      <c r="C1161" s="4"/>
    </row>
    <row r="1162" spans="1:3" x14ac:dyDescent="0.25">
      <c r="A1162" s="4">
        <v>37496</v>
      </c>
      <c r="B1162">
        <v>154.5</v>
      </c>
      <c r="C1162" s="4"/>
    </row>
    <row r="1163" spans="1:3" x14ac:dyDescent="0.25">
      <c r="A1163" s="4">
        <v>37497</v>
      </c>
      <c r="B1163">
        <v>154</v>
      </c>
      <c r="C1163" s="4"/>
    </row>
    <row r="1164" spans="1:3" x14ac:dyDescent="0.25">
      <c r="A1164" s="4">
        <v>37498</v>
      </c>
      <c r="B1164">
        <v>153</v>
      </c>
      <c r="C1164" s="4"/>
    </row>
    <row r="1165" spans="1:3" x14ac:dyDescent="0.25">
      <c r="A1165" s="4">
        <v>37501</v>
      </c>
      <c r="B1165">
        <v>156.5</v>
      </c>
      <c r="C1165" s="4"/>
    </row>
    <row r="1166" spans="1:3" x14ac:dyDescent="0.25">
      <c r="A1166" s="4">
        <v>37502</v>
      </c>
      <c r="B1166">
        <v>159.5</v>
      </c>
      <c r="C1166" s="4"/>
    </row>
    <row r="1167" spans="1:3" x14ac:dyDescent="0.25">
      <c r="A1167" s="4">
        <v>37503</v>
      </c>
      <c r="B1167">
        <v>159.5</v>
      </c>
      <c r="C1167" s="4"/>
    </row>
    <row r="1168" spans="1:3" x14ac:dyDescent="0.25">
      <c r="A1168" s="4">
        <v>37504</v>
      </c>
      <c r="B1168">
        <v>159</v>
      </c>
      <c r="C1168" s="4"/>
    </row>
    <row r="1169" spans="1:3" x14ac:dyDescent="0.25">
      <c r="A1169" s="4">
        <v>37505</v>
      </c>
      <c r="B1169">
        <v>157.5</v>
      </c>
      <c r="C1169" s="4"/>
    </row>
    <row r="1170" spans="1:3" x14ac:dyDescent="0.25">
      <c r="A1170" s="4">
        <v>37508</v>
      </c>
      <c r="B1170">
        <v>156</v>
      </c>
      <c r="C1170" s="4"/>
    </row>
    <row r="1171" spans="1:3" x14ac:dyDescent="0.25">
      <c r="A1171" s="4">
        <v>37509</v>
      </c>
      <c r="B1171">
        <v>157</v>
      </c>
      <c r="C1171" s="4"/>
    </row>
    <row r="1172" spans="1:3" x14ac:dyDescent="0.25">
      <c r="A1172" s="4">
        <v>37510</v>
      </c>
      <c r="B1172">
        <v>160.5</v>
      </c>
      <c r="C1172" s="4"/>
    </row>
    <row r="1173" spans="1:3" x14ac:dyDescent="0.25">
      <c r="A1173" s="4">
        <v>37511</v>
      </c>
      <c r="B1173">
        <v>156</v>
      </c>
      <c r="C1173" s="4"/>
    </row>
    <row r="1174" spans="1:3" x14ac:dyDescent="0.25">
      <c r="A1174" s="4">
        <v>37512</v>
      </c>
      <c r="B1174">
        <v>157.5</v>
      </c>
      <c r="C1174" s="4"/>
    </row>
    <row r="1175" spans="1:3" x14ac:dyDescent="0.25">
      <c r="A1175" s="4">
        <v>37515</v>
      </c>
      <c r="B1175">
        <v>159.25</v>
      </c>
      <c r="C1175" s="4"/>
    </row>
    <row r="1176" spans="1:3" x14ac:dyDescent="0.25">
      <c r="A1176" s="4">
        <v>37516</v>
      </c>
      <c r="B1176">
        <v>160</v>
      </c>
      <c r="C1176" s="4"/>
    </row>
    <row r="1177" spans="1:3" x14ac:dyDescent="0.25">
      <c r="A1177" s="4">
        <v>37517</v>
      </c>
      <c r="B1177">
        <v>162.75</v>
      </c>
      <c r="C1177" s="4"/>
    </row>
    <row r="1178" spans="1:3" x14ac:dyDescent="0.25">
      <c r="A1178" s="4">
        <v>37518</v>
      </c>
      <c r="B1178">
        <v>165.75</v>
      </c>
      <c r="C1178" s="4"/>
    </row>
    <row r="1179" spans="1:3" x14ac:dyDescent="0.25">
      <c r="A1179" s="4">
        <v>37519</v>
      </c>
      <c r="B1179">
        <v>163.25</v>
      </c>
      <c r="C1179" s="4"/>
    </row>
    <row r="1180" spans="1:3" x14ac:dyDescent="0.25">
      <c r="A1180" s="4">
        <v>37522</v>
      </c>
      <c r="B1180">
        <v>163.5</v>
      </c>
      <c r="C1180" s="4"/>
    </row>
    <row r="1181" spans="1:3" x14ac:dyDescent="0.25">
      <c r="A1181" s="4">
        <v>37523</v>
      </c>
      <c r="B1181">
        <v>161.25</v>
      </c>
      <c r="C1181" s="4"/>
    </row>
    <row r="1182" spans="1:3" x14ac:dyDescent="0.25">
      <c r="A1182" s="4">
        <v>37524</v>
      </c>
      <c r="B1182">
        <v>163.75</v>
      </c>
      <c r="C1182" s="4"/>
    </row>
    <row r="1183" spans="1:3" x14ac:dyDescent="0.25">
      <c r="A1183" s="4">
        <v>37525</v>
      </c>
      <c r="B1183">
        <v>164.25</v>
      </c>
      <c r="C1183" s="4"/>
    </row>
    <row r="1184" spans="1:3" x14ac:dyDescent="0.25">
      <c r="A1184" s="4">
        <v>37526</v>
      </c>
      <c r="B1184">
        <v>166</v>
      </c>
      <c r="C1184" s="4"/>
    </row>
    <row r="1185" spans="1:3" x14ac:dyDescent="0.25">
      <c r="A1185" s="4">
        <v>37529</v>
      </c>
      <c r="B1185">
        <v>166</v>
      </c>
      <c r="C1185" s="4"/>
    </row>
    <row r="1186" spans="1:3" x14ac:dyDescent="0.25">
      <c r="A1186" s="4">
        <v>37530</v>
      </c>
      <c r="B1186">
        <v>163.75</v>
      </c>
      <c r="C1186" s="4"/>
    </row>
    <row r="1187" spans="1:3" x14ac:dyDescent="0.25">
      <c r="A1187" s="4">
        <v>37531</v>
      </c>
      <c r="B1187">
        <v>163.5</v>
      </c>
      <c r="C1187" s="4"/>
    </row>
    <row r="1188" spans="1:3" x14ac:dyDescent="0.25">
      <c r="A1188" s="4">
        <v>37532</v>
      </c>
      <c r="B1188">
        <v>158.5</v>
      </c>
      <c r="C1188" s="4"/>
    </row>
    <row r="1189" spans="1:3" x14ac:dyDescent="0.25">
      <c r="A1189" s="4">
        <v>37533</v>
      </c>
      <c r="B1189">
        <v>155</v>
      </c>
      <c r="C1189" s="4"/>
    </row>
    <row r="1190" spans="1:3" x14ac:dyDescent="0.25">
      <c r="A1190" s="4">
        <v>37536</v>
      </c>
      <c r="B1190">
        <v>152</v>
      </c>
      <c r="C1190" s="4"/>
    </row>
    <row r="1191" spans="1:3" x14ac:dyDescent="0.25">
      <c r="A1191" s="4">
        <v>37537</v>
      </c>
      <c r="B1191">
        <v>151</v>
      </c>
      <c r="C1191" s="4"/>
    </row>
    <row r="1192" spans="1:3" x14ac:dyDescent="0.25">
      <c r="A1192" s="4">
        <v>37538</v>
      </c>
      <c r="B1192">
        <v>152</v>
      </c>
      <c r="C1192" s="4"/>
    </row>
    <row r="1193" spans="1:3" x14ac:dyDescent="0.25">
      <c r="A1193" s="4">
        <v>37539</v>
      </c>
      <c r="B1193">
        <v>151</v>
      </c>
      <c r="C1193" s="4"/>
    </row>
    <row r="1194" spans="1:3" x14ac:dyDescent="0.25">
      <c r="A1194" s="4">
        <v>37540</v>
      </c>
      <c r="B1194">
        <v>150.5</v>
      </c>
      <c r="C1194" s="4"/>
    </row>
    <row r="1195" spans="1:3" x14ac:dyDescent="0.25">
      <c r="A1195" s="4">
        <v>37543</v>
      </c>
      <c r="B1195">
        <v>148</v>
      </c>
      <c r="C1195" s="4"/>
    </row>
    <row r="1196" spans="1:3" x14ac:dyDescent="0.25">
      <c r="A1196" s="4">
        <v>37544</v>
      </c>
      <c r="B1196">
        <v>147</v>
      </c>
      <c r="C1196" s="4"/>
    </row>
    <row r="1197" spans="1:3" x14ac:dyDescent="0.25">
      <c r="A1197" s="4">
        <v>37545</v>
      </c>
      <c r="B1197">
        <v>143.5</v>
      </c>
      <c r="C1197" s="4"/>
    </row>
    <row r="1198" spans="1:3" x14ac:dyDescent="0.25">
      <c r="A1198" s="4">
        <v>37546</v>
      </c>
      <c r="B1198">
        <v>139.25</v>
      </c>
      <c r="C1198" s="4"/>
    </row>
    <row r="1199" spans="1:3" x14ac:dyDescent="0.25">
      <c r="A1199" s="4">
        <v>37547</v>
      </c>
      <c r="B1199">
        <v>139.75</v>
      </c>
      <c r="C1199" s="4"/>
    </row>
    <row r="1200" spans="1:3" x14ac:dyDescent="0.25">
      <c r="A1200" s="4">
        <v>37550</v>
      </c>
      <c r="B1200">
        <v>141.25</v>
      </c>
      <c r="C1200" s="4"/>
    </row>
    <row r="1201" spans="1:3" x14ac:dyDescent="0.25">
      <c r="A1201" s="4">
        <v>37551</v>
      </c>
      <c r="B1201">
        <v>138</v>
      </c>
      <c r="C1201" s="4"/>
    </row>
    <row r="1202" spans="1:3" x14ac:dyDescent="0.25">
      <c r="A1202" s="4">
        <v>37552</v>
      </c>
      <c r="B1202">
        <v>135</v>
      </c>
      <c r="C1202" s="4"/>
    </row>
    <row r="1203" spans="1:3" x14ac:dyDescent="0.25">
      <c r="A1203" s="4">
        <v>37553</v>
      </c>
      <c r="B1203">
        <v>134</v>
      </c>
      <c r="C1203" s="4"/>
    </row>
    <row r="1204" spans="1:3" x14ac:dyDescent="0.25">
      <c r="A1204" s="4">
        <v>37554</v>
      </c>
      <c r="B1204">
        <v>130</v>
      </c>
      <c r="C1204" s="4"/>
    </row>
    <row r="1205" spans="1:3" x14ac:dyDescent="0.25">
      <c r="A1205" s="4">
        <v>37557</v>
      </c>
      <c r="B1205">
        <v>128.5</v>
      </c>
      <c r="C1205" s="4"/>
    </row>
    <row r="1206" spans="1:3" x14ac:dyDescent="0.25">
      <c r="A1206" s="4">
        <v>37558</v>
      </c>
      <c r="B1206">
        <v>128.5</v>
      </c>
      <c r="C1206" s="4"/>
    </row>
    <row r="1207" spans="1:3" x14ac:dyDescent="0.25">
      <c r="A1207" s="4">
        <v>37559</v>
      </c>
      <c r="B1207">
        <v>128.5</v>
      </c>
      <c r="C1207" s="4"/>
    </row>
    <row r="1208" spans="1:3" x14ac:dyDescent="0.25">
      <c r="A1208" s="4">
        <v>37560</v>
      </c>
      <c r="B1208">
        <v>126</v>
      </c>
      <c r="C1208" s="4"/>
    </row>
    <row r="1209" spans="1:3" x14ac:dyDescent="0.25">
      <c r="A1209" s="4">
        <v>37561</v>
      </c>
      <c r="B1209">
        <v>121.75</v>
      </c>
      <c r="C1209" s="4"/>
    </row>
    <row r="1210" spans="1:3" x14ac:dyDescent="0.25">
      <c r="A1210" s="4">
        <v>37565</v>
      </c>
      <c r="B1210">
        <v>121.5</v>
      </c>
      <c r="C1210" s="4"/>
    </row>
    <row r="1211" spans="1:3" x14ac:dyDescent="0.25">
      <c r="A1211" s="4">
        <v>37566</v>
      </c>
      <c r="B1211">
        <v>119.5</v>
      </c>
      <c r="C1211" s="4"/>
    </row>
    <row r="1212" spans="1:3" x14ac:dyDescent="0.25">
      <c r="A1212" s="4">
        <v>37567</v>
      </c>
      <c r="B1212">
        <v>119.75</v>
      </c>
      <c r="C1212" s="4"/>
    </row>
    <row r="1213" spans="1:3" x14ac:dyDescent="0.25">
      <c r="A1213" s="4">
        <v>37568</v>
      </c>
      <c r="B1213">
        <v>119.5</v>
      </c>
      <c r="C1213" s="4"/>
    </row>
    <row r="1214" spans="1:3" x14ac:dyDescent="0.25">
      <c r="A1214" s="4">
        <v>37571</v>
      </c>
      <c r="B1214">
        <v>117.5</v>
      </c>
      <c r="C1214" s="4"/>
    </row>
    <row r="1215" spans="1:3" x14ac:dyDescent="0.25">
      <c r="A1215" s="4">
        <v>37572</v>
      </c>
      <c r="B1215">
        <v>114.5</v>
      </c>
      <c r="C1215" s="4"/>
    </row>
    <row r="1216" spans="1:3" x14ac:dyDescent="0.25">
      <c r="A1216" s="4">
        <v>37573</v>
      </c>
      <c r="B1216">
        <v>113.75</v>
      </c>
      <c r="C1216" s="4"/>
    </row>
    <row r="1217" spans="1:3" x14ac:dyDescent="0.25">
      <c r="A1217" s="4">
        <v>37574</v>
      </c>
      <c r="B1217">
        <v>116</v>
      </c>
      <c r="C1217" s="4"/>
    </row>
    <row r="1218" spans="1:3" x14ac:dyDescent="0.25">
      <c r="A1218" s="4">
        <v>37575</v>
      </c>
      <c r="B1218">
        <v>120.75</v>
      </c>
      <c r="C1218" s="4"/>
    </row>
    <row r="1219" spans="1:3" x14ac:dyDescent="0.25">
      <c r="A1219" s="4">
        <v>37578</v>
      </c>
      <c r="B1219">
        <v>120</v>
      </c>
      <c r="C1219" s="4"/>
    </row>
    <row r="1220" spans="1:3" x14ac:dyDescent="0.25">
      <c r="A1220" s="4">
        <v>37579</v>
      </c>
      <c r="B1220">
        <v>123.5</v>
      </c>
      <c r="C1220" s="4"/>
    </row>
    <row r="1221" spans="1:3" x14ac:dyDescent="0.25">
      <c r="A1221" s="4">
        <v>37580</v>
      </c>
      <c r="B1221">
        <v>125.5</v>
      </c>
      <c r="C1221" s="4"/>
    </row>
    <row r="1222" spans="1:3" x14ac:dyDescent="0.25">
      <c r="A1222" s="4">
        <v>37581</v>
      </c>
      <c r="B1222">
        <v>126.25</v>
      </c>
      <c r="C1222" s="4"/>
    </row>
    <row r="1223" spans="1:3" x14ac:dyDescent="0.25">
      <c r="A1223" s="4">
        <v>37582</v>
      </c>
      <c r="B1223">
        <v>124</v>
      </c>
      <c r="C1223" s="4"/>
    </row>
    <row r="1224" spans="1:3" x14ac:dyDescent="0.25">
      <c r="A1224" s="4">
        <v>37585</v>
      </c>
      <c r="B1224">
        <v>125</v>
      </c>
      <c r="C1224" s="4"/>
    </row>
    <row r="1225" spans="1:3" x14ac:dyDescent="0.25">
      <c r="A1225" s="4">
        <v>37586</v>
      </c>
      <c r="B1225">
        <v>124.5</v>
      </c>
      <c r="C1225" s="4"/>
    </row>
    <row r="1226" spans="1:3" x14ac:dyDescent="0.25">
      <c r="A1226" s="4">
        <v>37587</v>
      </c>
      <c r="B1226">
        <v>122</v>
      </c>
      <c r="C1226" s="4"/>
    </row>
    <row r="1227" spans="1:3" x14ac:dyDescent="0.25">
      <c r="A1227" s="4">
        <v>37588</v>
      </c>
      <c r="B1227">
        <v>123</v>
      </c>
      <c r="C1227" s="4"/>
    </row>
    <row r="1228" spans="1:3" x14ac:dyDescent="0.25">
      <c r="A1228" s="4">
        <v>37589</v>
      </c>
      <c r="B1228">
        <v>123.5</v>
      </c>
      <c r="C1228" s="4"/>
    </row>
    <row r="1229" spans="1:3" x14ac:dyDescent="0.25">
      <c r="A1229" s="4">
        <v>37592</v>
      </c>
      <c r="B1229">
        <v>122</v>
      </c>
      <c r="C1229" s="4"/>
    </row>
    <row r="1230" spans="1:3" x14ac:dyDescent="0.25">
      <c r="A1230" s="4">
        <v>37593</v>
      </c>
      <c r="B1230">
        <v>119.25</v>
      </c>
      <c r="C1230" s="4"/>
    </row>
    <row r="1231" spans="1:3" x14ac:dyDescent="0.25">
      <c r="A1231" s="4">
        <v>37594</v>
      </c>
      <c r="B1231">
        <v>119.5</v>
      </c>
      <c r="C1231" s="4"/>
    </row>
    <row r="1232" spans="1:3" x14ac:dyDescent="0.25">
      <c r="A1232" s="4">
        <v>37595</v>
      </c>
      <c r="B1232">
        <v>121.5</v>
      </c>
      <c r="C1232" s="4"/>
    </row>
    <row r="1233" spans="1:3" x14ac:dyDescent="0.25">
      <c r="A1233" s="4">
        <v>37599</v>
      </c>
      <c r="B1233">
        <v>121</v>
      </c>
      <c r="C1233" s="4"/>
    </row>
    <row r="1234" spans="1:3" x14ac:dyDescent="0.25">
      <c r="A1234" s="4">
        <v>37600</v>
      </c>
      <c r="B1234">
        <v>122</v>
      </c>
      <c r="C1234" s="4"/>
    </row>
    <row r="1235" spans="1:3" x14ac:dyDescent="0.25">
      <c r="A1235" s="4">
        <v>37601</v>
      </c>
      <c r="B1235">
        <v>122.75</v>
      </c>
      <c r="C1235" s="4"/>
    </row>
    <row r="1236" spans="1:3" x14ac:dyDescent="0.25">
      <c r="A1236" s="4">
        <v>37602</v>
      </c>
      <c r="B1236">
        <v>125.75</v>
      </c>
      <c r="C1236" s="4"/>
    </row>
    <row r="1237" spans="1:3" x14ac:dyDescent="0.25">
      <c r="A1237" s="4">
        <v>37603</v>
      </c>
      <c r="B1237">
        <v>130</v>
      </c>
      <c r="C1237" s="4"/>
    </row>
    <row r="1238" spans="1:3" x14ac:dyDescent="0.25">
      <c r="A1238" s="4">
        <v>37606</v>
      </c>
      <c r="B1238">
        <v>137</v>
      </c>
      <c r="C1238" s="4"/>
    </row>
    <row r="1239" spans="1:3" x14ac:dyDescent="0.25">
      <c r="A1239" s="4">
        <v>37607</v>
      </c>
      <c r="B1239">
        <v>136.25</v>
      </c>
      <c r="C1239" s="4"/>
    </row>
    <row r="1240" spans="1:3" x14ac:dyDescent="0.25">
      <c r="A1240" s="4">
        <v>37608</v>
      </c>
      <c r="B1240">
        <v>140.25</v>
      </c>
      <c r="C1240" s="4"/>
    </row>
    <row r="1241" spans="1:3" x14ac:dyDescent="0.25">
      <c r="A1241" s="4">
        <v>37609</v>
      </c>
      <c r="B1241">
        <v>138.25</v>
      </c>
      <c r="C1241" s="4"/>
    </row>
    <row r="1242" spans="1:3" x14ac:dyDescent="0.25">
      <c r="A1242" s="4">
        <v>37610</v>
      </c>
      <c r="B1242">
        <v>140.25</v>
      </c>
      <c r="C1242" s="4"/>
    </row>
    <row r="1243" spans="1:3" x14ac:dyDescent="0.25">
      <c r="A1243" s="4">
        <v>37613</v>
      </c>
      <c r="B1243">
        <v>144.5</v>
      </c>
      <c r="C1243" s="4"/>
    </row>
    <row r="1244" spans="1:3" x14ac:dyDescent="0.25">
      <c r="A1244" s="4">
        <v>37614</v>
      </c>
      <c r="B1244">
        <v>150</v>
      </c>
      <c r="C1244" s="4"/>
    </row>
    <row r="1245" spans="1:3" x14ac:dyDescent="0.25">
      <c r="A1245" s="4">
        <v>37616</v>
      </c>
      <c r="B1245">
        <v>156.5</v>
      </c>
      <c r="C1245" s="4"/>
    </row>
    <row r="1246" spans="1:3" x14ac:dyDescent="0.25">
      <c r="A1246" s="4">
        <v>37617</v>
      </c>
      <c r="B1246">
        <v>154</v>
      </c>
      <c r="C1246" s="4"/>
    </row>
    <row r="1247" spans="1:3" x14ac:dyDescent="0.25">
      <c r="A1247" s="4">
        <v>37620</v>
      </c>
      <c r="B1247">
        <v>156</v>
      </c>
      <c r="C1247" s="4"/>
    </row>
    <row r="1248" spans="1:3" x14ac:dyDescent="0.25">
      <c r="A1248" s="4">
        <v>37621</v>
      </c>
      <c r="B1248">
        <v>160.5</v>
      </c>
      <c r="C1248" s="4"/>
    </row>
    <row r="1249" spans="1:3" x14ac:dyDescent="0.25">
      <c r="A1249" s="4">
        <v>37623</v>
      </c>
      <c r="B1249">
        <v>167</v>
      </c>
      <c r="C1249" s="4"/>
    </row>
    <row r="1250" spans="1:3" x14ac:dyDescent="0.25">
      <c r="A1250" s="4">
        <v>37624</v>
      </c>
      <c r="B1250">
        <v>163</v>
      </c>
      <c r="C1250" s="4"/>
    </row>
    <row r="1251" spans="1:3" x14ac:dyDescent="0.25">
      <c r="A1251" s="4">
        <v>37627</v>
      </c>
      <c r="B1251">
        <v>161</v>
      </c>
      <c r="C1251" s="4"/>
    </row>
    <row r="1252" spans="1:3" x14ac:dyDescent="0.25">
      <c r="A1252" s="4">
        <v>37628</v>
      </c>
      <c r="B1252">
        <v>162</v>
      </c>
      <c r="C1252" s="4"/>
    </row>
    <row r="1253" spans="1:3" x14ac:dyDescent="0.25">
      <c r="A1253" s="4">
        <v>37629</v>
      </c>
      <c r="B1253">
        <v>167</v>
      </c>
      <c r="C1253" s="4"/>
    </row>
    <row r="1254" spans="1:3" x14ac:dyDescent="0.25">
      <c r="A1254" s="4">
        <v>37630</v>
      </c>
      <c r="B1254">
        <v>170</v>
      </c>
      <c r="C1254" s="4"/>
    </row>
    <row r="1255" spans="1:3" x14ac:dyDescent="0.25">
      <c r="A1255" s="4">
        <v>37631</v>
      </c>
      <c r="B1255">
        <v>174.75</v>
      </c>
      <c r="C1255" s="4"/>
    </row>
    <row r="1256" spans="1:3" x14ac:dyDescent="0.25">
      <c r="A1256" s="4">
        <v>37634</v>
      </c>
      <c r="B1256">
        <v>187</v>
      </c>
      <c r="C1256" s="4"/>
    </row>
    <row r="1257" spans="1:3" x14ac:dyDescent="0.25">
      <c r="A1257" s="4">
        <v>37635</v>
      </c>
      <c r="B1257">
        <v>193</v>
      </c>
      <c r="C1257" s="4"/>
    </row>
    <row r="1258" spans="1:3" x14ac:dyDescent="0.25">
      <c r="A1258" s="4">
        <v>37636</v>
      </c>
      <c r="B1258">
        <v>188</v>
      </c>
      <c r="C1258" s="4"/>
    </row>
    <row r="1259" spans="1:3" x14ac:dyDescent="0.25">
      <c r="A1259" s="4">
        <v>37637</v>
      </c>
      <c r="B1259">
        <v>184.5</v>
      </c>
      <c r="C1259" s="4"/>
    </row>
    <row r="1260" spans="1:3" x14ac:dyDescent="0.25">
      <c r="A1260" s="4">
        <v>37638</v>
      </c>
      <c r="B1260">
        <v>182</v>
      </c>
      <c r="C1260" s="4"/>
    </row>
    <row r="1261" spans="1:3" x14ac:dyDescent="0.25">
      <c r="A1261" s="4">
        <v>37641</v>
      </c>
      <c r="B1261">
        <v>178</v>
      </c>
      <c r="C1261" s="4"/>
    </row>
    <row r="1262" spans="1:3" x14ac:dyDescent="0.25">
      <c r="A1262" s="4">
        <v>37642</v>
      </c>
      <c r="B1262">
        <v>170.5</v>
      </c>
      <c r="C1262" s="4"/>
    </row>
    <row r="1263" spans="1:3" x14ac:dyDescent="0.25">
      <c r="A1263" s="4">
        <v>37643</v>
      </c>
      <c r="B1263">
        <v>166.25</v>
      </c>
      <c r="C1263" s="4"/>
    </row>
    <row r="1264" spans="1:3" x14ac:dyDescent="0.25">
      <c r="A1264" s="4">
        <v>37644</v>
      </c>
      <c r="B1264">
        <v>170.5</v>
      </c>
      <c r="C1264" s="4"/>
    </row>
    <row r="1265" spans="1:3" x14ac:dyDescent="0.25">
      <c r="A1265" s="4">
        <v>37645</v>
      </c>
      <c r="B1265">
        <v>168</v>
      </c>
      <c r="C1265" s="4"/>
    </row>
    <row r="1266" spans="1:3" x14ac:dyDescent="0.25">
      <c r="A1266" s="4">
        <v>37648</v>
      </c>
      <c r="B1266">
        <v>169.5</v>
      </c>
      <c r="C1266" s="4"/>
    </row>
    <row r="1267" spans="1:3" x14ac:dyDescent="0.25">
      <c r="A1267" s="4">
        <v>37649</v>
      </c>
      <c r="B1267">
        <v>171</v>
      </c>
      <c r="C1267" s="4"/>
    </row>
    <row r="1268" spans="1:3" x14ac:dyDescent="0.25">
      <c r="A1268" s="4">
        <v>37650</v>
      </c>
      <c r="B1268">
        <v>173</v>
      </c>
      <c r="C1268" s="4"/>
    </row>
    <row r="1269" spans="1:3" x14ac:dyDescent="0.25">
      <c r="A1269" s="4">
        <v>37651</v>
      </c>
      <c r="B1269">
        <v>171</v>
      </c>
      <c r="C1269" s="4"/>
    </row>
    <row r="1270" spans="1:3" x14ac:dyDescent="0.25">
      <c r="A1270" s="4">
        <v>37652</v>
      </c>
      <c r="B1270">
        <v>170.25</v>
      </c>
      <c r="C1270" s="4"/>
    </row>
    <row r="1271" spans="1:3" x14ac:dyDescent="0.25">
      <c r="A1271" s="4">
        <v>37656</v>
      </c>
      <c r="B1271">
        <v>174.25</v>
      </c>
      <c r="C1271" s="4"/>
    </row>
    <row r="1272" spans="1:3" x14ac:dyDescent="0.25">
      <c r="A1272" s="4">
        <v>37657</v>
      </c>
      <c r="B1272">
        <v>173</v>
      </c>
      <c r="C1272" s="4"/>
    </row>
    <row r="1273" spans="1:3" x14ac:dyDescent="0.25">
      <c r="A1273" s="4">
        <v>37658</v>
      </c>
      <c r="B1273">
        <v>175.25</v>
      </c>
      <c r="C1273" s="4"/>
    </row>
    <row r="1274" spans="1:3" x14ac:dyDescent="0.25">
      <c r="A1274" s="4">
        <v>37659</v>
      </c>
      <c r="B1274">
        <v>182</v>
      </c>
      <c r="C1274" s="4"/>
    </row>
    <row r="1275" spans="1:3" x14ac:dyDescent="0.25">
      <c r="A1275" s="4">
        <v>37662</v>
      </c>
      <c r="B1275">
        <v>183</v>
      </c>
      <c r="C1275" s="4"/>
    </row>
    <row r="1276" spans="1:3" x14ac:dyDescent="0.25">
      <c r="A1276" s="4">
        <v>37663</v>
      </c>
      <c r="B1276">
        <v>186</v>
      </c>
      <c r="C1276" s="4"/>
    </row>
    <row r="1277" spans="1:3" x14ac:dyDescent="0.25">
      <c r="A1277" s="4">
        <v>37665</v>
      </c>
      <c r="B1277">
        <v>186</v>
      </c>
      <c r="C1277" s="4"/>
    </row>
    <row r="1278" spans="1:3" x14ac:dyDescent="0.25">
      <c r="A1278" s="4">
        <v>37666</v>
      </c>
      <c r="B1278">
        <v>182</v>
      </c>
      <c r="C1278" s="4"/>
    </row>
    <row r="1279" spans="1:3" x14ac:dyDescent="0.25">
      <c r="A1279" s="4">
        <v>37669</v>
      </c>
      <c r="B1279">
        <v>172</v>
      </c>
      <c r="C1279" s="4"/>
    </row>
    <row r="1280" spans="1:3" x14ac:dyDescent="0.25">
      <c r="A1280" s="4">
        <v>37670</v>
      </c>
      <c r="B1280">
        <v>163.5</v>
      </c>
      <c r="C1280" s="4"/>
    </row>
    <row r="1281" spans="1:3" x14ac:dyDescent="0.25">
      <c r="A1281" s="4">
        <v>37671</v>
      </c>
      <c r="B1281">
        <v>163</v>
      </c>
      <c r="C1281" s="4"/>
    </row>
    <row r="1282" spans="1:3" x14ac:dyDescent="0.25">
      <c r="A1282" s="4">
        <v>37672</v>
      </c>
      <c r="B1282">
        <v>165.5</v>
      </c>
      <c r="C1282" s="4"/>
    </row>
    <row r="1283" spans="1:3" x14ac:dyDescent="0.25">
      <c r="A1283" s="4">
        <v>37673</v>
      </c>
      <c r="B1283">
        <v>164.5</v>
      </c>
      <c r="C1283" s="4"/>
    </row>
    <row r="1284" spans="1:3" x14ac:dyDescent="0.25">
      <c r="A1284" s="4">
        <v>37676</v>
      </c>
      <c r="B1284">
        <v>164.75</v>
      </c>
      <c r="C1284" s="4"/>
    </row>
    <row r="1285" spans="1:3" x14ac:dyDescent="0.25">
      <c r="A1285" s="4">
        <v>37677</v>
      </c>
      <c r="B1285">
        <v>165.75</v>
      </c>
      <c r="C1285" s="4"/>
    </row>
    <row r="1286" spans="1:3" x14ac:dyDescent="0.25">
      <c r="A1286" s="4">
        <v>37678</v>
      </c>
      <c r="B1286">
        <v>165</v>
      </c>
      <c r="C1286" s="4"/>
    </row>
    <row r="1287" spans="1:3" x14ac:dyDescent="0.25">
      <c r="A1287" s="4">
        <v>37679</v>
      </c>
      <c r="B1287">
        <v>164.75</v>
      </c>
      <c r="C1287" s="4"/>
    </row>
    <row r="1288" spans="1:3" x14ac:dyDescent="0.25">
      <c r="A1288" s="4">
        <v>37680</v>
      </c>
      <c r="B1288">
        <v>162</v>
      </c>
      <c r="C1288" s="4"/>
    </row>
    <row r="1289" spans="1:3" x14ac:dyDescent="0.25">
      <c r="A1289" s="4">
        <v>37683</v>
      </c>
      <c r="B1289">
        <v>156.5</v>
      </c>
      <c r="C1289" s="4"/>
    </row>
    <row r="1290" spans="1:3" x14ac:dyDescent="0.25">
      <c r="A1290" s="4">
        <v>37684</v>
      </c>
      <c r="B1290">
        <v>155.5</v>
      </c>
      <c r="C1290" s="4"/>
    </row>
    <row r="1291" spans="1:3" x14ac:dyDescent="0.25">
      <c r="A1291" s="4">
        <v>37685</v>
      </c>
      <c r="B1291">
        <v>158</v>
      </c>
      <c r="C1291" s="4"/>
    </row>
    <row r="1292" spans="1:3" x14ac:dyDescent="0.25">
      <c r="A1292" s="4">
        <v>37686</v>
      </c>
      <c r="B1292">
        <v>157.5</v>
      </c>
      <c r="C1292" s="4"/>
    </row>
    <row r="1293" spans="1:3" x14ac:dyDescent="0.25">
      <c r="A1293" s="4">
        <v>37687</v>
      </c>
      <c r="B1293">
        <v>156</v>
      </c>
      <c r="C1293" s="4"/>
    </row>
    <row r="1294" spans="1:3" x14ac:dyDescent="0.25">
      <c r="A1294" s="4">
        <v>37690</v>
      </c>
      <c r="B1294">
        <v>161.5</v>
      </c>
      <c r="C1294" s="4"/>
    </row>
    <row r="1295" spans="1:3" x14ac:dyDescent="0.25">
      <c r="A1295" s="4">
        <v>37691</v>
      </c>
      <c r="B1295">
        <v>160</v>
      </c>
      <c r="C1295" s="4"/>
    </row>
    <row r="1296" spans="1:3" x14ac:dyDescent="0.25">
      <c r="A1296" s="4">
        <v>37692</v>
      </c>
      <c r="B1296">
        <v>158.5</v>
      </c>
      <c r="C1296" s="4"/>
    </row>
    <row r="1297" spans="1:3" x14ac:dyDescent="0.25">
      <c r="A1297" s="4">
        <v>37693</v>
      </c>
      <c r="B1297">
        <v>159.75</v>
      </c>
      <c r="C1297" s="4"/>
    </row>
    <row r="1298" spans="1:3" x14ac:dyDescent="0.25">
      <c r="A1298" s="4">
        <v>37694</v>
      </c>
      <c r="B1298">
        <v>152.25</v>
      </c>
      <c r="C1298" s="4"/>
    </row>
    <row r="1299" spans="1:3" x14ac:dyDescent="0.25">
      <c r="A1299" s="4">
        <v>37697</v>
      </c>
      <c r="B1299">
        <v>152</v>
      </c>
      <c r="C1299" s="4"/>
    </row>
    <row r="1300" spans="1:3" x14ac:dyDescent="0.25">
      <c r="A1300" s="4">
        <v>37698</v>
      </c>
      <c r="B1300">
        <v>137</v>
      </c>
      <c r="C1300" s="4"/>
    </row>
    <row r="1301" spans="1:3" x14ac:dyDescent="0.25">
      <c r="A1301" s="4">
        <v>37699</v>
      </c>
      <c r="B1301">
        <v>134</v>
      </c>
      <c r="C1301" s="4"/>
    </row>
    <row r="1302" spans="1:3" x14ac:dyDescent="0.25">
      <c r="A1302" s="4">
        <v>37700</v>
      </c>
      <c r="B1302">
        <v>132.5</v>
      </c>
      <c r="C1302" s="4"/>
    </row>
    <row r="1303" spans="1:3" x14ac:dyDescent="0.25">
      <c r="A1303" s="4">
        <v>37701</v>
      </c>
      <c r="B1303">
        <v>126</v>
      </c>
      <c r="C1303" s="4"/>
    </row>
    <row r="1304" spans="1:3" x14ac:dyDescent="0.25">
      <c r="A1304" s="4">
        <v>37704</v>
      </c>
      <c r="B1304">
        <v>123.25</v>
      </c>
      <c r="C1304" s="4"/>
    </row>
    <row r="1305" spans="1:3" x14ac:dyDescent="0.25">
      <c r="A1305" s="4">
        <v>37705</v>
      </c>
      <c r="B1305">
        <v>128.5</v>
      </c>
      <c r="C1305" s="4"/>
    </row>
    <row r="1306" spans="1:3" x14ac:dyDescent="0.25">
      <c r="A1306" s="4">
        <v>37706</v>
      </c>
      <c r="B1306">
        <v>129.5</v>
      </c>
      <c r="C1306" s="4"/>
    </row>
    <row r="1307" spans="1:3" x14ac:dyDescent="0.25">
      <c r="A1307" s="4">
        <v>37707</v>
      </c>
      <c r="B1307">
        <v>132</v>
      </c>
      <c r="C1307" s="4"/>
    </row>
    <row r="1308" spans="1:3" x14ac:dyDescent="0.25">
      <c r="A1308" s="4">
        <v>37708</v>
      </c>
      <c r="B1308">
        <v>137.5</v>
      </c>
      <c r="C1308" s="4"/>
    </row>
    <row r="1309" spans="1:3" x14ac:dyDescent="0.25">
      <c r="A1309" s="4">
        <v>37711</v>
      </c>
      <c r="B1309">
        <v>138.5</v>
      </c>
      <c r="C1309" s="4"/>
    </row>
    <row r="1310" spans="1:3" x14ac:dyDescent="0.25">
      <c r="A1310" s="4">
        <v>37712</v>
      </c>
      <c r="B1310">
        <v>136.5</v>
      </c>
      <c r="C1310" s="4"/>
    </row>
    <row r="1311" spans="1:3" x14ac:dyDescent="0.25">
      <c r="A1311" s="4">
        <v>37713</v>
      </c>
      <c r="B1311">
        <v>127.5</v>
      </c>
      <c r="C1311" s="4"/>
    </row>
    <row r="1312" spans="1:3" x14ac:dyDescent="0.25">
      <c r="A1312" s="4">
        <v>37714</v>
      </c>
      <c r="B1312">
        <v>125.5</v>
      </c>
      <c r="C1312" s="4"/>
    </row>
    <row r="1313" spans="1:3" x14ac:dyDescent="0.25">
      <c r="A1313" s="4">
        <v>37715</v>
      </c>
      <c r="B1313">
        <v>117.75</v>
      </c>
      <c r="C1313" s="4"/>
    </row>
    <row r="1314" spans="1:3" x14ac:dyDescent="0.25">
      <c r="A1314" s="4">
        <v>37718</v>
      </c>
      <c r="B1314">
        <v>119.75</v>
      </c>
      <c r="C1314" s="4"/>
    </row>
    <row r="1315" spans="1:3" x14ac:dyDescent="0.25">
      <c r="A1315" s="4">
        <v>37719</v>
      </c>
      <c r="B1315">
        <v>121</v>
      </c>
      <c r="C1315" s="4"/>
    </row>
    <row r="1316" spans="1:3" x14ac:dyDescent="0.25">
      <c r="A1316" s="4">
        <v>37720</v>
      </c>
      <c r="B1316">
        <v>122</v>
      </c>
      <c r="C1316" s="4"/>
    </row>
    <row r="1317" spans="1:3" x14ac:dyDescent="0.25">
      <c r="A1317" s="4">
        <v>37721</v>
      </c>
      <c r="B1317">
        <v>122.25</v>
      </c>
      <c r="C1317" s="4"/>
    </row>
    <row r="1318" spans="1:3" x14ac:dyDescent="0.25">
      <c r="A1318" s="4">
        <v>37722</v>
      </c>
      <c r="B1318">
        <v>118</v>
      </c>
      <c r="C1318" s="4"/>
    </row>
    <row r="1319" spans="1:3" x14ac:dyDescent="0.25">
      <c r="A1319" s="4">
        <v>37725</v>
      </c>
      <c r="B1319">
        <v>118.75</v>
      </c>
      <c r="C1319" s="4"/>
    </row>
    <row r="1320" spans="1:3" x14ac:dyDescent="0.25">
      <c r="A1320" s="4">
        <v>37726</v>
      </c>
      <c r="B1320">
        <v>120</v>
      </c>
      <c r="C1320" s="4"/>
    </row>
    <row r="1321" spans="1:3" x14ac:dyDescent="0.25">
      <c r="A1321" s="4">
        <v>37727</v>
      </c>
      <c r="B1321">
        <v>123.5</v>
      </c>
      <c r="C1321" s="4"/>
    </row>
    <row r="1322" spans="1:3" x14ac:dyDescent="0.25">
      <c r="A1322" s="4">
        <v>37728</v>
      </c>
      <c r="B1322">
        <v>127</v>
      </c>
      <c r="C1322" s="4"/>
    </row>
    <row r="1323" spans="1:3" x14ac:dyDescent="0.25">
      <c r="A1323" s="4">
        <v>37732</v>
      </c>
      <c r="B1323">
        <v>120</v>
      </c>
      <c r="C1323" s="4"/>
    </row>
    <row r="1324" spans="1:3" x14ac:dyDescent="0.25">
      <c r="A1324" s="4">
        <v>37733</v>
      </c>
      <c r="B1324">
        <v>119</v>
      </c>
      <c r="C1324" s="4"/>
    </row>
    <row r="1325" spans="1:3" x14ac:dyDescent="0.25">
      <c r="A1325" s="4">
        <v>37734</v>
      </c>
      <c r="B1325">
        <v>119.5</v>
      </c>
      <c r="C1325" s="4"/>
    </row>
    <row r="1326" spans="1:3" x14ac:dyDescent="0.25">
      <c r="A1326" s="4">
        <v>37735</v>
      </c>
      <c r="B1326">
        <v>124.75</v>
      </c>
      <c r="C1326" s="4"/>
    </row>
    <row r="1327" spans="1:3" x14ac:dyDescent="0.25">
      <c r="A1327" s="4">
        <v>37736</v>
      </c>
      <c r="B1327">
        <v>125.25</v>
      </c>
      <c r="C1327" s="4"/>
    </row>
    <row r="1328" spans="1:3" x14ac:dyDescent="0.25">
      <c r="A1328" s="4">
        <v>37739</v>
      </c>
      <c r="B1328">
        <v>124.75</v>
      </c>
      <c r="C1328" s="4"/>
    </row>
    <row r="1329" spans="1:3" x14ac:dyDescent="0.25">
      <c r="A1329" s="4">
        <v>37740</v>
      </c>
      <c r="B1329">
        <v>125.5</v>
      </c>
      <c r="C1329" s="4"/>
    </row>
    <row r="1330" spans="1:3" x14ac:dyDescent="0.25">
      <c r="A1330" s="4">
        <v>37741</v>
      </c>
      <c r="B1330">
        <v>129.5</v>
      </c>
      <c r="C1330" s="4"/>
    </row>
    <row r="1331" spans="1:3" x14ac:dyDescent="0.25">
      <c r="A1331" s="4">
        <v>37743</v>
      </c>
      <c r="B1331">
        <v>124.5</v>
      </c>
      <c r="C1331" s="4"/>
    </row>
    <row r="1332" spans="1:3" x14ac:dyDescent="0.25">
      <c r="A1332" s="4">
        <v>37746</v>
      </c>
      <c r="B1332">
        <v>128</v>
      </c>
      <c r="C1332" s="4"/>
    </row>
    <row r="1333" spans="1:3" x14ac:dyDescent="0.25">
      <c r="A1333" s="4">
        <v>37747</v>
      </c>
      <c r="B1333">
        <v>129</v>
      </c>
      <c r="C1333" s="4"/>
    </row>
    <row r="1334" spans="1:3" x14ac:dyDescent="0.25">
      <c r="A1334" s="4">
        <v>37748</v>
      </c>
      <c r="B1334">
        <v>130.5</v>
      </c>
      <c r="C1334" s="4"/>
    </row>
    <row r="1335" spans="1:3" x14ac:dyDescent="0.25">
      <c r="A1335" s="4">
        <v>37749</v>
      </c>
      <c r="B1335">
        <v>132.5</v>
      </c>
      <c r="C1335" s="4"/>
    </row>
    <row r="1336" spans="1:3" x14ac:dyDescent="0.25">
      <c r="A1336" s="4">
        <v>37750</v>
      </c>
      <c r="B1336">
        <v>134.5</v>
      </c>
      <c r="C1336" s="4"/>
    </row>
    <row r="1337" spans="1:3" x14ac:dyDescent="0.25">
      <c r="A1337" s="4">
        <v>37753</v>
      </c>
      <c r="B1337">
        <v>133.75</v>
      </c>
      <c r="C1337" s="4"/>
    </row>
    <row r="1338" spans="1:3" x14ac:dyDescent="0.25">
      <c r="A1338" s="4">
        <v>37754</v>
      </c>
      <c r="B1338">
        <v>134.75</v>
      </c>
      <c r="C1338" s="4"/>
    </row>
    <row r="1339" spans="1:3" x14ac:dyDescent="0.25">
      <c r="A1339" s="4">
        <v>37755</v>
      </c>
      <c r="B1339">
        <v>135.25</v>
      </c>
      <c r="C1339" s="4"/>
    </row>
    <row r="1340" spans="1:3" x14ac:dyDescent="0.25">
      <c r="A1340" s="4">
        <v>37757</v>
      </c>
      <c r="B1340">
        <v>135</v>
      </c>
      <c r="C1340" s="4"/>
    </row>
    <row r="1341" spans="1:3" x14ac:dyDescent="0.25">
      <c r="A1341" s="4">
        <v>37760</v>
      </c>
      <c r="B1341">
        <v>135</v>
      </c>
      <c r="C1341" s="4"/>
    </row>
    <row r="1342" spans="1:3" x14ac:dyDescent="0.25">
      <c r="A1342" s="4">
        <v>37761</v>
      </c>
      <c r="B1342">
        <v>129.5</v>
      </c>
      <c r="C1342" s="4"/>
    </row>
    <row r="1343" spans="1:3" x14ac:dyDescent="0.25">
      <c r="A1343" s="4">
        <v>37762</v>
      </c>
      <c r="B1343">
        <v>134</v>
      </c>
      <c r="C1343" s="4"/>
    </row>
    <row r="1344" spans="1:3" x14ac:dyDescent="0.25">
      <c r="A1344" s="4">
        <v>37763</v>
      </c>
      <c r="B1344">
        <v>133</v>
      </c>
      <c r="C1344" s="4"/>
    </row>
    <row r="1345" spans="1:3" x14ac:dyDescent="0.25">
      <c r="A1345" s="4">
        <v>37764</v>
      </c>
      <c r="B1345">
        <v>135.25</v>
      </c>
      <c r="C1345" s="4"/>
    </row>
    <row r="1346" spans="1:3" x14ac:dyDescent="0.25">
      <c r="A1346" s="4">
        <v>37767</v>
      </c>
      <c r="B1346">
        <v>144.5</v>
      </c>
      <c r="C1346" s="4"/>
    </row>
    <row r="1347" spans="1:3" x14ac:dyDescent="0.25">
      <c r="A1347" s="4">
        <v>37768</v>
      </c>
      <c r="B1347">
        <v>145.75</v>
      </c>
      <c r="C1347" s="4"/>
    </row>
    <row r="1348" spans="1:3" x14ac:dyDescent="0.25">
      <c r="A1348" s="4">
        <v>37769</v>
      </c>
      <c r="B1348">
        <v>142.75</v>
      </c>
      <c r="C1348" s="4"/>
    </row>
    <row r="1349" spans="1:3" x14ac:dyDescent="0.25">
      <c r="A1349" s="4">
        <v>37770</v>
      </c>
      <c r="B1349">
        <v>139.75</v>
      </c>
      <c r="C1349" s="4"/>
    </row>
    <row r="1350" spans="1:3" x14ac:dyDescent="0.25">
      <c r="A1350" s="4">
        <v>37771</v>
      </c>
      <c r="B1350">
        <v>146</v>
      </c>
      <c r="C1350" s="4"/>
    </row>
    <row r="1351" spans="1:3" x14ac:dyDescent="0.25">
      <c r="A1351" s="4">
        <v>37774</v>
      </c>
      <c r="B1351">
        <v>145.25</v>
      </c>
      <c r="C1351" s="4"/>
    </row>
    <row r="1352" spans="1:3" x14ac:dyDescent="0.25">
      <c r="A1352" s="4">
        <v>37775</v>
      </c>
      <c r="B1352">
        <v>138.5</v>
      </c>
      <c r="C1352" s="4"/>
    </row>
    <row r="1353" spans="1:3" x14ac:dyDescent="0.25">
      <c r="A1353" s="4">
        <v>37776</v>
      </c>
      <c r="B1353">
        <v>140</v>
      </c>
      <c r="C1353" s="4"/>
    </row>
    <row r="1354" spans="1:3" x14ac:dyDescent="0.25">
      <c r="A1354" s="4">
        <v>37777</v>
      </c>
      <c r="B1354">
        <v>137.5</v>
      </c>
      <c r="C1354" s="4"/>
    </row>
    <row r="1355" spans="1:3" x14ac:dyDescent="0.25">
      <c r="A1355" s="4">
        <v>37778</v>
      </c>
      <c r="B1355">
        <v>141.75</v>
      </c>
      <c r="C1355" s="4"/>
    </row>
    <row r="1356" spans="1:3" x14ac:dyDescent="0.25">
      <c r="A1356" s="4">
        <v>37781</v>
      </c>
      <c r="B1356">
        <v>142.75</v>
      </c>
      <c r="C1356" s="4"/>
    </row>
    <row r="1357" spans="1:3" x14ac:dyDescent="0.25">
      <c r="A1357" s="4">
        <v>37782</v>
      </c>
      <c r="B1357">
        <v>144.25</v>
      </c>
      <c r="C1357" s="4"/>
    </row>
    <row r="1358" spans="1:3" x14ac:dyDescent="0.25">
      <c r="A1358" s="4">
        <v>37783</v>
      </c>
      <c r="B1358">
        <v>142</v>
      </c>
      <c r="C1358" s="4"/>
    </row>
    <row r="1359" spans="1:3" x14ac:dyDescent="0.25">
      <c r="A1359" s="4">
        <v>37784</v>
      </c>
      <c r="B1359">
        <v>135.25</v>
      </c>
      <c r="C1359" s="4"/>
    </row>
    <row r="1360" spans="1:3" x14ac:dyDescent="0.25">
      <c r="A1360" s="4">
        <v>37785</v>
      </c>
      <c r="B1360">
        <v>137.25</v>
      </c>
      <c r="C1360" s="4"/>
    </row>
    <row r="1361" spans="1:3" x14ac:dyDescent="0.25">
      <c r="A1361" s="4">
        <v>37788</v>
      </c>
      <c r="B1361">
        <v>141.5</v>
      </c>
      <c r="C1361" s="4"/>
    </row>
    <row r="1362" spans="1:3" x14ac:dyDescent="0.25">
      <c r="A1362" s="4">
        <v>37789</v>
      </c>
      <c r="B1362">
        <v>138.25</v>
      </c>
      <c r="C1362" s="4"/>
    </row>
    <row r="1363" spans="1:3" x14ac:dyDescent="0.25">
      <c r="A1363" s="4">
        <v>37790</v>
      </c>
      <c r="B1363">
        <v>139.5</v>
      </c>
      <c r="C1363" s="4"/>
    </row>
    <row r="1364" spans="1:3" x14ac:dyDescent="0.25">
      <c r="A1364" s="4">
        <v>37791</v>
      </c>
      <c r="B1364">
        <v>140.5</v>
      </c>
      <c r="C1364" s="4"/>
    </row>
    <row r="1365" spans="1:3" x14ac:dyDescent="0.25">
      <c r="A1365" s="4">
        <v>37792</v>
      </c>
      <c r="B1365">
        <v>141.25</v>
      </c>
      <c r="C1365" s="4"/>
    </row>
    <row r="1366" spans="1:3" x14ac:dyDescent="0.25">
      <c r="A1366" s="4">
        <v>37795</v>
      </c>
      <c r="B1366">
        <v>142.5</v>
      </c>
      <c r="C1366" s="4"/>
    </row>
    <row r="1367" spans="1:3" x14ac:dyDescent="0.25">
      <c r="A1367" s="4">
        <v>37796</v>
      </c>
      <c r="B1367">
        <v>149</v>
      </c>
      <c r="C1367" s="4"/>
    </row>
    <row r="1368" spans="1:3" x14ac:dyDescent="0.25">
      <c r="A1368" s="4">
        <v>37797</v>
      </c>
      <c r="B1368">
        <v>152.5</v>
      </c>
      <c r="C1368" s="4"/>
    </row>
    <row r="1369" spans="1:3" x14ac:dyDescent="0.25">
      <c r="A1369" s="4">
        <v>37798</v>
      </c>
      <c r="B1369">
        <v>150</v>
      </c>
      <c r="C1369" s="4"/>
    </row>
    <row r="1370" spans="1:3" x14ac:dyDescent="0.25">
      <c r="A1370" s="4">
        <v>37799</v>
      </c>
      <c r="B1370">
        <v>154</v>
      </c>
      <c r="C1370" s="4"/>
    </row>
    <row r="1371" spans="1:3" x14ac:dyDescent="0.25">
      <c r="A1371" s="4">
        <v>37802</v>
      </c>
      <c r="B1371">
        <v>160.25</v>
      </c>
      <c r="C1371" s="4"/>
    </row>
    <row r="1372" spans="1:3" x14ac:dyDescent="0.25">
      <c r="A1372" s="4">
        <v>37803</v>
      </c>
      <c r="B1372">
        <v>166.5</v>
      </c>
      <c r="C1372" s="4"/>
    </row>
    <row r="1373" spans="1:3" x14ac:dyDescent="0.25">
      <c r="A1373" s="4">
        <v>37804</v>
      </c>
      <c r="B1373">
        <v>166.5</v>
      </c>
      <c r="C1373" s="4"/>
    </row>
    <row r="1374" spans="1:3" x14ac:dyDescent="0.25">
      <c r="A1374" s="4">
        <v>37805</v>
      </c>
      <c r="B1374">
        <v>158.5</v>
      </c>
      <c r="C1374" s="4"/>
    </row>
    <row r="1375" spans="1:3" x14ac:dyDescent="0.25">
      <c r="A1375" s="4">
        <v>37806</v>
      </c>
      <c r="B1375">
        <v>159.5</v>
      </c>
      <c r="C1375" s="4"/>
    </row>
    <row r="1376" spans="1:3" x14ac:dyDescent="0.25">
      <c r="A1376" s="4">
        <v>37809</v>
      </c>
      <c r="B1376">
        <v>157.5</v>
      </c>
      <c r="C1376" s="4"/>
    </row>
    <row r="1377" spans="1:3" x14ac:dyDescent="0.25">
      <c r="A1377" s="4">
        <v>37810</v>
      </c>
      <c r="B1377">
        <v>162.75</v>
      </c>
      <c r="C1377" s="4"/>
    </row>
    <row r="1378" spans="1:3" x14ac:dyDescent="0.25">
      <c r="A1378" s="4">
        <v>37811</v>
      </c>
      <c r="B1378">
        <v>170</v>
      </c>
      <c r="C1378" s="4"/>
    </row>
    <row r="1379" spans="1:3" x14ac:dyDescent="0.25">
      <c r="A1379" s="4">
        <v>37812</v>
      </c>
      <c r="B1379">
        <v>164.75</v>
      </c>
      <c r="C1379" s="4"/>
    </row>
    <row r="1380" spans="1:3" x14ac:dyDescent="0.25">
      <c r="A1380" s="4">
        <v>37813</v>
      </c>
      <c r="B1380">
        <v>162.5</v>
      </c>
      <c r="C1380" s="4"/>
    </row>
    <row r="1381" spans="1:3" x14ac:dyDescent="0.25">
      <c r="A1381" s="4">
        <v>37816</v>
      </c>
      <c r="B1381">
        <v>163.25</v>
      </c>
      <c r="C1381" s="4"/>
    </row>
    <row r="1382" spans="1:3" x14ac:dyDescent="0.25">
      <c r="A1382" s="4">
        <v>37817</v>
      </c>
      <c r="B1382">
        <v>163</v>
      </c>
      <c r="C1382" s="4"/>
    </row>
    <row r="1383" spans="1:3" x14ac:dyDescent="0.25">
      <c r="A1383" s="4">
        <v>37818</v>
      </c>
      <c r="B1383">
        <v>164.75</v>
      </c>
      <c r="C1383" s="4"/>
    </row>
    <row r="1384" spans="1:3" x14ac:dyDescent="0.25">
      <c r="A1384" s="4">
        <v>37819</v>
      </c>
      <c r="B1384">
        <v>162.5</v>
      </c>
      <c r="C1384" s="4"/>
    </row>
    <row r="1385" spans="1:3" x14ac:dyDescent="0.25">
      <c r="A1385" s="4">
        <v>37820</v>
      </c>
      <c r="B1385">
        <v>157.5</v>
      </c>
      <c r="C1385" s="4"/>
    </row>
    <row r="1386" spans="1:3" x14ac:dyDescent="0.25">
      <c r="A1386" s="4">
        <v>37823</v>
      </c>
      <c r="B1386">
        <v>153.5</v>
      </c>
      <c r="C1386" s="4"/>
    </row>
    <row r="1387" spans="1:3" x14ac:dyDescent="0.25">
      <c r="A1387" s="4">
        <v>37824</v>
      </c>
      <c r="B1387">
        <v>155</v>
      </c>
      <c r="C1387" s="4"/>
    </row>
    <row r="1388" spans="1:3" x14ac:dyDescent="0.25">
      <c r="A1388" s="4">
        <v>37825</v>
      </c>
      <c r="B1388">
        <v>153.25</v>
      </c>
      <c r="C1388" s="4"/>
    </row>
    <row r="1389" spans="1:3" x14ac:dyDescent="0.25">
      <c r="A1389" s="4">
        <v>37826</v>
      </c>
      <c r="B1389">
        <v>153</v>
      </c>
      <c r="C1389" s="4"/>
    </row>
    <row r="1390" spans="1:3" x14ac:dyDescent="0.25">
      <c r="A1390" s="4">
        <v>37827</v>
      </c>
      <c r="B1390">
        <v>152.5</v>
      </c>
      <c r="C1390" s="4"/>
    </row>
    <row r="1391" spans="1:3" x14ac:dyDescent="0.25">
      <c r="A1391" s="4">
        <v>37830</v>
      </c>
      <c r="B1391">
        <v>154.5</v>
      </c>
      <c r="C1391" s="4"/>
    </row>
    <row r="1392" spans="1:3" x14ac:dyDescent="0.25">
      <c r="A1392" s="4">
        <v>37831</v>
      </c>
      <c r="B1392">
        <v>158</v>
      </c>
      <c r="C1392" s="4"/>
    </row>
    <row r="1393" spans="1:3" x14ac:dyDescent="0.25">
      <c r="A1393" s="4">
        <v>37832</v>
      </c>
      <c r="B1393">
        <v>158</v>
      </c>
      <c r="C1393" s="4"/>
    </row>
    <row r="1394" spans="1:3" x14ac:dyDescent="0.25">
      <c r="A1394" s="4">
        <v>37833</v>
      </c>
      <c r="B1394">
        <v>162.25</v>
      </c>
      <c r="C1394" s="4"/>
    </row>
    <row r="1395" spans="1:3" x14ac:dyDescent="0.25">
      <c r="A1395" s="4">
        <v>37834</v>
      </c>
      <c r="B1395">
        <v>162.5</v>
      </c>
      <c r="C1395" s="4"/>
    </row>
    <row r="1396" spans="1:3" x14ac:dyDescent="0.25">
      <c r="A1396" s="4">
        <v>37837</v>
      </c>
      <c r="B1396">
        <v>162</v>
      </c>
      <c r="C1396" s="4"/>
    </row>
    <row r="1397" spans="1:3" x14ac:dyDescent="0.25">
      <c r="A1397" s="4">
        <v>37838</v>
      </c>
      <c r="B1397">
        <v>161.5</v>
      </c>
      <c r="C1397" s="4"/>
    </row>
    <row r="1398" spans="1:3" x14ac:dyDescent="0.25">
      <c r="A1398" s="4">
        <v>37839</v>
      </c>
      <c r="B1398">
        <v>163</v>
      </c>
      <c r="C1398" s="4"/>
    </row>
    <row r="1399" spans="1:3" x14ac:dyDescent="0.25">
      <c r="A1399" s="4">
        <v>37840</v>
      </c>
      <c r="B1399">
        <v>162.5</v>
      </c>
      <c r="C1399" s="4"/>
    </row>
    <row r="1400" spans="1:3" x14ac:dyDescent="0.25">
      <c r="A1400" s="4">
        <v>37841</v>
      </c>
      <c r="B1400">
        <v>163.5</v>
      </c>
      <c r="C1400" s="4"/>
    </row>
    <row r="1401" spans="1:3" x14ac:dyDescent="0.25">
      <c r="A1401" s="4">
        <v>37844</v>
      </c>
      <c r="B1401">
        <v>162.5</v>
      </c>
      <c r="C1401" s="4"/>
    </row>
    <row r="1402" spans="1:3" x14ac:dyDescent="0.25">
      <c r="A1402" s="4">
        <v>37845</v>
      </c>
      <c r="B1402">
        <v>156.5</v>
      </c>
      <c r="C1402" s="4"/>
    </row>
    <row r="1403" spans="1:3" x14ac:dyDescent="0.25">
      <c r="A1403" s="4">
        <v>37846</v>
      </c>
      <c r="B1403">
        <v>153</v>
      </c>
      <c r="C1403" s="4"/>
    </row>
    <row r="1404" spans="1:3" x14ac:dyDescent="0.25">
      <c r="A1404" s="4">
        <v>37847</v>
      </c>
      <c r="B1404">
        <v>152.5</v>
      </c>
      <c r="C1404" s="4"/>
    </row>
    <row r="1405" spans="1:3" x14ac:dyDescent="0.25">
      <c r="A1405" s="4">
        <v>37848</v>
      </c>
      <c r="B1405">
        <v>154.25</v>
      </c>
      <c r="C1405" s="4"/>
    </row>
    <row r="1406" spans="1:3" x14ac:dyDescent="0.25">
      <c r="A1406" s="4">
        <v>37851</v>
      </c>
      <c r="B1406">
        <v>152</v>
      </c>
      <c r="C1406" s="4"/>
    </row>
    <row r="1407" spans="1:3" x14ac:dyDescent="0.25">
      <c r="A1407" s="4">
        <v>37852</v>
      </c>
      <c r="B1407">
        <v>150</v>
      </c>
      <c r="C1407" s="4"/>
    </row>
    <row r="1408" spans="1:3" x14ac:dyDescent="0.25">
      <c r="A1408" s="4">
        <v>37853</v>
      </c>
      <c r="B1408">
        <v>155</v>
      </c>
      <c r="C1408" s="4"/>
    </row>
    <row r="1409" spans="1:3" x14ac:dyDescent="0.25">
      <c r="A1409" s="4">
        <v>37854</v>
      </c>
      <c r="B1409">
        <v>154.5</v>
      </c>
      <c r="C1409" s="4"/>
    </row>
    <row r="1410" spans="1:3" x14ac:dyDescent="0.25">
      <c r="A1410" s="4">
        <v>37855</v>
      </c>
      <c r="B1410">
        <v>156</v>
      </c>
      <c r="C1410" s="4"/>
    </row>
    <row r="1411" spans="1:3" x14ac:dyDescent="0.25">
      <c r="A1411" s="4">
        <v>37858</v>
      </c>
      <c r="B1411">
        <v>152.75</v>
      </c>
      <c r="C1411" s="4"/>
    </row>
    <row r="1412" spans="1:3" x14ac:dyDescent="0.25">
      <c r="A1412" s="4">
        <v>37859</v>
      </c>
      <c r="B1412">
        <v>152.25</v>
      </c>
      <c r="C1412" s="4"/>
    </row>
    <row r="1413" spans="1:3" x14ac:dyDescent="0.25">
      <c r="A1413" s="4">
        <v>37860</v>
      </c>
      <c r="B1413">
        <v>152.75</v>
      </c>
      <c r="C1413" s="4"/>
    </row>
    <row r="1414" spans="1:3" x14ac:dyDescent="0.25">
      <c r="A1414" s="4">
        <v>37861</v>
      </c>
      <c r="B1414">
        <v>150.5</v>
      </c>
      <c r="C1414" s="4"/>
    </row>
    <row r="1415" spans="1:3" x14ac:dyDescent="0.25">
      <c r="A1415" s="4">
        <v>37862</v>
      </c>
      <c r="B1415">
        <v>148.25</v>
      </c>
      <c r="C1415" s="4"/>
    </row>
    <row r="1416" spans="1:3" x14ac:dyDescent="0.25">
      <c r="A1416" s="4">
        <v>37865</v>
      </c>
      <c r="B1416">
        <v>146.25</v>
      </c>
      <c r="C1416" s="4"/>
    </row>
    <row r="1417" spans="1:3" x14ac:dyDescent="0.25">
      <c r="A1417" s="4">
        <v>37866</v>
      </c>
      <c r="B1417">
        <v>143.5</v>
      </c>
      <c r="C1417" s="4"/>
    </row>
    <row r="1418" spans="1:3" x14ac:dyDescent="0.25">
      <c r="A1418" s="4">
        <v>37867</v>
      </c>
      <c r="B1418">
        <v>142</v>
      </c>
      <c r="C1418" s="4"/>
    </row>
    <row r="1419" spans="1:3" x14ac:dyDescent="0.25">
      <c r="A1419" s="4">
        <v>37868</v>
      </c>
      <c r="B1419">
        <v>144.5</v>
      </c>
      <c r="C1419" s="4"/>
    </row>
    <row r="1420" spans="1:3" x14ac:dyDescent="0.25">
      <c r="A1420" s="4">
        <v>37869</v>
      </c>
      <c r="B1420">
        <v>144.25</v>
      </c>
      <c r="C1420" s="4"/>
    </row>
    <row r="1421" spans="1:3" x14ac:dyDescent="0.25">
      <c r="A1421" s="4">
        <v>37872</v>
      </c>
      <c r="B1421">
        <v>144.5</v>
      </c>
      <c r="C1421" s="4"/>
    </row>
    <row r="1422" spans="1:3" x14ac:dyDescent="0.25">
      <c r="A1422" s="4">
        <v>37873</v>
      </c>
      <c r="B1422">
        <v>142.75</v>
      </c>
      <c r="C1422" s="4"/>
    </row>
    <row r="1423" spans="1:3" x14ac:dyDescent="0.25">
      <c r="A1423" s="4">
        <v>37874</v>
      </c>
      <c r="B1423">
        <v>139.5</v>
      </c>
      <c r="C1423" s="4"/>
    </row>
    <row r="1424" spans="1:3" x14ac:dyDescent="0.25">
      <c r="A1424" s="4">
        <v>37875</v>
      </c>
      <c r="B1424">
        <v>142.5</v>
      </c>
      <c r="C1424" s="4"/>
    </row>
    <row r="1425" spans="1:3" x14ac:dyDescent="0.25">
      <c r="A1425" s="4">
        <v>37876</v>
      </c>
      <c r="B1425">
        <v>140.5</v>
      </c>
      <c r="C1425" s="4"/>
    </row>
    <row r="1426" spans="1:3" x14ac:dyDescent="0.25">
      <c r="A1426" s="4">
        <v>37879</v>
      </c>
      <c r="B1426">
        <v>137.5</v>
      </c>
      <c r="C1426" s="4"/>
    </row>
    <row r="1427" spans="1:3" x14ac:dyDescent="0.25">
      <c r="A1427" s="4">
        <v>37880</v>
      </c>
      <c r="B1427">
        <v>138.5</v>
      </c>
      <c r="C1427" s="4"/>
    </row>
    <row r="1428" spans="1:3" x14ac:dyDescent="0.25">
      <c r="A1428" s="4">
        <v>37881</v>
      </c>
      <c r="B1428">
        <v>136</v>
      </c>
      <c r="C1428" s="4"/>
    </row>
    <row r="1429" spans="1:3" x14ac:dyDescent="0.25">
      <c r="A1429" s="4">
        <v>37882</v>
      </c>
      <c r="B1429">
        <v>140.75</v>
      </c>
      <c r="C1429" s="4"/>
    </row>
    <row r="1430" spans="1:3" x14ac:dyDescent="0.25">
      <c r="A1430" s="4">
        <v>37883</v>
      </c>
      <c r="B1430">
        <v>140.75</v>
      </c>
      <c r="C1430" s="4"/>
    </row>
    <row r="1431" spans="1:3" x14ac:dyDescent="0.25">
      <c r="A1431" s="4">
        <v>37886</v>
      </c>
      <c r="B1431">
        <v>146</v>
      </c>
      <c r="C1431" s="4"/>
    </row>
    <row r="1432" spans="1:3" x14ac:dyDescent="0.25">
      <c r="A1432" s="4">
        <v>37887</v>
      </c>
      <c r="B1432">
        <v>146.25</v>
      </c>
      <c r="C1432" s="4"/>
    </row>
    <row r="1433" spans="1:3" x14ac:dyDescent="0.25">
      <c r="A1433" s="4">
        <v>37888</v>
      </c>
      <c r="B1433">
        <v>143.75</v>
      </c>
      <c r="C1433" s="4"/>
    </row>
    <row r="1434" spans="1:3" x14ac:dyDescent="0.25">
      <c r="A1434" s="4">
        <v>37889</v>
      </c>
      <c r="B1434">
        <v>145.5</v>
      </c>
      <c r="C1434" s="4"/>
    </row>
    <row r="1435" spans="1:3" x14ac:dyDescent="0.25">
      <c r="A1435" s="4">
        <v>37890</v>
      </c>
      <c r="B1435">
        <v>148.75</v>
      </c>
      <c r="C1435" s="4"/>
    </row>
    <row r="1436" spans="1:3" x14ac:dyDescent="0.25">
      <c r="A1436" s="4">
        <v>37893</v>
      </c>
      <c r="B1436">
        <v>149.75</v>
      </c>
      <c r="C1436" s="4"/>
    </row>
    <row r="1437" spans="1:3" x14ac:dyDescent="0.25">
      <c r="A1437" s="4">
        <v>37894</v>
      </c>
      <c r="B1437">
        <v>151</v>
      </c>
      <c r="C1437" s="4"/>
    </row>
    <row r="1438" spans="1:3" x14ac:dyDescent="0.25">
      <c r="A1438" s="4">
        <v>37895</v>
      </c>
      <c r="B1438">
        <v>150</v>
      </c>
      <c r="C1438" s="4"/>
    </row>
    <row r="1439" spans="1:3" x14ac:dyDescent="0.25">
      <c r="A1439" s="4">
        <v>37896</v>
      </c>
      <c r="B1439">
        <v>151.5</v>
      </c>
      <c r="C1439" s="4"/>
    </row>
    <row r="1440" spans="1:3" x14ac:dyDescent="0.25">
      <c r="A1440" s="4">
        <v>37897</v>
      </c>
      <c r="B1440">
        <v>148.5</v>
      </c>
      <c r="C1440" s="4"/>
    </row>
    <row r="1441" spans="1:3" x14ac:dyDescent="0.25">
      <c r="A1441" s="4">
        <v>37900</v>
      </c>
      <c r="B1441">
        <v>146.5</v>
      </c>
      <c r="C1441" s="4"/>
    </row>
    <row r="1442" spans="1:3" x14ac:dyDescent="0.25">
      <c r="A1442" s="4">
        <v>37901</v>
      </c>
      <c r="B1442">
        <v>151.5</v>
      </c>
      <c r="C1442" s="4"/>
    </row>
    <row r="1443" spans="1:3" x14ac:dyDescent="0.25">
      <c r="A1443" s="4">
        <v>37902</v>
      </c>
      <c r="B1443">
        <v>153.25</v>
      </c>
      <c r="C1443" s="4"/>
    </row>
    <row r="1444" spans="1:3" x14ac:dyDescent="0.25">
      <c r="A1444" s="4">
        <v>37903</v>
      </c>
      <c r="B1444">
        <v>153.5</v>
      </c>
      <c r="C1444" s="4"/>
    </row>
    <row r="1445" spans="1:3" x14ac:dyDescent="0.25">
      <c r="A1445" s="4">
        <v>37904</v>
      </c>
      <c r="B1445">
        <v>154.5</v>
      </c>
      <c r="C1445" s="4"/>
    </row>
    <row r="1446" spans="1:3" x14ac:dyDescent="0.25">
      <c r="A1446" s="4">
        <v>37907</v>
      </c>
      <c r="B1446">
        <v>152.5</v>
      </c>
      <c r="C1446" s="4"/>
    </row>
    <row r="1447" spans="1:3" x14ac:dyDescent="0.25">
      <c r="A1447" s="4">
        <v>37908</v>
      </c>
      <c r="B1447">
        <v>153.25</v>
      </c>
      <c r="C1447" s="4"/>
    </row>
    <row r="1448" spans="1:3" x14ac:dyDescent="0.25">
      <c r="A1448" s="4">
        <v>37909</v>
      </c>
      <c r="B1448">
        <v>149</v>
      </c>
      <c r="C1448" s="4"/>
    </row>
    <row r="1449" spans="1:3" x14ac:dyDescent="0.25">
      <c r="A1449" s="4">
        <v>37910</v>
      </c>
      <c r="B1449">
        <v>147.75</v>
      </c>
      <c r="C1449" s="4"/>
    </row>
    <row r="1450" spans="1:3" x14ac:dyDescent="0.25">
      <c r="A1450" s="4">
        <v>37911</v>
      </c>
      <c r="B1450">
        <v>150</v>
      </c>
      <c r="C1450" s="4"/>
    </row>
    <row r="1451" spans="1:3" x14ac:dyDescent="0.25">
      <c r="A1451" s="4">
        <v>37914</v>
      </c>
      <c r="B1451">
        <v>148.5</v>
      </c>
      <c r="C1451" s="4"/>
    </row>
    <row r="1452" spans="1:3" x14ac:dyDescent="0.25">
      <c r="A1452" s="4">
        <v>37915</v>
      </c>
      <c r="B1452">
        <v>148.25</v>
      </c>
      <c r="C1452" s="4"/>
    </row>
    <row r="1453" spans="1:3" x14ac:dyDescent="0.25">
      <c r="A1453" s="4">
        <v>37916</v>
      </c>
      <c r="B1453">
        <v>148</v>
      </c>
      <c r="C1453" s="4"/>
    </row>
    <row r="1454" spans="1:3" x14ac:dyDescent="0.25">
      <c r="A1454" s="4">
        <v>37917</v>
      </c>
      <c r="B1454">
        <v>149.75</v>
      </c>
      <c r="C1454" s="4"/>
    </row>
    <row r="1455" spans="1:3" x14ac:dyDescent="0.25">
      <c r="A1455" s="4">
        <v>37921</v>
      </c>
      <c r="B1455">
        <v>148.5</v>
      </c>
      <c r="C1455" s="4"/>
    </row>
    <row r="1456" spans="1:3" x14ac:dyDescent="0.25">
      <c r="A1456" s="4">
        <v>37922</v>
      </c>
      <c r="B1456">
        <v>149.25</v>
      </c>
      <c r="C1456" s="4"/>
    </row>
    <row r="1457" spans="1:3" x14ac:dyDescent="0.25">
      <c r="A1457" s="4">
        <v>37923</v>
      </c>
      <c r="B1457">
        <v>145.25</v>
      </c>
      <c r="C1457" s="4"/>
    </row>
    <row r="1458" spans="1:3" x14ac:dyDescent="0.25">
      <c r="A1458" s="4">
        <v>37924</v>
      </c>
      <c r="B1458">
        <v>146.75</v>
      </c>
      <c r="C1458" s="4"/>
    </row>
    <row r="1459" spans="1:3" x14ac:dyDescent="0.25">
      <c r="A1459" s="4">
        <v>37925</v>
      </c>
      <c r="B1459">
        <v>149</v>
      </c>
      <c r="C1459" s="4"/>
    </row>
    <row r="1460" spans="1:3" x14ac:dyDescent="0.25">
      <c r="A1460" s="4">
        <v>37928</v>
      </c>
      <c r="B1460">
        <v>147.5</v>
      </c>
      <c r="C1460" s="4"/>
    </row>
    <row r="1461" spans="1:3" x14ac:dyDescent="0.25">
      <c r="A1461" s="4">
        <v>37929</v>
      </c>
      <c r="B1461">
        <v>151.25</v>
      </c>
      <c r="C1461" s="4"/>
    </row>
    <row r="1462" spans="1:3" x14ac:dyDescent="0.25">
      <c r="A1462" s="4">
        <v>37930</v>
      </c>
      <c r="B1462">
        <v>150</v>
      </c>
      <c r="C1462" s="4"/>
    </row>
    <row r="1463" spans="1:3" x14ac:dyDescent="0.25">
      <c r="A1463" s="4">
        <v>37931</v>
      </c>
      <c r="B1463">
        <v>152.25</v>
      </c>
      <c r="C1463" s="4"/>
    </row>
    <row r="1464" spans="1:3" x14ac:dyDescent="0.25">
      <c r="A1464" s="4">
        <v>37932</v>
      </c>
      <c r="B1464">
        <v>153</v>
      </c>
      <c r="C1464" s="4"/>
    </row>
    <row r="1465" spans="1:3" x14ac:dyDescent="0.25">
      <c r="A1465" s="4">
        <v>37935</v>
      </c>
      <c r="B1465">
        <v>154.25</v>
      </c>
      <c r="C1465" s="4"/>
    </row>
    <row r="1466" spans="1:3" x14ac:dyDescent="0.25">
      <c r="A1466" s="4">
        <v>37936</v>
      </c>
      <c r="B1466">
        <v>154.5</v>
      </c>
      <c r="C1466" s="4"/>
    </row>
    <row r="1467" spans="1:3" x14ac:dyDescent="0.25">
      <c r="A1467" s="4">
        <v>37937</v>
      </c>
      <c r="B1467">
        <v>154.75</v>
      </c>
      <c r="C1467" s="4"/>
    </row>
    <row r="1468" spans="1:3" x14ac:dyDescent="0.25">
      <c r="A1468" s="4">
        <v>37938</v>
      </c>
      <c r="B1468">
        <v>154.5</v>
      </c>
      <c r="C1468" s="4"/>
    </row>
    <row r="1469" spans="1:3" x14ac:dyDescent="0.25">
      <c r="A1469" s="4">
        <v>37939</v>
      </c>
      <c r="B1469">
        <v>151.5</v>
      </c>
      <c r="C1469" s="4"/>
    </row>
    <row r="1470" spans="1:3" x14ac:dyDescent="0.25">
      <c r="A1470" s="4">
        <v>37942</v>
      </c>
      <c r="B1470">
        <v>151.5</v>
      </c>
      <c r="C1470" s="4"/>
    </row>
    <row r="1471" spans="1:3" x14ac:dyDescent="0.25">
      <c r="A1471" s="4">
        <v>37943</v>
      </c>
      <c r="B1471">
        <v>154.25</v>
      </c>
      <c r="C1471" s="4"/>
    </row>
    <row r="1472" spans="1:3" x14ac:dyDescent="0.25">
      <c r="A1472" s="4">
        <v>37944</v>
      </c>
      <c r="B1472">
        <v>152.75</v>
      </c>
      <c r="C1472" s="4"/>
    </row>
    <row r="1473" spans="1:3" x14ac:dyDescent="0.25">
      <c r="A1473" s="4">
        <v>37945</v>
      </c>
      <c r="B1473">
        <v>147.25</v>
      </c>
      <c r="C1473" s="4"/>
    </row>
    <row r="1474" spans="1:3" x14ac:dyDescent="0.25">
      <c r="A1474" s="4">
        <v>37946</v>
      </c>
      <c r="B1474">
        <v>142.25</v>
      </c>
      <c r="C1474" s="4"/>
    </row>
    <row r="1475" spans="1:3" x14ac:dyDescent="0.25">
      <c r="A1475" s="4">
        <v>37949</v>
      </c>
      <c r="B1475">
        <v>141.75</v>
      </c>
      <c r="C1475" s="4"/>
    </row>
    <row r="1476" spans="1:3" x14ac:dyDescent="0.25">
      <c r="A1476" s="4">
        <v>37951</v>
      </c>
      <c r="B1476">
        <v>143.75</v>
      </c>
      <c r="C1476" s="4"/>
    </row>
    <row r="1477" spans="1:3" x14ac:dyDescent="0.25">
      <c r="A1477" s="4">
        <v>37952</v>
      </c>
      <c r="B1477">
        <v>143.25</v>
      </c>
      <c r="C1477" s="4"/>
    </row>
    <row r="1478" spans="1:3" x14ac:dyDescent="0.25">
      <c r="A1478" s="4">
        <v>37953</v>
      </c>
      <c r="B1478">
        <v>137.75</v>
      </c>
      <c r="C1478" s="4"/>
    </row>
    <row r="1479" spans="1:3" x14ac:dyDescent="0.25">
      <c r="A1479" s="4">
        <v>37956</v>
      </c>
      <c r="B1479">
        <v>133.5</v>
      </c>
      <c r="C1479" s="4"/>
    </row>
    <row r="1480" spans="1:3" x14ac:dyDescent="0.25">
      <c r="A1480" s="4">
        <v>37957</v>
      </c>
      <c r="B1480">
        <v>136.5</v>
      </c>
      <c r="C1480" s="4"/>
    </row>
    <row r="1481" spans="1:3" x14ac:dyDescent="0.25">
      <c r="A1481" s="4">
        <v>37958</v>
      </c>
      <c r="B1481">
        <v>136.25</v>
      </c>
      <c r="C1481" s="4"/>
    </row>
    <row r="1482" spans="1:3" x14ac:dyDescent="0.25">
      <c r="A1482" s="4">
        <v>37959</v>
      </c>
      <c r="B1482">
        <v>135.5</v>
      </c>
      <c r="C1482" s="4"/>
    </row>
    <row r="1483" spans="1:3" x14ac:dyDescent="0.25">
      <c r="A1483" s="4">
        <v>37960</v>
      </c>
      <c r="B1483">
        <v>133</v>
      </c>
      <c r="C1483" s="4"/>
    </row>
    <row r="1484" spans="1:3" x14ac:dyDescent="0.25">
      <c r="A1484" s="4">
        <v>37963</v>
      </c>
      <c r="B1484">
        <v>135</v>
      </c>
      <c r="C1484" s="4"/>
    </row>
    <row r="1485" spans="1:3" x14ac:dyDescent="0.25">
      <c r="A1485" s="4">
        <v>37964</v>
      </c>
      <c r="B1485">
        <v>136.5</v>
      </c>
      <c r="C1485" s="4"/>
    </row>
    <row r="1486" spans="1:3" x14ac:dyDescent="0.25">
      <c r="A1486" s="4">
        <v>37965</v>
      </c>
      <c r="B1486">
        <v>137.75</v>
      </c>
      <c r="C1486" s="4"/>
    </row>
    <row r="1487" spans="1:3" x14ac:dyDescent="0.25">
      <c r="A1487" s="4">
        <v>37966</v>
      </c>
      <c r="B1487">
        <v>134.75</v>
      </c>
      <c r="C1487" s="4"/>
    </row>
    <row r="1488" spans="1:3" x14ac:dyDescent="0.25">
      <c r="A1488" s="4">
        <v>37967</v>
      </c>
      <c r="B1488">
        <v>130.75</v>
      </c>
      <c r="C1488" s="4"/>
    </row>
    <row r="1489" spans="1:3" x14ac:dyDescent="0.25">
      <c r="A1489" s="4">
        <v>37970</v>
      </c>
      <c r="B1489">
        <v>124.5</v>
      </c>
      <c r="C1489" s="4"/>
    </row>
    <row r="1490" spans="1:3" x14ac:dyDescent="0.25">
      <c r="A1490" s="4">
        <v>37971</v>
      </c>
      <c r="B1490">
        <v>125</v>
      </c>
      <c r="C1490" s="4"/>
    </row>
    <row r="1491" spans="1:3" x14ac:dyDescent="0.25">
      <c r="A1491" s="4">
        <v>37972</v>
      </c>
      <c r="B1491">
        <v>131</v>
      </c>
      <c r="C1491" s="4"/>
    </row>
    <row r="1492" spans="1:3" x14ac:dyDescent="0.25">
      <c r="A1492" s="4">
        <v>37973</v>
      </c>
      <c r="B1492">
        <v>126.5</v>
      </c>
      <c r="C1492" s="4"/>
    </row>
    <row r="1493" spans="1:3" x14ac:dyDescent="0.25">
      <c r="A1493" s="4">
        <v>37974</v>
      </c>
      <c r="B1493">
        <v>122</v>
      </c>
      <c r="C1493" s="4"/>
    </row>
    <row r="1494" spans="1:3" x14ac:dyDescent="0.25">
      <c r="A1494" s="4">
        <v>37977</v>
      </c>
      <c r="B1494">
        <v>119.75</v>
      </c>
      <c r="C1494" s="4"/>
    </row>
    <row r="1495" spans="1:3" x14ac:dyDescent="0.25">
      <c r="A1495" s="4">
        <v>37978</v>
      </c>
      <c r="B1495" s="1">
        <v>120.25</v>
      </c>
      <c r="C1495" s="4"/>
    </row>
    <row r="1496" spans="1:3" x14ac:dyDescent="0.25">
      <c r="A1496" s="4">
        <v>37979</v>
      </c>
      <c r="B1496" s="1">
        <v>120.75</v>
      </c>
      <c r="C1496" s="4"/>
    </row>
    <row r="1497" spans="1:3" x14ac:dyDescent="0.25">
      <c r="A1497" s="4">
        <v>37984</v>
      </c>
      <c r="B1497">
        <v>125</v>
      </c>
      <c r="C1497" s="4"/>
    </row>
    <row r="1498" spans="1:3" x14ac:dyDescent="0.25">
      <c r="A1498" s="4">
        <v>37985</v>
      </c>
      <c r="B1498" s="1">
        <v>125.75</v>
      </c>
      <c r="C1498" s="4"/>
    </row>
    <row r="1499" spans="1:3" x14ac:dyDescent="0.25">
      <c r="A1499" s="4">
        <v>37986</v>
      </c>
      <c r="B1499" s="1">
        <v>128.5</v>
      </c>
      <c r="C1499" s="4"/>
    </row>
    <row r="1500" spans="1:3" x14ac:dyDescent="0.25">
      <c r="A1500" s="4">
        <v>37988</v>
      </c>
      <c r="B1500" s="2">
        <v>129.25</v>
      </c>
      <c r="C1500" s="4"/>
    </row>
    <row r="1501" spans="1:3" x14ac:dyDescent="0.25">
      <c r="A1501" s="4">
        <v>37991</v>
      </c>
      <c r="B1501" s="2">
        <v>144.25</v>
      </c>
      <c r="C1501" s="4"/>
    </row>
    <row r="1502" spans="1:3" x14ac:dyDescent="0.25">
      <c r="A1502" s="4">
        <v>37992</v>
      </c>
      <c r="B1502" s="2">
        <v>145.25</v>
      </c>
      <c r="C1502" s="4"/>
    </row>
    <row r="1503" spans="1:3" x14ac:dyDescent="0.25">
      <c r="A1503" s="4">
        <v>37993</v>
      </c>
      <c r="B1503" s="2">
        <v>144.75</v>
      </c>
      <c r="C1503" s="4"/>
    </row>
    <row r="1504" spans="1:3" x14ac:dyDescent="0.25">
      <c r="A1504" s="4">
        <v>37994</v>
      </c>
      <c r="B1504" s="2">
        <v>146.5</v>
      </c>
      <c r="C1504" s="4"/>
    </row>
    <row r="1505" spans="1:3" x14ac:dyDescent="0.25">
      <c r="A1505" s="4">
        <v>37995</v>
      </c>
      <c r="B1505" s="2">
        <v>150.25</v>
      </c>
      <c r="C1505" s="4"/>
    </row>
    <row r="1506" spans="1:3" x14ac:dyDescent="0.25">
      <c r="A1506" s="4">
        <v>37998</v>
      </c>
      <c r="B1506" s="2">
        <v>148.5</v>
      </c>
      <c r="C1506" s="4"/>
    </row>
    <row r="1507" spans="1:3" x14ac:dyDescent="0.25">
      <c r="A1507" s="4">
        <v>37999</v>
      </c>
      <c r="B1507" s="2">
        <v>150</v>
      </c>
      <c r="C1507" s="4"/>
    </row>
    <row r="1508" spans="1:3" x14ac:dyDescent="0.25">
      <c r="A1508" s="4">
        <v>38000</v>
      </c>
      <c r="B1508" s="2">
        <v>143.75</v>
      </c>
      <c r="C1508" s="4"/>
    </row>
    <row r="1509" spans="1:3" x14ac:dyDescent="0.25">
      <c r="A1509" s="4">
        <v>38001</v>
      </c>
      <c r="B1509" s="2">
        <v>141.25</v>
      </c>
      <c r="C1509" s="4"/>
    </row>
    <row r="1510" spans="1:3" x14ac:dyDescent="0.25">
      <c r="A1510" s="4">
        <v>38002</v>
      </c>
      <c r="B1510" s="2">
        <v>137.25</v>
      </c>
      <c r="C1510" s="4"/>
    </row>
    <row r="1511" spans="1:3" x14ac:dyDescent="0.25">
      <c r="A1511" s="4">
        <v>38005</v>
      </c>
      <c r="B1511" s="2">
        <v>137.25</v>
      </c>
      <c r="C1511" s="4"/>
    </row>
    <row r="1512" spans="1:3" x14ac:dyDescent="0.25">
      <c r="A1512" s="4">
        <v>38006</v>
      </c>
      <c r="B1512" s="2">
        <v>136.25</v>
      </c>
      <c r="C1512" s="4"/>
    </row>
    <row r="1513" spans="1:3" x14ac:dyDescent="0.25">
      <c r="A1513" s="4">
        <v>38007</v>
      </c>
      <c r="B1513" s="2">
        <v>134</v>
      </c>
      <c r="C1513" s="4"/>
    </row>
    <row r="1514" spans="1:3" x14ac:dyDescent="0.25">
      <c r="A1514" s="4">
        <v>38008</v>
      </c>
      <c r="B1514" s="2">
        <v>126.5</v>
      </c>
      <c r="C1514" s="4"/>
    </row>
    <row r="1515" spans="1:3" x14ac:dyDescent="0.25">
      <c r="A1515" s="4">
        <v>38009</v>
      </c>
      <c r="B1515" s="2">
        <v>128.25</v>
      </c>
      <c r="C1515" s="4"/>
    </row>
    <row r="1516" spans="1:3" x14ac:dyDescent="0.25">
      <c r="A1516" s="4">
        <v>38012</v>
      </c>
      <c r="B1516" s="2">
        <v>129.5</v>
      </c>
      <c r="C1516" s="4"/>
    </row>
    <row r="1517" spans="1:3" x14ac:dyDescent="0.25">
      <c r="A1517" s="4">
        <v>38013</v>
      </c>
      <c r="B1517" s="2">
        <v>132.5</v>
      </c>
      <c r="C1517" s="4"/>
    </row>
    <row r="1518" spans="1:3" x14ac:dyDescent="0.25">
      <c r="A1518" s="4">
        <v>38014</v>
      </c>
      <c r="B1518" s="2">
        <v>128.5</v>
      </c>
      <c r="C1518" s="4"/>
    </row>
    <row r="1519" spans="1:3" x14ac:dyDescent="0.25">
      <c r="A1519" s="4">
        <v>38015</v>
      </c>
      <c r="B1519" s="2">
        <v>124.75</v>
      </c>
      <c r="C1519" s="4"/>
    </row>
    <row r="1520" spans="1:3" x14ac:dyDescent="0.25">
      <c r="A1520" s="4">
        <v>38016</v>
      </c>
      <c r="B1520" s="2">
        <v>126</v>
      </c>
      <c r="C1520" s="4"/>
    </row>
    <row r="1521" spans="1:3" x14ac:dyDescent="0.25">
      <c r="A1521" s="4">
        <v>38019</v>
      </c>
      <c r="B1521" s="2">
        <v>127</v>
      </c>
      <c r="C1521" s="4"/>
    </row>
    <row r="1522" spans="1:3" x14ac:dyDescent="0.25">
      <c r="A1522" s="4">
        <v>38020</v>
      </c>
      <c r="B1522" s="2">
        <v>131.5</v>
      </c>
      <c r="C1522" s="4"/>
    </row>
    <row r="1523" spans="1:3" x14ac:dyDescent="0.25">
      <c r="A1523" s="4">
        <v>38021</v>
      </c>
      <c r="B1523" s="2">
        <v>128</v>
      </c>
      <c r="C1523" s="4"/>
    </row>
    <row r="1524" spans="1:3" x14ac:dyDescent="0.25">
      <c r="A1524" s="4">
        <v>38022</v>
      </c>
      <c r="B1524" s="2">
        <v>122.5</v>
      </c>
      <c r="C1524" s="4"/>
    </row>
    <row r="1525" spans="1:3" x14ac:dyDescent="0.25">
      <c r="A1525" s="4">
        <v>38023</v>
      </c>
      <c r="B1525" s="2">
        <v>122</v>
      </c>
      <c r="C1525" s="4"/>
    </row>
    <row r="1526" spans="1:3" x14ac:dyDescent="0.25">
      <c r="A1526" s="4">
        <v>38026</v>
      </c>
      <c r="B1526" s="2">
        <v>124.5</v>
      </c>
      <c r="C1526" s="4"/>
    </row>
    <row r="1527" spans="1:3" x14ac:dyDescent="0.25">
      <c r="A1527" s="4">
        <v>38027</v>
      </c>
      <c r="B1527" s="2">
        <v>128</v>
      </c>
      <c r="C1527" s="4"/>
    </row>
    <row r="1528" spans="1:3" x14ac:dyDescent="0.25">
      <c r="A1528" s="4">
        <v>38028</v>
      </c>
      <c r="B1528" s="2">
        <v>134</v>
      </c>
      <c r="C1528" s="4"/>
    </row>
    <row r="1529" spans="1:3" x14ac:dyDescent="0.25">
      <c r="A1529" s="4">
        <v>38029</v>
      </c>
      <c r="B1529" s="2">
        <v>133</v>
      </c>
      <c r="C1529" s="4"/>
    </row>
    <row r="1530" spans="1:3" x14ac:dyDescent="0.25">
      <c r="A1530" s="4">
        <v>38030</v>
      </c>
      <c r="B1530" s="2">
        <v>135</v>
      </c>
      <c r="C1530" s="4"/>
    </row>
    <row r="1531" spans="1:3" x14ac:dyDescent="0.25">
      <c r="A1531" s="4">
        <v>38033</v>
      </c>
      <c r="B1531" s="2">
        <v>136</v>
      </c>
      <c r="C1531" s="4"/>
    </row>
    <row r="1532" spans="1:3" x14ac:dyDescent="0.25">
      <c r="A1532" s="4">
        <v>38034</v>
      </c>
      <c r="B1532" s="2">
        <v>138.5</v>
      </c>
      <c r="C1532" s="4"/>
    </row>
    <row r="1533" spans="1:3" x14ac:dyDescent="0.25">
      <c r="A1533" s="4">
        <v>38035</v>
      </c>
      <c r="B1533" s="2">
        <v>139.5</v>
      </c>
      <c r="C1533" s="4"/>
    </row>
    <row r="1534" spans="1:3" x14ac:dyDescent="0.25">
      <c r="A1534" s="4">
        <v>38036</v>
      </c>
      <c r="B1534" s="2">
        <v>140.25</v>
      </c>
      <c r="C1534" s="4"/>
    </row>
    <row r="1535" spans="1:3" x14ac:dyDescent="0.25">
      <c r="A1535" s="4">
        <v>38037</v>
      </c>
      <c r="B1535" s="2">
        <v>138.25</v>
      </c>
      <c r="C1535" s="4"/>
    </row>
    <row r="1536" spans="1:3" x14ac:dyDescent="0.25">
      <c r="A1536" s="4">
        <v>38040</v>
      </c>
      <c r="B1536" s="2">
        <v>139.25</v>
      </c>
      <c r="C1536" s="4"/>
    </row>
    <row r="1537" spans="1:3" x14ac:dyDescent="0.25">
      <c r="A1537" s="4">
        <v>38041</v>
      </c>
      <c r="B1537" s="2">
        <v>140.5</v>
      </c>
      <c r="C1537" s="4"/>
    </row>
    <row r="1538" spans="1:3" x14ac:dyDescent="0.25">
      <c r="A1538" s="4">
        <v>38042</v>
      </c>
      <c r="B1538" s="2">
        <v>144</v>
      </c>
      <c r="C1538" s="4"/>
    </row>
    <row r="1539" spans="1:3" x14ac:dyDescent="0.25">
      <c r="A1539" s="4">
        <v>38043</v>
      </c>
      <c r="B1539" s="2">
        <v>144</v>
      </c>
      <c r="C1539" s="4"/>
    </row>
    <row r="1540" spans="1:3" x14ac:dyDescent="0.25">
      <c r="A1540" s="4">
        <v>38044</v>
      </c>
      <c r="B1540" s="2">
        <v>144.5</v>
      </c>
      <c r="C1540" s="4"/>
    </row>
    <row r="1541" spans="1:3" x14ac:dyDescent="0.25">
      <c r="A1541" s="4">
        <v>38047</v>
      </c>
      <c r="B1541" s="2">
        <v>145.75</v>
      </c>
      <c r="C1541" s="4"/>
    </row>
    <row r="1542" spans="1:3" x14ac:dyDescent="0.25">
      <c r="A1542" s="4">
        <v>38048</v>
      </c>
      <c r="B1542" s="2">
        <v>145.75</v>
      </c>
      <c r="C1542" s="4"/>
    </row>
    <row r="1543" spans="1:3" x14ac:dyDescent="0.25">
      <c r="A1543" s="4">
        <v>38049</v>
      </c>
      <c r="B1543" s="2">
        <v>144.25</v>
      </c>
      <c r="C1543" s="4"/>
    </row>
    <row r="1544" spans="1:3" x14ac:dyDescent="0.25">
      <c r="A1544" s="4">
        <v>38050</v>
      </c>
      <c r="B1544" s="2">
        <v>145.25</v>
      </c>
      <c r="C1544" s="4"/>
    </row>
    <row r="1545" spans="1:3" x14ac:dyDescent="0.25">
      <c r="A1545" s="4">
        <v>38051</v>
      </c>
      <c r="B1545" s="2">
        <v>146.75</v>
      </c>
      <c r="C1545" s="4"/>
    </row>
    <row r="1546" spans="1:3" x14ac:dyDescent="0.25">
      <c r="A1546" s="4">
        <v>38054</v>
      </c>
      <c r="B1546" s="2">
        <v>146.5</v>
      </c>
      <c r="C1546" s="4"/>
    </row>
    <row r="1547" spans="1:3" x14ac:dyDescent="0.25">
      <c r="A1547" s="4">
        <v>38055</v>
      </c>
      <c r="B1547" s="2">
        <v>145.75</v>
      </c>
      <c r="C1547" s="4"/>
    </row>
    <row r="1548" spans="1:3" x14ac:dyDescent="0.25">
      <c r="A1548" s="4">
        <v>38056</v>
      </c>
      <c r="B1548" s="2">
        <v>142</v>
      </c>
      <c r="C1548" s="4"/>
    </row>
    <row r="1549" spans="1:3" x14ac:dyDescent="0.25">
      <c r="A1549" s="4">
        <v>38057</v>
      </c>
      <c r="B1549" s="2">
        <v>141.75</v>
      </c>
      <c r="C1549" s="4"/>
    </row>
    <row r="1550" spans="1:3" x14ac:dyDescent="0.25">
      <c r="A1550" s="4">
        <v>38058</v>
      </c>
      <c r="B1550" s="2">
        <v>139.25</v>
      </c>
      <c r="C1550" s="4"/>
    </row>
    <row r="1551" spans="1:3" x14ac:dyDescent="0.25">
      <c r="A1551" s="4">
        <v>38061</v>
      </c>
      <c r="B1551" s="2">
        <v>141.5</v>
      </c>
      <c r="C1551" s="4"/>
    </row>
    <row r="1552" spans="1:3" x14ac:dyDescent="0.25">
      <c r="A1552" s="4">
        <v>38062</v>
      </c>
      <c r="B1552" s="2">
        <v>137</v>
      </c>
      <c r="C1552" s="4"/>
    </row>
    <row r="1553" spans="1:3" x14ac:dyDescent="0.25">
      <c r="A1553" s="4">
        <v>38063</v>
      </c>
      <c r="B1553" s="2">
        <v>139.5</v>
      </c>
      <c r="C1553" s="4"/>
    </row>
    <row r="1554" spans="1:3" x14ac:dyDescent="0.25">
      <c r="A1554" s="4">
        <v>38064</v>
      </c>
      <c r="B1554" s="2">
        <v>139.5</v>
      </c>
      <c r="C1554" s="4"/>
    </row>
    <row r="1555" spans="1:3" x14ac:dyDescent="0.25">
      <c r="A1555" s="4">
        <v>38065</v>
      </c>
      <c r="B1555" s="2">
        <v>140.5</v>
      </c>
      <c r="C1555" s="4"/>
    </row>
    <row r="1556" spans="1:3" x14ac:dyDescent="0.25">
      <c r="A1556" s="4">
        <v>38068</v>
      </c>
      <c r="B1556" s="2">
        <v>138.75</v>
      </c>
      <c r="C1556" s="4"/>
    </row>
    <row r="1557" spans="1:3" x14ac:dyDescent="0.25">
      <c r="A1557" s="4">
        <v>38069</v>
      </c>
      <c r="B1557" s="2">
        <v>141.5</v>
      </c>
      <c r="C1557" s="4"/>
    </row>
    <row r="1558" spans="1:3" x14ac:dyDescent="0.25">
      <c r="A1558" s="4">
        <v>38070</v>
      </c>
      <c r="B1558" s="2">
        <v>141</v>
      </c>
      <c r="C1558" s="4"/>
    </row>
    <row r="1559" spans="1:3" x14ac:dyDescent="0.25">
      <c r="A1559" s="4">
        <v>38071</v>
      </c>
      <c r="B1559" s="2">
        <v>141.75</v>
      </c>
      <c r="C1559" s="4"/>
    </row>
    <row r="1560" spans="1:3" x14ac:dyDescent="0.25">
      <c r="A1560" s="4">
        <v>38072</v>
      </c>
      <c r="B1560" s="2">
        <v>142.25</v>
      </c>
      <c r="C1560" s="4"/>
    </row>
    <row r="1561" spans="1:3" x14ac:dyDescent="0.25">
      <c r="A1561" s="4">
        <v>38075</v>
      </c>
      <c r="B1561" s="2">
        <v>140</v>
      </c>
      <c r="C1561" s="4"/>
    </row>
    <row r="1562" spans="1:3" x14ac:dyDescent="0.25">
      <c r="A1562" s="4">
        <v>38076</v>
      </c>
      <c r="B1562" s="2">
        <v>143.75</v>
      </c>
      <c r="C1562" s="4"/>
    </row>
    <row r="1563" spans="1:3" x14ac:dyDescent="0.25">
      <c r="A1563" s="4">
        <v>38077</v>
      </c>
      <c r="B1563" s="2">
        <v>142.25</v>
      </c>
      <c r="C1563" s="4"/>
    </row>
    <row r="1564" spans="1:3" x14ac:dyDescent="0.25">
      <c r="A1564" s="4">
        <v>38078</v>
      </c>
      <c r="B1564" s="2">
        <v>140.75</v>
      </c>
      <c r="C1564" s="4"/>
    </row>
    <row r="1565" spans="1:3" x14ac:dyDescent="0.25">
      <c r="A1565" s="4">
        <v>38079</v>
      </c>
      <c r="B1565" s="2">
        <v>139.5</v>
      </c>
      <c r="C1565" s="4"/>
    </row>
    <row r="1566" spans="1:3" x14ac:dyDescent="0.25">
      <c r="A1566" s="4">
        <v>38082</v>
      </c>
      <c r="B1566" s="2">
        <v>142</v>
      </c>
      <c r="C1566" s="4"/>
    </row>
    <row r="1567" spans="1:3" x14ac:dyDescent="0.25">
      <c r="A1567" s="4">
        <v>38083</v>
      </c>
      <c r="B1567" s="2">
        <v>143.5</v>
      </c>
      <c r="C1567" s="4"/>
    </row>
    <row r="1568" spans="1:3" x14ac:dyDescent="0.25">
      <c r="A1568" s="4">
        <v>38084</v>
      </c>
      <c r="B1568" s="2">
        <v>145.75</v>
      </c>
      <c r="C1568" s="4"/>
    </row>
    <row r="1569" spans="1:3" x14ac:dyDescent="0.25">
      <c r="A1569" s="4">
        <v>38085</v>
      </c>
      <c r="B1569" s="2">
        <v>147</v>
      </c>
      <c r="C1569" s="4"/>
    </row>
    <row r="1570" spans="1:3" x14ac:dyDescent="0.25">
      <c r="A1570" s="4">
        <v>38090</v>
      </c>
      <c r="B1570" s="2">
        <v>150</v>
      </c>
      <c r="C1570" s="4"/>
    </row>
    <row r="1571" spans="1:3" x14ac:dyDescent="0.25">
      <c r="A1571" s="4">
        <v>38091</v>
      </c>
      <c r="B1571" s="2">
        <v>149</v>
      </c>
      <c r="C1571" s="4"/>
    </row>
    <row r="1572" spans="1:3" x14ac:dyDescent="0.25">
      <c r="A1572" s="4">
        <v>38092</v>
      </c>
      <c r="B1572" s="2">
        <v>157</v>
      </c>
      <c r="C1572" s="4"/>
    </row>
    <row r="1573" spans="1:3" x14ac:dyDescent="0.25">
      <c r="A1573" s="4">
        <v>38093</v>
      </c>
      <c r="B1573" s="2">
        <v>155.75</v>
      </c>
      <c r="C1573" s="4"/>
    </row>
    <row r="1574" spans="1:3" x14ac:dyDescent="0.25">
      <c r="A1574" s="4">
        <v>38096</v>
      </c>
      <c r="B1574" s="2">
        <v>156.75</v>
      </c>
      <c r="C1574" s="4"/>
    </row>
    <row r="1575" spans="1:3" x14ac:dyDescent="0.25">
      <c r="A1575" s="4">
        <v>38097</v>
      </c>
      <c r="B1575" s="2">
        <v>153.125</v>
      </c>
      <c r="C1575" s="4"/>
    </row>
    <row r="1576" spans="1:3" x14ac:dyDescent="0.25">
      <c r="A1576" s="4">
        <v>38098</v>
      </c>
      <c r="B1576" s="2">
        <v>152</v>
      </c>
      <c r="C1576" s="4"/>
    </row>
    <row r="1577" spans="1:3" x14ac:dyDescent="0.25">
      <c r="A1577" s="4">
        <v>38099</v>
      </c>
      <c r="B1577" s="2">
        <v>152.75</v>
      </c>
      <c r="C1577" s="4"/>
    </row>
    <row r="1578" spans="1:3" x14ac:dyDescent="0.25">
      <c r="A1578" s="4">
        <v>38100</v>
      </c>
      <c r="B1578" s="2">
        <v>150.5</v>
      </c>
      <c r="C1578" s="4"/>
    </row>
    <row r="1579" spans="1:3" x14ac:dyDescent="0.25">
      <c r="A1579" s="4">
        <v>38103</v>
      </c>
      <c r="B1579" s="2">
        <v>155.75</v>
      </c>
      <c r="C1579" s="4"/>
    </row>
    <row r="1580" spans="1:3" x14ac:dyDescent="0.25">
      <c r="A1580" s="4">
        <v>38104</v>
      </c>
      <c r="B1580" s="2">
        <v>158.5</v>
      </c>
      <c r="C1580" s="4"/>
    </row>
    <row r="1581" spans="1:3" x14ac:dyDescent="0.25">
      <c r="A1581" s="4">
        <v>38105</v>
      </c>
      <c r="B1581" s="2">
        <v>159</v>
      </c>
      <c r="C1581" s="4"/>
    </row>
    <row r="1582" spans="1:3" x14ac:dyDescent="0.25">
      <c r="A1582" s="4">
        <v>38106</v>
      </c>
      <c r="B1582" s="2">
        <v>152</v>
      </c>
      <c r="C1582" s="4"/>
    </row>
    <row r="1583" spans="1:3" x14ac:dyDescent="0.25">
      <c r="A1583" s="4">
        <v>38107</v>
      </c>
      <c r="B1583" s="2">
        <v>154.5</v>
      </c>
      <c r="C1583" s="4"/>
    </row>
    <row r="1584" spans="1:3" x14ac:dyDescent="0.25">
      <c r="A1584" s="4">
        <v>38111</v>
      </c>
      <c r="B1584" s="2">
        <v>161.5</v>
      </c>
      <c r="C1584" s="4"/>
    </row>
    <row r="1585" spans="1:3" x14ac:dyDescent="0.25">
      <c r="A1585" s="4">
        <v>38112</v>
      </c>
      <c r="B1585" s="2">
        <v>162</v>
      </c>
      <c r="C1585" s="4"/>
    </row>
    <row r="1586" spans="1:3" x14ac:dyDescent="0.25">
      <c r="A1586" s="4">
        <v>38113</v>
      </c>
      <c r="B1586" s="2">
        <v>164.25</v>
      </c>
      <c r="C1586" s="4"/>
    </row>
    <row r="1587" spans="1:3" x14ac:dyDescent="0.25">
      <c r="A1587" s="4">
        <v>38114</v>
      </c>
      <c r="B1587" s="2">
        <v>164.25</v>
      </c>
      <c r="C1587" s="4"/>
    </row>
    <row r="1588" spans="1:3" x14ac:dyDescent="0.25">
      <c r="A1588" s="4">
        <v>38117</v>
      </c>
      <c r="B1588" s="2">
        <v>163.25</v>
      </c>
      <c r="C1588" s="4"/>
    </row>
    <row r="1589" spans="1:3" x14ac:dyDescent="0.25">
      <c r="A1589" s="4">
        <v>38118</v>
      </c>
      <c r="B1589" s="2">
        <v>161.5</v>
      </c>
      <c r="C1589" s="4"/>
    </row>
    <row r="1590" spans="1:3" x14ac:dyDescent="0.25">
      <c r="A1590" s="4">
        <v>38119</v>
      </c>
      <c r="B1590" s="2">
        <v>165.25</v>
      </c>
      <c r="C1590" s="4"/>
    </row>
    <row r="1591" spans="1:3" x14ac:dyDescent="0.25">
      <c r="A1591" s="4">
        <v>38120</v>
      </c>
      <c r="B1591" s="2">
        <v>166.25</v>
      </c>
      <c r="C1591" s="4"/>
    </row>
    <row r="1592" spans="1:3" x14ac:dyDescent="0.25">
      <c r="A1592" s="4">
        <v>38121</v>
      </c>
      <c r="B1592" s="2">
        <v>168.25</v>
      </c>
      <c r="C1592" s="4"/>
    </row>
    <row r="1593" spans="1:3" x14ac:dyDescent="0.25">
      <c r="A1593" s="4">
        <v>38124</v>
      </c>
      <c r="B1593" s="2">
        <v>170.25</v>
      </c>
      <c r="C1593" s="4"/>
    </row>
    <row r="1594" spans="1:3" x14ac:dyDescent="0.25">
      <c r="A1594" s="4">
        <v>38125</v>
      </c>
      <c r="B1594" s="2">
        <v>168.25</v>
      </c>
      <c r="C1594" s="4"/>
    </row>
    <row r="1595" spans="1:3" x14ac:dyDescent="0.25">
      <c r="A1595" s="4">
        <v>38126</v>
      </c>
      <c r="B1595" s="2">
        <v>169</v>
      </c>
      <c r="C1595" s="4"/>
    </row>
    <row r="1596" spans="1:3" x14ac:dyDescent="0.25">
      <c r="A1596" s="4">
        <v>38127</v>
      </c>
      <c r="B1596" s="2">
        <v>169.5</v>
      </c>
      <c r="C1596" s="4"/>
    </row>
    <row r="1597" spans="1:3" x14ac:dyDescent="0.25">
      <c r="A1597" s="4">
        <v>38128</v>
      </c>
      <c r="B1597" s="2">
        <v>166.75</v>
      </c>
      <c r="C1597" s="4"/>
    </row>
    <row r="1598" spans="1:3" x14ac:dyDescent="0.25">
      <c r="A1598" s="4">
        <v>38131</v>
      </c>
      <c r="B1598" s="2">
        <v>171.25</v>
      </c>
      <c r="C1598" s="4"/>
    </row>
    <row r="1599" spans="1:3" x14ac:dyDescent="0.25">
      <c r="A1599" s="4">
        <v>38132</v>
      </c>
      <c r="B1599" s="2">
        <v>168.75</v>
      </c>
      <c r="C1599" s="4"/>
    </row>
    <row r="1600" spans="1:3" x14ac:dyDescent="0.25">
      <c r="A1600" s="4">
        <v>38133</v>
      </c>
      <c r="B1600" s="2">
        <v>168.75</v>
      </c>
      <c r="C1600" s="4"/>
    </row>
    <row r="1601" spans="1:3" x14ac:dyDescent="0.25">
      <c r="A1601" s="4">
        <v>38134</v>
      </c>
      <c r="B1601" s="2">
        <v>164.5</v>
      </c>
      <c r="C1601" s="4"/>
    </row>
    <row r="1602" spans="1:3" x14ac:dyDescent="0.25">
      <c r="A1602" s="4">
        <v>38135</v>
      </c>
      <c r="B1602" s="2">
        <v>164.5</v>
      </c>
      <c r="C1602" s="4"/>
    </row>
    <row r="1603" spans="1:3" x14ac:dyDescent="0.25">
      <c r="A1603" s="4">
        <v>38139</v>
      </c>
      <c r="B1603" s="2">
        <v>171.75</v>
      </c>
      <c r="C1603" s="4"/>
    </row>
    <row r="1604" spans="1:3" x14ac:dyDescent="0.25">
      <c r="A1604" s="4">
        <v>38140</v>
      </c>
      <c r="B1604" s="2">
        <v>168.5</v>
      </c>
      <c r="C1604" s="4"/>
    </row>
    <row r="1605" spans="1:3" x14ac:dyDescent="0.25">
      <c r="A1605" s="4">
        <v>38141</v>
      </c>
      <c r="B1605" s="2">
        <v>164.75</v>
      </c>
      <c r="C1605" s="4"/>
    </row>
    <row r="1606" spans="1:3" x14ac:dyDescent="0.25">
      <c r="A1606" s="4">
        <v>38142</v>
      </c>
      <c r="B1606" s="2">
        <v>162</v>
      </c>
      <c r="C1606" s="4"/>
    </row>
    <row r="1607" spans="1:3" x14ac:dyDescent="0.25">
      <c r="A1607" s="4">
        <v>38145</v>
      </c>
      <c r="B1607" s="2">
        <v>159.25</v>
      </c>
      <c r="C1607" s="4"/>
    </row>
    <row r="1608" spans="1:3" x14ac:dyDescent="0.25">
      <c r="A1608" s="4">
        <v>38146</v>
      </c>
      <c r="B1608" s="2">
        <v>159.25</v>
      </c>
      <c r="C1608" s="4"/>
    </row>
    <row r="1609" spans="1:3" x14ac:dyDescent="0.25">
      <c r="A1609" s="4">
        <v>38147</v>
      </c>
      <c r="B1609" s="2">
        <v>154</v>
      </c>
      <c r="C1609" s="4"/>
    </row>
    <row r="1610" spans="1:3" x14ac:dyDescent="0.25">
      <c r="A1610" s="4">
        <v>38148</v>
      </c>
      <c r="B1610" s="2">
        <v>156</v>
      </c>
      <c r="C1610" s="4"/>
    </row>
    <row r="1611" spans="1:3" x14ac:dyDescent="0.25">
      <c r="A1611" s="4">
        <v>38149</v>
      </c>
      <c r="B1611" s="2">
        <v>155</v>
      </c>
      <c r="C1611" s="4"/>
    </row>
    <row r="1612" spans="1:3" x14ac:dyDescent="0.25">
      <c r="A1612" s="4">
        <v>38152</v>
      </c>
      <c r="B1612" s="2">
        <v>153.75</v>
      </c>
      <c r="C1612" s="4"/>
    </row>
    <row r="1613" spans="1:3" x14ac:dyDescent="0.25">
      <c r="A1613" s="4">
        <v>38153</v>
      </c>
      <c r="B1613" s="2">
        <v>149.25</v>
      </c>
      <c r="C1613" s="4"/>
    </row>
    <row r="1614" spans="1:3" x14ac:dyDescent="0.25">
      <c r="A1614" s="4">
        <v>38154</v>
      </c>
      <c r="B1614" s="2">
        <v>147.5</v>
      </c>
      <c r="C1614" s="4"/>
    </row>
    <row r="1615" spans="1:3" x14ac:dyDescent="0.25">
      <c r="A1615" s="4">
        <v>38155</v>
      </c>
      <c r="B1615" s="2">
        <v>153.25</v>
      </c>
      <c r="C1615" s="4"/>
    </row>
    <row r="1616" spans="1:3" x14ac:dyDescent="0.25">
      <c r="A1616" s="4">
        <v>38156</v>
      </c>
      <c r="B1616" s="2">
        <v>155</v>
      </c>
      <c r="C1616" s="4"/>
    </row>
    <row r="1617" spans="1:3" x14ac:dyDescent="0.25">
      <c r="A1617" s="4">
        <v>38159</v>
      </c>
      <c r="B1617" s="2">
        <v>154</v>
      </c>
      <c r="C1617" s="4"/>
    </row>
    <row r="1618" spans="1:3" x14ac:dyDescent="0.25">
      <c r="A1618" s="4">
        <v>38160</v>
      </c>
      <c r="B1618" s="2">
        <v>152.25</v>
      </c>
      <c r="C1618" s="4"/>
    </row>
    <row r="1619" spans="1:3" x14ac:dyDescent="0.25">
      <c r="A1619" s="4">
        <v>38161</v>
      </c>
      <c r="B1619" s="2">
        <v>151</v>
      </c>
      <c r="C1619" s="4"/>
    </row>
    <row r="1620" spans="1:3" x14ac:dyDescent="0.25">
      <c r="A1620" s="4">
        <v>38162</v>
      </c>
      <c r="B1620" s="2">
        <v>153</v>
      </c>
      <c r="C1620" s="4"/>
    </row>
    <row r="1621" spans="1:3" x14ac:dyDescent="0.25">
      <c r="A1621" s="4">
        <v>38163</v>
      </c>
      <c r="B1621" s="2">
        <v>149.5</v>
      </c>
      <c r="C1621" s="4"/>
    </row>
    <row r="1622" spans="1:3" x14ac:dyDescent="0.25">
      <c r="A1622" s="4">
        <v>38166</v>
      </c>
      <c r="B1622" s="2">
        <v>145</v>
      </c>
      <c r="C1622" s="4"/>
    </row>
    <row r="1623" spans="1:3" x14ac:dyDescent="0.25">
      <c r="A1623" s="4">
        <v>38167</v>
      </c>
      <c r="B1623" s="2">
        <v>145.75</v>
      </c>
      <c r="C1623" s="4"/>
    </row>
    <row r="1624" spans="1:3" x14ac:dyDescent="0.25">
      <c r="A1624" s="4">
        <v>38168</v>
      </c>
      <c r="B1624" s="2">
        <v>147.25</v>
      </c>
      <c r="C1624" s="4"/>
    </row>
    <row r="1625" spans="1:3" x14ac:dyDescent="0.25">
      <c r="A1625" s="4">
        <v>38169</v>
      </c>
      <c r="B1625" s="2">
        <v>152.5</v>
      </c>
      <c r="C1625" s="4"/>
    </row>
    <row r="1626" spans="1:3" x14ac:dyDescent="0.25">
      <c r="A1626" s="4">
        <v>38170</v>
      </c>
      <c r="B1626" s="2">
        <v>155</v>
      </c>
      <c r="C1626" s="4"/>
    </row>
    <row r="1627" spans="1:3" x14ac:dyDescent="0.25">
      <c r="A1627" s="4">
        <v>38173</v>
      </c>
      <c r="B1627" s="2">
        <v>157.25</v>
      </c>
      <c r="C1627" s="4"/>
    </row>
    <row r="1628" spans="1:3" x14ac:dyDescent="0.25">
      <c r="A1628" s="4">
        <v>38174</v>
      </c>
      <c r="B1628" s="2">
        <v>161.75</v>
      </c>
      <c r="C1628" s="4"/>
    </row>
    <row r="1629" spans="1:3" x14ac:dyDescent="0.25">
      <c r="A1629" s="4">
        <v>38175</v>
      </c>
      <c r="B1629" s="2">
        <v>158</v>
      </c>
      <c r="C1629" s="4"/>
    </row>
    <row r="1630" spans="1:3" x14ac:dyDescent="0.25">
      <c r="A1630" s="4">
        <v>38176</v>
      </c>
      <c r="B1630" s="2">
        <v>160.5</v>
      </c>
      <c r="C1630" s="4"/>
    </row>
    <row r="1631" spans="1:3" x14ac:dyDescent="0.25">
      <c r="A1631" s="4">
        <v>38177</v>
      </c>
      <c r="B1631" s="2">
        <v>159.5</v>
      </c>
      <c r="C1631" s="4"/>
    </row>
    <row r="1632" spans="1:3" x14ac:dyDescent="0.25">
      <c r="A1632" s="4">
        <v>38180</v>
      </c>
      <c r="B1632" s="2">
        <v>159.75</v>
      </c>
      <c r="C1632" s="4"/>
    </row>
    <row r="1633" spans="1:3" x14ac:dyDescent="0.25">
      <c r="A1633" s="4">
        <v>38181</v>
      </c>
      <c r="B1633" s="2">
        <v>155.75</v>
      </c>
      <c r="C1633" s="4"/>
    </row>
    <row r="1634" spans="1:3" x14ac:dyDescent="0.25">
      <c r="A1634" s="4">
        <v>38182</v>
      </c>
      <c r="B1634" s="2">
        <v>157</v>
      </c>
      <c r="C1634" s="4"/>
    </row>
    <row r="1635" spans="1:3" x14ac:dyDescent="0.25">
      <c r="A1635" s="4">
        <v>38183</v>
      </c>
      <c r="B1635" s="2">
        <v>162.25</v>
      </c>
      <c r="C1635" s="4"/>
    </row>
    <row r="1636" spans="1:3" x14ac:dyDescent="0.25">
      <c r="A1636" s="4">
        <v>38184</v>
      </c>
      <c r="B1636" s="2">
        <v>162</v>
      </c>
      <c r="C1636" s="4"/>
    </row>
    <row r="1637" spans="1:3" x14ac:dyDescent="0.25">
      <c r="A1637" s="4">
        <v>38187</v>
      </c>
      <c r="B1637" s="2">
        <v>163</v>
      </c>
      <c r="C1637" s="4"/>
    </row>
    <row r="1638" spans="1:3" x14ac:dyDescent="0.25">
      <c r="A1638" s="4">
        <v>38188</v>
      </c>
      <c r="B1638" s="2">
        <v>166</v>
      </c>
      <c r="C1638" s="4"/>
    </row>
    <row r="1639" spans="1:3" x14ac:dyDescent="0.25">
      <c r="A1639" s="4">
        <v>38189</v>
      </c>
      <c r="B1639" s="2">
        <v>166.25</v>
      </c>
      <c r="C1639" s="4"/>
    </row>
    <row r="1640" spans="1:3" x14ac:dyDescent="0.25">
      <c r="A1640" s="4">
        <v>38190</v>
      </c>
      <c r="B1640" s="2">
        <v>168.5</v>
      </c>
      <c r="C1640" s="4"/>
    </row>
    <row r="1641" spans="1:3" x14ac:dyDescent="0.25">
      <c r="A1641" s="4">
        <v>38191</v>
      </c>
      <c r="B1641" s="2">
        <v>167.5</v>
      </c>
      <c r="C1641" s="4"/>
    </row>
    <row r="1642" spans="1:3" x14ac:dyDescent="0.25">
      <c r="A1642" s="4">
        <v>38194</v>
      </c>
      <c r="B1642" s="2">
        <v>165.5</v>
      </c>
      <c r="C1642" s="4"/>
    </row>
    <row r="1643" spans="1:3" x14ac:dyDescent="0.25">
      <c r="A1643" s="4">
        <v>38195</v>
      </c>
      <c r="B1643" s="2">
        <v>164.25</v>
      </c>
      <c r="C1643" s="4"/>
    </row>
    <row r="1644" spans="1:3" x14ac:dyDescent="0.25">
      <c r="A1644" s="4">
        <v>38196</v>
      </c>
      <c r="B1644" s="2">
        <v>165.75</v>
      </c>
      <c r="C1644" s="4"/>
    </row>
    <row r="1645" spans="1:3" x14ac:dyDescent="0.25">
      <c r="A1645" s="4">
        <v>38197</v>
      </c>
      <c r="B1645" s="2">
        <v>164.75</v>
      </c>
      <c r="C1645" s="4"/>
    </row>
    <row r="1646" spans="1:3" x14ac:dyDescent="0.25">
      <c r="A1646" s="4">
        <v>38198</v>
      </c>
      <c r="B1646" s="2">
        <v>166.75</v>
      </c>
      <c r="C1646" s="4"/>
    </row>
    <row r="1647" spans="1:3" x14ac:dyDescent="0.25">
      <c r="A1647" s="4">
        <v>38201</v>
      </c>
      <c r="B1647" s="2">
        <v>166.75</v>
      </c>
      <c r="C1647" s="4"/>
    </row>
    <row r="1648" spans="1:3" x14ac:dyDescent="0.25">
      <c r="A1648" s="4">
        <v>38202</v>
      </c>
      <c r="B1648" s="2">
        <v>168.5</v>
      </c>
      <c r="C1648" s="4"/>
    </row>
    <row r="1649" spans="1:3" x14ac:dyDescent="0.25">
      <c r="A1649" s="4">
        <v>38203</v>
      </c>
      <c r="B1649" s="2">
        <v>169</v>
      </c>
      <c r="C1649" s="4"/>
    </row>
    <row r="1650" spans="1:3" x14ac:dyDescent="0.25">
      <c r="A1650" s="4">
        <v>38204</v>
      </c>
      <c r="B1650" s="2">
        <v>169</v>
      </c>
      <c r="C1650" s="4"/>
    </row>
    <row r="1651" spans="1:3" x14ac:dyDescent="0.25">
      <c r="A1651" s="4">
        <v>38205</v>
      </c>
      <c r="B1651" s="2">
        <v>167.25</v>
      </c>
      <c r="C1651" s="4"/>
    </row>
    <row r="1652" spans="1:3" x14ac:dyDescent="0.25">
      <c r="A1652" s="4">
        <v>38208</v>
      </c>
      <c r="B1652" s="2">
        <v>167.25</v>
      </c>
      <c r="C1652" s="4"/>
    </row>
    <row r="1653" spans="1:3" x14ac:dyDescent="0.25">
      <c r="A1653" s="4">
        <v>38209</v>
      </c>
      <c r="B1653" s="2">
        <v>164</v>
      </c>
      <c r="C1653" s="4"/>
    </row>
    <row r="1654" spans="1:3" x14ac:dyDescent="0.25">
      <c r="A1654" s="4">
        <v>38210</v>
      </c>
      <c r="B1654" s="2">
        <v>162.5</v>
      </c>
      <c r="C1654" s="4"/>
    </row>
    <row r="1655" spans="1:3" x14ac:dyDescent="0.25">
      <c r="A1655" s="4">
        <v>38211</v>
      </c>
      <c r="B1655" s="2">
        <v>165.25</v>
      </c>
      <c r="C1655" s="4"/>
    </row>
    <row r="1656" spans="1:3" x14ac:dyDescent="0.25">
      <c r="A1656" s="4">
        <v>38212</v>
      </c>
      <c r="B1656" s="2">
        <v>167</v>
      </c>
      <c r="C1656" s="4"/>
    </row>
    <row r="1657" spans="1:3" x14ac:dyDescent="0.25">
      <c r="A1657" s="4">
        <v>38215</v>
      </c>
      <c r="B1657" s="2">
        <v>166.5</v>
      </c>
      <c r="C1657" s="4"/>
    </row>
    <row r="1658" spans="1:3" x14ac:dyDescent="0.25">
      <c r="A1658" s="4">
        <v>38216</v>
      </c>
      <c r="B1658" s="2">
        <v>166.5</v>
      </c>
      <c r="C1658" s="4"/>
    </row>
    <row r="1659" spans="1:3" x14ac:dyDescent="0.25">
      <c r="A1659" s="4">
        <v>38217</v>
      </c>
      <c r="B1659" s="2">
        <v>163.5</v>
      </c>
      <c r="C1659" s="4"/>
    </row>
    <row r="1660" spans="1:3" x14ac:dyDescent="0.25">
      <c r="A1660" s="4">
        <v>38218</v>
      </c>
      <c r="B1660" s="2">
        <v>161.75</v>
      </c>
      <c r="C1660" s="4"/>
    </row>
    <row r="1661" spans="1:3" x14ac:dyDescent="0.25">
      <c r="A1661" s="4">
        <v>38219</v>
      </c>
      <c r="B1661" s="2">
        <v>164.75</v>
      </c>
      <c r="C1661" s="4"/>
    </row>
    <row r="1662" spans="1:3" x14ac:dyDescent="0.25">
      <c r="A1662" s="4">
        <v>38222</v>
      </c>
      <c r="B1662" s="2">
        <v>160.5</v>
      </c>
      <c r="C1662" s="4"/>
    </row>
    <row r="1663" spans="1:3" x14ac:dyDescent="0.25">
      <c r="A1663" s="4">
        <v>38223</v>
      </c>
      <c r="B1663" s="2">
        <v>159</v>
      </c>
      <c r="C1663" s="4"/>
    </row>
    <row r="1664" spans="1:3" x14ac:dyDescent="0.25">
      <c r="A1664" s="4">
        <v>38224</v>
      </c>
      <c r="B1664" s="2">
        <v>158.5</v>
      </c>
      <c r="C1664" s="4"/>
    </row>
    <row r="1665" spans="1:3" x14ac:dyDescent="0.25">
      <c r="A1665" s="4">
        <v>38225</v>
      </c>
      <c r="B1665" s="2">
        <v>153.5</v>
      </c>
      <c r="C1665" s="4"/>
    </row>
    <row r="1666" spans="1:3" x14ac:dyDescent="0.25">
      <c r="A1666" s="4">
        <v>38226</v>
      </c>
      <c r="B1666" s="2">
        <v>152</v>
      </c>
      <c r="C1666" s="4"/>
    </row>
    <row r="1667" spans="1:3" x14ac:dyDescent="0.25">
      <c r="A1667" s="4">
        <v>38230</v>
      </c>
      <c r="B1667" s="2">
        <v>150</v>
      </c>
      <c r="C1667" s="4"/>
    </row>
    <row r="1668" spans="1:3" x14ac:dyDescent="0.25">
      <c r="A1668" s="4">
        <v>38231</v>
      </c>
      <c r="B1668" s="2">
        <v>158</v>
      </c>
      <c r="C1668" s="4"/>
    </row>
    <row r="1669" spans="1:3" x14ac:dyDescent="0.25">
      <c r="A1669" s="4">
        <v>38232</v>
      </c>
      <c r="B1669" s="2">
        <v>158.25</v>
      </c>
      <c r="C1669" s="4"/>
    </row>
    <row r="1670" spans="1:3" x14ac:dyDescent="0.25">
      <c r="A1670" s="4">
        <v>38233</v>
      </c>
      <c r="B1670" s="2">
        <v>156</v>
      </c>
      <c r="C1670" s="4"/>
    </row>
    <row r="1671" spans="1:3" x14ac:dyDescent="0.25">
      <c r="A1671" s="4">
        <v>38236</v>
      </c>
      <c r="B1671" s="2">
        <v>155.75</v>
      </c>
      <c r="C1671" s="4"/>
    </row>
    <row r="1672" spans="1:3" x14ac:dyDescent="0.25">
      <c r="A1672" s="4">
        <v>38237</v>
      </c>
      <c r="B1672" s="2">
        <v>154.75</v>
      </c>
      <c r="C1672" s="4"/>
    </row>
    <row r="1673" spans="1:3" x14ac:dyDescent="0.25">
      <c r="A1673" s="4">
        <v>38238</v>
      </c>
      <c r="B1673" s="2">
        <v>155.5</v>
      </c>
      <c r="C1673" s="4"/>
    </row>
    <row r="1674" spans="1:3" x14ac:dyDescent="0.25">
      <c r="A1674" s="4">
        <v>38239</v>
      </c>
      <c r="B1674" s="2">
        <v>160.25</v>
      </c>
      <c r="C1674" s="4"/>
    </row>
    <row r="1675" spans="1:3" x14ac:dyDescent="0.25">
      <c r="A1675" s="4">
        <v>38240</v>
      </c>
      <c r="B1675" s="2">
        <v>160.25</v>
      </c>
      <c r="C1675" s="4"/>
    </row>
    <row r="1676" spans="1:3" x14ac:dyDescent="0.25">
      <c r="A1676" s="4">
        <v>38243</v>
      </c>
      <c r="B1676" s="2">
        <v>158.25</v>
      </c>
      <c r="C1676" s="4"/>
    </row>
    <row r="1677" spans="1:3" x14ac:dyDescent="0.25">
      <c r="A1677" s="4">
        <v>38244</v>
      </c>
      <c r="B1677" s="2">
        <v>158.75</v>
      </c>
      <c r="C1677" s="4"/>
    </row>
    <row r="1678" spans="1:3" x14ac:dyDescent="0.25">
      <c r="A1678" s="4">
        <v>38245</v>
      </c>
      <c r="B1678" s="2">
        <v>159.75</v>
      </c>
      <c r="C1678" s="4"/>
    </row>
    <row r="1679" spans="1:3" x14ac:dyDescent="0.25">
      <c r="A1679" s="4">
        <v>38246</v>
      </c>
      <c r="B1679" s="2">
        <v>155.25</v>
      </c>
      <c r="C1679" s="4"/>
    </row>
    <row r="1680" spans="1:3" x14ac:dyDescent="0.25">
      <c r="A1680" s="4">
        <v>38247</v>
      </c>
      <c r="B1680" s="2">
        <v>157.625</v>
      </c>
      <c r="C1680" s="4"/>
    </row>
    <row r="1681" spans="1:3" x14ac:dyDescent="0.25">
      <c r="A1681" s="4">
        <v>38250</v>
      </c>
      <c r="B1681" s="2">
        <v>157.75</v>
      </c>
      <c r="C1681" s="4"/>
    </row>
    <row r="1682" spans="1:3" x14ac:dyDescent="0.25">
      <c r="A1682" s="4">
        <v>38251</v>
      </c>
      <c r="B1682" s="2">
        <v>159</v>
      </c>
      <c r="C1682" s="4"/>
    </row>
    <row r="1683" spans="1:3" x14ac:dyDescent="0.25">
      <c r="A1683" s="4">
        <v>38252</v>
      </c>
      <c r="B1683" s="2">
        <v>162.25</v>
      </c>
      <c r="C1683" s="4"/>
    </row>
    <row r="1684" spans="1:3" x14ac:dyDescent="0.25">
      <c r="A1684" s="4">
        <v>38253</v>
      </c>
      <c r="B1684" s="2">
        <v>161.375</v>
      </c>
      <c r="C1684" s="4"/>
    </row>
    <row r="1685" spans="1:3" x14ac:dyDescent="0.25">
      <c r="A1685" s="4">
        <v>38254</v>
      </c>
      <c r="B1685" s="2">
        <v>162.25</v>
      </c>
      <c r="C1685" s="4"/>
    </row>
    <row r="1686" spans="1:3" x14ac:dyDescent="0.25">
      <c r="A1686" s="4">
        <v>38257</v>
      </c>
      <c r="B1686" s="2">
        <v>166</v>
      </c>
      <c r="C1686" s="4"/>
    </row>
    <row r="1687" spans="1:3" x14ac:dyDescent="0.25">
      <c r="A1687" s="4">
        <v>38258</v>
      </c>
      <c r="B1687" s="2">
        <v>165</v>
      </c>
      <c r="C1687" s="4"/>
    </row>
    <row r="1688" spans="1:3" x14ac:dyDescent="0.25">
      <c r="A1688" s="4">
        <v>38259</v>
      </c>
      <c r="B1688" s="2">
        <v>164.25</v>
      </c>
      <c r="C1688" s="4"/>
    </row>
    <row r="1689" spans="1:3" x14ac:dyDescent="0.25">
      <c r="A1689" s="4">
        <v>38260</v>
      </c>
      <c r="B1689" s="2">
        <v>166.5</v>
      </c>
      <c r="C1689" s="4"/>
    </row>
    <row r="1690" spans="1:3" x14ac:dyDescent="0.25">
      <c r="A1690" s="4">
        <v>38261</v>
      </c>
      <c r="B1690" s="2">
        <v>163.25</v>
      </c>
      <c r="C1690" s="4"/>
    </row>
    <row r="1691" spans="1:3" x14ac:dyDescent="0.25">
      <c r="A1691" s="4">
        <v>38264</v>
      </c>
      <c r="B1691" s="2">
        <v>164.25</v>
      </c>
      <c r="C1691" s="4"/>
    </row>
    <row r="1692" spans="1:3" x14ac:dyDescent="0.25">
      <c r="A1692" s="4">
        <v>38265</v>
      </c>
      <c r="B1692" s="2">
        <v>166.5</v>
      </c>
      <c r="C1692" s="4"/>
    </row>
    <row r="1693" spans="1:3" x14ac:dyDescent="0.25">
      <c r="A1693" s="4">
        <v>38266</v>
      </c>
      <c r="B1693" s="2">
        <v>166.75</v>
      </c>
      <c r="C1693" s="4"/>
    </row>
    <row r="1694" spans="1:3" x14ac:dyDescent="0.25">
      <c r="A1694" s="4">
        <v>38267</v>
      </c>
      <c r="B1694" s="2">
        <v>171.5</v>
      </c>
      <c r="C1694" s="4"/>
    </row>
    <row r="1695" spans="1:3" x14ac:dyDescent="0.25">
      <c r="A1695" s="4">
        <v>38268</v>
      </c>
      <c r="B1695" s="2">
        <v>171.25</v>
      </c>
      <c r="C1695" s="4"/>
    </row>
    <row r="1696" spans="1:3" x14ac:dyDescent="0.25">
      <c r="A1696" s="4">
        <v>38271</v>
      </c>
      <c r="B1696" s="2">
        <v>171.5</v>
      </c>
      <c r="C1696" s="4"/>
    </row>
    <row r="1697" spans="1:3" x14ac:dyDescent="0.25">
      <c r="A1697" s="4">
        <v>38272</v>
      </c>
      <c r="B1697" s="2">
        <v>176.25</v>
      </c>
      <c r="C1697" s="4"/>
    </row>
    <row r="1698" spans="1:3" x14ac:dyDescent="0.25">
      <c r="A1698" s="4">
        <v>38273</v>
      </c>
      <c r="B1698" s="2">
        <v>170.75</v>
      </c>
      <c r="C1698" s="4"/>
    </row>
    <row r="1699" spans="1:3" x14ac:dyDescent="0.25">
      <c r="A1699" s="4">
        <v>38274</v>
      </c>
      <c r="B1699" s="2">
        <v>175.75</v>
      </c>
      <c r="C1699" s="4"/>
    </row>
    <row r="1700" spans="1:3" x14ac:dyDescent="0.25">
      <c r="A1700" s="4">
        <v>38275</v>
      </c>
      <c r="B1700" s="2">
        <v>174.75</v>
      </c>
      <c r="C1700" s="4"/>
    </row>
    <row r="1701" spans="1:3" x14ac:dyDescent="0.25">
      <c r="A1701" s="4">
        <v>38278</v>
      </c>
      <c r="B1701" s="2">
        <v>173.25</v>
      </c>
      <c r="C1701" s="4"/>
    </row>
    <row r="1702" spans="1:3" x14ac:dyDescent="0.25">
      <c r="A1702" s="4">
        <v>38279</v>
      </c>
      <c r="B1702" s="2">
        <v>171.5</v>
      </c>
      <c r="C1702" s="4"/>
    </row>
    <row r="1703" spans="1:3" x14ac:dyDescent="0.25">
      <c r="A1703" s="4">
        <v>38280</v>
      </c>
      <c r="B1703" s="2">
        <v>175.5</v>
      </c>
      <c r="C1703" s="4"/>
    </row>
    <row r="1704" spans="1:3" x14ac:dyDescent="0.25">
      <c r="A1704" s="4">
        <v>38281</v>
      </c>
      <c r="B1704" s="2">
        <v>174.25</v>
      </c>
      <c r="C1704" s="4"/>
    </row>
    <row r="1705" spans="1:3" x14ac:dyDescent="0.25">
      <c r="A1705" s="4">
        <v>38282</v>
      </c>
      <c r="B1705" s="2">
        <v>175.5</v>
      </c>
      <c r="C1705" s="4"/>
    </row>
    <row r="1706" spans="1:3" x14ac:dyDescent="0.25">
      <c r="A1706" s="4">
        <v>38285</v>
      </c>
      <c r="B1706" s="2">
        <v>175.5</v>
      </c>
      <c r="C1706" s="4"/>
    </row>
    <row r="1707" spans="1:3" x14ac:dyDescent="0.25">
      <c r="A1707" s="4">
        <v>38286</v>
      </c>
      <c r="B1707" s="2">
        <v>174</v>
      </c>
      <c r="C1707" s="4"/>
    </row>
    <row r="1708" spans="1:3" x14ac:dyDescent="0.25">
      <c r="A1708" s="4">
        <v>38287</v>
      </c>
      <c r="B1708" s="2">
        <v>171.75</v>
      </c>
      <c r="C1708" s="4"/>
    </row>
    <row r="1709" spans="1:3" x14ac:dyDescent="0.25">
      <c r="A1709" s="4">
        <v>38288</v>
      </c>
      <c r="B1709" s="2">
        <v>169.5</v>
      </c>
      <c r="C1709" s="4"/>
    </row>
    <row r="1710" spans="1:3" x14ac:dyDescent="0.25">
      <c r="A1710" s="4">
        <v>38289</v>
      </c>
      <c r="B1710" s="2">
        <v>164.25</v>
      </c>
      <c r="C1710" s="4"/>
    </row>
    <row r="1711" spans="1:3" x14ac:dyDescent="0.25">
      <c r="A1711" s="4">
        <v>38292</v>
      </c>
      <c r="B1711" s="2">
        <v>163.75</v>
      </c>
      <c r="C1711" s="4"/>
    </row>
    <row r="1712" spans="1:3" x14ac:dyDescent="0.25">
      <c r="A1712" s="4">
        <v>38293</v>
      </c>
      <c r="B1712" s="2">
        <v>161.5</v>
      </c>
      <c r="C1712" s="4"/>
    </row>
    <row r="1713" spans="1:3" x14ac:dyDescent="0.25">
      <c r="A1713" s="4">
        <v>38294</v>
      </c>
      <c r="B1713" s="2">
        <v>158</v>
      </c>
      <c r="C1713" s="4"/>
    </row>
    <row r="1714" spans="1:3" x14ac:dyDescent="0.25">
      <c r="A1714" s="4">
        <v>38295</v>
      </c>
      <c r="B1714" s="2">
        <v>158.75</v>
      </c>
      <c r="C1714" s="4"/>
    </row>
    <row r="1715" spans="1:3" x14ac:dyDescent="0.25">
      <c r="A1715" s="4">
        <v>38296</v>
      </c>
      <c r="B1715" s="2">
        <v>153</v>
      </c>
      <c r="C1715" s="4"/>
    </row>
    <row r="1716" spans="1:3" x14ac:dyDescent="0.25">
      <c r="A1716" s="4">
        <v>38299</v>
      </c>
      <c r="B1716" s="2">
        <v>151</v>
      </c>
      <c r="C1716" s="4"/>
    </row>
    <row r="1717" spans="1:3" x14ac:dyDescent="0.25">
      <c r="A1717" s="4">
        <v>38300</v>
      </c>
      <c r="B1717" s="2">
        <v>148</v>
      </c>
      <c r="C1717" s="4"/>
    </row>
    <row r="1718" spans="1:3" x14ac:dyDescent="0.25">
      <c r="A1718" s="4">
        <v>38301</v>
      </c>
      <c r="B1718" s="2">
        <v>144.25</v>
      </c>
      <c r="C1718" s="4"/>
    </row>
    <row r="1719" spans="1:3" x14ac:dyDescent="0.25">
      <c r="A1719" s="4">
        <v>38302</v>
      </c>
      <c r="B1719" s="2">
        <v>137.25</v>
      </c>
      <c r="C1719" s="4"/>
    </row>
    <row r="1720" spans="1:3" x14ac:dyDescent="0.25">
      <c r="A1720" s="4">
        <v>38303</v>
      </c>
      <c r="B1720" s="2">
        <v>136</v>
      </c>
      <c r="C1720" s="4"/>
    </row>
    <row r="1721" spans="1:3" x14ac:dyDescent="0.25">
      <c r="A1721" s="4">
        <v>38306</v>
      </c>
      <c r="B1721" s="2">
        <v>128.75</v>
      </c>
      <c r="C1721" s="4"/>
    </row>
    <row r="1722" spans="1:3" x14ac:dyDescent="0.25">
      <c r="A1722" s="4">
        <v>38307</v>
      </c>
      <c r="B1722" s="2">
        <v>129</v>
      </c>
      <c r="C1722" s="4"/>
    </row>
    <row r="1723" spans="1:3" x14ac:dyDescent="0.25">
      <c r="A1723" s="4">
        <v>38308</v>
      </c>
      <c r="B1723" s="2">
        <v>124</v>
      </c>
      <c r="C1723" s="4"/>
    </row>
    <row r="1724" spans="1:3" x14ac:dyDescent="0.25">
      <c r="A1724" s="4">
        <v>38309</v>
      </c>
      <c r="B1724" s="2">
        <v>129</v>
      </c>
      <c r="C1724" s="4"/>
    </row>
    <row r="1725" spans="1:3" x14ac:dyDescent="0.25">
      <c r="A1725" s="4">
        <v>38310</v>
      </c>
      <c r="B1725" s="2">
        <v>135</v>
      </c>
      <c r="C1725" s="4"/>
    </row>
    <row r="1726" spans="1:3" x14ac:dyDescent="0.25">
      <c r="A1726" s="4">
        <v>38313</v>
      </c>
      <c r="B1726" s="2">
        <v>138.5</v>
      </c>
      <c r="C1726" s="4"/>
    </row>
    <row r="1727" spans="1:3" x14ac:dyDescent="0.25">
      <c r="A1727" s="4">
        <v>38314</v>
      </c>
      <c r="B1727" s="2">
        <v>141</v>
      </c>
      <c r="C1727" s="4"/>
    </row>
    <row r="1728" spans="1:3" x14ac:dyDescent="0.25">
      <c r="A1728" s="4">
        <v>38315</v>
      </c>
      <c r="B1728" s="2">
        <v>138.25</v>
      </c>
      <c r="C1728" s="4"/>
    </row>
    <row r="1729" spans="1:3" x14ac:dyDescent="0.25">
      <c r="A1729" s="4">
        <v>38316</v>
      </c>
      <c r="B1729" s="2">
        <v>140.5</v>
      </c>
      <c r="C1729" s="4"/>
    </row>
    <row r="1730" spans="1:3" x14ac:dyDescent="0.25">
      <c r="A1730" s="4">
        <v>38317</v>
      </c>
      <c r="B1730" s="2">
        <v>139</v>
      </c>
      <c r="C1730" s="4"/>
    </row>
    <row r="1731" spans="1:3" x14ac:dyDescent="0.25">
      <c r="A1731" s="4">
        <v>38320</v>
      </c>
      <c r="B1731" s="2">
        <v>140.75</v>
      </c>
      <c r="C1731" s="4"/>
    </row>
    <row r="1732" spans="1:3" x14ac:dyDescent="0.25">
      <c r="A1732" s="4">
        <v>38321</v>
      </c>
      <c r="B1732" s="2">
        <v>134.75</v>
      </c>
      <c r="C1732" s="4"/>
    </row>
    <row r="1733" spans="1:3" x14ac:dyDescent="0.25">
      <c r="A1733" s="4">
        <v>38322</v>
      </c>
      <c r="B1733" s="2">
        <v>130</v>
      </c>
      <c r="C1733" s="4"/>
    </row>
    <row r="1734" spans="1:3" x14ac:dyDescent="0.25">
      <c r="A1734" s="4">
        <v>38323</v>
      </c>
      <c r="B1734" s="2">
        <v>123.5</v>
      </c>
      <c r="C1734" s="4"/>
    </row>
    <row r="1735" spans="1:3" x14ac:dyDescent="0.25">
      <c r="A1735" s="4">
        <v>38324</v>
      </c>
      <c r="B1735" s="2">
        <v>127.75</v>
      </c>
      <c r="C1735" s="4"/>
    </row>
    <row r="1736" spans="1:3" x14ac:dyDescent="0.25">
      <c r="A1736" s="4">
        <v>38327</v>
      </c>
      <c r="B1736" s="2">
        <v>142</v>
      </c>
      <c r="C1736" s="4"/>
    </row>
    <row r="1737" spans="1:3" x14ac:dyDescent="0.25">
      <c r="A1737" s="4">
        <v>38328</v>
      </c>
      <c r="B1737" s="2">
        <v>146</v>
      </c>
      <c r="C1737" s="4"/>
    </row>
    <row r="1738" spans="1:3" x14ac:dyDescent="0.25">
      <c r="A1738" s="4">
        <v>38329</v>
      </c>
      <c r="B1738" s="2">
        <v>138.75</v>
      </c>
      <c r="C1738" s="4"/>
    </row>
    <row r="1739" spans="1:3" x14ac:dyDescent="0.25">
      <c r="A1739" s="4">
        <v>38330</v>
      </c>
      <c r="B1739" s="2">
        <v>140.5</v>
      </c>
      <c r="C1739" s="4"/>
    </row>
    <row r="1740" spans="1:3" x14ac:dyDescent="0.25">
      <c r="A1740" s="4">
        <v>38331</v>
      </c>
      <c r="B1740" s="2">
        <v>136.5</v>
      </c>
      <c r="C1740" s="4"/>
    </row>
    <row r="1741" spans="1:3" x14ac:dyDescent="0.25">
      <c r="A1741" s="4">
        <v>38334</v>
      </c>
      <c r="B1741" s="2">
        <v>131</v>
      </c>
      <c r="C1741" s="4"/>
    </row>
    <row r="1742" spans="1:3" x14ac:dyDescent="0.25">
      <c r="A1742" s="4">
        <v>38335</v>
      </c>
      <c r="B1742" s="2">
        <v>131.5</v>
      </c>
      <c r="C1742" s="4"/>
    </row>
    <row r="1743" spans="1:3" x14ac:dyDescent="0.25">
      <c r="A1743" s="4">
        <v>38336</v>
      </c>
      <c r="B1743" s="2">
        <v>149</v>
      </c>
      <c r="C1743" s="4"/>
    </row>
    <row r="1744" spans="1:3" x14ac:dyDescent="0.25">
      <c r="A1744" s="4">
        <v>38337</v>
      </c>
      <c r="B1744" s="2">
        <v>141</v>
      </c>
      <c r="C1744" s="4"/>
    </row>
    <row r="1745" spans="1:3" x14ac:dyDescent="0.25">
      <c r="A1745" s="4">
        <v>38338</v>
      </c>
      <c r="B1745" s="2">
        <v>144.5</v>
      </c>
      <c r="C1745" s="4"/>
    </row>
    <row r="1746" spans="1:3" x14ac:dyDescent="0.25">
      <c r="A1746" s="4">
        <v>38341</v>
      </c>
      <c r="B1746" s="2">
        <v>141.5</v>
      </c>
      <c r="C1746" s="4"/>
    </row>
    <row r="1747" spans="1:3" x14ac:dyDescent="0.25">
      <c r="A1747" s="4">
        <v>38342</v>
      </c>
      <c r="B1747" s="2">
        <v>144.25</v>
      </c>
      <c r="C1747" s="4"/>
    </row>
    <row r="1748" spans="1:3" x14ac:dyDescent="0.25">
      <c r="A1748" s="4">
        <v>38343</v>
      </c>
      <c r="B1748" s="2">
        <v>142</v>
      </c>
      <c r="C1748" s="4"/>
    </row>
    <row r="1749" spans="1:3" x14ac:dyDescent="0.25">
      <c r="A1749" s="4">
        <v>38344</v>
      </c>
      <c r="B1749" s="2">
        <v>143</v>
      </c>
      <c r="C1749" s="4"/>
    </row>
    <row r="1750" spans="1:3" x14ac:dyDescent="0.25">
      <c r="A1750" s="4">
        <v>38345</v>
      </c>
      <c r="B1750" s="2">
        <v>138.5</v>
      </c>
      <c r="C1750" s="4"/>
    </row>
    <row r="1751" spans="1:3" x14ac:dyDescent="0.25">
      <c r="A1751" s="4">
        <v>38350</v>
      </c>
      <c r="B1751" s="2">
        <v>138</v>
      </c>
      <c r="C1751" s="4"/>
    </row>
    <row r="1752" spans="1:3" x14ac:dyDescent="0.25">
      <c r="A1752" s="4">
        <v>38351</v>
      </c>
      <c r="B1752" s="2">
        <v>142.5</v>
      </c>
      <c r="C1752" s="4"/>
    </row>
    <row r="1753" spans="1:3" x14ac:dyDescent="0.25">
      <c r="A1753" s="4">
        <v>38352</v>
      </c>
      <c r="B1753" s="2">
        <v>138.5</v>
      </c>
      <c r="C1753" s="4"/>
    </row>
    <row r="1754" spans="1:3" x14ac:dyDescent="0.25">
      <c r="A1754" s="4">
        <v>38356</v>
      </c>
      <c r="B1754" s="2">
        <v>144.875</v>
      </c>
      <c r="C1754" s="4"/>
    </row>
    <row r="1755" spans="1:3" x14ac:dyDescent="0.25">
      <c r="A1755" s="4">
        <v>38357</v>
      </c>
      <c r="B1755" s="2">
        <v>142.875</v>
      </c>
      <c r="C1755" s="4"/>
    </row>
    <row r="1756" spans="1:3" x14ac:dyDescent="0.25">
      <c r="A1756" s="4">
        <v>38358</v>
      </c>
      <c r="B1756" s="2">
        <v>145</v>
      </c>
      <c r="C1756" s="4"/>
    </row>
    <row r="1757" spans="1:3" x14ac:dyDescent="0.25">
      <c r="A1757" s="4">
        <v>38359</v>
      </c>
      <c r="B1757" s="2">
        <v>144</v>
      </c>
      <c r="C1757" s="4"/>
    </row>
    <row r="1758" spans="1:3" x14ac:dyDescent="0.25">
      <c r="A1758" s="4">
        <v>38362</v>
      </c>
      <c r="B1758" s="2">
        <v>148.75</v>
      </c>
      <c r="C1758" s="4"/>
    </row>
    <row r="1759" spans="1:3" x14ac:dyDescent="0.25">
      <c r="A1759" s="4">
        <v>38363</v>
      </c>
      <c r="B1759" s="2">
        <v>148.75</v>
      </c>
      <c r="C1759" s="4"/>
    </row>
    <row r="1760" spans="1:3" x14ac:dyDescent="0.25">
      <c r="A1760" s="4">
        <v>38364</v>
      </c>
      <c r="B1760" s="2">
        <v>151.5</v>
      </c>
      <c r="C1760" s="4"/>
    </row>
    <row r="1761" spans="1:3" x14ac:dyDescent="0.25">
      <c r="A1761" s="4">
        <v>38365</v>
      </c>
      <c r="B1761" s="2">
        <v>158</v>
      </c>
      <c r="C1761" s="4"/>
    </row>
    <row r="1762" spans="1:3" x14ac:dyDescent="0.25">
      <c r="A1762" s="4">
        <v>38366</v>
      </c>
      <c r="B1762" s="2">
        <v>157.5</v>
      </c>
      <c r="C1762" s="4"/>
    </row>
    <row r="1763" spans="1:3" x14ac:dyDescent="0.25">
      <c r="A1763" s="4">
        <v>38369</v>
      </c>
      <c r="B1763" s="2">
        <v>164.25</v>
      </c>
      <c r="C1763" s="4"/>
    </row>
    <row r="1764" spans="1:3" x14ac:dyDescent="0.25">
      <c r="A1764" s="4">
        <v>38370</v>
      </c>
      <c r="B1764" s="2">
        <v>164</v>
      </c>
      <c r="C1764" s="4"/>
    </row>
    <row r="1765" spans="1:3" x14ac:dyDescent="0.25">
      <c r="A1765" s="4">
        <v>38371</v>
      </c>
      <c r="B1765" s="2">
        <v>164</v>
      </c>
      <c r="C1765" s="4"/>
    </row>
    <row r="1766" spans="1:3" x14ac:dyDescent="0.25">
      <c r="A1766" s="4">
        <v>38372</v>
      </c>
      <c r="B1766" s="2">
        <v>158</v>
      </c>
      <c r="C1766" s="4"/>
    </row>
    <row r="1767" spans="1:3" x14ac:dyDescent="0.25">
      <c r="A1767" s="4">
        <v>38373</v>
      </c>
      <c r="B1767" s="2">
        <v>162.25</v>
      </c>
      <c r="C1767" s="4"/>
    </row>
    <row r="1768" spans="1:3" x14ac:dyDescent="0.25">
      <c r="A1768" s="4">
        <v>38376</v>
      </c>
      <c r="B1768" s="2">
        <v>162</v>
      </c>
      <c r="C1768" s="4"/>
    </row>
    <row r="1769" spans="1:3" x14ac:dyDescent="0.25">
      <c r="A1769" s="4">
        <v>38377</v>
      </c>
      <c r="B1769" s="2">
        <v>161.125</v>
      </c>
      <c r="C1769" s="4"/>
    </row>
    <row r="1770" spans="1:3" x14ac:dyDescent="0.25">
      <c r="A1770" s="4">
        <v>38378</v>
      </c>
      <c r="B1770" s="2">
        <v>160.5</v>
      </c>
      <c r="C1770" s="4"/>
    </row>
    <row r="1771" spans="1:3" x14ac:dyDescent="0.25">
      <c r="A1771" s="4">
        <v>38379</v>
      </c>
      <c r="B1771" s="2">
        <v>163.5</v>
      </c>
      <c r="C1771" s="4"/>
    </row>
    <row r="1772" spans="1:3" x14ac:dyDescent="0.25">
      <c r="A1772" s="4">
        <v>38380</v>
      </c>
      <c r="B1772" s="2">
        <v>157.25</v>
      </c>
      <c r="C1772" s="4"/>
    </row>
    <row r="1773" spans="1:3" x14ac:dyDescent="0.25">
      <c r="A1773" s="4">
        <v>38383</v>
      </c>
      <c r="B1773" s="2">
        <v>159.5</v>
      </c>
      <c r="C1773" s="4"/>
    </row>
    <row r="1774" spans="1:3" x14ac:dyDescent="0.25">
      <c r="A1774" s="4">
        <v>38384</v>
      </c>
      <c r="B1774" s="2">
        <v>162.75</v>
      </c>
      <c r="C1774" s="4"/>
    </row>
    <row r="1775" spans="1:3" x14ac:dyDescent="0.25">
      <c r="A1775" s="4">
        <v>38385</v>
      </c>
      <c r="B1775" s="2">
        <v>163.5</v>
      </c>
      <c r="C1775" s="4"/>
    </row>
    <row r="1776" spans="1:3" x14ac:dyDescent="0.25">
      <c r="A1776" s="4">
        <v>38386</v>
      </c>
      <c r="B1776" s="2">
        <v>160.75</v>
      </c>
      <c r="C1776" s="4"/>
    </row>
    <row r="1777" spans="1:3" x14ac:dyDescent="0.25">
      <c r="A1777" s="4">
        <v>38387</v>
      </c>
      <c r="B1777" s="2">
        <v>163.5</v>
      </c>
      <c r="C1777" s="4"/>
    </row>
    <row r="1778" spans="1:3" x14ac:dyDescent="0.25">
      <c r="A1778" s="4">
        <v>38390</v>
      </c>
      <c r="B1778" s="2">
        <v>163</v>
      </c>
      <c r="C1778" s="4"/>
    </row>
    <row r="1779" spans="1:3" x14ac:dyDescent="0.25">
      <c r="A1779" s="4">
        <v>38391</v>
      </c>
      <c r="B1779" s="2">
        <v>161</v>
      </c>
      <c r="C1779" s="4"/>
    </row>
    <row r="1780" spans="1:3" x14ac:dyDescent="0.25">
      <c r="A1780" s="4">
        <v>38392</v>
      </c>
      <c r="B1780" s="2">
        <v>162.625</v>
      </c>
      <c r="C1780" s="4"/>
    </row>
    <row r="1781" spans="1:3" x14ac:dyDescent="0.25">
      <c r="A1781" s="4">
        <v>38393</v>
      </c>
      <c r="B1781" s="2">
        <v>165</v>
      </c>
      <c r="C1781" s="4"/>
    </row>
    <row r="1782" spans="1:3" x14ac:dyDescent="0.25">
      <c r="A1782" s="4">
        <v>38394</v>
      </c>
      <c r="B1782" s="2">
        <v>164.125</v>
      </c>
      <c r="C1782" s="4"/>
    </row>
    <row r="1783" spans="1:3" x14ac:dyDescent="0.25">
      <c r="A1783" s="4">
        <v>38397</v>
      </c>
      <c r="B1783" s="2">
        <v>165.75</v>
      </c>
      <c r="C1783" s="4"/>
    </row>
    <row r="1784" spans="1:3" x14ac:dyDescent="0.25">
      <c r="A1784" s="4">
        <v>38398</v>
      </c>
      <c r="B1784" s="2">
        <v>165.875</v>
      </c>
      <c r="C1784" s="4"/>
    </row>
    <row r="1785" spans="1:3" x14ac:dyDescent="0.25">
      <c r="A1785" s="4">
        <v>38399</v>
      </c>
      <c r="B1785" s="2">
        <v>166.125</v>
      </c>
      <c r="C1785" s="4"/>
    </row>
    <row r="1786" spans="1:3" x14ac:dyDescent="0.25">
      <c r="A1786" s="4">
        <v>38400</v>
      </c>
      <c r="B1786" s="2">
        <v>168.75</v>
      </c>
      <c r="C1786" s="4"/>
    </row>
    <row r="1787" spans="1:3" x14ac:dyDescent="0.25">
      <c r="A1787" s="4">
        <v>38401</v>
      </c>
      <c r="B1787" s="2">
        <v>168.25</v>
      </c>
      <c r="C1787" s="4"/>
    </row>
    <row r="1788" spans="1:3" x14ac:dyDescent="0.25">
      <c r="A1788" s="4">
        <v>38404</v>
      </c>
      <c r="B1788" s="2">
        <v>173.25</v>
      </c>
      <c r="C1788" s="4"/>
    </row>
    <row r="1789" spans="1:3" x14ac:dyDescent="0.25">
      <c r="A1789" s="4">
        <v>38405</v>
      </c>
      <c r="B1789" s="2">
        <v>179</v>
      </c>
      <c r="C1789" s="4"/>
    </row>
    <row r="1790" spans="1:3" x14ac:dyDescent="0.25">
      <c r="A1790" s="4">
        <v>38406</v>
      </c>
      <c r="B1790" s="2">
        <v>177.75</v>
      </c>
      <c r="C1790" s="4"/>
    </row>
    <row r="1791" spans="1:3" x14ac:dyDescent="0.25">
      <c r="A1791" s="4">
        <v>38407</v>
      </c>
      <c r="B1791" s="2">
        <v>180.5</v>
      </c>
      <c r="C1791" s="4"/>
    </row>
    <row r="1792" spans="1:3" x14ac:dyDescent="0.25">
      <c r="A1792" s="4">
        <v>38408</v>
      </c>
      <c r="B1792" s="2">
        <v>179.5</v>
      </c>
      <c r="C1792" s="4"/>
    </row>
    <row r="1793" spans="1:3" x14ac:dyDescent="0.25">
      <c r="A1793" s="4">
        <v>38411</v>
      </c>
      <c r="B1793" s="2">
        <v>182.75</v>
      </c>
      <c r="C1793" s="4"/>
    </row>
    <row r="1794" spans="1:3" x14ac:dyDescent="0.25">
      <c r="A1794" s="4">
        <v>38412</v>
      </c>
      <c r="B1794" s="2">
        <v>181</v>
      </c>
      <c r="C1794" s="4"/>
    </row>
    <row r="1795" spans="1:3" x14ac:dyDescent="0.25">
      <c r="A1795" s="4">
        <v>38413</v>
      </c>
      <c r="B1795" s="2">
        <v>182.375</v>
      </c>
      <c r="C1795" s="4"/>
    </row>
    <row r="1796" spans="1:3" x14ac:dyDescent="0.25">
      <c r="A1796" s="4">
        <v>38414</v>
      </c>
      <c r="B1796" s="2">
        <v>190.75</v>
      </c>
      <c r="C1796" s="4"/>
    </row>
    <row r="1797" spans="1:3" x14ac:dyDescent="0.25">
      <c r="A1797" s="4">
        <v>38415</v>
      </c>
      <c r="B1797" s="2">
        <v>190.75</v>
      </c>
      <c r="C1797" s="4"/>
    </row>
    <row r="1798" spans="1:3" x14ac:dyDescent="0.25">
      <c r="A1798" s="4">
        <v>38418</v>
      </c>
      <c r="B1798" s="2">
        <v>187</v>
      </c>
      <c r="C1798" s="4"/>
    </row>
    <row r="1799" spans="1:3" x14ac:dyDescent="0.25">
      <c r="A1799" s="4">
        <v>38419</v>
      </c>
      <c r="B1799" s="2">
        <v>192.25</v>
      </c>
      <c r="C1799" s="4"/>
    </row>
    <row r="1800" spans="1:3" x14ac:dyDescent="0.25">
      <c r="A1800" s="4">
        <v>38420</v>
      </c>
      <c r="B1800" s="2">
        <v>202.25</v>
      </c>
      <c r="C1800" s="4"/>
    </row>
    <row r="1801" spans="1:3" x14ac:dyDescent="0.25">
      <c r="A1801" s="4">
        <v>38421</v>
      </c>
      <c r="B1801" s="2">
        <v>193.25</v>
      </c>
      <c r="C1801" s="4"/>
    </row>
    <row r="1802" spans="1:3" x14ac:dyDescent="0.25">
      <c r="A1802" s="4">
        <v>38422</v>
      </c>
      <c r="B1802" s="2">
        <v>196.5</v>
      </c>
      <c r="C1802" s="4"/>
    </row>
    <row r="1803" spans="1:3" x14ac:dyDescent="0.25">
      <c r="A1803" s="4">
        <v>38425</v>
      </c>
      <c r="B1803" s="2">
        <v>197.125</v>
      </c>
      <c r="C1803" s="4"/>
    </row>
    <row r="1804" spans="1:3" x14ac:dyDescent="0.25">
      <c r="A1804" s="4">
        <v>38426</v>
      </c>
      <c r="B1804" s="2">
        <v>199</v>
      </c>
      <c r="C1804" s="4"/>
    </row>
    <row r="1805" spans="1:3" x14ac:dyDescent="0.25">
      <c r="A1805" s="4">
        <v>38427</v>
      </c>
      <c r="B1805" s="2">
        <v>202.75</v>
      </c>
      <c r="C1805" s="4"/>
    </row>
    <row r="1806" spans="1:3" x14ac:dyDescent="0.25">
      <c r="A1806" s="4">
        <v>38428</v>
      </c>
      <c r="B1806" s="2">
        <v>208.5</v>
      </c>
      <c r="C1806" s="4"/>
    </row>
    <row r="1807" spans="1:3" x14ac:dyDescent="0.25">
      <c r="A1807" s="4">
        <v>38429</v>
      </c>
      <c r="B1807" s="2">
        <v>207.5</v>
      </c>
      <c r="C1807" s="4"/>
    </row>
    <row r="1808" spans="1:3" x14ac:dyDescent="0.25">
      <c r="A1808" s="4">
        <v>38432</v>
      </c>
      <c r="B1808" s="2">
        <v>211.25</v>
      </c>
      <c r="C1808" s="4"/>
    </row>
    <row r="1809" spans="1:3" x14ac:dyDescent="0.25">
      <c r="A1809" s="4">
        <v>38433</v>
      </c>
      <c r="B1809" s="2">
        <v>211.75</v>
      </c>
      <c r="C1809" s="4"/>
    </row>
    <row r="1810" spans="1:3" x14ac:dyDescent="0.25">
      <c r="A1810" s="4">
        <v>38434</v>
      </c>
      <c r="B1810" s="2">
        <v>205.75</v>
      </c>
      <c r="C1810" s="4"/>
    </row>
    <row r="1811" spans="1:3" x14ac:dyDescent="0.25">
      <c r="A1811" s="4">
        <v>38435</v>
      </c>
      <c r="B1811" s="2">
        <v>205</v>
      </c>
      <c r="C1811" s="4"/>
    </row>
    <row r="1812" spans="1:3" x14ac:dyDescent="0.25">
      <c r="A1812" s="4">
        <v>38440</v>
      </c>
      <c r="B1812" s="2">
        <v>203.75</v>
      </c>
      <c r="C1812" s="4"/>
    </row>
    <row r="1813" spans="1:3" x14ac:dyDescent="0.25">
      <c r="A1813" s="4">
        <v>38441</v>
      </c>
      <c r="B1813" s="2">
        <v>204.25</v>
      </c>
      <c r="C1813" s="4"/>
    </row>
    <row r="1814" spans="1:3" x14ac:dyDescent="0.25">
      <c r="A1814" s="4">
        <v>38442</v>
      </c>
      <c r="B1814" s="2">
        <v>211.25</v>
      </c>
      <c r="C1814" s="4"/>
    </row>
    <row r="1815" spans="1:3" x14ac:dyDescent="0.25">
      <c r="A1815" s="4">
        <v>38443</v>
      </c>
      <c r="B1815" s="2">
        <v>221.5</v>
      </c>
      <c r="C1815" s="4"/>
    </row>
    <row r="1816" spans="1:3" x14ac:dyDescent="0.25">
      <c r="A1816" s="4">
        <v>38446</v>
      </c>
      <c r="B1816" s="2">
        <v>236.5</v>
      </c>
      <c r="C1816" s="4"/>
    </row>
    <row r="1817" spans="1:3" x14ac:dyDescent="0.25">
      <c r="A1817" s="4">
        <v>38447</v>
      </c>
      <c r="B1817" s="2">
        <v>235</v>
      </c>
      <c r="C1817" s="4"/>
    </row>
    <row r="1818" spans="1:3" x14ac:dyDescent="0.25">
      <c r="A1818" s="4">
        <v>38448</v>
      </c>
      <c r="B1818" s="2">
        <v>240</v>
      </c>
      <c r="C1818" s="4"/>
    </row>
    <row r="1819" spans="1:3" x14ac:dyDescent="0.25">
      <c r="A1819" s="4">
        <v>38449</v>
      </c>
      <c r="B1819" s="2">
        <v>254.75</v>
      </c>
      <c r="C1819" s="4"/>
    </row>
    <row r="1820" spans="1:3" x14ac:dyDescent="0.25">
      <c r="A1820" s="4">
        <v>38450</v>
      </c>
      <c r="B1820" s="2">
        <v>229.5</v>
      </c>
      <c r="C1820" s="4"/>
    </row>
    <row r="1821" spans="1:3" x14ac:dyDescent="0.25">
      <c r="A1821" s="4">
        <v>38453</v>
      </c>
      <c r="B1821" s="2">
        <v>213.75</v>
      </c>
      <c r="C1821" s="4"/>
    </row>
    <row r="1822" spans="1:3" x14ac:dyDescent="0.25">
      <c r="A1822" s="4">
        <v>38454</v>
      </c>
      <c r="B1822" s="2">
        <v>217.25</v>
      </c>
      <c r="C1822" s="4"/>
    </row>
    <row r="1823" spans="1:3" x14ac:dyDescent="0.25">
      <c r="A1823" s="4">
        <v>38455</v>
      </c>
      <c r="B1823" s="2">
        <v>209.75</v>
      </c>
      <c r="C1823" s="4"/>
    </row>
    <row r="1824" spans="1:3" x14ac:dyDescent="0.25">
      <c r="A1824" s="4">
        <v>38456</v>
      </c>
      <c r="B1824" s="2">
        <v>210.5</v>
      </c>
      <c r="C1824" s="4"/>
    </row>
    <row r="1825" spans="1:3" x14ac:dyDescent="0.25">
      <c r="A1825" s="4">
        <v>38457</v>
      </c>
      <c r="B1825" s="2">
        <v>209.5</v>
      </c>
      <c r="C1825" s="4"/>
    </row>
    <row r="1826" spans="1:3" x14ac:dyDescent="0.25">
      <c r="A1826" s="4">
        <v>38460</v>
      </c>
      <c r="B1826" s="2">
        <v>212.75</v>
      </c>
      <c r="C1826" s="4"/>
    </row>
    <row r="1827" spans="1:3" x14ac:dyDescent="0.25">
      <c r="A1827" s="4">
        <v>38461</v>
      </c>
      <c r="B1827" s="2">
        <v>221.5</v>
      </c>
      <c r="C1827" s="4"/>
    </row>
    <row r="1828" spans="1:3" x14ac:dyDescent="0.25">
      <c r="A1828" s="4">
        <v>38462</v>
      </c>
      <c r="B1828" s="2">
        <v>235.25</v>
      </c>
      <c r="C1828" s="4"/>
    </row>
    <row r="1829" spans="1:3" x14ac:dyDescent="0.25">
      <c r="A1829" s="4">
        <v>38463</v>
      </c>
      <c r="B1829" s="2">
        <v>228.5</v>
      </c>
      <c r="C1829" s="4"/>
    </row>
    <row r="1830" spans="1:3" x14ac:dyDescent="0.25">
      <c r="A1830" s="4">
        <v>38464</v>
      </c>
      <c r="B1830" s="2">
        <v>239.25</v>
      </c>
      <c r="C1830" s="4"/>
    </row>
    <row r="1831" spans="1:3" x14ac:dyDescent="0.25">
      <c r="A1831" s="4">
        <v>38467</v>
      </c>
      <c r="B1831" s="2">
        <v>246</v>
      </c>
      <c r="C1831" s="4"/>
    </row>
    <row r="1832" spans="1:3" x14ac:dyDescent="0.25">
      <c r="A1832" s="4">
        <v>38468</v>
      </c>
      <c r="B1832" s="2">
        <v>238.5</v>
      </c>
      <c r="C1832" s="4"/>
    </row>
    <row r="1833" spans="1:3" x14ac:dyDescent="0.25">
      <c r="A1833" s="4">
        <v>38469</v>
      </c>
      <c r="B1833" s="2">
        <v>232.25</v>
      </c>
      <c r="C1833" s="4"/>
    </row>
    <row r="1834" spans="1:3" x14ac:dyDescent="0.25">
      <c r="A1834" s="4">
        <v>38470</v>
      </c>
      <c r="B1834" s="2">
        <v>233.75</v>
      </c>
      <c r="C1834" s="4"/>
    </row>
    <row r="1835" spans="1:3" x14ac:dyDescent="0.25">
      <c r="A1835" s="4">
        <v>38471</v>
      </c>
      <c r="B1835" s="2">
        <v>234.5</v>
      </c>
      <c r="C1835" s="4"/>
    </row>
    <row r="1836" spans="1:3" x14ac:dyDescent="0.25">
      <c r="A1836" s="4">
        <v>38475</v>
      </c>
      <c r="B1836" s="2">
        <v>233</v>
      </c>
      <c r="C1836" s="4"/>
    </row>
    <row r="1837" spans="1:3" x14ac:dyDescent="0.25">
      <c r="A1837" s="4">
        <v>38476</v>
      </c>
      <c r="B1837" s="2">
        <v>232.5</v>
      </c>
      <c r="C1837" s="4"/>
    </row>
    <row r="1838" spans="1:3" x14ac:dyDescent="0.25">
      <c r="A1838" s="4">
        <v>38477</v>
      </c>
      <c r="B1838" s="2">
        <v>231.875</v>
      </c>
      <c r="C1838" s="4"/>
    </row>
    <row r="1839" spans="1:3" x14ac:dyDescent="0.25">
      <c r="A1839" s="4">
        <v>38478</v>
      </c>
      <c r="B1839" s="2">
        <v>233.5</v>
      </c>
      <c r="C1839" s="4"/>
    </row>
    <row r="1840" spans="1:3" x14ac:dyDescent="0.25">
      <c r="A1840" s="4">
        <v>38481</v>
      </c>
      <c r="B1840" s="2">
        <v>228.5</v>
      </c>
      <c r="C1840" s="4"/>
    </row>
    <row r="1841" spans="1:3" x14ac:dyDescent="0.25">
      <c r="A1841" s="4">
        <v>38482</v>
      </c>
      <c r="B1841" s="2">
        <v>233</v>
      </c>
      <c r="C1841" s="4"/>
    </row>
    <row r="1842" spans="1:3" x14ac:dyDescent="0.25">
      <c r="A1842" s="4">
        <v>38483</v>
      </c>
      <c r="B1842" s="2">
        <v>227.5</v>
      </c>
      <c r="C1842" s="4"/>
    </row>
    <row r="1843" spans="1:3" x14ac:dyDescent="0.25">
      <c r="A1843" s="4">
        <v>38484</v>
      </c>
      <c r="B1843" s="2">
        <v>223.5</v>
      </c>
      <c r="C1843" s="4"/>
    </row>
    <row r="1844" spans="1:3" x14ac:dyDescent="0.25">
      <c r="A1844" s="4">
        <v>38485</v>
      </c>
      <c r="B1844" s="2">
        <v>219</v>
      </c>
      <c r="C1844" s="4"/>
    </row>
    <row r="1845" spans="1:3" x14ac:dyDescent="0.25">
      <c r="A1845" s="4">
        <v>38488</v>
      </c>
      <c r="B1845" s="2">
        <v>220.5</v>
      </c>
      <c r="C1845" s="4"/>
    </row>
    <row r="1846" spans="1:3" x14ac:dyDescent="0.25">
      <c r="A1846" s="4">
        <v>38489</v>
      </c>
      <c r="B1846" s="2">
        <v>223.75</v>
      </c>
      <c r="C1846" s="4"/>
    </row>
    <row r="1847" spans="1:3" x14ac:dyDescent="0.25">
      <c r="A1847" s="4">
        <v>38490</v>
      </c>
      <c r="B1847" s="2">
        <v>226</v>
      </c>
      <c r="C1847" s="4"/>
    </row>
    <row r="1848" spans="1:3" x14ac:dyDescent="0.25">
      <c r="A1848" s="4">
        <v>38491</v>
      </c>
      <c r="B1848" s="2">
        <v>228.5</v>
      </c>
      <c r="C1848" s="4"/>
    </row>
    <row r="1849" spans="1:3" x14ac:dyDescent="0.25">
      <c r="A1849" s="4">
        <v>38492</v>
      </c>
      <c r="B1849" s="2">
        <v>223.125</v>
      </c>
      <c r="C1849" s="4"/>
    </row>
    <row r="1850" spans="1:3" x14ac:dyDescent="0.25">
      <c r="A1850" s="4">
        <v>38495</v>
      </c>
      <c r="B1850" s="2">
        <v>217.75</v>
      </c>
      <c r="C1850" s="4"/>
    </row>
    <row r="1851" spans="1:3" x14ac:dyDescent="0.25">
      <c r="A1851" s="4">
        <v>38496</v>
      </c>
      <c r="B1851" s="2">
        <v>216.25</v>
      </c>
      <c r="C1851" s="4"/>
    </row>
    <row r="1852" spans="1:3" x14ac:dyDescent="0.25">
      <c r="A1852" s="4">
        <v>38497</v>
      </c>
      <c r="B1852" s="2">
        <v>221.5</v>
      </c>
      <c r="C1852" s="4"/>
    </row>
    <row r="1853" spans="1:3" x14ac:dyDescent="0.25">
      <c r="A1853" s="4">
        <v>38498</v>
      </c>
      <c r="B1853" s="2">
        <v>216.5</v>
      </c>
      <c r="C1853" s="4"/>
    </row>
    <row r="1854" spans="1:3" x14ac:dyDescent="0.25">
      <c r="A1854" s="4">
        <v>38499</v>
      </c>
      <c r="B1854" s="2">
        <v>206</v>
      </c>
      <c r="C1854" s="4"/>
    </row>
    <row r="1855" spans="1:3" x14ac:dyDescent="0.25">
      <c r="A1855" s="4">
        <v>38503</v>
      </c>
      <c r="B1855" s="2">
        <v>212</v>
      </c>
      <c r="C1855" s="4"/>
    </row>
    <row r="1856" spans="1:3" x14ac:dyDescent="0.25">
      <c r="A1856" s="4">
        <v>38504</v>
      </c>
      <c r="B1856" s="2">
        <v>223.75</v>
      </c>
      <c r="C1856" s="4"/>
    </row>
    <row r="1857" spans="1:3" x14ac:dyDescent="0.25">
      <c r="A1857" s="4">
        <v>38505</v>
      </c>
      <c r="B1857" s="2">
        <v>226.5</v>
      </c>
      <c r="C1857" s="4"/>
    </row>
    <row r="1858" spans="1:3" x14ac:dyDescent="0.25">
      <c r="A1858" s="4">
        <v>38506</v>
      </c>
      <c r="B1858" s="2">
        <v>230.25</v>
      </c>
      <c r="C1858" s="4"/>
    </row>
    <row r="1859" spans="1:3" x14ac:dyDescent="0.25">
      <c r="A1859" s="4">
        <v>38509</v>
      </c>
      <c r="B1859" s="2">
        <v>233</v>
      </c>
      <c r="C1859" s="4"/>
    </row>
    <row r="1860" spans="1:3" x14ac:dyDescent="0.25">
      <c r="A1860" s="4">
        <v>38510</v>
      </c>
      <c r="B1860" s="2">
        <v>227</v>
      </c>
      <c r="C1860" s="4"/>
    </row>
    <row r="1861" spans="1:3" x14ac:dyDescent="0.25">
      <c r="A1861" s="4">
        <v>38511</v>
      </c>
      <c r="B1861" s="2">
        <v>224.5</v>
      </c>
      <c r="C1861" s="4"/>
    </row>
    <row r="1862" spans="1:3" x14ac:dyDescent="0.25">
      <c r="A1862" s="4">
        <v>38512</v>
      </c>
      <c r="B1862" s="2">
        <v>218.5</v>
      </c>
      <c r="C1862" s="4"/>
    </row>
    <row r="1863" spans="1:3" x14ac:dyDescent="0.25">
      <c r="A1863" s="4">
        <v>38513</v>
      </c>
      <c r="B1863" s="2">
        <v>217.5</v>
      </c>
      <c r="C1863" s="4"/>
    </row>
    <row r="1864" spans="1:3" x14ac:dyDescent="0.25">
      <c r="A1864" s="4">
        <v>38516</v>
      </c>
      <c r="B1864" s="2">
        <v>218</v>
      </c>
      <c r="C1864" s="4"/>
    </row>
    <row r="1865" spans="1:3" x14ac:dyDescent="0.25">
      <c r="A1865" s="4">
        <v>38517</v>
      </c>
      <c r="B1865" s="2">
        <v>229</v>
      </c>
      <c r="C1865" s="4"/>
    </row>
    <row r="1866" spans="1:3" x14ac:dyDescent="0.25">
      <c r="A1866" s="4">
        <v>38518</v>
      </c>
      <c r="B1866" s="2">
        <v>230.5</v>
      </c>
      <c r="C1866" s="4"/>
    </row>
    <row r="1867" spans="1:3" x14ac:dyDescent="0.25">
      <c r="A1867" s="4">
        <v>38519</v>
      </c>
      <c r="B1867" s="2">
        <v>228.5</v>
      </c>
      <c r="C1867" s="4"/>
    </row>
    <row r="1868" spans="1:3" x14ac:dyDescent="0.25">
      <c r="A1868" s="4">
        <v>38520</v>
      </c>
      <c r="B1868" s="2">
        <v>232.5</v>
      </c>
      <c r="C1868" s="4"/>
    </row>
    <row r="1869" spans="1:3" x14ac:dyDescent="0.25">
      <c r="A1869" s="4">
        <v>38523</v>
      </c>
      <c r="B1869" s="2">
        <v>235.5</v>
      </c>
      <c r="C1869" s="4"/>
    </row>
    <row r="1870" spans="1:3" x14ac:dyDescent="0.25">
      <c r="A1870" s="4">
        <v>38524</v>
      </c>
      <c r="B1870" s="2">
        <v>236.5</v>
      </c>
      <c r="C1870" s="4"/>
    </row>
    <row r="1871" spans="1:3" x14ac:dyDescent="0.25">
      <c r="A1871" s="4">
        <v>38525</v>
      </c>
      <c r="B1871" s="2">
        <v>238</v>
      </c>
      <c r="C1871" s="4"/>
    </row>
    <row r="1872" spans="1:3" x14ac:dyDescent="0.25">
      <c r="A1872" s="4">
        <v>38526</v>
      </c>
      <c r="B1872" s="2">
        <v>243.125</v>
      </c>
      <c r="C1872" s="4"/>
    </row>
    <row r="1873" spans="1:3" x14ac:dyDescent="0.25">
      <c r="A1873" s="4">
        <v>38527</v>
      </c>
      <c r="B1873" s="2">
        <v>241.75</v>
      </c>
      <c r="C1873" s="4"/>
    </row>
    <row r="1874" spans="1:3" x14ac:dyDescent="0.25">
      <c r="A1874" s="4">
        <v>38530</v>
      </c>
      <c r="B1874" s="2">
        <v>243</v>
      </c>
      <c r="C1874" s="4"/>
    </row>
    <row r="1875" spans="1:3" x14ac:dyDescent="0.25">
      <c r="A1875" s="4">
        <v>38531</v>
      </c>
      <c r="B1875" s="2">
        <v>239.5</v>
      </c>
      <c r="C1875" s="4"/>
    </row>
    <row r="1876" spans="1:3" x14ac:dyDescent="0.25">
      <c r="A1876" s="4">
        <v>38532</v>
      </c>
      <c r="B1876" s="2">
        <v>230</v>
      </c>
      <c r="C1876" s="4"/>
    </row>
    <row r="1877" spans="1:3" x14ac:dyDescent="0.25">
      <c r="A1877" s="4">
        <v>38533</v>
      </c>
      <c r="B1877" s="2">
        <v>231.25</v>
      </c>
      <c r="C1877" s="4"/>
    </row>
    <row r="1878" spans="1:3" x14ac:dyDescent="0.25">
      <c r="A1878" s="4">
        <v>38534</v>
      </c>
      <c r="B1878" s="2">
        <v>235</v>
      </c>
      <c r="C1878" s="4"/>
    </row>
    <row r="1879" spans="1:3" x14ac:dyDescent="0.25">
      <c r="A1879" s="4">
        <v>38537</v>
      </c>
      <c r="B1879" s="2">
        <v>241</v>
      </c>
      <c r="C1879" s="4"/>
    </row>
    <row r="1880" spans="1:3" x14ac:dyDescent="0.25">
      <c r="A1880" s="4">
        <v>38538</v>
      </c>
      <c r="B1880" s="2">
        <v>253.25</v>
      </c>
      <c r="C1880" s="4"/>
    </row>
    <row r="1881" spans="1:3" x14ac:dyDescent="0.25">
      <c r="A1881" s="4">
        <v>38539</v>
      </c>
      <c r="B1881" s="2">
        <v>255.5</v>
      </c>
      <c r="C1881" s="4"/>
    </row>
    <row r="1882" spans="1:3" x14ac:dyDescent="0.25">
      <c r="A1882" s="4">
        <v>38540</v>
      </c>
      <c r="B1882" s="2">
        <v>256.5</v>
      </c>
      <c r="C1882" s="4"/>
    </row>
    <row r="1883" spans="1:3" x14ac:dyDescent="0.25">
      <c r="A1883" s="4">
        <v>38541</v>
      </c>
      <c r="B1883" s="2">
        <v>254</v>
      </c>
      <c r="C1883" s="4"/>
    </row>
    <row r="1884" spans="1:3" x14ac:dyDescent="0.25">
      <c r="A1884" s="4">
        <v>38544</v>
      </c>
      <c r="B1884" s="2">
        <v>245.75</v>
      </c>
      <c r="C1884" s="4"/>
    </row>
    <row r="1885" spans="1:3" x14ac:dyDescent="0.25">
      <c r="A1885" s="4">
        <v>38545</v>
      </c>
      <c r="B1885" s="2">
        <v>254.25</v>
      </c>
      <c r="C1885" s="4"/>
    </row>
    <row r="1886" spans="1:3" x14ac:dyDescent="0.25">
      <c r="A1886" s="4">
        <v>38546</v>
      </c>
      <c r="B1886" s="2">
        <v>251</v>
      </c>
      <c r="C1886" s="4"/>
    </row>
    <row r="1887" spans="1:3" x14ac:dyDescent="0.25">
      <c r="A1887" s="4">
        <v>38547</v>
      </c>
      <c r="B1887" s="2">
        <v>238.25</v>
      </c>
      <c r="C1887" s="4"/>
    </row>
    <row r="1888" spans="1:3" x14ac:dyDescent="0.25">
      <c r="A1888" s="4">
        <v>38548</v>
      </c>
      <c r="B1888" s="2">
        <v>241.5</v>
      </c>
      <c r="C1888" s="4"/>
    </row>
    <row r="1889" spans="1:3" x14ac:dyDescent="0.25">
      <c r="A1889" s="4">
        <v>38551</v>
      </c>
      <c r="B1889" s="2">
        <v>237.625</v>
      </c>
      <c r="C1889" s="4"/>
    </row>
    <row r="1890" spans="1:3" x14ac:dyDescent="0.25">
      <c r="A1890" s="4">
        <v>38552</v>
      </c>
      <c r="B1890" s="2">
        <v>237</v>
      </c>
      <c r="C1890" s="4"/>
    </row>
    <row r="1891" spans="1:3" x14ac:dyDescent="0.25">
      <c r="A1891" s="4">
        <v>38553</v>
      </c>
      <c r="B1891" s="2">
        <v>236.75</v>
      </c>
      <c r="C1891" s="4"/>
    </row>
    <row r="1892" spans="1:3" x14ac:dyDescent="0.25">
      <c r="A1892" s="4">
        <v>38554</v>
      </c>
      <c r="B1892" s="2">
        <v>231.75</v>
      </c>
      <c r="C1892" s="4"/>
    </row>
    <row r="1893" spans="1:3" x14ac:dyDescent="0.25">
      <c r="A1893" s="4">
        <v>38555</v>
      </c>
      <c r="B1893" s="2">
        <v>236.75</v>
      </c>
      <c r="C1893" s="4"/>
    </row>
    <row r="1894" spans="1:3" x14ac:dyDescent="0.25">
      <c r="A1894" s="4">
        <v>38558</v>
      </c>
      <c r="B1894" s="2">
        <v>241.25</v>
      </c>
      <c r="C1894" s="4"/>
    </row>
    <row r="1895" spans="1:3" x14ac:dyDescent="0.25">
      <c r="A1895" s="4">
        <v>38559</v>
      </c>
      <c r="B1895" s="2">
        <v>245</v>
      </c>
      <c r="C1895" s="4"/>
    </row>
    <row r="1896" spans="1:3" x14ac:dyDescent="0.25">
      <c r="A1896" s="4">
        <v>38560</v>
      </c>
      <c r="B1896" s="2">
        <v>239.5</v>
      </c>
      <c r="C1896" s="4"/>
    </row>
    <row r="1897" spans="1:3" x14ac:dyDescent="0.25">
      <c r="A1897" s="4">
        <v>38561</v>
      </c>
      <c r="B1897" s="2">
        <v>235.75</v>
      </c>
      <c r="C1897" s="4"/>
    </row>
    <row r="1898" spans="1:3" x14ac:dyDescent="0.25">
      <c r="A1898" s="4">
        <v>38562</v>
      </c>
      <c r="B1898" s="2">
        <v>237.25</v>
      </c>
      <c r="C1898" s="4"/>
    </row>
    <row r="1899" spans="1:3" x14ac:dyDescent="0.25">
      <c r="A1899" s="4">
        <v>38565</v>
      </c>
      <c r="B1899" s="2">
        <v>243.75</v>
      </c>
      <c r="C1899" s="4"/>
    </row>
    <row r="1900" spans="1:3" x14ac:dyDescent="0.25">
      <c r="A1900" s="4">
        <v>38566</v>
      </c>
      <c r="B1900" s="2">
        <v>243</v>
      </c>
      <c r="C1900" s="4"/>
    </row>
    <row r="1901" spans="1:3" x14ac:dyDescent="0.25">
      <c r="A1901" s="4">
        <v>38567</v>
      </c>
      <c r="B1901" s="2">
        <v>241.75</v>
      </c>
      <c r="C1901" s="4"/>
    </row>
    <row r="1902" spans="1:3" x14ac:dyDescent="0.25">
      <c r="A1902" s="4">
        <v>38568</v>
      </c>
      <c r="B1902" s="2">
        <v>244.75</v>
      </c>
      <c r="C1902" s="4"/>
    </row>
    <row r="1903" spans="1:3" x14ac:dyDescent="0.25">
      <c r="A1903" s="4">
        <v>38569</v>
      </c>
      <c r="B1903" s="2">
        <v>247.75</v>
      </c>
      <c r="C1903" s="4"/>
    </row>
    <row r="1904" spans="1:3" x14ac:dyDescent="0.25">
      <c r="A1904" s="4">
        <v>38572</v>
      </c>
      <c r="B1904" s="2">
        <v>259</v>
      </c>
      <c r="C1904" s="4"/>
    </row>
    <row r="1905" spans="1:3" x14ac:dyDescent="0.25">
      <c r="A1905" s="4">
        <v>38573</v>
      </c>
      <c r="B1905" s="2">
        <v>257</v>
      </c>
      <c r="C1905" s="4"/>
    </row>
    <row r="1906" spans="1:3" x14ac:dyDescent="0.25">
      <c r="A1906" s="4">
        <v>38574</v>
      </c>
      <c r="B1906" s="2">
        <v>258</v>
      </c>
      <c r="C1906" s="4"/>
    </row>
    <row r="1907" spans="1:3" x14ac:dyDescent="0.25">
      <c r="A1907" s="4">
        <v>38575</v>
      </c>
      <c r="B1907" s="2">
        <v>264.5</v>
      </c>
      <c r="C1907" s="4"/>
    </row>
    <row r="1908" spans="1:3" x14ac:dyDescent="0.25">
      <c r="A1908" s="4">
        <v>38576</v>
      </c>
      <c r="B1908" s="2">
        <v>265</v>
      </c>
      <c r="C1908" s="4"/>
    </row>
    <row r="1909" spans="1:3" x14ac:dyDescent="0.25">
      <c r="A1909" s="4">
        <v>38579</v>
      </c>
      <c r="B1909" s="2">
        <v>262.25</v>
      </c>
      <c r="C1909" s="4"/>
    </row>
    <row r="1910" spans="1:3" x14ac:dyDescent="0.25">
      <c r="A1910" s="4">
        <v>38580</v>
      </c>
      <c r="B1910" s="2">
        <v>260.75</v>
      </c>
      <c r="C1910" s="4"/>
    </row>
    <row r="1911" spans="1:3" x14ac:dyDescent="0.25">
      <c r="A1911" s="4">
        <v>38581</v>
      </c>
      <c r="B1911" s="2">
        <v>255</v>
      </c>
      <c r="C1911" s="4"/>
    </row>
    <row r="1912" spans="1:3" x14ac:dyDescent="0.25">
      <c r="A1912" s="4">
        <v>38582</v>
      </c>
      <c r="B1912" s="2">
        <v>255</v>
      </c>
      <c r="C1912" s="4"/>
    </row>
    <row r="1913" spans="1:3" x14ac:dyDescent="0.25">
      <c r="A1913" s="4">
        <v>38583</v>
      </c>
      <c r="B1913" s="2">
        <v>264</v>
      </c>
      <c r="C1913" s="4"/>
    </row>
    <row r="1914" spans="1:3" x14ac:dyDescent="0.25">
      <c r="A1914" s="4">
        <v>38586</v>
      </c>
      <c r="B1914" s="2">
        <v>266.75</v>
      </c>
      <c r="C1914" s="4"/>
    </row>
    <row r="1915" spans="1:3" x14ac:dyDescent="0.25">
      <c r="A1915" s="4">
        <v>38587</v>
      </c>
      <c r="B1915" s="2">
        <v>267.25</v>
      </c>
      <c r="C1915" s="4"/>
    </row>
    <row r="1916" spans="1:3" x14ac:dyDescent="0.25">
      <c r="A1916" s="4">
        <v>38588</v>
      </c>
      <c r="B1916" s="2">
        <v>268</v>
      </c>
      <c r="C1916" s="4"/>
    </row>
    <row r="1917" spans="1:3" x14ac:dyDescent="0.25">
      <c r="A1917" s="4">
        <v>38589</v>
      </c>
      <c r="B1917" s="2">
        <v>268.75</v>
      </c>
      <c r="C1917" s="4"/>
    </row>
    <row r="1918" spans="1:3" x14ac:dyDescent="0.25">
      <c r="A1918" s="4">
        <v>38590</v>
      </c>
      <c r="B1918" s="2">
        <v>268</v>
      </c>
      <c r="C1918" s="4"/>
    </row>
    <row r="1919" spans="1:3" x14ac:dyDescent="0.25">
      <c r="A1919" s="4">
        <v>38594</v>
      </c>
      <c r="B1919" s="2">
        <v>275.75</v>
      </c>
      <c r="C1919" s="4"/>
    </row>
    <row r="1920" spans="1:3" x14ac:dyDescent="0.25">
      <c r="A1920" s="4">
        <v>38595</v>
      </c>
      <c r="B1920" s="2">
        <v>281.25</v>
      </c>
      <c r="C1920" s="4"/>
    </row>
    <row r="1921" spans="1:3" x14ac:dyDescent="0.25">
      <c r="A1921" s="4">
        <v>38596</v>
      </c>
      <c r="B1921" s="2">
        <v>291.5</v>
      </c>
      <c r="C1921" s="4"/>
    </row>
    <row r="1922" spans="1:3" x14ac:dyDescent="0.25">
      <c r="A1922" s="4">
        <v>38597</v>
      </c>
      <c r="B1922" s="2">
        <v>284.25</v>
      </c>
      <c r="C1922" s="4"/>
    </row>
    <row r="1923" spans="1:3" x14ac:dyDescent="0.25">
      <c r="A1923" s="4">
        <v>38600</v>
      </c>
      <c r="B1923" s="2">
        <v>288.75</v>
      </c>
      <c r="C1923" s="4"/>
    </row>
    <row r="1924" spans="1:3" x14ac:dyDescent="0.25">
      <c r="A1924" s="4">
        <v>38601</v>
      </c>
      <c r="B1924" s="2">
        <v>291.5</v>
      </c>
      <c r="C1924" s="4"/>
    </row>
    <row r="1925" spans="1:3" x14ac:dyDescent="0.25">
      <c r="A1925" s="4">
        <v>38602</v>
      </c>
      <c r="B1925" s="2">
        <v>286</v>
      </c>
      <c r="C1925" s="4"/>
    </row>
    <row r="1926" spans="1:3" x14ac:dyDescent="0.25">
      <c r="A1926" s="4">
        <v>38603</v>
      </c>
      <c r="B1926" s="2">
        <v>271.5</v>
      </c>
      <c r="C1926" s="4"/>
    </row>
    <row r="1927" spans="1:3" x14ac:dyDescent="0.25">
      <c r="A1927" s="4">
        <v>38604</v>
      </c>
      <c r="B1927" s="2">
        <v>263.75</v>
      </c>
      <c r="C1927" s="4"/>
    </row>
    <row r="1928" spans="1:3" x14ac:dyDescent="0.25">
      <c r="A1928" s="4">
        <v>38607</v>
      </c>
      <c r="B1928" s="2">
        <v>254.5</v>
      </c>
      <c r="C1928" s="4"/>
    </row>
    <row r="1929" spans="1:3" x14ac:dyDescent="0.25">
      <c r="A1929" s="4">
        <v>38608</v>
      </c>
      <c r="B1929" s="2">
        <v>258.25</v>
      </c>
      <c r="C1929" s="4"/>
    </row>
    <row r="1930" spans="1:3" x14ac:dyDescent="0.25">
      <c r="A1930" s="4">
        <v>38609</v>
      </c>
      <c r="B1930" s="2">
        <v>273.25</v>
      </c>
      <c r="C1930" s="4"/>
    </row>
    <row r="1931" spans="1:3" x14ac:dyDescent="0.25">
      <c r="A1931" s="4">
        <v>38610</v>
      </c>
      <c r="B1931" s="2">
        <v>278.25</v>
      </c>
      <c r="C1931" s="4"/>
    </row>
    <row r="1932" spans="1:3" x14ac:dyDescent="0.25">
      <c r="A1932" s="4">
        <v>38611</v>
      </c>
      <c r="B1932" s="2">
        <v>263</v>
      </c>
      <c r="C1932" s="4"/>
    </row>
    <row r="1933" spans="1:3" x14ac:dyDescent="0.25">
      <c r="A1933" s="4">
        <v>38614</v>
      </c>
      <c r="B1933" s="2">
        <v>277.25</v>
      </c>
      <c r="C1933" s="4"/>
    </row>
    <row r="1934" spans="1:3" x14ac:dyDescent="0.25">
      <c r="A1934" s="4">
        <v>38615</v>
      </c>
      <c r="B1934" s="2">
        <v>272.875</v>
      </c>
      <c r="C1934" s="4"/>
    </row>
    <row r="1935" spans="1:3" x14ac:dyDescent="0.25">
      <c r="A1935" s="4">
        <v>38616</v>
      </c>
      <c r="B1935" s="2">
        <v>282.5</v>
      </c>
      <c r="C1935" s="4"/>
    </row>
    <row r="1936" spans="1:3" x14ac:dyDescent="0.25">
      <c r="A1936" s="4">
        <v>38617</v>
      </c>
      <c r="B1936" s="2">
        <v>288.5</v>
      </c>
      <c r="C1936" s="4"/>
    </row>
    <row r="1937" spans="1:3" x14ac:dyDescent="0.25">
      <c r="A1937" s="4">
        <v>38618</v>
      </c>
      <c r="B1937" s="2">
        <v>274</v>
      </c>
      <c r="C1937" s="4"/>
    </row>
    <row r="1938" spans="1:3" x14ac:dyDescent="0.25">
      <c r="A1938" s="4">
        <v>38621</v>
      </c>
      <c r="B1938" s="2">
        <v>277</v>
      </c>
      <c r="C1938" s="4"/>
    </row>
    <row r="1939" spans="1:3" x14ac:dyDescent="0.25">
      <c r="A1939" s="4">
        <v>38622</v>
      </c>
      <c r="B1939" s="2">
        <v>277</v>
      </c>
      <c r="C1939" s="4"/>
    </row>
    <row r="1940" spans="1:3" x14ac:dyDescent="0.25">
      <c r="A1940" s="4">
        <v>38623</v>
      </c>
      <c r="B1940" s="2">
        <v>283</v>
      </c>
      <c r="C1940" s="4"/>
    </row>
    <row r="1941" spans="1:3" x14ac:dyDescent="0.25">
      <c r="A1941" s="4">
        <v>38624</v>
      </c>
      <c r="B1941" s="2">
        <v>280.75</v>
      </c>
      <c r="C1941" s="4"/>
    </row>
    <row r="1942" spans="1:3" x14ac:dyDescent="0.25">
      <c r="A1942" s="4">
        <v>38625</v>
      </c>
      <c r="B1942" s="2">
        <v>279.5</v>
      </c>
      <c r="C1942" s="4"/>
    </row>
    <row r="1943" spans="1:3" x14ac:dyDescent="0.25">
      <c r="A1943" s="4">
        <v>38628</v>
      </c>
      <c r="B1943" s="2">
        <v>278</v>
      </c>
      <c r="C1943" s="4"/>
    </row>
    <row r="1944" spans="1:3" x14ac:dyDescent="0.25">
      <c r="A1944" s="4">
        <v>38629</v>
      </c>
      <c r="B1944" s="2">
        <v>265</v>
      </c>
      <c r="C1944" s="4"/>
    </row>
    <row r="1945" spans="1:3" x14ac:dyDescent="0.25">
      <c r="A1945" s="4">
        <v>38630</v>
      </c>
      <c r="B1945" s="2">
        <v>266.5</v>
      </c>
      <c r="C1945" s="4"/>
    </row>
    <row r="1946" spans="1:3" x14ac:dyDescent="0.25">
      <c r="A1946" s="4">
        <v>38631</v>
      </c>
      <c r="B1946" s="2">
        <v>257.5</v>
      </c>
      <c r="C1946" s="4"/>
    </row>
    <row r="1947" spans="1:3" x14ac:dyDescent="0.25">
      <c r="A1947" s="4">
        <v>38632</v>
      </c>
      <c r="B1947" s="2">
        <v>262</v>
      </c>
      <c r="C1947" s="4"/>
    </row>
    <row r="1948" spans="1:3" x14ac:dyDescent="0.25">
      <c r="A1948" s="4">
        <v>38635</v>
      </c>
      <c r="B1948" s="2">
        <v>263.75</v>
      </c>
      <c r="C1948" s="4"/>
    </row>
    <row r="1949" spans="1:3" x14ac:dyDescent="0.25">
      <c r="A1949" s="4">
        <v>38636</v>
      </c>
      <c r="B1949" s="2">
        <v>274</v>
      </c>
      <c r="C1949" s="4"/>
    </row>
    <row r="1950" spans="1:3" x14ac:dyDescent="0.25">
      <c r="A1950" s="4">
        <v>38637</v>
      </c>
      <c r="B1950" s="2">
        <v>276</v>
      </c>
      <c r="C1950" s="4"/>
    </row>
    <row r="1951" spans="1:3" x14ac:dyDescent="0.25">
      <c r="A1951" s="4">
        <v>38638</v>
      </c>
      <c r="B1951" s="2">
        <v>275.5</v>
      </c>
      <c r="C1951" s="4"/>
    </row>
    <row r="1952" spans="1:3" x14ac:dyDescent="0.25">
      <c r="A1952" s="4">
        <v>38639</v>
      </c>
      <c r="B1952" s="2">
        <v>261.75</v>
      </c>
      <c r="C1952" s="4"/>
    </row>
    <row r="1953" spans="1:3" x14ac:dyDescent="0.25">
      <c r="A1953" s="4">
        <v>38642</v>
      </c>
      <c r="B1953" s="2">
        <v>266.5</v>
      </c>
      <c r="C1953" s="4"/>
    </row>
    <row r="1954" spans="1:3" x14ac:dyDescent="0.25">
      <c r="A1954" s="4">
        <v>38643</v>
      </c>
      <c r="B1954" s="2">
        <v>261</v>
      </c>
      <c r="C1954" s="4"/>
    </row>
    <row r="1955" spans="1:3" x14ac:dyDescent="0.25">
      <c r="A1955" s="4">
        <v>38644</v>
      </c>
      <c r="B1955" s="2">
        <v>257</v>
      </c>
      <c r="C1955" s="4"/>
    </row>
    <row r="1956" spans="1:3" x14ac:dyDescent="0.25">
      <c r="A1956" s="4">
        <v>38645</v>
      </c>
      <c r="B1956" s="2">
        <v>257</v>
      </c>
      <c r="C1956" s="4"/>
    </row>
    <row r="1957" spans="1:3" x14ac:dyDescent="0.25">
      <c r="A1957" s="4">
        <v>38646</v>
      </c>
      <c r="B1957" s="2">
        <v>257.25</v>
      </c>
      <c r="C1957" s="4"/>
    </row>
    <row r="1958" spans="1:3" x14ac:dyDescent="0.25">
      <c r="A1958" s="4">
        <v>38649</v>
      </c>
      <c r="B1958" s="2">
        <v>261.25</v>
      </c>
      <c r="C1958" s="4"/>
    </row>
    <row r="1959" spans="1:3" x14ac:dyDescent="0.25">
      <c r="A1959" s="4">
        <v>38650</v>
      </c>
      <c r="B1959" s="2">
        <v>266.5</v>
      </c>
      <c r="C1959" s="4"/>
    </row>
    <row r="1960" spans="1:3" x14ac:dyDescent="0.25">
      <c r="A1960" s="4">
        <v>38651</v>
      </c>
      <c r="B1960" s="2">
        <v>271</v>
      </c>
      <c r="C1960" s="4"/>
    </row>
    <row r="1961" spans="1:3" x14ac:dyDescent="0.25">
      <c r="A1961" s="4">
        <v>38652</v>
      </c>
      <c r="B1961" s="2">
        <v>264</v>
      </c>
      <c r="C1961" s="4"/>
    </row>
    <row r="1962" spans="1:3" x14ac:dyDescent="0.25">
      <c r="A1962" s="4">
        <v>38653</v>
      </c>
      <c r="B1962" s="2">
        <v>259.75</v>
      </c>
      <c r="C1962" s="4"/>
    </row>
    <row r="1963" spans="1:3" x14ac:dyDescent="0.25">
      <c r="A1963" s="4">
        <v>38656</v>
      </c>
      <c r="B1963" s="2">
        <v>257</v>
      </c>
      <c r="C1963" s="4"/>
    </row>
    <row r="1964" spans="1:3" x14ac:dyDescent="0.25">
      <c r="A1964" s="4">
        <v>38657</v>
      </c>
      <c r="B1964" s="2">
        <v>256.25</v>
      </c>
      <c r="C1964" s="4"/>
    </row>
    <row r="1965" spans="1:3" x14ac:dyDescent="0.25">
      <c r="A1965" s="4">
        <v>38658</v>
      </c>
      <c r="B1965" s="2">
        <v>259</v>
      </c>
      <c r="C1965" s="4"/>
    </row>
    <row r="1966" spans="1:3" x14ac:dyDescent="0.25">
      <c r="A1966" s="4">
        <v>38659</v>
      </c>
      <c r="B1966" s="2">
        <v>258.5</v>
      </c>
      <c r="C1966" s="4"/>
    </row>
    <row r="1967" spans="1:3" x14ac:dyDescent="0.25">
      <c r="A1967" s="4">
        <v>38660</v>
      </c>
      <c r="B1967" s="2">
        <v>257</v>
      </c>
      <c r="C1967" s="4"/>
    </row>
    <row r="1968" spans="1:3" x14ac:dyDescent="0.25">
      <c r="A1968" s="4">
        <v>38663</v>
      </c>
      <c r="B1968" s="2">
        <v>251.25</v>
      </c>
      <c r="C1968" s="4"/>
    </row>
    <row r="1969" spans="1:3" x14ac:dyDescent="0.25">
      <c r="A1969" s="4">
        <v>38664</v>
      </c>
      <c r="B1969" s="2">
        <v>253.25</v>
      </c>
      <c r="C1969" s="4"/>
    </row>
    <row r="1970" spans="1:3" x14ac:dyDescent="0.25">
      <c r="A1970" s="4">
        <v>38665</v>
      </c>
      <c r="B1970" s="2">
        <v>253.5</v>
      </c>
      <c r="C1970" s="4"/>
    </row>
    <row r="1971" spans="1:3" x14ac:dyDescent="0.25">
      <c r="A1971" s="4">
        <v>38666</v>
      </c>
      <c r="B1971" s="2">
        <v>246</v>
      </c>
      <c r="C1971" s="4"/>
    </row>
    <row r="1972" spans="1:3" x14ac:dyDescent="0.25">
      <c r="A1972" s="4">
        <v>38667</v>
      </c>
      <c r="B1972" s="2">
        <v>241.5</v>
      </c>
      <c r="C1972" s="4"/>
    </row>
    <row r="1973" spans="1:3" x14ac:dyDescent="0.25">
      <c r="A1973" s="4">
        <v>38670</v>
      </c>
      <c r="B1973" s="2">
        <v>244</v>
      </c>
      <c r="C1973" s="4"/>
    </row>
    <row r="1974" spans="1:3" x14ac:dyDescent="0.25">
      <c r="A1974" s="4">
        <v>38671</v>
      </c>
      <c r="B1974" s="2">
        <v>247.5</v>
      </c>
      <c r="C1974" s="4"/>
    </row>
    <row r="1975" spans="1:3" x14ac:dyDescent="0.25">
      <c r="A1975" s="4">
        <v>38672</v>
      </c>
      <c r="B1975" s="2">
        <v>247.25</v>
      </c>
      <c r="C1975" s="4"/>
    </row>
    <row r="1976" spans="1:3" x14ac:dyDescent="0.25">
      <c r="A1976" s="4">
        <v>38673</v>
      </c>
      <c r="B1976" s="2">
        <v>249</v>
      </c>
      <c r="C1976" s="4"/>
    </row>
    <row r="1977" spans="1:3" x14ac:dyDescent="0.25">
      <c r="A1977" s="4">
        <v>38674</v>
      </c>
      <c r="B1977" s="2">
        <v>243.25</v>
      </c>
      <c r="C1977" s="4"/>
    </row>
    <row r="1978" spans="1:3" x14ac:dyDescent="0.25">
      <c r="A1978" s="4">
        <v>38677</v>
      </c>
      <c r="B1978" s="2">
        <v>245.5</v>
      </c>
      <c r="C1978" s="4"/>
    </row>
    <row r="1979" spans="1:3" x14ac:dyDescent="0.25">
      <c r="A1979" s="4">
        <v>38678</v>
      </c>
      <c r="B1979" s="2">
        <v>252.5</v>
      </c>
      <c r="C1979" s="4"/>
    </row>
    <row r="1980" spans="1:3" x14ac:dyDescent="0.25">
      <c r="A1980" s="4">
        <v>38679</v>
      </c>
      <c r="B1980" s="2">
        <v>248.5</v>
      </c>
      <c r="C1980" s="4"/>
    </row>
    <row r="1981" spans="1:3" x14ac:dyDescent="0.25">
      <c r="A1981" s="4">
        <v>38680</v>
      </c>
      <c r="B1981" s="2">
        <v>244.25</v>
      </c>
      <c r="C1981" s="4"/>
    </row>
    <row r="1982" spans="1:3" x14ac:dyDescent="0.25">
      <c r="A1982" s="4">
        <v>38681</v>
      </c>
      <c r="B1982" s="2">
        <v>237</v>
      </c>
      <c r="C1982" s="4"/>
    </row>
    <row r="1983" spans="1:3" x14ac:dyDescent="0.25">
      <c r="A1983" s="4">
        <v>38684</v>
      </c>
      <c r="B1983" s="2">
        <v>238</v>
      </c>
      <c r="C1983" s="4"/>
    </row>
    <row r="1984" spans="1:3" x14ac:dyDescent="0.25">
      <c r="A1984" s="4">
        <v>38685</v>
      </c>
      <c r="B1984" s="2">
        <v>242</v>
      </c>
      <c r="C1984" s="4"/>
    </row>
    <row r="1985" spans="1:3" x14ac:dyDescent="0.25">
      <c r="A1985" s="4">
        <v>38686</v>
      </c>
      <c r="B1985" s="2">
        <v>247.75</v>
      </c>
      <c r="C1985" s="4"/>
    </row>
    <row r="1986" spans="1:3" x14ac:dyDescent="0.25">
      <c r="A1986" s="4">
        <v>38687</v>
      </c>
      <c r="B1986" s="2">
        <v>252</v>
      </c>
      <c r="C1986" s="4"/>
    </row>
    <row r="1987" spans="1:3" x14ac:dyDescent="0.25">
      <c r="A1987" s="4">
        <v>38688</v>
      </c>
      <c r="B1987" s="2">
        <v>250.5</v>
      </c>
      <c r="C1987" s="4"/>
    </row>
    <row r="1988" spans="1:3" x14ac:dyDescent="0.25">
      <c r="A1988" s="4">
        <v>38691</v>
      </c>
      <c r="B1988" s="2">
        <v>258.25</v>
      </c>
      <c r="C1988" s="4"/>
    </row>
    <row r="1989" spans="1:3" x14ac:dyDescent="0.25">
      <c r="A1989" s="4">
        <v>38692</v>
      </c>
      <c r="B1989" s="2">
        <v>258.5</v>
      </c>
      <c r="C1989" s="4"/>
    </row>
    <row r="1990" spans="1:3" x14ac:dyDescent="0.25">
      <c r="A1990" s="4">
        <v>38693</v>
      </c>
      <c r="B1990" s="2">
        <v>260.75</v>
      </c>
      <c r="C1990" s="4"/>
    </row>
    <row r="1991" spans="1:3" x14ac:dyDescent="0.25">
      <c r="A1991" s="4">
        <v>38694</v>
      </c>
      <c r="B1991" s="2">
        <v>258.75</v>
      </c>
      <c r="C1991" s="4"/>
    </row>
    <row r="1992" spans="1:3" x14ac:dyDescent="0.25">
      <c r="A1992" s="4">
        <v>38695</v>
      </c>
      <c r="B1992" s="2">
        <v>256</v>
      </c>
      <c r="C1992" s="4"/>
    </row>
    <row r="1993" spans="1:3" x14ac:dyDescent="0.25">
      <c r="A1993" s="4">
        <v>38698</v>
      </c>
      <c r="B1993" s="2">
        <v>253</v>
      </c>
      <c r="C1993" s="4"/>
    </row>
    <row r="1994" spans="1:3" x14ac:dyDescent="0.25">
      <c r="A1994" s="4">
        <v>38699</v>
      </c>
      <c r="B1994" s="2">
        <v>248</v>
      </c>
      <c r="C1994" s="4"/>
    </row>
    <row r="1995" spans="1:3" x14ac:dyDescent="0.25">
      <c r="A1995" s="4">
        <v>38700</v>
      </c>
      <c r="B1995" s="2">
        <v>249.25</v>
      </c>
      <c r="C1995" s="4"/>
    </row>
    <row r="1996" spans="1:3" x14ac:dyDescent="0.25">
      <c r="A1996" s="4">
        <v>38701</v>
      </c>
      <c r="B1996" s="2">
        <v>247.5</v>
      </c>
      <c r="C1996" s="4"/>
    </row>
    <row r="1997" spans="1:3" x14ac:dyDescent="0.25">
      <c r="A1997" s="4">
        <v>38702</v>
      </c>
      <c r="B1997" s="2">
        <v>243.25</v>
      </c>
      <c r="C1997" s="4"/>
    </row>
    <row r="1998" spans="1:3" x14ac:dyDescent="0.25">
      <c r="A1998" s="4">
        <v>38705</v>
      </c>
      <c r="B1998" s="2">
        <v>241.25</v>
      </c>
      <c r="C1998" s="4"/>
    </row>
    <row r="1999" spans="1:3" x14ac:dyDescent="0.25">
      <c r="A1999" s="4">
        <v>38706</v>
      </c>
      <c r="B1999" s="2">
        <v>237.5</v>
      </c>
      <c r="C1999" s="4"/>
    </row>
    <row r="2000" spans="1:3" x14ac:dyDescent="0.25">
      <c r="A2000" s="4">
        <v>38707</v>
      </c>
      <c r="B2000" s="2">
        <v>236.25</v>
      </c>
      <c r="C2000" s="4"/>
    </row>
    <row r="2001" spans="1:3" x14ac:dyDescent="0.25">
      <c r="A2001" s="4">
        <v>38708</v>
      </c>
      <c r="B2001" s="2">
        <v>241</v>
      </c>
      <c r="C2001" s="4"/>
    </row>
    <row r="2002" spans="1:3" x14ac:dyDescent="0.25">
      <c r="A2002" s="4">
        <v>38709</v>
      </c>
      <c r="B2002" s="2">
        <v>236.5</v>
      </c>
      <c r="C2002" s="4"/>
    </row>
    <row r="2003" spans="1:3" x14ac:dyDescent="0.25">
      <c r="A2003" s="4">
        <v>38714</v>
      </c>
      <c r="B2003" s="2">
        <v>246.5</v>
      </c>
      <c r="C2003" s="4"/>
    </row>
    <row r="2004" spans="1:3" x14ac:dyDescent="0.25">
      <c r="A2004" s="4">
        <v>38715</v>
      </c>
      <c r="B2004" s="2">
        <v>247</v>
      </c>
      <c r="C2004" s="4"/>
    </row>
    <row r="2005" spans="1:3" x14ac:dyDescent="0.25">
      <c r="A2005" s="4">
        <v>38716</v>
      </c>
      <c r="B2005" s="2">
        <v>249.25</v>
      </c>
      <c r="C2005" s="4"/>
    </row>
    <row r="2006" spans="1:3" x14ac:dyDescent="0.25">
      <c r="A2006" s="4">
        <v>38720</v>
      </c>
      <c r="B2006" s="2">
        <v>269.5</v>
      </c>
      <c r="C2006" s="4"/>
    </row>
    <row r="2007" spans="1:3" x14ac:dyDescent="0.25">
      <c r="A2007" s="4">
        <v>38721</v>
      </c>
      <c r="B2007" s="2">
        <v>267.75</v>
      </c>
      <c r="C2007" s="4"/>
    </row>
    <row r="2008" spans="1:3" x14ac:dyDescent="0.25">
      <c r="A2008" s="4">
        <v>38722</v>
      </c>
      <c r="B2008" s="2">
        <v>267.75</v>
      </c>
      <c r="C2008" s="4"/>
    </row>
    <row r="2009" spans="1:3" x14ac:dyDescent="0.25">
      <c r="A2009" s="4">
        <v>38723</v>
      </c>
      <c r="B2009" s="2">
        <v>269.625</v>
      </c>
      <c r="C2009" s="4"/>
    </row>
    <row r="2010" spans="1:3" x14ac:dyDescent="0.25">
      <c r="A2010" s="4">
        <v>38726</v>
      </c>
      <c r="B2010" s="2">
        <v>269.5</v>
      </c>
      <c r="C2010" s="4"/>
    </row>
    <row r="2011" spans="1:3" x14ac:dyDescent="0.25">
      <c r="A2011" s="4">
        <v>38727</v>
      </c>
      <c r="B2011" s="2">
        <v>267.75</v>
      </c>
      <c r="C2011" s="4"/>
    </row>
    <row r="2012" spans="1:3" x14ac:dyDescent="0.25">
      <c r="A2012" s="4">
        <v>38728</v>
      </c>
      <c r="B2012" s="2">
        <v>266.25</v>
      </c>
      <c r="C2012" s="4"/>
    </row>
    <row r="2013" spans="1:3" x14ac:dyDescent="0.25">
      <c r="A2013" s="4">
        <v>38729</v>
      </c>
      <c r="B2013" s="2">
        <v>275.75</v>
      </c>
      <c r="C2013" s="4"/>
    </row>
    <row r="2014" spans="1:3" x14ac:dyDescent="0.25">
      <c r="A2014" s="4">
        <v>38730</v>
      </c>
      <c r="B2014" s="2">
        <v>271.25</v>
      </c>
      <c r="C2014" s="4"/>
    </row>
    <row r="2015" spans="1:3" x14ac:dyDescent="0.25">
      <c r="A2015" s="4">
        <v>38733</v>
      </c>
      <c r="B2015" s="2">
        <v>276.5</v>
      </c>
      <c r="C2015" s="4"/>
    </row>
    <row r="2016" spans="1:3" x14ac:dyDescent="0.25">
      <c r="A2016" s="4">
        <v>38734</v>
      </c>
      <c r="B2016" s="2">
        <v>282</v>
      </c>
      <c r="C2016" s="4"/>
    </row>
    <row r="2017" spans="1:3" x14ac:dyDescent="0.25">
      <c r="A2017" s="4">
        <v>38735</v>
      </c>
      <c r="B2017" s="2">
        <v>286</v>
      </c>
      <c r="C2017" s="4"/>
    </row>
    <row r="2018" spans="1:3" x14ac:dyDescent="0.25">
      <c r="A2018" s="4">
        <v>38736</v>
      </c>
      <c r="B2018" s="2">
        <v>283.75</v>
      </c>
      <c r="C2018" s="4"/>
    </row>
    <row r="2019" spans="1:3" x14ac:dyDescent="0.25">
      <c r="A2019" s="4">
        <v>38737</v>
      </c>
      <c r="B2019" s="2">
        <v>295.75</v>
      </c>
      <c r="C2019" s="4"/>
    </row>
    <row r="2020" spans="1:3" x14ac:dyDescent="0.25">
      <c r="A2020" s="4">
        <v>38740</v>
      </c>
      <c r="B2020" s="2">
        <v>294.5</v>
      </c>
      <c r="C2020" s="4"/>
    </row>
    <row r="2021" spans="1:3" x14ac:dyDescent="0.25">
      <c r="A2021" s="4">
        <v>38741</v>
      </c>
      <c r="B2021" s="2">
        <v>288.5</v>
      </c>
      <c r="C2021" s="4"/>
    </row>
    <row r="2022" spans="1:3" x14ac:dyDescent="0.25">
      <c r="A2022" s="4">
        <v>38742</v>
      </c>
      <c r="B2022" s="2">
        <v>282</v>
      </c>
      <c r="C2022" s="4"/>
    </row>
    <row r="2023" spans="1:3" x14ac:dyDescent="0.25">
      <c r="A2023" s="4">
        <v>38743</v>
      </c>
      <c r="B2023" s="2">
        <v>283.25</v>
      </c>
      <c r="C2023" s="4"/>
    </row>
    <row r="2024" spans="1:3" x14ac:dyDescent="0.25">
      <c r="A2024" s="4">
        <v>38744</v>
      </c>
      <c r="B2024" s="2">
        <v>287.75</v>
      </c>
      <c r="C2024" s="4"/>
    </row>
    <row r="2025" spans="1:3" x14ac:dyDescent="0.25">
      <c r="A2025" s="4">
        <v>38747</v>
      </c>
      <c r="B2025" s="2">
        <v>291.25</v>
      </c>
      <c r="C2025" s="4"/>
    </row>
    <row r="2026" spans="1:3" x14ac:dyDescent="0.25">
      <c r="A2026" s="4">
        <v>38748</v>
      </c>
      <c r="B2026" s="2">
        <v>291.75</v>
      </c>
      <c r="C2026" s="4"/>
    </row>
    <row r="2027" spans="1:3" x14ac:dyDescent="0.25">
      <c r="A2027" s="4">
        <v>38749</v>
      </c>
      <c r="B2027" s="2">
        <v>292.75</v>
      </c>
      <c r="C2027" s="4"/>
    </row>
    <row r="2028" spans="1:3" x14ac:dyDescent="0.25">
      <c r="A2028" s="4">
        <v>38750</v>
      </c>
      <c r="B2028" s="2">
        <v>288.75</v>
      </c>
      <c r="C2028" s="4"/>
    </row>
    <row r="2029" spans="1:3" x14ac:dyDescent="0.25">
      <c r="A2029" s="4">
        <v>38751</v>
      </c>
      <c r="B2029" s="2">
        <v>293</v>
      </c>
      <c r="C2029" s="4"/>
    </row>
    <row r="2030" spans="1:3" x14ac:dyDescent="0.25">
      <c r="A2030" s="4">
        <v>38754</v>
      </c>
      <c r="B2030" s="2">
        <v>301</v>
      </c>
      <c r="C2030" s="4"/>
    </row>
    <row r="2031" spans="1:3" x14ac:dyDescent="0.25">
      <c r="A2031" s="4">
        <v>38755</v>
      </c>
      <c r="B2031" s="2">
        <v>297</v>
      </c>
      <c r="C2031" s="4"/>
    </row>
    <row r="2032" spans="1:3" x14ac:dyDescent="0.25">
      <c r="A2032" s="4">
        <v>38756</v>
      </c>
      <c r="B2032" s="2">
        <v>293</v>
      </c>
      <c r="C2032" s="4"/>
    </row>
    <row r="2033" spans="1:3" x14ac:dyDescent="0.25">
      <c r="A2033" s="4">
        <v>38757</v>
      </c>
      <c r="B2033" s="2">
        <v>299.5</v>
      </c>
      <c r="C2033" s="4"/>
    </row>
    <row r="2034" spans="1:3" x14ac:dyDescent="0.25">
      <c r="A2034" s="4">
        <v>38758</v>
      </c>
      <c r="B2034" s="2">
        <v>295</v>
      </c>
      <c r="C2034" s="4"/>
    </row>
    <row r="2035" spans="1:3" x14ac:dyDescent="0.25">
      <c r="A2035" s="4">
        <v>38761</v>
      </c>
      <c r="B2035" s="2">
        <v>295.75</v>
      </c>
      <c r="C2035" s="4"/>
    </row>
    <row r="2036" spans="1:3" x14ac:dyDescent="0.25">
      <c r="A2036" s="4">
        <v>38762</v>
      </c>
      <c r="B2036" s="2">
        <v>294.625</v>
      </c>
      <c r="C2036" s="4"/>
    </row>
    <row r="2037" spans="1:3" x14ac:dyDescent="0.25">
      <c r="A2037" s="4">
        <v>38763</v>
      </c>
      <c r="B2037" s="2">
        <v>290</v>
      </c>
      <c r="C2037" s="4"/>
    </row>
    <row r="2038" spans="1:3" x14ac:dyDescent="0.25">
      <c r="A2038" s="4">
        <v>38764</v>
      </c>
      <c r="B2038" s="2">
        <v>287.25</v>
      </c>
      <c r="C2038" s="4"/>
    </row>
    <row r="2039" spans="1:3" x14ac:dyDescent="0.25">
      <c r="A2039" s="4">
        <v>38765</v>
      </c>
      <c r="B2039" s="2">
        <v>281.5</v>
      </c>
      <c r="C2039" s="4"/>
    </row>
    <row r="2040" spans="1:3" x14ac:dyDescent="0.25">
      <c r="A2040" s="4">
        <v>38768</v>
      </c>
      <c r="B2040" s="2">
        <v>288.5</v>
      </c>
      <c r="C2040" s="4"/>
    </row>
    <row r="2041" spans="1:3" x14ac:dyDescent="0.25">
      <c r="A2041" s="4">
        <v>38769</v>
      </c>
      <c r="B2041" s="2">
        <v>293</v>
      </c>
      <c r="C2041" s="4"/>
    </row>
    <row r="2042" spans="1:3" x14ac:dyDescent="0.25">
      <c r="A2042" s="4">
        <v>38770</v>
      </c>
      <c r="B2042" s="2">
        <v>287.5</v>
      </c>
      <c r="C2042" s="4"/>
    </row>
    <row r="2043" spans="1:3" x14ac:dyDescent="0.25">
      <c r="A2043" s="4">
        <v>38771</v>
      </c>
      <c r="B2043" s="2">
        <v>289.25</v>
      </c>
      <c r="C2043" s="4"/>
    </row>
    <row r="2044" spans="1:3" x14ac:dyDescent="0.25">
      <c r="A2044" s="4">
        <v>38772</v>
      </c>
      <c r="B2044" s="2">
        <v>291.75</v>
      </c>
      <c r="C2044" s="4"/>
    </row>
    <row r="2045" spans="1:3" x14ac:dyDescent="0.25">
      <c r="A2045" s="4">
        <v>38775</v>
      </c>
      <c r="B2045" s="2">
        <v>285</v>
      </c>
      <c r="C2045" s="4"/>
    </row>
    <row r="2046" spans="1:3" x14ac:dyDescent="0.25">
      <c r="A2046" s="4">
        <v>38776</v>
      </c>
      <c r="B2046" s="2">
        <v>285.75</v>
      </c>
      <c r="C2046" s="4"/>
    </row>
    <row r="2047" spans="1:3" x14ac:dyDescent="0.25">
      <c r="A2047" s="4">
        <v>38777</v>
      </c>
      <c r="B2047" s="2">
        <v>293.5</v>
      </c>
      <c r="C2047" s="4"/>
    </row>
    <row r="2048" spans="1:3" x14ac:dyDescent="0.25">
      <c r="A2048" s="4">
        <v>38778</v>
      </c>
      <c r="B2048" s="2">
        <v>292</v>
      </c>
      <c r="C2048" s="4"/>
    </row>
    <row r="2049" spans="1:3" x14ac:dyDescent="0.25">
      <c r="A2049" s="4">
        <v>38779</v>
      </c>
      <c r="B2049" s="2">
        <v>286.25</v>
      </c>
      <c r="C2049" s="4"/>
    </row>
    <row r="2050" spans="1:3" x14ac:dyDescent="0.25">
      <c r="A2050" s="4">
        <v>38782</v>
      </c>
      <c r="B2050" s="2">
        <v>286.5</v>
      </c>
      <c r="C2050" s="4"/>
    </row>
    <row r="2051" spans="1:3" x14ac:dyDescent="0.25">
      <c r="A2051" s="4">
        <v>38783</v>
      </c>
      <c r="B2051" s="2">
        <v>282.25</v>
      </c>
      <c r="C2051" s="4"/>
    </row>
    <row r="2052" spans="1:3" x14ac:dyDescent="0.25">
      <c r="A2052" s="4">
        <v>38784</v>
      </c>
      <c r="B2052" s="2">
        <v>277.5</v>
      </c>
      <c r="C2052" s="4"/>
    </row>
    <row r="2053" spans="1:3" x14ac:dyDescent="0.25">
      <c r="A2053" s="4">
        <v>38785</v>
      </c>
      <c r="B2053" s="2">
        <v>278</v>
      </c>
      <c r="C2053" s="4"/>
    </row>
    <row r="2054" spans="1:3" x14ac:dyDescent="0.25">
      <c r="A2054" s="4">
        <v>38786</v>
      </c>
      <c r="B2054" s="2">
        <v>277.25</v>
      </c>
      <c r="C2054" s="4"/>
    </row>
    <row r="2055" spans="1:3" x14ac:dyDescent="0.25">
      <c r="A2055" s="4">
        <v>38789</v>
      </c>
      <c r="B2055" s="2">
        <v>287</v>
      </c>
      <c r="C2055" s="4"/>
    </row>
    <row r="2056" spans="1:3" x14ac:dyDescent="0.25">
      <c r="A2056" s="4">
        <v>38790</v>
      </c>
      <c r="B2056" s="2">
        <v>292.5</v>
      </c>
      <c r="C2056" s="4"/>
    </row>
    <row r="2057" spans="1:3" x14ac:dyDescent="0.25">
      <c r="A2057" s="4">
        <v>38791</v>
      </c>
      <c r="B2057" s="2">
        <v>294</v>
      </c>
      <c r="C2057" s="4"/>
    </row>
    <row r="2058" spans="1:3" x14ac:dyDescent="0.25">
      <c r="A2058" s="4">
        <v>38792</v>
      </c>
      <c r="B2058" s="2">
        <v>287</v>
      </c>
      <c r="C2058" s="4"/>
    </row>
    <row r="2059" spans="1:3" x14ac:dyDescent="0.25">
      <c r="A2059" s="4">
        <v>38793</v>
      </c>
      <c r="B2059" s="2">
        <v>292.25</v>
      </c>
      <c r="C2059" s="4"/>
    </row>
    <row r="2060" spans="1:3" x14ac:dyDescent="0.25">
      <c r="A2060" s="4">
        <v>38796</v>
      </c>
      <c r="B2060" s="2">
        <v>291.75</v>
      </c>
      <c r="C2060" s="4"/>
    </row>
    <row r="2061" spans="1:3" x14ac:dyDescent="0.25">
      <c r="A2061" s="4">
        <v>38797</v>
      </c>
      <c r="B2061" s="2">
        <v>287.5</v>
      </c>
      <c r="C2061" s="4"/>
    </row>
    <row r="2062" spans="1:3" x14ac:dyDescent="0.25">
      <c r="A2062" s="4">
        <v>38798</v>
      </c>
      <c r="B2062" s="2">
        <v>290.25</v>
      </c>
      <c r="C2062" s="4"/>
    </row>
    <row r="2063" spans="1:3" x14ac:dyDescent="0.25">
      <c r="A2063" s="4">
        <v>38799</v>
      </c>
      <c r="B2063" s="2">
        <v>296.5</v>
      </c>
      <c r="C2063" s="4"/>
    </row>
    <row r="2064" spans="1:3" x14ac:dyDescent="0.25">
      <c r="A2064" s="4">
        <v>38800</v>
      </c>
      <c r="B2064">
        <v>296.75</v>
      </c>
      <c r="C2064" s="4"/>
    </row>
    <row r="2065" spans="1:3" x14ac:dyDescent="0.25">
      <c r="A2065" s="4">
        <v>38803</v>
      </c>
      <c r="B2065">
        <v>296.25</v>
      </c>
      <c r="C2065" s="4"/>
    </row>
    <row r="2066" spans="1:3" x14ac:dyDescent="0.25">
      <c r="A2066" s="4">
        <v>38804</v>
      </c>
      <c r="B2066">
        <v>299.25</v>
      </c>
      <c r="C2066" s="4"/>
    </row>
    <row r="2067" spans="1:3" x14ac:dyDescent="0.25">
      <c r="A2067" s="4">
        <v>38805</v>
      </c>
      <c r="B2067" s="1">
        <v>301.75</v>
      </c>
      <c r="C2067" s="4"/>
    </row>
    <row r="2068" spans="1:3" x14ac:dyDescent="0.25">
      <c r="A2068" s="4">
        <v>38806</v>
      </c>
      <c r="B2068" s="1">
        <v>308.25</v>
      </c>
      <c r="C2068" s="4"/>
    </row>
    <row r="2069" spans="1:3" x14ac:dyDescent="0.25">
      <c r="A2069" s="4">
        <v>38807</v>
      </c>
      <c r="B2069">
        <v>306.5</v>
      </c>
      <c r="C2069" s="4"/>
    </row>
    <row r="2070" spans="1:3" x14ac:dyDescent="0.25">
      <c r="A2070" s="4">
        <v>38810</v>
      </c>
      <c r="B2070" s="1">
        <v>310.25</v>
      </c>
      <c r="C2070" s="4"/>
    </row>
    <row r="2071" spans="1:3" x14ac:dyDescent="0.25">
      <c r="A2071" s="4">
        <v>38811</v>
      </c>
      <c r="B2071" s="1">
        <v>302.25</v>
      </c>
      <c r="C2071" s="4"/>
    </row>
    <row r="2072" spans="1:3" x14ac:dyDescent="0.25">
      <c r="A2072" s="4">
        <v>38812</v>
      </c>
      <c r="B2072">
        <v>306.25</v>
      </c>
      <c r="C2072" s="4"/>
    </row>
    <row r="2073" spans="1:3" x14ac:dyDescent="0.25">
      <c r="A2073" s="4">
        <v>38813</v>
      </c>
      <c r="B2073" s="1">
        <v>314</v>
      </c>
      <c r="C2073" s="4"/>
    </row>
    <row r="2074" spans="1:3" x14ac:dyDescent="0.25">
      <c r="A2074" s="4">
        <v>38814</v>
      </c>
      <c r="B2074" s="1">
        <v>308.25</v>
      </c>
      <c r="C2074" s="4"/>
    </row>
    <row r="2075" spans="1:3" x14ac:dyDescent="0.25">
      <c r="A2075" s="4">
        <v>38817</v>
      </c>
      <c r="B2075">
        <v>312.5</v>
      </c>
      <c r="C2075" s="4"/>
    </row>
    <row r="2076" spans="1:3" x14ac:dyDescent="0.25">
      <c r="A2076" s="4">
        <v>38818</v>
      </c>
      <c r="B2076" s="1">
        <v>311.75</v>
      </c>
      <c r="C2076" s="4"/>
    </row>
    <row r="2077" spans="1:3" x14ac:dyDescent="0.25">
      <c r="A2077" s="4">
        <v>38819</v>
      </c>
      <c r="B2077" s="1">
        <v>313.75</v>
      </c>
      <c r="C2077" s="4"/>
    </row>
    <row r="2078" spans="1:3" x14ac:dyDescent="0.25">
      <c r="A2078" s="4">
        <v>38820</v>
      </c>
      <c r="B2078">
        <v>308.25</v>
      </c>
      <c r="C2078" s="4"/>
    </row>
    <row r="2079" spans="1:3" x14ac:dyDescent="0.25">
      <c r="A2079" s="4">
        <v>38825</v>
      </c>
      <c r="B2079">
        <v>315.5</v>
      </c>
      <c r="C2079" s="4"/>
    </row>
    <row r="2080" spans="1:3" x14ac:dyDescent="0.25">
      <c r="A2080" s="4">
        <v>38826</v>
      </c>
      <c r="B2080">
        <v>321.5</v>
      </c>
      <c r="C2080" s="4"/>
    </row>
    <row r="2081" spans="1:3" x14ac:dyDescent="0.25">
      <c r="A2081" s="4">
        <v>38827</v>
      </c>
      <c r="B2081">
        <v>319.25</v>
      </c>
      <c r="C2081" s="4"/>
    </row>
    <row r="2082" spans="1:3" x14ac:dyDescent="0.25">
      <c r="A2082" s="4">
        <v>38828</v>
      </c>
      <c r="B2082" s="1">
        <v>318.75</v>
      </c>
      <c r="C2082" s="4"/>
    </row>
    <row r="2083" spans="1:3" x14ac:dyDescent="0.25">
      <c r="A2083" s="4">
        <v>38831</v>
      </c>
      <c r="B2083" s="1">
        <v>323.5</v>
      </c>
      <c r="C2083" s="4"/>
    </row>
    <row r="2084" spans="1:3" x14ac:dyDescent="0.25">
      <c r="A2084" s="4">
        <v>38832</v>
      </c>
      <c r="B2084">
        <v>321.5</v>
      </c>
      <c r="C2084" s="4"/>
    </row>
    <row r="2085" spans="1:3" x14ac:dyDescent="0.25">
      <c r="A2085" s="4">
        <v>38833</v>
      </c>
      <c r="B2085" s="1">
        <v>328</v>
      </c>
      <c r="C2085" s="4"/>
    </row>
    <row r="2086" spans="1:3" x14ac:dyDescent="0.25">
      <c r="A2086" s="4">
        <v>38834</v>
      </c>
      <c r="B2086" s="1">
        <v>322.5</v>
      </c>
      <c r="C2086" s="4"/>
    </row>
    <row r="2087" spans="1:3" x14ac:dyDescent="0.25">
      <c r="A2087" s="4">
        <v>38835</v>
      </c>
      <c r="B2087" s="2">
        <v>323</v>
      </c>
      <c r="C2087" s="4"/>
    </row>
    <row r="2088" spans="1:3" x14ac:dyDescent="0.25">
      <c r="A2088" s="4">
        <v>38839</v>
      </c>
      <c r="B2088" s="2">
        <v>331</v>
      </c>
      <c r="C2088" s="4"/>
    </row>
    <row r="2089" spans="1:3" x14ac:dyDescent="0.25">
      <c r="A2089" s="4">
        <v>38840</v>
      </c>
      <c r="B2089" s="2">
        <v>333.5</v>
      </c>
      <c r="C2089" s="4"/>
    </row>
    <row r="2090" spans="1:3" x14ac:dyDescent="0.25">
      <c r="A2090" s="4">
        <v>38841</v>
      </c>
      <c r="B2090" s="2">
        <v>319.25</v>
      </c>
      <c r="C2090" s="4"/>
    </row>
    <row r="2091" spans="1:3" x14ac:dyDescent="0.25">
      <c r="A2091" s="4">
        <v>38842</v>
      </c>
      <c r="B2091" s="2">
        <v>322</v>
      </c>
      <c r="C2091" s="4"/>
    </row>
    <row r="2092" spans="1:3" x14ac:dyDescent="0.25">
      <c r="A2092" s="4">
        <v>38845</v>
      </c>
      <c r="B2092" s="2">
        <v>313.25</v>
      </c>
      <c r="C2092" s="4"/>
    </row>
    <row r="2093" spans="1:3" x14ac:dyDescent="0.25">
      <c r="A2093" s="4">
        <v>38846</v>
      </c>
      <c r="B2093" s="2">
        <v>324</v>
      </c>
      <c r="C2093" s="4"/>
    </row>
    <row r="2094" spans="1:3" x14ac:dyDescent="0.25">
      <c r="A2094" s="4">
        <v>38847</v>
      </c>
      <c r="B2094" s="2">
        <v>320</v>
      </c>
      <c r="C2094" s="4"/>
    </row>
    <row r="2095" spans="1:3" x14ac:dyDescent="0.25">
      <c r="A2095" s="4">
        <v>38848</v>
      </c>
      <c r="B2095" s="2">
        <v>328.25</v>
      </c>
      <c r="C2095" s="4"/>
    </row>
    <row r="2096" spans="1:3" x14ac:dyDescent="0.25">
      <c r="A2096" s="4">
        <v>38849</v>
      </c>
      <c r="B2096" s="2">
        <v>323.25</v>
      </c>
      <c r="C2096" s="4"/>
    </row>
    <row r="2097" spans="1:3" x14ac:dyDescent="0.25">
      <c r="A2097" s="4">
        <v>38852</v>
      </c>
      <c r="B2097" s="2">
        <v>312</v>
      </c>
      <c r="C2097" s="4"/>
    </row>
    <row r="2098" spans="1:3" x14ac:dyDescent="0.25">
      <c r="A2098" s="4">
        <v>38853</v>
      </c>
      <c r="B2098">
        <v>315.5</v>
      </c>
      <c r="C2098" s="4"/>
    </row>
    <row r="2099" spans="1:3" x14ac:dyDescent="0.25">
      <c r="A2099" s="4">
        <v>38854</v>
      </c>
      <c r="B2099">
        <v>315.25</v>
      </c>
      <c r="C2099" s="4"/>
    </row>
    <row r="2100" spans="1:3" x14ac:dyDescent="0.25">
      <c r="A2100" s="4">
        <v>38855</v>
      </c>
      <c r="B2100">
        <v>313</v>
      </c>
      <c r="C2100" s="4"/>
    </row>
    <row r="2101" spans="1:3" x14ac:dyDescent="0.25">
      <c r="A2101" s="4">
        <v>38856</v>
      </c>
      <c r="B2101">
        <v>314.5</v>
      </c>
      <c r="C2101" s="4"/>
    </row>
    <row r="2102" spans="1:3" x14ac:dyDescent="0.25">
      <c r="A2102" s="4">
        <v>38859</v>
      </c>
      <c r="B2102">
        <v>313.25</v>
      </c>
      <c r="C2102" s="4"/>
    </row>
    <row r="2103" spans="1:3" x14ac:dyDescent="0.25">
      <c r="A2103" s="4">
        <v>38860</v>
      </c>
      <c r="B2103">
        <v>323.5</v>
      </c>
      <c r="C2103" s="4"/>
    </row>
    <row r="2104" spans="1:3" x14ac:dyDescent="0.25">
      <c r="A2104" s="4">
        <v>38861</v>
      </c>
      <c r="B2104">
        <v>317.75</v>
      </c>
      <c r="C2104" s="4"/>
    </row>
    <row r="2105" spans="1:3" x14ac:dyDescent="0.25">
      <c r="A2105" s="4">
        <v>38862</v>
      </c>
      <c r="B2105">
        <v>316.25</v>
      </c>
      <c r="C2105" s="4"/>
    </row>
    <row r="2106" spans="1:3" x14ac:dyDescent="0.25">
      <c r="A2106" s="4">
        <v>38863</v>
      </c>
      <c r="B2106">
        <v>311.5</v>
      </c>
      <c r="C2106" s="4"/>
    </row>
    <row r="2107" spans="1:3" x14ac:dyDescent="0.25">
      <c r="A2107" s="4">
        <v>38867</v>
      </c>
      <c r="B2107">
        <v>316.5</v>
      </c>
      <c r="C2107" s="4"/>
    </row>
    <row r="2108" spans="1:3" x14ac:dyDescent="0.25">
      <c r="A2108" s="4">
        <v>38868</v>
      </c>
      <c r="B2108">
        <v>310.5</v>
      </c>
      <c r="C2108" s="4"/>
    </row>
    <row r="2109" spans="1:3" x14ac:dyDescent="0.25">
      <c r="A2109" s="4">
        <v>38869</v>
      </c>
      <c r="B2109">
        <v>311</v>
      </c>
      <c r="C2109" s="4"/>
    </row>
    <row r="2110" spans="1:3" x14ac:dyDescent="0.25">
      <c r="A2110" s="4">
        <v>38870</v>
      </c>
      <c r="B2110">
        <v>312</v>
      </c>
      <c r="C2110" s="4"/>
    </row>
    <row r="2111" spans="1:3" x14ac:dyDescent="0.25">
      <c r="A2111" s="4">
        <v>38873</v>
      </c>
      <c r="B2111">
        <v>315</v>
      </c>
      <c r="C2111" s="4"/>
    </row>
    <row r="2112" spans="1:3" x14ac:dyDescent="0.25">
      <c r="A2112" s="4">
        <v>38874</v>
      </c>
      <c r="B2112">
        <v>306</v>
      </c>
      <c r="C2112" s="4"/>
    </row>
    <row r="2113" spans="1:3" x14ac:dyDescent="0.25">
      <c r="A2113" s="4">
        <v>38875</v>
      </c>
      <c r="B2113">
        <v>298.25</v>
      </c>
      <c r="C2113" s="4"/>
    </row>
    <row r="2114" spans="1:3" x14ac:dyDescent="0.25">
      <c r="A2114" s="4">
        <v>38876</v>
      </c>
      <c r="B2114">
        <v>293.5</v>
      </c>
      <c r="C2114" s="4"/>
    </row>
    <row r="2115" spans="1:3" x14ac:dyDescent="0.25">
      <c r="A2115" s="4">
        <v>38877</v>
      </c>
      <c r="B2115">
        <v>301.5</v>
      </c>
      <c r="C2115" s="4"/>
    </row>
    <row r="2116" spans="1:3" x14ac:dyDescent="0.25">
      <c r="A2116" s="4">
        <v>38880</v>
      </c>
      <c r="B2116">
        <v>301.75</v>
      </c>
      <c r="C2116" s="4"/>
    </row>
    <row r="2117" spans="1:3" x14ac:dyDescent="0.25">
      <c r="A2117" s="4">
        <v>38881</v>
      </c>
      <c r="B2117">
        <v>292.5</v>
      </c>
      <c r="C2117" s="4"/>
    </row>
    <row r="2118" spans="1:3" x14ac:dyDescent="0.25">
      <c r="A2118" s="4">
        <v>38882</v>
      </c>
      <c r="B2118">
        <v>293.75</v>
      </c>
      <c r="C2118" s="4"/>
    </row>
    <row r="2119" spans="1:3" x14ac:dyDescent="0.25">
      <c r="A2119" s="4">
        <v>38883</v>
      </c>
      <c r="B2119">
        <v>294</v>
      </c>
      <c r="C2119" s="4"/>
    </row>
    <row r="2120" spans="1:3" x14ac:dyDescent="0.25">
      <c r="A2120" s="4">
        <v>38884</v>
      </c>
      <c r="B2120">
        <v>285.5</v>
      </c>
      <c r="C2120" s="4"/>
    </row>
    <row r="2121" spans="1:3" x14ac:dyDescent="0.25">
      <c r="A2121" s="4">
        <v>38887</v>
      </c>
      <c r="B2121">
        <v>281</v>
      </c>
      <c r="C2121" s="4"/>
    </row>
    <row r="2122" spans="1:3" x14ac:dyDescent="0.25">
      <c r="A2122" s="4">
        <v>38888</v>
      </c>
      <c r="B2122">
        <v>283.75</v>
      </c>
      <c r="C2122" s="4"/>
    </row>
    <row r="2123" spans="1:3" x14ac:dyDescent="0.25">
      <c r="A2123" s="4">
        <v>38889</v>
      </c>
      <c r="B2123">
        <v>280.25</v>
      </c>
      <c r="C2123" s="4"/>
    </row>
    <row r="2124" spans="1:3" x14ac:dyDescent="0.25">
      <c r="A2124" s="4">
        <v>38890</v>
      </c>
      <c r="B2124">
        <v>285.5</v>
      </c>
      <c r="C2124" s="4"/>
    </row>
    <row r="2125" spans="1:3" x14ac:dyDescent="0.25">
      <c r="A2125" s="4">
        <v>38891</v>
      </c>
      <c r="B2125">
        <v>290</v>
      </c>
      <c r="C2125" s="4"/>
    </row>
    <row r="2126" spans="1:3" x14ac:dyDescent="0.25">
      <c r="A2126" s="4">
        <v>38894</v>
      </c>
      <c r="B2126">
        <v>291</v>
      </c>
      <c r="C2126" s="4"/>
    </row>
    <row r="2127" spans="1:3" x14ac:dyDescent="0.25">
      <c r="A2127" s="4">
        <v>38895</v>
      </c>
      <c r="B2127">
        <v>295</v>
      </c>
      <c r="C2127" s="4"/>
    </row>
    <row r="2128" spans="1:3" x14ac:dyDescent="0.25">
      <c r="A2128" s="4">
        <v>38896</v>
      </c>
      <c r="B2128">
        <v>297.5</v>
      </c>
      <c r="C2128" s="4"/>
    </row>
    <row r="2129" spans="1:3" x14ac:dyDescent="0.25">
      <c r="A2129" s="4">
        <v>38897</v>
      </c>
      <c r="B2129">
        <v>297.5</v>
      </c>
      <c r="C2129" s="4"/>
    </row>
    <row r="2130" spans="1:3" x14ac:dyDescent="0.25">
      <c r="A2130" s="4">
        <v>38898</v>
      </c>
      <c r="B2130">
        <v>298</v>
      </c>
      <c r="C2130" s="4"/>
    </row>
    <row r="2131" spans="1:3" x14ac:dyDescent="0.25">
      <c r="A2131" s="4">
        <v>38901</v>
      </c>
      <c r="B2131">
        <v>295.25</v>
      </c>
      <c r="C2131" s="4"/>
    </row>
    <row r="2132" spans="1:3" x14ac:dyDescent="0.25">
      <c r="A2132" s="4">
        <v>38902</v>
      </c>
      <c r="B2132">
        <v>295.25</v>
      </c>
      <c r="C2132" s="4"/>
    </row>
    <row r="2133" spans="1:3" x14ac:dyDescent="0.25">
      <c r="A2133" s="4">
        <v>38903</v>
      </c>
      <c r="B2133">
        <v>293</v>
      </c>
      <c r="C2133" s="4"/>
    </row>
    <row r="2134" spans="1:3" x14ac:dyDescent="0.25">
      <c r="A2134" s="4">
        <v>38904</v>
      </c>
      <c r="B2134">
        <v>297</v>
      </c>
      <c r="C2134" s="4"/>
    </row>
    <row r="2135" spans="1:3" x14ac:dyDescent="0.25">
      <c r="A2135" s="4">
        <v>38905</v>
      </c>
      <c r="B2135">
        <v>300.5</v>
      </c>
      <c r="C2135" s="4"/>
    </row>
    <row r="2136" spans="1:3" x14ac:dyDescent="0.25">
      <c r="A2136" s="4">
        <v>38908</v>
      </c>
      <c r="B2136">
        <v>299</v>
      </c>
      <c r="C2136" s="4"/>
    </row>
    <row r="2137" spans="1:3" x14ac:dyDescent="0.25">
      <c r="A2137" s="4">
        <v>38909</v>
      </c>
      <c r="B2137">
        <v>300</v>
      </c>
      <c r="C2137" s="4"/>
    </row>
    <row r="2138" spans="1:3" x14ac:dyDescent="0.25">
      <c r="A2138" s="4">
        <v>38910</v>
      </c>
      <c r="B2138">
        <v>308.5</v>
      </c>
      <c r="C2138" s="4"/>
    </row>
    <row r="2139" spans="1:3" x14ac:dyDescent="0.25">
      <c r="A2139" s="4">
        <v>38911</v>
      </c>
      <c r="B2139">
        <v>324</v>
      </c>
      <c r="C2139" s="4"/>
    </row>
    <row r="2140" spans="1:3" x14ac:dyDescent="0.25">
      <c r="A2140" s="4">
        <v>38912</v>
      </c>
      <c r="B2140">
        <v>326.5</v>
      </c>
      <c r="C2140" s="4"/>
    </row>
    <row r="2141" spans="1:3" x14ac:dyDescent="0.25">
      <c r="A2141" s="4">
        <v>38915</v>
      </c>
      <c r="B2141">
        <v>326</v>
      </c>
      <c r="C2141" s="4"/>
    </row>
    <row r="2142" spans="1:3" x14ac:dyDescent="0.25">
      <c r="A2142" s="4">
        <v>38916</v>
      </c>
      <c r="B2142">
        <v>324</v>
      </c>
      <c r="C2142" s="4"/>
    </row>
    <row r="2143" spans="1:3" x14ac:dyDescent="0.25">
      <c r="A2143" s="4">
        <v>38917</v>
      </c>
      <c r="B2143">
        <v>311</v>
      </c>
      <c r="C2143" s="4"/>
    </row>
    <row r="2144" spans="1:3" x14ac:dyDescent="0.25">
      <c r="A2144" s="4">
        <v>38918</v>
      </c>
      <c r="B2144">
        <v>314.75</v>
      </c>
      <c r="C2144" s="4"/>
    </row>
    <row r="2145" spans="1:3" x14ac:dyDescent="0.25">
      <c r="A2145" s="4">
        <v>38919</v>
      </c>
      <c r="B2145">
        <v>313.5</v>
      </c>
      <c r="C2145" s="4"/>
    </row>
    <row r="2146" spans="1:3" x14ac:dyDescent="0.25">
      <c r="A2146" s="4">
        <v>38922</v>
      </c>
      <c r="B2146">
        <v>307.5</v>
      </c>
      <c r="C2146" s="4"/>
    </row>
    <row r="2147" spans="1:3" x14ac:dyDescent="0.25">
      <c r="A2147" s="4">
        <v>38923</v>
      </c>
      <c r="B2147">
        <v>312</v>
      </c>
      <c r="C2147" s="4"/>
    </row>
    <row r="2148" spans="1:3" x14ac:dyDescent="0.25">
      <c r="A2148" s="4">
        <v>38924</v>
      </c>
      <c r="B2148">
        <v>313</v>
      </c>
      <c r="C2148" s="4"/>
    </row>
    <row r="2149" spans="1:3" x14ac:dyDescent="0.25">
      <c r="A2149" s="4">
        <v>38925</v>
      </c>
      <c r="B2149">
        <v>313</v>
      </c>
      <c r="C2149" s="4"/>
    </row>
    <row r="2150" spans="1:3" x14ac:dyDescent="0.25">
      <c r="A2150" s="4">
        <v>38926</v>
      </c>
      <c r="B2150">
        <v>311.5</v>
      </c>
      <c r="C2150" s="4"/>
    </row>
    <row r="2151" spans="1:3" x14ac:dyDescent="0.25">
      <c r="A2151" s="4">
        <v>38929</v>
      </c>
      <c r="B2151">
        <v>313</v>
      </c>
      <c r="C2151" s="4"/>
    </row>
    <row r="2152" spans="1:3" x14ac:dyDescent="0.25">
      <c r="A2152" s="4">
        <v>38930</v>
      </c>
      <c r="B2152">
        <v>315.5</v>
      </c>
      <c r="C2152" s="4"/>
    </row>
    <row r="2153" spans="1:3" x14ac:dyDescent="0.25">
      <c r="A2153" s="4">
        <v>38931</v>
      </c>
      <c r="B2153">
        <v>320</v>
      </c>
      <c r="C2153" s="4"/>
    </row>
    <row r="2154" spans="1:3" x14ac:dyDescent="0.25">
      <c r="A2154" s="4">
        <v>38932</v>
      </c>
      <c r="B2154">
        <v>314.75</v>
      </c>
      <c r="C2154" s="4"/>
    </row>
    <row r="2155" spans="1:3" x14ac:dyDescent="0.25">
      <c r="A2155" s="4">
        <v>38933</v>
      </c>
      <c r="B2155">
        <v>313.5</v>
      </c>
      <c r="C2155" s="4"/>
    </row>
    <row r="2156" spans="1:3" x14ac:dyDescent="0.25">
      <c r="A2156" s="4">
        <v>38936</v>
      </c>
      <c r="B2156">
        <v>319</v>
      </c>
      <c r="C2156" s="4"/>
    </row>
    <row r="2157" spans="1:3" x14ac:dyDescent="0.25">
      <c r="A2157" s="4">
        <v>38937</v>
      </c>
      <c r="B2157">
        <v>322</v>
      </c>
      <c r="C2157" s="4"/>
    </row>
    <row r="2158" spans="1:3" x14ac:dyDescent="0.25">
      <c r="A2158" s="4">
        <v>38938</v>
      </c>
      <c r="B2158">
        <v>326.5</v>
      </c>
      <c r="C2158" s="4"/>
    </row>
    <row r="2159" spans="1:3" x14ac:dyDescent="0.25">
      <c r="A2159" s="4">
        <v>38939</v>
      </c>
      <c r="B2159">
        <v>316</v>
      </c>
      <c r="C2159" s="4"/>
    </row>
    <row r="2160" spans="1:3" x14ac:dyDescent="0.25">
      <c r="A2160" s="4">
        <v>38940</v>
      </c>
      <c r="B2160">
        <v>314</v>
      </c>
      <c r="C2160" s="4"/>
    </row>
    <row r="2161" spans="1:3" x14ac:dyDescent="0.25">
      <c r="A2161" s="4">
        <v>38943</v>
      </c>
      <c r="B2161">
        <v>306</v>
      </c>
      <c r="C2161" s="4"/>
    </row>
    <row r="2162" spans="1:3" x14ac:dyDescent="0.25">
      <c r="A2162" s="4">
        <v>38944</v>
      </c>
      <c r="B2162">
        <v>306</v>
      </c>
      <c r="C2162" s="4"/>
    </row>
    <row r="2163" spans="1:3" x14ac:dyDescent="0.25">
      <c r="A2163" s="4">
        <v>38945</v>
      </c>
      <c r="B2163">
        <v>306.75</v>
      </c>
      <c r="C2163" s="4"/>
    </row>
    <row r="2164" spans="1:3" x14ac:dyDescent="0.25">
      <c r="A2164" s="4">
        <v>38946</v>
      </c>
      <c r="B2164">
        <v>304</v>
      </c>
      <c r="C2164" s="4"/>
    </row>
    <row r="2165" spans="1:3" x14ac:dyDescent="0.25">
      <c r="A2165" s="4">
        <v>38947</v>
      </c>
      <c r="B2165">
        <v>305</v>
      </c>
      <c r="C2165" s="4"/>
    </row>
    <row r="2166" spans="1:3" x14ac:dyDescent="0.25">
      <c r="A2166" s="4">
        <v>38950</v>
      </c>
      <c r="B2166">
        <v>309</v>
      </c>
      <c r="C2166" s="4"/>
    </row>
    <row r="2167" spans="1:3" x14ac:dyDescent="0.25">
      <c r="A2167" s="4">
        <v>38951</v>
      </c>
      <c r="B2167">
        <v>306.5</v>
      </c>
      <c r="C2167" s="4"/>
    </row>
    <row r="2168" spans="1:3" x14ac:dyDescent="0.25">
      <c r="A2168" s="4">
        <v>38952</v>
      </c>
      <c r="B2168">
        <v>297.75</v>
      </c>
      <c r="C2168" s="4"/>
    </row>
    <row r="2169" spans="1:3" x14ac:dyDescent="0.25">
      <c r="A2169" s="4">
        <v>38953</v>
      </c>
      <c r="B2169">
        <v>299.5</v>
      </c>
      <c r="C2169" s="4"/>
    </row>
    <row r="2170" spans="1:3" x14ac:dyDescent="0.25">
      <c r="A2170" s="4">
        <v>38954</v>
      </c>
      <c r="B2170">
        <v>297.5</v>
      </c>
      <c r="C2170" s="4"/>
    </row>
    <row r="2171" spans="1:3" x14ac:dyDescent="0.25">
      <c r="A2171" s="4">
        <v>38958</v>
      </c>
      <c r="B2171">
        <v>291.75</v>
      </c>
      <c r="C2171" s="4"/>
    </row>
    <row r="2172" spans="1:3" x14ac:dyDescent="0.25">
      <c r="A2172" s="4">
        <v>38959</v>
      </c>
      <c r="B2172">
        <v>287.5</v>
      </c>
      <c r="C2172" s="4"/>
    </row>
    <row r="2173" spans="1:3" x14ac:dyDescent="0.25">
      <c r="A2173" s="4">
        <v>38960</v>
      </c>
      <c r="B2173">
        <v>289.5</v>
      </c>
      <c r="C2173" s="4"/>
    </row>
    <row r="2174" spans="1:3" x14ac:dyDescent="0.25">
      <c r="A2174" s="4">
        <v>38961</v>
      </c>
      <c r="B2174">
        <v>285.75</v>
      </c>
      <c r="C2174" s="4"/>
    </row>
    <row r="2175" spans="1:3" x14ac:dyDescent="0.25">
      <c r="A2175" s="4">
        <v>38964</v>
      </c>
      <c r="B2175">
        <v>275.5</v>
      </c>
      <c r="C2175" s="4"/>
    </row>
    <row r="2176" spans="1:3" x14ac:dyDescent="0.25">
      <c r="A2176" s="4">
        <v>38965</v>
      </c>
      <c r="B2176">
        <v>280.75</v>
      </c>
      <c r="C2176" s="4"/>
    </row>
    <row r="2177" spans="1:3" x14ac:dyDescent="0.25">
      <c r="A2177" s="4">
        <v>38966</v>
      </c>
      <c r="B2177">
        <v>284.5</v>
      </c>
      <c r="C2177" s="4"/>
    </row>
    <row r="2178" spans="1:3" x14ac:dyDescent="0.25">
      <c r="A2178" s="4">
        <v>38967</v>
      </c>
      <c r="B2178">
        <v>282.5</v>
      </c>
      <c r="C2178" s="4"/>
    </row>
    <row r="2179" spans="1:3" x14ac:dyDescent="0.25">
      <c r="A2179" s="4">
        <v>38968</v>
      </c>
      <c r="B2179">
        <v>278</v>
      </c>
      <c r="C2179" s="4"/>
    </row>
    <row r="2180" spans="1:3" x14ac:dyDescent="0.25">
      <c r="A2180" s="4">
        <v>38971</v>
      </c>
      <c r="B2180">
        <v>276</v>
      </c>
      <c r="C2180" s="4"/>
    </row>
    <row r="2181" spans="1:3" x14ac:dyDescent="0.25">
      <c r="A2181" s="4">
        <v>38972</v>
      </c>
      <c r="B2181">
        <v>278.75</v>
      </c>
      <c r="C2181" s="4"/>
    </row>
    <row r="2182" spans="1:3" x14ac:dyDescent="0.25">
      <c r="A2182" s="4">
        <v>38973</v>
      </c>
      <c r="B2182">
        <v>277</v>
      </c>
      <c r="C2182" s="4"/>
    </row>
    <row r="2183" spans="1:3" x14ac:dyDescent="0.25">
      <c r="A2183" s="4">
        <v>38974</v>
      </c>
      <c r="B2183">
        <v>275.75</v>
      </c>
      <c r="C2183" s="4"/>
    </row>
    <row r="2184" spans="1:3" x14ac:dyDescent="0.25">
      <c r="A2184" s="4">
        <v>38975</v>
      </c>
      <c r="B2184">
        <v>266</v>
      </c>
      <c r="C2184" s="4"/>
    </row>
    <row r="2185" spans="1:3" x14ac:dyDescent="0.25">
      <c r="A2185" s="4">
        <v>38978</v>
      </c>
      <c r="B2185">
        <v>265.25</v>
      </c>
      <c r="C2185" s="4"/>
    </row>
    <row r="2186" spans="1:3" x14ac:dyDescent="0.25">
      <c r="A2186" s="4">
        <v>38979</v>
      </c>
      <c r="B2186">
        <v>265.75</v>
      </c>
      <c r="C2186" s="4"/>
    </row>
    <row r="2187" spans="1:3" x14ac:dyDescent="0.25">
      <c r="A2187" s="4">
        <v>38980</v>
      </c>
      <c r="B2187">
        <v>253</v>
      </c>
      <c r="C2187" s="4"/>
    </row>
    <row r="2188" spans="1:3" x14ac:dyDescent="0.25">
      <c r="A2188" s="4">
        <v>38981</v>
      </c>
      <c r="B2188">
        <v>256.75</v>
      </c>
      <c r="C2188" s="4"/>
    </row>
    <row r="2189" spans="1:3" x14ac:dyDescent="0.25">
      <c r="A2189" s="4">
        <v>38982</v>
      </c>
      <c r="B2189">
        <v>258</v>
      </c>
      <c r="C2189" s="4"/>
    </row>
    <row r="2190" spans="1:3" x14ac:dyDescent="0.25">
      <c r="A2190" s="4">
        <v>38985</v>
      </c>
      <c r="B2190">
        <v>253.25</v>
      </c>
      <c r="C2190" s="4"/>
    </row>
    <row r="2191" spans="1:3" x14ac:dyDescent="0.25">
      <c r="A2191" s="4">
        <v>38986</v>
      </c>
      <c r="B2191">
        <v>260</v>
      </c>
      <c r="C2191" s="4"/>
    </row>
    <row r="2192" spans="1:3" x14ac:dyDescent="0.25">
      <c r="A2192" s="4">
        <v>38987</v>
      </c>
      <c r="B2192">
        <v>261</v>
      </c>
      <c r="C2192" s="4"/>
    </row>
    <row r="2193" spans="1:3" x14ac:dyDescent="0.25">
      <c r="A2193" s="4">
        <v>38988</v>
      </c>
      <c r="B2193">
        <v>265</v>
      </c>
      <c r="C2193" s="4"/>
    </row>
    <row r="2194" spans="1:3" x14ac:dyDescent="0.25">
      <c r="A2194" s="4">
        <v>38989</v>
      </c>
      <c r="B2194">
        <v>258.25</v>
      </c>
      <c r="C2194" s="4"/>
    </row>
    <row r="2195" spans="1:3" x14ac:dyDescent="0.25">
      <c r="A2195" s="4">
        <v>38992</v>
      </c>
      <c r="B2195">
        <v>262.5</v>
      </c>
      <c r="C2195" s="4"/>
    </row>
    <row r="2196" spans="1:3" x14ac:dyDescent="0.25">
      <c r="A2196" s="4">
        <v>38993</v>
      </c>
      <c r="B2196">
        <v>256.5</v>
      </c>
      <c r="C2196" s="4"/>
    </row>
    <row r="2197" spans="1:3" x14ac:dyDescent="0.25">
      <c r="A2197" s="4">
        <v>38994</v>
      </c>
      <c r="B2197">
        <v>256.5</v>
      </c>
      <c r="C2197" s="4"/>
    </row>
    <row r="2198" spans="1:3" x14ac:dyDescent="0.25">
      <c r="A2198" s="4">
        <v>38995</v>
      </c>
      <c r="B2198">
        <v>264</v>
      </c>
      <c r="C2198" s="4"/>
    </row>
    <row r="2199" spans="1:3" x14ac:dyDescent="0.25">
      <c r="A2199" s="4">
        <v>38996</v>
      </c>
      <c r="B2199">
        <v>256</v>
      </c>
      <c r="C2199" s="4"/>
    </row>
    <row r="2200" spans="1:3" x14ac:dyDescent="0.25">
      <c r="A2200" s="4">
        <v>38999</v>
      </c>
      <c r="B2200">
        <v>268</v>
      </c>
      <c r="C2200" s="4"/>
    </row>
    <row r="2201" spans="1:3" x14ac:dyDescent="0.25">
      <c r="A2201" s="4">
        <v>39000</v>
      </c>
      <c r="B2201">
        <v>263.75</v>
      </c>
      <c r="C2201" s="4"/>
    </row>
    <row r="2202" spans="1:3" x14ac:dyDescent="0.25">
      <c r="A2202" s="4">
        <v>39001</v>
      </c>
      <c r="B2202">
        <v>263.75</v>
      </c>
      <c r="C2202" s="4"/>
    </row>
    <row r="2203" spans="1:3" x14ac:dyDescent="0.25">
      <c r="A2203" s="4">
        <v>39002</v>
      </c>
      <c r="B2203">
        <v>265.25</v>
      </c>
      <c r="C2203" s="4"/>
    </row>
    <row r="2204" spans="1:3" x14ac:dyDescent="0.25">
      <c r="A2204" s="4">
        <v>39003</v>
      </c>
      <c r="B2204">
        <v>265.25</v>
      </c>
      <c r="C2204" s="4"/>
    </row>
    <row r="2205" spans="1:3" x14ac:dyDescent="0.25">
      <c r="A2205" s="4">
        <v>39006</v>
      </c>
      <c r="B2205">
        <v>265.25</v>
      </c>
      <c r="C2205" s="4"/>
    </row>
    <row r="2206" spans="1:3" x14ac:dyDescent="0.25">
      <c r="A2206" s="4">
        <v>39007</v>
      </c>
      <c r="B2206">
        <v>265.5</v>
      </c>
      <c r="C2206" s="4"/>
    </row>
    <row r="2207" spans="1:3" x14ac:dyDescent="0.25">
      <c r="A2207" s="4">
        <v>39008</v>
      </c>
      <c r="B2207">
        <v>264.25</v>
      </c>
      <c r="C2207" s="4"/>
    </row>
    <row r="2208" spans="1:3" x14ac:dyDescent="0.25">
      <c r="A2208" s="4">
        <v>39009</v>
      </c>
      <c r="B2208">
        <v>259</v>
      </c>
      <c r="C2208" s="4"/>
    </row>
    <row r="2209" spans="1:3" x14ac:dyDescent="0.25">
      <c r="A2209" s="4">
        <v>39010</v>
      </c>
      <c r="B2209">
        <v>258.75</v>
      </c>
      <c r="C2209" s="4"/>
    </row>
    <row r="2210" spans="1:3" x14ac:dyDescent="0.25">
      <c r="A2210" s="4">
        <v>39013</v>
      </c>
      <c r="B2210">
        <v>252.25</v>
      </c>
      <c r="C2210" s="4"/>
    </row>
    <row r="2211" spans="1:3" x14ac:dyDescent="0.25">
      <c r="A2211" s="4">
        <v>39014</v>
      </c>
      <c r="B2211">
        <v>254.25</v>
      </c>
      <c r="C2211" s="4"/>
    </row>
    <row r="2212" spans="1:3" x14ac:dyDescent="0.25">
      <c r="A2212" s="4">
        <v>39015</v>
      </c>
      <c r="B2212">
        <v>263</v>
      </c>
      <c r="C2212" s="4"/>
    </row>
    <row r="2213" spans="1:3" x14ac:dyDescent="0.25">
      <c r="A2213" s="4">
        <v>39016</v>
      </c>
      <c r="B2213">
        <v>259</v>
      </c>
      <c r="C2213" s="4"/>
    </row>
    <row r="2214" spans="1:3" x14ac:dyDescent="0.25">
      <c r="A2214" s="4">
        <v>39017</v>
      </c>
      <c r="B2214">
        <v>257</v>
      </c>
      <c r="C2214" s="4"/>
    </row>
    <row r="2215" spans="1:3" x14ac:dyDescent="0.25">
      <c r="A2215" s="4">
        <v>39020</v>
      </c>
      <c r="B2215">
        <v>253</v>
      </c>
      <c r="C2215" s="4"/>
    </row>
    <row r="2216" spans="1:3" x14ac:dyDescent="0.25">
      <c r="A2216" s="4">
        <v>39021</v>
      </c>
      <c r="B2216">
        <v>255.75</v>
      </c>
      <c r="C2216" s="4"/>
    </row>
    <row r="2217" spans="1:3" x14ac:dyDescent="0.25">
      <c r="A2217" s="4">
        <v>39022</v>
      </c>
      <c r="B2217">
        <v>256.25</v>
      </c>
      <c r="C2217" s="4"/>
    </row>
    <row r="2218" spans="1:3" x14ac:dyDescent="0.25">
      <c r="A2218" s="4">
        <v>39023</v>
      </c>
      <c r="B2218">
        <v>252</v>
      </c>
      <c r="C2218" s="4"/>
    </row>
    <row r="2219" spans="1:3" x14ac:dyDescent="0.25">
      <c r="A2219" s="4">
        <v>39024</v>
      </c>
      <c r="B2219">
        <v>257.5</v>
      </c>
      <c r="C2219" s="4"/>
    </row>
    <row r="2220" spans="1:3" x14ac:dyDescent="0.25">
      <c r="A2220" s="4">
        <v>39027</v>
      </c>
      <c r="B2220">
        <v>265.5</v>
      </c>
      <c r="C2220" s="4"/>
    </row>
    <row r="2221" spans="1:3" x14ac:dyDescent="0.25">
      <c r="A2221" s="4">
        <v>39028</v>
      </c>
      <c r="B2221">
        <v>264.75</v>
      </c>
      <c r="C2221" s="4"/>
    </row>
    <row r="2222" spans="1:3" x14ac:dyDescent="0.25">
      <c r="A2222" s="4">
        <v>39029</v>
      </c>
      <c r="B2222">
        <v>267</v>
      </c>
      <c r="C2222" s="4"/>
    </row>
    <row r="2223" spans="1:3" x14ac:dyDescent="0.25">
      <c r="A2223" s="4">
        <v>39030</v>
      </c>
      <c r="B2223">
        <v>270</v>
      </c>
      <c r="C2223" s="4"/>
    </row>
    <row r="2224" spans="1:3" x14ac:dyDescent="0.25">
      <c r="A2224" s="4">
        <v>39031</v>
      </c>
      <c r="B2224">
        <v>260.25</v>
      </c>
      <c r="C2224" s="4"/>
    </row>
    <row r="2225" spans="1:3" x14ac:dyDescent="0.25">
      <c r="A2225" s="4">
        <v>39034</v>
      </c>
      <c r="B2225">
        <v>256.5</v>
      </c>
      <c r="C2225" s="4"/>
    </row>
    <row r="2226" spans="1:3" x14ac:dyDescent="0.25">
      <c r="A2226" s="4">
        <v>39035</v>
      </c>
      <c r="B2226">
        <v>254</v>
      </c>
      <c r="C2226" s="4"/>
    </row>
    <row r="2227" spans="1:3" x14ac:dyDescent="0.25">
      <c r="A2227" s="4">
        <v>39036</v>
      </c>
      <c r="B2227">
        <v>256</v>
      </c>
      <c r="C2227" s="4"/>
    </row>
    <row r="2228" spans="1:3" x14ac:dyDescent="0.25">
      <c r="A2228" s="4">
        <v>39037</v>
      </c>
      <c r="B2228">
        <v>259.5</v>
      </c>
      <c r="C2228" s="4"/>
    </row>
    <row r="2229" spans="1:3" x14ac:dyDescent="0.25">
      <c r="A2229" s="4">
        <v>39038</v>
      </c>
      <c r="B2229">
        <v>248.25</v>
      </c>
      <c r="C2229" s="4"/>
    </row>
    <row r="2230" spans="1:3" x14ac:dyDescent="0.25">
      <c r="A2230" s="4">
        <v>39041</v>
      </c>
      <c r="B2230">
        <v>252</v>
      </c>
      <c r="C2230" s="4"/>
    </row>
    <row r="2231" spans="1:3" x14ac:dyDescent="0.25">
      <c r="A2231" s="4">
        <v>39042</v>
      </c>
      <c r="B2231">
        <v>253</v>
      </c>
      <c r="C2231" s="4"/>
    </row>
    <row r="2232" spans="1:3" x14ac:dyDescent="0.25">
      <c r="A2232" s="4">
        <v>39043</v>
      </c>
      <c r="B2232">
        <v>251</v>
      </c>
      <c r="C2232" s="4"/>
    </row>
    <row r="2233" spans="1:3" x14ac:dyDescent="0.25">
      <c r="A2233" s="4">
        <v>39044</v>
      </c>
      <c r="B2233">
        <v>250.5</v>
      </c>
      <c r="C2233" s="4"/>
    </row>
    <row r="2234" spans="1:3" x14ac:dyDescent="0.25">
      <c r="A2234" s="4">
        <v>39045</v>
      </c>
      <c r="B2234">
        <v>250.5</v>
      </c>
      <c r="C2234" s="4"/>
    </row>
    <row r="2235" spans="1:3" x14ac:dyDescent="0.25">
      <c r="A2235" s="4">
        <v>39048</v>
      </c>
      <c r="B2235">
        <v>249</v>
      </c>
      <c r="C2235" s="4"/>
    </row>
    <row r="2236" spans="1:3" x14ac:dyDescent="0.25">
      <c r="A2236" s="4">
        <v>39049</v>
      </c>
      <c r="B2236">
        <v>250.5</v>
      </c>
      <c r="C2236" s="4"/>
    </row>
    <row r="2237" spans="1:3" x14ac:dyDescent="0.25">
      <c r="A2237" s="4">
        <v>39050</v>
      </c>
      <c r="B2237">
        <v>254</v>
      </c>
      <c r="C2237" s="4"/>
    </row>
    <row r="2238" spans="1:3" x14ac:dyDescent="0.25">
      <c r="A2238" s="4">
        <v>39051</v>
      </c>
      <c r="B2238">
        <v>263</v>
      </c>
      <c r="C2238" s="4"/>
    </row>
    <row r="2239" spans="1:3" x14ac:dyDescent="0.25">
      <c r="A2239" s="4">
        <v>39052</v>
      </c>
      <c r="B2239">
        <v>253.5</v>
      </c>
      <c r="C2239" s="4"/>
    </row>
    <row r="2240" spans="1:3" x14ac:dyDescent="0.25">
      <c r="A2240" s="4">
        <v>39055</v>
      </c>
      <c r="B2240">
        <v>251</v>
      </c>
      <c r="C2240" s="4"/>
    </row>
    <row r="2241" spans="1:3" x14ac:dyDescent="0.25">
      <c r="A2241" s="4">
        <v>39056</v>
      </c>
      <c r="B2241">
        <v>252.75</v>
      </c>
      <c r="C2241" s="4"/>
    </row>
    <row r="2242" spans="1:3" x14ac:dyDescent="0.25">
      <c r="A2242" s="4">
        <v>39057</v>
      </c>
      <c r="B2242">
        <v>255</v>
      </c>
      <c r="C2242" s="4"/>
    </row>
    <row r="2243" spans="1:3" x14ac:dyDescent="0.25">
      <c r="A2243" s="4">
        <v>39058</v>
      </c>
      <c r="B2243">
        <v>257</v>
      </c>
      <c r="C2243" s="4"/>
    </row>
    <row r="2244" spans="1:3" x14ac:dyDescent="0.25">
      <c r="A2244" s="4">
        <v>39059</v>
      </c>
      <c r="B2244">
        <v>259</v>
      </c>
      <c r="C2244" s="4"/>
    </row>
    <row r="2245" spans="1:3" x14ac:dyDescent="0.25">
      <c r="A2245" s="4">
        <v>39062</v>
      </c>
      <c r="B2245">
        <v>255.5</v>
      </c>
      <c r="C2245" s="4"/>
    </row>
    <row r="2246" spans="1:3" x14ac:dyDescent="0.25">
      <c r="A2246" s="4">
        <v>39063</v>
      </c>
      <c r="B2246">
        <v>254.75</v>
      </c>
      <c r="C2246" s="4"/>
    </row>
    <row r="2247" spans="1:3" x14ac:dyDescent="0.25">
      <c r="A2247" s="4">
        <v>39064</v>
      </c>
      <c r="B2247">
        <v>254</v>
      </c>
      <c r="C2247" s="4"/>
    </row>
    <row r="2248" spans="1:3" x14ac:dyDescent="0.25">
      <c r="A2248" s="4">
        <v>39065</v>
      </c>
      <c r="B2248">
        <v>257</v>
      </c>
      <c r="C2248" s="4"/>
    </row>
    <row r="2249" spans="1:3" x14ac:dyDescent="0.25">
      <c r="A2249" s="4">
        <v>39066</v>
      </c>
      <c r="B2249">
        <v>255</v>
      </c>
      <c r="C2249" s="4"/>
    </row>
    <row r="2250" spans="1:3" x14ac:dyDescent="0.25">
      <c r="A2250" s="4">
        <v>39069</v>
      </c>
      <c r="B2250">
        <v>250.5</v>
      </c>
      <c r="C2250" s="4"/>
    </row>
    <row r="2251" spans="1:3" x14ac:dyDescent="0.25">
      <c r="A2251" s="4">
        <v>39070</v>
      </c>
      <c r="B2251">
        <v>244.5</v>
      </c>
      <c r="C2251" s="4"/>
    </row>
    <row r="2252" spans="1:3" x14ac:dyDescent="0.25">
      <c r="A2252" s="4">
        <v>39071</v>
      </c>
      <c r="B2252">
        <v>247</v>
      </c>
      <c r="C2252" s="4"/>
    </row>
    <row r="2253" spans="1:3" x14ac:dyDescent="0.25">
      <c r="A2253" s="4">
        <v>39072</v>
      </c>
      <c r="B2253">
        <v>243</v>
      </c>
      <c r="C2253" s="4"/>
    </row>
    <row r="2254" spans="1:3" x14ac:dyDescent="0.25">
      <c r="A2254" s="4">
        <v>39073</v>
      </c>
      <c r="B2254">
        <v>243</v>
      </c>
      <c r="C2254" s="4"/>
    </row>
    <row r="2255" spans="1:3" x14ac:dyDescent="0.25">
      <c r="A2255" s="4">
        <v>39084</v>
      </c>
      <c r="B2255">
        <v>243</v>
      </c>
      <c r="C2255" s="4"/>
    </row>
    <row r="2256" spans="1:3" x14ac:dyDescent="0.25">
      <c r="A2256" s="4">
        <v>39085</v>
      </c>
      <c r="B2256">
        <v>237.5</v>
      </c>
      <c r="C2256" s="4"/>
    </row>
    <row r="2257" spans="1:3" x14ac:dyDescent="0.25">
      <c r="A2257" s="4">
        <v>39086</v>
      </c>
      <c r="B2257">
        <v>227.5</v>
      </c>
      <c r="C2257" s="4"/>
    </row>
    <row r="2258" spans="1:3" x14ac:dyDescent="0.25">
      <c r="A2258" s="4">
        <v>39087</v>
      </c>
      <c r="B2258">
        <v>224</v>
      </c>
      <c r="C2258" s="4"/>
    </row>
    <row r="2259" spans="1:3" x14ac:dyDescent="0.25">
      <c r="A2259" s="4">
        <v>39090</v>
      </c>
      <c r="B2259">
        <v>225</v>
      </c>
      <c r="C2259" s="4"/>
    </row>
    <row r="2260" spans="1:3" x14ac:dyDescent="0.25">
      <c r="A2260" s="4">
        <v>39091</v>
      </c>
      <c r="B2260">
        <v>228.5</v>
      </c>
      <c r="C2260" s="4"/>
    </row>
    <row r="2261" spans="1:3" x14ac:dyDescent="0.25">
      <c r="A2261" s="4">
        <v>39092</v>
      </c>
      <c r="B2261">
        <v>229.5</v>
      </c>
      <c r="C2261" s="4"/>
    </row>
    <row r="2262" spans="1:3" x14ac:dyDescent="0.25">
      <c r="A2262" s="4">
        <v>39093</v>
      </c>
      <c r="B2262">
        <v>229.5</v>
      </c>
      <c r="C2262" s="4"/>
    </row>
    <row r="2263" spans="1:3" x14ac:dyDescent="0.25">
      <c r="A2263" s="4">
        <v>39094</v>
      </c>
      <c r="B2263">
        <v>221</v>
      </c>
      <c r="C2263" s="4"/>
    </row>
    <row r="2264" spans="1:3" x14ac:dyDescent="0.25">
      <c r="A2264" s="4">
        <v>39097</v>
      </c>
      <c r="B2264">
        <v>225</v>
      </c>
      <c r="C2264" s="4"/>
    </row>
    <row r="2265" spans="1:3" x14ac:dyDescent="0.25">
      <c r="A2265" s="4">
        <v>39098</v>
      </c>
      <c r="B2265">
        <v>222</v>
      </c>
      <c r="C2265" s="4"/>
    </row>
    <row r="2266" spans="1:3" x14ac:dyDescent="0.25">
      <c r="A2266" s="4">
        <v>39099</v>
      </c>
      <c r="B2266">
        <v>212.75</v>
      </c>
      <c r="C2266" s="4"/>
    </row>
    <row r="2267" spans="1:3" x14ac:dyDescent="0.25">
      <c r="A2267" s="4">
        <v>39100</v>
      </c>
      <c r="B2267">
        <v>205</v>
      </c>
      <c r="C2267" s="4"/>
    </row>
    <row r="2268" spans="1:3" x14ac:dyDescent="0.25">
      <c r="A2268" s="4">
        <v>39101</v>
      </c>
      <c r="B2268">
        <v>202</v>
      </c>
      <c r="C2268" s="4"/>
    </row>
    <row r="2269" spans="1:3" x14ac:dyDescent="0.25">
      <c r="A2269" s="4">
        <v>39104</v>
      </c>
      <c r="B2269">
        <v>223</v>
      </c>
      <c r="C2269" s="4"/>
    </row>
    <row r="2270" spans="1:3" x14ac:dyDescent="0.25">
      <c r="A2270" s="4">
        <v>39105</v>
      </c>
      <c r="B2270">
        <v>217.5</v>
      </c>
      <c r="C2270" s="4"/>
    </row>
    <row r="2271" spans="1:3" x14ac:dyDescent="0.25">
      <c r="A2271" s="4">
        <v>39106</v>
      </c>
      <c r="B2271">
        <v>225</v>
      </c>
      <c r="C2271" s="4"/>
    </row>
    <row r="2272" spans="1:3" x14ac:dyDescent="0.25">
      <c r="A2272" s="4">
        <v>39107</v>
      </c>
      <c r="B2272">
        <v>225</v>
      </c>
      <c r="C2272" s="4"/>
    </row>
    <row r="2273" spans="1:3" x14ac:dyDescent="0.25">
      <c r="A2273" s="4">
        <v>39108</v>
      </c>
      <c r="B2273">
        <v>231</v>
      </c>
      <c r="C2273" s="4"/>
    </row>
    <row r="2274" spans="1:3" x14ac:dyDescent="0.25">
      <c r="A2274" s="4">
        <v>39111</v>
      </c>
      <c r="B2274">
        <v>231</v>
      </c>
      <c r="C2274" s="4"/>
    </row>
    <row r="2275" spans="1:3" x14ac:dyDescent="0.25">
      <c r="A2275" s="4">
        <v>39112</v>
      </c>
      <c r="B2275">
        <v>231</v>
      </c>
      <c r="C2275" s="4"/>
    </row>
    <row r="2276" spans="1:3" x14ac:dyDescent="0.25">
      <c r="A2276" s="4">
        <v>39113</v>
      </c>
      <c r="B2276">
        <v>236</v>
      </c>
      <c r="C2276" s="4"/>
    </row>
    <row r="2277" spans="1:3" x14ac:dyDescent="0.25">
      <c r="A2277" s="4">
        <v>39114</v>
      </c>
      <c r="B2277">
        <v>245</v>
      </c>
      <c r="C2277" s="4"/>
    </row>
    <row r="2278" spans="1:3" x14ac:dyDescent="0.25">
      <c r="A2278" s="4">
        <v>39115</v>
      </c>
      <c r="B2278">
        <v>242.5</v>
      </c>
      <c r="C2278" s="4"/>
    </row>
    <row r="2279" spans="1:3" x14ac:dyDescent="0.25">
      <c r="A2279" s="4">
        <v>39118</v>
      </c>
      <c r="B2279">
        <v>255.5</v>
      </c>
      <c r="C2279" s="4"/>
    </row>
    <row r="2280" spans="1:3" x14ac:dyDescent="0.25">
      <c r="A2280" s="4">
        <v>39119</v>
      </c>
      <c r="B2280">
        <v>261</v>
      </c>
      <c r="C2280" s="4"/>
    </row>
    <row r="2281" spans="1:3" x14ac:dyDescent="0.25">
      <c r="A2281" s="4">
        <v>39120</v>
      </c>
      <c r="B2281">
        <v>261</v>
      </c>
      <c r="C2281" s="4"/>
    </row>
    <row r="2282" spans="1:3" x14ac:dyDescent="0.25">
      <c r="A2282" s="4">
        <v>39121</v>
      </c>
      <c r="B2282">
        <v>255.5</v>
      </c>
      <c r="C2282" s="4"/>
    </row>
    <row r="2283" spans="1:3" x14ac:dyDescent="0.25">
      <c r="A2283" s="4">
        <v>39122</v>
      </c>
      <c r="B2283">
        <v>255.5</v>
      </c>
      <c r="C2283" s="4"/>
    </row>
    <row r="2284" spans="1:3" x14ac:dyDescent="0.25">
      <c r="A2284" s="4">
        <v>39125</v>
      </c>
      <c r="B2284">
        <v>252.5</v>
      </c>
      <c r="C2284" s="4"/>
    </row>
    <row r="2285" spans="1:3" x14ac:dyDescent="0.25">
      <c r="A2285" s="4">
        <v>39126</v>
      </c>
      <c r="B2285">
        <v>252</v>
      </c>
      <c r="C2285" s="4"/>
    </row>
    <row r="2286" spans="1:3" x14ac:dyDescent="0.25">
      <c r="A2286" s="4">
        <v>39127</v>
      </c>
      <c r="B2286">
        <v>248.5</v>
      </c>
      <c r="C2286" s="4"/>
    </row>
    <row r="2287" spans="1:3" x14ac:dyDescent="0.25">
      <c r="A2287" s="4">
        <v>39128</v>
      </c>
      <c r="B2287">
        <v>244</v>
      </c>
      <c r="C2287" s="4"/>
    </row>
    <row r="2288" spans="1:3" x14ac:dyDescent="0.25">
      <c r="A2288" s="4">
        <v>39129</v>
      </c>
      <c r="B2288">
        <v>243</v>
      </c>
      <c r="C2288" s="4"/>
    </row>
    <row r="2289" spans="1:3" x14ac:dyDescent="0.25">
      <c r="A2289" s="4">
        <v>39132</v>
      </c>
      <c r="B2289">
        <v>240</v>
      </c>
      <c r="C2289" s="4"/>
    </row>
    <row r="2290" spans="1:3" x14ac:dyDescent="0.25">
      <c r="A2290" s="4">
        <v>39133</v>
      </c>
      <c r="B2290">
        <v>237</v>
      </c>
      <c r="C2290" s="4"/>
    </row>
    <row r="2291" spans="1:3" x14ac:dyDescent="0.25">
      <c r="A2291" s="4">
        <v>39134</v>
      </c>
      <c r="B2291">
        <v>247.75</v>
      </c>
      <c r="C2291" s="4"/>
    </row>
    <row r="2292" spans="1:3" x14ac:dyDescent="0.25">
      <c r="A2292" s="4">
        <v>39135</v>
      </c>
      <c r="B2292">
        <v>251.75</v>
      </c>
      <c r="C2292" s="4"/>
    </row>
    <row r="2293" spans="1:3" x14ac:dyDescent="0.25">
      <c r="A2293" s="4">
        <v>39136</v>
      </c>
      <c r="B2293">
        <v>259.25</v>
      </c>
      <c r="C2293" s="4"/>
    </row>
    <row r="2294" spans="1:3" x14ac:dyDescent="0.25">
      <c r="A2294" s="4">
        <v>39139</v>
      </c>
      <c r="B2294">
        <v>261</v>
      </c>
      <c r="C2294" s="4"/>
    </row>
    <row r="2295" spans="1:3" x14ac:dyDescent="0.25">
      <c r="A2295" s="4">
        <v>39140</v>
      </c>
      <c r="B2295">
        <v>262</v>
      </c>
      <c r="C2295" s="4"/>
    </row>
    <row r="2296" spans="1:3" x14ac:dyDescent="0.25">
      <c r="A2296" s="4">
        <v>39141</v>
      </c>
      <c r="B2296">
        <v>256.5</v>
      </c>
      <c r="C2296" s="4"/>
    </row>
    <row r="2297" spans="1:3" x14ac:dyDescent="0.25">
      <c r="A2297" s="4">
        <v>39142</v>
      </c>
      <c r="B2297">
        <v>262</v>
      </c>
      <c r="C2297" s="4"/>
    </row>
    <row r="2298" spans="1:3" x14ac:dyDescent="0.25">
      <c r="A2298" s="4">
        <v>39143</v>
      </c>
      <c r="B2298">
        <v>260.5</v>
      </c>
      <c r="C2298" s="4"/>
    </row>
    <row r="2299" spans="1:3" x14ac:dyDescent="0.25">
      <c r="A2299" s="4">
        <v>39146</v>
      </c>
      <c r="B2299">
        <v>256</v>
      </c>
      <c r="C2299" s="4"/>
    </row>
    <row r="2300" spans="1:3" x14ac:dyDescent="0.25">
      <c r="A2300" s="4">
        <v>39147</v>
      </c>
      <c r="B2300">
        <v>256.25</v>
      </c>
      <c r="C2300" s="4"/>
    </row>
    <row r="2301" spans="1:3" x14ac:dyDescent="0.25">
      <c r="A2301" s="4">
        <v>39148</v>
      </c>
      <c r="B2301">
        <v>261</v>
      </c>
      <c r="C2301" s="4"/>
    </row>
    <row r="2302" spans="1:3" x14ac:dyDescent="0.25">
      <c r="A2302" s="4">
        <v>39149</v>
      </c>
      <c r="B2302">
        <v>261.5</v>
      </c>
      <c r="C2302" s="4"/>
    </row>
    <row r="2303" spans="1:3" x14ac:dyDescent="0.25">
      <c r="A2303" s="4">
        <v>39150</v>
      </c>
      <c r="B2303">
        <v>259.5</v>
      </c>
      <c r="C2303" s="4"/>
    </row>
    <row r="2304" spans="1:3" x14ac:dyDescent="0.25">
      <c r="A2304" s="4">
        <v>39153</v>
      </c>
      <c r="B2304">
        <v>256</v>
      </c>
      <c r="C2304" s="4"/>
    </row>
    <row r="2305" spans="1:3" x14ac:dyDescent="0.25">
      <c r="A2305" s="4">
        <v>39154</v>
      </c>
      <c r="B2305">
        <v>259.5</v>
      </c>
      <c r="C2305" s="4"/>
    </row>
    <row r="2306" spans="1:3" x14ac:dyDescent="0.25">
      <c r="A2306" s="4">
        <v>39155</v>
      </c>
      <c r="B2306">
        <v>259</v>
      </c>
      <c r="C2306" s="4"/>
    </row>
    <row r="2307" spans="1:3" x14ac:dyDescent="0.25">
      <c r="A2307" s="4">
        <v>39156</v>
      </c>
      <c r="B2307">
        <v>261</v>
      </c>
      <c r="C2307" s="4"/>
    </row>
    <row r="2308" spans="1:3" x14ac:dyDescent="0.25">
      <c r="A2308" s="4">
        <v>39157</v>
      </c>
      <c r="B2308">
        <v>261</v>
      </c>
      <c r="C2308" s="4"/>
    </row>
    <row r="2309" spans="1:3" x14ac:dyDescent="0.25">
      <c r="A2309" s="4">
        <v>39160</v>
      </c>
      <c r="B2309">
        <v>259.25</v>
      </c>
      <c r="C2309" s="4"/>
    </row>
    <row r="2310" spans="1:3" x14ac:dyDescent="0.25">
      <c r="A2310" s="4">
        <v>39161</v>
      </c>
      <c r="B2310">
        <v>258.25</v>
      </c>
      <c r="C2310" s="4"/>
    </row>
    <row r="2311" spans="1:3" x14ac:dyDescent="0.25">
      <c r="A2311" s="4">
        <v>39162</v>
      </c>
      <c r="B2311">
        <v>266</v>
      </c>
      <c r="C2311" s="4"/>
    </row>
    <row r="2312" spans="1:3" x14ac:dyDescent="0.25">
      <c r="A2312" s="4">
        <v>39163</v>
      </c>
      <c r="B2312">
        <v>274</v>
      </c>
      <c r="C2312" s="4"/>
    </row>
    <row r="2313" spans="1:3" x14ac:dyDescent="0.25">
      <c r="A2313" s="4">
        <v>39164</v>
      </c>
      <c r="B2313">
        <v>274.5</v>
      </c>
      <c r="C2313" s="4"/>
    </row>
    <row r="2314" spans="1:3" x14ac:dyDescent="0.25">
      <c r="A2314" s="4">
        <v>39167</v>
      </c>
      <c r="B2314">
        <v>278</v>
      </c>
      <c r="C2314" s="4"/>
    </row>
    <row r="2315" spans="1:3" x14ac:dyDescent="0.25">
      <c r="A2315" s="4">
        <v>39168</v>
      </c>
      <c r="B2315">
        <v>279</v>
      </c>
      <c r="C2315" s="4"/>
    </row>
    <row r="2316" spans="1:3" x14ac:dyDescent="0.25">
      <c r="A2316" s="4">
        <v>39169</v>
      </c>
      <c r="B2316">
        <v>291.5</v>
      </c>
      <c r="C2316" s="4"/>
    </row>
    <row r="2317" spans="1:3" x14ac:dyDescent="0.25">
      <c r="A2317" s="4">
        <v>39170</v>
      </c>
      <c r="B2317">
        <v>292.5</v>
      </c>
      <c r="C2317" s="4"/>
    </row>
    <row r="2318" spans="1:3" x14ac:dyDescent="0.25">
      <c r="A2318" s="4">
        <v>39171</v>
      </c>
      <c r="B2318">
        <v>294</v>
      </c>
      <c r="C2318" s="4"/>
    </row>
    <row r="2319" spans="1:3" x14ac:dyDescent="0.25">
      <c r="A2319" s="4">
        <v>39174</v>
      </c>
      <c r="B2319">
        <v>295</v>
      </c>
      <c r="C2319" s="4"/>
    </row>
    <row r="2320" spans="1:3" x14ac:dyDescent="0.25">
      <c r="A2320" s="4">
        <v>39175</v>
      </c>
      <c r="B2320">
        <v>292</v>
      </c>
      <c r="C2320" s="4"/>
    </row>
    <row r="2321" spans="1:3" x14ac:dyDescent="0.25">
      <c r="A2321" s="4">
        <v>39176</v>
      </c>
      <c r="B2321">
        <v>293.5</v>
      </c>
      <c r="C2321" s="4"/>
    </row>
    <row r="2322" spans="1:3" x14ac:dyDescent="0.25">
      <c r="A2322" s="4">
        <v>39177</v>
      </c>
      <c r="B2322">
        <v>296.5</v>
      </c>
      <c r="C2322" s="4"/>
    </row>
    <row r="2323" spans="1:3" x14ac:dyDescent="0.25">
      <c r="A2323" s="4">
        <v>39182</v>
      </c>
      <c r="B2323">
        <v>295</v>
      </c>
      <c r="C2323" s="4"/>
    </row>
    <row r="2324" spans="1:3" x14ac:dyDescent="0.25">
      <c r="A2324" s="4">
        <v>39183</v>
      </c>
      <c r="B2324">
        <v>300</v>
      </c>
      <c r="C2324" s="4"/>
    </row>
    <row r="2325" spans="1:3" x14ac:dyDescent="0.25">
      <c r="A2325" s="4">
        <v>39184</v>
      </c>
      <c r="B2325">
        <v>306</v>
      </c>
      <c r="C2325" s="4"/>
    </row>
    <row r="2326" spans="1:3" x14ac:dyDescent="0.25">
      <c r="A2326" s="4">
        <v>39185</v>
      </c>
      <c r="B2326">
        <v>310</v>
      </c>
      <c r="C2326" s="4"/>
    </row>
    <row r="2327" spans="1:3" x14ac:dyDescent="0.25">
      <c r="A2327" s="4">
        <v>39188</v>
      </c>
      <c r="B2327">
        <v>311.5</v>
      </c>
      <c r="C2327" s="4"/>
    </row>
    <row r="2328" spans="1:3" x14ac:dyDescent="0.25">
      <c r="A2328" s="4">
        <v>39189</v>
      </c>
      <c r="B2328">
        <v>310</v>
      </c>
      <c r="C2328" s="4"/>
    </row>
    <row r="2329" spans="1:3" x14ac:dyDescent="0.25">
      <c r="A2329" s="4">
        <v>39190</v>
      </c>
      <c r="B2329">
        <v>304</v>
      </c>
      <c r="C2329" s="4"/>
    </row>
    <row r="2330" spans="1:3" x14ac:dyDescent="0.25">
      <c r="A2330" s="4">
        <v>39191</v>
      </c>
      <c r="B2330">
        <v>303.5</v>
      </c>
      <c r="C2330" s="4"/>
    </row>
    <row r="2331" spans="1:3" x14ac:dyDescent="0.25">
      <c r="A2331" s="4">
        <v>39192</v>
      </c>
      <c r="B2331">
        <v>303.25</v>
      </c>
      <c r="C2331" s="4"/>
    </row>
    <row r="2332" spans="1:3" x14ac:dyDescent="0.25">
      <c r="A2332" s="4">
        <v>39195</v>
      </c>
      <c r="B2332">
        <v>309</v>
      </c>
      <c r="C2332" s="4"/>
    </row>
    <row r="2333" spans="1:3" x14ac:dyDescent="0.25">
      <c r="A2333" s="4">
        <v>39196</v>
      </c>
      <c r="B2333">
        <v>314</v>
      </c>
      <c r="C2333" s="4"/>
    </row>
    <row r="2334" spans="1:3" x14ac:dyDescent="0.25">
      <c r="A2334" s="4">
        <v>39197</v>
      </c>
      <c r="B2334">
        <v>324.5</v>
      </c>
      <c r="C2334" s="4"/>
    </row>
    <row r="2335" spans="1:3" x14ac:dyDescent="0.25">
      <c r="A2335" s="4">
        <v>39198</v>
      </c>
      <c r="B2335">
        <v>329.25</v>
      </c>
      <c r="C2335" s="4"/>
    </row>
    <row r="2336" spans="1:3" x14ac:dyDescent="0.25">
      <c r="A2336" s="4">
        <v>39199</v>
      </c>
      <c r="B2336">
        <v>328.5</v>
      </c>
      <c r="C2336" s="4"/>
    </row>
    <row r="2337" spans="1:3" x14ac:dyDescent="0.25">
      <c r="A2337" s="4">
        <v>39202</v>
      </c>
      <c r="B2337">
        <v>324</v>
      </c>
      <c r="C2337" s="4"/>
    </row>
    <row r="2338" spans="1:3" x14ac:dyDescent="0.25">
      <c r="A2338" s="4">
        <v>39203</v>
      </c>
      <c r="B2338">
        <v>327.5</v>
      </c>
      <c r="C2338" s="4"/>
    </row>
    <row r="2339" spans="1:3" x14ac:dyDescent="0.25">
      <c r="A2339" s="4">
        <v>39204</v>
      </c>
      <c r="B2339">
        <v>334.25</v>
      </c>
      <c r="C2339" s="4"/>
    </row>
    <row r="2340" spans="1:3" x14ac:dyDescent="0.25">
      <c r="A2340" s="4">
        <v>39205</v>
      </c>
      <c r="B2340">
        <v>325</v>
      </c>
      <c r="C2340" s="4"/>
    </row>
    <row r="2341" spans="1:3" x14ac:dyDescent="0.25">
      <c r="A2341" s="4">
        <v>39206</v>
      </c>
      <c r="B2341">
        <v>321</v>
      </c>
      <c r="C2341" s="4"/>
    </row>
    <row r="2342" spans="1:3" x14ac:dyDescent="0.25">
      <c r="A2342" s="4">
        <v>39210</v>
      </c>
      <c r="B2342">
        <v>315</v>
      </c>
      <c r="C2342" s="4"/>
    </row>
    <row r="2343" spans="1:3" x14ac:dyDescent="0.25">
      <c r="A2343" s="4">
        <v>39211</v>
      </c>
      <c r="B2343">
        <v>315.25</v>
      </c>
      <c r="C2343" s="4"/>
    </row>
    <row r="2344" spans="1:3" x14ac:dyDescent="0.25">
      <c r="A2344" s="4">
        <v>39212</v>
      </c>
      <c r="B2344">
        <v>316.5</v>
      </c>
      <c r="C2344" s="4"/>
    </row>
    <row r="2345" spans="1:3" x14ac:dyDescent="0.25">
      <c r="A2345" s="4">
        <v>39213</v>
      </c>
      <c r="B2345">
        <v>314</v>
      </c>
      <c r="C2345" s="4"/>
    </row>
    <row r="2346" spans="1:3" x14ac:dyDescent="0.25">
      <c r="A2346" s="4">
        <v>39216</v>
      </c>
      <c r="B2346">
        <v>313.5</v>
      </c>
      <c r="C2346" s="4"/>
    </row>
    <row r="2347" spans="1:3" x14ac:dyDescent="0.25">
      <c r="A2347" s="4">
        <v>39217</v>
      </c>
      <c r="B2347">
        <v>312</v>
      </c>
      <c r="C2347" s="4"/>
    </row>
    <row r="2348" spans="1:3" x14ac:dyDescent="0.25">
      <c r="A2348" s="4">
        <v>39218</v>
      </c>
      <c r="B2348">
        <v>305</v>
      </c>
      <c r="C2348" s="4"/>
    </row>
    <row r="2349" spans="1:3" x14ac:dyDescent="0.25">
      <c r="A2349" s="4">
        <v>39219</v>
      </c>
      <c r="B2349">
        <v>307</v>
      </c>
      <c r="C2349" s="4"/>
    </row>
    <row r="2350" spans="1:3" x14ac:dyDescent="0.25">
      <c r="A2350" s="4">
        <v>39220</v>
      </c>
      <c r="B2350">
        <v>306.5</v>
      </c>
      <c r="C2350" s="4"/>
    </row>
    <row r="2351" spans="1:3" x14ac:dyDescent="0.25">
      <c r="A2351" s="4">
        <v>39223</v>
      </c>
      <c r="B2351">
        <v>306.5</v>
      </c>
      <c r="C2351" s="4"/>
    </row>
    <row r="2352" spans="1:3" x14ac:dyDescent="0.25">
      <c r="A2352" s="4">
        <v>39224</v>
      </c>
      <c r="B2352">
        <v>310.5</v>
      </c>
      <c r="C2352" s="4"/>
    </row>
    <row r="2353" spans="1:3" x14ac:dyDescent="0.25">
      <c r="A2353" s="4">
        <v>39225</v>
      </c>
      <c r="B2353">
        <v>315</v>
      </c>
      <c r="C2353" s="4"/>
    </row>
    <row r="2354" spans="1:3" x14ac:dyDescent="0.25">
      <c r="A2354" s="4">
        <v>39226</v>
      </c>
      <c r="B2354">
        <v>321.5</v>
      </c>
      <c r="C2354" s="4"/>
    </row>
    <row r="2355" spans="1:3" x14ac:dyDescent="0.25">
      <c r="A2355" s="4">
        <v>39227</v>
      </c>
      <c r="B2355">
        <v>311.75</v>
      </c>
      <c r="C2355" s="4"/>
    </row>
    <row r="2356" spans="1:3" x14ac:dyDescent="0.25">
      <c r="A2356" s="4">
        <v>39231</v>
      </c>
      <c r="B2356">
        <v>303</v>
      </c>
      <c r="C2356" s="4"/>
    </row>
    <row r="2357" spans="1:3" x14ac:dyDescent="0.25">
      <c r="A2357" s="4">
        <v>39232</v>
      </c>
      <c r="B2357">
        <v>300</v>
      </c>
      <c r="C2357" s="4"/>
    </row>
    <row r="2358" spans="1:3" x14ac:dyDescent="0.25">
      <c r="A2358" s="4">
        <v>39233</v>
      </c>
      <c r="B2358">
        <v>302.75</v>
      </c>
      <c r="C2358" s="4"/>
    </row>
    <row r="2359" spans="1:3" x14ac:dyDescent="0.25">
      <c r="A2359" s="4">
        <v>39234</v>
      </c>
      <c r="B2359">
        <v>305</v>
      </c>
      <c r="C2359" s="4"/>
    </row>
    <row r="2360" spans="1:3" x14ac:dyDescent="0.25">
      <c r="A2360" s="4">
        <v>39237</v>
      </c>
      <c r="B2360">
        <v>311</v>
      </c>
      <c r="C2360" s="4"/>
    </row>
    <row r="2361" spans="1:3" x14ac:dyDescent="0.25">
      <c r="A2361" s="4">
        <v>39238</v>
      </c>
      <c r="B2361">
        <v>314.25</v>
      </c>
      <c r="C2361" s="4"/>
    </row>
    <row r="2362" spans="1:3" x14ac:dyDescent="0.25">
      <c r="A2362" s="4">
        <v>39239</v>
      </c>
      <c r="B2362">
        <v>314</v>
      </c>
      <c r="C2362" s="4"/>
    </row>
    <row r="2363" spans="1:3" x14ac:dyDescent="0.25">
      <c r="A2363" s="4">
        <v>39240</v>
      </c>
      <c r="B2363">
        <v>320</v>
      </c>
      <c r="C2363" s="4"/>
    </row>
    <row r="2364" spans="1:3" x14ac:dyDescent="0.25">
      <c r="A2364" s="4">
        <v>39241</v>
      </c>
      <c r="B2364">
        <v>315.5</v>
      </c>
      <c r="C2364" s="4"/>
    </row>
    <row r="2365" spans="1:3" x14ac:dyDescent="0.25">
      <c r="A2365" s="4">
        <v>39244</v>
      </c>
      <c r="B2365">
        <v>315</v>
      </c>
      <c r="C2365" s="4"/>
    </row>
    <row r="2366" spans="1:3" x14ac:dyDescent="0.25">
      <c r="A2366" s="4">
        <v>39245</v>
      </c>
      <c r="B2366">
        <v>324.5</v>
      </c>
      <c r="C2366" s="4"/>
    </row>
    <row r="2367" spans="1:3" x14ac:dyDescent="0.25">
      <c r="A2367" s="4">
        <v>39246</v>
      </c>
      <c r="B2367">
        <v>328.5</v>
      </c>
      <c r="C2367" s="4"/>
    </row>
    <row r="2368" spans="1:3" x14ac:dyDescent="0.25">
      <c r="A2368" s="4">
        <v>39247</v>
      </c>
      <c r="B2368">
        <v>335</v>
      </c>
      <c r="C2368" s="4"/>
    </row>
    <row r="2369" spans="1:3" x14ac:dyDescent="0.25">
      <c r="A2369" s="4">
        <v>39248</v>
      </c>
      <c r="B2369">
        <v>324.75</v>
      </c>
      <c r="C2369" s="4"/>
    </row>
    <row r="2370" spans="1:3" x14ac:dyDescent="0.25">
      <c r="A2370" s="4">
        <v>39251</v>
      </c>
      <c r="B2370">
        <v>332.25</v>
      </c>
      <c r="C2370" s="4"/>
    </row>
    <row r="2371" spans="1:3" x14ac:dyDescent="0.25">
      <c r="A2371" s="4">
        <v>39252</v>
      </c>
      <c r="B2371">
        <v>331.5</v>
      </c>
      <c r="C2371" s="4"/>
    </row>
    <row r="2372" spans="1:3" x14ac:dyDescent="0.25">
      <c r="A2372" s="4">
        <v>39253</v>
      </c>
      <c r="B2372">
        <v>319</v>
      </c>
      <c r="C2372" s="4"/>
    </row>
    <row r="2373" spans="1:3" x14ac:dyDescent="0.25">
      <c r="A2373" s="4">
        <v>39254</v>
      </c>
      <c r="B2373">
        <v>327</v>
      </c>
      <c r="C2373" s="4"/>
    </row>
    <row r="2374" spans="1:3" x14ac:dyDescent="0.25">
      <c r="A2374" s="4">
        <v>39255</v>
      </c>
      <c r="B2374">
        <v>328</v>
      </c>
      <c r="C2374" s="4"/>
    </row>
    <row r="2375" spans="1:3" x14ac:dyDescent="0.25">
      <c r="A2375" s="4">
        <v>39258</v>
      </c>
      <c r="B2375">
        <v>329</v>
      </c>
      <c r="C2375" s="4"/>
    </row>
    <row r="2376" spans="1:3" x14ac:dyDescent="0.25">
      <c r="A2376" s="4">
        <v>39259</v>
      </c>
      <c r="B2376">
        <v>326</v>
      </c>
      <c r="C2376" s="4"/>
    </row>
    <row r="2377" spans="1:3" x14ac:dyDescent="0.25">
      <c r="A2377" s="4">
        <v>39260</v>
      </c>
      <c r="B2377">
        <v>330</v>
      </c>
      <c r="C2377" s="4"/>
    </row>
    <row r="2378" spans="1:3" x14ac:dyDescent="0.25">
      <c r="A2378" s="4">
        <v>39261</v>
      </c>
      <c r="B2378">
        <v>328.25</v>
      </c>
      <c r="C2378" s="4"/>
    </row>
    <row r="2379" spans="1:3" x14ac:dyDescent="0.25">
      <c r="A2379" s="4">
        <v>39262</v>
      </c>
      <c r="B2379">
        <v>329</v>
      </c>
      <c r="C2379" s="4"/>
    </row>
    <row r="2380" spans="1:3" x14ac:dyDescent="0.25">
      <c r="A2380" s="4">
        <v>39265</v>
      </c>
      <c r="B2380">
        <v>331.5</v>
      </c>
      <c r="C2380" s="4"/>
    </row>
    <row r="2381" spans="1:3" x14ac:dyDescent="0.25">
      <c r="A2381" s="4">
        <v>39266</v>
      </c>
      <c r="B2381">
        <v>337</v>
      </c>
      <c r="C2381" s="4"/>
    </row>
    <row r="2382" spans="1:3" x14ac:dyDescent="0.25">
      <c r="A2382" s="4">
        <v>39267</v>
      </c>
      <c r="B2382">
        <v>338.75</v>
      </c>
      <c r="C2382" s="4"/>
    </row>
    <row r="2383" spans="1:3" x14ac:dyDescent="0.25">
      <c r="A2383" s="4">
        <v>39268</v>
      </c>
      <c r="B2383">
        <v>344.75</v>
      </c>
      <c r="C2383" s="4"/>
    </row>
    <row r="2384" spans="1:3" x14ac:dyDescent="0.25">
      <c r="A2384" s="4">
        <v>39269</v>
      </c>
      <c r="B2384">
        <v>347.5</v>
      </c>
      <c r="C2384" s="4"/>
    </row>
    <row r="2385" spans="1:3" x14ac:dyDescent="0.25">
      <c r="A2385" s="4">
        <v>39272</v>
      </c>
      <c r="B2385">
        <v>350</v>
      </c>
      <c r="C2385" s="4"/>
    </row>
    <row r="2386" spans="1:3" x14ac:dyDescent="0.25">
      <c r="A2386" s="4">
        <v>39273</v>
      </c>
      <c r="B2386">
        <v>350</v>
      </c>
      <c r="C2386" s="4"/>
    </row>
    <row r="2387" spans="1:3" x14ac:dyDescent="0.25">
      <c r="A2387" s="4">
        <v>39274</v>
      </c>
      <c r="B2387">
        <v>354.5</v>
      </c>
      <c r="C2387" s="4"/>
    </row>
    <row r="2388" spans="1:3" x14ac:dyDescent="0.25">
      <c r="A2388" s="4">
        <v>39275</v>
      </c>
      <c r="B2388">
        <v>356.5</v>
      </c>
      <c r="C2388" s="4"/>
    </row>
    <row r="2389" spans="1:3" x14ac:dyDescent="0.25">
      <c r="A2389" s="4">
        <v>39276</v>
      </c>
      <c r="B2389">
        <v>349.5</v>
      </c>
      <c r="C2389" s="4"/>
    </row>
    <row r="2390" spans="1:3" x14ac:dyDescent="0.25">
      <c r="A2390" s="4">
        <v>39279</v>
      </c>
      <c r="B2390">
        <v>351</v>
      </c>
      <c r="C2390" s="4"/>
    </row>
    <row r="2391" spans="1:3" x14ac:dyDescent="0.25">
      <c r="A2391" s="4">
        <v>39280</v>
      </c>
      <c r="B2391">
        <v>353</v>
      </c>
      <c r="C2391" s="4"/>
    </row>
    <row r="2392" spans="1:3" x14ac:dyDescent="0.25">
      <c r="A2392" s="4">
        <v>39281</v>
      </c>
      <c r="B2392">
        <v>362.5</v>
      </c>
      <c r="C2392" s="4"/>
    </row>
    <row r="2393" spans="1:3" x14ac:dyDescent="0.25">
      <c r="A2393" s="4">
        <v>39282</v>
      </c>
      <c r="B2393">
        <v>373.5</v>
      </c>
      <c r="C2393" s="4"/>
    </row>
    <row r="2394" spans="1:3" x14ac:dyDescent="0.25">
      <c r="A2394" s="4">
        <v>39283</v>
      </c>
      <c r="B2394">
        <v>371.5</v>
      </c>
      <c r="C2394" s="4"/>
    </row>
    <row r="2395" spans="1:3" x14ac:dyDescent="0.25">
      <c r="A2395" s="4">
        <v>39286</v>
      </c>
      <c r="B2395">
        <v>369</v>
      </c>
      <c r="C2395" s="4"/>
    </row>
    <row r="2396" spans="1:3" x14ac:dyDescent="0.25">
      <c r="A2396" s="4">
        <v>39287</v>
      </c>
      <c r="B2396">
        <v>360.5</v>
      </c>
      <c r="C2396" s="4"/>
    </row>
    <row r="2397" spans="1:3" x14ac:dyDescent="0.25">
      <c r="A2397" s="4">
        <v>39288</v>
      </c>
      <c r="B2397">
        <v>363.5</v>
      </c>
      <c r="C2397" s="4"/>
    </row>
    <row r="2398" spans="1:3" x14ac:dyDescent="0.25">
      <c r="A2398" s="4">
        <v>39289</v>
      </c>
      <c r="B2398">
        <v>375</v>
      </c>
      <c r="C2398" s="4"/>
    </row>
    <row r="2399" spans="1:3" x14ac:dyDescent="0.25">
      <c r="A2399" s="4">
        <v>39290</v>
      </c>
      <c r="B2399">
        <v>371</v>
      </c>
      <c r="C2399" s="4"/>
    </row>
    <row r="2400" spans="1:3" x14ac:dyDescent="0.25">
      <c r="A2400" s="4">
        <v>39293</v>
      </c>
      <c r="B2400">
        <v>368.5</v>
      </c>
      <c r="C2400" s="4"/>
    </row>
    <row r="2401" spans="1:3" x14ac:dyDescent="0.25">
      <c r="A2401" s="4">
        <v>39294</v>
      </c>
      <c r="B2401">
        <v>370.5</v>
      </c>
      <c r="C2401" s="4"/>
    </row>
    <row r="2402" spans="1:3" x14ac:dyDescent="0.25">
      <c r="A2402" s="4">
        <v>39295</v>
      </c>
      <c r="B2402">
        <v>375.75</v>
      </c>
      <c r="C2402" s="4"/>
    </row>
    <row r="2403" spans="1:3" x14ac:dyDescent="0.25">
      <c r="A2403" s="4">
        <v>39296</v>
      </c>
      <c r="B2403">
        <v>375.5</v>
      </c>
      <c r="C2403" s="4"/>
    </row>
    <row r="2404" spans="1:3" x14ac:dyDescent="0.25">
      <c r="A2404" s="4">
        <v>39297</v>
      </c>
      <c r="B2404">
        <v>372.75</v>
      </c>
      <c r="C2404" s="4"/>
    </row>
    <row r="2405" spans="1:3" x14ac:dyDescent="0.25">
      <c r="A2405" s="4">
        <v>39300</v>
      </c>
      <c r="B2405">
        <v>363.5</v>
      </c>
      <c r="C2405" s="4"/>
    </row>
    <row r="2406" spans="1:3" x14ac:dyDescent="0.25">
      <c r="A2406" s="4">
        <v>39301</v>
      </c>
      <c r="B2406">
        <v>349</v>
      </c>
      <c r="C2406" s="4"/>
    </row>
    <row r="2407" spans="1:3" x14ac:dyDescent="0.25">
      <c r="A2407" s="4">
        <v>39302</v>
      </c>
      <c r="B2407">
        <v>349.5</v>
      </c>
      <c r="C2407" s="4"/>
    </row>
    <row r="2408" spans="1:3" x14ac:dyDescent="0.25">
      <c r="A2408" s="4">
        <v>39303</v>
      </c>
      <c r="B2408">
        <v>343.5</v>
      </c>
      <c r="C2408" s="4"/>
    </row>
    <row r="2409" spans="1:3" x14ac:dyDescent="0.25">
      <c r="A2409" s="4">
        <v>39304</v>
      </c>
      <c r="B2409">
        <v>338.5</v>
      </c>
      <c r="C2409" s="4"/>
    </row>
    <row r="2410" spans="1:3" x14ac:dyDescent="0.25">
      <c r="A2410" s="4">
        <v>39307</v>
      </c>
      <c r="B2410">
        <v>348.5</v>
      </c>
      <c r="C2410" s="4"/>
    </row>
    <row r="2411" spans="1:3" x14ac:dyDescent="0.25">
      <c r="A2411" s="4">
        <v>39308</v>
      </c>
      <c r="B2411">
        <v>341.25</v>
      </c>
      <c r="C2411" s="4"/>
    </row>
    <row r="2412" spans="1:3" x14ac:dyDescent="0.25">
      <c r="A2412" s="4">
        <v>39309</v>
      </c>
      <c r="B2412">
        <v>346.75</v>
      </c>
      <c r="C2412" s="4"/>
    </row>
    <row r="2413" spans="1:3" x14ac:dyDescent="0.25">
      <c r="A2413" s="4">
        <v>39310</v>
      </c>
      <c r="B2413">
        <v>340</v>
      </c>
      <c r="C2413" s="4"/>
    </row>
    <row r="2414" spans="1:3" x14ac:dyDescent="0.25">
      <c r="A2414" s="4">
        <v>39311</v>
      </c>
      <c r="B2414">
        <v>340</v>
      </c>
      <c r="C2414" s="4"/>
    </row>
    <row r="2415" spans="1:3" x14ac:dyDescent="0.25">
      <c r="A2415" s="4">
        <v>39314</v>
      </c>
      <c r="B2415">
        <v>334.5</v>
      </c>
      <c r="C2415" s="4"/>
    </row>
    <row r="2416" spans="1:3" x14ac:dyDescent="0.25">
      <c r="A2416" s="4">
        <v>39315</v>
      </c>
      <c r="B2416">
        <v>334</v>
      </c>
      <c r="C2416" s="4"/>
    </row>
    <row r="2417" spans="1:3" x14ac:dyDescent="0.25">
      <c r="A2417" s="4">
        <v>39316</v>
      </c>
      <c r="B2417">
        <v>332</v>
      </c>
      <c r="C2417" s="4"/>
    </row>
    <row r="2418" spans="1:3" x14ac:dyDescent="0.25">
      <c r="A2418" s="4">
        <v>39317</v>
      </c>
      <c r="B2418">
        <v>331</v>
      </c>
      <c r="C2418" s="4"/>
    </row>
    <row r="2419" spans="1:3" x14ac:dyDescent="0.25">
      <c r="A2419" s="4">
        <v>39318</v>
      </c>
      <c r="B2419">
        <v>333</v>
      </c>
      <c r="C2419" s="4"/>
    </row>
    <row r="2420" spans="1:3" x14ac:dyDescent="0.25">
      <c r="A2420" s="4">
        <v>39322</v>
      </c>
      <c r="B2420">
        <v>336</v>
      </c>
      <c r="C2420" s="4"/>
    </row>
    <row r="2421" spans="1:3" x14ac:dyDescent="0.25">
      <c r="A2421" s="4">
        <v>39323</v>
      </c>
      <c r="B2421">
        <v>340</v>
      </c>
      <c r="C2421" s="4"/>
    </row>
    <row r="2422" spans="1:3" x14ac:dyDescent="0.25">
      <c r="A2422" s="4">
        <v>39324</v>
      </c>
      <c r="B2422">
        <v>346</v>
      </c>
      <c r="C2422" s="4"/>
    </row>
    <row r="2423" spans="1:3" x14ac:dyDescent="0.25">
      <c r="A2423" s="4">
        <v>39325</v>
      </c>
      <c r="B2423">
        <v>351</v>
      </c>
      <c r="C2423" s="4"/>
    </row>
    <row r="2424" spans="1:3" x14ac:dyDescent="0.25">
      <c r="A2424" s="4">
        <v>39328</v>
      </c>
      <c r="B2424">
        <v>359.5</v>
      </c>
      <c r="C2424" s="4"/>
    </row>
    <row r="2425" spans="1:3" x14ac:dyDescent="0.25">
      <c r="A2425" s="4">
        <v>39329</v>
      </c>
      <c r="B2425">
        <v>364.5</v>
      </c>
      <c r="C2425" s="4"/>
    </row>
    <row r="2426" spans="1:3" x14ac:dyDescent="0.25">
      <c r="A2426" s="4">
        <v>39330</v>
      </c>
      <c r="B2426">
        <v>359.5</v>
      </c>
      <c r="C2426" s="4"/>
    </row>
    <row r="2427" spans="1:3" x14ac:dyDescent="0.25">
      <c r="A2427" s="4">
        <v>39331</v>
      </c>
      <c r="B2427">
        <v>361.5</v>
      </c>
      <c r="C2427" s="4"/>
    </row>
    <row r="2428" spans="1:3" x14ac:dyDescent="0.25">
      <c r="A2428" s="4">
        <v>39332</v>
      </c>
      <c r="B2428">
        <v>356</v>
      </c>
      <c r="C2428" s="4"/>
    </row>
    <row r="2429" spans="1:3" x14ac:dyDescent="0.25">
      <c r="A2429" s="4">
        <v>39335</v>
      </c>
      <c r="B2429">
        <v>354.5</v>
      </c>
      <c r="C2429" s="4"/>
    </row>
    <row r="2430" spans="1:3" x14ac:dyDescent="0.25">
      <c r="A2430" s="4">
        <v>39336</v>
      </c>
      <c r="B2430">
        <v>359.5</v>
      </c>
      <c r="C2430" s="4"/>
    </row>
    <row r="2431" spans="1:3" x14ac:dyDescent="0.25">
      <c r="A2431" s="4">
        <v>39337</v>
      </c>
      <c r="B2431">
        <v>364</v>
      </c>
      <c r="C2431" s="4"/>
    </row>
    <row r="2432" spans="1:3" x14ac:dyDescent="0.25">
      <c r="A2432" s="4">
        <v>39338</v>
      </c>
      <c r="B2432">
        <v>369</v>
      </c>
      <c r="C2432" s="4"/>
    </row>
    <row r="2433" spans="1:3" x14ac:dyDescent="0.25">
      <c r="A2433" s="4">
        <v>39339</v>
      </c>
      <c r="B2433">
        <v>368.5</v>
      </c>
      <c r="C2433" s="4"/>
    </row>
    <row r="2434" spans="1:3" x14ac:dyDescent="0.25">
      <c r="A2434" s="4">
        <v>39342</v>
      </c>
      <c r="B2434">
        <v>368.5</v>
      </c>
      <c r="C2434" s="4"/>
    </row>
    <row r="2435" spans="1:3" x14ac:dyDescent="0.25">
      <c r="A2435" s="4">
        <v>39343</v>
      </c>
      <c r="B2435">
        <v>369</v>
      </c>
      <c r="C2435" s="4"/>
    </row>
    <row r="2436" spans="1:3" x14ac:dyDescent="0.25">
      <c r="A2436" s="4">
        <v>39344</v>
      </c>
      <c r="B2436">
        <v>375.5</v>
      </c>
      <c r="C2436" s="4"/>
    </row>
    <row r="2437" spans="1:3" x14ac:dyDescent="0.25">
      <c r="A2437" s="4">
        <v>39345</v>
      </c>
      <c r="B2437">
        <v>377.5</v>
      </c>
      <c r="C2437" s="4"/>
    </row>
    <row r="2438" spans="1:3" x14ac:dyDescent="0.25">
      <c r="A2438" s="4">
        <v>39346</v>
      </c>
      <c r="B2438">
        <v>382</v>
      </c>
      <c r="C2438" s="4"/>
    </row>
    <row r="2439" spans="1:3" x14ac:dyDescent="0.25">
      <c r="A2439" s="4">
        <v>39349</v>
      </c>
      <c r="B2439">
        <v>380</v>
      </c>
      <c r="C2439" s="4"/>
    </row>
    <row r="2440" spans="1:3" x14ac:dyDescent="0.25">
      <c r="A2440" s="4">
        <v>39350</v>
      </c>
      <c r="B2440">
        <v>373.75</v>
      </c>
      <c r="C2440" s="4"/>
    </row>
    <row r="2441" spans="1:3" x14ac:dyDescent="0.25">
      <c r="A2441" s="4">
        <v>39351</v>
      </c>
      <c r="B2441">
        <v>371</v>
      </c>
      <c r="C2441" s="4"/>
    </row>
    <row r="2442" spans="1:3" x14ac:dyDescent="0.25">
      <c r="A2442" s="4">
        <v>39352</v>
      </c>
      <c r="B2442">
        <v>376.5</v>
      </c>
      <c r="C2442" s="4"/>
    </row>
    <row r="2443" spans="1:3" x14ac:dyDescent="0.25">
      <c r="A2443" s="4">
        <v>39353</v>
      </c>
      <c r="B2443">
        <v>385</v>
      </c>
      <c r="C2443" s="4"/>
    </row>
    <row r="2444" spans="1:3" x14ac:dyDescent="0.25">
      <c r="A2444" s="4">
        <v>39356</v>
      </c>
      <c r="B2444">
        <v>377</v>
      </c>
      <c r="C2444" s="4"/>
    </row>
    <row r="2445" spans="1:3" x14ac:dyDescent="0.25">
      <c r="A2445" s="4">
        <v>39357</v>
      </c>
      <c r="B2445">
        <v>375</v>
      </c>
      <c r="C2445" s="4"/>
    </row>
    <row r="2446" spans="1:3" x14ac:dyDescent="0.25">
      <c r="A2446" s="4">
        <v>39358</v>
      </c>
      <c r="B2446">
        <v>379.5</v>
      </c>
      <c r="C2446" s="4"/>
    </row>
    <row r="2447" spans="1:3" x14ac:dyDescent="0.25">
      <c r="A2447" s="4">
        <v>39359</v>
      </c>
      <c r="B2447">
        <v>377.5</v>
      </c>
      <c r="C2447" s="4"/>
    </row>
    <row r="2448" spans="1:3" x14ac:dyDescent="0.25">
      <c r="A2448" s="4">
        <v>39360</v>
      </c>
      <c r="B2448">
        <v>386</v>
      </c>
      <c r="C2448" s="4"/>
    </row>
    <row r="2449" spans="1:3" x14ac:dyDescent="0.25">
      <c r="A2449" s="4">
        <v>39363</v>
      </c>
      <c r="B2449">
        <v>377.75</v>
      </c>
      <c r="C2449" s="4"/>
    </row>
    <row r="2450" spans="1:3" x14ac:dyDescent="0.25">
      <c r="A2450" s="4">
        <v>39364</v>
      </c>
      <c r="B2450">
        <v>378</v>
      </c>
      <c r="C2450" s="4"/>
    </row>
    <row r="2451" spans="1:3" x14ac:dyDescent="0.25">
      <c r="A2451" s="4">
        <v>39365</v>
      </c>
      <c r="B2451">
        <v>382.5</v>
      </c>
      <c r="C2451" s="4"/>
    </row>
    <row r="2452" spans="1:3" x14ac:dyDescent="0.25">
      <c r="A2452" s="4">
        <v>39366</v>
      </c>
      <c r="B2452">
        <v>395.5</v>
      </c>
      <c r="C2452" s="4"/>
    </row>
    <row r="2453" spans="1:3" x14ac:dyDescent="0.25">
      <c r="A2453" s="4">
        <v>39367</v>
      </c>
      <c r="B2453">
        <v>397</v>
      </c>
      <c r="C2453" s="4"/>
    </row>
    <row r="2454" spans="1:3" x14ac:dyDescent="0.25">
      <c r="A2454" s="4">
        <v>39370</v>
      </c>
      <c r="B2454">
        <v>410</v>
      </c>
      <c r="C2454" s="4"/>
    </row>
    <row r="2455" spans="1:3" x14ac:dyDescent="0.25">
      <c r="A2455" s="4">
        <v>39371</v>
      </c>
      <c r="B2455">
        <v>426.5</v>
      </c>
      <c r="C2455" s="4"/>
    </row>
    <row r="2456" spans="1:3" x14ac:dyDescent="0.25">
      <c r="A2456" s="4">
        <v>39372</v>
      </c>
      <c r="B2456">
        <v>427.5</v>
      </c>
      <c r="C2456" s="4"/>
    </row>
    <row r="2457" spans="1:3" x14ac:dyDescent="0.25">
      <c r="A2457" s="4">
        <v>39373</v>
      </c>
      <c r="B2457">
        <v>427.5</v>
      </c>
      <c r="C2457" s="4"/>
    </row>
    <row r="2458" spans="1:3" x14ac:dyDescent="0.25">
      <c r="A2458" s="4">
        <v>39374</v>
      </c>
      <c r="B2458">
        <v>425</v>
      </c>
      <c r="C2458" s="4"/>
    </row>
    <row r="2459" spans="1:3" x14ac:dyDescent="0.25">
      <c r="A2459" s="4">
        <v>39377</v>
      </c>
      <c r="B2459">
        <v>415</v>
      </c>
      <c r="C2459" s="4"/>
    </row>
    <row r="2460" spans="1:3" x14ac:dyDescent="0.25">
      <c r="A2460" s="4">
        <v>39378</v>
      </c>
      <c r="B2460">
        <v>418.5</v>
      </c>
      <c r="C2460" s="4"/>
    </row>
    <row r="2461" spans="1:3" x14ac:dyDescent="0.25">
      <c r="A2461" s="4">
        <v>39379</v>
      </c>
      <c r="B2461">
        <v>427</v>
      </c>
      <c r="C2461" s="4"/>
    </row>
    <row r="2462" spans="1:3" x14ac:dyDescent="0.25">
      <c r="A2462" s="4">
        <v>39380</v>
      </c>
      <c r="B2462">
        <v>440</v>
      </c>
      <c r="C2462" s="4"/>
    </row>
    <row r="2463" spans="1:3" x14ac:dyDescent="0.25">
      <c r="A2463" s="4">
        <v>39381</v>
      </c>
      <c r="B2463">
        <v>449</v>
      </c>
      <c r="C2463" s="4"/>
    </row>
    <row r="2464" spans="1:3" x14ac:dyDescent="0.25">
      <c r="A2464" s="4">
        <v>39384</v>
      </c>
      <c r="B2464">
        <v>458.25</v>
      </c>
      <c r="C2464" s="4"/>
    </row>
    <row r="2465" spans="1:3" x14ac:dyDescent="0.25">
      <c r="A2465" s="4">
        <v>39385</v>
      </c>
      <c r="B2465">
        <v>458</v>
      </c>
      <c r="C2465" s="4"/>
    </row>
    <row r="2466" spans="1:3" x14ac:dyDescent="0.25">
      <c r="A2466" s="4">
        <v>39386</v>
      </c>
      <c r="B2466">
        <v>467</v>
      </c>
      <c r="C2466" s="4"/>
    </row>
    <row r="2467" spans="1:3" x14ac:dyDescent="0.25">
      <c r="A2467" s="4">
        <v>39387</v>
      </c>
      <c r="B2467">
        <v>467</v>
      </c>
      <c r="C2467" s="4"/>
    </row>
    <row r="2468" spans="1:3" x14ac:dyDescent="0.25">
      <c r="A2468" s="4">
        <v>39388</v>
      </c>
      <c r="B2468">
        <v>479.75</v>
      </c>
      <c r="C2468" s="4"/>
    </row>
    <row r="2469" spans="1:3" x14ac:dyDescent="0.25">
      <c r="A2469" s="4">
        <v>39391</v>
      </c>
      <c r="B2469">
        <v>484.5</v>
      </c>
      <c r="C2469" s="4"/>
    </row>
    <row r="2470" spans="1:3" x14ac:dyDescent="0.25">
      <c r="A2470" s="4">
        <v>39392</v>
      </c>
      <c r="B2470">
        <v>491.25</v>
      </c>
      <c r="C2470" s="4"/>
    </row>
    <row r="2471" spans="1:3" x14ac:dyDescent="0.25">
      <c r="A2471" s="4">
        <v>39393</v>
      </c>
      <c r="B2471">
        <v>496.25</v>
      </c>
      <c r="C2471" s="4"/>
    </row>
    <row r="2472" spans="1:3" x14ac:dyDescent="0.25">
      <c r="A2472" s="4">
        <v>39394</v>
      </c>
      <c r="B2472">
        <v>494.5</v>
      </c>
      <c r="C2472" s="4"/>
    </row>
    <row r="2473" spans="1:3" x14ac:dyDescent="0.25">
      <c r="A2473" s="4">
        <v>39395</v>
      </c>
      <c r="B2473">
        <v>483.5</v>
      </c>
      <c r="C2473" s="4"/>
    </row>
    <row r="2474" spans="1:3" x14ac:dyDescent="0.25">
      <c r="A2474" s="4">
        <v>39398</v>
      </c>
      <c r="B2474">
        <v>479</v>
      </c>
      <c r="C2474" s="4"/>
    </row>
    <row r="2475" spans="1:3" x14ac:dyDescent="0.25">
      <c r="A2475" s="4">
        <v>39399</v>
      </c>
      <c r="B2475">
        <v>465</v>
      </c>
      <c r="C2475" s="4"/>
    </row>
    <row r="2476" spans="1:3" x14ac:dyDescent="0.25">
      <c r="A2476" s="4">
        <v>39400</v>
      </c>
      <c r="B2476">
        <v>462</v>
      </c>
      <c r="C2476" s="4"/>
    </row>
    <row r="2477" spans="1:3" x14ac:dyDescent="0.25">
      <c r="A2477" s="4">
        <v>39401</v>
      </c>
      <c r="B2477">
        <v>453</v>
      </c>
      <c r="C2477" s="4"/>
    </row>
    <row r="2478" spans="1:3" x14ac:dyDescent="0.25">
      <c r="A2478" s="4">
        <v>39402</v>
      </c>
      <c r="B2478">
        <v>460.5</v>
      </c>
      <c r="C2478" s="4"/>
    </row>
    <row r="2479" spans="1:3" x14ac:dyDescent="0.25">
      <c r="A2479" s="4">
        <v>39405</v>
      </c>
      <c r="B2479">
        <v>462</v>
      </c>
      <c r="C2479" s="4"/>
    </row>
    <row r="2480" spans="1:3" x14ac:dyDescent="0.25">
      <c r="A2480" s="4">
        <v>39406</v>
      </c>
      <c r="B2480">
        <v>475.5</v>
      </c>
      <c r="C2480" s="4"/>
    </row>
    <row r="2481" spans="1:3" x14ac:dyDescent="0.25">
      <c r="A2481" s="4">
        <v>39407</v>
      </c>
      <c r="B2481">
        <v>477</v>
      </c>
      <c r="C2481" s="4"/>
    </row>
    <row r="2482" spans="1:3" x14ac:dyDescent="0.25">
      <c r="A2482" s="4">
        <v>39408</v>
      </c>
      <c r="B2482">
        <v>470</v>
      </c>
      <c r="C2482" s="4"/>
    </row>
    <row r="2483" spans="1:3" x14ac:dyDescent="0.25">
      <c r="A2483" s="4">
        <v>39409</v>
      </c>
      <c r="B2483">
        <v>456</v>
      </c>
      <c r="C2483" s="4"/>
    </row>
    <row r="2484" spans="1:3" x14ac:dyDescent="0.25">
      <c r="A2484" s="4">
        <v>39412</v>
      </c>
      <c r="B2484">
        <v>460</v>
      </c>
      <c r="C2484" s="4"/>
    </row>
    <row r="2485" spans="1:3" x14ac:dyDescent="0.25">
      <c r="A2485" s="4">
        <v>39413</v>
      </c>
      <c r="B2485">
        <v>458</v>
      </c>
      <c r="C2485" s="4"/>
    </row>
    <row r="2486" spans="1:3" x14ac:dyDescent="0.25">
      <c r="A2486" s="4">
        <v>39414</v>
      </c>
      <c r="B2486">
        <v>446</v>
      </c>
      <c r="C2486" s="4"/>
    </row>
    <row r="2487" spans="1:3" x14ac:dyDescent="0.25">
      <c r="A2487" s="4">
        <v>39415</v>
      </c>
      <c r="B2487">
        <v>441</v>
      </c>
      <c r="C2487" s="4"/>
    </row>
    <row r="2488" spans="1:3" x14ac:dyDescent="0.25">
      <c r="A2488" s="4">
        <v>39416</v>
      </c>
      <c r="B2488">
        <v>422</v>
      </c>
      <c r="C2488" s="4"/>
    </row>
    <row r="2489" spans="1:3" x14ac:dyDescent="0.25">
      <c r="A2489" s="4">
        <v>39419</v>
      </c>
      <c r="B2489">
        <v>424</v>
      </c>
      <c r="C2489" s="4"/>
    </row>
    <row r="2490" spans="1:3" x14ac:dyDescent="0.25">
      <c r="A2490" s="4">
        <v>39420</v>
      </c>
      <c r="B2490">
        <v>433</v>
      </c>
      <c r="C2490" s="4"/>
    </row>
    <row r="2491" spans="1:3" x14ac:dyDescent="0.25">
      <c r="A2491" s="4">
        <v>39421</v>
      </c>
      <c r="B2491">
        <v>437</v>
      </c>
      <c r="C2491" s="4"/>
    </row>
    <row r="2492" spans="1:3" x14ac:dyDescent="0.25">
      <c r="A2492" s="4">
        <v>39422</v>
      </c>
      <c r="B2492">
        <v>426.5</v>
      </c>
      <c r="C2492" s="4"/>
    </row>
    <row r="2493" spans="1:3" x14ac:dyDescent="0.25">
      <c r="A2493" s="4">
        <v>39423</v>
      </c>
      <c r="B2493">
        <v>425</v>
      </c>
      <c r="C2493" s="4"/>
    </row>
    <row r="2494" spans="1:3" x14ac:dyDescent="0.25">
      <c r="A2494" s="4">
        <v>39426</v>
      </c>
      <c r="B2494">
        <v>424</v>
      </c>
      <c r="C2494" s="4"/>
    </row>
    <row r="2495" spans="1:3" x14ac:dyDescent="0.25">
      <c r="A2495" s="4">
        <v>39427</v>
      </c>
      <c r="B2495">
        <v>424</v>
      </c>
      <c r="C2495" s="4"/>
    </row>
    <row r="2496" spans="1:3" x14ac:dyDescent="0.25">
      <c r="A2496" s="4">
        <v>39428</v>
      </c>
      <c r="B2496">
        <v>436</v>
      </c>
      <c r="C2496" s="4"/>
    </row>
    <row r="2497" spans="1:3" x14ac:dyDescent="0.25">
      <c r="A2497" s="4">
        <v>39429</v>
      </c>
      <c r="B2497">
        <v>446</v>
      </c>
      <c r="C2497" s="4"/>
    </row>
    <row r="2498" spans="1:3" x14ac:dyDescent="0.25">
      <c r="A2498" s="4">
        <v>39430</v>
      </c>
      <c r="B2498">
        <v>443.5</v>
      </c>
      <c r="C2498" s="4"/>
    </row>
    <row r="2499" spans="1:3" x14ac:dyDescent="0.25">
      <c r="A2499" s="4">
        <v>39433</v>
      </c>
      <c r="B2499">
        <v>442</v>
      </c>
      <c r="C2499" s="4"/>
    </row>
    <row r="2500" spans="1:3" x14ac:dyDescent="0.25">
      <c r="A2500" s="4">
        <v>39434</v>
      </c>
      <c r="B2500">
        <v>445</v>
      </c>
      <c r="C2500" s="4"/>
    </row>
    <row r="2501" spans="1:3" x14ac:dyDescent="0.25">
      <c r="A2501" s="4">
        <v>39435</v>
      </c>
      <c r="B2501">
        <v>444</v>
      </c>
      <c r="C2501" s="4"/>
    </row>
    <row r="2502" spans="1:3" x14ac:dyDescent="0.25">
      <c r="A2502" s="4">
        <v>39436</v>
      </c>
      <c r="B2502">
        <v>442.5</v>
      </c>
      <c r="C2502" s="4"/>
    </row>
    <row r="2503" spans="1:3" x14ac:dyDescent="0.25">
      <c r="A2503" s="4">
        <v>39437</v>
      </c>
      <c r="B2503">
        <v>436</v>
      </c>
      <c r="C2503" s="4"/>
    </row>
    <row r="2504" spans="1:3" x14ac:dyDescent="0.25">
      <c r="A2504" s="4">
        <v>39440</v>
      </c>
      <c r="B2504">
        <v>439</v>
      </c>
      <c r="C2504" s="4"/>
    </row>
    <row r="2505" spans="1:3" x14ac:dyDescent="0.25">
      <c r="A2505" s="4">
        <v>39449</v>
      </c>
      <c r="B2505">
        <v>469</v>
      </c>
      <c r="C2505" s="4"/>
    </row>
    <row r="2506" spans="1:3" x14ac:dyDescent="0.25">
      <c r="A2506" s="4">
        <v>39450</v>
      </c>
      <c r="B2506">
        <v>473.5</v>
      </c>
      <c r="C2506" s="4"/>
    </row>
    <row r="2507" spans="1:3" x14ac:dyDescent="0.25">
      <c r="A2507" s="4">
        <v>39451</v>
      </c>
      <c r="B2507">
        <v>466</v>
      </c>
      <c r="C2507" s="4"/>
    </row>
    <row r="2508" spans="1:3" x14ac:dyDescent="0.25">
      <c r="A2508" s="4">
        <v>39454</v>
      </c>
      <c r="B2508">
        <v>453.5</v>
      </c>
      <c r="C2508" s="4"/>
    </row>
    <row r="2509" spans="1:3" x14ac:dyDescent="0.25">
      <c r="A2509" s="4">
        <v>39455</v>
      </c>
      <c r="B2509">
        <v>459</v>
      </c>
      <c r="C2509" s="4"/>
    </row>
    <row r="2510" spans="1:3" x14ac:dyDescent="0.25">
      <c r="A2510" s="4">
        <v>39456</v>
      </c>
      <c r="B2510">
        <v>456</v>
      </c>
      <c r="C2510" s="4"/>
    </row>
    <row r="2511" spans="1:3" x14ac:dyDescent="0.25">
      <c r="A2511" s="4">
        <v>39457</v>
      </c>
      <c r="B2511">
        <v>436</v>
      </c>
      <c r="C2511" s="4"/>
    </row>
    <row r="2512" spans="1:3" x14ac:dyDescent="0.25">
      <c r="A2512" s="4">
        <v>39458</v>
      </c>
      <c r="B2512">
        <v>429.5</v>
      </c>
      <c r="C2512" s="4"/>
    </row>
    <row r="2513" spans="1:3" x14ac:dyDescent="0.25">
      <c r="A2513" s="4">
        <v>39461</v>
      </c>
      <c r="B2513">
        <v>439</v>
      </c>
      <c r="C2513" s="4"/>
    </row>
    <row r="2514" spans="1:3" x14ac:dyDescent="0.25">
      <c r="A2514" s="4">
        <v>39462</v>
      </c>
      <c r="B2514">
        <v>435</v>
      </c>
      <c r="C2514" s="4"/>
    </row>
    <row r="2515" spans="1:3" x14ac:dyDescent="0.25">
      <c r="A2515" s="4">
        <v>39463</v>
      </c>
      <c r="B2515">
        <v>420</v>
      </c>
      <c r="C2515" s="4"/>
    </row>
    <row r="2516" spans="1:3" x14ac:dyDescent="0.25">
      <c r="A2516" s="4">
        <v>39464</v>
      </c>
      <c r="B2516">
        <v>419</v>
      </c>
      <c r="C2516" s="4"/>
    </row>
    <row r="2517" spans="1:3" x14ac:dyDescent="0.25">
      <c r="A2517" s="4">
        <v>39465</v>
      </c>
      <c r="B2517">
        <v>419</v>
      </c>
      <c r="C2517" s="4"/>
    </row>
    <row r="2518" spans="1:3" x14ac:dyDescent="0.25">
      <c r="A2518" s="4">
        <v>39468</v>
      </c>
      <c r="B2518">
        <v>414.5</v>
      </c>
      <c r="C2518" s="4"/>
    </row>
    <row r="2519" spans="1:3" x14ac:dyDescent="0.25">
      <c r="A2519" s="4">
        <v>39469</v>
      </c>
      <c r="B2519">
        <v>411</v>
      </c>
      <c r="C2519" s="4"/>
    </row>
    <row r="2520" spans="1:3" x14ac:dyDescent="0.25">
      <c r="A2520" s="4">
        <v>39470</v>
      </c>
      <c r="B2520">
        <v>410.25</v>
      </c>
      <c r="C2520" s="4"/>
    </row>
    <row r="2521" spans="1:3" x14ac:dyDescent="0.25">
      <c r="A2521" s="4">
        <v>39471</v>
      </c>
      <c r="B2521">
        <v>413</v>
      </c>
      <c r="C2521" s="4"/>
    </row>
    <row r="2522" spans="1:3" x14ac:dyDescent="0.25">
      <c r="A2522" s="4">
        <v>39472</v>
      </c>
      <c r="B2522">
        <v>433</v>
      </c>
      <c r="C2522" s="4"/>
    </row>
    <row r="2523" spans="1:3" x14ac:dyDescent="0.25">
      <c r="A2523" s="4">
        <v>39475</v>
      </c>
      <c r="B2523">
        <v>426</v>
      </c>
      <c r="C2523" s="4"/>
    </row>
    <row r="2524" spans="1:3" x14ac:dyDescent="0.25">
      <c r="A2524" s="4">
        <v>39476</v>
      </c>
      <c r="B2524">
        <v>435</v>
      </c>
      <c r="C2524" s="4"/>
    </row>
    <row r="2525" spans="1:3" x14ac:dyDescent="0.25">
      <c r="A2525" s="4">
        <v>39477</v>
      </c>
      <c r="B2525">
        <v>432</v>
      </c>
      <c r="C2525" s="4"/>
    </row>
    <row r="2526" spans="1:3" x14ac:dyDescent="0.25">
      <c r="A2526" s="4">
        <v>39478</v>
      </c>
      <c r="B2526">
        <v>419</v>
      </c>
      <c r="C2526" s="4"/>
    </row>
    <row r="2527" spans="1:3" x14ac:dyDescent="0.25">
      <c r="A2527" s="4">
        <v>39479</v>
      </c>
      <c r="B2527">
        <v>412</v>
      </c>
      <c r="C2527" s="4"/>
    </row>
    <row r="2528" spans="1:3" x14ac:dyDescent="0.25">
      <c r="A2528" s="4">
        <v>39482</v>
      </c>
      <c r="B2528">
        <v>411.5</v>
      </c>
      <c r="C2528" s="4"/>
    </row>
    <row r="2529" spans="1:3" x14ac:dyDescent="0.25">
      <c r="A2529" s="4">
        <v>39483</v>
      </c>
      <c r="B2529">
        <v>405.5</v>
      </c>
      <c r="C2529" s="4"/>
    </row>
    <row r="2530" spans="1:3" x14ac:dyDescent="0.25">
      <c r="A2530" s="4">
        <v>39484</v>
      </c>
      <c r="B2530">
        <v>397</v>
      </c>
      <c r="C2530" s="4"/>
    </row>
    <row r="2531" spans="1:3" x14ac:dyDescent="0.25">
      <c r="A2531" s="4">
        <v>39485</v>
      </c>
      <c r="B2531">
        <v>391</v>
      </c>
      <c r="C2531" s="4"/>
    </row>
    <row r="2532" spans="1:3" x14ac:dyDescent="0.25">
      <c r="A2532" s="4">
        <v>39486</v>
      </c>
      <c r="B2532">
        <v>397</v>
      </c>
      <c r="C2532" s="4"/>
    </row>
    <row r="2533" spans="1:3" x14ac:dyDescent="0.25">
      <c r="A2533" s="4">
        <v>39489</v>
      </c>
      <c r="B2533">
        <v>410</v>
      </c>
      <c r="C2533" s="4"/>
    </row>
    <row r="2534" spans="1:3" x14ac:dyDescent="0.25">
      <c r="A2534" s="4">
        <v>39490</v>
      </c>
      <c r="B2534">
        <v>421</v>
      </c>
      <c r="C2534" s="4"/>
    </row>
    <row r="2535" spans="1:3" x14ac:dyDescent="0.25">
      <c r="A2535" s="4">
        <v>39491</v>
      </c>
      <c r="B2535">
        <v>427</v>
      </c>
      <c r="C2535" s="4"/>
    </row>
    <row r="2536" spans="1:3" x14ac:dyDescent="0.25">
      <c r="A2536" s="4">
        <v>39492</v>
      </c>
      <c r="B2536">
        <v>449</v>
      </c>
      <c r="C2536" s="4"/>
    </row>
    <row r="2537" spans="1:3" x14ac:dyDescent="0.25">
      <c r="A2537" s="4">
        <v>39493</v>
      </c>
      <c r="B2537">
        <v>439</v>
      </c>
      <c r="C2537" s="4"/>
    </row>
    <row r="2538" spans="1:3" x14ac:dyDescent="0.25">
      <c r="A2538" s="4">
        <v>39496</v>
      </c>
      <c r="B2538">
        <v>444</v>
      </c>
      <c r="C2538" s="4"/>
    </row>
    <row r="2539" spans="1:3" x14ac:dyDescent="0.25">
      <c r="A2539" s="4">
        <v>39497</v>
      </c>
      <c r="B2539">
        <v>447</v>
      </c>
      <c r="C2539" s="4"/>
    </row>
    <row r="2540" spans="1:3" x14ac:dyDescent="0.25">
      <c r="A2540" s="4">
        <v>39498</v>
      </c>
      <c r="B2540">
        <v>450</v>
      </c>
      <c r="C2540" s="4"/>
    </row>
    <row r="2541" spans="1:3" x14ac:dyDescent="0.25">
      <c r="A2541" s="4">
        <v>39499</v>
      </c>
      <c r="B2541">
        <v>447</v>
      </c>
      <c r="C2541" s="4"/>
    </row>
    <row r="2542" spans="1:3" x14ac:dyDescent="0.25">
      <c r="A2542" s="4">
        <v>39500</v>
      </c>
      <c r="B2542">
        <v>445</v>
      </c>
      <c r="C2542" s="4"/>
    </row>
    <row r="2543" spans="1:3" x14ac:dyDescent="0.25">
      <c r="A2543" s="4">
        <v>39503</v>
      </c>
      <c r="B2543">
        <v>438</v>
      </c>
      <c r="C2543" s="4"/>
    </row>
    <row r="2544" spans="1:3" x14ac:dyDescent="0.25">
      <c r="A2544" s="4">
        <v>39504</v>
      </c>
      <c r="B2544">
        <v>441</v>
      </c>
      <c r="C2544" s="4"/>
    </row>
    <row r="2545" spans="1:3" x14ac:dyDescent="0.25">
      <c r="A2545" s="4">
        <v>39505</v>
      </c>
      <c r="B2545">
        <v>442</v>
      </c>
      <c r="C2545" s="4"/>
    </row>
    <row r="2546" spans="1:3" x14ac:dyDescent="0.25">
      <c r="A2546" s="4">
        <v>39506</v>
      </c>
      <c r="B2546">
        <v>454</v>
      </c>
      <c r="C2546" s="4"/>
    </row>
    <row r="2547" spans="1:3" x14ac:dyDescent="0.25">
      <c r="A2547" s="4">
        <v>39507</v>
      </c>
      <c r="B2547">
        <v>456</v>
      </c>
      <c r="C2547" s="4"/>
    </row>
    <row r="2548" spans="1:3" x14ac:dyDescent="0.25">
      <c r="A2548" s="4">
        <v>39510</v>
      </c>
      <c r="B2548">
        <v>467</v>
      </c>
      <c r="C2548" s="4"/>
    </row>
    <row r="2549" spans="1:3" x14ac:dyDescent="0.25">
      <c r="A2549" s="4">
        <v>39511</v>
      </c>
      <c r="B2549">
        <v>457</v>
      </c>
      <c r="C2549" s="4"/>
    </row>
    <row r="2550" spans="1:3" x14ac:dyDescent="0.25">
      <c r="A2550" s="4">
        <v>39512</v>
      </c>
      <c r="B2550">
        <v>466.5</v>
      </c>
      <c r="C2550" s="4"/>
    </row>
    <row r="2551" spans="1:3" x14ac:dyDescent="0.25">
      <c r="A2551" s="4">
        <v>39513</v>
      </c>
      <c r="B2551">
        <v>468</v>
      </c>
      <c r="C2551" s="4"/>
    </row>
    <row r="2552" spans="1:3" x14ac:dyDescent="0.25">
      <c r="A2552" s="4">
        <v>39514</v>
      </c>
      <c r="B2552">
        <v>460</v>
      </c>
      <c r="C2552" s="4"/>
    </row>
    <row r="2553" spans="1:3" x14ac:dyDescent="0.25">
      <c r="A2553" s="4">
        <v>39517</v>
      </c>
      <c r="B2553">
        <v>464</v>
      </c>
      <c r="C2553" s="4"/>
    </row>
    <row r="2554" spans="1:3" x14ac:dyDescent="0.25">
      <c r="A2554" s="4">
        <v>39518</v>
      </c>
      <c r="B2554">
        <v>464.5</v>
      </c>
      <c r="C2554" s="4"/>
    </row>
    <row r="2555" spans="1:3" x14ac:dyDescent="0.25">
      <c r="A2555" s="4">
        <v>39519</v>
      </c>
      <c r="B2555">
        <v>466.5</v>
      </c>
      <c r="C2555" s="4"/>
    </row>
    <row r="2556" spans="1:3" x14ac:dyDescent="0.25">
      <c r="A2556" s="4">
        <v>39520</v>
      </c>
      <c r="B2556">
        <v>475</v>
      </c>
      <c r="C2556" s="4"/>
    </row>
    <row r="2557" spans="1:3" x14ac:dyDescent="0.25">
      <c r="A2557" s="4">
        <v>39521</v>
      </c>
      <c r="B2557">
        <v>470</v>
      </c>
      <c r="C2557" s="4"/>
    </row>
    <row r="2558" spans="1:3" x14ac:dyDescent="0.25">
      <c r="A2558" s="4">
        <v>39524</v>
      </c>
      <c r="B2558">
        <v>461</v>
      </c>
      <c r="C2558" s="4"/>
    </row>
    <row r="2559" spans="1:3" x14ac:dyDescent="0.25">
      <c r="A2559" s="4">
        <v>39525</v>
      </c>
      <c r="B2559">
        <v>471.75</v>
      </c>
      <c r="C2559" s="4"/>
    </row>
    <row r="2560" spans="1:3" x14ac:dyDescent="0.25">
      <c r="A2560" s="4">
        <v>39526</v>
      </c>
      <c r="B2560">
        <v>463</v>
      </c>
      <c r="C2560" s="4"/>
    </row>
    <row r="2561" spans="1:3" x14ac:dyDescent="0.25">
      <c r="A2561" s="4">
        <v>39527</v>
      </c>
      <c r="B2561">
        <v>452</v>
      </c>
      <c r="C2561" s="4"/>
    </row>
    <row r="2562" spans="1:3" x14ac:dyDescent="0.25">
      <c r="A2562" s="4">
        <v>39532</v>
      </c>
      <c r="B2562">
        <v>460</v>
      </c>
      <c r="C2562" s="4"/>
    </row>
    <row r="2563" spans="1:3" x14ac:dyDescent="0.25">
      <c r="A2563" s="4">
        <v>39533</v>
      </c>
      <c r="B2563">
        <v>474</v>
      </c>
      <c r="C2563" s="4"/>
    </row>
    <row r="2564" spans="1:3" x14ac:dyDescent="0.25">
      <c r="A2564" s="4">
        <v>39534</v>
      </c>
      <c r="B2564">
        <v>474</v>
      </c>
      <c r="C2564" s="4"/>
    </row>
    <row r="2565" spans="1:3" x14ac:dyDescent="0.25">
      <c r="A2565" s="4">
        <v>39535</v>
      </c>
      <c r="B2565">
        <v>464</v>
      </c>
      <c r="C2565" s="4"/>
    </row>
    <row r="2566" spans="1:3" x14ac:dyDescent="0.25">
      <c r="A2566" s="4">
        <v>39538</v>
      </c>
      <c r="B2566">
        <v>466.5</v>
      </c>
      <c r="C2566" s="4"/>
    </row>
    <row r="2567" spans="1:3" x14ac:dyDescent="0.25">
      <c r="A2567" s="4">
        <v>39539</v>
      </c>
      <c r="B2567">
        <v>458</v>
      </c>
      <c r="C2567" s="4"/>
    </row>
    <row r="2568" spans="1:3" x14ac:dyDescent="0.25">
      <c r="A2568" s="4">
        <v>39540</v>
      </c>
      <c r="B2568">
        <v>459</v>
      </c>
      <c r="C2568" s="4"/>
    </row>
    <row r="2569" spans="1:3" x14ac:dyDescent="0.25">
      <c r="A2569" s="4">
        <v>39541</v>
      </c>
      <c r="B2569">
        <v>468.5</v>
      </c>
      <c r="C2569" s="4"/>
    </row>
    <row r="2570" spans="1:3" x14ac:dyDescent="0.25">
      <c r="A2570" s="4">
        <v>39542</v>
      </c>
      <c r="B2570">
        <v>471.5</v>
      </c>
      <c r="C2570" s="4"/>
    </row>
    <row r="2571" spans="1:3" x14ac:dyDescent="0.25">
      <c r="A2571" s="4">
        <v>39545</v>
      </c>
      <c r="B2571">
        <v>488.75</v>
      </c>
      <c r="C2571" s="4"/>
    </row>
    <row r="2572" spans="1:3" x14ac:dyDescent="0.25">
      <c r="A2572" s="4">
        <v>39546</v>
      </c>
      <c r="B2572">
        <v>482.5</v>
      </c>
      <c r="C2572" s="4"/>
    </row>
    <row r="2573" spans="1:3" x14ac:dyDescent="0.25">
      <c r="A2573" s="4">
        <v>39547</v>
      </c>
      <c r="B2573">
        <v>488</v>
      </c>
      <c r="C2573" s="4"/>
    </row>
    <row r="2574" spans="1:3" x14ac:dyDescent="0.25">
      <c r="A2574" s="4">
        <v>39548</v>
      </c>
      <c r="B2574">
        <v>487</v>
      </c>
      <c r="C2574" s="4"/>
    </row>
    <row r="2575" spans="1:3" x14ac:dyDescent="0.25">
      <c r="A2575" s="4">
        <v>39549</v>
      </c>
      <c r="B2575">
        <v>487.5</v>
      </c>
      <c r="C2575" s="4"/>
    </row>
    <row r="2576" spans="1:3" x14ac:dyDescent="0.25">
      <c r="A2576" s="4">
        <v>39552</v>
      </c>
      <c r="B2576">
        <v>493</v>
      </c>
      <c r="C2576" s="4"/>
    </row>
    <row r="2577" spans="1:3" x14ac:dyDescent="0.25">
      <c r="A2577" s="4">
        <v>39553</v>
      </c>
      <c r="B2577">
        <v>500</v>
      </c>
      <c r="C2577" s="4"/>
    </row>
    <row r="2578" spans="1:3" x14ac:dyDescent="0.25">
      <c r="A2578" s="4">
        <v>39554</v>
      </c>
      <c r="B2578">
        <v>502.5</v>
      </c>
      <c r="C2578" s="4"/>
    </row>
    <row r="2579" spans="1:3" x14ac:dyDescent="0.25">
      <c r="A2579" s="4">
        <v>39555</v>
      </c>
      <c r="B2579">
        <v>497.5</v>
      </c>
      <c r="C2579" s="4"/>
    </row>
    <row r="2580" spans="1:3" x14ac:dyDescent="0.25">
      <c r="A2580" s="4">
        <v>39556</v>
      </c>
      <c r="B2580">
        <v>491.5</v>
      </c>
      <c r="C2580" s="4"/>
    </row>
    <row r="2581" spans="1:3" x14ac:dyDescent="0.25">
      <c r="A2581" s="4">
        <v>39559</v>
      </c>
      <c r="B2581">
        <v>494</v>
      </c>
      <c r="C2581" s="4"/>
    </row>
    <row r="2582" spans="1:3" x14ac:dyDescent="0.25">
      <c r="A2582" s="4">
        <v>39560</v>
      </c>
      <c r="B2582">
        <v>496</v>
      </c>
      <c r="C2582" s="4"/>
    </row>
    <row r="2583" spans="1:3" x14ac:dyDescent="0.25">
      <c r="A2583" s="4">
        <v>39561</v>
      </c>
      <c r="B2583">
        <v>496.5</v>
      </c>
      <c r="C2583" s="4"/>
    </row>
    <row r="2584" spans="1:3" x14ac:dyDescent="0.25">
      <c r="A2584" s="4">
        <v>39562</v>
      </c>
      <c r="B2584">
        <v>490</v>
      </c>
      <c r="C2584" s="4"/>
    </row>
    <row r="2585" spans="1:3" x14ac:dyDescent="0.25">
      <c r="A2585" s="4">
        <v>39563</v>
      </c>
      <c r="B2585">
        <v>497</v>
      </c>
      <c r="C2585" s="4"/>
    </row>
    <row r="2586" spans="1:3" x14ac:dyDescent="0.25">
      <c r="A2586" s="4">
        <v>39566</v>
      </c>
      <c r="B2586">
        <v>498</v>
      </c>
      <c r="C2586" s="4"/>
    </row>
    <row r="2587" spans="1:3" x14ac:dyDescent="0.25">
      <c r="A2587" s="4">
        <v>39567</v>
      </c>
      <c r="B2587">
        <v>488.5</v>
      </c>
      <c r="C2587" s="4"/>
    </row>
    <row r="2588" spans="1:3" x14ac:dyDescent="0.25">
      <c r="A2588" s="4">
        <v>39568</v>
      </c>
      <c r="B2588">
        <v>481</v>
      </c>
      <c r="C2588" s="4"/>
    </row>
    <row r="2589" spans="1:3" x14ac:dyDescent="0.25">
      <c r="A2589" s="4">
        <v>39569</v>
      </c>
      <c r="B2589">
        <v>461</v>
      </c>
      <c r="C2589" s="4"/>
    </row>
    <row r="2590" spans="1:3" x14ac:dyDescent="0.25">
      <c r="A2590" s="4">
        <v>39570</v>
      </c>
      <c r="B2590">
        <v>482</v>
      </c>
      <c r="C2590" s="4"/>
    </row>
    <row r="2591" spans="1:3" x14ac:dyDescent="0.25">
      <c r="A2591" s="4">
        <v>39574</v>
      </c>
      <c r="B2591">
        <v>521</v>
      </c>
      <c r="C2591" s="4"/>
    </row>
    <row r="2592" spans="1:3" x14ac:dyDescent="0.25">
      <c r="A2592" s="4">
        <v>39575</v>
      </c>
      <c r="B2592">
        <v>522</v>
      </c>
      <c r="C2592" s="4"/>
    </row>
    <row r="2593" spans="1:3" x14ac:dyDescent="0.25">
      <c r="A2593" s="4">
        <v>39576</v>
      </c>
      <c r="B2593">
        <v>520</v>
      </c>
      <c r="C2593" s="4"/>
    </row>
    <row r="2594" spans="1:3" x14ac:dyDescent="0.25">
      <c r="A2594" s="4">
        <v>39577</v>
      </c>
      <c r="B2594">
        <v>528</v>
      </c>
      <c r="C2594" s="4"/>
    </row>
    <row r="2595" spans="1:3" x14ac:dyDescent="0.25">
      <c r="A2595" s="4">
        <v>39580</v>
      </c>
      <c r="B2595">
        <v>515</v>
      </c>
      <c r="C2595" s="4"/>
    </row>
    <row r="2596" spans="1:3" x14ac:dyDescent="0.25">
      <c r="A2596" s="4">
        <v>39581</v>
      </c>
      <c r="B2596">
        <v>524</v>
      </c>
      <c r="C2596" s="4"/>
    </row>
    <row r="2597" spans="1:3" x14ac:dyDescent="0.25">
      <c r="A2597" s="4">
        <v>39582</v>
      </c>
      <c r="B2597">
        <v>527</v>
      </c>
      <c r="C2597" s="4"/>
    </row>
    <row r="2598" spans="1:3" x14ac:dyDescent="0.25">
      <c r="A2598" s="4">
        <v>39583</v>
      </c>
      <c r="B2598">
        <v>537</v>
      </c>
      <c r="C2598" s="4"/>
    </row>
    <row r="2599" spans="1:3" x14ac:dyDescent="0.25">
      <c r="A2599" s="4">
        <v>39584</v>
      </c>
      <c r="B2599">
        <v>537</v>
      </c>
      <c r="C2599" s="4"/>
    </row>
    <row r="2600" spans="1:3" x14ac:dyDescent="0.25">
      <c r="A2600" s="4">
        <v>39587</v>
      </c>
      <c r="B2600">
        <v>530</v>
      </c>
      <c r="C2600" s="4"/>
    </row>
    <row r="2601" spans="1:3" x14ac:dyDescent="0.25">
      <c r="A2601" s="4">
        <v>39588</v>
      </c>
      <c r="B2601">
        <v>543</v>
      </c>
      <c r="C2601" s="4"/>
    </row>
    <row r="2602" spans="1:3" x14ac:dyDescent="0.25">
      <c r="A2602" s="4">
        <v>39589</v>
      </c>
      <c r="B2602">
        <v>561</v>
      </c>
      <c r="C2602" s="4"/>
    </row>
    <row r="2603" spans="1:3" x14ac:dyDescent="0.25">
      <c r="A2603" s="4">
        <v>39590</v>
      </c>
      <c r="B2603">
        <v>569</v>
      </c>
      <c r="C2603" s="4"/>
    </row>
    <row r="2604" spans="1:3" x14ac:dyDescent="0.25">
      <c r="A2604" s="4">
        <v>39591</v>
      </c>
      <c r="B2604">
        <v>570</v>
      </c>
      <c r="C2604" s="4"/>
    </row>
    <row r="2605" spans="1:3" x14ac:dyDescent="0.25">
      <c r="A2605" s="4">
        <v>39595</v>
      </c>
      <c r="B2605">
        <v>559</v>
      </c>
      <c r="C2605" s="4"/>
    </row>
    <row r="2606" spans="1:3" x14ac:dyDescent="0.25">
      <c r="A2606" s="4">
        <v>39596</v>
      </c>
      <c r="B2606">
        <v>545</v>
      </c>
      <c r="C2606" s="4"/>
    </row>
    <row r="2607" spans="1:3" x14ac:dyDescent="0.25">
      <c r="A2607" s="4">
        <v>39597</v>
      </c>
      <c r="B2607">
        <v>550</v>
      </c>
      <c r="C2607" s="4"/>
    </row>
    <row r="2608" spans="1:3" x14ac:dyDescent="0.25">
      <c r="A2608" s="4">
        <v>39598</v>
      </c>
      <c r="B2608">
        <v>532</v>
      </c>
      <c r="C2608" s="4"/>
    </row>
    <row r="2609" spans="1:3" x14ac:dyDescent="0.25">
      <c r="A2609" s="4">
        <v>39601</v>
      </c>
      <c r="B2609">
        <v>532</v>
      </c>
      <c r="C2609" s="4"/>
    </row>
    <row r="2610" spans="1:3" x14ac:dyDescent="0.25">
      <c r="A2610" s="4">
        <v>39602</v>
      </c>
      <c r="B2610">
        <v>531</v>
      </c>
      <c r="C2610" s="4"/>
    </row>
    <row r="2611" spans="1:3" x14ac:dyDescent="0.25">
      <c r="A2611" s="4">
        <v>39603</v>
      </c>
      <c r="B2611">
        <v>527.5</v>
      </c>
      <c r="C2611" s="4"/>
    </row>
    <row r="2612" spans="1:3" x14ac:dyDescent="0.25">
      <c r="A2612" s="4">
        <v>39604</v>
      </c>
      <c r="B2612">
        <v>534</v>
      </c>
      <c r="C2612" s="4"/>
    </row>
    <row r="2613" spans="1:3" x14ac:dyDescent="0.25">
      <c r="A2613" s="4">
        <v>39605</v>
      </c>
      <c r="B2613">
        <v>575</v>
      </c>
      <c r="C2613" s="4"/>
    </row>
    <row r="2614" spans="1:3" x14ac:dyDescent="0.25">
      <c r="A2614" s="4">
        <v>39608</v>
      </c>
      <c r="B2614">
        <v>583</v>
      </c>
      <c r="C2614" s="4"/>
    </row>
    <row r="2615" spans="1:3" x14ac:dyDescent="0.25">
      <c r="A2615" s="4">
        <v>39609</v>
      </c>
      <c r="B2615">
        <v>590</v>
      </c>
      <c r="C2615" s="4"/>
    </row>
    <row r="2616" spans="1:3" x14ac:dyDescent="0.25">
      <c r="A2616" s="4">
        <v>39610</v>
      </c>
      <c r="B2616">
        <v>593</v>
      </c>
      <c r="C2616" s="4"/>
    </row>
    <row r="2617" spans="1:3" x14ac:dyDescent="0.25">
      <c r="A2617" s="4">
        <v>39611</v>
      </c>
      <c r="B2617">
        <v>595</v>
      </c>
      <c r="C2617" s="4"/>
    </row>
    <row r="2618" spans="1:3" x14ac:dyDescent="0.25">
      <c r="A2618" s="4">
        <v>39612</v>
      </c>
      <c r="B2618">
        <v>600</v>
      </c>
      <c r="C2618" s="4"/>
    </row>
    <row r="2619" spans="1:3" x14ac:dyDescent="0.25">
      <c r="A2619" s="4">
        <v>39615</v>
      </c>
      <c r="B2619">
        <v>612</v>
      </c>
      <c r="C2619" s="4"/>
    </row>
    <row r="2620" spans="1:3" x14ac:dyDescent="0.25">
      <c r="A2620" s="4">
        <v>39616</v>
      </c>
      <c r="B2620">
        <v>607</v>
      </c>
      <c r="C2620" s="4"/>
    </row>
    <row r="2621" spans="1:3" x14ac:dyDescent="0.25">
      <c r="A2621" s="4">
        <v>39617</v>
      </c>
      <c r="B2621">
        <v>597.5</v>
      </c>
      <c r="C2621" s="4"/>
    </row>
    <row r="2622" spans="1:3" x14ac:dyDescent="0.25">
      <c r="A2622" s="4">
        <v>39618</v>
      </c>
      <c r="B2622">
        <v>607</v>
      </c>
      <c r="C2622" s="4"/>
    </row>
    <row r="2623" spans="1:3" x14ac:dyDescent="0.25">
      <c r="A2623" s="4">
        <v>39619</v>
      </c>
      <c r="B2623">
        <v>605.5</v>
      </c>
      <c r="C2623" s="4"/>
    </row>
    <row r="2624" spans="1:3" x14ac:dyDescent="0.25">
      <c r="A2624" s="4">
        <v>39622</v>
      </c>
      <c r="B2624">
        <v>612.5</v>
      </c>
      <c r="C2624" s="4"/>
    </row>
    <row r="2625" spans="1:3" x14ac:dyDescent="0.25">
      <c r="A2625" s="4">
        <v>39623</v>
      </c>
      <c r="B2625">
        <v>618</v>
      </c>
      <c r="C2625" s="4"/>
    </row>
    <row r="2626" spans="1:3" x14ac:dyDescent="0.25">
      <c r="A2626" s="4">
        <v>39624</v>
      </c>
      <c r="B2626">
        <v>603</v>
      </c>
      <c r="C2626" s="4"/>
    </row>
    <row r="2627" spans="1:3" x14ac:dyDescent="0.25">
      <c r="A2627" s="4">
        <v>39625</v>
      </c>
      <c r="B2627">
        <v>624</v>
      </c>
      <c r="C2627" s="4"/>
    </row>
    <row r="2628" spans="1:3" x14ac:dyDescent="0.25">
      <c r="A2628" s="4">
        <v>39626</v>
      </c>
      <c r="B2628">
        <v>634</v>
      </c>
      <c r="C2628" s="4"/>
    </row>
    <row r="2629" spans="1:3" x14ac:dyDescent="0.25">
      <c r="A2629" s="4">
        <v>39629</v>
      </c>
      <c r="B2629">
        <v>653</v>
      </c>
      <c r="C2629" s="4"/>
    </row>
    <row r="2630" spans="1:3" x14ac:dyDescent="0.25">
      <c r="A2630" s="4">
        <v>39630</v>
      </c>
      <c r="B2630">
        <v>663</v>
      </c>
      <c r="C2630" s="4"/>
    </row>
    <row r="2631" spans="1:3" x14ac:dyDescent="0.25">
      <c r="A2631" s="4">
        <v>39631</v>
      </c>
      <c r="B2631">
        <v>668</v>
      </c>
      <c r="C2631" s="4"/>
    </row>
    <row r="2632" spans="1:3" x14ac:dyDescent="0.25">
      <c r="A2632" s="4">
        <v>39632</v>
      </c>
      <c r="B2632">
        <v>691</v>
      </c>
      <c r="C2632" s="4"/>
    </row>
    <row r="2633" spans="1:3" x14ac:dyDescent="0.25">
      <c r="A2633" s="4">
        <v>39633</v>
      </c>
      <c r="B2633">
        <v>691</v>
      </c>
      <c r="C2633" s="4"/>
    </row>
    <row r="2634" spans="1:3" x14ac:dyDescent="0.25">
      <c r="A2634" s="4">
        <v>39636</v>
      </c>
      <c r="B2634">
        <v>683</v>
      </c>
      <c r="C2634" s="4"/>
    </row>
    <row r="2635" spans="1:3" x14ac:dyDescent="0.25">
      <c r="A2635" s="4">
        <v>39637</v>
      </c>
      <c r="B2635">
        <v>660</v>
      </c>
      <c r="C2635" s="4"/>
    </row>
    <row r="2636" spans="1:3" x14ac:dyDescent="0.25">
      <c r="A2636" s="4">
        <v>39638</v>
      </c>
      <c r="B2636">
        <v>679</v>
      </c>
      <c r="C2636" s="4"/>
    </row>
    <row r="2637" spans="1:3" x14ac:dyDescent="0.25">
      <c r="A2637" s="4">
        <v>39639</v>
      </c>
      <c r="B2637">
        <v>689</v>
      </c>
      <c r="C2637" s="4"/>
    </row>
    <row r="2638" spans="1:3" x14ac:dyDescent="0.25">
      <c r="A2638" s="4">
        <v>39640</v>
      </c>
      <c r="B2638">
        <v>712</v>
      </c>
      <c r="C2638" s="4"/>
    </row>
    <row r="2639" spans="1:3" x14ac:dyDescent="0.25">
      <c r="A2639" s="4">
        <v>39643</v>
      </c>
      <c r="B2639">
        <v>717</v>
      </c>
      <c r="C2639" s="4"/>
    </row>
    <row r="2640" spans="1:3" x14ac:dyDescent="0.25">
      <c r="A2640" s="4">
        <v>39644</v>
      </c>
      <c r="B2640">
        <v>703</v>
      </c>
      <c r="C2640" s="4"/>
    </row>
    <row r="2641" spans="1:3" x14ac:dyDescent="0.25">
      <c r="A2641" s="4">
        <v>39645</v>
      </c>
      <c r="B2641">
        <v>701</v>
      </c>
      <c r="C2641" s="4"/>
    </row>
    <row r="2642" spans="1:3" x14ac:dyDescent="0.25">
      <c r="A2642" s="4">
        <v>39646</v>
      </c>
      <c r="B2642">
        <v>689</v>
      </c>
      <c r="C2642" s="4"/>
    </row>
    <row r="2643" spans="1:3" x14ac:dyDescent="0.25">
      <c r="A2643" s="4">
        <v>39647</v>
      </c>
      <c r="B2643">
        <v>662</v>
      </c>
      <c r="C2643" s="4"/>
    </row>
    <row r="2644" spans="1:3" x14ac:dyDescent="0.25">
      <c r="A2644" s="4">
        <v>39650</v>
      </c>
      <c r="B2644">
        <v>662</v>
      </c>
      <c r="C2644" s="4"/>
    </row>
    <row r="2645" spans="1:3" x14ac:dyDescent="0.25">
      <c r="A2645" s="4">
        <v>39651</v>
      </c>
      <c r="B2645">
        <v>645</v>
      </c>
      <c r="C2645" s="4"/>
    </row>
    <row r="2646" spans="1:3" x14ac:dyDescent="0.25">
      <c r="A2646" s="4">
        <v>39652</v>
      </c>
      <c r="B2646">
        <v>623</v>
      </c>
      <c r="C2646" s="4"/>
    </row>
    <row r="2647" spans="1:3" x14ac:dyDescent="0.25">
      <c r="A2647" s="4">
        <v>39653</v>
      </c>
      <c r="B2647">
        <v>624</v>
      </c>
      <c r="C2647" s="4"/>
    </row>
    <row r="2648" spans="1:3" x14ac:dyDescent="0.25">
      <c r="A2648" s="4">
        <v>39654</v>
      </c>
      <c r="B2648">
        <v>623.5</v>
      </c>
      <c r="C2648" s="4"/>
    </row>
    <row r="2649" spans="1:3" x14ac:dyDescent="0.25">
      <c r="A2649" s="4">
        <v>39657</v>
      </c>
      <c r="B2649">
        <v>641</v>
      </c>
      <c r="C2649" s="4"/>
    </row>
    <row r="2650" spans="1:3" x14ac:dyDescent="0.25">
      <c r="A2650" s="4">
        <v>39658</v>
      </c>
      <c r="B2650">
        <v>641</v>
      </c>
      <c r="C2650" s="4"/>
    </row>
    <row r="2651" spans="1:3" x14ac:dyDescent="0.25">
      <c r="A2651" s="4">
        <v>39659</v>
      </c>
      <c r="B2651">
        <v>636</v>
      </c>
      <c r="C2651" s="4"/>
    </row>
    <row r="2652" spans="1:3" x14ac:dyDescent="0.25">
      <c r="A2652" s="4">
        <v>39660</v>
      </c>
      <c r="B2652">
        <v>648</v>
      </c>
      <c r="C2652" s="4"/>
    </row>
    <row r="2653" spans="1:3" x14ac:dyDescent="0.25">
      <c r="A2653" s="4">
        <v>39661</v>
      </c>
      <c r="B2653">
        <v>663.5</v>
      </c>
      <c r="C2653" s="4"/>
    </row>
    <row r="2654" spans="1:3" x14ac:dyDescent="0.25">
      <c r="A2654" s="4">
        <v>39664</v>
      </c>
      <c r="B2654">
        <v>659</v>
      </c>
      <c r="C2654" s="4"/>
    </row>
    <row r="2655" spans="1:3" x14ac:dyDescent="0.25">
      <c r="A2655" s="4">
        <v>39665</v>
      </c>
      <c r="B2655">
        <v>631</v>
      </c>
      <c r="C2655" s="4"/>
    </row>
    <row r="2656" spans="1:3" x14ac:dyDescent="0.25">
      <c r="A2656" s="4">
        <v>39666</v>
      </c>
      <c r="B2656">
        <v>623</v>
      </c>
      <c r="C2656" s="4"/>
    </row>
    <row r="2657" spans="1:3" x14ac:dyDescent="0.25">
      <c r="A2657" s="4">
        <v>39667</v>
      </c>
      <c r="B2657">
        <v>619</v>
      </c>
      <c r="C2657" s="4"/>
    </row>
    <row r="2658" spans="1:3" x14ac:dyDescent="0.25">
      <c r="A2658" s="4">
        <v>39668</v>
      </c>
      <c r="B2658">
        <v>572</v>
      </c>
      <c r="C2658" s="4"/>
    </row>
    <row r="2659" spans="1:3" x14ac:dyDescent="0.25">
      <c r="A2659" s="4">
        <v>39671</v>
      </c>
      <c r="B2659">
        <v>575</v>
      </c>
      <c r="C2659" s="4"/>
    </row>
    <row r="2660" spans="1:3" x14ac:dyDescent="0.25">
      <c r="A2660" s="4">
        <v>39672</v>
      </c>
      <c r="B2660">
        <v>569</v>
      </c>
      <c r="C2660" s="4"/>
    </row>
    <row r="2661" spans="1:3" x14ac:dyDescent="0.25">
      <c r="A2661" s="4">
        <v>39673</v>
      </c>
      <c r="B2661">
        <v>581</v>
      </c>
      <c r="C2661" s="4"/>
    </row>
    <row r="2662" spans="1:3" x14ac:dyDescent="0.25">
      <c r="A2662" s="4">
        <v>39674</v>
      </c>
      <c r="B2662">
        <v>603</v>
      </c>
      <c r="C2662" s="4"/>
    </row>
    <row r="2663" spans="1:3" x14ac:dyDescent="0.25">
      <c r="A2663" s="4">
        <v>39675</v>
      </c>
      <c r="B2663">
        <v>579</v>
      </c>
      <c r="C2663" s="4"/>
    </row>
    <row r="2664" spans="1:3" x14ac:dyDescent="0.25">
      <c r="A2664" s="4">
        <v>39678</v>
      </c>
      <c r="B2664">
        <v>590</v>
      </c>
      <c r="C2664" s="4"/>
    </row>
    <row r="2665" spans="1:3" x14ac:dyDescent="0.25">
      <c r="A2665" s="4">
        <v>39679</v>
      </c>
      <c r="B2665">
        <v>605</v>
      </c>
      <c r="C2665" s="4"/>
    </row>
    <row r="2666" spans="1:3" x14ac:dyDescent="0.25">
      <c r="A2666" s="4">
        <v>39680</v>
      </c>
      <c r="B2666">
        <v>602</v>
      </c>
      <c r="C2666" s="4"/>
    </row>
    <row r="2667" spans="1:3" x14ac:dyDescent="0.25">
      <c r="A2667" s="4">
        <v>39681</v>
      </c>
      <c r="B2667">
        <v>634</v>
      </c>
      <c r="C2667" s="4"/>
    </row>
    <row r="2668" spans="1:3" x14ac:dyDescent="0.25">
      <c r="A2668" s="4">
        <v>39682</v>
      </c>
      <c r="B2668">
        <v>614</v>
      </c>
      <c r="C2668" s="4"/>
    </row>
    <row r="2669" spans="1:3" x14ac:dyDescent="0.25">
      <c r="A2669" s="4">
        <v>39686</v>
      </c>
      <c r="B2669">
        <v>623</v>
      </c>
      <c r="C2669" s="4"/>
    </row>
    <row r="2670" spans="1:3" x14ac:dyDescent="0.25">
      <c r="A2670" s="4">
        <v>39687</v>
      </c>
      <c r="B2670">
        <v>623</v>
      </c>
      <c r="C2670" s="4"/>
    </row>
    <row r="2671" spans="1:3" x14ac:dyDescent="0.25">
      <c r="A2671" s="4">
        <v>39688</v>
      </c>
      <c r="B2671">
        <v>635.5</v>
      </c>
      <c r="C2671" s="4"/>
    </row>
    <row r="2672" spans="1:3" x14ac:dyDescent="0.25">
      <c r="A2672" s="4">
        <v>39689</v>
      </c>
      <c r="B2672">
        <v>635.5</v>
      </c>
      <c r="C2672" s="4"/>
    </row>
    <row r="2673" spans="1:3" x14ac:dyDescent="0.25">
      <c r="A2673" s="4">
        <v>39692</v>
      </c>
      <c r="B2673">
        <v>612</v>
      </c>
      <c r="C2673" s="4"/>
    </row>
    <row r="2674" spans="1:3" x14ac:dyDescent="0.25">
      <c r="A2674" s="4">
        <v>39693</v>
      </c>
      <c r="B2674">
        <v>602</v>
      </c>
      <c r="C2674" s="4"/>
    </row>
    <row r="2675" spans="1:3" x14ac:dyDescent="0.25">
      <c r="A2675" s="4">
        <v>39694</v>
      </c>
      <c r="B2675">
        <v>586.5</v>
      </c>
      <c r="C2675" s="4"/>
    </row>
    <row r="2676" spans="1:3" x14ac:dyDescent="0.25">
      <c r="A2676" s="4">
        <v>39695</v>
      </c>
      <c r="B2676">
        <v>576</v>
      </c>
      <c r="C2676" s="4"/>
    </row>
    <row r="2677" spans="1:3" x14ac:dyDescent="0.25">
      <c r="A2677" s="4">
        <v>39696</v>
      </c>
      <c r="B2677">
        <v>560</v>
      </c>
      <c r="C2677" s="4"/>
    </row>
    <row r="2678" spans="1:3" x14ac:dyDescent="0.25">
      <c r="A2678" s="4">
        <v>39699</v>
      </c>
      <c r="B2678">
        <v>561</v>
      </c>
      <c r="C2678" s="4"/>
    </row>
    <row r="2679" spans="1:3" x14ac:dyDescent="0.25">
      <c r="A2679" s="4">
        <v>39700</v>
      </c>
      <c r="B2679">
        <v>540</v>
      </c>
      <c r="C2679" s="4"/>
    </row>
    <row r="2680" spans="1:3" x14ac:dyDescent="0.25">
      <c r="A2680" s="4">
        <v>39701</v>
      </c>
      <c r="B2680">
        <v>534</v>
      </c>
      <c r="C2680" s="4"/>
    </row>
    <row r="2681" spans="1:3" x14ac:dyDescent="0.25">
      <c r="A2681" s="4">
        <v>39702</v>
      </c>
      <c r="B2681">
        <v>527</v>
      </c>
      <c r="C2681" s="4"/>
    </row>
    <row r="2682" spans="1:3" x14ac:dyDescent="0.25">
      <c r="A2682" s="4">
        <v>39703</v>
      </c>
      <c r="B2682">
        <v>528</v>
      </c>
      <c r="C2682" s="4"/>
    </row>
    <row r="2683" spans="1:3" x14ac:dyDescent="0.25">
      <c r="A2683" s="4">
        <v>39706</v>
      </c>
      <c r="B2683">
        <v>494</v>
      </c>
      <c r="C2683" s="4"/>
    </row>
    <row r="2684" spans="1:3" x14ac:dyDescent="0.25">
      <c r="A2684" s="4">
        <v>39707</v>
      </c>
      <c r="B2684">
        <v>461</v>
      </c>
      <c r="C2684" s="4"/>
    </row>
    <row r="2685" spans="1:3" x14ac:dyDescent="0.25">
      <c r="A2685" s="4">
        <v>39708</v>
      </c>
      <c r="B2685">
        <v>458</v>
      </c>
      <c r="C2685" s="4"/>
    </row>
    <row r="2686" spans="1:3" x14ac:dyDescent="0.25">
      <c r="A2686" s="4">
        <v>39709</v>
      </c>
      <c r="B2686">
        <v>486</v>
      </c>
      <c r="C2686" s="4"/>
    </row>
    <row r="2687" spans="1:3" x14ac:dyDescent="0.25">
      <c r="A2687" s="4">
        <v>39710</v>
      </c>
      <c r="B2687">
        <v>503</v>
      </c>
      <c r="C2687" s="4"/>
    </row>
    <row r="2688" spans="1:3" x14ac:dyDescent="0.25">
      <c r="A2688" s="4">
        <v>39713</v>
      </c>
      <c r="B2688">
        <v>551</v>
      </c>
      <c r="C2688" s="4"/>
    </row>
    <row r="2689" spans="1:3" x14ac:dyDescent="0.25">
      <c r="A2689" s="4">
        <v>39714</v>
      </c>
      <c r="B2689">
        <v>553</v>
      </c>
      <c r="C2689" s="4"/>
    </row>
    <row r="2690" spans="1:3" x14ac:dyDescent="0.25">
      <c r="A2690" s="4">
        <v>39715</v>
      </c>
      <c r="B2690">
        <v>551</v>
      </c>
      <c r="C2690" s="4"/>
    </row>
    <row r="2691" spans="1:3" x14ac:dyDescent="0.25">
      <c r="A2691" s="4">
        <v>39716</v>
      </c>
      <c r="B2691">
        <v>546</v>
      </c>
      <c r="C2691" s="4"/>
    </row>
    <row r="2692" spans="1:3" x14ac:dyDescent="0.25">
      <c r="A2692" s="4">
        <v>39717</v>
      </c>
      <c r="B2692">
        <v>550</v>
      </c>
      <c r="C2692" s="4"/>
    </row>
    <row r="2693" spans="1:3" x14ac:dyDescent="0.25">
      <c r="A2693" s="4">
        <v>39720</v>
      </c>
      <c r="B2693">
        <v>534</v>
      </c>
      <c r="C2693" s="4"/>
    </row>
    <row r="2694" spans="1:3" x14ac:dyDescent="0.25">
      <c r="A2694" s="4">
        <v>39721</v>
      </c>
      <c r="B2694">
        <v>542</v>
      </c>
      <c r="C2694" s="4"/>
    </row>
    <row r="2695" spans="1:3" x14ac:dyDescent="0.25">
      <c r="A2695" s="4">
        <v>39722</v>
      </c>
      <c r="B2695">
        <v>524</v>
      </c>
      <c r="C2695" s="4"/>
    </row>
    <row r="2696" spans="1:3" x14ac:dyDescent="0.25">
      <c r="A2696" s="4">
        <v>39723</v>
      </c>
      <c r="B2696">
        <v>500</v>
      </c>
      <c r="C2696" s="4"/>
    </row>
    <row r="2697" spans="1:3" x14ac:dyDescent="0.25">
      <c r="A2697" s="4">
        <v>39724</v>
      </c>
      <c r="B2697">
        <v>493</v>
      </c>
      <c r="C2697" s="4"/>
    </row>
    <row r="2698" spans="1:3" x14ac:dyDescent="0.25">
      <c r="A2698" s="4">
        <v>39727</v>
      </c>
      <c r="B2698">
        <v>460</v>
      </c>
      <c r="C2698" s="4"/>
    </row>
    <row r="2699" spans="1:3" x14ac:dyDescent="0.25">
      <c r="A2699" s="4">
        <v>39728</v>
      </c>
      <c r="B2699">
        <v>462</v>
      </c>
      <c r="C2699" s="4"/>
    </row>
    <row r="2700" spans="1:3" x14ac:dyDescent="0.25">
      <c r="A2700" s="4">
        <v>39729</v>
      </c>
      <c r="B2700">
        <v>426</v>
      </c>
      <c r="C2700" s="4"/>
    </row>
    <row r="2701" spans="1:3" x14ac:dyDescent="0.25">
      <c r="A2701" s="4">
        <v>39730</v>
      </c>
      <c r="B2701">
        <v>418</v>
      </c>
      <c r="C2701" s="4"/>
    </row>
    <row r="2702" spans="1:3" x14ac:dyDescent="0.25">
      <c r="A2702" s="4">
        <v>39731</v>
      </c>
      <c r="B2702">
        <v>393</v>
      </c>
      <c r="C2702" s="4"/>
    </row>
    <row r="2703" spans="1:3" x14ac:dyDescent="0.25">
      <c r="A2703" s="4">
        <v>39734</v>
      </c>
      <c r="B2703">
        <v>394</v>
      </c>
      <c r="C2703" s="4"/>
    </row>
    <row r="2704" spans="1:3" x14ac:dyDescent="0.25">
      <c r="A2704" s="4">
        <v>39735</v>
      </c>
      <c r="B2704">
        <v>388</v>
      </c>
      <c r="C2704" s="4"/>
    </row>
    <row r="2705" spans="1:3" x14ac:dyDescent="0.25">
      <c r="A2705" s="4">
        <v>39736</v>
      </c>
      <c r="B2705">
        <v>357</v>
      </c>
      <c r="C2705" s="4"/>
    </row>
    <row r="2706" spans="1:3" x14ac:dyDescent="0.25">
      <c r="A2706" s="4">
        <v>39737</v>
      </c>
      <c r="B2706">
        <v>325</v>
      </c>
      <c r="C2706" s="4"/>
    </row>
    <row r="2707" spans="1:3" x14ac:dyDescent="0.25">
      <c r="A2707" s="4">
        <v>39738</v>
      </c>
      <c r="B2707">
        <v>319</v>
      </c>
      <c r="C2707" s="4"/>
    </row>
    <row r="2708" spans="1:3" x14ac:dyDescent="0.25">
      <c r="A2708" s="4">
        <v>39741</v>
      </c>
      <c r="B2708">
        <v>333</v>
      </c>
      <c r="C2708" s="4"/>
    </row>
    <row r="2709" spans="1:3" x14ac:dyDescent="0.25">
      <c r="A2709" s="4">
        <v>39742</v>
      </c>
      <c r="B2709">
        <v>324</v>
      </c>
      <c r="C2709" s="4"/>
    </row>
    <row r="2710" spans="1:3" x14ac:dyDescent="0.25">
      <c r="A2710" s="4">
        <v>39743</v>
      </c>
      <c r="B2710">
        <v>307</v>
      </c>
      <c r="C2710" s="4"/>
    </row>
    <row r="2711" spans="1:3" x14ac:dyDescent="0.25">
      <c r="A2711" s="4">
        <v>39744</v>
      </c>
      <c r="B2711">
        <v>308</v>
      </c>
      <c r="C2711" s="4"/>
    </row>
    <row r="2712" spans="1:3" x14ac:dyDescent="0.25">
      <c r="A2712" s="4">
        <v>39745</v>
      </c>
      <c r="B2712">
        <v>272</v>
      </c>
      <c r="C2712" s="4"/>
    </row>
    <row r="2713" spans="1:3" x14ac:dyDescent="0.25">
      <c r="A2713" s="4">
        <v>39748</v>
      </c>
      <c r="B2713">
        <v>271</v>
      </c>
      <c r="C2713" s="4"/>
    </row>
    <row r="2714" spans="1:3" x14ac:dyDescent="0.25">
      <c r="A2714" s="4">
        <v>39749</v>
      </c>
      <c r="B2714">
        <v>271</v>
      </c>
      <c r="C2714" s="4"/>
    </row>
    <row r="2715" spans="1:3" x14ac:dyDescent="0.25">
      <c r="A2715" s="4">
        <v>39750</v>
      </c>
      <c r="B2715">
        <v>285</v>
      </c>
      <c r="C2715" s="4"/>
    </row>
    <row r="2716" spans="1:3" x14ac:dyDescent="0.25">
      <c r="A2716" s="4">
        <v>39751</v>
      </c>
      <c r="B2716">
        <v>250.5</v>
      </c>
      <c r="C2716" s="4"/>
    </row>
    <row r="2717" spans="1:3" x14ac:dyDescent="0.25">
      <c r="A2717" s="4">
        <v>39752</v>
      </c>
      <c r="B2717">
        <v>236</v>
      </c>
      <c r="C2717" s="4"/>
    </row>
    <row r="2718" spans="1:3" x14ac:dyDescent="0.25">
      <c r="A2718" s="4">
        <v>39755</v>
      </c>
      <c r="B2718">
        <v>241</v>
      </c>
      <c r="C2718" s="4"/>
    </row>
    <row r="2719" spans="1:3" x14ac:dyDescent="0.25">
      <c r="A2719" s="4">
        <v>39756</v>
      </c>
      <c r="B2719">
        <v>254</v>
      </c>
      <c r="C2719" s="4"/>
    </row>
    <row r="2720" spans="1:3" x14ac:dyDescent="0.25">
      <c r="A2720" s="4">
        <v>39757</v>
      </c>
      <c r="B2720">
        <v>236</v>
      </c>
      <c r="C2720" s="4"/>
    </row>
    <row r="2721" spans="1:3" x14ac:dyDescent="0.25">
      <c r="A2721" s="4">
        <v>39758</v>
      </c>
      <c r="B2721">
        <v>220</v>
      </c>
      <c r="C2721" s="4"/>
    </row>
    <row r="2722" spans="1:3" x14ac:dyDescent="0.25">
      <c r="A2722" s="4">
        <v>39759</v>
      </c>
      <c r="B2722">
        <v>213</v>
      </c>
      <c r="C2722" s="4"/>
    </row>
    <row r="2723" spans="1:3" x14ac:dyDescent="0.25">
      <c r="A2723" s="4">
        <v>39762</v>
      </c>
      <c r="B2723">
        <v>220</v>
      </c>
      <c r="C2723" s="4"/>
    </row>
    <row r="2724" spans="1:3" x14ac:dyDescent="0.25">
      <c r="A2724" s="4">
        <v>39763</v>
      </c>
      <c r="B2724">
        <v>201</v>
      </c>
      <c r="C2724" s="4"/>
    </row>
    <row r="2725" spans="1:3" x14ac:dyDescent="0.25">
      <c r="A2725" s="4">
        <v>39764</v>
      </c>
      <c r="B2725">
        <v>196</v>
      </c>
      <c r="C2725" s="4"/>
    </row>
    <row r="2726" spans="1:3" x14ac:dyDescent="0.25">
      <c r="A2726" s="4">
        <v>39765</v>
      </c>
      <c r="B2726">
        <v>192.5</v>
      </c>
      <c r="C2726" s="4"/>
    </row>
    <row r="2727" spans="1:3" x14ac:dyDescent="0.25">
      <c r="A2727" s="4">
        <v>39766</v>
      </c>
      <c r="B2727">
        <v>187</v>
      </c>
      <c r="C2727" s="4"/>
    </row>
    <row r="2728" spans="1:3" x14ac:dyDescent="0.25">
      <c r="A2728" s="4">
        <v>39769</v>
      </c>
      <c r="B2728">
        <v>206</v>
      </c>
      <c r="C2728" s="4"/>
    </row>
    <row r="2729" spans="1:3" x14ac:dyDescent="0.25">
      <c r="A2729" s="4">
        <v>39770</v>
      </c>
      <c r="B2729">
        <v>202</v>
      </c>
      <c r="C2729" s="4"/>
    </row>
    <row r="2730" spans="1:3" x14ac:dyDescent="0.25">
      <c r="A2730" s="4">
        <v>39771</v>
      </c>
      <c r="B2730">
        <v>204</v>
      </c>
      <c r="C2730" s="4"/>
    </row>
    <row r="2731" spans="1:3" x14ac:dyDescent="0.25">
      <c r="A2731" s="4">
        <v>39772</v>
      </c>
      <c r="B2731">
        <v>188</v>
      </c>
      <c r="C2731" s="4"/>
    </row>
    <row r="2732" spans="1:3" x14ac:dyDescent="0.25">
      <c r="A2732" s="4">
        <v>39773</v>
      </c>
      <c r="B2732">
        <v>182.5</v>
      </c>
      <c r="C2732" s="4"/>
    </row>
    <row r="2733" spans="1:3" x14ac:dyDescent="0.25">
      <c r="A2733" s="4">
        <v>39776</v>
      </c>
      <c r="B2733">
        <v>208</v>
      </c>
      <c r="C2733" s="4"/>
    </row>
    <row r="2734" spans="1:3" x14ac:dyDescent="0.25">
      <c r="A2734" s="4">
        <v>39777</v>
      </c>
      <c r="B2734">
        <v>203</v>
      </c>
      <c r="C2734" s="4"/>
    </row>
    <row r="2735" spans="1:3" x14ac:dyDescent="0.25">
      <c r="A2735" s="4">
        <v>39778</v>
      </c>
      <c r="B2735">
        <v>214</v>
      </c>
      <c r="C2735" s="4"/>
    </row>
    <row r="2736" spans="1:3" x14ac:dyDescent="0.25">
      <c r="A2736" s="4">
        <v>39779</v>
      </c>
      <c r="B2736">
        <v>218</v>
      </c>
      <c r="C2736" s="4"/>
    </row>
    <row r="2737" spans="1:3" x14ac:dyDescent="0.25">
      <c r="A2737" s="4">
        <v>39780</v>
      </c>
      <c r="B2737">
        <v>201</v>
      </c>
      <c r="C2737" s="4"/>
    </row>
    <row r="2738" spans="1:3" x14ac:dyDescent="0.25">
      <c r="A2738" s="4">
        <v>39783</v>
      </c>
      <c r="B2738">
        <v>209</v>
      </c>
      <c r="C2738" s="4"/>
    </row>
    <row r="2739" spans="1:3" x14ac:dyDescent="0.25">
      <c r="A2739" s="4">
        <v>39784</v>
      </c>
      <c r="B2739">
        <v>196</v>
      </c>
      <c r="C2739" s="4"/>
    </row>
    <row r="2740" spans="1:3" x14ac:dyDescent="0.25">
      <c r="A2740" s="4">
        <v>39785</v>
      </c>
      <c r="B2740">
        <v>191</v>
      </c>
      <c r="C2740" s="4"/>
    </row>
    <row r="2741" spans="1:3" x14ac:dyDescent="0.25">
      <c r="A2741" s="4">
        <v>39786</v>
      </c>
      <c r="B2741">
        <v>184</v>
      </c>
      <c r="C2741" s="4"/>
    </row>
    <row r="2742" spans="1:3" x14ac:dyDescent="0.25">
      <c r="A2742" s="4">
        <v>39787</v>
      </c>
      <c r="B2742">
        <v>166</v>
      </c>
      <c r="C2742" s="4"/>
    </row>
    <row r="2743" spans="1:3" x14ac:dyDescent="0.25">
      <c r="A2743" s="4">
        <v>39790</v>
      </c>
      <c r="B2743">
        <v>183</v>
      </c>
      <c r="C2743" s="4"/>
    </row>
    <row r="2744" spans="1:3" x14ac:dyDescent="0.25">
      <c r="A2744" s="4">
        <v>39791</v>
      </c>
      <c r="B2744">
        <v>183</v>
      </c>
      <c r="C2744" s="4"/>
    </row>
    <row r="2745" spans="1:3" x14ac:dyDescent="0.25">
      <c r="A2745" s="4">
        <v>39792</v>
      </c>
      <c r="B2745">
        <v>179</v>
      </c>
      <c r="C2745" s="4"/>
    </row>
    <row r="2746" spans="1:3" x14ac:dyDescent="0.25">
      <c r="A2746" s="4">
        <v>39793</v>
      </c>
      <c r="B2746">
        <v>210</v>
      </c>
      <c r="C2746" s="4"/>
    </row>
    <row r="2747" spans="1:3" x14ac:dyDescent="0.25">
      <c r="A2747" s="4">
        <v>39794</v>
      </c>
      <c r="B2747">
        <v>194</v>
      </c>
      <c r="C2747" s="4"/>
    </row>
    <row r="2748" spans="1:3" x14ac:dyDescent="0.25">
      <c r="A2748" s="4">
        <v>39797</v>
      </c>
      <c r="B2748">
        <v>211</v>
      </c>
      <c r="C2748" s="4"/>
    </row>
    <row r="2749" spans="1:3" x14ac:dyDescent="0.25">
      <c r="A2749" s="4">
        <v>39798</v>
      </c>
      <c r="B2749">
        <v>193</v>
      </c>
      <c r="C2749" s="4"/>
    </row>
    <row r="2750" spans="1:3" x14ac:dyDescent="0.25">
      <c r="A2750" s="4">
        <v>39799</v>
      </c>
      <c r="B2750">
        <v>191</v>
      </c>
      <c r="C2750" s="4"/>
    </row>
    <row r="2751" spans="1:3" x14ac:dyDescent="0.25">
      <c r="A2751" s="4">
        <v>39800</v>
      </c>
      <c r="B2751">
        <v>182.5</v>
      </c>
      <c r="C2751" s="4"/>
    </row>
    <row r="2752" spans="1:3" x14ac:dyDescent="0.25">
      <c r="A2752" s="4">
        <v>39801</v>
      </c>
      <c r="B2752">
        <v>168.5</v>
      </c>
      <c r="C2752" s="4"/>
    </row>
    <row r="2753" spans="1:3" x14ac:dyDescent="0.25">
      <c r="A2753" s="4">
        <v>39804</v>
      </c>
      <c r="B2753">
        <v>166</v>
      </c>
      <c r="C2753" s="4"/>
    </row>
    <row r="2754" spans="1:3" x14ac:dyDescent="0.25">
      <c r="A2754" s="4">
        <v>39805</v>
      </c>
      <c r="B2754">
        <v>156</v>
      </c>
      <c r="C2754" s="4"/>
    </row>
    <row r="2755" spans="1:3" x14ac:dyDescent="0.25">
      <c r="A2755" s="4">
        <v>39806</v>
      </c>
      <c r="B2755">
        <v>136</v>
      </c>
      <c r="C2755" s="4"/>
    </row>
    <row r="2756" spans="1:3" x14ac:dyDescent="0.25">
      <c r="A2756" s="4">
        <v>39815</v>
      </c>
      <c r="B2756">
        <v>167</v>
      </c>
      <c r="C2756" s="4"/>
    </row>
    <row r="2757" spans="1:3" x14ac:dyDescent="0.25">
      <c r="A2757" s="4">
        <v>39818</v>
      </c>
      <c r="B2757">
        <v>205.5</v>
      </c>
      <c r="C2757" s="4"/>
    </row>
    <row r="2758" spans="1:3" x14ac:dyDescent="0.25">
      <c r="A2758" s="4">
        <v>39819</v>
      </c>
      <c r="B2758">
        <v>229</v>
      </c>
      <c r="C2758" s="4"/>
    </row>
    <row r="2759" spans="1:3" x14ac:dyDescent="0.25">
      <c r="A2759" s="4">
        <v>39820</v>
      </c>
      <c r="B2759">
        <v>219</v>
      </c>
      <c r="C2759" s="4"/>
    </row>
    <row r="2760" spans="1:3" x14ac:dyDescent="0.25">
      <c r="A2760" s="4">
        <v>39821</v>
      </c>
      <c r="B2760">
        <v>207</v>
      </c>
      <c r="C2760" s="4"/>
    </row>
    <row r="2761" spans="1:3" x14ac:dyDescent="0.25">
      <c r="A2761" s="4">
        <v>39822</v>
      </c>
      <c r="B2761">
        <v>198</v>
      </c>
      <c r="C2761" s="4"/>
    </row>
    <row r="2762" spans="1:3" x14ac:dyDescent="0.25">
      <c r="A2762" s="4">
        <v>39825</v>
      </c>
      <c r="B2762">
        <v>200</v>
      </c>
      <c r="C2762" s="4"/>
    </row>
    <row r="2763" spans="1:3" x14ac:dyDescent="0.25">
      <c r="A2763" s="4">
        <v>39826</v>
      </c>
      <c r="B2763">
        <v>231</v>
      </c>
      <c r="C2763" s="4"/>
    </row>
    <row r="2764" spans="1:3" x14ac:dyDescent="0.25">
      <c r="A2764" s="4">
        <v>39827</v>
      </c>
      <c r="B2764">
        <v>220</v>
      </c>
      <c r="C2764" s="4"/>
    </row>
    <row r="2765" spans="1:3" x14ac:dyDescent="0.25">
      <c r="A2765" s="4">
        <v>39828</v>
      </c>
      <c r="B2765">
        <v>219.5</v>
      </c>
      <c r="C2765" s="4"/>
    </row>
    <row r="2766" spans="1:3" x14ac:dyDescent="0.25">
      <c r="A2766" s="4">
        <v>39829</v>
      </c>
      <c r="B2766">
        <v>224</v>
      </c>
      <c r="C2766" s="4"/>
    </row>
    <row r="2767" spans="1:3" x14ac:dyDescent="0.25">
      <c r="A2767" s="4">
        <v>39832</v>
      </c>
      <c r="B2767">
        <v>220</v>
      </c>
      <c r="C2767" s="4"/>
    </row>
    <row r="2768" spans="1:3" x14ac:dyDescent="0.25">
      <c r="A2768" s="4">
        <v>39833</v>
      </c>
      <c r="B2768">
        <v>219</v>
      </c>
      <c r="C2768" s="4"/>
    </row>
    <row r="2769" spans="1:3" x14ac:dyDescent="0.25">
      <c r="A2769" s="4">
        <v>39834</v>
      </c>
      <c r="B2769">
        <v>217</v>
      </c>
      <c r="C2769" s="4"/>
    </row>
    <row r="2770" spans="1:3" x14ac:dyDescent="0.25">
      <c r="A2770" s="4">
        <v>39835</v>
      </c>
      <c r="B2770">
        <v>213</v>
      </c>
      <c r="C2770" s="4"/>
    </row>
    <row r="2771" spans="1:3" x14ac:dyDescent="0.25">
      <c r="A2771" s="4">
        <v>39836</v>
      </c>
      <c r="B2771">
        <v>220</v>
      </c>
      <c r="C2771" s="4"/>
    </row>
    <row r="2772" spans="1:3" x14ac:dyDescent="0.25">
      <c r="A2772" s="4">
        <v>39839</v>
      </c>
      <c r="B2772">
        <v>252.5</v>
      </c>
      <c r="C2772" s="4"/>
    </row>
    <row r="2773" spans="1:3" x14ac:dyDescent="0.25">
      <c r="A2773" s="4">
        <v>39840</v>
      </c>
      <c r="B2773">
        <v>239</v>
      </c>
      <c r="C2773" s="4"/>
    </row>
    <row r="2774" spans="1:3" x14ac:dyDescent="0.25">
      <c r="A2774" s="4">
        <v>39841</v>
      </c>
      <c r="B2774">
        <v>242</v>
      </c>
      <c r="C2774" s="4"/>
    </row>
    <row r="2775" spans="1:3" x14ac:dyDescent="0.25">
      <c r="A2775" s="4">
        <v>39842</v>
      </c>
      <c r="B2775">
        <v>243</v>
      </c>
      <c r="C2775" s="4"/>
    </row>
    <row r="2776" spans="1:3" x14ac:dyDescent="0.25">
      <c r="A2776" s="4">
        <v>39843</v>
      </c>
      <c r="B2776">
        <v>245</v>
      </c>
      <c r="C2776" s="4"/>
    </row>
    <row r="2777" spans="1:3" x14ac:dyDescent="0.25">
      <c r="A2777" s="4">
        <v>39846</v>
      </c>
      <c r="B2777">
        <v>235</v>
      </c>
      <c r="C2777" s="4"/>
    </row>
    <row r="2778" spans="1:3" x14ac:dyDescent="0.25">
      <c r="A2778" s="4">
        <v>39847</v>
      </c>
      <c r="B2778">
        <v>237</v>
      </c>
      <c r="C2778" s="4"/>
    </row>
    <row r="2779" spans="1:3" x14ac:dyDescent="0.25">
      <c r="A2779" s="4">
        <v>39848</v>
      </c>
      <c r="B2779">
        <v>240</v>
      </c>
      <c r="C2779" s="4"/>
    </row>
    <row r="2780" spans="1:3" x14ac:dyDescent="0.25">
      <c r="A2780" s="4">
        <v>39849</v>
      </c>
      <c r="B2780">
        <v>242</v>
      </c>
      <c r="C2780" s="4"/>
    </row>
    <row r="2781" spans="1:3" x14ac:dyDescent="0.25">
      <c r="A2781" s="4">
        <v>39850</v>
      </c>
      <c r="B2781">
        <v>238</v>
      </c>
      <c r="C2781" s="4"/>
    </row>
    <row r="2782" spans="1:3" x14ac:dyDescent="0.25">
      <c r="A2782" s="4">
        <v>39853</v>
      </c>
      <c r="B2782">
        <v>253</v>
      </c>
      <c r="C2782" s="4"/>
    </row>
    <row r="2783" spans="1:3" x14ac:dyDescent="0.25">
      <c r="A2783" s="4">
        <v>39854</v>
      </c>
      <c r="B2783">
        <v>247.5</v>
      </c>
      <c r="C2783" s="4"/>
    </row>
    <row r="2784" spans="1:3" x14ac:dyDescent="0.25">
      <c r="A2784" s="4">
        <v>39855</v>
      </c>
      <c r="B2784">
        <v>241.5</v>
      </c>
      <c r="C2784" s="4"/>
    </row>
    <row r="2785" spans="1:3" x14ac:dyDescent="0.25">
      <c r="A2785" s="4">
        <v>39856</v>
      </c>
      <c r="B2785">
        <v>238</v>
      </c>
      <c r="C2785" s="4"/>
    </row>
    <row r="2786" spans="1:3" x14ac:dyDescent="0.25">
      <c r="A2786" s="4">
        <v>39857</v>
      </c>
      <c r="B2786">
        <v>235</v>
      </c>
      <c r="C2786" s="4"/>
    </row>
    <row r="2787" spans="1:3" x14ac:dyDescent="0.25">
      <c r="A2787" s="4">
        <v>39860</v>
      </c>
      <c r="B2787">
        <v>239</v>
      </c>
      <c r="C2787" s="4"/>
    </row>
    <row r="2788" spans="1:3" x14ac:dyDescent="0.25">
      <c r="A2788" s="4">
        <v>39861</v>
      </c>
      <c r="B2788">
        <v>222</v>
      </c>
      <c r="C2788" s="4"/>
    </row>
    <row r="2789" spans="1:3" x14ac:dyDescent="0.25">
      <c r="A2789" s="4">
        <v>39862</v>
      </c>
      <c r="B2789">
        <v>210</v>
      </c>
      <c r="C2789" s="4"/>
    </row>
    <row r="2790" spans="1:3" x14ac:dyDescent="0.25">
      <c r="A2790" s="4">
        <v>39863</v>
      </c>
      <c r="B2790">
        <v>219.5</v>
      </c>
      <c r="C2790" s="4"/>
    </row>
    <row r="2791" spans="1:3" x14ac:dyDescent="0.25">
      <c r="A2791" s="4">
        <v>39864</v>
      </c>
      <c r="B2791">
        <v>215</v>
      </c>
      <c r="C2791" s="4"/>
    </row>
    <row r="2792" spans="1:3" x14ac:dyDescent="0.25">
      <c r="A2792" s="4">
        <v>39867</v>
      </c>
      <c r="B2792">
        <v>217</v>
      </c>
      <c r="C2792" s="4"/>
    </row>
    <row r="2793" spans="1:3" x14ac:dyDescent="0.25">
      <c r="A2793" s="4">
        <v>39868</v>
      </c>
      <c r="B2793">
        <v>209</v>
      </c>
      <c r="C2793" s="4"/>
    </row>
    <row r="2794" spans="1:3" x14ac:dyDescent="0.25">
      <c r="A2794" s="4">
        <v>39869</v>
      </c>
      <c r="B2794">
        <v>213</v>
      </c>
      <c r="C2794" s="4"/>
    </row>
    <row r="2795" spans="1:3" x14ac:dyDescent="0.25">
      <c r="A2795" s="4">
        <v>39870</v>
      </c>
      <c r="B2795">
        <v>234</v>
      </c>
      <c r="C2795" s="4"/>
    </row>
    <row r="2796" spans="1:3" x14ac:dyDescent="0.25">
      <c r="A2796" s="4">
        <v>39871</v>
      </c>
      <c r="B2796">
        <v>224</v>
      </c>
      <c r="C2796" s="4"/>
    </row>
    <row r="2797" spans="1:3" x14ac:dyDescent="0.25">
      <c r="A2797" s="4">
        <v>39874</v>
      </c>
      <c r="B2797">
        <v>210</v>
      </c>
      <c r="C2797" s="4"/>
    </row>
    <row r="2798" spans="1:3" x14ac:dyDescent="0.25">
      <c r="A2798" s="4">
        <v>39875</v>
      </c>
      <c r="B2798">
        <v>208</v>
      </c>
      <c r="C2798" s="4"/>
    </row>
    <row r="2799" spans="1:3" x14ac:dyDescent="0.25">
      <c r="A2799" s="4">
        <v>39876</v>
      </c>
      <c r="B2799">
        <v>232</v>
      </c>
      <c r="C2799" s="4"/>
    </row>
    <row r="2800" spans="1:3" x14ac:dyDescent="0.25">
      <c r="A2800" s="4">
        <v>39877</v>
      </c>
      <c r="B2800">
        <v>220</v>
      </c>
      <c r="C2800" s="4"/>
    </row>
    <row r="2801" spans="1:3" x14ac:dyDescent="0.25">
      <c r="A2801" s="4">
        <v>39878</v>
      </c>
      <c r="B2801">
        <v>220</v>
      </c>
      <c r="C2801" s="4"/>
    </row>
    <row r="2802" spans="1:3" x14ac:dyDescent="0.25">
      <c r="A2802" s="4">
        <v>39881</v>
      </c>
      <c r="B2802">
        <v>232</v>
      </c>
      <c r="C2802" s="4"/>
    </row>
    <row r="2803" spans="1:3" x14ac:dyDescent="0.25">
      <c r="A2803" s="4">
        <v>39882</v>
      </c>
      <c r="B2803">
        <v>236</v>
      </c>
      <c r="C2803" s="4"/>
    </row>
    <row r="2804" spans="1:3" x14ac:dyDescent="0.25">
      <c r="A2804" s="4">
        <v>39883</v>
      </c>
      <c r="B2804">
        <v>223</v>
      </c>
      <c r="C2804" s="4"/>
    </row>
    <row r="2805" spans="1:3" x14ac:dyDescent="0.25">
      <c r="A2805" s="4">
        <v>39884</v>
      </c>
      <c r="B2805">
        <v>220</v>
      </c>
      <c r="C2805" s="4"/>
    </row>
    <row r="2806" spans="1:3" x14ac:dyDescent="0.25">
      <c r="A2806" s="4">
        <v>39885</v>
      </c>
      <c r="B2806">
        <v>235</v>
      </c>
      <c r="C2806" s="4"/>
    </row>
    <row r="2807" spans="1:3" x14ac:dyDescent="0.25">
      <c r="A2807" s="4">
        <v>39888</v>
      </c>
      <c r="B2807">
        <v>228</v>
      </c>
      <c r="C2807" s="4"/>
    </row>
    <row r="2808" spans="1:3" x14ac:dyDescent="0.25">
      <c r="A2808" s="4">
        <v>39889</v>
      </c>
      <c r="B2808">
        <v>231</v>
      </c>
      <c r="C2808" s="4"/>
    </row>
    <row r="2809" spans="1:3" x14ac:dyDescent="0.25">
      <c r="A2809" s="4">
        <v>39890</v>
      </c>
      <c r="B2809">
        <v>229</v>
      </c>
      <c r="C2809" s="4"/>
    </row>
    <row r="2810" spans="1:3" x14ac:dyDescent="0.25">
      <c r="A2810" s="4">
        <v>39891</v>
      </c>
      <c r="B2810">
        <v>239</v>
      </c>
      <c r="C2810" s="4"/>
    </row>
    <row r="2811" spans="1:3" x14ac:dyDescent="0.25">
      <c r="A2811" s="4">
        <v>39892</v>
      </c>
      <c r="B2811">
        <v>240</v>
      </c>
      <c r="C2811" s="4"/>
    </row>
    <row r="2812" spans="1:3" x14ac:dyDescent="0.25">
      <c r="A2812" s="4">
        <v>39895</v>
      </c>
      <c r="B2812">
        <v>253</v>
      </c>
      <c r="C2812" s="4"/>
    </row>
    <row r="2813" spans="1:3" x14ac:dyDescent="0.25">
      <c r="A2813" s="4">
        <v>39896</v>
      </c>
      <c r="B2813">
        <v>253</v>
      </c>
      <c r="C2813" s="4"/>
    </row>
    <row r="2814" spans="1:3" x14ac:dyDescent="0.25">
      <c r="A2814" s="4">
        <v>39897</v>
      </c>
      <c r="B2814">
        <v>258</v>
      </c>
      <c r="C2814" s="4"/>
    </row>
    <row r="2815" spans="1:3" x14ac:dyDescent="0.25">
      <c r="A2815" s="4">
        <v>39898</v>
      </c>
      <c r="B2815">
        <v>262</v>
      </c>
      <c r="C2815" s="4"/>
    </row>
    <row r="2816" spans="1:3" x14ac:dyDescent="0.25">
      <c r="A2816" s="4">
        <v>39899</v>
      </c>
      <c r="B2816">
        <v>251</v>
      </c>
      <c r="C2816" s="4"/>
    </row>
    <row r="2817" spans="1:3" x14ac:dyDescent="0.25">
      <c r="A2817" s="4">
        <v>39902</v>
      </c>
      <c r="B2817">
        <v>246</v>
      </c>
      <c r="C2817" s="4"/>
    </row>
    <row r="2818" spans="1:3" x14ac:dyDescent="0.25">
      <c r="A2818" s="4">
        <v>39903</v>
      </c>
      <c r="B2818">
        <v>245</v>
      </c>
      <c r="C2818" s="4"/>
    </row>
    <row r="2819" spans="1:3" x14ac:dyDescent="0.25">
      <c r="A2819" s="4">
        <v>39904</v>
      </c>
      <c r="B2819">
        <v>245</v>
      </c>
      <c r="C2819" s="4"/>
    </row>
    <row r="2820" spans="1:3" x14ac:dyDescent="0.25">
      <c r="A2820" s="4">
        <v>39905</v>
      </c>
      <c r="B2820">
        <v>267</v>
      </c>
      <c r="C2820" s="4"/>
    </row>
    <row r="2821" spans="1:3" x14ac:dyDescent="0.25">
      <c r="A2821" s="4">
        <v>39906</v>
      </c>
      <c r="B2821">
        <v>263</v>
      </c>
      <c r="C2821" s="4"/>
    </row>
    <row r="2822" spans="1:3" x14ac:dyDescent="0.25">
      <c r="A2822" s="4">
        <v>39909</v>
      </c>
      <c r="B2822">
        <v>267</v>
      </c>
      <c r="C2822" s="4"/>
    </row>
    <row r="2823" spans="1:3" x14ac:dyDescent="0.25">
      <c r="A2823" s="4">
        <v>39910</v>
      </c>
      <c r="B2823">
        <v>269</v>
      </c>
      <c r="C2823" s="4"/>
    </row>
    <row r="2824" spans="1:3" x14ac:dyDescent="0.25">
      <c r="A2824" s="4">
        <v>39911</v>
      </c>
      <c r="B2824">
        <v>269</v>
      </c>
      <c r="C2824" s="4"/>
    </row>
    <row r="2825" spans="1:3" x14ac:dyDescent="0.25">
      <c r="A2825" s="4">
        <v>39912</v>
      </c>
      <c r="B2825">
        <v>270</v>
      </c>
      <c r="C2825" s="4"/>
    </row>
    <row r="2826" spans="1:3" x14ac:dyDescent="0.25">
      <c r="A2826" s="4">
        <v>39917</v>
      </c>
      <c r="B2826">
        <v>276</v>
      </c>
      <c r="C2826" s="4"/>
    </row>
    <row r="2827" spans="1:3" x14ac:dyDescent="0.25">
      <c r="A2827" s="4">
        <v>39918</v>
      </c>
      <c r="B2827">
        <v>274</v>
      </c>
      <c r="C2827" s="4"/>
    </row>
    <row r="2828" spans="1:3" x14ac:dyDescent="0.25">
      <c r="A2828" s="4">
        <v>39919</v>
      </c>
      <c r="B2828">
        <v>276</v>
      </c>
      <c r="C2828" s="4"/>
    </row>
    <row r="2829" spans="1:3" x14ac:dyDescent="0.25">
      <c r="A2829" s="4">
        <v>39920</v>
      </c>
      <c r="B2829">
        <v>273</v>
      </c>
      <c r="C2829" s="4"/>
    </row>
    <row r="2830" spans="1:3" x14ac:dyDescent="0.25">
      <c r="A2830" s="4">
        <v>39923</v>
      </c>
      <c r="B2830">
        <v>258</v>
      </c>
      <c r="C2830" s="4"/>
    </row>
    <row r="2831" spans="1:3" x14ac:dyDescent="0.25">
      <c r="A2831" s="4">
        <v>39924</v>
      </c>
      <c r="B2831">
        <v>257</v>
      </c>
      <c r="C2831" s="4"/>
    </row>
    <row r="2832" spans="1:3" x14ac:dyDescent="0.25">
      <c r="A2832" s="4">
        <v>39925</v>
      </c>
      <c r="B2832">
        <v>257</v>
      </c>
      <c r="C2832" s="4"/>
    </row>
    <row r="2833" spans="1:3" x14ac:dyDescent="0.25">
      <c r="A2833" s="4">
        <v>39926</v>
      </c>
      <c r="B2833">
        <v>260</v>
      </c>
      <c r="C2833" s="4"/>
    </row>
    <row r="2834" spans="1:3" x14ac:dyDescent="0.25">
      <c r="A2834" s="4">
        <v>39927</v>
      </c>
      <c r="B2834">
        <v>273</v>
      </c>
      <c r="C2834" s="4"/>
    </row>
    <row r="2835" spans="1:3" x14ac:dyDescent="0.25">
      <c r="A2835" s="4">
        <v>39930</v>
      </c>
      <c r="B2835">
        <v>263</v>
      </c>
      <c r="C2835" s="4"/>
    </row>
    <row r="2836" spans="1:3" x14ac:dyDescent="0.25">
      <c r="A2836" s="4">
        <v>39931</v>
      </c>
      <c r="B2836">
        <v>263</v>
      </c>
      <c r="C2836" s="4"/>
    </row>
    <row r="2837" spans="1:3" x14ac:dyDescent="0.25">
      <c r="A2837" s="4">
        <v>39932</v>
      </c>
      <c r="B2837">
        <v>270</v>
      </c>
      <c r="C2837" s="4"/>
    </row>
    <row r="2838" spans="1:3" x14ac:dyDescent="0.25">
      <c r="A2838" s="4">
        <v>39933</v>
      </c>
      <c r="B2838">
        <v>273</v>
      </c>
      <c r="C2838" s="4"/>
    </row>
    <row r="2839" spans="1:3" x14ac:dyDescent="0.25">
      <c r="A2839" s="4">
        <v>39934</v>
      </c>
      <c r="B2839">
        <v>285</v>
      </c>
      <c r="C2839" s="4"/>
    </row>
    <row r="2840" spans="1:3" x14ac:dyDescent="0.25">
      <c r="A2840" s="4">
        <v>39938</v>
      </c>
      <c r="B2840">
        <v>297</v>
      </c>
      <c r="C2840" s="4"/>
    </row>
    <row r="2841" spans="1:3" x14ac:dyDescent="0.25">
      <c r="A2841" s="4">
        <v>39939</v>
      </c>
      <c r="B2841">
        <v>309</v>
      </c>
      <c r="C2841" s="4"/>
    </row>
    <row r="2842" spans="1:3" x14ac:dyDescent="0.25">
      <c r="A2842" s="4">
        <v>39940</v>
      </c>
      <c r="B2842">
        <v>316</v>
      </c>
      <c r="C2842" s="4"/>
    </row>
    <row r="2843" spans="1:3" x14ac:dyDescent="0.25">
      <c r="A2843" s="4">
        <v>39941</v>
      </c>
      <c r="B2843">
        <v>318</v>
      </c>
      <c r="C2843" s="4"/>
    </row>
    <row r="2844" spans="1:3" x14ac:dyDescent="0.25">
      <c r="A2844" s="4">
        <v>39944</v>
      </c>
      <c r="B2844">
        <v>318</v>
      </c>
      <c r="C2844" s="4"/>
    </row>
    <row r="2845" spans="1:3" x14ac:dyDescent="0.25">
      <c r="A2845" s="4">
        <v>39945</v>
      </c>
      <c r="B2845">
        <v>325</v>
      </c>
      <c r="C2845" s="4"/>
    </row>
    <row r="2846" spans="1:3" x14ac:dyDescent="0.25">
      <c r="A2846" s="4">
        <v>39946</v>
      </c>
      <c r="B2846">
        <v>333</v>
      </c>
      <c r="C2846" s="4"/>
    </row>
    <row r="2847" spans="1:3" x14ac:dyDescent="0.25">
      <c r="A2847" s="4">
        <v>39947</v>
      </c>
      <c r="B2847">
        <v>318</v>
      </c>
      <c r="C2847" s="4"/>
    </row>
    <row r="2848" spans="1:3" x14ac:dyDescent="0.25">
      <c r="A2848" s="4">
        <v>39948</v>
      </c>
      <c r="B2848">
        <v>318</v>
      </c>
      <c r="C2848" s="4"/>
    </row>
    <row r="2849" spans="1:3" x14ac:dyDescent="0.25">
      <c r="A2849" s="4">
        <v>39951</v>
      </c>
      <c r="B2849">
        <v>322</v>
      </c>
      <c r="C2849" s="4"/>
    </row>
    <row r="2850" spans="1:3" x14ac:dyDescent="0.25">
      <c r="A2850" s="4">
        <v>39952</v>
      </c>
      <c r="B2850">
        <v>324</v>
      </c>
      <c r="C2850" s="4"/>
    </row>
    <row r="2851" spans="1:3" x14ac:dyDescent="0.25">
      <c r="A2851" s="4">
        <v>39953</v>
      </c>
      <c r="B2851">
        <v>337</v>
      </c>
      <c r="C2851" s="4"/>
    </row>
    <row r="2852" spans="1:3" x14ac:dyDescent="0.25">
      <c r="A2852" s="4">
        <v>39954</v>
      </c>
      <c r="B2852">
        <v>326</v>
      </c>
      <c r="C2852" s="4"/>
    </row>
    <row r="2853" spans="1:3" x14ac:dyDescent="0.25">
      <c r="A2853" s="4">
        <v>39955</v>
      </c>
      <c r="B2853">
        <v>326</v>
      </c>
      <c r="C2853" s="4"/>
    </row>
    <row r="2854" spans="1:3" x14ac:dyDescent="0.25">
      <c r="A2854" s="4">
        <v>39959</v>
      </c>
      <c r="B2854">
        <v>327</v>
      </c>
      <c r="C2854" s="4"/>
    </row>
    <row r="2855" spans="1:3" x14ac:dyDescent="0.25">
      <c r="A2855" s="4">
        <v>39960</v>
      </c>
      <c r="B2855">
        <v>336</v>
      </c>
      <c r="C2855" s="4"/>
    </row>
    <row r="2856" spans="1:3" x14ac:dyDescent="0.25">
      <c r="A2856" s="4">
        <v>39961</v>
      </c>
      <c r="B2856">
        <v>346</v>
      </c>
      <c r="C2856" s="4"/>
    </row>
    <row r="2857" spans="1:3" x14ac:dyDescent="0.25">
      <c r="A2857" s="4">
        <v>39962</v>
      </c>
      <c r="B2857">
        <v>355</v>
      </c>
      <c r="C2857" s="4"/>
    </row>
    <row r="2858" spans="1:3" x14ac:dyDescent="0.25">
      <c r="A2858" s="4">
        <v>39965</v>
      </c>
      <c r="B2858">
        <v>378</v>
      </c>
      <c r="C2858" s="4"/>
    </row>
    <row r="2859" spans="1:3" x14ac:dyDescent="0.25">
      <c r="A2859" s="4">
        <v>39966</v>
      </c>
      <c r="B2859">
        <v>384</v>
      </c>
      <c r="C2859" s="4"/>
    </row>
    <row r="2860" spans="1:3" x14ac:dyDescent="0.25">
      <c r="A2860" s="4">
        <v>39967</v>
      </c>
      <c r="B2860">
        <v>365</v>
      </c>
      <c r="C2860" s="4"/>
    </row>
    <row r="2861" spans="1:3" x14ac:dyDescent="0.25">
      <c r="A2861" s="4">
        <v>39968</v>
      </c>
      <c r="B2861">
        <v>375</v>
      </c>
      <c r="C2861" s="4"/>
    </row>
    <row r="2862" spans="1:3" x14ac:dyDescent="0.25">
      <c r="A2862" s="4">
        <v>39969</v>
      </c>
      <c r="B2862">
        <v>375</v>
      </c>
      <c r="C2862" s="4"/>
    </row>
    <row r="2863" spans="1:3" x14ac:dyDescent="0.25">
      <c r="A2863" s="4">
        <v>39972</v>
      </c>
      <c r="B2863">
        <v>380</v>
      </c>
      <c r="C2863" s="4"/>
    </row>
    <row r="2864" spans="1:3" x14ac:dyDescent="0.25">
      <c r="A2864" s="4">
        <v>39973</v>
      </c>
      <c r="B2864">
        <v>384</v>
      </c>
      <c r="C2864" s="4"/>
    </row>
    <row r="2865" spans="1:3" x14ac:dyDescent="0.25">
      <c r="A2865" s="4">
        <v>39974</v>
      </c>
      <c r="B2865">
        <v>379</v>
      </c>
      <c r="C2865" s="4"/>
    </row>
    <row r="2866" spans="1:3" x14ac:dyDescent="0.25">
      <c r="A2866" s="4">
        <v>39975</v>
      </c>
      <c r="B2866">
        <v>384</v>
      </c>
      <c r="C2866" s="4"/>
    </row>
    <row r="2867" spans="1:3" x14ac:dyDescent="0.25">
      <c r="A2867" s="4">
        <v>39976</v>
      </c>
      <c r="B2867">
        <v>371</v>
      </c>
      <c r="C2867" s="4"/>
    </row>
    <row r="2868" spans="1:3" x14ac:dyDescent="0.25">
      <c r="A2868" s="4">
        <v>39979</v>
      </c>
      <c r="B2868">
        <v>355</v>
      </c>
      <c r="C2868" s="4"/>
    </row>
    <row r="2869" spans="1:3" x14ac:dyDescent="0.25">
      <c r="A2869" s="4">
        <v>39980</v>
      </c>
      <c r="B2869">
        <v>375</v>
      </c>
      <c r="C2869" s="4"/>
    </row>
    <row r="2870" spans="1:3" x14ac:dyDescent="0.25">
      <c r="A2870" s="4">
        <v>39981</v>
      </c>
      <c r="B2870">
        <v>368</v>
      </c>
      <c r="C2870" s="4"/>
    </row>
    <row r="2871" spans="1:3" x14ac:dyDescent="0.25">
      <c r="A2871" s="4">
        <v>39982</v>
      </c>
      <c r="B2871">
        <v>381</v>
      </c>
      <c r="C2871" s="4"/>
    </row>
    <row r="2872" spans="1:3" x14ac:dyDescent="0.25">
      <c r="A2872" s="4">
        <v>39983</v>
      </c>
      <c r="B2872">
        <v>380</v>
      </c>
      <c r="C2872" s="4"/>
    </row>
    <row r="2873" spans="1:3" x14ac:dyDescent="0.25">
      <c r="A2873" s="4">
        <v>39986</v>
      </c>
      <c r="B2873">
        <v>360</v>
      </c>
      <c r="C2873" s="4"/>
    </row>
    <row r="2874" spans="1:3" x14ac:dyDescent="0.25">
      <c r="A2874" s="4">
        <v>39987</v>
      </c>
      <c r="B2874">
        <v>364</v>
      </c>
      <c r="C2874" s="4"/>
    </row>
    <row r="2875" spans="1:3" x14ac:dyDescent="0.25">
      <c r="A2875" s="4">
        <v>39988</v>
      </c>
      <c r="B2875">
        <v>373</v>
      </c>
      <c r="C2875" s="4"/>
    </row>
    <row r="2876" spans="1:3" x14ac:dyDescent="0.25">
      <c r="A2876" s="4">
        <v>39989</v>
      </c>
      <c r="B2876">
        <v>378</v>
      </c>
      <c r="C2876" s="4"/>
    </row>
    <row r="2877" spans="1:3" x14ac:dyDescent="0.25">
      <c r="A2877" s="4">
        <v>39990</v>
      </c>
      <c r="B2877">
        <v>371</v>
      </c>
      <c r="C2877" s="4"/>
    </row>
    <row r="2878" spans="1:3" x14ac:dyDescent="0.25">
      <c r="A2878" s="4">
        <v>39993</v>
      </c>
      <c r="B2878">
        <v>386</v>
      </c>
      <c r="C2878" s="4"/>
    </row>
    <row r="2879" spans="1:3" x14ac:dyDescent="0.25">
      <c r="A2879" s="4">
        <v>39994</v>
      </c>
      <c r="B2879">
        <v>378</v>
      </c>
      <c r="C2879" s="4"/>
    </row>
    <row r="2880" spans="1:3" x14ac:dyDescent="0.25">
      <c r="A2880" s="4">
        <v>39995</v>
      </c>
      <c r="B2880">
        <v>397</v>
      </c>
      <c r="C2880" s="4"/>
    </row>
    <row r="2881" spans="1:3" x14ac:dyDescent="0.25">
      <c r="A2881" s="4">
        <v>39996</v>
      </c>
      <c r="B2881">
        <v>377</v>
      </c>
      <c r="C2881" s="4"/>
    </row>
    <row r="2882" spans="1:3" x14ac:dyDescent="0.25">
      <c r="A2882" s="4">
        <v>39997</v>
      </c>
      <c r="B2882">
        <v>371</v>
      </c>
      <c r="C2882" s="4"/>
    </row>
    <row r="2883" spans="1:3" x14ac:dyDescent="0.25">
      <c r="A2883" s="4">
        <v>40000</v>
      </c>
      <c r="B2883">
        <v>371</v>
      </c>
      <c r="C2883" s="4"/>
    </row>
    <row r="2884" spans="1:3" x14ac:dyDescent="0.25">
      <c r="A2884" s="4">
        <v>40001</v>
      </c>
      <c r="B2884">
        <v>356</v>
      </c>
      <c r="C2884" s="4"/>
    </row>
    <row r="2885" spans="1:3" x14ac:dyDescent="0.25">
      <c r="A2885" s="4">
        <v>40002</v>
      </c>
      <c r="B2885">
        <v>353</v>
      </c>
      <c r="C2885" s="4"/>
    </row>
    <row r="2886" spans="1:3" x14ac:dyDescent="0.25">
      <c r="A2886" s="4">
        <v>40003</v>
      </c>
      <c r="B2886">
        <v>352</v>
      </c>
      <c r="C2886" s="4"/>
    </row>
    <row r="2887" spans="1:3" x14ac:dyDescent="0.25">
      <c r="A2887" s="4">
        <v>40004</v>
      </c>
      <c r="B2887">
        <v>347</v>
      </c>
      <c r="C2887" s="4"/>
    </row>
    <row r="2888" spans="1:3" x14ac:dyDescent="0.25">
      <c r="A2888" s="4">
        <v>40007</v>
      </c>
      <c r="B2888">
        <v>351</v>
      </c>
      <c r="C2888" s="4"/>
    </row>
    <row r="2889" spans="1:3" x14ac:dyDescent="0.25">
      <c r="A2889" s="4">
        <v>40008</v>
      </c>
      <c r="B2889">
        <v>362</v>
      </c>
      <c r="C2889" s="4"/>
    </row>
    <row r="2890" spans="1:3" x14ac:dyDescent="0.25">
      <c r="A2890" s="4">
        <v>40009</v>
      </c>
      <c r="B2890">
        <v>376</v>
      </c>
      <c r="C2890" s="4"/>
    </row>
    <row r="2891" spans="1:3" x14ac:dyDescent="0.25">
      <c r="A2891" s="4">
        <v>40010</v>
      </c>
      <c r="B2891">
        <v>376</v>
      </c>
      <c r="C2891" s="4"/>
    </row>
    <row r="2892" spans="1:3" x14ac:dyDescent="0.25">
      <c r="A2892" s="4">
        <v>40011</v>
      </c>
      <c r="B2892">
        <v>374</v>
      </c>
      <c r="C2892" s="4"/>
    </row>
    <row r="2893" spans="1:3" x14ac:dyDescent="0.25">
      <c r="A2893" s="4">
        <v>40014</v>
      </c>
      <c r="B2893">
        <v>374</v>
      </c>
      <c r="C2893" s="4"/>
    </row>
    <row r="2894" spans="1:3" x14ac:dyDescent="0.25">
      <c r="A2894" s="4">
        <v>40015</v>
      </c>
      <c r="B2894">
        <v>388</v>
      </c>
      <c r="C2894" s="4"/>
    </row>
    <row r="2895" spans="1:3" x14ac:dyDescent="0.25">
      <c r="A2895" s="4">
        <v>40016</v>
      </c>
      <c r="B2895">
        <v>386</v>
      </c>
      <c r="C2895" s="4"/>
    </row>
    <row r="2896" spans="1:3" x14ac:dyDescent="0.25">
      <c r="A2896" s="4">
        <v>40017</v>
      </c>
      <c r="B2896">
        <v>391</v>
      </c>
      <c r="C2896" s="4"/>
    </row>
    <row r="2897" spans="1:3" x14ac:dyDescent="0.25">
      <c r="A2897" s="4">
        <v>40018</v>
      </c>
      <c r="B2897">
        <v>392</v>
      </c>
      <c r="C2897" s="4"/>
    </row>
    <row r="2898" spans="1:3" x14ac:dyDescent="0.25">
      <c r="A2898" s="4">
        <v>40021</v>
      </c>
      <c r="B2898">
        <v>399</v>
      </c>
      <c r="C2898" s="4"/>
    </row>
    <row r="2899" spans="1:3" x14ac:dyDescent="0.25">
      <c r="A2899" s="4">
        <v>40022</v>
      </c>
      <c r="B2899">
        <v>390</v>
      </c>
      <c r="C2899" s="4"/>
    </row>
    <row r="2900" spans="1:3" x14ac:dyDescent="0.25">
      <c r="A2900" s="4">
        <v>40023</v>
      </c>
      <c r="B2900">
        <v>375</v>
      </c>
      <c r="C2900" s="4"/>
    </row>
    <row r="2901" spans="1:3" x14ac:dyDescent="0.25">
      <c r="A2901" s="4">
        <v>40024</v>
      </c>
      <c r="B2901">
        <v>375</v>
      </c>
      <c r="C2901" s="4"/>
    </row>
    <row r="2902" spans="1:3" x14ac:dyDescent="0.25">
      <c r="A2902" s="4">
        <v>40025</v>
      </c>
      <c r="B2902">
        <v>400</v>
      </c>
      <c r="C2902" s="4"/>
    </row>
    <row r="2903" spans="1:3" x14ac:dyDescent="0.25">
      <c r="A2903" s="4">
        <v>40028</v>
      </c>
      <c r="B2903">
        <v>425</v>
      </c>
      <c r="C2903" s="4"/>
    </row>
    <row r="2904" spans="1:3" x14ac:dyDescent="0.25">
      <c r="A2904" s="4">
        <v>40029</v>
      </c>
      <c r="B2904">
        <v>431</v>
      </c>
      <c r="C2904" s="4"/>
    </row>
    <row r="2905" spans="1:3" x14ac:dyDescent="0.25">
      <c r="A2905" s="4">
        <v>40030</v>
      </c>
      <c r="B2905">
        <v>429</v>
      </c>
      <c r="C2905" s="4"/>
    </row>
    <row r="2906" spans="1:3" x14ac:dyDescent="0.25">
      <c r="A2906" s="4">
        <v>40031</v>
      </c>
      <c r="B2906">
        <v>417</v>
      </c>
      <c r="C2906" s="4"/>
    </row>
    <row r="2907" spans="1:3" x14ac:dyDescent="0.25">
      <c r="A2907" s="4">
        <v>40032</v>
      </c>
      <c r="B2907">
        <v>407</v>
      </c>
      <c r="C2907" s="4"/>
    </row>
    <row r="2908" spans="1:3" x14ac:dyDescent="0.25">
      <c r="A2908" s="4">
        <v>40035</v>
      </c>
      <c r="B2908">
        <v>412</v>
      </c>
      <c r="C2908" s="4"/>
    </row>
    <row r="2909" spans="1:3" x14ac:dyDescent="0.25">
      <c r="A2909" s="4">
        <v>40036</v>
      </c>
      <c r="B2909">
        <v>407</v>
      </c>
      <c r="C2909" s="4"/>
    </row>
    <row r="2910" spans="1:3" x14ac:dyDescent="0.25">
      <c r="A2910" s="4">
        <v>40037</v>
      </c>
      <c r="B2910">
        <v>432</v>
      </c>
      <c r="C2910" s="4"/>
    </row>
    <row r="2911" spans="1:3" x14ac:dyDescent="0.25">
      <c r="A2911" s="4">
        <v>40038</v>
      </c>
      <c r="B2911">
        <v>423</v>
      </c>
      <c r="C2911" s="4"/>
    </row>
    <row r="2912" spans="1:3" x14ac:dyDescent="0.25">
      <c r="A2912" s="4">
        <v>40039</v>
      </c>
      <c r="B2912">
        <v>409</v>
      </c>
      <c r="C2912" s="4"/>
    </row>
    <row r="2913" spans="1:3" x14ac:dyDescent="0.25">
      <c r="A2913" s="4">
        <v>40042</v>
      </c>
      <c r="B2913">
        <v>396.75</v>
      </c>
      <c r="C2913" s="4"/>
    </row>
    <row r="2914" spans="1:3" x14ac:dyDescent="0.25">
      <c r="A2914" s="4">
        <v>40043</v>
      </c>
      <c r="B2914">
        <v>408</v>
      </c>
      <c r="C2914" s="4"/>
    </row>
    <row r="2915" spans="1:3" x14ac:dyDescent="0.25">
      <c r="A2915" s="4">
        <v>40044</v>
      </c>
      <c r="B2915">
        <v>427</v>
      </c>
      <c r="C2915" s="4"/>
    </row>
    <row r="2916" spans="1:3" x14ac:dyDescent="0.25">
      <c r="A2916" s="4">
        <v>40045</v>
      </c>
      <c r="B2916">
        <v>425</v>
      </c>
      <c r="C2916" s="4"/>
    </row>
    <row r="2917" spans="1:3" x14ac:dyDescent="0.25">
      <c r="A2917" s="4">
        <v>40046</v>
      </c>
      <c r="B2917">
        <v>426</v>
      </c>
      <c r="C2917" s="4"/>
    </row>
    <row r="2918" spans="1:3" x14ac:dyDescent="0.25">
      <c r="A2918" s="4">
        <v>40049</v>
      </c>
      <c r="B2918">
        <v>448</v>
      </c>
      <c r="C2918" s="4"/>
    </row>
    <row r="2919" spans="1:3" x14ac:dyDescent="0.25">
      <c r="A2919" s="4">
        <v>40050</v>
      </c>
      <c r="B2919">
        <v>444</v>
      </c>
      <c r="C2919" s="4"/>
    </row>
    <row r="2920" spans="1:3" x14ac:dyDescent="0.25">
      <c r="A2920" s="4">
        <v>40051</v>
      </c>
      <c r="B2920">
        <v>416</v>
      </c>
      <c r="C2920" s="4"/>
    </row>
    <row r="2921" spans="1:3" x14ac:dyDescent="0.25">
      <c r="A2921" s="4">
        <v>40052</v>
      </c>
      <c r="B2921">
        <v>414</v>
      </c>
      <c r="C2921" s="4"/>
    </row>
    <row r="2922" spans="1:3" x14ac:dyDescent="0.25">
      <c r="A2922" s="4">
        <v>40053</v>
      </c>
      <c r="B2922">
        <v>424</v>
      </c>
      <c r="C2922" s="4"/>
    </row>
    <row r="2923" spans="1:3" x14ac:dyDescent="0.25">
      <c r="A2923" s="4">
        <v>40057</v>
      </c>
      <c r="B2923">
        <v>408</v>
      </c>
      <c r="C2923" s="4"/>
    </row>
    <row r="2924" spans="1:3" x14ac:dyDescent="0.25">
      <c r="A2924" s="4">
        <v>40058</v>
      </c>
      <c r="B2924">
        <v>399</v>
      </c>
      <c r="C2924" s="4"/>
    </row>
    <row r="2925" spans="1:3" x14ac:dyDescent="0.25">
      <c r="A2925" s="4">
        <v>40059</v>
      </c>
      <c r="B2925">
        <v>395</v>
      </c>
      <c r="C2925" s="4"/>
    </row>
    <row r="2926" spans="1:3" x14ac:dyDescent="0.25">
      <c r="A2926" s="4">
        <v>40060</v>
      </c>
      <c r="B2926">
        <v>385</v>
      </c>
      <c r="C2926" s="4"/>
    </row>
    <row r="2927" spans="1:3" x14ac:dyDescent="0.25">
      <c r="A2927" s="4">
        <v>40063</v>
      </c>
      <c r="B2927">
        <v>394</v>
      </c>
      <c r="C2927" s="4"/>
    </row>
    <row r="2928" spans="1:3" x14ac:dyDescent="0.25">
      <c r="A2928" s="4">
        <v>40064</v>
      </c>
      <c r="B2928">
        <v>420</v>
      </c>
      <c r="C2928" s="4"/>
    </row>
    <row r="2929" spans="1:3" x14ac:dyDescent="0.25">
      <c r="A2929" s="4">
        <v>40065</v>
      </c>
      <c r="B2929">
        <v>410</v>
      </c>
      <c r="C2929" s="4"/>
    </row>
    <row r="2930" spans="1:3" x14ac:dyDescent="0.25">
      <c r="A2930" s="4">
        <v>40066</v>
      </c>
      <c r="B2930">
        <v>405</v>
      </c>
      <c r="C2930" s="4"/>
    </row>
    <row r="2931" spans="1:3" x14ac:dyDescent="0.25">
      <c r="A2931" s="4">
        <v>40067</v>
      </c>
      <c r="B2931">
        <v>401</v>
      </c>
      <c r="C2931" s="4"/>
    </row>
    <row r="2932" spans="1:3" x14ac:dyDescent="0.25">
      <c r="A2932" s="4">
        <v>40070</v>
      </c>
      <c r="B2932">
        <v>392</v>
      </c>
      <c r="C2932" s="4"/>
    </row>
    <row r="2933" spans="1:3" x14ac:dyDescent="0.25">
      <c r="A2933" s="4">
        <v>40071</v>
      </c>
      <c r="B2933">
        <v>395</v>
      </c>
      <c r="C2933" s="4"/>
    </row>
    <row r="2934" spans="1:3" x14ac:dyDescent="0.25">
      <c r="A2934" s="4">
        <v>40072</v>
      </c>
      <c r="B2934">
        <v>395</v>
      </c>
      <c r="C2934" s="4"/>
    </row>
    <row r="2935" spans="1:3" x14ac:dyDescent="0.25">
      <c r="A2935" s="4">
        <v>40073</v>
      </c>
      <c r="B2935">
        <v>413</v>
      </c>
      <c r="C2935" s="4"/>
    </row>
    <row r="2936" spans="1:3" x14ac:dyDescent="0.25">
      <c r="A2936" s="4">
        <v>40074</v>
      </c>
      <c r="B2936">
        <v>413</v>
      </c>
      <c r="C2936" s="4"/>
    </row>
    <row r="2937" spans="1:3" x14ac:dyDescent="0.25">
      <c r="A2937" s="4">
        <v>40077</v>
      </c>
      <c r="B2937">
        <v>397</v>
      </c>
      <c r="C2937" s="4"/>
    </row>
    <row r="2938" spans="1:3" x14ac:dyDescent="0.25">
      <c r="A2938" s="4">
        <v>40078</v>
      </c>
      <c r="B2938">
        <v>407</v>
      </c>
      <c r="C2938" s="4"/>
    </row>
    <row r="2939" spans="1:3" x14ac:dyDescent="0.25">
      <c r="A2939" s="4">
        <v>40079</v>
      </c>
      <c r="B2939">
        <v>392</v>
      </c>
      <c r="C2939" s="4"/>
    </row>
    <row r="2940" spans="1:3" x14ac:dyDescent="0.25">
      <c r="A2940" s="4">
        <v>40080</v>
      </c>
      <c r="B2940">
        <v>388</v>
      </c>
      <c r="C2940" s="4"/>
    </row>
    <row r="2941" spans="1:3" x14ac:dyDescent="0.25">
      <c r="A2941" s="4">
        <v>40081</v>
      </c>
      <c r="B2941">
        <v>378</v>
      </c>
      <c r="C2941" s="4"/>
    </row>
    <row r="2942" spans="1:3" x14ac:dyDescent="0.25">
      <c r="A2942" s="4">
        <v>40084</v>
      </c>
      <c r="B2942">
        <v>387</v>
      </c>
      <c r="C2942" s="4"/>
    </row>
    <row r="2943" spans="1:3" x14ac:dyDescent="0.25">
      <c r="A2943" s="4">
        <v>40085</v>
      </c>
      <c r="B2943">
        <v>381</v>
      </c>
      <c r="C2943" s="4"/>
    </row>
    <row r="2944" spans="1:3" x14ac:dyDescent="0.25">
      <c r="A2944" s="4">
        <v>40086</v>
      </c>
      <c r="B2944">
        <v>385</v>
      </c>
      <c r="C2944" s="4"/>
    </row>
    <row r="2945" spans="1:3" x14ac:dyDescent="0.25">
      <c r="A2945" s="4">
        <v>40087</v>
      </c>
      <c r="B2945">
        <v>395</v>
      </c>
      <c r="C2945" s="4"/>
    </row>
    <row r="2946" spans="1:3" x14ac:dyDescent="0.25">
      <c r="A2946" s="4">
        <v>40088</v>
      </c>
      <c r="B2946">
        <v>382</v>
      </c>
      <c r="C2946" s="4"/>
    </row>
    <row r="2947" spans="1:3" x14ac:dyDescent="0.25">
      <c r="A2947" s="4">
        <v>40091</v>
      </c>
      <c r="B2947">
        <v>386</v>
      </c>
      <c r="C2947" s="4"/>
    </row>
    <row r="2948" spans="1:3" x14ac:dyDescent="0.25">
      <c r="A2948" s="4">
        <v>40092</v>
      </c>
      <c r="B2948">
        <v>406</v>
      </c>
      <c r="C2948" s="4"/>
    </row>
    <row r="2949" spans="1:3" x14ac:dyDescent="0.25">
      <c r="A2949" s="4">
        <v>40093</v>
      </c>
      <c r="B2949">
        <v>410</v>
      </c>
      <c r="C2949" s="4"/>
    </row>
    <row r="2950" spans="1:3" x14ac:dyDescent="0.25">
      <c r="A2950" s="4">
        <v>40094</v>
      </c>
      <c r="B2950">
        <v>406</v>
      </c>
      <c r="C2950" s="4"/>
    </row>
    <row r="2951" spans="1:3" x14ac:dyDescent="0.25">
      <c r="A2951" s="4">
        <v>40095</v>
      </c>
      <c r="B2951">
        <v>410</v>
      </c>
      <c r="C2951" s="4"/>
    </row>
    <row r="2952" spans="1:3" x14ac:dyDescent="0.25">
      <c r="A2952" s="4">
        <v>40098</v>
      </c>
      <c r="B2952">
        <v>417</v>
      </c>
      <c r="C2952" s="4"/>
    </row>
    <row r="2953" spans="1:3" x14ac:dyDescent="0.25">
      <c r="A2953" s="4">
        <v>40099</v>
      </c>
      <c r="B2953">
        <v>411</v>
      </c>
      <c r="C2953" s="4"/>
    </row>
    <row r="2954" spans="1:3" x14ac:dyDescent="0.25">
      <c r="A2954" s="4">
        <v>40100</v>
      </c>
      <c r="B2954">
        <v>406</v>
      </c>
      <c r="C2954" s="4"/>
    </row>
    <row r="2955" spans="1:3" x14ac:dyDescent="0.25">
      <c r="A2955" s="4">
        <v>40101</v>
      </c>
      <c r="B2955">
        <v>420</v>
      </c>
      <c r="C2955" s="4"/>
    </row>
    <row r="2956" spans="1:3" x14ac:dyDescent="0.25">
      <c r="A2956" s="4">
        <v>40102</v>
      </c>
      <c r="B2956">
        <v>427</v>
      </c>
      <c r="C2956" s="4"/>
    </row>
    <row r="2957" spans="1:3" x14ac:dyDescent="0.25">
      <c r="A2957" s="4">
        <v>40105</v>
      </c>
      <c r="B2957">
        <v>434</v>
      </c>
      <c r="C2957" s="4"/>
    </row>
    <row r="2958" spans="1:3" x14ac:dyDescent="0.25">
      <c r="A2958" s="4">
        <v>40106</v>
      </c>
      <c r="B2958">
        <v>437</v>
      </c>
      <c r="C2958" s="4"/>
    </row>
    <row r="2959" spans="1:3" x14ac:dyDescent="0.25">
      <c r="A2959" s="4">
        <v>40107</v>
      </c>
      <c r="B2959">
        <v>442</v>
      </c>
      <c r="C2959" s="4"/>
    </row>
    <row r="2960" spans="1:3" x14ac:dyDescent="0.25">
      <c r="A2960" s="4">
        <v>40108</v>
      </c>
      <c r="B2960">
        <v>450</v>
      </c>
      <c r="C2960" s="4"/>
    </row>
    <row r="2961" spans="1:3" x14ac:dyDescent="0.25">
      <c r="A2961" s="4">
        <v>40109</v>
      </c>
      <c r="B2961">
        <v>447</v>
      </c>
      <c r="C2961" s="4"/>
    </row>
    <row r="2962" spans="1:3" x14ac:dyDescent="0.25">
      <c r="A2962" s="4">
        <v>40112</v>
      </c>
      <c r="B2962">
        <v>444</v>
      </c>
      <c r="C2962" s="4"/>
    </row>
    <row r="2963" spans="1:3" x14ac:dyDescent="0.25">
      <c r="A2963" s="4">
        <v>40113</v>
      </c>
      <c r="B2963">
        <v>445</v>
      </c>
      <c r="C2963" s="4"/>
    </row>
    <row r="2964" spans="1:3" x14ac:dyDescent="0.25">
      <c r="A2964" s="4">
        <v>40114</v>
      </c>
      <c r="B2964">
        <v>446</v>
      </c>
      <c r="C2964" s="4"/>
    </row>
    <row r="2965" spans="1:3" x14ac:dyDescent="0.25">
      <c r="A2965" s="4">
        <v>40115</v>
      </c>
      <c r="B2965">
        <v>445</v>
      </c>
      <c r="C2965" s="4"/>
    </row>
    <row r="2966" spans="1:3" x14ac:dyDescent="0.25">
      <c r="A2966" s="4">
        <v>40116</v>
      </c>
      <c r="B2966">
        <v>438</v>
      </c>
      <c r="C2966" s="4"/>
    </row>
    <row r="2967" spans="1:3" x14ac:dyDescent="0.25">
      <c r="A2967" s="4">
        <v>40119</v>
      </c>
      <c r="B2967">
        <v>440</v>
      </c>
      <c r="C2967" s="4"/>
    </row>
    <row r="2968" spans="1:3" x14ac:dyDescent="0.25">
      <c r="A2968" s="4">
        <v>40120</v>
      </c>
      <c r="B2968">
        <v>444</v>
      </c>
      <c r="C2968" s="4"/>
    </row>
    <row r="2969" spans="1:3" x14ac:dyDescent="0.25">
      <c r="A2969" s="4">
        <v>40121</v>
      </c>
      <c r="B2969">
        <v>458</v>
      </c>
      <c r="C2969" s="4"/>
    </row>
    <row r="2970" spans="1:3" x14ac:dyDescent="0.25">
      <c r="A2970" s="4">
        <v>40122</v>
      </c>
      <c r="B2970">
        <v>457</v>
      </c>
      <c r="C2970" s="4"/>
    </row>
    <row r="2971" spans="1:3" x14ac:dyDescent="0.25">
      <c r="A2971" s="4">
        <v>40123</v>
      </c>
      <c r="B2971">
        <v>444</v>
      </c>
      <c r="C2971" s="4"/>
    </row>
    <row r="2972" spans="1:3" x14ac:dyDescent="0.25">
      <c r="A2972" s="4">
        <v>40126</v>
      </c>
      <c r="B2972">
        <v>452</v>
      </c>
      <c r="C2972" s="4"/>
    </row>
    <row r="2973" spans="1:3" x14ac:dyDescent="0.25">
      <c r="A2973" s="4">
        <v>40127</v>
      </c>
      <c r="B2973">
        <v>454</v>
      </c>
      <c r="C2973" s="4"/>
    </row>
    <row r="2974" spans="1:3" x14ac:dyDescent="0.25">
      <c r="A2974" s="4">
        <v>40128</v>
      </c>
      <c r="B2974">
        <v>453</v>
      </c>
      <c r="C2974" s="4"/>
    </row>
    <row r="2975" spans="1:3" x14ac:dyDescent="0.25">
      <c r="A2975" s="4">
        <v>40129</v>
      </c>
      <c r="B2975">
        <v>437</v>
      </c>
      <c r="C2975" s="4"/>
    </row>
    <row r="2976" spans="1:3" x14ac:dyDescent="0.25">
      <c r="A2976" s="4">
        <v>40130</v>
      </c>
      <c r="B2976">
        <v>437</v>
      </c>
      <c r="C2976" s="4"/>
    </row>
    <row r="2977" spans="1:3" x14ac:dyDescent="0.25">
      <c r="A2977" s="4">
        <v>40133</v>
      </c>
      <c r="B2977">
        <v>454.5</v>
      </c>
      <c r="C2977" s="4"/>
    </row>
    <row r="2978" spans="1:3" x14ac:dyDescent="0.25">
      <c r="A2978" s="4">
        <v>40134</v>
      </c>
      <c r="B2978">
        <v>453</v>
      </c>
      <c r="C2978" s="4"/>
    </row>
    <row r="2979" spans="1:3" x14ac:dyDescent="0.25">
      <c r="A2979" s="4">
        <v>40135</v>
      </c>
      <c r="B2979">
        <v>461</v>
      </c>
      <c r="C2979" s="4"/>
    </row>
    <row r="2980" spans="1:3" x14ac:dyDescent="0.25">
      <c r="A2980" s="4">
        <v>40136</v>
      </c>
      <c r="B2980">
        <v>449</v>
      </c>
      <c r="C2980" s="4"/>
    </row>
    <row r="2981" spans="1:3" x14ac:dyDescent="0.25">
      <c r="A2981" s="4">
        <v>40137</v>
      </c>
      <c r="B2981">
        <v>440</v>
      </c>
      <c r="C2981" s="4"/>
    </row>
    <row r="2982" spans="1:3" x14ac:dyDescent="0.25">
      <c r="A2982" s="4">
        <v>40140</v>
      </c>
      <c r="B2982">
        <v>454</v>
      </c>
      <c r="C2982" s="4"/>
    </row>
    <row r="2983" spans="1:3" x14ac:dyDescent="0.25">
      <c r="A2983" s="4">
        <v>40141</v>
      </c>
      <c r="B2983">
        <v>442</v>
      </c>
      <c r="C2983" s="4"/>
    </row>
    <row r="2984" spans="1:3" x14ac:dyDescent="0.25">
      <c r="A2984" s="4">
        <v>40142</v>
      </c>
      <c r="B2984">
        <v>446.5</v>
      </c>
      <c r="C2984" s="4"/>
    </row>
    <row r="2985" spans="1:3" x14ac:dyDescent="0.25">
      <c r="A2985" s="4">
        <v>40143</v>
      </c>
      <c r="B2985">
        <v>448.25</v>
      </c>
      <c r="C2985" s="4"/>
    </row>
    <row r="2986" spans="1:3" x14ac:dyDescent="0.25">
      <c r="A2986" s="4">
        <v>40144</v>
      </c>
      <c r="B2986">
        <v>440</v>
      </c>
      <c r="C2986" s="4"/>
    </row>
    <row r="2987" spans="1:3" x14ac:dyDescent="0.25">
      <c r="A2987" s="4">
        <v>40147</v>
      </c>
      <c r="B2987">
        <v>442</v>
      </c>
      <c r="C2987" s="4"/>
    </row>
    <row r="2988" spans="1:3" x14ac:dyDescent="0.25">
      <c r="A2988" s="4">
        <v>40148</v>
      </c>
      <c r="B2988">
        <v>454</v>
      </c>
      <c r="C2988" s="4"/>
    </row>
    <row r="2989" spans="1:3" x14ac:dyDescent="0.25">
      <c r="A2989" s="4">
        <v>40149</v>
      </c>
      <c r="B2989">
        <v>442</v>
      </c>
      <c r="C2989" s="4"/>
    </row>
    <row r="2990" spans="1:3" x14ac:dyDescent="0.25">
      <c r="A2990" s="4">
        <v>40150</v>
      </c>
      <c r="B2990">
        <v>448</v>
      </c>
      <c r="C2990" s="4"/>
    </row>
    <row r="2991" spans="1:3" x14ac:dyDescent="0.25">
      <c r="A2991" s="4">
        <v>40151</v>
      </c>
      <c r="B2991">
        <v>449</v>
      </c>
      <c r="C2991" s="4"/>
    </row>
    <row r="2992" spans="1:3" x14ac:dyDescent="0.25">
      <c r="A2992" s="4">
        <v>40154</v>
      </c>
      <c r="B2992">
        <v>441</v>
      </c>
      <c r="C2992" s="4"/>
    </row>
    <row r="2993" spans="1:3" x14ac:dyDescent="0.25">
      <c r="A2993" s="4">
        <v>40155</v>
      </c>
      <c r="B2993">
        <v>438</v>
      </c>
      <c r="C2993" s="4"/>
    </row>
    <row r="2994" spans="1:3" x14ac:dyDescent="0.25">
      <c r="A2994" s="4">
        <v>40156</v>
      </c>
      <c r="B2994">
        <v>435.25</v>
      </c>
      <c r="C2994" s="4"/>
    </row>
    <row r="2995" spans="1:3" x14ac:dyDescent="0.25">
      <c r="A2995" s="4">
        <v>40157</v>
      </c>
      <c r="B2995">
        <v>413</v>
      </c>
      <c r="C2995" s="4"/>
    </row>
    <row r="2996" spans="1:3" x14ac:dyDescent="0.25">
      <c r="A2996" s="4">
        <v>40158</v>
      </c>
      <c r="B2996">
        <v>404</v>
      </c>
      <c r="C2996" s="4"/>
    </row>
    <row r="2997" spans="1:3" x14ac:dyDescent="0.25">
      <c r="A2997" s="4">
        <v>40161</v>
      </c>
      <c r="B2997">
        <v>412</v>
      </c>
      <c r="C2997" s="4"/>
    </row>
    <row r="2998" spans="1:3" x14ac:dyDescent="0.25">
      <c r="A2998" s="4">
        <v>40162</v>
      </c>
      <c r="B2998">
        <v>415.25</v>
      </c>
      <c r="C2998" s="4"/>
    </row>
    <row r="2999" spans="1:3" x14ac:dyDescent="0.25">
      <c r="A2999" s="4">
        <v>40163</v>
      </c>
      <c r="B2999">
        <v>424</v>
      </c>
      <c r="C2999" s="4"/>
    </row>
    <row r="3000" spans="1:3" x14ac:dyDescent="0.25">
      <c r="A3000" s="4">
        <v>40164</v>
      </c>
      <c r="B3000">
        <v>417</v>
      </c>
      <c r="C3000" s="4"/>
    </row>
    <row r="3001" spans="1:3" x14ac:dyDescent="0.25">
      <c r="A3001" s="4">
        <v>40165</v>
      </c>
      <c r="B3001">
        <v>418.5</v>
      </c>
      <c r="C3001" s="4"/>
    </row>
    <row r="3002" spans="1:3" x14ac:dyDescent="0.25">
      <c r="A3002" s="4">
        <v>40168</v>
      </c>
      <c r="B3002">
        <v>415</v>
      </c>
      <c r="C3002" s="4"/>
    </row>
    <row r="3003" spans="1:3" x14ac:dyDescent="0.25">
      <c r="A3003" s="4">
        <v>40169</v>
      </c>
      <c r="B3003">
        <v>408</v>
      </c>
      <c r="C3003" s="4"/>
    </row>
    <row r="3004" spans="1:3" x14ac:dyDescent="0.25">
      <c r="A3004" s="4">
        <v>40170</v>
      </c>
      <c r="B3004">
        <v>425</v>
      </c>
      <c r="C3004" s="4"/>
    </row>
    <row r="3005" spans="1:3" x14ac:dyDescent="0.25">
      <c r="A3005" s="4">
        <v>40171</v>
      </c>
      <c r="B3005">
        <v>421.5</v>
      </c>
      <c r="C3005" s="4"/>
    </row>
    <row r="3006" spans="1:3" x14ac:dyDescent="0.25">
      <c r="A3006" s="4">
        <v>40182</v>
      </c>
      <c r="B3006">
        <v>455</v>
      </c>
      <c r="C3006" s="4"/>
    </row>
    <row r="3007" spans="1:3" x14ac:dyDescent="0.25">
      <c r="A3007" s="4">
        <v>40183</v>
      </c>
      <c r="B3007">
        <v>463</v>
      </c>
      <c r="C3007" s="4"/>
    </row>
    <row r="3008" spans="1:3" x14ac:dyDescent="0.25">
      <c r="A3008" s="4">
        <v>40184</v>
      </c>
      <c r="B3008">
        <v>466</v>
      </c>
      <c r="C3008" s="4"/>
    </row>
    <row r="3009" spans="1:3" x14ac:dyDescent="0.25">
      <c r="A3009" s="4">
        <v>40185</v>
      </c>
      <c r="B3009">
        <v>470</v>
      </c>
      <c r="C3009" s="4"/>
    </row>
    <row r="3010" spans="1:3" x14ac:dyDescent="0.25">
      <c r="A3010" s="4">
        <v>40186</v>
      </c>
      <c r="B3010">
        <v>469</v>
      </c>
      <c r="C3010" s="4"/>
    </row>
    <row r="3011" spans="1:3" x14ac:dyDescent="0.25">
      <c r="A3011" s="4">
        <v>40189</v>
      </c>
      <c r="B3011">
        <v>470.75</v>
      </c>
      <c r="C3011" s="4"/>
    </row>
    <row r="3012" spans="1:3" x14ac:dyDescent="0.25">
      <c r="A3012" s="4">
        <v>40190</v>
      </c>
      <c r="B3012">
        <v>465</v>
      </c>
      <c r="C3012" s="4"/>
    </row>
    <row r="3013" spans="1:3" x14ac:dyDescent="0.25">
      <c r="A3013" s="4">
        <v>40191</v>
      </c>
      <c r="B3013">
        <v>449</v>
      </c>
      <c r="C3013" s="4"/>
    </row>
    <row r="3014" spans="1:3" x14ac:dyDescent="0.25">
      <c r="A3014" s="4">
        <v>40192</v>
      </c>
      <c r="B3014">
        <v>455</v>
      </c>
      <c r="C3014" s="4"/>
    </row>
    <row r="3015" spans="1:3" x14ac:dyDescent="0.25">
      <c r="A3015" s="4">
        <v>40193</v>
      </c>
      <c r="B3015">
        <v>451</v>
      </c>
      <c r="C3015" s="4"/>
    </row>
    <row r="3016" spans="1:3" x14ac:dyDescent="0.25">
      <c r="A3016" s="4">
        <v>40196</v>
      </c>
      <c r="B3016">
        <v>449</v>
      </c>
      <c r="C3016" s="4"/>
    </row>
    <row r="3017" spans="1:3" x14ac:dyDescent="0.25">
      <c r="A3017" s="4">
        <v>40197</v>
      </c>
      <c r="B3017">
        <v>440</v>
      </c>
      <c r="C3017" s="4"/>
    </row>
    <row r="3018" spans="1:3" x14ac:dyDescent="0.25">
      <c r="A3018" s="4">
        <v>40198</v>
      </c>
      <c r="B3018">
        <v>439.5</v>
      </c>
      <c r="C3018" s="4"/>
    </row>
    <row r="3019" spans="1:3" x14ac:dyDescent="0.25">
      <c r="A3019" s="4">
        <v>40199</v>
      </c>
      <c r="B3019">
        <v>439.5</v>
      </c>
      <c r="C3019" s="4"/>
    </row>
    <row r="3020" spans="1:3" x14ac:dyDescent="0.25">
      <c r="A3020" s="4">
        <v>40200</v>
      </c>
      <c r="B3020">
        <v>428.5</v>
      </c>
      <c r="C3020" s="4"/>
    </row>
    <row r="3021" spans="1:3" x14ac:dyDescent="0.25">
      <c r="A3021" s="4">
        <v>40203</v>
      </c>
      <c r="B3021">
        <v>426</v>
      </c>
      <c r="C3021" s="4"/>
    </row>
    <row r="3022" spans="1:3" x14ac:dyDescent="0.25">
      <c r="A3022" s="4">
        <v>40204</v>
      </c>
      <c r="B3022">
        <v>430</v>
      </c>
      <c r="C3022" s="4"/>
    </row>
    <row r="3023" spans="1:3" x14ac:dyDescent="0.25">
      <c r="A3023" s="4">
        <v>40205</v>
      </c>
      <c r="B3023">
        <v>434</v>
      </c>
      <c r="C3023" s="4"/>
    </row>
    <row r="3024" spans="1:3" x14ac:dyDescent="0.25">
      <c r="A3024" s="4">
        <v>40206</v>
      </c>
      <c r="B3024">
        <v>428</v>
      </c>
      <c r="C3024" s="4"/>
    </row>
    <row r="3025" spans="1:3" x14ac:dyDescent="0.25">
      <c r="A3025" s="4">
        <v>40207</v>
      </c>
      <c r="B3025">
        <v>429</v>
      </c>
      <c r="C3025" s="4"/>
    </row>
    <row r="3026" spans="1:3" x14ac:dyDescent="0.25">
      <c r="A3026" s="4">
        <v>40210</v>
      </c>
      <c r="B3026">
        <v>429</v>
      </c>
      <c r="C3026" s="4"/>
    </row>
    <row r="3027" spans="1:3" x14ac:dyDescent="0.25">
      <c r="A3027" s="4">
        <v>40211</v>
      </c>
      <c r="B3027">
        <v>436</v>
      </c>
      <c r="C3027" s="4"/>
    </row>
    <row r="3028" spans="1:3" x14ac:dyDescent="0.25">
      <c r="A3028" s="4">
        <v>40212</v>
      </c>
      <c r="B3028">
        <v>445.5</v>
      </c>
      <c r="C3028" s="4"/>
    </row>
    <row r="3029" spans="1:3" x14ac:dyDescent="0.25">
      <c r="A3029" s="4">
        <v>40213</v>
      </c>
      <c r="B3029">
        <v>427.25</v>
      </c>
      <c r="C3029" s="4"/>
    </row>
    <row r="3030" spans="1:3" x14ac:dyDescent="0.25">
      <c r="A3030" s="4">
        <v>40214</v>
      </c>
      <c r="B3030">
        <v>414.5</v>
      </c>
      <c r="C3030" s="4"/>
    </row>
    <row r="3031" spans="1:3" x14ac:dyDescent="0.25">
      <c r="A3031" s="4">
        <v>40217</v>
      </c>
      <c r="B3031">
        <v>410.5</v>
      </c>
      <c r="C3031" s="4"/>
    </row>
    <row r="3032" spans="1:3" x14ac:dyDescent="0.25">
      <c r="A3032" s="4">
        <v>40218</v>
      </c>
      <c r="B3032">
        <v>416.5</v>
      </c>
      <c r="C3032" s="4"/>
    </row>
    <row r="3033" spans="1:3" x14ac:dyDescent="0.25">
      <c r="A3033" s="4">
        <v>40219</v>
      </c>
      <c r="B3033">
        <v>421</v>
      </c>
      <c r="C3033" s="4"/>
    </row>
    <row r="3034" spans="1:3" x14ac:dyDescent="0.25">
      <c r="A3034" s="4">
        <v>40220</v>
      </c>
      <c r="B3034">
        <v>434</v>
      </c>
      <c r="C3034" s="4"/>
    </row>
    <row r="3035" spans="1:3" x14ac:dyDescent="0.25">
      <c r="A3035" s="4">
        <v>40221</v>
      </c>
      <c r="B3035">
        <v>427</v>
      </c>
      <c r="C3035" s="4"/>
    </row>
    <row r="3036" spans="1:3" x14ac:dyDescent="0.25">
      <c r="A3036" s="4">
        <v>40224</v>
      </c>
      <c r="B3036">
        <v>424</v>
      </c>
      <c r="C3036" s="4"/>
    </row>
    <row r="3037" spans="1:3" x14ac:dyDescent="0.25">
      <c r="A3037" s="4">
        <v>40225</v>
      </c>
      <c r="B3037">
        <v>440</v>
      </c>
      <c r="C3037" s="4"/>
    </row>
    <row r="3038" spans="1:3" x14ac:dyDescent="0.25">
      <c r="A3038" s="4">
        <v>40226</v>
      </c>
      <c r="B3038">
        <v>442</v>
      </c>
      <c r="C3038" s="4"/>
    </row>
    <row r="3039" spans="1:3" x14ac:dyDescent="0.25">
      <c r="A3039" s="4">
        <v>40227</v>
      </c>
      <c r="B3039">
        <v>448</v>
      </c>
      <c r="C3039" s="4"/>
    </row>
    <row r="3040" spans="1:3" x14ac:dyDescent="0.25">
      <c r="A3040" s="4">
        <v>40228</v>
      </c>
      <c r="B3040">
        <v>447.5</v>
      </c>
      <c r="C3040" s="4"/>
    </row>
    <row r="3041" spans="1:3" x14ac:dyDescent="0.25">
      <c r="A3041" s="4">
        <v>40231</v>
      </c>
      <c r="B3041">
        <v>454</v>
      </c>
      <c r="C3041" s="4"/>
    </row>
    <row r="3042" spans="1:3" x14ac:dyDescent="0.25">
      <c r="A3042" s="4">
        <v>40232</v>
      </c>
      <c r="B3042">
        <v>448</v>
      </c>
      <c r="C3042" s="4"/>
    </row>
    <row r="3043" spans="1:3" x14ac:dyDescent="0.25">
      <c r="A3043" s="4">
        <v>40233</v>
      </c>
      <c r="B3043">
        <v>453</v>
      </c>
      <c r="C3043" s="4"/>
    </row>
    <row r="3044" spans="1:3" x14ac:dyDescent="0.25">
      <c r="A3044" s="4">
        <v>40234</v>
      </c>
      <c r="B3044">
        <v>434</v>
      </c>
      <c r="C3044" s="4"/>
    </row>
    <row r="3045" spans="1:3" x14ac:dyDescent="0.25">
      <c r="A3045" s="4">
        <v>40235</v>
      </c>
      <c r="B3045">
        <v>439</v>
      </c>
      <c r="C3045" s="4"/>
    </row>
    <row r="3046" spans="1:3" x14ac:dyDescent="0.25">
      <c r="A3046" s="4">
        <v>40238</v>
      </c>
      <c r="B3046">
        <v>446</v>
      </c>
      <c r="C3046" s="4"/>
    </row>
    <row r="3047" spans="1:3" x14ac:dyDescent="0.25">
      <c r="A3047" s="4">
        <v>40239</v>
      </c>
      <c r="B3047">
        <v>450.5</v>
      </c>
      <c r="C3047" s="4"/>
    </row>
    <row r="3048" spans="1:3" x14ac:dyDescent="0.25">
      <c r="A3048" s="4">
        <v>40240</v>
      </c>
      <c r="B3048">
        <v>455</v>
      </c>
      <c r="C3048" s="4"/>
    </row>
    <row r="3049" spans="1:3" x14ac:dyDescent="0.25">
      <c r="A3049" s="4">
        <v>40241</v>
      </c>
      <c r="B3049">
        <v>448</v>
      </c>
      <c r="C3049" s="4"/>
    </row>
    <row r="3050" spans="1:3" x14ac:dyDescent="0.25">
      <c r="A3050" s="4">
        <v>40242</v>
      </c>
      <c r="B3050">
        <v>452</v>
      </c>
      <c r="C3050" s="4"/>
    </row>
    <row r="3051" spans="1:3" x14ac:dyDescent="0.25">
      <c r="A3051" s="4">
        <v>40245</v>
      </c>
      <c r="B3051">
        <v>450</v>
      </c>
      <c r="C3051" s="4"/>
    </row>
    <row r="3052" spans="1:3" x14ac:dyDescent="0.25">
      <c r="A3052" s="4">
        <v>40246</v>
      </c>
      <c r="B3052">
        <v>445.5</v>
      </c>
      <c r="C3052" s="4"/>
    </row>
    <row r="3053" spans="1:3" x14ac:dyDescent="0.25">
      <c r="A3053" s="4">
        <v>40247</v>
      </c>
      <c r="B3053">
        <v>453.5</v>
      </c>
      <c r="C3053" s="4"/>
    </row>
    <row r="3054" spans="1:3" x14ac:dyDescent="0.25">
      <c r="A3054" s="4">
        <v>40248</v>
      </c>
      <c r="B3054">
        <v>444</v>
      </c>
      <c r="C3054" s="4"/>
    </row>
    <row r="3055" spans="1:3" x14ac:dyDescent="0.25">
      <c r="A3055" s="4">
        <v>40249</v>
      </c>
      <c r="B3055">
        <v>438</v>
      </c>
      <c r="C3055" s="4"/>
    </row>
    <row r="3056" spans="1:3" x14ac:dyDescent="0.25">
      <c r="A3056" s="4">
        <v>40252</v>
      </c>
      <c r="B3056">
        <v>426</v>
      </c>
      <c r="C3056" s="4"/>
    </row>
    <row r="3057" spans="1:3" x14ac:dyDescent="0.25">
      <c r="A3057" s="4">
        <v>40253</v>
      </c>
      <c r="B3057">
        <v>440</v>
      </c>
      <c r="C3057" s="4"/>
    </row>
    <row r="3058" spans="1:3" x14ac:dyDescent="0.25">
      <c r="A3058" s="4">
        <v>40254</v>
      </c>
      <c r="B3058">
        <v>443</v>
      </c>
      <c r="C3058" s="4"/>
    </row>
    <row r="3059" spans="1:3" x14ac:dyDescent="0.25">
      <c r="A3059" s="4">
        <v>40255</v>
      </c>
      <c r="B3059">
        <v>439</v>
      </c>
      <c r="C3059" s="4"/>
    </row>
    <row r="3060" spans="1:3" x14ac:dyDescent="0.25">
      <c r="A3060" s="4">
        <v>40256</v>
      </c>
      <c r="B3060">
        <v>431</v>
      </c>
      <c r="C3060" s="4"/>
    </row>
    <row r="3061" spans="1:3" x14ac:dyDescent="0.25">
      <c r="A3061" s="4">
        <v>40259</v>
      </c>
      <c r="B3061">
        <v>439</v>
      </c>
      <c r="C3061" s="4"/>
    </row>
    <row r="3062" spans="1:3" x14ac:dyDescent="0.25">
      <c r="A3062" s="4">
        <v>40260</v>
      </c>
      <c r="B3062">
        <v>446</v>
      </c>
      <c r="C3062" s="4"/>
    </row>
    <row r="3063" spans="1:3" x14ac:dyDescent="0.25">
      <c r="A3063" s="4">
        <v>40261</v>
      </c>
      <c r="B3063">
        <v>440.75</v>
      </c>
      <c r="C3063" s="4"/>
    </row>
    <row r="3064" spans="1:3" x14ac:dyDescent="0.25">
      <c r="A3064" s="4">
        <v>40262</v>
      </c>
      <c r="B3064">
        <v>443.5</v>
      </c>
      <c r="C3064" s="4"/>
    </row>
    <row r="3065" spans="1:3" x14ac:dyDescent="0.25">
      <c r="A3065" s="4">
        <v>40263</v>
      </c>
      <c r="B3065">
        <v>435</v>
      </c>
      <c r="C3065" s="4"/>
    </row>
    <row r="3066" spans="1:3" x14ac:dyDescent="0.25">
      <c r="A3066" s="4">
        <v>40266</v>
      </c>
      <c r="B3066">
        <v>448</v>
      </c>
      <c r="C3066" s="4"/>
    </row>
    <row r="3067" spans="1:3" x14ac:dyDescent="0.25">
      <c r="A3067" s="4">
        <v>40267</v>
      </c>
      <c r="B3067">
        <v>443</v>
      </c>
      <c r="C3067" s="4"/>
    </row>
    <row r="3068" spans="1:3" x14ac:dyDescent="0.25">
      <c r="A3068" s="4">
        <v>40268</v>
      </c>
      <c r="B3068">
        <v>441</v>
      </c>
      <c r="C3068" s="4"/>
    </row>
    <row r="3069" spans="1:3" x14ac:dyDescent="0.25">
      <c r="A3069" s="4">
        <v>40269</v>
      </c>
      <c r="B3069">
        <v>443.75</v>
      </c>
      <c r="C3069" s="4"/>
    </row>
    <row r="3070" spans="1:3" x14ac:dyDescent="0.25">
      <c r="A3070" s="4">
        <v>40274</v>
      </c>
      <c r="B3070">
        <v>452.5</v>
      </c>
      <c r="C3070" s="4"/>
    </row>
    <row r="3071" spans="1:3" x14ac:dyDescent="0.25">
      <c r="A3071" s="4">
        <v>40275</v>
      </c>
      <c r="B3071">
        <v>450.5</v>
      </c>
      <c r="C3071" s="4"/>
    </row>
    <row r="3072" spans="1:3" x14ac:dyDescent="0.25">
      <c r="A3072" s="4">
        <v>40276</v>
      </c>
      <c r="B3072">
        <v>450.25</v>
      </c>
      <c r="C3072" s="4"/>
    </row>
    <row r="3073" spans="1:3" x14ac:dyDescent="0.25">
      <c r="A3073" s="4">
        <v>40277</v>
      </c>
      <c r="B3073">
        <v>450.25</v>
      </c>
      <c r="C3073" s="4"/>
    </row>
    <row r="3074" spans="1:3" x14ac:dyDescent="0.25">
      <c r="A3074" s="4">
        <v>40280</v>
      </c>
      <c r="B3074">
        <v>462</v>
      </c>
      <c r="C3074" s="4"/>
    </row>
    <row r="3075" spans="1:3" x14ac:dyDescent="0.25">
      <c r="A3075" s="4">
        <v>40281</v>
      </c>
      <c r="B3075">
        <v>457</v>
      </c>
      <c r="C3075" s="4"/>
    </row>
    <row r="3076" spans="1:3" x14ac:dyDescent="0.25">
      <c r="A3076" s="4">
        <v>40282</v>
      </c>
      <c r="B3076">
        <v>467</v>
      </c>
      <c r="C3076" s="4"/>
    </row>
    <row r="3077" spans="1:3" x14ac:dyDescent="0.25">
      <c r="A3077" s="4">
        <v>40283</v>
      </c>
      <c r="B3077">
        <v>468</v>
      </c>
      <c r="C3077" s="4"/>
    </row>
    <row r="3078" spans="1:3" x14ac:dyDescent="0.25">
      <c r="A3078" s="4">
        <v>40284</v>
      </c>
      <c r="B3078">
        <v>468</v>
      </c>
      <c r="C3078" s="4"/>
    </row>
    <row r="3079" spans="1:3" x14ac:dyDescent="0.25">
      <c r="A3079" s="4">
        <v>40287</v>
      </c>
      <c r="B3079">
        <v>450.25</v>
      </c>
      <c r="C3079" s="4"/>
    </row>
    <row r="3080" spans="1:3" x14ac:dyDescent="0.25">
      <c r="A3080" s="4">
        <v>40288</v>
      </c>
      <c r="B3080">
        <v>460.5</v>
      </c>
      <c r="C3080" s="4"/>
    </row>
    <row r="3081" spans="1:3" x14ac:dyDescent="0.25">
      <c r="A3081" s="4">
        <v>40289</v>
      </c>
      <c r="B3081">
        <v>461.5</v>
      </c>
      <c r="C3081" s="4"/>
    </row>
    <row r="3082" spans="1:3" x14ac:dyDescent="0.25">
      <c r="A3082" s="4">
        <v>40290</v>
      </c>
      <c r="B3082">
        <v>466</v>
      </c>
      <c r="C3082" s="4"/>
    </row>
    <row r="3083" spans="1:3" x14ac:dyDescent="0.25">
      <c r="A3083" s="4">
        <v>40291</v>
      </c>
      <c r="B3083">
        <v>469.75</v>
      </c>
      <c r="C3083" s="4"/>
    </row>
    <row r="3084" spans="1:3" x14ac:dyDescent="0.25">
      <c r="A3084" s="4">
        <v>40294</v>
      </c>
      <c r="B3084">
        <v>470</v>
      </c>
      <c r="C3084" s="4"/>
    </row>
    <row r="3085" spans="1:3" x14ac:dyDescent="0.25">
      <c r="A3085" s="4">
        <v>40295</v>
      </c>
      <c r="B3085">
        <v>467.75</v>
      </c>
      <c r="C3085" s="4"/>
    </row>
    <row r="3086" spans="1:3" x14ac:dyDescent="0.25">
      <c r="A3086" s="4">
        <v>40296</v>
      </c>
      <c r="B3086">
        <v>457.5</v>
      </c>
      <c r="C3086" s="4"/>
    </row>
    <row r="3087" spans="1:3" x14ac:dyDescent="0.25">
      <c r="A3087" s="4">
        <v>40297</v>
      </c>
      <c r="B3087">
        <v>473</v>
      </c>
      <c r="C3087" s="4"/>
    </row>
    <row r="3088" spans="1:3" x14ac:dyDescent="0.25">
      <c r="A3088" s="4">
        <v>40298</v>
      </c>
      <c r="B3088">
        <v>471.75</v>
      </c>
      <c r="C3088" s="4"/>
    </row>
    <row r="3089" spans="1:3" x14ac:dyDescent="0.25">
      <c r="A3089" s="4">
        <v>40302</v>
      </c>
      <c r="B3089">
        <v>468</v>
      </c>
      <c r="C3089" s="4"/>
    </row>
    <row r="3090" spans="1:3" x14ac:dyDescent="0.25">
      <c r="A3090" s="4">
        <v>40303</v>
      </c>
      <c r="B3090">
        <v>454</v>
      </c>
      <c r="C3090" s="4"/>
    </row>
    <row r="3091" spans="1:3" x14ac:dyDescent="0.25">
      <c r="A3091" s="4">
        <v>40304</v>
      </c>
      <c r="B3091">
        <v>450</v>
      </c>
      <c r="C3091" s="4"/>
    </row>
    <row r="3092" spans="1:3" x14ac:dyDescent="0.25">
      <c r="A3092" s="4">
        <v>40305</v>
      </c>
      <c r="B3092">
        <v>427</v>
      </c>
      <c r="C3092" s="4"/>
    </row>
    <row r="3093" spans="1:3" x14ac:dyDescent="0.25">
      <c r="A3093" s="4">
        <v>40308</v>
      </c>
      <c r="B3093">
        <v>443.5</v>
      </c>
      <c r="C3093" s="4"/>
    </row>
    <row r="3094" spans="1:3" x14ac:dyDescent="0.25">
      <c r="A3094" s="4">
        <v>40309</v>
      </c>
      <c r="B3094">
        <v>450</v>
      </c>
      <c r="C3094" s="4"/>
    </row>
    <row r="3095" spans="1:3" x14ac:dyDescent="0.25">
      <c r="A3095" s="4">
        <v>40310</v>
      </c>
      <c r="B3095">
        <v>451</v>
      </c>
      <c r="C3095" s="4"/>
    </row>
    <row r="3096" spans="1:3" x14ac:dyDescent="0.25">
      <c r="A3096" s="4">
        <v>40311</v>
      </c>
      <c r="B3096">
        <v>450.5</v>
      </c>
      <c r="C3096" s="4"/>
    </row>
    <row r="3097" spans="1:3" x14ac:dyDescent="0.25">
      <c r="A3097" s="4">
        <v>40312</v>
      </c>
      <c r="B3097">
        <v>437</v>
      </c>
      <c r="C3097" s="4"/>
    </row>
    <row r="3098" spans="1:3" x14ac:dyDescent="0.25">
      <c r="A3098" s="4">
        <v>40315</v>
      </c>
      <c r="B3098">
        <v>417</v>
      </c>
      <c r="C3098" s="4"/>
    </row>
    <row r="3099" spans="1:3" x14ac:dyDescent="0.25">
      <c r="A3099" s="4">
        <v>40316</v>
      </c>
      <c r="B3099">
        <v>422</v>
      </c>
      <c r="C3099" s="4"/>
    </row>
    <row r="3100" spans="1:3" x14ac:dyDescent="0.25">
      <c r="A3100" s="4">
        <v>40317</v>
      </c>
      <c r="B3100">
        <v>409</v>
      </c>
      <c r="C3100" s="4"/>
    </row>
    <row r="3101" spans="1:3" x14ac:dyDescent="0.25">
      <c r="A3101" s="4">
        <v>40318</v>
      </c>
      <c r="B3101">
        <v>397</v>
      </c>
      <c r="C3101" s="4"/>
    </row>
    <row r="3102" spans="1:3" x14ac:dyDescent="0.25">
      <c r="A3102" s="4">
        <v>40319</v>
      </c>
      <c r="B3102">
        <v>398</v>
      </c>
      <c r="C3102" s="4"/>
    </row>
    <row r="3103" spans="1:3" x14ac:dyDescent="0.25">
      <c r="A3103" s="4">
        <v>40322</v>
      </c>
      <c r="B3103">
        <v>390</v>
      </c>
      <c r="C3103" s="4"/>
    </row>
    <row r="3104" spans="1:3" x14ac:dyDescent="0.25">
      <c r="A3104" s="4">
        <v>40323</v>
      </c>
      <c r="B3104">
        <v>383</v>
      </c>
      <c r="C3104" s="4"/>
    </row>
    <row r="3105" spans="1:3" x14ac:dyDescent="0.25">
      <c r="A3105" s="4">
        <v>40324</v>
      </c>
      <c r="B3105">
        <v>392.5</v>
      </c>
      <c r="C3105" s="4"/>
    </row>
    <row r="3106" spans="1:3" x14ac:dyDescent="0.25">
      <c r="A3106" s="4">
        <v>40325</v>
      </c>
      <c r="B3106">
        <v>407</v>
      </c>
      <c r="C3106" s="4"/>
    </row>
    <row r="3107" spans="1:3" x14ac:dyDescent="0.25">
      <c r="A3107" s="4">
        <v>40326</v>
      </c>
      <c r="B3107">
        <v>409</v>
      </c>
      <c r="C3107" s="4"/>
    </row>
    <row r="3108" spans="1:3" x14ac:dyDescent="0.25">
      <c r="A3108" s="4">
        <v>40330</v>
      </c>
      <c r="B3108">
        <v>417</v>
      </c>
      <c r="C3108" s="4"/>
    </row>
    <row r="3109" spans="1:3" x14ac:dyDescent="0.25">
      <c r="A3109" s="4">
        <v>40331</v>
      </c>
      <c r="B3109">
        <v>416</v>
      </c>
      <c r="C3109" s="4"/>
    </row>
    <row r="3110" spans="1:3" x14ac:dyDescent="0.25">
      <c r="A3110" s="4">
        <v>40332</v>
      </c>
      <c r="B3110">
        <v>417</v>
      </c>
      <c r="C3110" s="4"/>
    </row>
    <row r="3111" spans="1:3" x14ac:dyDescent="0.25">
      <c r="A3111" s="4">
        <v>40333</v>
      </c>
      <c r="B3111">
        <v>411</v>
      </c>
      <c r="C3111" s="4"/>
    </row>
    <row r="3112" spans="1:3" x14ac:dyDescent="0.25">
      <c r="A3112" s="4">
        <v>40336</v>
      </c>
      <c r="B3112">
        <v>404.5</v>
      </c>
      <c r="C3112" s="4"/>
    </row>
    <row r="3113" spans="1:3" x14ac:dyDescent="0.25">
      <c r="A3113" s="4">
        <v>40337</v>
      </c>
      <c r="B3113">
        <v>406</v>
      </c>
      <c r="C3113" s="4"/>
    </row>
    <row r="3114" spans="1:3" x14ac:dyDescent="0.25">
      <c r="A3114" s="4">
        <v>40338</v>
      </c>
      <c r="B3114">
        <v>415.75</v>
      </c>
      <c r="C3114" s="4"/>
    </row>
    <row r="3115" spans="1:3" x14ac:dyDescent="0.25">
      <c r="A3115" s="4">
        <v>40339</v>
      </c>
      <c r="B3115">
        <v>415</v>
      </c>
      <c r="C3115" s="4"/>
    </row>
    <row r="3116" spans="1:3" x14ac:dyDescent="0.25">
      <c r="A3116" s="4">
        <v>40340</v>
      </c>
      <c r="B3116">
        <v>411</v>
      </c>
      <c r="C3116" s="4"/>
    </row>
    <row r="3117" spans="1:3" x14ac:dyDescent="0.25">
      <c r="A3117" s="4">
        <v>40343</v>
      </c>
      <c r="B3117">
        <v>421</v>
      </c>
      <c r="C3117" s="4"/>
    </row>
    <row r="3118" spans="1:3" x14ac:dyDescent="0.25">
      <c r="A3118" s="4">
        <v>40344</v>
      </c>
      <c r="B3118">
        <v>420.5</v>
      </c>
      <c r="C3118" s="4"/>
    </row>
    <row r="3119" spans="1:3" x14ac:dyDescent="0.25">
      <c r="A3119" s="4">
        <v>40345</v>
      </c>
      <c r="B3119">
        <v>419.5</v>
      </c>
      <c r="C3119" s="4"/>
    </row>
    <row r="3120" spans="1:3" x14ac:dyDescent="0.25">
      <c r="A3120" s="4">
        <v>40346</v>
      </c>
      <c r="B3120">
        <v>427.5</v>
      </c>
      <c r="C3120" s="4"/>
    </row>
    <row r="3121" spans="1:3" x14ac:dyDescent="0.25">
      <c r="A3121" s="4">
        <v>40347</v>
      </c>
      <c r="B3121">
        <v>420</v>
      </c>
      <c r="C3121" s="4"/>
    </row>
    <row r="3122" spans="1:3" x14ac:dyDescent="0.25">
      <c r="A3122" s="4">
        <v>40350</v>
      </c>
      <c r="B3122">
        <v>430</v>
      </c>
      <c r="C3122" s="4"/>
    </row>
    <row r="3123" spans="1:3" x14ac:dyDescent="0.25">
      <c r="A3123" s="4">
        <v>40351</v>
      </c>
      <c r="B3123">
        <v>428</v>
      </c>
      <c r="C3123" s="4"/>
    </row>
    <row r="3124" spans="1:3" x14ac:dyDescent="0.25">
      <c r="A3124" s="4">
        <v>40352</v>
      </c>
      <c r="B3124">
        <v>419</v>
      </c>
      <c r="C3124" s="4"/>
    </row>
    <row r="3125" spans="1:3" x14ac:dyDescent="0.25">
      <c r="A3125" s="4">
        <v>40353</v>
      </c>
      <c r="B3125">
        <v>416</v>
      </c>
      <c r="C3125" s="4"/>
    </row>
    <row r="3126" spans="1:3" x14ac:dyDescent="0.25">
      <c r="A3126" s="4">
        <v>40354</v>
      </c>
      <c r="B3126">
        <v>418</v>
      </c>
      <c r="C3126" s="4"/>
    </row>
    <row r="3127" spans="1:3" x14ac:dyDescent="0.25">
      <c r="A3127" s="4">
        <v>40357</v>
      </c>
      <c r="B3127">
        <v>421.25</v>
      </c>
      <c r="C3127" s="4"/>
    </row>
    <row r="3128" spans="1:3" x14ac:dyDescent="0.25">
      <c r="A3128" s="4">
        <v>40358</v>
      </c>
      <c r="B3128">
        <v>408</v>
      </c>
      <c r="C3128" s="4"/>
    </row>
    <row r="3129" spans="1:3" x14ac:dyDescent="0.25">
      <c r="A3129" s="4">
        <v>40359</v>
      </c>
      <c r="B3129">
        <v>410</v>
      </c>
      <c r="C3129" s="4"/>
    </row>
    <row r="3130" spans="1:3" x14ac:dyDescent="0.25">
      <c r="A3130" s="4">
        <v>40360</v>
      </c>
      <c r="B3130">
        <v>390.5</v>
      </c>
      <c r="C3130" s="4"/>
    </row>
    <row r="3131" spans="1:3" x14ac:dyDescent="0.25">
      <c r="A3131" s="4">
        <v>40361</v>
      </c>
      <c r="B3131">
        <v>388.5</v>
      </c>
      <c r="C3131" s="4"/>
    </row>
    <row r="3132" spans="1:3" x14ac:dyDescent="0.25">
      <c r="A3132" s="4">
        <v>40364</v>
      </c>
      <c r="B3132">
        <v>389.5</v>
      </c>
      <c r="C3132" s="4"/>
    </row>
    <row r="3133" spans="1:3" x14ac:dyDescent="0.25">
      <c r="A3133" s="4">
        <v>40365</v>
      </c>
      <c r="B3133">
        <v>396</v>
      </c>
      <c r="C3133" s="4"/>
    </row>
    <row r="3134" spans="1:3" x14ac:dyDescent="0.25">
      <c r="A3134" s="4">
        <v>40366</v>
      </c>
      <c r="B3134">
        <v>401</v>
      </c>
      <c r="C3134" s="4"/>
    </row>
    <row r="3135" spans="1:3" x14ac:dyDescent="0.25">
      <c r="A3135" s="4">
        <v>40367</v>
      </c>
      <c r="B3135">
        <v>412</v>
      </c>
      <c r="C3135" s="4"/>
    </row>
    <row r="3136" spans="1:3" x14ac:dyDescent="0.25">
      <c r="A3136" s="4">
        <v>40368</v>
      </c>
      <c r="B3136">
        <v>414.5</v>
      </c>
      <c r="C3136" s="4"/>
    </row>
    <row r="3137" spans="1:3" x14ac:dyDescent="0.25">
      <c r="A3137" s="4">
        <v>40371</v>
      </c>
      <c r="B3137">
        <v>412.5</v>
      </c>
      <c r="C3137" s="4"/>
    </row>
    <row r="3138" spans="1:3" x14ac:dyDescent="0.25">
      <c r="A3138" s="4">
        <v>40372</v>
      </c>
      <c r="B3138">
        <v>426.5</v>
      </c>
      <c r="C3138" s="4"/>
    </row>
    <row r="3139" spans="1:3" x14ac:dyDescent="0.25">
      <c r="A3139" s="4">
        <v>40373</v>
      </c>
      <c r="B3139">
        <v>430</v>
      </c>
      <c r="C3139" s="4"/>
    </row>
    <row r="3140" spans="1:3" x14ac:dyDescent="0.25">
      <c r="A3140" s="4">
        <v>40374</v>
      </c>
      <c r="B3140">
        <v>418</v>
      </c>
      <c r="C3140" s="4"/>
    </row>
    <row r="3141" spans="1:3" x14ac:dyDescent="0.25">
      <c r="A3141" s="4">
        <v>40375</v>
      </c>
      <c r="B3141">
        <v>419</v>
      </c>
      <c r="C3141" s="4"/>
    </row>
    <row r="3142" spans="1:3" x14ac:dyDescent="0.25">
      <c r="A3142" s="4">
        <v>40378</v>
      </c>
      <c r="B3142">
        <v>426.5</v>
      </c>
      <c r="C3142" s="4"/>
    </row>
    <row r="3143" spans="1:3" x14ac:dyDescent="0.25">
      <c r="A3143" s="4">
        <v>40379</v>
      </c>
      <c r="B3143">
        <v>425</v>
      </c>
      <c r="C3143" s="4"/>
    </row>
    <row r="3144" spans="1:3" x14ac:dyDescent="0.25">
      <c r="A3144" s="4">
        <v>40380</v>
      </c>
      <c r="B3144">
        <v>422</v>
      </c>
      <c r="C3144" s="4"/>
    </row>
    <row r="3145" spans="1:3" x14ac:dyDescent="0.25">
      <c r="A3145" s="4">
        <v>40381</v>
      </c>
      <c r="B3145">
        <v>432.5</v>
      </c>
      <c r="C3145" s="4"/>
    </row>
    <row r="3146" spans="1:3" x14ac:dyDescent="0.25">
      <c r="A3146" s="4">
        <v>40382</v>
      </c>
      <c r="B3146">
        <v>428</v>
      </c>
      <c r="C3146" s="4"/>
    </row>
    <row r="3147" spans="1:3" x14ac:dyDescent="0.25">
      <c r="A3147" s="4">
        <v>40385</v>
      </c>
      <c r="B3147">
        <v>434.5</v>
      </c>
      <c r="C3147" s="4"/>
    </row>
    <row r="3148" spans="1:3" x14ac:dyDescent="0.25">
      <c r="A3148" s="4">
        <v>40386</v>
      </c>
      <c r="B3148">
        <v>434.5</v>
      </c>
      <c r="C3148" s="4"/>
    </row>
    <row r="3149" spans="1:3" x14ac:dyDescent="0.25">
      <c r="A3149" s="4">
        <v>40387</v>
      </c>
      <c r="B3149">
        <v>424</v>
      </c>
      <c r="C3149" s="4"/>
    </row>
    <row r="3150" spans="1:3" x14ac:dyDescent="0.25">
      <c r="A3150" s="4">
        <v>40388</v>
      </c>
      <c r="B3150">
        <v>434.5</v>
      </c>
      <c r="C3150" s="4"/>
    </row>
    <row r="3151" spans="1:3" x14ac:dyDescent="0.25">
      <c r="A3151" s="4">
        <v>40389</v>
      </c>
      <c r="B3151">
        <v>431.5</v>
      </c>
      <c r="C3151" s="4"/>
    </row>
    <row r="3152" spans="1:3" x14ac:dyDescent="0.25">
      <c r="A3152" s="4">
        <v>40392</v>
      </c>
      <c r="B3152">
        <v>431.5</v>
      </c>
      <c r="C3152" s="4"/>
    </row>
    <row r="3153" spans="1:3" x14ac:dyDescent="0.25">
      <c r="A3153" s="4">
        <v>40393</v>
      </c>
      <c r="B3153">
        <v>457</v>
      </c>
      <c r="C3153" s="4"/>
    </row>
    <row r="3154" spans="1:3" x14ac:dyDescent="0.25">
      <c r="A3154" s="4">
        <v>40394</v>
      </c>
      <c r="B3154">
        <v>458</v>
      </c>
      <c r="C3154" s="4"/>
    </row>
    <row r="3155" spans="1:3" x14ac:dyDescent="0.25">
      <c r="A3155" s="4">
        <v>40395</v>
      </c>
      <c r="B3155">
        <v>453</v>
      </c>
      <c r="C3155" s="4"/>
    </row>
    <row r="3156" spans="1:3" x14ac:dyDescent="0.25">
      <c r="A3156" s="4">
        <v>40396</v>
      </c>
      <c r="B3156">
        <v>450.75</v>
      </c>
      <c r="C3156" s="4"/>
    </row>
    <row r="3157" spans="1:3" x14ac:dyDescent="0.25">
      <c r="A3157" s="4">
        <v>40399</v>
      </c>
      <c r="B3157">
        <v>451.75</v>
      </c>
      <c r="C3157" s="4"/>
    </row>
    <row r="3158" spans="1:3" x14ac:dyDescent="0.25">
      <c r="A3158" s="4">
        <v>40400</v>
      </c>
      <c r="B3158">
        <v>447.5</v>
      </c>
      <c r="C3158" s="4"/>
    </row>
    <row r="3159" spans="1:3" x14ac:dyDescent="0.25">
      <c r="A3159" s="4">
        <v>40401</v>
      </c>
      <c r="B3159">
        <v>438</v>
      </c>
      <c r="C3159" s="4"/>
    </row>
    <row r="3160" spans="1:3" x14ac:dyDescent="0.25">
      <c r="A3160" s="4">
        <v>40402</v>
      </c>
      <c r="B3160">
        <v>429</v>
      </c>
      <c r="C3160" s="4"/>
    </row>
    <row r="3161" spans="1:3" x14ac:dyDescent="0.25">
      <c r="A3161" s="4">
        <v>40403</v>
      </c>
      <c r="B3161">
        <v>421</v>
      </c>
      <c r="C3161" s="4"/>
    </row>
    <row r="3162" spans="1:3" x14ac:dyDescent="0.25">
      <c r="A3162" s="4">
        <v>40406</v>
      </c>
      <c r="B3162">
        <v>421</v>
      </c>
      <c r="C3162" s="4"/>
    </row>
    <row r="3163" spans="1:3" x14ac:dyDescent="0.25">
      <c r="A3163" s="4">
        <v>40407</v>
      </c>
      <c r="B3163">
        <v>432</v>
      </c>
      <c r="C3163" s="4"/>
    </row>
    <row r="3164" spans="1:3" x14ac:dyDescent="0.25">
      <c r="A3164" s="4">
        <v>40408</v>
      </c>
      <c r="B3164">
        <v>424.75</v>
      </c>
      <c r="C3164" s="4"/>
    </row>
    <row r="3165" spans="1:3" x14ac:dyDescent="0.25">
      <c r="A3165" s="4">
        <v>40409</v>
      </c>
      <c r="B3165">
        <v>425.5</v>
      </c>
      <c r="C3165" s="4"/>
    </row>
    <row r="3166" spans="1:3" x14ac:dyDescent="0.25">
      <c r="A3166" s="4">
        <v>40410</v>
      </c>
      <c r="B3166">
        <v>419</v>
      </c>
      <c r="C3166" s="4"/>
    </row>
    <row r="3167" spans="1:3" x14ac:dyDescent="0.25">
      <c r="A3167" s="4">
        <v>40413</v>
      </c>
      <c r="B3167">
        <v>416</v>
      </c>
      <c r="C3167" s="4"/>
    </row>
    <row r="3168" spans="1:3" x14ac:dyDescent="0.25">
      <c r="A3168" s="4">
        <v>40414</v>
      </c>
      <c r="B3168">
        <v>410</v>
      </c>
      <c r="C3168" s="4"/>
    </row>
    <row r="3169" spans="1:3" x14ac:dyDescent="0.25">
      <c r="A3169" s="4">
        <v>40415</v>
      </c>
      <c r="B3169">
        <v>410</v>
      </c>
      <c r="C3169" s="4"/>
    </row>
    <row r="3170" spans="1:3" x14ac:dyDescent="0.25">
      <c r="A3170" s="4">
        <v>40416</v>
      </c>
      <c r="B3170">
        <v>424</v>
      </c>
      <c r="C3170" s="4"/>
    </row>
    <row r="3171" spans="1:3" x14ac:dyDescent="0.25">
      <c r="A3171" s="4">
        <v>40417</v>
      </c>
      <c r="B3171">
        <v>422.25</v>
      </c>
      <c r="C3171" s="4"/>
    </row>
    <row r="3172" spans="1:3" x14ac:dyDescent="0.25">
      <c r="A3172" s="4">
        <v>40421</v>
      </c>
      <c r="B3172">
        <v>422.25</v>
      </c>
      <c r="C3172" s="4"/>
    </row>
    <row r="3173" spans="1:3" x14ac:dyDescent="0.25">
      <c r="A3173" s="4">
        <v>40422</v>
      </c>
      <c r="B3173">
        <v>424</v>
      </c>
      <c r="C3173" s="4"/>
    </row>
    <row r="3174" spans="1:3" x14ac:dyDescent="0.25">
      <c r="A3174" s="4">
        <v>40423</v>
      </c>
      <c r="B3174">
        <v>421</v>
      </c>
      <c r="C3174" s="4"/>
    </row>
    <row r="3175" spans="1:3" x14ac:dyDescent="0.25">
      <c r="A3175" s="4">
        <v>40424</v>
      </c>
      <c r="B3175">
        <v>417.5</v>
      </c>
      <c r="C3175" s="4"/>
    </row>
    <row r="3176" spans="1:3" x14ac:dyDescent="0.25">
      <c r="A3176" s="4">
        <v>40427</v>
      </c>
      <c r="B3176">
        <v>422.5</v>
      </c>
      <c r="C3176" s="4"/>
    </row>
    <row r="3177" spans="1:3" x14ac:dyDescent="0.25">
      <c r="A3177" s="4">
        <v>40428</v>
      </c>
      <c r="B3177">
        <v>419.75</v>
      </c>
      <c r="C3177" s="4"/>
    </row>
    <row r="3178" spans="1:3" x14ac:dyDescent="0.25">
      <c r="A3178" s="4">
        <v>40429</v>
      </c>
      <c r="B3178">
        <v>426.5</v>
      </c>
      <c r="C3178" s="4"/>
    </row>
    <row r="3179" spans="1:3" x14ac:dyDescent="0.25">
      <c r="A3179" s="4">
        <v>40430</v>
      </c>
      <c r="B3179">
        <v>427</v>
      </c>
      <c r="C3179" s="4"/>
    </row>
    <row r="3180" spans="1:3" x14ac:dyDescent="0.25">
      <c r="A3180" s="4">
        <v>40431</v>
      </c>
      <c r="B3180">
        <v>423.5</v>
      </c>
      <c r="C3180" s="4"/>
    </row>
    <row r="3181" spans="1:3" x14ac:dyDescent="0.25">
      <c r="A3181" s="4">
        <v>40434</v>
      </c>
      <c r="B3181">
        <v>427</v>
      </c>
      <c r="C3181" s="4"/>
    </row>
    <row r="3182" spans="1:3" x14ac:dyDescent="0.25">
      <c r="A3182" s="4">
        <v>40435</v>
      </c>
      <c r="B3182">
        <v>433</v>
      </c>
      <c r="C3182" s="4"/>
    </row>
    <row r="3183" spans="1:3" x14ac:dyDescent="0.25">
      <c r="A3183" s="4">
        <v>40436</v>
      </c>
      <c r="B3183">
        <v>432</v>
      </c>
      <c r="C3183" s="4"/>
    </row>
    <row r="3184" spans="1:3" x14ac:dyDescent="0.25">
      <c r="A3184" s="4">
        <v>40437</v>
      </c>
      <c r="B3184">
        <v>431.75</v>
      </c>
      <c r="C3184" s="4"/>
    </row>
    <row r="3185" spans="1:3" x14ac:dyDescent="0.25">
      <c r="A3185" s="4">
        <v>40438</v>
      </c>
      <c r="B3185">
        <v>426.75</v>
      </c>
      <c r="C3185" s="4"/>
    </row>
    <row r="3186" spans="1:3" x14ac:dyDescent="0.25">
      <c r="A3186" s="4">
        <v>40441</v>
      </c>
      <c r="B3186">
        <v>434</v>
      </c>
      <c r="C3186" s="4"/>
    </row>
    <row r="3187" spans="1:3" x14ac:dyDescent="0.25">
      <c r="A3187" s="4">
        <v>40442</v>
      </c>
      <c r="B3187">
        <v>427.75</v>
      </c>
      <c r="C3187" s="4"/>
    </row>
    <row r="3188" spans="1:3" x14ac:dyDescent="0.25">
      <c r="A3188" s="4">
        <v>40443</v>
      </c>
      <c r="B3188">
        <v>425</v>
      </c>
      <c r="C3188" s="4"/>
    </row>
    <row r="3189" spans="1:3" x14ac:dyDescent="0.25">
      <c r="A3189" s="4">
        <v>40444</v>
      </c>
      <c r="B3189">
        <v>425</v>
      </c>
      <c r="C3189" s="4"/>
    </row>
    <row r="3190" spans="1:3" x14ac:dyDescent="0.25">
      <c r="A3190" s="4">
        <v>40445</v>
      </c>
      <c r="B3190">
        <v>430.5</v>
      </c>
      <c r="C3190" s="4"/>
    </row>
    <row r="3191" spans="1:3" x14ac:dyDescent="0.25">
      <c r="A3191" s="4">
        <v>40448</v>
      </c>
      <c r="B3191">
        <v>423.75</v>
      </c>
      <c r="C3191" s="4"/>
    </row>
    <row r="3192" spans="1:3" x14ac:dyDescent="0.25">
      <c r="A3192" s="4">
        <v>40449</v>
      </c>
      <c r="B3192">
        <v>428</v>
      </c>
      <c r="C3192" s="4"/>
    </row>
    <row r="3193" spans="1:3" x14ac:dyDescent="0.25">
      <c r="A3193" s="4">
        <v>40450</v>
      </c>
      <c r="B3193">
        <v>430</v>
      </c>
      <c r="C3193" s="4"/>
    </row>
    <row r="3194" spans="1:3" x14ac:dyDescent="0.25">
      <c r="A3194" s="4">
        <v>40451</v>
      </c>
      <c r="B3194">
        <v>437.5</v>
      </c>
      <c r="C3194" s="4"/>
    </row>
    <row r="3195" spans="1:3" x14ac:dyDescent="0.25">
      <c r="A3195" s="4">
        <v>40452</v>
      </c>
      <c r="B3195">
        <v>452</v>
      </c>
      <c r="C3195" s="4"/>
    </row>
    <row r="3196" spans="1:3" x14ac:dyDescent="0.25">
      <c r="A3196" s="4">
        <v>40455</v>
      </c>
      <c r="B3196">
        <v>467.25</v>
      </c>
      <c r="C3196" s="4"/>
    </row>
    <row r="3197" spans="1:3" x14ac:dyDescent="0.25">
      <c r="A3197" s="4">
        <v>40456</v>
      </c>
      <c r="B3197">
        <v>457.5</v>
      </c>
      <c r="C3197" s="4"/>
    </row>
    <row r="3198" spans="1:3" x14ac:dyDescent="0.25">
      <c r="A3198" s="4">
        <v>40457</v>
      </c>
      <c r="B3198">
        <v>467</v>
      </c>
      <c r="C3198" s="4"/>
    </row>
    <row r="3199" spans="1:3" x14ac:dyDescent="0.25">
      <c r="A3199" s="4">
        <v>40458</v>
      </c>
      <c r="B3199">
        <v>459</v>
      </c>
      <c r="C3199" s="4"/>
    </row>
    <row r="3200" spans="1:3" x14ac:dyDescent="0.25">
      <c r="A3200" s="4">
        <v>40459</v>
      </c>
      <c r="B3200">
        <v>459.75</v>
      </c>
      <c r="C3200" s="4"/>
    </row>
    <row r="3201" spans="1:3" x14ac:dyDescent="0.25">
      <c r="A3201" s="4">
        <v>40462</v>
      </c>
      <c r="B3201">
        <v>457.5</v>
      </c>
      <c r="C3201" s="4"/>
    </row>
    <row r="3202" spans="1:3" x14ac:dyDescent="0.25">
      <c r="A3202" s="4">
        <v>40463</v>
      </c>
      <c r="B3202">
        <v>453.5</v>
      </c>
      <c r="C3202" s="4"/>
    </row>
    <row r="3203" spans="1:3" x14ac:dyDescent="0.25">
      <c r="A3203" s="4">
        <v>40464</v>
      </c>
      <c r="B3203">
        <v>459.5</v>
      </c>
      <c r="C3203" s="4"/>
    </row>
    <row r="3204" spans="1:3" x14ac:dyDescent="0.25">
      <c r="A3204" s="4">
        <v>40465</v>
      </c>
      <c r="B3204">
        <v>454.5</v>
      </c>
      <c r="C3204" s="4"/>
    </row>
    <row r="3205" spans="1:3" x14ac:dyDescent="0.25">
      <c r="A3205" s="4">
        <v>40466</v>
      </c>
      <c r="B3205">
        <v>449</v>
      </c>
      <c r="C3205" s="4"/>
    </row>
    <row r="3206" spans="1:3" x14ac:dyDescent="0.25">
      <c r="A3206" s="4">
        <v>40469</v>
      </c>
      <c r="B3206">
        <v>454.5</v>
      </c>
      <c r="C3206" s="4"/>
    </row>
    <row r="3207" spans="1:3" x14ac:dyDescent="0.25">
      <c r="A3207" s="4">
        <v>40470</v>
      </c>
      <c r="B3207">
        <v>447</v>
      </c>
      <c r="C3207" s="4"/>
    </row>
    <row r="3208" spans="1:3" x14ac:dyDescent="0.25">
      <c r="A3208" s="4">
        <v>40471</v>
      </c>
      <c r="B3208">
        <v>449</v>
      </c>
      <c r="C3208" s="4"/>
    </row>
    <row r="3209" spans="1:3" x14ac:dyDescent="0.25">
      <c r="A3209" s="4">
        <v>40472</v>
      </c>
      <c r="B3209">
        <v>446</v>
      </c>
      <c r="C3209" s="4"/>
    </row>
    <row r="3210" spans="1:3" x14ac:dyDescent="0.25">
      <c r="A3210" s="4">
        <v>40473</v>
      </c>
      <c r="B3210">
        <v>442.5</v>
      </c>
      <c r="C3210" s="4"/>
    </row>
    <row r="3211" spans="1:3" x14ac:dyDescent="0.25">
      <c r="A3211" s="4">
        <v>40476</v>
      </c>
      <c r="B3211">
        <v>450</v>
      </c>
      <c r="C3211" s="4"/>
    </row>
    <row r="3212" spans="1:3" x14ac:dyDescent="0.25">
      <c r="A3212" s="4">
        <v>40477</v>
      </c>
      <c r="B3212">
        <v>455</v>
      </c>
      <c r="C3212" s="4"/>
    </row>
    <row r="3213" spans="1:3" x14ac:dyDescent="0.25">
      <c r="A3213" s="4">
        <v>40478</v>
      </c>
      <c r="B3213">
        <v>443.75</v>
      </c>
      <c r="C3213" s="4"/>
    </row>
    <row r="3214" spans="1:3" x14ac:dyDescent="0.25">
      <c r="A3214" s="4">
        <v>40479</v>
      </c>
      <c r="B3214">
        <v>454.5</v>
      </c>
      <c r="C3214" s="4"/>
    </row>
    <row r="3215" spans="1:3" x14ac:dyDescent="0.25">
      <c r="A3215" s="4">
        <v>40480</v>
      </c>
      <c r="B3215">
        <v>448</v>
      </c>
      <c r="C3215" s="4"/>
    </row>
    <row r="3216" spans="1:3" x14ac:dyDescent="0.25">
      <c r="A3216" s="4">
        <v>40483</v>
      </c>
      <c r="B3216">
        <v>459.5</v>
      </c>
      <c r="C3216" s="4"/>
    </row>
    <row r="3217" spans="1:3" x14ac:dyDescent="0.25">
      <c r="A3217" s="4">
        <v>40484</v>
      </c>
      <c r="B3217">
        <v>465</v>
      </c>
      <c r="C3217" s="4"/>
    </row>
    <row r="3218" spans="1:3" x14ac:dyDescent="0.25">
      <c r="A3218" s="4">
        <v>40485</v>
      </c>
      <c r="B3218">
        <v>469</v>
      </c>
      <c r="C3218" s="4"/>
    </row>
    <row r="3219" spans="1:3" x14ac:dyDescent="0.25">
      <c r="A3219" s="4">
        <v>40486</v>
      </c>
      <c r="B3219">
        <v>479.5</v>
      </c>
      <c r="C3219" s="4"/>
    </row>
    <row r="3220" spans="1:3" x14ac:dyDescent="0.25">
      <c r="A3220" s="4">
        <v>40487</v>
      </c>
      <c r="B3220">
        <v>477</v>
      </c>
      <c r="C3220" s="4"/>
    </row>
    <row r="3221" spans="1:3" x14ac:dyDescent="0.25">
      <c r="A3221" s="4">
        <v>40490</v>
      </c>
      <c r="B3221">
        <v>479</v>
      </c>
      <c r="C3221" s="4"/>
    </row>
    <row r="3222" spans="1:3" x14ac:dyDescent="0.25">
      <c r="A3222" s="4">
        <v>40491</v>
      </c>
      <c r="B3222">
        <v>481.5</v>
      </c>
      <c r="C3222" s="4"/>
    </row>
    <row r="3223" spans="1:3" x14ac:dyDescent="0.25">
      <c r="A3223" s="4">
        <v>40492</v>
      </c>
      <c r="B3223">
        <v>479.5</v>
      </c>
      <c r="C3223" s="4"/>
    </row>
    <row r="3224" spans="1:3" x14ac:dyDescent="0.25">
      <c r="A3224" s="4">
        <v>40493</v>
      </c>
      <c r="B3224">
        <v>485.5</v>
      </c>
      <c r="C3224" s="4"/>
    </row>
    <row r="3225" spans="1:3" x14ac:dyDescent="0.25">
      <c r="A3225" s="4">
        <v>40494</v>
      </c>
      <c r="B3225">
        <v>472.75</v>
      </c>
      <c r="C3225" s="4"/>
    </row>
    <row r="3226" spans="1:3" x14ac:dyDescent="0.25">
      <c r="A3226" s="4">
        <v>40497</v>
      </c>
      <c r="B3226">
        <v>471</v>
      </c>
      <c r="C3226" s="4"/>
    </row>
    <row r="3227" spans="1:3" x14ac:dyDescent="0.25">
      <c r="A3227" s="4">
        <v>40498</v>
      </c>
      <c r="B3227">
        <v>458.5</v>
      </c>
      <c r="C3227" s="4"/>
    </row>
    <row r="3228" spans="1:3" x14ac:dyDescent="0.25">
      <c r="A3228" s="4">
        <v>40499</v>
      </c>
      <c r="B3228">
        <v>453.75</v>
      </c>
      <c r="C3228" s="4"/>
    </row>
    <row r="3229" spans="1:3" x14ac:dyDescent="0.25">
      <c r="A3229" s="4">
        <v>40500</v>
      </c>
      <c r="B3229">
        <v>456</v>
      </c>
      <c r="C3229" s="4"/>
    </row>
    <row r="3230" spans="1:3" x14ac:dyDescent="0.25">
      <c r="A3230" s="4">
        <v>40501</v>
      </c>
      <c r="B3230">
        <v>450.5</v>
      </c>
      <c r="C3230" s="4"/>
    </row>
    <row r="3231" spans="1:3" x14ac:dyDescent="0.25">
      <c r="A3231" s="4">
        <v>40504</v>
      </c>
      <c r="B3231">
        <v>449.75</v>
      </c>
      <c r="C3231" s="4"/>
    </row>
    <row r="3232" spans="1:3" x14ac:dyDescent="0.25">
      <c r="A3232" s="4">
        <v>40505</v>
      </c>
      <c r="B3232">
        <v>449</v>
      </c>
      <c r="C3232" s="4"/>
    </row>
    <row r="3233" spans="1:3" x14ac:dyDescent="0.25">
      <c r="A3233" s="4">
        <v>40506</v>
      </c>
      <c r="B3233">
        <v>463</v>
      </c>
      <c r="C3233" s="4"/>
    </row>
    <row r="3234" spans="1:3" x14ac:dyDescent="0.25">
      <c r="A3234" s="4">
        <v>40507</v>
      </c>
      <c r="B3234">
        <v>469.5</v>
      </c>
      <c r="C3234" s="4"/>
    </row>
    <row r="3235" spans="1:3" x14ac:dyDescent="0.25">
      <c r="A3235" s="4">
        <v>40508</v>
      </c>
      <c r="B3235">
        <v>464</v>
      </c>
      <c r="C3235" s="4"/>
    </row>
    <row r="3236" spans="1:3" x14ac:dyDescent="0.25">
      <c r="A3236" s="4">
        <v>40511</v>
      </c>
      <c r="B3236">
        <v>471</v>
      </c>
      <c r="C3236" s="4"/>
    </row>
    <row r="3237" spans="1:3" x14ac:dyDescent="0.25">
      <c r="A3237" s="4">
        <v>40512</v>
      </c>
      <c r="B3237">
        <v>467</v>
      </c>
      <c r="C3237" s="4"/>
    </row>
    <row r="3238" spans="1:3" x14ac:dyDescent="0.25">
      <c r="A3238" s="4">
        <v>40513</v>
      </c>
      <c r="B3238">
        <v>468</v>
      </c>
      <c r="C3238" s="4"/>
    </row>
    <row r="3239" spans="1:3" x14ac:dyDescent="0.25">
      <c r="A3239" s="4">
        <v>40514</v>
      </c>
      <c r="B3239">
        <v>475</v>
      </c>
      <c r="C3239" s="4"/>
    </row>
    <row r="3240" spans="1:3" x14ac:dyDescent="0.25">
      <c r="A3240" s="4">
        <v>40515</v>
      </c>
      <c r="B3240">
        <v>478.5</v>
      </c>
      <c r="C3240" s="4"/>
    </row>
    <row r="3241" spans="1:3" x14ac:dyDescent="0.25">
      <c r="A3241" s="4">
        <v>40518</v>
      </c>
      <c r="B3241">
        <v>476.5</v>
      </c>
      <c r="C3241" s="4"/>
    </row>
    <row r="3242" spans="1:3" x14ac:dyDescent="0.25">
      <c r="A3242" s="4">
        <v>40519</v>
      </c>
      <c r="B3242">
        <v>473.25</v>
      </c>
      <c r="C3242" s="4"/>
    </row>
    <row r="3243" spans="1:3" x14ac:dyDescent="0.25">
      <c r="A3243" s="4">
        <v>40520</v>
      </c>
      <c r="B3243">
        <v>469</v>
      </c>
      <c r="C3243" s="4"/>
    </row>
    <row r="3244" spans="1:3" x14ac:dyDescent="0.25">
      <c r="A3244" s="4">
        <v>40521</v>
      </c>
      <c r="B3244">
        <v>472</v>
      </c>
      <c r="C3244" s="4"/>
    </row>
    <row r="3245" spans="1:3" x14ac:dyDescent="0.25">
      <c r="A3245" s="4">
        <v>40522</v>
      </c>
      <c r="B3245">
        <v>464.75</v>
      </c>
      <c r="C3245" s="4"/>
    </row>
    <row r="3246" spans="1:3" x14ac:dyDescent="0.25">
      <c r="A3246" s="4">
        <v>40525</v>
      </c>
      <c r="B3246">
        <v>472.25</v>
      </c>
      <c r="C3246" s="4"/>
    </row>
    <row r="3247" spans="1:3" x14ac:dyDescent="0.25">
      <c r="A3247" s="4">
        <v>40526</v>
      </c>
      <c r="B3247">
        <v>474.75</v>
      </c>
      <c r="C3247" s="4"/>
    </row>
    <row r="3248" spans="1:3" x14ac:dyDescent="0.25">
      <c r="A3248" s="4">
        <v>40527</v>
      </c>
      <c r="B3248">
        <v>481</v>
      </c>
      <c r="C3248" s="4"/>
    </row>
    <row r="3249" spans="1:3" x14ac:dyDescent="0.25">
      <c r="A3249" s="4">
        <v>40528</v>
      </c>
      <c r="B3249">
        <v>487</v>
      </c>
      <c r="C3249" s="4"/>
    </row>
    <row r="3250" spans="1:3" x14ac:dyDescent="0.25">
      <c r="A3250" s="4">
        <v>40529</v>
      </c>
      <c r="B3250">
        <v>483.5</v>
      </c>
      <c r="C3250" s="4"/>
    </row>
    <row r="3251" spans="1:3" x14ac:dyDescent="0.25">
      <c r="A3251" s="4">
        <v>40532</v>
      </c>
      <c r="B3251">
        <v>484.5</v>
      </c>
      <c r="C3251" s="4"/>
    </row>
    <row r="3252" spans="1:3" x14ac:dyDescent="0.25">
      <c r="A3252" s="4">
        <v>40533</v>
      </c>
      <c r="B3252">
        <v>489</v>
      </c>
      <c r="C3252" s="4"/>
    </row>
    <row r="3253" spans="1:3" x14ac:dyDescent="0.25">
      <c r="A3253" s="4">
        <v>40534</v>
      </c>
      <c r="B3253">
        <v>490.75</v>
      </c>
      <c r="C3253" s="4"/>
    </row>
    <row r="3254" spans="1:3" x14ac:dyDescent="0.25">
      <c r="A3254" s="4">
        <v>40535</v>
      </c>
      <c r="B3254">
        <v>488</v>
      </c>
      <c r="C3254" s="4"/>
    </row>
    <row r="3255" spans="1:3" x14ac:dyDescent="0.25">
      <c r="A3255" s="4">
        <v>40536</v>
      </c>
      <c r="B3255">
        <v>488</v>
      </c>
      <c r="C3255" s="4"/>
    </row>
    <row r="3256" spans="1:3" x14ac:dyDescent="0.25">
      <c r="A3256" s="4">
        <v>40547</v>
      </c>
      <c r="B3256">
        <v>492</v>
      </c>
      <c r="C3256" s="4"/>
    </row>
    <row r="3257" spans="1:3" x14ac:dyDescent="0.25">
      <c r="A3257" s="4">
        <v>40548</v>
      </c>
      <c r="B3257">
        <v>492</v>
      </c>
      <c r="C3257" s="4"/>
    </row>
    <row r="3258" spans="1:3" x14ac:dyDescent="0.25">
      <c r="A3258" s="4">
        <v>40549</v>
      </c>
      <c r="B3258">
        <v>492</v>
      </c>
      <c r="C3258" s="4"/>
    </row>
    <row r="3259" spans="1:3" x14ac:dyDescent="0.25">
      <c r="A3259" s="4">
        <v>40550</v>
      </c>
      <c r="B3259">
        <v>497.5</v>
      </c>
      <c r="C3259" s="4"/>
    </row>
    <row r="3260" spans="1:3" x14ac:dyDescent="0.25">
      <c r="A3260" s="4">
        <v>40553</v>
      </c>
      <c r="B3260">
        <v>512</v>
      </c>
      <c r="C3260" s="4"/>
    </row>
    <row r="3261" spans="1:3" x14ac:dyDescent="0.25">
      <c r="A3261" s="4">
        <v>40554</v>
      </c>
      <c r="B3261">
        <v>497.5</v>
      </c>
      <c r="C3261" s="4"/>
    </row>
    <row r="3262" spans="1:3" x14ac:dyDescent="0.25">
      <c r="A3262" s="4">
        <v>40555</v>
      </c>
      <c r="B3262">
        <v>509</v>
      </c>
      <c r="C3262" s="4"/>
    </row>
    <row r="3263" spans="1:3" x14ac:dyDescent="0.25">
      <c r="A3263" s="4">
        <v>40556</v>
      </c>
      <c r="B3263">
        <v>509</v>
      </c>
      <c r="C3263" s="4"/>
    </row>
    <row r="3264" spans="1:3" x14ac:dyDescent="0.25">
      <c r="A3264" s="4">
        <v>40557</v>
      </c>
      <c r="B3264">
        <v>515.5</v>
      </c>
      <c r="C3264" s="4"/>
    </row>
    <row r="3265" spans="1:3" x14ac:dyDescent="0.25">
      <c r="A3265" s="4">
        <v>40560</v>
      </c>
      <c r="B3265">
        <v>515.5</v>
      </c>
      <c r="C3265" s="4"/>
    </row>
    <row r="3266" spans="1:3" x14ac:dyDescent="0.25">
      <c r="A3266" s="4">
        <v>40561</v>
      </c>
      <c r="B3266">
        <v>516</v>
      </c>
      <c r="C3266" s="4"/>
    </row>
    <row r="3267" spans="1:3" x14ac:dyDescent="0.25">
      <c r="A3267" s="4">
        <v>40562</v>
      </c>
      <c r="B3267">
        <v>514</v>
      </c>
      <c r="C3267" s="4"/>
    </row>
    <row r="3268" spans="1:3" x14ac:dyDescent="0.25">
      <c r="A3268" s="4">
        <v>40563</v>
      </c>
      <c r="B3268">
        <v>516</v>
      </c>
      <c r="C3268" s="4"/>
    </row>
    <row r="3269" spans="1:3" x14ac:dyDescent="0.25">
      <c r="A3269" s="4">
        <v>40564</v>
      </c>
      <c r="B3269">
        <v>513.5</v>
      </c>
      <c r="C3269" s="4"/>
    </row>
    <row r="3270" spans="1:3" x14ac:dyDescent="0.25">
      <c r="A3270" s="4">
        <v>40567</v>
      </c>
      <c r="B3270">
        <v>516</v>
      </c>
      <c r="C3270" s="4"/>
    </row>
    <row r="3271" spans="1:3" x14ac:dyDescent="0.25">
      <c r="A3271" s="4">
        <v>40568</v>
      </c>
      <c r="B3271">
        <v>516</v>
      </c>
      <c r="C3271" s="4"/>
    </row>
    <row r="3272" spans="1:3" x14ac:dyDescent="0.25">
      <c r="A3272" s="4">
        <v>40569</v>
      </c>
      <c r="B3272">
        <v>511</v>
      </c>
      <c r="C3272" s="4"/>
    </row>
    <row r="3273" spans="1:3" x14ac:dyDescent="0.25">
      <c r="A3273" s="4">
        <v>40570</v>
      </c>
      <c r="B3273">
        <v>511</v>
      </c>
      <c r="C3273" s="4"/>
    </row>
    <row r="3274" spans="1:3" x14ac:dyDescent="0.25">
      <c r="A3274" s="4">
        <v>40571</v>
      </c>
      <c r="B3274">
        <v>511</v>
      </c>
      <c r="C3274" s="4"/>
    </row>
    <row r="3275" spans="1:3" x14ac:dyDescent="0.25">
      <c r="A3275" s="4">
        <v>40574</v>
      </c>
      <c r="B3275">
        <v>515</v>
      </c>
      <c r="C3275" s="4"/>
    </row>
    <row r="3276" spans="1:3" x14ac:dyDescent="0.25">
      <c r="A3276" s="4">
        <v>40575</v>
      </c>
      <c r="B3276">
        <v>518.5</v>
      </c>
      <c r="C3276" s="4"/>
    </row>
    <row r="3277" spans="1:3" x14ac:dyDescent="0.25">
      <c r="A3277" s="4">
        <v>40576</v>
      </c>
      <c r="B3277">
        <v>529</v>
      </c>
      <c r="C3277" s="4"/>
    </row>
    <row r="3278" spans="1:3" x14ac:dyDescent="0.25">
      <c r="A3278" s="4">
        <v>40577</v>
      </c>
      <c r="B3278">
        <v>531</v>
      </c>
      <c r="C3278" s="4"/>
    </row>
    <row r="3279" spans="1:3" x14ac:dyDescent="0.25">
      <c r="A3279" s="4">
        <v>40578</v>
      </c>
      <c r="B3279">
        <v>543</v>
      </c>
      <c r="C3279" s="4"/>
    </row>
    <row r="3280" spans="1:3" x14ac:dyDescent="0.25">
      <c r="A3280" s="4">
        <v>40581</v>
      </c>
      <c r="B3280">
        <v>543</v>
      </c>
      <c r="C3280" s="4"/>
    </row>
    <row r="3281" spans="1:3" x14ac:dyDescent="0.25">
      <c r="A3281" s="4">
        <v>40582</v>
      </c>
      <c r="B3281">
        <v>542</v>
      </c>
      <c r="C3281" s="4"/>
    </row>
    <row r="3282" spans="1:3" x14ac:dyDescent="0.25">
      <c r="A3282" s="4">
        <v>40583</v>
      </c>
      <c r="B3282">
        <v>541.5</v>
      </c>
      <c r="C3282" s="4"/>
    </row>
    <row r="3283" spans="1:3" x14ac:dyDescent="0.25">
      <c r="A3283" s="4">
        <v>40584</v>
      </c>
      <c r="B3283">
        <v>543</v>
      </c>
      <c r="C3283" s="4"/>
    </row>
    <row r="3284" spans="1:3" x14ac:dyDescent="0.25">
      <c r="A3284" s="4">
        <v>40585</v>
      </c>
      <c r="B3284">
        <v>546</v>
      </c>
      <c r="C3284" s="4"/>
    </row>
    <row r="3285" spans="1:3" x14ac:dyDescent="0.25">
      <c r="A3285" s="4">
        <v>40588</v>
      </c>
      <c r="B3285">
        <v>547</v>
      </c>
      <c r="C3285" s="4"/>
    </row>
    <row r="3286" spans="1:3" x14ac:dyDescent="0.25">
      <c r="A3286" s="4">
        <v>40589</v>
      </c>
      <c r="B3286">
        <v>547</v>
      </c>
      <c r="C3286" s="4"/>
    </row>
    <row r="3287" spans="1:3" x14ac:dyDescent="0.25">
      <c r="A3287" s="4">
        <v>40590</v>
      </c>
      <c r="B3287">
        <v>563.5</v>
      </c>
      <c r="C3287" s="4"/>
    </row>
    <row r="3288" spans="1:3" x14ac:dyDescent="0.25">
      <c r="A3288" s="4">
        <v>40591</v>
      </c>
      <c r="B3288">
        <v>566</v>
      </c>
      <c r="C3288" s="4"/>
    </row>
    <row r="3289" spans="1:3" x14ac:dyDescent="0.25">
      <c r="A3289" s="4">
        <v>40592</v>
      </c>
      <c r="B3289">
        <v>568</v>
      </c>
      <c r="C3289" s="4"/>
    </row>
    <row r="3290" spans="1:3" x14ac:dyDescent="0.25">
      <c r="A3290" s="4">
        <v>40595</v>
      </c>
      <c r="B3290">
        <v>570</v>
      </c>
      <c r="C3290" s="4"/>
    </row>
    <row r="3291" spans="1:3" x14ac:dyDescent="0.25">
      <c r="A3291" s="4">
        <v>40596</v>
      </c>
      <c r="B3291">
        <v>571.5</v>
      </c>
      <c r="C3291" s="4"/>
    </row>
    <row r="3292" spans="1:3" x14ac:dyDescent="0.25">
      <c r="A3292" s="4">
        <v>40597</v>
      </c>
      <c r="B3292">
        <v>583.5</v>
      </c>
      <c r="C3292" s="4"/>
    </row>
    <row r="3293" spans="1:3" x14ac:dyDescent="0.25">
      <c r="A3293" s="4">
        <v>40598</v>
      </c>
      <c r="B3293">
        <v>595</v>
      </c>
      <c r="C3293" s="4"/>
    </row>
    <row r="3294" spans="1:3" x14ac:dyDescent="0.25">
      <c r="A3294" s="4">
        <v>40599</v>
      </c>
      <c r="B3294">
        <v>606.5</v>
      </c>
      <c r="C3294" s="4"/>
    </row>
    <row r="3295" spans="1:3" x14ac:dyDescent="0.25">
      <c r="A3295" s="4">
        <v>40602</v>
      </c>
      <c r="B3295">
        <v>595</v>
      </c>
      <c r="C3295" s="4"/>
    </row>
    <row r="3296" spans="1:3" x14ac:dyDescent="0.25">
      <c r="A3296" s="4">
        <v>40603</v>
      </c>
      <c r="B3296">
        <v>599</v>
      </c>
      <c r="C3296" s="4"/>
    </row>
    <row r="3297" spans="1:3" x14ac:dyDescent="0.25">
      <c r="A3297" s="4">
        <v>40604</v>
      </c>
      <c r="B3297">
        <v>587.5</v>
      </c>
      <c r="C3297" s="4"/>
    </row>
    <row r="3298" spans="1:3" x14ac:dyDescent="0.25">
      <c r="A3298" s="4">
        <v>40605</v>
      </c>
      <c r="B3298">
        <v>590</v>
      </c>
      <c r="C3298" s="4"/>
    </row>
    <row r="3299" spans="1:3" x14ac:dyDescent="0.25">
      <c r="A3299" s="4">
        <v>40606</v>
      </c>
      <c r="B3299">
        <v>596.5</v>
      </c>
      <c r="C3299" s="4"/>
    </row>
    <row r="3300" spans="1:3" x14ac:dyDescent="0.25">
      <c r="A3300" s="4">
        <v>40609</v>
      </c>
      <c r="B3300">
        <v>594</v>
      </c>
      <c r="C3300" s="4"/>
    </row>
    <row r="3301" spans="1:3" x14ac:dyDescent="0.25">
      <c r="A3301" s="4">
        <v>40610</v>
      </c>
      <c r="B3301">
        <v>611.5</v>
      </c>
      <c r="C3301" s="4"/>
    </row>
    <row r="3302" spans="1:3" x14ac:dyDescent="0.25">
      <c r="A3302" s="4">
        <v>40611</v>
      </c>
      <c r="B3302">
        <v>609</v>
      </c>
      <c r="C3302" s="4"/>
    </row>
    <row r="3303" spans="1:3" x14ac:dyDescent="0.25">
      <c r="A3303" s="4">
        <v>40612</v>
      </c>
      <c r="B3303">
        <v>606</v>
      </c>
      <c r="C3303" s="4"/>
    </row>
    <row r="3304" spans="1:3" x14ac:dyDescent="0.25">
      <c r="A3304" s="4">
        <v>40613</v>
      </c>
      <c r="B3304">
        <v>607.5</v>
      </c>
      <c r="C3304" s="4"/>
    </row>
    <row r="3305" spans="1:3" x14ac:dyDescent="0.25">
      <c r="A3305" s="4">
        <v>40616</v>
      </c>
      <c r="B3305">
        <v>604</v>
      </c>
      <c r="C3305" s="4"/>
    </row>
    <row r="3306" spans="1:3" x14ac:dyDescent="0.25">
      <c r="A3306" s="4">
        <v>40617</v>
      </c>
      <c r="B3306">
        <v>607</v>
      </c>
      <c r="C3306" s="4"/>
    </row>
    <row r="3307" spans="1:3" x14ac:dyDescent="0.25">
      <c r="A3307" s="4">
        <v>40618</v>
      </c>
      <c r="B3307">
        <v>604.5</v>
      </c>
      <c r="C3307" s="4"/>
    </row>
    <row r="3308" spans="1:3" x14ac:dyDescent="0.25">
      <c r="A3308" s="4">
        <v>40619</v>
      </c>
      <c r="B3308">
        <v>599.5</v>
      </c>
      <c r="C3308" s="4"/>
    </row>
    <row r="3309" spans="1:3" x14ac:dyDescent="0.25">
      <c r="A3309" s="4">
        <v>40620</v>
      </c>
      <c r="B3309">
        <v>602</v>
      </c>
      <c r="C3309" s="4"/>
    </row>
    <row r="3310" spans="1:3" x14ac:dyDescent="0.25">
      <c r="A3310" s="4">
        <v>40623</v>
      </c>
      <c r="B3310">
        <v>609.5</v>
      </c>
      <c r="C3310" s="4"/>
    </row>
    <row r="3311" spans="1:3" x14ac:dyDescent="0.25">
      <c r="A3311" s="4">
        <v>40624</v>
      </c>
      <c r="B3311">
        <v>609.5</v>
      </c>
      <c r="C3311" s="4"/>
    </row>
    <row r="3312" spans="1:3" x14ac:dyDescent="0.25">
      <c r="A3312" s="4">
        <v>40625</v>
      </c>
      <c r="B3312">
        <v>607</v>
      </c>
      <c r="C3312" s="4"/>
    </row>
    <row r="3313" spans="1:3" x14ac:dyDescent="0.25">
      <c r="A3313" s="4">
        <v>40626</v>
      </c>
      <c r="B3313">
        <v>601.5</v>
      </c>
      <c r="C3313" s="4"/>
    </row>
    <row r="3314" spans="1:3" x14ac:dyDescent="0.25">
      <c r="A3314" s="4">
        <v>40627</v>
      </c>
      <c r="B3314">
        <v>610.5</v>
      </c>
      <c r="C3314" s="4"/>
    </row>
    <row r="3315" spans="1:3" x14ac:dyDescent="0.25">
      <c r="A3315" s="4">
        <v>40630</v>
      </c>
      <c r="B3315">
        <v>611.5</v>
      </c>
      <c r="C3315" s="4"/>
    </row>
    <row r="3316" spans="1:3" x14ac:dyDescent="0.25">
      <c r="A3316" s="4">
        <v>40631</v>
      </c>
      <c r="B3316">
        <v>610</v>
      </c>
      <c r="C3316" s="4"/>
    </row>
    <row r="3317" spans="1:3" x14ac:dyDescent="0.25">
      <c r="A3317" s="4">
        <v>40632</v>
      </c>
      <c r="B3317">
        <v>610</v>
      </c>
      <c r="C3317" s="4"/>
    </row>
    <row r="3318" spans="1:3" x14ac:dyDescent="0.25">
      <c r="A3318" s="4">
        <v>40633</v>
      </c>
      <c r="B3318">
        <v>612</v>
      </c>
      <c r="C3318" s="4"/>
    </row>
    <row r="3319" spans="1:3" x14ac:dyDescent="0.25">
      <c r="A3319" s="4">
        <v>40634</v>
      </c>
      <c r="B3319">
        <v>621.5</v>
      </c>
      <c r="C3319" s="4"/>
    </row>
    <row r="3320" spans="1:3" x14ac:dyDescent="0.25">
      <c r="A3320" s="4">
        <v>40637</v>
      </c>
      <c r="B3320">
        <v>627.5</v>
      </c>
      <c r="C3320" s="4"/>
    </row>
    <row r="3321" spans="1:3" x14ac:dyDescent="0.25">
      <c r="A3321" s="4">
        <v>40638</v>
      </c>
      <c r="B3321">
        <v>632.5</v>
      </c>
      <c r="C3321" s="4"/>
    </row>
    <row r="3322" spans="1:3" x14ac:dyDescent="0.25">
      <c r="A3322" s="4">
        <v>40639</v>
      </c>
      <c r="B3322">
        <v>647</v>
      </c>
      <c r="C3322" s="4"/>
    </row>
    <row r="3323" spans="1:3" x14ac:dyDescent="0.25">
      <c r="A3323" s="4">
        <v>40640</v>
      </c>
      <c r="B3323">
        <v>653</v>
      </c>
      <c r="C3323" s="4"/>
    </row>
    <row r="3324" spans="1:3" x14ac:dyDescent="0.25">
      <c r="A3324" s="4">
        <v>40641</v>
      </c>
      <c r="B3324">
        <v>652.5</v>
      </c>
      <c r="C3324" s="4"/>
    </row>
    <row r="3325" spans="1:3" x14ac:dyDescent="0.25">
      <c r="A3325" s="4">
        <v>40644</v>
      </c>
      <c r="B3325">
        <v>655.5</v>
      </c>
      <c r="C3325" s="4"/>
    </row>
    <row r="3326" spans="1:3" x14ac:dyDescent="0.25">
      <c r="A3326" s="4">
        <v>40645</v>
      </c>
      <c r="B3326">
        <v>657</v>
      </c>
      <c r="C3326" s="4"/>
    </row>
    <row r="3327" spans="1:3" x14ac:dyDescent="0.25">
      <c r="A3327" s="4">
        <v>40646</v>
      </c>
      <c r="B3327">
        <v>658</v>
      </c>
      <c r="C3327" s="4"/>
    </row>
    <row r="3328" spans="1:3" x14ac:dyDescent="0.25">
      <c r="A3328" s="4">
        <v>40647</v>
      </c>
      <c r="B3328">
        <v>650</v>
      </c>
      <c r="C3328" s="4"/>
    </row>
    <row r="3329" spans="1:3" x14ac:dyDescent="0.25">
      <c r="A3329" s="4">
        <v>40648</v>
      </c>
      <c r="B3329">
        <v>656</v>
      </c>
      <c r="C3329" s="4"/>
    </row>
    <row r="3330" spans="1:3" x14ac:dyDescent="0.25">
      <c r="A3330" s="4">
        <v>40651</v>
      </c>
      <c r="B3330">
        <v>652</v>
      </c>
      <c r="C3330" s="4"/>
    </row>
    <row r="3331" spans="1:3" x14ac:dyDescent="0.25">
      <c r="A3331" s="4">
        <v>40652</v>
      </c>
      <c r="B3331">
        <v>652</v>
      </c>
      <c r="C3331" s="4"/>
    </row>
    <row r="3332" spans="1:3" x14ac:dyDescent="0.25">
      <c r="A3332" s="4">
        <v>40653</v>
      </c>
      <c r="B3332">
        <v>636</v>
      </c>
      <c r="C3332" s="4"/>
    </row>
    <row r="3333" spans="1:3" x14ac:dyDescent="0.25">
      <c r="A3333" s="4">
        <v>40654</v>
      </c>
      <c r="B3333">
        <v>642</v>
      </c>
      <c r="C3333" s="4"/>
    </row>
    <row r="3334" spans="1:3" x14ac:dyDescent="0.25">
      <c r="A3334" s="4">
        <v>40659</v>
      </c>
      <c r="B3334">
        <v>645.5</v>
      </c>
      <c r="C3334" s="4"/>
    </row>
    <row r="3335" spans="1:3" x14ac:dyDescent="0.25">
      <c r="A3335" s="4">
        <v>40660</v>
      </c>
      <c r="B3335">
        <v>647</v>
      </c>
      <c r="C3335" s="4"/>
    </row>
    <row r="3336" spans="1:3" x14ac:dyDescent="0.25">
      <c r="A3336" s="4">
        <v>40661</v>
      </c>
      <c r="B3336">
        <v>648</v>
      </c>
      <c r="C3336" s="4"/>
    </row>
    <row r="3337" spans="1:3" x14ac:dyDescent="0.25">
      <c r="A3337" s="4">
        <v>40666</v>
      </c>
      <c r="B3337">
        <v>654.5</v>
      </c>
      <c r="C3337" s="4"/>
    </row>
    <row r="3338" spans="1:3" x14ac:dyDescent="0.25">
      <c r="A3338" s="4">
        <v>40667</v>
      </c>
      <c r="B3338">
        <v>650</v>
      </c>
      <c r="C3338" s="4"/>
    </row>
    <row r="3339" spans="1:3" x14ac:dyDescent="0.25">
      <c r="A3339" s="4">
        <v>40668</v>
      </c>
      <c r="B3339">
        <v>650.5</v>
      </c>
      <c r="C3339" s="4"/>
    </row>
    <row r="3340" spans="1:3" x14ac:dyDescent="0.25">
      <c r="A3340" s="4">
        <v>40669</v>
      </c>
      <c r="B3340">
        <v>646.5</v>
      </c>
      <c r="C3340" s="4"/>
    </row>
    <row r="3341" spans="1:3" x14ac:dyDescent="0.25">
      <c r="A3341" s="4">
        <v>40672</v>
      </c>
      <c r="B3341">
        <v>610</v>
      </c>
      <c r="C3341" s="4"/>
    </row>
    <row r="3342" spans="1:3" x14ac:dyDescent="0.25">
      <c r="A3342" s="4">
        <v>40673</v>
      </c>
      <c r="B3342">
        <v>618</v>
      </c>
      <c r="C3342" s="4"/>
    </row>
    <row r="3343" spans="1:3" x14ac:dyDescent="0.25">
      <c r="A3343" s="4">
        <v>40674</v>
      </c>
      <c r="B3343">
        <v>627</v>
      </c>
      <c r="C3343" s="4"/>
    </row>
    <row r="3344" spans="1:3" x14ac:dyDescent="0.25">
      <c r="A3344" s="4">
        <v>40675</v>
      </c>
      <c r="B3344">
        <v>636.5</v>
      </c>
      <c r="C3344" s="4"/>
    </row>
    <row r="3345" spans="1:3" x14ac:dyDescent="0.25">
      <c r="A3345" s="4">
        <v>40676</v>
      </c>
      <c r="B3345">
        <v>628.5</v>
      </c>
      <c r="C3345" s="4"/>
    </row>
    <row r="3346" spans="1:3" x14ac:dyDescent="0.25">
      <c r="A3346" s="4">
        <v>40679</v>
      </c>
      <c r="B3346">
        <v>627</v>
      </c>
      <c r="C3346" s="4"/>
    </row>
    <row r="3347" spans="1:3" x14ac:dyDescent="0.25">
      <c r="A3347" s="4">
        <v>40680</v>
      </c>
      <c r="B3347">
        <v>628</v>
      </c>
      <c r="C3347" s="4"/>
    </row>
    <row r="3348" spans="1:3" x14ac:dyDescent="0.25">
      <c r="A3348" s="4">
        <v>40681</v>
      </c>
      <c r="B3348">
        <v>614</v>
      </c>
      <c r="C3348" s="4"/>
    </row>
    <row r="3349" spans="1:3" x14ac:dyDescent="0.25">
      <c r="A3349" s="4">
        <v>40682</v>
      </c>
      <c r="B3349">
        <v>613.5</v>
      </c>
      <c r="C3349" s="4"/>
    </row>
    <row r="3350" spans="1:3" x14ac:dyDescent="0.25">
      <c r="A3350" s="4">
        <v>40683</v>
      </c>
      <c r="B3350">
        <v>612.5</v>
      </c>
      <c r="C3350" s="4"/>
    </row>
    <row r="3351" spans="1:3" x14ac:dyDescent="0.25">
      <c r="A3351" s="4">
        <v>40686</v>
      </c>
      <c r="B3351">
        <v>612.5</v>
      </c>
      <c r="C3351" s="4"/>
    </row>
    <row r="3352" spans="1:3" x14ac:dyDescent="0.25">
      <c r="A3352" s="4">
        <v>40687</v>
      </c>
      <c r="B3352">
        <v>602.5</v>
      </c>
      <c r="C3352" s="4"/>
    </row>
    <row r="3353" spans="1:3" x14ac:dyDescent="0.25">
      <c r="A3353" s="4">
        <v>40688</v>
      </c>
      <c r="B3353">
        <v>603</v>
      </c>
      <c r="C3353" s="4"/>
    </row>
    <row r="3354" spans="1:3" x14ac:dyDescent="0.25">
      <c r="A3354" s="4">
        <v>40689</v>
      </c>
      <c r="B3354">
        <v>608</v>
      </c>
      <c r="C3354" s="4"/>
    </row>
    <row r="3355" spans="1:3" x14ac:dyDescent="0.25">
      <c r="A3355" s="4">
        <v>40690</v>
      </c>
      <c r="B3355">
        <v>623</v>
      </c>
      <c r="C3355" s="4"/>
    </row>
    <row r="3356" spans="1:3" x14ac:dyDescent="0.25">
      <c r="A3356" s="4">
        <v>40694</v>
      </c>
      <c r="B3356">
        <v>624</v>
      </c>
      <c r="C3356" s="4"/>
    </row>
    <row r="3357" spans="1:3" x14ac:dyDescent="0.25">
      <c r="A3357" s="4">
        <v>40695</v>
      </c>
      <c r="B3357">
        <v>628</v>
      </c>
      <c r="C3357" s="4"/>
    </row>
    <row r="3358" spans="1:3" x14ac:dyDescent="0.25">
      <c r="A3358" s="4">
        <v>40696</v>
      </c>
      <c r="B3358">
        <v>631.5</v>
      </c>
      <c r="C3358" s="4"/>
    </row>
    <row r="3359" spans="1:3" x14ac:dyDescent="0.25">
      <c r="A3359" s="4">
        <v>40697</v>
      </c>
      <c r="B3359">
        <v>629</v>
      </c>
      <c r="C3359" s="4"/>
    </row>
    <row r="3360" spans="1:3" x14ac:dyDescent="0.25">
      <c r="A3360" s="4">
        <v>40700</v>
      </c>
      <c r="B3360">
        <v>631.5</v>
      </c>
      <c r="C3360" s="4"/>
    </row>
    <row r="3361" spans="1:3" x14ac:dyDescent="0.25">
      <c r="A3361" s="4">
        <v>40701</v>
      </c>
      <c r="B3361">
        <v>630.5</v>
      </c>
      <c r="C3361" s="4"/>
    </row>
    <row r="3362" spans="1:3" x14ac:dyDescent="0.25">
      <c r="A3362" s="4">
        <v>40702</v>
      </c>
      <c r="B3362">
        <v>630.5</v>
      </c>
      <c r="C3362" s="4"/>
    </row>
    <row r="3363" spans="1:3" x14ac:dyDescent="0.25">
      <c r="A3363" s="4">
        <v>40703</v>
      </c>
      <c r="B3363">
        <v>637.5</v>
      </c>
      <c r="C3363" s="4"/>
    </row>
    <row r="3364" spans="1:3" x14ac:dyDescent="0.25">
      <c r="A3364" s="4">
        <v>40704</v>
      </c>
      <c r="B3364">
        <v>647</v>
      </c>
      <c r="C3364" s="4"/>
    </row>
    <row r="3365" spans="1:3" x14ac:dyDescent="0.25">
      <c r="A3365" s="4">
        <v>40707</v>
      </c>
      <c r="B3365">
        <v>653.5</v>
      </c>
      <c r="C3365" s="4"/>
    </row>
    <row r="3366" spans="1:3" x14ac:dyDescent="0.25">
      <c r="A3366" s="4">
        <v>40708</v>
      </c>
      <c r="B3366">
        <v>651</v>
      </c>
      <c r="C3366" s="4"/>
    </row>
    <row r="3367" spans="1:3" x14ac:dyDescent="0.25">
      <c r="A3367" s="4">
        <v>40709</v>
      </c>
      <c r="B3367">
        <v>653.5</v>
      </c>
      <c r="C3367" s="4"/>
    </row>
    <row r="3368" spans="1:3" x14ac:dyDescent="0.25">
      <c r="A3368" s="4">
        <v>40710</v>
      </c>
      <c r="B3368">
        <v>651.5</v>
      </c>
      <c r="C3368" s="4"/>
    </row>
    <row r="3369" spans="1:3" x14ac:dyDescent="0.25">
      <c r="A3369" s="4">
        <v>40711</v>
      </c>
      <c r="B3369">
        <v>629.5</v>
      </c>
      <c r="C3369" s="4"/>
    </row>
    <row r="3370" spans="1:3" x14ac:dyDescent="0.25">
      <c r="A3370" s="4">
        <v>40714</v>
      </c>
      <c r="B3370">
        <v>627</v>
      </c>
      <c r="C3370" s="4"/>
    </row>
    <row r="3371" spans="1:3" x14ac:dyDescent="0.25">
      <c r="A3371" s="4">
        <v>40715</v>
      </c>
      <c r="B3371">
        <v>630.5</v>
      </c>
      <c r="C3371" s="4"/>
    </row>
    <row r="3372" spans="1:3" x14ac:dyDescent="0.25">
      <c r="A3372" s="4">
        <v>40716</v>
      </c>
      <c r="B3372">
        <v>628.5</v>
      </c>
      <c r="C3372" s="4"/>
    </row>
    <row r="3373" spans="1:3" x14ac:dyDescent="0.25">
      <c r="A3373" s="4">
        <v>40717</v>
      </c>
      <c r="B3373">
        <v>628.5</v>
      </c>
      <c r="C3373" s="4"/>
    </row>
    <row r="3374" spans="1:3" x14ac:dyDescent="0.25">
      <c r="A3374" s="4">
        <v>40718</v>
      </c>
      <c r="B3374">
        <v>622</v>
      </c>
      <c r="C3374" s="4"/>
    </row>
    <row r="3375" spans="1:3" x14ac:dyDescent="0.25">
      <c r="A3375" s="4">
        <v>40721</v>
      </c>
      <c r="B3375">
        <v>614.5</v>
      </c>
      <c r="C3375" s="4"/>
    </row>
    <row r="3376" spans="1:3" x14ac:dyDescent="0.25">
      <c r="A3376" s="4">
        <v>40722</v>
      </c>
      <c r="B3376">
        <v>612</v>
      </c>
      <c r="C3376" s="4"/>
    </row>
    <row r="3377" spans="1:3" x14ac:dyDescent="0.25">
      <c r="A3377" s="4">
        <v>40723</v>
      </c>
      <c r="B3377">
        <v>614.5</v>
      </c>
      <c r="C3377" s="4"/>
    </row>
    <row r="3378" spans="1:3" x14ac:dyDescent="0.25">
      <c r="A3378" s="4">
        <v>40724</v>
      </c>
      <c r="B3378">
        <v>616.5</v>
      </c>
      <c r="C3378" s="4"/>
    </row>
    <row r="3379" spans="1:3" x14ac:dyDescent="0.25">
      <c r="A3379" s="4">
        <v>40725</v>
      </c>
      <c r="B3379">
        <v>627</v>
      </c>
      <c r="C3379" s="4"/>
    </row>
    <row r="3380" spans="1:3" x14ac:dyDescent="0.25">
      <c r="A3380" s="4">
        <v>40728</v>
      </c>
      <c r="B3380">
        <v>627.5</v>
      </c>
      <c r="C3380" s="4"/>
    </row>
    <row r="3381" spans="1:3" x14ac:dyDescent="0.25">
      <c r="A3381" s="4">
        <v>40729</v>
      </c>
      <c r="B3381">
        <v>628</v>
      </c>
      <c r="C3381" s="4"/>
    </row>
    <row r="3382" spans="1:3" x14ac:dyDescent="0.25">
      <c r="A3382" s="4">
        <v>40730</v>
      </c>
      <c r="B3382">
        <v>628</v>
      </c>
      <c r="C3382" s="4"/>
    </row>
    <row r="3383" spans="1:3" x14ac:dyDescent="0.25">
      <c r="A3383" s="4">
        <v>40731</v>
      </c>
      <c r="B3383">
        <v>629.5</v>
      </c>
      <c r="C3383" s="4"/>
    </row>
    <row r="3384" spans="1:3" x14ac:dyDescent="0.25">
      <c r="A3384" s="4">
        <v>40732</v>
      </c>
      <c r="B3384">
        <v>632.5</v>
      </c>
      <c r="C3384" s="4"/>
    </row>
    <row r="3385" spans="1:3" x14ac:dyDescent="0.25">
      <c r="A3385" s="4">
        <v>40735</v>
      </c>
      <c r="B3385">
        <v>640</v>
      </c>
      <c r="C3385" s="4"/>
    </row>
    <row r="3386" spans="1:3" x14ac:dyDescent="0.25">
      <c r="A3386" s="4">
        <v>40736</v>
      </c>
      <c r="B3386">
        <v>639.5</v>
      </c>
      <c r="C3386" s="4"/>
    </row>
    <row r="3387" spans="1:3" x14ac:dyDescent="0.25">
      <c r="A3387" s="4">
        <v>40737</v>
      </c>
      <c r="B3387">
        <v>642.5</v>
      </c>
      <c r="C3387" s="4"/>
    </row>
    <row r="3388" spans="1:3" x14ac:dyDescent="0.25">
      <c r="A3388" s="4">
        <v>40738</v>
      </c>
      <c r="B3388">
        <v>646.5</v>
      </c>
      <c r="C3388" s="4"/>
    </row>
    <row r="3389" spans="1:3" x14ac:dyDescent="0.25">
      <c r="A3389" s="4">
        <v>40739</v>
      </c>
      <c r="B3389">
        <v>655.5</v>
      </c>
      <c r="C3389" s="4"/>
    </row>
    <row r="3390" spans="1:3" x14ac:dyDescent="0.25">
      <c r="A3390" s="4">
        <v>40742</v>
      </c>
      <c r="B3390">
        <v>654</v>
      </c>
      <c r="C3390" s="4"/>
    </row>
    <row r="3391" spans="1:3" x14ac:dyDescent="0.25">
      <c r="A3391" s="4">
        <v>40743</v>
      </c>
      <c r="B3391">
        <v>655.5</v>
      </c>
      <c r="C3391" s="4"/>
    </row>
    <row r="3392" spans="1:3" x14ac:dyDescent="0.25">
      <c r="A3392" s="4">
        <v>40744</v>
      </c>
      <c r="B3392">
        <v>660.5</v>
      </c>
      <c r="C3392" s="4"/>
    </row>
    <row r="3393" spans="1:3" x14ac:dyDescent="0.25">
      <c r="A3393" s="4">
        <v>40745</v>
      </c>
      <c r="B3393">
        <v>659</v>
      </c>
      <c r="C3393" s="4"/>
    </row>
    <row r="3394" spans="1:3" x14ac:dyDescent="0.25">
      <c r="A3394" s="4">
        <v>40746</v>
      </c>
      <c r="B3394">
        <v>656.5</v>
      </c>
      <c r="C3394" s="4"/>
    </row>
    <row r="3395" spans="1:3" x14ac:dyDescent="0.25">
      <c r="A3395" s="4">
        <v>40749</v>
      </c>
      <c r="B3395">
        <v>656.5</v>
      </c>
      <c r="C3395" s="4"/>
    </row>
    <row r="3396" spans="1:3" x14ac:dyDescent="0.25">
      <c r="A3396" s="4">
        <v>40750</v>
      </c>
      <c r="B3396">
        <v>662.5</v>
      </c>
      <c r="C3396" s="4"/>
    </row>
    <row r="3397" spans="1:3" x14ac:dyDescent="0.25">
      <c r="A3397" s="4">
        <v>40751</v>
      </c>
      <c r="B3397">
        <v>668.5</v>
      </c>
      <c r="C3397" s="4"/>
    </row>
    <row r="3398" spans="1:3" x14ac:dyDescent="0.25">
      <c r="A3398" s="4">
        <v>40752</v>
      </c>
      <c r="B3398">
        <v>668.5</v>
      </c>
      <c r="C3398" s="4"/>
    </row>
    <row r="3399" spans="1:3" x14ac:dyDescent="0.25">
      <c r="A3399" s="4">
        <v>40753</v>
      </c>
      <c r="B3399">
        <v>666.5</v>
      </c>
      <c r="C3399" s="4"/>
    </row>
    <row r="3400" spans="1:3" x14ac:dyDescent="0.25">
      <c r="A3400" s="4">
        <v>40756</v>
      </c>
      <c r="B3400">
        <v>664.5</v>
      </c>
      <c r="C3400" s="4"/>
    </row>
    <row r="3401" spans="1:3" x14ac:dyDescent="0.25">
      <c r="A3401" s="4">
        <v>40757</v>
      </c>
      <c r="B3401">
        <v>665.5</v>
      </c>
      <c r="C3401" s="4"/>
    </row>
    <row r="3402" spans="1:3" x14ac:dyDescent="0.25">
      <c r="A3402" s="4">
        <v>40758</v>
      </c>
      <c r="B3402">
        <v>668</v>
      </c>
      <c r="C3402" s="4"/>
    </row>
    <row r="3403" spans="1:3" x14ac:dyDescent="0.25">
      <c r="A3403" s="4">
        <v>40759</v>
      </c>
      <c r="B3403">
        <v>666.5</v>
      </c>
      <c r="C3403" s="4"/>
    </row>
    <row r="3404" spans="1:3" x14ac:dyDescent="0.25">
      <c r="A3404" s="4">
        <v>40760</v>
      </c>
      <c r="B3404">
        <v>655.5</v>
      </c>
      <c r="C3404" s="4"/>
    </row>
    <row r="3405" spans="1:3" x14ac:dyDescent="0.25">
      <c r="A3405" s="4">
        <v>40763</v>
      </c>
      <c r="B3405">
        <v>652</v>
      </c>
      <c r="C3405" s="4"/>
    </row>
    <row r="3406" spans="1:3" x14ac:dyDescent="0.25">
      <c r="A3406" s="4">
        <v>40764</v>
      </c>
      <c r="B3406">
        <v>650</v>
      </c>
      <c r="C3406" s="4"/>
    </row>
    <row r="3407" spans="1:3" x14ac:dyDescent="0.25">
      <c r="A3407" s="4">
        <v>40765</v>
      </c>
      <c r="B3407">
        <v>616.5</v>
      </c>
      <c r="C3407" s="4"/>
    </row>
    <row r="3408" spans="1:3" x14ac:dyDescent="0.25">
      <c r="A3408" s="4">
        <v>40766</v>
      </c>
      <c r="B3408">
        <v>616.5</v>
      </c>
      <c r="C3408" s="4"/>
    </row>
    <row r="3409" spans="1:3" x14ac:dyDescent="0.25">
      <c r="A3409" s="4">
        <v>40767</v>
      </c>
      <c r="B3409">
        <v>616.5</v>
      </c>
      <c r="C3409" s="4"/>
    </row>
    <row r="3410" spans="1:3" x14ac:dyDescent="0.25">
      <c r="A3410" s="4">
        <v>40770</v>
      </c>
      <c r="B3410">
        <v>610.5</v>
      </c>
      <c r="C3410" s="4"/>
    </row>
    <row r="3411" spans="1:3" x14ac:dyDescent="0.25">
      <c r="A3411" s="4">
        <v>40771</v>
      </c>
      <c r="B3411">
        <v>613.5</v>
      </c>
      <c r="C3411" s="4"/>
    </row>
    <row r="3412" spans="1:3" x14ac:dyDescent="0.25">
      <c r="A3412" s="4">
        <v>40772</v>
      </c>
      <c r="B3412">
        <v>617.5</v>
      </c>
      <c r="C3412" s="4"/>
    </row>
    <row r="3413" spans="1:3" x14ac:dyDescent="0.25">
      <c r="A3413" s="4">
        <v>40773</v>
      </c>
      <c r="B3413">
        <v>626</v>
      </c>
      <c r="C3413" s="4"/>
    </row>
    <row r="3414" spans="1:3" x14ac:dyDescent="0.25">
      <c r="A3414" s="4">
        <v>40774</v>
      </c>
      <c r="B3414">
        <v>631</v>
      </c>
      <c r="C3414" s="4"/>
    </row>
    <row r="3415" spans="1:3" x14ac:dyDescent="0.25">
      <c r="A3415" s="4">
        <v>40777</v>
      </c>
      <c r="B3415">
        <v>616.5</v>
      </c>
      <c r="C3415" s="4"/>
    </row>
    <row r="3416" spans="1:3" x14ac:dyDescent="0.25">
      <c r="A3416" s="4">
        <v>40778</v>
      </c>
      <c r="B3416">
        <v>617.5</v>
      </c>
      <c r="C3416" s="4"/>
    </row>
    <row r="3417" spans="1:3" x14ac:dyDescent="0.25">
      <c r="A3417" s="4">
        <v>40779</v>
      </c>
      <c r="B3417">
        <v>622.5</v>
      </c>
      <c r="C3417" s="4"/>
    </row>
    <row r="3418" spans="1:3" x14ac:dyDescent="0.25">
      <c r="A3418" s="4">
        <v>40780</v>
      </c>
      <c r="B3418">
        <v>626.5</v>
      </c>
      <c r="C3418" s="4"/>
    </row>
    <row r="3419" spans="1:3" x14ac:dyDescent="0.25">
      <c r="A3419" s="4">
        <v>40781</v>
      </c>
      <c r="B3419">
        <v>636</v>
      </c>
      <c r="C3419" s="4"/>
    </row>
    <row r="3420" spans="1:3" x14ac:dyDescent="0.25">
      <c r="A3420" s="4">
        <v>40785</v>
      </c>
      <c r="B3420">
        <v>642</v>
      </c>
      <c r="C3420" s="4"/>
    </row>
    <row r="3421" spans="1:3" x14ac:dyDescent="0.25">
      <c r="A3421" s="4">
        <v>40786</v>
      </c>
      <c r="B3421">
        <v>643.5</v>
      </c>
      <c r="C3421" s="4"/>
    </row>
    <row r="3422" spans="1:3" x14ac:dyDescent="0.25">
      <c r="A3422" s="4">
        <v>40787</v>
      </c>
      <c r="B3422">
        <v>648.5</v>
      </c>
      <c r="C3422" s="4"/>
    </row>
    <row r="3423" spans="1:3" x14ac:dyDescent="0.25">
      <c r="A3423" s="4">
        <v>40788</v>
      </c>
      <c r="B3423">
        <v>650.5</v>
      </c>
      <c r="C3423" s="4"/>
    </row>
    <row r="3424" spans="1:3" x14ac:dyDescent="0.25">
      <c r="A3424" s="4">
        <v>40791</v>
      </c>
      <c r="B3424">
        <v>649</v>
      </c>
      <c r="C3424" s="4"/>
    </row>
    <row r="3425" spans="1:3" x14ac:dyDescent="0.25">
      <c r="A3425" s="4">
        <v>40792</v>
      </c>
      <c r="B3425">
        <v>647</v>
      </c>
      <c r="C3425" s="4"/>
    </row>
    <row r="3426" spans="1:3" x14ac:dyDescent="0.25">
      <c r="A3426" s="4">
        <v>40793</v>
      </c>
      <c r="B3426">
        <v>632.5</v>
      </c>
      <c r="C3426" s="4"/>
    </row>
    <row r="3427" spans="1:3" x14ac:dyDescent="0.25">
      <c r="A3427" s="4">
        <v>40794</v>
      </c>
      <c r="B3427">
        <v>643</v>
      </c>
      <c r="C3427" s="4"/>
    </row>
    <row r="3428" spans="1:3" x14ac:dyDescent="0.25">
      <c r="A3428" s="4">
        <v>40795</v>
      </c>
      <c r="B3428">
        <v>659</v>
      </c>
      <c r="C3428" s="4"/>
    </row>
    <row r="3429" spans="1:3" x14ac:dyDescent="0.25">
      <c r="A3429" s="4">
        <v>40798</v>
      </c>
      <c r="B3429">
        <v>657.5</v>
      </c>
      <c r="C3429" s="4"/>
    </row>
    <row r="3430" spans="1:3" x14ac:dyDescent="0.25">
      <c r="A3430" s="4">
        <v>40799</v>
      </c>
      <c r="B3430">
        <v>649.5</v>
      </c>
      <c r="C3430" s="4"/>
    </row>
    <row r="3431" spans="1:3" x14ac:dyDescent="0.25">
      <c r="A3431" s="4">
        <v>40800</v>
      </c>
      <c r="B3431">
        <v>630</v>
      </c>
      <c r="C3431" s="4"/>
    </row>
    <row r="3432" spans="1:3" x14ac:dyDescent="0.25">
      <c r="A3432" s="4">
        <v>40801</v>
      </c>
      <c r="B3432">
        <v>635</v>
      </c>
      <c r="C3432" s="4"/>
    </row>
    <row r="3433" spans="1:3" x14ac:dyDescent="0.25">
      <c r="A3433" s="4">
        <v>40802</v>
      </c>
      <c r="B3433">
        <v>639.5</v>
      </c>
      <c r="C3433" s="4"/>
    </row>
    <row r="3434" spans="1:3" x14ac:dyDescent="0.25">
      <c r="A3434" s="4">
        <v>40805</v>
      </c>
      <c r="B3434">
        <v>647.5</v>
      </c>
      <c r="C3434" s="4"/>
    </row>
    <row r="3435" spans="1:3" x14ac:dyDescent="0.25">
      <c r="A3435" s="4">
        <v>40806</v>
      </c>
      <c r="B3435">
        <v>644.5</v>
      </c>
      <c r="C3435" s="4"/>
    </row>
    <row r="3436" spans="1:3" x14ac:dyDescent="0.25">
      <c r="A3436" s="4">
        <v>40807</v>
      </c>
      <c r="B3436">
        <v>640.5</v>
      </c>
      <c r="C3436" s="4"/>
    </row>
    <row r="3437" spans="1:3" x14ac:dyDescent="0.25">
      <c r="A3437" s="4">
        <v>40808</v>
      </c>
      <c r="B3437">
        <v>644.5</v>
      </c>
      <c r="C3437" s="4"/>
    </row>
    <row r="3438" spans="1:3" x14ac:dyDescent="0.25">
      <c r="A3438" s="4">
        <v>40809</v>
      </c>
      <c r="B3438">
        <v>630</v>
      </c>
      <c r="C3438" s="4"/>
    </row>
    <row r="3439" spans="1:3" x14ac:dyDescent="0.25">
      <c r="A3439" s="4">
        <v>40812</v>
      </c>
      <c r="B3439">
        <v>619</v>
      </c>
      <c r="C3439" s="4"/>
    </row>
    <row r="3440" spans="1:3" x14ac:dyDescent="0.25">
      <c r="A3440" s="4">
        <v>40813</v>
      </c>
      <c r="B3440">
        <v>613</v>
      </c>
      <c r="C3440" s="4"/>
    </row>
    <row r="3441" spans="1:3" x14ac:dyDescent="0.25">
      <c r="A3441" s="4">
        <v>40814</v>
      </c>
      <c r="B3441">
        <v>621</v>
      </c>
      <c r="C3441" s="4"/>
    </row>
    <row r="3442" spans="1:3" x14ac:dyDescent="0.25">
      <c r="A3442" s="4">
        <v>40815</v>
      </c>
      <c r="B3442">
        <v>623</v>
      </c>
      <c r="C3442" s="4"/>
    </row>
    <row r="3443" spans="1:3" x14ac:dyDescent="0.25">
      <c r="A3443" s="4">
        <v>40816</v>
      </c>
      <c r="B3443">
        <v>622</v>
      </c>
      <c r="C3443" s="4"/>
    </row>
    <row r="3444" spans="1:3" x14ac:dyDescent="0.25">
      <c r="A3444" s="4">
        <v>40819</v>
      </c>
      <c r="B3444">
        <v>620</v>
      </c>
      <c r="C3444" s="4"/>
    </row>
    <row r="3445" spans="1:3" x14ac:dyDescent="0.25">
      <c r="A3445" s="4">
        <v>40820</v>
      </c>
      <c r="B3445">
        <v>603</v>
      </c>
      <c r="C3445" s="4"/>
    </row>
    <row r="3446" spans="1:3" x14ac:dyDescent="0.25">
      <c r="A3446" s="4">
        <v>40821</v>
      </c>
      <c r="B3446">
        <v>600</v>
      </c>
      <c r="C3446" s="4"/>
    </row>
    <row r="3447" spans="1:3" x14ac:dyDescent="0.25">
      <c r="A3447" s="4">
        <v>40822</v>
      </c>
      <c r="B3447">
        <v>607.5</v>
      </c>
      <c r="C3447" s="4"/>
    </row>
    <row r="3448" spans="1:3" x14ac:dyDescent="0.25">
      <c r="A3448" s="4">
        <v>40823</v>
      </c>
      <c r="B3448">
        <v>611</v>
      </c>
      <c r="C3448" s="4"/>
    </row>
    <row r="3449" spans="1:3" x14ac:dyDescent="0.25">
      <c r="A3449" s="4">
        <v>40826</v>
      </c>
      <c r="B3449">
        <v>613</v>
      </c>
      <c r="C3449" s="4"/>
    </row>
    <row r="3450" spans="1:3" x14ac:dyDescent="0.25">
      <c r="A3450" s="4">
        <v>40827</v>
      </c>
      <c r="B3450">
        <v>611.5</v>
      </c>
      <c r="C3450" s="4"/>
    </row>
    <row r="3451" spans="1:3" x14ac:dyDescent="0.25">
      <c r="A3451" s="4">
        <v>40828</v>
      </c>
      <c r="B3451">
        <v>614</v>
      </c>
      <c r="C3451" s="4"/>
    </row>
    <row r="3452" spans="1:3" x14ac:dyDescent="0.25">
      <c r="A3452" s="4">
        <v>40829</v>
      </c>
      <c r="B3452">
        <v>620</v>
      </c>
      <c r="C3452" s="4"/>
    </row>
    <row r="3453" spans="1:3" x14ac:dyDescent="0.25">
      <c r="A3453" s="4">
        <v>40830</v>
      </c>
      <c r="B3453">
        <v>643</v>
      </c>
      <c r="C3453" s="4"/>
    </row>
    <row r="3454" spans="1:3" x14ac:dyDescent="0.25">
      <c r="A3454" s="4">
        <v>40833</v>
      </c>
      <c r="B3454">
        <v>645.5</v>
      </c>
      <c r="C3454" s="4"/>
    </row>
    <row r="3455" spans="1:3" x14ac:dyDescent="0.25">
      <c r="A3455" s="4">
        <v>40834</v>
      </c>
      <c r="B3455">
        <v>646.5</v>
      </c>
      <c r="C3455" s="4"/>
    </row>
    <row r="3456" spans="1:3" x14ac:dyDescent="0.25">
      <c r="A3456" s="4">
        <v>40835</v>
      </c>
      <c r="B3456">
        <v>646.5</v>
      </c>
      <c r="C3456" s="4"/>
    </row>
    <row r="3457" spans="1:3" x14ac:dyDescent="0.25">
      <c r="A3457" s="4">
        <v>40836</v>
      </c>
      <c r="B3457">
        <v>646.5</v>
      </c>
      <c r="C3457" s="4"/>
    </row>
    <row r="3458" spans="1:3" x14ac:dyDescent="0.25">
      <c r="A3458" s="4">
        <v>40837</v>
      </c>
      <c r="B3458">
        <v>644.5</v>
      </c>
      <c r="C3458" s="4"/>
    </row>
    <row r="3459" spans="1:3" x14ac:dyDescent="0.25">
      <c r="A3459" s="4">
        <v>40840</v>
      </c>
      <c r="B3459">
        <v>644.5</v>
      </c>
      <c r="C3459" s="4"/>
    </row>
    <row r="3460" spans="1:3" x14ac:dyDescent="0.25">
      <c r="A3460" s="4">
        <v>40841</v>
      </c>
      <c r="B3460">
        <v>647</v>
      </c>
      <c r="C3460" s="4"/>
    </row>
    <row r="3461" spans="1:3" x14ac:dyDescent="0.25">
      <c r="A3461" s="4">
        <v>40842</v>
      </c>
      <c r="B3461">
        <v>646.5</v>
      </c>
      <c r="C3461" s="4"/>
    </row>
    <row r="3462" spans="1:3" x14ac:dyDescent="0.25">
      <c r="A3462" s="4">
        <v>40843</v>
      </c>
      <c r="B3462">
        <v>646.5</v>
      </c>
      <c r="C3462" s="4"/>
    </row>
    <row r="3463" spans="1:3" x14ac:dyDescent="0.25">
      <c r="A3463" s="4">
        <v>40844</v>
      </c>
      <c r="B3463">
        <v>646.5</v>
      </c>
      <c r="C3463" s="4"/>
    </row>
    <row r="3464" spans="1:3" x14ac:dyDescent="0.25">
      <c r="A3464" s="4">
        <v>40847</v>
      </c>
      <c r="B3464">
        <v>646.5</v>
      </c>
      <c r="C3464" s="4"/>
    </row>
    <row r="3465" spans="1:3" x14ac:dyDescent="0.25">
      <c r="A3465" s="4">
        <v>40848</v>
      </c>
      <c r="B3465">
        <v>645.5</v>
      </c>
      <c r="C3465" s="4"/>
    </row>
    <row r="3466" spans="1:3" x14ac:dyDescent="0.25">
      <c r="A3466" s="4">
        <v>40849</v>
      </c>
      <c r="B3466">
        <v>639</v>
      </c>
      <c r="C3466" s="4"/>
    </row>
    <row r="3467" spans="1:3" x14ac:dyDescent="0.25">
      <c r="A3467" s="4">
        <v>40850</v>
      </c>
      <c r="B3467">
        <v>649</v>
      </c>
      <c r="C3467" s="4"/>
    </row>
    <row r="3468" spans="1:3" x14ac:dyDescent="0.25">
      <c r="A3468" s="4">
        <v>40851</v>
      </c>
      <c r="B3468">
        <v>639.5</v>
      </c>
      <c r="C3468" s="4"/>
    </row>
    <row r="3469" spans="1:3" x14ac:dyDescent="0.25">
      <c r="A3469" s="4">
        <v>40854</v>
      </c>
      <c r="B3469">
        <v>645.5</v>
      </c>
      <c r="C3469" s="4"/>
    </row>
    <row r="3470" spans="1:3" x14ac:dyDescent="0.25">
      <c r="A3470" s="4">
        <v>40855</v>
      </c>
      <c r="B3470">
        <v>646</v>
      </c>
      <c r="C3470" s="4"/>
    </row>
    <row r="3471" spans="1:3" x14ac:dyDescent="0.25">
      <c r="A3471" s="4">
        <v>40856</v>
      </c>
      <c r="B3471">
        <v>646</v>
      </c>
      <c r="C3471" s="4"/>
    </row>
    <row r="3472" spans="1:3" x14ac:dyDescent="0.25">
      <c r="A3472" s="4">
        <v>40857</v>
      </c>
      <c r="B3472">
        <v>649</v>
      </c>
      <c r="C3472" s="4"/>
    </row>
    <row r="3473" spans="1:3" x14ac:dyDescent="0.25">
      <c r="A3473" s="4">
        <v>40858</v>
      </c>
      <c r="B3473">
        <v>665.5</v>
      </c>
      <c r="C3473" s="4"/>
    </row>
    <row r="3474" spans="1:3" x14ac:dyDescent="0.25">
      <c r="A3474" s="4">
        <v>40861</v>
      </c>
      <c r="B3474">
        <v>667.5</v>
      </c>
      <c r="C3474" s="4"/>
    </row>
    <row r="3475" spans="1:3" x14ac:dyDescent="0.25">
      <c r="A3475" s="4">
        <v>40862</v>
      </c>
      <c r="B3475">
        <v>667.5</v>
      </c>
      <c r="C3475" s="4"/>
    </row>
    <row r="3476" spans="1:3" x14ac:dyDescent="0.25">
      <c r="A3476" s="4">
        <v>40863</v>
      </c>
      <c r="B3476">
        <v>664.5</v>
      </c>
      <c r="C3476" s="4"/>
    </row>
    <row r="3477" spans="1:3" x14ac:dyDescent="0.25">
      <c r="A3477" s="4">
        <v>40864</v>
      </c>
      <c r="B3477">
        <v>665.5</v>
      </c>
      <c r="C3477" s="4"/>
    </row>
    <row r="3478" spans="1:3" x14ac:dyDescent="0.25">
      <c r="A3478" s="4">
        <v>40865</v>
      </c>
      <c r="B3478">
        <v>660.5</v>
      </c>
      <c r="C3478" s="4"/>
    </row>
    <row r="3479" spans="1:3" x14ac:dyDescent="0.25">
      <c r="A3479" s="4">
        <v>40868</v>
      </c>
      <c r="B3479">
        <v>656.5</v>
      </c>
      <c r="C3479" s="4"/>
    </row>
    <row r="3480" spans="1:3" x14ac:dyDescent="0.25">
      <c r="A3480" s="4">
        <v>40869</v>
      </c>
      <c r="B3480">
        <v>649.5</v>
      </c>
      <c r="C3480" s="4"/>
    </row>
    <row r="3481" spans="1:3" x14ac:dyDescent="0.25">
      <c r="A3481" s="4">
        <v>40870</v>
      </c>
      <c r="B3481">
        <v>648.5</v>
      </c>
      <c r="C3481" s="4"/>
    </row>
    <row r="3482" spans="1:3" x14ac:dyDescent="0.25">
      <c r="A3482" s="4">
        <v>40871</v>
      </c>
      <c r="B3482">
        <v>648.5</v>
      </c>
      <c r="C3482" s="4"/>
    </row>
    <row r="3483" spans="1:3" x14ac:dyDescent="0.25">
      <c r="A3483" s="4">
        <v>40872</v>
      </c>
      <c r="B3483">
        <v>623</v>
      </c>
      <c r="C3483" s="4"/>
    </row>
    <row r="3484" spans="1:3" x14ac:dyDescent="0.25">
      <c r="A3484" s="4">
        <v>40875</v>
      </c>
      <c r="B3484">
        <v>620.5</v>
      </c>
      <c r="C3484" s="4"/>
    </row>
    <row r="3485" spans="1:3" x14ac:dyDescent="0.25">
      <c r="A3485" s="4">
        <v>40876</v>
      </c>
      <c r="B3485">
        <v>624</v>
      </c>
      <c r="C3485" s="4"/>
    </row>
    <row r="3486" spans="1:3" x14ac:dyDescent="0.25">
      <c r="A3486" s="4">
        <v>40877</v>
      </c>
      <c r="B3486">
        <v>626.5</v>
      </c>
      <c r="C3486" s="4"/>
    </row>
    <row r="3487" spans="1:3" x14ac:dyDescent="0.25">
      <c r="A3487" s="4">
        <v>40878</v>
      </c>
      <c r="B3487">
        <v>626.5</v>
      </c>
      <c r="C3487" s="4"/>
    </row>
    <row r="3488" spans="1:3" x14ac:dyDescent="0.25">
      <c r="A3488" s="4">
        <v>40879</v>
      </c>
      <c r="B3488">
        <v>639.5</v>
      </c>
      <c r="C3488" s="4"/>
    </row>
    <row r="3489" spans="1:3" x14ac:dyDescent="0.25">
      <c r="A3489" s="4">
        <v>40882</v>
      </c>
      <c r="B3489">
        <v>638</v>
      </c>
      <c r="C3489" s="4"/>
    </row>
    <row r="3490" spans="1:3" x14ac:dyDescent="0.25">
      <c r="A3490" s="4">
        <v>40883</v>
      </c>
      <c r="B3490">
        <v>642</v>
      </c>
      <c r="C3490" s="4"/>
    </row>
    <row r="3491" spans="1:3" x14ac:dyDescent="0.25">
      <c r="A3491" s="4">
        <v>40884</v>
      </c>
      <c r="B3491">
        <v>639</v>
      </c>
      <c r="C3491" s="4"/>
    </row>
    <row r="3492" spans="1:3" x14ac:dyDescent="0.25">
      <c r="A3492" s="4">
        <v>40885</v>
      </c>
      <c r="B3492">
        <v>638.5</v>
      </c>
      <c r="C3492" s="4"/>
    </row>
    <row r="3493" spans="1:3" x14ac:dyDescent="0.25">
      <c r="A3493" s="4">
        <v>40886</v>
      </c>
      <c r="B3493">
        <v>638</v>
      </c>
      <c r="C3493" s="4"/>
    </row>
    <row r="3494" spans="1:3" x14ac:dyDescent="0.25">
      <c r="A3494" s="4">
        <v>40889</v>
      </c>
      <c r="B3494">
        <v>634</v>
      </c>
      <c r="C3494" s="4"/>
    </row>
    <row r="3495" spans="1:3" x14ac:dyDescent="0.25">
      <c r="A3495" s="4">
        <v>40890</v>
      </c>
      <c r="B3495">
        <v>633.5</v>
      </c>
      <c r="C3495" s="4"/>
    </row>
    <row r="3496" spans="1:3" x14ac:dyDescent="0.25">
      <c r="A3496" s="4">
        <v>40891</v>
      </c>
      <c r="B3496">
        <v>632.5</v>
      </c>
      <c r="C3496" s="4"/>
    </row>
    <row r="3497" spans="1:3" x14ac:dyDescent="0.25">
      <c r="A3497" s="4">
        <v>40892</v>
      </c>
      <c r="B3497">
        <v>634.5</v>
      </c>
      <c r="C3497" s="4"/>
    </row>
    <row r="3498" spans="1:3" x14ac:dyDescent="0.25">
      <c r="A3498" s="4">
        <v>40893</v>
      </c>
      <c r="B3498">
        <v>605.5</v>
      </c>
      <c r="C3498" s="4"/>
    </row>
    <row r="3499" spans="1:3" x14ac:dyDescent="0.25">
      <c r="A3499" s="4">
        <v>40896</v>
      </c>
      <c r="B3499">
        <v>606</v>
      </c>
      <c r="C3499" s="4"/>
    </row>
    <row r="3500" spans="1:3" x14ac:dyDescent="0.25">
      <c r="A3500" s="4">
        <v>40897</v>
      </c>
      <c r="B3500">
        <v>606</v>
      </c>
      <c r="C3500" s="4"/>
    </row>
    <row r="3501" spans="1:3" x14ac:dyDescent="0.25">
      <c r="A3501" s="4">
        <v>40898</v>
      </c>
      <c r="B3501">
        <v>614.5</v>
      </c>
      <c r="C3501" s="4"/>
    </row>
    <row r="3502" spans="1:3" x14ac:dyDescent="0.25">
      <c r="A3502" s="4">
        <v>40899</v>
      </c>
      <c r="B3502">
        <v>628.5</v>
      </c>
      <c r="C3502" s="4"/>
    </row>
    <row r="3503" spans="1:3" x14ac:dyDescent="0.25">
      <c r="A3503" s="4">
        <v>40900</v>
      </c>
      <c r="B3503">
        <v>629.5</v>
      </c>
      <c r="C3503" s="4"/>
    </row>
    <row r="3504" spans="1:3" x14ac:dyDescent="0.25">
      <c r="A3504" s="4">
        <v>40904</v>
      </c>
      <c r="B3504">
        <v>630</v>
      </c>
      <c r="C3504" s="4"/>
    </row>
    <row r="3505" spans="1:3" x14ac:dyDescent="0.25">
      <c r="A3505" s="4">
        <v>40905</v>
      </c>
      <c r="B3505">
        <v>630</v>
      </c>
      <c r="C3505" s="4"/>
    </row>
    <row r="3506" spans="1:3" x14ac:dyDescent="0.25">
      <c r="A3506" s="4">
        <v>40906</v>
      </c>
      <c r="B3506">
        <v>630.5</v>
      </c>
      <c r="C3506" s="4"/>
    </row>
    <row r="3507" spans="1:3" x14ac:dyDescent="0.25">
      <c r="A3507" s="4">
        <v>40907</v>
      </c>
      <c r="B3507">
        <v>628</v>
      </c>
      <c r="C3507" s="4"/>
    </row>
    <row r="3508" spans="1:3" x14ac:dyDescent="0.25">
      <c r="A3508" s="4">
        <v>40911</v>
      </c>
      <c r="B3508">
        <v>630.5</v>
      </c>
      <c r="C3508" s="4"/>
    </row>
    <row r="3509" spans="1:3" x14ac:dyDescent="0.25">
      <c r="A3509" s="4">
        <v>40912</v>
      </c>
      <c r="B3509">
        <v>634.5</v>
      </c>
      <c r="C3509" s="4"/>
    </row>
    <row r="3510" spans="1:3" x14ac:dyDescent="0.25">
      <c r="A3510" s="4">
        <v>40913</v>
      </c>
      <c r="B3510">
        <v>644</v>
      </c>
      <c r="C3510" s="4"/>
    </row>
    <row r="3511" spans="1:3" x14ac:dyDescent="0.25">
      <c r="A3511" s="4">
        <v>40914</v>
      </c>
      <c r="B3511">
        <v>673</v>
      </c>
      <c r="C3511" s="4"/>
    </row>
    <row r="3512" spans="1:3" x14ac:dyDescent="0.25">
      <c r="A3512" s="4">
        <v>40917</v>
      </c>
      <c r="B3512">
        <v>674.5</v>
      </c>
      <c r="C3512" s="4"/>
    </row>
    <row r="3513" spans="1:3" x14ac:dyDescent="0.25">
      <c r="A3513" s="4">
        <v>40918</v>
      </c>
      <c r="B3513">
        <v>672.5</v>
      </c>
      <c r="C3513" s="4"/>
    </row>
    <row r="3514" spans="1:3" x14ac:dyDescent="0.25">
      <c r="A3514" s="4">
        <v>40919</v>
      </c>
      <c r="B3514">
        <v>683</v>
      </c>
      <c r="C3514" s="4"/>
    </row>
    <row r="3515" spans="1:3" x14ac:dyDescent="0.25">
      <c r="A3515" s="4">
        <v>40920</v>
      </c>
      <c r="B3515">
        <v>689</v>
      </c>
      <c r="C3515" s="4"/>
    </row>
    <row r="3516" spans="1:3" x14ac:dyDescent="0.25">
      <c r="A3516" s="4">
        <v>40921</v>
      </c>
      <c r="B3516">
        <v>690.5</v>
      </c>
      <c r="C3516" s="4"/>
    </row>
    <row r="3517" spans="1:3" x14ac:dyDescent="0.25">
      <c r="A3517" s="4">
        <v>40924</v>
      </c>
      <c r="B3517" s="3">
        <v>688</v>
      </c>
      <c r="C3517" s="4"/>
    </row>
    <row r="3518" spans="1:3" x14ac:dyDescent="0.25">
      <c r="A3518" s="4">
        <v>40925</v>
      </c>
      <c r="B3518">
        <v>685</v>
      </c>
      <c r="C3518" s="4"/>
    </row>
    <row r="3519" spans="1:3" x14ac:dyDescent="0.25">
      <c r="A3519" s="4">
        <v>40926</v>
      </c>
      <c r="B3519">
        <v>687.5</v>
      </c>
      <c r="C3519" s="4"/>
    </row>
    <row r="3520" spans="1:3" x14ac:dyDescent="0.25">
      <c r="A3520" s="4">
        <v>40927</v>
      </c>
      <c r="B3520">
        <v>687.5</v>
      </c>
      <c r="C3520" s="4"/>
    </row>
    <row r="3521" spans="1:3" x14ac:dyDescent="0.25">
      <c r="A3521" s="4">
        <v>40928</v>
      </c>
      <c r="B3521">
        <v>680</v>
      </c>
      <c r="C3521" s="4"/>
    </row>
    <row r="3522" spans="1:3" x14ac:dyDescent="0.25">
      <c r="A3522" s="4">
        <v>40931</v>
      </c>
      <c r="B3522">
        <v>678</v>
      </c>
      <c r="C3522" s="4"/>
    </row>
    <row r="3523" spans="1:3" x14ac:dyDescent="0.25">
      <c r="A3523" s="4">
        <v>40932</v>
      </c>
      <c r="B3523">
        <v>676</v>
      </c>
      <c r="C3523" s="4"/>
    </row>
    <row r="3524" spans="1:3" x14ac:dyDescent="0.25">
      <c r="A3524" s="4">
        <v>40933</v>
      </c>
      <c r="B3524">
        <v>676.5</v>
      </c>
      <c r="C3524" s="4"/>
    </row>
    <row r="3525" spans="1:3" x14ac:dyDescent="0.25">
      <c r="A3525" s="4">
        <v>40934</v>
      </c>
      <c r="B3525">
        <v>678.5</v>
      </c>
      <c r="C3525" s="4"/>
    </row>
    <row r="3526" spans="1:3" x14ac:dyDescent="0.25">
      <c r="A3526" s="4">
        <v>40935</v>
      </c>
      <c r="B3526">
        <v>676.5</v>
      </c>
      <c r="C3526" s="4"/>
    </row>
    <row r="3527" spans="1:3" x14ac:dyDescent="0.25">
      <c r="A3527" s="4">
        <v>40938</v>
      </c>
      <c r="B3527">
        <v>677.5</v>
      </c>
      <c r="C3527" s="4"/>
    </row>
    <row r="3528" spans="1:3" x14ac:dyDescent="0.25">
      <c r="A3528" s="4">
        <v>40939</v>
      </c>
      <c r="B3528">
        <v>676.5</v>
      </c>
      <c r="C3528" s="4"/>
    </row>
    <row r="3529" spans="1:3" x14ac:dyDescent="0.25">
      <c r="A3529" s="4">
        <v>40940</v>
      </c>
      <c r="B3529">
        <v>676</v>
      </c>
      <c r="C3529" s="4"/>
    </row>
    <row r="3530" spans="1:3" x14ac:dyDescent="0.25">
      <c r="A3530" s="4">
        <v>40941</v>
      </c>
      <c r="B3530">
        <v>673.5</v>
      </c>
      <c r="C3530" s="4"/>
    </row>
    <row r="3531" spans="1:3" x14ac:dyDescent="0.25">
      <c r="A3531" s="4">
        <v>40942</v>
      </c>
      <c r="B3531">
        <v>677.5</v>
      </c>
      <c r="C3531" s="4"/>
    </row>
    <row r="3532" spans="1:3" x14ac:dyDescent="0.25">
      <c r="A3532" s="4">
        <v>40945</v>
      </c>
      <c r="B3532">
        <v>676.5</v>
      </c>
      <c r="C3532" s="4"/>
    </row>
    <row r="3533" spans="1:3" x14ac:dyDescent="0.25">
      <c r="A3533" s="4">
        <v>40946</v>
      </c>
      <c r="B3533">
        <v>680</v>
      </c>
      <c r="C3533" s="4"/>
    </row>
    <row r="3534" spans="1:3" x14ac:dyDescent="0.25">
      <c r="A3534" s="4">
        <v>40947</v>
      </c>
      <c r="B3534">
        <v>682.5</v>
      </c>
      <c r="C3534" s="4"/>
    </row>
    <row r="3535" spans="1:3" x14ac:dyDescent="0.25">
      <c r="A3535" s="4">
        <v>40948</v>
      </c>
      <c r="B3535">
        <v>682.5</v>
      </c>
      <c r="C3535" s="4"/>
    </row>
    <row r="3536" spans="1:3" x14ac:dyDescent="0.25">
      <c r="A3536" s="4">
        <v>40949</v>
      </c>
      <c r="B3536">
        <v>699</v>
      </c>
      <c r="C3536" s="4"/>
    </row>
    <row r="3537" spans="1:3" x14ac:dyDescent="0.25">
      <c r="A3537" s="4">
        <v>40952</v>
      </c>
      <c r="B3537">
        <v>700</v>
      </c>
      <c r="C3537" s="4"/>
    </row>
    <row r="3538" spans="1:3" x14ac:dyDescent="0.25">
      <c r="A3538" s="4">
        <v>40953</v>
      </c>
      <c r="B3538">
        <v>700</v>
      </c>
      <c r="C3538" s="4"/>
    </row>
    <row r="3539" spans="1:3" x14ac:dyDescent="0.25">
      <c r="A3539" s="4">
        <v>40954</v>
      </c>
      <c r="B3539">
        <v>697</v>
      </c>
      <c r="C3539" s="4"/>
    </row>
    <row r="3540" spans="1:3" x14ac:dyDescent="0.25">
      <c r="A3540" s="4">
        <v>40955</v>
      </c>
      <c r="B3540">
        <v>697</v>
      </c>
      <c r="C3540" s="4"/>
    </row>
    <row r="3541" spans="1:3" x14ac:dyDescent="0.25">
      <c r="A3541" s="4">
        <v>40956</v>
      </c>
      <c r="B3541">
        <v>696</v>
      </c>
      <c r="C3541" s="4"/>
    </row>
    <row r="3542" spans="1:3" x14ac:dyDescent="0.25">
      <c r="A3542" s="4">
        <v>40959</v>
      </c>
      <c r="B3542">
        <v>693.5</v>
      </c>
      <c r="C3542" s="4"/>
    </row>
    <row r="3543" spans="1:3" x14ac:dyDescent="0.25">
      <c r="A3543" s="4">
        <v>40960</v>
      </c>
      <c r="B3543">
        <v>695.5</v>
      </c>
      <c r="C3543" s="4"/>
    </row>
    <row r="3544" spans="1:3" x14ac:dyDescent="0.25">
      <c r="A3544" s="4">
        <v>40961</v>
      </c>
      <c r="B3544">
        <v>692</v>
      </c>
      <c r="C3544" s="4"/>
    </row>
    <row r="3545" spans="1:3" x14ac:dyDescent="0.25">
      <c r="A3545" s="4">
        <v>40962</v>
      </c>
      <c r="B3545">
        <v>697.5</v>
      </c>
      <c r="C3545" s="4"/>
    </row>
    <row r="3546" spans="1:3" x14ac:dyDescent="0.25">
      <c r="A3546" s="4">
        <v>40963</v>
      </c>
      <c r="B3546">
        <v>704</v>
      </c>
      <c r="C3546" s="4"/>
    </row>
    <row r="3547" spans="1:3" x14ac:dyDescent="0.25">
      <c r="A3547" s="4">
        <v>40966</v>
      </c>
      <c r="B3547">
        <v>708</v>
      </c>
      <c r="C3547" s="4"/>
    </row>
    <row r="3548" spans="1:3" x14ac:dyDescent="0.25">
      <c r="A3548" s="4">
        <v>40967</v>
      </c>
      <c r="B3548">
        <v>707</v>
      </c>
      <c r="C3548" s="4"/>
    </row>
    <row r="3549" spans="1:3" x14ac:dyDescent="0.25">
      <c r="A3549" s="4">
        <v>40968</v>
      </c>
      <c r="B3549">
        <v>702</v>
      </c>
      <c r="C3549" s="4"/>
    </row>
    <row r="3550" spans="1:3" x14ac:dyDescent="0.25">
      <c r="A3550" s="4">
        <v>40969</v>
      </c>
      <c r="B3550">
        <v>698.5</v>
      </c>
      <c r="C3550" s="4"/>
    </row>
    <row r="3551" spans="1:3" x14ac:dyDescent="0.25">
      <c r="A3551" s="4">
        <v>40970</v>
      </c>
      <c r="B3551">
        <v>701.5</v>
      </c>
      <c r="C3551" s="4"/>
    </row>
    <row r="3552" spans="1:3" x14ac:dyDescent="0.25">
      <c r="A3552" s="4">
        <v>40973</v>
      </c>
      <c r="B3552">
        <v>716.5</v>
      </c>
      <c r="C3552" s="4"/>
    </row>
    <row r="3553" spans="1:3" x14ac:dyDescent="0.25">
      <c r="A3553" s="4">
        <v>40974</v>
      </c>
      <c r="B3553">
        <v>708.5</v>
      </c>
      <c r="C3553" s="4"/>
    </row>
    <row r="3554" spans="1:3" x14ac:dyDescent="0.25">
      <c r="A3554" s="4">
        <v>40975</v>
      </c>
      <c r="B3554">
        <v>706.5</v>
      </c>
      <c r="C3554" s="4"/>
    </row>
    <row r="3555" spans="1:3" x14ac:dyDescent="0.25">
      <c r="A3555" s="4">
        <v>40976</v>
      </c>
      <c r="B3555">
        <v>708</v>
      </c>
      <c r="C3555" s="4"/>
    </row>
    <row r="3556" spans="1:3" x14ac:dyDescent="0.25">
      <c r="A3556" s="4">
        <v>40977</v>
      </c>
      <c r="B3556">
        <v>714</v>
      </c>
      <c r="C3556" s="4"/>
    </row>
    <row r="3557" spans="1:3" x14ac:dyDescent="0.25">
      <c r="A3557" s="4">
        <v>40980</v>
      </c>
      <c r="B3557">
        <v>710</v>
      </c>
      <c r="C3557" s="4"/>
    </row>
    <row r="3558" spans="1:3" x14ac:dyDescent="0.25">
      <c r="A3558" s="4">
        <v>40981</v>
      </c>
      <c r="B3558">
        <v>706.5</v>
      </c>
      <c r="C3558" s="4"/>
    </row>
    <row r="3559" spans="1:3" x14ac:dyDescent="0.25">
      <c r="A3559" s="4">
        <v>40982</v>
      </c>
      <c r="B3559">
        <v>710.5</v>
      </c>
      <c r="C3559" s="4"/>
    </row>
    <row r="3560" spans="1:3" x14ac:dyDescent="0.25">
      <c r="A3560" s="4">
        <v>40983</v>
      </c>
      <c r="B3560">
        <v>721.5</v>
      </c>
      <c r="C3560" s="4"/>
    </row>
    <row r="3561" spans="1:3" x14ac:dyDescent="0.25">
      <c r="A3561" s="4">
        <v>40984</v>
      </c>
      <c r="B3561">
        <v>716</v>
      </c>
      <c r="C3561" s="4"/>
    </row>
    <row r="3562" spans="1:3" x14ac:dyDescent="0.25">
      <c r="A3562" s="4">
        <v>40987</v>
      </c>
      <c r="B3562">
        <v>709.5</v>
      </c>
      <c r="C3562" s="4"/>
    </row>
    <row r="3563" spans="1:3" x14ac:dyDescent="0.25">
      <c r="A3563" s="4">
        <v>40988</v>
      </c>
      <c r="B3563">
        <v>715</v>
      </c>
      <c r="C3563" s="4"/>
    </row>
    <row r="3564" spans="1:3" x14ac:dyDescent="0.25">
      <c r="A3564" s="4">
        <v>40989</v>
      </c>
      <c r="B3564">
        <v>705.5</v>
      </c>
      <c r="C3564" s="4"/>
    </row>
    <row r="3565" spans="1:3" x14ac:dyDescent="0.25">
      <c r="A3565" s="4">
        <v>40990</v>
      </c>
      <c r="B3565">
        <v>708.5</v>
      </c>
      <c r="C3565" s="4"/>
    </row>
    <row r="3566" spans="1:3" x14ac:dyDescent="0.25">
      <c r="A3566" s="4">
        <v>40991</v>
      </c>
      <c r="B3566">
        <v>695.5</v>
      </c>
      <c r="C3566" s="4"/>
    </row>
    <row r="3567" spans="1:3" x14ac:dyDescent="0.25">
      <c r="A3567" s="4">
        <v>40994</v>
      </c>
      <c r="B3567">
        <v>700</v>
      </c>
      <c r="C3567" s="4"/>
    </row>
    <row r="3568" spans="1:3" x14ac:dyDescent="0.25">
      <c r="A3568" s="4">
        <v>40995</v>
      </c>
      <c r="B3568">
        <v>705.5</v>
      </c>
      <c r="C3568" s="4"/>
    </row>
    <row r="3569" spans="1:3" x14ac:dyDescent="0.25">
      <c r="A3569" s="4">
        <v>40996</v>
      </c>
      <c r="B3569">
        <v>704.5</v>
      </c>
      <c r="C3569" s="4"/>
    </row>
    <row r="3570" spans="1:3" x14ac:dyDescent="0.25">
      <c r="A3570" s="4">
        <v>40997</v>
      </c>
      <c r="B3570">
        <v>704.5</v>
      </c>
      <c r="C3570" s="4"/>
    </row>
    <row r="3571" spans="1:3" x14ac:dyDescent="0.25">
      <c r="A3571" s="4">
        <v>40998</v>
      </c>
      <c r="B3571">
        <v>710</v>
      </c>
      <c r="C3571" s="4"/>
    </row>
    <row r="3572" spans="1:3" x14ac:dyDescent="0.25">
      <c r="A3572" s="4">
        <v>41001</v>
      </c>
      <c r="B3572">
        <v>703.5</v>
      </c>
      <c r="C3572" s="4"/>
    </row>
    <row r="3573" spans="1:3" x14ac:dyDescent="0.25">
      <c r="A3573" s="4">
        <v>41002</v>
      </c>
      <c r="B3573">
        <v>704</v>
      </c>
      <c r="C3573" s="4"/>
    </row>
    <row r="3574" spans="1:3" x14ac:dyDescent="0.25">
      <c r="A3574" s="4">
        <v>41003</v>
      </c>
      <c r="B3574">
        <v>710</v>
      </c>
      <c r="C3574" s="4"/>
    </row>
    <row r="3575" spans="1:3" x14ac:dyDescent="0.25">
      <c r="A3575" s="4">
        <v>41004</v>
      </c>
      <c r="B3575">
        <v>709.5</v>
      </c>
      <c r="C3575" s="4"/>
    </row>
    <row r="3576" spans="1:3" x14ac:dyDescent="0.25">
      <c r="A3576" s="4">
        <v>41009</v>
      </c>
      <c r="B3576">
        <v>702.5</v>
      </c>
      <c r="C3576" s="4"/>
    </row>
    <row r="3577" spans="1:3" x14ac:dyDescent="0.25">
      <c r="A3577" s="4">
        <v>41010</v>
      </c>
      <c r="B3577">
        <v>695</v>
      </c>
      <c r="C3577" s="4"/>
    </row>
    <row r="3578" spans="1:3" x14ac:dyDescent="0.25">
      <c r="A3578" s="4">
        <v>41011</v>
      </c>
      <c r="B3578">
        <v>688</v>
      </c>
      <c r="C3578" s="4"/>
    </row>
    <row r="3579" spans="1:3" x14ac:dyDescent="0.25">
      <c r="A3579" s="4">
        <v>41012</v>
      </c>
      <c r="B3579">
        <v>690</v>
      </c>
      <c r="C3579" s="4"/>
    </row>
    <row r="3580" spans="1:3" x14ac:dyDescent="0.25">
      <c r="A3580" s="4">
        <v>41015</v>
      </c>
      <c r="B3580">
        <v>698</v>
      </c>
      <c r="C3580" s="4"/>
    </row>
    <row r="3581" spans="1:3" x14ac:dyDescent="0.25">
      <c r="A3581" s="4">
        <v>41016</v>
      </c>
      <c r="B3581">
        <v>688.5</v>
      </c>
      <c r="C3581" s="4"/>
    </row>
    <row r="3582" spans="1:3" x14ac:dyDescent="0.25">
      <c r="A3582" s="4">
        <v>41017</v>
      </c>
      <c r="B3582">
        <v>684.5</v>
      </c>
      <c r="C3582" s="4"/>
    </row>
    <row r="3583" spans="1:3" x14ac:dyDescent="0.25">
      <c r="A3583" s="4">
        <v>41018</v>
      </c>
      <c r="B3583">
        <v>685</v>
      </c>
      <c r="C3583" s="4"/>
    </row>
    <row r="3584" spans="1:3" x14ac:dyDescent="0.25">
      <c r="A3584" s="4">
        <v>41019</v>
      </c>
      <c r="B3584">
        <v>688</v>
      </c>
      <c r="C3584" s="4"/>
    </row>
    <row r="3585" spans="1:3" x14ac:dyDescent="0.25">
      <c r="A3585" s="4">
        <v>41022</v>
      </c>
      <c r="B3585">
        <v>684</v>
      </c>
      <c r="C3585" s="4"/>
    </row>
    <row r="3586" spans="1:3" x14ac:dyDescent="0.25">
      <c r="A3586" s="4">
        <v>41023</v>
      </c>
      <c r="B3586">
        <v>682</v>
      </c>
      <c r="C3586" s="4"/>
    </row>
    <row r="3587" spans="1:3" x14ac:dyDescent="0.25">
      <c r="A3587" s="4">
        <v>41024</v>
      </c>
      <c r="B3587">
        <v>682.5</v>
      </c>
      <c r="C3587" s="4"/>
    </row>
    <row r="3588" spans="1:3" x14ac:dyDescent="0.25">
      <c r="A3588" s="4">
        <v>41025</v>
      </c>
      <c r="B3588">
        <v>690.5</v>
      </c>
      <c r="C3588" s="4"/>
    </row>
    <row r="3589" spans="1:3" x14ac:dyDescent="0.25">
      <c r="A3589" s="4">
        <v>41026</v>
      </c>
      <c r="B3589">
        <v>694.5</v>
      </c>
      <c r="C3589" s="4"/>
    </row>
    <row r="3590" spans="1:3" x14ac:dyDescent="0.25">
      <c r="A3590" s="4">
        <v>41029</v>
      </c>
      <c r="B3590">
        <v>694.5</v>
      </c>
      <c r="C3590" s="4"/>
    </row>
    <row r="3591" spans="1:3" x14ac:dyDescent="0.25">
      <c r="A3591" s="4">
        <v>41030</v>
      </c>
      <c r="B3591">
        <v>691.5</v>
      </c>
      <c r="C3591" s="4"/>
    </row>
    <row r="3592" spans="1:3" x14ac:dyDescent="0.25">
      <c r="A3592" s="4">
        <v>41031</v>
      </c>
      <c r="B3592">
        <v>691.5</v>
      </c>
      <c r="C3592" s="4"/>
    </row>
    <row r="3593" spans="1:3" x14ac:dyDescent="0.25">
      <c r="A3593" s="4">
        <v>41032</v>
      </c>
      <c r="B3593">
        <v>694.5</v>
      </c>
      <c r="C3593" s="4"/>
    </row>
    <row r="3594" spans="1:3" x14ac:dyDescent="0.25">
      <c r="A3594" s="4">
        <v>41033</v>
      </c>
      <c r="B3594">
        <v>684</v>
      </c>
      <c r="C3594" s="4"/>
    </row>
    <row r="3595" spans="1:3" x14ac:dyDescent="0.25">
      <c r="A3595" s="4">
        <v>41037</v>
      </c>
      <c r="B3595">
        <v>653</v>
      </c>
      <c r="C3595" s="4"/>
    </row>
    <row r="3596" spans="1:3" x14ac:dyDescent="0.25">
      <c r="A3596" s="4">
        <v>41038</v>
      </c>
      <c r="B3596">
        <v>653</v>
      </c>
      <c r="C3596" s="4"/>
    </row>
    <row r="3597" spans="1:3" x14ac:dyDescent="0.25">
      <c r="A3597" s="4">
        <v>41039</v>
      </c>
      <c r="B3597">
        <v>647</v>
      </c>
      <c r="C3597" s="4"/>
    </row>
    <row r="3598" spans="1:3" x14ac:dyDescent="0.25">
      <c r="A3598" s="4">
        <v>41040</v>
      </c>
      <c r="B3598">
        <v>649.5</v>
      </c>
      <c r="C3598" s="4"/>
    </row>
    <row r="3599" spans="1:3" x14ac:dyDescent="0.25">
      <c r="A3599" s="4">
        <v>41043</v>
      </c>
      <c r="B3599">
        <v>637.5</v>
      </c>
      <c r="C3599" s="4"/>
    </row>
    <row r="3600" spans="1:3" x14ac:dyDescent="0.25">
      <c r="A3600" s="4">
        <v>41044</v>
      </c>
      <c r="B3600">
        <v>632</v>
      </c>
      <c r="C3600" s="4"/>
    </row>
    <row r="3601" spans="1:3" x14ac:dyDescent="0.25">
      <c r="A3601" s="4">
        <v>41045</v>
      </c>
      <c r="B3601">
        <v>637</v>
      </c>
      <c r="C3601" s="4"/>
    </row>
    <row r="3602" spans="1:3" x14ac:dyDescent="0.25">
      <c r="A3602" s="4">
        <v>41046</v>
      </c>
      <c r="B3602">
        <v>633.5</v>
      </c>
      <c r="C3602" s="4"/>
    </row>
    <row r="3603" spans="1:3" x14ac:dyDescent="0.25">
      <c r="A3603" s="4">
        <v>41047</v>
      </c>
      <c r="B3603">
        <v>633.5</v>
      </c>
      <c r="C3603" s="4"/>
    </row>
    <row r="3604" spans="1:3" x14ac:dyDescent="0.25">
      <c r="A3604" s="4">
        <v>41050</v>
      </c>
      <c r="B3604">
        <v>615</v>
      </c>
      <c r="C3604" s="4"/>
    </row>
    <row r="3605" spans="1:3" x14ac:dyDescent="0.25">
      <c r="A3605" s="4">
        <v>41051</v>
      </c>
      <c r="B3605">
        <v>621</v>
      </c>
      <c r="C3605" s="4"/>
    </row>
    <row r="3606" spans="1:3" x14ac:dyDescent="0.25">
      <c r="A3606" s="4">
        <v>41052</v>
      </c>
      <c r="B3606">
        <v>622.5</v>
      </c>
      <c r="C3606" s="4"/>
    </row>
    <row r="3607" spans="1:3" x14ac:dyDescent="0.25">
      <c r="A3607" s="4">
        <v>41053</v>
      </c>
      <c r="B3607">
        <v>619</v>
      </c>
      <c r="C3607" s="4"/>
    </row>
    <row r="3608" spans="1:3" x14ac:dyDescent="0.25">
      <c r="A3608" s="4">
        <v>41054</v>
      </c>
      <c r="B3608">
        <v>612.5</v>
      </c>
      <c r="C3608" s="4"/>
    </row>
    <row r="3609" spans="1:3" x14ac:dyDescent="0.25">
      <c r="A3609" s="4">
        <v>41057</v>
      </c>
      <c r="B3609" t="e">
        <f>VLOOKUP(A3609,Daily!F$3607:G$4751,2,0)</f>
        <v>#N/A</v>
      </c>
      <c r="C3609" s="4"/>
    </row>
    <row r="3610" spans="1:3" x14ac:dyDescent="0.25">
      <c r="A3610" s="4">
        <v>41058</v>
      </c>
      <c r="B3610" t="e">
        <f>VLOOKUP(A3610,Daily!F$3607:G$4751,2,0)</f>
        <v>#N/A</v>
      </c>
      <c r="C3610" s="4"/>
    </row>
    <row r="3611" spans="1:3" x14ac:dyDescent="0.25">
      <c r="A3611" s="4">
        <v>41059</v>
      </c>
      <c r="B3611" t="e">
        <f>VLOOKUP(A3611,Daily!F$3607:G$4751,2,0)</f>
        <v>#N/A</v>
      </c>
      <c r="C3611" s="4"/>
    </row>
    <row r="3612" spans="1:3" x14ac:dyDescent="0.25">
      <c r="A3612" s="4">
        <v>41060</v>
      </c>
      <c r="B3612" t="e">
        <f>VLOOKUP(A3612,Daily!F$3607:G$4751,2,0)</f>
        <v>#N/A</v>
      </c>
      <c r="C3612" s="4"/>
    </row>
    <row r="3613" spans="1:3" x14ac:dyDescent="0.25">
      <c r="A3613" s="4">
        <v>41061</v>
      </c>
      <c r="B3613" t="e">
        <f>VLOOKUP(A3613,Daily!F$3607:G$4751,2,0)</f>
        <v>#N/A</v>
      </c>
      <c r="C3613" s="4"/>
    </row>
    <row r="3614" spans="1:3" x14ac:dyDescent="0.25">
      <c r="A3614" s="4">
        <v>41066</v>
      </c>
      <c r="B3614" t="e">
        <f>VLOOKUP(A3614,Daily!F$3607:G$4751,2,0)</f>
        <v>#N/A</v>
      </c>
      <c r="C3614" s="4"/>
    </row>
    <row r="3615" spans="1:3" x14ac:dyDescent="0.25">
      <c r="A3615" s="4">
        <v>41067</v>
      </c>
      <c r="B3615" t="e">
        <f>VLOOKUP(A3615,Daily!F$3607:G$4751,2,0)</f>
        <v>#N/A</v>
      </c>
      <c r="C3615" s="4"/>
    </row>
    <row r="3616" spans="1:3" x14ac:dyDescent="0.25">
      <c r="A3616" s="4">
        <v>41068</v>
      </c>
      <c r="B3616" t="e">
        <f>VLOOKUP(A3616,Daily!F$3607:G$4751,2,0)</f>
        <v>#N/A</v>
      </c>
      <c r="C3616" s="4"/>
    </row>
    <row r="3617" spans="1:3" x14ac:dyDescent="0.25">
      <c r="A3617" s="4">
        <v>41071</v>
      </c>
      <c r="B3617" t="e">
        <f>VLOOKUP(A3617,Daily!F$3607:G$4751,2,0)</f>
        <v>#N/A</v>
      </c>
      <c r="C3617" s="4"/>
    </row>
    <row r="3618" spans="1:3" x14ac:dyDescent="0.25">
      <c r="A3618" s="4">
        <v>41072</v>
      </c>
      <c r="B3618" t="e">
        <f>VLOOKUP(A3618,Daily!F$3607:G$4751,2,0)</f>
        <v>#N/A</v>
      </c>
      <c r="C3618" s="4"/>
    </row>
    <row r="3619" spans="1:3" x14ac:dyDescent="0.25">
      <c r="A3619" s="4">
        <v>41073</v>
      </c>
      <c r="B3619" t="e">
        <f>VLOOKUP(A3619,Daily!F$3607:G$4751,2,0)</f>
        <v>#N/A</v>
      </c>
      <c r="C3619" s="4"/>
    </row>
    <row r="3620" spans="1:3" x14ac:dyDescent="0.25">
      <c r="A3620" s="4">
        <v>41074</v>
      </c>
      <c r="B3620" t="e">
        <f>VLOOKUP(A3620,Daily!F$3607:G$4751,2,0)</f>
        <v>#N/A</v>
      </c>
      <c r="C3620" s="4"/>
    </row>
    <row r="3621" spans="1:3" x14ac:dyDescent="0.25">
      <c r="A3621" s="4">
        <v>41075</v>
      </c>
      <c r="B3621" t="e">
        <f>VLOOKUP(A3621,Daily!F$3607:G$4751,2,0)</f>
        <v>#N/A</v>
      </c>
      <c r="C3621" s="4"/>
    </row>
    <row r="3622" spans="1:3" x14ac:dyDescent="0.25">
      <c r="A3622" s="4">
        <v>41078</v>
      </c>
      <c r="B3622" t="e">
        <f>VLOOKUP(A3622,Daily!F$3607:G$4751,2,0)</f>
        <v>#N/A</v>
      </c>
      <c r="C3622" s="4"/>
    </row>
    <row r="3623" spans="1:3" x14ac:dyDescent="0.25">
      <c r="A3623" s="4">
        <v>41079</v>
      </c>
      <c r="B3623" t="e">
        <f>VLOOKUP(A3623,Daily!F$3607:G$4751,2,0)</f>
        <v>#N/A</v>
      </c>
      <c r="C3623" s="4"/>
    </row>
    <row r="3624" spans="1:3" x14ac:dyDescent="0.25">
      <c r="A3624" s="4">
        <v>41080</v>
      </c>
      <c r="B3624" t="e">
        <f>VLOOKUP(A3624,Daily!F$3607:G$4751,2,0)</f>
        <v>#N/A</v>
      </c>
      <c r="C3624" s="4"/>
    </row>
    <row r="3625" spans="1:3" x14ac:dyDescent="0.25">
      <c r="A3625" s="4">
        <v>41081</v>
      </c>
      <c r="B3625" t="e">
        <f>VLOOKUP(A3625,Daily!F$3607:G$4751,2,0)</f>
        <v>#N/A</v>
      </c>
      <c r="C3625" s="4"/>
    </row>
    <row r="3626" spans="1:3" x14ac:dyDescent="0.25">
      <c r="A3626" s="4">
        <v>41082</v>
      </c>
      <c r="B3626" t="e">
        <f>VLOOKUP(A3626,Daily!F$3607:G$4751,2,0)</f>
        <v>#N/A</v>
      </c>
      <c r="C3626" s="4"/>
    </row>
    <row r="3627" spans="1:3" x14ac:dyDescent="0.25">
      <c r="A3627" s="4">
        <v>41085</v>
      </c>
      <c r="B3627" t="e">
        <f>VLOOKUP(A3627,Daily!F$3607:G$4751,2,0)</f>
        <v>#N/A</v>
      </c>
      <c r="C3627" s="4"/>
    </row>
    <row r="3628" spans="1:3" x14ac:dyDescent="0.25">
      <c r="A3628" s="4">
        <v>41086</v>
      </c>
      <c r="B3628" t="e">
        <f>VLOOKUP(A3628,Daily!F$3607:G$4751,2,0)</f>
        <v>#N/A</v>
      </c>
      <c r="C3628" s="4"/>
    </row>
    <row r="3629" spans="1:3" x14ac:dyDescent="0.25">
      <c r="A3629" s="4">
        <v>41087</v>
      </c>
      <c r="B3629" t="e">
        <f>VLOOKUP(A3629,Daily!F$3607:G$4751,2,0)</f>
        <v>#N/A</v>
      </c>
      <c r="C3629" s="4"/>
    </row>
    <row r="3630" spans="1:3" x14ac:dyDescent="0.25">
      <c r="A3630" s="4">
        <v>41088</v>
      </c>
      <c r="B3630" t="e">
        <f>VLOOKUP(A3630,Daily!F$3607:G$4751,2,0)</f>
        <v>#N/A</v>
      </c>
      <c r="C3630" s="4"/>
    </row>
    <row r="3631" spans="1:3" x14ac:dyDescent="0.25">
      <c r="A3631" s="4">
        <v>41089</v>
      </c>
      <c r="B3631" t="e">
        <f>VLOOKUP(A3631,Daily!F$3607:G$4751,2,0)</f>
        <v>#N/A</v>
      </c>
      <c r="C3631" s="4"/>
    </row>
    <row r="3632" spans="1:3" x14ac:dyDescent="0.25">
      <c r="A3632" s="4">
        <v>41092</v>
      </c>
      <c r="B3632" t="e">
        <f>VLOOKUP(A3632,Daily!F$3607:G$4751,2,0)</f>
        <v>#N/A</v>
      </c>
      <c r="C3632" s="4"/>
    </row>
    <row r="3633" spans="1:3" x14ac:dyDescent="0.25">
      <c r="A3633" s="4">
        <v>41093</v>
      </c>
      <c r="B3633" t="e">
        <f>VLOOKUP(A3633,Daily!F$3607:G$4751,2,0)</f>
        <v>#N/A</v>
      </c>
      <c r="C3633" s="4"/>
    </row>
    <row r="3634" spans="1:3" x14ac:dyDescent="0.25">
      <c r="A3634" s="4">
        <v>41094</v>
      </c>
      <c r="B3634" t="e">
        <f>VLOOKUP(A3634,Daily!F$3607:G$4751,2,0)</f>
        <v>#N/A</v>
      </c>
      <c r="C3634" s="4"/>
    </row>
    <row r="3635" spans="1:3" x14ac:dyDescent="0.25">
      <c r="A3635" s="4">
        <v>41095</v>
      </c>
      <c r="B3635" t="e">
        <f>VLOOKUP(A3635,Daily!F$3607:G$4751,2,0)</f>
        <v>#N/A</v>
      </c>
      <c r="C3635" s="4"/>
    </row>
    <row r="3636" spans="1:3" x14ac:dyDescent="0.25">
      <c r="A3636" s="4">
        <v>41096</v>
      </c>
      <c r="B3636" t="e">
        <f>VLOOKUP(A3636,Daily!F$3607:G$4751,2,0)</f>
        <v>#N/A</v>
      </c>
      <c r="C3636" s="4"/>
    </row>
    <row r="3637" spans="1:3" x14ac:dyDescent="0.25">
      <c r="A3637" s="4">
        <v>41099</v>
      </c>
      <c r="B3637" t="e">
        <f>VLOOKUP(A3637,Daily!F$3607:G$4751,2,0)</f>
        <v>#N/A</v>
      </c>
      <c r="C3637" s="4"/>
    </row>
    <row r="3638" spans="1:3" x14ac:dyDescent="0.25">
      <c r="A3638" s="4">
        <v>41100</v>
      </c>
      <c r="B3638" t="e">
        <f>VLOOKUP(A3638,Daily!F$3607:G$4751,2,0)</f>
        <v>#N/A</v>
      </c>
      <c r="C3638" s="4"/>
    </row>
    <row r="3639" spans="1:3" x14ac:dyDescent="0.25">
      <c r="A3639" s="4">
        <v>41101</v>
      </c>
      <c r="B3639" t="e">
        <f>VLOOKUP(A3639,Daily!F$3607:G$4751,2,0)</f>
        <v>#N/A</v>
      </c>
      <c r="C3639" s="4"/>
    </row>
    <row r="3640" spans="1:3" x14ac:dyDescent="0.25">
      <c r="A3640" s="4">
        <v>41102</v>
      </c>
      <c r="B3640" t="e">
        <f>VLOOKUP(A3640,Daily!F$3607:G$4751,2,0)</f>
        <v>#N/A</v>
      </c>
      <c r="C3640" s="4"/>
    </row>
    <row r="3641" spans="1:3" x14ac:dyDescent="0.25">
      <c r="A3641" s="4">
        <v>41103</v>
      </c>
      <c r="B3641" t="e">
        <f>VLOOKUP(A3641,Daily!F$3607:G$4751,2,0)</f>
        <v>#N/A</v>
      </c>
      <c r="C3641" s="4"/>
    </row>
    <row r="3642" spans="1:3" x14ac:dyDescent="0.25">
      <c r="A3642" s="4">
        <v>41106</v>
      </c>
      <c r="B3642" t="e">
        <f>VLOOKUP(A3642,Daily!F$3607:G$4751,2,0)</f>
        <v>#N/A</v>
      </c>
      <c r="C3642" s="4"/>
    </row>
    <row r="3643" spans="1:3" x14ac:dyDescent="0.25">
      <c r="A3643" s="4">
        <v>41107</v>
      </c>
      <c r="B3643" t="e">
        <f>VLOOKUP(A3643,Daily!F$3607:G$4751,2,0)</f>
        <v>#N/A</v>
      </c>
      <c r="C3643" s="4"/>
    </row>
    <row r="3644" spans="1:3" x14ac:dyDescent="0.25">
      <c r="A3644" s="4">
        <v>41108</v>
      </c>
      <c r="B3644" t="e">
        <f>VLOOKUP(A3644,Daily!F$3607:G$4751,2,0)</f>
        <v>#N/A</v>
      </c>
      <c r="C3644" s="4"/>
    </row>
    <row r="3645" spans="1:3" x14ac:dyDescent="0.25">
      <c r="A3645" s="4">
        <v>41109</v>
      </c>
      <c r="B3645" t="e">
        <f>VLOOKUP(A3645,Daily!F$3607:G$4751,2,0)</f>
        <v>#N/A</v>
      </c>
      <c r="C3645" s="4"/>
    </row>
    <row r="3646" spans="1:3" x14ac:dyDescent="0.25">
      <c r="A3646" s="4">
        <v>41110</v>
      </c>
      <c r="B3646" t="e">
        <f>VLOOKUP(A3646,Daily!F$3607:G$4751,2,0)</f>
        <v>#N/A</v>
      </c>
      <c r="C3646" s="4"/>
    </row>
    <row r="3647" spans="1:3" x14ac:dyDescent="0.25">
      <c r="A3647" s="4">
        <v>41113</v>
      </c>
      <c r="B3647" t="e">
        <f>VLOOKUP(A3647,Daily!F$3607:G$4751,2,0)</f>
        <v>#N/A</v>
      </c>
      <c r="C3647" s="4"/>
    </row>
    <row r="3648" spans="1:3" x14ac:dyDescent="0.25">
      <c r="A3648" s="4">
        <v>41114</v>
      </c>
      <c r="B3648" t="e">
        <f>VLOOKUP(A3648,Daily!F$3607:G$4751,2,0)</f>
        <v>#N/A</v>
      </c>
      <c r="C3648" s="4"/>
    </row>
    <row r="3649" spans="1:3" x14ac:dyDescent="0.25">
      <c r="A3649" s="4">
        <v>41115</v>
      </c>
      <c r="B3649" t="e">
        <f>VLOOKUP(A3649,Daily!F$3607:G$4751,2,0)</f>
        <v>#N/A</v>
      </c>
      <c r="C3649" s="4"/>
    </row>
    <row r="3650" spans="1:3" x14ac:dyDescent="0.25">
      <c r="A3650" s="4">
        <v>41116</v>
      </c>
      <c r="B3650" t="e">
        <f>VLOOKUP(A3650,Daily!F$3607:G$4751,2,0)</f>
        <v>#N/A</v>
      </c>
      <c r="C3650" s="4"/>
    </row>
    <row r="3651" spans="1:3" x14ac:dyDescent="0.25">
      <c r="A3651" s="4">
        <v>41117</v>
      </c>
      <c r="B3651" t="e">
        <f>VLOOKUP(A3651,Daily!F$3607:G$4751,2,0)</f>
        <v>#N/A</v>
      </c>
      <c r="C3651" s="4"/>
    </row>
    <row r="3652" spans="1:3" x14ac:dyDescent="0.25">
      <c r="A3652" s="4">
        <v>41120</v>
      </c>
      <c r="B3652" t="e">
        <f>VLOOKUP(A3652,Daily!F$3607:G$4751,2,0)</f>
        <v>#N/A</v>
      </c>
      <c r="C3652" s="4"/>
    </row>
    <row r="3653" spans="1:3" x14ac:dyDescent="0.25">
      <c r="A3653" s="4">
        <v>41121</v>
      </c>
      <c r="B3653" s="3">
        <v>605</v>
      </c>
      <c r="C3653" s="4"/>
    </row>
    <row r="3654" spans="1:3" x14ac:dyDescent="0.25">
      <c r="A3654" s="4">
        <v>41122</v>
      </c>
      <c r="B3654" s="3">
        <v>607</v>
      </c>
      <c r="C3654" s="4"/>
    </row>
    <row r="3655" spans="1:3" x14ac:dyDescent="0.25">
      <c r="A3655" s="4">
        <v>41123</v>
      </c>
      <c r="B3655" s="3">
        <v>609</v>
      </c>
      <c r="C3655" s="4"/>
    </row>
    <row r="3656" spans="1:3" x14ac:dyDescent="0.25">
      <c r="A3656" s="4">
        <v>41124</v>
      </c>
      <c r="B3656" s="3">
        <v>625</v>
      </c>
      <c r="C3656" s="4"/>
    </row>
    <row r="3657" spans="1:3" x14ac:dyDescent="0.25">
      <c r="A3657" s="4">
        <v>41127</v>
      </c>
      <c r="B3657" s="3">
        <v>628</v>
      </c>
      <c r="C3657" s="4"/>
    </row>
    <row r="3658" spans="1:3" x14ac:dyDescent="0.25">
      <c r="A3658" s="4">
        <v>41128</v>
      </c>
      <c r="B3658" s="3">
        <v>641</v>
      </c>
      <c r="C3658" s="4"/>
    </row>
    <row r="3659" spans="1:3" x14ac:dyDescent="0.25">
      <c r="A3659" s="4">
        <v>41129</v>
      </c>
      <c r="B3659" s="3">
        <v>643</v>
      </c>
      <c r="C3659" s="4"/>
    </row>
    <row r="3660" spans="1:3" x14ac:dyDescent="0.25">
      <c r="A3660" s="4">
        <v>41130</v>
      </c>
      <c r="B3660" s="3">
        <v>647</v>
      </c>
      <c r="C3660" s="4"/>
    </row>
    <row r="3661" spans="1:3" x14ac:dyDescent="0.25">
      <c r="A3661" s="4">
        <v>41131</v>
      </c>
      <c r="B3661" s="3">
        <v>645</v>
      </c>
      <c r="C3661" s="4"/>
    </row>
    <row r="3662" spans="1:3" x14ac:dyDescent="0.25">
      <c r="A3662" s="4">
        <v>41134</v>
      </c>
      <c r="B3662" s="3">
        <v>651</v>
      </c>
      <c r="C3662" s="4"/>
    </row>
    <row r="3663" spans="1:3" x14ac:dyDescent="0.25">
      <c r="A3663" s="4">
        <v>41135</v>
      </c>
      <c r="B3663" s="3">
        <v>653</v>
      </c>
      <c r="C3663" s="4"/>
    </row>
    <row r="3664" spans="1:3" x14ac:dyDescent="0.25">
      <c r="A3664" s="4">
        <v>41136</v>
      </c>
      <c r="B3664" s="3">
        <v>660</v>
      </c>
      <c r="C3664" s="4"/>
    </row>
    <row r="3665" spans="1:3" x14ac:dyDescent="0.25">
      <c r="A3665" s="4">
        <v>41137</v>
      </c>
      <c r="B3665" s="3">
        <v>669</v>
      </c>
      <c r="C3665" s="4"/>
    </row>
    <row r="3666" spans="1:3" x14ac:dyDescent="0.25">
      <c r="A3666" s="4">
        <v>41138</v>
      </c>
      <c r="B3666" s="3">
        <v>667</v>
      </c>
      <c r="C3666" s="4"/>
    </row>
    <row r="3667" spans="1:3" x14ac:dyDescent="0.25">
      <c r="A3667" s="4">
        <v>41141</v>
      </c>
      <c r="B3667" t="e">
        <f>VLOOKUP(A3667,Daily!F$3607:G$4751,2,0)</f>
        <v>#N/A</v>
      </c>
      <c r="C3667" s="4"/>
    </row>
    <row r="3668" spans="1:3" x14ac:dyDescent="0.25">
      <c r="A3668" s="4">
        <v>41142</v>
      </c>
      <c r="B3668" t="e">
        <f>VLOOKUP(A3668,Daily!F$3607:G$4751,2,0)</f>
        <v>#N/A</v>
      </c>
      <c r="C3668" s="4"/>
    </row>
    <row r="3669" spans="1:3" x14ac:dyDescent="0.25">
      <c r="A3669" s="4">
        <v>41143</v>
      </c>
      <c r="B3669" t="e">
        <f>VLOOKUP(A3669,Daily!F$3607:G$4751,2,0)</f>
        <v>#N/A</v>
      </c>
      <c r="C3669" s="4"/>
    </row>
    <row r="3670" spans="1:3" x14ac:dyDescent="0.25">
      <c r="A3670" s="4">
        <v>41144</v>
      </c>
      <c r="B3670" t="e">
        <f>VLOOKUP(A3670,Daily!F$3607:G$4751,2,0)</f>
        <v>#N/A</v>
      </c>
      <c r="C3670" s="4"/>
    </row>
    <row r="3671" spans="1:3" x14ac:dyDescent="0.25">
      <c r="A3671" s="4">
        <v>41145</v>
      </c>
      <c r="B3671" t="e">
        <f>VLOOKUP(A3671,Daily!F$3607:G$4751,2,0)</f>
        <v>#N/A</v>
      </c>
      <c r="C3671" s="4"/>
    </row>
    <row r="3672" spans="1:3" x14ac:dyDescent="0.25">
      <c r="A3672" s="4">
        <v>41149</v>
      </c>
      <c r="B3672" t="e">
        <f>VLOOKUP(A3672,Daily!F$3607:G$4751,2,0)</f>
        <v>#N/A</v>
      </c>
      <c r="C3672" s="4"/>
    </row>
    <row r="3673" spans="1:3" x14ac:dyDescent="0.25">
      <c r="A3673" s="4">
        <v>41150</v>
      </c>
      <c r="B3673" t="e">
        <f>VLOOKUP(A3673,Daily!F$3607:G$4751,2,0)</f>
        <v>#N/A</v>
      </c>
      <c r="C3673" s="4"/>
    </row>
    <row r="3674" spans="1:3" x14ac:dyDescent="0.25">
      <c r="A3674" s="4">
        <v>41151</v>
      </c>
      <c r="B3674" t="e">
        <f>VLOOKUP(A3674,Daily!F$3607:G$4751,2,0)</f>
        <v>#N/A</v>
      </c>
      <c r="C3674" s="4"/>
    </row>
    <row r="3675" spans="1:3" x14ac:dyDescent="0.25">
      <c r="A3675" s="4">
        <v>41152</v>
      </c>
      <c r="B3675" t="e">
        <f>VLOOKUP(A3675,Daily!F$3607:G$4751,2,0)</f>
        <v>#N/A</v>
      </c>
      <c r="C3675" s="4"/>
    </row>
    <row r="3676" spans="1:3" x14ac:dyDescent="0.25">
      <c r="A3676" s="4">
        <v>41155</v>
      </c>
      <c r="B3676" t="e">
        <f>VLOOKUP(A3676,Daily!F$3607:G$4751,2,0)</f>
        <v>#N/A</v>
      </c>
      <c r="C3676" s="4"/>
    </row>
    <row r="3677" spans="1:3" x14ac:dyDescent="0.25">
      <c r="A3677" s="4">
        <v>41156</v>
      </c>
      <c r="B3677" t="e">
        <f>VLOOKUP(A3677,Daily!F$3607:G$4751,2,0)</f>
        <v>#N/A</v>
      </c>
      <c r="C3677" s="4"/>
    </row>
    <row r="3678" spans="1:3" x14ac:dyDescent="0.25">
      <c r="A3678" s="4">
        <v>41157</v>
      </c>
      <c r="B3678" t="e">
        <f>VLOOKUP(A3678,Daily!F$3607:G$4751,2,0)</f>
        <v>#N/A</v>
      </c>
      <c r="C3678" s="4"/>
    </row>
    <row r="3679" spans="1:3" x14ac:dyDescent="0.25">
      <c r="A3679" s="4">
        <v>41158</v>
      </c>
      <c r="B3679" t="e">
        <f>VLOOKUP(A3679,Daily!F$3607:G$4751,2,0)</f>
        <v>#N/A</v>
      </c>
      <c r="C3679" s="4"/>
    </row>
    <row r="3680" spans="1:3" x14ac:dyDescent="0.25">
      <c r="A3680" s="4">
        <v>41159</v>
      </c>
      <c r="B3680" t="e">
        <f>VLOOKUP(A3680,Daily!F$3607:G$4751,2,0)</f>
        <v>#N/A</v>
      </c>
      <c r="C3680" s="4"/>
    </row>
    <row r="3681" spans="1:3" x14ac:dyDescent="0.25">
      <c r="A3681" s="4">
        <v>41162</v>
      </c>
      <c r="B3681" t="e">
        <f>VLOOKUP(A3681,Daily!F$3607:G$4751,2,0)</f>
        <v>#N/A</v>
      </c>
      <c r="C3681" s="4"/>
    </row>
    <row r="3682" spans="1:3" x14ac:dyDescent="0.25">
      <c r="A3682" s="4">
        <v>41163</v>
      </c>
      <c r="B3682" t="e">
        <f>VLOOKUP(A3682,Daily!F$3607:G$4751,2,0)</f>
        <v>#N/A</v>
      </c>
      <c r="C3682" s="4"/>
    </row>
    <row r="3683" spans="1:3" x14ac:dyDescent="0.25">
      <c r="A3683" s="4">
        <v>41164</v>
      </c>
      <c r="B3683" t="e">
        <f>VLOOKUP(A3683,Daily!F$3607:G$4751,2,0)</f>
        <v>#N/A</v>
      </c>
      <c r="C3683" s="4"/>
    </row>
    <row r="3684" spans="1:3" x14ac:dyDescent="0.25">
      <c r="A3684" s="4">
        <v>41165</v>
      </c>
      <c r="B3684" t="e">
        <f>VLOOKUP(A3684,Daily!F$3607:G$4751,2,0)</f>
        <v>#N/A</v>
      </c>
      <c r="C3684" s="4"/>
    </row>
    <row r="3685" spans="1:3" x14ac:dyDescent="0.25">
      <c r="A3685" s="4">
        <v>41166</v>
      </c>
      <c r="B3685" t="e">
        <f>VLOOKUP(A3685,Daily!F$3607:G$4751,2,0)</f>
        <v>#N/A</v>
      </c>
      <c r="C3685" s="4"/>
    </row>
    <row r="3686" spans="1:3" x14ac:dyDescent="0.25">
      <c r="A3686" s="4">
        <v>41169</v>
      </c>
      <c r="B3686" t="e">
        <f>VLOOKUP(A3686,Daily!F$3607:G$4751,2,0)</f>
        <v>#N/A</v>
      </c>
      <c r="C3686" s="4"/>
    </row>
    <row r="3687" spans="1:3" x14ac:dyDescent="0.25">
      <c r="A3687" s="4">
        <v>41170</v>
      </c>
      <c r="B3687" t="e">
        <f>VLOOKUP(A3687,Daily!F$3607:G$4751,2,0)</f>
        <v>#N/A</v>
      </c>
      <c r="C3687" s="4"/>
    </row>
    <row r="3688" spans="1:3" x14ac:dyDescent="0.25">
      <c r="A3688" s="4">
        <v>41171</v>
      </c>
      <c r="B3688" s="3">
        <v>638</v>
      </c>
      <c r="C3688" s="4"/>
    </row>
    <row r="3689" spans="1:3" x14ac:dyDescent="0.25">
      <c r="A3689" s="4">
        <v>41172</v>
      </c>
      <c r="B3689" t="e">
        <f>VLOOKUP(A3689,Daily!F$3607:G$4751,2,0)</f>
        <v>#N/A</v>
      </c>
      <c r="C3689" s="4"/>
    </row>
    <row r="3690" spans="1:3" x14ac:dyDescent="0.25">
      <c r="A3690" s="4">
        <v>41173</v>
      </c>
      <c r="B3690" t="e">
        <f>VLOOKUP(A3690,Daily!F$3607:G$4751,2,0)</f>
        <v>#N/A</v>
      </c>
      <c r="C3690" s="4"/>
    </row>
    <row r="3691" spans="1:3" x14ac:dyDescent="0.25">
      <c r="A3691" s="4">
        <v>41176</v>
      </c>
      <c r="B3691" t="e">
        <f>VLOOKUP(A3691,Daily!F$3607:G$4751,2,0)</f>
        <v>#N/A</v>
      </c>
      <c r="C3691" s="4"/>
    </row>
    <row r="3692" spans="1:3" x14ac:dyDescent="0.25">
      <c r="A3692" s="4">
        <v>41177</v>
      </c>
      <c r="B3692" t="e">
        <f>VLOOKUP(A3692,Daily!F$3607:G$4751,2,0)</f>
        <v>#N/A</v>
      </c>
      <c r="C3692" s="4"/>
    </row>
    <row r="3693" spans="1:3" x14ac:dyDescent="0.25">
      <c r="A3693" s="4">
        <v>41178</v>
      </c>
      <c r="B3693" t="e">
        <f>VLOOKUP(A3693,Daily!F$3607:G$4751,2,0)</f>
        <v>#N/A</v>
      </c>
      <c r="C3693" s="4"/>
    </row>
    <row r="3694" spans="1:3" x14ac:dyDescent="0.25">
      <c r="A3694" s="4">
        <v>41179</v>
      </c>
      <c r="B3694" t="e">
        <f>VLOOKUP(A3694,Daily!F$3607:G$4751,2,0)</f>
        <v>#N/A</v>
      </c>
      <c r="C3694" s="4"/>
    </row>
    <row r="3695" spans="1:3" x14ac:dyDescent="0.25">
      <c r="A3695" s="4">
        <v>41180</v>
      </c>
      <c r="B3695" t="e">
        <f>VLOOKUP(A3695,Daily!F$3607:G$4751,2,0)</f>
        <v>#N/A</v>
      </c>
      <c r="C3695" s="4"/>
    </row>
    <row r="3696" spans="1:3" x14ac:dyDescent="0.25">
      <c r="A3696" s="4">
        <v>41183</v>
      </c>
      <c r="B3696" t="e">
        <f>VLOOKUP(A3696,Daily!F$3607:G$4751,2,0)</f>
        <v>#N/A</v>
      </c>
      <c r="C3696" s="4"/>
    </row>
    <row r="3697" spans="1:3" x14ac:dyDescent="0.25">
      <c r="A3697" s="4">
        <v>41184</v>
      </c>
      <c r="B3697" t="e">
        <f>VLOOKUP(A3697,Daily!F$3607:G$4751,2,0)</f>
        <v>#N/A</v>
      </c>
      <c r="C3697" s="4"/>
    </row>
    <row r="3698" spans="1:3" x14ac:dyDescent="0.25">
      <c r="A3698" s="4">
        <v>41185</v>
      </c>
      <c r="B3698" t="e">
        <f>VLOOKUP(A3698,Daily!F$3607:G$4751,2,0)</f>
        <v>#N/A</v>
      </c>
      <c r="C3698" s="4"/>
    </row>
    <row r="3699" spans="1:3" x14ac:dyDescent="0.25">
      <c r="A3699" s="4">
        <v>41186</v>
      </c>
      <c r="B3699" t="e">
        <f>VLOOKUP(A3699,Daily!F$3607:G$4751,2,0)</f>
        <v>#N/A</v>
      </c>
      <c r="C3699" s="4"/>
    </row>
    <row r="3700" spans="1:3" x14ac:dyDescent="0.25">
      <c r="A3700" s="4">
        <v>41187</v>
      </c>
      <c r="B3700" t="e">
        <f>VLOOKUP(A3700,Daily!F$3607:G$4751,2,0)</f>
        <v>#N/A</v>
      </c>
      <c r="C3700" s="4"/>
    </row>
    <row r="3701" spans="1:3" x14ac:dyDescent="0.25">
      <c r="A3701" s="4">
        <v>41190</v>
      </c>
      <c r="B3701" t="e">
        <f>VLOOKUP(A3701,Daily!F$3607:G$4751,2,0)</f>
        <v>#N/A</v>
      </c>
      <c r="C3701" s="4"/>
    </row>
    <row r="3702" spans="1:3" x14ac:dyDescent="0.25">
      <c r="A3702" s="4">
        <v>41191</v>
      </c>
      <c r="B3702" t="e">
        <f>VLOOKUP(A3702,Daily!F$3607:G$4751,2,0)</f>
        <v>#N/A</v>
      </c>
      <c r="C3702" s="4"/>
    </row>
    <row r="3703" spans="1:3" x14ac:dyDescent="0.25">
      <c r="A3703" s="4">
        <v>41192</v>
      </c>
      <c r="B3703" t="e">
        <f>VLOOKUP(A3703,Daily!F$3607:G$4751,2,0)</f>
        <v>#N/A</v>
      </c>
      <c r="C3703" s="4"/>
    </row>
    <row r="3704" spans="1:3" x14ac:dyDescent="0.25">
      <c r="A3704" s="4">
        <v>41193</v>
      </c>
      <c r="B3704" t="e">
        <f>VLOOKUP(A3704,Daily!F$3607:G$4751,2,0)</f>
        <v>#N/A</v>
      </c>
      <c r="C3704" s="4"/>
    </row>
    <row r="3705" spans="1:3" x14ac:dyDescent="0.25">
      <c r="A3705" s="4">
        <v>41194</v>
      </c>
      <c r="B3705" t="e">
        <f>VLOOKUP(A3705,Daily!F$3607:G$4751,2,0)</f>
        <v>#N/A</v>
      </c>
      <c r="C3705" s="4"/>
    </row>
    <row r="3706" spans="1:3" x14ac:dyDescent="0.25">
      <c r="A3706" s="4">
        <v>41197</v>
      </c>
      <c r="B3706" t="e">
        <f>VLOOKUP(A3706,Daily!F$3607:G$4751,2,0)</f>
        <v>#N/A</v>
      </c>
      <c r="C3706" s="4"/>
    </row>
    <row r="3707" spans="1:3" x14ac:dyDescent="0.25">
      <c r="A3707" s="4">
        <v>41198</v>
      </c>
      <c r="B3707" t="e">
        <f>VLOOKUP(A3707,Daily!F$3607:G$4751,2,0)</f>
        <v>#N/A</v>
      </c>
      <c r="C3707" s="4"/>
    </row>
    <row r="3708" spans="1:3" x14ac:dyDescent="0.25">
      <c r="A3708" s="4">
        <v>41199</v>
      </c>
      <c r="B3708" t="e">
        <f>VLOOKUP(A3708,Daily!F$3607:G$4751,2,0)</f>
        <v>#N/A</v>
      </c>
      <c r="C3708" s="4"/>
    </row>
    <row r="3709" spans="1:3" x14ac:dyDescent="0.25">
      <c r="A3709" s="4">
        <v>41200</v>
      </c>
      <c r="B3709" t="e">
        <f>VLOOKUP(A3709,Daily!F$3607:G$4751,2,0)</f>
        <v>#N/A</v>
      </c>
      <c r="C3709" s="4"/>
    </row>
    <row r="3710" spans="1:3" x14ac:dyDescent="0.25">
      <c r="A3710" s="4">
        <v>41201</v>
      </c>
      <c r="B3710" t="e">
        <f>VLOOKUP(A3710,Daily!F$3607:G$4751,2,0)</f>
        <v>#N/A</v>
      </c>
      <c r="C3710" s="4"/>
    </row>
    <row r="3711" spans="1:3" x14ac:dyDescent="0.25">
      <c r="A3711" s="4">
        <v>41204</v>
      </c>
      <c r="B3711" t="e">
        <f>VLOOKUP(A3711,Daily!F$3607:G$4751,2,0)</f>
        <v>#N/A</v>
      </c>
      <c r="C3711" s="4"/>
    </row>
    <row r="3712" spans="1:3" x14ac:dyDescent="0.25">
      <c r="A3712" s="4">
        <v>41205</v>
      </c>
      <c r="B3712" t="e">
        <f>VLOOKUP(A3712,Daily!F$3607:G$4751,2,0)</f>
        <v>#N/A</v>
      </c>
      <c r="C3712" s="4"/>
    </row>
    <row r="3713" spans="1:3" x14ac:dyDescent="0.25">
      <c r="A3713" s="4">
        <v>41206</v>
      </c>
      <c r="B3713" t="e">
        <f>VLOOKUP(A3713,Daily!F$3607:G$4751,2,0)</f>
        <v>#N/A</v>
      </c>
      <c r="C3713" s="4"/>
    </row>
    <row r="3714" spans="1:3" x14ac:dyDescent="0.25">
      <c r="A3714" s="4">
        <v>41207</v>
      </c>
      <c r="B3714" t="e">
        <f>VLOOKUP(A3714,Daily!F$3607:G$4751,2,0)</f>
        <v>#N/A</v>
      </c>
      <c r="C3714" s="4"/>
    </row>
    <row r="3715" spans="1:3" x14ac:dyDescent="0.25">
      <c r="A3715" s="4">
        <v>41208</v>
      </c>
      <c r="B3715" t="e">
        <f>VLOOKUP(A3715,Daily!F$3607:G$4751,2,0)</f>
        <v>#N/A</v>
      </c>
      <c r="C3715" s="4"/>
    </row>
    <row r="3716" spans="1:3" x14ac:dyDescent="0.25">
      <c r="A3716" s="4">
        <v>41211</v>
      </c>
      <c r="B3716" t="e">
        <f>VLOOKUP(A3716,Daily!F$3607:G$4751,2,0)</f>
        <v>#N/A</v>
      </c>
      <c r="C3716" s="4"/>
    </row>
    <row r="3717" spans="1:3" x14ac:dyDescent="0.25">
      <c r="A3717" s="4">
        <v>41212</v>
      </c>
      <c r="B3717" t="e">
        <f>VLOOKUP(A3717,Daily!F$3607:G$4751,2,0)</f>
        <v>#N/A</v>
      </c>
      <c r="C3717" s="4"/>
    </row>
    <row r="3718" spans="1:3" x14ac:dyDescent="0.25">
      <c r="A3718" s="4">
        <v>41213</v>
      </c>
      <c r="B3718" t="e">
        <f>VLOOKUP(A3718,Daily!F$3607:G$4751,2,0)</f>
        <v>#N/A</v>
      </c>
      <c r="C3718" s="4"/>
    </row>
    <row r="3719" spans="1:3" x14ac:dyDescent="0.25">
      <c r="A3719" s="4">
        <v>41214</v>
      </c>
      <c r="B3719" t="e">
        <f>VLOOKUP(A3719,Daily!F$3607:G$4751,2,0)</f>
        <v>#N/A</v>
      </c>
      <c r="C3719" s="4"/>
    </row>
    <row r="3720" spans="1:3" x14ac:dyDescent="0.25">
      <c r="A3720" s="4">
        <v>41215</v>
      </c>
      <c r="B3720" t="e">
        <f>VLOOKUP(A3720,Daily!F$3607:G$4751,2,0)</f>
        <v>#N/A</v>
      </c>
      <c r="C3720" s="4"/>
    </row>
    <row r="3721" spans="1:3" x14ac:dyDescent="0.25">
      <c r="A3721" s="4">
        <v>41218</v>
      </c>
      <c r="B3721" t="e">
        <f>VLOOKUP(A3721,Daily!F$3607:G$4751,2,0)</f>
        <v>#N/A</v>
      </c>
      <c r="C3721" s="4"/>
    </row>
    <row r="3722" spans="1:3" x14ac:dyDescent="0.25">
      <c r="A3722" s="4">
        <v>41219</v>
      </c>
      <c r="B3722" t="e">
        <f>VLOOKUP(A3722,Daily!F$3607:G$4751,2,0)</f>
        <v>#N/A</v>
      </c>
      <c r="C3722" s="4"/>
    </row>
    <row r="3723" spans="1:3" x14ac:dyDescent="0.25">
      <c r="A3723" s="4">
        <v>41220</v>
      </c>
      <c r="B3723" t="e">
        <f>VLOOKUP(A3723,Daily!F$3607:G$4751,2,0)</f>
        <v>#N/A</v>
      </c>
      <c r="C3723" s="4"/>
    </row>
    <row r="3724" spans="1:3" x14ac:dyDescent="0.25">
      <c r="A3724" s="4">
        <v>41221</v>
      </c>
      <c r="B3724" t="e">
        <f>VLOOKUP(A3724,Daily!F$3607:G$4751,2,0)</f>
        <v>#N/A</v>
      </c>
      <c r="C3724" s="4"/>
    </row>
    <row r="3725" spans="1:3" x14ac:dyDescent="0.25">
      <c r="A3725" s="4">
        <v>41222</v>
      </c>
      <c r="B3725" t="e">
        <f>VLOOKUP(A3725,Daily!F$3607:G$4751,2,0)</f>
        <v>#N/A</v>
      </c>
      <c r="C3725" s="4"/>
    </row>
    <row r="3726" spans="1:3" x14ac:dyDescent="0.25">
      <c r="A3726" s="4">
        <v>41225</v>
      </c>
      <c r="B3726" t="e">
        <f>VLOOKUP(A3726,Daily!F$3607:G$4751,2,0)</f>
        <v>#N/A</v>
      </c>
      <c r="C3726" s="4"/>
    </row>
    <row r="3727" spans="1:3" x14ac:dyDescent="0.25">
      <c r="A3727" s="4">
        <v>41226</v>
      </c>
      <c r="B3727" t="e">
        <f>VLOOKUP(A3727,Daily!F$3607:G$4751,2,0)</f>
        <v>#N/A</v>
      </c>
      <c r="C3727" s="4"/>
    </row>
    <row r="3728" spans="1:3" x14ac:dyDescent="0.25">
      <c r="A3728" s="4">
        <v>41227</v>
      </c>
      <c r="B3728" t="e">
        <f>VLOOKUP(A3728,Daily!F$3607:G$4751,2,0)</f>
        <v>#N/A</v>
      </c>
      <c r="C3728" s="4"/>
    </row>
    <row r="3729" spans="1:3" x14ac:dyDescent="0.25">
      <c r="A3729" s="4">
        <v>41228</v>
      </c>
      <c r="B3729" t="e">
        <f>VLOOKUP(A3729,Daily!F$3607:G$4751,2,0)</f>
        <v>#N/A</v>
      </c>
      <c r="C3729" s="4"/>
    </row>
    <row r="3730" spans="1:3" x14ac:dyDescent="0.25">
      <c r="A3730" s="4">
        <v>41229</v>
      </c>
      <c r="B3730" t="e">
        <f>VLOOKUP(A3730,Daily!F$3607:G$4751,2,0)</f>
        <v>#N/A</v>
      </c>
      <c r="C3730" s="4"/>
    </row>
    <row r="3731" spans="1:3" x14ac:dyDescent="0.25">
      <c r="A3731" s="4">
        <v>41232</v>
      </c>
      <c r="B3731" t="e">
        <f>VLOOKUP(A3731,Daily!F$3607:G$4751,2,0)</f>
        <v>#N/A</v>
      </c>
      <c r="C3731" s="4"/>
    </row>
    <row r="3732" spans="1:3" x14ac:dyDescent="0.25">
      <c r="A3732" s="4">
        <v>41233</v>
      </c>
      <c r="B3732" t="e">
        <f>VLOOKUP(A3732,Daily!F$3607:G$4751,2,0)</f>
        <v>#N/A</v>
      </c>
      <c r="C3732" s="4"/>
    </row>
    <row r="3733" spans="1:3" x14ac:dyDescent="0.25">
      <c r="A3733" s="4">
        <v>41234</v>
      </c>
      <c r="B3733" t="e">
        <f>VLOOKUP(A3733,Daily!F$3607:G$4751,2,0)</f>
        <v>#N/A</v>
      </c>
      <c r="C3733" s="4"/>
    </row>
    <row r="3734" spans="1:3" x14ac:dyDescent="0.25">
      <c r="A3734" s="4">
        <v>41235</v>
      </c>
      <c r="B3734" t="e">
        <f>VLOOKUP(A3734,Daily!F$3607:G$4751,2,0)</f>
        <v>#N/A</v>
      </c>
      <c r="C3734" s="4"/>
    </row>
    <row r="3735" spans="1:3" x14ac:dyDescent="0.25">
      <c r="A3735" s="4">
        <v>41236</v>
      </c>
      <c r="B3735" t="e">
        <f>VLOOKUP(A3735,Daily!F$3607:G$4751,2,0)</f>
        <v>#N/A</v>
      </c>
      <c r="C3735" s="4"/>
    </row>
    <row r="3736" spans="1:3" x14ac:dyDescent="0.25">
      <c r="A3736" s="4">
        <v>41239</v>
      </c>
      <c r="B3736" t="e">
        <f>VLOOKUP(A3736,Daily!F$3607:G$4751,2,0)</f>
        <v>#N/A</v>
      </c>
      <c r="C3736" s="4"/>
    </row>
    <row r="3737" spans="1:3" x14ac:dyDescent="0.25">
      <c r="A3737" s="4">
        <v>41240</v>
      </c>
      <c r="B3737" t="e">
        <f>VLOOKUP(A3737,Daily!F$3607:G$4751,2,0)</f>
        <v>#N/A</v>
      </c>
      <c r="C3737" s="4"/>
    </row>
    <row r="3738" spans="1:3" x14ac:dyDescent="0.25">
      <c r="A3738" s="4">
        <v>41241</v>
      </c>
      <c r="B3738" t="e">
        <f>VLOOKUP(A3738,Daily!F$3607:G$4751,2,0)</f>
        <v>#N/A</v>
      </c>
      <c r="C3738" s="4"/>
    </row>
    <row r="3739" spans="1:3" x14ac:dyDescent="0.25">
      <c r="A3739" s="4">
        <v>41242</v>
      </c>
      <c r="B3739" t="e">
        <f>VLOOKUP(A3739,Daily!F$3607:G$4751,2,0)</f>
        <v>#N/A</v>
      </c>
      <c r="C3739" s="4"/>
    </row>
    <row r="3740" spans="1:3" x14ac:dyDescent="0.25">
      <c r="A3740" s="4">
        <v>41243</v>
      </c>
      <c r="B3740" t="e">
        <f>VLOOKUP(A3740,Daily!F$3607:G$4751,2,0)</f>
        <v>#N/A</v>
      </c>
      <c r="C3740" s="4"/>
    </row>
    <row r="3741" spans="1:3" x14ac:dyDescent="0.25">
      <c r="A3741" s="4">
        <v>41246</v>
      </c>
      <c r="B3741" t="e">
        <f>VLOOKUP(A3741,Daily!F$3607:G$4751,2,0)</f>
        <v>#N/A</v>
      </c>
      <c r="C3741" s="4"/>
    </row>
    <row r="3742" spans="1:3" x14ac:dyDescent="0.25">
      <c r="A3742" s="4">
        <v>41247</v>
      </c>
      <c r="B3742" t="e">
        <f>VLOOKUP(A3742,Daily!F$3607:G$4751,2,0)</f>
        <v>#N/A</v>
      </c>
      <c r="C3742" s="4"/>
    </row>
    <row r="3743" spans="1:3" x14ac:dyDescent="0.25">
      <c r="A3743" s="4">
        <v>41248</v>
      </c>
      <c r="B3743" t="e">
        <f>VLOOKUP(A3743,Daily!F$3607:G$4751,2,0)</f>
        <v>#N/A</v>
      </c>
      <c r="C3743" s="4"/>
    </row>
    <row r="3744" spans="1:3" x14ac:dyDescent="0.25">
      <c r="A3744" s="4">
        <v>41249</v>
      </c>
      <c r="B3744" t="e">
        <f>VLOOKUP(A3744,Daily!F$3607:G$4751,2,0)</f>
        <v>#N/A</v>
      </c>
      <c r="C3744" s="4"/>
    </row>
    <row r="3745" spans="1:3" x14ac:dyDescent="0.25">
      <c r="A3745" s="4">
        <v>41250</v>
      </c>
      <c r="B3745" t="e">
        <f>VLOOKUP(A3745,Daily!F$3607:G$4751,2,0)</f>
        <v>#N/A</v>
      </c>
      <c r="C3745" s="4"/>
    </row>
    <row r="3746" spans="1:3" x14ac:dyDescent="0.25">
      <c r="A3746" s="4">
        <v>41253</v>
      </c>
      <c r="B3746" t="e">
        <f>VLOOKUP(A3746,Daily!F$3607:G$4751,2,0)</f>
        <v>#N/A</v>
      </c>
      <c r="C3746" s="4"/>
    </row>
    <row r="3747" spans="1:3" x14ac:dyDescent="0.25">
      <c r="A3747" s="4">
        <v>41254</v>
      </c>
      <c r="B3747" t="e">
        <f>VLOOKUP(A3747,Daily!F$3607:G$4751,2,0)</f>
        <v>#N/A</v>
      </c>
      <c r="C3747" s="4"/>
    </row>
    <row r="3748" spans="1:3" x14ac:dyDescent="0.25">
      <c r="A3748" s="4">
        <v>41255</v>
      </c>
      <c r="B3748" t="e">
        <f>VLOOKUP(A3748,Daily!F$3607:G$4751,2,0)</f>
        <v>#N/A</v>
      </c>
      <c r="C3748" s="4"/>
    </row>
    <row r="3749" spans="1:3" x14ac:dyDescent="0.25">
      <c r="A3749" s="4">
        <v>41256</v>
      </c>
      <c r="B3749" s="3">
        <v>571</v>
      </c>
      <c r="C3749" s="4"/>
    </row>
    <row r="3750" spans="1:3" x14ac:dyDescent="0.25">
      <c r="A3750" s="4">
        <v>41257</v>
      </c>
      <c r="B3750" s="3">
        <v>564</v>
      </c>
      <c r="C3750" s="4"/>
    </row>
    <row r="3751" spans="1:3" x14ac:dyDescent="0.25">
      <c r="A3751" s="4">
        <v>41260</v>
      </c>
      <c r="B3751" s="3">
        <v>569</v>
      </c>
      <c r="C3751" s="4"/>
    </row>
    <row r="3752" spans="1:3" x14ac:dyDescent="0.25">
      <c r="A3752" s="4">
        <v>41261</v>
      </c>
      <c r="B3752" s="3">
        <v>577</v>
      </c>
      <c r="C3752" s="4"/>
    </row>
    <row r="3753" spans="1:3" x14ac:dyDescent="0.25">
      <c r="A3753" s="4">
        <v>41262</v>
      </c>
      <c r="B3753" s="3">
        <v>586</v>
      </c>
      <c r="C3753" s="4"/>
    </row>
    <row r="3754" spans="1:3" x14ac:dyDescent="0.25">
      <c r="A3754" s="4">
        <v>41263</v>
      </c>
      <c r="B3754" s="3">
        <v>578</v>
      </c>
      <c r="C3754" s="4"/>
    </row>
    <row r="3755" spans="1:3" x14ac:dyDescent="0.25">
      <c r="A3755" s="4">
        <v>41264</v>
      </c>
      <c r="B3755" s="3">
        <v>573</v>
      </c>
      <c r="C3755" s="4"/>
    </row>
    <row r="3756" spans="1:3" x14ac:dyDescent="0.25">
      <c r="A3756" s="4">
        <v>41267</v>
      </c>
      <c r="B3756" t="e">
        <f>VLOOKUP(A3756,Daily!F$3607:G$4751,2,0)</f>
        <v>#N/A</v>
      </c>
      <c r="C3756" s="4"/>
    </row>
    <row r="3757" spans="1:3" x14ac:dyDescent="0.25">
      <c r="A3757" s="4">
        <v>41276</v>
      </c>
      <c r="B3757" t="e">
        <f>VLOOKUP(A3757,Daily!F$3607:G$4751,2,0)</f>
        <v>#N/A</v>
      </c>
      <c r="C3757" s="4"/>
    </row>
    <row r="3758" spans="1:3" x14ac:dyDescent="0.25">
      <c r="A3758" s="4">
        <v>41277</v>
      </c>
      <c r="B3758" t="e">
        <f>VLOOKUP(A3758,Daily!F$3607:G$4751,2,0)</f>
        <v>#N/A</v>
      </c>
      <c r="C3758" s="4"/>
    </row>
    <row r="3759" spans="1:3" x14ac:dyDescent="0.25">
      <c r="A3759" s="4">
        <v>41278</v>
      </c>
      <c r="B3759" t="e">
        <f>VLOOKUP(A3759,Daily!F$3607:G$4751,2,0)</f>
        <v>#N/A</v>
      </c>
      <c r="C3759" s="4"/>
    </row>
    <row r="3760" spans="1:3" x14ac:dyDescent="0.25">
      <c r="A3760" s="4">
        <v>41281</v>
      </c>
      <c r="B3760" t="e">
        <f>VLOOKUP(A3760,Daily!F$3607:G$4751,2,0)</f>
        <v>#N/A</v>
      </c>
      <c r="C3760" s="4"/>
    </row>
    <row r="3761" spans="1:3" x14ac:dyDescent="0.25">
      <c r="A3761" s="4">
        <v>41282</v>
      </c>
      <c r="B3761" t="e">
        <f>VLOOKUP(A3761,Daily!F$3607:G$4751,2,0)</f>
        <v>#N/A</v>
      </c>
      <c r="C3761" s="4"/>
    </row>
    <row r="3762" spans="1:3" x14ac:dyDescent="0.25">
      <c r="A3762" s="4">
        <v>41283</v>
      </c>
      <c r="B3762" t="e">
        <f>VLOOKUP(A3762,Daily!F$3607:G$4751,2,0)</f>
        <v>#N/A</v>
      </c>
      <c r="C3762" s="4"/>
    </row>
    <row r="3763" spans="1:3" x14ac:dyDescent="0.25">
      <c r="A3763" s="4">
        <v>41284</v>
      </c>
      <c r="B3763" t="e">
        <f>VLOOKUP(A3763,Daily!F$3607:G$4751,2,0)</f>
        <v>#N/A</v>
      </c>
      <c r="C3763" s="4"/>
    </row>
    <row r="3764" spans="1:3" x14ac:dyDescent="0.25">
      <c r="A3764" s="4">
        <v>41285</v>
      </c>
      <c r="B3764" t="e">
        <f>VLOOKUP(A3764,Daily!F$3607:G$4751,2,0)</f>
        <v>#N/A</v>
      </c>
      <c r="C3764" s="4"/>
    </row>
    <row r="3765" spans="1:3" x14ac:dyDescent="0.25">
      <c r="A3765" s="4">
        <v>41288</v>
      </c>
      <c r="B3765" t="e">
        <f>VLOOKUP(A3765,Daily!F$3607:G$4751,2,0)</f>
        <v>#N/A</v>
      </c>
      <c r="C3765" s="4"/>
    </row>
    <row r="3766" spans="1:3" x14ac:dyDescent="0.25">
      <c r="A3766" s="4">
        <v>41289</v>
      </c>
      <c r="B3766" t="e">
        <f>VLOOKUP(A3766,Daily!F$3607:G$4751,2,0)</f>
        <v>#N/A</v>
      </c>
      <c r="C3766" s="4"/>
    </row>
    <row r="3767" spans="1:3" x14ac:dyDescent="0.25">
      <c r="A3767" s="4">
        <v>41290</v>
      </c>
      <c r="B3767" t="e">
        <f>VLOOKUP(A3767,Daily!F$3607:G$4751,2,0)</f>
        <v>#N/A</v>
      </c>
      <c r="C3767" s="4"/>
    </row>
    <row r="3768" spans="1:3" x14ac:dyDescent="0.25">
      <c r="A3768" s="4">
        <v>41291</v>
      </c>
      <c r="B3768" t="e">
        <f>VLOOKUP(A3768,Daily!F$3607:G$4751,2,0)</f>
        <v>#N/A</v>
      </c>
      <c r="C3768" s="4"/>
    </row>
    <row r="3769" spans="1:3" x14ac:dyDescent="0.25">
      <c r="A3769" s="4">
        <v>41292</v>
      </c>
      <c r="B3769" t="e">
        <f>VLOOKUP(A3769,Daily!F$3607:G$4751,2,0)</f>
        <v>#N/A</v>
      </c>
      <c r="C3769" s="4"/>
    </row>
    <row r="3770" spans="1:3" x14ac:dyDescent="0.25">
      <c r="A3770" s="4">
        <v>41295</v>
      </c>
      <c r="B3770" t="e">
        <f>VLOOKUP(A3770,Daily!F$3607:G$4751,2,0)</f>
        <v>#N/A</v>
      </c>
      <c r="C3770" s="4"/>
    </row>
    <row r="3771" spans="1:3" x14ac:dyDescent="0.25">
      <c r="A3771" s="4">
        <v>41296</v>
      </c>
      <c r="B3771" t="e">
        <f>VLOOKUP(A3771,Daily!F$3607:G$4751,2,0)</f>
        <v>#N/A</v>
      </c>
      <c r="C3771" s="4"/>
    </row>
    <row r="3772" spans="1:3" x14ac:dyDescent="0.25">
      <c r="A3772" s="4">
        <v>41297</v>
      </c>
      <c r="B3772" t="e">
        <f>VLOOKUP(A3772,Daily!F$3607:G$4751,2,0)</f>
        <v>#N/A</v>
      </c>
      <c r="C3772" s="4"/>
    </row>
    <row r="3773" spans="1:3" x14ac:dyDescent="0.25">
      <c r="A3773" s="4">
        <v>41298</v>
      </c>
      <c r="B3773" t="e">
        <f>VLOOKUP(A3773,Daily!F$3607:G$4751,2,0)</f>
        <v>#N/A</v>
      </c>
      <c r="C3773" s="4"/>
    </row>
    <row r="3774" spans="1:3" x14ac:dyDescent="0.25">
      <c r="A3774" s="4">
        <v>41299</v>
      </c>
      <c r="B3774" t="e">
        <f>VLOOKUP(A3774,Daily!F$3607:G$4751,2,0)</f>
        <v>#N/A</v>
      </c>
      <c r="C3774" s="4"/>
    </row>
    <row r="3775" spans="1:3" x14ac:dyDescent="0.25">
      <c r="A3775" s="4">
        <v>41302</v>
      </c>
      <c r="B3775" t="e">
        <f>VLOOKUP(A3775,Daily!F$3607:G$4751,2,0)</f>
        <v>#N/A</v>
      </c>
      <c r="C3775" s="4"/>
    </row>
    <row r="3776" spans="1:3" x14ac:dyDescent="0.25">
      <c r="A3776" s="4">
        <v>41303</v>
      </c>
      <c r="B3776" t="e">
        <f>VLOOKUP(A3776,Daily!F$3607:G$4751,2,0)</f>
        <v>#N/A</v>
      </c>
      <c r="C3776" s="4"/>
    </row>
    <row r="3777" spans="1:3" x14ac:dyDescent="0.25">
      <c r="A3777" s="4">
        <v>41304</v>
      </c>
      <c r="B3777" t="e">
        <f>VLOOKUP(A3777,Daily!F$3607:G$4751,2,0)</f>
        <v>#N/A</v>
      </c>
      <c r="C3777" s="4"/>
    </row>
    <row r="3778" spans="1:3" x14ac:dyDescent="0.25">
      <c r="A3778" s="4">
        <v>41305</v>
      </c>
      <c r="B3778" t="e">
        <f>VLOOKUP(A3778,Daily!F$3607:G$4751,2,0)</f>
        <v>#N/A</v>
      </c>
      <c r="C3778" s="4"/>
    </row>
    <row r="3779" spans="1:3" x14ac:dyDescent="0.25">
      <c r="A3779" s="4">
        <v>41306</v>
      </c>
      <c r="B3779" t="e">
        <f>VLOOKUP(A3779,Daily!F$3607:G$4751,2,0)</f>
        <v>#N/A</v>
      </c>
      <c r="C3779" s="4"/>
    </row>
    <row r="3780" spans="1:3" x14ac:dyDescent="0.25">
      <c r="A3780" s="4">
        <v>41309</v>
      </c>
      <c r="B3780" t="e">
        <f>VLOOKUP(A3780,Daily!F$3607:G$4751,2,0)</f>
        <v>#N/A</v>
      </c>
      <c r="C3780" s="4"/>
    </row>
    <row r="3781" spans="1:3" x14ac:dyDescent="0.25">
      <c r="A3781" s="4">
        <v>41310</v>
      </c>
      <c r="B3781" t="e">
        <f>VLOOKUP(A3781,Daily!F$3607:G$4751,2,0)</f>
        <v>#N/A</v>
      </c>
      <c r="C3781" s="4"/>
    </row>
    <row r="3782" spans="1:3" x14ac:dyDescent="0.25">
      <c r="A3782" s="4">
        <v>41311</v>
      </c>
      <c r="B3782" t="e">
        <f>VLOOKUP(A3782,Daily!F$3607:G$4751,2,0)</f>
        <v>#N/A</v>
      </c>
      <c r="C3782" s="4"/>
    </row>
    <row r="3783" spans="1:3" x14ac:dyDescent="0.25">
      <c r="A3783" s="4">
        <v>41312</v>
      </c>
      <c r="B3783" t="e">
        <f>VLOOKUP(A3783,Daily!F$3607:G$4751,2,0)</f>
        <v>#N/A</v>
      </c>
      <c r="C3783" s="4"/>
    </row>
    <row r="3784" spans="1:3" x14ac:dyDescent="0.25">
      <c r="A3784" s="4">
        <v>41313</v>
      </c>
      <c r="B3784" t="e">
        <f>VLOOKUP(A3784,Daily!F$3607:G$4751,2,0)</f>
        <v>#N/A</v>
      </c>
      <c r="C3784" s="4"/>
    </row>
    <row r="3785" spans="1:3" x14ac:dyDescent="0.25">
      <c r="A3785" s="4">
        <v>41316</v>
      </c>
      <c r="B3785">
        <v>637.5</v>
      </c>
      <c r="C3785" s="4"/>
    </row>
    <row r="3786" spans="1:3" x14ac:dyDescent="0.25">
      <c r="A3786" s="4">
        <v>41317</v>
      </c>
      <c r="B3786">
        <v>645.5</v>
      </c>
      <c r="C3786" s="4"/>
    </row>
    <row r="3787" spans="1:3" x14ac:dyDescent="0.25">
      <c r="A3787" s="4">
        <v>41318</v>
      </c>
      <c r="B3787">
        <v>641</v>
      </c>
      <c r="C3787" s="4"/>
    </row>
    <row r="3788" spans="1:3" x14ac:dyDescent="0.25">
      <c r="A3788" s="4">
        <v>41319</v>
      </c>
      <c r="B3788">
        <v>642.5</v>
      </c>
      <c r="C3788" s="4"/>
    </row>
    <row r="3789" spans="1:3" x14ac:dyDescent="0.25">
      <c r="A3789" s="4">
        <v>41320</v>
      </c>
      <c r="B3789">
        <v>643.5</v>
      </c>
      <c r="C3789" s="4"/>
    </row>
    <row r="3790" spans="1:3" x14ac:dyDescent="0.25">
      <c r="A3790" s="4">
        <v>41323</v>
      </c>
      <c r="B3790">
        <v>638.5</v>
      </c>
      <c r="C3790" s="4"/>
    </row>
    <row r="3791" spans="1:3" x14ac:dyDescent="0.25">
      <c r="A3791" s="4">
        <v>41324</v>
      </c>
      <c r="B3791">
        <v>635.5</v>
      </c>
      <c r="C3791" s="4"/>
    </row>
    <row r="3792" spans="1:3" x14ac:dyDescent="0.25">
      <c r="A3792" s="4">
        <v>41325</v>
      </c>
      <c r="B3792">
        <v>634.5</v>
      </c>
      <c r="C3792" s="4"/>
    </row>
    <row r="3793" spans="1:3" x14ac:dyDescent="0.25">
      <c r="A3793" s="4">
        <v>41326</v>
      </c>
      <c r="B3793">
        <v>633.5</v>
      </c>
      <c r="C3793" s="4"/>
    </row>
    <row r="3794" spans="1:3" x14ac:dyDescent="0.25">
      <c r="A3794" s="4">
        <v>41327</v>
      </c>
      <c r="B3794">
        <v>623.5</v>
      </c>
      <c r="C3794" s="4"/>
    </row>
    <row r="3795" spans="1:3" x14ac:dyDescent="0.25">
      <c r="A3795" s="4">
        <v>41330</v>
      </c>
      <c r="B3795">
        <v>616</v>
      </c>
      <c r="C3795" s="4"/>
    </row>
    <row r="3796" spans="1:3" x14ac:dyDescent="0.25">
      <c r="A3796" s="4">
        <v>41331</v>
      </c>
      <c r="B3796">
        <v>619.5</v>
      </c>
      <c r="C3796" s="4"/>
    </row>
    <row r="3797" spans="1:3" x14ac:dyDescent="0.25">
      <c r="A3797" s="4">
        <v>41332</v>
      </c>
      <c r="B3797">
        <v>614.5</v>
      </c>
      <c r="C3797" s="4"/>
    </row>
    <row r="3798" spans="1:3" x14ac:dyDescent="0.25">
      <c r="A3798" s="4">
        <v>41333</v>
      </c>
      <c r="B3798">
        <v>613.5</v>
      </c>
      <c r="C3798" s="4"/>
    </row>
    <row r="3799" spans="1:3" x14ac:dyDescent="0.25">
      <c r="A3799" s="4">
        <v>41334</v>
      </c>
      <c r="B3799">
        <v>616</v>
      </c>
      <c r="C3799" s="4"/>
    </row>
    <row r="3800" spans="1:3" x14ac:dyDescent="0.25">
      <c r="A3800" s="4">
        <v>41337</v>
      </c>
      <c r="B3800">
        <v>603</v>
      </c>
      <c r="C3800" s="4"/>
    </row>
    <row r="3801" spans="1:3" x14ac:dyDescent="0.25">
      <c r="A3801" s="4">
        <v>41338</v>
      </c>
      <c r="B3801">
        <v>599.5</v>
      </c>
      <c r="C3801" s="4"/>
    </row>
    <row r="3802" spans="1:3" x14ac:dyDescent="0.25">
      <c r="A3802" s="4">
        <v>41339</v>
      </c>
      <c r="B3802">
        <v>599</v>
      </c>
      <c r="C3802" s="4"/>
    </row>
    <row r="3803" spans="1:3" x14ac:dyDescent="0.25">
      <c r="A3803" s="4">
        <v>41340</v>
      </c>
      <c r="B3803">
        <v>603</v>
      </c>
      <c r="C3803" s="4"/>
    </row>
    <row r="3804" spans="1:3" x14ac:dyDescent="0.25">
      <c r="A3804" s="4">
        <v>41341</v>
      </c>
      <c r="B3804">
        <v>604.5</v>
      </c>
      <c r="C3804" s="4"/>
    </row>
    <row r="3805" spans="1:3" x14ac:dyDescent="0.25">
      <c r="A3805" s="4">
        <v>41344</v>
      </c>
      <c r="B3805">
        <v>605.5</v>
      </c>
      <c r="C3805" s="4"/>
    </row>
    <row r="3806" spans="1:3" x14ac:dyDescent="0.25">
      <c r="A3806" s="4">
        <v>41345</v>
      </c>
      <c r="B3806">
        <v>605</v>
      </c>
      <c r="C3806" s="4"/>
    </row>
    <row r="3807" spans="1:3" x14ac:dyDescent="0.25">
      <c r="A3807" s="4">
        <v>41346</v>
      </c>
      <c r="B3807">
        <v>604</v>
      </c>
      <c r="C3807" s="4"/>
    </row>
    <row r="3808" spans="1:3" x14ac:dyDescent="0.25">
      <c r="A3808" s="4">
        <v>41347</v>
      </c>
      <c r="B3808">
        <v>603</v>
      </c>
      <c r="C3808" s="4"/>
    </row>
    <row r="3809" spans="1:3" x14ac:dyDescent="0.25">
      <c r="A3809" s="4">
        <v>41348</v>
      </c>
      <c r="B3809">
        <v>599.5</v>
      </c>
      <c r="C3809" s="4"/>
    </row>
    <row r="3810" spans="1:3" x14ac:dyDescent="0.25">
      <c r="A3810" s="4">
        <v>41351</v>
      </c>
      <c r="B3810">
        <v>601.5</v>
      </c>
      <c r="C3810" s="4"/>
    </row>
    <row r="3811" spans="1:3" x14ac:dyDescent="0.25">
      <c r="A3811" s="4">
        <v>41352</v>
      </c>
      <c r="B3811">
        <v>602</v>
      </c>
      <c r="C3811" s="4"/>
    </row>
    <row r="3812" spans="1:3" x14ac:dyDescent="0.25">
      <c r="A3812" s="4">
        <v>41353</v>
      </c>
      <c r="B3812">
        <v>604</v>
      </c>
      <c r="C3812" s="4"/>
    </row>
    <row r="3813" spans="1:3" x14ac:dyDescent="0.25">
      <c r="A3813" s="4">
        <v>41354</v>
      </c>
      <c r="B3813">
        <v>602</v>
      </c>
      <c r="C3813" s="4"/>
    </row>
    <row r="3814" spans="1:3" x14ac:dyDescent="0.25">
      <c r="A3814" s="4">
        <v>41355</v>
      </c>
      <c r="B3814">
        <v>599.5</v>
      </c>
      <c r="C3814" s="4"/>
    </row>
    <row r="3815" spans="1:3" x14ac:dyDescent="0.25">
      <c r="A3815" s="4">
        <v>41358</v>
      </c>
      <c r="B3815">
        <v>596.5</v>
      </c>
      <c r="C3815" s="4"/>
    </row>
    <row r="3816" spans="1:3" x14ac:dyDescent="0.25">
      <c r="A3816" s="4">
        <v>41359</v>
      </c>
      <c r="B3816">
        <v>598.5</v>
      </c>
      <c r="C3816" s="4"/>
    </row>
    <row r="3817" spans="1:3" x14ac:dyDescent="0.25">
      <c r="A3817" s="4">
        <v>41360</v>
      </c>
      <c r="B3817">
        <v>599</v>
      </c>
      <c r="C3817" s="4"/>
    </row>
    <row r="3818" spans="1:3" x14ac:dyDescent="0.25">
      <c r="A3818" s="4">
        <v>41361</v>
      </c>
      <c r="B3818">
        <v>605</v>
      </c>
      <c r="C3818" s="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4810-3279-4BE0-A096-304C27BB0136}">
  <dimension ref="A1:Q10025"/>
  <sheetViews>
    <sheetView workbookViewId="0">
      <selection activeCell="G3" sqref="G3"/>
    </sheetView>
  </sheetViews>
  <sheetFormatPr defaultRowHeight="15" x14ac:dyDescent="0.25"/>
  <cols>
    <col min="1" max="2" width="9.140625" style="5"/>
    <col min="4" max="4" width="10.140625" bestFit="1" customWidth="1"/>
    <col min="7" max="7" width="10.140625" bestFit="1" customWidth="1"/>
    <col min="8" max="8" width="15.140625" customWidth="1"/>
  </cols>
  <sheetData>
    <row r="1" spans="1:17" x14ac:dyDescent="0.25">
      <c r="A1" s="12" t="s">
        <v>0</v>
      </c>
      <c r="B1" s="5" t="s">
        <v>1</v>
      </c>
      <c r="E1" t="s">
        <v>4</v>
      </c>
      <c r="G1" t="s">
        <v>7</v>
      </c>
      <c r="H1" s="5" t="s">
        <v>8</v>
      </c>
      <c r="I1" t="s">
        <v>6</v>
      </c>
      <c r="J1" t="s">
        <v>5</v>
      </c>
      <c r="M1" t="s">
        <v>9</v>
      </c>
      <c r="O1" s="3" t="s">
        <v>10</v>
      </c>
      <c r="P1" s="3"/>
      <c r="Q1" s="3"/>
    </row>
    <row r="2" spans="1:17" x14ac:dyDescent="0.25">
      <c r="A2" s="7">
        <v>32874</v>
      </c>
      <c r="B2" s="8">
        <v>92.875</v>
      </c>
      <c r="D2" s="4">
        <v>31917</v>
      </c>
      <c r="E2" s="6">
        <v>18.63</v>
      </c>
      <c r="G2" s="4">
        <f>D4</f>
        <v>31919</v>
      </c>
      <c r="H2">
        <f>_xlfn.XLOOKUP(G2,D:D,E:E)</f>
        <v>18.55</v>
      </c>
      <c r="I2">
        <f>MONTH(G2)</f>
        <v>5</v>
      </c>
      <c r="J2">
        <f>YEAR(G2)</f>
        <v>1987</v>
      </c>
      <c r="K2" cm="1">
        <f t="array" ref="K2:M464">_xlfn.GROUPBY(I2:J2006,H2:H2006,_xleta.AVERAGE)</f>
        <v>1</v>
      </c>
      <c r="L2">
        <v>1988</v>
      </c>
      <c r="M2">
        <v>13.302000000000001</v>
      </c>
      <c r="O2" s="3">
        <v>5</v>
      </c>
      <c r="P2" s="3">
        <v>1987</v>
      </c>
      <c r="Q2" s="3">
        <v>18.564999999999998</v>
      </c>
    </row>
    <row r="3" spans="1:17" x14ac:dyDescent="0.25">
      <c r="A3" s="9">
        <v>32905</v>
      </c>
      <c r="B3" s="8">
        <v>89.5</v>
      </c>
      <c r="D3" s="4">
        <v>31918</v>
      </c>
      <c r="E3" s="6">
        <v>18.45</v>
      </c>
      <c r="G3" s="4">
        <f>G2+7</f>
        <v>31926</v>
      </c>
      <c r="H3" s="5">
        <f t="shared" ref="H3:H66" si="0">_xlfn.XLOOKUP(G3,D:D,E:E)</f>
        <v>18.579999999999998</v>
      </c>
      <c r="I3" s="5">
        <f t="shared" ref="I3:I66" si="1">MONTH(G3)</f>
        <v>5</v>
      </c>
      <c r="J3" s="5">
        <f t="shared" ref="J3:J66" si="2">YEAR(G3)</f>
        <v>1987</v>
      </c>
      <c r="K3">
        <v>1</v>
      </c>
      <c r="L3">
        <v>1989</v>
      </c>
      <c r="M3">
        <v>17.395</v>
      </c>
      <c r="O3" s="3">
        <v>6</v>
      </c>
      <c r="P3" s="3">
        <v>1987</v>
      </c>
      <c r="Q3" s="3">
        <v>18.89</v>
      </c>
    </row>
    <row r="4" spans="1:17" x14ac:dyDescent="0.25">
      <c r="A4" s="9">
        <v>32933</v>
      </c>
      <c r="B4" s="8">
        <v>84.3</v>
      </c>
      <c r="D4" s="4">
        <v>31919</v>
      </c>
      <c r="E4" s="6">
        <v>18.55</v>
      </c>
      <c r="G4" s="4">
        <f t="shared" ref="G4:G67" si="3">G3+7</f>
        <v>31933</v>
      </c>
      <c r="H4" s="5">
        <f t="shared" si="0"/>
        <v>18.649999999999999</v>
      </c>
      <c r="I4" s="5">
        <f t="shared" si="1"/>
        <v>6</v>
      </c>
      <c r="J4" s="5">
        <f t="shared" si="2"/>
        <v>1987</v>
      </c>
      <c r="K4">
        <v>1</v>
      </c>
      <c r="L4">
        <v>1990</v>
      </c>
      <c r="M4">
        <v>21.792499999999997</v>
      </c>
      <c r="O4" s="3">
        <v>7</v>
      </c>
      <c r="P4" s="3">
        <v>1987</v>
      </c>
      <c r="Q4" s="3">
        <v>19.86</v>
      </c>
    </row>
    <row r="5" spans="1:17" x14ac:dyDescent="0.25">
      <c r="A5" s="9">
        <v>32964</v>
      </c>
      <c r="B5" s="8">
        <v>78.25</v>
      </c>
      <c r="D5" s="4">
        <v>31922</v>
      </c>
      <c r="E5" s="6">
        <v>18.600000000000001</v>
      </c>
      <c r="G5" s="4">
        <f t="shared" si="3"/>
        <v>31940</v>
      </c>
      <c r="H5" s="5">
        <f t="shared" si="0"/>
        <v>18.78</v>
      </c>
      <c r="I5" s="5">
        <f t="shared" si="1"/>
        <v>6</v>
      </c>
      <c r="J5" s="5">
        <f t="shared" si="2"/>
        <v>1987</v>
      </c>
      <c r="K5">
        <v>1</v>
      </c>
      <c r="L5">
        <v>1991</v>
      </c>
      <c r="M5">
        <v>22.507499999999997</v>
      </c>
      <c r="O5" s="3">
        <v>8</v>
      </c>
      <c r="P5" s="3">
        <v>1987</v>
      </c>
      <c r="Q5" s="3">
        <v>18.8</v>
      </c>
    </row>
    <row r="6" spans="1:17" x14ac:dyDescent="0.25">
      <c r="A6" s="9">
        <v>32994</v>
      </c>
      <c r="B6" s="8">
        <v>75.375</v>
      </c>
      <c r="D6" s="4">
        <v>31923</v>
      </c>
      <c r="E6" s="6">
        <v>18.63</v>
      </c>
      <c r="G6" s="4">
        <f t="shared" si="3"/>
        <v>31947</v>
      </c>
      <c r="H6" s="5">
        <f t="shared" si="0"/>
        <v>19.05</v>
      </c>
      <c r="I6" s="5">
        <f t="shared" si="1"/>
        <v>6</v>
      </c>
      <c r="J6" s="5">
        <f t="shared" si="2"/>
        <v>1987</v>
      </c>
      <c r="K6">
        <v>1</v>
      </c>
      <c r="L6">
        <v>1992</v>
      </c>
      <c r="M6">
        <v>18.137999999999998</v>
      </c>
      <c r="O6" s="3">
        <v>9</v>
      </c>
      <c r="P6" s="3">
        <v>1987</v>
      </c>
      <c r="Q6" s="3">
        <v>18.302500000000002</v>
      </c>
    </row>
    <row r="7" spans="1:17" x14ac:dyDescent="0.25">
      <c r="A7" s="9">
        <v>33025</v>
      </c>
      <c r="B7" s="8">
        <v>60.2</v>
      </c>
      <c r="D7" s="4">
        <v>31924</v>
      </c>
      <c r="E7" s="6">
        <v>18.600000000000001</v>
      </c>
      <c r="G7" s="4">
        <f t="shared" si="3"/>
        <v>31954</v>
      </c>
      <c r="H7" s="5">
        <f t="shared" si="0"/>
        <v>19.079999999999998</v>
      </c>
      <c r="I7" s="5">
        <f t="shared" si="1"/>
        <v>6</v>
      </c>
      <c r="J7" s="5">
        <f t="shared" si="2"/>
        <v>1987</v>
      </c>
      <c r="K7">
        <v>1</v>
      </c>
      <c r="L7">
        <v>1993</v>
      </c>
      <c r="M7">
        <v>14.014000000000001</v>
      </c>
      <c r="O7" s="3">
        <v>10</v>
      </c>
      <c r="P7" s="3">
        <v>1987</v>
      </c>
      <c r="Q7" s="3">
        <v>18.806000000000001</v>
      </c>
    </row>
    <row r="8" spans="1:17" x14ac:dyDescent="0.25">
      <c r="A8" s="9">
        <v>33055</v>
      </c>
      <c r="B8" s="8">
        <v>70.75</v>
      </c>
      <c r="D8" s="4">
        <v>31925</v>
      </c>
      <c r="E8" s="6">
        <v>18.600000000000001</v>
      </c>
      <c r="G8" s="4">
        <f t="shared" si="3"/>
        <v>31961</v>
      </c>
      <c r="H8" s="5">
        <f t="shared" si="0"/>
        <v>19.329999999999998</v>
      </c>
      <c r="I8" s="5">
        <f t="shared" si="1"/>
        <v>7</v>
      </c>
      <c r="J8" s="5">
        <f t="shared" si="2"/>
        <v>1987</v>
      </c>
      <c r="K8">
        <v>1</v>
      </c>
      <c r="L8">
        <v>1994</v>
      </c>
      <c r="M8">
        <v>14.4025</v>
      </c>
      <c r="O8" s="3">
        <v>11</v>
      </c>
      <c r="P8" s="3">
        <v>1987</v>
      </c>
      <c r="Q8" s="3">
        <v>17.782499999999999</v>
      </c>
    </row>
    <row r="9" spans="1:17" x14ac:dyDescent="0.25">
      <c r="A9" s="9">
        <v>33086</v>
      </c>
      <c r="B9" s="8">
        <v>113.6</v>
      </c>
      <c r="D9" s="4">
        <v>31926</v>
      </c>
      <c r="E9" s="6">
        <v>18.579999999999998</v>
      </c>
      <c r="G9" s="4">
        <f t="shared" si="3"/>
        <v>31968</v>
      </c>
      <c r="H9" s="5">
        <f t="shared" si="0"/>
        <v>19.73</v>
      </c>
      <c r="I9" s="5">
        <f t="shared" si="1"/>
        <v>7</v>
      </c>
      <c r="J9" s="5">
        <f t="shared" si="2"/>
        <v>1987</v>
      </c>
      <c r="K9">
        <v>1</v>
      </c>
      <c r="L9">
        <v>1995</v>
      </c>
      <c r="M9">
        <v>16.54</v>
      </c>
      <c r="O9" s="3">
        <v>12</v>
      </c>
      <c r="P9" s="3">
        <v>1987</v>
      </c>
      <c r="Q9" s="3">
        <v>12.832500000000001</v>
      </c>
    </row>
    <row r="10" spans="1:17" x14ac:dyDescent="0.25">
      <c r="A10" s="9">
        <v>33117</v>
      </c>
      <c r="B10" s="8">
        <v>133.625</v>
      </c>
      <c r="D10" s="4">
        <v>31929</v>
      </c>
      <c r="E10" s="6">
        <v>18.649999999999999</v>
      </c>
      <c r="G10" s="4">
        <f t="shared" si="3"/>
        <v>31975</v>
      </c>
      <c r="H10" s="5">
        <f t="shared" si="0"/>
        <v>20.63</v>
      </c>
      <c r="I10" s="5">
        <f t="shared" si="1"/>
        <v>7</v>
      </c>
      <c r="J10" s="5">
        <f t="shared" si="2"/>
        <v>1987</v>
      </c>
      <c r="K10">
        <v>1</v>
      </c>
      <c r="L10">
        <v>1996</v>
      </c>
      <c r="M10">
        <v>17.827500000000001</v>
      </c>
      <c r="O10" s="3">
        <v>1</v>
      </c>
      <c r="P10" s="3">
        <v>1988</v>
      </c>
      <c r="Q10" s="3">
        <v>13.302000000000001</v>
      </c>
    </row>
    <row r="11" spans="1:17" x14ac:dyDescent="0.25">
      <c r="A11" s="9">
        <v>33147</v>
      </c>
      <c r="B11" s="8">
        <v>142.625</v>
      </c>
      <c r="D11" s="4">
        <v>31930</v>
      </c>
      <c r="E11" s="6">
        <v>18.68</v>
      </c>
      <c r="G11" s="4">
        <f t="shared" si="3"/>
        <v>31982</v>
      </c>
      <c r="H11" s="5">
        <f t="shared" si="0"/>
        <v>19.579999999999998</v>
      </c>
      <c r="I11" s="5">
        <f t="shared" si="1"/>
        <v>7</v>
      </c>
      <c r="J11" s="5">
        <f t="shared" si="2"/>
        <v>1987</v>
      </c>
      <c r="K11">
        <v>1</v>
      </c>
      <c r="L11">
        <v>1997</v>
      </c>
      <c r="M11">
        <v>23.472000000000001</v>
      </c>
      <c r="O11" s="3">
        <v>2</v>
      </c>
      <c r="P11" s="3">
        <v>1988</v>
      </c>
      <c r="Q11" s="3">
        <v>15.512500000000001</v>
      </c>
    </row>
    <row r="12" spans="1:17" x14ac:dyDescent="0.25">
      <c r="A12" s="9">
        <v>33178</v>
      </c>
      <c r="B12" s="8">
        <v>138.69999999999999</v>
      </c>
      <c r="D12" s="4">
        <v>31931</v>
      </c>
      <c r="E12" s="6">
        <v>18.75</v>
      </c>
      <c r="G12" s="4">
        <f t="shared" si="3"/>
        <v>31989</v>
      </c>
      <c r="H12" s="5">
        <f t="shared" si="0"/>
        <v>20.03</v>
      </c>
      <c r="I12" s="5">
        <f t="shared" si="1"/>
        <v>7</v>
      </c>
      <c r="J12" s="5">
        <f t="shared" si="2"/>
        <v>1987</v>
      </c>
      <c r="K12">
        <v>1</v>
      </c>
      <c r="L12">
        <v>1998</v>
      </c>
      <c r="M12">
        <v>15.168000000000001</v>
      </c>
      <c r="O12" s="3">
        <v>3</v>
      </c>
      <c r="P12" s="3">
        <v>1988</v>
      </c>
      <c r="Q12" s="3">
        <v>14.815000000000001</v>
      </c>
    </row>
    <row r="13" spans="1:17" x14ac:dyDescent="0.25">
      <c r="A13" s="9">
        <v>33208</v>
      </c>
      <c r="B13" s="8">
        <v>143.625</v>
      </c>
      <c r="D13" s="4">
        <v>31932</v>
      </c>
      <c r="E13" s="6">
        <v>18.78</v>
      </c>
      <c r="G13" s="4">
        <f t="shared" si="3"/>
        <v>31996</v>
      </c>
      <c r="H13" s="5">
        <f t="shared" si="0"/>
        <v>19.649999999999999</v>
      </c>
      <c r="I13" s="5">
        <f t="shared" si="1"/>
        <v>8</v>
      </c>
      <c r="J13" s="5">
        <f t="shared" si="2"/>
        <v>1987</v>
      </c>
      <c r="K13">
        <v>1</v>
      </c>
      <c r="L13">
        <v>1999</v>
      </c>
      <c r="M13">
        <v>9.0480000000000018</v>
      </c>
      <c r="O13" s="3">
        <v>4</v>
      </c>
      <c r="P13" s="3">
        <v>1988</v>
      </c>
      <c r="Q13" s="3">
        <v>13.23</v>
      </c>
    </row>
    <row r="14" spans="1:17" x14ac:dyDescent="0.25">
      <c r="A14" s="9">
        <v>33239</v>
      </c>
      <c r="B14" s="8">
        <v>142.375</v>
      </c>
      <c r="D14" s="4">
        <v>31933</v>
      </c>
      <c r="E14" s="6">
        <v>18.649999999999999</v>
      </c>
      <c r="G14" s="4">
        <f t="shared" si="3"/>
        <v>32003</v>
      </c>
      <c r="H14" s="5">
        <f t="shared" si="0"/>
        <v>19.25</v>
      </c>
      <c r="I14" s="5">
        <f t="shared" si="1"/>
        <v>8</v>
      </c>
      <c r="J14" s="5">
        <f t="shared" si="2"/>
        <v>1987</v>
      </c>
      <c r="K14">
        <v>1</v>
      </c>
      <c r="L14">
        <v>2000</v>
      </c>
      <c r="M14">
        <v>25.655000000000001</v>
      </c>
      <c r="O14" s="3">
        <v>5</v>
      </c>
      <c r="P14" s="3">
        <v>1988</v>
      </c>
      <c r="Q14" s="3">
        <v>16.412500000000001</v>
      </c>
    </row>
    <row r="15" spans="1:17" x14ac:dyDescent="0.25">
      <c r="A15" s="9">
        <v>33270</v>
      </c>
      <c r="B15" s="8">
        <v>75.125</v>
      </c>
      <c r="D15" s="4">
        <v>31936</v>
      </c>
      <c r="E15" s="6">
        <v>18.75</v>
      </c>
      <c r="G15" s="4">
        <f t="shared" si="3"/>
        <v>32010</v>
      </c>
      <c r="H15" s="5">
        <f t="shared" si="0"/>
        <v>18.100000000000001</v>
      </c>
      <c r="I15" s="5">
        <f t="shared" si="1"/>
        <v>8</v>
      </c>
      <c r="J15" s="5">
        <f t="shared" si="2"/>
        <v>1987</v>
      </c>
      <c r="K15">
        <v>1</v>
      </c>
      <c r="L15">
        <v>2001</v>
      </c>
      <c r="M15">
        <v>25.932499999999997</v>
      </c>
      <c r="O15" s="3">
        <v>6</v>
      </c>
      <c r="P15" s="3">
        <v>1988</v>
      </c>
      <c r="Q15" s="3">
        <v>15.7325</v>
      </c>
    </row>
    <row r="16" spans="1:17" x14ac:dyDescent="0.25">
      <c r="A16" s="9">
        <v>33298</v>
      </c>
      <c r="B16" s="8">
        <v>70.400000000000006</v>
      </c>
      <c r="D16" s="4">
        <v>31937</v>
      </c>
      <c r="E16" s="6">
        <v>18.78</v>
      </c>
      <c r="G16" s="4">
        <f t="shared" si="3"/>
        <v>32017</v>
      </c>
      <c r="H16" s="5">
        <f t="shared" si="0"/>
        <v>18.2</v>
      </c>
      <c r="I16" s="5">
        <f t="shared" si="1"/>
        <v>8</v>
      </c>
      <c r="J16" s="5">
        <f t="shared" si="2"/>
        <v>1987</v>
      </c>
      <c r="K16">
        <v>1</v>
      </c>
      <c r="L16">
        <v>2002</v>
      </c>
      <c r="M16">
        <v>19.622500000000002</v>
      </c>
      <c r="O16" s="3">
        <v>7</v>
      </c>
      <c r="P16" s="3">
        <v>1988</v>
      </c>
      <c r="Q16" s="3">
        <v>14.965999999999999</v>
      </c>
    </row>
    <row r="17" spans="1:17" x14ac:dyDescent="0.25">
      <c r="A17" s="9">
        <v>33329</v>
      </c>
      <c r="B17" s="8">
        <v>71.125</v>
      </c>
      <c r="D17" s="4">
        <v>31938</v>
      </c>
      <c r="E17" s="6">
        <v>18.78</v>
      </c>
      <c r="G17" s="4">
        <f t="shared" si="3"/>
        <v>32024</v>
      </c>
      <c r="H17" s="5">
        <f t="shared" si="0"/>
        <v>18.13</v>
      </c>
      <c r="I17" s="5">
        <f t="shared" si="1"/>
        <v>9</v>
      </c>
      <c r="J17" s="5">
        <f t="shared" si="2"/>
        <v>1987</v>
      </c>
      <c r="K17">
        <v>1</v>
      </c>
      <c r="L17">
        <v>2003</v>
      </c>
      <c r="M17">
        <v>31.251999999999999</v>
      </c>
      <c r="O17" s="3">
        <v>8</v>
      </c>
      <c r="P17" s="3">
        <v>1988</v>
      </c>
      <c r="Q17" s="3">
        <v>14.795</v>
      </c>
    </row>
    <row r="18" spans="1:17" x14ac:dyDescent="0.25">
      <c r="A18" s="9">
        <v>33359</v>
      </c>
      <c r="B18" s="8">
        <v>71.45</v>
      </c>
      <c r="D18" s="4">
        <v>31939</v>
      </c>
      <c r="E18" s="6">
        <v>18.68</v>
      </c>
      <c r="G18" s="4">
        <f t="shared" si="3"/>
        <v>32031</v>
      </c>
      <c r="H18" s="5">
        <f t="shared" si="0"/>
        <v>18.18</v>
      </c>
      <c r="I18" s="5">
        <f t="shared" si="1"/>
        <v>9</v>
      </c>
      <c r="J18" s="5">
        <f t="shared" si="2"/>
        <v>1987</v>
      </c>
      <c r="K18">
        <v>1</v>
      </c>
      <c r="L18">
        <v>2004</v>
      </c>
      <c r="M18">
        <v>30.865999999999996</v>
      </c>
      <c r="O18" s="3">
        <v>9</v>
      </c>
      <c r="P18" s="3">
        <v>1988</v>
      </c>
      <c r="Q18" s="3">
        <v>13.122000000000003</v>
      </c>
    </row>
    <row r="19" spans="1:17" x14ac:dyDescent="0.25">
      <c r="A19" s="9">
        <v>33390</v>
      </c>
      <c r="B19" s="8">
        <v>91.875</v>
      </c>
      <c r="D19" s="4">
        <v>31940</v>
      </c>
      <c r="E19" s="6">
        <v>18.78</v>
      </c>
      <c r="G19" s="4">
        <f t="shared" si="3"/>
        <v>32038</v>
      </c>
      <c r="H19" s="5">
        <f t="shared" si="0"/>
        <v>18.3</v>
      </c>
      <c r="I19" s="5">
        <f t="shared" si="1"/>
        <v>9</v>
      </c>
      <c r="J19" s="5">
        <f t="shared" si="2"/>
        <v>1987</v>
      </c>
      <c r="K19">
        <v>1</v>
      </c>
      <c r="L19">
        <v>2005</v>
      </c>
      <c r="M19">
        <v>44.792499999999997</v>
      </c>
      <c r="O19" s="3">
        <v>10</v>
      </c>
      <c r="P19" s="3">
        <v>1988</v>
      </c>
      <c r="Q19" s="3">
        <v>12.657500000000001</v>
      </c>
    </row>
    <row r="20" spans="1:17" x14ac:dyDescent="0.25">
      <c r="A20" s="9">
        <v>33420</v>
      </c>
      <c r="B20" s="8">
        <v>71.625</v>
      </c>
      <c r="D20" s="4">
        <v>31943</v>
      </c>
      <c r="E20" s="5"/>
      <c r="G20" s="4">
        <f t="shared" si="3"/>
        <v>32045</v>
      </c>
      <c r="H20" s="5">
        <f t="shared" si="0"/>
        <v>18.600000000000001</v>
      </c>
      <c r="I20" s="5">
        <f t="shared" si="1"/>
        <v>9</v>
      </c>
      <c r="J20" s="5">
        <f t="shared" si="2"/>
        <v>1987</v>
      </c>
      <c r="K20">
        <v>1</v>
      </c>
      <c r="L20">
        <v>2006</v>
      </c>
      <c r="M20">
        <v>63.47</v>
      </c>
      <c r="O20" s="3">
        <v>11</v>
      </c>
      <c r="P20" s="3">
        <v>1988</v>
      </c>
      <c r="Q20" s="3">
        <v>13.14</v>
      </c>
    </row>
    <row r="21" spans="1:17" x14ac:dyDescent="0.25">
      <c r="A21" s="9">
        <v>33451</v>
      </c>
      <c r="B21" s="8">
        <v>69.400000000000006</v>
      </c>
      <c r="D21" s="4">
        <v>31944</v>
      </c>
      <c r="E21" s="6">
        <v>18.899999999999999</v>
      </c>
      <c r="G21" s="4">
        <f t="shared" si="3"/>
        <v>32052</v>
      </c>
      <c r="H21" s="5">
        <f t="shared" si="0"/>
        <v>18.649999999999999</v>
      </c>
      <c r="I21" s="5">
        <f t="shared" si="1"/>
        <v>10</v>
      </c>
      <c r="J21" s="5">
        <f t="shared" si="2"/>
        <v>1987</v>
      </c>
      <c r="K21">
        <v>1</v>
      </c>
      <c r="L21">
        <v>2007</v>
      </c>
      <c r="M21">
        <v>52.587499999999999</v>
      </c>
      <c r="O21" s="3">
        <v>12</v>
      </c>
      <c r="P21" s="3">
        <v>1988</v>
      </c>
      <c r="Q21" s="3">
        <v>15.382000000000001</v>
      </c>
    </row>
    <row r="22" spans="1:17" x14ac:dyDescent="0.25">
      <c r="A22" s="9">
        <v>33482</v>
      </c>
      <c r="B22" s="8">
        <v>69.1875</v>
      </c>
      <c r="D22" s="4">
        <v>31945</v>
      </c>
      <c r="E22" s="6">
        <v>19.03</v>
      </c>
      <c r="G22" s="4">
        <f t="shared" si="3"/>
        <v>32059</v>
      </c>
      <c r="H22" s="5">
        <f t="shared" si="0"/>
        <v>18.600000000000001</v>
      </c>
      <c r="I22" s="5">
        <f t="shared" si="1"/>
        <v>10</v>
      </c>
      <c r="J22" s="5">
        <f t="shared" si="2"/>
        <v>1987</v>
      </c>
      <c r="K22">
        <v>1</v>
      </c>
      <c r="L22">
        <v>2008</v>
      </c>
      <c r="M22">
        <v>92.337499999999991</v>
      </c>
      <c r="O22" s="3">
        <v>1</v>
      </c>
      <c r="P22" s="3">
        <v>1989</v>
      </c>
      <c r="Q22" s="3">
        <v>17.395</v>
      </c>
    </row>
    <row r="23" spans="1:17" x14ac:dyDescent="0.25">
      <c r="A23" s="9">
        <v>33512</v>
      </c>
      <c r="B23" s="8">
        <v>80.0625</v>
      </c>
      <c r="D23" s="4">
        <v>31946</v>
      </c>
      <c r="E23" s="6">
        <v>19.05</v>
      </c>
      <c r="G23" s="4">
        <f t="shared" si="3"/>
        <v>32066</v>
      </c>
      <c r="H23" s="5">
        <f t="shared" si="0"/>
        <v>19</v>
      </c>
      <c r="I23" s="5">
        <f t="shared" si="1"/>
        <v>10</v>
      </c>
      <c r="J23" s="5">
        <f t="shared" si="2"/>
        <v>1987</v>
      </c>
      <c r="K23">
        <v>1</v>
      </c>
      <c r="L23">
        <v>2009</v>
      </c>
      <c r="M23">
        <v>43.2</v>
      </c>
      <c r="O23" s="3">
        <v>2</v>
      </c>
      <c r="P23" s="3">
        <v>1989</v>
      </c>
      <c r="Q23" s="3">
        <v>16.837499999999999</v>
      </c>
    </row>
    <row r="24" spans="1:17" x14ac:dyDescent="0.25">
      <c r="A24" s="9">
        <v>33543</v>
      </c>
      <c r="B24" s="8">
        <v>88</v>
      </c>
      <c r="D24" s="4">
        <v>31947</v>
      </c>
      <c r="E24" s="6">
        <v>19.05</v>
      </c>
      <c r="G24" s="4">
        <f t="shared" si="3"/>
        <v>32073</v>
      </c>
      <c r="H24" s="5">
        <f t="shared" si="0"/>
        <v>18.98</v>
      </c>
      <c r="I24" s="5">
        <f t="shared" si="1"/>
        <v>10</v>
      </c>
      <c r="J24" s="5">
        <f t="shared" si="2"/>
        <v>1987</v>
      </c>
      <c r="K24">
        <v>1</v>
      </c>
      <c r="L24">
        <v>2010</v>
      </c>
      <c r="M24">
        <v>60.167999999999992</v>
      </c>
      <c r="O24" s="3">
        <v>3</v>
      </c>
      <c r="P24" s="3">
        <v>1989</v>
      </c>
      <c r="Q24" s="3">
        <v>15.022</v>
      </c>
    </row>
    <row r="25" spans="1:17" x14ac:dyDescent="0.25">
      <c r="A25" s="9">
        <v>33573</v>
      </c>
      <c r="B25" s="8">
        <v>74.25</v>
      </c>
      <c r="D25" s="4">
        <v>31950</v>
      </c>
      <c r="E25" s="6">
        <v>19.100000000000001</v>
      </c>
      <c r="G25" s="4">
        <f t="shared" si="3"/>
        <v>32080</v>
      </c>
      <c r="H25" s="5">
        <f t="shared" si="0"/>
        <v>18.8</v>
      </c>
      <c r="I25" s="5">
        <f t="shared" si="1"/>
        <v>10</v>
      </c>
      <c r="J25" s="5">
        <f t="shared" si="2"/>
        <v>1987</v>
      </c>
      <c r="K25">
        <v>1</v>
      </c>
      <c r="L25">
        <v>2011</v>
      </c>
      <c r="M25">
        <v>96.502500000000012</v>
      </c>
      <c r="O25" s="3">
        <v>4</v>
      </c>
      <c r="P25" s="3">
        <v>1989</v>
      </c>
      <c r="Q25" s="3">
        <v>20.195</v>
      </c>
    </row>
    <row r="26" spans="1:17" x14ac:dyDescent="0.25">
      <c r="A26" s="9">
        <v>33604</v>
      </c>
      <c r="B26" s="8">
        <v>66.3</v>
      </c>
      <c r="D26" s="4">
        <v>31951</v>
      </c>
      <c r="E26" s="6">
        <v>18.899999999999999</v>
      </c>
      <c r="G26" s="4">
        <f t="shared" si="3"/>
        <v>32087</v>
      </c>
      <c r="H26" s="5">
        <f t="shared" si="0"/>
        <v>17.95</v>
      </c>
      <c r="I26" s="5">
        <f t="shared" si="1"/>
        <v>11</v>
      </c>
      <c r="J26" s="5">
        <f t="shared" si="2"/>
        <v>1987</v>
      </c>
      <c r="K26">
        <v>1</v>
      </c>
      <c r="L26">
        <v>2012</v>
      </c>
      <c r="M26">
        <v>110.21</v>
      </c>
      <c r="O26" s="3">
        <v>5</v>
      </c>
      <c r="P26" s="3">
        <v>1989</v>
      </c>
      <c r="Q26" s="3">
        <v>18.637499999999996</v>
      </c>
    </row>
    <row r="27" spans="1:17" x14ac:dyDescent="0.25">
      <c r="A27" s="9">
        <v>33635</v>
      </c>
      <c r="B27" s="8">
        <v>66</v>
      </c>
      <c r="D27" s="4">
        <v>31952</v>
      </c>
      <c r="E27" s="6">
        <v>18.75</v>
      </c>
      <c r="G27" s="4">
        <f t="shared" si="3"/>
        <v>32094</v>
      </c>
      <c r="H27" s="5">
        <f t="shared" si="0"/>
        <v>17.8</v>
      </c>
      <c r="I27" s="5">
        <f t="shared" si="1"/>
        <v>11</v>
      </c>
      <c r="J27" s="5">
        <f t="shared" si="2"/>
        <v>1987</v>
      </c>
      <c r="K27">
        <v>1</v>
      </c>
      <c r="L27">
        <v>2013</v>
      </c>
      <c r="M27">
        <v>112.11749999999999</v>
      </c>
      <c r="O27" s="3">
        <v>6</v>
      </c>
      <c r="P27" s="3">
        <v>1989</v>
      </c>
      <c r="Q27" s="3">
        <v>17.812000000000001</v>
      </c>
    </row>
    <row r="28" spans="1:17" x14ac:dyDescent="0.25">
      <c r="A28" s="9">
        <v>33664</v>
      </c>
      <c r="B28" s="8">
        <v>74.166669999999996</v>
      </c>
      <c r="D28" s="4">
        <v>31953</v>
      </c>
      <c r="E28" s="6">
        <v>18.7</v>
      </c>
      <c r="G28" s="4">
        <f t="shared" si="3"/>
        <v>32101</v>
      </c>
      <c r="H28" s="5">
        <f t="shared" si="0"/>
        <v>17.600000000000001</v>
      </c>
      <c r="I28" s="5">
        <f t="shared" si="1"/>
        <v>11</v>
      </c>
      <c r="J28" s="5">
        <f t="shared" si="2"/>
        <v>1987</v>
      </c>
      <c r="K28">
        <v>1</v>
      </c>
      <c r="L28">
        <v>2014</v>
      </c>
      <c r="M28">
        <v>107.752</v>
      </c>
      <c r="O28" s="3">
        <v>7</v>
      </c>
      <c r="P28" s="3">
        <v>1989</v>
      </c>
      <c r="Q28" s="3">
        <v>17.489999999999998</v>
      </c>
    </row>
    <row r="29" spans="1:17" x14ac:dyDescent="0.25">
      <c r="A29" s="9">
        <v>33695</v>
      </c>
      <c r="B29" s="8">
        <v>75</v>
      </c>
      <c r="D29" s="4">
        <v>31954</v>
      </c>
      <c r="E29" s="6">
        <v>19.079999999999998</v>
      </c>
      <c r="G29" s="4">
        <f t="shared" si="3"/>
        <v>32108</v>
      </c>
      <c r="H29" s="5">
        <f t="shared" si="0"/>
        <v>17.78</v>
      </c>
      <c r="I29" s="5">
        <f t="shared" si="1"/>
        <v>11</v>
      </c>
      <c r="J29" s="5">
        <f t="shared" si="2"/>
        <v>1987</v>
      </c>
      <c r="K29">
        <v>1</v>
      </c>
      <c r="L29">
        <v>2015</v>
      </c>
      <c r="M29">
        <v>48.922000000000004</v>
      </c>
      <c r="O29" s="3">
        <v>8</v>
      </c>
      <c r="P29" s="3">
        <v>1989</v>
      </c>
      <c r="Q29" s="3">
        <v>16.732499999999998</v>
      </c>
    </row>
    <row r="30" spans="1:17" x14ac:dyDescent="0.25">
      <c r="A30" s="9">
        <v>33725</v>
      </c>
      <c r="B30" s="8">
        <v>81.5</v>
      </c>
      <c r="D30" s="4">
        <v>31957</v>
      </c>
      <c r="E30" s="6">
        <v>19.149999999999999</v>
      </c>
      <c r="G30" s="4">
        <f t="shared" si="3"/>
        <v>32115</v>
      </c>
      <c r="H30" s="5">
        <f t="shared" si="0"/>
        <v>18</v>
      </c>
      <c r="I30" s="5">
        <f t="shared" si="1"/>
        <v>12</v>
      </c>
      <c r="J30" s="5">
        <f t="shared" si="2"/>
        <v>1987</v>
      </c>
      <c r="K30">
        <v>1</v>
      </c>
      <c r="L30">
        <v>2016</v>
      </c>
      <c r="M30">
        <v>24.814</v>
      </c>
      <c r="O30" s="3">
        <v>9</v>
      </c>
      <c r="P30" s="3">
        <v>1989</v>
      </c>
      <c r="Q30" s="3">
        <v>17.759999999999998</v>
      </c>
    </row>
    <row r="31" spans="1:17" x14ac:dyDescent="0.25">
      <c r="A31" s="9">
        <v>33756</v>
      </c>
      <c r="B31" s="8">
        <v>91.875</v>
      </c>
      <c r="D31" s="4">
        <v>31958</v>
      </c>
      <c r="E31" s="6">
        <v>19.079999999999998</v>
      </c>
      <c r="G31" s="4">
        <f t="shared" si="3"/>
        <v>32122</v>
      </c>
      <c r="H31" s="5">
        <f t="shared" si="0"/>
        <v>17.73</v>
      </c>
      <c r="I31" s="5">
        <f t="shared" si="1"/>
        <v>12</v>
      </c>
      <c r="J31" s="5">
        <f t="shared" si="2"/>
        <v>1987</v>
      </c>
      <c r="K31">
        <v>1</v>
      </c>
      <c r="L31">
        <v>2017</v>
      </c>
      <c r="M31">
        <v>55.027500000000003</v>
      </c>
      <c r="O31" s="3">
        <v>10</v>
      </c>
      <c r="P31" s="3">
        <v>1989</v>
      </c>
      <c r="Q31" s="3">
        <v>18.987500000000001</v>
      </c>
    </row>
    <row r="32" spans="1:17" x14ac:dyDescent="0.25">
      <c r="A32" s="9">
        <v>33786</v>
      </c>
      <c r="B32" s="8">
        <v>90</v>
      </c>
      <c r="D32" s="4">
        <v>31959</v>
      </c>
      <c r="E32" s="6">
        <v>18.98</v>
      </c>
      <c r="G32" s="4">
        <f t="shared" si="3"/>
        <v>32129</v>
      </c>
      <c r="H32" s="5">
        <f t="shared" si="0"/>
        <v>15.6</v>
      </c>
      <c r="I32" s="5">
        <f t="shared" si="1"/>
        <v>12</v>
      </c>
      <c r="J32" s="5">
        <f t="shared" si="2"/>
        <v>1987</v>
      </c>
      <c r="K32">
        <v>1</v>
      </c>
      <c r="L32">
        <v>2018</v>
      </c>
      <c r="M32">
        <v>69.072500000000005</v>
      </c>
      <c r="O32" s="3">
        <v>11</v>
      </c>
      <c r="P32" s="3">
        <v>1989</v>
      </c>
      <c r="Q32" s="3">
        <v>18.82</v>
      </c>
    </row>
    <row r="33" spans="1:17" x14ac:dyDescent="0.25">
      <c r="A33" s="9">
        <v>33817</v>
      </c>
      <c r="B33" s="8">
        <v>89.875</v>
      </c>
      <c r="D33" s="4">
        <v>31960</v>
      </c>
      <c r="E33" s="6">
        <v>19.25</v>
      </c>
      <c r="G33" s="4">
        <f t="shared" si="3"/>
        <v>32136</v>
      </c>
      <c r="H33" s="5">
        <f t="shared" si="0"/>
        <v>0</v>
      </c>
      <c r="I33" s="5">
        <f t="shared" si="1"/>
        <v>12</v>
      </c>
      <c r="J33" s="5">
        <f t="shared" si="2"/>
        <v>1987</v>
      </c>
      <c r="K33">
        <v>1</v>
      </c>
      <c r="L33">
        <v>2019</v>
      </c>
      <c r="M33">
        <v>59.602499999999999</v>
      </c>
      <c r="O33" s="3">
        <v>12</v>
      </c>
      <c r="P33" s="3">
        <v>1989</v>
      </c>
      <c r="Q33" s="3">
        <v>19.811999999999998</v>
      </c>
    </row>
    <row r="34" spans="1:17" x14ac:dyDescent="0.25">
      <c r="A34" s="9">
        <v>33848</v>
      </c>
      <c r="B34" s="8">
        <v>91.875</v>
      </c>
      <c r="D34" s="4">
        <v>31961</v>
      </c>
      <c r="E34" s="6">
        <v>19.329999999999998</v>
      </c>
      <c r="G34" s="4">
        <f t="shared" si="3"/>
        <v>32143</v>
      </c>
      <c r="H34" s="5">
        <f t="shared" si="0"/>
        <v>0</v>
      </c>
      <c r="I34" s="5">
        <f t="shared" si="1"/>
        <v>1</v>
      </c>
      <c r="J34" s="5">
        <f t="shared" si="2"/>
        <v>1988</v>
      </c>
      <c r="K34">
        <v>1</v>
      </c>
      <c r="L34">
        <v>2020</v>
      </c>
      <c r="M34">
        <v>63.402000000000001</v>
      </c>
      <c r="O34" s="3">
        <v>1</v>
      </c>
      <c r="P34" s="3">
        <v>1990</v>
      </c>
      <c r="Q34" s="3">
        <v>21.792499999999997</v>
      </c>
    </row>
    <row r="35" spans="1:17" x14ac:dyDescent="0.25">
      <c r="A35" s="9">
        <v>33878</v>
      </c>
      <c r="B35" s="8">
        <v>103.1</v>
      </c>
      <c r="D35" s="4">
        <v>31964</v>
      </c>
      <c r="E35" s="6">
        <v>19.48</v>
      </c>
      <c r="G35" s="4">
        <f t="shared" si="3"/>
        <v>32150</v>
      </c>
      <c r="H35" s="5">
        <f t="shared" si="0"/>
        <v>16.88</v>
      </c>
      <c r="I35" s="5">
        <f t="shared" si="1"/>
        <v>1</v>
      </c>
      <c r="J35" s="5">
        <f t="shared" si="2"/>
        <v>1988</v>
      </c>
      <c r="K35">
        <v>1</v>
      </c>
      <c r="L35">
        <v>2021</v>
      </c>
      <c r="M35">
        <v>44.155999999999999</v>
      </c>
      <c r="O35" s="3">
        <v>2</v>
      </c>
      <c r="P35" s="3">
        <v>1990</v>
      </c>
      <c r="Q35" s="3">
        <v>19.785</v>
      </c>
    </row>
    <row r="36" spans="1:17" x14ac:dyDescent="0.25">
      <c r="A36" s="9">
        <v>33909</v>
      </c>
      <c r="B36" s="8">
        <v>93.75</v>
      </c>
      <c r="D36" s="4">
        <v>31965</v>
      </c>
      <c r="E36" s="6">
        <v>19.5</v>
      </c>
      <c r="G36" s="4">
        <f t="shared" si="3"/>
        <v>32157</v>
      </c>
      <c r="H36" s="5">
        <f t="shared" si="0"/>
        <v>16.649999999999999</v>
      </c>
      <c r="I36" s="5">
        <f t="shared" si="1"/>
        <v>1</v>
      </c>
      <c r="J36" s="5">
        <f t="shared" si="2"/>
        <v>1988</v>
      </c>
      <c r="K36">
        <v>1</v>
      </c>
      <c r="L36">
        <v>2022</v>
      </c>
      <c r="M36">
        <v>87.66749999999999</v>
      </c>
      <c r="O36" s="3">
        <v>3</v>
      </c>
      <c r="P36" s="3">
        <v>1990</v>
      </c>
      <c r="Q36" s="3">
        <v>18.417999999999999</v>
      </c>
    </row>
    <row r="37" spans="1:17" x14ac:dyDescent="0.25">
      <c r="A37" s="9">
        <v>33939</v>
      </c>
      <c r="B37" s="8">
        <v>77.625</v>
      </c>
      <c r="D37" s="4">
        <v>31966</v>
      </c>
      <c r="E37" s="6">
        <v>19.48</v>
      </c>
      <c r="G37" s="4">
        <f t="shared" si="3"/>
        <v>32164</v>
      </c>
      <c r="H37" s="5">
        <f t="shared" si="0"/>
        <v>16.7</v>
      </c>
      <c r="I37" s="5">
        <f t="shared" si="1"/>
        <v>1</v>
      </c>
      <c r="J37" s="5">
        <f t="shared" si="2"/>
        <v>1988</v>
      </c>
      <c r="K37">
        <v>1</v>
      </c>
      <c r="L37">
        <v>2023</v>
      </c>
      <c r="M37">
        <v>83.04</v>
      </c>
      <c r="O37" s="3">
        <v>4</v>
      </c>
      <c r="P37" s="3">
        <v>1990</v>
      </c>
      <c r="Q37" s="3">
        <v>12.47</v>
      </c>
    </row>
    <row r="38" spans="1:17" x14ac:dyDescent="0.25">
      <c r="A38" s="9">
        <v>33970</v>
      </c>
      <c r="B38" s="8">
        <v>71.150000000000006</v>
      </c>
      <c r="D38" s="4">
        <v>31967</v>
      </c>
      <c r="E38" s="6">
        <v>19.68</v>
      </c>
      <c r="G38" s="4">
        <f t="shared" si="3"/>
        <v>32171</v>
      </c>
      <c r="H38" s="5">
        <f t="shared" si="0"/>
        <v>16.28</v>
      </c>
      <c r="I38" s="5">
        <f t="shared" si="1"/>
        <v>1</v>
      </c>
      <c r="J38" s="5">
        <f t="shared" si="2"/>
        <v>1988</v>
      </c>
      <c r="K38">
        <v>1</v>
      </c>
      <c r="L38">
        <v>2024</v>
      </c>
      <c r="M38">
        <v>80.5625</v>
      </c>
      <c r="O38" s="3">
        <v>5</v>
      </c>
      <c r="P38" s="3">
        <v>1990</v>
      </c>
      <c r="Q38" s="3">
        <v>16.335000000000001</v>
      </c>
    </row>
    <row r="39" spans="1:17" x14ac:dyDescent="0.25">
      <c r="A39" s="9">
        <v>34001</v>
      </c>
      <c r="B39" s="8">
        <v>70.75</v>
      </c>
      <c r="D39" s="4">
        <v>31968</v>
      </c>
      <c r="E39" s="6">
        <v>19.73</v>
      </c>
      <c r="G39" s="4">
        <f t="shared" si="3"/>
        <v>32178</v>
      </c>
      <c r="H39" s="5">
        <f t="shared" si="0"/>
        <v>16.100000000000001</v>
      </c>
      <c r="I39" s="5">
        <f t="shared" si="1"/>
        <v>2</v>
      </c>
      <c r="J39" s="5">
        <f t="shared" si="2"/>
        <v>1988</v>
      </c>
      <c r="K39">
        <v>1</v>
      </c>
      <c r="L39">
        <v>2025</v>
      </c>
      <c r="M39">
        <v>79.063999999999993</v>
      </c>
      <c r="O39" s="3">
        <v>6</v>
      </c>
      <c r="P39" s="3">
        <v>1990</v>
      </c>
      <c r="Q39" s="3">
        <v>15.278</v>
      </c>
    </row>
    <row r="40" spans="1:17" x14ac:dyDescent="0.25">
      <c r="A40" s="9">
        <v>34029</v>
      </c>
      <c r="B40" s="8">
        <v>78.875</v>
      </c>
      <c r="D40" s="4">
        <v>31971</v>
      </c>
      <c r="E40" s="6">
        <v>19.829999999999998</v>
      </c>
      <c r="G40" s="4">
        <f t="shared" si="3"/>
        <v>32185</v>
      </c>
      <c r="H40" s="5">
        <f t="shared" si="0"/>
        <v>15.75</v>
      </c>
      <c r="I40" s="5">
        <f t="shared" si="1"/>
        <v>2</v>
      </c>
      <c r="J40" s="5">
        <f t="shared" si="2"/>
        <v>1988</v>
      </c>
      <c r="K40">
        <v>2</v>
      </c>
      <c r="L40">
        <v>1988</v>
      </c>
      <c r="M40">
        <v>15.512500000000001</v>
      </c>
      <c r="O40" s="3">
        <v>7</v>
      </c>
      <c r="P40" s="3">
        <v>1990</v>
      </c>
      <c r="Q40" s="3">
        <v>17.352499999999999</v>
      </c>
    </row>
    <row r="41" spans="1:17" x14ac:dyDescent="0.25">
      <c r="A41" s="9">
        <v>34060</v>
      </c>
      <c r="B41" s="8">
        <v>79.900000000000006</v>
      </c>
      <c r="D41" s="4">
        <v>31972</v>
      </c>
      <c r="E41" s="6">
        <v>19.88</v>
      </c>
      <c r="G41" s="4">
        <f t="shared" si="3"/>
        <v>32192</v>
      </c>
      <c r="H41" s="5">
        <f t="shared" si="0"/>
        <v>15.55</v>
      </c>
      <c r="I41" s="5">
        <f t="shared" si="1"/>
        <v>2</v>
      </c>
      <c r="J41" s="5">
        <f t="shared" si="2"/>
        <v>1988</v>
      </c>
      <c r="K41">
        <v>2</v>
      </c>
      <c r="L41">
        <v>1989</v>
      </c>
      <c r="M41">
        <v>16.837499999999999</v>
      </c>
      <c r="O41" s="3">
        <v>8</v>
      </c>
      <c r="P41" s="3">
        <v>1990</v>
      </c>
      <c r="Q41" s="3">
        <v>27.666000000000004</v>
      </c>
    </row>
    <row r="42" spans="1:17" x14ac:dyDescent="0.25">
      <c r="A42" s="9">
        <v>34090</v>
      </c>
      <c r="B42" s="8">
        <v>73</v>
      </c>
      <c r="D42" s="4">
        <v>31973</v>
      </c>
      <c r="E42" s="6">
        <v>20.28</v>
      </c>
      <c r="G42" s="4">
        <f t="shared" si="3"/>
        <v>32199</v>
      </c>
      <c r="H42" s="5">
        <f t="shared" si="0"/>
        <v>14.65</v>
      </c>
      <c r="I42" s="5">
        <f t="shared" si="1"/>
        <v>2</v>
      </c>
      <c r="J42" s="5">
        <f t="shared" si="2"/>
        <v>1988</v>
      </c>
      <c r="K42">
        <v>2</v>
      </c>
      <c r="L42">
        <v>1990</v>
      </c>
      <c r="M42">
        <v>19.785</v>
      </c>
      <c r="O42" s="3">
        <v>9</v>
      </c>
      <c r="P42" s="3">
        <v>1990</v>
      </c>
      <c r="Q42" s="3">
        <v>35.6875</v>
      </c>
    </row>
    <row r="43" spans="1:17" x14ac:dyDescent="0.25">
      <c r="A43" s="9">
        <v>34121</v>
      </c>
      <c r="B43" s="8">
        <v>60.625</v>
      </c>
      <c r="D43" s="4">
        <v>31974</v>
      </c>
      <c r="E43" s="6">
        <v>20.399999999999999</v>
      </c>
      <c r="G43" s="4">
        <f t="shared" si="3"/>
        <v>32206</v>
      </c>
      <c r="H43" s="5">
        <f t="shared" si="0"/>
        <v>14</v>
      </c>
      <c r="I43" s="5">
        <f t="shared" si="1"/>
        <v>3</v>
      </c>
      <c r="J43" s="5">
        <f t="shared" si="2"/>
        <v>1988</v>
      </c>
      <c r="K43">
        <v>2</v>
      </c>
      <c r="L43">
        <v>1991</v>
      </c>
      <c r="M43">
        <v>19.400000000000002</v>
      </c>
      <c r="O43" s="3">
        <v>10</v>
      </c>
      <c r="P43" s="3">
        <v>1990</v>
      </c>
      <c r="Q43" s="3">
        <v>36.47</v>
      </c>
    </row>
    <row r="44" spans="1:17" x14ac:dyDescent="0.25">
      <c r="A44" s="9">
        <v>34151</v>
      </c>
      <c r="B44" s="8">
        <v>59.3</v>
      </c>
      <c r="D44" s="4">
        <v>31975</v>
      </c>
      <c r="E44" s="6">
        <v>20.63</v>
      </c>
      <c r="G44" s="4">
        <f t="shared" si="3"/>
        <v>32213</v>
      </c>
      <c r="H44" s="5">
        <f t="shared" si="0"/>
        <v>14.88</v>
      </c>
      <c r="I44" s="5">
        <f t="shared" si="1"/>
        <v>3</v>
      </c>
      <c r="J44" s="5">
        <f t="shared" si="2"/>
        <v>1988</v>
      </c>
      <c r="K44">
        <v>2</v>
      </c>
      <c r="L44">
        <v>1992</v>
      </c>
      <c r="M44">
        <v>18.164999999999999</v>
      </c>
      <c r="O44" s="3">
        <v>11</v>
      </c>
      <c r="P44" s="3">
        <v>1990</v>
      </c>
      <c r="Q44" s="3">
        <v>32.61999999999999</v>
      </c>
    </row>
    <row r="45" spans="1:17" x14ac:dyDescent="0.25">
      <c r="A45" s="9">
        <v>34182</v>
      </c>
      <c r="B45" s="8">
        <v>62.75</v>
      </c>
      <c r="D45" s="4">
        <v>31978</v>
      </c>
      <c r="E45" s="6">
        <v>20.55</v>
      </c>
      <c r="G45" s="4">
        <f t="shared" si="3"/>
        <v>32220</v>
      </c>
      <c r="H45" s="5">
        <f t="shared" si="0"/>
        <v>14.93</v>
      </c>
      <c r="I45" s="5">
        <f t="shared" si="1"/>
        <v>3</v>
      </c>
      <c r="J45" s="5">
        <f t="shared" si="2"/>
        <v>1988</v>
      </c>
      <c r="K45">
        <v>2</v>
      </c>
      <c r="L45">
        <v>1993</v>
      </c>
      <c r="M45">
        <v>18.577500000000001</v>
      </c>
      <c r="O45" s="3">
        <v>12</v>
      </c>
      <c r="P45" s="3">
        <v>1990</v>
      </c>
      <c r="Q45" s="3">
        <v>27.770000000000003</v>
      </c>
    </row>
    <row r="46" spans="1:17" x14ac:dyDescent="0.25">
      <c r="A46" s="9">
        <v>34213</v>
      </c>
      <c r="B46" s="8">
        <v>61.125</v>
      </c>
      <c r="D46" s="4">
        <v>31979</v>
      </c>
      <c r="E46" s="6">
        <v>20.350000000000001</v>
      </c>
      <c r="G46" s="4">
        <f t="shared" si="3"/>
        <v>32227</v>
      </c>
      <c r="H46" s="5">
        <f t="shared" si="0"/>
        <v>15.45</v>
      </c>
      <c r="I46" s="5">
        <f t="shared" si="1"/>
        <v>3</v>
      </c>
      <c r="J46" s="5">
        <f t="shared" si="2"/>
        <v>1988</v>
      </c>
      <c r="K46">
        <v>2</v>
      </c>
      <c r="L46">
        <v>1994</v>
      </c>
      <c r="M46">
        <v>13.739999999999998</v>
      </c>
      <c r="O46" s="3">
        <v>1</v>
      </c>
      <c r="P46" s="3">
        <v>1991</v>
      </c>
      <c r="Q46" s="3">
        <v>22.507499999999997</v>
      </c>
    </row>
    <row r="47" spans="1:17" x14ac:dyDescent="0.25">
      <c r="A47" s="9">
        <v>34243</v>
      </c>
      <c r="B47" s="8">
        <v>65.375</v>
      </c>
      <c r="D47" s="4">
        <v>31980</v>
      </c>
      <c r="E47" s="6">
        <v>20.329999999999998</v>
      </c>
      <c r="G47" s="4">
        <f t="shared" si="3"/>
        <v>32234</v>
      </c>
      <c r="H47" s="5">
        <f t="shared" si="0"/>
        <v>0</v>
      </c>
      <c r="I47" s="5">
        <f t="shared" si="1"/>
        <v>4</v>
      </c>
      <c r="J47" s="5">
        <f t="shared" si="2"/>
        <v>1988</v>
      </c>
      <c r="K47">
        <v>2</v>
      </c>
      <c r="L47">
        <v>1995</v>
      </c>
      <c r="M47">
        <v>17.1875</v>
      </c>
      <c r="O47" s="3">
        <v>2</v>
      </c>
      <c r="P47" s="3">
        <v>1991</v>
      </c>
      <c r="Q47" s="3">
        <v>19.400000000000002</v>
      </c>
    </row>
    <row r="48" spans="1:17" x14ac:dyDescent="0.25">
      <c r="A48" s="9">
        <v>34274</v>
      </c>
      <c r="B48" s="8">
        <v>62.75</v>
      </c>
      <c r="D48" s="4">
        <v>31981</v>
      </c>
      <c r="E48" s="6">
        <v>20.149999999999999</v>
      </c>
      <c r="G48" s="4">
        <f t="shared" si="3"/>
        <v>32241</v>
      </c>
      <c r="H48" s="5">
        <f t="shared" si="0"/>
        <v>15.55</v>
      </c>
      <c r="I48" s="5">
        <f t="shared" si="1"/>
        <v>4</v>
      </c>
      <c r="J48" s="5">
        <f t="shared" si="2"/>
        <v>1988</v>
      </c>
      <c r="K48">
        <v>2</v>
      </c>
      <c r="L48">
        <v>1996</v>
      </c>
      <c r="M48">
        <v>17.832500000000003</v>
      </c>
      <c r="O48" s="3">
        <v>3</v>
      </c>
      <c r="P48" s="3">
        <v>1991</v>
      </c>
      <c r="Q48" s="3">
        <v>15.286000000000001</v>
      </c>
    </row>
    <row r="49" spans="1:17" x14ac:dyDescent="0.25">
      <c r="A49" s="9">
        <v>34304</v>
      </c>
      <c r="B49" s="8">
        <v>55.2</v>
      </c>
      <c r="D49" s="4">
        <v>31982</v>
      </c>
      <c r="E49" s="6">
        <v>19.579999999999998</v>
      </c>
      <c r="G49" s="4">
        <f t="shared" si="3"/>
        <v>32248</v>
      </c>
      <c r="H49" s="5">
        <f t="shared" si="0"/>
        <v>16.850000000000001</v>
      </c>
      <c r="I49" s="5">
        <f t="shared" si="1"/>
        <v>4</v>
      </c>
      <c r="J49" s="5">
        <f t="shared" si="2"/>
        <v>1988</v>
      </c>
      <c r="K49">
        <v>2</v>
      </c>
      <c r="L49">
        <v>1997</v>
      </c>
      <c r="M49">
        <v>15.032499999999999</v>
      </c>
      <c r="O49" s="3">
        <v>4</v>
      </c>
      <c r="P49" s="3">
        <v>1991</v>
      </c>
      <c r="Q49" s="3">
        <v>19.272500000000001</v>
      </c>
    </row>
    <row r="50" spans="1:17" x14ac:dyDescent="0.25">
      <c r="A50" s="9">
        <v>34335</v>
      </c>
      <c r="B50" s="8">
        <v>63</v>
      </c>
      <c r="D50" s="4">
        <v>31985</v>
      </c>
      <c r="E50" s="6">
        <v>19.3</v>
      </c>
      <c r="G50" s="4">
        <f t="shared" si="3"/>
        <v>32255</v>
      </c>
      <c r="H50" s="5">
        <f t="shared" si="0"/>
        <v>17.149999999999999</v>
      </c>
      <c r="I50" s="5">
        <f t="shared" si="1"/>
        <v>4</v>
      </c>
      <c r="J50" s="5">
        <f t="shared" si="2"/>
        <v>1988</v>
      </c>
      <c r="K50">
        <v>2</v>
      </c>
      <c r="L50">
        <v>1998</v>
      </c>
      <c r="M50">
        <v>14.135000000000002</v>
      </c>
      <c r="O50" s="3">
        <v>5</v>
      </c>
      <c r="P50" s="3">
        <v>1991</v>
      </c>
      <c r="Q50" s="3">
        <v>19.131999999999998</v>
      </c>
    </row>
    <row r="51" spans="1:17" x14ac:dyDescent="0.25">
      <c r="A51" s="9">
        <v>34366</v>
      </c>
      <c r="B51" s="8">
        <v>78.625</v>
      </c>
      <c r="D51" s="4">
        <v>31986</v>
      </c>
      <c r="E51" s="6">
        <v>19.78</v>
      </c>
      <c r="G51" s="4">
        <f t="shared" si="3"/>
        <v>32262</v>
      </c>
      <c r="H51" s="5">
        <f t="shared" si="0"/>
        <v>16.600000000000001</v>
      </c>
      <c r="I51" s="5">
        <f t="shared" si="1"/>
        <v>4</v>
      </c>
      <c r="J51" s="5">
        <f t="shared" si="2"/>
        <v>1988</v>
      </c>
      <c r="K51">
        <v>2</v>
      </c>
      <c r="L51">
        <v>1999</v>
      </c>
      <c r="M51">
        <v>10.254999999999999</v>
      </c>
      <c r="O51" s="3">
        <v>6</v>
      </c>
      <c r="P51" s="3">
        <v>1991</v>
      </c>
      <c r="Q51" s="3">
        <v>18.2225</v>
      </c>
    </row>
    <row r="52" spans="1:17" x14ac:dyDescent="0.25">
      <c r="A52" s="9">
        <v>34394</v>
      </c>
      <c r="B52" s="8">
        <v>78.375</v>
      </c>
      <c r="D52" s="4">
        <v>31987</v>
      </c>
      <c r="E52" s="6">
        <v>19.98</v>
      </c>
      <c r="G52" s="4">
        <f t="shared" si="3"/>
        <v>32269</v>
      </c>
      <c r="H52" s="5">
        <f t="shared" si="0"/>
        <v>16.45</v>
      </c>
      <c r="I52" s="5">
        <f t="shared" si="1"/>
        <v>5</v>
      </c>
      <c r="J52" s="5">
        <f t="shared" si="2"/>
        <v>1988</v>
      </c>
      <c r="K52">
        <v>2</v>
      </c>
      <c r="L52">
        <v>2000</v>
      </c>
      <c r="M52">
        <v>27.772500000000001</v>
      </c>
      <c r="O52" s="3">
        <v>7</v>
      </c>
      <c r="P52" s="3">
        <v>1991</v>
      </c>
      <c r="Q52" s="3">
        <v>19.622500000000002</v>
      </c>
    </row>
    <row r="53" spans="1:17" x14ac:dyDescent="0.25">
      <c r="A53" s="9">
        <v>34425</v>
      </c>
      <c r="B53" s="8">
        <v>74.8</v>
      </c>
      <c r="D53" s="4">
        <v>31988</v>
      </c>
      <c r="E53" s="6">
        <v>20.2</v>
      </c>
      <c r="G53" s="4">
        <f t="shared" si="3"/>
        <v>32276</v>
      </c>
      <c r="H53" s="5">
        <f t="shared" si="0"/>
        <v>16.5</v>
      </c>
      <c r="I53" s="5">
        <f t="shared" si="1"/>
        <v>5</v>
      </c>
      <c r="J53" s="5">
        <f t="shared" si="2"/>
        <v>1988</v>
      </c>
      <c r="K53">
        <v>2</v>
      </c>
      <c r="L53">
        <v>2001</v>
      </c>
      <c r="M53">
        <v>27.79</v>
      </c>
      <c r="O53" s="3">
        <v>8</v>
      </c>
      <c r="P53" s="3">
        <v>1991</v>
      </c>
      <c r="Q53" s="3">
        <v>19.742000000000001</v>
      </c>
    </row>
    <row r="54" spans="1:17" x14ac:dyDescent="0.25">
      <c r="A54" s="9">
        <v>34455</v>
      </c>
      <c r="B54" s="8">
        <v>80.125</v>
      </c>
      <c r="D54" s="4">
        <v>31989</v>
      </c>
      <c r="E54" s="6">
        <v>20.03</v>
      </c>
      <c r="G54" s="4">
        <f t="shared" si="3"/>
        <v>32283</v>
      </c>
      <c r="H54" s="5">
        <f t="shared" si="0"/>
        <v>16.45</v>
      </c>
      <c r="I54" s="5">
        <f t="shared" si="1"/>
        <v>5</v>
      </c>
      <c r="J54" s="5">
        <f t="shared" si="2"/>
        <v>1988</v>
      </c>
      <c r="K54">
        <v>2</v>
      </c>
      <c r="L54">
        <v>2002</v>
      </c>
      <c r="M54">
        <v>20.1525</v>
      </c>
      <c r="O54" s="3">
        <v>9</v>
      </c>
      <c r="P54" s="3">
        <v>1991</v>
      </c>
      <c r="Q54" s="3">
        <v>20.627500000000001</v>
      </c>
    </row>
    <row r="55" spans="1:17" x14ac:dyDescent="0.25">
      <c r="A55" s="9">
        <v>34486</v>
      </c>
      <c r="B55" s="8">
        <v>87.625</v>
      </c>
      <c r="D55" s="4">
        <v>31992</v>
      </c>
      <c r="E55" s="6">
        <v>20.95</v>
      </c>
      <c r="G55" s="4">
        <f t="shared" si="3"/>
        <v>32290</v>
      </c>
      <c r="H55" s="5">
        <f t="shared" si="0"/>
        <v>16.25</v>
      </c>
      <c r="I55" s="5">
        <f t="shared" si="1"/>
        <v>5</v>
      </c>
      <c r="J55" s="5">
        <f t="shared" si="2"/>
        <v>1988</v>
      </c>
      <c r="K55">
        <v>2</v>
      </c>
      <c r="L55">
        <v>2003</v>
      </c>
      <c r="M55">
        <v>33.0625</v>
      </c>
      <c r="O55" s="3">
        <v>10</v>
      </c>
      <c r="P55" s="3">
        <v>1991</v>
      </c>
      <c r="Q55" s="3">
        <v>22.314999999999998</v>
      </c>
    </row>
    <row r="56" spans="1:17" x14ac:dyDescent="0.25">
      <c r="A56" s="9">
        <v>34516</v>
      </c>
      <c r="B56" s="8">
        <v>96.5</v>
      </c>
      <c r="D56" s="4">
        <v>31993</v>
      </c>
      <c r="E56" s="6">
        <v>20.65</v>
      </c>
      <c r="G56" s="4">
        <f t="shared" si="3"/>
        <v>32297</v>
      </c>
      <c r="H56" s="5">
        <f t="shared" si="0"/>
        <v>16.45</v>
      </c>
      <c r="I56" s="5">
        <f t="shared" si="1"/>
        <v>6</v>
      </c>
      <c r="J56" s="5">
        <f t="shared" si="2"/>
        <v>1988</v>
      </c>
      <c r="K56">
        <v>2</v>
      </c>
      <c r="L56">
        <v>2004</v>
      </c>
      <c r="M56">
        <v>31.094999999999999</v>
      </c>
      <c r="O56" s="3">
        <v>11</v>
      </c>
      <c r="P56" s="3">
        <v>1991</v>
      </c>
      <c r="Q56" s="3">
        <v>21.237999999999996</v>
      </c>
    </row>
    <row r="57" spans="1:17" x14ac:dyDescent="0.25">
      <c r="A57" s="9">
        <v>34547</v>
      </c>
      <c r="B57" s="8">
        <v>86.125</v>
      </c>
      <c r="D57" s="4">
        <v>31994</v>
      </c>
      <c r="E57" s="6">
        <v>19.8</v>
      </c>
      <c r="G57" s="4">
        <f t="shared" si="3"/>
        <v>32304</v>
      </c>
      <c r="H57" s="5">
        <f t="shared" si="0"/>
        <v>15.85</v>
      </c>
      <c r="I57" s="5">
        <f t="shared" si="1"/>
        <v>6</v>
      </c>
      <c r="J57" s="5">
        <f t="shared" si="2"/>
        <v>1988</v>
      </c>
      <c r="K57">
        <v>2</v>
      </c>
      <c r="L57">
        <v>2005</v>
      </c>
      <c r="M57">
        <v>45.894999999999996</v>
      </c>
      <c r="O57" s="3">
        <v>12</v>
      </c>
      <c r="P57" s="3">
        <v>1991</v>
      </c>
      <c r="Q57" s="3">
        <v>18.600000000000001</v>
      </c>
    </row>
    <row r="58" spans="1:17" x14ac:dyDescent="0.25">
      <c r="A58" s="9">
        <v>34578</v>
      </c>
      <c r="B58" s="8">
        <v>75</v>
      </c>
      <c r="D58" s="4">
        <v>31995</v>
      </c>
      <c r="E58" s="6">
        <v>19.75</v>
      </c>
      <c r="G58" s="4">
        <f t="shared" si="3"/>
        <v>32311</v>
      </c>
      <c r="H58" s="5">
        <f t="shared" si="0"/>
        <v>15.48</v>
      </c>
      <c r="I58" s="5">
        <f t="shared" si="1"/>
        <v>6</v>
      </c>
      <c r="J58" s="5">
        <f t="shared" si="2"/>
        <v>1988</v>
      </c>
      <c r="K58">
        <v>2</v>
      </c>
      <c r="L58">
        <v>2006</v>
      </c>
      <c r="M58">
        <v>60.167499999999997</v>
      </c>
      <c r="O58" s="3">
        <v>1</v>
      </c>
      <c r="P58" s="3">
        <v>1992</v>
      </c>
      <c r="Q58" s="3">
        <v>18.137999999999998</v>
      </c>
    </row>
    <row r="59" spans="1:17" x14ac:dyDescent="0.25">
      <c r="A59" s="9">
        <v>34608</v>
      </c>
      <c r="B59" s="8">
        <v>89.125</v>
      </c>
      <c r="D59" s="4">
        <v>31996</v>
      </c>
      <c r="E59" s="6">
        <v>19.649999999999999</v>
      </c>
      <c r="G59" s="4">
        <f t="shared" si="3"/>
        <v>32318</v>
      </c>
      <c r="H59" s="5">
        <f t="shared" si="0"/>
        <v>15.15</v>
      </c>
      <c r="I59" s="5">
        <f t="shared" si="1"/>
        <v>6</v>
      </c>
      <c r="J59" s="5">
        <f t="shared" si="2"/>
        <v>1988</v>
      </c>
      <c r="K59">
        <v>2</v>
      </c>
      <c r="L59">
        <v>2007</v>
      </c>
      <c r="M59">
        <v>57.825000000000003</v>
      </c>
      <c r="O59" s="3">
        <v>2</v>
      </c>
      <c r="P59" s="3">
        <v>1992</v>
      </c>
      <c r="Q59" s="3">
        <v>18.164999999999999</v>
      </c>
    </row>
    <row r="60" spans="1:17" x14ac:dyDescent="0.25">
      <c r="A60" s="9">
        <v>34639</v>
      </c>
      <c r="B60" s="8">
        <v>102.875</v>
      </c>
      <c r="D60" s="4">
        <v>31999</v>
      </c>
      <c r="E60" s="6">
        <v>19.43</v>
      </c>
      <c r="G60" s="4">
        <f t="shared" si="3"/>
        <v>32325</v>
      </c>
      <c r="H60" s="5">
        <f t="shared" si="0"/>
        <v>13.95</v>
      </c>
      <c r="I60" s="5">
        <f t="shared" si="1"/>
        <v>7</v>
      </c>
      <c r="J60" s="5">
        <f t="shared" si="2"/>
        <v>1988</v>
      </c>
      <c r="K60">
        <v>2</v>
      </c>
      <c r="L60">
        <v>2008</v>
      </c>
      <c r="M60">
        <v>95.35799999999999</v>
      </c>
      <c r="O60" s="3">
        <v>3</v>
      </c>
      <c r="P60" s="3">
        <v>1992</v>
      </c>
      <c r="Q60" s="3">
        <v>17.657499999999999</v>
      </c>
    </row>
    <row r="61" spans="1:17" x14ac:dyDescent="0.25">
      <c r="A61" s="9">
        <v>34669</v>
      </c>
      <c r="B61" s="8">
        <v>96.1</v>
      </c>
      <c r="D61" s="4">
        <v>32000</v>
      </c>
      <c r="E61" s="6">
        <v>19.45</v>
      </c>
      <c r="G61" s="4">
        <f t="shared" si="3"/>
        <v>32332</v>
      </c>
      <c r="H61" s="5">
        <f t="shared" si="0"/>
        <v>15.05</v>
      </c>
      <c r="I61" s="5">
        <f t="shared" si="1"/>
        <v>7</v>
      </c>
      <c r="J61" s="5">
        <f t="shared" si="2"/>
        <v>1988</v>
      </c>
      <c r="K61">
        <v>2</v>
      </c>
      <c r="L61">
        <v>2009</v>
      </c>
      <c r="M61">
        <v>43.612499999999997</v>
      </c>
      <c r="O61" s="3">
        <v>4</v>
      </c>
      <c r="P61" s="3">
        <v>1992</v>
      </c>
      <c r="Q61" s="3">
        <v>14.145</v>
      </c>
    </row>
    <row r="62" spans="1:17" x14ac:dyDescent="0.25">
      <c r="A62" s="9">
        <v>34700</v>
      </c>
      <c r="B62" s="8">
        <v>108.5</v>
      </c>
      <c r="D62" s="4">
        <v>32001</v>
      </c>
      <c r="E62" s="6">
        <v>19.5</v>
      </c>
      <c r="G62" s="4">
        <f t="shared" si="3"/>
        <v>32339</v>
      </c>
      <c r="H62" s="5">
        <f t="shared" si="0"/>
        <v>14.25</v>
      </c>
      <c r="I62" s="5">
        <f t="shared" si="1"/>
        <v>7</v>
      </c>
      <c r="J62" s="5">
        <f t="shared" si="2"/>
        <v>1988</v>
      </c>
      <c r="K62">
        <v>2</v>
      </c>
      <c r="L62">
        <v>2010</v>
      </c>
      <c r="M62">
        <v>73.709999999999994</v>
      </c>
      <c r="O62" s="3">
        <v>5</v>
      </c>
      <c r="P62" s="3">
        <v>1992</v>
      </c>
      <c r="Q62" s="3">
        <v>19.887999999999998</v>
      </c>
    </row>
    <row r="63" spans="1:17" x14ac:dyDescent="0.25">
      <c r="A63" s="9">
        <v>34731</v>
      </c>
      <c r="B63" s="8">
        <v>103.375</v>
      </c>
      <c r="D63" s="4">
        <v>32002</v>
      </c>
      <c r="E63" s="6">
        <v>19.399999999999999</v>
      </c>
      <c r="G63" s="4">
        <f t="shared" si="3"/>
        <v>32346</v>
      </c>
      <c r="H63" s="5">
        <f t="shared" si="0"/>
        <v>15.83</v>
      </c>
      <c r="I63" s="5">
        <f t="shared" si="1"/>
        <v>7</v>
      </c>
      <c r="J63" s="5">
        <f t="shared" si="2"/>
        <v>1988</v>
      </c>
      <c r="K63">
        <v>2</v>
      </c>
      <c r="L63">
        <v>2011</v>
      </c>
      <c r="M63">
        <v>103.25749999999999</v>
      </c>
      <c r="O63" s="3">
        <v>6</v>
      </c>
      <c r="P63" s="3">
        <v>1992</v>
      </c>
      <c r="Q63" s="3">
        <v>21.265000000000001</v>
      </c>
    </row>
    <row r="64" spans="1:17" x14ac:dyDescent="0.25">
      <c r="A64" s="9">
        <v>34759</v>
      </c>
      <c r="B64" s="8">
        <v>106.2</v>
      </c>
      <c r="D64" s="4">
        <v>32003</v>
      </c>
      <c r="E64" s="6">
        <v>19.25</v>
      </c>
      <c r="G64" s="4">
        <f t="shared" si="3"/>
        <v>32353</v>
      </c>
      <c r="H64" s="5">
        <f t="shared" si="0"/>
        <v>15.75</v>
      </c>
      <c r="I64" s="5">
        <f t="shared" si="1"/>
        <v>7</v>
      </c>
      <c r="J64" s="5">
        <f t="shared" si="2"/>
        <v>1988</v>
      </c>
      <c r="K64">
        <v>2</v>
      </c>
      <c r="L64">
        <v>2012</v>
      </c>
      <c r="M64">
        <v>119.0675</v>
      </c>
      <c r="O64" s="3">
        <v>7</v>
      </c>
      <c r="P64" s="3">
        <v>1992</v>
      </c>
      <c r="Q64" s="3">
        <v>20.365999999999996</v>
      </c>
    </row>
    <row r="65" spans="1:17" x14ac:dyDescent="0.25">
      <c r="A65" s="9">
        <v>34790</v>
      </c>
      <c r="B65" s="8">
        <v>105.1875</v>
      </c>
      <c r="D65" s="4">
        <v>32006</v>
      </c>
      <c r="E65" s="6">
        <v>18.850000000000001</v>
      </c>
      <c r="G65" s="4">
        <f t="shared" si="3"/>
        <v>32360</v>
      </c>
      <c r="H65" s="5">
        <f t="shared" si="0"/>
        <v>14.85</v>
      </c>
      <c r="I65" s="5">
        <f t="shared" si="1"/>
        <v>8</v>
      </c>
      <c r="J65" s="5">
        <f t="shared" si="2"/>
        <v>1988</v>
      </c>
      <c r="K65">
        <v>2</v>
      </c>
      <c r="L65">
        <v>2013</v>
      </c>
      <c r="M65">
        <v>116.39750000000001</v>
      </c>
      <c r="O65" s="3">
        <v>8</v>
      </c>
      <c r="P65" s="3">
        <v>1992</v>
      </c>
      <c r="Q65" s="3">
        <v>19.739999999999998</v>
      </c>
    </row>
    <row r="66" spans="1:17" x14ac:dyDescent="0.25">
      <c r="A66" s="9">
        <v>34820</v>
      </c>
      <c r="B66" s="8">
        <v>107.875</v>
      </c>
      <c r="D66" s="4">
        <v>32007</v>
      </c>
      <c r="E66" s="6">
        <v>18.75</v>
      </c>
      <c r="G66" s="4">
        <f t="shared" si="3"/>
        <v>32367</v>
      </c>
      <c r="H66" s="5">
        <f t="shared" si="0"/>
        <v>14.98</v>
      </c>
      <c r="I66" s="5">
        <f t="shared" si="1"/>
        <v>8</v>
      </c>
      <c r="J66" s="5">
        <f t="shared" si="2"/>
        <v>1988</v>
      </c>
      <c r="K66">
        <v>2</v>
      </c>
      <c r="L66">
        <v>2014</v>
      </c>
      <c r="M66">
        <v>109.19</v>
      </c>
      <c r="O66" s="3">
        <v>9</v>
      </c>
      <c r="P66" s="3">
        <v>1992</v>
      </c>
      <c r="Q66" s="3">
        <v>20.252500000000001</v>
      </c>
    </row>
    <row r="67" spans="1:17" x14ac:dyDescent="0.25">
      <c r="A67" s="9">
        <v>34851</v>
      </c>
      <c r="B67" s="8">
        <v>93.6</v>
      </c>
      <c r="D67" s="4">
        <v>32008</v>
      </c>
      <c r="E67" s="6">
        <v>18.5</v>
      </c>
      <c r="G67" s="4">
        <f t="shared" si="3"/>
        <v>32374</v>
      </c>
      <c r="H67" s="5">
        <f t="shared" ref="H67:H130" si="4">_xlfn.XLOOKUP(G67,D:D,E:E)</f>
        <v>14.85</v>
      </c>
      <c r="I67" s="5">
        <f t="shared" ref="I67:I130" si="5">MONTH(G67)</f>
        <v>8</v>
      </c>
      <c r="J67" s="5">
        <f t="shared" ref="J67:J130" si="6">YEAR(G67)</f>
        <v>1988</v>
      </c>
      <c r="K67">
        <v>2</v>
      </c>
      <c r="L67">
        <v>2015</v>
      </c>
      <c r="M67">
        <v>59.772500000000008</v>
      </c>
      <c r="O67" s="3">
        <v>10</v>
      </c>
      <c r="P67" s="3">
        <v>1992</v>
      </c>
      <c r="Q67" s="3">
        <v>20.163999999999998</v>
      </c>
    </row>
    <row r="68" spans="1:17" x14ac:dyDescent="0.25">
      <c r="A68" s="9">
        <v>34881</v>
      </c>
      <c r="B68" s="8">
        <v>81.375</v>
      </c>
      <c r="D68" s="4">
        <v>32009</v>
      </c>
      <c r="E68" s="6">
        <v>18.3</v>
      </c>
      <c r="G68" s="4">
        <f t="shared" ref="G68:G131" si="7">G67+7</f>
        <v>32381</v>
      </c>
      <c r="H68" s="5">
        <f t="shared" si="4"/>
        <v>14.5</v>
      </c>
      <c r="I68" s="5">
        <f t="shared" si="5"/>
        <v>8</v>
      </c>
      <c r="J68" s="5">
        <f t="shared" si="6"/>
        <v>1988</v>
      </c>
      <c r="K68">
        <v>2</v>
      </c>
      <c r="L68">
        <v>2016</v>
      </c>
      <c r="M68">
        <v>32.892499999999998</v>
      </c>
      <c r="O68" s="3">
        <v>11</v>
      </c>
      <c r="P68" s="3">
        <v>1992</v>
      </c>
      <c r="Q68" s="3">
        <v>19.184999999999999</v>
      </c>
    </row>
    <row r="69" spans="1:17" x14ac:dyDescent="0.25">
      <c r="A69" s="9">
        <v>34912</v>
      </c>
      <c r="B69" s="8">
        <v>83.25</v>
      </c>
      <c r="D69" s="4">
        <v>32010</v>
      </c>
      <c r="E69" s="6">
        <v>18.100000000000001</v>
      </c>
      <c r="G69" s="4">
        <f t="shared" si="7"/>
        <v>32388</v>
      </c>
      <c r="H69" s="5">
        <f t="shared" si="4"/>
        <v>14</v>
      </c>
      <c r="I69" s="5">
        <f t="shared" si="5"/>
        <v>9</v>
      </c>
      <c r="J69" s="5">
        <f t="shared" si="6"/>
        <v>1988</v>
      </c>
      <c r="K69">
        <v>2</v>
      </c>
      <c r="L69">
        <v>2017</v>
      </c>
      <c r="M69">
        <v>55.072499999999998</v>
      </c>
      <c r="O69" s="3">
        <v>12</v>
      </c>
      <c r="P69" s="3">
        <v>1992</v>
      </c>
      <c r="Q69" s="3">
        <v>13.712499999999999</v>
      </c>
    </row>
    <row r="70" spans="1:17" x14ac:dyDescent="0.25">
      <c r="A70" s="9">
        <v>34943</v>
      </c>
      <c r="B70" s="8">
        <v>87.5</v>
      </c>
      <c r="D70" s="4">
        <v>32013</v>
      </c>
      <c r="E70" s="6">
        <v>17.48</v>
      </c>
      <c r="G70" s="4">
        <f t="shared" si="7"/>
        <v>32395</v>
      </c>
      <c r="H70" s="5">
        <f t="shared" si="4"/>
        <v>13.25</v>
      </c>
      <c r="I70" s="5">
        <f t="shared" si="5"/>
        <v>9</v>
      </c>
      <c r="J70" s="5">
        <f t="shared" si="6"/>
        <v>1988</v>
      </c>
      <c r="K70">
        <v>2</v>
      </c>
      <c r="L70">
        <v>2018</v>
      </c>
      <c r="M70">
        <v>65.45750000000001</v>
      </c>
      <c r="O70" s="3">
        <v>1</v>
      </c>
      <c r="P70" s="3">
        <v>1993</v>
      </c>
      <c r="Q70" s="3">
        <v>14.014000000000001</v>
      </c>
    </row>
    <row r="71" spans="1:17" x14ac:dyDescent="0.25">
      <c r="A71" s="9">
        <v>34973</v>
      </c>
      <c r="B71" s="8">
        <v>85.875</v>
      </c>
      <c r="D71" s="4">
        <v>32014</v>
      </c>
      <c r="E71" s="6">
        <v>17.55</v>
      </c>
      <c r="G71" s="4">
        <f t="shared" si="7"/>
        <v>32402</v>
      </c>
      <c r="H71" s="5">
        <f t="shared" si="4"/>
        <v>13.23</v>
      </c>
      <c r="I71" s="5">
        <f t="shared" si="5"/>
        <v>9</v>
      </c>
      <c r="J71" s="5">
        <f t="shared" si="6"/>
        <v>1988</v>
      </c>
      <c r="K71">
        <v>2</v>
      </c>
      <c r="L71">
        <v>2019</v>
      </c>
      <c r="M71">
        <v>63.947499999999998</v>
      </c>
      <c r="O71" s="3">
        <v>2</v>
      </c>
      <c r="P71" s="3">
        <v>1993</v>
      </c>
      <c r="Q71" s="3">
        <v>18.577500000000001</v>
      </c>
    </row>
    <row r="72" spans="1:17" x14ac:dyDescent="0.25">
      <c r="A72" s="9">
        <v>35004</v>
      </c>
      <c r="B72" s="8">
        <v>85.5</v>
      </c>
      <c r="D72" s="4">
        <v>32015</v>
      </c>
      <c r="E72" s="6">
        <v>18.100000000000001</v>
      </c>
      <c r="G72" s="4">
        <f t="shared" si="7"/>
        <v>32409</v>
      </c>
      <c r="H72" s="5">
        <f t="shared" si="4"/>
        <v>13.2</v>
      </c>
      <c r="I72" s="5">
        <f t="shared" si="5"/>
        <v>9</v>
      </c>
      <c r="J72" s="5">
        <f t="shared" si="6"/>
        <v>1988</v>
      </c>
      <c r="K72">
        <v>2</v>
      </c>
      <c r="L72">
        <v>2020</v>
      </c>
      <c r="M72">
        <v>55.452500000000001</v>
      </c>
      <c r="O72" s="3">
        <v>3</v>
      </c>
      <c r="P72" s="3">
        <v>1993</v>
      </c>
      <c r="Q72" s="3">
        <v>18.89</v>
      </c>
    </row>
    <row r="73" spans="1:17" x14ac:dyDescent="0.25">
      <c r="A73" s="9">
        <v>35034</v>
      </c>
      <c r="B73" s="8">
        <v>102.8</v>
      </c>
      <c r="D73" s="4">
        <v>32016</v>
      </c>
      <c r="E73" s="6">
        <v>18.28</v>
      </c>
      <c r="G73" s="4">
        <f t="shared" si="7"/>
        <v>32416</v>
      </c>
      <c r="H73" s="5">
        <f t="shared" si="4"/>
        <v>11.93</v>
      </c>
      <c r="I73" s="5">
        <f t="shared" si="5"/>
        <v>9</v>
      </c>
      <c r="J73" s="5">
        <f t="shared" si="6"/>
        <v>1988</v>
      </c>
      <c r="K73">
        <v>2</v>
      </c>
      <c r="L73">
        <v>2021</v>
      </c>
      <c r="M73">
        <v>62.662499999999994</v>
      </c>
      <c r="O73" s="3">
        <v>4</v>
      </c>
      <c r="P73" s="3">
        <v>1993</v>
      </c>
      <c r="Q73" s="3">
        <v>14.971999999999998</v>
      </c>
    </row>
    <row r="74" spans="1:17" x14ac:dyDescent="0.25">
      <c r="A74" s="9">
        <v>35065</v>
      </c>
      <c r="B74" s="8">
        <v>103.625</v>
      </c>
      <c r="D74" s="4">
        <v>32017</v>
      </c>
      <c r="E74" s="6">
        <v>18.2</v>
      </c>
      <c r="G74" s="4">
        <f t="shared" si="7"/>
        <v>32423</v>
      </c>
      <c r="H74" s="5">
        <f t="shared" si="4"/>
        <v>11.35</v>
      </c>
      <c r="I74" s="5">
        <f t="shared" si="5"/>
        <v>10</v>
      </c>
      <c r="J74" s="5">
        <f t="shared" si="6"/>
        <v>1988</v>
      </c>
      <c r="K74">
        <v>2</v>
      </c>
      <c r="L74">
        <v>2022</v>
      </c>
      <c r="M74">
        <v>97.275000000000006</v>
      </c>
      <c r="O74" s="3">
        <v>5</v>
      </c>
      <c r="P74" s="3">
        <v>1993</v>
      </c>
      <c r="Q74" s="3">
        <v>18.464999999999996</v>
      </c>
    </row>
    <row r="75" spans="1:17" x14ac:dyDescent="0.25">
      <c r="A75" s="9">
        <v>35096</v>
      </c>
      <c r="B75" s="8">
        <v>95.5</v>
      </c>
      <c r="D75" s="4">
        <v>32020</v>
      </c>
      <c r="E75" s="6">
        <v>18.63</v>
      </c>
      <c r="G75" s="4">
        <f t="shared" si="7"/>
        <v>32430</v>
      </c>
      <c r="H75" s="5">
        <f t="shared" si="4"/>
        <v>13.2</v>
      </c>
      <c r="I75" s="5">
        <f t="shared" si="5"/>
        <v>10</v>
      </c>
      <c r="J75" s="5">
        <f t="shared" si="6"/>
        <v>1988</v>
      </c>
      <c r="K75">
        <v>2</v>
      </c>
      <c r="L75">
        <v>2023</v>
      </c>
      <c r="M75">
        <v>82.147500000000008</v>
      </c>
      <c r="O75" s="3">
        <v>6</v>
      </c>
      <c r="P75" s="3">
        <v>1993</v>
      </c>
      <c r="Q75" s="3">
        <v>17.559999999999999</v>
      </c>
    </row>
    <row r="76" spans="1:17" x14ac:dyDescent="0.25">
      <c r="A76" s="9">
        <v>35125</v>
      </c>
      <c r="B76" s="8">
        <v>106.6</v>
      </c>
      <c r="D76" s="4">
        <v>32021</v>
      </c>
      <c r="E76" s="6">
        <v>18.43</v>
      </c>
      <c r="G76" s="4">
        <f t="shared" si="7"/>
        <v>32437</v>
      </c>
      <c r="H76" s="5">
        <f t="shared" si="4"/>
        <v>13.48</v>
      </c>
      <c r="I76" s="5">
        <f t="shared" si="5"/>
        <v>10</v>
      </c>
      <c r="J76" s="5">
        <f t="shared" si="6"/>
        <v>1988</v>
      </c>
      <c r="K76">
        <v>2</v>
      </c>
      <c r="L76">
        <v>2024</v>
      </c>
      <c r="M76">
        <v>83.045000000000002</v>
      </c>
      <c r="O76" s="3">
        <v>7</v>
      </c>
      <c r="P76" s="3">
        <v>1993</v>
      </c>
      <c r="Q76" s="3">
        <v>16.692</v>
      </c>
    </row>
    <row r="77" spans="1:17" x14ac:dyDescent="0.25">
      <c r="A77" s="9">
        <v>35156</v>
      </c>
      <c r="B77" s="8">
        <v>115.375</v>
      </c>
      <c r="D77" s="4">
        <v>32022</v>
      </c>
      <c r="E77" s="6">
        <v>18.399999999999999</v>
      </c>
      <c r="G77" s="4">
        <f t="shared" si="7"/>
        <v>32444</v>
      </c>
      <c r="H77" s="5">
        <f t="shared" si="4"/>
        <v>12.6</v>
      </c>
      <c r="I77" s="5">
        <f t="shared" si="5"/>
        <v>10</v>
      </c>
      <c r="J77" s="5">
        <f t="shared" si="6"/>
        <v>1988</v>
      </c>
      <c r="K77">
        <v>2</v>
      </c>
      <c r="L77">
        <v>2025</v>
      </c>
      <c r="M77">
        <v>74.877499999999998</v>
      </c>
      <c r="O77" s="3">
        <v>8</v>
      </c>
      <c r="P77" s="3">
        <v>1993</v>
      </c>
      <c r="Q77" s="3">
        <v>16.760000000000002</v>
      </c>
    </row>
    <row r="78" spans="1:17" x14ac:dyDescent="0.25">
      <c r="A78" s="9">
        <v>35186</v>
      </c>
      <c r="B78" s="8">
        <v>99.6</v>
      </c>
      <c r="D78" s="4">
        <v>32023</v>
      </c>
      <c r="E78" s="6">
        <v>18.18</v>
      </c>
      <c r="G78" s="4">
        <f t="shared" si="7"/>
        <v>32451</v>
      </c>
      <c r="H78" s="5">
        <f t="shared" si="4"/>
        <v>12.75</v>
      </c>
      <c r="I78" s="5">
        <f t="shared" si="5"/>
        <v>11</v>
      </c>
      <c r="J78" s="5">
        <f t="shared" si="6"/>
        <v>1988</v>
      </c>
      <c r="K78">
        <v>3</v>
      </c>
      <c r="L78">
        <v>1988</v>
      </c>
      <c r="M78">
        <v>14.815000000000001</v>
      </c>
      <c r="O78" s="3">
        <v>9</v>
      </c>
      <c r="P78" s="3">
        <v>1993</v>
      </c>
      <c r="Q78" s="3">
        <v>15.852500000000001</v>
      </c>
    </row>
    <row r="79" spans="1:17" x14ac:dyDescent="0.25">
      <c r="A79" s="9">
        <v>35217</v>
      </c>
      <c r="B79" s="8">
        <v>88.625</v>
      </c>
      <c r="D79" s="4">
        <v>32024</v>
      </c>
      <c r="E79" s="6">
        <v>18.13</v>
      </c>
      <c r="G79" s="4">
        <f t="shared" si="7"/>
        <v>32458</v>
      </c>
      <c r="H79" s="5">
        <f t="shared" si="4"/>
        <v>13.03</v>
      </c>
      <c r="I79" s="5">
        <f t="shared" si="5"/>
        <v>11</v>
      </c>
      <c r="J79" s="5">
        <f t="shared" si="6"/>
        <v>1988</v>
      </c>
      <c r="K79">
        <v>3</v>
      </c>
      <c r="L79">
        <v>1989</v>
      </c>
      <c r="M79">
        <v>15.022</v>
      </c>
      <c r="O79" s="3">
        <v>10</v>
      </c>
      <c r="P79" s="3">
        <v>1993</v>
      </c>
      <c r="Q79" s="3">
        <v>16.534000000000002</v>
      </c>
    </row>
    <row r="80" spans="1:17" x14ac:dyDescent="0.25">
      <c r="A80" s="9">
        <v>35247</v>
      </c>
      <c r="B80" s="8">
        <v>88.125</v>
      </c>
      <c r="D80" s="4">
        <v>32027</v>
      </c>
      <c r="E80" s="6">
        <v>17.600000000000001</v>
      </c>
      <c r="G80" s="4">
        <f t="shared" si="7"/>
        <v>32465</v>
      </c>
      <c r="H80" s="5">
        <f t="shared" si="4"/>
        <v>12.08</v>
      </c>
      <c r="I80" s="5">
        <f t="shared" si="5"/>
        <v>11</v>
      </c>
      <c r="J80" s="5">
        <f t="shared" si="6"/>
        <v>1988</v>
      </c>
      <c r="K80">
        <v>3</v>
      </c>
      <c r="L80">
        <v>1990</v>
      </c>
      <c r="M80">
        <v>18.417999999999999</v>
      </c>
      <c r="O80" s="3">
        <v>11</v>
      </c>
      <c r="P80" s="3">
        <v>1993</v>
      </c>
      <c r="Q80" s="3">
        <v>15.085000000000001</v>
      </c>
    </row>
    <row r="81" spans="1:17" x14ac:dyDescent="0.25">
      <c r="A81" s="9">
        <v>35278</v>
      </c>
      <c r="B81" s="8">
        <v>97.4</v>
      </c>
      <c r="D81" s="4">
        <v>32028</v>
      </c>
      <c r="E81" s="6">
        <v>17.68</v>
      </c>
      <c r="G81" s="4">
        <f t="shared" si="7"/>
        <v>32472</v>
      </c>
      <c r="H81" s="5">
        <f t="shared" si="4"/>
        <v>14.7</v>
      </c>
      <c r="I81" s="5">
        <f t="shared" si="5"/>
        <v>11</v>
      </c>
      <c r="J81" s="5">
        <f t="shared" si="6"/>
        <v>1988</v>
      </c>
      <c r="K81">
        <v>3</v>
      </c>
      <c r="L81">
        <v>1991</v>
      </c>
      <c r="M81">
        <v>15.286000000000001</v>
      </c>
      <c r="O81" s="3">
        <v>12</v>
      </c>
      <c r="P81" s="3">
        <v>1993</v>
      </c>
      <c r="Q81" s="3">
        <v>13.632</v>
      </c>
    </row>
    <row r="82" spans="1:17" x14ac:dyDescent="0.25">
      <c r="A82" s="9">
        <v>35309</v>
      </c>
      <c r="B82" s="8">
        <v>114.5</v>
      </c>
      <c r="D82" s="4">
        <v>32029</v>
      </c>
      <c r="E82" s="6">
        <v>17.899999999999999</v>
      </c>
      <c r="G82" s="4">
        <f t="shared" si="7"/>
        <v>32479</v>
      </c>
      <c r="H82" s="5">
        <f t="shared" si="4"/>
        <v>14.8</v>
      </c>
      <c r="I82" s="5">
        <f t="shared" si="5"/>
        <v>12</v>
      </c>
      <c r="J82" s="5">
        <f t="shared" si="6"/>
        <v>1988</v>
      </c>
      <c r="K82">
        <v>3</v>
      </c>
      <c r="L82">
        <v>1992</v>
      </c>
      <c r="M82">
        <v>17.657499999999999</v>
      </c>
      <c r="O82" s="3">
        <v>1</v>
      </c>
      <c r="P82" s="3">
        <v>1994</v>
      </c>
      <c r="Q82" s="3">
        <v>14.4025</v>
      </c>
    </row>
    <row r="83" spans="1:17" x14ac:dyDescent="0.25">
      <c r="A83" s="9">
        <v>35339</v>
      </c>
      <c r="B83" s="8">
        <v>122.5</v>
      </c>
      <c r="D83" s="4">
        <v>32030</v>
      </c>
      <c r="E83" s="6">
        <v>18.3</v>
      </c>
      <c r="G83" s="4">
        <f t="shared" si="7"/>
        <v>32486</v>
      </c>
      <c r="H83" s="5">
        <f t="shared" si="4"/>
        <v>14.9</v>
      </c>
      <c r="I83" s="5">
        <f t="shared" si="5"/>
        <v>12</v>
      </c>
      <c r="J83" s="5">
        <f t="shared" si="6"/>
        <v>1988</v>
      </c>
      <c r="K83">
        <v>3</v>
      </c>
      <c r="L83">
        <v>1993</v>
      </c>
      <c r="M83">
        <v>18.89</v>
      </c>
      <c r="O83" s="3">
        <v>2</v>
      </c>
      <c r="P83" s="3">
        <v>1994</v>
      </c>
      <c r="Q83" s="3">
        <v>13.739999999999998</v>
      </c>
    </row>
    <row r="84" spans="1:17" x14ac:dyDescent="0.25">
      <c r="A84" s="9">
        <v>35370</v>
      </c>
      <c r="B84" s="8">
        <v>116.5</v>
      </c>
      <c r="D84" s="4">
        <v>32031</v>
      </c>
      <c r="E84" s="6">
        <v>18.18</v>
      </c>
      <c r="G84" s="4">
        <f t="shared" si="7"/>
        <v>32493</v>
      </c>
      <c r="H84" s="5">
        <f t="shared" si="4"/>
        <v>15.6</v>
      </c>
      <c r="I84" s="5">
        <f t="shared" si="5"/>
        <v>12</v>
      </c>
      <c r="J84" s="5">
        <f t="shared" si="6"/>
        <v>1988</v>
      </c>
      <c r="K84">
        <v>3</v>
      </c>
      <c r="L84">
        <v>1994</v>
      </c>
      <c r="M84">
        <v>13.94</v>
      </c>
      <c r="O84" s="3">
        <v>3</v>
      </c>
      <c r="P84" s="3">
        <v>1994</v>
      </c>
      <c r="Q84" s="3">
        <v>13.94</v>
      </c>
    </row>
    <row r="85" spans="1:17" x14ac:dyDescent="0.25">
      <c r="A85" s="9">
        <v>35400</v>
      </c>
      <c r="B85" s="8">
        <v>120.375</v>
      </c>
      <c r="D85" s="4">
        <v>32034</v>
      </c>
      <c r="E85" s="6">
        <v>18.149999999999999</v>
      </c>
      <c r="G85" s="4">
        <f t="shared" si="7"/>
        <v>32500</v>
      </c>
      <c r="H85" s="5">
        <f t="shared" si="4"/>
        <v>15.38</v>
      </c>
      <c r="I85" s="5">
        <f t="shared" si="5"/>
        <v>12</v>
      </c>
      <c r="J85" s="5">
        <f t="shared" si="6"/>
        <v>1988</v>
      </c>
      <c r="K85">
        <v>3</v>
      </c>
      <c r="L85">
        <v>1995</v>
      </c>
      <c r="M85">
        <v>17.071999999999999</v>
      </c>
      <c r="O85" s="3">
        <v>4</v>
      </c>
      <c r="P85" s="3">
        <v>1994</v>
      </c>
      <c r="Q85" s="3">
        <v>12.232000000000001</v>
      </c>
    </row>
    <row r="86" spans="1:17" x14ac:dyDescent="0.25">
      <c r="A86" s="9">
        <v>35431</v>
      </c>
      <c r="B86" s="8">
        <v>110.2</v>
      </c>
      <c r="D86" s="4">
        <v>32035</v>
      </c>
      <c r="E86" s="6">
        <v>18.53</v>
      </c>
      <c r="G86" s="4">
        <f t="shared" si="7"/>
        <v>32507</v>
      </c>
      <c r="H86" s="5">
        <f t="shared" si="4"/>
        <v>16.23</v>
      </c>
      <c r="I86" s="5">
        <f t="shared" si="5"/>
        <v>12</v>
      </c>
      <c r="J86" s="5">
        <f t="shared" si="6"/>
        <v>1988</v>
      </c>
      <c r="K86">
        <v>3</v>
      </c>
      <c r="L86">
        <v>1996</v>
      </c>
      <c r="M86">
        <v>19.635999999999999</v>
      </c>
      <c r="O86" s="3">
        <v>5</v>
      </c>
      <c r="P86" s="3">
        <v>1994</v>
      </c>
      <c r="Q86" s="3">
        <v>16.265000000000001</v>
      </c>
    </row>
    <row r="87" spans="1:17" x14ac:dyDescent="0.25">
      <c r="A87" s="9">
        <v>35462</v>
      </c>
      <c r="B87" s="8">
        <v>96.375</v>
      </c>
      <c r="D87" s="4">
        <v>32036</v>
      </c>
      <c r="E87" s="6">
        <v>18.53</v>
      </c>
      <c r="G87" s="4">
        <f t="shared" si="7"/>
        <v>32514</v>
      </c>
      <c r="H87" s="5">
        <f t="shared" si="4"/>
        <v>16.850000000000001</v>
      </c>
      <c r="I87" s="5">
        <f t="shared" si="5"/>
        <v>1</v>
      </c>
      <c r="J87" s="5">
        <f t="shared" si="6"/>
        <v>1989</v>
      </c>
      <c r="K87">
        <v>3</v>
      </c>
      <c r="L87">
        <v>1997</v>
      </c>
      <c r="M87">
        <v>14.34</v>
      </c>
      <c r="O87" s="3">
        <v>6</v>
      </c>
      <c r="P87" s="3">
        <v>1994</v>
      </c>
      <c r="Q87" s="3">
        <v>16.759999999999998</v>
      </c>
    </row>
    <row r="88" spans="1:17" x14ac:dyDescent="0.25">
      <c r="A88" s="9">
        <v>35490</v>
      </c>
      <c r="B88" s="8">
        <v>89.75</v>
      </c>
      <c r="D88" s="4">
        <v>32037</v>
      </c>
      <c r="E88" s="6">
        <v>18.43</v>
      </c>
      <c r="G88" s="4">
        <f t="shared" si="7"/>
        <v>32521</v>
      </c>
      <c r="H88" s="5">
        <f t="shared" si="4"/>
        <v>17.399999999999999</v>
      </c>
      <c r="I88" s="5">
        <f t="shared" si="5"/>
        <v>1</v>
      </c>
      <c r="J88" s="5">
        <f t="shared" si="6"/>
        <v>1989</v>
      </c>
      <c r="K88">
        <v>3</v>
      </c>
      <c r="L88">
        <v>1998</v>
      </c>
      <c r="M88">
        <v>13.092500000000001</v>
      </c>
      <c r="O88" s="3">
        <v>7</v>
      </c>
      <c r="P88" s="3">
        <v>1994</v>
      </c>
      <c r="Q88" s="3">
        <v>17.771999999999998</v>
      </c>
    </row>
    <row r="89" spans="1:17" x14ac:dyDescent="0.25">
      <c r="A89" s="9">
        <v>35521</v>
      </c>
      <c r="B89" s="8">
        <v>86.125</v>
      </c>
      <c r="D89" s="4">
        <v>32038</v>
      </c>
      <c r="E89" s="6">
        <v>18.3</v>
      </c>
      <c r="G89" s="4">
        <f t="shared" si="7"/>
        <v>32528</v>
      </c>
      <c r="H89" s="5">
        <f t="shared" si="4"/>
        <v>18.149999999999999</v>
      </c>
      <c r="I89" s="5">
        <f t="shared" si="5"/>
        <v>1</v>
      </c>
      <c r="J89" s="5">
        <f t="shared" si="6"/>
        <v>1989</v>
      </c>
      <c r="K89">
        <v>3</v>
      </c>
      <c r="L89">
        <v>1999</v>
      </c>
      <c r="M89">
        <v>12.61</v>
      </c>
      <c r="O89" s="3">
        <v>8</v>
      </c>
      <c r="P89" s="3">
        <v>1994</v>
      </c>
      <c r="Q89" s="3">
        <v>16.715</v>
      </c>
    </row>
    <row r="90" spans="1:17" x14ac:dyDescent="0.25">
      <c r="A90" s="9">
        <v>35551</v>
      </c>
      <c r="B90" s="8">
        <v>84.6</v>
      </c>
      <c r="D90" s="4">
        <v>32041</v>
      </c>
      <c r="E90" s="6">
        <v>18.28</v>
      </c>
      <c r="G90" s="4">
        <f t="shared" si="7"/>
        <v>32535</v>
      </c>
      <c r="H90" s="5">
        <f t="shared" si="4"/>
        <v>17.18</v>
      </c>
      <c r="I90" s="5">
        <f t="shared" si="5"/>
        <v>1</v>
      </c>
      <c r="J90" s="5">
        <f t="shared" si="6"/>
        <v>1989</v>
      </c>
      <c r="K90">
        <v>3</v>
      </c>
      <c r="L90">
        <v>2000</v>
      </c>
      <c r="M90">
        <v>27.277999999999999</v>
      </c>
      <c r="O90" s="3">
        <v>9</v>
      </c>
      <c r="P90" s="3">
        <v>1994</v>
      </c>
      <c r="Q90" s="3">
        <v>16.027999999999999</v>
      </c>
    </row>
    <row r="91" spans="1:17" x14ac:dyDescent="0.25">
      <c r="A91" s="9">
        <v>35582</v>
      </c>
      <c r="B91" s="8">
        <v>86.625</v>
      </c>
      <c r="D91" s="4">
        <v>32042</v>
      </c>
      <c r="E91" s="6">
        <v>18.48</v>
      </c>
      <c r="G91" s="4">
        <f t="shared" si="7"/>
        <v>32542</v>
      </c>
      <c r="H91" s="5">
        <f t="shared" si="4"/>
        <v>16.75</v>
      </c>
      <c r="I91" s="5">
        <f t="shared" si="5"/>
        <v>2</v>
      </c>
      <c r="J91" s="5">
        <f t="shared" si="6"/>
        <v>1989</v>
      </c>
      <c r="K91">
        <v>3</v>
      </c>
      <c r="L91">
        <v>2001</v>
      </c>
      <c r="M91">
        <v>24.468</v>
      </c>
      <c r="O91" s="3">
        <v>10</v>
      </c>
      <c r="P91" s="3">
        <v>1994</v>
      </c>
      <c r="Q91" s="3">
        <v>16.509999999999998</v>
      </c>
    </row>
    <row r="92" spans="1:17" x14ac:dyDescent="0.25">
      <c r="A92" s="9">
        <v>35612</v>
      </c>
      <c r="B92" s="8">
        <v>89.375</v>
      </c>
      <c r="D92" s="4">
        <v>32043</v>
      </c>
      <c r="E92" s="6">
        <v>18.48</v>
      </c>
      <c r="G92" s="4">
        <f t="shared" si="7"/>
        <v>32549</v>
      </c>
      <c r="H92" s="5">
        <f t="shared" si="4"/>
        <v>16.399999999999999</v>
      </c>
      <c r="I92" s="5">
        <f t="shared" si="5"/>
        <v>2</v>
      </c>
      <c r="J92" s="5">
        <f t="shared" si="6"/>
        <v>1989</v>
      </c>
      <c r="K92">
        <v>3</v>
      </c>
      <c r="L92">
        <v>2002</v>
      </c>
      <c r="M92">
        <v>23.643999999999998</v>
      </c>
      <c r="O92" s="3">
        <v>11</v>
      </c>
      <c r="P92" s="3">
        <v>1994</v>
      </c>
      <c r="Q92" s="3">
        <v>17.2075</v>
      </c>
    </row>
    <row r="93" spans="1:17" x14ac:dyDescent="0.25">
      <c r="A93" s="9">
        <v>35643</v>
      </c>
      <c r="B93" s="8">
        <v>108.69273</v>
      </c>
      <c r="D93" s="4">
        <v>32044</v>
      </c>
      <c r="E93" s="6">
        <v>18.68</v>
      </c>
      <c r="G93" s="4">
        <f t="shared" si="7"/>
        <v>32556</v>
      </c>
      <c r="H93" s="5">
        <f t="shared" si="4"/>
        <v>17.149999999999999</v>
      </c>
      <c r="I93" s="5">
        <f t="shared" si="5"/>
        <v>2</v>
      </c>
      <c r="J93" s="5">
        <f t="shared" si="6"/>
        <v>1989</v>
      </c>
      <c r="K93">
        <v>3</v>
      </c>
      <c r="L93">
        <v>2003</v>
      </c>
      <c r="M93">
        <v>29.8</v>
      </c>
      <c r="O93" s="3">
        <v>12</v>
      </c>
      <c r="P93" s="3">
        <v>1994</v>
      </c>
      <c r="Q93" s="3">
        <v>15.937999999999999</v>
      </c>
    </row>
    <row r="94" spans="1:17" x14ac:dyDescent="0.25">
      <c r="A94" s="9">
        <v>35674</v>
      </c>
      <c r="B94" s="8">
        <v>97.5</v>
      </c>
      <c r="D94" s="4">
        <v>32045</v>
      </c>
      <c r="E94" s="6">
        <v>18.600000000000001</v>
      </c>
      <c r="G94" s="4">
        <f t="shared" si="7"/>
        <v>32563</v>
      </c>
      <c r="H94" s="5">
        <f t="shared" si="4"/>
        <v>17.05</v>
      </c>
      <c r="I94" s="5">
        <f t="shared" si="5"/>
        <v>2</v>
      </c>
      <c r="J94" s="5">
        <f t="shared" si="6"/>
        <v>1989</v>
      </c>
      <c r="K94">
        <v>3</v>
      </c>
      <c r="L94">
        <v>2004</v>
      </c>
      <c r="M94">
        <v>33.5</v>
      </c>
      <c r="O94" s="3">
        <v>1</v>
      </c>
      <c r="P94" s="3">
        <v>1995</v>
      </c>
      <c r="Q94" s="3">
        <v>16.54</v>
      </c>
    </row>
    <row r="95" spans="1:17" x14ac:dyDescent="0.25">
      <c r="A95" s="9">
        <v>35704</v>
      </c>
      <c r="B95" s="8">
        <v>104.6</v>
      </c>
      <c r="D95" s="4">
        <v>32048</v>
      </c>
      <c r="E95" s="6">
        <v>18.649999999999999</v>
      </c>
      <c r="G95" s="4">
        <f t="shared" si="7"/>
        <v>32570</v>
      </c>
      <c r="H95" s="5">
        <f t="shared" si="4"/>
        <v>17.73</v>
      </c>
      <c r="I95" s="5">
        <f t="shared" si="5"/>
        <v>3</v>
      </c>
      <c r="J95" s="5">
        <f t="shared" si="6"/>
        <v>1989</v>
      </c>
      <c r="K95">
        <v>3</v>
      </c>
      <c r="L95">
        <v>2005</v>
      </c>
      <c r="M95">
        <v>40.305</v>
      </c>
      <c r="O95" s="3">
        <v>2</v>
      </c>
      <c r="P95" s="3">
        <v>1995</v>
      </c>
      <c r="Q95" s="3">
        <v>17.1875</v>
      </c>
    </row>
    <row r="96" spans="1:17" x14ac:dyDescent="0.25">
      <c r="A96" s="9">
        <v>35735</v>
      </c>
      <c r="B96" s="8">
        <v>107.5</v>
      </c>
      <c r="D96" s="4">
        <v>32049</v>
      </c>
      <c r="E96" s="6">
        <v>18.5</v>
      </c>
      <c r="G96" s="4">
        <f t="shared" si="7"/>
        <v>32577</v>
      </c>
      <c r="H96" s="5">
        <f t="shared" si="4"/>
        <v>17.63</v>
      </c>
      <c r="I96" s="5">
        <f t="shared" si="5"/>
        <v>3</v>
      </c>
      <c r="J96" s="5">
        <f t="shared" si="6"/>
        <v>1989</v>
      </c>
      <c r="K96">
        <v>3</v>
      </c>
      <c r="L96">
        <v>2006</v>
      </c>
      <c r="M96">
        <v>62.822000000000003</v>
      </c>
      <c r="O96" s="3">
        <v>3</v>
      </c>
      <c r="P96" s="3">
        <v>1995</v>
      </c>
      <c r="Q96" s="3">
        <v>17.071999999999999</v>
      </c>
    </row>
    <row r="97" spans="1:17" x14ac:dyDescent="0.25">
      <c r="A97" s="9">
        <v>35765</v>
      </c>
      <c r="B97" s="8">
        <v>88.6875</v>
      </c>
      <c r="D97" s="4">
        <v>32050</v>
      </c>
      <c r="E97" s="6">
        <v>18.48</v>
      </c>
      <c r="G97" s="4">
        <f t="shared" si="7"/>
        <v>32584</v>
      </c>
      <c r="H97" s="5">
        <f t="shared" si="4"/>
        <v>19.3</v>
      </c>
      <c r="I97" s="5">
        <f t="shared" si="5"/>
        <v>3</v>
      </c>
      <c r="J97" s="5">
        <f t="shared" si="6"/>
        <v>1989</v>
      </c>
      <c r="K97">
        <v>3</v>
      </c>
      <c r="L97">
        <v>2007</v>
      </c>
      <c r="M97">
        <v>62.93399999999999</v>
      </c>
      <c r="O97" s="3">
        <v>4</v>
      </c>
      <c r="P97" s="3">
        <v>1995</v>
      </c>
      <c r="Q97" s="3">
        <v>14.1525</v>
      </c>
    </row>
    <row r="98" spans="1:17" x14ac:dyDescent="0.25">
      <c r="A98" s="9">
        <v>35796</v>
      </c>
      <c r="B98" s="8">
        <v>73.5</v>
      </c>
      <c r="D98" s="4">
        <v>32051</v>
      </c>
      <c r="E98" s="6">
        <v>18.5</v>
      </c>
      <c r="G98" s="4">
        <f t="shared" si="7"/>
        <v>32591</v>
      </c>
      <c r="H98" s="5">
        <f t="shared" si="4"/>
        <v>0</v>
      </c>
      <c r="I98" s="5">
        <f t="shared" si="5"/>
        <v>3</v>
      </c>
      <c r="J98" s="5">
        <f t="shared" si="6"/>
        <v>1989</v>
      </c>
      <c r="K98">
        <v>3</v>
      </c>
      <c r="L98">
        <v>2008</v>
      </c>
      <c r="M98">
        <v>79.125</v>
      </c>
      <c r="O98" s="3">
        <v>5</v>
      </c>
      <c r="P98" s="3">
        <v>1995</v>
      </c>
      <c r="Q98" s="3">
        <v>18.327500000000001</v>
      </c>
    </row>
    <row r="99" spans="1:17" x14ac:dyDescent="0.25">
      <c r="A99" s="9">
        <v>35827</v>
      </c>
      <c r="B99" s="8">
        <v>69</v>
      </c>
      <c r="D99" s="4">
        <v>32052</v>
      </c>
      <c r="E99" s="6">
        <v>18.649999999999999</v>
      </c>
      <c r="G99" s="4">
        <f t="shared" si="7"/>
        <v>32598</v>
      </c>
      <c r="H99" s="5">
        <f t="shared" si="4"/>
        <v>20.45</v>
      </c>
      <c r="I99" s="5">
        <f t="shared" si="5"/>
        <v>3</v>
      </c>
      <c r="J99" s="5">
        <f t="shared" si="6"/>
        <v>1989</v>
      </c>
      <c r="K99">
        <v>3</v>
      </c>
      <c r="L99">
        <v>2009</v>
      </c>
      <c r="M99">
        <v>47.1325</v>
      </c>
      <c r="O99" s="3">
        <v>6</v>
      </c>
      <c r="P99" s="3">
        <v>1995</v>
      </c>
      <c r="Q99" s="3">
        <v>17.261999999999997</v>
      </c>
    </row>
    <row r="100" spans="1:17" x14ac:dyDescent="0.25">
      <c r="A100" s="9">
        <v>35855</v>
      </c>
      <c r="B100" s="8">
        <v>67.25</v>
      </c>
      <c r="D100" s="4">
        <v>32055</v>
      </c>
      <c r="E100" s="6">
        <v>18.78</v>
      </c>
      <c r="G100" s="4">
        <f t="shared" si="7"/>
        <v>32605</v>
      </c>
      <c r="H100" s="5">
        <f t="shared" si="4"/>
        <v>19.399999999999999</v>
      </c>
      <c r="I100" s="5">
        <f t="shared" si="5"/>
        <v>4</v>
      </c>
      <c r="J100" s="5">
        <f t="shared" si="6"/>
        <v>1989</v>
      </c>
      <c r="K100">
        <v>3</v>
      </c>
      <c r="L100">
        <v>2010</v>
      </c>
      <c r="M100">
        <v>78.732500000000002</v>
      </c>
      <c r="O100" s="3">
        <v>7</v>
      </c>
      <c r="P100" s="3">
        <v>1995</v>
      </c>
      <c r="Q100" s="3">
        <v>15.795</v>
      </c>
    </row>
    <row r="101" spans="1:17" x14ac:dyDescent="0.25">
      <c r="A101" s="9">
        <v>35886</v>
      </c>
      <c r="B101" s="8">
        <v>79.75</v>
      </c>
      <c r="D101" s="4">
        <v>32056</v>
      </c>
      <c r="E101" s="6">
        <v>18.600000000000001</v>
      </c>
      <c r="G101" s="4">
        <f t="shared" si="7"/>
        <v>32612</v>
      </c>
      <c r="H101" s="5">
        <f t="shared" si="4"/>
        <v>19.63</v>
      </c>
      <c r="I101" s="5">
        <f t="shared" si="5"/>
        <v>4</v>
      </c>
      <c r="J101" s="5">
        <f t="shared" si="6"/>
        <v>1989</v>
      </c>
      <c r="K101">
        <v>3</v>
      </c>
      <c r="L101">
        <v>2011</v>
      </c>
      <c r="M101">
        <v>114.83999999999999</v>
      </c>
      <c r="O101" s="3">
        <v>8</v>
      </c>
      <c r="P101" s="3">
        <v>1995</v>
      </c>
      <c r="Q101" s="3">
        <v>16.122500000000002</v>
      </c>
    </row>
    <row r="102" spans="1:17" x14ac:dyDescent="0.25">
      <c r="A102" s="9">
        <v>35916</v>
      </c>
      <c r="B102" s="8">
        <v>73.2</v>
      </c>
      <c r="D102" s="4">
        <v>32057</v>
      </c>
      <c r="E102" s="6">
        <v>18.579999999999998</v>
      </c>
      <c r="G102" s="4">
        <f t="shared" si="7"/>
        <v>32619</v>
      </c>
      <c r="H102" s="5">
        <f t="shared" si="4"/>
        <v>21.6</v>
      </c>
      <c r="I102" s="5">
        <f t="shared" si="5"/>
        <v>4</v>
      </c>
      <c r="J102" s="5">
        <f t="shared" si="6"/>
        <v>1989</v>
      </c>
      <c r="K102">
        <v>3</v>
      </c>
      <c r="L102">
        <v>2012</v>
      </c>
      <c r="M102">
        <v>125.54400000000001</v>
      </c>
      <c r="O102" s="3">
        <v>9</v>
      </c>
      <c r="P102" s="3">
        <v>1995</v>
      </c>
      <c r="Q102" s="3">
        <v>16.667999999999999</v>
      </c>
    </row>
    <row r="103" spans="1:17" x14ac:dyDescent="0.25">
      <c r="A103" s="9">
        <v>35947</v>
      </c>
      <c r="B103" s="8">
        <v>67.375</v>
      </c>
      <c r="D103" s="4">
        <v>32058</v>
      </c>
      <c r="E103" s="6">
        <v>18.63</v>
      </c>
      <c r="G103" s="4">
        <f t="shared" si="7"/>
        <v>32626</v>
      </c>
      <c r="H103" s="5">
        <f t="shared" si="4"/>
        <v>20.149999999999999</v>
      </c>
      <c r="I103" s="5">
        <f t="shared" si="5"/>
        <v>4</v>
      </c>
      <c r="J103" s="5">
        <f t="shared" si="6"/>
        <v>1989</v>
      </c>
      <c r="K103">
        <v>3</v>
      </c>
      <c r="L103">
        <v>2013</v>
      </c>
      <c r="M103">
        <v>86.975999999999999</v>
      </c>
      <c r="O103" s="3">
        <v>10</v>
      </c>
      <c r="P103" s="3">
        <v>1995</v>
      </c>
      <c r="Q103" s="3">
        <v>15.97</v>
      </c>
    </row>
    <row r="104" spans="1:17" x14ac:dyDescent="0.25">
      <c r="A104" s="9">
        <v>35977</v>
      </c>
      <c r="B104" s="8">
        <v>66.7</v>
      </c>
      <c r="D104" s="4">
        <v>32059</v>
      </c>
      <c r="E104" s="6">
        <v>18.600000000000001</v>
      </c>
      <c r="G104" s="4">
        <f t="shared" si="7"/>
        <v>32633</v>
      </c>
      <c r="H104" s="5">
        <f t="shared" si="4"/>
        <v>19.399999999999999</v>
      </c>
      <c r="I104" s="5">
        <f t="shared" si="5"/>
        <v>5</v>
      </c>
      <c r="J104" s="5">
        <f t="shared" si="6"/>
        <v>1989</v>
      </c>
      <c r="K104">
        <v>3</v>
      </c>
      <c r="L104">
        <v>2014</v>
      </c>
      <c r="M104">
        <v>107.765</v>
      </c>
      <c r="O104" s="3">
        <v>11</v>
      </c>
      <c r="P104" s="3">
        <v>1995</v>
      </c>
      <c r="Q104" s="3">
        <v>16.917499999999997</v>
      </c>
    </row>
    <row r="105" spans="1:17" x14ac:dyDescent="0.25">
      <c r="A105" s="9">
        <v>36008</v>
      </c>
      <c r="B105" s="8">
        <v>62.625</v>
      </c>
      <c r="D105" s="4">
        <v>32062</v>
      </c>
      <c r="E105" s="6">
        <v>18.55</v>
      </c>
      <c r="G105" s="4">
        <f t="shared" si="7"/>
        <v>32640</v>
      </c>
      <c r="H105" s="5">
        <f t="shared" si="4"/>
        <v>19.2</v>
      </c>
      <c r="I105" s="5">
        <f t="shared" si="5"/>
        <v>5</v>
      </c>
      <c r="J105" s="5">
        <f t="shared" si="6"/>
        <v>1989</v>
      </c>
      <c r="K105">
        <v>3</v>
      </c>
      <c r="L105">
        <v>2015</v>
      </c>
      <c r="M105">
        <v>56.067499999999995</v>
      </c>
      <c r="O105" s="3">
        <v>12</v>
      </c>
      <c r="P105" s="3">
        <v>1995</v>
      </c>
      <c r="Q105" s="3">
        <v>17.977999999999998</v>
      </c>
    </row>
    <row r="106" spans="1:17" x14ac:dyDescent="0.25">
      <c r="A106" s="9">
        <v>36039</v>
      </c>
      <c r="B106" s="8">
        <v>66.25</v>
      </c>
      <c r="D106" s="4">
        <v>32063</v>
      </c>
      <c r="E106" s="6">
        <v>18.55</v>
      </c>
      <c r="G106" s="4">
        <f t="shared" si="7"/>
        <v>32647</v>
      </c>
      <c r="H106" s="5">
        <f t="shared" si="4"/>
        <v>18.3</v>
      </c>
      <c r="I106" s="5">
        <f t="shared" si="5"/>
        <v>5</v>
      </c>
      <c r="J106" s="5">
        <f t="shared" si="6"/>
        <v>1989</v>
      </c>
      <c r="K106">
        <v>3</v>
      </c>
      <c r="L106">
        <v>2016</v>
      </c>
      <c r="M106">
        <v>29.07</v>
      </c>
      <c r="O106" s="3">
        <v>1</v>
      </c>
      <c r="P106" s="3">
        <v>1996</v>
      </c>
      <c r="Q106" s="3">
        <v>17.827500000000001</v>
      </c>
    </row>
    <row r="107" spans="1:17" x14ac:dyDescent="0.25">
      <c r="A107" s="9">
        <v>36069</v>
      </c>
      <c r="B107" s="8">
        <v>69.5</v>
      </c>
      <c r="D107" s="4">
        <v>32064</v>
      </c>
      <c r="E107" s="6">
        <v>18.68</v>
      </c>
      <c r="G107" s="4">
        <f t="shared" si="7"/>
        <v>32654</v>
      </c>
      <c r="H107" s="5">
        <f t="shared" si="4"/>
        <v>17.649999999999999</v>
      </c>
      <c r="I107" s="5">
        <f t="shared" si="5"/>
        <v>5</v>
      </c>
      <c r="J107" s="5">
        <f t="shared" si="6"/>
        <v>1989</v>
      </c>
      <c r="K107">
        <v>3</v>
      </c>
      <c r="L107">
        <v>2017</v>
      </c>
      <c r="M107">
        <v>51.5</v>
      </c>
      <c r="O107" s="3">
        <v>2</v>
      </c>
      <c r="P107" s="3">
        <v>1996</v>
      </c>
      <c r="Q107" s="3">
        <v>17.832500000000003</v>
      </c>
    </row>
    <row r="108" spans="1:17" x14ac:dyDescent="0.25">
      <c r="A108" s="9">
        <v>36100</v>
      </c>
      <c r="B108" s="8">
        <v>60.5</v>
      </c>
      <c r="D108" s="4">
        <v>32065</v>
      </c>
      <c r="E108" s="6">
        <v>18.68</v>
      </c>
      <c r="G108" s="4">
        <f t="shared" si="7"/>
        <v>32661</v>
      </c>
      <c r="H108" s="5">
        <f t="shared" si="4"/>
        <v>18.149999999999999</v>
      </c>
      <c r="I108" s="5">
        <f t="shared" si="5"/>
        <v>6</v>
      </c>
      <c r="J108" s="5">
        <f t="shared" si="6"/>
        <v>1989</v>
      </c>
      <c r="K108">
        <v>3</v>
      </c>
      <c r="L108">
        <v>2018</v>
      </c>
      <c r="M108">
        <v>52.631999999999991</v>
      </c>
      <c r="O108" s="3">
        <v>3</v>
      </c>
      <c r="P108" s="3">
        <v>1996</v>
      </c>
      <c r="Q108" s="3">
        <v>19.635999999999999</v>
      </c>
    </row>
    <row r="109" spans="1:17" x14ac:dyDescent="0.25">
      <c r="A109" s="9">
        <v>36130</v>
      </c>
      <c r="B109" s="8">
        <v>55.8</v>
      </c>
      <c r="D109" s="4">
        <v>32066</v>
      </c>
      <c r="E109" s="6">
        <v>19</v>
      </c>
      <c r="G109" s="4">
        <f t="shared" si="7"/>
        <v>32668</v>
      </c>
      <c r="H109" s="5">
        <f t="shared" si="4"/>
        <v>17.95</v>
      </c>
      <c r="I109" s="5">
        <f t="shared" si="5"/>
        <v>6</v>
      </c>
      <c r="J109" s="5">
        <f t="shared" si="6"/>
        <v>1989</v>
      </c>
      <c r="K109">
        <v>3</v>
      </c>
      <c r="L109">
        <v>2019</v>
      </c>
      <c r="M109">
        <v>65.940000000000012</v>
      </c>
      <c r="O109" s="3">
        <v>4</v>
      </c>
      <c r="P109" s="3">
        <v>1996</v>
      </c>
      <c r="Q109" s="3">
        <v>15.577500000000001</v>
      </c>
    </row>
    <row r="110" spans="1:17" x14ac:dyDescent="0.25">
      <c r="A110" s="9">
        <v>36161</v>
      </c>
      <c r="B110" s="8">
        <v>64.5</v>
      </c>
      <c r="D110" s="4">
        <v>32069</v>
      </c>
      <c r="E110" s="6">
        <v>19.100000000000001</v>
      </c>
      <c r="G110" s="4">
        <f t="shared" si="7"/>
        <v>32675</v>
      </c>
      <c r="H110" s="5">
        <f t="shared" si="4"/>
        <v>16.649999999999999</v>
      </c>
      <c r="I110" s="5">
        <f t="shared" si="5"/>
        <v>6</v>
      </c>
      <c r="J110" s="5">
        <f t="shared" si="6"/>
        <v>1989</v>
      </c>
      <c r="K110">
        <v>3</v>
      </c>
      <c r="L110">
        <v>2020</v>
      </c>
      <c r="M110">
        <v>31.447499999999998</v>
      </c>
      <c r="O110" s="3">
        <v>5</v>
      </c>
      <c r="P110" s="3">
        <v>1996</v>
      </c>
      <c r="Q110" s="3">
        <v>18.898000000000003</v>
      </c>
    </row>
    <row r="111" spans="1:17" x14ac:dyDescent="0.25">
      <c r="A111" s="9">
        <v>36192</v>
      </c>
      <c r="B111" s="8">
        <v>57.75</v>
      </c>
      <c r="D111" s="4">
        <v>32070</v>
      </c>
      <c r="E111" s="6">
        <v>18.78</v>
      </c>
      <c r="G111" s="4">
        <f t="shared" si="7"/>
        <v>32682</v>
      </c>
      <c r="H111" s="5">
        <f t="shared" si="4"/>
        <v>18.03</v>
      </c>
      <c r="I111" s="5">
        <f t="shared" si="5"/>
        <v>6</v>
      </c>
      <c r="J111" s="5">
        <f t="shared" si="6"/>
        <v>1989</v>
      </c>
      <c r="K111">
        <v>3</v>
      </c>
      <c r="L111">
        <v>2021</v>
      </c>
      <c r="M111">
        <v>66.647499999999994</v>
      </c>
      <c r="O111" s="3">
        <v>6</v>
      </c>
      <c r="P111" s="3">
        <v>1996</v>
      </c>
      <c r="Q111" s="3">
        <v>18.489999999999998</v>
      </c>
    </row>
    <row r="112" spans="1:17" x14ac:dyDescent="0.25">
      <c r="A112" s="9">
        <v>36220</v>
      </c>
      <c r="B112" s="8">
        <v>61.875</v>
      </c>
      <c r="D112" s="4">
        <v>32071</v>
      </c>
      <c r="E112" s="6">
        <v>18.93</v>
      </c>
      <c r="G112" s="4">
        <f t="shared" si="7"/>
        <v>32689</v>
      </c>
      <c r="H112" s="5">
        <f t="shared" si="4"/>
        <v>18.28</v>
      </c>
      <c r="I112" s="5">
        <f t="shared" si="5"/>
        <v>6</v>
      </c>
      <c r="J112" s="5">
        <f t="shared" si="6"/>
        <v>1989</v>
      </c>
      <c r="K112">
        <v>3</v>
      </c>
      <c r="L112">
        <v>2022</v>
      </c>
      <c r="M112">
        <v>119.74</v>
      </c>
      <c r="O112" s="3">
        <v>7</v>
      </c>
      <c r="P112" s="3">
        <v>1996</v>
      </c>
      <c r="Q112" s="3">
        <v>19.572500000000002</v>
      </c>
    </row>
    <row r="113" spans="1:17" x14ac:dyDescent="0.25">
      <c r="A113" s="9">
        <v>36251</v>
      </c>
      <c r="B113" s="8">
        <v>72.8</v>
      </c>
      <c r="D113" s="4">
        <v>32072</v>
      </c>
      <c r="E113" s="6">
        <v>19.13</v>
      </c>
      <c r="G113" s="4">
        <f t="shared" si="7"/>
        <v>32696</v>
      </c>
      <c r="H113" s="5">
        <f t="shared" si="4"/>
        <v>17.850000000000001</v>
      </c>
      <c r="I113" s="5">
        <f t="shared" si="5"/>
        <v>7</v>
      </c>
      <c r="J113" s="5">
        <f t="shared" si="6"/>
        <v>1989</v>
      </c>
      <c r="K113">
        <v>3</v>
      </c>
      <c r="L113">
        <v>2023</v>
      </c>
      <c r="M113">
        <v>78.378</v>
      </c>
      <c r="O113" s="3">
        <v>8</v>
      </c>
      <c r="P113" s="3">
        <v>1996</v>
      </c>
      <c r="Q113" s="3">
        <v>20.548000000000002</v>
      </c>
    </row>
    <row r="114" spans="1:17" x14ac:dyDescent="0.25">
      <c r="A114" s="9">
        <v>36281</v>
      </c>
      <c r="B114" s="8">
        <v>71.875</v>
      </c>
      <c r="D114" s="4">
        <v>32073</v>
      </c>
      <c r="E114" s="6">
        <v>18.98</v>
      </c>
      <c r="G114" s="4">
        <f t="shared" si="7"/>
        <v>32703</v>
      </c>
      <c r="H114" s="5">
        <f t="shared" si="4"/>
        <v>17.899999999999999</v>
      </c>
      <c r="I114" s="5">
        <f t="shared" si="5"/>
        <v>7</v>
      </c>
      <c r="J114" s="5">
        <f t="shared" si="6"/>
        <v>1989</v>
      </c>
      <c r="K114">
        <v>3</v>
      </c>
      <c r="L114">
        <v>2024</v>
      </c>
      <c r="M114">
        <v>67.873999999999995</v>
      </c>
      <c r="O114" s="3">
        <v>9</v>
      </c>
      <c r="P114" s="3">
        <v>1996</v>
      </c>
      <c r="Q114" s="3">
        <v>22.734999999999999</v>
      </c>
    </row>
    <row r="115" spans="1:17" x14ac:dyDescent="0.25">
      <c r="A115" s="9">
        <v>36312</v>
      </c>
      <c r="B115" s="8">
        <v>80.75</v>
      </c>
      <c r="D115" s="4">
        <v>32076</v>
      </c>
      <c r="E115" s="6">
        <v>18.75</v>
      </c>
      <c r="G115" s="4">
        <f t="shared" si="7"/>
        <v>32710</v>
      </c>
      <c r="H115" s="5">
        <f t="shared" si="4"/>
        <v>17.829999999999998</v>
      </c>
      <c r="I115" s="5">
        <f t="shared" si="5"/>
        <v>7</v>
      </c>
      <c r="J115" s="5">
        <f t="shared" si="6"/>
        <v>1989</v>
      </c>
      <c r="K115">
        <v>3</v>
      </c>
      <c r="L115">
        <v>2025</v>
      </c>
      <c r="M115">
        <v>72.94</v>
      </c>
      <c r="O115" s="3">
        <v>10</v>
      </c>
      <c r="P115" s="3">
        <v>1996</v>
      </c>
      <c r="Q115" s="3">
        <v>24.259999999999998</v>
      </c>
    </row>
    <row r="116" spans="1:17" x14ac:dyDescent="0.25">
      <c r="A116" s="9">
        <v>36342</v>
      </c>
      <c r="B116" s="8">
        <v>95.7</v>
      </c>
      <c r="D116" s="4">
        <v>32077</v>
      </c>
      <c r="E116" s="6">
        <v>18.8</v>
      </c>
      <c r="G116" s="4">
        <f t="shared" si="7"/>
        <v>32717</v>
      </c>
      <c r="H116" s="5">
        <f t="shared" si="4"/>
        <v>16.38</v>
      </c>
      <c r="I116" s="5">
        <f t="shared" si="5"/>
        <v>7</v>
      </c>
      <c r="J116" s="5">
        <f t="shared" si="6"/>
        <v>1989</v>
      </c>
      <c r="K116">
        <v>4</v>
      </c>
      <c r="L116">
        <v>1988</v>
      </c>
      <c r="M116">
        <v>13.23</v>
      </c>
      <c r="O116" s="3">
        <v>11</v>
      </c>
      <c r="P116" s="3">
        <v>1996</v>
      </c>
      <c r="Q116" s="3">
        <v>23.002000000000002</v>
      </c>
    </row>
    <row r="117" spans="1:17" x14ac:dyDescent="0.25">
      <c r="A117" s="9">
        <v>36373</v>
      </c>
      <c r="B117" s="8">
        <v>112.875</v>
      </c>
      <c r="D117" s="4">
        <v>32078</v>
      </c>
      <c r="E117" s="6">
        <v>18.850000000000001</v>
      </c>
      <c r="G117" s="4">
        <f t="shared" si="7"/>
        <v>32724</v>
      </c>
      <c r="H117" s="5">
        <f t="shared" si="4"/>
        <v>16.149999999999999</v>
      </c>
      <c r="I117" s="5">
        <f t="shared" si="5"/>
        <v>8</v>
      </c>
      <c r="J117" s="5">
        <f t="shared" si="6"/>
        <v>1989</v>
      </c>
      <c r="K117">
        <v>4</v>
      </c>
      <c r="L117">
        <v>1989</v>
      </c>
      <c r="M117">
        <v>20.195</v>
      </c>
      <c r="O117" s="3">
        <v>12</v>
      </c>
      <c r="P117" s="3">
        <v>1996</v>
      </c>
      <c r="Q117" s="3">
        <v>23.724999999999998</v>
      </c>
    </row>
    <row r="118" spans="1:17" x14ac:dyDescent="0.25">
      <c r="A118" s="9">
        <v>36404</v>
      </c>
      <c r="B118" s="8">
        <v>117.75</v>
      </c>
      <c r="D118" s="4">
        <v>32079</v>
      </c>
      <c r="E118" s="6">
        <v>18.75</v>
      </c>
      <c r="G118" s="4">
        <f t="shared" si="7"/>
        <v>32731</v>
      </c>
      <c r="H118" s="5">
        <f t="shared" si="4"/>
        <v>17</v>
      </c>
      <c r="I118" s="5">
        <f t="shared" si="5"/>
        <v>8</v>
      </c>
      <c r="J118" s="5">
        <f t="shared" si="6"/>
        <v>1989</v>
      </c>
      <c r="K118">
        <v>4</v>
      </c>
      <c r="L118">
        <v>1990</v>
      </c>
      <c r="M118">
        <v>12.47</v>
      </c>
      <c r="O118" s="3">
        <v>1</v>
      </c>
      <c r="P118" s="3">
        <v>1997</v>
      </c>
      <c r="Q118" s="3">
        <v>23.472000000000001</v>
      </c>
    </row>
    <row r="119" spans="1:17" x14ac:dyDescent="0.25">
      <c r="A119" s="9">
        <v>36434</v>
      </c>
      <c r="B119" s="8">
        <v>127.7</v>
      </c>
      <c r="D119" s="4">
        <v>32080</v>
      </c>
      <c r="E119" s="6">
        <v>18.8</v>
      </c>
      <c r="G119" s="4">
        <f t="shared" si="7"/>
        <v>32738</v>
      </c>
      <c r="H119" s="5">
        <f t="shared" si="4"/>
        <v>16.829999999999998</v>
      </c>
      <c r="I119" s="5">
        <f t="shared" si="5"/>
        <v>8</v>
      </c>
      <c r="J119" s="5">
        <f t="shared" si="6"/>
        <v>1989</v>
      </c>
      <c r="K119">
        <v>4</v>
      </c>
      <c r="L119">
        <v>1991</v>
      </c>
      <c r="M119">
        <v>19.272500000000001</v>
      </c>
      <c r="O119" s="3">
        <v>2</v>
      </c>
      <c r="P119" s="3">
        <v>1997</v>
      </c>
      <c r="Q119" s="3">
        <v>15.032499999999999</v>
      </c>
    </row>
    <row r="120" spans="1:17" x14ac:dyDescent="0.25">
      <c r="A120" s="9">
        <v>36465</v>
      </c>
      <c r="B120" s="8">
        <v>130</v>
      </c>
      <c r="D120" s="4">
        <v>32083</v>
      </c>
      <c r="E120" s="6">
        <v>18.63</v>
      </c>
      <c r="G120" s="4">
        <f t="shared" si="7"/>
        <v>32745</v>
      </c>
      <c r="H120" s="5">
        <f t="shared" si="4"/>
        <v>16.95</v>
      </c>
      <c r="I120" s="5">
        <f t="shared" si="5"/>
        <v>8</v>
      </c>
      <c r="J120" s="5">
        <f t="shared" si="6"/>
        <v>1989</v>
      </c>
      <c r="K120">
        <v>4</v>
      </c>
      <c r="L120">
        <v>1992</v>
      </c>
      <c r="M120">
        <v>14.145</v>
      </c>
      <c r="O120" s="3">
        <v>3</v>
      </c>
      <c r="P120" s="3">
        <v>1997</v>
      </c>
      <c r="Q120" s="3">
        <v>14.34</v>
      </c>
    </row>
    <row r="121" spans="1:17" x14ac:dyDescent="0.25">
      <c r="A121" s="9">
        <v>36495</v>
      </c>
      <c r="B121" s="8">
        <v>127.3</v>
      </c>
      <c r="D121" s="4">
        <v>32084</v>
      </c>
      <c r="E121" s="6">
        <v>18.38</v>
      </c>
      <c r="G121" s="4">
        <f t="shared" si="7"/>
        <v>32752</v>
      </c>
      <c r="H121" s="5">
        <f t="shared" si="4"/>
        <v>17.329999999999998</v>
      </c>
      <c r="I121" s="5">
        <f t="shared" si="5"/>
        <v>9</v>
      </c>
      <c r="J121" s="5">
        <f t="shared" si="6"/>
        <v>1989</v>
      </c>
      <c r="K121">
        <v>4</v>
      </c>
      <c r="L121">
        <v>1993</v>
      </c>
      <c r="M121">
        <v>14.971999999999998</v>
      </c>
      <c r="O121" s="3">
        <v>4</v>
      </c>
      <c r="P121" s="3">
        <v>1997</v>
      </c>
      <c r="Q121" s="3">
        <v>17.53</v>
      </c>
    </row>
    <row r="122" spans="1:17" x14ac:dyDescent="0.25">
      <c r="A122" s="9">
        <v>36526</v>
      </c>
      <c r="B122" s="8">
        <v>127.5</v>
      </c>
      <c r="D122" s="4">
        <v>32085</v>
      </c>
      <c r="E122" s="6">
        <v>17.93</v>
      </c>
      <c r="G122" s="4">
        <f t="shared" si="7"/>
        <v>32759</v>
      </c>
      <c r="H122" s="5">
        <f t="shared" si="4"/>
        <v>17.829999999999998</v>
      </c>
      <c r="I122" s="5">
        <f t="shared" si="5"/>
        <v>9</v>
      </c>
      <c r="J122" s="5">
        <f t="shared" si="6"/>
        <v>1989</v>
      </c>
      <c r="K122">
        <v>4</v>
      </c>
      <c r="L122">
        <v>1994</v>
      </c>
      <c r="M122">
        <v>12.232000000000001</v>
      </c>
      <c r="O122" s="3">
        <v>5</v>
      </c>
      <c r="P122" s="3">
        <v>1997</v>
      </c>
      <c r="Q122" s="3">
        <v>19.045999999999999</v>
      </c>
    </row>
    <row r="123" spans="1:17" x14ac:dyDescent="0.25">
      <c r="A123" s="9">
        <v>36557</v>
      </c>
      <c r="B123" s="8">
        <v>133.875</v>
      </c>
      <c r="D123" s="4">
        <v>32086</v>
      </c>
      <c r="E123" s="6">
        <v>17.850000000000001</v>
      </c>
      <c r="G123" s="4">
        <f t="shared" si="7"/>
        <v>32766</v>
      </c>
      <c r="H123" s="5">
        <f t="shared" si="4"/>
        <v>17.88</v>
      </c>
      <c r="I123" s="5">
        <f t="shared" si="5"/>
        <v>9</v>
      </c>
      <c r="J123" s="5">
        <f t="shared" si="6"/>
        <v>1989</v>
      </c>
      <c r="K123">
        <v>4</v>
      </c>
      <c r="L123">
        <v>1995</v>
      </c>
      <c r="M123">
        <v>14.1525</v>
      </c>
      <c r="O123" s="3">
        <v>6</v>
      </c>
      <c r="P123" s="3">
        <v>1997</v>
      </c>
      <c r="Q123" s="3">
        <v>17.337499999999999</v>
      </c>
    </row>
    <row r="124" spans="1:17" x14ac:dyDescent="0.25">
      <c r="A124" s="9">
        <v>36586</v>
      </c>
      <c r="B124" s="8">
        <v>147.30000000000001</v>
      </c>
      <c r="D124" s="4">
        <v>32087</v>
      </c>
      <c r="E124" s="6">
        <v>17.95</v>
      </c>
      <c r="G124" s="4">
        <f t="shared" si="7"/>
        <v>32773</v>
      </c>
      <c r="H124" s="5">
        <f t="shared" si="4"/>
        <v>17.53</v>
      </c>
      <c r="I124" s="5">
        <f t="shared" si="5"/>
        <v>9</v>
      </c>
      <c r="J124" s="5">
        <f t="shared" si="6"/>
        <v>1989</v>
      </c>
      <c r="K124">
        <v>4</v>
      </c>
      <c r="L124">
        <v>1996</v>
      </c>
      <c r="M124">
        <v>15.577500000000001</v>
      </c>
      <c r="O124" s="3">
        <v>7</v>
      </c>
      <c r="P124" s="3">
        <v>1997</v>
      </c>
      <c r="Q124" s="3">
        <v>13.745000000000001</v>
      </c>
    </row>
    <row r="125" spans="1:17" x14ac:dyDescent="0.25">
      <c r="A125" s="9">
        <v>36617</v>
      </c>
      <c r="B125" s="8">
        <v>125.5</v>
      </c>
      <c r="D125" s="4">
        <v>32090</v>
      </c>
      <c r="E125" s="6">
        <v>17.5</v>
      </c>
      <c r="G125" s="4">
        <f t="shared" si="7"/>
        <v>32780</v>
      </c>
      <c r="H125" s="5">
        <f t="shared" si="4"/>
        <v>18.23</v>
      </c>
      <c r="I125" s="5">
        <f t="shared" si="5"/>
        <v>9</v>
      </c>
      <c r="J125" s="5">
        <f t="shared" si="6"/>
        <v>1989</v>
      </c>
      <c r="K125">
        <v>4</v>
      </c>
      <c r="L125">
        <v>1997</v>
      </c>
      <c r="M125">
        <v>17.53</v>
      </c>
      <c r="O125" s="3">
        <v>8</v>
      </c>
      <c r="P125" s="3">
        <v>1997</v>
      </c>
      <c r="Q125" s="3">
        <v>14.928000000000001</v>
      </c>
    </row>
    <row r="126" spans="1:17" x14ac:dyDescent="0.25">
      <c r="A126" s="9">
        <v>36647</v>
      </c>
      <c r="B126" s="8">
        <v>126.5</v>
      </c>
      <c r="D126" s="4">
        <v>32091</v>
      </c>
      <c r="E126" s="6">
        <v>17.75</v>
      </c>
      <c r="G126" s="4">
        <f t="shared" si="7"/>
        <v>32787</v>
      </c>
      <c r="H126" s="5">
        <f t="shared" si="4"/>
        <v>18.45</v>
      </c>
      <c r="I126" s="5">
        <f t="shared" si="5"/>
        <v>10</v>
      </c>
      <c r="J126" s="5">
        <f t="shared" si="6"/>
        <v>1989</v>
      </c>
      <c r="K126">
        <v>4</v>
      </c>
      <c r="L126">
        <v>1998</v>
      </c>
      <c r="M126">
        <v>10.252500000000001</v>
      </c>
      <c r="O126" s="3">
        <v>9</v>
      </c>
      <c r="P126" s="3">
        <v>1997</v>
      </c>
      <c r="Q126" s="3">
        <v>18.472499999999997</v>
      </c>
    </row>
    <row r="127" spans="1:17" x14ac:dyDescent="0.25">
      <c r="A127" s="9">
        <v>36678</v>
      </c>
      <c r="B127" s="8">
        <v>144.30000000000001</v>
      </c>
      <c r="D127" s="4">
        <v>32092</v>
      </c>
      <c r="E127" s="6">
        <v>17.8</v>
      </c>
      <c r="G127" s="4">
        <f t="shared" si="7"/>
        <v>32794</v>
      </c>
      <c r="H127" s="5">
        <f t="shared" si="4"/>
        <v>19.600000000000001</v>
      </c>
      <c r="I127" s="5">
        <f t="shared" si="5"/>
        <v>10</v>
      </c>
      <c r="J127" s="5">
        <f t="shared" si="6"/>
        <v>1989</v>
      </c>
      <c r="K127">
        <v>4</v>
      </c>
      <c r="L127">
        <v>1999</v>
      </c>
      <c r="M127">
        <v>12.394</v>
      </c>
      <c r="O127" s="3">
        <v>10</v>
      </c>
      <c r="P127" s="3">
        <v>1997</v>
      </c>
      <c r="Q127" s="3">
        <v>20.064</v>
      </c>
    </row>
    <row r="128" spans="1:17" x14ac:dyDescent="0.25">
      <c r="A128" s="9">
        <v>36708</v>
      </c>
      <c r="B128" s="8">
        <v>132.875</v>
      </c>
      <c r="D128" s="4">
        <v>32093</v>
      </c>
      <c r="E128" s="6">
        <v>17.850000000000001</v>
      </c>
      <c r="G128" s="4">
        <f t="shared" si="7"/>
        <v>32801</v>
      </c>
      <c r="H128" s="5">
        <f t="shared" si="4"/>
        <v>19.2</v>
      </c>
      <c r="I128" s="5">
        <f t="shared" si="5"/>
        <v>10</v>
      </c>
      <c r="J128" s="5">
        <f t="shared" si="6"/>
        <v>1989</v>
      </c>
      <c r="K128">
        <v>4</v>
      </c>
      <c r="L128">
        <v>2000</v>
      </c>
      <c r="M128">
        <v>17.137499999999999</v>
      </c>
      <c r="O128" s="3">
        <v>11</v>
      </c>
      <c r="P128" s="3">
        <v>1997</v>
      </c>
      <c r="Q128" s="3">
        <v>19.317499999999999</v>
      </c>
    </row>
    <row r="129" spans="1:17" x14ac:dyDescent="0.25">
      <c r="A129" s="9">
        <v>36739</v>
      </c>
      <c r="B129" s="8">
        <v>132.5</v>
      </c>
      <c r="D129" s="4">
        <v>32094</v>
      </c>
      <c r="E129" s="6">
        <v>17.8</v>
      </c>
      <c r="G129" s="4">
        <f t="shared" si="7"/>
        <v>32808</v>
      </c>
      <c r="H129" s="5">
        <f t="shared" si="4"/>
        <v>18.7</v>
      </c>
      <c r="I129" s="5">
        <f t="shared" si="5"/>
        <v>10</v>
      </c>
      <c r="J129" s="5">
        <f t="shared" si="6"/>
        <v>1989</v>
      </c>
      <c r="K129">
        <v>4</v>
      </c>
      <c r="L129">
        <v>2001</v>
      </c>
      <c r="M129">
        <v>25.810000000000002</v>
      </c>
      <c r="O129" s="3">
        <v>12</v>
      </c>
      <c r="P129" s="3">
        <v>1997</v>
      </c>
      <c r="Q129" s="3">
        <v>13.057500000000001</v>
      </c>
    </row>
    <row r="130" spans="1:17" x14ac:dyDescent="0.25">
      <c r="A130" s="9">
        <v>36770</v>
      </c>
      <c r="B130" s="8">
        <v>154.5</v>
      </c>
      <c r="D130" s="4">
        <v>32097</v>
      </c>
      <c r="E130" s="6">
        <v>17.68</v>
      </c>
      <c r="G130" s="4">
        <f t="shared" si="7"/>
        <v>32815</v>
      </c>
      <c r="H130" s="5">
        <f t="shared" si="4"/>
        <v>19</v>
      </c>
      <c r="I130" s="5">
        <f t="shared" si="5"/>
        <v>11</v>
      </c>
      <c r="J130" s="5">
        <f t="shared" si="6"/>
        <v>1989</v>
      </c>
      <c r="K130">
        <v>4</v>
      </c>
      <c r="L130">
        <v>2002</v>
      </c>
      <c r="M130">
        <v>25.204999999999998</v>
      </c>
      <c r="O130" s="3">
        <v>1</v>
      </c>
      <c r="P130" s="3">
        <v>1998</v>
      </c>
      <c r="Q130" s="3">
        <v>15.168000000000001</v>
      </c>
    </row>
    <row r="131" spans="1:17" x14ac:dyDescent="0.25">
      <c r="A131" s="9">
        <v>36800</v>
      </c>
      <c r="B131" s="8">
        <v>159.875</v>
      </c>
      <c r="D131" s="4">
        <v>32098</v>
      </c>
      <c r="E131" s="6">
        <v>17.399999999999999</v>
      </c>
      <c r="G131" s="4">
        <f t="shared" si="7"/>
        <v>32822</v>
      </c>
      <c r="H131" s="5">
        <f t="shared" ref="H131:H194" si="8">_xlfn.XLOOKUP(G131,D:D,E:E)</f>
        <v>19.05</v>
      </c>
      <c r="I131" s="5">
        <f t="shared" ref="I131:I194" si="9">MONTH(G131)</f>
        <v>11</v>
      </c>
      <c r="J131" s="5">
        <f t="shared" ref="J131:J194" si="10">YEAR(G131)</f>
        <v>1989</v>
      </c>
      <c r="K131">
        <v>4</v>
      </c>
      <c r="L131">
        <v>2003</v>
      </c>
      <c r="M131">
        <v>25.015000000000001</v>
      </c>
      <c r="O131" s="3">
        <v>2</v>
      </c>
      <c r="P131" s="3">
        <v>1998</v>
      </c>
      <c r="Q131" s="3">
        <v>14.135000000000002</v>
      </c>
    </row>
    <row r="132" spans="1:17" x14ac:dyDescent="0.25">
      <c r="A132" s="9">
        <v>36831</v>
      </c>
      <c r="B132" s="8">
        <v>149.75</v>
      </c>
      <c r="D132" s="4">
        <v>32099</v>
      </c>
      <c r="E132" s="6">
        <v>17.18</v>
      </c>
      <c r="G132" s="4">
        <f t="shared" ref="G132:G195" si="11">G131+7</f>
        <v>32829</v>
      </c>
      <c r="H132" s="5">
        <f t="shared" si="8"/>
        <v>18.75</v>
      </c>
      <c r="I132" s="5">
        <f t="shared" si="9"/>
        <v>11</v>
      </c>
      <c r="J132" s="5">
        <f t="shared" si="10"/>
        <v>1989</v>
      </c>
      <c r="K132">
        <v>4</v>
      </c>
      <c r="L132">
        <v>2004</v>
      </c>
      <c r="M132">
        <v>33.616</v>
      </c>
      <c r="O132" s="3">
        <v>3</v>
      </c>
      <c r="P132" s="3">
        <v>1998</v>
      </c>
      <c r="Q132" s="3">
        <v>13.092500000000001</v>
      </c>
    </row>
    <row r="133" spans="1:17" x14ac:dyDescent="0.25">
      <c r="A133" s="9">
        <v>36861</v>
      </c>
      <c r="B133" s="8">
        <v>126.7</v>
      </c>
      <c r="D133" s="4">
        <v>32100</v>
      </c>
      <c r="E133" s="6">
        <v>17.48</v>
      </c>
      <c r="G133" s="4">
        <f t="shared" si="11"/>
        <v>32836</v>
      </c>
      <c r="H133" s="5">
        <f t="shared" si="8"/>
        <v>18.48</v>
      </c>
      <c r="I133" s="5">
        <f t="shared" si="9"/>
        <v>11</v>
      </c>
      <c r="J133" s="5">
        <f t="shared" si="10"/>
        <v>1989</v>
      </c>
      <c r="K133">
        <v>4</v>
      </c>
      <c r="L133">
        <v>2005</v>
      </c>
      <c r="M133">
        <v>51.922000000000004</v>
      </c>
      <c r="O133" s="3">
        <v>4</v>
      </c>
      <c r="P133" s="3">
        <v>1998</v>
      </c>
      <c r="Q133" s="3">
        <v>10.252500000000001</v>
      </c>
    </row>
    <row r="134" spans="1:17" x14ac:dyDescent="0.25">
      <c r="A134" s="9">
        <v>36892</v>
      </c>
      <c r="B134" s="8">
        <v>117.9</v>
      </c>
      <c r="D134" s="4">
        <v>32101</v>
      </c>
      <c r="E134" s="6">
        <v>17.600000000000001</v>
      </c>
      <c r="G134" s="4">
        <f t="shared" si="11"/>
        <v>32843</v>
      </c>
      <c r="H134" s="5">
        <f t="shared" si="8"/>
        <v>18.68</v>
      </c>
      <c r="I134" s="5">
        <f t="shared" si="9"/>
        <v>12</v>
      </c>
      <c r="J134" s="5">
        <f t="shared" si="10"/>
        <v>1989</v>
      </c>
      <c r="K134">
        <v>4</v>
      </c>
      <c r="L134">
        <v>2006</v>
      </c>
      <c r="M134">
        <v>53.300000000000004</v>
      </c>
      <c r="O134" s="3">
        <v>5</v>
      </c>
      <c r="P134" s="3">
        <v>1998</v>
      </c>
      <c r="Q134" s="3">
        <v>14.245999999999999</v>
      </c>
    </row>
    <row r="135" spans="1:17" x14ac:dyDescent="0.25">
      <c r="A135" s="9">
        <v>36923</v>
      </c>
      <c r="B135" s="8">
        <v>121.5</v>
      </c>
      <c r="D135" s="4">
        <v>32104</v>
      </c>
      <c r="E135" s="6">
        <v>17.899999999999999</v>
      </c>
      <c r="G135" s="4">
        <f t="shared" si="11"/>
        <v>32850</v>
      </c>
      <c r="H135" s="5">
        <f t="shared" si="8"/>
        <v>19.149999999999999</v>
      </c>
      <c r="I135" s="5">
        <f t="shared" si="9"/>
        <v>12</v>
      </c>
      <c r="J135" s="5">
        <f t="shared" si="10"/>
        <v>1989</v>
      </c>
      <c r="K135">
        <v>4</v>
      </c>
      <c r="L135">
        <v>2007</v>
      </c>
      <c r="M135">
        <v>50.6</v>
      </c>
      <c r="O135" s="3">
        <v>6</v>
      </c>
      <c r="P135" s="3">
        <v>1998</v>
      </c>
      <c r="Q135" s="3">
        <v>12.125</v>
      </c>
    </row>
    <row r="136" spans="1:17" x14ac:dyDescent="0.25">
      <c r="A136" s="9">
        <v>36951</v>
      </c>
      <c r="B136" s="8">
        <v>119.8</v>
      </c>
      <c r="D136" s="4">
        <v>32105</v>
      </c>
      <c r="E136" s="6">
        <v>17.829999999999998</v>
      </c>
      <c r="G136" s="4">
        <f t="shared" si="11"/>
        <v>32857</v>
      </c>
      <c r="H136" s="5">
        <f t="shared" si="8"/>
        <v>19.68</v>
      </c>
      <c r="I136" s="5">
        <f t="shared" si="9"/>
        <v>12</v>
      </c>
      <c r="J136" s="5">
        <f t="shared" si="10"/>
        <v>1989</v>
      </c>
      <c r="K136">
        <v>4</v>
      </c>
      <c r="L136">
        <v>2008</v>
      </c>
      <c r="M136">
        <v>109.16250000000001</v>
      </c>
      <c r="O136" s="3">
        <v>7</v>
      </c>
      <c r="P136" s="3">
        <v>1998</v>
      </c>
      <c r="Q136" s="3">
        <v>12.092000000000001</v>
      </c>
    </row>
    <row r="137" spans="1:17" x14ac:dyDescent="0.25">
      <c r="A137" s="9">
        <v>36982</v>
      </c>
      <c r="B137" s="8">
        <v>116.75</v>
      </c>
      <c r="D137" s="4">
        <v>32106</v>
      </c>
      <c r="E137" s="6">
        <v>17.68</v>
      </c>
      <c r="G137" s="4">
        <f t="shared" si="11"/>
        <v>32864</v>
      </c>
      <c r="H137" s="5">
        <f t="shared" si="8"/>
        <v>20.5</v>
      </c>
      <c r="I137" s="5">
        <f t="shared" si="9"/>
        <v>12</v>
      </c>
      <c r="J137" s="5">
        <f t="shared" si="10"/>
        <v>1989</v>
      </c>
      <c r="K137">
        <v>4</v>
      </c>
      <c r="L137">
        <v>2009</v>
      </c>
      <c r="M137">
        <v>38.197499999999998</v>
      </c>
      <c r="O137" s="3">
        <v>8</v>
      </c>
      <c r="P137" s="3">
        <v>1998</v>
      </c>
      <c r="Q137" s="3">
        <v>11.897500000000001</v>
      </c>
    </row>
    <row r="138" spans="1:17" x14ac:dyDescent="0.25">
      <c r="A138" s="9">
        <v>37012</v>
      </c>
      <c r="B138" s="8">
        <v>122</v>
      </c>
      <c r="D138" s="4">
        <v>32107</v>
      </c>
      <c r="E138" s="6">
        <v>17.73</v>
      </c>
      <c r="G138" s="4">
        <f t="shared" si="11"/>
        <v>32871</v>
      </c>
      <c r="H138" s="5">
        <f t="shared" si="8"/>
        <v>21.05</v>
      </c>
      <c r="I138" s="5">
        <f t="shared" si="9"/>
        <v>12</v>
      </c>
      <c r="J138" s="5">
        <f t="shared" si="10"/>
        <v>1989</v>
      </c>
      <c r="K138">
        <v>4</v>
      </c>
      <c r="L138">
        <v>2010</v>
      </c>
      <c r="M138">
        <v>67.972000000000008</v>
      </c>
      <c r="O138" s="3">
        <v>9</v>
      </c>
      <c r="P138" s="3">
        <v>1998</v>
      </c>
      <c r="Q138" s="3">
        <v>13.522500000000001</v>
      </c>
    </row>
    <row r="139" spans="1:17" x14ac:dyDescent="0.25">
      <c r="A139" s="9">
        <v>37043</v>
      </c>
      <c r="B139" s="8">
        <v>121.6</v>
      </c>
      <c r="D139" s="4">
        <v>32108</v>
      </c>
      <c r="E139" s="6">
        <v>17.78</v>
      </c>
      <c r="G139" s="4">
        <f t="shared" si="11"/>
        <v>32878</v>
      </c>
      <c r="H139" s="5">
        <f t="shared" si="8"/>
        <v>23.13</v>
      </c>
      <c r="I139" s="5">
        <f t="shared" si="9"/>
        <v>1</v>
      </c>
      <c r="J139" s="5">
        <f t="shared" si="10"/>
        <v>1990</v>
      </c>
      <c r="K139">
        <v>4</v>
      </c>
      <c r="L139">
        <v>2011</v>
      </c>
      <c r="M139">
        <v>73.912000000000006</v>
      </c>
      <c r="O139" s="3">
        <v>10</v>
      </c>
      <c r="P139" s="3">
        <v>1998</v>
      </c>
      <c r="Q139" s="3">
        <v>12.673999999999999</v>
      </c>
    </row>
    <row r="140" spans="1:17" x14ac:dyDescent="0.25">
      <c r="A140" s="9">
        <v>37073</v>
      </c>
      <c r="B140" s="8">
        <v>118</v>
      </c>
      <c r="D140" s="4">
        <v>32111</v>
      </c>
      <c r="E140" s="6">
        <v>17.7</v>
      </c>
      <c r="G140" s="4">
        <f t="shared" si="11"/>
        <v>32885</v>
      </c>
      <c r="H140" s="5">
        <f t="shared" si="8"/>
        <v>22.13</v>
      </c>
      <c r="I140" s="5">
        <f t="shared" si="9"/>
        <v>1</v>
      </c>
      <c r="J140" s="5">
        <f t="shared" si="10"/>
        <v>1990</v>
      </c>
      <c r="K140">
        <v>4</v>
      </c>
      <c r="L140">
        <v>2012</v>
      </c>
      <c r="M140">
        <v>89.5</v>
      </c>
      <c r="O140" s="3">
        <v>11</v>
      </c>
      <c r="P140" s="3">
        <v>1998</v>
      </c>
      <c r="Q140" s="3">
        <v>11.035</v>
      </c>
    </row>
    <row r="141" spans="1:17" x14ac:dyDescent="0.25">
      <c r="A141" s="9">
        <v>37104</v>
      </c>
      <c r="B141" s="8">
        <v>125.4</v>
      </c>
      <c r="D141" s="4">
        <v>32112</v>
      </c>
      <c r="E141" s="6">
        <v>17.649999999999999</v>
      </c>
      <c r="G141" s="4">
        <f t="shared" si="11"/>
        <v>32892</v>
      </c>
      <c r="H141" s="5">
        <f t="shared" si="8"/>
        <v>21.28</v>
      </c>
      <c r="I141" s="5">
        <f t="shared" si="9"/>
        <v>1</v>
      </c>
      <c r="J141" s="5">
        <f t="shared" si="10"/>
        <v>1990</v>
      </c>
      <c r="K141">
        <v>4</v>
      </c>
      <c r="L141">
        <v>2013</v>
      </c>
      <c r="M141">
        <v>101.4725</v>
      </c>
      <c r="O141" s="3">
        <v>12</v>
      </c>
      <c r="P141" s="3">
        <v>1998</v>
      </c>
      <c r="Q141" s="3">
        <v>7.1524999999999999</v>
      </c>
    </row>
    <row r="142" spans="1:17" x14ac:dyDescent="0.25">
      <c r="A142" s="9">
        <v>37135</v>
      </c>
      <c r="B142" s="8">
        <v>130.125</v>
      </c>
      <c r="D142" s="4">
        <v>32113</v>
      </c>
      <c r="E142" s="6">
        <v>17.7</v>
      </c>
      <c r="G142" s="4">
        <f t="shared" si="11"/>
        <v>32899</v>
      </c>
      <c r="H142" s="5">
        <f t="shared" si="8"/>
        <v>20.63</v>
      </c>
      <c r="I142" s="5">
        <f t="shared" si="9"/>
        <v>1</v>
      </c>
      <c r="J142" s="5">
        <f t="shared" si="10"/>
        <v>1990</v>
      </c>
      <c r="K142">
        <v>4</v>
      </c>
      <c r="L142">
        <v>2014</v>
      </c>
      <c r="M142">
        <v>80.819999999999993</v>
      </c>
      <c r="O142" s="3">
        <v>1</v>
      </c>
      <c r="P142" s="3">
        <v>1999</v>
      </c>
      <c r="Q142" s="3">
        <v>9.0480000000000018</v>
      </c>
    </row>
    <row r="143" spans="1:17" x14ac:dyDescent="0.25">
      <c r="A143" s="9">
        <v>37165</v>
      </c>
      <c r="B143" s="8">
        <v>110.625</v>
      </c>
      <c r="D143" s="4">
        <v>32114</v>
      </c>
      <c r="E143" s="6">
        <v>17.93</v>
      </c>
      <c r="G143" s="4">
        <f t="shared" si="11"/>
        <v>32906</v>
      </c>
      <c r="H143" s="5">
        <f t="shared" si="8"/>
        <v>20.73</v>
      </c>
      <c r="I143" s="5">
        <f t="shared" si="9"/>
        <v>2</v>
      </c>
      <c r="J143" s="5">
        <f t="shared" si="10"/>
        <v>1990</v>
      </c>
      <c r="K143">
        <v>4</v>
      </c>
      <c r="L143">
        <v>2015</v>
      </c>
      <c r="M143">
        <v>45.272500000000001</v>
      </c>
      <c r="O143" s="3">
        <v>2</v>
      </c>
      <c r="P143" s="3">
        <v>1999</v>
      </c>
      <c r="Q143" s="3">
        <v>10.254999999999999</v>
      </c>
    </row>
    <row r="144" spans="1:17" x14ac:dyDescent="0.25">
      <c r="A144" s="9">
        <v>37196</v>
      </c>
      <c r="B144" s="8">
        <v>101.9</v>
      </c>
      <c r="D144" s="4">
        <v>32115</v>
      </c>
      <c r="E144" s="6">
        <v>18</v>
      </c>
      <c r="G144" s="4">
        <f t="shared" si="11"/>
        <v>32913</v>
      </c>
      <c r="H144" s="5">
        <f t="shared" si="8"/>
        <v>19.75</v>
      </c>
      <c r="I144" s="5">
        <f t="shared" si="9"/>
        <v>2</v>
      </c>
      <c r="J144" s="5">
        <f t="shared" si="10"/>
        <v>1990</v>
      </c>
      <c r="K144">
        <v>4</v>
      </c>
      <c r="L144">
        <v>2016</v>
      </c>
      <c r="M144">
        <v>41.612000000000002</v>
      </c>
      <c r="O144" s="3">
        <v>3</v>
      </c>
      <c r="P144" s="3">
        <v>1999</v>
      </c>
      <c r="Q144" s="3">
        <v>12.61</v>
      </c>
    </row>
    <row r="145" spans="1:17" x14ac:dyDescent="0.25">
      <c r="A145" s="9">
        <v>37226</v>
      </c>
      <c r="B145" s="8">
        <v>103.75</v>
      </c>
      <c r="D145" s="4">
        <v>32118</v>
      </c>
      <c r="E145" s="6">
        <v>17.78</v>
      </c>
      <c r="G145" s="4">
        <f t="shared" si="11"/>
        <v>32920</v>
      </c>
      <c r="H145" s="5">
        <f t="shared" si="8"/>
        <v>19.88</v>
      </c>
      <c r="I145" s="5">
        <f t="shared" si="9"/>
        <v>2</v>
      </c>
      <c r="J145" s="5">
        <f t="shared" si="10"/>
        <v>1990</v>
      </c>
      <c r="K145">
        <v>4</v>
      </c>
      <c r="L145">
        <v>2017</v>
      </c>
      <c r="M145">
        <v>38.407499999999999</v>
      </c>
      <c r="O145" s="3">
        <v>4</v>
      </c>
      <c r="P145" s="3">
        <v>1999</v>
      </c>
      <c r="Q145" s="3">
        <v>12.394</v>
      </c>
    </row>
    <row r="146" spans="1:17" x14ac:dyDescent="0.25">
      <c r="A146" s="9">
        <v>37257</v>
      </c>
      <c r="B146" s="8">
        <v>104.5</v>
      </c>
      <c r="D146" s="4">
        <v>32119</v>
      </c>
      <c r="E146" s="6">
        <v>17.579999999999998</v>
      </c>
      <c r="G146" s="4">
        <f t="shared" si="11"/>
        <v>32927</v>
      </c>
      <c r="H146" s="5">
        <f t="shared" si="8"/>
        <v>18.78</v>
      </c>
      <c r="I146" s="5">
        <f t="shared" si="9"/>
        <v>2</v>
      </c>
      <c r="J146" s="5">
        <f t="shared" si="10"/>
        <v>1990</v>
      </c>
      <c r="K146">
        <v>4</v>
      </c>
      <c r="L146">
        <v>2018</v>
      </c>
      <c r="M146">
        <v>72.41</v>
      </c>
      <c r="O146" s="3">
        <v>5</v>
      </c>
      <c r="P146" s="3">
        <v>1999</v>
      </c>
      <c r="Q146" s="3">
        <v>15.02</v>
      </c>
    </row>
    <row r="147" spans="1:17" x14ac:dyDescent="0.25">
      <c r="A147" s="9">
        <v>37288</v>
      </c>
      <c r="B147" s="8">
        <v>103.25</v>
      </c>
      <c r="D147" s="4">
        <v>32120</v>
      </c>
      <c r="E147" s="6">
        <v>17.43</v>
      </c>
      <c r="G147" s="4">
        <f t="shared" si="11"/>
        <v>32934</v>
      </c>
      <c r="H147" s="5">
        <f t="shared" si="8"/>
        <v>19.18</v>
      </c>
      <c r="I147" s="5">
        <f t="shared" si="9"/>
        <v>3</v>
      </c>
      <c r="J147" s="5">
        <f t="shared" si="10"/>
        <v>1990</v>
      </c>
      <c r="K147">
        <v>4</v>
      </c>
      <c r="L147">
        <v>2019</v>
      </c>
      <c r="M147">
        <v>53.1325</v>
      </c>
      <c r="O147" s="3">
        <v>6</v>
      </c>
      <c r="P147" s="3">
        <v>1999</v>
      </c>
      <c r="Q147" s="3">
        <v>15.914999999999999</v>
      </c>
    </row>
    <row r="148" spans="1:17" x14ac:dyDescent="0.25">
      <c r="A148" s="9">
        <v>37316</v>
      </c>
      <c r="B148" s="8">
        <v>120.5</v>
      </c>
      <c r="D148" s="4">
        <v>32121</v>
      </c>
      <c r="E148" s="6">
        <v>17.55</v>
      </c>
      <c r="G148" s="4">
        <f t="shared" si="11"/>
        <v>32941</v>
      </c>
      <c r="H148" s="5">
        <f t="shared" si="8"/>
        <v>18.68</v>
      </c>
      <c r="I148" s="5">
        <f t="shared" si="9"/>
        <v>3</v>
      </c>
      <c r="J148" s="5">
        <f t="shared" si="10"/>
        <v>1990</v>
      </c>
      <c r="K148">
        <v>4</v>
      </c>
      <c r="L148">
        <v>2020</v>
      </c>
      <c r="M148">
        <v>14.987499999999999</v>
      </c>
      <c r="O148" s="3">
        <v>7</v>
      </c>
      <c r="P148" s="3">
        <v>1999</v>
      </c>
      <c r="Q148" s="3">
        <v>19.106000000000002</v>
      </c>
    </row>
    <row r="149" spans="1:17" x14ac:dyDescent="0.25">
      <c r="A149" s="9">
        <v>37347</v>
      </c>
      <c r="B149" s="8">
        <v>136.125</v>
      </c>
      <c r="D149" s="4">
        <v>32122</v>
      </c>
      <c r="E149" s="6">
        <v>17.73</v>
      </c>
      <c r="G149" s="4">
        <f t="shared" si="11"/>
        <v>32948</v>
      </c>
      <c r="H149" s="5">
        <f t="shared" si="8"/>
        <v>18.399999999999999</v>
      </c>
      <c r="I149" s="5">
        <f t="shared" si="9"/>
        <v>3</v>
      </c>
      <c r="J149" s="5">
        <f t="shared" si="10"/>
        <v>1990</v>
      </c>
      <c r="K149">
        <v>4</v>
      </c>
      <c r="L149">
        <v>2021</v>
      </c>
      <c r="M149">
        <v>52.27</v>
      </c>
      <c r="O149" s="3">
        <v>8</v>
      </c>
      <c r="P149" s="3">
        <v>1999</v>
      </c>
      <c r="Q149" s="3">
        <v>20.424999999999997</v>
      </c>
    </row>
    <row r="150" spans="1:17" x14ac:dyDescent="0.25">
      <c r="A150" s="9">
        <v>37377</v>
      </c>
      <c r="B150" s="8">
        <v>140.80000000000001</v>
      </c>
      <c r="D150" s="4">
        <v>32125</v>
      </c>
      <c r="E150" s="6">
        <v>16.8</v>
      </c>
      <c r="G150" s="4">
        <f t="shared" si="11"/>
        <v>32955</v>
      </c>
      <c r="H150" s="5">
        <f t="shared" si="8"/>
        <v>17.88</v>
      </c>
      <c r="I150" s="5">
        <f t="shared" si="9"/>
        <v>3</v>
      </c>
      <c r="J150" s="5">
        <f t="shared" si="10"/>
        <v>1990</v>
      </c>
      <c r="K150">
        <v>4</v>
      </c>
      <c r="L150">
        <v>2022</v>
      </c>
      <c r="M150">
        <v>84.179999999999993</v>
      </c>
      <c r="O150" s="3">
        <v>9</v>
      </c>
      <c r="P150" s="3">
        <v>1999</v>
      </c>
      <c r="Q150" s="3">
        <v>22.422499999999999</v>
      </c>
    </row>
    <row r="151" spans="1:17" x14ac:dyDescent="0.25">
      <c r="A151" s="9">
        <v>37408</v>
      </c>
      <c r="B151" s="8">
        <v>135</v>
      </c>
      <c r="D151" s="4">
        <v>32126</v>
      </c>
      <c r="E151" s="6">
        <v>16.2</v>
      </c>
      <c r="G151" s="4">
        <f t="shared" si="11"/>
        <v>32962</v>
      </c>
      <c r="H151" s="5">
        <f t="shared" si="8"/>
        <v>17.95</v>
      </c>
      <c r="I151" s="5">
        <f t="shared" si="9"/>
        <v>3</v>
      </c>
      <c r="J151" s="5">
        <f t="shared" si="10"/>
        <v>1990</v>
      </c>
      <c r="K151">
        <v>4</v>
      </c>
      <c r="L151">
        <v>2023</v>
      </c>
      <c r="M151">
        <v>62.997500000000002</v>
      </c>
      <c r="O151" s="3">
        <v>10</v>
      </c>
      <c r="P151" s="3">
        <v>1999</v>
      </c>
      <c r="Q151" s="3">
        <v>21.779999999999998</v>
      </c>
    </row>
    <row r="152" spans="1:17" x14ac:dyDescent="0.25">
      <c r="A152" s="9">
        <v>37438</v>
      </c>
      <c r="B152" s="8">
        <v>142.75</v>
      </c>
      <c r="D152" s="4">
        <v>32127</v>
      </c>
      <c r="E152" s="6">
        <v>15.93</v>
      </c>
      <c r="G152" s="4">
        <f t="shared" si="11"/>
        <v>32969</v>
      </c>
      <c r="H152" s="5">
        <f t="shared" si="8"/>
        <v>17.100000000000001</v>
      </c>
      <c r="I152" s="5">
        <f t="shared" si="9"/>
        <v>4</v>
      </c>
      <c r="J152" s="5">
        <f t="shared" si="10"/>
        <v>1990</v>
      </c>
      <c r="K152">
        <v>4</v>
      </c>
      <c r="L152">
        <v>2024</v>
      </c>
      <c r="M152">
        <v>90.96</v>
      </c>
      <c r="O152" s="3">
        <v>11</v>
      </c>
      <c r="P152" s="3">
        <v>1999</v>
      </c>
      <c r="Q152" s="3">
        <v>24.795000000000002</v>
      </c>
    </row>
    <row r="153" spans="1:17" x14ac:dyDescent="0.25">
      <c r="A153" s="9">
        <v>37469</v>
      </c>
      <c r="B153" s="8">
        <v>145.9</v>
      </c>
      <c r="D153" s="4">
        <v>32128</v>
      </c>
      <c r="E153" s="6">
        <v>15.03</v>
      </c>
      <c r="G153" s="4">
        <f t="shared" si="11"/>
        <v>32976</v>
      </c>
      <c r="H153" s="5">
        <f t="shared" si="8"/>
        <v>0</v>
      </c>
      <c r="I153" s="5">
        <f t="shared" si="9"/>
        <v>4</v>
      </c>
      <c r="J153" s="5">
        <f t="shared" si="10"/>
        <v>1990</v>
      </c>
      <c r="K153">
        <v>4</v>
      </c>
      <c r="L153">
        <v>2025</v>
      </c>
      <c r="M153">
        <v>50.545000000000002</v>
      </c>
      <c r="O153" s="3">
        <v>12</v>
      </c>
      <c r="P153" s="3">
        <v>1999</v>
      </c>
      <c r="Q153" s="3">
        <v>15.45</v>
      </c>
    </row>
    <row r="154" spans="1:17" x14ac:dyDescent="0.25">
      <c r="A154" s="9">
        <v>37500</v>
      </c>
      <c r="B154" s="8">
        <v>161.375</v>
      </c>
      <c r="D154" s="4">
        <v>32129</v>
      </c>
      <c r="E154" s="6">
        <v>15.6</v>
      </c>
      <c r="G154" s="4">
        <f t="shared" si="11"/>
        <v>32983</v>
      </c>
      <c r="H154" s="5">
        <f t="shared" si="8"/>
        <v>16.350000000000001</v>
      </c>
      <c r="I154" s="5">
        <f t="shared" si="9"/>
        <v>4</v>
      </c>
      <c r="J154" s="5">
        <f t="shared" si="10"/>
        <v>1990</v>
      </c>
      <c r="K154">
        <v>5</v>
      </c>
      <c r="L154">
        <v>1987</v>
      </c>
      <c r="M154">
        <v>18.564999999999998</v>
      </c>
      <c r="O154" s="3">
        <v>1</v>
      </c>
      <c r="P154" s="3">
        <v>2000</v>
      </c>
      <c r="Q154" s="3">
        <v>25.655000000000001</v>
      </c>
    </row>
    <row r="155" spans="1:17" x14ac:dyDescent="0.25">
      <c r="A155" s="9">
        <v>37530</v>
      </c>
      <c r="B155" s="8">
        <v>154</v>
      </c>
      <c r="D155" s="4">
        <v>32132</v>
      </c>
      <c r="E155" s="6">
        <v>15.4</v>
      </c>
      <c r="G155" s="4">
        <f t="shared" si="11"/>
        <v>32990</v>
      </c>
      <c r="H155" s="5">
        <f t="shared" si="8"/>
        <v>16.43</v>
      </c>
      <c r="I155" s="5">
        <f t="shared" si="9"/>
        <v>4</v>
      </c>
      <c r="J155" s="5">
        <f t="shared" si="10"/>
        <v>1990</v>
      </c>
      <c r="K155">
        <v>5</v>
      </c>
      <c r="L155">
        <v>1988</v>
      </c>
      <c r="M155">
        <v>16.412500000000001</v>
      </c>
      <c r="O155" s="3">
        <v>2</v>
      </c>
      <c r="P155" s="3">
        <v>2000</v>
      </c>
      <c r="Q155" s="3">
        <v>27.772500000000001</v>
      </c>
    </row>
    <row r="156" spans="1:17" x14ac:dyDescent="0.25">
      <c r="A156" s="9">
        <v>37561</v>
      </c>
      <c r="B156" s="8">
        <v>125.7</v>
      </c>
      <c r="D156" s="4">
        <v>32133</v>
      </c>
      <c r="E156" s="6">
        <v>16.7</v>
      </c>
      <c r="G156" s="4">
        <f t="shared" si="11"/>
        <v>32997</v>
      </c>
      <c r="H156" s="5">
        <f t="shared" si="8"/>
        <v>15.58</v>
      </c>
      <c r="I156" s="5">
        <f t="shared" si="9"/>
        <v>5</v>
      </c>
      <c r="J156" s="5">
        <f t="shared" si="10"/>
        <v>1990</v>
      </c>
      <c r="K156">
        <v>5</v>
      </c>
      <c r="L156">
        <v>1989</v>
      </c>
      <c r="M156">
        <v>18.637499999999996</v>
      </c>
      <c r="O156" s="3">
        <v>3</v>
      </c>
      <c r="P156" s="3">
        <v>2000</v>
      </c>
      <c r="Q156" s="3">
        <v>27.277999999999999</v>
      </c>
    </row>
    <row r="157" spans="1:17" x14ac:dyDescent="0.25">
      <c r="A157" s="9">
        <v>37591</v>
      </c>
      <c r="B157" s="8">
        <v>134.375</v>
      </c>
      <c r="D157" s="4">
        <v>32134</v>
      </c>
      <c r="E157" s="6">
        <v>17.25</v>
      </c>
      <c r="G157" s="4">
        <f t="shared" si="11"/>
        <v>33004</v>
      </c>
      <c r="H157" s="5">
        <f t="shared" si="8"/>
        <v>16.73</v>
      </c>
      <c r="I157" s="5">
        <f t="shared" si="9"/>
        <v>5</v>
      </c>
      <c r="J157" s="5">
        <f t="shared" si="10"/>
        <v>1990</v>
      </c>
      <c r="K157">
        <v>5</v>
      </c>
      <c r="L157">
        <v>1990</v>
      </c>
      <c r="M157">
        <v>16.335000000000001</v>
      </c>
      <c r="O157" s="3">
        <v>4</v>
      </c>
      <c r="P157" s="3">
        <v>2000</v>
      </c>
      <c r="Q157" s="3">
        <v>17.137499999999999</v>
      </c>
    </row>
    <row r="158" spans="1:17" x14ac:dyDescent="0.25">
      <c r="A158" s="9">
        <v>37622</v>
      </c>
      <c r="B158" s="8">
        <v>173.5</v>
      </c>
      <c r="D158" s="4">
        <v>32135</v>
      </c>
      <c r="E158" s="6">
        <v>17.100000000000001</v>
      </c>
      <c r="G158" s="4">
        <f t="shared" si="11"/>
        <v>33011</v>
      </c>
      <c r="H158" s="5">
        <f t="shared" si="8"/>
        <v>17.079999999999998</v>
      </c>
      <c r="I158" s="5">
        <f t="shared" si="9"/>
        <v>5</v>
      </c>
      <c r="J158" s="5">
        <f t="shared" si="10"/>
        <v>1990</v>
      </c>
      <c r="K158">
        <v>5</v>
      </c>
      <c r="L158">
        <v>1991</v>
      </c>
      <c r="M158">
        <v>19.131999999999998</v>
      </c>
      <c r="O158" s="3">
        <v>5</v>
      </c>
      <c r="P158" s="3">
        <v>2000</v>
      </c>
      <c r="Q158" s="3">
        <v>28.002500000000001</v>
      </c>
    </row>
    <row r="159" spans="1:17" x14ac:dyDescent="0.25">
      <c r="A159" s="9">
        <v>37653</v>
      </c>
      <c r="B159" s="8">
        <v>175.125</v>
      </c>
      <c r="D159" s="4">
        <v>32136</v>
      </c>
      <c r="E159" s="5"/>
      <c r="G159" s="4">
        <f t="shared" si="11"/>
        <v>33018</v>
      </c>
      <c r="H159" s="5">
        <f t="shared" si="8"/>
        <v>15.95</v>
      </c>
      <c r="I159" s="5">
        <f t="shared" si="9"/>
        <v>5</v>
      </c>
      <c r="J159" s="5">
        <f t="shared" si="10"/>
        <v>1990</v>
      </c>
      <c r="K159">
        <v>5</v>
      </c>
      <c r="L159">
        <v>1992</v>
      </c>
      <c r="M159">
        <v>19.887999999999998</v>
      </c>
      <c r="O159" s="3">
        <v>6</v>
      </c>
      <c r="P159" s="3">
        <v>2000</v>
      </c>
      <c r="Q159" s="3">
        <v>29.925999999999998</v>
      </c>
    </row>
    <row r="160" spans="1:17" x14ac:dyDescent="0.25">
      <c r="A160" s="9">
        <v>37681</v>
      </c>
      <c r="B160" s="8">
        <v>148.25</v>
      </c>
      <c r="D160" s="4">
        <v>32139</v>
      </c>
      <c r="E160" s="6">
        <v>17</v>
      </c>
      <c r="G160" s="4">
        <f t="shared" si="11"/>
        <v>33025</v>
      </c>
      <c r="H160" s="5">
        <f t="shared" si="8"/>
        <v>15.43</v>
      </c>
      <c r="I160" s="5">
        <f t="shared" si="9"/>
        <v>6</v>
      </c>
      <c r="J160" s="5">
        <f t="shared" si="10"/>
        <v>1990</v>
      </c>
      <c r="K160">
        <v>5</v>
      </c>
      <c r="L160">
        <v>1993</v>
      </c>
      <c r="M160">
        <v>18.464999999999996</v>
      </c>
      <c r="O160" s="3">
        <v>7</v>
      </c>
      <c r="P160" s="3">
        <v>2000</v>
      </c>
      <c r="Q160" s="3">
        <v>28.520000000000003</v>
      </c>
    </row>
    <row r="161" spans="1:17" x14ac:dyDescent="0.25">
      <c r="A161" s="9">
        <v>37712</v>
      </c>
      <c r="B161" s="8">
        <v>126.375</v>
      </c>
      <c r="D161" s="4">
        <v>32140</v>
      </c>
      <c r="E161" s="6">
        <v>17.38</v>
      </c>
      <c r="G161" s="4">
        <f t="shared" si="11"/>
        <v>33032</v>
      </c>
      <c r="H161" s="5">
        <f t="shared" si="8"/>
        <v>14.68</v>
      </c>
      <c r="I161" s="5">
        <f t="shared" si="9"/>
        <v>6</v>
      </c>
      <c r="J161" s="5">
        <f t="shared" si="10"/>
        <v>1990</v>
      </c>
      <c r="K161">
        <v>5</v>
      </c>
      <c r="L161">
        <v>1994</v>
      </c>
      <c r="M161">
        <v>16.265000000000001</v>
      </c>
      <c r="O161" s="3">
        <v>8</v>
      </c>
      <c r="P161" s="3">
        <v>2000</v>
      </c>
      <c r="Q161" s="3">
        <v>30.3675</v>
      </c>
    </row>
    <row r="162" spans="1:17" x14ac:dyDescent="0.25">
      <c r="A162" s="9">
        <v>37742</v>
      </c>
      <c r="B162" s="8">
        <v>137.9</v>
      </c>
      <c r="D162" s="4">
        <v>32141</v>
      </c>
      <c r="E162" s="6">
        <v>17.850000000000001</v>
      </c>
      <c r="G162" s="4">
        <f t="shared" si="11"/>
        <v>33039</v>
      </c>
      <c r="H162" s="5">
        <f t="shared" si="8"/>
        <v>15.15</v>
      </c>
      <c r="I162" s="5">
        <f t="shared" si="9"/>
        <v>6</v>
      </c>
      <c r="J162" s="5">
        <f t="shared" si="10"/>
        <v>1990</v>
      </c>
      <c r="K162">
        <v>5</v>
      </c>
      <c r="L162">
        <v>1995</v>
      </c>
      <c r="M162">
        <v>18.327500000000001</v>
      </c>
      <c r="O162" s="3">
        <v>9</v>
      </c>
      <c r="P162" s="3">
        <v>2000</v>
      </c>
      <c r="Q162" s="3">
        <v>33.010000000000005</v>
      </c>
    </row>
    <row r="163" spans="1:17" x14ac:dyDescent="0.25">
      <c r="A163" s="9">
        <v>37773</v>
      </c>
      <c r="B163" s="8">
        <v>147.5</v>
      </c>
      <c r="D163" s="4">
        <v>32142</v>
      </c>
      <c r="E163" s="6">
        <v>17.600000000000001</v>
      </c>
      <c r="G163" s="4">
        <f t="shared" si="11"/>
        <v>33046</v>
      </c>
      <c r="H163" s="5">
        <f t="shared" si="8"/>
        <v>15.4</v>
      </c>
      <c r="I163" s="5">
        <f t="shared" si="9"/>
        <v>6</v>
      </c>
      <c r="J163" s="5">
        <f t="shared" si="10"/>
        <v>1990</v>
      </c>
      <c r="K163">
        <v>5</v>
      </c>
      <c r="L163">
        <v>1996</v>
      </c>
      <c r="M163">
        <v>18.898000000000003</v>
      </c>
      <c r="O163" s="3">
        <v>10</v>
      </c>
      <c r="P163" s="3">
        <v>2000</v>
      </c>
      <c r="Q163" s="3">
        <v>31.147500000000001</v>
      </c>
    </row>
    <row r="164" spans="1:17" x14ac:dyDescent="0.25">
      <c r="A164" s="9">
        <v>37803</v>
      </c>
      <c r="B164" s="8">
        <v>170.5</v>
      </c>
      <c r="D164" s="4">
        <v>32143</v>
      </c>
      <c r="E164" s="5"/>
      <c r="G164" s="4">
        <f t="shared" si="11"/>
        <v>33053</v>
      </c>
      <c r="H164" s="5">
        <f t="shared" si="8"/>
        <v>15.73</v>
      </c>
      <c r="I164" s="5">
        <f t="shared" si="9"/>
        <v>6</v>
      </c>
      <c r="J164" s="5">
        <f t="shared" si="10"/>
        <v>1990</v>
      </c>
      <c r="K164">
        <v>5</v>
      </c>
      <c r="L164">
        <v>1997</v>
      </c>
      <c r="M164">
        <v>19.045999999999999</v>
      </c>
      <c r="O164" s="3">
        <v>11</v>
      </c>
      <c r="P164" s="3">
        <v>2000</v>
      </c>
      <c r="Q164" s="3">
        <v>32.377499999999998</v>
      </c>
    </row>
    <row r="165" spans="1:17" x14ac:dyDescent="0.25">
      <c r="A165" s="9">
        <v>37834</v>
      </c>
      <c r="B165" s="8">
        <v>159.69999999999999</v>
      </c>
      <c r="D165" s="4">
        <v>32146</v>
      </c>
      <c r="E165" s="6">
        <v>17.95</v>
      </c>
      <c r="G165" s="4">
        <f t="shared" si="11"/>
        <v>33060</v>
      </c>
      <c r="H165" s="5">
        <f t="shared" si="8"/>
        <v>15.35</v>
      </c>
      <c r="I165" s="5">
        <f t="shared" si="9"/>
        <v>7</v>
      </c>
      <c r="J165" s="5">
        <f t="shared" si="10"/>
        <v>1990</v>
      </c>
      <c r="K165">
        <v>5</v>
      </c>
      <c r="L165">
        <v>1998</v>
      </c>
      <c r="M165">
        <v>14.245999999999999</v>
      </c>
      <c r="O165" s="3">
        <v>12</v>
      </c>
      <c r="P165" s="3">
        <v>2000</v>
      </c>
      <c r="Q165" s="3">
        <v>25.538</v>
      </c>
    </row>
    <row r="166" spans="1:17" x14ac:dyDescent="0.25">
      <c r="A166" s="9">
        <v>37865</v>
      </c>
      <c r="B166" s="8">
        <v>147.75</v>
      </c>
      <c r="D166" s="4">
        <v>32147</v>
      </c>
      <c r="E166" s="6">
        <v>17.079999999999998</v>
      </c>
      <c r="G166" s="4">
        <f t="shared" si="11"/>
        <v>33067</v>
      </c>
      <c r="H166" s="5">
        <f t="shared" si="8"/>
        <v>17.03</v>
      </c>
      <c r="I166" s="5">
        <f t="shared" si="9"/>
        <v>7</v>
      </c>
      <c r="J166" s="5">
        <f t="shared" si="10"/>
        <v>1990</v>
      </c>
      <c r="K166">
        <v>5</v>
      </c>
      <c r="L166">
        <v>1999</v>
      </c>
      <c r="M166">
        <v>15.02</v>
      </c>
      <c r="O166" s="3">
        <v>1</v>
      </c>
      <c r="P166" s="3">
        <v>2001</v>
      </c>
      <c r="Q166" s="3">
        <v>25.932499999999997</v>
      </c>
    </row>
    <row r="167" spans="1:17" x14ac:dyDescent="0.25">
      <c r="A167" s="9">
        <v>37895</v>
      </c>
      <c r="B167" s="8">
        <v>151.9</v>
      </c>
      <c r="D167" s="4">
        <v>32148</v>
      </c>
      <c r="E167" s="6">
        <v>17.899999999999999</v>
      </c>
      <c r="G167" s="4">
        <f t="shared" si="11"/>
        <v>33074</v>
      </c>
      <c r="H167" s="5">
        <f t="shared" si="8"/>
        <v>18</v>
      </c>
      <c r="I167" s="5">
        <f t="shared" si="9"/>
        <v>7</v>
      </c>
      <c r="J167" s="5">
        <f t="shared" si="10"/>
        <v>1990</v>
      </c>
      <c r="K167">
        <v>5</v>
      </c>
      <c r="L167">
        <v>2000</v>
      </c>
      <c r="M167">
        <v>28.002500000000001</v>
      </c>
      <c r="O167" s="3">
        <v>2</v>
      </c>
      <c r="P167" s="3">
        <v>2001</v>
      </c>
      <c r="Q167" s="3">
        <v>27.79</v>
      </c>
    </row>
    <row r="168" spans="1:17" x14ac:dyDescent="0.25">
      <c r="A168" s="9">
        <v>37926</v>
      </c>
      <c r="B168" s="8">
        <v>154.75</v>
      </c>
      <c r="D168" s="4">
        <v>32149</v>
      </c>
      <c r="E168" s="5"/>
      <c r="G168" s="4">
        <f t="shared" si="11"/>
        <v>33081</v>
      </c>
      <c r="H168" s="5">
        <f t="shared" si="8"/>
        <v>19.03</v>
      </c>
      <c r="I168" s="5">
        <f t="shared" si="9"/>
        <v>7</v>
      </c>
      <c r="J168" s="5">
        <f t="shared" si="10"/>
        <v>1990</v>
      </c>
      <c r="K168">
        <v>5</v>
      </c>
      <c r="L168">
        <v>2001</v>
      </c>
      <c r="M168">
        <v>28.387499999999999</v>
      </c>
      <c r="O168" s="3">
        <v>3</v>
      </c>
      <c r="P168" s="3">
        <v>2001</v>
      </c>
      <c r="Q168" s="3">
        <v>24.468</v>
      </c>
    </row>
    <row r="169" spans="1:17" x14ac:dyDescent="0.25">
      <c r="A169" s="9">
        <v>37956</v>
      </c>
      <c r="B169" s="8">
        <v>141</v>
      </c>
      <c r="D169" s="4">
        <v>32150</v>
      </c>
      <c r="E169" s="6">
        <v>16.88</v>
      </c>
      <c r="G169" s="4">
        <f t="shared" si="11"/>
        <v>33088</v>
      </c>
      <c r="H169" s="5">
        <f t="shared" si="8"/>
        <v>24.13</v>
      </c>
      <c r="I169" s="5">
        <f t="shared" si="9"/>
        <v>8</v>
      </c>
      <c r="J169" s="5">
        <f t="shared" si="10"/>
        <v>1990</v>
      </c>
      <c r="K169">
        <v>5</v>
      </c>
      <c r="L169">
        <v>2002</v>
      </c>
      <c r="M169">
        <v>25.154000000000003</v>
      </c>
      <c r="O169" s="3">
        <v>4</v>
      </c>
      <c r="P169" s="3">
        <v>2001</v>
      </c>
      <c r="Q169" s="3">
        <v>25.810000000000002</v>
      </c>
    </row>
    <row r="170" spans="1:17" x14ac:dyDescent="0.25">
      <c r="A170" s="9">
        <v>37987</v>
      </c>
      <c r="B170" s="8">
        <v>141.4</v>
      </c>
      <c r="D170" s="4">
        <v>32153</v>
      </c>
      <c r="E170" s="6">
        <v>16.649999999999999</v>
      </c>
      <c r="G170" s="4">
        <f t="shared" si="11"/>
        <v>33095</v>
      </c>
      <c r="H170" s="5">
        <f t="shared" si="8"/>
        <v>26.3</v>
      </c>
      <c r="I170" s="5">
        <f t="shared" si="9"/>
        <v>8</v>
      </c>
      <c r="J170" s="5">
        <f t="shared" si="10"/>
        <v>1990</v>
      </c>
      <c r="K170">
        <v>5</v>
      </c>
      <c r="L170">
        <v>2003</v>
      </c>
      <c r="M170">
        <v>26.036000000000001</v>
      </c>
      <c r="O170" s="3">
        <v>5</v>
      </c>
      <c r="P170" s="3">
        <v>2001</v>
      </c>
      <c r="Q170" s="3">
        <v>28.387499999999999</v>
      </c>
    </row>
    <row r="171" spans="1:17" x14ac:dyDescent="0.25">
      <c r="A171" s="9">
        <v>38018</v>
      </c>
      <c r="B171" s="8">
        <v>139</v>
      </c>
      <c r="D171" s="4">
        <v>32154</v>
      </c>
      <c r="E171" s="6">
        <v>15.95</v>
      </c>
      <c r="G171" s="4">
        <f t="shared" si="11"/>
        <v>33102</v>
      </c>
      <c r="H171" s="5">
        <f t="shared" si="8"/>
        <v>28.45</v>
      </c>
      <c r="I171" s="5">
        <f t="shared" si="9"/>
        <v>8</v>
      </c>
      <c r="J171" s="5">
        <f t="shared" si="10"/>
        <v>1990</v>
      </c>
      <c r="K171">
        <v>5</v>
      </c>
      <c r="L171">
        <v>2004</v>
      </c>
      <c r="M171">
        <v>37.722499999999997</v>
      </c>
      <c r="O171" s="3">
        <v>6</v>
      </c>
      <c r="P171" s="3">
        <v>2001</v>
      </c>
      <c r="Q171" s="3">
        <v>27.788</v>
      </c>
    </row>
    <row r="172" spans="1:17" x14ac:dyDescent="0.25">
      <c r="A172" s="9">
        <v>38047</v>
      </c>
      <c r="B172" s="8">
        <v>144.5</v>
      </c>
      <c r="D172" s="4">
        <v>32155</v>
      </c>
      <c r="E172" s="6">
        <v>16.38</v>
      </c>
      <c r="G172" s="4">
        <f t="shared" si="11"/>
        <v>33109</v>
      </c>
      <c r="H172" s="5">
        <f t="shared" si="8"/>
        <v>31.65</v>
      </c>
      <c r="I172" s="5">
        <f t="shared" si="9"/>
        <v>8</v>
      </c>
      <c r="J172" s="5">
        <f t="shared" si="10"/>
        <v>1990</v>
      </c>
      <c r="K172">
        <v>5</v>
      </c>
      <c r="L172">
        <v>2005</v>
      </c>
      <c r="M172">
        <v>48.22</v>
      </c>
      <c r="O172" s="3">
        <v>7</v>
      </c>
      <c r="P172" s="3">
        <v>2001</v>
      </c>
      <c r="Q172" s="3">
        <v>24.704999999999998</v>
      </c>
    </row>
    <row r="173" spans="1:17" x14ac:dyDescent="0.25">
      <c r="A173" s="9">
        <v>38078</v>
      </c>
      <c r="B173" s="8">
        <v>152.6</v>
      </c>
      <c r="D173" s="4">
        <v>32156</v>
      </c>
      <c r="E173" s="6">
        <v>16.55</v>
      </c>
      <c r="G173" s="4">
        <f t="shared" si="11"/>
        <v>33116</v>
      </c>
      <c r="H173" s="5">
        <f t="shared" si="8"/>
        <v>27.8</v>
      </c>
      <c r="I173" s="5">
        <f t="shared" si="9"/>
        <v>8</v>
      </c>
      <c r="J173" s="5">
        <f t="shared" si="10"/>
        <v>1990</v>
      </c>
      <c r="K173">
        <v>5</v>
      </c>
      <c r="L173">
        <v>2006</v>
      </c>
      <c r="M173">
        <v>69.832499999999996</v>
      </c>
      <c r="O173" s="3">
        <v>8</v>
      </c>
      <c r="P173" s="3">
        <v>2001</v>
      </c>
      <c r="Q173" s="3">
        <v>25.838000000000001</v>
      </c>
    </row>
    <row r="174" spans="1:17" x14ac:dyDescent="0.25">
      <c r="A174" s="9">
        <v>38108</v>
      </c>
      <c r="B174" s="8">
        <v>170.625</v>
      </c>
      <c r="D174" s="4">
        <v>32157</v>
      </c>
      <c r="E174" s="6">
        <v>16.649999999999999</v>
      </c>
      <c r="G174" s="4">
        <f t="shared" si="11"/>
        <v>33123</v>
      </c>
      <c r="H174" s="5">
        <f t="shared" si="8"/>
        <v>31.45</v>
      </c>
      <c r="I174" s="5">
        <f t="shared" si="9"/>
        <v>9</v>
      </c>
      <c r="J174" s="5">
        <f t="shared" si="10"/>
        <v>1990</v>
      </c>
      <c r="K174">
        <v>5</v>
      </c>
      <c r="L174">
        <v>2007</v>
      </c>
      <c r="M174">
        <v>67.574999999999989</v>
      </c>
      <c r="O174" s="3">
        <v>9</v>
      </c>
      <c r="P174" s="3">
        <v>2001</v>
      </c>
      <c r="Q174" s="3">
        <v>25.950000000000003</v>
      </c>
    </row>
    <row r="175" spans="1:17" x14ac:dyDescent="0.25">
      <c r="A175" s="9">
        <v>38139</v>
      </c>
      <c r="B175" s="8">
        <v>159.5</v>
      </c>
      <c r="D175" s="4">
        <v>32160</v>
      </c>
      <c r="E175" s="6">
        <v>16.829999999999998</v>
      </c>
      <c r="G175" s="4">
        <f t="shared" si="11"/>
        <v>33130</v>
      </c>
      <c r="H175" s="5">
        <f t="shared" si="8"/>
        <v>33.35</v>
      </c>
      <c r="I175" s="5">
        <f t="shared" si="9"/>
        <v>9</v>
      </c>
      <c r="J175" s="5">
        <f t="shared" si="10"/>
        <v>1990</v>
      </c>
      <c r="K175">
        <v>5</v>
      </c>
      <c r="L175">
        <v>2008</v>
      </c>
      <c r="M175">
        <v>123.202</v>
      </c>
      <c r="O175" s="3">
        <v>10</v>
      </c>
      <c r="P175" s="3">
        <v>2001</v>
      </c>
      <c r="Q175" s="3">
        <v>20.5625</v>
      </c>
    </row>
    <row r="176" spans="1:17" x14ac:dyDescent="0.25">
      <c r="A176" s="9">
        <v>38169</v>
      </c>
      <c r="B176" s="8">
        <v>162.9</v>
      </c>
      <c r="D176" s="4">
        <v>32161</v>
      </c>
      <c r="E176" s="6">
        <v>17.100000000000001</v>
      </c>
      <c r="G176" s="4">
        <f t="shared" si="11"/>
        <v>33137</v>
      </c>
      <c r="H176" s="5">
        <f t="shared" si="8"/>
        <v>36.950000000000003</v>
      </c>
      <c r="I176" s="5">
        <f t="shared" si="9"/>
        <v>9</v>
      </c>
      <c r="J176" s="5">
        <f t="shared" si="10"/>
        <v>1990</v>
      </c>
      <c r="K176">
        <v>5</v>
      </c>
      <c r="L176">
        <v>2009</v>
      </c>
      <c r="M176">
        <v>57.556000000000004</v>
      </c>
      <c r="O176" s="3">
        <v>11</v>
      </c>
      <c r="P176" s="3">
        <v>2001</v>
      </c>
      <c r="Q176" s="3">
        <v>18.905999999999999</v>
      </c>
    </row>
    <row r="177" spans="1:17" x14ac:dyDescent="0.25">
      <c r="A177" s="9">
        <v>38200</v>
      </c>
      <c r="B177" s="8">
        <v>167</v>
      </c>
      <c r="D177" s="4">
        <v>32162</v>
      </c>
      <c r="E177" s="6">
        <v>16.829999999999998</v>
      </c>
      <c r="G177" s="4">
        <f t="shared" si="11"/>
        <v>33144</v>
      </c>
      <c r="H177" s="5">
        <f t="shared" si="8"/>
        <v>41</v>
      </c>
      <c r="I177" s="5">
        <f t="shared" si="9"/>
        <v>9</v>
      </c>
      <c r="J177" s="5">
        <f t="shared" si="10"/>
        <v>1990</v>
      </c>
      <c r="K177">
        <v>5</v>
      </c>
      <c r="L177">
        <v>2010</v>
      </c>
      <c r="M177">
        <v>74.09</v>
      </c>
      <c r="O177" s="3">
        <v>12</v>
      </c>
      <c r="P177" s="3">
        <v>2001</v>
      </c>
      <c r="Q177" s="3">
        <v>18.712499999999999</v>
      </c>
    </row>
    <row r="178" spans="1:17" x14ac:dyDescent="0.25">
      <c r="A178" s="9">
        <v>38231</v>
      </c>
      <c r="B178" s="8">
        <v>161.75</v>
      </c>
      <c r="D178" s="4">
        <v>32163</v>
      </c>
      <c r="E178" s="6">
        <v>17.079999999999998</v>
      </c>
      <c r="G178" s="4">
        <f t="shared" si="11"/>
        <v>33151</v>
      </c>
      <c r="H178" s="5">
        <f t="shared" si="8"/>
        <v>39.049999999999997</v>
      </c>
      <c r="I178" s="5">
        <f t="shared" si="9"/>
        <v>10</v>
      </c>
      <c r="J178" s="5">
        <f t="shared" si="10"/>
        <v>1990</v>
      </c>
      <c r="K178">
        <v>5</v>
      </c>
      <c r="L178">
        <v>2011</v>
      </c>
      <c r="M178">
        <v>113.2175</v>
      </c>
      <c r="O178" s="3">
        <v>1</v>
      </c>
      <c r="P178" s="3">
        <v>2002</v>
      </c>
      <c r="Q178" s="3">
        <v>19.622500000000002</v>
      </c>
    </row>
    <row r="179" spans="1:17" x14ac:dyDescent="0.25">
      <c r="A179" s="9">
        <v>38261</v>
      </c>
      <c r="B179" s="8">
        <v>173.9</v>
      </c>
      <c r="D179" s="4">
        <v>32164</v>
      </c>
      <c r="E179" s="6">
        <v>16.7</v>
      </c>
      <c r="G179" s="4">
        <f t="shared" si="11"/>
        <v>33158</v>
      </c>
      <c r="H179" s="5">
        <f t="shared" si="8"/>
        <v>39.9</v>
      </c>
      <c r="I179" s="5">
        <f t="shared" si="9"/>
        <v>10</v>
      </c>
      <c r="J179" s="5">
        <f t="shared" si="10"/>
        <v>1990</v>
      </c>
      <c r="K179">
        <v>5</v>
      </c>
      <c r="L179">
        <v>2012</v>
      </c>
      <c r="M179">
        <v>110.0125</v>
      </c>
      <c r="O179" s="3">
        <v>2</v>
      </c>
      <c r="P179" s="3">
        <v>2002</v>
      </c>
      <c r="Q179" s="3">
        <v>20.1525</v>
      </c>
    </row>
    <row r="180" spans="1:17" x14ac:dyDescent="0.25">
      <c r="A180" s="9">
        <v>38292</v>
      </c>
      <c r="B180" s="8">
        <v>146.5</v>
      </c>
      <c r="D180" s="4">
        <v>32167</v>
      </c>
      <c r="E180" s="6">
        <v>16.45</v>
      </c>
      <c r="G180" s="4">
        <f t="shared" si="11"/>
        <v>33165</v>
      </c>
      <c r="H180" s="5">
        <f t="shared" si="8"/>
        <v>33.200000000000003</v>
      </c>
      <c r="I180" s="5">
        <f t="shared" si="9"/>
        <v>10</v>
      </c>
      <c r="J180" s="5">
        <f t="shared" si="10"/>
        <v>1990</v>
      </c>
      <c r="K180">
        <v>5</v>
      </c>
      <c r="L180">
        <v>2013</v>
      </c>
      <c r="M180">
        <v>102.28200000000001</v>
      </c>
      <c r="O180" s="3">
        <v>3</v>
      </c>
      <c r="P180" s="3">
        <v>2002</v>
      </c>
      <c r="Q180" s="3">
        <v>23.643999999999998</v>
      </c>
    </row>
    <row r="181" spans="1:17" x14ac:dyDescent="0.25">
      <c r="A181" s="9">
        <v>38322</v>
      </c>
      <c r="B181" s="8">
        <v>143.5</v>
      </c>
      <c r="D181" s="4">
        <v>32168</v>
      </c>
      <c r="E181" s="5"/>
      <c r="G181" s="4">
        <f t="shared" si="11"/>
        <v>33172</v>
      </c>
      <c r="H181" s="5">
        <f t="shared" si="8"/>
        <v>33.729999999999997</v>
      </c>
      <c r="I181" s="5">
        <f t="shared" si="9"/>
        <v>10</v>
      </c>
      <c r="J181" s="5">
        <f t="shared" si="10"/>
        <v>1990</v>
      </c>
      <c r="K181">
        <v>5</v>
      </c>
      <c r="L181">
        <v>2014</v>
      </c>
      <c r="M181">
        <v>109.60799999999999</v>
      </c>
      <c r="O181" s="3">
        <v>4</v>
      </c>
      <c r="P181" s="3">
        <v>2002</v>
      </c>
      <c r="Q181" s="3">
        <v>25.204999999999998</v>
      </c>
    </row>
    <row r="182" spans="1:17" x14ac:dyDescent="0.25">
      <c r="A182" s="9">
        <v>38353</v>
      </c>
      <c r="B182" s="8">
        <v>157.5</v>
      </c>
      <c r="D182" s="4">
        <v>32169</v>
      </c>
      <c r="E182" s="6">
        <v>16.13</v>
      </c>
      <c r="G182" s="4">
        <f t="shared" si="11"/>
        <v>33179</v>
      </c>
      <c r="H182" s="5">
        <f t="shared" si="8"/>
        <v>35.049999999999997</v>
      </c>
      <c r="I182" s="5">
        <f t="shared" si="9"/>
        <v>11</v>
      </c>
      <c r="J182" s="5">
        <f t="shared" si="10"/>
        <v>1990</v>
      </c>
      <c r="K182">
        <v>5</v>
      </c>
      <c r="L182">
        <v>2015</v>
      </c>
      <c r="M182">
        <v>64.099999999999994</v>
      </c>
      <c r="O182" s="3">
        <v>5</v>
      </c>
      <c r="P182" s="3">
        <v>2002</v>
      </c>
      <c r="Q182" s="3">
        <v>25.154000000000003</v>
      </c>
    </row>
    <row r="183" spans="1:17" x14ac:dyDescent="0.25">
      <c r="A183" s="9">
        <v>38384</v>
      </c>
      <c r="B183" s="8">
        <v>171.25</v>
      </c>
      <c r="D183" s="4">
        <v>32170</v>
      </c>
      <c r="E183" s="6">
        <v>16.100000000000001</v>
      </c>
      <c r="G183" s="4">
        <f t="shared" si="11"/>
        <v>33186</v>
      </c>
      <c r="H183" s="5">
        <f t="shared" si="8"/>
        <v>34.25</v>
      </c>
      <c r="I183" s="5">
        <f t="shared" si="9"/>
        <v>11</v>
      </c>
      <c r="J183" s="5">
        <f t="shared" si="10"/>
        <v>1990</v>
      </c>
      <c r="K183">
        <v>5</v>
      </c>
      <c r="L183">
        <v>2016</v>
      </c>
      <c r="M183">
        <v>47.32</v>
      </c>
      <c r="O183" s="3">
        <v>6</v>
      </c>
      <c r="P183" s="3">
        <v>2002</v>
      </c>
      <c r="Q183" s="3">
        <v>24.107499999999998</v>
      </c>
    </row>
    <row r="184" spans="1:17" x14ac:dyDescent="0.25">
      <c r="A184" s="9">
        <v>38412</v>
      </c>
      <c r="B184" s="8">
        <v>203</v>
      </c>
      <c r="D184" s="4">
        <v>32171</v>
      </c>
      <c r="E184" s="6">
        <v>16.28</v>
      </c>
      <c r="G184" s="4">
        <f t="shared" si="11"/>
        <v>33193</v>
      </c>
      <c r="H184" s="5">
        <f t="shared" si="8"/>
        <v>30.55</v>
      </c>
      <c r="I184" s="5">
        <f t="shared" si="9"/>
        <v>11</v>
      </c>
      <c r="J184" s="5">
        <f t="shared" si="10"/>
        <v>1990</v>
      </c>
      <c r="K184">
        <v>5</v>
      </c>
      <c r="L184">
        <v>2017</v>
      </c>
      <c r="M184">
        <v>50.037500000000001</v>
      </c>
      <c r="O184" s="3">
        <v>7</v>
      </c>
      <c r="P184" s="3">
        <v>2002</v>
      </c>
      <c r="Q184" s="3">
        <v>25.832500000000003</v>
      </c>
    </row>
    <row r="185" spans="1:17" x14ac:dyDescent="0.25">
      <c r="A185" s="9">
        <v>38443</v>
      </c>
      <c r="B185" s="8">
        <v>231.9</v>
      </c>
      <c r="D185" s="4">
        <v>32174</v>
      </c>
      <c r="E185" s="6">
        <v>16.100000000000001</v>
      </c>
      <c r="G185" s="4">
        <f t="shared" si="11"/>
        <v>33200</v>
      </c>
      <c r="H185" s="5">
        <f t="shared" si="8"/>
        <v>32.049999999999997</v>
      </c>
      <c r="I185" s="5">
        <f t="shared" si="9"/>
        <v>11</v>
      </c>
      <c r="J185" s="5">
        <f t="shared" si="10"/>
        <v>1990</v>
      </c>
      <c r="K185">
        <v>5</v>
      </c>
      <c r="L185">
        <v>2018</v>
      </c>
      <c r="M185">
        <v>76.775000000000006</v>
      </c>
      <c r="O185" s="3">
        <v>8</v>
      </c>
      <c r="P185" s="3">
        <v>2002</v>
      </c>
      <c r="Q185" s="3">
        <v>26.612000000000002</v>
      </c>
    </row>
    <row r="186" spans="1:17" x14ac:dyDescent="0.25">
      <c r="A186" s="9">
        <v>38473</v>
      </c>
      <c r="B186" s="8">
        <v>230.125</v>
      </c>
      <c r="D186" s="4">
        <v>32175</v>
      </c>
      <c r="E186" s="6">
        <v>16.18</v>
      </c>
      <c r="G186" s="4">
        <f t="shared" si="11"/>
        <v>33207</v>
      </c>
      <c r="H186" s="5">
        <f t="shared" si="8"/>
        <v>31.2</v>
      </c>
      <c r="I186" s="5">
        <f t="shared" si="9"/>
        <v>11</v>
      </c>
      <c r="J186" s="5">
        <f t="shared" si="10"/>
        <v>1990</v>
      </c>
      <c r="K186">
        <v>5</v>
      </c>
      <c r="L186">
        <v>2019</v>
      </c>
      <c r="M186">
        <v>70.455999999999989</v>
      </c>
      <c r="O186" s="3">
        <v>9</v>
      </c>
      <c r="P186" s="3">
        <v>2002</v>
      </c>
      <c r="Q186" s="3">
        <v>28.625</v>
      </c>
    </row>
    <row r="187" spans="1:17" x14ac:dyDescent="0.25">
      <c r="A187" s="9">
        <v>38504</v>
      </c>
      <c r="B187" s="8">
        <v>232.25</v>
      </c>
      <c r="D187" s="4">
        <v>32176</v>
      </c>
      <c r="E187" s="6">
        <v>16.149999999999999</v>
      </c>
      <c r="G187" s="4">
        <f t="shared" si="11"/>
        <v>33214</v>
      </c>
      <c r="H187" s="5">
        <f t="shared" si="8"/>
        <v>28.3</v>
      </c>
      <c r="I187" s="5">
        <f t="shared" si="9"/>
        <v>12</v>
      </c>
      <c r="J187" s="5">
        <f t="shared" si="10"/>
        <v>1990</v>
      </c>
      <c r="K187">
        <v>5</v>
      </c>
      <c r="L187">
        <v>2020</v>
      </c>
      <c r="M187">
        <v>23.477999999999998</v>
      </c>
      <c r="O187" s="3">
        <v>10</v>
      </c>
      <c r="P187" s="3">
        <v>2002</v>
      </c>
      <c r="Q187" s="3">
        <v>27.664999999999999</v>
      </c>
    </row>
    <row r="188" spans="1:17" x14ac:dyDescent="0.25">
      <c r="A188" s="9">
        <v>38534</v>
      </c>
      <c r="B188" s="8">
        <v>248.9</v>
      </c>
      <c r="D188" s="4">
        <v>32177</v>
      </c>
      <c r="E188" s="6">
        <v>16.18</v>
      </c>
      <c r="G188" s="4">
        <f t="shared" si="11"/>
        <v>33221</v>
      </c>
      <c r="H188" s="5">
        <f t="shared" si="8"/>
        <v>28.45</v>
      </c>
      <c r="I188" s="5">
        <f t="shared" si="9"/>
        <v>12</v>
      </c>
      <c r="J188" s="5">
        <f t="shared" si="10"/>
        <v>1990</v>
      </c>
      <c r="K188">
        <v>5</v>
      </c>
      <c r="L188">
        <v>2021</v>
      </c>
      <c r="M188">
        <v>68.512500000000003</v>
      </c>
      <c r="O188" s="3">
        <v>11</v>
      </c>
      <c r="P188" s="3">
        <v>2002</v>
      </c>
      <c r="Q188" s="3">
        <v>24.635999999999999</v>
      </c>
    </row>
    <row r="189" spans="1:17" x14ac:dyDescent="0.25">
      <c r="A189" s="9">
        <v>38565</v>
      </c>
      <c r="B189" s="8">
        <v>261.75</v>
      </c>
      <c r="D189" s="4">
        <v>32178</v>
      </c>
      <c r="E189" s="6">
        <v>16.100000000000001</v>
      </c>
      <c r="G189" s="4">
        <f t="shared" si="11"/>
        <v>33228</v>
      </c>
      <c r="H189" s="5">
        <f t="shared" si="8"/>
        <v>26.9</v>
      </c>
      <c r="I189" s="5">
        <f t="shared" si="9"/>
        <v>12</v>
      </c>
      <c r="J189" s="5">
        <f t="shared" si="10"/>
        <v>1990</v>
      </c>
      <c r="K189">
        <v>5</v>
      </c>
      <c r="L189">
        <v>2022</v>
      </c>
      <c r="M189">
        <v>115.2</v>
      </c>
      <c r="O189" s="3">
        <v>12</v>
      </c>
      <c r="P189" s="3">
        <v>2002</v>
      </c>
      <c r="Q189" s="3">
        <v>28.5975</v>
      </c>
    </row>
    <row r="190" spans="1:17" x14ac:dyDescent="0.25">
      <c r="A190" s="9">
        <v>38596</v>
      </c>
      <c r="B190" s="8">
        <v>288.39999999999998</v>
      </c>
      <c r="D190" s="4">
        <v>32181</v>
      </c>
      <c r="E190" s="6">
        <v>16.5</v>
      </c>
      <c r="G190" s="4">
        <f t="shared" si="11"/>
        <v>33235</v>
      </c>
      <c r="H190" s="5">
        <f t="shared" si="8"/>
        <v>27.43</v>
      </c>
      <c r="I190" s="5">
        <f t="shared" si="9"/>
        <v>12</v>
      </c>
      <c r="J190" s="5">
        <f t="shared" si="10"/>
        <v>1990</v>
      </c>
      <c r="K190">
        <v>5</v>
      </c>
      <c r="L190">
        <v>2023</v>
      </c>
      <c r="M190">
        <v>75.534999999999997</v>
      </c>
      <c r="O190" s="3">
        <v>1</v>
      </c>
      <c r="P190" s="3">
        <v>2003</v>
      </c>
      <c r="Q190" s="3">
        <v>31.251999999999999</v>
      </c>
    </row>
    <row r="191" spans="1:17" x14ac:dyDescent="0.25">
      <c r="A191" s="9">
        <v>38626</v>
      </c>
      <c r="B191" s="8">
        <v>270.5</v>
      </c>
      <c r="D191" s="4">
        <v>32182</v>
      </c>
      <c r="E191" s="6">
        <v>16.399999999999999</v>
      </c>
      <c r="G191" s="4">
        <f t="shared" si="11"/>
        <v>33242</v>
      </c>
      <c r="H191" s="5">
        <f t="shared" si="8"/>
        <v>24.08</v>
      </c>
      <c r="I191" s="5">
        <f t="shared" si="9"/>
        <v>1</v>
      </c>
      <c r="J191" s="5">
        <f t="shared" si="10"/>
        <v>1991</v>
      </c>
      <c r="K191">
        <v>5</v>
      </c>
      <c r="L191">
        <v>2024</v>
      </c>
      <c r="M191">
        <v>81.512000000000015</v>
      </c>
      <c r="O191" s="3">
        <v>2</v>
      </c>
      <c r="P191" s="3">
        <v>2003</v>
      </c>
      <c r="Q191" s="3">
        <v>33.0625</v>
      </c>
    </row>
    <row r="192" spans="1:17" x14ac:dyDescent="0.25">
      <c r="A192" s="9">
        <v>38657</v>
      </c>
      <c r="B192" s="8">
        <v>256.375</v>
      </c>
      <c r="D192" s="4">
        <v>32183</v>
      </c>
      <c r="E192" s="6">
        <v>16.13</v>
      </c>
      <c r="G192" s="4">
        <f t="shared" si="11"/>
        <v>33249</v>
      </c>
      <c r="H192" s="5">
        <f t="shared" si="8"/>
        <v>26.05</v>
      </c>
      <c r="I192" s="5">
        <f t="shared" si="9"/>
        <v>1</v>
      </c>
      <c r="J192" s="5">
        <f t="shared" si="10"/>
        <v>1991</v>
      </c>
      <c r="K192">
        <v>5</v>
      </c>
      <c r="L192">
        <v>2025</v>
      </c>
      <c r="M192">
        <v>64.152000000000015</v>
      </c>
      <c r="O192" s="3">
        <v>3</v>
      </c>
      <c r="P192" s="3">
        <v>2003</v>
      </c>
      <c r="Q192" s="3">
        <v>29.8</v>
      </c>
    </row>
    <row r="193" spans="1:17" x14ac:dyDescent="0.25">
      <c r="A193" s="9">
        <v>38687</v>
      </c>
      <c r="B193" s="8">
        <v>255.8</v>
      </c>
      <c r="D193" s="4">
        <v>32184</v>
      </c>
      <c r="E193" s="6">
        <v>16.100000000000001</v>
      </c>
      <c r="G193" s="4">
        <f t="shared" si="11"/>
        <v>33256</v>
      </c>
      <c r="H193" s="5">
        <f t="shared" si="8"/>
        <v>19.100000000000001</v>
      </c>
      <c r="I193" s="5">
        <f t="shared" si="9"/>
        <v>1</v>
      </c>
      <c r="J193" s="5">
        <f t="shared" si="10"/>
        <v>1991</v>
      </c>
      <c r="K193">
        <v>6</v>
      </c>
      <c r="L193">
        <v>1987</v>
      </c>
      <c r="M193">
        <v>18.89</v>
      </c>
      <c r="O193" s="3">
        <v>4</v>
      </c>
      <c r="P193" s="3">
        <v>2003</v>
      </c>
      <c r="Q193" s="3">
        <v>25.015000000000001</v>
      </c>
    </row>
    <row r="194" spans="1:17" x14ac:dyDescent="0.25">
      <c r="A194" s="9">
        <v>38718</v>
      </c>
      <c r="B194" s="8">
        <v>282.875</v>
      </c>
      <c r="D194" s="4">
        <v>32185</v>
      </c>
      <c r="E194" s="6">
        <v>15.75</v>
      </c>
      <c r="G194" s="4">
        <f t="shared" si="11"/>
        <v>33263</v>
      </c>
      <c r="H194" s="5">
        <f t="shared" si="8"/>
        <v>20.8</v>
      </c>
      <c r="I194" s="5">
        <f t="shared" si="9"/>
        <v>1</v>
      </c>
      <c r="J194" s="5">
        <f t="shared" si="10"/>
        <v>1991</v>
      </c>
      <c r="K194">
        <v>6</v>
      </c>
      <c r="L194">
        <v>1988</v>
      </c>
      <c r="M194">
        <v>15.7325</v>
      </c>
      <c r="O194" s="3">
        <v>5</v>
      </c>
      <c r="P194" s="3">
        <v>2003</v>
      </c>
      <c r="Q194" s="3">
        <v>26.036000000000001</v>
      </c>
    </row>
    <row r="195" spans="1:17" x14ac:dyDescent="0.25">
      <c r="A195" s="9">
        <v>38749</v>
      </c>
      <c r="B195" s="8">
        <v>294.75</v>
      </c>
      <c r="D195" s="4">
        <v>32188</v>
      </c>
      <c r="E195" s="6">
        <v>15.68</v>
      </c>
      <c r="G195" s="4">
        <f t="shared" si="11"/>
        <v>33270</v>
      </c>
      <c r="H195" s="5">
        <f t="shared" ref="H195:H258" si="12">_xlfn.XLOOKUP(G195,D:D,E:E)</f>
        <v>20.8</v>
      </c>
      <c r="I195" s="5">
        <f t="shared" ref="I195:I258" si="13">MONTH(G195)</f>
        <v>2</v>
      </c>
      <c r="J195" s="5">
        <f t="shared" ref="J195:J258" si="14">YEAR(G195)</f>
        <v>1991</v>
      </c>
      <c r="K195">
        <v>6</v>
      </c>
      <c r="L195">
        <v>1989</v>
      </c>
      <c r="M195">
        <v>17.812000000000001</v>
      </c>
      <c r="O195" s="3">
        <v>6</v>
      </c>
      <c r="P195" s="3">
        <v>2003</v>
      </c>
      <c r="Q195" s="3">
        <v>27.587499999999999</v>
      </c>
    </row>
    <row r="196" spans="1:17" x14ac:dyDescent="0.25">
      <c r="A196" s="9">
        <v>38777</v>
      </c>
      <c r="B196" s="8">
        <v>300.3</v>
      </c>
      <c r="D196" s="4">
        <v>32189</v>
      </c>
      <c r="E196" s="6">
        <v>15.63</v>
      </c>
      <c r="G196" s="4">
        <f t="shared" ref="G196:G259" si="15">G195+7</f>
        <v>33277</v>
      </c>
      <c r="H196" s="5">
        <f t="shared" si="12"/>
        <v>20.65</v>
      </c>
      <c r="I196" s="5">
        <f t="shared" si="13"/>
        <v>2</v>
      </c>
      <c r="J196" s="5">
        <f t="shared" si="14"/>
        <v>1991</v>
      </c>
      <c r="K196">
        <v>6</v>
      </c>
      <c r="L196">
        <v>1990</v>
      </c>
      <c r="M196">
        <v>15.278</v>
      </c>
      <c r="O196" s="3">
        <v>7</v>
      </c>
      <c r="P196" s="3">
        <v>2003</v>
      </c>
      <c r="Q196" s="3">
        <v>28.7075</v>
      </c>
    </row>
    <row r="197" spans="1:17" x14ac:dyDescent="0.25">
      <c r="A197" s="9">
        <v>38808</v>
      </c>
      <c r="B197" s="8">
        <v>320.125</v>
      </c>
      <c r="D197" s="4">
        <v>32190</v>
      </c>
      <c r="E197" s="6">
        <v>15.85</v>
      </c>
      <c r="G197" s="4">
        <f t="shared" si="15"/>
        <v>33284</v>
      </c>
      <c r="H197" s="5">
        <f t="shared" si="12"/>
        <v>18.350000000000001</v>
      </c>
      <c r="I197" s="5">
        <f t="shared" si="13"/>
        <v>2</v>
      </c>
      <c r="J197" s="5">
        <f t="shared" si="14"/>
        <v>1991</v>
      </c>
      <c r="K197">
        <v>6</v>
      </c>
      <c r="L197">
        <v>1991</v>
      </c>
      <c r="M197">
        <v>18.2225</v>
      </c>
      <c r="O197" s="3">
        <v>8</v>
      </c>
      <c r="P197" s="3">
        <v>2003</v>
      </c>
      <c r="Q197" s="3">
        <v>30</v>
      </c>
    </row>
    <row r="198" spans="1:17" x14ac:dyDescent="0.25">
      <c r="A198" s="9">
        <v>38838</v>
      </c>
      <c r="B198" s="8">
        <v>324.625</v>
      </c>
      <c r="D198" s="4">
        <v>32191</v>
      </c>
      <c r="E198" s="6">
        <v>15.48</v>
      </c>
      <c r="G198" s="4">
        <f t="shared" si="15"/>
        <v>33291</v>
      </c>
      <c r="H198" s="5">
        <f t="shared" si="12"/>
        <v>17.8</v>
      </c>
      <c r="I198" s="5">
        <f t="shared" si="13"/>
        <v>2</v>
      </c>
      <c r="J198" s="5">
        <f t="shared" si="14"/>
        <v>1991</v>
      </c>
      <c r="K198">
        <v>6</v>
      </c>
      <c r="L198">
        <v>1992</v>
      </c>
      <c r="M198">
        <v>21.265000000000001</v>
      </c>
      <c r="O198" s="3">
        <v>9</v>
      </c>
      <c r="P198" s="3">
        <v>2003</v>
      </c>
      <c r="Q198" s="3">
        <v>26.692499999999999</v>
      </c>
    </row>
    <row r="199" spans="1:17" x14ac:dyDescent="0.25">
      <c r="A199" s="9">
        <v>38869</v>
      </c>
      <c r="B199" s="8">
        <v>301.39999999999998</v>
      </c>
      <c r="D199" s="4">
        <v>32192</v>
      </c>
      <c r="E199" s="6">
        <v>15.55</v>
      </c>
      <c r="G199" s="4">
        <f t="shared" si="15"/>
        <v>33298</v>
      </c>
      <c r="H199" s="5">
        <f t="shared" si="12"/>
        <v>19.329999999999998</v>
      </c>
      <c r="I199" s="5">
        <f t="shared" si="13"/>
        <v>3</v>
      </c>
      <c r="J199" s="5">
        <f t="shared" si="14"/>
        <v>1991</v>
      </c>
      <c r="K199">
        <v>6</v>
      </c>
      <c r="L199">
        <v>1993</v>
      </c>
      <c r="M199">
        <v>17.559999999999999</v>
      </c>
      <c r="O199" s="3">
        <v>10</v>
      </c>
      <c r="P199" s="3">
        <v>2003</v>
      </c>
      <c r="Q199" s="3">
        <v>29.686</v>
      </c>
    </row>
    <row r="200" spans="1:17" x14ac:dyDescent="0.25">
      <c r="A200" s="9">
        <v>38899</v>
      </c>
      <c r="B200" s="8">
        <v>316.5</v>
      </c>
      <c r="D200" s="4">
        <v>32195</v>
      </c>
      <c r="E200" s="6">
        <v>15.38</v>
      </c>
      <c r="G200" s="4">
        <f t="shared" si="15"/>
        <v>33305</v>
      </c>
      <c r="H200" s="5">
        <f t="shared" si="12"/>
        <v>19.100000000000001</v>
      </c>
      <c r="I200" s="5">
        <f t="shared" si="13"/>
        <v>3</v>
      </c>
      <c r="J200" s="5">
        <f t="shared" si="14"/>
        <v>1991</v>
      </c>
      <c r="K200">
        <v>6</v>
      </c>
      <c r="L200">
        <v>1994</v>
      </c>
      <c r="M200">
        <v>16.759999999999998</v>
      </c>
      <c r="O200" s="3">
        <v>11</v>
      </c>
      <c r="P200" s="3">
        <v>2003</v>
      </c>
      <c r="Q200" s="3">
        <v>29.312500000000004</v>
      </c>
    </row>
    <row r="201" spans="1:17" x14ac:dyDescent="0.25">
      <c r="A201" s="9">
        <v>38930</v>
      </c>
      <c r="B201" s="8">
        <v>311</v>
      </c>
      <c r="D201" s="4">
        <v>32196</v>
      </c>
      <c r="E201" s="6">
        <v>15.58</v>
      </c>
      <c r="G201" s="4">
        <f t="shared" si="15"/>
        <v>33312</v>
      </c>
      <c r="H201" s="5">
        <f t="shared" si="12"/>
        <v>19.05</v>
      </c>
      <c r="I201" s="5">
        <f t="shared" si="13"/>
        <v>3</v>
      </c>
      <c r="J201" s="5">
        <f t="shared" si="14"/>
        <v>1991</v>
      </c>
      <c r="K201">
        <v>6</v>
      </c>
      <c r="L201">
        <v>1995</v>
      </c>
      <c r="M201">
        <v>17.261999999999997</v>
      </c>
      <c r="O201" s="3">
        <v>12</v>
      </c>
      <c r="P201" s="3">
        <v>2003</v>
      </c>
      <c r="Q201" s="3">
        <v>22.535</v>
      </c>
    </row>
    <row r="202" spans="1:17" x14ac:dyDescent="0.25">
      <c r="A202" s="9">
        <v>38961</v>
      </c>
      <c r="B202" s="8">
        <v>280.5</v>
      </c>
      <c r="D202" s="4">
        <v>32197</v>
      </c>
      <c r="E202" s="6">
        <v>15.35</v>
      </c>
      <c r="G202" s="4">
        <f t="shared" si="15"/>
        <v>33319</v>
      </c>
      <c r="H202" s="5">
        <f t="shared" si="12"/>
        <v>18.95</v>
      </c>
      <c r="I202" s="5">
        <f t="shared" si="13"/>
        <v>3</v>
      </c>
      <c r="J202" s="5">
        <f t="shared" si="14"/>
        <v>1991</v>
      </c>
      <c r="K202">
        <v>6</v>
      </c>
      <c r="L202">
        <v>1996</v>
      </c>
      <c r="M202">
        <v>18.489999999999998</v>
      </c>
      <c r="O202" s="3">
        <v>1</v>
      </c>
      <c r="P202" s="3">
        <v>2004</v>
      </c>
      <c r="Q202" s="3">
        <v>30.865999999999996</v>
      </c>
    </row>
    <row r="203" spans="1:17" x14ac:dyDescent="0.25">
      <c r="A203" s="9">
        <v>38991</v>
      </c>
      <c r="B203" s="8">
        <v>266.125</v>
      </c>
      <c r="D203" s="4">
        <v>32198</v>
      </c>
      <c r="E203" s="6">
        <v>14.85</v>
      </c>
      <c r="G203" s="4">
        <f t="shared" si="15"/>
        <v>33326</v>
      </c>
      <c r="H203" s="5">
        <f t="shared" si="12"/>
        <v>0</v>
      </c>
      <c r="I203" s="5">
        <f t="shared" si="13"/>
        <v>3</v>
      </c>
      <c r="J203" s="5">
        <f t="shared" si="14"/>
        <v>1991</v>
      </c>
      <c r="K203">
        <v>6</v>
      </c>
      <c r="L203">
        <v>1997</v>
      </c>
      <c r="M203">
        <v>17.337499999999999</v>
      </c>
      <c r="O203" s="3">
        <v>2</v>
      </c>
      <c r="P203" s="3">
        <v>2004</v>
      </c>
      <c r="Q203" s="3">
        <v>31.094999999999999</v>
      </c>
    </row>
    <row r="204" spans="1:17" x14ac:dyDescent="0.25">
      <c r="A204" s="9">
        <v>39022</v>
      </c>
      <c r="B204" s="8">
        <v>262.375</v>
      </c>
      <c r="D204" s="4">
        <v>32199</v>
      </c>
      <c r="E204" s="6">
        <v>14.65</v>
      </c>
      <c r="G204" s="4">
        <f t="shared" si="15"/>
        <v>33333</v>
      </c>
      <c r="H204" s="5">
        <f t="shared" si="12"/>
        <v>18.350000000000001</v>
      </c>
      <c r="I204" s="5">
        <f t="shared" si="13"/>
        <v>4</v>
      </c>
      <c r="J204" s="5">
        <f t="shared" si="14"/>
        <v>1991</v>
      </c>
      <c r="K204">
        <v>6</v>
      </c>
      <c r="L204">
        <v>1998</v>
      </c>
      <c r="M204">
        <v>12.125</v>
      </c>
      <c r="O204" s="3">
        <v>3</v>
      </c>
      <c r="P204" s="3">
        <v>2004</v>
      </c>
      <c r="Q204" s="3">
        <v>33.5</v>
      </c>
    </row>
    <row r="205" spans="1:17" x14ac:dyDescent="0.25">
      <c r="A205" s="9">
        <v>39052</v>
      </c>
      <c r="B205" s="8">
        <v>255.9</v>
      </c>
      <c r="D205" s="4">
        <v>32202</v>
      </c>
      <c r="E205" s="6">
        <v>14.73</v>
      </c>
      <c r="G205" s="4">
        <f t="shared" si="15"/>
        <v>33340</v>
      </c>
      <c r="H205" s="5">
        <f t="shared" si="12"/>
        <v>19.93</v>
      </c>
      <c r="I205" s="5">
        <f t="shared" si="13"/>
        <v>4</v>
      </c>
      <c r="J205" s="5">
        <f t="shared" si="14"/>
        <v>1991</v>
      </c>
      <c r="K205">
        <v>6</v>
      </c>
      <c r="L205">
        <v>1999</v>
      </c>
      <c r="M205">
        <v>15.914999999999999</v>
      </c>
      <c r="O205" s="3">
        <v>4</v>
      </c>
      <c r="P205" s="3">
        <v>2004</v>
      </c>
      <c r="Q205" s="3">
        <v>33.616</v>
      </c>
    </row>
    <row r="206" spans="1:17" x14ac:dyDescent="0.25">
      <c r="A206" s="9">
        <v>39083</v>
      </c>
      <c r="B206" s="8">
        <v>229.125</v>
      </c>
      <c r="D206" s="4">
        <v>32203</v>
      </c>
      <c r="E206" s="6">
        <v>14.18</v>
      </c>
      <c r="G206" s="4">
        <f t="shared" si="15"/>
        <v>33347</v>
      </c>
      <c r="H206" s="5">
        <f t="shared" si="12"/>
        <v>19.18</v>
      </c>
      <c r="I206" s="5">
        <f t="shared" si="13"/>
        <v>4</v>
      </c>
      <c r="J206" s="5">
        <f t="shared" si="14"/>
        <v>1991</v>
      </c>
      <c r="K206">
        <v>6</v>
      </c>
      <c r="L206">
        <v>2000</v>
      </c>
      <c r="M206">
        <v>29.925999999999998</v>
      </c>
      <c r="O206" s="3">
        <v>5</v>
      </c>
      <c r="P206" s="3">
        <v>2004</v>
      </c>
      <c r="Q206" s="3">
        <v>37.722499999999997</v>
      </c>
    </row>
    <row r="207" spans="1:17" x14ac:dyDescent="0.25">
      <c r="A207" s="9">
        <v>39114</v>
      </c>
      <c r="B207" s="8">
        <v>251.5</v>
      </c>
      <c r="D207" s="4">
        <v>32204</v>
      </c>
      <c r="E207" s="6">
        <v>13.8</v>
      </c>
      <c r="G207" s="4">
        <f t="shared" si="15"/>
        <v>33354</v>
      </c>
      <c r="H207" s="5">
        <f t="shared" si="12"/>
        <v>19.63</v>
      </c>
      <c r="I207" s="5">
        <f t="shared" si="13"/>
        <v>4</v>
      </c>
      <c r="J207" s="5">
        <f t="shared" si="14"/>
        <v>1991</v>
      </c>
      <c r="K207">
        <v>6</v>
      </c>
      <c r="L207">
        <v>2001</v>
      </c>
      <c r="M207">
        <v>27.788</v>
      </c>
      <c r="O207" s="3">
        <v>6</v>
      </c>
      <c r="P207" s="3">
        <v>2004</v>
      </c>
      <c r="Q207" s="3">
        <v>35.22</v>
      </c>
    </row>
    <row r="208" spans="1:17" x14ac:dyDescent="0.25">
      <c r="A208" s="9">
        <v>39142</v>
      </c>
      <c r="B208" s="8">
        <v>272.7</v>
      </c>
      <c r="D208" s="4">
        <v>32205</v>
      </c>
      <c r="E208" s="6">
        <v>14</v>
      </c>
      <c r="G208" s="4">
        <f t="shared" si="15"/>
        <v>33361</v>
      </c>
      <c r="H208" s="5">
        <f t="shared" si="12"/>
        <v>19.55</v>
      </c>
      <c r="I208" s="5">
        <f t="shared" si="13"/>
        <v>5</v>
      </c>
      <c r="J208" s="5">
        <f t="shared" si="14"/>
        <v>1991</v>
      </c>
      <c r="K208">
        <v>6</v>
      </c>
      <c r="L208">
        <v>2002</v>
      </c>
      <c r="M208">
        <v>24.107499999999998</v>
      </c>
      <c r="O208" s="3">
        <v>7</v>
      </c>
      <c r="P208" s="3">
        <v>2004</v>
      </c>
      <c r="Q208" s="3">
        <v>38.498000000000005</v>
      </c>
    </row>
    <row r="209" spans="1:17" x14ac:dyDescent="0.25">
      <c r="A209" s="9">
        <v>39173</v>
      </c>
      <c r="B209" s="8">
        <v>312</v>
      </c>
      <c r="D209" s="4">
        <v>32206</v>
      </c>
      <c r="E209" s="6">
        <v>14</v>
      </c>
      <c r="G209" s="4">
        <f t="shared" si="15"/>
        <v>33368</v>
      </c>
      <c r="H209" s="5">
        <f t="shared" si="12"/>
        <v>19.53</v>
      </c>
      <c r="I209" s="5">
        <f t="shared" si="13"/>
        <v>5</v>
      </c>
      <c r="J209" s="5">
        <f t="shared" si="14"/>
        <v>1991</v>
      </c>
      <c r="K209">
        <v>6</v>
      </c>
      <c r="L209">
        <v>2003</v>
      </c>
      <c r="M209">
        <v>27.587499999999999</v>
      </c>
      <c r="O209" s="3">
        <v>8</v>
      </c>
      <c r="P209" s="3">
        <v>2004</v>
      </c>
      <c r="Q209" s="3">
        <v>43.234999999999999</v>
      </c>
    </row>
    <row r="210" spans="1:17" x14ac:dyDescent="0.25">
      <c r="A210" s="9">
        <v>39203</v>
      </c>
      <c r="B210" s="8">
        <v>325.875</v>
      </c>
      <c r="D210" s="4">
        <v>32209</v>
      </c>
      <c r="E210" s="6">
        <v>13.9</v>
      </c>
      <c r="G210" s="4">
        <f t="shared" si="15"/>
        <v>33375</v>
      </c>
      <c r="H210" s="5">
        <f t="shared" si="12"/>
        <v>18.75</v>
      </c>
      <c r="I210" s="5">
        <f t="shared" si="13"/>
        <v>5</v>
      </c>
      <c r="J210" s="5">
        <f t="shared" si="14"/>
        <v>1991</v>
      </c>
      <c r="K210">
        <v>6</v>
      </c>
      <c r="L210">
        <v>2004</v>
      </c>
      <c r="M210">
        <v>35.22</v>
      </c>
      <c r="O210" s="3">
        <v>9</v>
      </c>
      <c r="P210" s="3">
        <v>2004</v>
      </c>
      <c r="Q210" s="3">
        <v>42.827500000000001</v>
      </c>
    </row>
    <row r="211" spans="1:17" x14ac:dyDescent="0.25">
      <c r="A211" s="9">
        <v>39234</v>
      </c>
      <c r="B211" s="8">
        <v>325.89999999999998</v>
      </c>
      <c r="D211" s="4">
        <v>32210</v>
      </c>
      <c r="E211" s="6">
        <v>13.8</v>
      </c>
      <c r="G211" s="4">
        <f t="shared" si="15"/>
        <v>33382</v>
      </c>
      <c r="H211" s="5">
        <f t="shared" si="12"/>
        <v>18.829999999999998</v>
      </c>
      <c r="I211" s="5">
        <f t="shared" si="13"/>
        <v>5</v>
      </c>
      <c r="J211" s="5">
        <f t="shared" si="14"/>
        <v>1991</v>
      </c>
      <c r="K211">
        <v>6</v>
      </c>
      <c r="L211">
        <v>2005</v>
      </c>
      <c r="M211">
        <v>54.502500000000005</v>
      </c>
      <c r="O211" s="3">
        <v>10</v>
      </c>
      <c r="P211" s="3">
        <v>2004</v>
      </c>
      <c r="Q211" s="3">
        <v>49.545999999999999</v>
      </c>
    </row>
    <row r="212" spans="1:17" x14ac:dyDescent="0.25">
      <c r="A212" s="9">
        <v>39264</v>
      </c>
      <c r="B212" s="8">
        <v>359.875</v>
      </c>
      <c r="D212" s="4">
        <v>32211</v>
      </c>
      <c r="E212" s="6">
        <v>13.98</v>
      </c>
      <c r="G212" s="4">
        <f t="shared" si="15"/>
        <v>33389</v>
      </c>
      <c r="H212" s="5">
        <f t="shared" si="12"/>
        <v>19</v>
      </c>
      <c r="I212" s="5">
        <f t="shared" si="13"/>
        <v>5</v>
      </c>
      <c r="J212" s="5">
        <f t="shared" si="14"/>
        <v>1991</v>
      </c>
      <c r="K212">
        <v>6</v>
      </c>
      <c r="L212">
        <v>2006</v>
      </c>
      <c r="M212">
        <v>69.134</v>
      </c>
      <c r="O212" s="3">
        <v>11</v>
      </c>
      <c r="P212" s="3">
        <v>2004</v>
      </c>
      <c r="Q212" s="3">
        <v>42.714999999999996</v>
      </c>
    </row>
    <row r="213" spans="1:17" x14ac:dyDescent="0.25">
      <c r="A213" s="9">
        <v>39295</v>
      </c>
      <c r="B213" s="8">
        <v>353.7</v>
      </c>
      <c r="D213" s="4">
        <v>32212</v>
      </c>
      <c r="E213" s="6">
        <v>14.48</v>
      </c>
      <c r="G213" s="4">
        <f t="shared" si="15"/>
        <v>33396</v>
      </c>
      <c r="H213" s="5">
        <f t="shared" si="12"/>
        <v>18.28</v>
      </c>
      <c r="I213" s="5">
        <f t="shared" si="13"/>
        <v>6</v>
      </c>
      <c r="J213" s="5">
        <f t="shared" si="14"/>
        <v>1991</v>
      </c>
      <c r="K213">
        <v>6</v>
      </c>
      <c r="L213">
        <v>2007</v>
      </c>
      <c r="M213">
        <v>70.916000000000011</v>
      </c>
      <c r="O213" s="3">
        <v>12</v>
      </c>
      <c r="P213" s="3">
        <v>2004</v>
      </c>
      <c r="Q213" s="3">
        <v>39.769999999999996</v>
      </c>
    </row>
    <row r="214" spans="1:17" x14ac:dyDescent="0.25">
      <c r="A214" s="9">
        <v>39326</v>
      </c>
      <c r="B214" s="8">
        <v>374</v>
      </c>
      <c r="D214" s="4">
        <v>32213</v>
      </c>
      <c r="E214" s="6">
        <v>14.88</v>
      </c>
      <c r="G214" s="4">
        <f t="shared" si="15"/>
        <v>33403</v>
      </c>
      <c r="H214" s="5">
        <f t="shared" si="12"/>
        <v>17.7</v>
      </c>
      <c r="I214" s="5">
        <f t="shared" si="13"/>
        <v>6</v>
      </c>
      <c r="J214" s="5">
        <f t="shared" si="14"/>
        <v>1991</v>
      </c>
      <c r="K214">
        <v>6</v>
      </c>
      <c r="L214">
        <v>2008</v>
      </c>
      <c r="M214">
        <v>135.19</v>
      </c>
      <c r="O214" s="3">
        <v>1</v>
      </c>
      <c r="P214" s="3">
        <v>2005</v>
      </c>
      <c r="Q214" s="3">
        <v>44.792499999999997</v>
      </c>
    </row>
    <row r="215" spans="1:17" x14ac:dyDescent="0.25">
      <c r="A215" s="9">
        <v>39356</v>
      </c>
      <c r="B215" s="8">
        <v>412.5</v>
      </c>
      <c r="D215" s="4">
        <v>32216</v>
      </c>
      <c r="E215" s="6">
        <v>14.28</v>
      </c>
      <c r="G215" s="4">
        <f t="shared" si="15"/>
        <v>33410</v>
      </c>
      <c r="H215" s="5">
        <f t="shared" si="12"/>
        <v>18.43</v>
      </c>
      <c r="I215" s="5">
        <f t="shared" si="13"/>
        <v>6</v>
      </c>
      <c r="J215" s="5">
        <f t="shared" si="14"/>
        <v>1991</v>
      </c>
      <c r="K215">
        <v>6</v>
      </c>
      <c r="L215">
        <v>2009</v>
      </c>
      <c r="M215">
        <v>69.242500000000007</v>
      </c>
      <c r="O215" s="3">
        <v>2</v>
      </c>
      <c r="P215" s="3">
        <v>2005</v>
      </c>
      <c r="Q215" s="3">
        <v>45.894999999999996</v>
      </c>
    </row>
    <row r="216" spans="1:17" x14ac:dyDescent="0.25">
      <c r="A216" s="9">
        <v>39387</v>
      </c>
      <c r="B216" s="8">
        <v>476.1</v>
      </c>
      <c r="D216" s="4">
        <v>32217</v>
      </c>
      <c r="E216" s="6">
        <v>14.3</v>
      </c>
      <c r="G216" s="4">
        <f t="shared" si="15"/>
        <v>33417</v>
      </c>
      <c r="H216" s="5">
        <f t="shared" si="12"/>
        <v>18.48</v>
      </c>
      <c r="I216" s="5">
        <f t="shared" si="13"/>
        <v>6</v>
      </c>
      <c r="J216" s="5">
        <f t="shared" si="14"/>
        <v>1991</v>
      </c>
      <c r="K216">
        <v>6</v>
      </c>
      <c r="L216">
        <v>2010</v>
      </c>
      <c r="M216">
        <v>74.594999999999999</v>
      </c>
      <c r="O216" s="3">
        <v>3</v>
      </c>
      <c r="P216" s="3">
        <v>2005</v>
      </c>
      <c r="Q216" s="3">
        <v>40.305</v>
      </c>
    </row>
    <row r="217" spans="1:17" x14ac:dyDescent="0.25">
      <c r="A217" s="9">
        <v>39417</v>
      </c>
      <c r="B217" s="8">
        <v>447.5</v>
      </c>
      <c r="D217" s="4">
        <v>32218</v>
      </c>
      <c r="E217" s="6">
        <v>14.45</v>
      </c>
      <c r="G217" s="4">
        <f t="shared" si="15"/>
        <v>33424</v>
      </c>
      <c r="H217" s="5">
        <f t="shared" si="12"/>
        <v>18.7</v>
      </c>
      <c r="I217" s="5">
        <f t="shared" si="13"/>
        <v>7</v>
      </c>
      <c r="J217" s="5">
        <f t="shared" si="14"/>
        <v>1991</v>
      </c>
      <c r="K217">
        <v>6</v>
      </c>
      <c r="L217">
        <v>2011</v>
      </c>
      <c r="M217">
        <v>113.08250000000001</v>
      </c>
      <c r="O217" s="3">
        <v>4</v>
      </c>
      <c r="P217" s="3">
        <v>2005</v>
      </c>
      <c r="Q217" s="3">
        <v>51.922000000000004</v>
      </c>
    </row>
    <row r="218" spans="1:17" x14ac:dyDescent="0.25">
      <c r="A218" s="9">
        <v>39448</v>
      </c>
      <c r="B218" s="8">
        <v>447.75</v>
      </c>
      <c r="D218" s="4">
        <v>32219</v>
      </c>
      <c r="E218" s="6">
        <v>14.43</v>
      </c>
      <c r="G218" s="4">
        <f t="shared" si="15"/>
        <v>33431</v>
      </c>
      <c r="H218" s="5">
        <f t="shared" si="12"/>
        <v>19.78</v>
      </c>
      <c r="I218" s="5">
        <f t="shared" si="13"/>
        <v>7</v>
      </c>
      <c r="J218" s="5">
        <f t="shared" si="14"/>
        <v>1991</v>
      </c>
      <c r="K218">
        <v>6</v>
      </c>
      <c r="L218">
        <v>2012</v>
      </c>
      <c r="M218">
        <v>95.343999999999994</v>
      </c>
      <c r="O218" s="3">
        <v>5</v>
      </c>
      <c r="P218" s="3">
        <v>2005</v>
      </c>
      <c r="Q218" s="3">
        <v>48.22</v>
      </c>
    </row>
    <row r="219" spans="1:17" x14ac:dyDescent="0.25">
      <c r="A219" s="9">
        <v>39479</v>
      </c>
      <c r="B219" s="8">
        <v>436.9</v>
      </c>
      <c r="D219" s="4">
        <v>32220</v>
      </c>
      <c r="E219" s="6">
        <v>14.93</v>
      </c>
      <c r="G219" s="4">
        <f t="shared" si="15"/>
        <v>33438</v>
      </c>
      <c r="H219" s="5">
        <f t="shared" si="12"/>
        <v>20.28</v>
      </c>
      <c r="I219" s="5">
        <f t="shared" si="13"/>
        <v>7</v>
      </c>
      <c r="J219" s="5">
        <f t="shared" si="14"/>
        <v>1991</v>
      </c>
      <c r="K219">
        <v>6</v>
      </c>
      <c r="L219">
        <v>2013</v>
      </c>
      <c r="M219">
        <v>103.005</v>
      </c>
      <c r="O219" s="3">
        <v>6</v>
      </c>
      <c r="P219" s="3">
        <v>2005</v>
      </c>
      <c r="Q219" s="3">
        <v>54.502500000000005</v>
      </c>
    </row>
    <row r="220" spans="1:17" x14ac:dyDescent="0.25">
      <c r="A220" s="9">
        <v>39508</v>
      </c>
      <c r="B220" s="8">
        <v>477.375</v>
      </c>
      <c r="D220" s="4">
        <v>32223</v>
      </c>
      <c r="E220" s="6">
        <v>15.38</v>
      </c>
      <c r="G220" s="4">
        <f t="shared" si="15"/>
        <v>33445</v>
      </c>
      <c r="H220" s="5">
        <f t="shared" si="12"/>
        <v>19.73</v>
      </c>
      <c r="I220" s="5">
        <f t="shared" si="13"/>
        <v>7</v>
      </c>
      <c r="J220" s="5">
        <f t="shared" si="14"/>
        <v>1991</v>
      </c>
      <c r="K220">
        <v>6</v>
      </c>
      <c r="L220">
        <v>2014</v>
      </c>
      <c r="M220">
        <v>112.38250000000001</v>
      </c>
      <c r="O220" s="3">
        <v>7</v>
      </c>
      <c r="P220" s="3">
        <v>2005</v>
      </c>
      <c r="Q220" s="3">
        <v>57.827999999999996</v>
      </c>
    </row>
    <row r="221" spans="1:17" x14ac:dyDescent="0.25">
      <c r="A221" s="9">
        <v>39539</v>
      </c>
      <c r="B221" s="8">
        <v>494.875</v>
      </c>
      <c r="D221" s="4">
        <v>32224</v>
      </c>
      <c r="E221" s="6">
        <v>15.03</v>
      </c>
      <c r="G221" s="4">
        <f t="shared" si="15"/>
        <v>33452</v>
      </c>
      <c r="H221" s="5">
        <f t="shared" si="12"/>
        <v>19.399999999999999</v>
      </c>
      <c r="I221" s="5">
        <f t="shared" si="13"/>
        <v>8</v>
      </c>
      <c r="J221" s="5">
        <f t="shared" si="14"/>
        <v>1991</v>
      </c>
      <c r="K221">
        <v>6</v>
      </c>
      <c r="L221">
        <v>2015</v>
      </c>
      <c r="M221">
        <v>60.774999999999991</v>
      </c>
      <c r="O221" s="3">
        <v>8</v>
      </c>
      <c r="P221" s="3">
        <v>2005</v>
      </c>
      <c r="Q221" s="3">
        <v>64.607500000000002</v>
      </c>
    </row>
    <row r="222" spans="1:17" x14ac:dyDescent="0.25">
      <c r="A222" s="9">
        <v>39569</v>
      </c>
      <c r="B222" s="8">
        <v>542.9</v>
      </c>
      <c r="D222" s="4">
        <v>32225</v>
      </c>
      <c r="E222" s="6">
        <v>15.4</v>
      </c>
      <c r="G222" s="4">
        <f t="shared" si="15"/>
        <v>33459</v>
      </c>
      <c r="H222" s="5">
        <f t="shared" si="12"/>
        <v>19.579999999999998</v>
      </c>
      <c r="I222" s="5">
        <f t="shared" si="13"/>
        <v>8</v>
      </c>
      <c r="J222" s="5">
        <f t="shared" si="14"/>
        <v>1991</v>
      </c>
      <c r="K222">
        <v>6</v>
      </c>
      <c r="L222">
        <v>2016</v>
      </c>
      <c r="M222">
        <v>47.865000000000002</v>
      </c>
      <c r="O222" s="3">
        <v>9</v>
      </c>
      <c r="P222" s="3">
        <v>2005</v>
      </c>
      <c r="Q222" s="3">
        <v>62.583999999999989</v>
      </c>
    </row>
    <row r="223" spans="1:17" x14ac:dyDescent="0.25">
      <c r="A223" s="9">
        <v>39600</v>
      </c>
      <c r="B223" s="8">
        <v>593.75750000000005</v>
      </c>
      <c r="D223" s="4">
        <v>32226</v>
      </c>
      <c r="E223" s="6">
        <v>15.65</v>
      </c>
      <c r="G223" s="4">
        <f t="shared" si="15"/>
        <v>33466</v>
      </c>
      <c r="H223" s="5">
        <f t="shared" si="12"/>
        <v>19.350000000000001</v>
      </c>
      <c r="I223" s="5">
        <f t="shared" si="13"/>
        <v>8</v>
      </c>
      <c r="J223" s="5">
        <f t="shared" si="14"/>
        <v>1991</v>
      </c>
      <c r="K223">
        <v>6</v>
      </c>
      <c r="L223">
        <v>2017</v>
      </c>
      <c r="M223">
        <v>46.403999999999996</v>
      </c>
      <c r="O223" s="3">
        <v>10</v>
      </c>
      <c r="P223" s="3">
        <v>2005</v>
      </c>
      <c r="Q223" s="3">
        <v>58.037500000000001</v>
      </c>
    </row>
    <row r="224" spans="1:17" x14ac:dyDescent="0.25">
      <c r="A224" s="9">
        <v>39630</v>
      </c>
      <c r="B224" s="8">
        <v>679.5</v>
      </c>
      <c r="D224" s="4">
        <v>32227</v>
      </c>
      <c r="E224" s="6">
        <v>15.45</v>
      </c>
      <c r="G224" s="4">
        <f t="shared" si="15"/>
        <v>33473</v>
      </c>
      <c r="H224" s="5">
        <f t="shared" si="12"/>
        <v>19.850000000000001</v>
      </c>
      <c r="I224" s="5">
        <f t="shared" si="13"/>
        <v>8</v>
      </c>
      <c r="J224" s="5">
        <f t="shared" si="14"/>
        <v>1991</v>
      </c>
      <c r="K224">
        <v>6</v>
      </c>
      <c r="L224">
        <v>2018</v>
      </c>
      <c r="M224">
        <v>74.556000000000012</v>
      </c>
      <c r="O224" s="3">
        <v>11</v>
      </c>
      <c r="P224" s="3">
        <v>2005</v>
      </c>
      <c r="Q224" s="3">
        <v>55.192500000000003</v>
      </c>
    </row>
    <row r="225" spans="1:17" x14ac:dyDescent="0.25">
      <c r="A225" s="9">
        <v>39661</v>
      </c>
      <c r="B225" s="8">
        <v>635.6</v>
      </c>
      <c r="D225" s="4">
        <v>32230</v>
      </c>
      <c r="E225" s="6">
        <v>15.55</v>
      </c>
      <c r="G225" s="4">
        <f t="shared" si="15"/>
        <v>33480</v>
      </c>
      <c r="H225" s="5">
        <f t="shared" si="12"/>
        <v>20.53</v>
      </c>
      <c r="I225" s="5">
        <f t="shared" si="13"/>
        <v>8</v>
      </c>
      <c r="J225" s="5">
        <f t="shared" si="14"/>
        <v>1991</v>
      </c>
      <c r="K225">
        <v>6</v>
      </c>
      <c r="L225">
        <v>2019</v>
      </c>
      <c r="M225">
        <v>65.184999999999988</v>
      </c>
      <c r="O225" s="3">
        <v>12</v>
      </c>
      <c r="P225" s="3">
        <v>2005</v>
      </c>
      <c r="Q225" s="3">
        <v>56.963999999999999</v>
      </c>
    </row>
    <row r="226" spans="1:17" x14ac:dyDescent="0.25">
      <c r="A226" s="9">
        <v>39692</v>
      </c>
      <c r="B226" s="8">
        <v>544.125</v>
      </c>
      <c r="D226" s="4">
        <v>32231</v>
      </c>
      <c r="E226" s="6">
        <v>15.6</v>
      </c>
      <c r="G226" s="4">
        <f t="shared" si="15"/>
        <v>33487</v>
      </c>
      <c r="H226" s="5">
        <f t="shared" si="12"/>
        <v>20.13</v>
      </c>
      <c r="I226" s="5">
        <f t="shared" si="13"/>
        <v>9</v>
      </c>
      <c r="J226" s="5">
        <f t="shared" si="14"/>
        <v>1991</v>
      </c>
      <c r="K226">
        <v>6</v>
      </c>
      <c r="L226">
        <v>2020</v>
      </c>
      <c r="M226">
        <v>40.709999999999994</v>
      </c>
      <c r="O226" s="3">
        <v>1</v>
      </c>
      <c r="P226" s="3">
        <v>2006</v>
      </c>
      <c r="Q226" s="3">
        <v>63.47</v>
      </c>
    </row>
    <row r="227" spans="1:17" x14ac:dyDescent="0.25">
      <c r="A227" s="9">
        <v>39722</v>
      </c>
      <c r="B227" s="8">
        <v>398</v>
      </c>
      <c r="D227" s="4">
        <v>32232</v>
      </c>
      <c r="E227" s="6">
        <v>15.7</v>
      </c>
      <c r="G227" s="4">
        <f t="shared" si="15"/>
        <v>33494</v>
      </c>
      <c r="H227" s="5">
        <f t="shared" si="12"/>
        <v>20.350000000000001</v>
      </c>
      <c r="I227" s="5">
        <f t="shared" si="13"/>
        <v>9</v>
      </c>
      <c r="J227" s="5">
        <f t="shared" si="14"/>
        <v>1991</v>
      </c>
      <c r="K227">
        <v>6</v>
      </c>
      <c r="L227">
        <v>2021</v>
      </c>
      <c r="M227">
        <v>73.224999999999994</v>
      </c>
      <c r="O227" s="3">
        <v>2</v>
      </c>
      <c r="P227" s="3">
        <v>2006</v>
      </c>
      <c r="Q227" s="3">
        <v>60.167499999999997</v>
      </c>
    </row>
    <row r="228" spans="1:17" x14ac:dyDescent="0.25">
      <c r="A228" s="9">
        <v>39753</v>
      </c>
      <c r="B228" s="8">
        <v>217.625</v>
      </c>
      <c r="D228" s="4">
        <v>32233</v>
      </c>
      <c r="E228" s="6">
        <v>15.65</v>
      </c>
      <c r="G228" s="4">
        <f t="shared" si="15"/>
        <v>33501</v>
      </c>
      <c r="H228" s="5">
        <f t="shared" si="12"/>
        <v>20.55</v>
      </c>
      <c r="I228" s="5">
        <f t="shared" si="13"/>
        <v>9</v>
      </c>
      <c r="J228" s="5">
        <f t="shared" si="14"/>
        <v>1991</v>
      </c>
      <c r="K228">
        <v>6</v>
      </c>
      <c r="L228">
        <v>2022</v>
      </c>
      <c r="M228">
        <v>122.42500000000001</v>
      </c>
      <c r="O228" s="3">
        <v>3</v>
      </c>
      <c r="P228" s="3">
        <v>2006</v>
      </c>
      <c r="Q228" s="3">
        <v>62.822000000000003</v>
      </c>
    </row>
    <row r="229" spans="1:17" x14ac:dyDescent="0.25">
      <c r="A229" s="9">
        <v>39783</v>
      </c>
      <c r="B229" s="8">
        <v>194.5</v>
      </c>
      <c r="D229" s="4">
        <v>32234</v>
      </c>
      <c r="E229" s="5"/>
      <c r="G229" s="4">
        <f t="shared" si="15"/>
        <v>33508</v>
      </c>
      <c r="H229" s="5">
        <f t="shared" si="12"/>
        <v>21.48</v>
      </c>
      <c r="I229" s="5">
        <f t="shared" si="13"/>
        <v>9</v>
      </c>
      <c r="J229" s="5">
        <f t="shared" si="14"/>
        <v>1991</v>
      </c>
      <c r="K229">
        <v>6</v>
      </c>
      <c r="L229">
        <v>2023</v>
      </c>
      <c r="M229">
        <v>75.114000000000004</v>
      </c>
      <c r="O229" s="3">
        <v>4</v>
      </c>
      <c r="P229" s="3">
        <v>2006</v>
      </c>
      <c r="Q229" s="3">
        <v>53.300000000000004</v>
      </c>
    </row>
    <row r="230" spans="1:17" x14ac:dyDescent="0.25">
      <c r="A230" s="9">
        <v>39814</v>
      </c>
      <c r="B230" s="8">
        <v>225.7</v>
      </c>
      <c r="D230" s="4">
        <v>32237</v>
      </c>
      <c r="E230" s="5"/>
      <c r="G230" s="4">
        <f t="shared" si="15"/>
        <v>33515</v>
      </c>
      <c r="H230" s="5">
        <f t="shared" si="12"/>
        <v>21.83</v>
      </c>
      <c r="I230" s="5">
        <f t="shared" si="13"/>
        <v>10</v>
      </c>
      <c r="J230" s="5">
        <f t="shared" si="14"/>
        <v>1991</v>
      </c>
      <c r="K230">
        <v>6</v>
      </c>
      <c r="L230">
        <v>2024</v>
      </c>
      <c r="M230">
        <v>83.322500000000005</v>
      </c>
      <c r="O230" s="3">
        <v>5</v>
      </c>
      <c r="P230" s="3">
        <v>2006</v>
      </c>
      <c r="Q230" s="3">
        <v>69.832499999999996</v>
      </c>
    </row>
    <row r="231" spans="1:17" x14ac:dyDescent="0.25">
      <c r="A231" s="9">
        <v>39845</v>
      </c>
      <c r="B231" s="8">
        <v>239.125</v>
      </c>
      <c r="D231" s="4">
        <v>32238</v>
      </c>
      <c r="E231" s="6">
        <v>15.5</v>
      </c>
      <c r="G231" s="4">
        <f t="shared" si="15"/>
        <v>33522</v>
      </c>
      <c r="H231" s="5">
        <f t="shared" si="12"/>
        <v>22.08</v>
      </c>
      <c r="I231" s="5">
        <f t="shared" si="13"/>
        <v>10</v>
      </c>
      <c r="J231" s="5">
        <f t="shared" si="14"/>
        <v>1991</v>
      </c>
      <c r="K231">
        <v>6</v>
      </c>
      <c r="L231">
        <v>2025</v>
      </c>
      <c r="M231">
        <v>73.03</v>
      </c>
      <c r="O231" s="3">
        <v>6</v>
      </c>
      <c r="P231" s="3">
        <v>2006</v>
      </c>
      <c r="Q231" s="3">
        <v>69.134</v>
      </c>
    </row>
    <row r="232" spans="1:17" x14ac:dyDescent="0.25">
      <c r="A232" s="9">
        <v>39873</v>
      </c>
      <c r="B232" s="8">
        <v>244.5</v>
      </c>
      <c r="D232" s="4">
        <v>32239</v>
      </c>
      <c r="E232" s="6">
        <v>15.38</v>
      </c>
      <c r="G232" s="4">
        <f t="shared" si="15"/>
        <v>33529</v>
      </c>
      <c r="H232" s="5">
        <f t="shared" si="12"/>
        <v>23</v>
      </c>
      <c r="I232" s="5">
        <f t="shared" si="13"/>
        <v>10</v>
      </c>
      <c r="J232" s="5">
        <f t="shared" si="14"/>
        <v>1991</v>
      </c>
      <c r="K232">
        <v>7</v>
      </c>
      <c r="L232">
        <v>1987</v>
      </c>
      <c r="M232">
        <v>19.86</v>
      </c>
      <c r="O232" s="3">
        <v>7</v>
      </c>
      <c r="P232" s="3">
        <v>2006</v>
      </c>
      <c r="Q232" s="3">
        <v>74.294999999999987</v>
      </c>
    </row>
    <row r="233" spans="1:17" x14ac:dyDescent="0.25">
      <c r="A233" s="9">
        <v>39904</v>
      </c>
      <c r="B233" s="8">
        <v>276.25</v>
      </c>
      <c r="D233" s="4">
        <v>32240</v>
      </c>
      <c r="E233" s="6">
        <v>15.53</v>
      </c>
      <c r="G233" s="4">
        <f t="shared" si="15"/>
        <v>33536</v>
      </c>
      <c r="H233" s="5">
        <f t="shared" si="12"/>
        <v>22.35</v>
      </c>
      <c r="I233" s="5">
        <f t="shared" si="13"/>
        <v>10</v>
      </c>
      <c r="J233" s="5">
        <f t="shared" si="14"/>
        <v>1991</v>
      </c>
      <c r="K233">
        <v>7</v>
      </c>
      <c r="L233">
        <v>1988</v>
      </c>
      <c r="M233">
        <v>14.965999999999999</v>
      </c>
      <c r="O233" s="3">
        <v>8</v>
      </c>
      <c r="P233" s="3">
        <v>2006</v>
      </c>
      <c r="Q233" s="3">
        <v>73.899999999999991</v>
      </c>
    </row>
    <row r="234" spans="1:17" x14ac:dyDescent="0.25">
      <c r="A234" s="9">
        <v>39934</v>
      </c>
      <c r="B234" s="8">
        <v>327.5</v>
      </c>
      <c r="D234" s="4">
        <v>32241</v>
      </c>
      <c r="E234" s="6">
        <v>15.55</v>
      </c>
      <c r="G234" s="4">
        <f t="shared" si="15"/>
        <v>33543</v>
      </c>
      <c r="H234" s="5">
        <f t="shared" si="12"/>
        <v>22.53</v>
      </c>
      <c r="I234" s="5">
        <f t="shared" si="13"/>
        <v>11</v>
      </c>
      <c r="J234" s="5">
        <f t="shared" si="14"/>
        <v>1991</v>
      </c>
      <c r="K234">
        <v>7</v>
      </c>
      <c r="L234">
        <v>1989</v>
      </c>
      <c r="M234">
        <v>17.489999999999998</v>
      </c>
      <c r="O234" s="3">
        <v>9</v>
      </c>
      <c r="P234" s="3">
        <v>2006</v>
      </c>
      <c r="Q234" s="3">
        <v>62.583999999999989</v>
      </c>
    </row>
    <row r="235" spans="1:17" x14ac:dyDescent="0.25">
      <c r="A235" s="9">
        <v>39965</v>
      </c>
      <c r="B235" s="8">
        <v>384.25</v>
      </c>
      <c r="D235" s="4">
        <v>32244</v>
      </c>
      <c r="E235" s="6">
        <v>16.2</v>
      </c>
      <c r="G235" s="4">
        <f t="shared" si="15"/>
        <v>33550</v>
      </c>
      <c r="H235" s="5">
        <f t="shared" si="12"/>
        <v>21.8</v>
      </c>
      <c r="I235" s="5">
        <f t="shared" si="13"/>
        <v>11</v>
      </c>
      <c r="J235" s="5">
        <f t="shared" si="14"/>
        <v>1991</v>
      </c>
      <c r="K235">
        <v>7</v>
      </c>
      <c r="L235">
        <v>1990</v>
      </c>
      <c r="M235">
        <v>17.352499999999999</v>
      </c>
      <c r="O235" s="3">
        <v>10</v>
      </c>
      <c r="P235" s="3">
        <v>2006</v>
      </c>
      <c r="Q235" s="3">
        <v>57.95</v>
      </c>
    </row>
    <row r="236" spans="1:17" x14ac:dyDescent="0.25">
      <c r="A236" s="9">
        <v>39995</v>
      </c>
      <c r="B236" s="8">
        <v>382.8</v>
      </c>
      <c r="D236" s="4">
        <v>32245</v>
      </c>
      <c r="E236" s="6">
        <v>16.48</v>
      </c>
      <c r="G236" s="4">
        <f t="shared" si="15"/>
        <v>33557</v>
      </c>
      <c r="H236" s="5">
        <f t="shared" si="12"/>
        <v>21.63</v>
      </c>
      <c r="I236" s="5">
        <f t="shared" si="13"/>
        <v>11</v>
      </c>
      <c r="J236" s="5">
        <f t="shared" si="14"/>
        <v>1991</v>
      </c>
      <c r="K236">
        <v>7</v>
      </c>
      <c r="L236">
        <v>1991</v>
      </c>
      <c r="M236">
        <v>19.622500000000002</v>
      </c>
      <c r="O236" s="3">
        <v>11</v>
      </c>
      <c r="P236" s="3">
        <v>2006</v>
      </c>
      <c r="Q236" s="3">
        <v>58.364999999999995</v>
      </c>
    </row>
    <row r="237" spans="1:17" x14ac:dyDescent="0.25">
      <c r="A237" s="9">
        <v>40026</v>
      </c>
      <c r="B237" s="8">
        <v>429.375</v>
      </c>
      <c r="D237" s="4">
        <v>32246</v>
      </c>
      <c r="E237" s="6">
        <v>16.55</v>
      </c>
      <c r="G237" s="4">
        <f t="shared" si="15"/>
        <v>33564</v>
      </c>
      <c r="H237" s="5">
        <f t="shared" si="12"/>
        <v>20.149999999999999</v>
      </c>
      <c r="I237" s="5">
        <f t="shared" si="13"/>
        <v>11</v>
      </c>
      <c r="J237" s="5">
        <f t="shared" si="14"/>
        <v>1991</v>
      </c>
      <c r="K237">
        <v>7</v>
      </c>
      <c r="L237">
        <v>1992</v>
      </c>
      <c r="M237">
        <v>20.365999999999996</v>
      </c>
      <c r="O237" s="3">
        <v>12</v>
      </c>
      <c r="P237" s="3">
        <v>2006</v>
      </c>
      <c r="Q237" s="3">
        <v>62.44</v>
      </c>
    </row>
    <row r="238" spans="1:17" x14ac:dyDescent="0.25">
      <c r="A238" s="9">
        <v>40057</v>
      </c>
      <c r="B238" s="8">
        <v>412.375</v>
      </c>
      <c r="D238" s="4">
        <v>32247</v>
      </c>
      <c r="E238" s="6">
        <v>16.649999999999999</v>
      </c>
      <c r="G238" s="4">
        <f t="shared" si="15"/>
        <v>33571</v>
      </c>
      <c r="H238" s="5">
        <f t="shared" si="12"/>
        <v>20.079999999999998</v>
      </c>
      <c r="I238" s="5">
        <f t="shared" si="13"/>
        <v>11</v>
      </c>
      <c r="J238" s="5">
        <f t="shared" si="14"/>
        <v>1991</v>
      </c>
      <c r="K238">
        <v>7</v>
      </c>
      <c r="L238">
        <v>1993</v>
      </c>
      <c r="M238">
        <v>16.692</v>
      </c>
      <c r="O238" s="3">
        <v>1</v>
      </c>
      <c r="P238" s="3">
        <v>2007</v>
      </c>
      <c r="Q238" s="3">
        <v>52.587499999999999</v>
      </c>
    </row>
    <row r="239" spans="1:17" x14ac:dyDescent="0.25">
      <c r="A239" s="9">
        <v>40087</v>
      </c>
      <c r="B239" s="8">
        <v>423.1</v>
      </c>
      <c r="D239" s="4">
        <v>32248</v>
      </c>
      <c r="E239" s="6">
        <v>16.850000000000001</v>
      </c>
      <c r="G239" s="4">
        <f t="shared" si="15"/>
        <v>33578</v>
      </c>
      <c r="H239" s="5">
        <f t="shared" si="12"/>
        <v>19.05</v>
      </c>
      <c r="I239" s="5">
        <f t="shared" si="13"/>
        <v>12</v>
      </c>
      <c r="J239" s="5">
        <f t="shared" si="14"/>
        <v>1991</v>
      </c>
      <c r="K239">
        <v>7</v>
      </c>
      <c r="L239">
        <v>1994</v>
      </c>
      <c r="M239">
        <v>17.771999999999998</v>
      </c>
      <c r="O239" s="3">
        <v>2</v>
      </c>
      <c r="P239" s="3">
        <v>2007</v>
      </c>
      <c r="Q239" s="3">
        <v>57.825000000000003</v>
      </c>
    </row>
    <row r="240" spans="1:17" x14ac:dyDescent="0.25">
      <c r="A240" s="9">
        <v>40118</v>
      </c>
      <c r="B240" s="8">
        <v>462</v>
      </c>
      <c r="D240" s="4">
        <v>32251</v>
      </c>
      <c r="E240" s="6">
        <v>17.45</v>
      </c>
      <c r="G240" s="4">
        <f t="shared" si="15"/>
        <v>33585</v>
      </c>
      <c r="H240" s="5">
        <f t="shared" si="12"/>
        <v>19.05</v>
      </c>
      <c r="I240" s="5">
        <f t="shared" si="13"/>
        <v>12</v>
      </c>
      <c r="J240" s="5">
        <f t="shared" si="14"/>
        <v>1991</v>
      </c>
      <c r="K240">
        <v>7</v>
      </c>
      <c r="L240">
        <v>1995</v>
      </c>
      <c r="M240">
        <v>15.795</v>
      </c>
      <c r="O240" s="3">
        <v>3</v>
      </c>
      <c r="P240" s="3">
        <v>2007</v>
      </c>
      <c r="Q240" s="3">
        <v>62.93399999999999</v>
      </c>
    </row>
    <row r="241" spans="1:17" x14ac:dyDescent="0.25">
      <c r="A241" s="9">
        <v>40148</v>
      </c>
      <c r="B241" s="8">
        <v>438.75</v>
      </c>
      <c r="D241" s="4">
        <v>32252</v>
      </c>
      <c r="E241" s="6">
        <v>17.05</v>
      </c>
      <c r="G241" s="4">
        <f t="shared" si="15"/>
        <v>33592</v>
      </c>
      <c r="H241" s="5">
        <f t="shared" si="12"/>
        <v>18.55</v>
      </c>
      <c r="I241" s="5">
        <f t="shared" si="13"/>
        <v>12</v>
      </c>
      <c r="J241" s="5">
        <f t="shared" si="14"/>
        <v>1991</v>
      </c>
      <c r="K241">
        <v>7</v>
      </c>
      <c r="L241">
        <v>1996</v>
      </c>
      <c r="M241">
        <v>19.572500000000002</v>
      </c>
      <c r="O241" s="3">
        <v>4</v>
      </c>
      <c r="P241" s="3">
        <v>2007</v>
      </c>
      <c r="Q241" s="3">
        <v>50.6</v>
      </c>
    </row>
    <row r="242" spans="1:17" x14ac:dyDescent="0.25">
      <c r="A242" s="9">
        <v>40179</v>
      </c>
      <c r="B242" s="8">
        <v>457.2</v>
      </c>
      <c r="D242" s="4">
        <v>32253</v>
      </c>
      <c r="E242" s="6">
        <v>16.78</v>
      </c>
      <c r="G242" s="4">
        <f t="shared" si="15"/>
        <v>33599</v>
      </c>
      <c r="H242" s="5">
        <f t="shared" si="12"/>
        <v>17.75</v>
      </c>
      <c r="I242" s="5">
        <f t="shared" si="13"/>
        <v>12</v>
      </c>
      <c r="J242" s="5">
        <f t="shared" si="14"/>
        <v>1991</v>
      </c>
      <c r="K242">
        <v>7</v>
      </c>
      <c r="L242">
        <v>1997</v>
      </c>
      <c r="M242">
        <v>13.745000000000001</v>
      </c>
      <c r="O242" s="3">
        <v>5</v>
      </c>
      <c r="P242" s="3">
        <v>2007</v>
      </c>
      <c r="Q242" s="3">
        <v>67.574999999999989</v>
      </c>
    </row>
    <row r="243" spans="1:17" x14ac:dyDescent="0.25">
      <c r="A243" s="9">
        <v>40210</v>
      </c>
      <c r="B243" s="8">
        <v>445.5</v>
      </c>
      <c r="D243" s="4">
        <v>32254</v>
      </c>
      <c r="E243" s="6">
        <v>17</v>
      </c>
      <c r="G243" s="4">
        <f t="shared" si="15"/>
        <v>33606</v>
      </c>
      <c r="H243" s="5">
        <f t="shared" si="12"/>
        <v>18.5</v>
      </c>
      <c r="I243" s="5">
        <f t="shared" si="13"/>
        <v>1</v>
      </c>
      <c r="J243" s="5">
        <f t="shared" si="14"/>
        <v>1992</v>
      </c>
      <c r="K243">
        <v>7</v>
      </c>
      <c r="L243">
        <v>1998</v>
      </c>
      <c r="M243">
        <v>12.092000000000001</v>
      </c>
      <c r="O243" s="3">
        <v>6</v>
      </c>
      <c r="P243" s="3">
        <v>2007</v>
      </c>
      <c r="Q243" s="3">
        <v>70.916000000000011</v>
      </c>
    </row>
    <row r="244" spans="1:17" x14ac:dyDescent="0.25">
      <c r="A244" s="9">
        <v>40238</v>
      </c>
      <c r="B244" s="8">
        <v>453.25</v>
      </c>
      <c r="D244" s="4">
        <v>32255</v>
      </c>
      <c r="E244" s="6">
        <v>17.149999999999999</v>
      </c>
      <c r="G244" s="4">
        <f t="shared" si="15"/>
        <v>33613</v>
      </c>
      <c r="H244" s="5">
        <f t="shared" si="12"/>
        <v>17.23</v>
      </c>
      <c r="I244" s="5">
        <f t="shared" si="13"/>
        <v>1</v>
      </c>
      <c r="J244" s="5">
        <f t="shared" si="14"/>
        <v>1992</v>
      </c>
      <c r="K244">
        <v>7</v>
      </c>
      <c r="L244">
        <v>1999</v>
      </c>
      <c r="M244">
        <v>19.106000000000002</v>
      </c>
      <c r="O244" s="3">
        <v>7</v>
      </c>
      <c r="P244" s="3">
        <v>2007</v>
      </c>
      <c r="Q244" s="3">
        <v>77.592500000000001</v>
      </c>
    </row>
    <row r="245" spans="1:17" x14ac:dyDescent="0.25">
      <c r="A245" s="9">
        <v>40269</v>
      </c>
      <c r="B245" s="8">
        <v>467</v>
      </c>
      <c r="D245" s="4">
        <v>32258</v>
      </c>
      <c r="E245" s="6">
        <v>17.13</v>
      </c>
      <c r="G245" s="4">
        <f t="shared" si="15"/>
        <v>33620</v>
      </c>
      <c r="H245" s="5">
        <f t="shared" si="12"/>
        <v>18.48</v>
      </c>
      <c r="I245" s="5">
        <f t="shared" si="13"/>
        <v>1</v>
      </c>
      <c r="J245" s="5">
        <f t="shared" si="14"/>
        <v>1992</v>
      </c>
      <c r="K245">
        <v>7</v>
      </c>
      <c r="L245">
        <v>2000</v>
      </c>
      <c r="M245">
        <v>28.520000000000003</v>
      </c>
      <c r="O245" s="3">
        <v>8</v>
      </c>
      <c r="P245" s="3">
        <v>2007</v>
      </c>
      <c r="Q245" s="3">
        <v>71.302000000000007</v>
      </c>
    </row>
    <row r="246" spans="1:17" x14ac:dyDescent="0.25">
      <c r="A246" s="9">
        <v>40299</v>
      </c>
      <c r="B246" s="8">
        <v>437.375</v>
      </c>
      <c r="D246" s="4">
        <v>32259</v>
      </c>
      <c r="E246" s="6">
        <v>17.18</v>
      </c>
      <c r="G246" s="4">
        <f t="shared" si="15"/>
        <v>33627</v>
      </c>
      <c r="H246" s="5">
        <f t="shared" si="12"/>
        <v>18.329999999999998</v>
      </c>
      <c r="I246" s="5">
        <f t="shared" si="13"/>
        <v>1</v>
      </c>
      <c r="J246" s="5">
        <f t="shared" si="14"/>
        <v>1992</v>
      </c>
      <c r="K246">
        <v>7</v>
      </c>
      <c r="L246">
        <v>2001</v>
      </c>
      <c r="M246">
        <v>24.704999999999998</v>
      </c>
      <c r="O246" s="3">
        <v>9</v>
      </c>
      <c r="P246" s="3">
        <v>2007</v>
      </c>
      <c r="Q246" s="3">
        <v>78.307500000000005</v>
      </c>
    </row>
    <row r="247" spans="1:17" x14ac:dyDescent="0.25">
      <c r="A247" s="9">
        <v>40330</v>
      </c>
      <c r="B247" s="8">
        <v>424.375</v>
      </c>
      <c r="D247" s="4">
        <v>32260</v>
      </c>
      <c r="E247" s="6">
        <v>17.399999999999999</v>
      </c>
      <c r="G247" s="4">
        <f t="shared" si="15"/>
        <v>33634</v>
      </c>
      <c r="H247" s="5">
        <f t="shared" si="12"/>
        <v>18.149999999999999</v>
      </c>
      <c r="I247" s="5">
        <f t="shared" si="13"/>
        <v>1</v>
      </c>
      <c r="J247" s="5">
        <f t="shared" si="14"/>
        <v>1992</v>
      </c>
      <c r="K247">
        <v>7</v>
      </c>
      <c r="L247">
        <v>2002</v>
      </c>
      <c r="M247">
        <v>25.832500000000003</v>
      </c>
      <c r="O247" s="3">
        <v>10</v>
      </c>
      <c r="P247" s="3">
        <v>2007</v>
      </c>
      <c r="Q247" s="3">
        <v>82.207499999999996</v>
      </c>
    </row>
    <row r="248" spans="1:17" x14ac:dyDescent="0.25">
      <c r="A248" s="9">
        <v>40360</v>
      </c>
      <c r="B248" s="8">
        <v>423.7</v>
      </c>
      <c r="D248" s="4">
        <v>32261</v>
      </c>
      <c r="E248" s="6">
        <v>16.88</v>
      </c>
      <c r="G248" s="4">
        <f t="shared" si="15"/>
        <v>33641</v>
      </c>
      <c r="H248" s="5">
        <f t="shared" si="12"/>
        <v>18.579999999999998</v>
      </c>
      <c r="I248" s="5">
        <f t="shared" si="13"/>
        <v>2</v>
      </c>
      <c r="J248" s="5">
        <f t="shared" si="14"/>
        <v>1992</v>
      </c>
      <c r="K248">
        <v>7</v>
      </c>
      <c r="L248">
        <v>2003</v>
      </c>
      <c r="M248">
        <v>28.7075</v>
      </c>
      <c r="O248" s="3">
        <v>11</v>
      </c>
      <c r="P248" s="3">
        <v>2007</v>
      </c>
      <c r="Q248" s="3">
        <v>92.091999999999999</v>
      </c>
    </row>
    <row r="249" spans="1:17" x14ac:dyDescent="0.25">
      <c r="A249" s="9">
        <v>40391</v>
      </c>
      <c r="B249" s="8">
        <v>439.625</v>
      </c>
      <c r="D249" s="4">
        <v>32262</v>
      </c>
      <c r="E249" s="6">
        <v>16.600000000000001</v>
      </c>
      <c r="G249" s="4">
        <f t="shared" si="15"/>
        <v>33648</v>
      </c>
      <c r="H249" s="5">
        <f t="shared" si="12"/>
        <v>18.63</v>
      </c>
      <c r="I249" s="5">
        <f t="shared" si="13"/>
        <v>2</v>
      </c>
      <c r="J249" s="5">
        <f t="shared" si="14"/>
        <v>1992</v>
      </c>
      <c r="K249">
        <v>7</v>
      </c>
      <c r="L249">
        <v>2004</v>
      </c>
      <c r="M249">
        <v>38.498000000000005</v>
      </c>
      <c r="O249" s="3">
        <v>12</v>
      </c>
      <c r="P249" s="3">
        <v>2007</v>
      </c>
      <c r="Q249" s="3">
        <v>91.81750000000001</v>
      </c>
    </row>
    <row r="250" spans="1:17" x14ac:dyDescent="0.25">
      <c r="A250" s="9">
        <v>40422</v>
      </c>
      <c r="B250" s="8">
        <v>431.5</v>
      </c>
      <c r="D250" s="4">
        <v>32265</v>
      </c>
      <c r="E250" s="6">
        <v>15.95</v>
      </c>
      <c r="G250" s="4">
        <f t="shared" si="15"/>
        <v>33655</v>
      </c>
      <c r="H250" s="5">
        <f t="shared" si="12"/>
        <v>18</v>
      </c>
      <c r="I250" s="5">
        <f t="shared" si="13"/>
        <v>2</v>
      </c>
      <c r="J250" s="5">
        <f t="shared" si="14"/>
        <v>1992</v>
      </c>
      <c r="K250">
        <v>7</v>
      </c>
      <c r="L250">
        <v>2005</v>
      </c>
      <c r="M250">
        <v>57.827999999999996</v>
      </c>
      <c r="O250" s="3">
        <v>1</v>
      </c>
      <c r="P250" s="3">
        <v>2008</v>
      </c>
      <c r="Q250" s="3">
        <v>92.337499999999991</v>
      </c>
    </row>
    <row r="251" spans="1:17" x14ac:dyDescent="0.25">
      <c r="A251" s="9">
        <v>40452</v>
      </c>
      <c r="B251" s="8">
        <v>458.6</v>
      </c>
      <c r="D251" s="4">
        <v>32266</v>
      </c>
      <c r="E251" s="6">
        <v>16.079999999999998</v>
      </c>
      <c r="G251" s="4">
        <f t="shared" si="15"/>
        <v>33662</v>
      </c>
      <c r="H251" s="5">
        <f t="shared" si="12"/>
        <v>17.45</v>
      </c>
      <c r="I251" s="5">
        <f t="shared" si="13"/>
        <v>2</v>
      </c>
      <c r="J251" s="5">
        <f t="shared" si="14"/>
        <v>1992</v>
      </c>
      <c r="K251">
        <v>7</v>
      </c>
      <c r="L251">
        <v>2006</v>
      </c>
      <c r="M251">
        <v>74.294999999999987</v>
      </c>
      <c r="O251" s="3">
        <v>2</v>
      </c>
      <c r="P251" s="3">
        <v>2008</v>
      </c>
      <c r="Q251" s="3">
        <v>95.35799999999999</v>
      </c>
    </row>
    <row r="252" spans="1:17" x14ac:dyDescent="0.25">
      <c r="A252" s="9">
        <v>40483</v>
      </c>
      <c r="B252" s="8">
        <v>476</v>
      </c>
      <c r="D252" s="4">
        <v>32267</v>
      </c>
      <c r="E252" s="6">
        <v>16.149999999999999</v>
      </c>
      <c r="G252" s="4">
        <f t="shared" si="15"/>
        <v>33669</v>
      </c>
      <c r="H252" s="5">
        <f t="shared" si="12"/>
        <v>17.3</v>
      </c>
      <c r="I252" s="5">
        <f t="shared" si="13"/>
        <v>3</v>
      </c>
      <c r="J252" s="5">
        <f t="shared" si="14"/>
        <v>1992</v>
      </c>
      <c r="K252">
        <v>7</v>
      </c>
      <c r="L252">
        <v>2007</v>
      </c>
      <c r="M252">
        <v>77.592500000000001</v>
      </c>
      <c r="O252" s="3">
        <v>3</v>
      </c>
      <c r="P252" s="3">
        <v>2008</v>
      </c>
      <c r="Q252" s="3">
        <v>79.125</v>
      </c>
    </row>
    <row r="253" spans="1:17" x14ac:dyDescent="0.25">
      <c r="A253" s="9">
        <v>40513</v>
      </c>
      <c r="B253" s="8">
        <v>488.6</v>
      </c>
      <c r="D253" s="4">
        <v>32268</v>
      </c>
      <c r="E253" s="6">
        <v>16.149999999999999</v>
      </c>
      <c r="G253" s="4">
        <f t="shared" si="15"/>
        <v>33676</v>
      </c>
      <c r="H253" s="5">
        <f t="shared" si="12"/>
        <v>17.73</v>
      </c>
      <c r="I253" s="5">
        <f t="shared" si="13"/>
        <v>3</v>
      </c>
      <c r="J253" s="5">
        <f t="shared" si="14"/>
        <v>1992</v>
      </c>
      <c r="K253">
        <v>7</v>
      </c>
      <c r="L253">
        <v>2008</v>
      </c>
      <c r="M253">
        <v>99.429999999999993</v>
      </c>
      <c r="O253" s="3">
        <v>4</v>
      </c>
      <c r="P253" s="3">
        <v>2008</v>
      </c>
      <c r="Q253" s="3">
        <v>109.16250000000001</v>
      </c>
    </row>
    <row r="254" spans="1:17" x14ac:dyDescent="0.25">
      <c r="A254" s="9">
        <v>40544</v>
      </c>
      <c r="B254" s="8">
        <v>514.75</v>
      </c>
      <c r="D254" s="4">
        <v>32269</v>
      </c>
      <c r="E254" s="6">
        <v>16.45</v>
      </c>
      <c r="G254" s="4">
        <f t="shared" si="15"/>
        <v>33683</v>
      </c>
      <c r="H254" s="5">
        <f t="shared" si="12"/>
        <v>17.75</v>
      </c>
      <c r="I254" s="5">
        <f t="shared" si="13"/>
        <v>3</v>
      </c>
      <c r="J254" s="5">
        <f t="shared" si="14"/>
        <v>1992</v>
      </c>
      <c r="K254">
        <v>7</v>
      </c>
      <c r="L254">
        <v>2009</v>
      </c>
      <c r="M254">
        <v>52.173999999999999</v>
      </c>
      <c r="O254" s="3">
        <v>5</v>
      </c>
      <c r="P254" s="3">
        <v>2008</v>
      </c>
      <c r="Q254" s="3">
        <v>123.202</v>
      </c>
    </row>
    <row r="255" spans="1:17" x14ac:dyDescent="0.25">
      <c r="A255" s="9">
        <v>40575</v>
      </c>
      <c r="B255" s="8">
        <v>575.25</v>
      </c>
      <c r="D255" s="4">
        <v>32272</v>
      </c>
      <c r="E255" s="6">
        <v>16.5</v>
      </c>
      <c r="G255" s="4">
        <f t="shared" si="15"/>
        <v>33690</v>
      </c>
      <c r="H255" s="5">
        <f t="shared" si="12"/>
        <v>17.850000000000001</v>
      </c>
      <c r="I255" s="5">
        <f t="shared" si="13"/>
        <v>3</v>
      </c>
      <c r="J255" s="5">
        <f t="shared" si="14"/>
        <v>1992</v>
      </c>
      <c r="K255">
        <v>7</v>
      </c>
      <c r="L255">
        <v>2010</v>
      </c>
      <c r="M255">
        <v>75.453999999999994</v>
      </c>
      <c r="O255" s="3">
        <v>6</v>
      </c>
      <c r="P255" s="3">
        <v>2008</v>
      </c>
      <c r="Q255" s="3">
        <v>135.19</v>
      </c>
    </row>
    <row r="256" spans="1:17" x14ac:dyDescent="0.25">
      <c r="A256" s="9">
        <v>40603</v>
      </c>
      <c r="B256" s="8">
        <v>606.375</v>
      </c>
      <c r="D256" s="4">
        <v>32273</v>
      </c>
      <c r="E256" s="6">
        <v>16.38</v>
      </c>
      <c r="G256" s="4">
        <f t="shared" si="15"/>
        <v>33697</v>
      </c>
      <c r="H256" s="5">
        <f t="shared" si="12"/>
        <v>18.63</v>
      </c>
      <c r="I256" s="5">
        <f t="shared" si="13"/>
        <v>4</v>
      </c>
      <c r="J256" s="5">
        <f t="shared" si="14"/>
        <v>1992</v>
      </c>
      <c r="K256">
        <v>7</v>
      </c>
      <c r="L256">
        <v>2011</v>
      </c>
      <c r="M256">
        <v>116.04</v>
      </c>
      <c r="O256" s="3">
        <v>7</v>
      </c>
      <c r="P256" s="3">
        <v>2008</v>
      </c>
      <c r="Q256" s="3">
        <v>99.429999999999993</v>
      </c>
    </row>
    <row r="257" spans="1:17" x14ac:dyDescent="0.25">
      <c r="A257" s="9">
        <v>40634</v>
      </c>
      <c r="B257" s="8">
        <v>641.6</v>
      </c>
      <c r="D257" s="4">
        <v>32274</v>
      </c>
      <c r="E257" s="6">
        <v>16.48</v>
      </c>
      <c r="G257" s="4">
        <f t="shared" si="15"/>
        <v>33704</v>
      </c>
      <c r="H257" s="5">
        <f t="shared" si="12"/>
        <v>19.05</v>
      </c>
      <c r="I257" s="5">
        <f t="shared" si="13"/>
        <v>4</v>
      </c>
      <c r="J257" s="5">
        <f t="shared" si="14"/>
        <v>1992</v>
      </c>
      <c r="K257">
        <v>7</v>
      </c>
      <c r="L257">
        <v>2012</v>
      </c>
      <c r="M257">
        <v>103.4225</v>
      </c>
      <c r="O257" s="3">
        <v>8</v>
      </c>
      <c r="P257" s="3">
        <v>2008</v>
      </c>
      <c r="Q257" s="3">
        <v>114.694</v>
      </c>
    </row>
    <row r="258" spans="1:17" x14ac:dyDescent="0.25">
      <c r="A258" s="9">
        <v>40664</v>
      </c>
      <c r="B258" s="8">
        <v>621.75</v>
      </c>
      <c r="D258" s="4">
        <v>32275</v>
      </c>
      <c r="E258" s="6">
        <v>16.399999999999999</v>
      </c>
      <c r="G258" s="4">
        <f t="shared" si="15"/>
        <v>33711</v>
      </c>
      <c r="H258" s="5">
        <f t="shared" si="12"/>
        <v>0</v>
      </c>
      <c r="I258" s="5">
        <f t="shared" si="13"/>
        <v>4</v>
      </c>
      <c r="J258" s="5">
        <f t="shared" si="14"/>
        <v>1992</v>
      </c>
      <c r="K258">
        <v>7</v>
      </c>
      <c r="L258">
        <v>2013</v>
      </c>
      <c r="M258">
        <v>108.35000000000001</v>
      </c>
      <c r="O258" s="3">
        <v>9</v>
      </c>
      <c r="P258" s="3">
        <v>2008</v>
      </c>
      <c r="Q258" s="3">
        <v>97.804999999999993</v>
      </c>
    </row>
    <row r="259" spans="1:17" x14ac:dyDescent="0.25">
      <c r="A259" s="9">
        <v>40695</v>
      </c>
      <c r="B259" s="8">
        <v>631.25</v>
      </c>
      <c r="D259" s="4">
        <v>32276</v>
      </c>
      <c r="E259" s="6">
        <v>16.5</v>
      </c>
      <c r="G259" s="4">
        <f t="shared" si="15"/>
        <v>33718</v>
      </c>
      <c r="H259" s="5">
        <f t="shared" ref="H259:H322" si="16">_xlfn.XLOOKUP(G259,D:D,E:E)</f>
        <v>18.899999999999999</v>
      </c>
      <c r="I259" s="5">
        <f t="shared" ref="I259:I322" si="17">MONTH(G259)</f>
        <v>4</v>
      </c>
      <c r="J259" s="5">
        <f t="shared" ref="J259:J322" si="18">YEAR(G259)</f>
        <v>1992</v>
      </c>
      <c r="K259">
        <v>7</v>
      </c>
      <c r="L259">
        <v>2014</v>
      </c>
      <c r="M259">
        <v>79.672499999999999</v>
      </c>
      <c r="O259" s="3">
        <v>10</v>
      </c>
      <c r="P259" s="3">
        <v>2008</v>
      </c>
      <c r="Q259" s="3">
        <v>70.03</v>
      </c>
    </row>
    <row r="260" spans="1:17" x14ac:dyDescent="0.25">
      <c r="A260" s="9">
        <v>40725</v>
      </c>
      <c r="B260" s="8">
        <v>647.5</v>
      </c>
      <c r="D260" s="4">
        <v>32279</v>
      </c>
      <c r="E260" s="6">
        <v>16.600000000000001</v>
      </c>
      <c r="G260" s="4">
        <f t="shared" ref="G260:G323" si="19">G259+7</f>
        <v>33725</v>
      </c>
      <c r="H260" s="5">
        <f t="shared" si="16"/>
        <v>19.829999999999998</v>
      </c>
      <c r="I260" s="5">
        <f t="shared" si="17"/>
        <v>5</v>
      </c>
      <c r="J260" s="5">
        <f t="shared" si="18"/>
        <v>1992</v>
      </c>
      <c r="K260">
        <v>7</v>
      </c>
      <c r="L260">
        <v>2015</v>
      </c>
      <c r="M260">
        <v>56.148000000000003</v>
      </c>
      <c r="O260" s="3">
        <v>11</v>
      </c>
      <c r="P260" s="3">
        <v>2008</v>
      </c>
      <c r="Q260" s="3">
        <v>50.042499999999997</v>
      </c>
    </row>
    <row r="261" spans="1:17" x14ac:dyDescent="0.25">
      <c r="A261" s="9">
        <v>40756</v>
      </c>
      <c r="B261" s="8">
        <v>634.375</v>
      </c>
      <c r="D261" s="4">
        <v>32280</v>
      </c>
      <c r="E261" s="6">
        <v>16.600000000000001</v>
      </c>
      <c r="G261" s="4">
        <f t="shared" si="19"/>
        <v>33732</v>
      </c>
      <c r="H261" s="5">
        <f t="shared" si="16"/>
        <v>19.63</v>
      </c>
      <c r="I261" s="5">
        <f t="shared" si="17"/>
        <v>5</v>
      </c>
      <c r="J261" s="5">
        <f t="shared" si="18"/>
        <v>1992</v>
      </c>
      <c r="K261">
        <v>7</v>
      </c>
      <c r="L261">
        <v>2016</v>
      </c>
      <c r="M261">
        <v>44.686</v>
      </c>
      <c r="O261" s="3">
        <v>12</v>
      </c>
      <c r="P261" s="3">
        <v>2008</v>
      </c>
      <c r="Q261" s="3">
        <v>38.167499999999997</v>
      </c>
    </row>
    <row r="262" spans="1:17" x14ac:dyDescent="0.25">
      <c r="A262" s="9">
        <v>40787</v>
      </c>
      <c r="B262" s="8">
        <v>640.5</v>
      </c>
      <c r="D262" s="4">
        <v>32281</v>
      </c>
      <c r="E262" s="6">
        <v>16.399999999999999</v>
      </c>
      <c r="G262" s="4">
        <f t="shared" si="19"/>
        <v>33739</v>
      </c>
      <c r="H262" s="5">
        <f t="shared" si="16"/>
        <v>19.7</v>
      </c>
      <c r="I262" s="5">
        <f t="shared" si="17"/>
        <v>5</v>
      </c>
      <c r="J262" s="5">
        <f t="shared" si="18"/>
        <v>1992</v>
      </c>
      <c r="K262">
        <v>7</v>
      </c>
      <c r="L262">
        <v>2017</v>
      </c>
      <c r="M262">
        <v>48.457499999999996</v>
      </c>
      <c r="O262" s="3">
        <v>1</v>
      </c>
      <c r="P262" s="3">
        <v>2009</v>
      </c>
      <c r="Q262" s="3">
        <v>43.2</v>
      </c>
    </row>
    <row r="263" spans="1:17" x14ac:dyDescent="0.25">
      <c r="A263" s="9">
        <v>40817</v>
      </c>
      <c r="B263" s="8">
        <v>633</v>
      </c>
      <c r="D263" s="4">
        <v>32282</v>
      </c>
      <c r="E263" s="6">
        <v>16.25</v>
      </c>
      <c r="G263" s="4">
        <f t="shared" si="19"/>
        <v>33746</v>
      </c>
      <c r="H263" s="5">
        <f t="shared" si="16"/>
        <v>19.579999999999998</v>
      </c>
      <c r="I263" s="5">
        <f t="shared" si="17"/>
        <v>5</v>
      </c>
      <c r="J263" s="5">
        <f t="shared" si="18"/>
        <v>1992</v>
      </c>
      <c r="K263">
        <v>7</v>
      </c>
      <c r="L263">
        <v>2018</v>
      </c>
      <c r="M263">
        <v>73.97999999999999</v>
      </c>
      <c r="O263" s="3">
        <v>2</v>
      </c>
      <c r="P263" s="3">
        <v>2009</v>
      </c>
      <c r="Q263" s="3">
        <v>43.612499999999997</v>
      </c>
    </row>
    <row r="264" spans="1:17" x14ac:dyDescent="0.25">
      <c r="A264" s="9">
        <v>40848</v>
      </c>
      <c r="B264" s="8">
        <v>645.125</v>
      </c>
      <c r="D264" s="4">
        <v>32283</v>
      </c>
      <c r="E264" s="6">
        <v>16.45</v>
      </c>
      <c r="G264" s="4">
        <f t="shared" si="19"/>
        <v>33753</v>
      </c>
      <c r="H264" s="5">
        <f t="shared" si="16"/>
        <v>20.7</v>
      </c>
      <c r="I264" s="5">
        <f t="shared" si="17"/>
        <v>5</v>
      </c>
      <c r="J264" s="5">
        <f t="shared" si="18"/>
        <v>1992</v>
      </c>
      <c r="K264">
        <v>7</v>
      </c>
      <c r="L264">
        <v>2019</v>
      </c>
      <c r="M264">
        <v>63.594999999999999</v>
      </c>
      <c r="O264" s="3">
        <v>3</v>
      </c>
      <c r="P264" s="3">
        <v>2009</v>
      </c>
      <c r="Q264" s="3">
        <v>47.1325</v>
      </c>
    </row>
    <row r="265" spans="1:17" x14ac:dyDescent="0.25">
      <c r="A265" s="9">
        <v>40878</v>
      </c>
      <c r="B265" s="8">
        <v>623.79999999999995</v>
      </c>
      <c r="D265" s="4">
        <v>32286</v>
      </c>
      <c r="E265" s="6">
        <v>16.23</v>
      </c>
      <c r="G265" s="4">
        <f t="shared" si="19"/>
        <v>33760</v>
      </c>
      <c r="H265" s="5">
        <f t="shared" si="16"/>
        <v>21.35</v>
      </c>
      <c r="I265" s="5">
        <f t="shared" si="17"/>
        <v>6</v>
      </c>
      <c r="J265" s="5">
        <f t="shared" si="18"/>
        <v>1992</v>
      </c>
      <c r="K265">
        <v>7</v>
      </c>
      <c r="L265">
        <v>2020</v>
      </c>
      <c r="M265">
        <v>43.227999999999994</v>
      </c>
      <c r="O265" s="3">
        <v>4</v>
      </c>
      <c r="P265" s="3">
        <v>2009</v>
      </c>
      <c r="Q265" s="3">
        <v>38.197499999999998</v>
      </c>
    </row>
    <row r="266" spans="1:17" x14ac:dyDescent="0.25">
      <c r="A266" s="9">
        <v>40909</v>
      </c>
      <c r="B266" s="8">
        <v>682.375</v>
      </c>
      <c r="D266" s="4">
        <v>32287</v>
      </c>
      <c r="E266" s="6">
        <v>16.3</v>
      </c>
      <c r="G266" s="4">
        <f t="shared" si="19"/>
        <v>33767</v>
      </c>
      <c r="H266" s="5">
        <f t="shared" si="16"/>
        <v>21.28</v>
      </c>
      <c r="I266" s="5">
        <f t="shared" si="17"/>
        <v>6</v>
      </c>
      <c r="J266" s="5">
        <f t="shared" si="18"/>
        <v>1992</v>
      </c>
      <c r="K266">
        <v>7</v>
      </c>
      <c r="L266">
        <v>2021</v>
      </c>
      <c r="M266">
        <v>76.338000000000008</v>
      </c>
      <c r="O266" s="3">
        <v>5</v>
      </c>
      <c r="P266" s="3">
        <v>2009</v>
      </c>
      <c r="Q266" s="3">
        <v>57.556000000000004</v>
      </c>
    </row>
    <row r="267" spans="1:17" x14ac:dyDescent="0.25">
      <c r="A267" s="9">
        <v>40940</v>
      </c>
      <c r="B267" s="8">
        <v>694.625</v>
      </c>
      <c r="D267" s="4">
        <v>32288</v>
      </c>
      <c r="E267" s="6">
        <v>16.18</v>
      </c>
      <c r="G267" s="4">
        <f t="shared" si="19"/>
        <v>33774</v>
      </c>
      <c r="H267" s="5">
        <f t="shared" si="16"/>
        <v>21.13</v>
      </c>
      <c r="I267" s="5">
        <f t="shared" si="17"/>
        <v>6</v>
      </c>
      <c r="J267" s="5">
        <f t="shared" si="18"/>
        <v>1992</v>
      </c>
      <c r="K267">
        <v>7</v>
      </c>
      <c r="L267">
        <v>2022</v>
      </c>
      <c r="M267">
        <v>112.74000000000001</v>
      </c>
      <c r="O267" s="3">
        <v>6</v>
      </c>
      <c r="P267" s="3">
        <v>2009</v>
      </c>
      <c r="Q267" s="3">
        <v>69.242500000000007</v>
      </c>
    </row>
    <row r="268" spans="1:17" x14ac:dyDescent="0.25">
      <c r="A268" s="9">
        <v>40969</v>
      </c>
      <c r="B268" s="8">
        <v>712.6</v>
      </c>
      <c r="D268" s="4">
        <v>32289</v>
      </c>
      <c r="E268" s="6">
        <v>16.18</v>
      </c>
      <c r="G268" s="4">
        <f t="shared" si="19"/>
        <v>33781</v>
      </c>
      <c r="H268" s="5">
        <f t="shared" si="16"/>
        <v>21.3</v>
      </c>
      <c r="I268" s="5">
        <f t="shared" si="17"/>
        <v>6</v>
      </c>
      <c r="J268" s="5">
        <f t="shared" si="18"/>
        <v>1992</v>
      </c>
      <c r="K268">
        <v>7</v>
      </c>
      <c r="L268">
        <v>2023</v>
      </c>
      <c r="M268">
        <v>81.055000000000007</v>
      </c>
      <c r="O268" s="3">
        <v>7</v>
      </c>
      <c r="P268" s="3">
        <v>2009</v>
      </c>
      <c r="Q268" s="3">
        <v>52.173999999999999</v>
      </c>
    </row>
    <row r="269" spans="1:17" x14ac:dyDescent="0.25">
      <c r="A269" s="9">
        <v>41000</v>
      </c>
      <c r="B269" s="8">
        <v>697</v>
      </c>
      <c r="D269" s="4">
        <v>32290</v>
      </c>
      <c r="E269" s="6">
        <v>16.25</v>
      </c>
      <c r="G269" s="4">
        <f t="shared" si="19"/>
        <v>33788</v>
      </c>
      <c r="H269" s="5">
        <f t="shared" si="16"/>
        <v>20.65</v>
      </c>
      <c r="I269" s="5">
        <f t="shared" si="17"/>
        <v>7</v>
      </c>
      <c r="J269" s="5">
        <f t="shared" si="18"/>
        <v>1992</v>
      </c>
      <c r="K269">
        <v>7</v>
      </c>
      <c r="L269">
        <v>2024</v>
      </c>
      <c r="M269">
        <v>85.637499999999989</v>
      </c>
      <c r="O269" s="3">
        <v>8</v>
      </c>
      <c r="P269" s="3">
        <v>2009</v>
      </c>
      <c r="Q269" s="3">
        <v>73.012500000000003</v>
      </c>
    </row>
    <row r="270" spans="1:17" x14ac:dyDescent="0.25">
      <c r="A270" s="9">
        <v>41030</v>
      </c>
      <c r="B270" s="8">
        <v>651.5</v>
      </c>
      <c r="D270" s="4">
        <v>32293</v>
      </c>
      <c r="E270" s="6">
        <v>16.23</v>
      </c>
      <c r="G270" s="4">
        <f t="shared" si="19"/>
        <v>33795</v>
      </c>
      <c r="H270" s="5">
        <f t="shared" si="16"/>
        <v>20</v>
      </c>
      <c r="I270" s="5">
        <f t="shared" si="17"/>
        <v>7</v>
      </c>
      <c r="J270" s="5">
        <f t="shared" si="18"/>
        <v>1992</v>
      </c>
      <c r="K270">
        <v>7</v>
      </c>
      <c r="L270">
        <v>2025</v>
      </c>
      <c r="M270">
        <v>70.844999999999999</v>
      </c>
      <c r="O270" s="3">
        <v>9</v>
      </c>
      <c r="P270" s="3">
        <v>2009</v>
      </c>
      <c r="Q270" s="3">
        <v>67.48</v>
      </c>
    </row>
    <row r="271" spans="1:17" x14ac:dyDescent="0.25">
      <c r="A271" s="9">
        <v>41061</v>
      </c>
      <c r="B271" s="8">
        <v>572.4</v>
      </c>
      <c r="D271" s="4">
        <v>32294</v>
      </c>
      <c r="E271" s="6">
        <v>16.2</v>
      </c>
      <c r="G271" s="4">
        <f t="shared" si="19"/>
        <v>33802</v>
      </c>
      <c r="H271" s="5">
        <f t="shared" si="16"/>
        <v>20.2</v>
      </c>
      <c r="I271" s="5">
        <f t="shared" si="17"/>
        <v>7</v>
      </c>
      <c r="J271" s="5">
        <f t="shared" si="18"/>
        <v>1992</v>
      </c>
      <c r="K271">
        <v>8</v>
      </c>
      <c r="L271">
        <v>1987</v>
      </c>
      <c r="M271">
        <v>18.8</v>
      </c>
      <c r="O271" s="3">
        <v>10</v>
      </c>
      <c r="P271" s="3">
        <v>2009</v>
      </c>
      <c r="Q271" s="3">
        <v>72.631999999999991</v>
      </c>
    </row>
    <row r="272" spans="1:17" x14ac:dyDescent="0.25">
      <c r="A272" s="9">
        <v>41091</v>
      </c>
      <c r="B272" s="8">
        <v>597.125</v>
      </c>
      <c r="D272" s="4">
        <v>32295</v>
      </c>
      <c r="E272" s="6">
        <v>16.329999999999998</v>
      </c>
      <c r="G272" s="4">
        <f t="shared" si="19"/>
        <v>33809</v>
      </c>
      <c r="H272" s="5">
        <f t="shared" si="16"/>
        <v>20.6</v>
      </c>
      <c r="I272" s="5">
        <f t="shared" si="17"/>
        <v>7</v>
      </c>
      <c r="J272" s="5">
        <f t="shared" si="18"/>
        <v>1992</v>
      </c>
      <c r="K272">
        <v>8</v>
      </c>
      <c r="L272">
        <v>1988</v>
      </c>
      <c r="M272">
        <v>14.795</v>
      </c>
      <c r="O272" s="3">
        <v>11</v>
      </c>
      <c r="P272" s="3">
        <v>2009</v>
      </c>
      <c r="Q272" s="3">
        <v>75.482500000000002</v>
      </c>
    </row>
    <row r="273" spans="1:17" x14ac:dyDescent="0.25">
      <c r="A273" s="9">
        <v>41122</v>
      </c>
      <c r="B273" s="8">
        <v>640.5</v>
      </c>
      <c r="D273" s="4">
        <v>32296</v>
      </c>
      <c r="E273" s="6">
        <v>16.329999999999998</v>
      </c>
      <c r="G273" s="4">
        <f t="shared" si="19"/>
        <v>33816</v>
      </c>
      <c r="H273" s="5">
        <f t="shared" si="16"/>
        <v>20.38</v>
      </c>
      <c r="I273" s="5">
        <f t="shared" si="17"/>
        <v>7</v>
      </c>
      <c r="J273" s="5">
        <f t="shared" si="18"/>
        <v>1992</v>
      </c>
      <c r="K273">
        <v>8</v>
      </c>
      <c r="L273">
        <v>1989</v>
      </c>
      <c r="M273">
        <v>16.732499999999998</v>
      </c>
      <c r="O273" s="3">
        <v>12</v>
      </c>
      <c r="P273" s="3">
        <v>2009</v>
      </c>
      <c r="Q273" s="3">
        <v>54.92</v>
      </c>
    </row>
    <row r="274" spans="1:17" x14ac:dyDescent="0.25">
      <c r="A274" s="9">
        <v>41153</v>
      </c>
      <c r="B274" s="8">
        <v>640</v>
      </c>
      <c r="D274" s="4">
        <v>32297</v>
      </c>
      <c r="E274" s="6">
        <v>16.45</v>
      </c>
      <c r="G274" s="4">
        <f t="shared" si="19"/>
        <v>33823</v>
      </c>
      <c r="H274" s="5">
        <f t="shared" si="16"/>
        <v>19.75</v>
      </c>
      <c r="I274" s="5">
        <f t="shared" si="17"/>
        <v>8</v>
      </c>
      <c r="J274" s="5">
        <f t="shared" si="18"/>
        <v>1992</v>
      </c>
      <c r="K274">
        <v>8</v>
      </c>
      <c r="L274">
        <v>1990</v>
      </c>
      <c r="M274">
        <v>27.666000000000004</v>
      </c>
      <c r="O274" s="3">
        <v>1</v>
      </c>
      <c r="P274" s="3">
        <v>2010</v>
      </c>
      <c r="Q274" s="3">
        <v>60.167999999999992</v>
      </c>
    </row>
    <row r="275" spans="1:17" x14ac:dyDescent="0.25">
      <c r="A275" s="9">
        <v>41183</v>
      </c>
      <c r="B275" s="8">
        <v>616.75</v>
      </c>
      <c r="D275" s="4">
        <v>32300</v>
      </c>
      <c r="E275" s="6">
        <v>16.25</v>
      </c>
      <c r="G275" s="4">
        <f t="shared" si="19"/>
        <v>33830</v>
      </c>
      <c r="H275" s="5">
        <f t="shared" si="16"/>
        <v>19.88</v>
      </c>
      <c r="I275" s="5">
        <f t="shared" si="17"/>
        <v>8</v>
      </c>
      <c r="J275" s="5">
        <f t="shared" si="18"/>
        <v>1992</v>
      </c>
      <c r="K275">
        <v>8</v>
      </c>
      <c r="L275">
        <v>1991</v>
      </c>
      <c r="M275">
        <v>19.742000000000001</v>
      </c>
      <c r="O275" s="3">
        <v>2</v>
      </c>
      <c r="P275" s="3">
        <v>2010</v>
      </c>
      <c r="Q275" s="3">
        <v>73.709999999999994</v>
      </c>
    </row>
    <row r="276" spans="1:17" x14ac:dyDescent="0.25">
      <c r="A276" s="9">
        <v>41214</v>
      </c>
      <c r="B276" s="8">
        <v>588</v>
      </c>
      <c r="D276" s="4">
        <v>32301</v>
      </c>
      <c r="E276" s="6">
        <v>16.23</v>
      </c>
      <c r="G276" s="4">
        <f t="shared" si="19"/>
        <v>33837</v>
      </c>
      <c r="H276" s="5">
        <f t="shared" si="16"/>
        <v>19.68</v>
      </c>
      <c r="I276" s="5">
        <f t="shared" si="17"/>
        <v>8</v>
      </c>
      <c r="J276" s="5">
        <f t="shared" si="18"/>
        <v>1992</v>
      </c>
      <c r="K276">
        <v>8</v>
      </c>
      <c r="L276">
        <v>1992</v>
      </c>
      <c r="M276">
        <v>19.739999999999998</v>
      </c>
      <c r="O276" s="3">
        <v>3</v>
      </c>
      <c r="P276" s="3">
        <v>2010</v>
      </c>
      <c r="Q276" s="3">
        <v>78.732500000000002</v>
      </c>
    </row>
    <row r="277" spans="1:17" x14ac:dyDescent="0.25">
      <c r="A277" s="9">
        <v>41244</v>
      </c>
      <c r="B277" s="8">
        <v>582.75</v>
      </c>
      <c r="D277" s="4">
        <v>32302</v>
      </c>
      <c r="E277" s="6">
        <v>16.28</v>
      </c>
      <c r="G277" s="4">
        <f t="shared" si="19"/>
        <v>33844</v>
      </c>
      <c r="H277" s="5">
        <f t="shared" si="16"/>
        <v>19.649999999999999</v>
      </c>
      <c r="I277" s="5">
        <f t="shared" si="17"/>
        <v>8</v>
      </c>
      <c r="J277" s="5">
        <f t="shared" si="18"/>
        <v>1992</v>
      </c>
      <c r="K277">
        <v>8</v>
      </c>
      <c r="L277">
        <v>1993</v>
      </c>
      <c r="M277">
        <v>16.760000000000002</v>
      </c>
      <c r="O277" s="3">
        <v>4</v>
      </c>
      <c r="P277" s="3">
        <v>2010</v>
      </c>
      <c r="Q277" s="3">
        <v>67.972000000000008</v>
      </c>
    </row>
    <row r="278" spans="1:17" x14ac:dyDescent="0.25">
      <c r="A278" s="9">
        <v>41275</v>
      </c>
      <c r="B278" s="8">
        <v>608.75</v>
      </c>
      <c r="D278" s="4">
        <v>32303</v>
      </c>
      <c r="E278" s="6">
        <v>16.3</v>
      </c>
      <c r="G278" s="4">
        <f t="shared" si="19"/>
        <v>33851</v>
      </c>
      <c r="H278" s="5">
        <f t="shared" si="16"/>
        <v>20.03</v>
      </c>
      <c r="I278" s="5">
        <f t="shared" si="17"/>
        <v>9</v>
      </c>
      <c r="J278" s="5">
        <f t="shared" si="18"/>
        <v>1992</v>
      </c>
      <c r="K278">
        <v>8</v>
      </c>
      <c r="L278">
        <v>1994</v>
      </c>
      <c r="M278">
        <v>16.715</v>
      </c>
      <c r="O278" s="3">
        <v>5</v>
      </c>
      <c r="P278" s="3">
        <v>2010</v>
      </c>
      <c r="Q278" s="3">
        <v>74.09</v>
      </c>
    </row>
    <row r="279" spans="1:17" x14ac:dyDescent="0.25">
      <c r="A279" s="9">
        <v>41306</v>
      </c>
      <c r="B279" s="8">
        <v>634.5</v>
      </c>
      <c r="D279" s="4">
        <v>32304</v>
      </c>
      <c r="E279" s="6">
        <v>15.85</v>
      </c>
      <c r="G279" s="4">
        <f t="shared" si="19"/>
        <v>33858</v>
      </c>
      <c r="H279" s="5">
        <f t="shared" si="16"/>
        <v>20.350000000000001</v>
      </c>
      <c r="I279" s="5">
        <f t="shared" si="17"/>
        <v>9</v>
      </c>
      <c r="J279" s="5">
        <f t="shared" si="18"/>
        <v>1992</v>
      </c>
      <c r="K279">
        <v>8</v>
      </c>
      <c r="L279">
        <v>1995</v>
      </c>
      <c r="M279">
        <v>16.122500000000002</v>
      </c>
      <c r="O279" s="3">
        <v>6</v>
      </c>
      <c r="P279" s="3">
        <v>2010</v>
      </c>
      <c r="Q279" s="3">
        <v>74.594999999999999</v>
      </c>
    </row>
    <row r="280" spans="1:17" x14ac:dyDescent="0.25">
      <c r="A280" s="9">
        <v>41334</v>
      </c>
      <c r="B280" s="8">
        <v>605.6</v>
      </c>
      <c r="D280" s="4">
        <v>32307</v>
      </c>
      <c r="E280" s="6">
        <v>15.53</v>
      </c>
      <c r="G280" s="4">
        <f t="shared" si="19"/>
        <v>33865</v>
      </c>
      <c r="H280" s="5">
        <f t="shared" si="16"/>
        <v>20.3</v>
      </c>
      <c r="I280" s="5">
        <f t="shared" si="17"/>
        <v>9</v>
      </c>
      <c r="J280" s="5">
        <f t="shared" si="18"/>
        <v>1992</v>
      </c>
      <c r="K280">
        <v>8</v>
      </c>
      <c r="L280">
        <v>1996</v>
      </c>
      <c r="M280">
        <v>20.548000000000002</v>
      </c>
      <c r="O280" s="3">
        <v>7</v>
      </c>
      <c r="P280" s="3">
        <v>2010</v>
      </c>
      <c r="Q280" s="3">
        <v>75.453999999999994</v>
      </c>
    </row>
    <row r="281" spans="1:17" x14ac:dyDescent="0.25">
      <c r="A281" s="9">
        <v>41365</v>
      </c>
      <c r="B281" s="8">
        <v>584</v>
      </c>
      <c r="D281" s="4">
        <v>32308</v>
      </c>
      <c r="E281" s="6">
        <v>15.85</v>
      </c>
      <c r="G281" s="4">
        <f t="shared" si="19"/>
        <v>33872</v>
      </c>
      <c r="H281" s="5">
        <f t="shared" si="16"/>
        <v>20.329999999999998</v>
      </c>
      <c r="I281" s="5">
        <f t="shared" si="17"/>
        <v>9</v>
      </c>
      <c r="J281" s="5">
        <f t="shared" si="18"/>
        <v>1992</v>
      </c>
      <c r="K281">
        <v>8</v>
      </c>
      <c r="L281">
        <v>1997</v>
      </c>
      <c r="M281">
        <v>14.928000000000001</v>
      </c>
      <c r="O281" s="3">
        <v>8</v>
      </c>
      <c r="P281" s="3">
        <v>2010</v>
      </c>
      <c r="Q281" s="3">
        <v>76.265000000000015</v>
      </c>
    </row>
    <row r="282" spans="1:17" x14ac:dyDescent="0.25">
      <c r="A282" s="9">
        <v>41395</v>
      </c>
      <c r="B282" s="8">
        <v>580.20000000000005</v>
      </c>
      <c r="D282" s="4">
        <v>32309</v>
      </c>
      <c r="E282" s="6">
        <v>15.7</v>
      </c>
      <c r="G282" s="4">
        <f t="shared" si="19"/>
        <v>33879</v>
      </c>
      <c r="H282" s="5">
        <f t="shared" si="16"/>
        <v>20.399999999999999</v>
      </c>
      <c r="I282" s="5">
        <f t="shared" si="17"/>
        <v>10</v>
      </c>
      <c r="J282" s="5">
        <f t="shared" si="18"/>
        <v>1992</v>
      </c>
      <c r="K282">
        <v>8</v>
      </c>
      <c r="L282">
        <v>1998</v>
      </c>
      <c r="M282">
        <v>11.897500000000001</v>
      </c>
      <c r="O282" s="3">
        <v>9</v>
      </c>
      <c r="P282" s="3">
        <v>2010</v>
      </c>
      <c r="Q282" s="3">
        <v>77.182500000000005</v>
      </c>
    </row>
    <row r="283" spans="1:17" x14ac:dyDescent="0.25">
      <c r="A283" s="9">
        <v>41426</v>
      </c>
      <c r="B283" s="8">
        <v>580</v>
      </c>
      <c r="D283" s="4">
        <v>32310</v>
      </c>
      <c r="E283" s="6">
        <v>15.43</v>
      </c>
      <c r="G283" s="4">
        <f t="shared" si="19"/>
        <v>33886</v>
      </c>
      <c r="H283" s="5">
        <f t="shared" si="16"/>
        <v>20.48</v>
      </c>
      <c r="I283" s="5">
        <f t="shared" si="17"/>
        <v>10</v>
      </c>
      <c r="J283" s="5">
        <f t="shared" si="18"/>
        <v>1992</v>
      </c>
      <c r="K283">
        <v>8</v>
      </c>
      <c r="L283">
        <v>1999</v>
      </c>
      <c r="M283">
        <v>20.424999999999997</v>
      </c>
      <c r="O283" s="3">
        <v>10</v>
      </c>
      <c r="P283" s="3">
        <v>2010</v>
      </c>
      <c r="Q283" s="3">
        <v>82.346000000000004</v>
      </c>
    </row>
    <row r="284" spans="1:17" x14ac:dyDescent="0.25">
      <c r="A284" s="9">
        <v>41456</v>
      </c>
      <c r="B284" s="8">
        <v>596.75</v>
      </c>
      <c r="D284" s="4">
        <v>32311</v>
      </c>
      <c r="E284" s="6">
        <v>15.48</v>
      </c>
      <c r="G284" s="4">
        <f t="shared" si="19"/>
        <v>33893</v>
      </c>
      <c r="H284" s="5">
        <f t="shared" si="16"/>
        <v>20.78</v>
      </c>
      <c r="I284" s="5">
        <f t="shared" si="17"/>
        <v>10</v>
      </c>
      <c r="J284" s="5">
        <f t="shared" si="18"/>
        <v>1992</v>
      </c>
      <c r="K284">
        <v>8</v>
      </c>
      <c r="L284">
        <v>2000</v>
      </c>
      <c r="M284">
        <v>30.3675</v>
      </c>
      <c r="O284" s="3">
        <v>11</v>
      </c>
      <c r="P284" s="3">
        <v>2010</v>
      </c>
      <c r="Q284" s="3">
        <v>85.267500000000013</v>
      </c>
    </row>
    <row r="285" spans="1:17" x14ac:dyDescent="0.25">
      <c r="A285" s="9">
        <v>41487</v>
      </c>
      <c r="B285" s="8">
        <v>601.6</v>
      </c>
      <c r="D285" s="4">
        <v>32314</v>
      </c>
      <c r="E285" s="6">
        <v>15</v>
      </c>
      <c r="G285" s="4">
        <f t="shared" si="19"/>
        <v>33900</v>
      </c>
      <c r="H285" s="5">
        <f t="shared" si="16"/>
        <v>20.03</v>
      </c>
      <c r="I285" s="5">
        <f t="shared" si="17"/>
        <v>10</v>
      </c>
      <c r="J285" s="5">
        <f t="shared" si="18"/>
        <v>1992</v>
      </c>
      <c r="K285">
        <v>8</v>
      </c>
      <c r="L285">
        <v>2001</v>
      </c>
      <c r="M285">
        <v>25.838000000000001</v>
      </c>
      <c r="O285" s="3">
        <v>12</v>
      </c>
      <c r="P285" s="3">
        <v>2010</v>
      </c>
      <c r="Q285" s="3">
        <v>72.906000000000006</v>
      </c>
    </row>
    <row r="286" spans="1:17" x14ac:dyDescent="0.25">
      <c r="A286" s="9">
        <v>41518</v>
      </c>
      <c r="B286" s="8">
        <v>597.5</v>
      </c>
      <c r="D286" s="4">
        <v>32315</v>
      </c>
      <c r="E286" s="6">
        <v>15</v>
      </c>
      <c r="G286" s="4">
        <f t="shared" si="19"/>
        <v>33907</v>
      </c>
      <c r="H286" s="5">
        <f t="shared" si="16"/>
        <v>19.13</v>
      </c>
      <c r="I286" s="5">
        <f t="shared" si="17"/>
        <v>10</v>
      </c>
      <c r="J286" s="5">
        <f t="shared" si="18"/>
        <v>1992</v>
      </c>
      <c r="K286">
        <v>8</v>
      </c>
      <c r="L286">
        <v>2002</v>
      </c>
      <c r="M286">
        <v>26.612000000000002</v>
      </c>
      <c r="O286" s="3">
        <v>1</v>
      </c>
      <c r="P286" s="3">
        <v>2011</v>
      </c>
      <c r="Q286" s="3">
        <v>96.502500000000012</v>
      </c>
    </row>
    <row r="287" spans="1:17" x14ac:dyDescent="0.25">
      <c r="A287" s="9">
        <v>41548</v>
      </c>
      <c r="B287" s="8">
        <v>588.5</v>
      </c>
      <c r="D287" s="4">
        <v>32316</v>
      </c>
      <c r="E287" s="6">
        <v>15.13</v>
      </c>
      <c r="G287" s="4">
        <f t="shared" si="19"/>
        <v>33914</v>
      </c>
      <c r="H287" s="5">
        <f t="shared" si="16"/>
        <v>19.13</v>
      </c>
      <c r="I287" s="5">
        <f t="shared" si="17"/>
        <v>11</v>
      </c>
      <c r="J287" s="5">
        <f t="shared" si="18"/>
        <v>1992</v>
      </c>
      <c r="K287">
        <v>8</v>
      </c>
      <c r="L287">
        <v>2003</v>
      </c>
      <c r="M287">
        <v>30</v>
      </c>
      <c r="O287" s="3">
        <v>2</v>
      </c>
      <c r="P287" s="3">
        <v>2011</v>
      </c>
      <c r="Q287" s="3">
        <v>103.25749999999999</v>
      </c>
    </row>
    <row r="288" spans="1:17" x14ac:dyDescent="0.25">
      <c r="A288" s="9">
        <v>41579</v>
      </c>
      <c r="B288" s="8">
        <v>575.9</v>
      </c>
      <c r="D288" s="4">
        <v>32317</v>
      </c>
      <c r="E288" s="6">
        <v>15.18</v>
      </c>
      <c r="G288" s="4">
        <f t="shared" si="19"/>
        <v>33921</v>
      </c>
      <c r="H288" s="5">
        <f t="shared" si="16"/>
        <v>19.05</v>
      </c>
      <c r="I288" s="5">
        <f t="shared" si="17"/>
        <v>11</v>
      </c>
      <c r="J288" s="5">
        <f t="shared" si="18"/>
        <v>1992</v>
      </c>
      <c r="K288">
        <v>8</v>
      </c>
      <c r="L288">
        <v>2004</v>
      </c>
      <c r="M288">
        <v>43.234999999999999</v>
      </c>
      <c r="O288" s="3">
        <v>3</v>
      </c>
      <c r="P288" s="3">
        <v>2011</v>
      </c>
      <c r="Q288" s="3">
        <v>114.83999999999999</v>
      </c>
    </row>
    <row r="289" spans="1:17" x14ac:dyDescent="0.25">
      <c r="A289" s="9">
        <v>41609</v>
      </c>
      <c r="B289" s="8">
        <v>584.25</v>
      </c>
      <c r="D289" s="4">
        <v>32318</v>
      </c>
      <c r="E289" s="6">
        <v>15.15</v>
      </c>
      <c r="G289" s="4">
        <f t="shared" si="19"/>
        <v>33928</v>
      </c>
      <c r="H289" s="5">
        <f t="shared" si="16"/>
        <v>19.48</v>
      </c>
      <c r="I289" s="5">
        <f t="shared" si="17"/>
        <v>11</v>
      </c>
      <c r="J289" s="5">
        <f t="shared" si="18"/>
        <v>1992</v>
      </c>
      <c r="K289">
        <v>8</v>
      </c>
      <c r="L289">
        <v>2005</v>
      </c>
      <c r="M289">
        <v>64.607500000000002</v>
      </c>
      <c r="O289" s="3">
        <v>4</v>
      </c>
      <c r="P289" s="3">
        <v>2011</v>
      </c>
      <c r="Q289" s="3">
        <v>73.912000000000006</v>
      </c>
    </row>
    <row r="290" spans="1:17" x14ac:dyDescent="0.25">
      <c r="A290" s="9">
        <v>41640</v>
      </c>
      <c r="B290" s="8">
        <v>570.4</v>
      </c>
      <c r="D290" s="4">
        <v>32321</v>
      </c>
      <c r="E290" s="6">
        <v>14.93</v>
      </c>
      <c r="G290" s="4">
        <f t="shared" si="19"/>
        <v>33935</v>
      </c>
      <c r="H290" s="5">
        <f t="shared" si="16"/>
        <v>19.079999999999998</v>
      </c>
      <c r="I290" s="5">
        <f t="shared" si="17"/>
        <v>11</v>
      </c>
      <c r="J290" s="5">
        <f t="shared" si="18"/>
        <v>1992</v>
      </c>
      <c r="K290">
        <v>8</v>
      </c>
      <c r="L290">
        <v>2006</v>
      </c>
      <c r="M290">
        <v>73.899999999999991</v>
      </c>
      <c r="O290" s="3">
        <v>5</v>
      </c>
      <c r="P290" s="3">
        <v>2011</v>
      </c>
      <c r="Q290" s="3">
        <v>113.2175</v>
      </c>
    </row>
    <row r="291" spans="1:17" x14ac:dyDescent="0.25">
      <c r="A291" s="9">
        <v>41671</v>
      </c>
      <c r="B291" s="8">
        <v>580</v>
      </c>
      <c r="D291" s="4">
        <v>32322</v>
      </c>
      <c r="E291" s="6">
        <v>14.83</v>
      </c>
      <c r="G291" s="4">
        <f t="shared" si="19"/>
        <v>33942</v>
      </c>
      <c r="H291" s="5">
        <f t="shared" si="16"/>
        <v>18.350000000000001</v>
      </c>
      <c r="I291" s="5">
        <f t="shared" si="17"/>
        <v>12</v>
      </c>
      <c r="J291" s="5">
        <f t="shared" si="18"/>
        <v>1992</v>
      </c>
      <c r="K291">
        <v>8</v>
      </c>
      <c r="L291">
        <v>2007</v>
      </c>
      <c r="M291">
        <v>71.302000000000007</v>
      </c>
      <c r="O291" s="3">
        <v>6</v>
      </c>
      <c r="P291" s="3">
        <v>2011</v>
      </c>
      <c r="Q291" s="3">
        <v>113.08250000000001</v>
      </c>
    </row>
    <row r="292" spans="1:17" x14ac:dyDescent="0.25">
      <c r="A292" s="9">
        <v>41699</v>
      </c>
      <c r="B292" s="8">
        <v>574.5</v>
      </c>
      <c r="D292" s="4">
        <v>32323</v>
      </c>
      <c r="E292" s="6">
        <v>14.55</v>
      </c>
      <c r="G292" s="4">
        <f t="shared" si="19"/>
        <v>33949</v>
      </c>
      <c r="H292" s="5">
        <f t="shared" si="16"/>
        <v>18.2</v>
      </c>
      <c r="I292" s="5">
        <f t="shared" si="17"/>
        <v>12</v>
      </c>
      <c r="J292" s="5">
        <f t="shared" si="18"/>
        <v>1992</v>
      </c>
      <c r="K292">
        <v>8</v>
      </c>
      <c r="L292">
        <v>2008</v>
      </c>
      <c r="M292">
        <v>114.694</v>
      </c>
      <c r="O292" s="3">
        <v>7</v>
      </c>
      <c r="P292" s="3">
        <v>2011</v>
      </c>
      <c r="Q292" s="3">
        <v>116.04</v>
      </c>
    </row>
    <row r="293" spans="1:17" x14ac:dyDescent="0.25">
      <c r="A293" s="9">
        <v>41730</v>
      </c>
      <c r="B293" s="8">
        <v>578.75</v>
      </c>
      <c r="D293" s="4">
        <v>32324</v>
      </c>
      <c r="E293" s="6">
        <v>14.18</v>
      </c>
      <c r="G293" s="4">
        <f t="shared" si="19"/>
        <v>33956</v>
      </c>
      <c r="H293" s="5">
        <f t="shared" si="16"/>
        <v>18.3</v>
      </c>
      <c r="I293" s="5">
        <f t="shared" si="17"/>
        <v>12</v>
      </c>
      <c r="J293" s="5">
        <f t="shared" si="18"/>
        <v>1992</v>
      </c>
      <c r="K293">
        <v>8</v>
      </c>
      <c r="L293">
        <v>2009</v>
      </c>
      <c r="M293">
        <v>73.012500000000003</v>
      </c>
      <c r="O293" s="3">
        <v>8</v>
      </c>
      <c r="P293" s="3">
        <v>2011</v>
      </c>
      <c r="Q293" s="3">
        <v>109.18750000000001</v>
      </c>
    </row>
    <row r="294" spans="1:17" x14ac:dyDescent="0.25">
      <c r="A294" s="9">
        <v>41760</v>
      </c>
      <c r="B294" s="8">
        <v>576.4</v>
      </c>
      <c r="D294" s="4">
        <v>32325</v>
      </c>
      <c r="E294" s="6">
        <v>13.95</v>
      </c>
      <c r="G294" s="4">
        <f t="shared" si="19"/>
        <v>33963</v>
      </c>
      <c r="H294" s="5">
        <f t="shared" si="16"/>
        <v>0</v>
      </c>
      <c r="I294" s="5">
        <f t="shared" si="17"/>
        <v>12</v>
      </c>
      <c r="J294" s="5">
        <f t="shared" si="18"/>
        <v>1992</v>
      </c>
      <c r="K294">
        <v>8</v>
      </c>
      <c r="L294">
        <v>2010</v>
      </c>
      <c r="M294">
        <v>76.265000000000015</v>
      </c>
      <c r="O294" s="3">
        <v>9</v>
      </c>
      <c r="P294" s="3">
        <v>2011</v>
      </c>
      <c r="Q294" s="3">
        <v>112.374</v>
      </c>
    </row>
    <row r="295" spans="1:17" x14ac:dyDescent="0.25">
      <c r="A295" s="9">
        <v>41791</v>
      </c>
      <c r="B295" s="8">
        <v>590.25</v>
      </c>
      <c r="D295" s="4">
        <v>32328</v>
      </c>
      <c r="E295" s="6">
        <v>14.05</v>
      </c>
      <c r="G295" s="4">
        <f t="shared" si="19"/>
        <v>33970</v>
      </c>
      <c r="H295" s="5">
        <f t="shared" si="16"/>
        <v>0</v>
      </c>
      <c r="I295" s="5">
        <f t="shared" si="17"/>
        <v>1</v>
      </c>
      <c r="J295" s="5">
        <f t="shared" si="18"/>
        <v>1993</v>
      </c>
      <c r="K295">
        <v>8</v>
      </c>
      <c r="L295">
        <v>2011</v>
      </c>
      <c r="M295">
        <v>109.18750000000001</v>
      </c>
      <c r="O295" s="3">
        <v>10</v>
      </c>
      <c r="P295" s="3">
        <v>2011</v>
      </c>
      <c r="Q295" s="3">
        <v>110.625</v>
      </c>
    </row>
    <row r="296" spans="1:17" x14ac:dyDescent="0.25">
      <c r="A296" s="9">
        <v>41821</v>
      </c>
      <c r="B296" s="8">
        <v>575</v>
      </c>
      <c r="D296" s="4">
        <v>32329</v>
      </c>
      <c r="E296" s="6">
        <v>13.98</v>
      </c>
      <c r="G296" s="4">
        <f t="shared" si="19"/>
        <v>33977</v>
      </c>
      <c r="H296" s="5">
        <f t="shared" si="16"/>
        <v>17.23</v>
      </c>
      <c r="I296" s="5">
        <f t="shared" si="17"/>
        <v>1</v>
      </c>
      <c r="J296" s="5">
        <f t="shared" si="18"/>
        <v>1993</v>
      </c>
      <c r="K296">
        <v>8</v>
      </c>
      <c r="L296">
        <v>2012</v>
      </c>
      <c r="M296">
        <v>113.51799999999999</v>
      </c>
      <c r="O296" s="3">
        <v>11</v>
      </c>
      <c r="P296" s="3">
        <v>2011</v>
      </c>
      <c r="Q296" s="3">
        <v>110.1375</v>
      </c>
    </row>
    <row r="297" spans="1:17" x14ac:dyDescent="0.25">
      <c r="A297" s="9">
        <v>41852</v>
      </c>
      <c r="B297" s="8">
        <v>563.4</v>
      </c>
      <c r="D297" s="4">
        <v>32330</v>
      </c>
      <c r="E297" s="6">
        <v>14.5</v>
      </c>
      <c r="G297" s="4">
        <f t="shared" si="19"/>
        <v>33984</v>
      </c>
      <c r="H297" s="5">
        <f t="shared" si="16"/>
        <v>17.28</v>
      </c>
      <c r="I297" s="5">
        <f t="shared" si="17"/>
        <v>1</v>
      </c>
      <c r="J297" s="5">
        <f t="shared" si="18"/>
        <v>1993</v>
      </c>
      <c r="K297">
        <v>8</v>
      </c>
      <c r="L297">
        <v>2013</v>
      </c>
      <c r="M297">
        <v>111.60599999999999</v>
      </c>
      <c r="O297" s="3">
        <v>12</v>
      </c>
      <c r="P297" s="3">
        <v>2011</v>
      </c>
      <c r="Q297" s="3">
        <v>107.774</v>
      </c>
    </row>
    <row r="298" spans="1:17" x14ac:dyDescent="0.25">
      <c r="A298" s="9">
        <v>41883</v>
      </c>
      <c r="B298" s="8">
        <v>547.5</v>
      </c>
      <c r="D298" s="4">
        <v>32331</v>
      </c>
      <c r="E298" s="6">
        <v>15.5</v>
      </c>
      <c r="G298" s="4">
        <f t="shared" si="19"/>
        <v>33991</v>
      </c>
      <c r="H298" s="5">
        <f t="shared" si="16"/>
        <v>17.079999999999998</v>
      </c>
      <c r="I298" s="5">
        <f t="shared" si="17"/>
        <v>1</v>
      </c>
      <c r="J298" s="5">
        <f t="shared" si="18"/>
        <v>1993</v>
      </c>
      <c r="K298">
        <v>8</v>
      </c>
      <c r="L298">
        <v>2014</v>
      </c>
      <c r="M298">
        <v>101.83</v>
      </c>
      <c r="O298" s="3">
        <v>1</v>
      </c>
      <c r="P298" s="3">
        <v>2012</v>
      </c>
      <c r="Q298" s="3">
        <v>110.21</v>
      </c>
    </row>
    <row r="299" spans="1:17" x14ac:dyDescent="0.25">
      <c r="A299" s="9">
        <v>41913</v>
      </c>
      <c r="B299" s="8">
        <v>481.6</v>
      </c>
      <c r="D299" s="4">
        <v>32332</v>
      </c>
      <c r="E299" s="6">
        <v>15.05</v>
      </c>
      <c r="G299" s="4">
        <f t="shared" si="19"/>
        <v>33998</v>
      </c>
      <c r="H299" s="5">
        <f t="shared" si="16"/>
        <v>18.48</v>
      </c>
      <c r="I299" s="5">
        <f t="shared" si="17"/>
        <v>1</v>
      </c>
      <c r="J299" s="5">
        <f t="shared" si="18"/>
        <v>1993</v>
      </c>
      <c r="K299">
        <v>8</v>
      </c>
      <c r="L299">
        <v>2015</v>
      </c>
      <c r="M299">
        <v>46.785000000000004</v>
      </c>
      <c r="O299" s="3">
        <v>2</v>
      </c>
      <c r="P299" s="3">
        <v>2012</v>
      </c>
      <c r="Q299" s="3">
        <v>119.0675</v>
      </c>
    </row>
    <row r="300" spans="1:17" x14ac:dyDescent="0.25">
      <c r="A300" s="9">
        <v>41944</v>
      </c>
      <c r="B300" s="8">
        <v>420</v>
      </c>
      <c r="D300" s="4">
        <v>32335</v>
      </c>
      <c r="E300" s="6">
        <v>14.63</v>
      </c>
      <c r="G300" s="4">
        <f t="shared" si="19"/>
        <v>34005</v>
      </c>
      <c r="H300" s="5">
        <f t="shared" si="16"/>
        <v>18.7</v>
      </c>
      <c r="I300" s="5">
        <f t="shared" si="17"/>
        <v>2</v>
      </c>
      <c r="J300" s="5">
        <f t="shared" si="18"/>
        <v>1993</v>
      </c>
      <c r="K300">
        <v>8</v>
      </c>
      <c r="L300">
        <v>2016</v>
      </c>
      <c r="M300">
        <v>46.660000000000004</v>
      </c>
      <c r="O300" s="3">
        <v>3</v>
      </c>
      <c r="P300" s="3">
        <v>2012</v>
      </c>
      <c r="Q300" s="3">
        <v>125.54400000000001</v>
      </c>
    </row>
    <row r="301" spans="1:17" x14ac:dyDescent="0.25">
      <c r="A301" s="9">
        <v>41974</v>
      </c>
      <c r="B301" s="8">
        <v>327.875</v>
      </c>
      <c r="D301" s="4">
        <v>32336</v>
      </c>
      <c r="E301" s="6">
        <v>14</v>
      </c>
      <c r="G301" s="4">
        <f t="shared" si="19"/>
        <v>34012</v>
      </c>
      <c r="H301" s="5">
        <f t="shared" si="16"/>
        <v>18.48</v>
      </c>
      <c r="I301" s="5">
        <f t="shared" si="17"/>
        <v>2</v>
      </c>
      <c r="J301" s="5">
        <f t="shared" si="18"/>
        <v>1993</v>
      </c>
      <c r="K301">
        <v>8</v>
      </c>
      <c r="L301">
        <v>2017</v>
      </c>
      <c r="M301">
        <v>51.695</v>
      </c>
      <c r="O301" s="3">
        <v>4</v>
      </c>
      <c r="P301" s="3">
        <v>2012</v>
      </c>
      <c r="Q301" s="3">
        <v>89.5</v>
      </c>
    </row>
    <row r="302" spans="1:17" x14ac:dyDescent="0.25">
      <c r="A302" s="9">
        <v>42005</v>
      </c>
      <c r="B302" s="8">
        <v>250.1</v>
      </c>
      <c r="D302" s="4">
        <v>32337</v>
      </c>
      <c r="E302" s="6">
        <v>14.1</v>
      </c>
      <c r="G302" s="4">
        <f t="shared" si="19"/>
        <v>34019</v>
      </c>
      <c r="H302" s="5">
        <f t="shared" si="16"/>
        <v>18.3</v>
      </c>
      <c r="I302" s="5">
        <f t="shared" si="17"/>
        <v>2</v>
      </c>
      <c r="J302" s="5">
        <f t="shared" si="18"/>
        <v>1993</v>
      </c>
      <c r="K302">
        <v>8</v>
      </c>
      <c r="L302">
        <v>2018</v>
      </c>
      <c r="M302">
        <v>72.994</v>
      </c>
      <c r="O302" s="3">
        <v>5</v>
      </c>
      <c r="P302" s="3">
        <v>2012</v>
      </c>
      <c r="Q302" s="3">
        <v>110.0125</v>
      </c>
    </row>
    <row r="303" spans="1:17" x14ac:dyDescent="0.25">
      <c r="A303" s="9">
        <v>42036</v>
      </c>
      <c r="B303" s="8">
        <v>304.625</v>
      </c>
      <c r="D303" s="4">
        <v>32338</v>
      </c>
      <c r="E303" s="6">
        <v>14.1</v>
      </c>
      <c r="G303" s="4">
        <f t="shared" si="19"/>
        <v>34026</v>
      </c>
      <c r="H303" s="5">
        <f t="shared" si="16"/>
        <v>18.829999999999998</v>
      </c>
      <c r="I303" s="5">
        <f t="shared" si="17"/>
        <v>2</v>
      </c>
      <c r="J303" s="5">
        <f t="shared" si="18"/>
        <v>1993</v>
      </c>
      <c r="K303">
        <v>8</v>
      </c>
      <c r="L303">
        <v>2019</v>
      </c>
      <c r="M303">
        <v>59.434000000000005</v>
      </c>
      <c r="O303" s="3">
        <v>6</v>
      </c>
      <c r="P303" s="3">
        <v>2012</v>
      </c>
      <c r="Q303" s="3">
        <v>95.343999999999994</v>
      </c>
    </row>
    <row r="304" spans="1:17" x14ac:dyDescent="0.25">
      <c r="A304" s="9">
        <v>42064</v>
      </c>
      <c r="B304" s="8">
        <v>301.875</v>
      </c>
      <c r="D304" s="4">
        <v>32339</v>
      </c>
      <c r="E304" s="6">
        <v>14.25</v>
      </c>
      <c r="G304" s="4">
        <f t="shared" si="19"/>
        <v>34033</v>
      </c>
      <c r="H304" s="5">
        <f t="shared" si="16"/>
        <v>19.600000000000001</v>
      </c>
      <c r="I304" s="5">
        <f t="shared" si="17"/>
        <v>3</v>
      </c>
      <c r="J304" s="5">
        <f t="shared" si="18"/>
        <v>1993</v>
      </c>
      <c r="K304">
        <v>8</v>
      </c>
      <c r="L304">
        <v>2020</v>
      </c>
      <c r="M304">
        <v>44.522500000000001</v>
      </c>
      <c r="O304" s="3">
        <v>7</v>
      </c>
      <c r="P304" s="3">
        <v>2012</v>
      </c>
      <c r="Q304" s="3">
        <v>103.4225</v>
      </c>
    </row>
    <row r="305" spans="1:17" x14ac:dyDescent="0.25">
      <c r="A305" s="9">
        <v>42095</v>
      </c>
      <c r="B305" s="8">
        <v>307.25</v>
      </c>
      <c r="D305" s="4">
        <v>32342</v>
      </c>
      <c r="E305" s="6">
        <v>15</v>
      </c>
      <c r="G305" s="4">
        <f t="shared" si="19"/>
        <v>34040</v>
      </c>
      <c r="H305" s="5">
        <f t="shared" si="16"/>
        <v>18.829999999999998</v>
      </c>
      <c r="I305" s="5">
        <f t="shared" si="17"/>
        <v>3</v>
      </c>
      <c r="J305" s="5">
        <f t="shared" si="18"/>
        <v>1993</v>
      </c>
      <c r="K305">
        <v>8</v>
      </c>
      <c r="L305">
        <v>2021</v>
      </c>
      <c r="M305">
        <v>69.922499999999999</v>
      </c>
      <c r="O305" s="3">
        <v>8</v>
      </c>
      <c r="P305" s="3">
        <v>2012</v>
      </c>
      <c r="Q305" s="3">
        <v>113.51799999999999</v>
      </c>
    </row>
    <row r="306" spans="1:17" x14ac:dyDescent="0.25">
      <c r="A306" s="9">
        <v>42125</v>
      </c>
      <c r="B306" s="8">
        <v>343.7</v>
      </c>
      <c r="D306" s="4">
        <v>32343</v>
      </c>
      <c r="E306" s="6">
        <v>14.93</v>
      </c>
      <c r="G306" s="4">
        <f t="shared" si="19"/>
        <v>34047</v>
      </c>
      <c r="H306" s="5">
        <f t="shared" si="16"/>
        <v>18.579999999999998</v>
      </c>
      <c r="I306" s="5">
        <f t="shared" si="17"/>
        <v>3</v>
      </c>
      <c r="J306" s="5">
        <f t="shared" si="18"/>
        <v>1993</v>
      </c>
      <c r="K306">
        <v>8</v>
      </c>
      <c r="L306">
        <v>2022</v>
      </c>
      <c r="M306">
        <v>100.39749999999999</v>
      </c>
      <c r="O306" s="3">
        <v>9</v>
      </c>
      <c r="P306" s="3">
        <v>2012</v>
      </c>
      <c r="Q306" s="3">
        <v>113.4375</v>
      </c>
    </row>
    <row r="307" spans="1:17" x14ac:dyDescent="0.25">
      <c r="A307" s="9">
        <v>42156</v>
      </c>
      <c r="B307" s="8">
        <v>328.5</v>
      </c>
      <c r="D307" s="4">
        <v>32344</v>
      </c>
      <c r="E307" s="6">
        <v>15.48</v>
      </c>
      <c r="G307" s="4">
        <f t="shared" si="19"/>
        <v>34054</v>
      </c>
      <c r="H307" s="5">
        <f t="shared" si="16"/>
        <v>18.55</v>
      </c>
      <c r="I307" s="5">
        <f t="shared" si="17"/>
        <v>3</v>
      </c>
      <c r="J307" s="5">
        <f t="shared" si="18"/>
        <v>1993</v>
      </c>
      <c r="K307">
        <v>8</v>
      </c>
      <c r="L307">
        <v>2023</v>
      </c>
      <c r="M307">
        <v>86.662500000000009</v>
      </c>
      <c r="O307" s="3">
        <v>10</v>
      </c>
      <c r="P307" s="3">
        <v>2012</v>
      </c>
      <c r="Q307" s="3">
        <v>112.0325</v>
      </c>
    </row>
    <row r="308" spans="1:17" x14ac:dyDescent="0.25">
      <c r="A308" s="9">
        <v>42186</v>
      </c>
      <c r="B308" s="8">
        <v>292.7</v>
      </c>
      <c r="D308" s="4">
        <v>32345</v>
      </c>
      <c r="E308" s="6">
        <v>15.63</v>
      </c>
      <c r="G308" s="4">
        <f t="shared" si="19"/>
        <v>34061</v>
      </c>
      <c r="H308" s="5">
        <f t="shared" si="16"/>
        <v>18.88</v>
      </c>
      <c r="I308" s="5">
        <f t="shared" si="17"/>
        <v>4</v>
      </c>
      <c r="J308" s="5">
        <f t="shared" si="18"/>
        <v>1993</v>
      </c>
      <c r="K308">
        <v>8</v>
      </c>
      <c r="L308">
        <v>2024</v>
      </c>
      <c r="M308">
        <v>80.304000000000002</v>
      </c>
      <c r="O308" s="3">
        <v>11</v>
      </c>
      <c r="P308" s="3">
        <v>2012</v>
      </c>
      <c r="Q308" s="3">
        <v>108.63800000000001</v>
      </c>
    </row>
    <row r="309" spans="1:17" x14ac:dyDescent="0.25">
      <c r="A309" s="9">
        <v>42217</v>
      </c>
      <c r="B309" s="8">
        <v>233.75</v>
      </c>
      <c r="D309" s="4">
        <v>32346</v>
      </c>
      <c r="E309" s="6">
        <v>15.83</v>
      </c>
      <c r="G309" s="4">
        <f t="shared" si="19"/>
        <v>34068</v>
      </c>
      <c r="H309" s="5">
        <f t="shared" si="16"/>
        <v>0</v>
      </c>
      <c r="I309" s="5">
        <f t="shared" si="17"/>
        <v>4</v>
      </c>
      <c r="J309" s="5">
        <f t="shared" si="18"/>
        <v>1993</v>
      </c>
      <c r="K309">
        <v>8</v>
      </c>
      <c r="L309">
        <v>2025</v>
      </c>
      <c r="M309">
        <v>68.227999999999994</v>
      </c>
      <c r="O309" s="3">
        <v>12</v>
      </c>
      <c r="P309" s="3">
        <v>2012</v>
      </c>
      <c r="Q309" s="3">
        <v>108.905</v>
      </c>
    </row>
    <row r="310" spans="1:17" x14ac:dyDescent="0.25">
      <c r="A310" s="9">
        <v>42248</v>
      </c>
      <c r="B310" s="8">
        <v>226.625</v>
      </c>
      <c r="D310" s="4">
        <v>32349</v>
      </c>
      <c r="E310" s="6">
        <v>15.8</v>
      </c>
      <c r="G310" s="4">
        <f t="shared" si="19"/>
        <v>34075</v>
      </c>
      <c r="H310" s="5">
        <f t="shared" si="16"/>
        <v>18.5</v>
      </c>
      <c r="I310" s="5">
        <f t="shared" si="17"/>
        <v>4</v>
      </c>
      <c r="J310" s="5">
        <f t="shared" si="18"/>
        <v>1993</v>
      </c>
      <c r="K310">
        <v>9</v>
      </c>
      <c r="L310">
        <v>1987</v>
      </c>
      <c r="M310">
        <v>18.302500000000002</v>
      </c>
      <c r="O310" s="3">
        <v>1</v>
      </c>
      <c r="P310" s="3">
        <v>2013</v>
      </c>
      <c r="Q310" s="3">
        <v>112.11749999999999</v>
      </c>
    </row>
    <row r="311" spans="1:17" x14ac:dyDescent="0.25">
      <c r="A311" s="9">
        <v>42278</v>
      </c>
      <c r="B311" s="8">
        <v>222.5</v>
      </c>
      <c r="D311" s="4">
        <v>32350</v>
      </c>
      <c r="E311" s="6">
        <v>15.38</v>
      </c>
      <c r="G311" s="4">
        <f t="shared" si="19"/>
        <v>34082</v>
      </c>
      <c r="H311" s="5">
        <f t="shared" si="16"/>
        <v>18.63</v>
      </c>
      <c r="I311" s="5">
        <f t="shared" si="17"/>
        <v>4</v>
      </c>
      <c r="J311" s="5">
        <f t="shared" si="18"/>
        <v>1993</v>
      </c>
      <c r="K311">
        <v>9</v>
      </c>
      <c r="L311">
        <v>1988</v>
      </c>
      <c r="M311">
        <v>13.122000000000003</v>
      </c>
      <c r="O311" s="3">
        <v>2</v>
      </c>
      <c r="P311" s="3">
        <v>2013</v>
      </c>
      <c r="Q311" s="3">
        <v>116.39750000000001</v>
      </c>
    </row>
    <row r="312" spans="1:17" x14ac:dyDescent="0.25">
      <c r="A312" s="9">
        <v>42309</v>
      </c>
      <c r="B312" s="8">
        <v>201</v>
      </c>
      <c r="D312" s="4">
        <v>32351</v>
      </c>
      <c r="E312" s="6">
        <v>15.45</v>
      </c>
      <c r="G312" s="4">
        <f t="shared" si="19"/>
        <v>34089</v>
      </c>
      <c r="H312" s="5">
        <f t="shared" si="16"/>
        <v>18.850000000000001</v>
      </c>
      <c r="I312" s="5">
        <f t="shared" si="17"/>
        <v>4</v>
      </c>
      <c r="J312" s="5">
        <f t="shared" si="18"/>
        <v>1993</v>
      </c>
      <c r="K312">
        <v>9</v>
      </c>
      <c r="L312">
        <v>1989</v>
      </c>
      <c r="M312">
        <v>17.759999999999998</v>
      </c>
      <c r="O312" s="3">
        <v>3</v>
      </c>
      <c r="P312" s="3">
        <v>2013</v>
      </c>
      <c r="Q312" s="3">
        <v>86.975999999999999</v>
      </c>
    </row>
    <row r="313" spans="1:17" x14ac:dyDescent="0.25">
      <c r="A313" s="9">
        <v>42339</v>
      </c>
      <c r="B313" s="8">
        <v>157.125</v>
      </c>
      <c r="D313" s="4">
        <v>32352</v>
      </c>
      <c r="E313" s="6">
        <v>15.7</v>
      </c>
      <c r="G313" s="4">
        <f t="shared" si="19"/>
        <v>34096</v>
      </c>
      <c r="H313" s="5">
        <f t="shared" si="16"/>
        <v>18.98</v>
      </c>
      <c r="I313" s="5">
        <f t="shared" si="17"/>
        <v>5</v>
      </c>
      <c r="J313" s="5">
        <f t="shared" si="18"/>
        <v>1993</v>
      </c>
      <c r="K313">
        <v>9</v>
      </c>
      <c r="L313">
        <v>1990</v>
      </c>
      <c r="M313">
        <v>35.6875</v>
      </c>
      <c r="O313" s="3">
        <v>4</v>
      </c>
      <c r="P313" s="3">
        <v>2013</v>
      </c>
      <c r="Q313" s="3">
        <v>101.4725</v>
      </c>
    </row>
    <row r="314" spans="1:17" x14ac:dyDescent="0.25">
      <c r="A314" s="9">
        <v>42370</v>
      </c>
      <c r="B314" s="8">
        <v>125.9</v>
      </c>
      <c r="D314" s="4">
        <v>32353</v>
      </c>
      <c r="E314" s="6">
        <v>15.75</v>
      </c>
      <c r="G314" s="4">
        <f t="shared" si="19"/>
        <v>34103</v>
      </c>
      <c r="H314" s="5">
        <f t="shared" si="16"/>
        <v>18.399999999999999</v>
      </c>
      <c r="I314" s="5">
        <f t="shared" si="17"/>
        <v>5</v>
      </c>
      <c r="J314" s="5">
        <f t="shared" si="18"/>
        <v>1993</v>
      </c>
      <c r="K314">
        <v>9</v>
      </c>
      <c r="L314">
        <v>1991</v>
      </c>
      <c r="M314">
        <v>20.627500000000001</v>
      </c>
      <c r="O314" s="3">
        <v>5</v>
      </c>
      <c r="P314" s="3">
        <v>2013</v>
      </c>
      <c r="Q314" s="3">
        <v>102.28200000000001</v>
      </c>
    </row>
    <row r="315" spans="1:17" x14ac:dyDescent="0.25">
      <c r="A315" s="9">
        <v>42401</v>
      </c>
      <c r="B315" s="8">
        <v>144</v>
      </c>
      <c r="D315" s="4">
        <v>32356</v>
      </c>
      <c r="E315" s="6">
        <v>15.6</v>
      </c>
      <c r="G315" s="4">
        <f t="shared" si="19"/>
        <v>34110</v>
      </c>
      <c r="H315" s="5">
        <f t="shared" si="16"/>
        <v>18.05</v>
      </c>
      <c r="I315" s="5">
        <f t="shared" si="17"/>
        <v>5</v>
      </c>
      <c r="J315" s="5">
        <f t="shared" si="18"/>
        <v>1993</v>
      </c>
      <c r="K315">
        <v>9</v>
      </c>
      <c r="L315">
        <v>1992</v>
      </c>
      <c r="M315">
        <v>20.252500000000001</v>
      </c>
      <c r="O315" s="3">
        <v>6</v>
      </c>
      <c r="P315" s="3">
        <v>2013</v>
      </c>
      <c r="Q315" s="3">
        <v>103.005</v>
      </c>
    </row>
    <row r="316" spans="1:17" x14ac:dyDescent="0.25">
      <c r="A316" s="9">
        <v>42430</v>
      </c>
      <c r="B316" s="8">
        <v>159</v>
      </c>
      <c r="D316" s="4">
        <v>32357</v>
      </c>
      <c r="E316" s="6">
        <v>15.35</v>
      </c>
      <c r="G316" s="4">
        <f t="shared" si="19"/>
        <v>34117</v>
      </c>
      <c r="H316" s="5">
        <f t="shared" si="16"/>
        <v>18.43</v>
      </c>
      <c r="I316" s="5">
        <f t="shared" si="17"/>
        <v>5</v>
      </c>
      <c r="J316" s="5">
        <f t="shared" si="18"/>
        <v>1993</v>
      </c>
      <c r="K316">
        <v>9</v>
      </c>
      <c r="L316">
        <v>1993</v>
      </c>
      <c r="M316">
        <v>15.852500000000001</v>
      </c>
      <c r="O316" s="3">
        <v>7</v>
      </c>
      <c r="P316" s="3">
        <v>2013</v>
      </c>
      <c r="Q316" s="3">
        <v>108.35000000000001</v>
      </c>
    </row>
    <row r="317" spans="1:17" x14ac:dyDescent="0.25">
      <c r="A317" s="9">
        <v>42461</v>
      </c>
      <c r="B317" s="8">
        <v>173.5</v>
      </c>
      <c r="D317" s="4">
        <v>32358</v>
      </c>
      <c r="E317" s="6">
        <v>15</v>
      </c>
      <c r="G317" s="4">
        <f t="shared" si="19"/>
        <v>34124</v>
      </c>
      <c r="H317" s="5">
        <f t="shared" si="16"/>
        <v>18.25</v>
      </c>
      <c r="I317" s="5">
        <f t="shared" si="17"/>
        <v>6</v>
      </c>
      <c r="J317" s="5">
        <f t="shared" si="18"/>
        <v>1993</v>
      </c>
      <c r="K317">
        <v>9</v>
      </c>
      <c r="L317">
        <v>1994</v>
      </c>
      <c r="M317">
        <v>16.027999999999999</v>
      </c>
      <c r="O317" s="3">
        <v>8</v>
      </c>
      <c r="P317" s="3">
        <v>2013</v>
      </c>
      <c r="Q317" s="3">
        <v>111.60599999999999</v>
      </c>
    </row>
    <row r="318" spans="1:17" x14ac:dyDescent="0.25">
      <c r="A318" s="9">
        <v>42491</v>
      </c>
      <c r="B318" s="8">
        <v>213.125</v>
      </c>
      <c r="D318" s="4">
        <v>32359</v>
      </c>
      <c r="E318" s="6">
        <v>14.5</v>
      </c>
      <c r="G318" s="4">
        <f t="shared" si="19"/>
        <v>34131</v>
      </c>
      <c r="H318" s="5">
        <f t="shared" si="16"/>
        <v>17.63</v>
      </c>
      <c r="I318" s="5">
        <f t="shared" si="17"/>
        <v>6</v>
      </c>
      <c r="J318" s="5">
        <f t="shared" si="18"/>
        <v>1993</v>
      </c>
      <c r="K318">
        <v>9</v>
      </c>
      <c r="L318">
        <v>1995</v>
      </c>
      <c r="M318">
        <v>16.667999999999999</v>
      </c>
      <c r="O318" s="3">
        <v>9</v>
      </c>
      <c r="P318" s="3">
        <v>2013</v>
      </c>
      <c r="Q318" s="3">
        <v>112.5325</v>
      </c>
    </row>
    <row r="319" spans="1:17" x14ac:dyDescent="0.25">
      <c r="A319" s="9">
        <v>42522</v>
      </c>
      <c r="B319" s="8">
        <v>227.875</v>
      </c>
      <c r="D319" s="4">
        <v>32360</v>
      </c>
      <c r="E319" s="6">
        <v>14.85</v>
      </c>
      <c r="G319" s="4">
        <f t="shared" si="19"/>
        <v>34138</v>
      </c>
      <c r="H319" s="5">
        <f t="shared" si="16"/>
        <v>17.13</v>
      </c>
      <c r="I319" s="5">
        <f t="shared" si="17"/>
        <v>6</v>
      </c>
      <c r="J319" s="5">
        <f t="shared" si="18"/>
        <v>1993</v>
      </c>
      <c r="K319">
        <v>9</v>
      </c>
      <c r="L319">
        <v>1996</v>
      </c>
      <c r="M319">
        <v>22.734999999999999</v>
      </c>
      <c r="O319" s="3">
        <v>10</v>
      </c>
      <c r="P319" s="3">
        <v>2013</v>
      </c>
      <c r="Q319" s="3">
        <v>108.7925</v>
      </c>
    </row>
    <row r="320" spans="1:17" x14ac:dyDescent="0.25">
      <c r="A320" s="9">
        <v>42552</v>
      </c>
      <c r="B320" s="8">
        <v>232.7</v>
      </c>
      <c r="D320" s="4">
        <v>32363</v>
      </c>
      <c r="E320" s="6">
        <v>15.48</v>
      </c>
      <c r="G320" s="4">
        <f t="shared" si="19"/>
        <v>34145</v>
      </c>
      <c r="H320" s="5">
        <f t="shared" si="16"/>
        <v>17.23</v>
      </c>
      <c r="I320" s="5">
        <f t="shared" si="17"/>
        <v>6</v>
      </c>
      <c r="J320" s="5">
        <f t="shared" si="18"/>
        <v>1993</v>
      </c>
      <c r="K320">
        <v>9</v>
      </c>
      <c r="L320">
        <v>1997</v>
      </c>
      <c r="M320">
        <v>18.472499999999997</v>
      </c>
      <c r="O320" s="3">
        <v>11</v>
      </c>
      <c r="P320" s="3">
        <v>2013</v>
      </c>
      <c r="Q320" s="3">
        <v>108.15</v>
      </c>
    </row>
    <row r="321" spans="1:17" x14ac:dyDescent="0.25">
      <c r="A321" s="9">
        <v>42583</v>
      </c>
      <c r="B321" s="8">
        <v>225.75</v>
      </c>
      <c r="D321" s="4">
        <v>32364</v>
      </c>
      <c r="E321" s="6">
        <v>15.4</v>
      </c>
      <c r="G321" s="4">
        <f t="shared" si="19"/>
        <v>34152</v>
      </c>
      <c r="H321" s="5">
        <f t="shared" si="16"/>
        <v>16.63</v>
      </c>
      <c r="I321" s="5">
        <f t="shared" si="17"/>
        <v>7</v>
      </c>
      <c r="J321" s="5">
        <f t="shared" si="18"/>
        <v>1993</v>
      </c>
      <c r="K321">
        <v>9</v>
      </c>
      <c r="L321">
        <v>1998</v>
      </c>
      <c r="M321">
        <v>13.522500000000001</v>
      </c>
      <c r="O321" s="3">
        <v>12</v>
      </c>
      <c r="P321" s="3">
        <v>2013</v>
      </c>
      <c r="Q321" s="3">
        <v>110.94750000000001</v>
      </c>
    </row>
    <row r="322" spans="1:17" x14ac:dyDescent="0.25">
      <c r="A322" s="9">
        <v>42614</v>
      </c>
      <c r="B322" s="8">
        <v>241.7</v>
      </c>
      <c r="D322" s="4">
        <v>32365</v>
      </c>
      <c r="E322" s="6">
        <v>15.1</v>
      </c>
      <c r="G322" s="4">
        <f t="shared" si="19"/>
        <v>34159</v>
      </c>
      <c r="H322" s="5">
        <f t="shared" si="16"/>
        <v>16.53</v>
      </c>
      <c r="I322" s="5">
        <f t="shared" si="17"/>
        <v>7</v>
      </c>
      <c r="J322" s="5">
        <f t="shared" si="18"/>
        <v>1993</v>
      </c>
      <c r="K322">
        <v>9</v>
      </c>
      <c r="L322">
        <v>1999</v>
      </c>
      <c r="M322">
        <v>22.422499999999999</v>
      </c>
      <c r="O322" s="3">
        <v>1</v>
      </c>
      <c r="P322" s="3">
        <v>2014</v>
      </c>
      <c r="Q322" s="3">
        <v>107.752</v>
      </c>
    </row>
    <row r="323" spans="1:17" x14ac:dyDescent="0.25">
      <c r="A323" s="9">
        <v>42644</v>
      </c>
      <c r="B323" s="8">
        <v>265.25</v>
      </c>
      <c r="D323" s="4">
        <v>32366</v>
      </c>
      <c r="E323" s="6">
        <v>15.13</v>
      </c>
      <c r="G323" s="4">
        <f t="shared" si="19"/>
        <v>34166</v>
      </c>
      <c r="H323" s="5">
        <f t="shared" ref="H323:H386" si="20">_xlfn.XLOOKUP(G323,D:D,E:E)</f>
        <v>16.600000000000001</v>
      </c>
      <c r="I323" s="5">
        <f t="shared" ref="I323:I386" si="21">MONTH(G323)</f>
        <v>7</v>
      </c>
      <c r="J323" s="5">
        <f t="shared" ref="J323:J386" si="22">YEAR(G323)</f>
        <v>1993</v>
      </c>
      <c r="K323">
        <v>9</v>
      </c>
      <c r="L323">
        <v>2000</v>
      </c>
      <c r="M323">
        <v>33.010000000000005</v>
      </c>
      <c r="O323" s="3">
        <v>2</v>
      </c>
      <c r="P323" s="3">
        <v>2014</v>
      </c>
      <c r="Q323" s="3">
        <v>109.19</v>
      </c>
    </row>
    <row r="324" spans="1:17" x14ac:dyDescent="0.25">
      <c r="A324" s="9">
        <v>42675</v>
      </c>
      <c r="B324" s="8">
        <v>252</v>
      </c>
      <c r="D324" s="4">
        <v>32367</v>
      </c>
      <c r="E324" s="6">
        <v>14.98</v>
      </c>
      <c r="G324" s="4">
        <f t="shared" ref="G324:G387" si="23">G323+7</f>
        <v>34173</v>
      </c>
      <c r="H324" s="5">
        <f t="shared" si="20"/>
        <v>16.850000000000001</v>
      </c>
      <c r="I324" s="5">
        <f t="shared" si="21"/>
        <v>7</v>
      </c>
      <c r="J324" s="5">
        <f t="shared" si="22"/>
        <v>1993</v>
      </c>
      <c r="K324">
        <v>9</v>
      </c>
      <c r="L324">
        <v>2001</v>
      </c>
      <c r="M324">
        <v>25.950000000000003</v>
      </c>
      <c r="O324" s="3">
        <v>3</v>
      </c>
      <c r="P324" s="3">
        <v>2014</v>
      </c>
      <c r="Q324" s="3">
        <v>107.765</v>
      </c>
    </row>
    <row r="325" spans="1:17" x14ac:dyDescent="0.25">
      <c r="A325" s="9">
        <v>42705</v>
      </c>
      <c r="B325" s="8">
        <v>296.5</v>
      </c>
      <c r="D325" s="4">
        <v>32370</v>
      </c>
      <c r="E325" s="6">
        <v>14.8</v>
      </c>
      <c r="G325" s="4">
        <f t="shared" si="23"/>
        <v>34180</v>
      </c>
      <c r="H325" s="5">
        <f t="shared" si="20"/>
        <v>16.850000000000001</v>
      </c>
      <c r="I325" s="5">
        <f t="shared" si="21"/>
        <v>7</v>
      </c>
      <c r="J325" s="5">
        <f t="shared" si="22"/>
        <v>1993</v>
      </c>
      <c r="K325">
        <v>9</v>
      </c>
      <c r="L325">
        <v>2002</v>
      </c>
      <c r="M325">
        <v>28.625</v>
      </c>
      <c r="O325" s="3">
        <v>4</v>
      </c>
      <c r="P325" s="3">
        <v>2014</v>
      </c>
      <c r="Q325" s="3">
        <v>80.819999999999993</v>
      </c>
    </row>
    <row r="326" spans="1:17" x14ac:dyDescent="0.25">
      <c r="A326" s="9">
        <v>42736</v>
      </c>
      <c r="B326" s="8">
        <v>306.875</v>
      </c>
      <c r="D326" s="4">
        <v>32371</v>
      </c>
      <c r="E326" s="6">
        <v>14.85</v>
      </c>
      <c r="G326" s="4">
        <f t="shared" si="23"/>
        <v>34187</v>
      </c>
      <c r="H326" s="5">
        <f t="shared" si="20"/>
        <v>16.38</v>
      </c>
      <c r="I326" s="5">
        <f t="shared" si="21"/>
        <v>8</v>
      </c>
      <c r="J326" s="5">
        <f t="shared" si="22"/>
        <v>1993</v>
      </c>
      <c r="K326">
        <v>9</v>
      </c>
      <c r="L326">
        <v>2003</v>
      </c>
      <c r="M326">
        <v>26.692499999999999</v>
      </c>
      <c r="O326" s="3">
        <v>5</v>
      </c>
      <c r="P326" s="3">
        <v>2014</v>
      </c>
      <c r="Q326" s="3">
        <v>109.60799999999999</v>
      </c>
    </row>
    <row r="327" spans="1:17" x14ac:dyDescent="0.25">
      <c r="A327" s="9">
        <v>42767</v>
      </c>
      <c r="B327" s="8">
        <v>302.5</v>
      </c>
      <c r="D327" s="4">
        <v>32372</v>
      </c>
      <c r="E327" s="6">
        <v>14.75</v>
      </c>
      <c r="G327" s="4">
        <f t="shared" si="23"/>
        <v>34194</v>
      </c>
      <c r="H327" s="5">
        <f t="shared" si="20"/>
        <v>16.93</v>
      </c>
      <c r="I327" s="5">
        <f t="shared" si="21"/>
        <v>8</v>
      </c>
      <c r="J327" s="5">
        <f t="shared" si="22"/>
        <v>1993</v>
      </c>
      <c r="K327">
        <v>9</v>
      </c>
      <c r="L327">
        <v>2004</v>
      </c>
      <c r="M327">
        <v>42.827500000000001</v>
      </c>
      <c r="O327" s="3">
        <v>6</v>
      </c>
      <c r="P327" s="3">
        <v>2014</v>
      </c>
      <c r="Q327" s="3">
        <v>112.38250000000001</v>
      </c>
    </row>
    <row r="328" spans="1:17" x14ac:dyDescent="0.25">
      <c r="A328" s="9">
        <v>42795</v>
      </c>
      <c r="B328" s="8">
        <v>282.7</v>
      </c>
      <c r="D328" s="4">
        <v>32373</v>
      </c>
      <c r="E328" s="6">
        <v>14.78</v>
      </c>
      <c r="G328" s="4">
        <f t="shared" si="23"/>
        <v>34201</v>
      </c>
      <c r="H328" s="5">
        <f t="shared" si="20"/>
        <v>16.68</v>
      </c>
      <c r="I328" s="5">
        <f t="shared" si="21"/>
        <v>8</v>
      </c>
      <c r="J328" s="5">
        <f t="shared" si="22"/>
        <v>1993</v>
      </c>
      <c r="K328">
        <v>9</v>
      </c>
      <c r="L328">
        <v>2005</v>
      </c>
      <c r="M328">
        <v>62.583999999999989</v>
      </c>
      <c r="O328" s="3">
        <v>7</v>
      </c>
      <c r="P328" s="3">
        <v>2014</v>
      </c>
      <c r="Q328" s="3">
        <v>79.672499999999999</v>
      </c>
    </row>
    <row r="329" spans="1:17" x14ac:dyDescent="0.25">
      <c r="A329" s="9">
        <v>42826</v>
      </c>
      <c r="B329" s="8">
        <v>293.125</v>
      </c>
      <c r="D329" s="4">
        <v>32374</v>
      </c>
      <c r="E329" s="6">
        <v>14.85</v>
      </c>
      <c r="G329" s="4">
        <f t="shared" si="23"/>
        <v>34208</v>
      </c>
      <c r="H329" s="5">
        <f t="shared" si="20"/>
        <v>17.05</v>
      </c>
      <c r="I329" s="5">
        <f t="shared" si="21"/>
        <v>8</v>
      </c>
      <c r="J329" s="5">
        <f t="shared" si="22"/>
        <v>1993</v>
      </c>
      <c r="K329">
        <v>9</v>
      </c>
      <c r="L329">
        <v>2006</v>
      </c>
      <c r="M329">
        <v>62.583999999999989</v>
      </c>
      <c r="O329" s="3">
        <v>8</v>
      </c>
      <c r="P329" s="3">
        <v>2014</v>
      </c>
      <c r="Q329" s="3">
        <v>101.83</v>
      </c>
    </row>
    <row r="330" spans="1:17" x14ac:dyDescent="0.25">
      <c r="A330" s="9">
        <v>42856</v>
      </c>
      <c r="B330" s="8">
        <v>285.25</v>
      </c>
      <c r="D330" s="4">
        <v>32377</v>
      </c>
      <c r="E330" s="6">
        <v>15.03</v>
      </c>
      <c r="G330" s="4">
        <f t="shared" si="23"/>
        <v>34215</v>
      </c>
      <c r="H330" s="5">
        <f t="shared" si="20"/>
        <v>16.329999999999998</v>
      </c>
      <c r="I330" s="5">
        <f t="shared" si="21"/>
        <v>9</v>
      </c>
      <c r="J330" s="5">
        <f t="shared" si="22"/>
        <v>1993</v>
      </c>
      <c r="K330">
        <v>9</v>
      </c>
      <c r="L330">
        <v>2007</v>
      </c>
      <c r="M330">
        <v>78.307500000000005</v>
      </c>
      <c r="O330" s="3">
        <v>9</v>
      </c>
      <c r="P330" s="3">
        <v>2014</v>
      </c>
      <c r="Q330" s="3">
        <v>96.912499999999994</v>
      </c>
    </row>
    <row r="331" spans="1:17" x14ac:dyDescent="0.25">
      <c r="A331" s="9">
        <v>42887</v>
      </c>
      <c r="B331" s="8">
        <v>276.8</v>
      </c>
      <c r="D331" s="4">
        <v>32378</v>
      </c>
      <c r="E331" s="6">
        <v>14.8</v>
      </c>
      <c r="G331" s="4">
        <f t="shared" si="23"/>
        <v>34222</v>
      </c>
      <c r="H331" s="5">
        <f t="shared" si="20"/>
        <v>15.43</v>
      </c>
      <c r="I331" s="5">
        <f t="shared" si="21"/>
        <v>9</v>
      </c>
      <c r="J331" s="5">
        <f t="shared" si="22"/>
        <v>1993</v>
      </c>
      <c r="K331">
        <v>9</v>
      </c>
      <c r="L331">
        <v>2008</v>
      </c>
      <c r="M331">
        <v>97.804999999999993</v>
      </c>
      <c r="O331" s="3">
        <v>10</v>
      </c>
      <c r="P331" s="3">
        <v>2014</v>
      </c>
      <c r="Q331" s="3">
        <v>86.97999999999999</v>
      </c>
    </row>
    <row r="332" spans="1:17" x14ac:dyDescent="0.25">
      <c r="A332" s="9">
        <v>42917</v>
      </c>
      <c r="B332" s="8">
        <v>287.875</v>
      </c>
      <c r="D332" s="4">
        <v>32379</v>
      </c>
      <c r="E332" s="6">
        <v>14.85</v>
      </c>
      <c r="G332" s="4">
        <f t="shared" si="23"/>
        <v>34229</v>
      </c>
      <c r="H332" s="5">
        <f t="shared" si="20"/>
        <v>15.55</v>
      </c>
      <c r="I332" s="5">
        <f t="shared" si="21"/>
        <v>9</v>
      </c>
      <c r="J332" s="5">
        <f t="shared" si="22"/>
        <v>1993</v>
      </c>
      <c r="K332">
        <v>9</v>
      </c>
      <c r="L332">
        <v>2009</v>
      </c>
      <c r="M332">
        <v>67.48</v>
      </c>
      <c r="O332" s="3">
        <v>11</v>
      </c>
      <c r="P332" s="3">
        <v>2014</v>
      </c>
      <c r="Q332" s="3">
        <v>77.95</v>
      </c>
    </row>
    <row r="333" spans="1:17" x14ac:dyDescent="0.25">
      <c r="A333" s="9">
        <v>42948</v>
      </c>
      <c r="B333" s="8">
        <v>295.5</v>
      </c>
      <c r="D333" s="4">
        <v>32380</v>
      </c>
      <c r="E333" s="6">
        <v>14.63</v>
      </c>
      <c r="G333" s="4">
        <f t="shared" si="23"/>
        <v>34236</v>
      </c>
      <c r="H333" s="5">
        <f t="shared" si="20"/>
        <v>16.100000000000001</v>
      </c>
      <c r="I333" s="5">
        <f t="shared" si="21"/>
        <v>9</v>
      </c>
      <c r="J333" s="5">
        <f t="shared" si="22"/>
        <v>1993</v>
      </c>
      <c r="K333">
        <v>9</v>
      </c>
      <c r="L333">
        <v>2010</v>
      </c>
      <c r="M333">
        <v>77.182500000000005</v>
      </c>
      <c r="O333" s="3">
        <v>12</v>
      </c>
      <c r="P333" s="3">
        <v>2014</v>
      </c>
      <c r="Q333" s="3">
        <v>61.815000000000005</v>
      </c>
    </row>
    <row r="334" spans="1:17" x14ac:dyDescent="0.25">
      <c r="A334" s="9">
        <v>42979</v>
      </c>
      <c r="B334" s="8">
        <v>313.89999999999998</v>
      </c>
      <c r="D334" s="4">
        <v>32381</v>
      </c>
      <c r="E334" s="6">
        <v>14.5</v>
      </c>
      <c r="G334" s="4">
        <f t="shared" si="23"/>
        <v>34243</v>
      </c>
      <c r="H334" s="5">
        <f t="shared" si="20"/>
        <v>17.079999999999998</v>
      </c>
      <c r="I334" s="5">
        <f t="shared" si="21"/>
        <v>10</v>
      </c>
      <c r="J334" s="5">
        <f t="shared" si="22"/>
        <v>1993</v>
      </c>
      <c r="K334">
        <v>9</v>
      </c>
      <c r="L334">
        <v>2011</v>
      </c>
      <c r="M334">
        <v>112.374</v>
      </c>
      <c r="O334" s="3">
        <v>1</v>
      </c>
      <c r="P334" s="3">
        <v>2015</v>
      </c>
      <c r="Q334" s="3">
        <v>48.922000000000004</v>
      </c>
    </row>
    <row r="335" spans="1:17" x14ac:dyDescent="0.25">
      <c r="A335" s="9">
        <v>43009</v>
      </c>
      <c r="B335" s="8">
        <v>319.5</v>
      </c>
      <c r="D335" s="4">
        <v>32384</v>
      </c>
      <c r="E335" s="6">
        <v>14.48</v>
      </c>
      <c r="G335" s="4">
        <f t="shared" si="23"/>
        <v>34250</v>
      </c>
      <c r="H335" s="5">
        <f t="shared" si="20"/>
        <v>16.98</v>
      </c>
      <c r="I335" s="5">
        <f t="shared" si="21"/>
        <v>10</v>
      </c>
      <c r="J335" s="5">
        <f t="shared" si="22"/>
        <v>1993</v>
      </c>
      <c r="K335">
        <v>9</v>
      </c>
      <c r="L335">
        <v>2012</v>
      </c>
      <c r="M335">
        <v>113.4375</v>
      </c>
      <c r="O335" s="3">
        <v>2</v>
      </c>
      <c r="P335" s="3">
        <v>2015</v>
      </c>
      <c r="Q335" s="3">
        <v>59.772500000000008</v>
      </c>
    </row>
    <row r="336" spans="1:17" x14ac:dyDescent="0.25">
      <c r="A336" s="9">
        <v>43040</v>
      </c>
      <c r="B336" s="8">
        <v>352.875</v>
      </c>
      <c r="D336" s="4">
        <v>32385</v>
      </c>
      <c r="E336" s="6">
        <v>14.45</v>
      </c>
      <c r="G336" s="4">
        <f t="shared" si="23"/>
        <v>34257</v>
      </c>
      <c r="H336" s="5">
        <f t="shared" si="20"/>
        <v>16.7</v>
      </c>
      <c r="I336" s="5">
        <f t="shared" si="21"/>
        <v>10</v>
      </c>
      <c r="J336" s="5">
        <f t="shared" si="22"/>
        <v>1993</v>
      </c>
      <c r="K336">
        <v>9</v>
      </c>
      <c r="L336">
        <v>2013</v>
      </c>
      <c r="M336">
        <v>112.5325</v>
      </c>
      <c r="O336" s="3">
        <v>3</v>
      </c>
      <c r="P336" s="3">
        <v>2015</v>
      </c>
      <c r="Q336" s="3">
        <v>56.067499999999995</v>
      </c>
    </row>
    <row r="337" spans="1:17" x14ac:dyDescent="0.25">
      <c r="A337" s="9">
        <v>43070</v>
      </c>
      <c r="B337" s="8">
        <v>345.7</v>
      </c>
      <c r="D337" s="4">
        <v>32386</v>
      </c>
      <c r="E337" s="6">
        <v>14.4</v>
      </c>
      <c r="G337" s="4">
        <f t="shared" si="23"/>
        <v>34264</v>
      </c>
      <c r="H337" s="5">
        <f t="shared" si="20"/>
        <v>16.48</v>
      </c>
      <c r="I337" s="5">
        <f t="shared" si="21"/>
        <v>10</v>
      </c>
      <c r="J337" s="5">
        <f t="shared" si="22"/>
        <v>1993</v>
      </c>
      <c r="K337">
        <v>9</v>
      </c>
      <c r="L337">
        <v>2014</v>
      </c>
      <c r="M337">
        <v>96.912499999999994</v>
      </c>
      <c r="O337" s="3">
        <v>4</v>
      </c>
      <c r="P337" s="3">
        <v>2015</v>
      </c>
      <c r="Q337" s="3">
        <v>45.272500000000001</v>
      </c>
    </row>
    <row r="338" spans="1:17" x14ac:dyDescent="0.25">
      <c r="A338" s="9">
        <v>43101</v>
      </c>
      <c r="B338" s="8">
        <v>370.75</v>
      </c>
      <c r="D338" s="4">
        <v>32387</v>
      </c>
      <c r="E338" s="6">
        <v>14.15</v>
      </c>
      <c r="G338" s="4">
        <f t="shared" si="23"/>
        <v>34271</v>
      </c>
      <c r="H338" s="5">
        <f t="shared" si="20"/>
        <v>15.43</v>
      </c>
      <c r="I338" s="5">
        <f t="shared" si="21"/>
        <v>10</v>
      </c>
      <c r="J338" s="5">
        <f t="shared" si="22"/>
        <v>1993</v>
      </c>
      <c r="K338">
        <v>9</v>
      </c>
      <c r="L338">
        <v>2015</v>
      </c>
      <c r="M338">
        <v>47.505000000000003</v>
      </c>
      <c r="O338" s="3">
        <v>5</v>
      </c>
      <c r="P338" s="3">
        <v>2015</v>
      </c>
      <c r="Q338" s="3">
        <v>64.099999999999994</v>
      </c>
    </row>
    <row r="339" spans="1:17" x14ac:dyDescent="0.25">
      <c r="A339" s="9">
        <v>43132</v>
      </c>
      <c r="B339" s="8">
        <v>355.75</v>
      </c>
      <c r="D339" s="4">
        <v>32388</v>
      </c>
      <c r="E339" s="6">
        <v>14</v>
      </c>
      <c r="G339" s="4">
        <f t="shared" si="23"/>
        <v>34278</v>
      </c>
      <c r="H339" s="5">
        <f t="shared" si="20"/>
        <v>15.73</v>
      </c>
      <c r="I339" s="5">
        <f t="shared" si="21"/>
        <v>11</v>
      </c>
      <c r="J339" s="5">
        <f t="shared" si="22"/>
        <v>1993</v>
      </c>
      <c r="K339">
        <v>9</v>
      </c>
      <c r="L339">
        <v>2016</v>
      </c>
      <c r="M339">
        <v>46.908000000000001</v>
      </c>
      <c r="O339" s="3">
        <v>6</v>
      </c>
      <c r="P339" s="3">
        <v>2015</v>
      </c>
      <c r="Q339" s="3">
        <v>60.774999999999991</v>
      </c>
    </row>
    <row r="340" spans="1:17" x14ac:dyDescent="0.25">
      <c r="A340" s="9">
        <v>43160</v>
      </c>
      <c r="B340" s="8">
        <v>350.2</v>
      </c>
      <c r="D340" s="4">
        <v>32391</v>
      </c>
      <c r="E340" s="6">
        <v>13.68</v>
      </c>
      <c r="G340" s="4">
        <f t="shared" si="23"/>
        <v>34285</v>
      </c>
      <c r="H340" s="5">
        <f t="shared" si="20"/>
        <v>15.08</v>
      </c>
      <c r="I340" s="5">
        <f t="shared" si="21"/>
        <v>11</v>
      </c>
      <c r="J340" s="5">
        <f t="shared" si="22"/>
        <v>1993</v>
      </c>
      <c r="K340">
        <v>9</v>
      </c>
      <c r="L340">
        <v>2017</v>
      </c>
      <c r="M340">
        <v>55.811999999999998</v>
      </c>
      <c r="O340" s="3">
        <v>7</v>
      </c>
      <c r="P340" s="3">
        <v>2015</v>
      </c>
      <c r="Q340" s="3">
        <v>56.148000000000003</v>
      </c>
    </row>
    <row r="341" spans="1:17" x14ac:dyDescent="0.25">
      <c r="A341" s="9">
        <v>43191</v>
      </c>
      <c r="B341" s="8">
        <v>374.5</v>
      </c>
      <c r="D341" s="4">
        <v>32392</v>
      </c>
      <c r="E341" s="6">
        <v>13.35</v>
      </c>
      <c r="G341" s="4">
        <f t="shared" si="23"/>
        <v>34292</v>
      </c>
      <c r="H341" s="5">
        <f t="shared" si="20"/>
        <v>15.25</v>
      </c>
      <c r="I341" s="5">
        <f t="shared" si="21"/>
        <v>11</v>
      </c>
      <c r="J341" s="5">
        <f t="shared" si="22"/>
        <v>1993</v>
      </c>
      <c r="K341">
        <v>9</v>
      </c>
      <c r="L341">
        <v>2018</v>
      </c>
      <c r="M341">
        <v>78.760000000000005</v>
      </c>
      <c r="O341" s="3">
        <v>8</v>
      </c>
      <c r="P341" s="3">
        <v>2015</v>
      </c>
      <c r="Q341" s="3">
        <v>46.785000000000004</v>
      </c>
    </row>
    <row r="342" spans="1:17" x14ac:dyDescent="0.25">
      <c r="A342" s="9">
        <v>43221</v>
      </c>
      <c r="B342" s="8">
        <v>416.75</v>
      </c>
      <c r="D342" s="4">
        <v>32393</v>
      </c>
      <c r="E342" s="6">
        <v>13.18</v>
      </c>
      <c r="G342" s="4">
        <f t="shared" si="23"/>
        <v>34299</v>
      </c>
      <c r="H342" s="5">
        <f t="shared" si="20"/>
        <v>14.28</v>
      </c>
      <c r="I342" s="5">
        <f t="shared" si="21"/>
        <v>11</v>
      </c>
      <c r="J342" s="5">
        <f t="shared" si="22"/>
        <v>1993</v>
      </c>
      <c r="K342">
        <v>9</v>
      </c>
      <c r="L342">
        <v>2019</v>
      </c>
      <c r="M342">
        <v>62.559999999999995</v>
      </c>
      <c r="O342" s="3">
        <v>9</v>
      </c>
      <c r="P342" s="3">
        <v>2015</v>
      </c>
      <c r="Q342" s="3">
        <v>47.505000000000003</v>
      </c>
    </row>
    <row r="343" spans="1:17" x14ac:dyDescent="0.25">
      <c r="A343" s="9">
        <v>43252</v>
      </c>
      <c r="B343" s="8">
        <v>422.3</v>
      </c>
      <c r="D343" s="4">
        <v>32394</v>
      </c>
      <c r="E343" s="6">
        <v>13.3</v>
      </c>
      <c r="G343" s="4">
        <f t="shared" si="23"/>
        <v>34306</v>
      </c>
      <c r="H343" s="5">
        <f t="shared" si="20"/>
        <v>13.95</v>
      </c>
      <c r="I343" s="5">
        <f t="shared" si="21"/>
        <v>12</v>
      </c>
      <c r="J343" s="5">
        <f t="shared" si="22"/>
        <v>1993</v>
      </c>
      <c r="K343">
        <v>9</v>
      </c>
      <c r="L343">
        <v>2020</v>
      </c>
      <c r="M343">
        <v>40.7425</v>
      </c>
      <c r="O343" s="3">
        <v>10</v>
      </c>
      <c r="P343" s="3">
        <v>2015</v>
      </c>
      <c r="Q343" s="3">
        <v>48.378</v>
      </c>
    </row>
    <row r="344" spans="1:17" x14ac:dyDescent="0.25">
      <c r="A344" s="9">
        <v>43282</v>
      </c>
      <c r="B344" s="8">
        <v>425.75</v>
      </c>
      <c r="D344" s="4">
        <v>32395</v>
      </c>
      <c r="E344" s="6">
        <v>13.25</v>
      </c>
      <c r="G344" s="4">
        <f t="shared" si="23"/>
        <v>34313</v>
      </c>
      <c r="H344" s="5">
        <f t="shared" si="20"/>
        <v>13.8</v>
      </c>
      <c r="I344" s="5">
        <f t="shared" si="21"/>
        <v>12</v>
      </c>
      <c r="J344" s="5">
        <f t="shared" si="22"/>
        <v>1993</v>
      </c>
      <c r="K344">
        <v>9</v>
      </c>
      <c r="L344">
        <v>2021</v>
      </c>
      <c r="M344">
        <v>74.392499999999998</v>
      </c>
      <c r="O344" s="3">
        <v>11</v>
      </c>
      <c r="P344" s="3">
        <v>2015</v>
      </c>
      <c r="Q344" s="3">
        <v>43.407499999999999</v>
      </c>
    </row>
    <row r="345" spans="1:17" x14ac:dyDescent="0.25">
      <c r="A345" s="9">
        <v>43313</v>
      </c>
      <c r="B345" s="8">
        <v>422.2</v>
      </c>
      <c r="D345" s="4">
        <v>32398</v>
      </c>
      <c r="E345" s="6">
        <v>12.7</v>
      </c>
      <c r="G345" s="4">
        <f t="shared" si="23"/>
        <v>34320</v>
      </c>
      <c r="H345" s="5">
        <f t="shared" si="20"/>
        <v>13.85</v>
      </c>
      <c r="I345" s="5">
        <f t="shared" si="21"/>
        <v>12</v>
      </c>
      <c r="J345" s="5">
        <f t="shared" si="22"/>
        <v>1993</v>
      </c>
      <c r="K345">
        <v>9</v>
      </c>
      <c r="L345">
        <v>2022</v>
      </c>
      <c r="M345">
        <v>89.478000000000023</v>
      </c>
      <c r="O345" s="3">
        <v>12</v>
      </c>
      <c r="P345" s="3">
        <v>2015</v>
      </c>
      <c r="Q345" s="3">
        <v>28.797499999999999</v>
      </c>
    </row>
    <row r="346" spans="1:17" x14ac:dyDescent="0.25">
      <c r="A346" s="9">
        <v>43344</v>
      </c>
      <c r="B346" s="8">
        <v>436.625</v>
      </c>
      <c r="D346" s="4">
        <v>32399</v>
      </c>
      <c r="E346" s="6">
        <v>13.4</v>
      </c>
      <c r="G346" s="4">
        <f t="shared" si="23"/>
        <v>34327</v>
      </c>
      <c r="H346" s="5">
        <f t="shared" si="20"/>
        <v>13.38</v>
      </c>
      <c r="I346" s="5">
        <f t="shared" si="21"/>
        <v>12</v>
      </c>
      <c r="J346" s="5">
        <f t="shared" si="22"/>
        <v>1993</v>
      </c>
      <c r="K346">
        <v>9</v>
      </c>
      <c r="L346">
        <v>2023</v>
      </c>
      <c r="M346">
        <v>93.445999999999998</v>
      </c>
      <c r="O346" s="3">
        <v>1</v>
      </c>
      <c r="P346" s="3">
        <v>2016</v>
      </c>
      <c r="Q346" s="3">
        <v>24.814</v>
      </c>
    </row>
    <row r="347" spans="1:17" x14ac:dyDescent="0.25">
      <c r="A347" s="9">
        <v>43374</v>
      </c>
      <c r="B347" s="8">
        <v>466.375</v>
      </c>
      <c r="D347" s="4">
        <v>32400</v>
      </c>
      <c r="E347" s="6">
        <v>13.9</v>
      </c>
      <c r="G347" s="4">
        <f t="shared" si="23"/>
        <v>34334</v>
      </c>
      <c r="H347" s="5">
        <f t="shared" si="20"/>
        <v>13.18</v>
      </c>
      <c r="I347" s="5">
        <f t="shared" si="21"/>
        <v>12</v>
      </c>
      <c r="J347" s="5">
        <f t="shared" si="22"/>
        <v>1993</v>
      </c>
      <c r="K347">
        <v>9</v>
      </c>
      <c r="L347">
        <v>2024</v>
      </c>
      <c r="M347">
        <v>73.522499999999994</v>
      </c>
      <c r="O347" s="3">
        <v>2</v>
      </c>
      <c r="P347" s="3">
        <v>2016</v>
      </c>
      <c r="Q347" s="3">
        <v>32.892499999999998</v>
      </c>
    </row>
    <row r="348" spans="1:17" x14ac:dyDescent="0.25">
      <c r="A348" s="9">
        <v>43405</v>
      </c>
      <c r="B348" s="8">
        <v>413.9</v>
      </c>
      <c r="D348" s="4">
        <v>32401</v>
      </c>
      <c r="E348" s="6">
        <v>13.5</v>
      </c>
      <c r="G348" s="4">
        <f t="shared" si="23"/>
        <v>34341</v>
      </c>
      <c r="H348" s="5">
        <f t="shared" si="20"/>
        <v>14.63</v>
      </c>
      <c r="I348" s="5">
        <f t="shared" si="21"/>
        <v>1</v>
      </c>
      <c r="J348" s="5">
        <f t="shared" si="22"/>
        <v>1994</v>
      </c>
      <c r="K348">
        <v>9</v>
      </c>
      <c r="L348">
        <v>2025</v>
      </c>
      <c r="M348">
        <v>67.747500000000002</v>
      </c>
      <c r="O348" s="3">
        <v>3</v>
      </c>
      <c r="P348" s="3">
        <v>2016</v>
      </c>
      <c r="Q348" s="3">
        <v>29.07</v>
      </c>
    </row>
    <row r="349" spans="1:17" x14ac:dyDescent="0.25">
      <c r="A349" s="9">
        <v>43435</v>
      </c>
      <c r="B349" s="8">
        <v>343.625</v>
      </c>
      <c r="D349" s="4">
        <v>32402</v>
      </c>
      <c r="E349" s="6">
        <v>13.23</v>
      </c>
      <c r="G349" s="4">
        <f t="shared" si="23"/>
        <v>34348</v>
      </c>
      <c r="H349" s="5">
        <f t="shared" si="20"/>
        <v>14.1</v>
      </c>
      <c r="I349" s="5">
        <f t="shared" si="21"/>
        <v>1</v>
      </c>
      <c r="J349" s="5">
        <f t="shared" si="22"/>
        <v>1994</v>
      </c>
      <c r="K349">
        <v>10</v>
      </c>
      <c r="L349">
        <v>1987</v>
      </c>
      <c r="M349">
        <v>18.806000000000001</v>
      </c>
      <c r="O349" s="3">
        <v>4</v>
      </c>
      <c r="P349" s="3">
        <v>2016</v>
      </c>
      <c r="Q349" s="3">
        <v>41.612000000000002</v>
      </c>
    </row>
    <row r="350" spans="1:17" x14ac:dyDescent="0.25">
      <c r="A350" s="9">
        <v>43466</v>
      </c>
      <c r="B350" s="8">
        <v>346.125</v>
      </c>
      <c r="D350" s="4">
        <v>32405</v>
      </c>
      <c r="E350" s="6">
        <v>12.85</v>
      </c>
      <c r="G350" s="4">
        <f t="shared" si="23"/>
        <v>34355</v>
      </c>
      <c r="H350" s="5">
        <f t="shared" si="20"/>
        <v>14.23</v>
      </c>
      <c r="I350" s="5">
        <f t="shared" si="21"/>
        <v>1</v>
      </c>
      <c r="J350" s="5">
        <f t="shared" si="22"/>
        <v>1994</v>
      </c>
      <c r="K350">
        <v>10</v>
      </c>
      <c r="L350">
        <v>1988</v>
      </c>
      <c r="M350">
        <v>12.657500000000001</v>
      </c>
      <c r="O350" s="3">
        <v>5</v>
      </c>
      <c r="P350" s="3">
        <v>2016</v>
      </c>
      <c r="Q350" s="3">
        <v>47.32</v>
      </c>
    </row>
    <row r="351" spans="1:17" x14ac:dyDescent="0.25">
      <c r="A351" s="9">
        <v>43497</v>
      </c>
      <c r="B351" s="8">
        <v>388.25</v>
      </c>
      <c r="D351" s="4">
        <v>32406</v>
      </c>
      <c r="E351" s="6">
        <v>13.15</v>
      </c>
      <c r="G351" s="4">
        <f t="shared" si="23"/>
        <v>34362</v>
      </c>
      <c r="H351" s="5">
        <f t="shared" si="20"/>
        <v>14.65</v>
      </c>
      <c r="I351" s="5">
        <f t="shared" si="21"/>
        <v>1</v>
      </c>
      <c r="J351" s="5">
        <f t="shared" si="22"/>
        <v>1994</v>
      </c>
      <c r="K351">
        <v>10</v>
      </c>
      <c r="L351">
        <v>1989</v>
      </c>
      <c r="M351">
        <v>18.987500000000001</v>
      </c>
      <c r="O351" s="3">
        <v>6</v>
      </c>
      <c r="P351" s="3">
        <v>2016</v>
      </c>
      <c r="Q351" s="3">
        <v>47.865000000000002</v>
      </c>
    </row>
    <row r="352" spans="1:17" x14ac:dyDescent="0.25">
      <c r="A352" s="9">
        <v>43525</v>
      </c>
      <c r="B352" s="8">
        <v>411.3</v>
      </c>
      <c r="D352" s="4">
        <v>32407</v>
      </c>
      <c r="E352" s="6">
        <v>13.05</v>
      </c>
      <c r="G352" s="4">
        <f t="shared" si="23"/>
        <v>34369</v>
      </c>
      <c r="H352" s="5">
        <f t="shared" si="20"/>
        <v>14.93</v>
      </c>
      <c r="I352" s="5">
        <f t="shared" si="21"/>
        <v>2</v>
      </c>
      <c r="J352" s="5">
        <f t="shared" si="22"/>
        <v>1994</v>
      </c>
      <c r="K352">
        <v>10</v>
      </c>
      <c r="L352">
        <v>1990</v>
      </c>
      <c r="M352">
        <v>36.47</v>
      </c>
      <c r="O352" s="3">
        <v>7</v>
      </c>
      <c r="P352" s="3">
        <v>2016</v>
      </c>
      <c r="Q352" s="3">
        <v>44.686</v>
      </c>
    </row>
    <row r="353" spans="1:17" x14ac:dyDescent="0.25">
      <c r="A353" s="9">
        <v>43556</v>
      </c>
      <c r="B353" s="8">
        <v>423.875</v>
      </c>
      <c r="D353" s="4">
        <v>32408</v>
      </c>
      <c r="E353" s="6">
        <v>13.2</v>
      </c>
      <c r="G353" s="4">
        <f t="shared" si="23"/>
        <v>34376</v>
      </c>
      <c r="H353" s="5">
        <f t="shared" si="20"/>
        <v>13.7</v>
      </c>
      <c r="I353" s="5">
        <f t="shared" si="21"/>
        <v>2</v>
      </c>
      <c r="J353" s="5">
        <f t="shared" si="22"/>
        <v>1994</v>
      </c>
      <c r="K353">
        <v>10</v>
      </c>
      <c r="L353">
        <v>1991</v>
      </c>
      <c r="M353">
        <v>22.314999999999998</v>
      </c>
      <c r="O353" s="3">
        <v>8</v>
      </c>
      <c r="P353" s="3">
        <v>2016</v>
      </c>
      <c r="Q353" s="3">
        <v>46.660000000000004</v>
      </c>
    </row>
    <row r="354" spans="1:17" x14ac:dyDescent="0.25">
      <c r="A354" s="9">
        <v>43586</v>
      </c>
      <c r="B354" s="8">
        <v>402.7</v>
      </c>
      <c r="D354" s="4">
        <v>32409</v>
      </c>
      <c r="E354" s="6">
        <v>13.2</v>
      </c>
      <c r="G354" s="4">
        <f t="shared" si="23"/>
        <v>34383</v>
      </c>
      <c r="H354" s="5">
        <f t="shared" si="20"/>
        <v>13</v>
      </c>
      <c r="I354" s="5">
        <f t="shared" si="21"/>
        <v>2</v>
      </c>
      <c r="J354" s="5">
        <f t="shared" si="22"/>
        <v>1994</v>
      </c>
      <c r="K354">
        <v>10</v>
      </c>
      <c r="L354">
        <v>1992</v>
      </c>
      <c r="M354">
        <v>20.163999999999998</v>
      </c>
      <c r="O354" s="3">
        <v>9</v>
      </c>
      <c r="P354" s="3">
        <v>2016</v>
      </c>
      <c r="Q354" s="3">
        <v>46.908000000000001</v>
      </c>
    </row>
    <row r="355" spans="1:17" x14ac:dyDescent="0.25">
      <c r="A355" s="9">
        <v>43617</v>
      </c>
      <c r="B355" s="8">
        <v>366</v>
      </c>
      <c r="D355" s="4">
        <v>32412</v>
      </c>
      <c r="E355" s="6">
        <v>13.1</v>
      </c>
      <c r="G355" s="4">
        <f t="shared" si="23"/>
        <v>34390</v>
      </c>
      <c r="H355" s="5">
        <f t="shared" si="20"/>
        <v>13.33</v>
      </c>
      <c r="I355" s="5">
        <f t="shared" si="21"/>
        <v>2</v>
      </c>
      <c r="J355" s="5">
        <f t="shared" si="22"/>
        <v>1994</v>
      </c>
      <c r="K355">
        <v>10</v>
      </c>
      <c r="L355">
        <v>1993</v>
      </c>
      <c r="M355">
        <v>16.534000000000002</v>
      </c>
      <c r="O355" s="3">
        <v>10</v>
      </c>
      <c r="P355" s="3">
        <v>2016</v>
      </c>
      <c r="Q355" s="3">
        <v>49.354999999999997</v>
      </c>
    </row>
    <row r="356" spans="1:17" x14ac:dyDescent="0.25">
      <c r="A356" s="9">
        <v>43647</v>
      </c>
      <c r="B356" s="8">
        <v>389.125</v>
      </c>
      <c r="D356" s="4">
        <v>32413</v>
      </c>
      <c r="E356" s="6">
        <v>12.58</v>
      </c>
      <c r="G356" s="4">
        <f t="shared" si="23"/>
        <v>34397</v>
      </c>
      <c r="H356" s="5">
        <f t="shared" si="20"/>
        <v>13.43</v>
      </c>
      <c r="I356" s="5">
        <f t="shared" si="21"/>
        <v>3</v>
      </c>
      <c r="J356" s="5">
        <f t="shared" si="22"/>
        <v>1994</v>
      </c>
      <c r="K356">
        <v>10</v>
      </c>
      <c r="L356">
        <v>1994</v>
      </c>
      <c r="M356">
        <v>16.509999999999998</v>
      </c>
      <c r="O356" s="3">
        <v>11</v>
      </c>
      <c r="P356" s="3">
        <v>2016</v>
      </c>
      <c r="Q356" s="3">
        <v>43.849999999999994</v>
      </c>
    </row>
    <row r="357" spans="1:17" x14ac:dyDescent="0.25">
      <c r="A357" s="9">
        <v>43678</v>
      </c>
      <c r="B357" s="8">
        <v>311.2</v>
      </c>
      <c r="D357" s="4">
        <v>32414</v>
      </c>
      <c r="E357" s="6">
        <v>12.75</v>
      </c>
      <c r="G357" s="4">
        <f t="shared" si="23"/>
        <v>34404</v>
      </c>
      <c r="H357" s="5">
        <f t="shared" si="20"/>
        <v>13.7</v>
      </c>
      <c r="I357" s="5">
        <f t="shared" si="21"/>
        <v>3</v>
      </c>
      <c r="J357" s="5">
        <f t="shared" si="22"/>
        <v>1994</v>
      </c>
      <c r="K357">
        <v>10</v>
      </c>
      <c r="L357">
        <v>1995</v>
      </c>
      <c r="M357">
        <v>15.97</v>
      </c>
      <c r="O357" s="3">
        <v>12</v>
      </c>
      <c r="P357" s="3">
        <v>2016</v>
      </c>
      <c r="Q357" s="3">
        <v>53.515999999999998</v>
      </c>
    </row>
    <row r="358" spans="1:17" x14ac:dyDescent="0.25">
      <c r="A358" s="9">
        <v>43709</v>
      </c>
      <c r="B358" s="8">
        <v>338.25</v>
      </c>
      <c r="D358" s="4">
        <v>32415</v>
      </c>
      <c r="E358" s="6">
        <v>12.5</v>
      </c>
      <c r="G358" s="4">
        <f t="shared" si="23"/>
        <v>34411</v>
      </c>
      <c r="H358" s="5">
        <f t="shared" si="20"/>
        <v>14.05</v>
      </c>
      <c r="I358" s="5">
        <f t="shared" si="21"/>
        <v>3</v>
      </c>
      <c r="J358" s="5">
        <f t="shared" si="22"/>
        <v>1994</v>
      </c>
      <c r="K358">
        <v>10</v>
      </c>
      <c r="L358">
        <v>1996</v>
      </c>
      <c r="M358">
        <v>24.259999999999998</v>
      </c>
      <c r="O358" s="3">
        <v>1</v>
      </c>
      <c r="P358" s="3">
        <v>2017</v>
      </c>
      <c r="Q358" s="3">
        <v>55.027500000000003</v>
      </c>
    </row>
    <row r="359" spans="1:17" x14ac:dyDescent="0.25">
      <c r="A359" s="9">
        <v>43739</v>
      </c>
      <c r="B359" s="8">
        <v>287</v>
      </c>
      <c r="D359" s="4">
        <v>32416</v>
      </c>
      <c r="E359" s="6">
        <v>11.93</v>
      </c>
      <c r="G359" s="4">
        <f t="shared" si="23"/>
        <v>34418</v>
      </c>
      <c r="H359" s="5">
        <f t="shared" si="20"/>
        <v>14.58</v>
      </c>
      <c r="I359" s="5">
        <f t="shared" si="21"/>
        <v>3</v>
      </c>
      <c r="J359" s="5">
        <f t="shared" si="22"/>
        <v>1994</v>
      </c>
      <c r="K359">
        <v>10</v>
      </c>
      <c r="L359">
        <v>1997</v>
      </c>
      <c r="M359">
        <v>20.064</v>
      </c>
      <c r="O359" s="3">
        <v>2</v>
      </c>
      <c r="P359" s="3">
        <v>2017</v>
      </c>
      <c r="Q359" s="3">
        <v>55.072499999999998</v>
      </c>
    </row>
    <row r="360" spans="1:17" x14ac:dyDescent="0.25">
      <c r="A360" s="9">
        <v>43770</v>
      </c>
      <c r="B360" s="8">
        <v>258.35000000000002</v>
      </c>
      <c r="D360" s="4">
        <v>32419</v>
      </c>
      <c r="E360" s="6">
        <v>11.6</v>
      </c>
      <c r="G360" s="4">
        <f t="shared" si="23"/>
        <v>34425</v>
      </c>
      <c r="H360" s="5">
        <f t="shared" si="20"/>
        <v>0</v>
      </c>
      <c r="I360" s="5">
        <f t="shared" si="21"/>
        <v>4</v>
      </c>
      <c r="J360" s="5">
        <f t="shared" si="22"/>
        <v>1994</v>
      </c>
      <c r="K360">
        <v>10</v>
      </c>
      <c r="L360">
        <v>1998</v>
      </c>
      <c r="M360">
        <v>12.673999999999999</v>
      </c>
      <c r="O360" s="3">
        <v>3</v>
      </c>
      <c r="P360" s="3">
        <v>2017</v>
      </c>
      <c r="Q360" s="3">
        <v>51.5</v>
      </c>
    </row>
    <row r="361" spans="1:17" x14ac:dyDescent="0.25">
      <c r="A361" s="9">
        <v>43800</v>
      </c>
      <c r="B361" s="8">
        <v>267.5</v>
      </c>
      <c r="D361" s="4">
        <v>32420</v>
      </c>
      <c r="E361" s="6">
        <v>11.65</v>
      </c>
      <c r="G361" s="4">
        <f t="shared" si="23"/>
        <v>34432</v>
      </c>
      <c r="H361" s="5">
        <f t="shared" si="20"/>
        <v>14.3</v>
      </c>
      <c r="I361" s="5">
        <f t="shared" si="21"/>
        <v>4</v>
      </c>
      <c r="J361" s="5">
        <f t="shared" si="22"/>
        <v>1994</v>
      </c>
      <c r="K361">
        <v>10</v>
      </c>
      <c r="L361">
        <v>1999</v>
      </c>
      <c r="M361">
        <v>21.779999999999998</v>
      </c>
      <c r="O361" s="3">
        <v>4</v>
      </c>
      <c r="P361" s="3">
        <v>2017</v>
      </c>
      <c r="Q361" s="3">
        <v>38.407499999999999</v>
      </c>
    </row>
    <row r="362" spans="1:17" x14ac:dyDescent="0.25">
      <c r="A362" s="9">
        <v>43831</v>
      </c>
      <c r="B362" s="8">
        <v>296.05</v>
      </c>
      <c r="D362" s="4">
        <v>32421</v>
      </c>
      <c r="E362" s="6">
        <v>11.2</v>
      </c>
      <c r="G362" s="4">
        <f t="shared" si="23"/>
        <v>34439</v>
      </c>
      <c r="H362" s="5">
        <f t="shared" si="20"/>
        <v>15.23</v>
      </c>
      <c r="I362" s="5">
        <f t="shared" si="21"/>
        <v>4</v>
      </c>
      <c r="J362" s="5">
        <f t="shared" si="22"/>
        <v>1994</v>
      </c>
      <c r="K362">
        <v>10</v>
      </c>
      <c r="L362">
        <v>2000</v>
      </c>
      <c r="M362">
        <v>31.147500000000001</v>
      </c>
      <c r="O362" s="3">
        <v>5</v>
      </c>
      <c r="P362" s="3">
        <v>2017</v>
      </c>
      <c r="Q362" s="3">
        <v>50.037500000000001</v>
      </c>
    </row>
    <row r="363" spans="1:17" x14ac:dyDescent="0.25">
      <c r="A363" s="9">
        <v>43862</v>
      </c>
      <c r="B363" s="8">
        <v>293.75</v>
      </c>
      <c r="D363" s="4">
        <v>32422</v>
      </c>
      <c r="E363" s="6">
        <v>11.3</v>
      </c>
      <c r="G363" s="4">
        <f t="shared" si="23"/>
        <v>34446</v>
      </c>
      <c r="H363" s="5">
        <f t="shared" si="20"/>
        <v>16.28</v>
      </c>
      <c r="I363" s="5">
        <f t="shared" si="21"/>
        <v>4</v>
      </c>
      <c r="J363" s="5">
        <f t="shared" si="22"/>
        <v>1994</v>
      </c>
      <c r="K363">
        <v>10</v>
      </c>
      <c r="L363">
        <v>2001</v>
      </c>
      <c r="M363">
        <v>20.5625</v>
      </c>
      <c r="O363" s="3">
        <v>6</v>
      </c>
      <c r="P363" s="3">
        <v>2017</v>
      </c>
      <c r="Q363" s="3">
        <v>46.403999999999996</v>
      </c>
    </row>
    <row r="364" spans="1:17" x14ac:dyDescent="0.25">
      <c r="A364" s="9">
        <v>43891</v>
      </c>
      <c r="B364" s="8">
        <v>205.75</v>
      </c>
      <c r="D364" s="4">
        <v>32423</v>
      </c>
      <c r="E364" s="6">
        <v>11.35</v>
      </c>
      <c r="G364" s="4">
        <f t="shared" si="23"/>
        <v>34453</v>
      </c>
      <c r="H364" s="5">
        <f t="shared" si="20"/>
        <v>15.35</v>
      </c>
      <c r="I364" s="5">
        <f t="shared" si="21"/>
        <v>4</v>
      </c>
      <c r="J364" s="5">
        <f t="shared" si="22"/>
        <v>1994</v>
      </c>
      <c r="K364">
        <v>10</v>
      </c>
      <c r="L364">
        <v>2002</v>
      </c>
      <c r="M364">
        <v>27.664999999999999</v>
      </c>
      <c r="O364" s="3">
        <v>7</v>
      </c>
      <c r="P364" s="3">
        <v>2017</v>
      </c>
      <c r="Q364" s="3">
        <v>48.457499999999996</v>
      </c>
    </row>
    <row r="365" spans="1:17" x14ac:dyDescent="0.25">
      <c r="A365" s="9">
        <v>43922</v>
      </c>
      <c r="B365" s="8">
        <v>158.5</v>
      </c>
      <c r="D365" s="4">
        <v>32426</v>
      </c>
      <c r="E365" s="6">
        <v>12.2</v>
      </c>
      <c r="G365" s="4">
        <f t="shared" si="23"/>
        <v>34460</v>
      </c>
      <c r="H365" s="5">
        <f t="shared" si="20"/>
        <v>16.25</v>
      </c>
      <c r="I365" s="5">
        <f t="shared" si="21"/>
        <v>5</v>
      </c>
      <c r="J365" s="5">
        <f t="shared" si="22"/>
        <v>1994</v>
      </c>
      <c r="K365">
        <v>10</v>
      </c>
      <c r="L365">
        <v>2003</v>
      </c>
      <c r="M365">
        <v>29.686</v>
      </c>
      <c r="O365" s="3">
        <v>8</v>
      </c>
      <c r="P365" s="3">
        <v>2017</v>
      </c>
      <c r="Q365" s="3">
        <v>51.695</v>
      </c>
    </row>
    <row r="366" spans="1:17" x14ac:dyDescent="0.25">
      <c r="A366" s="9">
        <v>43952</v>
      </c>
      <c r="B366" s="8">
        <v>164.3</v>
      </c>
      <c r="D366" s="4">
        <v>32427</v>
      </c>
      <c r="E366" s="6">
        <v>12.35</v>
      </c>
      <c r="G366" s="4">
        <f t="shared" si="23"/>
        <v>34467</v>
      </c>
      <c r="H366" s="5">
        <f t="shared" si="20"/>
        <v>16.5</v>
      </c>
      <c r="I366" s="5">
        <f t="shared" si="21"/>
        <v>5</v>
      </c>
      <c r="J366" s="5">
        <f t="shared" si="22"/>
        <v>1994</v>
      </c>
      <c r="K366">
        <v>10</v>
      </c>
      <c r="L366">
        <v>2004</v>
      </c>
      <c r="M366">
        <v>49.545999999999999</v>
      </c>
      <c r="O366" s="3">
        <v>9</v>
      </c>
      <c r="P366" s="3">
        <v>2017</v>
      </c>
      <c r="Q366" s="3">
        <v>55.811999999999998</v>
      </c>
    </row>
    <row r="367" spans="1:17" x14ac:dyDescent="0.25">
      <c r="A367" s="9">
        <v>43983</v>
      </c>
      <c r="B367" s="8">
        <v>236.125</v>
      </c>
      <c r="D367" s="4">
        <v>32428</v>
      </c>
      <c r="E367" s="6">
        <v>12.45</v>
      </c>
      <c r="G367" s="4">
        <f t="shared" si="23"/>
        <v>34474</v>
      </c>
      <c r="H367" s="5">
        <f t="shared" si="20"/>
        <v>16.23</v>
      </c>
      <c r="I367" s="5">
        <f t="shared" si="21"/>
        <v>5</v>
      </c>
      <c r="J367" s="5">
        <f t="shared" si="22"/>
        <v>1994</v>
      </c>
      <c r="K367">
        <v>10</v>
      </c>
      <c r="L367">
        <v>2005</v>
      </c>
      <c r="M367">
        <v>58.037500000000001</v>
      </c>
      <c r="O367" s="3">
        <v>10</v>
      </c>
      <c r="P367" s="3">
        <v>2017</v>
      </c>
      <c r="Q367" s="3">
        <v>57.6</v>
      </c>
    </row>
    <row r="368" spans="1:17" x14ac:dyDescent="0.25">
      <c r="A368" s="9">
        <v>44013</v>
      </c>
      <c r="B368" s="8">
        <v>255.05</v>
      </c>
      <c r="D368" s="4">
        <v>32429</v>
      </c>
      <c r="E368" s="6">
        <v>12.55</v>
      </c>
      <c r="G368" s="4">
        <f t="shared" si="23"/>
        <v>34481</v>
      </c>
      <c r="H368" s="5">
        <f t="shared" si="20"/>
        <v>16.079999999999998</v>
      </c>
      <c r="I368" s="5">
        <f t="shared" si="21"/>
        <v>5</v>
      </c>
      <c r="J368" s="5">
        <f t="shared" si="22"/>
        <v>1994</v>
      </c>
      <c r="K368">
        <v>10</v>
      </c>
      <c r="L368">
        <v>2006</v>
      </c>
      <c r="M368">
        <v>57.95</v>
      </c>
      <c r="O368" s="3">
        <v>11</v>
      </c>
      <c r="P368" s="3">
        <v>2017</v>
      </c>
      <c r="Q368" s="3">
        <v>62.672499999999999</v>
      </c>
    </row>
    <row r="369" spans="1:17" x14ac:dyDescent="0.25">
      <c r="A369" s="9">
        <v>44044</v>
      </c>
      <c r="B369" s="8">
        <v>270.4375</v>
      </c>
      <c r="D369" s="4">
        <v>32430</v>
      </c>
      <c r="E369" s="6">
        <v>13.2</v>
      </c>
      <c r="G369" s="4">
        <f t="shared" si="23"/>
        <v>34488</v>
      </c>
      <c r="H369" s="5">
        <f t="shared" si="20"/>
        <v>16.13</v>
      </c>
      <c r="I369" s="5">
        <f t="shared" si="21"/>
        <v>6</v>
      </c>
      <c r="J369" s="5">
        <f t="shared" si="22"/>
        <v>1994</v>
      </c>
      <c r="K369">
        <v>10</v>
      </c>
      <c r="L369">
        <v>2007</v>
      </c>
      <c r="M369">
        <v>82.207499999999996</v>
      </c>
      <c r="O369" s="3">
        <v>12</v>
      </c>
      <c r="P369" s="3">
        <v>2017</v>
      </c>
      <c r="Q369" s="3">
        <v>64.716000000000008</v>
      </c>
    </row>
    <row r="370" spans="1:17" x14ac:dyDescent="0.25">
      <c r="A370" s="9">
        <v>44075</v>
      </c>
      <c r="B370" s="8">
        <v>255.5</v>
      </c>
      <c r="D370" s="4">
        <v>32433</v>
      </c>
      <c r="E370" s="6">
        <v>13.55</v>
      </c>
      <c r="G370" s="4">
        <f t="shared" si="23"/>
        <v>34495</v>
      </c>
      <c r="H370" s="5">
        <f t="shared" si="20"/>
        <v>16.38</v>
      </c>
      <c r="I370" s="5">
        <f t="shared" si="21"/>
        <v>6</v>
      </c>
      <c r="J370" s="5">
        <f t="shared" si="22"/>
        <v>1994</v>
      </c>
      <c r="K370">
        <v>10</v>
      </c>
      <c r="L370">
        <v>2008</v>
      </c>
      <c r="M370">
        <v>70.03</v>
      </c>
      <c r="O370" s="3">
        <v>1</v>
      </c>
      <c r="P370" s="3">
        <v>2018</v>
      </c>
      <c r="Q370" s="3">
        <v>69.072500000000005</v>
      </c>
    </row>
    <row r="371" spans="1:17" x14ac:dyDescent="0.25">
      <c r="A371" s="9">
        <v>44105</v>
      </c>
      <c r="B371" s="8">
        <v>253.1</v>
      </c>
      <c r="D371" s="4">
        <v>32434</v>
      </c>
      <c r="E371" s="6">
        <v>12.9</v>
      </c>
      <c r="G371" s="4">
        <f t="shared" si="23"/>
        <v>34502</v>
      </c>
      <c r="H371" s="5">
        <f t="shared" si="20"/>
        <v>17.13</v>
      </c>
      <c r="I371" s="5">
        <f t="shared" si="21"/>
        <v>6</v>
      </c>
      <c r="J371" s="5">
        <f t="shared" si="22"/>
        <v>1994</v>
      </c>
      <c r="K371">
        <v>10</v>
      </c>
      <c r="L371">
        <v>2009</v>
      </c>
      <c r="M371">
        <v>72.631999999999991</v>
      </c>
      <c r="O371" s="3">
        <v>2</v>
      </c>
      <c r="P371" s="3">
        <v>2018</v>
      </c>
      <c r="Q371" s="3">
        <v>65.45750000000001</v>
      </c>
    </row>
    <row r="372" spans="1:17" x14ac:dyDescent="0.25">
      <c r="A372" s="9">
        <v>44136</v>
      </c>
      <c r="B372" s="8">
        <v>276.4375</v>
      </c>
      <c r="D372" s="4">
        <v>32435</v>
      </c>
      <c r="E372" s="6">
        <v>13.35</v>
      </c>
      <c r="G372" s="4">
        <f t="shared" si="23"/>
        <v>34509</v>
      </c>
      <c r="H372" s="5">
        <f t="shared" si="20"/>
        <v>17.399999999999999</v>
      </c>
      <c r="I372" s="5">
        <f t="shared" si="21"/>
        <v>6</v>
      </c>
      <c r="J372" s="5">
        <f t="shared" si="22"/>
        <v>1994</v>
      </c>
      <c r="K372">
        <v>10</v>
      </c>
      <c r="L372">
        <v>2010</v>
      </c>
      <c r="M372">
        <v>82.346000000000004</v>
      </c>
      <c r="O372" s="3">
        <v>3</v>
      </c>
      <c r="P372" s="3">
        <v>2018</v>
      </c>
      <c r="Q372" s="3">
        <v>52.631999999999991</v>
      </c>
    </row>
    <row r="373" spans="1:17" x14ac:dyDescent="0.25">
      <c r="A373" s="9">
        <v>44166</v>
      </c>
      <c r="B373" s="8">
        <v>294.875</v>
      </c>
      <c r="D373" s="4">
        <v>32436</v>
      </c>
      <c r="E373" s="6">
        <v>13.5</v>
      </c>
      <c r="G373" s="4">
        <f t="shared" si="23"/>
        <v>34516</v>
      </c>
      <c r="H373" s="5">
        <f t="shared" si="20"/>
        <v>17.649999999999999</v>
      </c>
      <c r="I373" s="5">
        <f t="shared" si="21"/>
        <v>7</v>
      </c>
      <c r="J373" s="5">
        <f t="shared" si="22"/>
        <v>1994</v>
      </c>
      <c r="K373">
        <v>10</v>
      </c>
      <c r="L373">
        <v>2011</v>
      </c>
      <c r="M373">
        <v>110.625</v>
      </c>
      <c r="O373" s="3">
        <v>4</v>
      </c>
      <c r="P373" s="3">
        <v>2018</v>
      </c>
      <c r="Q373" s="3">
        <v>72.41</v>
      </c>
    </row>
    <row r="374" spans="1:17" x14ac:dyDescent="0.25">
      <c r="A374" s="9">
        <v>44197</v>
      </c>
      <c r="B374" s="8">
        <v>323.60000000000002</v>
      </c>
      <c r="D374" s="4">
        <v>32437</v>
      </c>
      <c r="E374" s="6">
        <v>13.48</v>
      </c>
      <c r="G374" s="4">
        <f t="shared" si="23"/>
        <v>34523</v>
      </c>
      <c r="H374" s="5">
        <f t="shared" si="20"/>
        <v>17</v>
      </c>
      <c r="I374" s="5">
        <f t="shared" si="21"/>
        <v>7</v>
      </c>
      <c r="J374" s="5">
        <f t="shared" si="22"/>
        <v>1994</v>
      </c>
      <c r="K374">
        <v>10</v>
      </c>
      <c r="L374">
        <v>2012</v>
      </c>
      <c r="M374">
        <v>112.0325</v>
      </c>
      <c r="O374" s="3">
        <v>5</v>
      </c>
      <c r="P374" s="3">
        <v>2018</v>
      </c>
      <c r="Q374" s="3">
        <v>76.775000000000006</v>
      </c>
    </row>
    <row r="375" spans="1:17" x14ac:dyDescent="0.25">
      <c r="A375" s="9">
        <v>44228</v>
      </c>
      <c r="B375" s="8">
        <v>361.375</v>
      </c>
      <c r="D375" s="4">
        <v>32440</v>
      </c>
      <c r="E375" s="6">
        <v>12.2</v>
      </c>
      <c r="G375" s="4">
        <f t="shared" si="23"/>
        <v>34530</v>
      </c>
      <c r="H375" s="5">
        <f t="shared" si="20"/>
        <v>18.149999999999999</v>
      </c>
      <c r="I375" s="5">
        <f t="shared" si="21"/>
        <v>7</v>
      </c>
      <c r="J375" s="5">
        <f t="shared" si="22"/>
        <v>1994</v>
      </c>
      <c r="K375">
        <v>10</v>
      </c>
      <c r="L375">
        <v>2013</v>
      </c>
      <c r="M375">
        <v>108.7925</v>
      </c>
      <c r="O375" s="3">
        <v>6</v>
      </c>
      <c r="P375" s="3">
        <v>2018</v>
      </c>
      <c r="Q375" s="3">
        <v>74.556000000000012</v>
      </c>
    </row>
    <row r="376" spans="1:17" x14ac:dyDescent="0.25">
      <c r="A376" s="9">
        <v>44256</v>
      </c>
      <c r="B376" s="8">
        <v>382.875</v>
      </c>
      <c r="D376" s="4">
        <v>32441</v>
      </c>
      <c r="E376" s="6">
        <v>12.08</v>
      </c>
      <c r="G376" s="4">
        <f t="shared" si="23"/>
        <v>34537</v>
      </c>
      <c r="H376" s="5">
        <f t="shared" si="20"/>
        <v>17.579999999999998</v>
      </c>
      <c r="I376" s="5">
        <f t="shared" si="21"/>
        <v>7</v>
      </c>
      <c r="J376" s="5">
        <f t="shared" si="22"/>
        <v>1994</v>
      </c>
      <c r="K376">
        <v>10</v>
      </c>
      <c r="L376">
        <v>2014</v>
      </c>
      <c r="M376">
        <v>86.97999999999999</v>
      </c>
      <c r="O376" s="3">
        <v>7</v>
      </c>
      <c r="P376" s="3">
        <v>2018</v>
      </c>
      <c r="Q376" s="3">
        <v>73.97999999999999</v>
      </c>
    </row>
    <row r="377" spans="1:17" x14ac:dyDescent="0.25">
      <c r="A377" s="9">
        <v>44287</v>
      </c>
      <c r="B377" s="8">
        <v>370.3</v>
      </c>
      <c r="D377" s="4">
        <v>32442</v>
      </c>
      <c r="E377" s="6">
        <v>12.08</v>
      </c>
      <c r="G377" s="4">
        <f t="shared" si="23"/>
        <v>34544</v>
      </c>
      <c r="H377" s="5">
        <f t="shared" si="20"/>
        <v>18.48</v>
      </c>
      <c r="I377" s="5">
        <f t="shared" si="21"/>
        <v>7</v>
      </c>
      <c r="J377" s="5">
        <f t="shared" si="22"/>
        <v>1994</v>
      </c>
      <c r="K377">
        <v>10</v>
      </c>
      <c r="L377">
        <v>2015</v>
      </c>
      <c r="M377">
        <v>48.378</v>
      </c>
      <c r="O377" s="3">
        <v>8</v>
      </c>
      <c r="P377" s="3">
        <v>2018</v>
      </c>
      <c r="Q377" s="3">
        <v>72.994</v>
      </c>
    </row>
    <row r="378" spans="1:17" x14ac:dyDescent="0.25">
      <c r="A378" s="9">
        <v>44317</v>
      </c>
      <c r="B378" s="8">
        <v>378.8125</v>
      </c>
      <c r="D378" s="4">
        <v>32443</v>
      </c>
      <c r="E378" s="6">
        <v>12.33</v>
      </c>
      <c r="G378" s="4">
        <f t="shared" si="23"/>
        <v>34551</v>
      </c>
      <c r="H378" s="5">
        <f t="shared" si="20"/>
        <v>17.78</v>
      </c>
      <c r="I378" s="5">
        <f t="shared" si="21"/>
        <v>8</v>
      </c>
      <c r="J378" s="5">
        <f t="shared" si="22"/>
        <v>1994</v>
      </c>
      <c r="K378">
        <v>10</v>
      </c>
      <c r="L378">
        <v>2016</v>
      </c>
      <c r="M378">
        <v>49.354999999999997</v>
      </c>
      <c r="O378" s="3">
        <v>9</v>
      </c>
      <c r="P378" s="3">
        <v>2018</v>
      </c>
      <c r="Q378" s="3">
        <v>78.760000000000005</v>
      </c>
    </row>
    <row r="379" spans="1:17" x14ac:dyDescent="0.25">
      <c r="A379" s="9">
        <v>44348</v>
      </c>
      <c r="B379" s="8">
        <v>402.9375</v>
      </c>
      <c r="D379" s="4">
        <v>32444</v>
      </c>
      <c r="E379" s="6">
        <v>12.6</v>
      </c>
      <c r="G379" s="4">
        <f t="shared" si="23"/>
        <v>34558</v>
      </c>
      <c r="H379" s="5">
        <f t="shared" si="20"/>
        <v>17.100000000000001</v>
      </c>
      <c r="I379" s="5">
        <f t="shared" si="21"/>
        <v>8</v>
      </c>
      <c r="J379" s="5">
        <f t="shared" si="22"/>
        <v>1994</v>
      </c>
      <c r="K379">
        <v>10</v>
      </c>
      <c r="L379">
        <v>2017</v>
      </c>
      <c r="M379">
        <v>57.6</v>
      </c>
      <c r="O379" s="3">
        <v>10</v>
      </c>
      <c r="P379" s="3">
        <v>2018</v>
      </c>
      <c r="Q379" s="3">
        <v>80.902500000000003</v>
      </c>
    </row>
    <row r="380" spans="1:17" x14ac:dyDescent="0.25">
      <c r="A380" s="9">
        <v>44378</v>
      </c>
      <c r="B380" s="8">
        <v>408.2</v>
      </c>
      <c r="D380" s="4">
        <v>32447</v>
      </c>
      <c r="E380" s="6">
        <v>12.6</v>
      </c>
      <c r="G380" s="4">
        <f t="shared" si="23"/>
        <v>34565</v>
      </c>
      <c r="H380" s="5">
        <f t="shared" si="20"/>
        <v>16.13</v>
      </c>
      <c r="I380" s="5">
        <f t="shared" si="21"/>
        <v>8</v>
      </c>
      <c r="J380" s="5">
        <f t="shared" si="22"/>
        <v>1994</v>
      </c>
      <c r="K380">
        <v>10</v>
      </c>
      <c r="L380">
        <v>2018</v>
      </c>
      <c r="M380">
        <v>80.902500000000003</v>
      </c>
      <c r="O380" s="3">
        <v>11</v>
      </c>
      <c r="P380" s="3">
        <v>2018</v>
      </c>
      <c r="Q380" s="3">
        <v>64.162000000000006</v>
      </c>
    </row>
    <row r="381" spans="1:17" x14ac:dyDescent="0.25">
      <c r="A381" s="9">
        <v>44409</v>
      </c>
      <c r="B381" s="8">
        <v>394.3125</v>
      </c>
      <c r="D381" s="4">
        <v>32448</v>
      </c>
      <c r="E381" s="6">
        <v>12.18</v>
      </c>
      <c r="G381" s="4">
        <f t="shared" si="23"/>
        <v>34572</v>
      </c>
      <c r="H381" s="5">
        <f t="shared" si="20"/>
        <v>15.85</v>
      </c>
      <c r="I381" s="5">
        <f t="shared" si="21"/>
        <v>8</v>
      </c>
      <c r="J381" s="5">
        <f t="shared" si="22"/>
        <v>1994</v>
      </c>
      <c r="K381">
        <v>10</v>
      </c>
      <c r="L381">
        <v>2019</v>
      </c>
      <c r="M381">
        <v>60.435000000000002</v>
      </c>
      <c r="O381" s="3">
        <v>12</v>
      </c>
      <c r="P381" s="3">
        <v>2018</v>
      </c>
      <c r="Q381" s="3">
        <v>55.692500000000003</v>
      </c>
    </row>
    <row r="382" spans="1:17" x14ac:dyDescent="0.25">
      <c r="A382" s="9">
        <v>44440</v>
      </c>
      <c r="B382" s="8">
        <v>411.5625</v>
      </c>
      <c r="D382" s="4">
        <v>32449</v>
      </c>
      <c r="E382" s="6">
        <v>12.35</v>
      </c>
      <c r="G382" s="4">
        <f t="shared" si="23"/>
        <v>34579</v>
      </c>
      <c r="H382" s="5">
        <f t="shared" si="20"/>
        <v>15.88</v>
      </c>
      <c r="I382" s="5">
        <f t="shared" si="21"/>
        <v>9</v>
      </c>
      <c r="J382" s="5">
        <f t="shared" si="22"/>
        <v>1994</v>
      </c>
      <c r="K382">
        <v>10</v>
      </c>
      <c r="L382">
        <v>2020</v>
      </c>
      <c r="M382">
        <v>39.601999999999997</v>
      </c>
      <c r="O382" s="3">
        <v>1</v>
      </c>
      <c r="P382" s="3">
        <v>2019</v>
      </c>
      <c r="Q382" s="3">
        <v>59.602499999999999</v>
      </c>
    </row>
    <row r="383" spans="1:17" x14ac:dyDescent="0.25">
      <c r="A383" s="9">
        <v>44470</v>
      </c>
      <c r="B383" s="8">
        <v>467.6</v>
      </c>
      <c r="D383" s="4">
        <v>32450</v>
      </c>
      <c r="E383" s="6">
        <v>12.5</v>
      </c>
      <c r="G383" s="4">
        <f t="shared" si="23"/>
        <v>34586</v>
      </c>
      <c r="H383" s="5">
        <f t="shared" si="20"/>
        <v>15.93</v>
      </c>
      <c r="I383" s="5">
        <f t="shared" si="21"/>
        <v>9</v>
      </c>
      <c r="J383" s="5">
        <f t="shared" si="22"/>
        <v>1994</v>
      </c>
      <c r="K383">
        <v>10</v>
      </c>
      <c r="L383">
        <v>2021</v>
      </c>
      <c r="M383">
        <v>82.953999999999994</v>
      </c>
      <c r="O383" s="3">
        <v>2</v>
      </c>
      <c r="P383" s="3">
        <v>2019</v>
      </c>
      <c r="Q383" s="3">
        <v>63.947499999999998</v>
      </c>
    </row>
    <row r="384" spans="1:17" x14ac:dyDescent="0.25">
      <c r="A384" s="9">
        <v>44501</v>
      </c>
      <c r="B384" s="8">
        <v>436.75</v>
      </c>
      <c r="D384" s="4">
        <v>32451</v>
      </c>
      <c r="E384" s="6">
        <v>12.75</v>
      </c>
      <c r="G384" s="4">
        <f t="shared" si="23"/>
        <v>34593</v>
      </c>
      <c r="H384" s="5">
        <f t="shared" si="20"/>
        <v>15.3</v>
      </c>
      <c r="I384" s="5">
        <f t="shared" si="21"/>
        <v>9</v>
      </c>
      <c r="J384" s="5">
        <f t="shared" si="22"/>
        <v>1994</v>
      </c>
      <c r="K384">
        <v>10</v>
      </c>
      <c r="L384">
        <v>2022</v>
      </c>
      <c r="M384">
        <v>94.389999999999986</v>
      </c>
      <c r="O384" s="3">
        <v>3</v>
      </c>
      <c r="P384" s="3">
        <v>2019</v>
      </c>
      <c r="Q384" s="3">
        <v>65.940000000000012</v>
      </c>
    </row>
    <row r="385" spans="1:17" x14ac:dyDescent="0.25">
      <c r="A385" s="9">
        <v>44531</v>
      </c>
      <c r="B385" s="8">
        <v>415</v>
      </c>
      <c r="D385" s="4">
        <v>32454</v>
      </c>
      <c r="E385" s="6">
        <v>12.75</v>
      </c>
      <c r="G385" s="4">
        <f t="shared" si="23"/>
        <v>34600</v>
      </c>
      <c r="H385" s="5">
        <f t="shared" si="20"/>
        <v>16.3</v>
      </c>
      <c r="I385" s="5">
        <f t="shared" si="21"/>
        <v>9</v>
      </c>
      <c r="J385" s="5">
        <f t="shared" si="22"/>
        <v>1994</v>
      </c>
      <c r="K385">
        <v>10</v>
      </c>
      <c r="L385">
        <v>2023</v>
      </c>
      <c r="M385">
        <v>91.66</v>
      </c>
      <c r="O385" s="3">
        <v>4</v>
      </c>
      <c r="P385" s="3">
        <v>2019</v>
      </c>
      <c r="Q385" s="3">
        <v>53.1325</v>
      </c>
    </row>
    <row r="386" spans="1:17" x14ac:dyDescent="0.25">
      <c r="A386" s="9">
        <v>44562</v>
      </c>
      <c r="B386" s="8">
        <v>476.1875</v>
      </c>
      <c r="D386" s="4">
        <v>32455</v>
      </c>
      <c r="E386" s="6">
        <v>12.6</v>
      </c>
      <c r="G386" s="4">
        <f t="shared" si="23"/>
        <v>34607</v>
      </c>
      <c r="H386" s="5">
        <f t="shared" si="20"/>
        <v>16.73</v>
      </c>
      <c r="I386" s="5">
        <f t="shared" si="21"/>
        <v>9</v>
      </c>
      <c r="J386" s="5">
        <f t="shared" si="22"/>
        <v>1994</v>
      </c>
      <c r="K386">
        <v>10</v>
      </c>
      <c r="L386">
        <v>2024</v>
      </c>
      <c r="M386">
        <v>76.989999999999995</v>
      </c>
      <c r="O386" s="3">
        <v>5</v>
      </c>
      <c r="P386" s="3">
        <v>2019</v>
      </c>
      <c r="Q386" s="3">
        <v>70.455999999999989</v>
      </c>
    </row>
    <row r="387" spans="1:17" x14ac:dyDescent="0.25">
      <c r="A387" s="9">
        <v>44593</v>
      </c>
      <c r="B387" s="8">
        <v>523.8125</v>
      </c>
      <c r="D387" s="4">
        <v>32456</v>
      </c>
      <c r="E387" s="6">
        <v>12.7</v>
      </c>
      <c r="G387" s="4">
        <f t="shared" si="23"/>
        <v>34614</v>
      </c>
      <c r="H387" s="5">
        <f t="shared" ref="H387:H450" si="24">_xlfn.XLOOKUP(G387,D:D,E:E)</f>
        <v>16.93</v>
      </c>
      <c r="I387" s="5">
        <f t="shared" ref="I387:I450" si="25">MONTH(G387)</f>
        <v>10</v>
      </c>
      <c r="J387" s="5">
        <f t="shared" ref="J387:J450" si="26">YEAR(G387)</f>
        <v>1994</v>
      </c>
      <c r="K387">
        <v>10</v>
      </c>
      <c r="L387">
        <v>2025</v>
      </c>
      <c r="M387">
        <v>63.923333333333325</v>
      </c>
      <c r="O387" s="3">
        <v>6</v>
      </c>
      <c r="P387" s="3">
        <v>2019</v>
      </c>
      <c r="Q387" s="3">
        <v>65.184999999999988</v>
      </c>
    </row>
    <row r="388" spans="1:17" x14ac:dyDescent="0.25">
      <c r="A388" s="9">
        <v>44621</v>
      </c>
      <c r="B388" s="8">
        <v>646.0625</v>
      </c>
      <c r="D388" s="4">
        <v>32457</v>
      </c>
      <c r="E388" s="6">
        <v>13.03</v>
      </c>
      <c r="G388" s="4">
        <f t="shared" ref="G388:G451" si="27">G387+7</f>
        <v>34621</v>
      </c>
      <c r="H388" s="5">
        <f t="shared" si="24"/>
        <v>15.58</v>
      </c>
      <c r="I388" s="5">
        <f t="shared" si="25"/>
        <v>10</v>
      </c>
      <c r="J388" s="5">
        <f t="shared" si="26"/>
        <v>1994</v>
      </c>
      <c r="K388">
        <v>11</v>
      </c>
      <c r="L388">
        <v>1987</v>
      </c>
      <c r="M388">
        <v>17.782499999999999</v>
      </c>
      <c r="O388" s="3">
        <v>7</v>
      </c>
      <c r="P388" s="3">
        <v>2019</v>
      </c>
      <c r="Q388" s="3">
        <v>63.594999999999999</v>
      </c>
    </row>
    <row r="389" spans="1:17" x14ac:dyDescent="0.25">
      <c r="A389" s="9">
        <v>44652</v>
      </c>
      <c r="B389" s="8">
        <v>641.6</v>
      </c>
      <c r="D389" s="4">
        <v>32458</v>
      </c>
      <c r="E389" s="6">
        <v>13.03</v>
      </c>
      <c r="G389" s="4">
        <f t="shared" si="27"/>
        <v>34628</v>
      </c>
      <c r="H389" s="5">
        <f t="shared" si="24"/>
        <v>16.350000000000001</v>
      </c>
      <c r="I389" s="5">
        <f t="shared" si="25"/>
        <v>10</v>
      </c>
      <c r="J389" s="5">
        <f t="shared" si="26"/>
        <v>1994</v>
      </c>
      <c r="K389">
        <v>11</v>
      </c>
      <c r="L389">
        <v>1988</v>
      </c>
      <c r="M389">
        <v>13.14</v>
      </c>
      <c r="O389" s="3">
        <v>8</v>
      </c>
      <c r="P389" s="3">
        <v>2019</v>
      </c>
      <c r="Q389" s="3">
        <v>59.434000000000005</v>
      </c>
    </row>
    <row r="390" spans="1:17" x14ac:dyDescent="0.25">
      <c r="A390" s="9">
        <v>44682</v>
      </c>
      <c r="B390" s="8">
        <v>635.5</v>
      </c>
      <c r="D390" s="4">
        <v>32461</v>
      </c>
      <c r="E390" s="6">
        <v>13</v>
      </c>
      <c r="G390" s="4">
        <f t="shared" si="27"/>
        <v>34635</v>
      </c>
      <c r="H390" s="5">
        <f t="shared" si="24"/>
        <v>17.18</v>
      </c>
      <c r="I390" s="5">
        <f t="shared" si="25"/>
        <v>10</v>
      </c>
      <c r="J390" s="5">
        <f t="shared" si="26"/>
        <v>1994</v>
      </c>
      <c r="K390">
        <v>11</v>
      </c>
      <c r="L390">
        <v>1989</v>
      </c>
      <c r="M390">
        <v>18.82</v>
      </c>
      <c r="O390" s="3">
        <v>9</v>
      </c>
      <c r="P390" s="3">
        <v>2019</v>
      </c>
      <c r="Q390" s="3">
        <v>62.559999999999995</v>
      </c>
    </row>
    <row r="391" spans="1:17" x14ac:dyDescent="0.25">
      <c r="A391" s="9">
        <v>44713</v>
      </c>
      <c r="B391" s="8">
        <v>635.25</v>
      </c>
      <c r="D391" s="4">
        <v>32462</v>
      </c>
      <c r="E391" s="6">
        <v>13</v>
      </c>
      <c r="G391" s="4">
        <f t="shared" si="27"/>
        <v>34642</v>
      </c>
      <c r="H391" s="5">
        <f t="shared" si="24"/>
        <v>18</v>
      </c>
      <c r="I391" s="5">
        <f t="shared" si="25"/>
        <v>11</v>
      </c>
      <c r="J391" s="5">
        <f t="shared" si="26"/>
        <v>1994</v>
      </c>
      <c r="K391">
        <v>11</v>
      </c>
      <c r="L391">
        <v>1990</v>
      </c>
      <c r="M391">
        <v>32.61999999999999</v>
      </c>
      <c r="O391" s="3">
        <v>10</v>
      </c>
      <c r="P391" s="3">
        <v>2019</v>
      </c>
      <c r="Q391" s="3">
        <v>60.435000000000002</v>
      </c>
    </row>
    <row r="392" spans="1:17" x14ac:dyDescent="0.25">
      <c r="A392" s="9">
        <v>44743</v>
      </c>
      <c r="B392" s="8">
        <v>496.4</v>
      </c>
      <c r="D392" s="4">
        <v>32463</v>
      </c>
      <c r="E392" s="6">
        <v>12.7</v>
      </c>
      <c r="G392" s="4">
        <f t="shared" si="27"/>
        <v>34649</v>
      </c>
      <c r="H392" s="5">
        <f t="shared" si="24"/>
        <v>17.38</v>
      </c>
      <c r="I392" s="5">
        <f t="shared" si="25"/>
        <v>11</v>
      </c>
      <c r="J392" s="5">
        <f t="shared" si="26"/>
        <v>1994</v>
      </c>
      <c r="K392">
        <v>11</v>
      </c>
      <c r="L392">
        <v>1991</v>
      </c>
      <c r="M392">
        <v>21.237999999999996</v>
      </c>
      <c r="O392" s="3">
        <v>11</v>
      </c>
      <c r="P392" s="3">
        <v>2019</v>
      </c>
      <c r="Q392" s="3">
        <v>62.963999999999999</v>
      </c>
    </row>
    <row r="393" spans="1:17" x14ac:dyDescent="0.25">
      <c r="A393" s="9">
        <v>44774</v>
      </c>
      <c r="B393" s="8">
        <v>511.625</v>
      </c>
      <c r="D393" s="4">
        <v>32464</v>
      </c>
      <c r="E393" s="6">
        <v>12.05</v>
      </c>
      <c r="G393" s="4">
        <f t="shared" si="27"/>
        <v>34656</v>
      </c>
      <c r="H393" s="5">
        <f t="shared" si="24"/>
        <v>16.45</v>
      </c>
      <c r="I393" s="5">
        <f t="shared" si="25"/>
        <v>11</v>
      </c>
      <c r="J393" s="5">
        <f t="shared" si="26"/>
        <v>1994</v>
      </c>
      <c r="K393">
        <v>11</v>
      </c>
      <c r="L393">
        <v>1992</v>
      </c>
      <c r="M393">
        <v>19.184999999999999</v>
      </c>
      <c r="O393" s="3">
        <v>12</v>
      </c>
      <c r="P393" s="3">
        <v>2019</v>
      </c>
      <c r="Q393" s="3">
        <v>67.877499999999998</v>
      </c>
    </row>
    <row r="394" spans="1:17" x14ac:dyDescent="0.25">
      <c r="A394" s="9">
        <v>44805</v>
      </c>
      <c r="B394" s="8">
        <v>438.6</v>
      </c>
      <c r="D394" s="4">
        <v>32465</v>
      </c>
      <c r="E394" s="6">
        <v>12.08</v>
      </c>
      <c r="G394" s="4">
        <f t="shared" si="27"/>
        <v>34663</v>
      </c>
      <c r="H394" s="5">
        <f t="shared" si="24"/>
        <v>17</v>
      </c>
      <c r="I394" s="5">
        <f t="shared" si="25"/>
        <v>11</v>
      </c>
      <c r="J394" s="5">
        <f t="shared" si="26"/>
        <v>1994</v>
      </c>
      <c r="K394">
        <v>11</v>
      </c>
      <c r="L394">
        <v>1993</v>
      </c>
      <c r="M394">
        <v>15.085000000000001</v>
      </c>
      <c r="O394" s="3">
        <v>1</v>
      </c>
      <c r="P394" s="3">
        <v>2020</v>
      </c>
      <c r="Q394" s="3">
        <v>63.402000000000001</v>
      </c>
    </row>
    <row r="395" spans="1:17" x14ac:dyDescent="0.25">
      <c r="A395" s="9">
        <v>44835</v>
      </c>
      <c r="B395" s="8">
        <v>394.875</v>
      </c>
      <c r="D395" s="4">
        <v>32468</v>
      </c>
      <c r="E395" s="6">
        <v>12.13</v>
      </c>
      <c r="G395" s="4">
        <f t="shared" si="27"/>
        <v>34670</v>
      </c>
      <c r="H395" s="5">
        <f t="shared" si="24"/>
        <v>16.350000000000001</v>
      </c>
      <c r="I395" s="5">
        <f t="shared" si="25"/>
        <v>12</v>
      </c>
      <c r="J395" s="5">
        <f t="shared" si="26"/>
        <v>1994</v>
      </c>
      <c r="K395">
        <v>11</v>
      </c>
      <c r="L395">
        <v>1994</v>
      </c>
      <c r="M395">
        <v>17.2075</v>
      </c>
      <c r="O395" s="3">
        <v>2</v>
      </c>
      <c r="P395" s="3">
        <v>2020</v>
      </c>
      <c r="Q395" s="3">
        <v>55.452500000000001</v>
      </c>
    </row>
    <row r="396" spans="1:17" x14ac:dyDescent="0.25">
      <c r="A396" s="9">
        <v>44866</v>
      </c>
      <c r="B396" s="8">
        <v>404.125</v>
      </c>
      <c r="D396" s="4">
        <v>32469</v>
      </c>
      <c r="E396" s="6">
        <v>13.35</v>
      </c>
      <c r="G396" s="4">
        <f t="shared" si="27"/>
        <v>34677</v>
      </c>
      <c r="H396" s="5">
        <f t="shared" si="24"/>
        <v>16.079999999999998</v>
      </c>
      <c r="I396" s="5">
        <f t="shared" si="25"/>
        <v>12</v>
      </c>
      <c r="J396" s="5">
        <f t="shared" si="26"/>
        <v>1994</v>
      </c>
      <c r="K396">
        <v>11</v>
      </c>
      <c r="L396">
        <v>1995</v>
      </c>
      <c r="M396">
        <v>16.917499999999997</v>
      </c>
      <c r="O396" s="3">
        <v>3</v>
      </c>
      <c r="P396" s="3">
        <v>2020</v>
      </c>
      <c r="Q396" s="3">
        <v>31.447499999999998</v>
      </c>
    </row>
    <row r="397" spans="1:17" x14ac:dyDescent="0.25">
      <c r="A397" s="9">
        <v>44896</v>
      </c>
      <c r="B397" s="8">
        <v>370.7</v>
      </c>
      <c r="D397" s="4">
        <v>32470</v>
      </c>
      <c r="E397" s="6">
        <v>13.33</v>
      </c>
      <c r="G397" s="4">
        <f t="shared" si="27"/>
        <v>34684</v>
      </c>
      <c r="H397" s="5">
        <f t="shared" si="24"/>
        <v>15.48</v>
      </c>
      <c r="I397" s="5">
        <f t="shared" si="25"/>
        <v>12</v>
      </c>
      <c r="J397" s="5">
        <f t="shared" si="26"/>
        <v>1994</v>
      </c>
      <c r="K397">
        <v>11</v>
      </c>
      <c r="L397">
        <v>1996</v>
      </c>
      <c r="M397">
        <v>23.002000000000002</v>
      </c>
      <c r="O397" s="3">
        <v>4</v>
      </c>
      <c r="P397" s="3">
        <v>2020</v>
      </c>
      <c r="Q397" s="3">
        <v>14.987499999999999</v>
      </c>
    </row>
    <row r="398" spans="1:17" x14ac:dyDescent="0.25">
      <c r="A398" s="9">
        <v>44927</v>
      </c>
      <c r="B398" s="8">
        <v>386.0625</v>
      </c>
      <c r="D398" s="4">
        <v>32471</v>
      </c>
      <c r="E398" s="6">
        <v>12.98</v>
      </c>
      <c r="G398" s="4">
        <f t="shared" si="27"/>
        <v>34691</v>
      </c>
      <c r="H398" s="5">
        <f t="shared" si="24"/>
        <v>15.55</v>
      </c>
      <c r="I398" s="5">
        <f t="shared" si="25"/>
        <v>12</v>
      </c>
      <c r="J398" s="5">
        <f t="shared" si="26"/>
        <v>1994</v>
      </c>
      <c r="K398">
        <v>11</v>
      </c>
      <c r="L398">
        <v>1997</v>
      </c>
      <c r="M398">
        <v>19.317499999999999</v>
      </c>
      <c r="O398" s="3">
        <v>5</v>
      </c>
      <c r="P398" s="3">
        <v>2020</v>
      </c>
      <c r="Q398" s="3">
        <v>23.477999999999998</v>
      </c>
    </row>
    <row r="399" spans="1:17" x14ac:dyDescent="0.25">
      <c r="A399" s="9">
        <v>44958</v>
      </c>
      <c r="B399" s="8">
        <v>402.9375</v>
      </c>
      <c r="D399" s="4">
        <v>32472</v>
      </c>
      <c r="E399" s="6">
        <v>14.7</v>
      </c>
      <c r="G399" s="4">
        <f t="shared" si="27"/>
        <v>34698</v>
      </c>
      <c r="H399" s="5">
        <f t="shared" si="24"/>
        <v>16.23</v>
      </c>
      <c r="I399" s="5">
        <f t="shared" si="25"/>
        <v>12</v>
      </c>
      <c r="J399" s="5">
        <f t="shared" si="26"/>
        <v>1994</v>
      </c>
      <c r="K399">
        <v>11</v>
      </c>
      <c r="L399">
        <v>1998</v>
      </c>
      <c r="M399">
        <v>11.035</v>
      </c>
      <c r="O399" s="3">
        <v>6</v>
      </c>
      <c r="P399" s="3">
        <v>2020</v>
      </c>
      <c r="Q399" s="3">
        <v>40.709999999999994</v>
      </c>
    </row>
    <row r="400" spans="1:17" x14ac:dyDescent="0.25">
      <c r="A400" s="9">
        <v>44986</v>
      </c>
      <c r="B400" s="8">
        <v>403.5</v>
      </c>
      <c r="D400" s="4">
        <v>32475</v>
      </c>
      <c r="E400" s="6">
        <v>14.73</v>
      </c>
      <c r="G400" s="4">
        <f t="shared" si="27"/>
        <v>34705</v>
      </c>
      <c r="H400" s="5">
        <f t="shared" si="24"/>
        <v>16.350000000000001</v>
      </c>
      <c r="I400" s="5">
        <f t="shared" si="25"/>
        <v>1</v>
      </c>
      <c r="J400" s="5">
        <f t="shared" si="26"/>
        <v>1995</v>
      </c>
      <c r="K400">
        <v>11</v>
      </c>
      <c r="L400">
        <v>1999</v>
      </c>
      <c r="M400">
        <v>24.795000000000002</v>
      </c>
      <c r="O400" s="3">
        <v>7</v>
      </c>
      <c r="P400" s="3">
        <v>2020</v>
      </c>
      <c r="Q400" s="3">
        <v>43.227999999999994</v>
      </c>
    </row>
    <row r="401" spans="1:17" x14ac:dyDescent="0.25">
      <c r="A401" s="9">
        <v>45017</v>
      </c>
      <c r="B401" s="8">
        <v>467.375</v>
      </c>
      <c r="D401" s="4">
        <v>32476</v>
      </c>
      <c r="E401" s="6">
        <v>14.25</v>
      </c>
      <c r="G401" s="4">
        <f t="shared" si="27"/>
        <v>34712</v>
      </c>
      <c r="H401" s="5">
        <f t="shared" si="24"/>
        <v>16.2</v>
      </c>
      <c r="I401" s="5">
        <f t="shared" si="25"/>
        <v>1</v>
      </c>
      <c r="J401" s="5">
        <f t="shared" si="26"/>
        <v>1995</v>
      </c>
      <c r="K401">
        <v>11</v>
      </c>
      <c r="L401">
        <v>2000</v>
      </c>
      <c r="M401">
        <v>32.377499999999998</v>
      </c>
      <c r="O401" s="3">
        <v>8</v>
      </c>
      <c r="P401" s="3">
        <v>2020</v>
      </c>
      <c r="Q401" s="3">
        <v>44.522500000000001</v>
      </c>
    </row>
    <row r="402" spans="1:17" x14ac:dyDescent="0.25">
      <c r="A402" s="9">
        <v>45047</v>
      </c>
      <c r="B402" s="8">
        <v>436.6875</v>
      </c>
      <c r="D402" s="4">
        <v>32477</v>
      </c>
      <c r="E402" s="6">
        <v>14.35</v>
      </c>
      <c r="G402" s="4">
        <f t="shared" si="27"/>
        <v>34719</v>
      </c>
      <c r="H402" s="5">
        <f t="shared" si="24"/>
        <v>17.23</v>
      </c>
      <c r="I402" s="5">
        <f t="shared" si="25"/>
        <v>1</v>
      </c>
      <c r="J402" s="5">
        <f t="shared" si="26"/>
        <v>1995</v>
      </c>
      <c r="K402">
        <v>11</v>
      </c>
      <c r="L402">
        <v>2001</v>
      </c>
      <c r="M402">
        <v>18.905999999999999</v>
      </c>
      <c r="O402" s="3">
        <v>9</v>
      </c>
      <c r="P402" s="3">
        <v>2020</v>
      </c>
      <c r="Q402" s="3">
        <v>40.7425</v>
      </c>
    </row>
    <row r="403" spans="1:17" x14ac:dyDescent="0.25">
      <c r="A403" s="9">
        <v>45078</v>
      </c>
      <c r="B403" s="8">
        <v>459.05</v>
      </c>
      <c r="D403" s="4">
        <v>32478</v>
      </c>
      <c r="E403" s="6">
        <v>14.93</v>
      </c>
      <c r="G403" s="4">
        <f t="shared" si="27"/>
        <v>34726</v>
      </c>
      <c r="H403" s="5">
        <f t="shared" si="24"/>
        <v>16.38</v>
      </c>
      <c r="I403" s="5">
        <f t="shared" si="25"/>
        <v>1</v>
      </c>
      <c r="J403" s="5">
        <f t="shared" si="26"/>
        <v>1995</v>
      </c>
      <c r="K403">
        <v>11</v>
      </c>
      <c r="L403">
        <v>2002</v>
      </c>
      <c r="M403">
        <v>24.635999999999999</v>
      </c>
      <c r="O403" s="3">
        <v>10</v>
      </c>
      <c r="P403" s="3">
        <v>2020</v>
      </c>
      <c r="Q403" s="3">
        <v>39.601999999999997</v>
      </c>
    </row>
    <row r="404" spans="1:17" x14ac:dyDescent="0.25">
      <c r="A404" s="9">
        <v>45108</v>
      </c>
      <c r="B404" s="8">
        <v>488.9375</v>
      </c>
      <c r="D404" s="4">
        <v>32479</v>
      </c>
      <c r="E404" s="6">
        <v>14.8</v>
      </c>
      <c r="G404" s="4">
        <f t="shared" si="27"/>
        <v>34733</v>
      </c>
      <c r="H404" s="5">
        <f t="shared" si="24"/>
        <v>17.399999999999999</v>
      </c>
      <c r="I404" s="5">
        <f t="shared" si="25"/>
        <v>2</v>
      </c>
      <c r="J404" s="5">
        <f t="shared" si="26"/>
        <v>1995</v>
      </c>
      <c r="K404">
        <v>11</v>
      </c>
      <c r="L404">
        <v>2003</v>
      </c>
      <c r="M404">
        <v>29.312500000000004</v>
      </c>
      <c r="O404" s="3">
        <v>11</v>
      </c>
      <c r="P404" s="3">
        <v>2020</v>
      </c>
      <c r="Q404" s="3">
        <v>42.564999999999998</v>
      </c>
    </row>
    <row r="405" spans="1:17" x14ac:dyDescent="0.25">
      <c r="A405" s="9">
        <v>45139</v>
      </c>
      <c r="B405" s="8">
        <v>557.4375</v>
      </c>
      <c r="D405" s="4">
        <v>32482</v>
      </c>
      <c r="E405" s="6">
        <v>14.73</v>
      </c>
      <c r="G405" s="4">
        <f t="shared" si="27"/>
        <v>34740</v>
      </c>
      <c r="H405" s="5">
        <f t="shared" si="24"/>
        <v>16.850000000000001</v>
      </c>
      <c r="I405" s="5">
        <f t="shared" si="25"/>
        <v>2</v>
      </c>
      <c r="J405" s="5">
        <f t="shared" si="26"/>
        <v>1995</v>
      </c>
      <c r="K405">
        <v>11</v>
      </c>
      <c r="L405">
        <v>2004</v>
      </c>
      <c r="M405">
        <v>42.714999999999996</v>
      </c>
      <c r="O405" s="3">
        <v>12</v>
      </c>
      <c r="P405" s="3">
        <v>2020</v>
      </c>
      <c r="Q405" s="3">
        <v>37.82</v>
      </c>
    </row>
    <row r="406" spans="1:17" x14ac:dyDescent="0.25">
      <c r="A406" s="9">
        <v>45170</v>
      </c>
      <c r="B406" s="8">
        <v>577.85</v>
      </c>
      <c r="D406" s="4">
        <v>32483</v>
      </c>
      <c r="E406" s="6">
        <v>14.4</v>
      </c>
      <c r="G406" s="4">
        <f t="shared" si="27"/>
        <v>34747</v>
      </c>
      <c r="H406" s="5">
        <f t="shared" si="24"/>
        <v>17.399999999999999</v>
      </c>
      <c r="I406" s="5">
        <f t="shared" si="25"/>
        <v>2</v>
      </c>
      <c r="J406" s="5">
        <f t="shared" si="26"/>
        <v>1995</v>
      </c>
      <c r="K406">
        <v>11</v>
      </c>
      <c r="L406">
        <v>2005</v>
      </c>
      <c r="M406">
        <v>55.192500000000003</v>
      </c>
      <c r="O406" s="3">
        <v>1</v>
      </c>
      <c r="P406" s="3">
        <v>2021</v>
      </c>
      <c r="Q406" s="3">
        <v>44.155999999999999</v>
      </c>
    </row>
    <row r="407" spans="1:17" x14ac:dyDescent="0.25">
      <c r="A407" s="9">
        <v>45200</v>
      </c>
      <c r="B407" s="8">
        <v>529.9375</v>
      </c>
      <c r="D407" s="4">
        <v>32484</v>
      </c>
      <c r="E407" s="6">
        <v>14.7</v>
      </c>
      <c r="G407" s="4">
        <f t="shared" si="27"/>
        <v>34754</v>
      </c>
      <c r="H407" s="5">
        <f t="shared" si="24"/>
        <v>17.100000000000001</v>
      </c>
      <c r="I407" s="5">
        <f t="shared" si="25"/>
        <v>2</v>
      </c>
      <c r="J407" s="5">
        <f t="shared" si="26"/>
        <v>1995</v>
      </c>
      <c r="K407">
        <v>11</v>
      </c>
      <c r="L407">
        <v>2006</v>
      </c>
      <c r="M407">
        <v>58.364999999999995</v>
      </c>
      <c r="O407" s="3">
        <v>2</v>
      </c>
      <c r="P407" s="3">
        <v>2021</v>
      </c>
      <c r="Q407" s="3">
        <v>62.662499999999994</v>
      </c>
    </row>
    <row r="408" spans="1:17" x14ac:dyDescent="0.25">
      <c r="A408" s="9">
        <v>45231</v>
      </c>
      <c r="B408" s="8">
        <v>487.8125</v>
      </c>
      <c r="D408" s="4">
        <v>32485</v>
      </c>
      <c r="E408" s="6">
        <v>15.05</v>
      </c>
      <c r="G408" s="4">
        <f t="shared" si="27"/>
        <v>34761</v>
      </c>
      <c r="H408" s="5">
        <f t="shared" si="24"/>
        <v>16.68</v>
      </c>
      <c r="I408" s="5">
        <f t="shared" si="25"/>
        <v>3</v>
      </c>
      <c r="J408" s="5">
        <f t="shared" si="26"/>
        <v>1995</v>
      </c>
      <c r="K408">
        <v>11</v>
      </c>
      <c r="L408">
        <v>2007</v>
      </c>
      <c r="M408">
        <v>92.091999999999999</v>
      </c>
      <c r="O408" s="3">
        <v>3</v>
      </c>
      <c r="P408" s="3">
        <v>2021</v>
      </c>
      <c r="Q408" s="3">
        <v>66.647499999999994</v>
      </c>
    </row>
    <row r="409" spans="1:17" x14ac:dyDescent="0.25">
      <c r="A409" s="9">
        <v>45261</v>
      </c>
      <c r="B409" s="8">
        <v>456.2</v>
      </c>
      <c r="D409" s="4">
        <v>32486</v>
      </c>
      <c r="E409" s="6">
        <v>14.9</v>
      </c>
      <c r="G409" s="4">
        <f t="shared" si="27"/>
        <v>34768</v>
      </c>
      <c r="H409" s="5">
        <f t="shared" si="24"/>
        <v>16.5</v>
      </c>
      <c r="I409" s="5">
        <f t="shared" si="25"/>
        <v>3</v>
      </c>
      <c r="J409" s="5">
        <f t="shared" si="26"/>
        <v>1995</v>
      </c>
      <c r="K409">
        <v>11</v>
      </c>
      <c r="L409">
        <v>2008</v>
      </c>
      <c r="M409">
        <v>50.042499999999997</v>
      </c>
      <c r="O409" s="3">
        <v>4</v>
      </c>
      <c r="P409" s="3">
        <v>2021</v>
      </c>
      <c r="Q409" s="3">
        <v>52.27</v>
      </c>
    </row>
    <row r="410" spans="1:17" x14ac:dyDescent="0.25">
      <c r="A410" s="9">
        <v>45292</v>
      </c>
      <c r="B410" s="8">
        <v>442.6875</v>
      </c>
      <c r="D410" s="4">
        <v>32489</v>
      </c>
      <c r="E410" s="6">
        <v>15.2</v>
      </c>
      <c r="G410" s="4">
        <f t="shared" si="27"/>
        <v>34775</v>
      </c>
      <c r="H410" s="5">
        <f t="shared" si="24"/>
        <v>16.55</v>
      </c>
      <c r="I410" s="5">
        <f t="shared" si="25"/>
        <v>3</v>
      </c>
      <c r="J410" s="5">
        <f t="shared" si="26"/>
        <v>1995</v>
      </c>
      <c r="K410">
        <v>11</v>
      </c>
      <c r="L410">
        <v>2009</v>
      </c>
      <c r="M410">
        <v>75.482500000000002</v>
      </c>
      <c r="O410" s="3">
        <v>5</v>
      </c>
      <c r="P410" s="3">
        <v>2021</v>
      </c>
      <c r="Q410" s="3">
        <v>68.512500000000003</v>
      </c>
    </row>
    <row r="411" spans="1:17" x14ac:dyDescent="0.25">
      <c r="A411" s="9">
        <v>45323</v>
      </c>
      <c r="B411" s="8">
        <v>453.625</v>
      </c>
      <c r="D411" s="4">
        <v>32490</v>
      </c>
      <c r="E411" s="6">
        <v>15.18</v>
      </c>
      <c r="G411" s="4">
        <f t="shared" si="27"/>
        <v>34782</v>
      </c>
      <c r="H411" s="5">
        <f t="shared" si="24"/>
        <v>17.649999999999999</v>
      </c>
      <c r="I411" s="5">
        <f t="shared" si="25"/>
        <v>3</v>
      </c>
      <c r="J411" s="5">
        <f t="shared" si="26"/>
        <v>1995</v>
      </c>
      <c r="K411">
        <v>11</v>
      </c>
      <c r="L411">
        <v>2010</v>
      </c>
      <c r="M411">
        <v>85.267500000000013</v>
      </c>
      <c r="O411" s="3">
        <v>6</v>
      </c>
      <c r="P411" s="3">
        <v>2021</v>
      </c>
      <c r="Q411" s="3">
        <v>73.224999999999994</v>
      </c>
    </row>
    <row r="412" spans="1:17" x14ac:dyDescent="0.25">
      <c r="A412" s="9">
        <v>45352</v>
      </c>
      <c r="B412" s="8">
        <v>470.1</v>
      </c>
      <c r="D412" s="4">
        <v>32491</v>
      </c>
      <c r="E412" s="6">
        <v>15.35</v>
      </c>
      <c r="G412" s="4">
        <f t="shared" si="27"/>
        <v>34789</v>
      </c>
      <c r="H412" s="5">
        <f t="shared" si="24"/>
        <v>17.98</v>
      </c>
      <c r="I412" s="5">
        <f t="shared" si="25"/>
        <v>3</v>
      </c>
      <c r="J412" s="5">
        <f t="shared" si="26"/>
        <v>1995</v>
      </c>
      <c r="K412">
        <v>11</v>
      </c>
      <c r="L412">
        <v>2011</v>
      </c>
      <c r="M412">
        <v>110.1375</v>
      </c>
      <c r="O412" s="3">
        <v>7</v>
      </c>
      <c r="P412" s="3">
        <v>2021</v>
      </c>
      <c r="Q412" s="3">
        <v>76.338000000000008</v>
      </c>
    </row>
    <row r="413" spans="1:17" x14ac:dyDescent="0.25">
      <c r="A413" s="9">
        <v>45383</v>
      </c>
      <c r="B413" s="8">
        <v>489.6875</v>
      </c>
      <c r="D413" s="4">
        <v>32492</v>
      </c>
      <c r="E413" s="6">
        <v>15.58</v>
      </c>
      <c r="G413" s="4">
        <f t="shared" si="27"/>
        <v>34796</v>
      </c>
      <c r="H413" s="5">
        <f t="shared" si="24"/>
        <v>18.45</v>
      </c>
      <c r="I413" s="5">
        <f t="shared" si="25"/>
        <v>4</v>
      </c>
      <c r="J413" s="5">
        <f t="shared" si="26"/>
        <v>1995</v>
      </c>
      <c r="K413">
        <v>11</v>
      </c>
      <c r="L413">
        <v>2012</v>
      </c>
      <c r="M413">
        <v>108.63800000000001</v>
      </c>
      <c r="O413" s="3">
        <v>8</v>
      </c>
      <c r="P413" s="3">
        <v>2021</v>
      </c>
      <c r="Q413" s="3">
        <v>69.922499999999999</v>
      </c>
    </row>
    <row r="414" spans="1:17" x14ac:dyDescent="0.25">
      <c r="A414" s="9">
        <v>45413</v>
      </c>
      <c r="B414" s="8">
        <v>480.8</v>
      </c>
      <c r="D414" s="4">
        <v>32493</v>
      </c>
      <c r="E414" s="6">
        <v>15.6</v>
      </c>
      <c r="G414" s="4">
        <f t="shared" si="27"/>
        <v>34803</v>
      </c>
      <c r="H414" s="5">
        <f t="shared" si="24"/>
        <v>0</v>
      </c>
      <c r="I414" s="5">
        <f t="shared" si="25"/>
        <v>4</v>
      </c>
      <c r="J414" s="5">
        <f t="shared" si="26"/>
        <v>1995</v>
      </c>
      <c r="K414">
        <v>11</v>
      </c>
      <c r="L414">
        <v>2013</v>
      </c>
      <c r="M414">
        <v>108.15</v>
      </c>
      <c r="O414" s="3">
        <v>9</v>
      </c>
      <c r="P414" s="3">
        <v>2021</v>
      </c>
      <c r="Q414" s="3">
        <v>74.392499999999998</v>
      </c>
    </row>
    <row r="415" spans="1:17" x14ac:dyDescent="0.25">
      <c r="A415" s="9">
        <v>45444</v>
      </c>
      <c r="B415" s="8">
        <v>487.4375</v>
      </c>
      <c r="D415" s="4">
        <v>32496</v>
      </c>
      <c r="E415" s="6">
        <v>15.3</v>
      </c>
      <c r="G415" s="4">
        <f t="shared" si="27"/>
        <v>34810</v>
      </c>
      <c r="H415" s="5">
        <f t="shared" si="24"/>
        <v>19.18</v>
      </c>
      <c r="I415" s="5">
        <f t="shared" si="25"/>
        <v>4</v>
      </c>
      <c r="J415" s="5">
        <f t="shared" si="26"/>
        <v>1995</v>
      </c>
      <c r="K415">
        <v>11</v>
      </c>
      <c r="L415">
        <v>2014</v>
      </c>
      <c r="M415">
        <v>77.95</v>
      </c>
      <c r="O415" s="3">
        <v>10</v>
      </c>
      <c r="P415" s="3">
        <v>2021</v>
      </c>
      <c r="Q415" s="3">
        <v>82.953999999999994</v>
      </c>
    </row>
    <row r="416" spans="1:17" x14ac:dyDescent="0.25">
      <c r="A416" s="9">
        <v>45474</v>
      </c>
      <c r="B416" s="8">
        <v>510.4375</v>
      </c>
      <c r="D416" s="4">
        <v>32497</v>
      </c>
      <c r="E416" s="6">
        <v>15.28</v>
      </c>
      <c r="G416" s="4">
        <f t="shared" si="27"/>
        <v>34817</v>
      </c>
      <c r="H416" s="5">
        <f t="shared" si="24"/>
        <v>18.98</v>
      </c>
      <c r="I416" s="5">
        <f t="shared" si="25"/>
        <v>4</v>
      </c>
      <c r="J416" s="5">
        <f t="shared" si="26"/>
        <v>1995</v>
      </c>
      <c r="K416">
        <v>11</v>
      </c>
      <c r="L416">
        <v>2015</v>
      </c>
      <c r="M416">
        <v>43.407499999999999</v>
      </c>
      <c r="O416" s="3">
        <v>11</v>
      </c>
      <c r="P416" s="3">
        <v>2021</v>
      </c>
      <c r="Q416" s="3">
        <v>79.484999999999999</v>
      </c>
    </row>
    <row r="417" spans="1:17" x14ac:dyDescent="0.25">
      <c r="A417" s="9">
        <v>45505</v>
      </c>
      <c r="B417" s="8">
        <v>461.15</v>
      </c>
      <c r="D417" s="4">
        <v>32498</v>
      </c>
      <c r="E417" s="6">
        <v>15.33</v>
      </c>
      <c r="G417" s="4">
        <f t="shared" si="27"/>
        <v>34824</v>
      </c>
      <c r="H417" s="5">
        <f t="shared" si="24"/>
        <v>18.850000000000001</v>
      </c>
      <c r="I417" s="5">
        <f t="shared" si="25"/>
        <v>5</v>
      </c>
      <c r="J417" s="5">
        <f t="shared" si="26"/>
        <v>1995</v>
      </c>
      <c r="K417">
        <v>11</v>
      </c>
      <c r="L417">
        <v>2016</v>
      </c>
      <c r="M417">
        <v>43.849999999999994</v>
      </c>
      <c r="O417" s="3">
        <v>12</v>
      </c>
      <c r="P417" s="3">
        <v>2021</v>
      </c>
      <c r="Q417" s="3">
        <v>74.227999999999994</v>
      </c>
    </row>
    <row r="418" spans="1:17" x14ac:dyDescent="0.25">
      <c r="A418" s="10">
        <v>45536</v>
      </c>
      <c r="B418" s="11">
        <v>422.5625</v>
      </c>
      <c r="D418" s="4">
        <v>32499</v>
      </c>
      <c r="E418" s="6">
        <v>15.25</v>
      </c>
      <c r="G418" s="4">
        <f t="shared" si="27"/>
        <v>34831</v>
      </c>
      <c r="H418" s="5">
        <f t="shared" si="24"/>
        <v>18.23</v>
      </c>
      <c r="I418" s="5">
        <f t="shared" si="25"/>
        <v>5</v>
      </c>
      <c r="J418" s="5">
        <f t="shared" si="26"/>
        <v>1995</v>
      </c>
      <c r="K418">
        <v>11</v>
      </c>
      <c r="L418">
        <v>2017</v>
      </c>
      <c r="M418">
        <v>62.672499999999999</v>
      </c>
      <c r="O418" s="3">
        <v>1</v>
      </c>
      <c r="P418" s="3">
        <v>2022</v>
      </c>
      <c r="Q418" s="3">
        <v>87.66749999999999</v>
      </c>
    </row>
    <row r="419" spans="1:17" x14ac:dyDescent="0.25">
      <c r="D419" s="4">
        <v>32500</v>
      </c>
      <c r="E419" s="6">
        <v>15.38</v>
      </c>
      <c r="G419" s="4">
        <f t="shared" si="27"/>
        <v>34838</v>
      </c>
      <c r="H419" s="5">
        <f t="shared" si="24"/>
        <v>18.43</v>
      </c>
      <c r="I419" s="5">
        <f t="shared" si="25"/>
        <v>5</v>
      </c>
      <c r="J419" s="5">
        <f t="shared" si="26"/>
        <v>1995</v>
      </c>
      <c r="K419">
        <v>11</v>
      </c>
      <c r="L419">
        <v>2018</v>
      </c>
      <c r="M419">
        <v>64.162000000000006</v>
      </c>
      <c r="O419" s="3">
        <v>2</v>
      </c>
      <c r="P419" s="3">
        <v>2022</v>
      </c>
      <c r="Q419" s="3">
        <v>97.275000000000006</v>
      </c>
    </row>
    <row r="420" spans="1:17" x14ac:dyDescent="0.25">
      <c r="D420" s="4">
        <v>32503</v>
      </c>
      <c r="E420" s="5"/>
      <c r="G420" s="4">
        <f t="shared" si="27"/>
        <v>34845</v>
      </c>
      <c r="H420" s="5">
        <f t="shared" si="24"/>
        <v>17.8</v>
      </c>
      <c r="I420" s="5">
        <f t="shared" si="25"/>
        <v>5</v>
      </c>
      <c r="J420" s="5">
        <f t="shared" si="26"/>
        <v>1995</v>
      </c>
      <c r="K420">
        <v>11</v>
      </c>
      <c r="L420">
        <v>2019</v>
      </c>
      <c r="M420">
        <v>62.963999999999999</v>
      </c>
      <c r="O420" s="3">
        <v>3</v>
      </c>
      <c r="P420" s="3">
        <v>2022</v>
      </c>
      <c r="Q420" s="3">
        <v>119.74</v>
      </c>
    </row>
    <row r="421" spans="1:17" x14ac:dyDescent="0.25">
      <c r="D421" s="4">
        <v>32504</v>
      </c>
      <c r="E421" s="6">
        <v>16.25</v>
      </c>
      <c r="G421" s="4">
        <f t="shared" si="27"/>
        <v>34852</v>
      </c>
      <c r="H421" s="5">
        <f t="shared" si="24"/>
        <v>17.899999999999999</v>
      </c>
      <c r="I421" s="5">
        <f t="shared" si="25"/>
        <v>6</v>
      </c>
      <c r="J421" s="5">
        <f t="shared" si="26"/>
        <v>1995</v>
      </c>
      <c r="K421">
        <v>11</v>
      </c>
      <c r="L421">
        <v>2020</v>
      </c>
      <c r="M421">
        <v>42.564999999999998</v>
      </c>
      <c r="O421" s="3">
        <v>4</v>
      </c>
      <c r="P421" s="3">
        <v>2022</v>
      </c>
      <c r="Q421" s="3">
        <v>84.179999999999993</v>
      </c>
    </row>
    <row r="422" spans="1:17" x14ac:dyDescent="0.25">
      <c r="D422" s="4">
        <v>32505</v>
      </c>
      <c r="E422" s="6">
        <v>16.100000000000001</v>
      </c>
      <c r="G422" s="4">
        <f t="shared" si="27"/>
        <v>34859</v>
      </c>
      <c r="H422" s="5">
        <f t="shared" si="24"/>
        <v>17.68</v>
      </c>
      <c r="I422" s="5">
        <f t="shared" si="25"/>
        <v>6</v>
      </c>
      <c r="J422" s="5">
        <f t="shared" si="26"/>
        <v>1995</v>
      </c>
      <c r="K422">
        <v>11</v>
      </c>
      <c r="L422">
        <v>2021</v>
      </c>
      <c r="M422">
        <v>79.484999999999999</v>
      </c>
      <c r="O422" s="3">
        <v>5</v>
      </c>
      <c r="P422" s="3">
        <v>2022</v>
      </c>
      <c r="Q422" s="3">
        <v>115.2</v>
      </c>
    </row>
    <row r="423" spans="1:17" x14ac:dyDescent="0.25">
      <c r="D423" s="4">
        <v>32506</v>
      </c>
      <c r="E423" s="6">
        <v>15.9</v>
      </c>
      <c r="G423" s="4">
        <f t="shared" si="27"/>
        <v>34866</v>
      </c>
      <c r="H423" s="5">
        <f t="shared" si="24"/>
        <v>17.75</v>
      </c>
      <c r="I423" s="5">
        <f t="shared" si="25"/>
        <v>6</v>
      </c>
      <c r="J423" s="5">
        <f t="shared" si="26"/>
        <v>1995</v>
      </c>
      <c r="K423">
        <v>11</v>
      </c>
      <c r="L423">
        <v>2022</v>
      </c>
      <c r="M423">
        <v>92.057500000000005</v>
      </c>
      <c r="O423" s="3">
        <v>6</v>
      </c>
      <c r="P423" s="3">
        <v>2022</v>
      </c>
      <c r="Q423" s="3">
        <v>122.42500000000001</v>
      </c>
    </row>
    <row r="424" spans="1:17" x14ac:dyDescent="0.25">
      <c r="D424" s="4">
        <v>32507</v>
      </c>
      <c r="E424" s="6">
        <v>16.23</v>
      </c>
      <c r="G424" s="4">
        <f t="shared" si="27"/>
        <v>34873</v>
      </c>
      <c r="H424" s="5">
        <f t="shared" si="24"/>
        <v>16.399999999999999</v>
      </c>
      <c r="I424" s="5">
        <f t="shared" si="25"/>
        <v>6</v>
      </c>
      <c r="J424" s="5">
        <f t="shared" si="26"/>
        <v>1995</v>
      </c>
      <c r="K424">
        <v>11</v>
      </c>
      <c r="L424">
        <v>2023</v>
      </c>
      <c r="M424">
        <v>83.0625</v>
      </c>
      <c r="O424" s="3">
        <v>7</v>
      </c>
      <c r="P424" s="3">
        <v>2022</v>
      </c>
      <c r="Q424" s="3">
        <v>112.74000000000001</v>
      </c>
    </row>
    <row r="425" spans="1:17" x14ac:dyDescent="0.25">
      <c r="D425" s="4">
        <v>32510</v>
      </c>
      <c r="E425" s="5"/>
      <c r="G425" s="4">
        <f t="shared" si="27"/>
        <v>34880</v>
      </c>
      <c r="H425" s="5">
        <f t="shared" si="24"/>
        <v>16.579999999999998</v>
      </c>
      <c r="I425" s="5">
        <f t="shared" si="25"/>
        <v>6</v>
      </c>
      <c r="J425" s="5">
        <f t="shared" si="26"/>
        <v>1995</v>
      </c>
      <c r="K425">
        <v>11</v>
      </c>
      <c r="L425">
        <v>2024</v>
      </c>
      <c r="M425">
        <v>74.275999999999996</v>
      </c>
      <c r="O425" s="3">
        <v>8</v>
      </c>
      <c r="P425" s="3">
        <v>2022</v>
      </c>
      <c r="Q425" s="3">
        <v>100.39749999999999</v>
      </c>
    </row>
    <row r="426" spans="1:17" x14ac:dyDescent="0.25">
      <c r="D426" s="4">
        <v>32511</v>
      </c>
      <c r="E426" s="6">
        <v>16.399999999999999</v>
      </c>
      <c r="G426" s="4">
        <f t="shared" si="27"/>
        <v>34887</v>
      </c>
      <c r="H426" s="5">
        <f t="shared" si="24"/>
        <v>16.100000000000001</v>
      </c>
      <c r="I426" s="5">
        <f t="shared" si="25"/>
        <v>7</v>
      </c>
      <c r="J426" s="5">
        <f t="shared" si="26"/>
        <v>1995</v>
      </c>
      <c r="K426">
        <v>12</v>
      </c>
      <c r="L426">
        <v>1987</v>
      </c>
      <c r="M426">
        <v>12.832500000000001</v>
      </c>
      <c r="O426" s="3">
        <v>9</v>
      </c>
      <c r="P426" s="3">
        <v>2022</v>
      </c>
      <c r="Q426" s="3">
        <v>89.478000000000023</v>
      </c>
    </row>
    <row r="427" spans="1:17" x14ac:dyDescent="0.25">
      <c r="D427" s="4">
        <v>32512</v>
      </c>
      <c r="E427" s="6">
        <v>16.53</v>
      </c>
      <c r="G427" s="4">
        <f t="shared" si="27"/>
        <v>34894</v>
      </c>
      <c r="H427" s="5">
        <f t="shared" si="24"/>
        <v>15.8</v>
      </c>
      <c r="I427" s="5">
        <f t="shared" si="25"/>
        <v>7</v>
      </c>
      <c r="J427" s="5">
        <f t="shared" si="26"/>
        <v>1995</v>
      </c>
      <c r="K427">
        <v>12</v>
      </c>
      <c r="L427">
        <v>1988</v>
      </c>
      <c r="M427">
        <v>15.382000000000001</v>
      </c>
      <c r="O427" s="3">
        <v>10</v>
      </c>
      <c r="P427" s="3">
        <v>2022</v>
      </c>
      <c r="Q427" s="3">
        <v>94.389999999999986</v>
      </c>
    </row>
    <row r="428" spans="1:17" x14ac:dyDescent="0.25">
      <c r="D428" s="4">
        <v>32513</v>
      </c>
      <c r="E428" s="6">
        <v>16.579999999999998</v>
      </c>
      <c r="G428" s="4">
        <f t="shared" si="27"/>
        <v>34901</v>
      </c>
      <c r="H428" s="5">
        <f t="shared" si="24"/>
        <v>15.35</v>
      </c>
      <c r="I428" s="5">
        <f t="shared" si="25"/>
        <v>7</v>
      </c>
      <c r="J428" s="5">
        <f t="shared" si="26"/>
        <v>1995</v>
      </c>
      <c r="K428">
        <v>12</v>
      </c>
      <c r="L428">
        <v>1989</v>
      </c>
      <c r="M428">
        <v>19.811999999999998</v>
      </c>
      <c r="O428" s="3">
        <v>11</v>
      </c>
      <c r="P428" s="3">
        <v>2022</v>
      </c>
      <c r="Q428" s="3">
        <v>92.057500000000005</v>
      </c>
    </row>
    <row r="429" spans="1:17" x14ac:dyDescent="0.25">
      <c r="D429" s="4">
        <v>32514</v>
      </c>
      <c r="E429" s="6">
        <v>16.850000000000001</v>
      </c>
      <c r="G429" s="4">
        <f t="shared" si="27"/>
        <v>34908</v>
      </c>
      <c r="H429" s="5">
        <f t="shared" si="24"/>
        <v>15.93</v>
      </c>
      <c r="I429" s="5">
        <f t="shared" si="25"/>
        <v>7</v>
      </c>
      <c r="J429" s="5">
        <f t="shared" si="26"/>
        <v>1995</v>
      </c>
      <c r="K429">
        <v>12</v>
      </c>
      <c r="L429">
        <v>1990</v>
      </c>
      <c r="M429">
        <v>27.770000000000003</v>
      </c>
      <c r="O429" s="3">
        <v>12</v>
      </c>
      <c r="P429" s="3">
        <v>2022</v>
      </c>
      <c r="Q429" s="3">
        <v>81.676000000000002</v>
      </c>
    </row>
    <row r="430" spans="1:17" x14ac:dyDescent="0.25">
      <c r="D430" s="4">
        <v>32517</v>
      </c>
      <c r="E430" s="6">
        <v>17</v>
      </c>
      <c r="G430" s="4">
        <f t="shared" si="27"/>
        <v>34915</v>
      </c>
      <c r="H430" s="5">
        <f t="shared" si="24"/>
        <v>16.079999999999998</v>
      </c>
      <c r="I430" s="5">
        <f t="shared" si="25"/>
        <v>8</v>
      </c>
      <c r="J430" s="5">
        <f t="shared" si="26"/>
        <v>1995</v>
      </c>
      <c r="K430">
        <v>12</v>
      </c>
      <c r="L430">
        <v>1991</v>
      </c>
      <c r="M430">
        <v>18.600000000000001</v>
      </c>
      <c r="O430" s="3">
        <v>1</v>
      </c>
      <c r="P430" s="3">
        <v>2023</v>
      </c>
      <c r="Q430" s="3">
        <v>83.04</v>
      </c>
    </row>
    <row r="431" spans="1:17" x14ac:dyDescent="0.25">
      <c r="D431" s="4">
        <v>32518</v>
      </c>
      <c r="E431" s="6">
        <v>16.75</v>
      </c>
      <c r="G431" s="4">
        <f t="shared" si="27"/>
        <v>34922</v>
      </c>
      <c r="H431" s="5">
        <f t="shared" si="24"/>
        <v>16.23</v>
      </c>
      <c r="I431" s="5">
        <f t="shared" si="25"/>
        <v>8</v>
      </c>
      <c r="J431" s="5">
        <f t="shared" si="26"/>
        <v>1995</v>
      </c>
      <c r="K431">
        <v>12</v>
      </c>
      <c r="L431">
        <v>1992</v>
      </c>
      <c r="M431">
        <v>13.712499999999999</v>
      </c>
      <c r="O431" s="3">
        <v>2</v>
      </c>
      <c r="P431" s="3">
        <v>2023</v>
      </c>
      <c r="Q431" s="3">
        <v>82.147500000000008</v>
      </c>
    </row>
    <row r="432" spans="1:17" x14ac:dyDescent="0.25">
      <c r="D432" s="4">
        <v>32519</v>
      </c>
      <c r="E432" s="6">
        <v>16.899999999999999</v>
      </c>
      <c r="G432" s="4">
        <f t="shared" si="27"/>
        <v>34929</v>
      </c>
      <c r="H432" s="5">
        <f t="shared" si="24"/>
        <v>16.03</v>
      </c>
      <c r="I432" s="5">
        <f t="shared" si="25"/>
        <v>8</v>
      </c>
      <c r="J432" s="5">
        <f t="shared" si="26"/>
        <v>1995</v>
      </c>
      <c r="K432">
        <v>12</v>
      </c>
      <c r="L432">
        <v>1993</v>
      </c>
      <c r="M432">
        <v>13.632</v>
      </c>
      <c r="O432" s="3">
        <v>3</v>
      </c>
      <c r="P432" s="3">
        <v>2023</v>
      </c>
      <c r="Q432" s="3">
        <v>78.378</v>
      </c>
    </row>
    <row r="433" spans="4:17" x14ac:dyDescent="0.25">
      <c r="D433" s="4">
        <v>32520</v>
      </c>
      <c r="E433" s="6">
        <v>16.850000000000001</v>
      </c>
      <c r="G433" s="4">
        <f t="shared" si="27"/>
        <v>34936</v>
      </c>
      <c r="H433" s="5">
        <f t="shared" si="24"/>
        <v>16.149999999999999</v>
      </c>
      <c r="I433" s="5">
        <f t="shared" si="25"/>
        <v>8</v>
      </c>
      <c r="J433" s="5">
        <f t="shared" si="26"/>
        <v>1995</v>
      </c>
      <c r="K433">
        <v>12</v>
      </c>
      <c r="L433">
        <v>1994</v>
      </c>
      <c r="M433">
        <v>15.937999999999999</v>
      </c>
      <c r="O433" s="3">
        <v>4</v>
      </c>
      <c r="P433" s="3">
        <v>2023</v>
      </c>
      <c r="Q433" s="3">
        <v>62.997500000000002</v>
      </c>
    </row>
    <row r="434" spans="4:17" x14ac:dyDescent="0.25">
      <c r="D434" s="4">
        <v>32521</v>
      </c>
      <c r="E434" s="6">
        <v>17.399999999999999</v>
      </c>
      <c r="G434" s="4">
        <f t="shared" si="27"/>
        <v>34943</v>
      </c>
      <c r="H434" s="5">
        <f t="shared" si="24"/>
        <v>16.25</v>
      </c>
      <c r="I434" s="5">
        <f t="shared" si="25"/>
        <v>9</v>
      </c>
      <c r="J434" s="5">
        <f t="shared" si="26"/>
        <v>1995</v>
      </c>
      <c r="K434">
        <v>12</v>
      </c>
      <c r="L434">
        <v>1995</v>
      </c>
      <c r="M434">
        <v>17.977999999999998</v>
      </c>
      <c r="O434" s="3">
        <v>5</v>
      </c>
      <c r="P434" s="3">
        <v>2023</v>
      </c>
      <c r="Q434" s="3">
        <v>75.534999999999997</v>
      </c>
    </row>
    <row r="435" spans="4:17" x14ac:dyDescent="0.25">
      <c r="D435" s="4">
        <v>32524</v>
      </c>
      <c r="E435" s="6">
        <v>17.5</v>
      </c>
      <c r="G435" s="4">
        <f t="shared" si="27"/>
        <v>34950</v>
      </c>
      <c r="H435" s="5">
        <f t="shared" si="24"/>
        <v>16.93</v>
      </c>
      <c r="I435" s="5">
        <f t="shared" si="25"/>
        <v>9</v>
      </c>
      <c r="J435" s="5">
        <f t="shared" si="26"/>
        <v>1995</v>
      </c>
      <c r="K435">
        <v>12</v>
      </c>
      <c r="L435">
        <v>1996</v>
      </c>
      <c r="M435">
        <v>23.724999999999998</v>
      </c>
      <c r="O435" s="3">
        <v>6</v>
      </c>
      <c r="P435" s="3">
        <v>2023</v>
      </c>
      <c r="Q435" s="3">
        <v>75.114000000000004</v>
      </c>
    </row>
    <row r="436" spans="4:17" x14ac:dyDescent="0.25">
      <c r="D436" s="4">
        <v>32525</v>
      </c>
      <c r="E436" s="6">
        <v>17.78</v>
      </c>
      <c r="G436" s="4">
        <f t="shared" si="27"/>
        <v>34957</v>
      </c>
      <c r="H436" s="5">
        <f t="shared" si="24"/>
        <v>17.18</v>
      </c>
      <c r="I436" s="5">
        <f t="shared" si="25"/>
        <v>9</v>
      </c>
      <c r="J436" s="5">
        <f t="shared" si="26"/>
        <v>1995</v>
      </c>
      <c r="K436">
        <v>12</v>
      </c>
      <c r="L436">
        <v>1997</v>
      </c>
      <c r="M436">
        <v>13.057500000000001</v>
      </c>
      <c r="O436" s="3">
        <v>7</v>
      </c>
      <c r="P436" s="3">
        <v>2023</v>
      </c>
      <c r="Q436" s="3">
        <v>81.055000000000007</v>
      </c>
    </row>
    <row r="437" spans="4:17" x14ac:dyDescent="0.25">
      <c r="D437" s="4">
        <v>32526</v>
      </c>
      <c r="E437" s="6">
        <v>17.95</v>
      </c>
      <c r="G437" s="4">
        <f t="shared" si="27"/>
        <v>34964</v>
      </c>
      <c r="H437" s="5">
        <f t="shared" si="24"/>
        <v>16.399999999999999</v>
      </c>
      <c r="I437" s="5">
        <f t="shared" si="25"/>
        <v>9</v>
      </c>
      <c r="J437" s="5">
        <f t="shared" si="26"/>
        <v>1995</v>
      </c>
      <c r="K437">
        <v>12</v>
      </c>
      <c r="L437">
        <v>1998</v>
      </c>
      <c r="M437">
        <v>7.1524999999999999</v>
      </c>
      <c r="O437" s="3">
        <v>8</v>
      </c>
      <c r="P437" s="3">
        <v>2023</v>
      </c>
      <c r="Q437" s="3">
        <v>86.662500000000009</v>
      </c>
    </row>
    <row r="438" spans="4:17" x14ac:dyDescent="0.25">
      <c r="D438" s="4">
        <v>32527</v>
      </c>
      <c r="E438" s="6">
        <v>18.100000000000001</v>
      </c>
      <c r="G438" s="4">
        <f t="shared" si="27"/>
        <v>34971</v>
      </c>
      <c r="H438" s="5">
        <f t="shared" si="24"/>
        <v>16.579999999999998</v>
      </c>
      <c r="I438" s="5">
        <f t="shared" si="25"/>
        <v>9</v>
      </c>
      <c r="J438" s="5">
        <f t="shared" si="26"/>
        <v>1995</v>
      </c>
      <c r="K438">
        <v>12</v>
      </c>
      <c r="L438">
        <v>1999</v>
      </c>
      <c r="M438">
        <v>15.45</v>
      </c>
      <c r="O438" s="3">
        <v>9</v>
      </c>
      <c r="P438" s="3">
        <v>2023</v>
      </c>
      <c r="Q438" s="3">
        <v>93.445999999999998</v>
      </c>
    </row>
    <row r="439" spans="4:17" x14ac:dyDescent="0.25">
      <c r="D439" s="4">
        <v>32528</v>
      </c>
      <c r="E439" s="6">
        <v>18.149999999999999</v>
      </c>
      <c r="G439" s="4">
        <f t="shared" si="27"/>
        <v>34978</v>
      </c>
      <c r="H439" s="5">
        <f t="shared" si="24"/>
        <v>15.75</v>
      </c>
      <c r="I439" s="5">
        <f t="shared" si="25"/>
        <v>10</v>
      </c>
      <c r="J439" s="5">
        <f t="shared" si="26"/>
        <v>1995</v>
      </c>
      <c r="K439">
        <v>12</v>
      </c>
      <c r="L439">
        <v>2000</v>
      </c>
      <c r="M439">
        <v>25.538</v>
      </c>
      <c r="O439" s="3">
        <v>10</v>
      </c>
      <c r="P439" s="3">
        <v>2023</v>
      </c>
      <c r="Q439" s="3">
        <v>91.66</v>
      </c>
    </row>
    <row r="440" spans="4:17" x14ac:dyDescent="0.25">
      <c r="D440" s="4">
        <v>32531</v>
      </c>
      <c r="E440" s="6">
        <v>16.98</v>
      </c>
      <c r="G440" s="4">
        <f t="shared" si="27"/>
        <v>34985</v>
      </c>
      <c r="H440" s="5">
        <f t="shared" si="24"/>
        <v>15.98</v>
      </c>
      <c r="I440" s="5">
        <f t="shared" si="25"/>
        <v>10</v>
      </c>
      <c r="J440" s="5">
        <f t="shared" si="26"/>
        <v>1995</v>
      </c>
      <c r="K440">
        <v>12</v>
      </c>
      <c r="L440">
        <v>2001</v>
      </c>
      <c r="M440">
        <v>18.712499999999999</v>
      </c>
      <c r="O440" s="3">
        <v>11</v>
      </c>
      <c r="P440" s="3">
        <v>2023</v>
      </c>
      <c r="Q440" s="3">
        <v>83.0625</v>
      </c>
    </row>
    <row r="441" spans="4:17" x14ac:dyDescent="0.25">
      <c r="D441" s="4">
        <v>32532</v>
      </c>
      <c r="E441" s="6">
        <v>17.05</v>
      </c>
      <c r="G441" s="4">
        <f t="shared" si="27"/>
        <v>34992</v>
      </c>
      <c r="H441" s="5">
        <f t="shared" si="24"/>
        <v>15.8</v>
      </c>
      <c r="I441" s="5">
        <f t="shared" si="25"/>
        <v>10</v>
      </c>
      <c r="J441" s="5">
        <f t="shared" si="26"/>
        <v>1995</v>
      </c>
      <c r="K441">
        <v>12</v>
      </c>
      <c r="L441">
        <v>2002</v>
      </c>
      <c r="M441">
        <v>28.5975</v>
      </c>
      <c r="O441" s="3">
        <v>12</v>
      </c>
      <c r="P441" s="3">
        <v>2023</v>
      </c>
      <c r="Q441" s="3">
        <v>77.884</v>
      </c>
    </row>
    <row r="442" spans="4:17" x14ac:dyDescent="0.25">
      <c r="D442" s="4">
        <v>32533</v>
      </c>
      <c r="E442" s="6">
        <v>17.7</v>
      </c>
      <c r="G442" s="4">
        <f t="shared" si="27"/>
        <v>34999</v>
      </c>
      <c r="H442" s="5">
        <f t="shared" si="24"/>
        <v>16.350000000000001</v>
      </c>
      <c r="I442" s="5">
        <f t="shared" si="25"/>
        <v>10</v>
      </c>
      <c r="J442" s="5">
        <f t="shared" si="26"/>
        <v>1995</v>
      </c>
      <c r="K442">
        <v>12</v>
      </c>
      <c r="L442">
        <v>2003</v>
      </c>
      <c r="M442">
        <v>22.535</v>
      </c>
      <c r="O442" s="3">
        <v>1</v>
      </c>
      <c r="P442" s="3">
        <v>2024</v>
      </c>
      <c r="Q442" s="3">
        <v>80.5625</v>
      </c>
    </row>
    <row r="443" spans="4:17" x14ac:dyDescent="0.25">
      <c r="D443" s="4">
        <v>32534</v>
      </c>
      <c r="E443" s="6">
        <v>17.73</v>
      </c>
      <c r="G443" s="4">
        <f t="shared" si="27"/>
        <v>35006</v>
      </c>
      <c r="H443" s="5">
        <f t="shared" si="24"/>
        <v>16.88</v>
      </c>
      <c r="I443" s="5">
        <f t="shared" si="25"/>
        <v>11</v>
      </c>
      <c r="J443" s="5">
        <f t="shared" si="26"/>
        <v>1995</v>
      </c>
      <c r="K443">
        <v>12</v>
      </c>
      <c r="L443">
        <v>2004</v>
      </c>
      <c r="M443">
        <v>39.769999999999996</v>
      </c>
      <c r="O443" s="3">
        <v>2</v>
      </c>
      <c r="P443" s="3">
        <v>2024</v>
      </c>
      <c r="Q443" s="3">
        <v>83.045000000000002</v>
      </c>
    </row>
    <row r="444" spans="4:17" x14ac:dyDescent="0.25">
      <c r="D444" s="4">
        <v>32535</v>
      </c>
      <c r="E444" s="6">
        <v>17.18</v>
      </c>
      <c r="G444" s="4">
        <f t="shared" si="27"/>
        <v>35013</v>
      </c>
      <c r="H444" s="5">
        <f t="shared" si="24"/>
        <v>16.829999999999998</v>
      </c>
      <c r="I444" s="5">
        <f t="shared" si="25"/>
        <v>11</v>
      </c>
      <c r="J444" s="5">
        <f t="shared" si="26"/>
        <v>1995</v>
      </c>
      <c r="K444">
        <v>12</v>
      </c>
      <c r="L444">
        <v>2005</v>
      </c>
      <c r="M444">
        <v>56.963999999999999</v>
      </c>
      <c r="O444" s="3">
        <v>3</v>
      </c>
      <c r="P444" s="3">
        <v>2024</v>
      </c>
      <c r="Q444" s="3">
        <v>67.873999999999995</v>
      </c>
    </row>
    <row r="445" spans="4:17" x14ac:dyDescent="0.25">
      <c r="D445" s="4">
        <v>32538</v>
      </c>
      <c r="E445" s="6">
        <v>16.850000000000001</v>
      </c>
      <c r="G445" s="4">
        <f t="shared" si="27"/>
        <v>35020</v>
      </c>
      <c r="H445" s="5">
        <f t="shared" si="24"/>
        <v>17.03</v>
      </c>
      <c r="I445" s="5">
        <f t="shared" si="25"/>
        <v>11</v>
      </c>
      <c r="J445" s="5">
        <f t="shared" si="26"/>
        <v>1995</v>
      </c>
      <c r="K445">
        <v>12</v>
      </c>
      <c r="L445">
        <v>2006</v>
      </c>
      <c r="M445">
        <v>62.44</v>
      </c>
      <c r="O445" s="3">
        <v>4</v>
      </c>
      <c r="P445" s="3">
        <v>2024</v>
      </c>
      <c r="Q445" s="3">
        <v>90.96</v>
      </c>
    </row>
    <row r="446" spans="4:17" x14ac:dyDescent="0.25">
      <c r="D446" s="4">
        <v>32539</v>
      </c>
      <c r="E446" s="6">
        <v>16.38</v>
      </c>
      <c r="G446" s="4">
        <f t="shared" si="27"/>
        <v>35027</v>
      </c>
      <c r="H446" s="5">
        <f t="shared" si="24"/>
        <v>16.93</v>
      </c>
      <c r="I446" s="5">
        <f t="shared" si="25"/>
        <v>11</v>
      </c>
      <c r="J446" s="5">
        <f t="shared" si="26"/>
        <v>1995</v>
      </c>
      <c r="K446">
        <v>12</v>
      </c>
      <c r="L446">
        <v>2007</v>
      </c>
      <c r="M446">
        <v>91.81750000000001</v>
      </c>
      <c r="O446" s="3">
        <v>5</v>
      </c>
      <c r="P446" s="3">
        <v>2024</v>
      </c>
      <c r="Q446" s="3">
        <v>81.512000000000015</v>
      </c>
    </row>
    <row r="447" spans="4:17" x14ac:dyDescent="0.25">
      <c r="D447" s="4">
        <v>32540</v>
      </c>
      <c r="E447" s="6">
        <v>16.399999999999999</v>
      </c>
      <c r="G447" s="4">
        <f t="shared" si="27"/>
        <v>35034</v>
      </c>
      <c r="H447" s="5">
        <f t="shared" si="24"/>
        <v>17.18</v>
      </c>
      <c r="I447" s="5">
        <f t="shared" si="25"/>
        <v>12</v>
      </c>
      <c r="J447" s="5">
        <f t="shared" si="26"/>
        <v>1995</v>
      </c>
      <c r="K447">
        <v>12</v>
      </c>
      <c r="L447">
        <v>2008</v>
      </c>
      <c r="M447">
        <v>38.167499999999997</v>
      </c>
      <c r="O447" s="3">
        <v>6</v>
      </c>
      <c r="P447" s="3">
        <v>2024</v>
      </c>
      <c r="Q447" s="3">
        <v>83.322500000000005</v>
      </c>
    </row>
    <row r="448" spans="4:17" x14ac:dyDescent="0.25">
      <c r="D448" s="4">
        <v>32541</v>
      </c>
      <c r="E448" s="6">
        <v>16.95</v>
      </c>
      <c r="G448" s="4">
        <f t="shared" si="27"/>
        <v>35041</v>
      </c>
      <c r="H448" s="5">
        <f t="shared" si="24"/>
        <v>17.73</v>
      </c>
      <c r="I448" s="5">
        <f t="shared" si="25"/>
        <v>12</v>
      </c>
      <c r="J448" s="5">
        <f t="shared" si="26"/>
        <v>1995</v>
      </c>
      <c r="K448">
        <v>12</v>
      </c>
      <c r="L448">
        <v>2009</v>
      </c>
      <c r="M448">
        <v>54.92</v>
      </c>
      <c r="O448" s="3">
        <v>7</v>
      </c>
      <c r="P448" s="3">
        <v>2024</v>
      </c>
      <c r="Q448" s="3">
        <v>85.637499999999989</v>
      </c>
    </row>
    <row r="449" spans="4:17" x14ac:dyDescent="0.25">
      <c r="D449" s="4">
        <v>32542</v>
      </c>
      <c r="E449" s="6">
        <v>16.75</v>
      </c>
      <c r="G449" s="4">
        <f t="shared" si="27"/>
        <v>35048</v>
      </c>
      <c r="H449" s="5">
        <f t="shared" si="24"/>
        <v>18.149999999999999</v>
      </c>
      <c r="I449" s="5">
        <f t="shared" si="25"/>
        <v>12</v>
      </c>
      <c r="J449" s="5">
        <f t="shared" si="26"/>
        <v>1995</v>
      </c>
      <c r="K449">
        <v>12</v>
      </c>
      <c r="L449">
        <v>2010</v>
      </c>
      <c r="M449">
        <v>72.906000000000006</v>
      </c>
      <c r="O449" s="3">
        <v>8</v>
      </c>
      <c r="P449" s="3">
        <v>2024</v>
      </c>
      <c r="Q449" s="3">
        <v>80.304000000000002</v>
      </c>
    </row>
    <row r="450" spans="4:17" x14ac:dyDescent="0.25">
      <c r="D450" s="4">
        <v>32545</v>
      </c>
      <c r="E450" s="6">
        <v>16.5</v>
      </c>
      <c r="G450" s="4">
        <f t="shared" si="27"/>
        <v>35055</v>
      </c>
      <c r="H450" s="5">
        <f t="shared" si="24"/>
        <v>18.18</v>
      </c>
      <c r="I450" s="5">
        <f t="shared" si="25"/>
        <v>12</v>
      </c>
      <c r="J450" s="5">
        <f t="shared" si="26"/>
        <v>1995</v>
      </c>
      <c r="K450">
        <v>12</v>
      </c>
      <c r="L450">
        <v>2011</v>
      </c>
      <c r="M450">
        <v>107.774</v>
      </c>
      <c r="O450" s="3">
        <v>9</v>
      </c>
      <c r="P450" s="3">
        <v>2024</v>
      </c>
      <c r="Q450" s="3">
        <v>73.522499999999994</v>
      </c>
    </row>
    <row r="451" spans="4:17" x14ac:dyDescent="0.25">
      <c r="D451" s="4">
        <v>32546</v>
      </c>
      <c r="E451" s="6">
        <v>16.600000000000001</v>
      </c>
      <c r="G451" s="4">
        <f t="shared" si="27"/>
        <v>35062</v>
      </c>
      <c r="H451" s="5">
        <f t="shared" ref="H451:H514" si="28">_xlfn.XLOOKUP(G451,D:D,E:E)</f>
        <v>18.649999999999999</v>
      </c>
      <c r="I451" s="5">
        <f t="shared" ref="I451:I514" si="29">MONTH(G451)</f>
        <v>12</v>
      </c>
      <c r="J451" s="5">
        <f t="shared" ref="J451:J514" si="30">YEAR(G451)</f>
        <v>1995</v>
      </c>
      <c r="K451">
        <v>12</v>
      </c>
      <c r="L451">
        <v>2012</v>
      </c>
      <c r="M451">
        <v>108.905</v>
      </c>
      <c r="O451" s="3">
        <v>10</v>
      </c>
      <c r="P451" s="3">
        <v>2024</v>
      </c>
      <c r="Q451" s="3">
        <v>76.989999999999995</v>
      </c>
    </row>
    <row r="452" spans="4:17" x14ac:dyDescent="0.25">
      <c r="D452" s="4">
        <v>32547</v>
      </c>
      <c r="E452" s="6">
        <v>16.75</v>
      </c>
      <c r="G452" s="4">
        <f t="shared" ref="G452:G515" si="31">G451+7</f>
        <v>35069</v>
      </c>
      <c r="H452" s="5">
        <f t="shared" si="28"/>
        <v>19.5</v>
      </c>
      <c r="I452" s="5">
        <f t="shared" si="29"/>
        <v>1</v>
      </c>
      <c r="J452" s="5">
        <f t="shared" si="30"/>
        <v>1996</v>
      </c>
      <c r="K452">
        <v>12</v>
      </c>
      <c r="L452">
        <v>2013</v>
      </c>
      <c r="M452">
        <v>110.94750000000001</v>
      </c>
      <c r="O452" s="3">
        <v>11</v>
      </c>
      <c r="P452" s="3">
        <v>2024</v>
      </c>
      <c r="Q452" s="3">
        <v>74.275999999999996</v>
      </c>
    </row>
    <row r="453" spans="4:17" x14ac:dyDescent="0.25">
      <c r="D453" s="4">
        <v>32548</v>
      </c>
      <c r="E453" s="6">
        <v>16.579999999999998</v>
      </c>
      <c r="G453" s="4">
        <f t="shared" si="31"/>
        <v>35076</v>
      </c>
      <c r="H453" s="5">
        <f t="shared" si="28"/>
        <v>17.579999999999998</v>
      </c>
      <c r="I453" s="5">
        <f t="shared" si="29"/>
        <v>1</v>
      </c>
      <c r="J453" s="5">
        <f t="shared" si="30"/>
        <v>1996</v>
      </c>
      <c r="K453">
        <v>12</v>
      </c>
      <c r="L453">
        <v>2014</v>
      </c>
      <c r="M453">
        <v>61.815000000000005</v>
      </c>
      <c r="O453" s="3">
        <v>12</v>
      </c>
      <c r="P453" s="3">
        <v>2024</v>
      </c>
      <c r="Q453" s="3">
        <v>73.907499999999999</v>
      </c>
    </row>
    <row r="454" spans="4:17" x14ac:dyDescent="0.25">
      <c r="D454" s="4">
        <v>32549</v>
      </c>
      <c r="E454" s="6">
        <v>16.399999999999999</v>
      </c>
      <c r="G454" s="4">
        <f t="shared" si="31"/>
        <v>35083</v>
      </c>
      <c r="H454" s="5">
        <f t="shared" si="28"/>
        <v>17.53</v>
      </c>
      <c r="I454" s="5">
        <f t="shared" si="29"/>
        <v>1</v>
      </c>
      <c r="J454" s="5">
        <f t="shared" si="30"/>
        <v>1996</v>
      </c>
      <c r="K454">
        <v>12</v>
      </c>
      <c r="L454">
        <v>2015</v>
      </c>
      <c r="M454">
        <v>28.797499999999999</v>
      </c>
      <c r="O454" s="3">
        <v>1</v>
      </c>
      <c r="P454" s="3">
        <v>2025</v>
      </c>
      <c r="Q454" s="3">
        <v>79.063999999999993</v>
      </c>
    </row>
    <row r="455" spans="4:17" x14ac:dyDescent="0.25">
      <c r="D455" s="4">
        <v>32552</v>
      </c>
      <c r="E455" s="6">
        <v>16.5</v>
      </c>
      <c r="G455" s="4">
        <f t="shared" si="31"/>
        <v>35090</v>
      </c>
      <c r="H455" s="5">
        <f t="shared" si="28"/>
        <v>16.7</v>
      </c>
      <c r="I455" s="5">
        <f t="shared" si="29"/>
        <v>1</v>
      </c>
      <c r="J455" s="5">
        <f t="shared" si="30"/>
        <v>1996</v>
      </c>
      <c r="K455">
        <v>12</v>
      </c>
      <c r="L455">
        <v>2016</v>
      </c>
      <c r="M455">
        <v>53.515999999999998</v>
      </c>
      <c r="O455" s="3">
        <v>2</v>
      </c>
      <c r="P455" s="3">
        <v>2025</v>
      </c>
      <c r="Q455" s="3">
        <v>74.877499999999998</v>
      </c>
    </row>
    <row r="456" spans="4:17" x14ac:dyDescent="0.25">
      <c r="D456" s="4">
        <v>32553</v>
      </c>
      <c r="E456" s="6">
        <v>16.829999999999998</v>
      </c>
      <c r="G456" s="4">
        <f t="shared" si="31"/>
        <v>35097</v>
      </c>
      <c r="H456" s="5">
        <f t="shared" si="28"/>
        <v>17.05</v>
      </c>
      <c r="I456" s="5">
        <f t="shared" si="29"/>
        <v>2</v>
      </c>
      <c r="J456" s="5">
        <f t="shared" si="30"/>
        <v>1996</v>
      </c>
      <c r="K456">
        <v>12</v>
      </c>
      <c r="L456">
        <v>2017</v>
      </c>
      <c r="M456">
        <v>64.716000000000008</v>
      </c>
      <c r="O456" s="3">
        <v>3</v>
      </c>
      <c r="P456" s="3">
        <v>2025</v>
      </c>
      <c r="Q456" s="3">
        <v>72.94</v>
      </c>
    </row>
    <row r="457" spans="4:17" x14ac:dyDescent="0.25">
      <c r="D457" s="4">
        <v>32554</v>
      </c>
      <c r="E457" s="6">
        <v>16.75</v>
      </c>
      <c r="G457" s="4">
        <f t="shared" si="31"/>
        <v>35104</v>
      </c>
      <c r="H457" s="5">
        <f t="shared" si="28"/>
        <v>17.23</v>
      </c>
      <c r="I457" s="5">
        <f t="shared" si="29"/>
        <v>2</v>
      </c>
      <c r="J457" s="5">
        <f t="shared" si="30"/>
        <v>1996</v>
      </c>
      <c r="K457">
        <v>12</v>
      </c>
      <c r="L457">
        <v>2018</v>
      </c>
      <c r="M457">
        <v>55.692500000000003</v>
      </c>
      <c r="O457" s="3">
        <v>4</v>
      </c>
      <c r="P457" s="3">
        <v>2025</v>
      </c>
      <c r="Q457" s="3">
        <v>50.545000000000002</v>
      </c>
    </row>
    <row r="458" spans="4:17" x14ac:dyDescent="0.25">
      <c r="D458" s="4">
        <v>32555</v>
      </c>
      <c r="E458" s="6">
        <v>17.149999999999999</v>
      </c>
      <c r="G458" s="4">
        <f t="shared" si="31"/>
        <v>35111</v>
      </c>
      <c r="H458" s="5">
        <f t="shared" si="28"/>
        <v>18.2</v>
      </c>
      <c r="I458" s="5">
        <f t="shared" si="29"/>
        <v>2</v>
      </c>
      <c r="J458" s="5">
        <f t="shared" si="30"/>
        <v>1996</v>
      </c>
      <c r="K458">
        <v>12</v>
      </c>
      <c r="L458">
        <v>2019</v>
      </c>
      <c r="M458">
        <v>67.877499999999998</v>
      </c>
      <c r="O458" s="3">
        <v>5</v>
      </c>
      <c r="P458" s="3">
        <v>2025</v>
      </c>
      <c r="Q458" s="3">
        <v>64.152000000000015</v>
      </c>
    </row>
    <row r="459" spans="4:17" x14ac:dyDescent="0.25">
      <c r="D459" s="4">
        <v>32556</v>
      </c>
      <c r="E459" s="6">
        <v>17.149999999999999</v>
      </c>
      <c r="G459" s="4">
        <f t="shared" si="31"/>
        <v>35118</v>
      </c>
      <c r="H459" s="5">
        <f t="shared" si="28"/>
        <v>18.850000000000001</v>
      </c>
      <c r="I459" s="5">
        <f t="shared" si="29"/>
        <v>2</v>
      </c>
      <c r="J459" s="5">
        <f t="shared" si="30"/>
        <v>1996</v>
      </c>
      <c r="K459">
        <v>12</v>
      </c>
      <c r="L459">
        <v>2020</v>
      </c>
      <c r="M459">
        <v>37.82</v>
      </c>
      <c r="O459" s="3">
        <v>6</v>
      </c>
      <c r="P459" s="3">
        <v>2025</v>
      </c>
      <c r="Q459" s="3">
        <v>73.03</v>
      </c>
    </row>
    <row r="460" spans="4:17" x14ac:dyDescent="0.25">
      <c r="D460" s="4">
        <v>32559</v>
      </c>
      <c r="E460" s="6">
        <v>17.38</v>
      </c>
      <c r="G460" s="4">
        <f t="shared" si="31"/>
        <v>35125</v>
      </c>
      <c r="H460" s="5">
        <f t="shared" si="28"/>
        <v>18.55</v>
      </c>
      <c r="I460" s="5">
        <f t="shared" si="29"/>
        <v>3</v>
      </c>
      <c r="J460" s="5">
        <f t="shared" si="30"/>
        <v>1996</v>
      </c>
      <c r="K460">
        <v>12</v>
      </c>
      <c r="L460">
        <v>2021</v>
      </c>
      <c r="M460">
        <v>74.227999999999994</v>
      </c>
      <c r="O460" s="3">
        <v>7</v>
      </c>
      <c r="P460" s="3">
        <v>2025</v>
      </c>
      <c r="Q460" s="3">
        <v>70.844999999999999</v>
      </c>
    </row>
    <row r="461" spans="4:17" x14ac:dyDescent="0.25">
      <c r="D461" s="4">
        <v>32560</v>
      </c>
      <c r="E461" s="6">
        <v>17.2</v>
      </c>
      <c r="G461" s="4">
        <f t="shared" si="31"/>
        <v>35132</v>
      </c>
      <c r="H461" s="5">
        <f t="shared" si="28"/>
        <v>18.850000000000001</v>
      </c>
      <c r="I461" s="5">
        <f t="shared" si="29"/>
        <v>3</v>
      </c>
      <c r="J461" s="5">
        <f t="shared" si="30"/>
        <v>1996</v>
      </c>
      <c r="K461">
        <v>12</v>
      </c>
      <c r="L461">
        <v>2022</v>
      </c>
      <c r="M461">
        <v>81.676000000000002</v>
      </c>
      <c r="O461" s="3">
        <v>8</v>
      </c>
      <c r="P461" s="3">
        <v>2025</v>
      </c>
      <c r="Q461" s="3">
        <v>68.227999999999994</v>
      </c>
    </row>
    <row r="462" spans="4:17" x14ac:dyDescent="0.25">
      <c r="D462" s="4">
        <v>32561</v>
      </c>
      <c r="E462" s="6">
        <v>16.95</v>
      </c>
      <c r="G462" s="4">
        <f t="shared" si="31"/>
        <v>35139</v>
      </c>
      <c r="H462" s="5">
        <f t="shared" si="28"/>
        <v>19.3</v>
      </c>
      <c r="I462" s="5">
        <f t="shared" si="29"/>
        <v>3</v>
      </c>
      <c r="J462" s="5">
        <f t="shared" si="30"/>
        <v>1996</v>
      </c>
      <c r="K462">
        <v>12</v>
      </c>
      <c r="L462">
        <v>2023</v>
      </c>
      <c r="M462">
        <v>77.884</v>
      </c>
      <c r="O462" s="3">
        <v>9</v>
      </c>
      <c r="P462" s="3">
        <v>2025</v>
      </c>
      <c r="Q462" s="3">
        <v>67.747500000000002</v>
      </c>
    </row>
    <row r="463" spans="4:17" x14ac:dyDescent="0.25">
      <c r="D463" s="4">
        <v>32562</v>
      </c>
      <c r="E463" s="6">
        <v>17.100000000000001</v>
      </c>
      <c r="G463" s="4">
        <f t="shared" si="31"/>
        <v>35146</v>
      </c>
      <c r="H463" s="5">
        <f t="shared" si="28"/>
        <v>21.15</v>
      </c>
      <c r="I463" s="5">
        <f t="shared" si="29"/>
        <v>3</v>
      </c>
      <c r="J463" s="5">
        <f t="shared" si="30"/>
        <v>1996</v>
      </c>
      <c r="K463">
        <v>12</v>
      </c>
      <c r="L463">
        <v>2024</v>
      </c>
      <c r="M463">
        <v>73.907499999999999</v>
      </c>
      <c r="O463" s="3">
        <v>10</v>
      </c>
      <c r="P463" s="3">
        <v>2025</v>
      </c>
      <c r="Q463" s="3">
        <v>63.923333333333325</v>
      </c>
    </row>
    <row r="464" spans="4:17" x14ac:dyDescent="0.25">
      <c r="D464" s="4">
        <v>32563</v>
      </c>
      <c r="E464" s="6">
        <v>17.05</v>
      </c>
      <c r="G464" s="4">
        <f t="shared" si="31"/>
        <v>35153</v>
      </c>
      <c r="H464" s="5">
        <f t="shared" si="28"/>
        <v>20.329999999999998</v>
      </c>
      <c r="I464" s="5">
        <f t="shared" si="29"/>
        <v>3</v>
      </c>
      <c r="J464" s="5">
        <f t="shared" si="30"/>
        <v>1996</v>
      </c>
      <c r="K464" t="str">
        <v>Total</v>
      </c>
      <c r="L464" t="str">
        <v/>
      </c>
      <c r="M464">
        <v>49.365416458852863</v>
      </c>
    </row>
    <row r="465" spans="4:10" x14ac:dyDescent="0.25">
      <c r="D465" s="4">
        <v>32566</v>
      </c>
      <c r="E465" s="6">
        <v>17.55</v>
      </c>
      <c r="G465" s="4">
        <f t="shared" si="31"/>
        <v>35160</v>
      </c>
      <c r="H465" s="5">
        <f t="shared" si="28"/>
        <v>0</v>
      </c>
      <c r="I465" s="5">
        <f t="shared" si="29"/>
        <v>4</v>
      </c>
      <c r="J465" s="5">
        <f t="shared" si="30"/>
        <v>1996</v>
      </c>
    </row>
    <row r="466" spans="4:10" x14ac:dyDescent="0.25">
      <c r="D466" s="4">
        <v>32567</v>
      </c>
      <c r="E466" s="6">
        <v>17.23</v>
      </c>
      <c r="G466" s="4">
        <f t="shared" si="31"/>
        <v>35167</v>
      </c>
      <c r="H466" s="5">
        <f t="shared" si="28"/>
        <v>22.73</v>
      </c>
      <c r="I466" s="5">
        <f t="shared" si="29"/>
        <v>4</v>
      </c>
      <c r="J466" s="5">
        <f t="shared" si="30"/>
        <v>1996</v>
      </c>
    </row>
    <row r="467" spans="4:10" x14ac:dyDescent="0.25">
      <c r="D467" s="4">
        <v>32568</v>
      </c>
      <c r="E467" s="6">
        <v>17.25</v>
      </c>
      <c r="G467" s="4">
        <f t="shared" si="31"/>
        <v>35174</v>
      </c>
      <c r="H467" s="5">
        <f t="shared" si="28"/>
        <v>19.53</v>
      </c>
      <c r="I467" s="5">
        <f t="shared" si="29"/>
        <v>4</v>
      </c>
      <c r="J467" s="5">
        <f t="shared" si="30"/>
        <v>1996</v>
      </c>
    </row>
    <row r="468" spans="4:10" x14ac:dyDescent="0.25">
      <c r="D468" s="4">
        <v>32569</v>
      </c>
      <c r="E468" s="6">
        <v>17.45</v>
      </c>
      <c r="G468" s="4">
        <f t="shared" si="31"/>
        <v>35181</v>
      </c>
      <c r="H468" s="5">
        <f t="shared" si="28"/>
        <v>20.05</v>
      </c>
      <c r="I468" s="5">
        <f t="shared" si="29"/>
        <v>4</v>
      </c>
      <c r="J468" s="5">
        <f t="shared" si="30"/>
        <v>1996</v>
      </c>
    </row>
    <row r="469" spans="4:10" x14ac:dyDescent="0.25">
      <c r="D469" s="4">
        <v>32570</v>
      </c>
      <c r="E469" s="6">
        <v>17.73</v>
      </c>
      <c r="G469" s="4">
        <f t="shared" si="31"/>
        <v>35188</v>
      </c>
      <c r="H469" s="5">
        <f t="shared" si="28"/>
        <v>19.38</v>
      </c>
      <c r="I469" s="5">
        <f t="shared" si="29"/>
        <v>5</v>
      </c>
      <c r="J469" s="5">
        <f t="shared" si="30"/>
        <v>1996</v>
      </c>
    </row>
    <row r="470" spans="4:10" x14ac:dyDescent="0.25">
      <c r="D470" s="4">
        <v>32573</v>
      </c>
      <c r="E470" s="6">
        <v>17.73</v>
      </c>
      <c r="G470" s="4">
        <f t="shared" si="31"/>
        <v>35195</v>
      </c>
      <c r="H470" s="5">
        <f t="shared" si="28"/>
        <v>19.23</v>
      </c>
      <c r="I470" s="5">
        <f t="shared" si="29"/>
        <v>5</v>
      </c>
      <c r="J470" s="5">
        <f t="shared" si="30"/>
        <v>1996</v>
      </c>
    </row>
    <row r="471" spans="4:10" x14ac:dyDescent="0.25">
      <c r="D471" s="4">
        <v>32574</v>
      </c>
      <c r="E471" s="6">
        <v>17.55</v>
      </c>
      <c r="G471" s="4">
        <f t="shared" si="31"/>
        <v>35202</v>
      </c>
      <c r="H471" s="5">
        <f t="shared" si="28"/>
        <v>18.05</v>
      </c>
      <c r="I471" s="5">
        <f t="shared" si="29"/>
        <v>5</v>
      </c>
      <c r="J471" s="5">
        <f t="shared" si="30"/>
        <v>1996</v>
      </c>
    </row>
    <row r="472" spans="4:10" x14ac:dyDescent="0.25">
      <c r="D472" s="4">
        <v>32575</v>
      </c>
      <c r="E472" s="6">
        <v>17.55</v>
      </c>
      <c r="G472" s="4">
        <f t="shared" si="31"/>
        <v>35209</v>
      </c>
      <c r="H472" s="5">
        <f t="shared" si="28"/>
        <v>19.73</v>
      </c>
      <c r="I472" s="5">
        <f t="shared" si="29"/>
        <v>5</v>
      </c>
      <c r="J472" s="5">
        <f t="shared" si="30"/>
        <v>1996</v>
      </c>
    </row>
    <row r="473" spans="4:10" x14ac:dyDescent="0.25">
      <c r="D473" s="4">
        <v>32576</v>
      </c>
      <c r="E473" s="6">
        <v>17.8</v>
      </c>
      <c r="G473" s="4">
        <f t="shared" si="31"/>
        <v>35216</v>
      </c>
      <c r="H473" s="5">
        <f t="shared" si="28"/>
        <v>18.100000000000001</v>
      </c>
      <c r="I473" s="5">
        <f t="shared" si="29"/>
        <v>5</v>
      </c>
      <c r="J473" s="5">
        <f t="shared" si="30"/>
        <v>1996</v>
      </c>
    </row>
    <row r="474" spans="4:10" x14ac:dyDescent="0.25">
      <c r="D474" s="4">
        <v>32577</v>
      </c>
      <c r="E474" s="6">
        <v>17.63</v>
      </c>
      <c r="G474" s="4">
        <f t="shared" si="31"/>
        <v>35223</v>
      </c>
      <c r="H474" s="5">
        <f t="shared" si="28"/>
        <v>18.399999999999999</v>
      </c>
      <c r="I474" s="5">
        <f t="shared" si="29"/>
        <v>6</v>
      </c>
      <c r="J474" s="5">
        <f t="shared" si="30"/>
        <v>1996</v>
      </c>
    </row>
    <row r="475" spans="4:10" x14ac:dyDescent="0.25">
      <c r="D475" s="4">
        <v>32580</v>
      </c>
      <c r="E475" s="6">
        <v>18.100000000000001</v>
      </c>
      <c r="G475" s="4">
        <f t="shared" si="31"/>
        <v>35230</v>
      </c>
      <c r="H475" s="5">
        <f t="shared" si="28"/>
        <v>17.829999999999998</v>
      </c>
      <c r="I475" s="5">
        <f t="shared" si="29"/>
        <v>6</v>
      </c>
      <c r="J475" s="5">
        <f t="shared" si="30"/>
        <v>1996</v>
      </c>
    </row>
    <row r="476" spans="4:10" x14ac:dyDescent="0.25">
      <c r="D476" s="4">
        <v>32581</v>
      </c>
      <c r="E476" s="6">
        <v>18.63</v>
      </c>
      <c r="G476" s="4">
        <f t="shared" si="31"/>
        <v>35237</v>
      </c>
      <c r="H476" s="5">
        <f t="shared" si="28"/>
        <v>18.45</v>
      </c>
      <c r="I476" s="5">
        <f t="shared" si="29"/>
        <v>6</v>
      </c>
      <c r="J476" s="5">
        <f t="shared" si="30"/>
        <v>1996</v>
      </c>
    </row>
    <row r="477" spans="4:10" x14ac:dyDescent="0.25">
      <c r="D477" s="4">
        <v>32582</v>
      </c>
      <c r="E477" s="6">
        <v>19.079999999999998</v>
      </c>
      <c r="G477" s="4">
        <f t="shared" si="31"/>
        <v>35244</v>
      </c>
      <c r="H477" s="5">
        <f t="shared" si="28"/>
        <v>19.28</v>
      </c>
      <c r="I477" s="5">
        <f t="shared" si="29"/>
        <v>6</v>
      </c>
      <c r="J477" s="5">
        <f t="shared" si="30"/>
        <v>1996</v>
      </c>
    </row>
    <row r="478" spans="4:10" x14ac:dyDescent="0.25">
      <c r="D478" s="4">
        <v>32583</v>
      </c>
      <c r="E478" s="6">
        <v>18.95</v>
      </c>
      <c r="G478" s="4">
        <f t="shared" si="31"/>
        <v>35251</v>
      </c>
      <c r="H478" s="5">
        <f t="shared" si="28"/>
        <v>19.989999999999998</v>
      </c>
      <c r="I478" s="5">
        <f t="shared" si="29"/>
        <v>7</v>
      </c>
      <c r="J478" s="5">
        <f t="shared" si="30"/>
        <v>1996</v>
      </c>
    </row>
    <row r="479" spans="4:10" x14ac:dyDescent="0.25">
      <c r="D479" s="4">
        <v>32584</v>
      </c>
      <c r="E479" s="6">
        <v>19.3</v>
      </c>
      <c r="G479" s="4">
        <f t="shared" si="31"/>
        <v>35258</v>
      </c>
      <c r="H479" s="5">
        <f t="shared" si="28"/>
        <v>19.93</v>
      </c>
      <c r="I479" s="5">
        <f t="shared" si="29"/>
        <v>7</v>
      </c>
      <c r="J479" s="5">
        <f t="shared" si="30"/>
        <v>1996</v>
      </c>
    </row>
    <row r="480" spans="4:10" x14ac:dyDescent="0.25">
      <c r="D480" s="4">
        <v>32587</v>
      </c>
      <c r="E480" s="6">
        <v>19.18</v>
      </c>
      <c r="G480" s="4">
        <f t="shared" si="31"/>
        <v>35265</v>
      </c>
      <c r="H480" s="5">
        <f t="shared" si="28"/>
        <v>19.45</v>
      </c>
      <c r="I480" s="5">
        <f t="shared" si="29"/>
        <v>7</v>
      </c>
      <c r="J480" s="5">
        <f t="shared" si="30"/>
        <v>1996</v>
      </c>
    </row>
    <row r="481" spans="4:10" x14ac:dyDescent="0.25">
      <c r="D481" s="4">
        <v>32588</v>
      </c>
      <c r="E481" s="6">
        <v>19.63</v>
      </c>
      <c r="G481" s="4">
        <f t="shared" si="31"/>
        <v>35272</v>
      </c>
      <c r="H481" s="5">
        <f t="shared" si="28"/>
        <v>18.920000000000002</v>
      </c>
      <c r="I481" s="5">
        <f t="shared" si="29"/>
        <v>7</v>
      </c>
      <c r="J481" s="5">
        <f t="shared" si="30"/>
        <v>1996</v>
      </c>
    </row>
    <row r="482" spans="4:10" x14ac:dyDescent="0.25">
      <c r="D482" s="4">
        <v>32589</v>
      </c>
      <c r="E482" s="6">
        <v>19.600000000000001</v>
      </c>
      <c r="G482" s="4">
        <f t="shared" si="31"/>
        <v>35279</v>
      </c>
      <c r="H482" s="5">
        <f t="shared" si="28"/>
        <v>19.63</v>
      </c>
      <c r="I482" s="5">
        <f t="shared" si="29"/>
        <v>8</v>
      </c>
      <c r="J482" s="5">
        <f t="shared" si="30"/>
        <v>1996</v>
      </c>
    </row>
    <row r="483" spans="4:10" x14ac:dyDescent="0.25">
      <c r="D483" s="4">
        <v>32590</v>
      </c>
      <c r="E483" s="6">
        <v>19.93</v>
      </c>
      <c r="G483" s="4">
        <f t="shared" si="31"/>
        <v>35286</v>
      </c>
      <c r="H483" s="5">
        <f t="shared" si="28"/>
        <v>20.05</v>
      </c>
      <c r="I483" s="5">
        <f t="shared" si="29"/>
        <v>8</v>
      </c>
      <c r="J483" s="5">
        <f t="shared" si="30"/>
        <v>1996</v>
      </c>
    </row>
    <row r="484" spans="4:10" x14ac:dyDescent="0.25">
      <c r="D484" s="4">
        <v>32591</v>
      </c>
      <c r="E484" s="5"/>
      <c r="G484" s="4">
        <f t="shared" si="31"/>
        <v>35293</v>
      </c>
      <c r="H484" s="5">
        <f t="shared" si="28"/>
        <v>21.3</v>
      </c>
      <c r="I484" s="5">
        <f t="shared" si="29"/>
        <v>8</v>
      </c>
      <c r="J484" s="5">
        <f t="shared" si="30"/>
        <v>1996</v>
      </c>
    </row>
    <row r="485" spans="4:10" x14ac:dyDescent="0.25">
      <c r="D485" s="4">
        <v>32594</v>
      </c>
      <c r="E485" s="5"/>
      <c r="G485" s="4">
        <f t="shared" si="31"/>
        <v>35300</v>
      </c>
      <c r="H485" s="5">
        <f t="shared" si="28"/>
        <v>20.78</v>
      </c>
      <c r="I485" s="5">
        <f t="shared" si="29"/>
        <v>8</v>
      </c>
      <c r="J485" s="5">
        <f t="shared" si="30"/>
        <v>1996</v>
      </c>
    </row>
    <row r="486" spans="4:10" x14ac:dyDescent="0.25">
      <c r="D486" s="4">
        <v>32595</v>
      </c>
      <c r="E486" s="6">
        <v>19.73</v>
      </c>
      <c r="G486" s="4">
        <f t="shared" si="31"/>
        <v>35307</v>
      </c>
      <c r="H486" s="5">
        <f t="shared" si="28"/>
        <v>20.98</v>
      </c>
      <c r="I486" s="5">
        <f t="shared" si="29"/>
        <v>8</v>
      </c>
      <c r="J486" s="5">
        <f t="shared" si="30"/>
        <v>1996</v>
      </c>
    </row>
    <row r="487" spans="4:10" x14ac:dyDescent="0.25">
      <c r="D487" s="4">
        <v>32596</v>
      </c>
      <c r="E487" s="6">
        <v>19.45</v>
      </c>
      <c r="G487" s="4">
        <f t="shared" si="31"/>
        <v>35314</v>
      </c>
      <c r="H487" s="5">
        <f t="shared" si="28"/>
        <v>22.43</v>
      </c>
      <c r="I487" s="5">
        <f t="shared" si="29"/>
        <v>9</v>
      </c>
      <c r="J487" s="5">
        <f t="shared" si="30"/>
        <v>1996</v>
      </c>
    </row>
    <row r="488" spans="4:10" x14ac:dyDescent="0.25">
      <c r="D488" s="4">
        <v>32597</v>
      </c>
      <c r="E488" s="6">
        <v>20</v>
      </c>
      <c r="G488" s="4">
        <f t="shared" si="31"/>
        <v>35321</v>
      </c>
      <c r="H488" s="5">
        <f t="shared" si="28"/>
        <v>23.83</v>
      </c>
      <c r="I488" s="5">
        <f t="shared" si="29"/>
        <v>9</v>
      </c>
      <c r="J488" s="5">
        <f t="shared" si="30"/>
        <v>1996</v>
      </c>
    </row>
    <row r="489" spans="4:10" x14ac:dyDescent="0.25">
      <c r="D489" s="4">
        <v>32598</v>
      </c>
      <c r="E489" s="6">
        <v>20.45</v>
      </c>
      <c r="G489" s="4">
        <f t="shared" si="31"/>
        <v>35328</v>
      </c>
      <c r="H489" s="5">
        <f t="shared" si="28"/>
        <v>21.78</v>
      </c>
      <c r="I489" s="5">
        <f t="shared" si="29"/>
        <v>9</v>
      </c>
      <c r="J489" s="5">
        <f t="shared" si="30"/>
        <v>1996</v>
      </c>
    </row>
    <row r="490" spans="4:10" x14ac:dyDescent="0.25">
      <c r="D490" s="4">
        <v>32601</v>
      </c>
      <c r="E490" s="6">
        <v>19.649999999999999</v>
      </c>
      <c r="G490" s="4">
        <f t="shared" si="31"/>
        <v>35335</v>
      </c>
      <c r="H490" s="5">
        <f t="shared" si="28"/>
        <v>22.9</v>
      </c>
      <c r="I490" s="5">
        <f t="shared" si="29"/>
        <v>9</v>
      </c>
      <c r="J490" s="5">
        <f t="shared" si="30"/>
        <v>1996</v>
      </c>
    </row>
    <row r="491" spans="4:10" x14ac:dyDescent="0.25">
      <c r="D491" s="4">
        <v>32602</v>
      </c>
      <c r="E491" s="6">
        <v>19.899999999999999</v>
      </c>
      <c r="G491" s="4">
        <f t="shared" si="31"/>
        <v>35342</v>
      </c>
      <c r="H491" s="5">
        <f t="shared" si="28"/>
        <v>23.88</v>
      </c>
      <c r="I491" s="5">
        <f t="shared" si="29"/>
        <v>10</v>
      </c>
      <c r="J491" s="5">
        <f t="shared" si="30"/>
        <v>1996</v>
      </c>
    </row>
    <row r="492" spans="4:10" x14ac:dyDescent="0.25">
      <c r="D492" s="4">
        <v>32603</v>
      </c>
      <c r="E492" s="6">
        <v>19.75</v>
      </c>
      <c r="G492" s="4">
        <f t="shared" si="31"/>
        <v>35349</v>
      </c>
      <c r="H492" s="5">
        <f t="shared" si="28"/>
        <v>23.85</v>
      </c>
      <c r="I492" s="5">
        <f t="shared" si="29"/>
        <v>10</v>
      </c>
      <c r="J492" s="5">
        <f t="shared" si="30"/>
        <v>1996</v>
      </c>
    </row>
    <row r="493" spans="4:10" x14ac:dyDescent="0.25">
      <c r="D493" s="4">
        <v>32604</v>
      </c>
      <c r="E493" s="6">
        <v>19.079999999999998</v>
      </c>
      <c r="G493" s="4">
        <f t="shared" si="31"/>
        <v>35356</v>
      </c>
      <c r="H493" s="5">
        <f t="shared" si="28"/>
        <v>25.18</v>
      </c>
      <c r="I493" s="5">
        <f t="shared" si="29"/>
        <v>10</v>
      </c>
      <c r="J493" s="5">
        <f t="shared" si="30"/>
        <v>1996</v>
      </c>
    </row>
    <row r="494" spans="4:10" x14ac:dyDescent="0.25">
      <c r="D494" s="4">
        <v>32605</v>
      </c>
      <c r="E494" s="6">
        <v>19.399999999999999</v>
      </c>
      <c r="G494" s="4">
        <f t="shared" si="31"/>
        <v>35363</v>
      </c>
      <c r="H494" s="5">
        <f t="shared" si="28"/>
        <v>24.13</v>
      </c>
      <c r="I494" s="5">
        <f t="shared" si="29"/>
        <v>10</v>
      </c>
      <c r="J494" s="5">
        <f t="shared" si="30"/>
        <v>1996</v>
      </c>
    </row>
    <row r="495" spans="4:10" x14ac:dyDescent="0.25">
      <c r="D495" s="4">
        <v>32608</v>
      </c>
      <c r="E495" s="6">
        <v>19.600000000000001</v>
      </c>
      <c r="G495" s="4">
        <f t="shared" si="31"/>
        <v>35370</v>
      </c>
      <c r="H495" s="5">
        <f t="shared" si="28"/>
        <v>22.3</v>
      </c>
      <c r="I495" s="5">
        <f t="shared" si="29"/>
        <v>11</v>
      </c>
      <c r="J495" s="5">
        <f t="shared" si="30"/>
        <v>1996</v>
      </c>
    </row>
    <row r="496" spans="4:10" x14ac:dyDescent="0.25">
      <c r="D496" s="4">
        <v>32609</v>
      </c>
      <c r="E496" s="6">
        <v>19.95</v>
      </c>
      <c r="G496" s="4">
        <f t="shared" si="31"/>
        <v>35377</v>
      </c>
      <c r="H496" s="5">
        <f t="shared" si="28"/>
        <v>22.4</v>
      </c>
      <c r="I496" s="5">
        <f t="shared" si="29"/>
        <v>11</v>
      </c>
      <c r="J496" s="5">
        <f t="shared" si="30"/>
        <v>1996</v>
      </c>
    </row>
    <row r="497" spans="4:10" x14ac:dyDescent="0.25">
      <c r="D497" s="4">
        <v>32610</v>
      </c>
      <c r="E497" s="6">
        <v>19.850000000000001</v>
      </c>
      <c r="G497" s="4">
        <f t="shared" si="31"/>
        <v>35384</v>
      </c>
      <c r="H497" s="5">
        <f t="shared" si="28"/>
        <v>23.28</v>
      </c>
      <c r="I497" s="5">
        <f t="shared" si="29"/>
        <v>11</v>
      </c>
      <c r="J497" s="5">
        <f t="shared" si="30"/>
        <v>1996</v>
      </c>
    </row>
    <row r="498" spans="4:10" x14ac:dyDescent="0.25">
      <c r="D498" s="4">
        <v>32611</v>
      </c>
      <c r="E498" s="6">
        <v>19.95</v>
      </c>
      <c r="G498" s="4">
        <f t="shared" si="31"/>
        <v>35391</v>
      </c>
      <c r="H498" s="5">
        <f t="shared" si="28"/>
        <v>23.86</v>
      </c>
      <c r="I498" s="5">
        <f t="shared" si="29"/>
        <v>11</v>
      </c>
      <c r="J498" s="5">
        <f t="shared" si="30"/>
        <v>1996</v>
      </c>
    </row>
    <row r="499" spans="4:10" x14ac:dyDescent="0.25">
      <c r="D499" s="4">
        <v>32612</v>
      </c>
      <c r="E499" s="6">
        <v>19.63</v>
      </c>
      <c r="G499" s="4">
        <f t="shared" si="31"/>
        <v>35398</v>
      </c>
      <c r="H499" s="5">
        <f t="shared" si="28"/>
        <v>23.17</v>
      </c>
      <c r="I499" s="5">
        <f t="shared" si="29"/>
        <v>11</v>
      </c>
      <c r="J499" s="5">
        <f t="shared" si="30"/>
        <v>1996</v>
      </c>
    </row>
    <row r="500" spans="4:10" x14ac:dyDescent="0.25">
      <c r="D500" s="4">
        <v>32615</v>
      </c>
      <c r="E500" s="6">
        <v>19.88</v>
      </c>
      <c r="G500" s="4">
        <f t="shared" si="31"/>
        <v>35405</v>
      </c>
      <c r="H500" s="5">
        <f t="shared" si="28"/>
        <v>24.56</v>
      </c>
      <c r="I500" s="5">
        <f t="shared" si="29"/>
        <v>12</v>
      </c>
      <c r="J500" s="5">
        <f t="shared" si="30"/>
        <v>1996</v>
      </c>
    </row>
    <row r="501" spans="4:10" x14ac:dyDescent="0.25">
      <c r="D501" s="4">
        <v>32616</v>
      </c>
      <c r="E501" s="6">
        <v>20.2</v>
      </c>
      <c r="G501" s="4">
        <f t="shared" si="31"/>
        <v>35412</v>
      </c>
      <c r="H501" s="5">
        <f t="shared" si="28"/>
        <v>22.83</v>
      </c>
      <c r="I501" s="5">
        <f t="shared" si="29"/>
        <v>12</v>
      </c>
      <c r="J501" s="5">
        <f t="shared" si="30"/>
        <v>1996</v>
      </c>
    </row>
    <row r="502" spans="4:10" x14ac:dyDescent="0.25">
      <c r="D502" s="4">
        <v>32617</v>
      </c>
      <c r="E502" s="6">
        <v>21.5</v>
      </c>
      <c r="G502" s="4">
        <f t="shared" si="31"/>
        <v>35419</v>
      </c>
      <c r="H502" s="5">
        <f t="shared" si="28"/>
        <v>23.96</v>
      </c>
      <c r="I502" s="5">
        <f t="shared" si="29"/>
        <v>12</v>
      </c>
      <c r="J502" s="5">
        <f t="shared" si="30"/>
        <v>1996</v>
      </c>
    </row>
    <row r="503" spans="4:10" x14ac:dyDescent="0.25">
      <c r="D503" s="4">
        <v>32618</v>
      </c>
      <c r="E503" s="6">
        <v>22.25</v>
      </c>
      <c r="G503" s="4">
        <f t="shared" si="31"/>
        <v>35426</v>
      </c>
      <c r="H503" s="5">
        <f t="shared" si="28"/>
        <v>23.55</v>
      </c>
      <c r="I503" s="5">
        <f t="shared" si="29"/>
        <v>12</v>
      </c>
      <c r="J503" s="5">
        <f t="shared" si="30"/>
        <v>1996</v>
      </c>
    </row>
    <row r="504" spans="4:10" x14ac:dyDescent="0.25">
      <c r="D504" s="4">
        <v>32619</v>
      </c>
      <c r="E504" s="6">
        <v>21.6</v>
      </c>
      <c r="G504" s="4">
        <f t="shared" si="31"/>
        <v>35433</v>
      </c>
      <c r="H504" s="5">
        <f t="shared" si="28"/>
        <v>24.19</v>
      </c>
      <c r="I504" s="5">
        <f t="shared" si="29"/>
        <v>1</v>
      </c>
      <c r="J504" s="5">
        <f t="shared" si="30"/>
        <v>1997</v>
      </c>
    </row>
    <row r="505" spans="4:10" x14ac:dyDescent="0.25">
      <c r="D505" s="4">
        <v>32622</v>
      </c>
      <c r="E505" s="6">
        <v>21.2</v>
      </c>
      <c r="G505" s="4">
        <f t="shared" si="31"/>
        <v>35440</v>
      </c>
      <c r="H505" s="5">
        <f t="shared" si="28"/>
        <v>24.22</v>
      </c>
      <c r="I505" s="5">
        <f t="shared" si="29"/>
        <v>1</v>
      </c>
      <c r="J505" s="5">
        <f t="shared" si="30"/>
        <v>1997</v>
      </c>
    </row>
    <row r="506" spans="4:10" x14ac:dyDescent="0.25">
      <c r="D506" s="4">
        <v>32623</v>
      </c>
      <c r="E506" s="6">
        <v>21.15</v>
      </c>
      <c r="G506" s="4">
        <f t="shared" si="31"/>
        <v>35447</v>
      </c>
      <c r="H506" s="5">
        <f t="shared" si="28"/>
        <v>22.87</v>
      </c>
      <c r="I506" s="5">
        <f t="shared" si="29"/>
        <v>1</v>
      </c>
      <c r="J506" s="5">
        <f t="shared" si="30"/>
        <v>1997</v>
      </c>
    </row>
    <row r="507" spans="4:10" x14ac:dyDescent="0.25">
      <c r="D507" s="4">
        <v>32624</v>
      </c>
      <c r="E507" s="6">
        <v>21.05</v>
      </c>
      <c r="G507" s="4">
        <f t="shared" si="31"/>
        <v>35454</v>
      </c>
      <c r="H507" s="5">
        <f t="shared" si="28"/>
        <v>22.8</v>
      </c>
      <c r="I507" s="5">
        <f t="shared" si="29"/>
        <v>1</v>
      </c>
      <c r="J507" s="5">
        <f t="shared" si="30"/>
        <v>1997</v>
      </c>
    </row>
    <row r="508" spans="4:10" x14ac:dyDescent="0.25">
      <c r="D508" s="4">
        <v>32625</v>
      </c>
      <c r="E508" s="6">
        <v>20.65</v>
      </c>
      <c r="G508" s="4">
        <f t="shared" si="31"/>
        <v>35461</v>
      </c>
      <c r="H508" s="5">
        <f t="shared" si="28"/>
        <v>23.28</v>
      </c>
      <c r="I508" s="5">
        <f t="shared" si="29"/>
        <v>1</v>
      </c>
      <c r="J508" s="5">
        <f t="shared" si="30"/>
        <v>1997</v>
      </c>
    </row>
    <row r="509" spans="4:10" x14ac:dyDescent="0.25">
      <c r="D509" s="4">
        <v>32626</v>
      </c>
      <c r="E509" s="6">
        <v>20.149999999999999</v>
      </c>
      <c r="G509" s="4">
        <f t="shared" si="31"/>
        <v>35468</v>
      </c>
      <c r="H509" s="5">
        <f t="shared" si="28"/>
        <v>0</v>
      </c>
      <c r="I509" s="5">
        <f t="shared" si="29"/>
        <v>2</v>
      </c>
      <c r="J509" s="5">
        <f t="shared" si="30"/>
        <v>1997</v>
      </c>
    </row>
    <row r="510" spans="4:10" x14ac:dyDescent="0.25">
      <c r="D510" s="4">
        <v>32629</v>
      </c>
      <c r="E510" s="5"/>
      <c r="G510" s="4">
        <f t="shared" si="31"/>
        <v>35475</v>
      </c>
      <c r="H510" s="5">
        <f t="shared" si="28"/>
        <v>20.56</v>
      </c>
      <c r="I510" s="5">
        <f t="shared" si="29"/>
        <v>2</v>
      </c>
      <c r="J510" s="5">
        <f t="shared" si="30"/>
        <v>1997</v>
      </c>
    </row>
    <row r="511" spans="4:10" x14ac:dyDescent="0.25">
      <c r="D511" s="4">
        <v>32630</v>
      </c>
      <c r="E511" s="6">
        <v>19.149999999999999</v>
      </c>
      <c r="G511" s="4">
        <f t="shared" si="31"/>
        <v>35482</v>
      </c>
      <c r="H511" s="5">
        <f t="shared" si="28"/>
        <v>20.13</v>
      </c>
      <c r="I511" s="5">
        <f t="shared" si="29"/>
        <v>2</v>
      </c>
      <c r="J511" s="5">
        <f t="shared" si="30"/>
        <v>1997</v>
      </c>
    </row>
    <row r="512" spans="4:10" x14ac:dyDescent="0.25">
      <c r="D512" s="4">
        <v>32631</v>
      </c>
      <c r="E512" s="6">
        <v>18.88</v>
      </c>
      <c r="G512" s="4">
        <f t="shared" si="31"/>
        <v>35489</v>
      </c>
      <c r="H512" s="5">
        <f t="shared" si="28"/>
        <v>19.440000000000001</v>
      </c>
      <c r="I512" s="5">
        <f t="shared" si="29"/>
        <v>2</v>
      </c>
      <c r="J512" s="5">
        <f t="shared" si="30"/>
        <v>1997</v>
      </c>
    </row>
    <row r="513" spans="4:10" x14ac:dyDescent="0.25">
      <c r="D513" s="4">
        <v>32632</v>
      </c>
      <c r="E513" s="6">
        <v>19.7</v>
      </c>
      <c r="G513" s="4">
        <f t="shared" si="31"/>
        <v>35496</v>
      </c>
      <c r="H513" s="5">
        <f t="shared" si="28"/>
        <v>0</v>
      </c>
      <c r="I513" s="5">
        <f t="shared" si="29"/>
        <v>3</v>
      </c>
      <c r="J513" s="5">
        <f t="shared" si="30"/>
        <v>1997</v>
      </c>
    </row>
    <row r="514" spans="4:10" x14ac:dyDescent="0.25">
      <c r="D514" s="4">
        <v>32633</v>
      </c>
      <c r="E514" s="6">
        <v>19.399999999999999</v>
      </c>
      <c r="G514" s="4">
        <f t="shared" si="31"/>
        <v>35503</v>
      </c>
      <c r="H514" s="5">
        <f t="shared" si="28"/>
        <v>19.440000000000001</v>
      </c>
      <c r="I514" s="5">
        <f t="shared" si="29"/>
        <v>3</v>
      </c>
      <c r="J514" s="5">
        <f t="shared" si="30"/>
        <v>1997</v>
      </c>
    </row>
    <row r="515" spans="4:10" x14ac:dyDescent="0.25">
      <c r="D515" s="4">
        <v>32636</v>
      </c>
      <c r="E515" s="6">
        <v>18.8</v>
      </c>
      <c r="G515" s="4">
        <f t="shared" si="31"/>
        <v>35510</v>
      </c>
      <c r="H515" s="5">
        <f t="shared" ref="H515:H578" si="32">_xlfn.XLOOKUP(G515,D:D,E:E)</f>
        <v>19.39</v>
      </c>
      <c r="I515" s="5">
        <f t="shared" ref="I515:I578" si="33">MONTH(G515)</f>
        <v>3</v>
      </c>
      <c r="J515" s="5">
        <f t="shared" ref="J515:J578" si="34">YEAR(G515)</f>
        <v>1997</v>
      </c>
    </row>
    <row r="516" spans="4:10" x14ac:dyDescent="0.25">
      <c r="D516" s="4">
        <v>32637</v>
      </c>
      <c r="E516" s="6">
        <v>19.03</v>
      </c>
      <c r="G516" s="4">
        <f t="shared" ref="G516:G579" si="35">G515+7</f>
        <v>35517</v>
      </c>
      <c r="H516" s="5">
        <f t="shared" si="32"/>
        <v>18.53</v>
      </c>
      <c r="I516" s="5">
        <f t="shared" si="33"/>
        <v>3</v>
      </c>
      <c r="J516" s="5">
        <f t="shared" si="34"/>
        <v>1997</v>
      </c>
    </row>
    <row r="517" spans="4:10" x14ac:dyDescent="0.25">
      <c r="D517" s="4">
        <v>32638</v>
      </c>
      <c r="E517" s="6">
        <v>18.88</v>
      </c>
      <c r="G517" s="4">
        <f t="shared" si="35"/>
        <v>35524</v>
      </c>
      <c r="H517" s="5">
        <f t="shared" si="32"/>
        <v>17.25</v>
      </c>
      <c r="I517" s="5">
        <f t="shared" si="33"/>
        <v>4</v>
      </c>
      <c r="J517" s="5">
        <f t="shared" si="34"/>
        <v>1997</v>
      </c>
    </row>
    <row r="518" spans="4:10" x14ac:dyDescent="0.25">
      <c r="D518" s="4">
        <v>32639</v>
      </c>
      <c r="E518" s="6">
        <v>19.3</v>
      </c>
      <c r="G518" s="4">
        <f t="shared" si="35"/>
        <v>35531</v>
      </c>
      <c r="H518" s="5">
        <f t="shared" si="32"/>
        <v>17.54</v>
      </c>
      <c r="I518" s="5">
        <f t="shared" si="33"/>
        <v>4</v>
      </c>
      <c r="J518" s="5">
        <f t="shared" si="34"/>
        <v>1997</v>
      </c>
    </row>
    <row r="519" spans="4:10" x14ac:dyDescent="0.25">
      <c r="D519" s="4">
        <v>32640</v>
      </c>
      <c r="E519" s="6">
        <v>19.2</v>
      </c>
      <c r="G519" s="4">
        <f t="shared" si="35"/>
        <v>35538</v>
      </c>
      <c r="H519" s="5">
        <f t="shared" si="32"/>
        <v>17.260000000000002</v>
      </c>
      <c r="I519" s="5">
        <f t="shared" si="33"/>
        <v>4</v>
      </c>
      <c r="J519" s="5">
        <f t="shared" si="34"/>
        <v>1997</v>
      </c>
    </row>
    <row r="520" spans="4:10" x14ac:dyDescent="0.25">
      <c r="D520" s="4">
        <v>32643</v>
      </c>
      <c r="E520" s="6">
        <v>19.2</v>
      </c>
      <c r="G520" s="4">
        <f t="shared" si="35"/>
        <v>35545</v>
      </c>
      <c r="H520" s="5">
        <f t="shared" si="32"/>
        <v>18.07</v>
      </c>
      <c r="I520" s="5">
        <f t="shared" si="33"/>
        <v>4</v>
      </c>
      <c r="J520" s="5">
        <f t="shared" si="34"/>
        <v>1997</v>
      </c>
    </row>
    <row r="521" spans="4:10" x14ac:dyDescent="0.25">
      <c r="D521" s="4">
        <v>32644</v>
      </c>
      <c r="E521" s="6">
        <v>19.8</v>
      </c>
      <c r="G521" s="4">
        <f t="shared" si="35"/>
        <v>35552</v>
      </c>
      <c r="H521" s="5">
        <f t="shared" si="32"/>
        <v>17.7</v>
      </c>
      <c r="I521" s="5">
        <f t="shared" si="33"/>
        <v>5</v>
      </c>
      <c r="J521" s="5">
        <f t="shared" si="34"/>
        <v>1997</v>
      </c>
    </row>
    <row r="522" spans="4:10" x14ac:dyDescent="0.25">
      <c r="D522" s="4">
        <v>32645</v>
      </c>
      <c r="E522" s="6">
        <v>18.579999999999998</v>
      </c>
      <c r="G522" s="4">
        <f t="shared" si="35"/>
        <v>35559</v>
      </c>
      <c r="H522" s="5">
        <f t="shared" si="32"/>
        <v>18.62</v>
      </c>
      <c r="I522" s="5">
        <f t="shared" si="33"/>
        <v>5</v>
      </c>
      <c r="J522" s="5">
        <f t="shared" si="34"/>
        <v>1997</v>
      </c>
    </row>
    <row r="523" spans="4:10" x14ac:dyDescent="0.25">
      <c r="D523" s="4">
        <v>32646</v>
      </c>
      <c r="E523" s="6">
        <v>18.600000000000001</v>
      </c>
      <c r="G523" s="4">
        <f t="shared" si="35"/>
        <v>35566</v>
      </c>
      <c r="H523" s="5">
        <f t="shared" si="32"/>
        <v>19.77</v>
      </c>
      <c r="I523" s="5">
        <f t="shared" si="33"/>
        <v>5</v>
      </c>
      <c r="J523" s="5">
        <f t="shared" si="34"/>
        <v>1997</v>
      </c>
    </row>
    <row r="524" spans="4:10" x14ac:dyDescent="0.25">
      <c r="D524" s="4">
        <v>32647</v>
      </c>
      <c r="E524" s="6">
        <v>18.3</v>
      </c>
      <c r="G524" s="4">
        <f t="shared" si="35"/>
        <v>35573</v>
      </c>
      <c r="H524" s="5">
        <f t="shared" si="32"/>
        <v>20.149999999999999</v>
      </c>
      <c r="I524" s="5">
        <f t="shared" si="33"/>
        <v>5</v>
      </c>
      <c r="J524" s="5">
        <f t="shared" si="34"/>
        <v>1997</v>
      </c>
    </row>
    <row r="525" spans="4:10" x14ac:dyDescent="0.25">
      <c r="D525" s="4">
        <v>32650</v>
      </c>
      <c r="E525" s="6">
        <v>17.399999999999999</v>
      </c>
      <c r="G525" s="4">
        <f t="shared" si="35"/>
        <v>35580</v>
      </c>
      <c r="H525" s="5">
        <f t="shared" si="32"/>
        <v>18.989999999999998</v>
      </c>
      <c r="I525" s="5">
        <f t="shared" si="33"/>
        <v>5</v>
      </c>
      <c r="J525" s="5">
        <f t="shared" si="34"/>
        <v>1997</v>
      </c>
    </row>
    <row r="526" spans="4:10" x14ac:dyDescent="0.25">
      <c r="D526" s="4">
        <v>32651</v>
      </c>
      <c r="E526" s="6">
        <v>17.7</v>
      </c>
      <c r="G526" s="4">
        <f t="shared" si="35"/>
        <v>35587</v>
      </c>
      <c r="H526" s="5">
        <f t="shared" si="32"/>
        <v>17.43</v>
      </c>
      <c r="I526" s="5">
        <f t="shared" si="33"/>
        <v>6</v>
      </c>
      <c r="J526" s="5">
        <f t="shared" si="34"/>
        <v>1997</v>
      </c>
    </row>
    <row r="527" spans="4:10" x14ac:dyDescent="0.25">
      <c r="D527" s="4">
        <v>32652</v>
      </c>
      <c r="E527" s="6">
        <v>18.149999999999999</v>
      </c>
      <c r="G527" s="4">
        <f t="shared" si="35"/>
        <v>35594</v>
      </c>
      <c r="H527" s="5">
        <f t="shared" si="32"/>
        <v>16.829999999999998</v>
      </c>
      <c r="I527" s="5">
        <f t="shared" si="33"/>
        <v>6</v>
      </c>
      <c r="J527" s="5">
        <f t="shared" si="34"/>
        <v>1997</v>
      </c>
    </row>
    <row r="528" spans="4:10" x14ac:dyDescent="0.25">
      <c r="D528" s="4">
        <v>32653</v>
      </c>
      <c r="E528" s="6">
        <v>18.2</v>
      </c>
      <c r="G528" s="4">
        <f t="shared" si="35"/>
        <v>35601</v>
      </c>
      <c r="H528" s="5">
        <f t="shared" si="32"/>
        <v>17.09</v>
      </c>
      <c r="I528" s="5">
        <f t="shared" si="33"/>
        <v>6</v>
      </c>
      <c r="J528" s="5">
        <f t="shared" si="34"/>
        <v>1997</v>
      </c>
    </row>
    <row r="529" spans="4:10" x14ac:dyDescent="0.25">
      <c r="D529" s="4">
        <v>32654</v>
      </c>
      <c r="E529" s="6">
        <v>17.649999999999999</v>
      </c>
      <c r="G529" s="4">
        <f t="shared" si="35"/>
        <v>35608</v>
      </c>
      <c r="H529" s="5">
        <f t="shared" si="32"/>
        <v>18</v>
      </c>
      <c r="I529" s="5">
        <f t="shared" si="33"/>
        <v>6</v>
      </c>
      <c r="J529" s="5">
        <f t="shared" si="34"/>
        <v>1997</v>
      </c>
    </row>
    <row r="530" spans="4:10" x14ac:dyDescent="0.25">
      <c r="D530" s="4">
        <v>32657</v>
      </c>
      <c r="E530" s="6">
        <v>17.73</v>
      </c>
      <c r="G530" s="4">
        <f t="shared" si="35"/>
        <v>35615</v>
      </c>
      <c r="H530" s="5">
        <f t="shared" si="32"/>
        <v>0</v>
      </c>
      <c r="I530" s="5">
        <f t="shared" si="33"/>
        <v>7</v>
      </c>
      <c r="J530" s="5">
        <f t="shared" si="34"/>
        <v>1997</v>
      </c>
    </row>
    <row r="531" spans="4:10" x14ac:dyDescent="0.25">
      <c r="D531" s="4">
        <v>32658</v>
      </c>
      <c r="E531" s="6">
        <v>18.03</v>
      </c>
      <c r="G531" s="4">
        <f t="shared" si="35"/>
        <v>35622</v>
      </c>
      <c r="H531" s="5">
        <f t="shared" si="32"/>
        <v>18</v>
      </c>
      <c r="I531" s="5">
        <f t="shared" si="33"/>
        <v>7</v>
      </c>
      <c r="J531" s="5">
        <f t="shared" si="34"/>
        <v>1997</v>
      </c>
    </row>
    <row r="532" spans="4:10" x14ac:dyDescent="0.25">
      <c r="D532" s="4">
        <v>32659</v>
      </c>
      <c r="E532" s="6">
        <v>18.25</v>
      </c>
      <c r="G532" s="4">
        <f t="shared" si="35"/>
        <v>35629</v>
      </c>
      <c r="H532" s="5">
        <f t="shared" si="32"/>
        <v>18.21</v>
      </c>
      <c r="I532" s="5">
        <f t="shared" si="33"/>
        <v>7</v>
      </c>
      <c r="J532" s="5">
        <f t="shared" si="34"/>
        <v>1997</v>
      </c>
    </row>
    <row r="533" spans="4:10" x14ac:dyDescent="0.25">
      <c r="D533" s="4">
        <v>32660</v>
      </c>
      <c r="E533" s="6">
        <v>18.079999999999998</v>
      </c>
      <c r="G533" s="4">
        <f t="shared" si="35"/>
        <v>35636</v>
      </c>
      <c r="H533" s="5">
        <f t="shared" si="32"/>
        <v>18.77</v>
      </c>
      <c r="I533" s="5">
        <f t="shared" si="33"/>
        <v>7</v>
      </c>
      <c r="J533" s="5">
        <f t="shared" si="34"/>
        <v>1997</v>
      </c>
    </row>
    <row r="534" spans="4:10" x14ac:dyDescent="0.25">
      <c r="D534" s="4">
        <v>32661</v>
      </c>
      <c r="E534" s="6">
        <v>18.149999999999999</v>
      </c>
      <c r="G534" s="4">
        <f t="shared" si="35"/>
        <v>35643</v>
      </c>
      <c r="H534" s="5">
        <f t="shared" si="32"/>
        <v>19.329999999999998</v>
      </c>
      <c r="I534" s="5">
        <f t="shared" si="33"/>
        <v>8</v>
      </c>
      <c r="J534" s="5">
        <f t="shared" si="34"/>
        <v>1997</v>
      </c>
    </row>
    <row r="535" spans="4:10" x14ac:dyDescent="0.25">
      <c r="D535" s="4">
        <v>32664</v>
      </c>
      <c r="E535" s="6">
        <v>18.55</v>
      </c>
      <c r="G535" s="4">
        <f t="shared" si="35"/>
        <v>35650</v>
      </c>
      <c r="H535" s="5">
        <f t="shared" si="32"/>
        <v>18.559999999999999</v>
      </c>
      <c r="I535" s="5">
        <f t="shared" si="33"/>
        <v>8</v>
      </c>
      <c r="J535" s="5">
        <f t="shared" si="34"/>
        <v>1997</v>
      </c>
    </row>
    <row r="536" spans="4:10" x14ac:dyDescent="0.25">
      <c r="D536" s="4">
        <v>32665</v>
      </c>
      <c r="E536" s="6">
        <v>18.5</v>
      </c>
      <c r="G536" s="4">
        <f t="shared" si="35"/>
        <v>35657</v>
      </c>
      <c r="H536" s="5">
        <f t="shared" si="32"/>
        <v>18.77</v>
      </c>
      <c r="I536" s="5">
        <f t="shared" si="33"/>
        <v>8</v>
      </c>
      <c r="J536" s="5">
        <f t="shared" si="34"/>
        <v>1997</v>
      </c>
    </row>
    <row r="537" spans="4:10" x14ac:dyDescent="0.25">
      <c r="D537" s="4">
        <v>32666</v>
      </c>
      <c r="E537" s="6">
        <v>18.149999999999999</v>
      </c>
      <c r="G537" s="4">
        <f t="shared" si="35"/>
        <v>35664</v>
      </c>
      <c r="H537" s="5">
        <f t="shared" si="32"/>
        <v>0</v>
      </c>
      <c r="I537" s="5">
        <f t="shared" si="33"/>
        <v>8</v>
      </c>
      <c r="J537" s="5">
        <f t="shared" si="34"/>
        <v>1997</v>
      </c>
    </row>
    <row r="538" spans="4:10" x14ac:dyDescent="0.25">
      <c r="D538" s="4">
        <v>32667</v>
      </c>
      <c r="E538" s="6">
        <v>17.8</v>
      </c>
      <c r="G538" s="4">
        <f t="shared" si="35"/>
        <v>35671</v>
      </c>
      <c r="H538" s="5">
        <f t="shared" si="32"/>
        <v>17.98</v>
      </c>
      <c r="I538" s="5">
        <f t="shared" si="33"/>
        <v>8</v>
      </c>
      <c r="J538" s="5">
        <f t="shared" si="34"/>
        <v>1997</v>
      </c>
    </row>
    <row r="539" spans="4:10" x14ac:dyDescent="0.25">
      <c r="D539" s="4">
        <v>32668</v>
      </c>
      <c r="E539" s="6">
        <v>17.95</v>
      </c>
      <c r="G539" s="4">
        <f t="shared" si="35"/>
        <v>35678</v>
      </c>
      <c r="H539" s="5">
        <f t="shared" si="32"/>
        <v>18.149999999999999</v>
      </c>
      <c r="I539" s="5">
        <f t="shared" si="33"/>
        <v>9</v>
      </c>
      <c r="J539" s="5">
        <f t="shared" si="34"/>
        <v>1997</v>
      </c>
    </row>
    <row r="540" spans="4:10" x14ac:dyDescent="0.25">
      <c r="D540" s="4">
        <v>32671</v>
      </c>
      <c r="E540" s="6">
        <v>17.18</v>
      </c>
      <c r="G540" s="4">
        <f t="shared" si="35"/>
        <v>35685</v>
      </c>
      <c r="H540" s="5">
        <f t="shared" si="32"/>
        <v>18.059999999999999</v>
      </c>
      <c r="I540" s="5">
        <f t="shared" si="33"/>
        <v>9</v>
      </c>
      <c r="J540" s="5">
        <f t="shared" si="34"/>
        <v>1997</v>
      </c>
    </row>
    <row r="541" spans="4:10" x14ac:dyDescent="0.25">
      <c r="D541" s="4">
        <v>32672</v>
      </c>
      <c r="E541" s="6">
        <v>16.8</v>
      </c>
      <c r="G541" s="4">
        <f t="shared" si="35"/>
        <v>35692</v>
      </c>
      <c r="H541" s="5">
        <f t="shared" si="32"/>
        <v>18.32</v>
      </c>
      <c r="I541" s="5">
        <f t="shared" si="33"/>
        <v>9</v>
      </c>
      <c r="J541" s="5">
        <f t="shared" si="34"/>
        <v>1997</v>
      </c>
    </row>
    <row r="542" spans="4:10" x14ac:dyDescent="0.25">
      <c r="D542" s="4">
        <v>32673</v>
      </c>
      <c r="E542" s="6">
        <v>16.899999999999999</v>
      </c>
      <c r="G542" s="4">
        <f t="shared" si="35"/>
        <v>35699</v>
      </c>
      <c r="H542" s="5">
        <f t="shared" si="32"/>
        <v>19.36</v>
      </c>
      <c r="I542" s="5">
        <f t="shared" si="33"/>
        <v>9</v>
      </c>
      <c r="J542" s="5">
        <f t="shared" si="34"/>
        <v>1997</v>
      </c>
    </row>
    <row r="543" spans="4:10" x14ac:dyDescent="0.25">
      <c r="D543" s="4">
        <v>32674</v>
      </c>
      <c r="E543" s="6">
        <v>16.95</v>
      </c>
      <c r="G543" s="4">
        <f t="shared" si="35"/>
        <v>35706</v>
      </c>
      <c r="H543" s="5">
        <f t="shared" si="32"/>
        <v>21.29</v>
      </c>
      <c r="I543" s="5">
        <f t="shared" si="33"/>
        <v>10</v>
      </c>
      <c r="J543" s="5">
        <f t="shared" si="34"/>
        <v>1997</v>
      </c>
    </row>
    <row r="544" spans="4:10" x14ac:dyDescent="0.25">
      <c r="D544" s="4">
        <v>32675</v>
      </c>
      <c r="E544" s="6">
        <v>16.649999999999999</v>
      </c>
      <c r="G544" s="4">
        <f t="shared" si="35"/>
        <v>35713</v>
      </c>
      <c r="H544" s="5">
        <f t="shared" si="32"/>
        <v>20.73</v>
      </c>
      <c r="I544" s="5">
        <f t="shared" si="33"/>
        <v>10</v>
      </c>
      <c r="J544" s="5">
        <f t="shared" si="34"/>
        <v>1997</v>
      </c>
    </row>
    <row r="545" spans="4:10" x14ac:dyDescent="0.25">
      <c r="D545" s="4">
        <v>32678</v>
      </c>
      <c r="E545" s="6">
        <v>16.850000000000001</v>
      </c>
      <c r="G545" s="4">
        <f t="shared" si="35"/>
        <v>35720</v>
      </c>
      <c r="H545" s="5">
        <f t="shared" si="32"/>
        <v>19.43</v>
      </c>
      <c r="I545" s="5">
        <f t="shared" si="33"/>
        <v>10</v>
      </c>
      <c r="J545" s="5">
        <f t="shared" si="34"/>
        <v>1997</v>
      </c>
    </row>
    <row r="546" spans="4:10" x14ac:dyDescent="0.25">
      <c r="D546" s="4">
        <v>32679</v>
      </c>
      <c r="E546" s="6">
        <v>16.88</v>
      </c>
      <c r="G546" s="4">
        <f t="shared" si="35"/>
        <v>35727</v>
      </c>
      <c r="H546" s="5">
        <f t="shared" si="32"/>
        <v>19.45</v>
      </c>
      <c r="I546" s="5">
        <f t="shared" si="33"/>
        <v>10</v>
      </c>
      <c r="J546" s="5">
        <f t="shared" si="34"/>
        <v>1997</v>
      </c>
    </row>
    <row r="547" spans="4:10" x14ac:dyDescent="0.25">
      <c r="D547" s="4">
        <v>32680</v>
      </c>
      <c r="E547" s="6">
        <v>17.13</v>
      </c>
      <c r="G547" s="4">
        <f t="shared" si="35"/>
        <v>35734</v>
      </c>
      <c r="H547" s="5">
        <f t="shared" si="32"/>
        <v>19.420000000000002</v>
      </c>
      <c r="I547" s="5">
        <f t="shared" si="33"/>
        <v>10</v>
      </c>
      <c r="J547" s="5">
        <f t="shared" si="34"/>
        <v>1997</v>
      </c>
    </row>
    <row r="548" spans="4:10" x14ac:dyDescent="0.25">
      <c r="D548" s="4">
        <v>32681</v>
      </c>
      <c r="E548" s="6">
        <v>17.3</v>
      </c>
      <c r="G548" s="4">
        <f t="shared" si="35"/>
        <v>35741</v>
      </c>
      <c r="H548" s="5">
        <f t="shared" si="32"/>
        <v>19.239999999999998</v>
      </c>
      <c r="I548" s="5">
        <f t="shared" si="33"/>
        <v>11</v>
      </c>
      <c r="J548" s="5">
        <f t="shared" si="34"/>
        <v>1997</v>
      </c>
    </row>
    <row r="549" spans="4:10" x14ac:dyDescent="0.25">
      <c r="D549" s="4">
        <v>32682</v>
      </c>
      <c r="E549" s="6">
        <v>18.03</v>
      </c>
      <c r="G549" s="4">
        <f t="shared" si="35"/>
        <v>35748</v>
      </c>
      <c r="H549" s="5">
        <f t="shared" si="32"/>
        <v>20.239999999999998</v>
      </c>
      <c r="I549" s="5">
        <f t="shared" si="33"/>
        <v>11</v>
      </c>
      <c r="J549" s="5">
        <f t="shared" si="34"/>
        <v>1997</v>
      </c>
    </row>
    <row r="550" spans="4:10" x14ac:dyDescent="0.25">
      <c r="D550" s="4">
        <v>32685</v>
      </c>
      <c r="E550" s="6">
        <v>18.23</v>
      </c>
      <c r="G550" s="4">
        <f t="shared" si="35"/>
        <v>35755</v>
      </c>
      <c r="H550" s="5">
        <f t="shared" si="32"/>
        <v>18.829999999999998</v>
      </c>
      <c r="I550" s="5">
        <f t="shared" si="33"/>
        <v>11</v>
      </c>
      <c r="J550" s="5">
        <f t="shared" si="34"/>
        <v>1997</v>
      </c>
    </row>
    <row r="551" spans="4:10" x14ac:dyDescent="0.25">
      <c r="D551" s="4">
        <v>32686</v>
      </c>
      <c r="E551" s="6">
        <v>18.2</v>
      </c>
      <c r="G551" s="4">
        <f t="shared" si="35"/>
        <v>35762</v>
      </c>
      <c r="H551" s="5">
        <f t="shared" si="32"/>
        <v>18.96</v>
      </c>
      <c r="I551" s="5">
        <f t="shared" si="33"/>
        <v>11</v>
      </c>
      <c r="J551" s="5">
        <f t="shared" si="34"/>
        <v>1997</v>
      </c>
    </row>
    <row r="552" spans="4:10" x14ac:dyDescent="0.25">
      <c r="D552" s="4">
        <v>32687</v>
      </c>
      <c r="E552" s="6">
        <v>18</v>
      </c>
      <c r="G552" s="4">
        <f t="shared" si="35"/>
        <v>35769</v>
      </c>
      <c r="H552" s="5">
        <f t="shared" si="32"/>
        <v>17.91</v>
      </c>
      <c r="I552" s="5">
        <f t="shared" si="33"/>
        <v>12</v>
      </c>
      <c r="J552" s="5">
        <f t="shared" si="34"/>
        <v>1997</v>
      </c>
    </row>
    <row r="553" spans="4:10" x14ac:dyDescent="0.25">
      <c r="D553" s="4">
        <v>32688</v>
      </c>
      <c r="E553" s="6">
        <v>18.2</v>
      </c>
      <c r="G553" s="4">
        <f t="shared" si="35"/>
        <v>35776</v>
      </c>
      <c r="H553" s="5">
        <f t="shared" si="32"/>
        <v>17.12</v>
      </c>
      <c r="I553" s="5">
        <f t="shared" si="33"/>
        <v>12</v>
      </c>
      <c r="J553" s="5">
        <f t="shared" si="34"/>
        <v>1997</v>
      </c>
    </row>
    <row r="554" spans="4:10" x14ac:dyDescent="0.25">
      <c r="D554" s="4">
        <v>32689</v>
      </c>
      <c r="E554" s="6">
        <v>18.28</v>
      </c>
      <c r="G554" s="4">
        <f t="shared" si="35"/>
        <v>35783</v>
      </c>
      <c r="H554" s="5">
        <f t="shared" si="32"/>
        <v>17.2</v>
      </c>
      <c r="I554" s="5">
        <f t="shared" si="33"/>
        <v>12</v>
      </c>
      <c r="J554" s="5">
        <f t="shared" si="34"/>
        <v>1997</v>
      </c>
    </row>
    <row r="555" spans="4:10" x14ac:dyDescent="0.25">
      <c r="D555" s="4">
        <v>32692</v>
      </c>
      <c r="E555" s="6">
        <v>18.399999999999999</v>
      </c>
      <c r="G555" s="4">
        <f t="shared" si="35"/>
        <v>35790</v>
      </c>
      <c r="H555" s="5">
        <f t="shared" si="32"/>
        <v>0</v>
      </c>
      <c r="I555" s="5">
        <f t="shared" si="33"/>
        <v>12</v>
      </c>
      <c r="J555" s="5">
        <f t="shared" si="34"/>
        <v>1997</v>
      </c>
    </row>
    <row r="556" spans="4:10" x14ac:dyDescent="0.25">
      <c r="D556" s="4">
        <v>32693</v>
      </c>
      <c r="E556" s="6">
        <v>18.600000000000001</v>
      </c>
      <c r="G556" s="4">
        <f t="shared" si="35"/>
        <v>35797</v>
      </c>
      <c r="H556" s="5">
        <f t="shared" si="32"/>
        <v>15.77</v>
      </c>
      <c r="I556" s="5">
        <f t="shared" si="33"/>
        <v>1</v>
      </c>
      <c r="J556" s="5">
        <f t="shared" si="34"/>
        <v>1998</v>
      </c>
    </row>
    <row r="557" spans="4:10" x14ac:dyDescent="0.25">
      <c r="D557" s="4">
        <v>32694</v>
      </c>
      <c r="E557" s="6">
        <v>18.75</v>
      </c>
      <c r="G557" s="4">
        <f t="shared" si="35"/>
        <v>35804</v>
      </c>
      <c r="H557" s="5">
        <f t="shared" si="32"/>
        <v>15.33</v>
      </c>
      <c r="I557" s="5">
        <f t="shared" si="33"/>
        <v>1</v>
      </c>
      <c r="J557" s="5">
        <f t="shared" si="34"/>
        <v>1998</v>
      </c>
    </row>
    <row r="558" spans="4:10" x14ac:dyDescent="0.25">
      <c r="D558" s="4">
        <v>32695</v>
      </c>
      <c r="E558" s="6">
        <v>18.3</v>
      </c>
      <c r="G558" s="4">
        <f t="shared" si="35"/>
        <v>35811</v>
      </c>
      <c r="H558" s="5">
        <f t="shared" si="32"/>
        <v>14.89</v>
      </c>
      <c r="I558" s="5">
        <f t="shared" si="33"/>
        <v>1</v>
      </c>
      <c r="J558" s="5">
        <f t="shared" si="34"/>
        <v>1998</v>
      </c>
    </row>
    <row r="559" spans="4:10" x14ac:dyDescent="0.25">
      <c r="D559" s="4">
        <v>32696</v>
      </c>
      <c r="E559" s="6">
        <v>17.850000000000001</v>
      </c>
      <c r="G559" s="4">
        <f t="shared" si="35"/>
        <v>35818</v>
      </c>
      <c r="H559" s="5">
        <f t="shared" si="32"/>
        <v>14.26</v>
      </c>
      <c r="I559" s="5">
        <f t="shared" si="33"/>
        <v>1</v>
      </c>
      <c r="J559" s="5">
        <f t="shared" si="34"/>
        <v>1998</v>
      </c>
    </row>
    <row r="560" spans="4:10" x14ac:dyDescent="0.25">
      <c r="D560" s="4">
        <v>32699</v>
      </c>
      <c r="E560" s="6">
        <v>17.829999999999998</v>
      </c>
      <c r="G560" s="4">
        <f t="shared" si="35"/>
        <v>35825</v>
      </c>
      <c r="H560" s="5">
        <f t="shared" si="32"/>
        <v>15.59</v>
      </c>
      <c r="I560" s="5">
        <f t="shared" si="33"/>
        <v>1</v>
      </c>
      <c r="J560" s="5">
        <f t="shared" si="34"/>
        <v>1998</v>
      </c>
    </row>
    <row r="561" spans="4:10" x14ac:dyDescent="0.25">
      <c r="D561" s="4">
        <v>32700</v>
      </c>
      <c r="E561" s="6">
        <v>17.63</v>
      </c>
      <c r="G561" s="4">
        <f t="shared" si="35"/>
        <v>35832</v>
      </c>
      <c r="H561" s="5">
        <f t="shared" si="32"/>
        <v>15.05</v>
      </c>
      <c r="I561" s="5">
        <f t="shared" si="33"/>
        <v>2</v>
      </c>
      <c r="J561" s="5">
        <f t="shared" si="34"/>
        <v>1998</v>
      </c>
    </row>
    <row r="562" spans="4:10" x14ac:dyDescent="0.25">
      <c r="D562" s="4">
        <v>32701</v>
      </c>
      <c r="E562" s="6">
        <v>17.649999999999999</v>
      </c>
      <c r="G562" s="4">
        <f t="shared" si="35"/>
        <v>35839</v>
      </c>
      <c r="H562" s="5">
        <f t="shared" si="32"/>
        <v>14.05</v>
      </c>
      <c r="I562" s="5">
        <f t="shared" si="33"/>
        <v>2</v>
      </c>
      <c r="J562" s="5">
        <f t="shared" si="34"/>
        <v>1998</v>
      </c>
    </row>
    <row r="563" spans="4:10" x14ac:dyDescent="0.25">
      <c r="D563" s="4">
        <v>32702</v>
      </c>
      <c r="E563" s="6">
        <v>17.600000000000001</v>
      </c>
      <c r="G563" s="4">
        <f t="shared" si="35"/>
        <v>35846</v>
      </c>
      <c r="H563" s="5">
        <f t="shared" si="32"/>
        <v>13.91</v>
      </c>
      <c r="I563" s="5">
        <f t="shared" si="33"/>
        <v>2</v>
      </c>
      <c r="J563" s="5">
        <f t="shared" si="34"/>
        <v>1998</v>
      </c>
    </row>
    <row r="564" spans="4:10" x14ac:dyDescent="0.25">
      <c r="D564" s="4">
        <v>32703</v>
      </c>
      <c r="E564" s="6">
        <v>17.899999999999999</v>
      </c>
      <c r="G564" s="4">
        <f t="shared" si="35"/>
        <v>35853</v>
      </c>
      <c r="H564" s="5">
        <f t="shared" si="32"/>
        <v>13.53</v>
      </c>
      <c r="I564" s="5">
        <f t="shared" si="33"/>
        <v>2</v>
      </c>
      <c r="J564" s="5">
        <f t="shared" si="34"/>
        <v>1998</v>
      </c>
    </row>
    <row r="565" spans="4:10" x14ac:dyDescent="0.25">
      <c r="D565" s="4">
        <v>32706</v>
      </c>
      <c r="E565" s="6">
        <v>18.05</v>
      </c>
      <c r="G565" s="4">
        <f t="shared" si="35"/>
        <v>35860</v>
      </c>
      <c r="H565" s="5">
        <f t="shared" si="32"/>
        <v>12.85</v>
      </c>
      <c r="I565" s="5">
        <f t="shared" si="33"/>
        <v>3</v>
      </c>
      <c r="J565" s="5">
        <f t="shared" si="34"/>
        <v>1998</v>
      </c>
    </row>
    <row r="566" spans="4:10" x14ac:dyDescent="0.25">
      <c r="D566" s="4">
        <v>32707</v>
      </c>
      <c r="E566" s="6">
        <v>18.05</v>
      </c>
      <c r="G566" s="4">
        <f t="shared" si="35"/>
        <v>35867</v>
      </c>
      <c r="H566" s="5">
        <f t="shared" si="32"/>
        <v>12.25</v>
      </c>
      <c r="I566" s="5">
        <f t="shared" si="33"/>
        <v>3</v>
      </c>
      <c r="J566" s="5">
        <f t="shared" si="34"/>
        <v>1998</v>
      </c>
    </row>
    <row r="567" spans="4:10" x14ac:dyDescent="0.25">
      <c r="D567" s="4">
        <v>32708</v>
      </c>
      <c r="E567" s="6">
        <v>17.850000000000001</v>
      </c>
      <c r="G567" s="4">
        <f t="shared" si="35"/>
        <v>35874</v>
      </c>
      <c r="H567" s="5">
        <f t="shared" si="32"/>
        <v>12.35</v>
      </c>
      <c r="I567" s="5">
        <f t="shared" si="33"/>
        <v>3</v>
      </c>
      <c r="J567" s="5">
        <f t="shared" si="34"/>
        <v>1998</v>
      </c>
    </row>
    <row r="568" spans="4:10" x14ac:dyDescent="0.25">
      <c r="D568" s="4">
        <v>32709</v>
      </c>
      <c r="E568" s="6">
        <v>17.98</v>
      </c>
      <c r="G568" s="4">
        <f t="shared" si="35"/>
        <v>35881</v>
      </c>
      <c r="H568" s="5">
        <f t="shared" si="32"/>
        <v>14.92</v>
      </c>
      <c r="I568" s="5">
        <f t="shared" si="33"/>
        <v>3</v>
      </c>
      <c r="J568" s="5">
        <f t="shared" si="34"/>
        <v>1998</v>
      </c>
    </row>
    <row r="569" spans="4:10" x14ac:dyDescent="0.25">
      <c r="D569" s="4">
        <v>32710</v>
      </c>
      <c r="E569" s="6">
        <v>17.829999999999998</v>
      </c>
      <c r="G569" s="4">
        <f t="shared" si="35"/>
        <v>35888</v>
      </c>
      <c r="H569" s="5">
        <f t="shared" si="32"/>
        <v>13.63</v>
      </c>
      <c r="I569" s="5">
        <f t="shared" si="33"/>
        <v>4</v>
      </c>
      <c r="J569" s="5">
        <f t="shared" si="34"/>
        <v>1998</v>
      </c>
    </row>
    <row r="570" spans="4:10" x14ac:dyDescent="0.25">
      <c r="D570" s="4">
        <v>32713</v>
      </c>
      <c r="E570" s="6">
        <v>17.3</v>
      </c>
      <c r="G570" s="4">
        <f t="shared" si="35"/>
        <v>35895</v>
      </c>
      <c r="H570" s="5">
        <f t="shared" si="32"/>
        <v>0</v>
      </c>
      <c r="I570" s="5">
        <f t="shared" si="33"/>
        <v>4</v>
      </c>
      <c r="J570" s="5">
        <f t="shared" si="34"/>
        <v>1998</v>
      </c>
    </row>
    <row r="571" spans="4:10" x14ac:dyDescent="0.25">
      <c r="D571" s="4">
        <v>32714</v>
      </c>
      <c r="E571" s="6">
        <v>17.05</v>
      </c>
      <c r="G571" s="4">
        <f t="shared" si="35"/>
        <v>35902</v>
      </c>
      <c r="H571" s="5">
        <f t="shared" si="32"/>
        <v>14.06</v>
      </c>
      <c r="I571" s="5">
        <f t="shared" si="33"/>
        <v>4</v>
      </c>
      <c r="J571" s="5">
        <f t="shared" si="34"/>
        <v>1998</v>
      </c>
    </row>
    <row r="572" spans="4:10" x14ac:dyDescent="0.25">
      <c r="D572" s="4">
        <v>32715</v>
      </c>
      <c r="E572" s="6">
        <v>16.5</v>
      </c>
      <c r="G572" s="4">
        <f t="shared" si="35"/>
        <v>35909</v>
      </c>
      <c r="H572" s="5">
        <f t="shared" si="32"/>
        <v>13.32</v>
      </c>
      <c r="I572" s="5">
        <f t="shared" si="33"/>
        <v>4</v>
      </c>
      <c r="J572" s="5">
        <f t="shared" si="34"/>
        <v>1998</v>
      </c>
    </row>
    <row r="573" spans="4:10" x14ac:dyDescent="0.25">
      <c r="D573" s="4">
        <v>32716</v>
      </c>
      <c r="E573" s="6">
        <v>16.28</v>
      </c>
      <c r="G573" s="4">
        <f t="shared" si="35"/>
        <v>35916</v>
      </c>
      <c r="H573" s="5">
        <f t="shared" si="32"/>
        <v>14.6</v>
      </c>
      <c r="I573" s="5">
        <f t="shared" si="33"/>
        <v>5</v>
      </c>
      <c r="J573" s="5">
        <f t="shared" si="34"/>
        <v>1998</v>
      </c>
    </row>
    <row r="574" spans="4:10" x14ac:dyDescent="0.25">
      <c r="D574" s="4">
        <v>32717</v>
      </c>
      <c r="E574" s="6">
        <v>16.38</v>
      </c>
      <c r="G574" s="4">
        <f t="shared" si="35"/>
        <v>35923</v>
      </c>
      <c r="H574" s="5">
        <f t="shared" si="32"/>
        <v>13.94</v>
      </c>
      <c r="I574" s="5">
        <f t="shared" si="33"/>
        <v>5</v>
      </c>
      <c r="J574" s="5">
        <f t="shared" si="34"/>
        <v>1998</v>
      </c>
    </row>
    <row r="575" spans="4:10" x14ac:dyDescent="0.25">
      <c r="D575" s="4">
        <v>32720</v>
      </c>
      <c r="E575" s="6">
        <v>16.3</v>
      </c>
      <c r="G575" s="4">
        <f t="shared" si="35"/>
        <v>35930</v>
      </c>
      <c r="H575" s="5">
        <f t="shared" si="32"/>
        <v>14.33</v>
      </c>
      <c r="I575" s="5">
        <f t="shared" si="33"/>
        <v>5</v>
      </c>
      <c r="J575" s="5">
        <f t="shared" si="34"/>
        <v>1998</v>
      </c>
    </row>
    <row r="576" spans="4:10" x14ac:dyDescent="0.25">
      <c r="D576" s="4">
        <v>32721</v>
      </c>
      <c r="E576" s="6">
        <v>16.23</v>
      </c>
      <c r="G576" s="4">
        <f t="shared" si="35"/>
        <v>35937</v>
      </c>
      <c r="H576" s="5">
        <f t="shared" si="32"/>
        <v>14.33</v>
      </c>
      <c r="I576" s="5">
        <f t="shared" si="33"/>
        <v>5</v>
      </c>
      <c r="J576" s="5">
        <f t="shared" si="34"/>
        <v>1998</v>
      </c>
    </row>
    <row r="577" spans="4:10" x14ac:dyDescent="0.25">
      <c r="D577" s="4">
        <v>32722</v>
      </c>
      <c r="E577" s="6">
        <v>16.100000000000001</v>
      </c>
      <c r="G577" s="4">
        <f t="shared" si="35"/>
        <v>35944</v>
      </c>
      <c r="H577" s="5">
        <f t="shared" si="32"/>
        <v>14.03</v>
      </c>
      <c r="I577" s="5">
        <f t="shared" si="33"/>
        <v>5</v>
      </c>
      <c r="J577" s="5">
        <f t="shared" si="34"/>
        <v>1998</v>
      </c>
    </row>
    <row r="578" spans="4:10" x14ac:dyDescent="0.25">
      <c r="D578" s="4">
        <v>32723</v>
      </c>
      <c r="E578" s="6">
        <v>16.399999999999999</v>
      </c>
      <c r="G578" s="4">
        <f t="shared" si="35"/>
        <v>35951</v>
      </c>
      <c r="H578" s="5">
        <f t="shared" si="32"/>
        <v>13.95</v>
      </c>
      <c r="I578" s="5">
        <f t="shared" si="33"/>
        <v>6</v>
      </c>
      <c r="J578" s="5">
        <f t="shared" si="34"/>
        <v>1998</v>
      </c>
    </row>
    <row r="579" spans="4:10" x14ac:dyDescent="0.25">
      <c r="D579" s="4">
        <v>32724</v>
      </c>
      <c r="E579" s="6">
        <v>16.149999999999999</v>
      </c>
      <c r="G579" s="4">
        <f t="shared" si="35"/>
        <v>35958</v>
      </c>
      <c r="H579" s="5">
        <f t="shared" ref="H579:H642" si="36">_xlfn.XLOOKUP(G579,D:D,E:E)</f>
        <v>11.62</v>
      </c>
      <c r="I579" s="5">
        <f t="shared" ref="I579:I642" si="37">MONTH(G579)</f>
        <v>6</v>
      </c>
      <c r="J579" s="5">
        <f t="shared" ref="J579:J642" si="38">YEAR(G579)</f>
        <v>1998</v>
      </c>
    </row>
    <row r="580" spans="4:10" x14ac:dyDescent="0.25">
      <c r="D580" s="4">
        <v>32727</v>
      </c>
      <c r="E580" s="6">
        <v>16.05</v>
      </c>
      <c r="G580" s="4">
        <f t="shared" ref="G580:G643" si="39">G579+7</f>
        <v>35965</v>
      </c>
      <c r="H580" s="5">
        <f t="shared" si="36"/>
        <v>10.89</v>
      </c>
      <c r="I580" s="5">
        <f t="shared" si="37"/>
        <v>6</v>
      </c>
      <c r="J580" s="5">
        <f t="shared" si="38"/>
        <v>1998</v>
      </c>
    </row>
    <row r="581" spans="4:10" x14ac:dyDescent="0.25">
      <c r="D581" s="4">
        <v>32728</v>
      </c>
      <c r="E581" s="6">
        <v>16.28</v>
      </c>
      <c r="G581" s="4">
        <f t="shared" si="39"/>
        <v>35972</v>
      </c>
      <c r="H581" s="5">
        <f t="shared" si="36"/>
        <v>12.04</v>
      </c>
      <c r="I581" s="5">
        <f t="shared" si="37"/>
        <v>6</v>
      </c>
      <c r="J581" s="5">
        <f t="shared" si="38"/>
        <v>1998</v>
      </c>
    </row>
    <row r="582" spans="4:10" x14ac:dyDescent="0.25">
      <c r="D582" s="4">
        <v>32729</v>
      </c>
      <c r="E582" s="6">
        <v>16.45</v>
      </c>
      <c r="G582" s="4">
        <f t="shared" si="39"/>
        <v>35979</v>
      </c>
      <c r="H582" s="5">
        <f t="shared" si="36"/>
        <v>11.79</v>
      </c>
      <c r="I582" s="5">
        <f t="shared" si="37"/>
        <v>7</v>
      </c>
      <c r="J582" s="5">
        <f t="shared" si="38"/>
        <v>1998</v>
      </c>
    </row>
    <row r="583" spans="4:10" x14ac:dyDescent="0.25">
      <c r="D583" s="4">
        <v>32730</v>
      </c>
      <c r="E583" s="6">
        <v>16.93</v>
      </c>
      <c r="G583" s="4">
        <f t="shared" si="39"/>
        <v>35986</v>
      </c>
      <c r="H583" s="5">
        <f t="shared" si="36"/>
        <v>11.61</v>
      </c>
      <c r="I583" s="5">
        <f t="shared" si="37"/>
        <v>7</v>
      </c>
      <c r="J583" s="5">
        <f t="shared" si="38"/>
        <v>1998</v>
      </c>
    </row>
    <row r="584" spans="4:10" x14ac:dyDescent="0.25">
      <c r="D584" s="4">
        <v>32731</v>
      </c>
      <c r="E584" s="6">
        <v>17</v>
      </c>
      <c r="G584" s="4">
        <f t="shared" si="39"/>
        <v>35993</v>
      </c>
      <c r="H584" s="5">
        <f t="shared" si="36"/>
        <v>12.38</v>
      </c>
      <c r="I584" s="5">
        <f t="shared" si="37"/>
        <v>7</v>
      </c>
      <c r="J584" s="5">
        <f t="shared" si="38"/>
        <v>1998</v>
      </c>
    </row>
    <row r="585" spans="4:10" x14ac:dyDescent="0.25">
      <c r="D585" s="4">
        <v>32734</v>
      </c>
      <c r="E585" s="6">
        <v>16.850000000000001</v>
      </c>
      <c r="G585" s="4">
        <f t="shared" si="39"/>
        <v>36000</v>
      </c>
      <c r="H585" s="5">
        <f t="shared" si="36"/>
        <v>12.05</v>
      </c>
      <c r="I585" s="5">
        <f t="shared" si="37"/>
        <v>7</v>
      </c>
      <c r="J585" s="5">
        <f t="shared" si="38"/>
        <v>1998</v>
      </c>
    </row>
    <row r="586" spans="4:10" x14ac:dyDescent="0.25">
      <c r="D586" s="4">
        <v>32735</v>
      </c>
      <c r="E586" s="6">
        <v>17</v>
      </c>
      <c r="G586" s="4">
        <f t="shared" si="39"/>
        <v>36007</v>
      </c>
      <c r="H586" s="5">
        <f t="shared" si="36"/>
        <v>12.63</v>
      </c>
      <c r="I586" s="5">
        <f t="shared" si="37"/>
        <v>7</v>
      </c>
      <c r="J586" s="5">
        <f t="shared" si="38"/>
        <v>1998</v>
      </c>
    </row>
    <row r="587" spans="4:10" x14ac:dyDescent="0.25">
      <c r="D587" s="4">
        <v>32736</v>
      </c>
      <c r="E587" s="6">
        <v>17</v>
      </c>
      <c r="G587" s="4">
        <f t="shared" si="39"/>
        <v>36014</v>
      </c>
      <c r="H587" s="5">
        <f t="shared" si="36"/>
        <v>12.05</v>
      </c>
      <c r="I587" s="5">
        <f t="shared" si="37"/>
        <v>8</v>
      </c>
      <c r="J587" s="5">
        <f t="shared" si="38"/>
        <v>1998</v>
      </c>
    </row>
    <row r="588" spans="4:10" x14ac:dyDescent="0.25">
      <c r="D588" s="4">
        <v>32737</v>
      </c>
      <c r="E588" s="6">
        <v>16.95</v>
      </c>
      <c r="G588" s="4">
        <f t="shared" si="39"/>
        <v>36021</v>
      </c>
      <c r="H588" s="5">
        <f t="shared" si="36"/>
        <v>11.46</v>
      </c>
      <c r="I588" s="5">
        <f t="shared" si="37"/>
        <v>8</v>
      </c>
      <c r="J588" s="5">
        <f t="shared" si="38"/>
        <v>1998</v>
      </c>
    </row>
    <row r="589" spans="4:10" x14ac:dyDescent="0.25">
      <c r="D589" s="4">
        <v>32738</v>
      </c>
      <c r="E589" s="6">
        <v>16.829999999999998</v>
      </c>
      <c r="G589" s="4">
        <f t="shared" si="39"/>
        <v>36028</v>
      </c>
      <c r="H589" s="5">
        <f t="shared" si="36"/>
        <v>12.02</v>
      </c>
      <c r="I589" s="5">
        <f t="shared" si="37"/>
        <v>8</v>
      </c>
      <c r="J589" s="5">
        <f t="shared" si="38"/>
        <v>1998</v>
      </c>
    </row>
    <row r="590" spans="4:10" x14ac:dyDescent="0.25">
      <c r="D590" s="4">
        <v>32741</v>
      </c>
      <c r="E590" s="6">
        <v>16.899999999999999</v>
      </c>
      <c r="G590" s="4">
        <f t="shared" si="39"/>
        <v>36035</v>
      </c>
      <c r="H590" s="5">
        <f t="shared" si="36"/>
        <v>12.06</v>
      </c>
      <c r="I590" s="5">
        <f t="shared" si="37"/>
        <v>8</v>
      </c>
      <c r="J590" s="5">
        <f t="shared" si="38"/>
        <v>1998</v>
      </c>
    </row>
    <row r="591" spans="4:10" x14ac:dyDescent="0.25">
      <c r="D591" s="4">
        <v>32742</v>
      </c>
      <c r="E591" s="6">
        <v>17.100000000000001</v>
      </c>
      <c r="G591" s="4">
        <f t="shared" si="39"/>
        <v>36042</v>
      </c>
      <c r="H591" s="5">
        <f t="shared" si="36"/>
        <v>12.96</v>
      </c>
      <c r="I591" s="5">
        <f t="shared" si="37"/>
        <v>9</v>
      </c>
      <c r="J591" s="5">
        <f t="shared" si="38"/>
        <v>1998</v>
      </c>
    </row>
    <row r="592" spans="4:10" x14ac:dyDescent="0.25">
      <c r="D592" s="4">
        <v>32743</v>
      </c>
      <c r="E592" s="6">
        <v>17.079999999999998</v>
      </c>
      <c r="G592" s="4">
        <f t="shared" si="39"/>
        <v>36049</v>
      </c>
      <c r="H592" s="5">
        <f t="shared" si="36"/>
        <v>12.66</v>
      </c>
      <c r="I592" s="5">
        <f t="shared" si="37"/>
        <v>9</v>
      </c>
      <c r="J592" s="5">
        <f t="shared" si="38"/>
        <v>1998</v>
      </c>
    </row>
    <row r="593" spans="4:10" x14ac:dyDescent="0.25">
      <c r="D593" s="4">
        <v>32744</v>
      </c>
      <c r="E593" s="6">
        <v>17.05</v>
      </c>
      <c r="G593" s="4">
        <f t="shared" si="39"/>
        <v>36056</v>
      </c>
      <c r="H593" s="5">
        <f t="shared" si="36"/>
        <v>13.92</v>
      </c>
      <c r="I593" s="5">
        <f t="shared" si="37"/>
        <v>9</v>
      </c>
      <c r="J593" s="5">
        <f t="shared" si="38"/>
        <v>1998</v>
      </c>
    </row>
    <row r="594" spans="4:10" x14ac:dyDescent="0.25">
      <c r="D594" s="4">
        <v>32745</v>
      </c>
      <c r="E594" s="6">
        <v>16.95</v>
      </c>
      <c r="G594" s="4">
        <f t="shared" si="39"/>
        <v>36063</v>
      </c>
      <c r="H594" s="5">
        <f t="shared" si="36"/>
        <v>14.55</v>
      </c>
      <c r="I594" s="5">
        <f t="shared" si="37"/>
        <v>9</v>
      </c>
      <c r="J594" s="5">
        <f t="shared" si="38"/>
        <v>1998</v>
      </c>
    </row>
    <row r="595" spans="4:10" x14ac:dyDescent="0.25">
      <c r="D595" s="4">
        <v>32748</v>
      </c>
      <c r="E595" s="6">
        <v>16.98</v>
      </c>
      <c r="G595" s="4">
        <f t="shared" si="39"/>
        <v>36070</v>
      </c>
      <c r="H595" s="5">
        <f t="shared" si="36"/>
        <v>14.21</v>
      </c>
      <c r="I595" s="5">
        <f t="shared" si="37"/>
        <v>10</v>
      </c>
      <c r="J595" s="5">
        <f t="shared" si="38"/>
        <v>1998</v>
      </c>
    </row>
    <row r="596" spans="4:10" x14ac:dyDescent="0.25">
      <c r="D596" s="4">
        <v>32749</v>
      </c>
      <c r="E596" s="6">
        <v>17.100000000000001</v>
      </c>
      <c r="G596" s="4">
        <f t="shared" si="39"/>
        <v>36077</v>
      </c>
      <c r="H596" s="5">
        <f t="shared" si="36"/>
        <v>12.87</v>
      </c>
      <c r="I596" s="5">
        <f t="shared" si="37"/>
        <v>10</v>
      </c>
      <c r="J596" s="5">
        <f t="shared" si="38"/>
        <v>1998</v>
      </c>
    </row>
    <row r="597" spans="4:10" x14ac:dyDescent="0.25">
      <c r="D597" s="4">
        <v>32750</v>
      </c>
      <c r="E597" s="6">
        <v>17.13</v>
      </c>
      <c r="G597" s="4">
        <f t="shared" si="39"/>
        <v>36084</v>
      </c>
      <c r="H597" s="5">
        <f t="shared" si="36"/>
        <v>12.11</v>
      </c>
      <c r="I597" s="5">
        <f t="shared" si="37"/>
        <v>10</v>
      </c>
      <c r="J597" s="5">
        <f t="shared" si="38"/>
        <v>1998</v>
      </c>
    </row>
    <row r="598" spans="4:10" x14ac:dyDescent="0.25">
      <c r="D598" s="4">
        <v>32751</v>
      </c>
      <c r="E598" s="6">
        <v>17.2</v>
      </c>
      <c r="G598" s="4">
        <f t="shared" si="39"/>
        <v>36091</v>
      </c>
      <c r="H598" s="5">
        <f t="shared" si="36"/>
        <v>12.18</v>
      </c>
      <c r="I598" s="5">
        <f t="shared" si="37"/>
        <v>10</v>
      </c>
      <c r="J598" s="5">
        <f t="shared" si="38"/>
        <v>1998</v>
      </c>
    </row>
    <row r="599" spans="4:10" x14ac:dyDescent="0.25">
      <c r="D599" s="4">
        <v>32752</v>
      </c>
      <c r="E599" s="6">
        <v>17.329999999999998</v>
      </c>
      <c r="G599" s="4">
        <f t="shared" si="39"/>
        <v>36098</v>
      </c>
      <c r="H599" s="5">
        <f t="shared" si="36"/>
        <v>12</v>
      </c>
      <c r="I599" s="5">
        <f t="shared" si="37"/>
        <v>10</v>
      </c>
      <c r="J599" s="5">
        <f t="shared" si="38"/>
        <v>1998</v>
      </c>
    </row>
    <row r="600" spans="4:10" x14ac:dyDescent="0.25">
      <c r="D600" s="4">
        <v>32755</v>
      </c>
      <c r="E600" s="6">
        <v>17.43</v>
      </c>
      <c r="G600" s="4">
        <f t="shared" si="39"/>
        <v>36105</v>
      </c>
      <c r="H600" s="5">
        <f t="shared" si="36"/>
        <v>11.51</v>
      </c>
      <c r="I600" s="5">
        <f t="shared" si="37"/>
        <v>11</v>
      </c>
      <c r="J600" s="5">
        <f t="shared" si="38"/>
        <v>1998</v>
      </c>
    </row>
    <row r="601" spans="4:10" x14ac:dyDescent="0.25">
      <c r="D601" s="4">
        <v>32756</v>
      </c>
      <c r="E601" s="6">
        <v>17.45</v>
      </c>
      <c r="G601" s="4">
        <f t="shared" si="39"/>
        <v>36112</v>
      </c>
      <c r="H601" s="5">
        <f t="shared" si="36"/>
        <v>11.46</v>
      </c>
      <c r="I601" s="5">
        <f t="shared" si="37"/>
        <v>11</v>
      </c>
      <c r="J601" s="5">
        <f t="shared" si="38"/>
        <v>1998</v>
      </c>
    </row>
    <row r="602" spans="4:10" x14ac:dyDescent="0.25">
      <c r="D602" s="4">
        <v>32757</v>
      </c>
      <c r="E602" s="6">
        <v>17.8</v>
      </c>
      <c r="G602" s="4">
        <f t="shared" si="39"/>
        <v>36119</v>
      </c>
      <c r="H602" s="5">
        <f t="shared" si="36"/>
        <v>10.4</v>
      </c>
      <c r="I602" s="5">
        <f t="shared" si="37"/>
        <v>11</v>
      </c>
      <c r="J602" s="5">
        <f t="shared" si="38"/>
        <v>1998</v>
      </c>
    </row>
    <row r="603" spans="4:10" x14ac:dyDescent="0.25">
      <c r="D603" s="4">
        <v>32758</v>
      </c>
      <c r="E603" s="6">
        <v>17.8</v>
      </c>
      <c r="G603" s="4">
        <f t="shared" si="39"/>
        <v>36126</v>
      </c>
      <c r="H603" s="5">
        <f t="shared" si="36"/>
        <v>10.77</v>
      </c>
      <c r="I603" s="5">
        <f t="shared" si="37"/>
        <v>11</v>
      </c>
      <c r="J603" s="5">
        <f t="shared" si="38"/>
        <v>1998</v>
      </c>
    </row>
    <row r="604" spans="4:10" x14ac:dyDescent="0.25">
      <c r="D604" s="4">
        <v>32759</v>
      </c>
      <c r="E604" s="6">
        <v>17.829999999999998</v>
      </c>
      <c r="G604" s="4">
        <f t="shared" si="39"/>
        <v>36133</v>
      </c>
      <c r="H604" s="5">
        <f t="shared" si="36"/>
        <v>9.73</v>
      </c>
      <c r="I604" s="5">
        <f t="shared" si="37"/>
        <v>12</v>
      </c>
      <c r="J604" s="5">
        <f t="shared" si="38"/>
        <v>1998</v>
      </c>
    </row>
    <row r="605" spans="4:10" x14ac:dyDescent="0.25">
      <c r="D605" s="4">
        <v>32762</v>
      </c>
      <c r="E605" s="6">
        <v>17.98</v>
      </c>
      <c r="G605" s="4">
        <f t="shared" si="39"/>
        <v>36140</v>
      </c>
      <c r="H605" s="5">
        <f t="shared" si="36"/>
        <v>9.26</v>
      </c>
      <c r="I605" s="5">
        <f t="shared" si="37"/>
        <v>12</v>
      </c>
      <c r="J605" s="5">
        <f t="shared" si="38"/>
        <v>1998</v>
      </c>
    </row>
    <row r="606" spans="4:10" x14ac:dyDescent="0.25">
      <c r="D606" s="4">
        <v>32763</v>
      </c>
      <c r="E606" s="6">
        <v>17.899999999999999</v>
      </c>
      <c r="G606" s="4">
        <f t="shared" si="39"/>
        <v>36147</v>
      </c>
      <c r="H606" s="5">
        <f t="shared" si="36"/>
        <v>9.6199999999999992</v>
      </c>
      <c r="I606" s="5">
        <f t="shared" si="37"/>
        <v>12</v>
      </c>
      <c r="J606" s="5">
        <f t="shared" si="38"/>
        <v>1998</v>
      </c>
    </row>
    <row r="607" spans="4:10" x14ac:dyDescent="0.25">
      <c r="D607" s="4">
        <v>32764</v>
      </c>
      <c r="E607" s="6">
        <v>18.05</v>
      </c>
      <c r="G607" s="4">
        <f t="shared" si="39"/>
        <v>36154</v>
      </c>
      <c r="H607" s="5">
        <f t="shared" si="36"/>
        <v>0</v>
      </c>
      <c r="I607" s="5">
        <f t="shared" si="37"/>
        <v>12</v>
      </c>
      <c r="J607" s="5">
        <f t="shared" si="38"/>
        <v>1998</v>
      </c>
    </row>
    <row r="608" spans="4:10" x14ac:dyDescent="0.25">
      <c r="D608" s="4">
        <v>32765</v>
      </c>
      <c r="E608" s="6">
        <v>17.899999999999999</v>
      </c>
      <c r="G608" s="4">
        <f t="shared" si="39"/>
        <v>36161</v>
      </c>
      <c r="H608" s="5">
        <f t="shared" si="36"/>
        <v>0</v>
      </c>
      <c r="I608" s="5">
        <f t="shared" si="37"/>
        <v>1</v>
      </c>
      <c r="J608" s="5">
        <f t="shared" si="38"/>
        <v>1999</v>
      </c>
    </row>
    <row r="609" spans="4:10" x14ac:dyDescent="0.25">
      <c r="D609" s="4">
        <v>32766</v>
      </c>
      <c r="E609" s="6">
        <v>17.88</v>
      </c>
      <c r="G609" s="4">
        <f t="shared" si="39"/>
        <v>36168</v>
      </c>
      <c r="H609" s="5">
        <f t="shared" si="36"/>
        <v>11.7</v>
      </c>
      <c r="I609" s="5">
        <f t="shared" si="37"/>
        <v>1</v>
      </c>
      <c r="J609" s="5">
        <f t="shared" si="38"/>
        <v>1999</v>
      </c>
    </row>
    <row r="610" spans="4:10" x14ac:dyDescent="0.25">
      <c r="D610" s="4">
        <v>32769</v>
      </c>
      <c r="E610" s="6">
        <v>18.05</v>
      </c>
      <c r="G610" s="4">
        <f t="shared" si="39"/>
        <v>36175</v>
      </c>
      <c r="H610" s="5">
        <f t="shared" si="36"/>
        <v>10.97</v>
      </c>
      <c r="I610" s="5">
        <f t="shared" si="37"/>
        <v>1</v>
      </c>
      <c r="J610" s="5">
        <f t="shared" si="38"/>
        <v>1999</v>
      </c>
    </row>
    <row r="611" spans="4:10" x14ac:dyDescent="0.25">
      <c r="D611" s="4">
        <v>32770</v>
      </c>
      <c r="E611" s="6">
        <v>17.899999999999999</v>
      </c>
      <c r="G611" s="4">
        <f t="shared" si="39"/>
        <v>36182</v>
      </c>
      <c r="H611" s="5">
        <f t="shared" si="36"/>
        <v>11.23</v>
      </c>
      <c r="I611" s="5">
        <f t="shared" si="37"/>
        <v>1</v>
      </c>
      <c r="J611" s="5">
        <f t="shared" si="38"/>
        <v>1999</v>
      </c>
    </row>
    <row r="612" spans="4:10" x14ac:dyDescent="0.25">
      <c r="D612" s="4">
        <v>32771</v>
      </c>
      <c r="E612" s="6">
        <v>17.8</v>
      </c>
      <c r="G612" s="4">
        <f t="shared" si="39"/>
        <v>36189</v>
      </c>
      <c r="H612" s="5">
        <f t="shared" si="36"/>
        <v>11.34</v>
      </c>
      <c r="I612" s="5">
        <f t="shared" si="37"/>
        <v>1</v>
      </c>
      <c r="J612" s="5">
        <f t="shared" si="38"/>
        <v>1999</v>
      </c>
    </row>
    <row r="613" spans="4:10" x14ac:dyDescent="0.25">
      <c r="D613" s="4">
        <v>32772</v>
      </c>
      <c r="E613" s="6">
        <v>17.850000000000001</v>
      </c>
      <c r="G613" s="4">
        <f t="shared" si="39"/>
        <v>36196</v>
      </c>
      <c r="H613" s="5">
        <f t="shared" si="36"/>
        <v>10.18</v>
      </c>
      <c r="I613" s="5">
        <f t="shared" si="37"/>
        <v>2</v>
      </c>
      <c r="J613" s="5">
        <f t="shared" si="38"/>
        <v>1999</v>
      </c>
    </row>
    <row r="614" spans="4:10" x14ac:dyDescent="0.25">
      <c r="D614" s="4">
        <v>32773</v>
      </c>
      <c r="E614" s="6">
        <v>17.53</v>
      </c>
      <c r="G614" s="4">
        <f t="shared" si="39"/>
        <v>36203</v>
      </c>
      <c r="H614" s="5">
        <f t="shared" si="36"/>
        <v>9.9700000000000006</v>
      </c>
      <c r="I614" s="5">
        <f t="shared" si="37"/>
        <v>2</v>
      </c>
      <c r="J614" s="5">
        <f t="shared" si="38"/>
        <v>1999</v>
      </c>
    </row>
    <row r="615" spans="4:10" x14ac:dyDescent="0.25">
      <c r="D615" s="4">
        <v>32776</v>
      </c>
      <c r="E615" s="6">
        <v>17.45</v>
      </c>
      <c r="G615" s="4">
        <f t="shared" si="39"/>
        <v>36210</v>
      </c>
      <c r="H615" s="5">
        <f t="shared" si="36"/>
        <v>10.29</v>
      </c>
      <c r="I615" s="5">
        <f t="shared" si="37"/>
        <v>2</v>
      </c>
      <c r="J615" s="5">
        <f t="shared" si="38"/>
        <v>1999</v>
      </c>
    </row>
    <row r="616" spans="4:10" x14ac:dyDescent="0.25">
      <c r="D616" s="4">
        <v>32777</v>
      </c>
      <c r="E616" s="6">
        <v>17.45</v>
      </c>
      <c r="G616" s="4">
        <f t="shared" si="39"/>
        <v>36217</v>
      </c>
      <c r="H616" s="5">
        <f t="shared" si="36"/>
        <v>10.58</v>
      </c>
      <c r="I616" s="5">
        <f t="shared" si="37"/>
        <v>2</v>
      </c>
      <c r="J616" s="5">
        <f t="shared" si="38"/>
        <v>1999</v>
      </c>
    </row>
    <row r="617" spans="4:10" x14ac:dyDescent="0.25">
      <c r="D617" s="4">
        <v>32778</v>
      </c>
      <c r="E617" s="6">
        <v>17.55</v>
      </c>
      <c r="G617" s="4">
        <f t="shared" si="39"/>
        <v>36224</v>
      </c>
      <c r="H617" s="5">
        <f t="shared" si="36"/>
        <v>11.02</v>
      </c>
      <c r="I617" s="5">
        <f t="shared" si="37"/>
        <v>3</v>
      </c>
      <c r="J617" s="5">
        <f t="shared" si="38"/>
        <v>1999</v>
      </c>
    </row>
    <row r="618" spans="4:10" x14ac:dyDescent="0.25">
      <c r="D618" s="4">
        <v>32779</v>
      </c>
      <c r="E618" s="6">
        <v>17.93</v>
      </c>
      <c r="G618" s="4">
        <f t="shared" si="39"/>
        <v>36231</v>
      </c>
      <c r="H618" s="5">
        <f t="shared" si="36"/>
        <v>12.3</v>
      </c>
      <c r="I618" s="5">
        <f t="shared" si="37"/>
        <v>3</v>
      </c>
      <c r="J618" s="5">
        <f t="shared" si="38"/>
        <v>1999</v>
      </c>
    </row>
    <row r="619" spans="4:10" x14ac:dyDescent="0.25">
      <c r="D619" s="4">
        <v>32780</v>
      </c>
      <c r="E619" s="6">
        <v>18.23</v>
      </c>
      <c r="G619" s="4">
        <f t="shared" si="39"/>
        <v>36238</v>
      </c>
      <c r="H619" s="5">
        <f t="shared" si="36"/>
        <v>13.15</v>
      </c>
      <c r="I619" s="5">
        <f t="shared" si="37"/>
        <v>3</v>
      </c>
      <c r="J619" s="5">
        <f t="shared" si="38"/>
        <v>1999</v>
      </c>
    </row>
    <row r="620" spans="4:10" x14ac:dyDescent="0.25">
      <c r="D620" s="4">
        <v>32783</v>
      </c>
      <c r="E620" s="6">
        <v>18.579999999999998</v>
      </c>
      <c r="G620" s="4">
        <f t="shared" si="39"/>
        <v>36245</v>
      </c>
      <c r="H620" s="5">
        <f t="shared" si="36"/>
        <v>13.97</v>
      </c>
      <c r="I620" s="5">
        <f t="shared" si="37"/>
        <v>3</v>
      </c>
      <c r="J620" s="5">
        <f t="shared" si="38"/>
        <v>1999</v>
      </c>
    </row>
    <row r="621" spans="4:10" x14ac:dyDescent="0.25">
      <c r="D621" s="4">
        <v>32784</v>
      </c>
      <c r="E621" s="6">
        <v>18.73</v>
      </c>
      <c r="G621" s="4">
        <f t="shared" si="39"/>
        <v>36252</v>
      </c>
      <c r="H621" s="5">
        <f t="shared" si="36"/>
        <v>0</v>
      </c>
      <c r="I621" s="5">
        <f t="shared" si="37"/>
        <v>4</v>
      </c>
      <c r="J621" s="5">
        <f t="shared" si="38"/>
        <v>1999</v>
      </c>
    </row>
    <row r="622" spans="4:10" x14ac:dyDescent="0.25">
      <c r="D622" s="4">
        <v>32785</v>
      </c>
      <c r="E622" s="6">
        <v>18.78</v>
      </c>
      <c r="G622" s="4">
        <f t="shared" si="39"/>
        <v>36259</v>
      </c>
      <c r="H622" s="5">
        <f t="shared" si="36"/>
        <v>14.11</v>
      </c>
      <c r="I622" s="5">
        <f t="shared" si="37"/>
        <v>4</v>
      </c>
      <c r="J622" s="5">
        <f t="shared" si="38"/>
        <v>1999</v>
      </c>
    </row>
    <row r="623" spans="4:10" x14ac:dyDescent="0.25">
      <c r="D623" s="4">
        <v>32786</v>
      </c>
      <c r="E623" s="6">
        <v>18.43</v>
      </c>
      <c r="G623" s="4">
        <f t="shared" si="39"/>
        <v>36266</v>
      </c>
      <c r="H623" s="5">
        <f t="shared" si="36"/>
        <v>15.34</v>
      </c>
      <c r="I623" s="5">
        <f t="shared" si="37"/>
        <v>4</v>
      </c>
      <c r="J623" s="5">
        <f t="shared" si="38"/>
        <v>1999</v>
      </c>
    </row>
    <row r="624" spans="4:10" x14ac:dyDescent="0.25">
      <c r="D624" s="4">
        <v>32787</v>
      </c>
      <c r="E624" s="6">
        <v>18.45</v>
      </c>
      <c r="G624" s="4">
        <f t="shared" si="39"/>
        <v>36273</v>
      </c>
      <c r="H624" s="5">
        <f t="shared" si="36"/>
        <v>16.07</v>
      </c>
      <c r="I624" s="5">
        <f t="shared" si="37"/>
        <v>4</v>
      </c>
      <c r="J624" s="5">
        <f t="shared" si="38"/>
        <v>1999</v>
      </c>
    </row>
    <row r="625" spans="4:10" x14ac:dyDescent="0.25">
      <c r="D625" s="4">
        <v>32790</v>
      </c>
      <c r="E625" s="6">
        <v>18.25</v>
      </c>
      <c r="G625" s="4">
        <f t="shared" si="39"/>
        <v>36280</v>
      </c>
      <c r="H625" s="5">
        <f t="shared" si="36"/>
        <v>16.45</v>
      </c>
      <c r="I625" s="5">
        <f t="shared" si="37"/>
        <v>4</v>
      </c>
      <c r="J625" s="5">
        <f t="shared" si="38"/>
        <v>1999</v>
      </c>
    </row>
    <row r="626" spans="4:10" x14ac:dyDescent="0.25">
      <c r="D626" s="4">
        <v>32791</v>
      </c>
      <c r="E626" s="6">
        <v>18.55</v>
      </c>
      <c r="G626" s="4">
        <f t="shared" si="39"/>
        <v>36287</v>
      </c>
      <c r="H626" s="5">
        <f t="shared" si="36"/>
        <v>15.66</v>
      </c>
      <c r="I626" s="5">
        <f t="shared" si="37"/>
        <v>5</v>
      </c>
      <c r="J626" s="5">
        <f t="shared" si="38"/>
        <v>1999</v>
      </c>
    </row>
    <row r="627" spans="4:10" x14ac:dyDescent="0.25">
      <c r="D627" s="4">
        <v>32792</v>
      </c>
      <c r="E627" s="6">
        <v>18.850000000000001</v>
      </c>
      <c r="G627" s="4">
        <f t="shared" si="39"/>
        <v>36294</v>
      </c>
      <c r="H627" s="5">
        <f t="shared" si="36"/>
        <v>15.18</v>
      </c>
      <c r="I627" s="5">
        <f t="shared" si="37"/>
        <v>5</v>
      </c>
      <c r="J627" s="5">
        <f t="shared" si="38"/>
        <v>1999</v>
      </c>
    </row>
    <row r="628" spans="4:10" x14ac:dyDescent="0.25">
      <c r="D628" s="4">
        <v>32793</v>
      </c>
      <c r="E628" s="6">
        <v>19.23</v>
      </c>
      <c r="G628" s="4">
        <f t="shared" si="39"/>
        <v>36301</v>
      </c>
      <c r="H628" s="5">
        <f t="shared" si="36"/>
        <v>14.49</v>
      </c>
      <c r="I628" s="5">
        <f t="shared" si="37"/>
        <v>5</v>
      </c>
      <c r="J628" s="5">
        <f t="shared" si="38"/>
        <v>1999</v>
      </c>
    </row>
    <row r="629" spans="4:10" x14ac:dyDescent="0.25">
      <c r="D629" s="4">
        <v>32794</v>
      </c>
      <c r="E629" s="6">
        <v>19.600000000000001</v>
      </c>
      <c r="G629" s="4">
        <f t="shared" si="39"/>
        <v>36308</v>
      </c>
      <c r="H629" s="5">
        <f t="shared" si="36"/>
        <v>14.75</v>
      </c>
      <c r="I629" s="5">
        <f t="shared" si="37"/>
        <v>5</v>
      </c>
      <c r="J629" s="5">
        <f t="shared" si="38"/>
        <v>1999</v>
      </c>
    </row>
    <row r="630" spans="4:10" x14ac:dyDescent="0.25">
      <c r="D630" s="4">
        <v>32797</v>
      </c>
      <c r="E630" s="6">
        <v>19.38</v>
      </c>
      <c r="G630" s="4">
        <f t="shared" si="39"/>
        <v>36315</v>
      </c>
      <c r="H630" s="5">
        <f t="shared" si="36"/>
        <v>15.21</v>
      </c>
      <c r="I630" s="5">
        <f t="shared" si="37"/>
        <v>6</v>
      </c>
      <c r="J630" s="5">
        <f t="shared" si="38"/>
        <v>1999</v>
      </c>
    </row>
    <row r="631" spans="4:10" x14ac:dyDescent="0.25">
      <c r="D631" s="4">
        <v>32798</v>
      </c>
      <c r="E631" s="6">
        <v>19.53</v>
      </c>
      <c r="G631" s="4">
        <f t="shared" si="39"/>
        <v>36322</v>
      </c>
      <c r="H631" s="5">
        <f t="shared" si="36"/>
        <v>16.25</v>
      </c>
      <c r="I631" s="5">
        <f t="shared" si="37"/>
        <v>6</v>
      </c>
      <c r="J631" s="5">
        <f t="shared" si="38"/>
        <v>1999</v>
      </c>
    </row>
    <row r="632" spans="4:10" x14ac:dyDescent="0.25">
      <c r="D632" s="4">
        <v>32799</v>
      </c>
      <c r="E632" s="6">
        <v>19.43</v>
      </c>
      <c r="G632" s="4">
        <f t="shared" si="39"/>
        <v>36329</v>
      </c>
      <c r="H632" s="5">
        <f t="shared" si="36"/>
        <v>15.93</v>
      </c>
      <c r="I632" s="5">
        <f t="shared" si="37"/>
        <v>6</v>
      </c>
      <c r="J632" s="5">
        <f t="shared" si="38"/>
        <v>1999</v>
      </c>
    </row>
    <row r="633" spans="4:10" x14ac:dyDescent="0.25">
      <c r="D633" s="4">
        <v>32800</v>
      </c>
      <c r="E633" s="6">
        <v>19.329999999999998</v>
      </c>
      <c r="G633" s="4">
        <f t="shared" si="39"/>
        <v>36336</v>
      </c>
      <c r="H633" s="5">
        <f t="shared" si="36"/>
        <v>16.27</v>
      </c>
      <c r="I633" s="5">
        <f t="shared" si="37"/>
        <v>6</v>
      </c>
      <c r="J633" s="5">
        <f t="shared" si="38"/>
        <v>1999</v>
      </c>
    </row>
    <row r="634" spans="4:10" x14ac:dyDescent="0.25">
      <c r="D634" s="4">
        <v>32801</v>
      </c>
      <c r="E634" s="6">
        <v>19.2</v>
      </c>
      <c r="G634" s="4">
        <f t="shared" si="39"/>
        <v>36343</v>
      </c>
      <c r="H634" s="5">
        <f t="shared" si="36"/>
        <v>17.55</v>
      </c>
      <c r="I634" s="5">
        <f t="shared" si="37"/>
        <v>7</v>
      </c>
      <c r="J634" s="5">
        <f t="shared" si="38"/>
        <v>1999</v>
      </c>
    </row>
    <row r="635" spans="4:10" x14ac:dyDescent="0.25">
      <c r="D635" s="4">
        <v>32804</v>
      </c>
      <c r="E635" s="6">
        <v>18.88</v>
      </c>
      <c r="G635" s="4">
        <f t="shared" si="39"/>
        <v>36350</v>
      </c>
      <c r="H635" s="5">
        <f t="shared" si="36"/>
        <v>18.899999999999999</v>
      </c>
      <c r="I635" s="5">
        <f t="shared" si="37"/>
        <v>7</v>
      </c>
      <c r="J635" s="5">
        <f t="shared" si="38"/>
        <v>1999</v>
      </c>
    </row>
    <row r="636" spans="4:10" x14ac:dyDescent="0.25">
      <c r="D636" s="4">
        <v>32805</v>
      </c>
      <c r="E636" s="6">
        <v>18.8</v>
      </c>
      <c r="G636" s="4">
        <f t="shared" si="39"/>
        <v>36357</v>
      </c>
      <c r="H636" s="5">
        <f t="shared" si="36"/>
        <v>19.420000000000002</v>
      </c>
      <c r="I636" s="5">
        <f t="shared" si="37"/>
        <v>7</v>
      </c>
      <c r="J636" s="5">
        <f t="shared" si="38"/>
        <v>1999</v>
      </c>
    </row>
    <row r="637" spans="4:10" x14ac:dyDescent="0.25">
      <c r="D637" s="4">
        <v>32806</v>
      </c>
      <c r="E637" s="6">
        <v>18.88</v>
      </c>
      <c r="G637" s="4">
        <f t="shared" si="39"/>
        <v>36364</v>
      </c>
      <c r="H637" s="5">
        <f t="shared" si="36"/>
        <v>19.690000000000001</v>
      </c>
      <c r="I637" s="5">
        <f t="shared" si="37"/>
        <v>7</v>
      </c>
      <c r="J637" s="5">
        <f t="shared" si="38"/>
        <v>1999</v>
      </c>
    </row>
    <row r="638" spans="4:10" x14ac:dyDescent="0.25">
      <c r="D638" s="4">
        <v>32807</v>
      </c>
      <c r="E638" s="6">
        <v>18.48</v>
      </c>
      <c r="G638" s="4">
        <f t="shared" si="39"/>
        <v>36371</v>
      </c>
      <c r="H638" s="5">
        <f t="shared" si="36"/>
        <v>19.97</v>
      </c>
      <c r="I638" s="5">
        <f t="shared" si="37"/>
        <v>7</v>
      </c>
      <c r="J638" s="5">
        <f t="shared" si="38"/>
        <v>1999</v>
      </c>
    </row>
    <row r="639" spans="4:10" x14ac:dyDescent="0.25">
      <c r="D639" s="4">
        <v>32808</v>
      </c>
      <c r="E639" s="6">
        <v>18.7</v>
      </c>
      <c r="G639" s="4">
        <f t="shared" si="39"/>
        <v>36378</v>
      </c>
      <c r="H639" s="5">
        <f t="shared" si="36"/>
        <v>19.66</v>
      </c>
      <c r="I639" s="5">
        <f t="shared" si="37"/>
        <v>8</v>
      </c>
      <c r="J639" s="5">
        <f t="shared" si="38"/>
        <v>1999</v>
      </c>
    </row>
    <row r="640" spans="4:10" x14ac:dyDescent="0.25">
      <c r="D640" s="4">
        <v>32811</v>
      </c>
      <c r="E640" s="6">
        <v>18.98</v>
      </c>
      <c r="G640" s="4">
        <f t="shared" si="39"/>
        <v>36385</v>
      </c>
      <c r="H640" s="5">
        <f t="shared" si="36"/>
        <v>20.61</v>
      </c>
      <c r="I640" s="5">
        <f t="shared" si="37"/>
        <v>8</v>
      </c>
      <c r="J640" s="5">
        <f t="shared" si="38"/>
        <v>1999</v>
      </c>
    </row>
    <row r="641" spans="4:10" x14ac:dyDescent="0.25">
      <c r="D641" s="4">
        <v>32812</v>
      </c>
      <c r="E641" s="6">
        <v>18.93</v>
      </c>
      <c r="G641" s="4">
        <f t="shared" si="39"/>
        <v>36392</v>
      </c>
      <c r="H641" s="5">
        <f t="shared" si="36"/>
        <v>21.11</v>
      </c>
      <c r="I641" s="5">
        <f t="shared" si="37"/>
        <v>8</v>
      </c>
      <c r="J641" s="5">
        <f t="shared" si="38"/>
        <v>1999</v>
      </c>
    </row>
    <row r="642" spans="4:10" x14ac:dyDescent="0.25">
      <c r="D642" s="4">
        <v>32813</v>
      </c>
      <c r="E642" s="6">
        <v>19.23</v>
      </c>
      <c r="G642" s="4">
        <f t="shared" si="39"/>
        <v>36399</v>
      </c>
      <c r="H642" s="5">
        <f t="shared" si="36"/>
        <v>20.32</v>
      </c>
      <c r="I642" s="5">
        <f t="shared" si="37"/>
        <v>8</v>
      </c>
      <c r="J642" s="5">
        <f t="shared" si="38"/>
        <v>1999</v>
      </c>
    </row>
    <row r="643" spans="4:10" x14ac:dyDescent="0.25">
      <c r="D643" s="4">
        <v>32814</v>
      </c>
      <c r="E643" s="6">
        <v>19.2</v>
      </c>
      <c r="G643" s="4">
        <f t="shared" si="39"/>
        <v>36406</v>
      </c>
      <c r="H643" s="5">
        <f t="shared" ref="H643:H706" si="40">_xlfn.XLOOKUP(G643,D:D,E:E)</f>
        <v>20.74</v>
      </c>
      <c r="I643" s="5">
        <f t="shared" ref="I643:I706" si="41">MONTH(G643)</f>
        <v>9</v>
      </c>
      <c r="J643" s="5">
        <f t="shared" ref="J643:J706" si="42">YEAR(G643)</f>
        <v>1999</v>
      </c>
    </row>
    <row r="644" spans="4:10" x14ac:dyDescent="0.25">
      <c r="D644" s="4">
        <v>32815</v>
      </c>
      <c r="E644" s="6">
        <v>19</v>
      </c>
      <c r="G644" s="4">
        <f t="shared" ref="G644:G707" si="43">G643+7</f>
        <v>36413</v>
      </c>
      <c r="H644" s="5">
        <f t="shared" si="40"/>
        <v>22.36</v>
      </c>
      <c r="I644" s="5">
        <f t="shared" si="41"/>
        <v>9</v>
      </c>
      <c r="J644" s="5">
        <f t="shared" si="42"/>
        <v>1999</v>
      </c>
    </row>
    <row r="645" spans="4:10" x14ac:dyDescent="0.25">
      <c r="D645" s="4">
        <v>32818</v>
      </c>
      <c r="E645" s="6">
        <v>18.95</v>
      </c>
      <c r="G645" s="4">
        <f t="shared" si="43"/>
        <v>36420</v>
      </c>
      <c r="H645" s="5">
        <f t="shared" si="40"/>
        <v>22.93</v>
      </c>
      <c r="I645" s="5">
        <f t="shared" si="41"/>
        <v>9</v>
      </c>
      <c r="J645" s="5">
        <f t="shared" si="42"/>
        <v>1999</v>
      </c>
    </row>
    <row r="646" spans="4:10" x14ac:dyDescent="0.25">
      <c r="D646" s="4">
        <v>32819</v>
      </c>
      <c r="E646" s="6">
        <v>18.899999999999999</v>
      </c>
      <c r="G646" s="4">
        <f t="shared" si="43"/>
        <v>36427</v>
      </c>
      <c r="H646" s="5">
        <f t="shared" si="40"/>
        <v>23.66</v>
      </c>
      <c r="I646" s="5">
        <f t="shared" si="41"/>
        <v>9</v>
      </c>
      <c r="J646" s="5">
        <f t="shared" si="42"/>
        <v>1999</v>
      </c>
    </row>
    <row r="647" spans="4:10" x14ac:dyDescent="0.25">
      <c r="D647" s="4">
        <v>32820</v>
      </c>
      <c r="E647" s="6">
        <v>18.899999999999999</v>
      </c>
      <c r="G647" s="4">
        <f t="shared" si="43"/>
        <v>36434</v>
      </c>
      <c r="H647" s="5">
        <f t="shared" si="40"/>
        <v>22.98</v>
      </c>
      <c r="I647" s="5">
        <f t="shared" si="41"/>
        <v>10</v>
      </c>
      <c r="J647" s="5">
        <f t="shared" si="42"/>
        <v>1999</v>
      </c>
    </row>
    <row r="648" spans="4:10" x14ac:dyDescent="0.25">
      <c r="D648" s="4">
        <v>32821</v>
      </c>
      <c r="E648" s="6">
        <v>18.850000000000001</v>
      </c>
      <c r="G648" s="4">
        <f t="shared" si="43"/>
        <v>36441</v>
      </c>
      <c r="H648" s="5">
        <f t="shared" si="40"/>
        <v>20.78</v>
      </c>
      <c r="I648" s="5">
        <f t="shared" si="41"/>
        <v>10</v>
      </c>
      <c r="J648" s="5">
        <f t="shared" si="42"/>
        <v>1999</v>
      </c>
    </row>
    <row r="649" spans="4:10" x14ac:dyDescent="0.25">
      <c r="D649" s="4">
        <v>32822</v>
      </c>
      <c r="E649" s="6">
        <v>19.05</v>
      </c>
      <c r="G649" s="4">
        <f t="shared" si="43"/>
        <v>36448</v>
      </c>
      <c r="H649" s="5">
        <f t="shared" si="40"/>
        <v>21.65</v>
      </c>
      <c r="I649" s="5">
        <f t="shared" si="41"/>
        <v>10</v>
      </c>
      <c r="J649" s="5">
        <f t="shared" si="42"/>
        <v>1999</v>
      </c>
    </row>
    <row r="650" spans="4:10" x14ac:dyDescent="0.25">
      <c r="D650" s="4">
        <v>32825</v>
      </c>
      <c r="E650" s="6">
        <v>18.850000000000001</v>
      </c>
      <c r="G650" s="4">
        <f t="shared" si="43"/>
        <v>36455</v>
      </c>
      <c r="H650" s="5">
        <f t="shared" si="40"/>
        <v>22.38</v>
      </c>
      <c r="I650" s="5">
        <f t="shared" si="41"/>
        <v>10</v>
      </c>
      <c r="J650" s="5">
        <f t="shared" si="42"/>
        <v>1999</v>
      </c>
    </row>
    <row r="651" spans="4:10" x14ac:dyDescent="0.25">
      <c r="D651" s="4">
        <v>32826</v>
      </c>
      <c r="E651" s="6">
        <v>18.7</v>
      </c>
      <c r="G651" s="4">
        <f t="shared" si="43"/>
        <v>36462</v>
      </c>
      <c r="H651" s="5">
        <f t="shared" si="40"/>
        <v>21.11</v>
      </c>
      <c r="I651" s="5">
        <f t="shared" si="41"/>
        <v>10</v>
      </c>
      <c r="J651" s="5">
        <f t="shared" si="42"/>
        <v>1999</v>
      </c>
    </row>
    <row r="652" spans="4:10" x14ac:dyDescent="0.25">
      <c r="D652" s="4">
        <v>32827</v>
      </c>
      <c r="E652" s="6">
        <v>18.649999999999999</v>
      </c>
      <c r="G652" s="4">
        <f t="shared" si="43"/>
        <v>36469</v>
      </c>
      <c r="H652" s="5">
        <f t="shared" si="40"/>
        <v>22.8</v>
      </c>
      <c r="I652" s="5">
        <f t="shared" si="41"/>
        <v>11</v>
      </c>
      <c r="J652" s="5">
        <f t="shared" si="42"/>
        <v>1999</v>
      </c>
    </row>
    <row r="653" spans="4:10" x14ac:dyDescent="0.25">
      <c r="D653" s="4">
        <v>32828</v>
      </c>
      <c r="E653" s="6">
        <v>18.649999999999999</v>
      </c>
      <c r="G653" s="4">
        <f t="shared" si="43"/>
        <v>36476</v>
      </c>
      <c r="H653" s="5">
        <f t="shared" si="40"/>
        <v>25.39</v>
      </c>
      <c r="I653" s="5">
        <f t="shared" si="41"/>
        <v>11</v>
      </c>
      <c r="J653" s="5">
        <f t="shared" si="42"/>
        <v>1999</v>
      </c>
    </row>
    <row r="654" spans="4:10" x14ac:dyDescent="0.25">
      <c r="D654" s="4">
        <v>32829</v>
      </c>
      <c r="E654" s="6">
        <v>18.75</v>
      </c>
      <c r="G654" s="4">
        <f t="shared" si="43"/>
        <v>36483</v>
      </c>
      <c r="H654" s="5">
        <f t="shared" si="40"/>
        <v>25.14</v>
      </c>
      <c r="I654" s="5">
        <f t="shared" si="41"/>
        <v>11</v>
      </c>
      <c r="J654" s="5">
        <f t="shared" si="42"/>
        <v>1999</v>
      </c>
    </row>
    <row r="655" spans="4:10" x14ac:dyDescent="0.25">
      <c r="D655" s="4">
        <v>32832</v>
      </c>
      <c r="E655" s="6">
        <v>18.8</v>
      </c>
      <c r="G655" s="4">
        <f t="shared" si="43"/>
        <v>36490</v>
      </c>
      <c r="H655" s="5">
        <f t="shared" si="40"/>
        <v>25.85</v>
      </c>
      <c r="I655" s="5">
        <f t="shared" si="41"/>
        <v>11</v>
      </c>
      <c r="J655" s="5">
        <f t="shared" si="42"/>
        <v>1999</v>
      </c>
    </row>
    <row r="656" spans="4:10" x14ac:dyDescent="0.25">
      <c r="D656" s="4">
        <v>32833</v>
      </c>
      <c r="E656" s="6">
        <v>18.68</v>
      </c>
      <c r="G656" s="4">
        <f t="shared" si="43"/>
        <v>36497</v>
      </c>
      <c r="H656" s="5">
        <f t="shared" si="40"/>
        <v>26.17</v>
      </c>
      <c r="I656" s="5">
        <f t="shared" si="41"/>
        <v>12</v>
      </c>
      <c r="J656" s="5">
        <f t="shared" si="42"/>
        <v>1999</v>
      </c>
    </row>
    <row r="657" spans="4:10" x14ac:dyDescent="0.25">
      <c r="D657" s="4">
        <v>32834</v>
      </c>
      <c r="E657" s="6">
        <v>18.600000000000001</v>
      </c>
      <c r="G657" s="4">
        <f t="shared" si="43"/>
        <v>36504</v>
      </c>
      <c r="H657" s="5">
        <f t="shared" si="40"/>
        <v>24.86</v>
      </c>
      <c r="I657" s="5">
        <f t="shared" si="41"/>
        <v>12</v>
      </c>
      <c r="J657" s="5">
        <f t="shared" si="42"/>
        <v>1999</v>
      </c>
    </row>
    <row r="658" spans="4:10" x14ac:dyDescent="0.25">
      <c r="D658" s="4">
        <v>32835</v>
      </c>
      <c r="E658" s="6">
        <v>18.399999999999999</v>
      </c>
      <c r="G658" s="4">
        <f t="shared" si="43"/>
        <v>36511</v>
      </c>
      <c r="H658" s="5">
        <f t="shared" si="40"/>
        <v>26.22</v>
      </c>
      <c r="I658" s="5">
        <f t="shared" si="41"/>
        <v>12</v>
      </c>
      <c r="J658" s="5">
        <f t="shared" si="42"/>
        <v>1999</v>
      </c>
    </row>
    <row r="659" spans="4:10" x14ac:dyDescent="0.25">
      <c r="D659" s="4">
        <v>32836</v>
      </c>
      <c r="E659" s="6">
        <v>18.48</v>
      </c>
      <c r="G659" s="4">
        <f t="shared" si="43"/>
        <v>36518</v>
      </c>
      <c r="H659" s="5">
        <f t="shared" si="40"/>
        <v>0</v>
      </c>
      <c r="I659" s="5">
        <f t="shared" si="41"/>
        <v>12</v>
      </c>
      <c r="J659" s="5">
        <f t="shared" si="42"/>
        <v>1999</v>
      </c>
    </row>
    <row r="660" spans="4:10" x14ac:dyDescent="0.25">
      <c r="D660" s="4">
        <v>32839</v>
      </c>
      <c r="E660" s="6">
        <v>18.5</v>
      </c>
      <c r="G660" s="4">
        <f t="shared" si="43"/>
        <v>36525</v>
      </c>
      <c r="H660" s="5">
        <f t="shared" si="40"/>
        <v>0</v>
      </c>
      <c r="I660" s="5">
        <f t="shared" si="41"/>
        <v>12</v>
      </c>
      <c r="J660" s="5">
        <f t="shared" si="42"/>
        <v>1999</v>
      </c>
    </row>
    <row r="661" spans="4:10" x14ac:dyDescent="0.25">
      <c r="D661" s="4">
        <v>32840</v>
      </c>
      <c r="E661" s="6">
        <v>18.23</v>
      </c>
      <c r="G661" s="4">
        <f t="shared" si="43"/>
        <v>36532</v>
      </c>
      <c r="H661" s="5">
        <f t="shared" si="40"/>
        <v>23.35</v>
      </c>
      <c r="I661" s="5">
        <f t="shared" si="41"/>
        <v>1</v>
      </c>
      <c r="J661" s="5">
        <f t="shared" si="42"/>
        <v>2000</v>
      </c>
    </row>
    <row r="662" spans="4:10" x14ac:dyDescent="0.25">
      <c r="D662" s="4">
        <v>32841</v>
      </c>
      <c r="E662" s="6">
        <v>18.149999999999999</v>
      </c>
      <c r="G662" s="4">
        <f t="shared" si="43"/>
        <v>36539</v>
      </c>
      <c r="H662" s="5">
        <f t="shared" si="40"/>
        <v>25.5</v>
      </c>
      <c r="I662" s="5">
        <f t="shared" si="41"/>
        <v>1</v>
      </c>
      <c r="J662" s="5">
        <f t="shared" si="42"/>
        <v>2000</v>
      </c>
    </row>
    <row r="663" spans="4:10" x14ac:dyDescent="0.25">
      <c r="D663" s="4">
        <v>32842</v>
      </c>
      <c r="E663" s="6">
        <v>18.48</v>
      </c>
      <c r="G663" s="4">
        <f t="shared" si="43"/>
        <v>36546</v>
      </c>
      <c r="H663" s="5">
        <f t="shared" si="40"/>
        <v>27.18</v>
      </c>
      <c r="I663" s="5">
        <f t="shared" si="41"/>
        <v>1</v>
      </c>
      <c r="J663" s="5">
        <f t="shared" si="42"/>
        <v>2000</v>
      </c>
    </row>
    <row r="664" spans="4:10" x14ac:dyDescent="0.25">
      <c r="D664" s="4">
        <v>32843</v>
      </c>
      <c r="E664" s="6">
        <v>18.68</v>
      </c>
      <c r="G664" s="4">
        <f t="shared" si="43"/>
        <v>36553</v>
      </c>
      <c r="H664" s="5">
        <f t="shared" si="40"/>
        <v>26.59</v>
      </c>
      <c r="I664" s="5">
        <f t="shared" si="41"/>
        <v>1</v>
      </c>
      <c r="J664" s="5">
        <f t="shared" si="42"/>
        <v>2000</v>
      </c>
    </row>
    <row r="665" spans="4:10" x14ac:dyDescent="0.25">
      <c r="D665" s="4">
        <v>32846</v>
      </c>
      <c r="E665" s="6">
        <v>19.28</v>
      </c>
      <c r="G665" s="4">
        <f t="shared" si="43"/>
        <v>36560</v>
      </c>
      <c r="H665" s="5">
        <f t="shared" si="40"/>
        <v>27.48</v>
      </c>
      <c r="I665" s="5">
        <f t="shared" si="41"/>
        <v>2</v>
      </c>
      <c r="J665" s="5">
        <f t="shared" si="42"/>
        <v>2000</v>
      </c>
    </row>
    <row r="666" spans="4:10" x14ac:dyDescent="0.25">
      <c r="D666" s="4">
        <v>32847</v>
      </c>
      <c r="E666" s="6">
        <v>19.18</v>
      </c>
      <c r="G666" s="4">
        <f t="shared" si="43"/>
        <v>36567</v>
      </c>
      <c r="H666" s="5">
        <f t="shared" si="40"/>
        <v>27.82</v>
      </c>
      <c r="I666" s="5">
        <f t="shared" si="41"/>
        <v>2</v>
      </c>
      <c r="J666" s="5">
        <f t="shared" si="42"/>
        <v>2000</v>
      </c>
    </row>
    <row r="667" spans="4:10" x14ac:dyDescent="0.25">
      <c r="D667" s="4">
        <v>32848</v>
      </c>
      <c r="E667" s="6">
        <v>19.28</v>
      </c>
      <c r="G667" s="4">
        <f t="shared" si="43"/>
        <v>36574</v>
      </c>
      <c r="H667" s="5">
        <f t="shared" si="40"/>
        <v>27.26</v>
      </c>
      <c r="I667" s="5">
        <f t="shared" si="41"/>
        <v>2</v>
      </c>
      <c r="J667" s="5">
        <f t="shared" si="42"/>
        <v>2000</v>
      </c>
    </row>
    <row r="668" spans="4:10" x14ac:dyDescent="0.25">
      <c r="D668" s="4">
        <v>32849</v>
      </c>
      <c r="E668" s="6">
        <v>19.329999999999998</v>
      </c>
      <c r="G668" s="4">
        <f t="shared" si="43"/>
        <v>36581</v>
      </c>
      <c r="H668" s="5">
        <f t="shared" si="40"/>
        <v>28.53</v>
      </c>
      <c r="I668" s="5">
        <f t="shared" si="41"/>
        <v>2</v>
      </c>
      <c r="J668" s="5">
        <f t="shared" si="42"/>
        <v>2000</v>
      </c>
    </row>
    <row r="669" spans="4:10" x14ac:dyDescent="0.25">
      <c r="D669" s="4">
        <v>32850</v>
      </c>
      <c r="E669" s="6">
        <v>19.149999999999999</v>
      </c>
      <c r="G669" s="4">
        <f t="shared" si="43"/>
        <v>36588</v>
      </c>
      <c r="H669" s="5">
        <f t="shared" si="40"/>
        <v>29.83</v>
      </c>
      <c r="I669" s="5">
        <f t="shared" si="41"/>
        <v>3</v>
      </c>
      <c r="J669" s="5">
        <f t="shared" si="42"/>
        <v>2000</v>
      </c>
    </row>
    <row r="670" spans="4:10" x14ac:dyDescent="0.25">
      <c r="D670" s="4">
        <v>32853</v>
      </c>
      <c r="E670" s="6">
        <v>19.45</v>
      </c>
      <c r="G670" s="4">
        <f t="shared" si="43"/>
        <v>36595</v>
      </c>
      <c r="H670" s="5">
        <f t="shared" si="40"/>
        <v>28.97</v>
      </c>
      <c r="I670" s="5">
        <f t="shared" si="41"/>
        <v>3</v>
      </c>
      <c r="J670" s="5">
        <f t="shared" si="42"/>
        <v>2000</v>
      </c>
    </row>
    <row r="671" spans="4:10" x14ac:dyDescent="0.25">
      <c r="D671" s="4">
        <v>32854</v>
      </c>
      <c r="E671" s="6">
        <v>19.53</v>
      </c>
      <c r="G671" s="4">
        <f t="shared" si="43"/>
        <v>36602</v>
      </c>
      <c r="H671" s="5">
        <f t="shared" si="40"/>
        <v>27.87</v>
      </c>
      <c r="I671" s="5">
        <f t="shared" si="41"/>
        <v>3</v>
      </c>
      <c r="J671" s="5">
        <f t="shared" si="42"/>
        <v>2000</v>
      </c>
    </row>
    <row r="672" spans="4:10" x14ac:dyDescent="0.25">
      <c r="D672" s="4">
        <v>32855</v>
      </c>
      <c r="E672" s="6">
        <v>19.78</v>
      </c>
      <c r="G672" s="4">
        <f t="shared" si="43"/>
        <v>36609</v>
      </c>
      <c r="H672" s="5">
        <f t="shared" si="40"/>
        <v>25.74</v>
      </c>
      <c r="I672" s="5">
        <f t="shared" si="41"/>
        <v>3</v>
      </c>
      <c r="J672" s="5">
        <f t="shared" si="42"/>
        <v>2000</v>
      </c>
    </row>
    <row r="673" spans="4:10" x14ac:dyDescent="0.25">
      <c r="D673" s="4">
        <v>32856</v>
      </c>
      <c r="E673" s="6">
        <v>19.68</v>
      </c>
      <c r="G673" s="4">
        <f t="shared" si="43"/>
        <v>36616</v>
      </c>
      <c r="H673" s="5">
        <f t="shared" si="40"/>
        <v>23.98</v>
      </c>
      <c r="I673" s="5">
        <f t="shared" si="41"/>
        <v>3</v>
      </c>
      <c r="J673" s="5">
        <f t="shared" si="42"/>
        <v>2000</v>
      </c>
    </row>
    <row r="674" spans="4:10" x14ac:dyDescent="0.25">
      <c r="D674" s="4">
        <v>32857</v>
      </c>
      <c r="E674" s="6">
        <v>19.68</v>
      </c>
      <c r="G674" s="4">
        <f t="shared" si="43"/>
        <v>36623</v>
      </c>
      <c r="H674" s="5">
        <f t="shared" si="40"/>
        <v>22.63</v>
      </c>
      <c r="I674" s="5">
        <f t="shared" si="41"/>
        <v>4</v>
      </c>
      <c r="J674" s="5">
        <f t="shared" si="42"/>
        <v>2000</v>
      </c>
    </row>
    <row r="675" spans="4:10" x14ac:dyDescent="0.25">
      <c r="D675" s="4">
        <v>32860</v>
      </c>
      <c r="E675" s="6">
        <v>19.98</v>
      </c>
      <c r="G675" s="4">
        <f t="shared" si="43"/>
        <v>36630</v>
      </c>
      <c r="H675" s="5">
        <f t="shared" si="40"/>
        <v>22.13</v>
      </c>
      <c r="I675" s="5">
        <f t="shared" si="41"/>
        <v>4</v>
      </c>
      <c r="J675" s="5">
        <f t="shared" si="42"/>
        <v>2000</v>
      </c>
    </row>
    <row r="676" spans="4:10" x14ac:dyDescent="0.25">
      <c r="D676" s="4">
        <v>32861</v>
      </c>
      <c r="E676" s="6">
        <v>20.28</v>
      </c>
      <c r="G676" s="4">
        <f t="shared" si="43"/>
        <v>36637</v>
      </c>
      <c r="H676" s="5">
        <f t="shared" si="40"/>
        <v>0</v>
      </c>
      <c r="I676" s="5">
        <f t="shared" si="41"/>
        <v>4</v>
      </c>
      <c r="J676" s="5">
        <f t="shared" si="42"/>
        <v>2000</v>
      </c>
    </row>
    <row r="677" spans="4:10" x14ac:dyDescent="0.25">
      <c r="D677" s="4">
        <v>32862</v>
      </c>
      <c r="E677" s="6">
        <v>20.23</v>
      </c>
      <c r="G677" s="4">
        <f t="shared" si="43"/>
        <v>36644</v>
      </c>
      <c r="H677" s="5">
        <f t="shared" si="40"/>
        <v>23.79</v>
      </c>
      <c r="I677" s="5">
        <f t="shared" si="41"/>
        <v>4</v>
      </c>
      <c r="J677" s="5">
        <f t="shared" si="42"/>
        <v>2000</v>
      </c>
    </row>
    <row r="678" spans="4:10" x14ac:dyDescent="0.25">
      <c r="D678" s="4">
        <v>32863</v>
      </c>
      <c r="E678" s="6">
        <v>20.13</v>
      </c>
      <c r="G678" s="4">
        <f t="shared" si="43"/>
        <v>36651</v>
      </c>
      <c r="H678" s="5">
        <f t="shared" si="40"/>
        <v>24.93</v>
      </c>
      <c r="I678" s="5">
        <f t="shared" si="41"/>
        <v>5</v>
      </c>
      <c r="J678" s="5">
        <f t="shared" si="42"/>
        <v>2000</v>
      </c>
    </row>
    <row r="679" spans="4:10" x14ac:dyDescent="0.25">
      <c r="D679" s="4">
        <v>32864</v>
      </c>
      <c r="E679" s="6">
        <v>20.5</v>
      </c>
      <c r="G679" s="4">
        <f t="shared" si="43"/>
        <v>36658</v>
      </c>
      <c r="H679" s="5">
        <f t="shared" si="40"/>
        <v>27.98</v>
      </c>
      <c r="I679" s="5">
        <f t="shared" si="41"/>
        <v>5</v>
      </c>
      <c r="J679" s="5">
        <f t="shared" si="42"/>
        <v>2000</v>
      </c>
    </row>
    <row r="680" spans="4:10" x14ac:dyDescent="0.25">
      <c r="D680" s="4">
        <v>32867</v>
      </c>
      <c r="E680" s="5"/>
      <c r="G680" s="4">
        <f t="shared" si="43"/>
        <v>36665</v>
      </c>
      <c r="H680" s="5">
        <f t="shared" si="40"/>
        <v>29.01</v>
      </c>
      <c r="I680" s="5">
        <f t="shared" si="41"/>
        <v>5</v>
      </c>
      <c r="J680" s="5">
        <f t="shared" si="42"/>
        <v>2000</v>
      </c>
    </row>
    <row r="681" spans="4:10" x14ac:dyDescent="0.25">
      <c r="D681" s="4">
        <v>32868</v>
      </c>
      <c r="E681" s="5"/>
      <c r="G681" s="4">
        <f t="shared" si="43"/>
        <v>36672</v>
      </c>
      <c r="H681" s="5">
        <f t="shared" si="40"/>
        <v>30.09</v>
      </c>
      <c r="I681" s="5">
        <f t="shared" si="41"/>
        <v>5</v>
      </c>
      <c r="J681" s="5">
        <f t="shared" si="42"/>
        <v>2000</v>
      </c>
    </row>
    <row r="682" spans="4:10" x14ac:dyDescent="0.25">
      <c r="D682" s="4">
        <v>32869</v>
      </c>
      <c r="E682" s="6">
        <v>20.9</v>
      </c>
      <c r="G682" s="4">
        <f t="shared" si="43"/>
        <v>36679</v>
      </c>
      <c r="H682" s="5">
        <f t="shared" si="40"/>
        <v>29.35</v>
      </c>
      <c r="I682" s="5">
        <f t="shared" si="41"/>
        <v>6</v>
      </c>
      <c r="J682" s="5">
        <f t="shared" si="42"/>
        <v>2000</v>
      </c>
    </row>
    <row r="683" spans="4:10" x14ac:dyDescent="0.25">
      <c r="D683" s="4">
        <v>32870</v>
      </c>
      <c r="E683" s="6">
        <v>20.85</v>
      </c>
      <c r="G683" s="4">
        <f t="shared" si="43"/>
        <v>36686</v>
      </c>
      <c r="H683" s="5">
        <f t="shared" si="40"/>
        <v>29</v>
      </c>
      <c r="I683" s="5">
        <f t="shared" si="41"/>
        <v>6</v>
      </c>
      <c r="J683" s="5">
        <f t="shared" si="42"/>
        <v>2000</v>
      </c>
    </row>
    <row r="684" spans="4:10" x14ac:dyDescent="0.25">
      <c r="D684" s="4">
        <v>32871</v>
      </c>
      <c r="E684" s="6">
        <v>21.05</v>
      </c>
      <c r="G684" s="4">
        <f t="shared" si="43"/>
        <v>36693</v>
      </c>
      <c r="H684" s="5">
        <f t="shared" si="40"/>
        <v>28.68</v>
      </c>
      <c r="I684" s="5">
        <f t="shared" si="41"/>
        <v>6</v>
      </c>
      <c r="J684" s="5">
        <f t="shared" si="42"/>
        <v>2000</v>
      </c>
    </row>
    <row r="685" spans="4:10" x14ac:dyDescent="0.25">
      <c r="D685" s="4">
        <v>32874</v>
      </c>
      <c r="E685" s="5"/>
      <c r="G685" s="4">
        <f t="shared" si="43"/>
        <v>36700</v>
      </c>
      <c r="H685" s="5">
        <f t="shared" si="40"/>
        <v>31.02</v>
      </c>
      <c r="I685" s="5">
        <f t="shared" si="41"/>
        <v>6</v>
      </c>
      <c r="J685" s="5">
        <f t="shared" si="42"/>
        <v>2000</v>
      </c>
    </row>
    <row r="686" spans="4:10" x14ac:dyDescent="0.25">
      <c r="D686" s="4">
        <v>32875</v>
      </c>
      <c r="E686" s="6">
        <v>21.2</v>
      </c>
      <c r="G686" s="4">
        <f t="shared" si="43"/>
        <v>36707</v>
      </c>
      <c r="H686" s="5">
        <f t="shared" si="40"/>
        <v>31.58</v>
      </c>
      <c r="I686" s="5">
        <f t="shared" si="41"/>
        <v>6</v>
      </c>
      <c r="J686" s="5">
        <f t="shared" si="42"/>
        <v>2000</v>
      </c>
    </row>
    <row r="687" spans="4:10" x14ac:dyDescent="0.25">
      <c r="D687" s="4">
        <v>32876</v>
      </c>
      <c r="E687" s="6">
        <v>22.65</v>
      </c>
      <c r="G687" s="4">
        <f t="shared" si="43"/>
        <v>36714</v>
      </c>
      <c r="H687" s="5">
        <f t="shared" si="40"/>
        <v>30.62</v>
      </c>
      <c r="I687" s="5">
        <f t="shared" si="41"/>
        <v>7</v>
      </c>
      <c r="J687" s="5">
        <f t="shared" si="42"/>
        <v>2000</v>
      </c>
    </row>
    <row r="688" spans="4:10" x14ac:dyDescent="0.25">
      <c r="D688" s="4">
        <v>32877</v>
      </c>
      <c r="E688" s="6">
        <v>22.5</v>
      </c>
      <c r="G688" s="4">
        <f t="shared" si="43"/>
        <v>36721</v>
      </c>
      <c r="H688" s="5">
        <f t="shared" si="40"/>
        <v>30.82</v>
      </c>
      <c r="I688" s="5">
        <f t="shared" si="41"/>
        <v>7</v>
      </c>
      <c r="J688" s="5">
        <f t="shared" si="42"/>
        <v>2000</v>
      </c>
    </row>
    <row r="689" spans="4:10" x14ac:dyDescent="0.25">
      <c r="D689" s="4">
        <v>32878</v>
      </c>
      <c r="E689" s="6">
        <v>23.13</v>
      </c>
      <c r="G689" s="4">
        <f t="shared" si="43"/>
        <v>36728</v>
      </c>
      <c r="H689" s="5">
        <f t="shared" si="40"/>
        <v>26.68</v>
      </c>
      <c r="I689" s="5">
        <f t="shared" si="41"/>
        <v>7</v>
      </c>
      <c r="J689" s="5">
        <f t="shared" si="42"/>
        <v>2000</v>
      </c>
    </row>
    <row r="690" spans="4:10" x14ac:dyDescent="0.25">
      <c r="D690" s="4">
        <v>32881</v>
      </c>
      <c r="E690" s="6">
        <v>21.38</v>
      </c>
      <c r="G690" s="4">
        <f t="shared" si="43"/>
        <v>36735</v>
      </c>
      <c r="H690" s="5">
        <f t="shared" si="40"/>
        <v>25.96</v>
      </c>
      <c r="I690" s="5">
        <f t="shared" si="41"/>
        <v>7</v>
      </c>
      <c r="J690" s="5">
        <f t="shared" si="42"/>
        <v>2000</v>
      </c>
    </row>
    <row r="691" spans="4:10" x14ac:dyDescent="0.25">
      <c r="D691" s="4">
        <v>32882</v>
      </c>
      <c r="E691" s="6">
        <v>21.03</v>
      </c>
      <c r="G691" s="4">
        <f t="shared" si="43"/>
        <v>36742</v>
      </c>
      <c r="H691" s="5">
        <f t="shared" si="40"/>
        <v>28.01</v>
      </c>
      <c r="I691" s="5">
        <f t="shared" si="41"/>
        <v>8</v>
      </c>
      <c r="J691" s="5">
        <f t="shared" si="42"/>
        <v>2000</v>
      </c>
    </row>
    <row r="692" spans="4:10" x14ac:dyDescent="0.25">
      <c r="D692" s="4">
        <v>32883</v>
      </c>
      <c r="E692" s="6">
        <v>21.95</v>
      </c>
      <c r="G692" s="4">
        <f t="shared" si="43"/>
        <v>36749</v>
      </c>
      <c r="H692" s="5">
        <f t="shared" si="40"/>
        <v>29.44</v>
      </c>
      <c r="I692" s="5">
        <f t="shared" si="41"/>
        <v>8</v>
      </c>
      <c r="J692" s="5">
        <f t="shared" si="42"/>
        <v>2000</v>
      </c>
    </row>
    <row r="693" spans="4:10" x14ac:dyDescent="0.25">
      <c r="D693" s="4">
        <v>32884</v>
      </c>
      <c r="E693" s="6">
        <v>21.88</v>
      </c>
      <c r="G693" s="4">
        <f t="shared" si="43"/>
        <v>36756</v>
      </c>
      <c r="H693" s="5">
        <f t="shared" si="40"/>
        <v>30.76</v>
      </c>
      <c r="I693" s="5">
        <f t="shared" si="41"/>
        <v>8</v>
      </c>
      <c r="J693" s="5">
        <f t="shared" si="42"/>
        <v>2000</v>
      </c>
    </row>
    <row r="694" spans="4:10" x14ac:dyDescent="0.25">
      <c r="D694" s="4">
        <v>32885</v>
      </c>
      <c r="E694" s="6">
        <v>22.13</v>
      </c>
      <c r="G694" s="4">
        <f t="shared" si="43"/>
        <v>36763</v>
      </c>
      <c r="H694" s="5">
        <f t="shared" si="40"/>
        <v>33.26</v>
      </c>
      <c r="I694" s="5">
        <f t="shared" si="41"/>
        <v>8</v>
      </c>
      <c r="J694" s="5">
        <f t="shared" si="42"/>
        <v>2000</v>
      </c>
    </row>
    <row r="695" spans="4:10" x14ac:dyDescent="0.25">
      <c r="D695" s="4">
        <v>32888</v>
      </c>
      <c r="E695" s="6">
        <v>21.6</v>
      </c>
      <c r="G695" s="4">
        <f t="shared" si="43"/>
        <v>36770</v>
      </c>
      <c r="H695" s="5">
        <f t="shared" si="40"/>
        <v>35.090000000000003</v>
      </c>
      <c r="I695" s="5">
        <f t="shared" si="41"/>
        <v>9</v>
      </c>
      <c r="J695" s="5">
        <f t="shared" si="42"/>
        <v>2000</v>
      </c>
    </row>
    <row r="696" spans="4:10" x14ac:dyDescent="0.25">
      <c r="D696" s="4">
        <v>32889</v>
      </c>
      <c r="E696" s="6">
        <v>21.15</v>
      </c>
      <c r="G696" s="4">
        <f t="shared" si="43"/>
        <v>36777</v>
      </c>
      <c r="H696" s="5">
        <f t="shared" si="40"/>
        <v>36.270000000000003</v>
      </c>
      <c r="I696" s="5">
        <f t="shared" si="41"/>
        <v>9</v>
      </c>
      <c r="J696" s="5">
        <f t="shared" si="42"/>
        <v>2000</v>
      </c>
    </row>
    <row r="697" spans="4:10" x14ac:dyDescent="0.25">
      <c r="D697" s="4">
        <v>32890</v>
      </c>
      <c r="E697" s="6">
        <v>20.45</v>
      </c>
      <c r="G697" s="4">
        <f t="shared" si="43"/>
        <v>36784</v>
      </c>
      <c r="H697" s="5">
        <f t="shared" si="40"/>
        <v>33.68</v>
      </c>
      <c r="I697" s="5">
        <f t="shared" si="41"/>
        <v>9</v>
      </c>
      <c r="J697" s="5">
        <f t="shared" si="42"/>
        <v>2000</v>
      </c>
    </row>
    <row r="698" spans="4:10" x14ac:dyDescent="0.25">
      <c r="D698" s="4">
        <v>32891</v>
      </c>
      <c r="E698" s="6">
        <v>20.78</v>
      </c>
      <c r="G698" s="4">
        <f t="shared" si="43"/>
        <v>36791</v>
      </c>
      <c r="H698" s="5">
        <f t="shared" si="40"/>
        <v>31.59</v>
      </c>
      <c r="I698" s="5">
        <f t="shared" si="41"/>
        <v>9</v>
      </c>
      <c r="J698" s="5">
        <f t="shared" si="42"/>
        <v>2000</v>
      </c>
    </row>
    <row r="699" spans="4:10" x14ac:dyDescent="0.25">
      <c r="D699" s="4">
        <v>32892</v>
      </c>
      <c r="E699" s="6">
        <v>21.28</v>
      </c>
      <c r="G699" s="4">
        <f t="shared" si="43"/>
        <v>36798</v>
      </c>
      <c r="H699" s="5">
        <f t="shared" si="40"/>
        <v>28.42</v>
      </c>
      <c r="I699" s="5">
        <f t="shared" si="41"/>
        <v>9</v>
      </c>
      <c r="J699" s="5">
        <f t="shared" si="42"/>
        <v>2000</v>
      </c>
    </row>
    <row r="700" spans="4:10" x14ac:dyDescent="0.25">
      <c r="D700" s="4">
        <v>32895</v>
      </c>
      <c r="E700" s="6">
        <v>20.88</v>
      </c>
      <c r="G700" s="4">
        <f t="shared" si="43"/>
        <v>36805</v>
      </c>
      <c r="H700" s="5">
        <f t="shared" si="40"/>
        <v>29.62</v>
      </c>
      <c r="I700" s="5">
        <f t="shared" si="41"/>
        <v>10</v>
      </c>
      <c r="J700" s="5">
        <f t="shared" si="42"/>
        <v>2000</v>
      </c>
    </row>
    <row r="701" spans="4:10" x14ac:dyDescent="0.25">
      <c r="D701" s="4">
        <v>32896</v>
      </c>
      <c r="E701" s="6">
        <v>20.23</v>
      </c>
      <c r="G701" s="4">
        <f t="shared" si="43"/>
        <v>36812</v>
      </c>
      <c r="H701" s="5">
        <f t="shared" si="40"/>
        <v>33.5</v>
      </c>
      <c r="I701" s="5">
        <f t="shared" si="41"/>
        <v>10</v>
      </c>
      <c r="J701" s="5">
        <f t="shared" si="42"/>
        <v>2000</v>
      </c>
    </row>
    <row r="702" spans="4:10" x14ac:dyDescent="0.25">
      <c r="D702" s="4">
        <v>32897</v>
      </c>
      <c r="E702" s="6">
        <v>20.18</v>
      </c>
      <c r="G702" s="4">
        <f t="shared" si="43"/>
        <v>36819</v>
      </c>
      <c r="H702" s="5">
        <f t="shared" si="40"/>
        <v>30.16</v>
      </c>
      <c r="I702" s="5">
        <f t="shared" si="41"/>
        <v>10</v>
      </c>
      <c r="J702" s="5">
        <f t="shared" si="42"/>
        <v>2000</v>
      </c>
    </row>
    <row r="703" spans="4:10" x14ac:dyDescent="0.25">
      <c r="D703" s="4">
        <v>32898</v>
      </c>
      <c r="E703" s="6">
        <v>20.55</v>
      </c>
      <c r="G703" s="4">
        <f t="shared" si="43"/>
        <v>36826</v>
      </c>
      <c r="H703" s="5">
        <f t="shared" si="40"/>
        <v>31.31</v>
      </c>
      <c r="I703" s="5">
        <f t="shared" si="41"/>
        <v>10</v>
      </c>
      <c r="J703" s="5">
        <f t="shared" si="42"/>
        <v>2000</v>
      </c>
    </row>
    <row r="704" spans="4:10" x14ac:dyDescent="0.25">
      <c r="D704" s="4">
        <v>32899</v>
      </c>
      <c r="E704" s="6">
        <v>20.63</v>
      </c>
      <c r="G704" s="4">
        <f t="shared" si="43"/>
        <v>36833</v>
      </c>
      <c r="H704" s="5">
        <f t="shared" si="40"/>
        <v>30.81</v>
      </c>
      <c r="I704" s="5">
        <f t="shared" si="41"/>
        <v>11</v>
      </c>
      <c r="J704" s="5">
        <f t="shared" si="42"/>
        <v>2000</v>
      </c>
    </row>
    <row r="705" spans="4:10" x14ac:dyDescent="0.25">
      <c r="D705" s="4">
        <v>32902</v>
      </c>
      <c r="E705" s="6">
        <v>20.73</v>
      </c>
      <c r="G705" s="4">
        <f t="shared" si="43"/>
        <v>36840</v>
      </c>
      <c r="H705" s="5">
        <f t="shared" si="40"/>
        <v>32.26</v>
      </c>
      <c r="I705" s="5">
        <f t="shared" si="41"/>
        <v>11</v>
      </c>
      <c r="J705" s="5">
        <f t="shared" si="42"/>
        <v>2000</v>
      </c>
    </row>
    <row r="706" spans="4:10" x14ac:dyDescent="0.25">
      <c r="D706" s="4">
        <v>32903</v>
      </c>
      <c r="E706" s="6">
        <v>20.73</v>
      </c>
      <c r="G706" s="4">
        <f t="shared" si="43"/>
        <v>36847</v>
      </c>
      <c r="H706" s="5">
        <f t="shared" si="40"/>
        <v>33.090000000000003</v>
      </c>
      <c r="I706" s="5">
        <f t="shared" si="41"/>
        <v>11</v>
      </c>
      <c r="J706" s="5">
        <f t="shared" si="42"/>
        <v>2000</v>
      </c>
    </row>
    <row r="707" spans="4:10" x14ac:dyDescent="0.25">
      <c r="D707" s="4">
        <v>32904</v>
      </c>
      <c r="E707" s="6">
        <v>20.5</v>
      </c>
      <c r="G707" s="4">
        <f t="shared" si="43"/>
        <v>36854</v>
      </c>
      <c r="H707" s="5">
        <f t="shared" ref="H707:H770" si="44">_xlfn.XLOOKUP(G707,D:D,E:E)</f>
        <v>33.35</v>
      </c>
      <c r="I707" s="5">
        <f t="shared" ref="I707:I770" si="45">MONTH(G707)</f>
        <v>11</v>
      </c>
      <c r="J707" s="5">
        <f t="shared" ref="J707:J770" si="46">YEAR(G707)</f>
        <v>2000</v>
      </c>
    </row>
    <row r="708" spans="4:10" x14ac:dyDescent="0.25">
      <c r="D708" s="4">
        <v>32905</v>
      </c>
      <c r="E708" s="6">
        <v>20.58</v>
      </c>
      <c r="G708" s="4">
        <f t="shared" ref="G708:G771" si="47">G707+7</f>
        <v>36861</v>
      </c>
      <c r="H708" s="5">
        <f t="shared" si="44"/>
        <v>31.59</v>
      </c>
      <c r="I708" s="5">
        <f t="shared" si="45"/>
        <v>12</v>
      </c>
      <c r="J708" s="5">
        <f t="shared" si="46"/>
        <v>2000</v>
      </c>
    </row>
    <row r="709" spans="4:10" x14ac:dyDescent="0.25">
      <c r="D709" s="4">
        <v>32906</v>
      </c>
      <c r="E709" s="6">
        <v>20.73</v>
      </c>
      <c r="G709" s="4">
        <f t="shared" si="47"/>
        <v>36868</v>
      </c>
      <c r="H709" s="5">
        <f t="shared" si="44"/>
        <v>26.85</v>
      </c>
      <c r="I709" s="5">
        <f t="shared" si="45"/>
        <v>12</v>
      </c>
      <c r="J709" s="5">
        <f t="shared" si="46"/>
        <v>2000</v>
      </c>
    </row>
    <row r="710" spans="4:10" x14ac:dyDescent="0.25">
      <c r="D710" s="4">
        <v>32909</v>
      </c>
      <c r="E710" s="6">
        <v>20.73</v>
      </c>
      <c r="G710" s="4">
        <f t="shared" si="47"/>
        <v>36875</v>
      </c>
      <c r="H710" s="5">
        <f t="shared" si="44"/>
        <v>24.44</v>
      </c>
      <c r="I710" s="5">
        <f t="shared" si="45"/>
        <v>12</v>
      </c>
      <c r="J710" s="5">
        <f t="shared" si="46"/>
        <v>2000</v>
      </c>
    </row>
    <row r="711" spans="4:10" x14ac:dyDescent="0.25">
      <c r="D711" s="4">
        <v>32910</v>
      </c>
      <c r="E711" s="6">
        <v>20.6</v>
      </c>
      <c r="G711" s="4">
        <f t="shared" si="47"/>
        <v>36882</v>
      </c>
      <c r="H711" s="5">
        <f t="shared" si="44"/>
        <v>22.23</v>
      </c>
      <c r="I711" s="5">
        <f t="shared" si="45"/>
        <v>12</v>
      </c>
      <c r="J711" s="5">
        <f t="shared" si="46"/>
        <v>2000</v>
      </c>
    </row>
    <row r="712" spans="4:10" x14ac:dyDescent="0.25">
      <c r="D712" s="4">
        <v>32911</v>
      </c>
      <c r="E712" s="6">
        <v>20.149999999999999</v>
      </c>
      <c r="G712" s="4">
        <f t="shared" si="47"/>
        <v>36889</v>
      </c>
      <c r="H712" s="5">
        <f t="shared" si="44"/>
        <v>22.58</v>
      </c>
      <c r="I712" s="5">
        <f t="shared" si="45"/>
        <v>12</v>
      </c>
      <c r="J712" s="5">
        <f t="shared" si="46"/>
        <v>2000</v>
      </c>
    </row>
    <row r="713" spans="4:10" x14ac:dyDescent="0.25">
      <c r="D713" s="4">
        <v>32912</v>
      </c>
      <c r="E713" s="6">
        <v>20.05</v>
      </c>
      <c r="G713" s="4">
        <f t="shared" si="47"/>
        <v>36896</v>
      </c>
      <c r="H713" s="5">
        <f t="shared" si="44"/>
        <v>24.77</v>
      </c>
      <c r="I713" s="5">
        <f t="shared" si="45"/>
        <v>1</v>
      </c>
      <c r="J713" s="5">
        <f t="shared" si="46"/>
        <v>2001</v>
      </c>
    </row>
    <row r="714" spans="4:10" x14ac:dyDescent="0.25">
      <c r="D714" s="4">
        <v>32913</v>
      </c>
      <c r="E714" s="6">
        <v>19.75</v>
      </c>
      <c r="G714" s="4">
        <f t="shared" si="47"/>
        <v>36903</v>
      </c>
      <c r="H714" s="5">
        <f t="shared" si="44"/>
        <v>25.63</v>
      </c>
      <c r="I714" s="5">
        <f t="shared" si="45"/>
        <v>1</v>
      </c>
      <c r="J714" s="5">
        <f t="shared" si="46"/>
        <v>2001</v>
      </c>
    </row>
    <row r="715" spans="4:10" x14ac:dyDescent="0.25">
      <c r="D715" s="4">
        <v>32916</v>
      </c>
      <c r="E715" s="6">
        <v>19.68</v>
      </c>
      <c r="G715" s="4">
        <f t="shared" si="47"/>
        <v>36910</v>
      </c>
      <c r="H715" s="5">
        <f t="shared" si="44"/>
        <v>26.29</v>
      </c>
      <c r="I715" s="5">
        <f t="shared" si="45"/>
        <v>1</v>
      </c>
      <c r="J715" s="5">
        <f t="shared" si="46"/>
        <v>2001</v>
      </c>
    </row>
    <row r="716" spans="4:10" x14ac:dyDescent="0.25">
      <c r="D716" s="4">
        <v>32917</v>
      </c>
      <c r="E716" s="6">
        <v>20.03</v>
      </c>
      <c r="G716" s="4">
        <f t="shared" si="47"/>
        <v>36917</v>
      </c>
      <c r="H716" s="5">
        <f t="shared" si="44"/>
        <v>27.04</v>
      </c>
      <c r="I716" s="5">
        <f t="shared" si="45"/>
        <v>1</v>
      </c>
      <c r="J716" s="5">
        <f t="shared" si="46"/>
        <v>2001</v>
      </c>
    </row>
    <row r="717" spans="4:10" x14ac:dyDescent="0.25">
      <c r="D717" s="4">
        <v>32918</v>
      </c>
      <c r="E717" s="6">
        <v>19.600000000000001</v>
      </c>
      <c r="G717" s="4">
        <f t="shared" si="47"/>
        <v>36924</v>
      </c>
      <c r="H717" s="5">
        <f t="shared" si="44"/>
        <v>28.9</v>
      </c>
      <c r="I717" s="5">
        <f t="shared" si="45"/>
        <v>2</v>
      </c>
      <c r="J717" s="5">
        <f t="shared" si="46"/>
        <v>2001</v>
      </c>
    </row>
    <row r="718" spans="4:10" x14ac:dyDescent="0.25">
      <c r="D718" s="4">
        <v>32919</v>
      </c>
      <c r="E718" s="6">
        <v>19.899999999999999</v>
      </c>
      <c r="G718" s="4">
        <f t="shared" si="47"/>
        <v>36931</v>
      </c>
      <c r="H718" s="5">
        <f t="shared" si="44"/>
        <v>29.53</v>
      </c>
      <c r="I718" s="5">
        <f t="shared" si="45"/>
        <v>2</v>
      </c>
      <c r="J718" s="5">
        <f t="shared" si="46"/>
        <v>2001</v>
      </c>
    </row>
    <row r="719" spans="4:10" x14ac:dyDescent="0.25">
      <c r="D719" s="4">
        <v>32920</v>
      </c>
      <c r="E719" s="6">
        <v>19.88</v>
      </c>
      <c r="G719" s="4">
        <f t="shared" si="47"/>
        <v>36938</v>
      </c>
      <c r="H719" s="5">
        <f t="shared" si="44"/>
        <v>26.61</v>
      </c>
      <c r="I719" s="5">
        <f t="shared" si="45"/>
        <v>2</v>
      </c>
      <c r="J719" s="5">
        <f t="shared" si="46"/>
        <v>2001</v>
      </c>
    </row>
    <row r="720" spans="4:10" x14ac:dyDescent="0.25">
      <c r="D720" s="4">
        <v>32923</v>
      </c>
      <c r="E720" s="6">
        <v>19.95</v>
      </c>
      <c r="G720" s="4">
        <f t="shared" si="47"/>
        <v>36945</v>
      </c>
      <c r="H720" s="5">
        <f t="shared" si="44"/>
        <v>26.12</v>
      </c>
      <c r="I720" s="5">
        <f t="shared" si="45"/>
        <v>2</v>
      </c>
      <c r="J720" s="5">
        <f t="shared" si="46"/>
        <v>2001</v>
      </c>
    </row>
    <row r="721" spans="4:10" x14ac:dyDescent="0.25">
      <c r="D721" s="4">
        <v>32924</v>
      </c>
      <c r="E721" s="6">
        <v>19.68</v>
      </c>
      <c r="G721" s="4">
        <f t="shared" si="47"/>
        <v>36952</v>
      </c>
      <c r="H721" s="5">
        <f t="shared" si="44"/>
        <v>25.28</v>
      </c>
      <c r="I721" s="5">
        <f t="shared" si="45"/>
        <v>3</v>
      </c>
      <c r="J721" s="5">
        <f t="shared" si="46"/>
        <v>2001</v>
      </c>
    </row>
    <row r="722" spans="4:10" x14ac:dyDescent="0.25">
      <c r="D722" s="4">
        <v>32925</v>
      </c>
      <c r="E722" s="6">
        <v>19.5</v>
      </c>
      <c r="G722" s="4">
        <f t="shared" si="47"/>
        <v>36959</v>
      </c>
      <c r="H722" s="5">
        <f t="shared" si="44"/>
        <v>25.78</v>
      </c>
      <c r="I722" s="5">
        <f t="shared" si="45"/>
        <v>3</v>
      </c>
      <c r="J722" s="5">
        <f t="shared" si="46"/>
        <v>2001</v>
      </c>
    </row>
    <row r="723" spans="4:10" x14ac:dyDescent="0.25">
      <c r="D723" s="4">
        <v>32926</v>
      </c>
      <c r="E723" s="6">
        <v>19.350000000000001</v>
      </c>
      <c r="G723" s="4">
        <f t="shared" si="47"/>
        <v>36966</v>
      </c>
      <c r="H723" s="5">
        <f t="shared" si="44"/>
        <v>23.84</v>
      </c>
      <c r="I723" s="5">
        <f t="shared" si="45"/>
        <v>3</v>
      </c>
      <c r="J723" s="5">
        <f t="shared" si="46"/>
        <v>2001</v>
      </c>
    </row>
    <row r="724" spans="4:10" x14ac:dyDescent="0.25">
      <c r="D724" s="4">
        <v>32927</v>
      </c>
      <c r="E724" s="6">
        <v>18.78</v>
      </c>
      <c r="G724" s="4">
        <f t="shared" si="47"/>
        <v>36973</v>
      </c>
      <c r="H724" s="5">
        <f t="shared" si="44"/>
        <v>23.94</v>
      </c>
      <c r="I724" s="5">
        <f t="shared" si="45"/>
        <v>3</v>
      </c>
      <c r="J724" s="5">
        <f t="shared" si="46"/>
        <v>2001</v>
      </c>
    </row>
    <row r="725" spans="4:10" x14ac:dyDescent="0.25">
      <c r="D725" s="4">
        <v>32930</v>
      </c>
      <c r="E725" s="6">
        <v>18.899999999999999</v>
      </c>
      <c r="G725" s="4">
        <f t="shared" si="47"/>
        <v>36980</v>
      </c>
      <c r="H725" s="5">
        <f t="shared" si="44"/>
        <v>23.5</v>
      </c>
      <c r="I725" s="5">
        <f t="shared" si="45"/>
        <v>3</v>
      </c>
      <c r="J725" s="5">
        <f t="shared" si="46"/>
        <v>2001</v>
      </c>
    </row>
    <row r="726" spans="4:10" x14ac:dyDescent="0.25">
      <c r="D726" s="4">
        <v>32931</v>
      </c>
      <c r="E726" s="6">
        <v>19.23</v>
      </c>
      <c r="G726" s="4">
        <f t="shared" si="47"/>
        <v>36987</v>
      </c>
      <c r="H726" s="5">
        <f t="shared" si="44"/>
        <v>24.02</v>
      </c>
      <c r="I726" s="5">
        <f t="shared" si="45"/>
        <v>4</v>
      </c>
      <c r="J726" s="5">
        <f t="shared" si="46"/>
        <v>2001</v>
      </c>
    </row>
    <row r="727" spans="4:10" x14ac:dyDescent="0.25">
      <c r="D727" s="4">
        <v>32932</v>
      </c>
      <c r="E727" s="6">
        <v>19.2</v>
      </c>
      <c r="G727" s="4">
        <f t="shared" si="47"/>
        <v>36994</v>
      </c>
      <c r="H727" s="5">
        <f t="shared" si="44"/>
        <v>26.8</v>
      </c>
      <c r="I727" s="5">
        <f t="shared" si="45"/>
        <v>4</v>
      </c>
      <c r="J727" s="5">
        <f t="shared" si="46"/>
        <v>2001</v>
      </c>
    </row>
    <row r="728" spans="4:10" x14ac:dyDescent="0.25">
      <c r="D728" s="4">
        <v>32933</v>
      </c>
      <c r="E728" s="6">
        <v>19.329999999999998</v>
      </c>
      <c r="G728" s="4">
        <f t="shared" si="47"/>
        <v>37001</v>
      </c>
      <c r="H728" s="5">
        <f t="shared" si="44"/>
        <v>25.57</v>
      </c>
      <c r="I728" s="5">
        <f t="shared" si="45"/>
        <v>4</v>
      </c>
      <c r="J728" s="5">
        <f t="shared" si="46"/>
        <v>2001</v>
      </c>
    </row>
    <row r="729" spans="4:10" x14ac:dyDescent="0.25">
      <c r="D729" s="4">
        <v>32934</v>
      </c>
      <c r="E729" s="6">
        <v>19.18</v>
      </c>
      <c r="G729" s="4">
        <f t="shared" si="47"/>
        <v>37008</v>
      </c>
      <c r="H729" s="5">
        <f t="shared" si="44"/>
        <v>26.85</v>
      </c>
      <c r="I729" s="5">
        <f t="shared" si="45"/>
        <v>4</v>
      </c>
      <c r="J729" s="5">
        <f t="shared" si="46"/>
        <v>2001</v>
      </c>
    </row>
    <row r="730" spans="4:10" x14ac:dyDescent="0.25">
      <c r="D730" s="4">
        <v>32937</v>
      </c>
      <c r="E730" s="6">
        <v>19.149999999999999</v>
      </c>
      <c r="G730" s="4">
        <f t="shared" si="47"/>
        <v>37015</v>
      </c>
      <c r="H730" s="5">
        <f t="shared" si="44"/>
        <v>27.59</v>
      </c>
      <c r="I730" s="5">
        <f t="shared" si="45"/>
        <v>5</v>
      </c>
      <c r="J730" s="5">
        <f t="shared" si="46"/>
        <v>2001</v>
      </c>
    </row>
    <row r="731" spans="4:10" x14ac:dyDescent="0.25">
      <c r="D731" s="4">
        <v>32938</v>
      </c>
      <c r="E731" s="6">
        <v>19.18</v>
      </c>
      <c r="G731" s="4">
        <f t="shared" si="47"/>
        <v>37022</v>
      </c>
      <c r="H731" s="5">
        <f t="shared" si="44"/>
        <v>27.97</v>
      </c>
      <c r="I731" s="5">
        <f t="shared" si="45"/>
        <v>5</v>
      </c>
      <c r="J731" s="5">
        <f t="shared" si="46"/>
        <v>2001</v>
      </c>
    </row>
    <row r="732" spans="4:10" x14ac:dyDescent="0.25">
      <c r="D732" s="4">
        <v>32939</v>
      </c>
      <c r="E732" s="6">
        <v>18.95</v>
      </c>
      <c r="G732" s="4">
        <f t="shared" si="47"/>
        <v>37029</v>
      </c>
      <c r="H732" s="5">
        <f t="shared" si="44"/>
        <v>29.3</v>
      </c>
      <c r="I732" s="5">
        <f t="shared" si="45"/>
        <v>5</v>
      </c>
      <c r="J732" s="5">
        <f t="shared" si="46"/>
        <v>2001</v>
      </c>
    </row>
    <row r="733" spans="4:10" x14ac:dyDescent="0.25">
      <c r="D733" s="4">
        <v>32940</v>
      </c>
      <c r="E733" s="6">
        <v>18.73</v>
      </c>
      <c r="G733" s="4">
        <f t="shared" si="47"/>
        <v>37036</v>
      </c>
      <c r="H733" s="5">
        <f t="shared" si="44"/>
        <v>28.69</v>
      </c>
      <c r="I733" s="5">
        <f t="shared" si="45"/>
        <v>5</v>
      </c>
      <c r="J733" s="5">
        <f t="shared" si="46"/>
        <v>2001</v>
      </c>
    </row>
    <row r="734" spans="4:10" x14ac:dyDescent="0.25">
      <c r="D734" s="4">
        <v>32941</v>
      </c>
      <c r="E734" s="6">
        <v>18.68</v>
      </c>
      <c r="G734" s="4">
        <f t="shared" si="47"/>
        <v>37043</v>
      </c>
      <c r="H734" s="5">
        <f t="shared" si="44"/>
        <v>28.86</v>
      </c>
      <c r="I734" s="5">
        <f t="shared" si="45"/>
        <v>6</v>
      </c>
      <c r="J734" s="5">
        <f t="shared" si="46"/>
        <v>2001</v>
      </c>
    </row>
    <row r="735" spans="4:10" x14ac:dyDescent="0.25">
      <c r="D735" s="4">
        <v>32944</v>
      </c>
      <c r="E735" s="6">
        <v>18.3</v>
      </c>
      <c r="G735" s="4">
        <f t="shared" si="47"/>
        <v>37050</v>
      </c>
      <c r="H735" s="5">
        <f t="shared" si="44"/>
        <v>28.88</v>
      </c>
      <c r="I735" s="5">
        <f t="shared" si="45"/>
        <v>6</v>
      </c>
      <c r="J735" s="5">
        <f t="shared" si="46"/>
        <v>2001</v>
      </c>
    </row>
    <row r="736" spans="4:10" x14ac:dyDescent="0.25">
      <c r="D736" s="4">
        <v>32945</v>
      </c>
      <c r="E736" s="6">
        <v>18.53</v>
      </c>
      <c r="G736" s="4">
        <f t="shared" si="47"/>
        <v>37057</v>
      </c>
      <c r="H736" s="5">
        <f t="shared" si="44"/>
        <v>28.13</v>
      </c>
      <c r="I736" s="5">
        <f t="shared" si="45"/>
        <v>6</v>
      </c>
      <c r="J736" s="5">
        <f t="shared" si="46"/>
        <v>2001</v>
      </c>
    </row>
    <row r="737" spans="4:10" x14ac:dyDescent="0.25">
      <c r="D737" s="4">
        <v>32946</v>
      </c>
      <c r="E737" s="6">
        <v>18.329999999999998</v>
      </c>
      <c r="G737" s="4">
        <f t="shared" si="47"/>
        <v>37064</v>
      </c>
      <c r="H737" s="5">
        <f t="shared" si="44"/>
        <v>26.86</v>
      </c>
      <c r="I737" s="5">
        <f t="shared" si="45"/>
        <v>6</v>
      </c>
      <c r="J737" s="5">
        <f t="shared" si="46"/>
        <v>2001</v>
      </c>
    </row>
    <row r="738" spans="4:10" x14ac:dyDescent="0.25">
      <c r="D738" s="4">
        <v>32947</v>
      </c>
      <c r="E738" s="6">
        <v>18.48</v>
      </c>
      <c r="G738" s="4">
        <f t="shared" si="47"/>
        <v>37071</v>
      </c>
      <c r="H738" s="5">
        <f t="shared" si="44"/>
        <v>26.21</v>
      </c>
      <c r="I738" s="5">
        <f t="shared" si="45"/>
        <v>6</v>
      </c>
      <c r="J738" s="5">
        <f t="shared" si="46"/>
        <v>2001</v>
      </c>
    </row>
    <row r="739" spans="4:10" x14ac:dyDescent="0.25">
      <c r="D739" s="4">
        <v>32948</v>
      </c>
      <c r="E739" s="6">
        <v>18.399999999999999</v>
      </c>
      <c r="G739" s="4">
        <f t="shared" si="47"/>
        <v>37078</v>
      </c>
      <c r="H739" s="5">
        <f t="shared" si="44"/>
        <v>26.55</v>
      </c>
      <c r="I739" s="5">
        <f t="shared" si="45"/>
        <v>7</v>
      </c>
      <c r="J739" s="5">
        <f t="shared" si="46"/>
        <v>2001</v>
      </c>
    </row>
    <row r="740" spans="4:10" x14ac:dyDescent="0.25">
      <c r="D740" s="4">
        <v>32951</v>
      </c>
      <c r="E740" s="6">
        <v>17.829999999999998</v>
      </c>
      <c r="G740" s="4">
        <f t="shared" si="47"/>
        <v>37085</v>
      </c>
      <c r="H740" s="5">
        <f t="shared" si="44"/>
        <v>24.02</v>
      </c>
      <c r="I740" s="5">
        <f t="shared" si="45"/>
        <v>7</v>
      </c>
      <c r="J740" s="5">
        <f t="shared" si="46"/>
        <v>2001</v>
      </c>
    </row>
    <row r="741" spans="4:10" x14ac:dyDescent="0.25">
      <c r="D741" s="4">
        <v>32952</v>
      </c>
      <c r="E741" s="6">
        <v>17.75</v>
      </c>
      <c r="G741" s="4">
        <f t="shared" si="47"/>
        <v>37092</v>
      </c>
      <c r="H741" s="5">
        <f t="shared" si="44"/>
        <v>23.43</v>
      </c>
      <c r="I741" s="5">
        <f t="shared" si="45"/>
        <v>7</v>
      </c>
      <c r="J741" s="5">
        <f t="shared" si="46"/>
        <v>2001</v>
      </c>
    </row>
    <row r="742" spans="4:10" x14ac:dyDescent="0.25">
      <c r="D742" s="4">
        <v>32953</v>
      </c>
      <c r="E742" s="6">
        <v>17.78</v>
      </c>
      <c r="G742" s="4">
        <f t="shared" si="47"/>
        <v>37099</v>
      </c>
      <c r="H742" s="5">
        <f t="shared" si="44"/>
        <v>24.82</v>
      </c>
      <c r="I742" s="5">
        <f t="shared" si="45"/>
        <v>7</v>
      </c>
      <c r="J742" s="5">
        <f t="shared" si="46"/>
        <v>2001</v>
      </c>
    </row>
    <row r="743" spans="4:10" x14ac:dyDescent="0.25">
      <c r="D743" s="4">
        <v>32954</v>
      </c>
      <c r="E743" s="6">
        <v>17.829999999999998</v>
      </c>
      <c r="G743" s="4">
        <f t="shared" si="47"/>
        <v>37106</v>
      </c>
      <c r="H743" s="5">
        <f t="shared" si="44"/>
        <v>25.6</v>
      </c>
      <c r="I743" s="5">
        <f t="shared" si="45"/>
        <v>8</v>
      </c>
      <c r="J743" s="5">
        <f t="shared" si="46"/>
        <v>2001</v>
      </c>
    </row>
    <row r="744" spans="4:10" x14ac:dyDescent="0.25">
      <c r="D744" s="4">
        <v>32955</v>
      </c>
      <c r="E744" s="6">
        <v>17.88</v>
      </c>
      <c r="G744" s="4">
        <f t="shared" si="47"/>
        <v>37113</v>
      </c>
      <c r="H744" s="5">
        <f t="shared" si="44"/>
        <v>25.78</v>
      </c>
      <c r="I744" s="5">
        <f t="shared" si="45"/>
        <v>8</v>
      </c>
      <c r="J744" s="5">
        <f t="shared" si="46"/>
        <v>2001</v>
      </c>
    </row>
    <row r="745" spans="4:10" x14ac:dyDescent="0.25">
      <c r="D745" s="4">
        <v>32958</v>
      </c>
      <c r="E745" s="6">
        <v>18.23</v>
      </c>
      <c r="G745" s="4">
        <f t="shared" si="47"/>
        <v>37120</v>
      </c>
      <c r="H745" s="5">
        <f t="shared" si="44"/>
        <v>24.68</v>
      </c>
      <c r="I745" s="5">
        <f t="shared" si="45"/>
        <v>8</v>
      </c>
      <c r="J745" s="5">
        <f t="shared" si="46"/>
        <v>2001</v>
      </c>
    </row>
    <row r="746" spans="4:10" x14ac:dyDescent="0.25">
      <c r="D746" s="4">
        <v>32959</v>
      </c>
      <c r="E746" s="6">
        <v>18.100000000000001</v>
      </c>
      <c r="G746" s="4">
        <f t="shared" si="47"/>
        <v>37127</v>
      </c>
      <c r="H746" s="5">
        <f t="shared" si="44"/>
        <v>26.33</v>
      </c>
      <c r="I746" s="5">
        <f t="shared" si="45"/>
        <v>8</v>
      </c>
      <c r="J746" s="5">
        <f t="shared" si="46"/>
        <v>2001</v>
      </c>
    </row>
    <row r="747" spans="4:10" x14ac:dyDescent="0.25">
      <c r="D747" s="4">
        <v>32960</v>
      </c>
      <c r="E747" s="6">
        <v>18.03</v>
      </c>
      <c r="G747" s="4">
        <f t="shared" si="47"/>
        <v>37134</v>
      </c>
      <c r="H747" s="5">
        <f t="shared" si="44"/>
        <v>26.8</v>
      </c>
      <c r="I747" s="5">
        <f t="shared" si="45"/>
        <v>8</v>
      </c>
      <c r="J747" s="5">
        <f t="shared" si="46"/>
        <v>2001</v>
      </c>
    </row>
    <row r="748" spans="4:10" x14ac:dyDescent="0.25">
      <c r="D748" s="4">
        <v>32961</v>
      </c>
      <c r="E748" s="6">
        <v>17.899999999999999</v>
      </c>
      <c r="G748" s="4">
        <f t="shared" si="47"/>
        <v>37141</v>
      </c>
      <c r="H748" s="5">
        <f t="shared" si="44"/>
        <v>27.54</v>
      </c>
      <c r="I748" s="5">
        <f t="shared" si="45"/>
        <v>9</v>
      </c>
      <c r="J748" s="5">
        <f t="shared" si="46"/>
        <v>2001</v>
      </c>
    </row>
    <row r="749" spans="4:10" x14ac:dyDescent="0.25">
      <c r="D749" s="4">
        <v>32962</v>
      </c>
      <c r="E749" s="6">
        <v>17.95</v>
      </c>
      <c r="G749" s="4">
        <f t="shared" si="47"/>
        <v>37148</v>
      </c>
      <c r="H749" s="5">
        <f t="shared" si="44"/>
        <v>29.22</v>
      </c>
      <c r="I749" s="5">
        <f t="shared" si="45"/>
        <v>9</v>
      </c>
      <c r="J749" s="5">
        <f t="shared" si="46"/>
        <v>2001</v>
      </c>
    </row>
    <row r="750" spans="4:10" x14ac:dyDescent="0.25">
      <c r="D750" s="4">
        <v>32965</v>
      </c>
      <c r="E750" s="6">
        <v>18.18</v>
      </c>
      <c r="G750" s="4">
        <f t="shared" si="47"/>
        <v>37155</v>
      </c>
      <c r="H750" s="5">
        <f t="shared" si="44"/>
        <v>25.17</v>
      </c>
      <c r="I750" s="5">
        <f t="shared" si="45"/>
        <v>9</v>
      </c>
      <c r="J750" s="5">
        <f t="shared" si="46"/>
        <v>2001</v>
      </c>
    </row>
    <row r="751" spans="4:10" x14ac:dyDescent="0.25">
      <c r="D751" s="4">
        <v>32966</v>
      </c>
      <c r="E751" s="6">
        <v>18.2</v>
      </c>
      <c r="G751" s="4">
        <f t="shared" si="47"/>
        <v>37162</v>
      </c>
      <c r="H751" s="5">
        <f t="shared" si="44"/>
        <v>21.87</v>
      </c>
      <c r="I751" s="5">
        <f t="shared" si="45"/>
        <v>9</v>
      </c>
      <c r="J751" s="5">
        <f t="shared" si="46"/>
        <v>2001</v>
      </c>
    </row>
    <row r="752" spans="4:10" x14ac:dyDescent="0.25">
      <c r="D752" s="4">
        <v>32967</v>
      </c>
      <c r="E752" s="6">
        <v>17.95</v>
      </c>
      <c r="G752" s="4">
        <f t="shared" si="47"/>
        <v>37169</v>
      </c>
      <c r="H752" s="5">
        <f t="shared" si="44"/>
        <v>21.46</v>
      </c>
      <c r="I752" s="5">
        <f t="shared" si="45"/>
        <v>10</v>
      </c>
      <c r="J752" s="5">
        <f t="shared" si="46"/>
        <v>2001</v>
      </c>
    </row>
    <row r="753" spans="4:10" x14ac:dyDescent="0.25">
      <c r="D753" s="4">
        <v>32968</v>
      </c>
      <c r="E753" s="6">
        <v>17.55</v>
      </c>
      <c r="G753" s="4">
        <f t="shared" si="47"/>
        <v>37176</v>
      </c>
      <c r="H753" s="5">
        <f t="shared" si="44"/>
        <v>20.57</v>
      </c>
      <c r="I753" s="5">
        <f t="shared" si="45"/>
        <v>10</v>
      </c>
      <c r="J753" s="5">
        <f t="shared" si="46"/>
        <v>2001</v>
      </c>
    </row>
    <row r="754" spans="4:10" x14ac:dyDescent="0.25">
      <c r="D754" s="4">
        <v>32969</v>
      </c>
      <c r="E754" s="6">
        <v>17.100000000000001</v>
      </c>
      <c r="G754" s="4">
        <f t="shared" si="47"/>
        <v>37183</v>
      </c>
      <c r="H754" s="5">
        <f t="shared" si="44"/>
        <v>19.91</v>
      </c>
      <c r="I754" s="5">
        <f t="shared" si="45"/>
        <v>10</v>
      </c>
      <c r="J754" s="5">
        <f t="shared" si="46"/>
        <v>2001</v>
      </c>
    </row>
    <row r="755" spans="4:10" x14ac:dyDescent="0.25">
      <c r="D755" s="4">
        <v>32972</v>
      </c>
      <c r="E755" s="6">
        <v>16.53</v>
      </c>
      <c r="G755" s="4">
        <f t="shared" si="47"/>
        <v>37190</v>
      </c>
      <c r="H755" s="5">
        <f t="shared" si="44"/>
        <v>20.309999999999999</v>
      </c>
      <c r="I755" s="5">
        <f t="shared" si="45"/>
        <v>10</v>
      </c>
      <c r="J755" s="5">
        <f t="shared" si="46"/>
        <v>2001</v>
      </c>
    </row>
    <row r="756" spans="4:10" x14ac:dyDescent="0.25">
      <c r="D756" s="4">
        <v>32973</v>
      </c>
      <c r="E756" s="6">
        <v>15.93</v>
      </c>
      <c r="G756" s="4">
        <f t="shared" si="47"/>
        <v>37197</v>
      </c>
      <c r="H756" s="5">
        <f t="shared" si="44"/>
        <v>18.63</v>
      </c>
      <c r="I756" s="5">
        <f t="shared" si="45"/>
        <v>11</v>
      </c>
      <c r="J756" s="5">
        <f t="shared" si="46"/>
        <v>2001</v>
      </c>
    </row>
    <row r="757" spans="4:10" x14ac:dyDescent="0.25">
      <c r="D757" s="4">
        <v>32974</v>
      </c>
      <c r="E757" s="6">
        <v>15.3</v>
      </c>
      <c r="G757" s="4">
        <f t="shared" si="47"/>
        <v>37204</v>
      </c>
      <c r="H757" s="5">
        <f t="shared" si="44"/>
        <v>20.72</v>
      </c>
      <c r="I757" s="5">
        <f t="shared" si="45"/>
        <v>11</v>
      </c>
      <c r="J757" s="5">
        <f t="shared" si="46"/>
        <v>2001</v>
      </c>
    </row>
    <row r="758" spans="4:10" x14ac:dyDescent="0.25">
      <c r="D758" s="4">
        <v>32975</v>
      </c>
      <c r="E758" s="6">
        <v>15.8</v>
      </c>
      <c r="G758" s="4">
        <f t="shared" si="47"/>
        <v>37211</v>
      </c>
      <c r="H758" s="5">
        <f t="shared" si="44"/>
        <v>16.86</v>
      </c>
      <c r="I758" s="5">
        <f t="shared" si="45"/>
        <v>11</v>
      </c>
      <c r="J758" s="5">
        <f t="shared" si="46"/>
        <v>2001</v>
      </c>
    </row>
    <row r="759" spans="4:10" x14ac:dyDescent="0.25">
      <c r="D759" s="4">
        <v>32976</v>
      </c>
      <c r="E759" s="5"/>
      <c r="G759" s="4">
        <f t="shared" si="47"/>
        <v>37218</v>
      </c>
      <c r="H759" s="5">
        <f t="shared" si="44"/>
        <v>19.399999999999999</v>
      </c>
      <c r="I759" s="5">
        <f t="shared" si="45"/>
        <v>11</v>
      </c>
      <c r="J759" s="5">
        <f t="shared" si="46"/>
        <v>2001</v>
      </c>
    </row>
    <row r="760" spans="4:10" x14ac:dyDescent="0.25">
      <c r="D760" s="4">
        <v>32979</v>
      </c>
      <c r="E760" s="5"/>
      <c r="G760" s="4">
        <f t="shared" si="47"/>
        <v>37225</v>
      </c>
      <c r="H760" s="5">
        <f t="shared" si="44"/>
        <v>18.920000000000002</v>
      </c>
      <c r="I760" s="5">
        <f t="shared" si="45"/>
        <v>11</v>
      </c>
      <c r="J760" s="5">
        <f t="shared" si="46"/>
        <v>2001</v>
      </c>
    </row>
    <row r="761" spans="4:10" x14ac:dyDescent="0.25">
      <c r="D761" s="4">
        <v>32980</v>
      </c>
      <c r="E761" s="6">
        <v>15.7</v>
      </c>
      <c r="G761" s="4">
        <f t="shared" si="47"/>
        <v>37232</v>
      </c>
      <c r="H761" s="5">
        <f t="shared" si="44"/>
        <v>17.809999999999999</v>
      </c>
      <c r="I761" s="5">
        <f t="shared" si="45"/>
        <v>12</v>
      </c>
      <c r="J761" s="5">
        <f t="shared" si="46"/>
        <v>2001</v>
      </c>
    </row>
    <row r="762" spans="4:10" x14ac:dyDescent="0.25">
      <c r="D762" s="4">
        <v>32981</v>
      </c>
      <c r="E762" s="6">
        <v>15.33</v>
      </c>
      <c r="G762" s="4">
        <f t="shared" si="47"/>
        <v>37239</v>
      </c>
      <c r="H762" s="5">
        <f t="shared" si="44"/>
        <v>18.54</v>
      </c>
      <c r="I762" s="5">
        <f t="shared" si="45"/>
        <v>12</v>
      </c>
      <c r="J762" s="5">
        <f t="shared" si="46"/>
        <v>2001</v>
      </c>
    </row>
    <row r="763" spans="4:10" x14ac:dyDescent="0.25">
      <c r="D763" s="4">
        <v>32982</v>
      </c>
      <c r="E763" s="6">
        <v>16.13</v>
      </c>
      <c r="G763" s="4">
        <f t="shared" si="47"/>
        <v>37246</v>
      </c>
      <c r="H763" s="5">
        <f t="shared" si="44"/>
        <v>18.73</v>
      </c>
      <c r="I763" s="5">
        <f t="shared" si="45"/>
        <v>12</v>
      </c>
      <c r="J763" s="5">
        <f t="shared" si="46"/>
        <v>2001</v>
      </c>
    </row>
    <row r="764" spans="4:10" x14ac:dyDescent="0.25">
      <c r="D764" s="4">
        <v>32983</v>
      </c>
      <c r="E764" s="6">
        <v>16.350000000000001</v>
      </c>
      <c r="G764" s="4">
        <f t="shared" si="47"/>
        <v>37253</v>
      </c>
      <c r="H764" s="5">
        <f t="shared" si="44"/>
        <v>19.77</v>
      </c>
      <c r="I764" s="5">
        <f t="shared" si="45"/>
        <v>12</v>
      </c>
      <c r="J764" s="5">
        <f t="shared" si="46"/>
        <v>2001</v>
      </c>
    </row>
    <row r="765" spans="4:10" x14ac:dyDescent="0.25">
      <c r="D765" s="4">
        <v>32986</v>
      </c>
      <c r="E765" s="6">
        <v>16.95</v>
      </c>
      <c r="G765" s="4">
        <f t="shared" si="47"/>
        <v>37260</v>
      </c>
      <c r="H765" s="5">
        <f t="shared" si="44"/>
        <v>21.2</v>
      </c>
      <c r="I765" s="5">
        <f t="shared" si="45"/>
        <v>1</v>
      </c>
      <c r="J765" s="5">
        <f t="shared" si="46"/>
        <v>2002</v>
      </c>
    </row>
    <row r="766" spans="4:10" x14ac:dyDescent="0.25">
      <c r="D766" s="4">
        <v>32987</v>
      </c>
      <c r="E766" s="6">
        <v>16.75</v>
      </c>
      <c r="G766" s="4">
        <f t="shared" si="47"/>
        <v>37267</v>
      </c>
      <c r="H766" s="5">
        <f t="shared" si="44"/>
        <v>20.079999999999998</v>
      </c>
      <c r="I766" s="5">
        <f t="shared" si="45"/>
        <v>1</v>
      </c>
      <c r="J766" s="5">
        <f t="shared" si="46"/>
        <v>2002</v>
      </c>
    </row>
    <row r="767" spans="4:10" x14ac:dyDescent="0.25">
      <c r="D767" s="4">
        <v>32988</v>
      </c>
      <c r="E767" s="6">
        <v>16.5</v>
      </c>
      <c r="G767" s="4">
        <f t="shared" si="47"/>
        <v>37274</v>
      </c>
      <c r="H767" s="5">
        <f t="shared" si="44"/>
        <v>18.170000000000002</v>
      </c>
      <c r="I767" s="5">
        <f t="shared" si="45"/>
        <v>1</v>
      </c>
      <c r="J767" s="5">
        <f t="shared" si="46"/>
        <v>2002</v>
      </c>
    </row>
    <row r="768" spans="4:10" x14ac:dyDescent="0.25">
      <c r="D768" s="4">
        <v>32989</v>
      </c>
      <c r="E768" s="6">
        <v>16.600000000000001</v>
      </c>
      <c r="G768" s="4">
        <f t="shared" si="47"/>
        <v>37281</v>
      </c>
      <c r="H768" s="5">
        <f t="shared" si="44"/>
        <v>19.04</v>
      </c>
      <c r="I768" s="5">
        <f t="shared" si="45"/>
        <v>1</v>
      </c>
      <c r="J768" s="5">
        <f t="shared" si="46"/>
        <v>2002</v>
      </c>
    </row>
    <row r="769" spans="4:10" x14ac:dyDescent="0.25">
      <c r="D769" s="4">
        <v>32990</v>
      </c>
      <c r="E769" s="6">
        <v>16.43</v>
      </c>
      <c r="G769" s="4">
        <f t="shared" si="47"/>
        <v>37288</v>
      </c>
      <c r="H769" s="5">
        <f t="shared" si="44"/>
        <v>19.7</v>
      </c>
      <c r="I769" s="5">
        <f t="shared" si="45"/>
        <v>2</v>
      </c>
      <c r="J769" s="5">
        <f t="shared" si="46"/>
        <v>2002</v>
      </c>
    </row>
    <row r="770" spans="4:10" x14ac:dyDescent="0.25">
      <c r="D770" s="4">
        <v>32993</v>
      </c>
      <c r="E770" s="6">
        <v>16.350000000000001</v>
      </c>
      <c r="G770" s="4">
        <f t="shared" si="47"/>
        <v>37295</v>
      </c>
      <c r="H770" s="5">
        <f t="shared" si="44"/>
        <v>20.010000000000002</v>
      </c>
      <c r="I770" s="5">
        <f t="shared" si="45"/>
        <v>2</v>
      </c>
      <c r="J770" s="5">
        <f t="shared" si="46"/>
        <v>2002</v>
      </c>
    </row>
    <row r="771" spans="4:10" x14ac:dyDescent="0.25">
      <c r="D771" s="4">
        <v>32994</v>
      </c>
      <c r="E771" s="6">
        <v>16.43</v>
      </c>
      <c r="G771" s="4">
        <f t="shared" si="47"/>
        <v>37302</v>
      </c>
      <c r="H771" s="5">
        <f t="shared" ref="H771:H834" si="48">_xlfn.XLOOKUP(G771,D:D,E:E)</f>
        <v>20.76</v>
      </c>
      <c r="I771" s="5">
        <f t="shared" ref="I771:I834" si="49">MONTH(G771)</f>
        <v>2</v>
      </c>
      <c r="J771" s="5">
        <f t="shared" ref="J771:J834" si="50">YEAR(G771)</f>
        <v>2002</v>
      </c>
    </row>
    <row r="772" spans="4:10" x14ac:dyDescent="0.25">
      <c r="D772" s="4">
        <v>32995</v>
      </c>
      <c r="E772" s="6">
        <v>16.579999999999998</v>
      </c>
      <c r="G772" s="4">
        <f t="shared" ref="G772:G835" si="51">G771+7</f>
        <v>37309</v>
      </c>
      <c r="H772" s="5">
        <f t="shared" si="48"/>
        <v>20.14</v>
      </c>
      <c r="I772" s="5">
        <f t="shared" si="49"/>
        <v>2</v>
      </c>
      <c r="J772" s="5">
        <f t="shared" si="50"/>
        <v>2002</v>
      </c>
    </row>
    <row r="773" spans="4:10" x14ac:dyDescent="0.25">
      <c r="D773" s="4">
        <v>32996</v>
      </c>
      <c r="E773" s="6">
        <v>15.93</v>
      </c>
      <c r="G773" s="4">
        <f t="shared" si="51"/>
        <v>37316</v>
      </c>
      <c r="H773" s="5">
        <f t="shared" si="48"/>
        <v>21.83</v>
      </c>
      <c r="I773" s="5">
        <f t="shared" si="49"/>
        <v>3</v>
      </c>
      <c r="J773" s="5">
        <f t="shared" si="50"/>
        <v>2002</v>
      </c>
    </row>
    <row r="774" spans="4:10" x14ac:dyDescent="0.25">
      <c r="D774" s="4">
        <v>32997</v>
      </c>
      <c r="E774" s="6">
        <v>15.58</v>
      </c>
      <c r="G774" s="4">
        <f t="shared" si="51"/>
        <v>37323</v>
      </c>
      <c r="H774" s="5">
        <f t="shared" si="48"/>
        <v>22.32</v>
      </c>
      <c r="I774" s="5">
        <f t="shared" si="49"/>
        <v>3</v>
      </c>
      <c r="J774" s="5">
        <f t="shared" si="50"/>
        <v>2002</v>
      </c>
    </row>
    <row r="775" spans="4:10" x14ac:dyDescent="0.25">
      <c r="D775" s="4">
        <v>33000</v>
      </c>
      <c r="E775" s="6">
        <v>15.65</v>
      </c>
      <c r="G775" s="4">
        <f t="shared" si="51"/>
        <v>37330</v>
      </c>
      <c r="H775" s="5">
        <f t="shared" si="48"/>
        <v>23.9</v>
      </c>
      <c r="I775" s="5">
        <f t="shared" si="49"/>
        <v>3</v>
      </c>
      <c r="J775" s="5">
        <f t="shared" si="50"/>
        <v>2002</v>
      </c>
    </row>
    <row r="776" spans="4:10" x14ac:dyDescent="0.25">
      <c r="D776" s="4">
        <v>33001</v>
      </c>
      <c r="E776" s="6">
        <v>16.18</v>
      </c>
      <c r="G776" s="4">
        <f t="shared" si="51"/>
        <v>37337</v>
      </c>
      <c r="H776" s="5">
        <f t="shared" si="48"/>
        <v>24.83</v>
      </c>
      <c r="I776" s="5">
        <f t="shared" si="49"/>
        <v>3</v>
      </c>
      <c r="J776" s="5">
        <f t="shared" si="50"/>
        <v>2002</v>
      </c>
    </row>
    <row r="777" spans="4:10" x14ac:dyDescent="0.25">
      <c r="D777" s="4">
        <v>33002</v>
      </c>
      <c r="E777" s="6">
        <v>16.45</v>
      </c>
      <c r="G777" s="4">
        <f t="shared" si="51"/>
        <v>37344</v>
      </c>
      <c r="H777" s="5">
        <f t="shared" si="48"/>
        <v>25.34</v>
      </c>
      <c r="I777" s="5">
        <f t="shared" si="49"/>
        <v>3</v>
      </c>
      <c r="J777" s="5">
        <f t="shared" si="50"/>
        <v>2002</v>
      </c>
    </row>
    <row r="778" spans="4:10" x14ac:dyDescent="0.25">
      <c r="D778" s="4">
        <v>33003</v>
      </c>
      <c r="E778" s="6">
        <v>16.7</v>
      </c>
      <c r="G778" s="4">
        <f t="shared" si="51"/>
        <v>37351</v>
      </c>
      <c r="H778" s="5">
        <f t="shared" si="48"/>
        <v>25.39</v>
      </c>
      <c r="I778" s="5">
        <f t="shared" si="49"/>
        <v>4</v>
      </c>
      <c r="J778" s="5">
        <f t="shared" si="50"/>
        <v>2002</v>
      </c>
    </row>
    <row r="779" spans="4:10" x14ac:dyDescent="0.25">
      <c r="D779" s="4">
        <v>33004</v>
      </c>
      <c r="E779" s="6">
        <v>16.73</v>
      </c>
      <c r="G779" s="4">
        <f t="shared" si="51"/>
        <v>37358</v>
      </c>
      <c r="H779" s="5">
        <f t="shared" si="48"/>
        <v>23.25</v>
      </c>
      <c r="I779" s="5">
        <f t="shared" si="49"/>
        <v>4</v>
      </c>
      <c r="J779" s="5">
        <f t="shared" si="50"/>
        <v>2002</v>
      </c>
    </row>
    <row r="780" spans="4:10" x14ac:dyDescent="0.25">
      <c r="D780" s="4">
        <v>33007</v>
      </c>
      <c r="E780" s="6">
        <v>17.399999999999999</v>
      </c>
      <c r="G780" s="4">
        <f t="shared" si="51"/>
        <v>37365</v>
      </c>
      <c r="H780" s="5">
        <f t="shared" si="48"/>
        <v>25.86</v>
      </c>
      <c r="I780" s="5">
        <f t="shared" si="49"/>
        <v>4</v>
      </c>
      <c r="J780" s="5">
        <f t="shared" si="50"/>
        <v>2002</v>
      </c>
    </row>
    <row r="781" spans="4:10" x14ac:dyDescent="0.25">
      <c r="D781" s="4">
        <v>33008</v>
      </c>
      <c r="E781" s="6">
        <v>17.399999999999999</v>
      </c>
      <c r="G781" s="4">
        <f t="shared" si="51"/>
        <v>37372</v>
      </c>
      <c r="H781" s="5">
        <f t="shared" si="48"/>
        <v>26.32</v>
      </c>
      <c r="I781" s="5">
        <f t="shared" si="49"/>
        <v>4</v>
      </c>
      <c r="J781" s="5">
        <f t="shared" si="50"/>
        <v>2002</v>
      </c>
    </row>
    <row r="782" spans="4:10" x14ac:dyDescent="0.25">
      <c r="D782" s="4">
        <v>33009</v>
      </c>
      <c r="E782" s="6">
        <v>17.25</v>
      </c>
      <c r="G782" s="4">
        <f t="shared" si="51"/>
        <v>37379</v>
      </c>
      <c r="H782" s="5">
        <f t="shared" si="48"/>
        <v>25.8</v>
      </c>
      <c r="I782" s="5">
        <f t="shared" si="49"/>
        <v>5</v>
      </c>
      <c r="J782" s="5">
        <f t="shared" si="50"/>
        <v>2002</v>
      </c>
    </row>
    <row r="783" spans="4:10" x14ac:dyDescent="0.25">
      <c r="D783" s="4">
        <v>33010</v>
      </c>
      <c r="E783" s="6">
        <v>17.05</v>
      </c>
      <c r="G783" s="4">
        <f t="shared" si="51"/>
        <v>37386</v>
      </c>
      <c r="H783" s="5">
        <f t="shared" si="48"/>
        <v>26.89</v>
      </c>
      <c r="I783" s="5">
        <f t="shared" si="49"/>
        <v>5</v>
      </c>
      <c r="J783" s="5">
        <f t="shared" si="50"/>
        <v>2002</v>
      </c>
    </row>
    <row r="784" spans="4:10" x14ac:dyDescent="0.25">
      <c r="D784" s="4">
        <v>33011</v>
      </c>
      <c r="E784" s="6">
        <v>17.079999999999998</v>
      </c>
      <c r="G784" s="4">
        <f t="shared" si="51"/>
        <v>37393</v>
      </c>
      <c r="H784" s="5">
        <f t="shared" si="48"/>
        <v>25.45</v>
      </c>
      <c r="I784" s="5">
        <f t="shared" si="49"/>
        <v>5</v>
      </c>
      <c r="J784" s="5">
        <f t="shared" si="50"/>
        <v>2002</v>
      </c>
    </row>
    <row r="785" spans="4:10" x14ac:dyDescent="0.25">
      <c r="D785" s="4">
        <v>33014</v>
      </c>
      <c r="E785" s="6">
        <v>16.649999999999999</v>
      </c>
      <c r="G785" s="4">
        <f t="shared" si="51"/>
        <v>37400</v>
      </c>
      <c r="H785" s="5">
        <f t="shared" si="48"/>
        <v>23.76</v>
      </c>
      <c r="I785" s="5">
        <f t="shared" si="49"/>
        <v>5</v>
      </c>
      <c r="J785" s="5">
        <f t="shared" si="50"/>
        <v>2002</v>
      </c>
    </row>
    <row r="786" spans="4:10" x14ac:dyDescent="0.25">
      <c r="D786" s="4">
        <v>33015</v>
      </c>
      <c r="E786" s="6">
        <v>16.48</v>
      </c>
      <c r="G786" s="4">
        <f t="shared" si="51"/>
        <v>37407</v>
      </c>
      <c r="H786" s="5">
        <f t="shared" si="48"/>
        <v>23.87</v>
      </c>
      <c r="I786" s="5">
        <f t="shared" si="49"/>
        <v>5</v>
      </c>
      <c r="J786" s="5">
        <f t="shared" si="50"/>
        <v>2002</v>
      </c>
    </row>
    <row r="787" spans="4:10" x14ac:dyDescent="0.25">
      <c r="D787" s="4">
        <v>33016</v>
      </c>
      <c r="E787" s="6">
        <v>15.7</v>
      </c>
      <c r="G787" s="4">
        <f t="shared" si="51"/>
        <v>37414</v>
      </c>
      <c r="H787" s="5">
        <f t="shared" si="48"/>
        <v>22.99</v>
      </c>
      <c r="I787" s="5">
        <f t="shared" si="49"/>
        <v>6</v>
      </c>
      <c r="J787" s="5">
        <f t="shared" si="50"/>
        <v>2002</v>
      </c>
    </row>
    <row r="788" spans="4:10" x14ac:dyDescent="0.25">
      <c r="D788" s="4">
        <v>33017</v>
      </c>
      <c r="E788" s="6">
        <v>15.8</v>
      </c>
      <c r="G788" s="4">
        <f t="shared" si="51"/>
        <v>37421</v>
      </c>
      <c r="H788" s="5">
        <f t="shared" si="48"/>
        <v>23.97</v>
      </c>
      <c r="I788" s="5">
        <f t="shared" si="49"/>
        <v>6</v>
      </c>
      <c r="J788" s="5">
        <f t="shared" si="50"/>
        <v>2002</v>
      </c>
    </row>
    <row r="789" spans="4:10" x14ac:dyDescent="0.25">
      <c r="D789" s="4">
        <v>33018</v>
      </c>
      <c r="E789" s="6">
        <v>15.95</v>
      </c>
      <c r="G789" s="4">
        <f t="shared" si="51"/>
        <v>37428</v>
      </c>
      <c r="H789" s="5">
        <f t="shared" si="48"/>
        <v>24.14</v>
      </c>
      <c r="I789" s="5">
        <f t="shared" si="49"/>
        <v>6</v>
      </c>
      <c r="J789" s="5">
        <f t="shared" si="50"/>
        <v>2002</v>
      </c>
    </row>
    <row r="790" spans="4:10" x14ac:dyDescent="0.25">
      <c r="D790" s="4">
        <v>33021</v>
      </c>
      <c r="E790" s="5"/>
      <c r="G790" s="4">
        <f t="shared" si="51"/>
        <v>37435</v>
      </c>
      <c r="H790" s="5">
        <f t="shared" si="48"/>
        <v>25.33</v>
      </c>
      <c r="I790" s="5">
        <f t="shared" si="49"/>
        <v>6</v>
      </c>
      <c r="J790" s="5">
        <f t="shared" si="50"/>
        <v>2002</v>
      </c>
    </row>
    <row r="791" spans="4:10" x14ac:dyDescent="0.25">
      <c r="D791" s="4">
        <v>33022</v>
      </c>
      <c r="E791" s="6">
        <v>15.48</v>
      </c>
      <c r="G791" s="4">
        <f t="shared" si="51"/>
        <v>37442</v>
      </c>
      <c r="H791" s="5">
        <f t="shared" si="48"/>
        <v>25.75</v>
      </c>
      <c r="I791" s="5">
        <f t="shared" si="49"/>
        <v>7</v>
      </c>
      <c r="J791" s="5">
        <f t="shared" si="50"/>
        <v>2002</v>
      </c>
    </row>
    <row r="792" spans="4:10" x14ac:dyDescent="0.25">
      <c r="D792" s="4">
        <v>33023</v>
      </c>
      <c r="E792" s="6">
        <v>15.98</v>
      </c>
      <c r="G792" s="4">
        <f t="shared" si="51"/>
        <v>37449</v>
      </c>
      <c r="H792" s="5">
        <f t="shared" si="48"/>
        <v>26.11</v>
      </c>
      <c r="I792" s="5">
        <f t="shared" si="49"/>
        <v>7</v>
      </c>
      <c r="J792" s="5">
        <f t="shared" si="50"/>
        <v>2002</v>
      </c>
    </row>
    <row r="793" spans="4:10" x14ac:dyDescent="0.25">
      <c r="D793" s="4">
        <v>33024</v>
      </c>
      <c r="E793" s="6">
        <v>15.3</v>
      </c>
      <c r="G793" s="4">
        <f t="shared" si="51"/>
        <v>37456</v>
      </c>
      <c r="H793" s="5">
        <f t="shared" si="48"/>
        <v>26.37</v>
      </c>
      <c r="I793" s="5">
        <f t="shared" si="49"/>
        <v>7</v>
      </c>
      <c r="J793" s="5">
        <f t="shared" si="50"/>
        <v>2002</v>
      </c>
    </row>
    <row r="794" spans="4:10" x14ac:dyDescent="0.25">
      <c r="D794" s="4">
        <v>33025</v>
      </c>
      <c r="E794" s="6">
        <v>15.43</v>
      </c>
      <c r="G794" s="4">
        <f t="shared" si="51"/>
        <v>37463</v>
      </c>
      <c r="H794" s="5">
        <f t="shared" si="48"/>
        <v>25.1</v>
      </c>
      <c r="I794" s="5">
        <f t="shared" si="49"/>
        <v>7</v>
      </c>
      <c r="J794" s="5">
        <f t="shared" si="50"/>
        <v>2002</v>
      </c>
    </row>
    <row r="795" spans="4:10" x14ac:dyDescent="0.25">
      <c r="D795" s="4">
        <v>33028</v>
      </c>
      <c r="E795" s="6">
        <v>15.35</v>
      </c>
      <c r="G795" s="4">
        <f t="shared" si="51"/>
        <v>37470</v>
      </c>
      <c r="H795" s="5">
        <f t="shared" si="48"/>
        <v>25.17</v>
      </c>
      <c r="I795" s="5">
        <f t="shared" si="49"/>
        <v>8</v>
      </c>
      <c r="J795" s="5">
        <f t="shared" si="50"/>
        <v>2002</v>
      </c>
    </row>
    <row r="796" spans="4:10" x14ac:dyDescent="0.25">
      <c r="D796" s="4">
        <v>33029</v>
      </c>
      <c r="E796" s="6">
        <v>14.78</v>
      </c>
      <c r="G796" s="4">
        <f t="shared" si="51"/>
        <v>37477</v>
      </c>
      <c r="H796" s="5">
        <f t="shared" si="48"/>
        <v>25.49</v>
      </c>
      <c r="I796" s="5">
        <f t="shared" si="49"/>
        <v>8</v>
      </c>
      <c r="J796" s="5">
        <f t="shared" si="50"/>
        <v>2002</v>
      </c>
    </row>
    <row r="797" spans="4:10" x14ac:dyDescent="0.25">
      <c r="D797" s="4">
        <v>33030</v>
      </c>
      <c r="E797" s="6">
        <v>14.8</v>
      </c>
      <c r="G797" s="4">
        <f t="shared" si="51"/>
        <v>37484</v>
      </c>
      <c r="H797" s="5">
        <f t="shared" si="48"/>
        <v>27.33</v>
      </c>
      <c r="I797" s="5">
        <f t="shared" si="49"/>
        <v>8</v>
      </c>
      <c r="J797" s="5">
        <f t="shared" si="50"/>
        <v>2002</v>
      </c>
    </row>
    <row r="798" spans="4:10" x14ac:dyDescent="0.25">
      <c r="D798" s="4">
        <v>33031</v>
      </c>
      <c r="E798" s="6">
        <v>15.03</v>
      </c>
      <c r="G798" s="4">
        <f t="shared" si="51"/>
        <v>37491</v>
      </c>
      <c r="H798" s="5">
        <f t="shared" si="48"/>
        <v>27.51</v>
      </c>
      <c r="I798" s="5">
        <f t="shared" si="49"/>
        <v>8</v>
      </c>
      <c r="J798" s="5">
        <f t="shared" si="50"/>
        <v>2002</v>
      </c>
    </row>
    <row r="799" spans="4:10" x14ac:dyDescent="0.25">
      <c r="D799" s="4">
        <v>33032</v>
      </c>
      <c r="E799" s="6">
        <v>14.68</v>
      </c>
      <c r="G799" s="4">
        <f t="shared" si="51"/>
        <v>37498</v>
      </c>
      <c r="H799" s="5">
        <f t="shared" si="48"/>
        <v>27.56</v>
      </c>
      <c r="I799" s="5">
        <f t="shared" si="49"/>
        <v>8</v>
      </c>
      <c r="J799" s="5">
        <f t="shared" si="50"/>
        <v>2002</v>
      </c>
    </row>
    <row r="800" spans="4:10" x14ac:dyDescent="0.25">
      <c r="D800" s="4">
        <v>33035</v>
      </c>
      <c r="E800" s="6">
        <v>14.73</v>
      </c>
      <c r="G800" s="4">
        <f t="shared" si="51"/>
        <v>37505</v>
      </c>
      <c r="H800" s="5">
        <f t="shared" si="48"/>
        <v>28.36</v>
      </c>
      <c r="I800" s="5">
        <f t="shared" si="49"/>
        <v>9</v>
      </c>
      <c r="J800" s="5">
        <f t="shared" si="50"/>
        <v>2002</v>
      </c>
    </row>
    <row r="801" spans="4:10" x14ac:dyDescent="0.25">
      <c r="D801" s="4">
        <v>33036</v>
      </c>
      <c r="E801" s="6">
        <v>14.95</v>
      </c>
      <c r="G801" s="4">
        <f t="shared" si="51"/>
        <v>37512</v>
      </c>
      <c r="H801" s="5">
        <f t="shared" si="48"/>
        <v>28.53</v>
      </c>
      <c r="I801" s="5">
        <f t="shared" si="49"/>
        <v>9</v>
      </c>
      <c r="J801" s="5">
        <f t="shared" si="50"/>
        <v>2002</v>
      </c>
    </row>
    <row r="802" spans="4:10" x14ac:dyDescent="0.25">
      <c r="D802" s="4">
        <v>33037</v>
      </c>
      <c r="E802" s="6">
        <v>14.9</v>
      </c>
      <c r="G802" s="4">
        <f t="shared" si="51"/>
        <v>37519</v>
      </c>
      <c r="H802" s="5">
        <f t="shared" si="48"/>
        <v>28.61</v>
      </c>
      <c r="I802" s="5">
        <f t="shared" si="49"/>
        <v>9</v>
      </c>
      <c r="J802" s="5">
        <f t="shared" si="50"/>
        <v>2002</v>
      </c>
    </row>
    <row r="803" spans="4:10" x14ac:dyDescent="0.25">
      <c r="D803" s="4">
        <v>33038</v>
      </c>
      <c r="E803" s="6">
        <v>15.3</v>
      </c>
      <c r="G803" s="4">
        <f t="shared" si="51"/>
        <v>37526</v>
      </c>
      <c r="H803" s="5">
        <f t="shared" si="48"/>
        <v>29</v>
      </c>
      <c r="I803" s="5">
        <f t="shared" si="49"/>
        <v>9</v>
      </c>
      <c r="J803" s="5">
        <f t="shared" si="50"/>
        <v>2002</v>
      </c>
    </row>
    <row r="804" spans="4:10" x14ac:dyDescent="0.25">
      <c r="D804" s="4">
        <v>33039</v>
      </c>
      <c r="E804" s="6">
        <v>15.15</v>
      </c>
      <c r="G804" s="4">
        <f t="shared" si="51"/>
        <v>37533</v>
      </c>
      <c r="H804" s="5">
        <f t="shared" si="48"/>
        <v>28.32</v>
      </c>
      <c r="I804" s="5">
        <f t="shared" si="49"/>
        <v>10</v>
      </c>
      <c r="J804" s="5">
        <f t="shared" si="50"/>
        <v>2002</v>
      </c>
    </row>
    <row r="805" spans="4:10" x14ac:dyDescent="0.25">
      <c r="D805" s="4">
        <v>33042</v>
      </c>
      <c r="E805" s="6">
        <v>14.83</v>
      </c>
      <c r="G805" s="4">
        <f t="shared" si="51"/>
        <v>37540</v>
      </c>
      <c r="H805" s="5">
        <f t="shared" si="48"/>
        <v>28.18</v>
      </c>
      <c r="I805" s="5">
        <f t="shared" si="49"/>
        <v>10</v>
      </c>
      <c r="J805" s="5">
        <f t="shared" si="50"/>
        <v>2002</v>
      </c>
    </row>
    <row r="806" spans="4:10" x14ac:dyDescent="0.25">
      <c r="D806" s="4">
        <v>33043</v>
      </c>
      <c r="E806" s="6">
        <v>14.75</v>
      </c>
      <c r="G806" s="4">
        <f t="shared" si="51"/>
        <v>37547</v>
      </c>
      <c r="H806" s="5">
        <f t="shared" si="48"/>
        <v>28.2</v>
      </c>
      <c r="I806" s="5">
        <f t="shared" si="49"/>
        <v>10</v>
      </c>
      <c r="J806" s="5">
        <f t="shared" si="50"/>
        <v>2002</v>
      </c>
    </row>
    <row r="807" spans="4:10" x14ac:dyDescent="0.25">
      <c r="D807" s="4">
        <v>33044</v>
      </c>
      <c r="E807" s="6">
        <v>14.75</v>
      </c>
      <c r="G807" s="4">
        <f t="shared" si="51"/>
        <v>37554</v>
      </c>
      <c r="H807" s="5">
        <f t="shared" si="48"/>
        <v>25.96</v>
      </c>
      <c r="I807" s="5">
        <f t="shared" si="49"/>
        <v>10</v>
      </c>
      <c r="J807" s="5">
        <f t="shared" si="50"/>
        <v>2002</v>
      </c>
    </row>
    <row r="808" spans="4:10" x14ac:dyDescent="0.25">
      <c r="D808" s="4">
        <v>33045</v>
      </c>
      <c r="E808" s="6">
        <v>14.75</v>
      </c>
      <c r="G808" s="4">
        <f t="shared" si="51"/>
        <v>37561</v>
      </c>
      <c r="H808" s="5">
        <f t="shared" si="48"/>
        <v>25.78</v>
      </c>
      <c r="I808" s="5">
        <f t="shared" si="49"/>
        <v>11</v>
      </c>
      <c r="J808" s="5">
        <f t="shared" si="50"/>
        <v>2002</v>
      </c>
    </row>
    <row r="809" spans="4:10" x14ac:dyDescent="0.25">
      <c r="D809" s="4">
        <v>33046</v>
      </c>
      <c r="E809" s="6">
        <v>15.4</v>
      </c>
      <c r="G809" s="4">
        <f t="shared" si="51"/>
        <v>37568</v>
      </c>
      <c r="H809" s="5">
        <f t="shared" si="48"/>
        <v>23.54</v>
      </c>
      <c r="I809" s="5">
        <f t="shared" si="49"/>
        <v>11</v>
      </c>
      <c r="J809" s="5">
        <f t="shared" si="50"/>
        <v>2002</v>
      </c>
    </row>
    <row r="810" spans="4:10" x14ac:dyDescent="0.25">
      <c r="D810" s="4">
        <v>33049</v>
      </c>
      <c r="E810" s="6">
        <v>15.58</v>
      </c>
      <c r="G810" s="4">
        <f t="shared" si="51"/>
        <v>37575</v>
      </c>
      <c r="H810" s="5">
        <f t="shared" si="48"/>
        <v>23.33</v>
      </c>
      <c r="I810" s="5">
        <f t="shared" si="49"/>
        <v>11</v>
      </c>
      <c r="J810" s="5">
        <f t="shared" si="50"/>
        <v>2002</v>
      </c>
    </row>
    <row r="811" spans="4:10" x14ac:dyDescent="0.25">
      <c r="D811" s="4">
        <v>33050</v>
      </c>
      <c r="E811" s="6">
        <v>15.58</v>
      </c>
      <c r="G811" s="4">
        <f t="shared" si="51"/>
        <v>37582</v>
      </c>
      <c r="H811" s="5">
        <f t="shared" si="48"/>
        <v>24.79</v>
      </c>
      <c r="I811" s="5">
        <f t="shared" si="49"/>
        <v>11</v>
      </c>
      <c r="J811" s="5">
        <f t="shared" si="50"/>
        <v>2002</v>
      </c>
    </row>
    <row r="812" spans="4:10" x14ac:dyDescent="0.25">
      <c r="D812" s="4">
        <v>33051</v>
      </c>
      <c r="E812" s="6">
        <v>15.33</v>
      </c>
      <c r="G812" s="4">
        <f t="shared" si="51"/>
        <v>37589</v>
      </c>
      <c r="H812" s="5">
        <f t="shared" si="48"/>
        <v>25.74</v>
      </c>
      <c r="I812" s="5">
        <f t="shared" si="49"/>
        <v>11</v>
      </c>
      <c r="J812" s="5">
        <f t="shared" si="50"/>
        <v>2002</v>
      </c>
    </row>
    <row r="813" spans="4:10" x14ac:dyDescent="0.25">
      <c r="D813" s="4">
        <v>33052</v>
      </c>
      <c r="E813" s="6">
        <v>15.4</v>
      </c>
      <c r="G813" s="4">
        <f t="shared" si="51"/>
        <v>37596</v>
      </c>
      <c r="H813" s="5">
        <f t="shared" si="48"/>
        <v>25.67</v>
      </c>
      <c r="I813" s="5">
        <f t="shared" si="49"/>
        <v>12</v>
      </c>
      <c r="J813" s="5">
        <f t="shared" si="50"/>
        <v>2002</v>
      </c>
    </row>
    <row r="814" spans="4:10" x14ac:dyDescent="0.25">
      <c r="D814" s="4">
        <v>33053</v>
      </c>
      <c r="E814" s="6">
        <v>15.73</v>
      </c>
      <c r="G814" s="4">
        <f t="shared" si="51"/>
        <v>37603</v>
      </c>
      <c r="H814" s="5">
        <f t="shared" si="48"/>
        <v>27.64</v>
      </c>
      <c r="I814" s="5">
        <f t="shared" si="49"/>
        <v>12</v>
      </c>
      <c r="J814" s="5">
        <f t="shared" si="50"/>
        <v>2002</v>
      </c>
    </row>
    <row r="815" spans="4:10" x14ac:dyDescent="0.25">
      <c r="D815" s="4">
        <v>33056</v>
      </c>
      <c r="E815" s="6">
        <v>15.4</v>
      </c>
      <c r="G815" s="4">
        <f t="shared" si="51"/>
        <v>37610</v>
      </c>
      <c r="H815" s="5">
        <f t="shared" si="48"/>
        <v>29.59</v>
      </c>
      <c r="I815" s="5">
        <f t="shared" si="49"/>
        <v>12</v>
      </c>
      <c r="J815" s="5">
        <f t="shared" si="50"/>
        <v>2002</v>
      </c>
    </row>
    <row r="816" spans="4:10" x14ac:dyDescent="0.25">
      <c r="D816" s="4">
        <v>33057</v>
      </c>
      <c r="E816" s="6">
        <v>15.48</v>
      </c>
      <c r="G816" s="4">
        <f t="shared" si="51"/>
        <v>37617</v>
      </c>
      <c r="H816" s="5">
        <f t="shared" si="48"/>
        <v>31.49</v>
      </c>
      <c r="I816" s="5">
        <f t="shared" si="49"/>
        <v>12</v>
      </c>
      <c r="J816" s="5">
        <f t="shared" si="50"/>
        <v>2002</v>
      </c>
    </row>
    <row r="817" spans="4:10" x14ac:dyDescent="0.25">
      <c r="D817" s="4">
        <v>33058</v>
      </c>
      <c r="E817" s="6">
        <v>15.48</v>
      </c>
      <c r="G817" s="4">
        <f t="shared" si="51"/>
        <v>37624</v>
      </c>
      <c r="H817" s="5">
        <f t="shared" si="48"/>
        <v>31.43</v>
      </c>
      <c r="I817" s="5">
        <f t="shared" si="49"/>
        <v>1</v>
      </c>
      <c r="J817" s="5">
        <f t="shared" si="50"/>
        <v>2003</v>
      </c>
    </row>
    <row r="818" spans="4:10" x14ac:dyDescent="0.25">
      <c r="D818" s="4">
        <v>33059</v>
      </c>
      <c r="E818" s="6">
        <v>15.23</v>
      </c>
      <c r="G818" s="4">
        <f t="shared" si="51"/>
        <v>37631</v>
      </c>
      <c r="H818" s="5">
        <f t="shared" si="48"/>
        <v>30.07</v>
      </c>
      <c r="I818" s="5">
        <f t="shared" si="49"/>
        <v>1</v>
      </c>
      <c r="J818" s="5">
        <f t="shared" si="50"/>
        <v>2003</v>
      </c>
    </row>
    <row r="819" spans="4:10" x14ac:dyDescent="0.25">
      <c r="D819" s="4">
        <v>33060</v>
      </c>
      <c r="E819" s="6">
        <v>15.35</v>
      </c>
      <c r="G819" s="4">
        <f t="shared" si="51"/>
        <v>37638</v>
      </c>
      <c r="H819" s="5">
        <f t="shared" si="48"/>
        <v>31.57</v>
      </c>
      <c r="I819" s="5">
        <f t="shared" si="49"/>
        <v>1</v>
      </c>
      <c r="J819" s="5">
        <f t="shared" si="50"/>
        <v>2003</v>
      </c>
    </row>
    <row r="820" spans="4:10" x14ac:dyDescent="0.25">
      <c r="D820" s="4">
        <v>33063</v>
      </c>
      <c r="E820" s="6">
        <v>14.98</v>
      </c>
      <c r="G820" s="4">
        <f t="shared" si="51"/>
        <v>37645</v>
      </c>
      <c r="H820" s="5">
        <f t="shared" si="48"/>
        <v>31.62</v>
      </c>
      <c r="I820" s="5">
        <f t="shared" si="49"/>
        <v>1</v>
      </c>
      <c r="J820" s="5">
        <f t="shared" si="50"/>
        <v>2003</v>
      </c>
    </row>
    <row r="821" spans="4:10" x14ac:dyDescent="0.25">
      <c r="D821" s="4">
        <v>33064</v>
      </c>
      <c r="E821" s="6">
        <v>15.58</v>
      </c>
      <c r="G821" s="4">
        <f t="shared" si="51"/>
        <v>37652</v>
      </c>
      <c r="H821" s="5">
        <f t="shared" si="48"/>
        <v>31.57</v>
      </c>
      <c r="I821" s="5">
        <f t="shared" si="49"/>
        <v>1</v>
      </c>
      <c r="J821" s="5">
        <f t="shared" si="50"/>
        <v>2003</v>
      </c>
    </row>
    <row r="822" spans="4:10" x14ac:dyDescent="0.25">
      <c r="D822" s="4">
        <v>33065</v>
      </c>
      <c r="E822" s="6">
        <v>15.7</v>
      </c>
      <c r="G822" s="4">
        <f t="shared" si="51"/>
        <v>37659</v>
      </c>
      <c r="H822" s="5">
        <f t="shared" si="48"/>
        <v>32.229999999999997</v>
      </c>
      <c r="I822" s="5">
        <f t="shared" si="49"/>
        <v>2</v>
      </c>
      <c r="J822" s="5">
        <f t="shared" si="50"/>
        <v>2003</v>
      </c>
    </row>
    <row r="823" spans="4:10" x14ac:dyDescent="0.25">
      <c r="D823" s="4">
        <v>33066</v>
      </c>
      <c r="E823" s="6">
        <v>15.88</v>
      </c>
      <c r="G823" s="4">
        <f t="shared" si="51"/>
        <v>37666</v>
      </c>
      <c r="H823" s="5">
        <f t="shared" si="48"/>
        <v>33.26</v>
      </c>
      <c r="I823" s="5">
        <f t="shared" si="49"/>
        <v>2</v>
      </c>
      <c r="J823" s="5">
        <f t="shared" si="50"/>
        <v>2003</v>
      </c>
    </row>
    <row r="824" spans="4:10" x14ac:dyDescent="0.25">
      <c r="D824" s="4">
        <v>33067</v>
      </c>
      <c r="E824" s="6">
        <v>17.03</v>
      </c>
      <c r="G824" s="4">
        <f t="shared" si="51"/>
        <v>37673</v>
      </c>
      <c r="H824" s="5">
        <f t="shared" si="48"/>
        <v>32.76</v>
      </c>
      <c r="I824" s="5">
        <f t="shared" si="49"/>
        <v>2</v>
      </c>
      <c r="J824" s="5">
        <f t="shared" si="50"/>
        <v>2003</v>
      </c>
    </row>
    <row r="825" spans="4:10" x14ac:dyDescent="0.25">
      <c r="D825" s="4">
        <v>33070</v>
      </c>
      <c r="E825" s="6">
        <v>17.7</v>
      </c>
      <c r="G825" s="4">
        <f t="shared" si="51"/>
        <v>37680</v>
      </c>
      <c r="H825" s="5">
        <f t="shared" si="48"/>
        <v>34</v>
      </c>
      <c r="I825" s="5">
        <f t="shared" si="49"/>
        <v>2</v>
      </c>
      <c r="J825" s="5">
        <f t="shared" si="50"/>
        <v>2003</v>
      </c>
    </row>
    <row r="826" spans="4:10" x14ac:dyDescent="0.25">
      <c r="D826" s="4">
        <v>33071</v>
      </c>
      <c r="E826" s="6">
        <v>17.579999999999998</v>
      </c>
      <c r="G826" s="4">
        <f t="shared" si="51"/>
        <v>37687</v>
      </c>
      <c r="H826" s="5">
        <f t="shared" si="48"/>
        <v>34.47</v>
      </c>
      <c r="I826" s="5">
        <f t="shared" si="49"/>
        <v>3</v>
      </c>
      <c r="J826" s="5">
        <f t="shared" si="50"/>
        <v>2003</v>
      </c>
    </row>
    <row r="827" spans="4:10" x14ac:dyDescent="0.25">
      <c r="D827" s="4">
        <v>33072</v>
      </c>
      <c r="E827" s="6">
        <v>17.7</v>
      </c>
      <c r="G827" s="4">
        <f t="shared" si="51"/>
        <v>37694</v>
      </c>
      <c r="H827" s="5">
        <f t="shared" si="48"/>
        <v>31.48</v>
      </c>
      <c r="I827" s="5">
        <f t="shared" si="49"/>
        <v>3</v>
      </c>
      <c r="J827" s="5">
        <f t="shared" si="50"/>
        <v>2003</v>
      </c>
    </row>
    <row r="828" spans="4:10" x14ac:dyDescent="0.25">
      <c r="D828" s="4">
        <v>33073</v>
      </c>
      <c r="E828" s="6">
        <v>17.850000000000001</v>
      </c>
      <c r="G828" s="4">
        <f t="shared" si="51"/>
        <v>37701</v>
      </c>
      <c r="H828" s="5">
        <f t="shared" si="48"/>
        <v>25.59</v>
      </c>
      <c r="I828" s="5">
        <f t="shared" si="49"/>
        <v>3</v>
      </c>
      <c r="J828" s="5">
        <f t="shared" si="50"/>
        <v>2003</v>
      </c>
    </row>
    <row r="829" spans="4:10" x14ac:dyDescent="0.25">
      <c r="D829" s="4">
        <v>33074</v>
      </c>
      <c r="E829" s="6">
        <v>18</v>
      </c>
      <c r="G829" s="4">
        <f t="shared" si="51"/>
        <v>37708</v>
      </c>
      <c r="H829" s="5">
        <f t="shared" si="48"/>
        <v>27.66</v>
      </c>
      <c r="I829" s="5">
        <f t="shared" si="49"/>
        <v>3</v>
      </c>
      <c r="J829" s="5">
        <f t="shared" si="50"/>
        <v>2003</v>
      </c>
    </row>
    <row r="830" spans="4:10" x14ac:dyDescent="0.25">
      <c r="D830" s="4">
        <v>33077</v>
      </c>
      <c r="E830" s="6">
        <v>18.73</v>
      </c>
      <c r="G830" s="4">
        <f t="shared" si="51"/>
        <v>37715</v>
      </c>
      <c r="H830" s="5">
        <f t="shared" si="48"/>
        <v>25.62</v>
      </c>
      <c r="I830" s="5">
        <f t="shared" si="49"/>
        <v>4</v>
      </c>
      <c r="J830" s="5">
        <f t="shared" si="50"/>
        <v>2003</v>
      </c>
    </row>
    <row r="831" spans="4:10" x14ac:dyDescent="0.25">
      <c r="D831" s="4">
        <v>33078</v>
      </c>
      <c r="E831" s="6">
        <v>19.079999999999998</v>
      </c>
      <c r="G831" s="4">
        <f t="shared" si="51"/>
        <v>37722</v>
      </c>
      <c r="H831" s="5">
        <f t="shared" si="48"/>
        <v>24.39</v>
      </c>
      <c r="I831" s="5">
        <f t="shared" si="49"/>
        <v>4</v>
      </c>
      <c r="J831" s="5">
        <f t="shared" si="50"/>
        <v>2003</v>
      </c>
    </row>
    <row r="832" spans="4:10" x14ac:dyDescent="0.25">
      <c r="D832" s="4">
        <v>33079</v>
      </c>
      <c r="E832" s="6">
        <v>19</v>
      </c>
      <c r="G832" s="4">
        <f t="shared" si="51"/>
        <v>37729</v>
      </c>
      <c r="H832" s="5">
        <f t="shared" si="48"/>
        <v>25.76</v>
      </c>
      <c r="I832" s="5">
        <f t="shared" si="49"/>
        <v>4</v>
      </c>
      <c r="J832" s="5">
        <f t="shared" si="50"/>
        <v>2003</v>
      </c>
    </row>
    <row r="833" spans="4:10" x14ac:dyDescent="0.25">
      <c r="D833" s="4">
        <v>33080</v>
      </c>
      <c r="E833" s="6">
        <v>18.73</v>
      </c>
      <c r="G833" s="4">
        <f t="shared" si="51"/>
        <v>37736</v>
      </c>
      <c r="H833" s="5">
        <f t="shared" si="48"/>
        <v>24.29</v>
      </c>
      <c r="I833" s="5">
        <f t="shared" si="49"/>
        <v>4</v>
      </c>
      <c r="J833" s="5">
        <f t="shared" si="50"/>
        <v>2003</v>
      </c>
    </row>
    <row r="834" spans="4:10" x14ac:dyDescent="0.25">
      <c r="D834" s="4">
        <v>33081</v>
      </c>
      <c r="E834" s="6">
        <v>19.03</v>
      </c>
      <c r="G834" s="4">
        <f t="shared" si="51"/>
        <v>37743</v>
      </c>
      <c r="H834" s="5">
        <f t="shared" si="48"/>
        <v>23.73</v>
      </c>
      <c r="I834" s="5">
        <f t="shared" si="49"/>
        <v>5</v>
      </c>
      <c r="J834" s="5">
        <f t="shared" si="50"/>
        <v>2003</v>
      </c>
    </row>
    <row r="835" spans="4:10" x14ac:dyDescent="0.25">
      <c r="D835" s="4">
        <v>33084</v>
      </c>
      <c r="E835" s="6">
        <v>18.98</v>
      </c>
      <c r="G835" s="4">
        <f t="shared" si="51"/>
        <v>37750</v>
      </c>
      <c r="H835" s="5">
        <f t="shared" ref="H835:H898" si="52">_xlfn.XLOOKUP(G835,D:D,E:E)</f>
        <v>25.55</v>
      </c>
      <c r="I835" s="5">
        <f t="shared" ref="I835:I898" si="53">MONTH(G835)</f>
        <v>5</v>
      </c>
      <c r="J835" s="5">
        <f t="shared" ref="J835:J898" si="54">YEAR(G835)</f>
        <v>2003</v>
      </c>
    </row>
    <row r="836" spans="4:10" x14ac:dyDescent="0.25">
      <c r="D836" s="4">
        <v>33085</v>
      </c>
      <c r="E836" s="6">
        <v>19.23</v>
      </c>
      <c r="G836" s="4">
        <f t="shared" ref="G836:G899" si="55">G835+7</f>
        <v>37757</v>
      </c>
      <c r="H836" s="5">
        <f t="shared" si="52"/>
        <v>27.18</v>
      </c>
      <c r="I836" s="5">
        <f t="shared" si="53"/>
        <v>5</v>
      </c>
      <c r="J836" s="5">
        <f t="shared" si="54"/>
        <v>2003</v>
      </c>
    </row>
    <row r="837" spans="4:10" x14ac:dyDescent="0.25">
      <c r="D837" s="4">
        <v>33086</v>
      </c>
      <c r="E837" s="6">
        <v>19.93</v>
      </c>
      <c r="G837" s="4">
        <f t="shared" si="55"/>
        <v>37764</v>
      </c>
      <c r="H837" s="5">
        <f t="shared" si="52"/>
        <v>27.14</v>
      </c>
      <c r="I837" s="5">
        <f t="shared" si="53"/>
        <v>5</v>
      </c>
      <c r="J837" s="5">
        <f t="shared" si="54"/>
        <v>2003</v>
      </c>
    </row>
    <row r="838" spans="4:10" x14ac:dyDescent="0.25">
      <c r="D838" s="4">
        <v>33087</v>
      </c>
      <c r="E838" s="6">
        <v>22.25</v>
      </c>
      <c r="G838" s="4">
        <f t="shared" si="55"/>
        <v>37771</v>
      </c>
      <c r="H838" s="5">
        <f t="shared" si="52"/>
        <v>26.58</v>
      </c>
      <c r="I838" s="5">
        <f t="shared" si="53"/>
        <v>5</v>
      </c>
      <c r="J838" s="5">
        <f t="shared" si="54"/>
        <v>2003</v>
      </c>
    </row>
    <row r="839" spans="4:10" x14ac:dyDescent="0.25">
      <c r="D839" s="4">
        <v>33088</v>
      </c>
      <c r="E839" s="6">
        <v>24.13</v>
      </c>
      <c r="G839" s="4">
        <f t="shared" si="55"/>
        <v>37778</v>
      </c>
      <c r="H839" s="5">
        <f t="shared" si="52"/>
        <v>28.38</v>
      </c>
      <c r="I839" s="5">
        <f t="shared" si="53"/>
        <v>6</v>
      </c>
      <c r="J839" s="5">
        <f t="shared" si="54"/>
        <v>2003</v>
      </c>
    </row>
    <row r="840" spans="4:10" x14ac:dyDescent="0.25">
      <c r="D840" s="4">
        <v>33091</v>
      </c>
      <c r="E840" s="6">
        <v>27.28</v>
      </c>
      <c r="G840" s="4">
        <f t="shared" si="55"/>
        <v>37785</v>
      </c>
      <c r="H840" s="5">
        <f t="shared" si="52"/>
        <v>27.39</v>
      </c>
      <c r="I840" s="5">
        <f t="shared" si="53"/>
        <v>6</v>
      </c>
      <c r="J840" s="5">
        <f t="shared" si="54"/>
        <v>2003</v>
      </c>
    </row>
    <row r="841" spans="4:10" x14ac:dyDescent="0.25">
      <c r="D841" s="4">
        <v>33092</v>
      </c>
      <c r="E841" s="6">
        <v>27.35</v>
      </c>
      <c r="G841" s="4">
        <f t="shared" si="55"/>
        <v>37792</v>
      </c>
      <c r="H841" s="5">
        <f t="shared" si="52"/>
        <v>27.13</v>
      </c>
      <c r="I841" s="5">
        <f t="shared" si="53"/>
        <v>6</v>
      </c>
      <c r="J841" s="5">
        <f t="shared" si="54"/>
        <v>2003</v>
      </c>
    </row>
    <row r="842" spans="4:10" x14ac:dyDescent="0.25">
      <c r="D842" s="4">
        <v>33093</v>
      </c>
      <c r="E842" s="6">
        <v>25.15</v>
      </c>
      <c r="G842" s="4">
        <f t="shared" si="55"/>
        <v>37799</v>
      </c>
      <c r="H842" s="5">
        <f t="shared" si="52"/>
        <v>27.45</v>
      </c>
      <c r="I842" s="5">
        <f t="shared" si="53"/>
        <v>6</v>
      </c>
      <c r="J842" s="5">
        <f t="shared" si="54"/>
        <v>2003</v>
      </c>
    </row>
    <row r="843" spans="4:10" x14ac:dyDescent="0.25">
      <c r="D843" s="4">
        <v>33094</v>
      </c>
      <c r="E843" s="6">
        <v>25.9</v>
      </c>
      <c r="G843" s="4">
        <f t="shared" si="55"/>
        <v>37806</v>
      </c>
      <c r="H843" s="5">
        <f t="shared" si="52"/>
        <v>27.97</v>
      </c>
      <c r="I843" s="5">
        <f t="shared" si="53"/>
        <v>7</v>
      </c>
      <c r="J843" s="5">
        <f t="shared" si="54"/>
        <v>2003</v>
      </c>
    </row>
    <row r="844" spans="4:10" x14ac:dyDescent="0.25">
      <c r="D844" s="4">
        <v>33095</v>
      </c>
      <c r="E844" s="6">
        <v>26.3</v>
      </c>
      <c r="G844" s="4">
        <f t="shared" si="55"/>
        <v>37813</v>
      </c>
      <c r="H844" s="5">
        <f t="shared" si="52"/>
        <v>29.36</v>
      </c>
      <c r="I844" s="5">
        <f t="shared" si="53"/>
        <v>7</v>
      </c>
      <c r="J844" s="5">
        <f t="shared" si="54"/>
        <v>2003</v>
      </c>
    </row>
    <row r="845" spans="4:10" x14ac:dyDescent="0.25">
      <c r="D845" s="4">
        <v>33098</v>
      </c>
      <c r="E845" s="6">
        <v>26.63</v>
      </c>
      <c r="G845" s="4">
        <f t="shared" si="55"/>
        <v>37820</v>
      </c>
      <c r="H845" s="5">
        <f t="shared" si="52"/>
        <v>29.2</v>
      </c>
      <c r="I845" s="5">
        <f t="shared" si="53"/>
        <v>7</v>
      </c>
      <c r="J845" s="5">
        <f t="shared" si="54"/>
        <v>2003</v>
      </c>
    </row>
    <row r="846" spans="4:10" x14ac:dyDescent="0.25">
      <c r="D846" s="4">
        <v>33099</v>
      </c>
      <c r="E846" s="6">
        <v>27.1</v>
      </c>
      <c r="G846" s="4">
        <f t="shared" si="55"/>
        <v>37827</v>
      </c>
      <c r="H846" s="5">
        <f t="shared" si="52"/>
        <v>28.3</v>
      </c>
      <c r="I846" s="5">
        <f t="shared" si="53"/>
        <v>7</v>
      </c>
      <c r="J846" s="5">
        <f t="shared" si="54"/>
        <v>2003</v>
      </c>
    </row>
    <row r="847" spans="4:10" x14ac:dyDescent="0.25">
      <c r="D847" s="4">
        <v>33100</v>
      </c>
      <c r="E847" s="6">
        <v>26.53</v>
      </c>
      <c r="G847" s="4">
        <f t="shared" si="55"/>
        <v>37834</v>
      </c>
      <c r="H847" s="5">
        <f t="shared" si="52"/>
        <v>29.63</v>
      </c>
      <c r="I847" s="5">
        <f t="shared" si="53"/>
        <v>8</v>
      </c>
      <c r="J847" s="5">
        <f t="shared" si="54"/>
        <v>2003</v>
      </c>
    </row>
    <row r="848" spans="4:10" x14ac:dyDescent="0.25">
      <c r="D848" s="4">
        <v>33101</v>
      </c>
      <c r="E848" s="6">
        <v>27.2</v>
      </c>
      <c r="G848" s="4">
        <f t="shared" si="55"/>
        <v>37841</v>
      </c>
      <c r="H848" s="5">
        <f t="shared" si="52"/>
        <v>30.59</v>
      </c>
      <c r="I848" s="5">
        <f t="shared" si="53"/>
        <v>8</v>
      </c>
      <c r="J848" s="5">
        <f t="shared" si="54"/>
        <v>2003</v>
      </c>
    </row>
    <row r="849" spans="4:10" x14ac:dyDescent="0.25">
      <c r="D849" s="4">
        <v>33102</v>
      </c>
      <c r="E849" s="6">
        <v>28.45</v>
      </c>
      <c r="G849" s="4">
        <f t="shared" si="55"/>
        <v>37848</v>
      </c>
      <c r="H849" s="5">
        <f t="shared" si="52"/>
        <v>29.18</v>
      </c>
      <c r="I849" s="5">
        <f t="shared" si="53"/>
        <v>8</v>
      </c>
      <c r="J849" s="5">
        <f t="shared" si="54"/>
        <v>2003</v>
      </c>
    </row>
    <row r="850" spans="4:10" x14ac:dyDescent="0.25">
      <c r="D850" s="4">
        <v>33105</v>
      </c>
      <c r="E850" s="6">
        <v>28.9</v>
      </c>
      <c r="G850" s="4">
        <f t="shared" si="55"/>
        <v>37855</v>
      </c>
      <c r="H850" s="5">
        <f t="shared" si="52"/>
        <v>30.22</v>
      </c>
      <c r="I850" s="5">
        <f t="shared" si="53"/>
        <v>8</v>
      </c>
      <c r="J850" s="5">
        <f t="shared" si="54"/>
        <v>2003</v>
      </c>
    </row>
    <row r="851" spans="4:10" x14ac:dyDescent="0.25">
      <c r="D851" s="4">
        <v>33106</v>
      </c>
      <c r="E851" s="6">
        <v>29.05</v>
      </c>
      <c r="G851" s="4">
        <f t="shared" si="55"/>
        <v>37862</v>
      </c>
      <c r="H851" s="5">
        <f t="shared" si="52"/>
        <v>30.38</v>
      </c>
      <c r="I851" s="5">
        <f t="shared" si="53"/>
        <v>8</v>
      </c>
      <c r="J851" s="5">
        <f t="shared" si="54"/>
        <v>2003</v>
      </c>
    </row>
    <row r="852" spans="4:10" x14ac:dyDescent="0.25">
      <c r="D852" s="4">
        <v>33107</v>
      </c>
      <c r="E852" s="6">
        <v>30.45</v>
      </c>
      <c r="G852" s="4">
        <f t="shared" si="55"/>
        <v>37869</v>
      </c>
      <c r="H852" s="5">
        <f t="shared" si="52"/>
        <v>27.72</v>
      </c>
      <c r="I852" s="5">
        <f t="shared" si="53"/>
        <v>9</v>
      </c>
      <c r="J852" s="5">
        <f t="shared" si="54"/>
        <v>2003</v>
      </c>
    </row>
    <row r="853" spans="4:10" x14ac:dyDescent="0.25">
      <c r="D853" s="4">
        <v>33108</v>
      </c>
      <c r="E853" s="6">
        <v>32.35</v>
      </c>
      <c r="G853" s="4">
        <f t="shared" si="55"/>
        <v>37876</v>
      </c>
      <c r="H853" s="5">
        <f t="shared" si="52"/>
        <v>26.52</v>
      </c>
      <c r="I853" s="5">
        <f t="shared" si="53"/>
        <v>9</v>
      </c>
      <c r="J853" s="5">
        <f t="shared" si="54"/>
        <v>2003</v>
      </c>
    </row>
    <row r="854" spans="4:10" x14ac:dyDescent="0.25">
      <c r="D854" s="4">
        <v>33109</v>
      </c>
      <c r="E854" s="6">
        <v>31.65</v>
      </c>
      <c r="G854" s="4">
        <f t="shared" si="55"/>
        <v>37883</v>
      </c>
      <c r="H854" s="5">
        <f t="shared" si="52"/>
        <v>25.51</v>
      </c>
      <c r="I854" s="5">
        <f t="shared" si="53"/>
        <v>9</v>
      </c>
      <c r="J854" s="5">
        <f t="shared" si="54"/>
        <v>2003</v>
      </c>
    </row>
    <row r="855" spans="4:10" x14ac:dyDescent="0.25">
      <c r="D855" s="4">
        <v>33112</v>
      </c>
      <c r="E855" s="6">
        <v>27.65</v>
      </c>
      <c r="G855" s="4">
        <f t="shared" si="55"/>
        <v>37890</v>
      </c>
      <c r="H855" s="5">
        <f t="shared" si="52"/>
        <v>27.02</v>
      </c>
      <c r="I855" s="5">
        <f t="shared" si="53"/>
        <v>9</v>
      </c>
      <c r="J855" s="5">
        <f t="shared" si="54"/>
        <v>2003</v>
      </c>
    </row>
    <row r="856" spans="4:10" x14ac:dyDescent="0.25">
      <c r="D856" s="4">
        <v>33113</v>
      </c>
      <c r="E856" s="6">
        <v>27.65</v>
      </c>
      <c r="G856" s="4">
        <f t="shared" si="55"/>
        <v>37897</v>
      </c>
      <c r="H856" s="5">
        <f t="shared" si="52"/>
        <v>29.14</v>
      </c>
      <c r="I856" s="5">
        <f t="shared" si="53"/>
        <v>10</v>
      </c>
      <c r="J856" s="5">
        <f t="shared" si="54"/>
        <v>2003</v>
      </c>
    </row>
    <row r="857" spans="4:10" x14ac:dyDescent="0.25">
      <c r="D857" s="4">
        <v>33114</v>
      </c>
      <c r="E857" s="6">
        <v>27.65</v>
      </c>
      <c r="G857" s="4">
        <f t="shared" si="55"/>
        <v>37904</v>
      </c>
      <c r="H857" s="5">
        <f t="shared" si="52"/>
        <v>31.13</v>
      </c>
      <c r="I857" s="5">
        <f t="shared" si="53"/>
        <v>10</v>
      </c>
      <c r="J857" s="5">
        <f t="shared" si="54"/>
        <v>2003</v>
      </c>
    </row>
    <row r="858" spans="4:10" x14ac:dyDescent="0.25">
      <c r="D858" s="4">
        <v>33115</v>
      </c>
      <c r="E858" s="6">
        <v>27.5</v>
      </c>
      <c r="G858" s="4">
        <f t="shared" si="55"/>
        <v>37911</v>
      </c>
      <c r="H858" s="5">
        <f t="shared" si="52"/>
        <v>30.27</v>
      </c>
      <c r="I858" s="5">
        <f t="shared" si="53"/>
        <v>10</v>
      </c>
      <c r="J858" s="5">
        <f t="shared" si="54"/>
        <v>2003</v>
      </c>
    </row>
    <row r="859" spans="4:10" x14ac:dyDescent="0.25">
      <c r="D859" s="4">
        <v>33116</v>
      </c>
      <c r="E859" s="6">
        <v>27.8</v>
      </c>
      <c r="G859" s="4">
        <f t="shared" si="55"/>
        <v>37918</v>
      </c>
      <c r="H859" s="5">
        <f t="shared" si="52"/>
        <v>30.01</v>
      </c>
      <c r="I859" s="5">
        <f t="shared" si="53"/>
        <v>10</v>
      </c>
      <c r="J859" s="5">
        <f t="shared" si="54"/>
        <v>2003</v>
      </c>
    </row>
    <row r="860" spans="4:10" x14ac:dyDescent="0.25">
      <c r="D860" s="4">
        <v>33119</v>
      </c>
      <c r="E860" s="6">
        <v>30.53</v>
      </c>
      <c r="G860" s="4">
        <f t="shared" si="55"/>
        <v>37925</v>
      </c>
      <c r="H860" s="5">
        <f t="shared" si="52"/>
        <v>27.88</v>
      </c>
      <c r="I860" s="5">
        <f t="shared" si="53"/>
        <v>10</v>
      </c>
      <c r="J860" s="5">
        <f t="shared" si="54"/>
        <v>2003</v>
      </c>
    </row>
    <row r="861" spans="4:10" x14ac:dyDescent="0.25">
      <c r="D861" s="4">
        <v>33120</v>
      </c>
      <c r="E861" s="6">
        <v>30.08</v>
      </c>
      <c r="G861" s="4">
        <f t="shared" si="55"/>
        <v>37932</v>
      </c>
      <c r="H861" s="5">
        <f t="shared" si="52"/>
        <v>28.73</v>
      </c>
      <c r="I861" s="5">
        <f t="shared" si="53"/>
        <v>11</v>
      </c>
      <c r="J861" s="5">
        <f t="shared" si="54"/>
        <v>2003</v>
      </c>
    </row>
    <row r="862" spans="4:10" x14ac:dyDescent="0.25">
      <c r="D862" s="4">
        <v>33121</v>
      </c>
      <c r="E862" s="6">
        <v>31.23</v>
      </c>
      <c r="G862" s="4">
        <f t="shared" si="55"/>
        <v>37939</v>
      </c>
      <c r="H862" s="5">
        <f t="shared" si="52"/>
        <v>29.78</v>
      </c>
      <c r="I862" s="5">
        <f t="shared" si="53"/>
        <v>11</v>
      </c>
      <c r="J862" s="5">
        <f t="shared" si="54"/>
        <v>2003</v>
      </c>
    </row>
    <row r="863" spans="4:10" x14ac:dyDescent="0.25">
      <c r="D863" s="4">
        <v>33122</v>
      </c>
      <c r="E863" s="6">
        <v>32.15</v>
      </c>
      <c r="G863" s="4">
        <f t="shared" si="55"/>
        <v>37946</v>
      </c>
      <c r="H863" s="5">
        <f t="shared" si="52"/>
        <v>29.79</v>
      </c>
      <c r="I863" s="5">
        <f t="shared" si="53"/>
        <v>11</v>
      </c>
      <c r="J863" s="5">
        <f t="shared" si="54"/>
        <v>2003</v>
      </c>
    </row>
    <row r="864" spans="4:10" x14ac:dyDescent="0.25">
      <c r="D864" s="4">
        <v>33123</v>
      </c>
      <c r="E864" s="6">
        <v>31.45</v>
      </c>
      <c r="G864" s="4">
        <f t="shared" si="55"/>
        <v>37953</v>
      </c>
      <c r="H864" s="5">
        <f t="shared" si="52"/>
        <v>28.95</v>
      </c>
      <c r="I864" s="5">
        <f t="shared" si="53"/>
        <v>11</v>
      </c>
      <c r="J864" s="5">
        <f t="shared" si="54"/>
        <v>2003</v>
      </c>
    </row>
    <row r="865" spans="4:10" x14ac:dyDescent="0.25">
      <c r="D865" s="4">
        <v>33126</v>
      </c>
      <c r="E865" s="6">
        <v>31.45</v>
      </c>
      <c r="G865" s="4">
        <f t="shared" si="55"/>
        <v>37960</v>
      </c>
      <c r="H865" s="5">
        <f t="shared" si="52"/>
        <v>28.87</v>
      </c>
      <c r="I865" s="5">
        <f t="shared" si="53"/>
        <v>12</v>
      </c>
      <c r="J865" s="5">
        <f t="shared" si="54"/>
        <v>2003</v>
      </c>
    </row>
    <row r="866" spans="4:10" x14ac:dyDescent="0.25">
      <c r="D866" s="4">
        <v>33127</v>
      </c>
      <c r="E866" s="6">
        <v>32.1</v>
      </c>
      <c r="G866" s="4">
        <f t="shared" si="55"/>
        <v>37967</v>
      </c>
      <c r="H866" s="5">
        <f t="shared" si="52"/>
        <v>30.24</v>
      </c>
      <c r="I866" s="5">
        <f t="shared" si="53"/>
        <v>12</v>
      </c>
      <c r="J866" s="5">
        <f t="shared" si="54"/>
        <v>2003</v>
      </c>
    </row>
    <row r="867" spans="4:10" x14ac:dyDescent="0.25">
      <c r="D867" s="4">
        <v>33128</v>
      </c>
      <c r="E867" s="6">
        <v>31.28</v>
      </c>
      <c r="G867" s="4">
        <f t="shared" si="55"/>
        <v>37974</v>
      </c>
      <c r="H867" s="5">
        <f t="shared" si="52"/>
        <v>31.03</v>
      </c>
      <c r="I867" s="5">
        <f t="shared" si="53"/>
        <v>12</v>
      </c>
      <c r="J867" s="5">
        <f t="shared" si="54"/>
        <v>2003</v>
      </c>
    </row>
    <row r="868" spans="4:10" x14ac:dyDescent="0.25">
      <c r="D868" s="4">
        <v>33129</v>
      </c>
      <c r="E868" s="6">
        <v>31.88</v>
      </c>
      <c r="G868" s="4">
        <f t="shared" si="55"/>
        <v>37981</v>
      </c>
      <c r="H868" s="5">
        <f t="shared" si="52"/>
        <v>0</v>
      </c>
      <c r="I868" s="5">
        <f t="shared" si="53"/>
        <v>12</v>
      </c>
      <c r="J868" s="5">
        <f t="shared" si="54"/>
        <v>2003</v>
      </c>
    </row>
    <row r="869" spans="4:10" x14ac:dyDescent="0.25">
      <c r="D869" s="4">
        <v>33130</v>
      </c>
      <c r="E869" s="6">
        <v>33.35</v>
      </c>
      <c r="G869" s="4">
        <f t="shared" si="55"/>
        <v>37988</v>
      </c>
      <c r="H869" s="5">
        <f t="shared" si="52"/>
        <v>29.55</v>
      </c>
      <c r="I869" s="5">
        <f t="shared" si="53"/>
        <v>1</v>
      </c>
      <c r="J869" s="5">
        <f t="shared" si="54"/>
        <v>2004</v>
      </c>
    </row>
    <row r="870" spans="4:10" x14ac:dyDescent="0.25">
      <c r="D870" s="4">
        <v>33133</v>
      </c>
      <c r="E870" s="6">
        <v>34.9</v>
      </c>
      <c r="G870" s="4">
        <f t="shared" si="55"/>
        <v>37995</v>
      </c>
      <c r="H870" s="5">
        <f t="shared" si="52"/>
        <v>31.91</v>
      </c>
      <c r="I870" s="5">
        <f t="shared" si="53"/>
        <v>1</v>
      </c>
      <c r="J870" s="5">
        <f t="shared" si="54"/>
        <v>2004</v>
      </c>
    </row>
    <row r="871" spans="4:10" x14ac:dyDescent="0.25">
      <c r="D871" s="4">
        <v>33134</v>
      </c>
      <c r="E871" s="6">
        <v>35.950000000000003</v>
      </c>
      <c r="G871" s="4">
        <f t="shared" si="55"/>
        <v>38002</v>
      </c>
      <c r="H871" s="5">
        <f t="shared" si="52"/>
        <v>31.26</v>
      </c>
      <c r="I871" s="5">
        <f t="shared" si="53"/>
        <v>1</v>
      </c>
      <c r="J871" s="5">
        <f t="shared" si="54"/>
        <v>2004</v>
      </c>
    </row>
    <row r="872" spans="4:10" x14ac:dyDescent="0.25">
      <c r="D872" s="4">
        <v>33135</v>
      </c>
      <c r="E872" s="6">
        <v>35.08</v>
      </c>
      <c r="G872" s="4">
        <f t="shared" si="55"/>
        <v>38009</v>
      </c>
      <c r="H872" s="5">
        <f t="shared" si="52"/>
        <v>32.08</v>
      </c>
      <c r="I872" s="5">
        <f t="shared" si="53"/>
        <v>1</v>
      </c>
      <c r="J872" s="5">
        <f t="shared" si="54"/>
        <v>2004</v>
      </c>
    </row>
    <row r="873" spans="4:10" x14ac:dyDescent="0.25">
      <c r="D873" s="4">
        <v>33136</v>
      </c>
      <c r="E873" s="6">
        <v>35.65</v>
      </c>
      <c r="G873" s="4">
        <f t="shared" si="55"/>
        <v>38016</v>
      </c>
      <c r="H873" s="5">
        <f t="shared" si="52"/>
        <v>29.53</v>
      </c>
      <c r="I873" s="5">
        <f t="shared" si="53"/>
        <v>1</v>
      </c>
      <c r="J873" s="5">
        <f t="shared" si="54"/>
        <v>2004</v>
      </c>
    </row>
    <row r="874" spans="4:10" x14ac:dyDescent="0.25">
      <c r="D874" s="4">
        <v>33137</v>
      </c>
      <c r="E874" s="6">
        <v>36.950000000000003</v>
      </c>
      <c r="G874" s="4">
        <f t="shared" si="55"/>
        <v>38023</v>
      </c>
      <c r="H874" s="5">
        <f t="shared" si="52"/>
        <v>29.26</v>
      </c>
      <c r="I874" s="5">
        <f t="shared" si="53"/>
        <v>2</v>
      </c>
      <c r="J874" s="5">
        <f t="shared" si="54"/>
        <v>2004</v>
      </c>
    </row>
    <row r="875" spans="4:10" x14ac:dyDescent="0.25">
      <c r="D875" s="4">
        <v>33140</v>
      </c>
      <c r="E875" s="6">
        <v>40.75</v>
      </c>
      <c r="G875" s="4">
        <f t="shared" si="55"/>
        <v>38030</v>
      </c>
      <c r="H875" s="5">
        <f t="shared" si="52"/>
        <v>30.96</v>
      </c>
      <c r="I875" s="5">
        <f t="shared" si="53"/>
        <v>2</v>
      </c>
      <c r="J875" s="5">
        <f t="shared" si="54"/>
        <v>2004</v>
      </c>
    </row>
    <row r="876" spans="4:10" x14ac:dyDescent="0.25">
      <c r="D876" s="4">
        <v>33141</v>
      </c>
      <c r="E876" s="6">
        <v>39.9</v>
      </c>
      <c r="G876" s="4">
        <f t="shared" si="55"/>
        <v>38037</v>
      </c>
      <c r="H876" s="5">
        <f t="shared" si="52"/>
        <v>31.22</v>
      </c>
      <c r="I876" s="5">
        <f t="shared" si="53"/>
        <v>2</v>
      </c>
      <c r="J876" s="5">
        <f t="shared" si="54"/>
        <v>2004</v>
      </c>
    </row>
    <row r="877" spans="4:10" x14ac:dyDescent="0.25">
      <c r="D877" s="4">
        <v>33142</v>
      </c>
      <c r="E877" s="6">
        <v>40.85</v>
      </c>
      <c r="G877" s="4">
        <f t="shared" si="55"/>
        <v>38044</v>
      </c>
      <c r="H877" s="5">
        <f t="shared" si="52"/>
        <v>32.94</v>
      </c>
      <c r="I877" s="5">
        <f t="shared" si="53"/>
        <v>2</v>
      </c>
      <c r="J877" s="5">
        <f t="shared" si="54"/>
        <v>2004</v>
      </c>
    </row>
    <row r="878" spans="4:10" x14ac:dyDescent="0.25">
      <c r="D878" s="4">
        <v>33143</v>
      </c>
      <c r="E878" s="6">
        <v>41.45</v>
      </c>
      <c r="G878" s="4">
        <f t="shared" si="55"/>
        <v>38051</v>
      </c>
      <c r="H878" s="5">
        <f t="shared" si="52"/>
        <v>34.4</v>
      </c>
      <c r="I878" s="5">
        <f t="shared" si="53"/>
        <v>3</v>
      </c>
      <c r="J878" s="5">
        <f t="shared" si="54"/>
        <v>2004</v>
      </c>
    </row>
    <row r="879" spans="4:10" x14ac:dyDescent="0.25">
      <c r="D879" s="4">
        <v>33144</v>
      </c>
      <c r="E879" s="6">
        <v>41</v>
      </c>
      <c r="G879" s="4">
        <f t="shared" si="55"/>
        <v>38058</v>
      </c>
      <c r="H879" s="5">
        <f t="shared" si="52"/>
        <v>32.76</v>
      </c>
      <c r="I879" s="5">
        <f t="shared" si="53"/>
        <v>3</v>
      </c>
      <c r="J879" s="5">
        <f t="shared" si="54"/>
        <v>2004</v>
      </c>
    </row>
    <row r="880" spans="4:10" x14ac:dyDescent="0.25">
      <c r="D880" s="4">
        <v>33147</v>
      </c>
      <c r="E880" s="6">
        <v>38.950000000000003</v>
      </c>
      <c r="G880" s="4">
        <f t="shared" si="55"/>
        <v>38065</v>
      </c>
      <c r="H880" s="5">
        <f t="shared" si="52"/>
        <v>34.33</v>
      </c>
      <c r="I880" s="5">
        <f t="shared" si="53"/>
        <v>3</v>
      </c>
      <c r="J880" s="5">
        <f t="shared" si="54"/>
        <v>2004</v>
      </c>
    </row>
    <row r="881" spans="4:10" x14ac:dyDescent="0.25">
      <c r="D881" s="4">
        <v>33148</v>
      </c>
      <c r="E881" s="6">
        <v>35.450000000000003</v>
      </c>
      <c r="G881" s="4">
        <f t="shared" si="55"/>
        <v>38072</v>
      </c>
      <c r="H881" s="5">
        <f t="shared" si="52"/>
        <v>32.51</v>
      </c>
      <c r="I881" s="5">
        <f t="shared" si="53"/>
        <v>3</v>
      </c>
      <c r="J881" s="5">
        <f t="shared" si="54"/>
        <v>2004</v>
      </c>
    </row>
    <row r="882" spans="4:10" x14ac:dyDescent="0.25">
      <c r="D882" s="4">
        <v>33149</v>
      </c>
      <c r="E882" s="6">
        <v>37.549999999999997</v>
      </c>
      <c r="G882" s="4">
        <f t="shared" si="55"/>
        <v>38079</v>
      </c>
      <c r="H882" s="5">
        <f t="shared" si="52"/>
        <v>31.19</v>
      </c>
      <c r="I882" s="5">
        <f t="shared" si="53"/>
        <v>4</v>
      </c>
      <c r="J882" s="5">
        <f t="shared" si="54"/>
        <v>2004</v>
      </c>
    </row>
    <row r="883" spans="4:10" x14ac:dyDescent="0.25">
      <c r="D883" s="4">
        <v>33150</v>
      </c>
      <c r="E883" s="6">
        <v>37.200000000000003</v>
      </c>
      <c r="G883" s="4">
        <f t="shared" si="55"/>
        <v>38086</v>
      </c>
      <c r="H883" s="5">
        <f t="shared" si="52"/>
        <v>34.03</v>
      </c>
      <c r="I883" s="5">
        <f t="shared" si="53"/>
        <v>4</v>
      </c>
      <c r="J883" s="5">
        <f t="shared" si="54"/>
        <v>2004</v>
      </c>
    </row>
    <row r="884" spans="4:10" x14ac:dyDescent="0.25">
      <c r="D884" s="4">
        <v>33151</v>
      </c>
      <c r="E884" s="6">
        <v>39.049999999999997</v>
      </c>
      <c r="G884" s="4">
        <f t="shared" si="55"/>
        <v>38093</v>
      </c>
      <c r="H884" s="5">
        <f t="shared" si="52"/>
        <v>33.85</v>
      </c>
      <c r="I884" s="5">
        <f t="shared" si="53"/>
        <v>4</v>
      </c>
      <c r="J884" s="5">
        <f t="shared" si="54"/>
        <v>2004</v>
      </c>
    </row>
    <row r="885" spans="4:10" x14ac:dyDescent="0.25">
      <c r="D885" s="4">
        <v>33154</v>
      </c>
      <c r="E885" s="6">
        <v>39.200000000000003</v>
      </c>
      <c r="G885" s="4">
        <f t="shared" si="55"/>
        <v>38100</v>
      </c>
      <c r="H885" s="5">
        <f t="shared" si="52"/>
        <v>33.78</v>
      </c>
      <c r="I885" s="5">
        <f t="shared" si="53"/>
        <v>4</v>
      </c>
      <c r="J885" s="5">
        <f t="shared" si="54"/>
        <v>2004</v>
      </c>
    </row>
    <row r="886" spans="4:10" x14ac:dyDescent="0.25">
      <c r="D886" s="4">
        <v>33155</v>
      </c>
      <c r="E886" s="6">
        <v>40.9</v>
      </c>
      <c r="G886" s="4">
        <f t="shared" si="55"/>
        <v>38107</v>
      </c>
      <c r="H886" s="5">
        <f t="shared" si="52"/>
        <v>35.229999999999997</v>
      </c>
      <c r="I886" s="5">
        <f t="shared" si="53"/>
        <v>4</v>
      </c>
      <c r="J886" s="5">
        <f t="shared" si="54"/>
        <v>2004</v>
      </c>
    </row>
    <row r="887" spans="4:10" x14ac:dyDescent="0.25">
      <c r="D887" s="4">
        <v>33156</v>
      </c>
      <c r="E887" s="6">
        <v>40.200000000000003</v>
      </c>
      <c r="G887" s="4">
        <f t="shared" si="55"/>
        <v>38114</v>
      </c>
      <c r="H887" s="5">
        <f t="shared" si="52"/>
        <v>37.25</v>
      </c>
      <c r="I887" s="5">
        <f t="shared" si="53"/>
        <v>5</v>
      </c>
      <c r="J887" s="5">
        <f t="shared" si="54"/>
        <v>2004</v>
      </c>
    </row>
    <row r="888" spans="4:10" x14ac:dyDescent="0.25">
      <c r="D888" s="4">
        <v>33157</v>
      </c>
      <c r="E888" s="6">
        <v>41.15</v>
      </c>
      <c r="G888" s="4">
        <f t="shared" si="55"/>
        <v>38121</v>
      </c>
      <c r="H888" s="5">
        <f t="shared" si="52"/>
        <v>39.04</v>
      </c>
      <c r="I888" s="5">
        <f t="shared" si="53"/>
        <v>5</v>
      </c>
      <c r="J888" s="5">
        <f t="shared" si="54"/>
        <v>2004</v>
      </c>
    </row>
    <row r="889" spans="4:10" x14ac:dyDescent="0.25">
      <c r="D889" s="4">
        <v>33158</v>
      </c>
      <c r="E889" s="6">
        <v>39.9</v>
      </c>
      <c r="G889" s="4">
        <f t="shared" si="55"/>
        <v>38128</v>
      </c>
      <c r="H889" s="5">
        <f t="shared" si="52"/>
        <v>37.6</v>
      </c>
      <c r="I889" s="5">
        <f t="shared" si="53"/>
        <v>5</v>
      </c>
      <c r="J889" s="5">
        <f t="shared" si="54"/>
        <v>2004</v>
      </c>
    </row>
    <row r="890" spans="4:10" x14ac:dyDescent="0.25">
      <c r="D890" s="4">
        <v>33161</v>
      </c>
      <c r="E890" s="6">
        <v>38.28</v>
      </c>
      <c r="G890" s="4">
        <f t="shared" si="55"/>
        <v>38135</v>
      </c>
      <c r="H890" s="5">
        <f t="shared" si="52"/>
        <v>37</v>
      </c>
      <c r="I890" s="5">
        <f t="shared" si="53"/>
        <v>5</v>
      </c>
      <c r="J890" s="5">
        <f t="shared" si="54"/>
        <v>2004</v>
      </c>
    </row>
    <row r="891" spans="4:10" x14ac:dyDescent="0.25">
      <c r="D891" s="4">
        <v>33162</v>
      </c>
      <c r="E891" s="6">
        <v>38.93</v>
      </c>
      <c r="G891" s="4">
        <f t="shared" si="55"/>
        <v>38142</v>
      </c>
      <c r="H891" s="5">
        <f t="shared" si="52"/>
        <v>35.97</v>
      </c>
      <c r="I891" s="5">
        <f t="shared" si="53"/>
        <v>6</v>
      </c>
      <c r="J891" s="5">
        <f t="shared" si="54"/>
        <v>2004</v>
      </c>
    </row>
    <row r="892" spans="4:10" x14ac:dyDescent="0.25">
      <c r="D892" s="4">
        <v>33163</v>
      </c>
      <c r="E892" s="6">
        <v>35.33</v>
      </c>
      <c r="G892" s="4">
        <f t="shared" si="55"/>
        <v>38149</v>
      </c>
      <c r="H892" s="5">
        <f t="shared" si="52"/>
        <v>35.229999999999997</v>
      </c>
      <c r="I892" s="5">
        <f t="shared" si="53"/>
        <v>6</v>
      </c>
      <c r="J892" s="5">
        <f t="shared" si="54"/>
        <v>2004</v>
      </c>
    </row>
    <row r="893" spans="4:10" x14ac:dyDescent="0.25">
      <c r="D893" s="4">
        <v>33164</v>
      </c>
      <c r="E893" s="6">
        <v>35.65</v>
      </c>
      <c r="G893" s="4">
        <f t="shared" si="55"/>
        <v>38156</v>
      </c>
      <c r="H893" s="5">
        <f t="shared" si="52"/>
        <v>35.43</v>
      </c>
      <c r="I893" s="5">
        <f t="shared" si="53"/>
        <v>6</v>
      </c>
      <c r="J893" s="5">
        <f t="shared" si="54"/>
        <v>2004</v>
      </c>
    </row>
    <row r="894" spans="4:10" x14ac:dyDescent="0.25">
      <c r="D894" s="4">
        <v>33165</v>
      </c>
      <c r="E894" s="6">
        <v>33.200000000000003</v>
      </c>
      <c r="G894" s="4">
        <f t="shared" si="55"/>
        <v>38163</v>
      </c>
      <c r="H894" s="5">
        <f t="shared" si="52"/>
        <v>34.25</v>
      </c>
      <c r="I894" s="5">
        <f t="shared" si="53"/>
        <v>6</v>
      </c>
      <c r="J894" s="5">
        <f t="shared" si="54"/>
        <v>2004</v>
      </c>
    </row>
    <row r="895" spans="4:10" x14ac:dyDescent="0.25">
      <c r="D895" s="4">
        <v>33168</v>
      </c>
      <c r="E895" s="6">
        <v>27.45</v>
      </c>
      <c r="G895" s="4">
        <f t="shared" si="55"/>
        <v>38170</v>
      </c>
      <c r="H895" s="5">
        <f t="shared" si="52"/>
        <v>35.36</v>
      </c>
      <c r="I895" s="5">
        <f t="shared" si="53"/>
        <v>7</v>
      </c>
      <c r="J895" s="5">
        <f t="shared" si="54"/>
        <v>2004</v>
      </c>
    </row>
    <row r="896" spans="4:10" x14ac:dyDescent="0.25">
      <c r="D896" s="4">
        <v>33169</v>
      </c>
      <c r="E896" s="6">
        <v>28.95</v>
      </c>
      <c r="G896" s="4">
        <f t="shared" si="55"/>
        <v>38177</v>
      </c>
      <c r="H896" s="5">
        <f t="shared" si="52"/>
        <v>37.58</v>
      </c>
      <c r="I896" s="5">
        <f t="shared" si="53"/>
        <v>7</v>
      </c>
      <c r="J896" s="5">
        <f t="shared" si="54"/>
        <v>2004</v>
      </c>
    </row>
    <row r="897" spans="4:10" x14ac:dyDescent="0.25">
      <c r="D897" s="4">
        <v>33170</v>
      </c>
      <c r="E897" s="6">
        <v>30.1</v>
      </c>
      <c r="G897" s="4">
        <f t="shared" si="55"/>
        <v>38184</v>
      </c>
      <c r="H897" s="5">
        <f t="shared" si="52"/>
        <v>38.49</v>
      </c>
      <c r="I897" s="5">
        <f t="shared" si="53"/>
        <v>7</v>
      </c>
      <c r="J897" s="5">
        <f t="shared" si="54"/>
        <v>2004</v>
      </c>
    </row>
    <row r="898" spans="4:10" x14ac:dyDescent="0.25">
      <c r="D898" s="4">
        <v>33171</v>
      </c>
      <c r="E898" s="6">
        <v>32.9</v>
      </c>
      <c r="G898" s="4">
        <f t="shared" si="55"/>
        <v>38191</v>
      </c>
      <c r="H898" s="5">
        <f t="shared" si="52"/>
        <v>39.590000000000003</v>
      </c>
      <c r="I898" s="5">
        <f t="shared" si="53"/>
        <v>7</v>
      </c>
      <c r="J898" s="5">
        <f t="shared" si="54"/>
        <v>2004</v>
      </c>
    </row>
    <row r="899" spans="4:10" x14ac:dyDescent="0.25">
      <c r="D899" s="4">
        <v>33172</v>
      </c>
      <c r="E899" s="6">
        <v>33.729999999999997</v>
      </c>
      <c r="G899" s="4">
        <f t="shared" si="55"/>
        <v>38198</v>
      </c>
      <c r="H899" s="5">
        <f t="shared" ref="H899:H962" si="56">_xlfn.XLOOKUP(G899,D:D,E:E)</f>
        <v>41.47</v>
      </c>
      <c r="I899" s="5">
        <f t="shared" ref="I899:I962" si="57">MONTH(G899)</f>
        <v>7</v>
      </c>
      <c r="J899" s="5">
        <f t="shared" ref="J899:J962" si="58">YEAR(G899)</f>
        <v>2004</v>
      </c>
    </row>
    <row r="900" spans="4:10" x14ac:dyDescent="0.25">
      <c r="D900" s="4">
        <v>33175</v>
      </c>
      <c r="E900" s="6">
        <v>34.65</v>
      </c>
      <c r="G900" s="4">
        <f t="shared" ref="G900:G963" si="59">G899+7</f>
        <v>38205</v>
      </c>
      <c r="H900" s="5">
        <f t="shared" si="56"/>
        <v>42.63</v>
      </c>
      <c r="I900" s="5">
        <f t="shared" si="57"/>
        <v>8</v>
      </c>
      <c r="J900" s="5">
        <f t="shared" si="58"/>
        <v>2004</v>
      </c>
    </row>
    <row r="901" spans="4:10" x14ac:dyDescent="0.25">
      <c r="D901" s="4">
        <v>33176</v>
      </c>
      <c r="E901" s="6">
        <v>35.5</v>
      </c>
      <c r="G901" s="4">
        <f t="shared" si="59"/>
        <v>38212</v>
      </c>
      <c r="H901" s="5">
        <f t="shared" si="56"/>
        <v>44.13</v>
      </c>
      <c r="I901" s="5">
        <f t="shared" si="57"/>
        <v>8</v>
      </c>
      <c r="J901" s="5">
        <f t="shared" si="58"/>
        <v>2004</v>
      </c>
    </row>
    <row r="902" spans="4:10" x14ac:dyDescent="0.25">
      <c r="D902" s="4">
        <v>33177</v>
      </c>
      <c r="E902" s="6">
        <v>34.299999999999997</v>
      </c>
      <c r="G902" s="4">
        <f t="shared" si="59"/>
        <v>38219</v>
      </c>
      <c r="H902" s="5">
        <f t="shared" si="56"/>
        <v>45.46</v>
      </c>
      <c r="I902" s="5">
        <f t="shared" si="57"/>
        <v>8</v>
      </c>
      <c r="J902" s="5">
        <f t="shared" si="58"/>
        <v>2004</v>
      </c>
    </row>
    <row r="903" spans="4:10" x14ac:dyDescent="0.25">
      <c r="D903" s="4">
        <v>33178</v>
      </c>
      <c r="E903" s="6">
        <v>35.65</v>
      </c>
      <c r="G903" s="4">
        <f t="shared" si="59"/>
        <v>38226</v>
      </c>
      <c r="H903" s="5">
        <f t="shared" si="56"/>
        <v>40.72</v>
      </c>
      <c r="I903" s="5">
        <f t="shared" si="57"/>
        <v>8</v>
      </c>
      <c r="J903" s="5">
        <f t="shared" si="58"/>
        <v>2004</v>
      </c>
    </row>
    <row r="904" spans="4:10" x14ac:dyDescent="0.25">
      <c r="D904" s="4">
        <v>33179</v>
      </c>
      <c r="E904" s="6">
        <v>35.049999999999997</v>
      </c>
      <c r="G904" s="4">
        <f t="shared" si="59"/>
        <v>38233</v>
      </c>
      <c r="H904" s="5">
        <f t="shared" si="56"/>
        <v>41.07</v>
      </c>
      <c r="I904" s="5">
        <f t="shared" si="57"/>
        <v>9</v>
      </c>
      <c r="J904" s="5">
        <f t="shared" si="58"/>
        <v>2004</v>
      </c>
    </row>
    <row r="905" spans="4:10" x14ac:dyDescent="0.25">
      <c r="D905" s="4">
        <v>33182</v>
      </c>
      <c r="E905" s="6">
        <v>33.799999999999997</v>
      </c>
      <c r="G905" s="4">
        <f t="shared" si="59"/>
        <v>38240</v>
      </c>
      <c r="H905" s="5">
        <f t="shared" si="56"/>
        <v>41.03</v>
      </c>
      <c r="I905" s="5">
        <f t="shared" si="57"/>
        <v>9</v>
      </c>
      <c r="J905" s="5">
        <f t="shared" si="58"/>
        <v>2004</v>
      </c>
    </row>
    <row r="906" spans="4:10" x14ac:dyDescent="0.25">
      <c r="D906" s="4">
        <v>33183</v>
      </c>
      <c r="E906" s="6">
        <v>33.200000000000003</v>
      </c>
      <c r="G906" s="4">
        <f t="shared" si="59"/>
        <v>38247</v>
      </c>
      <c r="H906" s="5">
        <f t="shared" si="56"/>
        <v>43.08</v>
      </c>
      <c r="I906" s="5">
        <f t="shared" si="57"/>
        <v>9</v>
      </c>
      <c r="J906" s="5">
        <f t="shared" si="58"/>
        <v>2004</v>
      </c>
    </row>
    <row r="907" spans="4:10" x14ac:dyDescent="0.25">
      <c r="D907" s="4">
        <v>33184</v>
      </c>
      <c r="E907" s="6">
        <v>34.549999999999997</v>
      </c>
      <c r="G907" s="4">
        <f t="shared" si="59"/>
        <v>38254</v>
      </c>
      <c r="H907" s="5">
        <f t="shared" si="56"/>
        <v>46.13</v>
      </c>
      <c r="I907" s="5">
        <f t="shared" si="57"/>
        <v>9</v>
      </c>
      <c r="J907" s="5">
        <f t="shared" si="58"/>
        <v>2004</v>
      </c>
    </row>
    <row r="908" spans="4:10" x14ac:dyDescent="0.25">
      <c r="D908" s="4">
        <v>33185</v>
      </c>
      <c r="E908" s="6">
        <v>34.85</v>
      </c>
      <c r="G908" s="4">
        <f t="shared" si="59"/>
        <v>38261</v>
      </c>
      <c r="H908" s="5">
        <f t="shared" si="56"/>
        <v>46.86</v>
      </c>
      <c r="I908" s="5">
        <f t="shared" si="57"/>
        <v>10</v>
      </c>
      <c r="J908" s="5">
        <f t="shared" si="58"/>
        <v>2004</v>
      </c>
    </row>
    <row r="909" spans="4:10" x14ac:dyDescent="0.25">
      <c r="D909" s="4">
        <v>33186</v>
      </c>
      <c r="E909" s="6">
        <v>34.25</v>
      </c>
      <c r="G909" s="4">
        <f t="shared" si="59"/>
        <v>38268</v>
      </c>
      <c r="H909" s="5">
        <f t="shared" si="56"/>
        <v>49.41</v>
      </c>
      <c r="I909" s="5">
        <f t="shared" si="57"/>
        <v>10</v>
      </c>
      <c r="J909" s="5">
        <f t="shared" si="58"/>
        <v>2004</v>
      </c>
    </row>
    <row r="910" spans="4:10" x14ac:dyDescent="0.25">
      <c r="D910" s="4">
        <v>33189</v>
      </c>
      <c r="E910" s="6">
        <v>32.85</v>
      </c>
      <c r="G910" s="4">
        <f t="shared" si="59"/>
        <v>38275</v>
      </c>
      <c r="H910" s="5">
        <f t="shared" si="56"/>
        <v>51.02</v>
      </c>
      <c r="I910" s="5">
        <f t="shared" si="57"/>
        <v>10</v>
      </c>
      <c r="J910" s="5">
        <f t="shared" si="58"/>
        <v>2004</v>
      </c>
    </row>
    <row r="911" spans="4:10" x14ac:dyDescent="0.25">
      <c r="D911" s="4">
        <v>33190</v>
      </c>
      <c r="E911" s="6">
        <v>33.65</v>
      </c>
      <c r="G911" s="4">
        <f t="shared" si="59"/>
        <v>38282</v>
      </c>
      <c r="H911" s="5">
        <f t="shared" si="56"/>
        <v>52.28</v>
      </c>
      <c r="I911" s="5">
        <f t="shared" si="57"/>
        <v>10</v>
      </c>
      <c r="J911" s="5">
        <f t="shared" si="58"/>
        <v>2004</v>
      </c>
    </row>
    <row r="912" spans="4:10" x14ac:dyDescent="0.25">
      <c r="D912" s="4">
        <v>33191</v>
      </c>
      <c r="E912" s="6">
        <v>31.95</v>
      </c>
      <c r="G912" s="4">
        <f t="shared" si="59"/>
        <v>38289</v>
      </c>
      <c r="H912" s="5">
        <f t="shared" si="56"/>
        <v>48.16</v>
      </c>
      <c r="I912" s="5">
        <f t="shared" si="57"/>
        <v>10</v>
      </c>
      <c r="J912" s="5">
        <f t="shared" si="58"/>
        <v>2004</v>
      </c>
    </row>
    <row r="913" spans="4:10" x14ac:dyDescent="0.25">
      <c r="D913" s="4">
        <v>33192</v>
      </c>
      <c r="E913" s="6">
        <v>32.200000000000003</v>
      </c>
      <c r="G913" s="4">
        <f t="shared" si="59"/>
        <v>38296</v>
      </c>
      <c r="H913" s="5">
        <f t="shared" si="56"/>
        <v>44.37</v>
      </c>
      <c r="I913" s="5">
        <f t="shared" si="57"/>
        <v>11</v>
      </c>
      <c r="J913" s="5">
        <f t="shared" si="58"/>
        <v>2004</v>
      </c>
    </row>
    <row r="914" spans="4:10" x14ac:dyDescent="0.25">
      <c r="D914" s="4">
        <v>33193</v>
      </c>
      <c r="E914" s="6">
        <v>30.55</v>
      </c>
      <c r="G914" s="4">
        <f t="shared" si="59"/>
        <v>38303</v>
      </c>
      <c r="H914" s="5">
        <f t="shared" si="56"/>
        <v>41.33</v>
      </c>
      <c r="I914" s="5">
        <f t="shared" si="57"/>
        <v>11</v>
      </c>
      <c r="J914" s="5">
        <f t="shared" si="58"/>
        <v>2004</v>
      </c>
    </row>
    <row r="915" spans="4:10" x14ac:dyDescent="0.25">
      <c r="D915" s="4">
        <v>33196</v>
      </c>
      <c r="E915" s="6">
        <v>30.85</v>
      </c>
      <c r="G915" s="4">
        <f t="shared" si="59"/>
        <v>38310</v>
      </c>
      <c r="H915" s="5">
        <f t="shared" si="56"/>
        <v>42.29</v>
      </c>
      <c r="I915" s="5">
        <f t="shared" si="57"/>
        <v>11</v>
      </c>
      <c r="J915" s="5">
        <f t="shared" si="58"/>
        <v>2004</v>
      </c>
    </row>
    <row r="916" spans="4:10" x14ac:dyDescent="0.25">
      <c r="D916" s="4">
        <v>33197</v>
      </c>
      <c r="E916" s="6">
        <v>30.1</v>
      </c>
      <c r="G916" s="4">
        <f t="shared" si="59"/>
        <v>38317</v>
      </c>
      <c r="H916" s="5">
        <f t="shared" si="56"/>
        <v>42.87</v>
      </c>
      <c r="I916" s="5">
        <f t="shared" si="57"/>
        <v>11</v>
      </c>
      <c r="J916" s="5">
        <f t="shared" si="58"/>
        <v>2004</v>
      </c>
    </row>
    <row r="917" spans="4:10" x14ac:dyDescent="0.25">
      <c r="D917" s="4">
        <v>33198</v>
      </c>
      <c r="E917" s="6">
        <v>30.65</v>
      </c>
      <c r="G917" s="4">
        <f t="shared" si="59"/>
        <v>38324</v>
      </c>
      <c r="H917" s="5">
        <f t="shared" si="56"/>
        <v>38.57</v>
      </c>
      <c r="I917" s="5">
        <f t="shared" si="57"/>
        <v>12</v>
      </c>
      <c r="J917" s="5">
        <f t="shared" si="58"/>
        <v>2004</v>
      </c>
    </row>
    <row r="918" spans="4:10" x14ac:dyDescent="0.25">
      <c r="D918" s="4">
        <v>33199</v>
      </c>
      <c r="E918" s="6">
        <v>31.4</v>
      </c>
      <c r="G918" s="4">
        <f t="shared" si="59"/>
        <v>38331</v>
      </c>
      <c r="H918" s="5">
        <f t="shared" si="56"/>
        <v>37.24</v>
      </c>
      <c r="I918" s="5">
        <f t="shared" si="57"/>
        <v>12</v>
      </c>
      <c r="J918" s="5">
        <f t="shared" si="58"/>
        <v>2004</v>
      </c>
    </row>
    <row r="919" spans="4:10" x14ac:dyDescent="0.25">
      <c r="D919" s="4">
        <v>33200</v>
      </c>
      <c r="E919" s="6">
        <v>32.049999999999997</v>
      </c>
      <c r="G919" s="4">
        <f t="shared" si="59"/>
        <v>38338</v>
      </c>
      <c r="H919" s="5">
        <f t="shared" si="56"/>
        <v>43.06</v>
      </c>
      <c r="I919" s="5">
        <f t="shared" si="57"/>
        <v>12</v>
      </c>
      <c r="J919" s="5">
        <f t="shared" si="58"/>
        <v>2004</v>
      </c>
    </row>
    <row r="920" spans="4:10" x14ac:dyDescent="0.25">
      <c r="D920" s="4">
        <v>33203</v>
      </c>
      <c r="E920" s="6">
        <v>35.1</v>
      </c>
      <c r="G920" s="4">
        <f t="shared" si="59"/>
        <v>38345</v>
      </c>
      <c r="H920" s="5">
        <f t="shared" si="56"/>
        <v>39.6</v>
      </c>
      <c r="I920" s="5">
        <f t="shared" si="57"/>
        <v>12</v>
      </c>
      <c r="J920" s="5">
        <f t="shared" si="58"/>
        <v>2004</v>
      </c>
    </row>
    <row r="921" spans="4:10" x14ac:dyDescent="0.25">
      <c r="D921" s="4">
        <v>33204</v>
      </c>
      <c r="E921" s="6">
        <v>34.83</v>
      </c>
      <c r="G921" s="4">
        <f t="shared" si="59"/>
        <v>38352</v>
      </c>
      <c r="H921" s="5">
        <f t="shared" si="56"/>
        <v>40.380000000000003</v>
      </c>
      <c r="I921" s="5">
        <f t="shared" si="57"/>
        <v>12</v>
      </c>
      <c r="J921" s="5">
        <f t="shared" si="58"/>
        <v>2004</v>
      </c>
    </row>
    <row r="922" spans="4:10" x14ac:dyDescent="0.25">
      <c r="D922" s="4">
        <v>33205</v>
      </c>
      <c r="E922" s="6">
        <v>34.1</v>
      </c>
      <c r="G922" s="4">
        <f t="shared" si="59"/>
        <v>38359</v>
      </c>
      <c r="H922" s="5">
        <f t="shared" si="56"/>
        <v>43.28</v>
      </c>
      <c r="I922" s="5">
        <f t="shared" si="57"/>
        <v>1</v>
      </c>
      <c r="J922" s="5">
        <f t="shared" si="58"/>
        <v>2005</v>
      </c>
    </row>
    <row r="923" spans="4:10" x14ac:dyDescent="0.25">
      <c r="D923" s="4">
        <v>33206</v>
      </c>
      <c r="E923" s="6">
        <v>34.65</v>
      </c>
      <c r="G923" s="4">
        <f t="shared" si="59"/>
        <v>38366</v>
      </c>
      <c r="H923" s="5">
        <f t="shared" si="56"/>
        <v>45.26</v>
      </c>
      <c r="I923" s="5">
        <f t="shared" si="57"/>
        <v>1</v>
      </c>
      <c r="J923" s="5">
        <f t="shared" si="58"/>
        <v>2005</v>
      </c>
    </row>
    <row r="924" spans="4:10" x14ac:dyDescent="0.25">
      <c r="D924" s="4">
        <v>33207</v>
      </c>
      <c r="E924" s="6">
        <v>31.2</v>
      </c>
      <c r="G924" s="4">
        <f t="shared" si="59"/>
        <v>38373</v>
      </c>
      <c r="H924" s="5">
        <f t="shared" si="56"/>
        <v>45.88</v>
      </c>
      <c r="I924" s="5">
        <f t="shared" si="57"/>
        <v>1</v>
      </c>
      <c r="J924" s="5">
        <f t="shared" si="58"/>
        <v>2005</v>
      </c>
    </row>
    <row r="925" spans="4:10" x14ac:dyDescent="0.25">
      <c r="D925" s="4">
        <v>33210</v>
      </c>
      <c r="E925" s="6">
        <v>31.25</v>
      </c>
      <c r="G925" s="4">
        <f t="shared" si="59"/>
        <v>38380</v>
      </c>
      <c r="H925" s="5">
        <f t="shared" si="56"/>
        <v>44.75</v>
      </c>
      <c r="I925" s="5">
        <f t="shared" si="57"/>
        <v>1</v>
      </c>
      <c r="J925" s="5">
        <f t="shared" si="58"/>
        <v>2005</v>
      </c>
    </row>
    <row r="926" spans="4:10" x14ac:dyDescent="0.25">
      <c r="D926" s="4">
        <v>33211</v>
      </c>
      <c r="E926" s="6">
        <v>31.5</v>
      </c>
      <c r="G926" s="4">
        <f t="shared" si="59"/>
        <v>38387</v>
      </c>
      <c r="H926" s="5">
        <f t="shared" si="56"/>
        <v>43.26</v>
      </c>
      <c r="I926" s="5">
        <f t="shared" si="57"/>
        <v>2</v>
      </c>
      <c r="J926" s="5">
        <f t="shared" si="58"/>
        <v>2005</v>
      </c>
    </row>
    <row r="927" spans="4:10" x14ac:dyDescent="0.25">
      <c r="D927" s="4">
        <v>33212</v>
      </c>
      <c r="E927" s="6">
        <v>30.2</v>
      </c>
      <c r="G927" s="4">
        <f t="shared" si="59"/>
        <v>38394</v>
      </c>
      <c r="H927" s="5">
        <f t="shared" si="56"/>
        <v>44.41</v>
      </c>
      <c r="I927" s="5">
        <f t="shared" si="57"/>
        <v>2</v>
      </c>
      <c r="J927" s="5">
        <f t="shared" si="58"/>
        <v>2005</v>
      </c>
    </row>
    <row r="928" spans="4:10" x14ac:dyDescent="0.25">
      <c r="D928" s="4">
        <v>33213</v>
      </c>
      <c r="E928" s="6">
        <v>27.35</v>
      </c>
      <c r="G928" s="4">
        <f t="shared" si="59"/>
        <v>38401</v>
      </c>
      <c r="H928" s="5">
        <f t="shared" si="56"/>
        <v>45.86</v>
      </c>
      <c r="I928" s="5">
        <f t="shared" si="57"/>
        <v>2</v>
      </c>
      <c r="J928" s="5">
        <f t="shared" si="58"/>
        <v>2005</v>
      </c>
    </row>
    <row r="929" spans="4:10" x14ac:dyDescent="0.25">
      <c r="D929" s="4">
        <v>33214</v>
      </c>
      <c r="E929" s="6">
        <v>28.3</v>
      </c>
      <c r="G929" s="4">
        <f t="shared" si="59"/>
        <v>38408</v>
      </c>
      <c r="H929" s="5">
        <f t="shared" si="56"/>
        <v>50.05</v>
      </c>
      <c r="I929" s="5">
        <f t="shared" si="57"/>
        <v>2</v>
      </c>
      <c r="J929" s="5">
        <f t="shared" si="58"/>
        <v>2005</v>
      </c>
    </row>
    <row r="930" spans="4:10" x14ac:dyDescent="0.25">
      <c r="D930" s="4">
        <v>33217</v>
      </c>
      <c r="E930" s="6">
        <v>28.75</v>
      </c>
      <c r="G930" s="4">
        <f t="shared" si="59"/>
        <v>38415</v>
      </c>
      <c r="H930" s="5">
        <f t="shared" si="56"/>
        <v>52.1</v>
      </c>
      <c r="I930" s="5">
        <f t="shared" si="57"/>
        <v>3</v>
      </c>
      <c r="J930" s="5">
        <f t="shared" si="58"/>
        <v>2005</v>
      </c>
    </row>
    <row r="931" spans="4:10" x14ac:dyDescent="0.25">
      <c r="D931" s="4">
        <v>33218</v>
      </c>
      <c r="E931" s="6">
        <v>28.03</v>
      </c>
      <c r="G931" s="4">
        <f t="shared" si="59"/>
        <v>38422</v>
      </c>
      <c r="H931" s="5">
        <f t="shared" si="56"/>
        <v>53.15</v>
      </c>
      <c r="I931" s="5">
        <f t="shared" si="57"/>
        <v>3</v>
      </c>
      <c r="J931" s="5">
        <f t="shared" si="58"/>
        <v>2005</v>
      </c>
    </row>
    <row r="932" spans="4:10" x14ac:dyDescent="0.25">
      <c r="D932" s="4">
        <v>33219</v>
      </c>
      <c r="E932" s="6">
        <v>27.28</v>
      </c>
      <c r="G932" s="4">
        <f t="shared" si="59"/>
        <v>38429</v>
      </c>
      <c r="H932" s="5">
        <f t="shared" si="56"/>
        <v>55.97</v>
      </c>
      <c r="I932" s="5">
        <f t="shared" si="57"/>
        <v>3</v>
      </c>
      <c r="J932" s="5">
        <f t="shared" si="58"/>
        <v>2005</v>
      </c>
    </row>
    <row r="933" spans="4:10" x14ac:dyDescent="0.25">
      <c r="D933" s="4">
        <v>33220</v>
      </c>
      <c r="E933" s="6">
        <v>27.8</v>
      </c>
      <c r="G933" s="4">
        <f t="shared" si="59"/>
        <v>38436</v>
      </c>
      <c r="H933" s="5">
        <f t="shared" si="56"/>
        <v>0</v>
      </c>
      <c r="I933" s="5">
        <f t="shared" si="57"/>
        <v>3</v>
      </c>
      <c r="J933" s="5">
        <f t="shared" si="58"/>
        <v>2005</v>
      </c>
    </row>
    <row r="934" spans="4:10" x14ac:dyDescent="0.25">
      <c r="D934" s="4">
        <v>33221</v>
      </c>
      <c r="E934" s="6">
        <v>28.45</v>
      </c>
      <c r="G934" s="4">
        <f t="shared" si="59"/>
        <v>38443</v>
      </c>
      <c r="H934" s="5">
        <f t="shared" si="56"/>
        <v>54.14</v>
      </c>
      <c r="I934" s="5">
        <f t="shared" si="57"/>
        <v>4</v>
      </c>
      <c r="J934" s="5">
        <f t="shared" si="58"/>
        <v>2005</v>
      </c>
    </row>
    <row r="935" spans="4:10" x14ac:dyDescent="0.25">
      <c r="D935" s="4">
        <v>33224</v>
      </c>
      <c r="E935" s="6">
        <v>28.2</v>
      </c>
      <c r="G935" s="4">
        <f t="shared" si="59"/>
        <v>38450</v>
      </c>
      <c r="H935" s="5">
        <f t="shared" si="56"/>
        <v>51.83</v>
      </c>
      <c r="I935" s="5">
        <f t="shared" si="57"/>
        <v>4</v>
      </c>
      <c r="J935" s="5">
        <f t="shared" si="58"/>
        <v>2005</v>
      </c>
    </row>
    <row r="936" spans="4:10" x14ac:dyDescent="0.25">
      <c r="D936" s="4">
        <v>33225</v>
      </c>
      <c r="E936" s="6">
        <v>27.55</v>
      </c>
      <c r="G936" s="4">
        <f t="shared" si="59"/>
        <v>38457</v>
      </c>
      <c r="H936" s="5">
        <f t="shared" si="56"/>
        <v>49.52</v>
      </c>
      <c r="I936" s="5">
        <f t="shared" si="57"/>
        <v>4</v>
      </c>
      <c r="J936" s="5">
        <f t="shared" si="58"/>
        <v>2005</v>
      </c>
    </row>
    <row r="937" spans="4:10" x14ac:dyDescent="0.25">
      <c r="D937" s="4">
        <v>33226</v>
      </c>
      <c r="E937" s="6">
        <v>28.13</v>
      </c>
      <c r="G937" s="4">
        <f t="shared" si="59"/>
        <v>38464</v>
      </c>
      <c r="H937" s="5">
        <f t="shared" si="56"/>
        <v>53.51</v>
      </c>
      <c r="I937" s="5">
        <f t="shared" si="57"/>
        <v>4</v>
      </c>
      <c r="J937" s="5">
        <f t="shared" si="58"/>
        <v>2005</v>
      </c>
    </row>
    <row r="938" spans="4:10" x14ac:dyDescent="0.25">
      <c r="D938" s="4">
        <v>33227</v>
      </c>
      <c r="E938" s="6">
        <v>27.55</v>
      </c>
      <c r="G938" s="4">
        <f t="shared" si="59"/>
        <v>38471</v>
      </c>
      <c r="H938" s="5">
        <f t="shared" si="56"/>
        <v>50.61</v>
      </c>
      <c r="I938" s="5">
        <f t="shared" si="57"/>
        <v>4</v>
      </c>
      <c r="J938" s="5">
        <f t="shared" si="58"/>
        <v>2005</v>
      </c>
    </row>
    <row r="939" spans="4:10" x14ac:dyDescent="0.25">
      <c r="D939" s="4">
        <v>33228</v>
      </c>
      <c r="E939" s="6">
        <v>26.9</v>
      </c>
      <c r="G939" s="4">
        <f t="shared" si="59"/>
        <v>38478</v>
      </c>
      <c r="H939" s="5">
        <f t="shared" si="56"/>
        <v>49.7</v>
      </c>
      <c r="I939" s="5">
        <f t="shared" si="57"/>
        <v>5</v>
      </c>
      <c r="J939" s="5">
        <f t="shared" si="58"/>
        <v>2005</v>
      </c>
    </row>
    <row r="940" spans="4:10" x14ac:dyDescent="0.25">
      <c r="D940" s="4">
        <v>33231</v>
      </c>
      <c r="E940" s="6">
        <v>27.7</v>
      </c>
      <c r="G940" s="4">
        <f t="shared" si="59"/>
        <v>38485</v>
      </c>
      <c r="H940" s="5">
        <f t="shared" si="56"/>
        <v>46.85</v>
      </c>
      <c r="I940" s="5">
        <f t="shared" si="57"/>
        <v>5</v>
      </c>
      <c r="J940" s="5">
        <f t="shared" si="58"/>
        <v>2005</v>
      </c>
    </row>
    <row r="941" spans="4:10" x14ac:dyDescent="0.25">
      <c r="D941" s="4">
        <v>33232</v>
      </c>
      <c r="E941" s="5"/>
      <c r="G941" s="4">
        <f t="shared" si="59"/>
        <v>38492</v>
      </c>
      <c r="H941" s="5">
        <f t="shared" si="56"/>
        <v>46.91</v>
      </c>
      <c r="I941" s="5">
        <f t="shared" si="57"/>
        <v>5</v>
      </c>
      <c r="J941" s="5">
        <f t="shared" si="58"/>
        <v>2005</v>
      </c>
    </row>
    <row r="942" spans="4:10" x14ac:dyDescent="0.25">
      <c r="D942" s="4">
        <v>33233</v>
      </c>
      <c r="E942" s="6">
        <v>27.7</v>
      </c>
      <c r="G942" s="4">
        <f t="shared" si="59"/>
        <v>38499</v>
      </c>
      <c r="H942" s="5">
        <f t="shared" si="56"/>
        <v>49.42</v>
      </c>
      <c r="I942" s="5">
        <f t="shared" si="57"/>
        <v>5</v>
      </c>
      <c r="J942" s="5">
        <f t="shared" si="58"/>
        <v>2005</v>
      </c>
    </row>
    <row r="943" spans="4:10" x14ac:dyDescent="0.25">
      <c r="D943" s="4">
        <v>33234</v>
      </c>
      <c r="E943" s="6">
        <v>27.05</v>
      </c>
      <c r="G943" s="4">
        <f t="shared" si="59"/>
        <v>38506</v>
      </c>
      <c r="H943" s="5">
        <f t="shared" si="56"/>
        <v>51.9</v>
      </c>
      <c r="I943" s="5">
        <f t="shared" si="57"/>
        <v>6</v>
      </c>
      <c r="J943" s="5">
        <f t="shared" si="58"/>
        <v>2005</v>
      </c>
    </row>
    <row r="944" spans="4:10" x14ac:dyDescent="0.25">
      <c r="D944" s="4">
        <v>33235</v>
      </c>
      <c r="E944" s="6">
        <v>27.43</v>
      </c>
      <c r="G944" s="4">
        <f t="shared" si="59"/>
        <v>38513</v>
      </c>
      <c r="H944" s="5">
        <f t="shared" si="56"/>
        <v>51.98</v>
      </c>
      <c r="I944" s="5">
        <f t="shared" si="57"/>
        <v>6</v>
      </c>
      <c r="J944" s="5">
        <f t="shared" si="58"/>
        <v>2005</v>
      </c>
    </row>
    <row r="945" spans="4:10" x14ac:dyDescent="0.25">
      <c r="D945" s="4">
        <v>33238</v>
      </c>
      <c r="E945" s="6">
        <v>28.35</v>
      </c>
      <c r="G945" s="4">
        <f t="shared" si="59"/>
        <v>38520</v>
      </c>
      <c r="H945" s="5">
        <f t="shared" si="56"/>
        <v>56.92</v>
      </c>
      <c r="I945" s="5">
        <f t="shared" si="57"/>
        <v>6</v>
      </c>
      <c r="J945" s="5">
        <f t="shared" si="58"/>
        <v>2005</v>
      </c>
    </row>
    <row r="946" spans="4:10" x14ac:dyDescent="0.25">
      <c r="D946" s="4">
        <v>33239</v>
      </c>
      <c r="E946" s="5"/>
      <c r="G946" s="4">
        <f t="shared" si="59"/>
        <v>38527</v>
      </c>
      <c r="H946" s="5">
        <f t="shared" si="56"/>
        <v>57.21</v>
      </c>
      <c r="I946" s="5">
        <f t="shared" si="57"/>
        <v>6</v>
      </c>
      <c r="J946" s="5">
        <f t="shared" si="58"/>
        <v>2005</v>
      </c>
    </row>
    <row r="947" spans="4:10" x14ac:dyDescent="0.25">
      <c r="D947" s="4">
        <v>33240</v>
      </c>
      <c r="E947" s="6">
        <v>26.78</v>
      </c>
      <c r="G947" s="4">
        <f t="shared" si="59"/>
        <v>38534</v>
      </c>
      <c r="H947" s="5">
        <f t="shared" si="56"/>
        <v>56.41</v>
      </c>
      <c r="I947" s="5">
        <f t="shared" si="57"/>
        <v>7</v>
      </c>
      <c r="J947" s="5">
        <f t="shared" si="58"/>
        <v>2005</v>
      </c>
    </row>
    <row r="948" spans="4:10" x14ac:dyDescent="0.25">
      <c r="D948" s="4">
        <v>33241</v>
      </c>
      <c r="E948" s="6">
        <v>25.05</v>
      </c>
      <c r="G948" s="4">
        <f t="shared" si="59"/>
        <v>38541</v>
      </c>
      <c r="H948" s="5">
        <f t="shared" si="56"/>
        <v>59</v>
      </c>
      <c r="I948" s="5">
        <f t="shared" si="57"/>
        <v>7</v>
      </c>
      <c r="J948" s="5">
        <f t="shared" si="58"/>
        <v>2005</v>
      </c>
    </row>
    <row r="949" spans="4:10" x14ac:dyDescent="0.25">
      <c r="D949" s="4">
        <v>33242</v>
      </c>
      <c r="E949" s="6">
        <v>24.08</v>
      </c>
      <c r="G949" s="4">
        <f t="shared" si="59"/>
        <v>38548</v>
      </c>
      <c r="H949" s="5">
        <f t="shared" si="56"/>
        <v>56.98</v>
      </c>
      <c r="I949" s="5">
        <f t="shared" si="57"/>
        <v>7</v>
      </c>
      <c r="J949" s="5">
        <f t="shared" si="58"/>
        <v>2005</v>
      </c>
    </row>
    <row r="950" spans="4:10" x14ac:dyDescent="0.25">
      <c r="D950" s="4">
        <v>33245</v>
      </c>
      <c r="E950" s="6">
        <v>25.93</v>
      </c>
      <c r="G950" s="4">
        <f t="shared" si="59"/>
        <v>38555</v>
      </c>
      <c r="H950" s="5">
        <f t="shared" si="56"/>
        <v>56.98</v>
      </c>
      <c r="I950" s="5">
        <f t="shared" si="57"/>
        <v>7</v>
      </c>
      <c r="J950" s="5">
        <f t="shared" si="58"/>
        <v>2005</v>
      </c>
    </row>
    <row r="951" spans="4:10" x14ac:dyDescent="0.25">
      <c r="D951" s="4">
        <v>33246</v>
      </c>
      <c r="E951" s="6">
        <v>25.73</v>
      </c>
      <c r="G951" s="4">
        <f t="shared" si="59"/>
        <v>38562</v>
      </c>
      <c r="H951" s="5">
        <f t="shared" si="56"/>
        <v>59.77</v>
      </c>
      <c r="I951" s="5">
        <f t="shared" si="57"/>
        <v>7</v>
      </c>
      <c r="J951" s="5">
        <f t="shared" si="58"/>
        <v>2005</v>
      </c>
    </row>
    <row r="952" spans="4:10" x14ac:dyDescent="0.25">
      <c r="D952" s="4">
        <v>33247</v>
      </c>
      <c r="E952" s="6">
        <v>22.35</v>
      </c>
      <c r="G952" s="4">
        <f t="shared" si="59"/>
        <v>38569</v>
      </c>
      <c r="H952" s="5">
        <f t="shared" si="56"/>
        <v>60.73</v>
      </c>
      <c r="I952" s="5">
        <f t="shared" si="57"/>
        <v>8</v>
      </c>
      <c r="J952" s="5">
        <f t="shared" si="58"/>
        <v>2005</v>
      </c>
    </row>
    <row r="953" spans="4:10" x14ac:dyDescent="0.25">
      <c r="D953" s="4">
        <v>33248</v>
      </c>
      <c r="E953" s="6">
        <v>26.58</v>
      </c>
      <c r="G953" s="4">
        <f t="shared" si="59"/>
        <v>38576</v>
      </c>
      <c r="H953" s="5">
        <f t="shared" si="56"/>
        <v>67.260000000000005</v>
      </c>
      <c r="I953" s="5">
        <f t="shared" si="57"/>
        <v>8</v>
      </c>
      <c r="J953" s="5">
        <f t="shared" si="58"/>
        <v>2005</v>
      </c>
    </row>
    <row r="954" spans="4:10" x14ac:dyDescent="0.25">
      <c r="D954" s="4">
        <v>33249</v>
      </c>
      <c r="E954" s="6">
        <v>26.05</v>
      </c>
      <c r="G954" s="4">
        <f t="shared" si="59"/>
        <v>38583</v>
      </c>
      <c r="H954" s="5">
        <f t="shared" si="56"/>
        <v>64.209999999999994</v>
      </c>
      <c r="I954" s="5">
        <f t="shared" si="57"/>
        <v>8</v>
      </c>
      <c r="J954" s="5">
        <f t="shared" si="58"/>
        <v>2005</v>
      </c>
    </row>
    <row r="955" spans="4:10" x14ac:dyDescent="0.25">
      <c r="D955" s="4">
        <v>33252</v>
      </c>
      <c r="E955" s="6">
        <v>29.55</v>
      </c>
      <c r="G955" s="4">
        <f t="shared" si="59"/>
        <v>38590</v>
      </c>
      <c r="H955" s="5">
        <f t="shared" si="56"/>
        <v>66.23</v>
      </c>
      <c r="I955" s="5">
        <f t="shared" si="57"/>
        <v>8</v>
      </c>
      <c r="J955" s="5">
        <f t="shared" si="58"/>
        <v>2005</v>
      </c>
    </row>
    <row r="956" spans="4:10" x14ac:dyDescent="0.25">
      <c r="D956" s="4">
        <v>33253</v>
      </c>
      <c r="E956" s="6">
        <v>29.25</v>
      </c>
      <c r="G956" s="4">
        <f t="shared" si="59"/>
        <v>38597</v>
      </c>
      <c r="H956" s="5">
        <f t="shared" si="56"/>
        <v>65.95</v>
      </c>
      <c r="I956" s="5">
        <f t="shared" si="57"/>
        <v>9</v>
      </c>
      <c r="J956" s="5">
        <f t="shared" si="58"/>
        <v>2005</v>
      </c>
    </row>
    <row r="957" spans="4:10" x14ac:dyDescent="0.25">
      <c r="D957" s="4">
        <v>33254</v>
      </c>
      <c r="E957" s="6">
        <v>30.28</v>
      </c>
      <c r="G957" s="4">
        <f t="shared" si="59"/>
        <v>38604</v>
      </c>
      <c r="H957" s="5">
        <f t="shared" si="56"/>
        <v>62.62</v>
      </c>
      <c r="I957" s="5">
        <f t="shared" si="57"/>
        <v>9</v>
      </c>
      <c r="J957" s="5">
        <f t="shared" si="58"/>
        <v>2005</v>
      </c>
    </row>
    <row r="958" spans="4:10" x14ac:dyDescent="0.25">
      <c r="D958" s="4">
        <v>33255</v>
      </c>
      <c r="E958" s="6">
        <v>21.1</v>
      </c>
      <c r="G958" s="4">
        <f t="shared" si="59"/>
        <v>38611</v>
      </c>
      <c r="H958" s="5">
        <f t="shared" si="56"/>
        <v>60.48</v>
      </c>
      <c r="I958" s="5">
        <f t="shared" si="57"/>
        <v>9</v>
      </c>
      <c r="J958" s="5">
        <f t="shared" si="58"/>
        <v>2005</v>
      </c>
    </row>
    <row r="959" spans="4:10" x14ac:dyDescent="0.25">
      <c r="D959" s="4">
        <v>33256</v>
      </c>
      <c r="E959" s="6">
        <v>19.100000000000001</v>
      </c>
      <c r="G959" s="4">
        <f t="shared" si="59"/>
        <v>38618</v>
      </c>
      <c r="H959" s="5">
        <f t="shared" si="56"/>
        <v>62.17</v>
      </c>
      <c r="I959" s="5">
        <f t="shared" si="57"/>
        <v>9</v>
      </c>
      <c r="J959" s="5">
        <f t="shared" si="58"/>
        <v>2005</v>
      </c>
    </row>
    <row r="960" spans="4:10" x14ac:dyDescent="0.25">
      <c r="D960" s="4">
        <v>33259</v>
      </c>
      <c r="E960" s="6">
        <v>19.25</v>
      </c>
      <c r="G960" s="4">
        <f t="shared" si="59"/>
        <v>38625</v>
      </c>
      <c r="H960" s="5">
        <f t="shared" si="56"/>
        <v>61.7</v>
      </c>
      <c r="I960" s="5">
        <f t="shared" si="57"/>
        <v>9</v>
      </c>
      <c r="J960" s="5">
        <f t="shared" si="58"/>
        <v>2005</v>
      </c>
    </row>
    <row r="961" spans="4:10" x14ac:dyDescent="0.25">
      <c r="D961" s="4">
        <v>33260</v>
      </c>
      <c r="E961" s="6">
        <v>20.73</v>
      </c>
      <c r="G961" s="4">
        <f t="shared" si="59"/>
        <v>38632</v>
      </c>
      <c r="H961" s="5">
        <f t="shared" si="56"/>
        <v>57.29</v>
      </c>
      <c r="I961" s="5">
        <f t="shared" si="57"/>
        <v>10</v>
      </c>
      <c r="J961" s="5">
        <f t="shared" si="58"/>
        <v>2005</v>
      </c>
    </row>
    <row r="962" spans="4:10" x14ac:dyDescent="0.25">
      <c r="D962" s="4">
        <v>33261</v>
      </c>
      <c r="E962" s="6">
        <v>22.15</v>
      </c>
      <c r="G962" s="4">
        <f t="shared" si="59"/>
        <v>38639</v>
      </c>
      <c r="H962" s="5">
        <f t="shared" si="56"/>
        <v>58.45</v>
      </c>
      <c r="I962" s="5">
        <f t="shared" si="57"/>
        <v>10</v>
      </c>
      <c r="J962" s="5">
        <f t="shared" si="58"/>
        <v>2005</v>
      </c>
    </row>
    <row r="963" spans="4:10" x14ac:dyDescent="0.25">
      <c r="D963" s="4">
        <v>33262</v>
      </c>
      <c r="E963" s="6">
        <v>20.9</v>
      </c>
      <c r="G963" s="4">
        <f t="shared" si="59"/>
        <v>38646</v>
      </c>
      <c r="H963" s="5">
        <f t="shared" ref="H963:H1026" si="60">_xlfn.XLOOKUP(G963,D:D,E:E)</f>
        <v>56.94</v>
      </c>
      <c r="I963" s="5">
        <f t="shared" ref="I963:I1026" si="61">MONTH(G963)</f>
        <v>10</v>
      </c>
      <c r="J963" s="5">
        <f t="shared" ref="J963:J1026" si="62">YEAR(G963)</f>
        <v>2005</v>
      </c>
    </row>
    <row r="964" spans="4:10" x14ac:dyDescent="0.25">
      <c r="D964" s="4">
        <v>33263</v>
      </c>
      <c r="E964" s="6">
        <v>20.8</v>
      </c>
      <c r="G964" s="4">
        <f t="shared" ref="G964:G1027" si="63">G963+7</f>
        <v>38653</v>
      </c>
      <c r="H964" s="5">
        <f t="shared" si="60"/>
        <v>59.47</v>
      </c>
      <c r="I964" s="5">
        <f t="shared" si="61"/>
        <v>10</v>
      </c>
      <c r="J964" s="5">
        <f t="shared" si="62"/>
        <v>2005</v>
      </c>
    </row>
    <row r="965" spans="4:10" x14ac:dyDescent="0.25">
      <c r="D965" s="4">
        <v>33266</v>
      </c>
      <c r="E965" s="6">
        <v>20.399999999999999</v>
      </c>
      <c r="G965" s="4">
        <f t="shared" si="63"/>
        <v>38660</v>
      </c>
      <c r="H965" s="5">
        <f t="shared" si="60"/>
        <v>60.48</v>
      </c>
      <c r="I965" s="5">
        <f t="shared" si="61"/>
        <v>11</v>
      </c>
      <c r="J965" s="5">
        <f t="shared" si="62"/>
        <v>2005</v>
      </c>
    </row>
    <row r="966" spans="4:10" x14ac:dyDescent="0.25">
      <c r="D966" s="4">
        <v>33267</v>
      </c>
      <c r="E966" s="6">
        <v>20.75</v>
      </c>
      <c r="G966" s="4">
        <f t="shared" si="63"/>
        <v>38667</v>
      </c>
      <c r="H966" s="5">
        <f t="shared" si="60"/>
        <v>54.3</v>
      </c>
      <c r="I966" s="5">
        <f t="shared" si="61"/>
        <v>11</v>
      </c>
      <c r="J966" s="5">
        <f t="shared" si="62"/>
        <v>2005</v>
      </c>
    </row>
    <row r="967" spans="4:10" x14ac:dyDescent="0.25">
      <c r="D967" s="4">
        <v>33268</v>
      </c>
      <c r="E967" s="6">
        <v>20.95</v>
      </c>
      <c r="G967" s="4">
        <f t="shared" si="63"/>
        <v>38674</v>
      </c>
      <c r="H967" s="5">
        <f t="shared" si="60"/>
        <v>52.84</v>
      </c>
      <c r="I967" s="5">
        <f t="shared" si="61"/>
        <v>11</v>
      </c>
      <c r="J967" s="5">
        <f t="shared" si="62"/>
        <v>2005</v>
      </c>
    </row>
    <row r="968" spans="4:10" x14ac:dyDescent="0.25">
      <c r="D968" s="4">
        <v>33269</v>
      </c>
      <c r="E968" s="6">
        <v>20.7</v>
      </c>
      <c r="G968" s="4">
        <f t="shared" si="63"/>
        <v>38681</v>
      </c>
      <c r="H968" s="5">
        <f t="shared" si="60"/>
        <v>53.15</v>
      </c>
      <c r="I968" s="5">
        <f t="shared" si="61"/>
        <v>11</v>
      </c>
      <c r="J968" s="5">
        <f t="shared" si="62"/>
        <v>2005</v>
      </c>
    </row>
    <row r="969" spans="4:10" x14ac:dyDescent="0.25">
      <c r="D969" s="4">
        <v>33270</v>
      </c>
      <c r="E969" s="6">
        <v>20.8</v>
      </c>
      <c r="G969" s="4">
        <f t="shared" si="63"/>
        <v>38688</v>
      </c>
      <c r="H969" s="5">
        <f t="shared" si="60"/>
        <v>54.91</v>
      </c>
      <c r="I969" s="5">
        <f t="shared" si="61"/>
        <v>12</v>
      </c>
      <c r="J969" s="5">
        <f t="shared" si="62"/>
        <v>2005</v>
      </c>
    </row>
    <row r="970" spans="4:10" x14ac:dyDescent="0.25">
      <c r="D970" s="4">
        <v>33273</v>
      </c>
      <c r="E970" s="6">
        <v>20.45</v>
      </c>
      <c r="G970" s="4">
        <f t="shared" si="63"/>
        <v>38695</v>
      </c>
      <c r="H970" s="5">
        <f t="shared" si="60"/>
        <v>57.18</v>
      </c>
      <c r="I970" s="5">
        <f t="shared" si="61"/>
        <v>12</v>
      </c>
      <c r="J970" s="5">
        <f t="shared" si="62"/>
        <v>2005</v>
      </c>
    </row>
    <row r="971" spans="4:10" x14ac:dyDescent="0.25">
      <c r="D971" s="4">
        <v>33274</v>
      </c>
      <c r="E971" s="6">
        <v>20.2</v>
      </c>
      <c r="G971" s="4">
        <f t="shared" si="63"/>
        <v>38702</v>
      </c>
      <c r="H971" s="5">
        <f t="shared" si="60"/>
        <v>58.11</v>
      </c>
      <c r="I971" s="5">
        <f t="shared" si="61"/>
        <v>12</v>
      </c>
      <c r="J971" s="5">
        <f t="shared" si="62"/>
        <v>2005</v>
      </c>
    </row>
    <row r="972" spans="4:10" x14ac:dyDescent="0.25">
      <c r="D972" s="4">
        <v>33275</v>
      </c>
      <c r="E972" s="6">
        <v>20.93</v>
      </c>
      <c r="G972" s="4">
        <f t="shared" si="63"/>
        <v>38709</v>
      </c>
      <c r="H972" s="5">
        <f t="shared" si="60"/>
        <v>56.28</v>
      </c>
      <c r="I972" s="5">
        <f t="shared" si="61"/>
        <v>12</v>
      </c>
      <c r="J972" s="5">
        <f t="shared" si="62"/>
        <v>2005</v>
      </c>
    </row>
    <row r="973" spans="4:10" x14ac:dyDescent="0.25">
      <c r="D973" s="4">
        <v>33276</v>
      </c>
      <c r="E973" s="6">
        <v>20.9</v>
      </c>
      <c r="G973" s="4">
        <f t="shared" si="63"/>
        <v>38716</v>
      </c>
      <c r="H973" s="5">
        <f t="shared" si="60"/>
        <v>58.34</v>
      </c>
      <c r="I973" s="5">
        <f t="shared" si="61"/>
        <v>12</v>
      </c>
      <c r="J973" s="5">
        <f t="shared" si="62"/>
        <v>2005</v>
      </c>
    </row>
    <row r="974" spans="4:10" x14ac:dyDescent="0.25">
      <c r="D974" s="4">
        <v>33277</v>
      </c>
      <c r="E974" s="6">
        <v>20.65</v>
      </c>
      <c r="G974" s="4">
        <f t="shared" si="63"/>
        <v>38723</v>
      </c>
      <c r="H974" s="5">
        <f t="shared" si="60"/>
        <v>62.43</v>
      </c>
      <c r="I974" s="5">
        <f t="shared" si="61"/>
        <v>1</v>
      </c>
      <c r="J974" s="5">
        <f t="shared" si="62"/>
        <v>2006</v>
      </c>
    </row>
    <row r="975" spans="4:10" x14ac:dyDescent="0.25">
      <c r="D975" s="4">
        <v>33280</v>
      </c>
      <c r="E975" s="6">
        <v>21.23</v>
      </c>
      <c r="G975" s="4">
        <f t="shared" si="63"/>
        <v>38730</v>
      </c>
      <c r="H975" s="5">
        <f t="shared" si="60"/>
        <v>61.58</v>
      </c>
      <c r="I975" s="5">
        <f t="shared" si="61"/>
        <v>1</v>
      </c>
      <c r="J975" s="5">
        <f t="shared" si="62"/>
        <v>2006</v>
      </c>
    </row>
    <row r="976" spans="4:10" x14ac:dyDescent="0.25">
      <c r="D976" s="4">
        <v>33281</v>
      </c>
      <c r="E976" s="6">
        <v>21.1</v>
      </c>
      <c r="G976" s="4">
        <f t="shared" si="63"/>
        <v>38737</v>
      </c>
      <c r="H976" s="5">
        <f t="shared" si="60"/>
        <v>64.92</v>
      </c>
      <c r="I976" s="5">
        <f t="shared" si="61"/>
        <v>1</v>
      </c>
      <c r="J976" s="5">
        <f t="shared" si="62"/>
        <v>2006</v>
      </c>
    </row>
    <row r="977" spans="4:10" x14ac:dyDescent="0.25">
      <c r="D977" s="4">
        <v>33282</v>
      </c>
      <c r="E977" s="6">
        <v>21</v>
      </c>
      <c r="G977" s="4">
        <f t="shared" si="63"/>
        <v>38744</v>
      </c>
      <c r="H977" s="5">
        <f t="shared" si="60"/>
        <v>64.95</v>
      </c>
      <c r="I977" s="5">
        <f t="shared" si="61"/>
        <v>1</v>
      </c>
      <c r="J977" s="5">
        <f t="shared" si="62"/>
        <v>2006</v>
      </c>
    </row>
    <row r="978" spans="4:10" x14ac:dyDescent="0.25">
      <c r="D978" s="4">
        <v>33283</v>
      </c>
      <c r="E978" s="6">
        <v>20.5</v>
      </c>
      <c r="G978" s="4">
        <f t="shared" si="63"/>
        <v>38751</v>
      </c>
      <c r="H978" s="5">
        <f t="shared" si="60"/>
        <v>62.54</v>
      </c>
      <c r="I978" s="5">
        <f t="shared" si="61"/>
        <v>2</v>
      </c>
      <c r="J978" s="5">
        <f t="shared" si="62"/>
        <v>2006</v>
      </c>
    </row>
    <row r="979" spans="4:10" x14ac:dyDescent="0.25">
      <c r="D979" s="4">
        <v>33284</v>
      </c>
      <c r="E979" s="6">
        <v>18.350000000000001</v>
      </c>
      <c r="G979" s="4">
        <f t="shared" si="63"/>
        <v>38758</v>
      </c>
      <c r="H979" s="5">
        <f t="shared" si="60"/>
        <v>59.66</v>
      </c>
      <c r="I979" s="5">
        <f t="shared" si="61"/>
        <v>2</v>
      </c>
      <c r="J979" s="5">
        <f t="shared" si="62"/>
        <v>2006</v>
      </c>
    </row>
    <row r="980" spans="4:10" x14ac:dyDescent="0.25">
      <c r="D980" s="4">
        <v>33287</v>
      </c>
      <c r="E980" s="6">
        <v>17.68</v>
      </c>
      <c r="G980" s="4">
        <f t="shared" si="63"/>
        <v>38765</v>
      </c>
      <c r="H980" s="5">
        <f t="shared" si="60"/>
        <v>58.34</v>
      </c>
      <c r="I980" s="5">
        <f t="shared" si="61"/>
        <v>2</v>
      </c>
      <c r="J980" s="5">
        <f t="shared" si="62"/>
        <v>2006</v>
      </c>
    </row>
    <row r="981" spans="4:10" x14ac:dyDescent="0.25">
      <c r="D981" s="4">
        <v>33288</v>
      </c>
      <c r="E981" s="6">
        <v>17.850000000000001</v>
      </c>
      <c r="G981" s="4">
        <f t="shared" si="63"/>
        <v>38772</v>
      </c>
      <c r="H981" s="5">
        <f t="shared" si="60"/>
        <v>60.13</v>
      </c>
      <c r="I981" s="5">
        <f t="shared" si="61"/>
        <v>2</v>
      </c>
      <c r="J981" s="5">
        <f t="shared" si="62"/>
        <v>2006</v>
      </c>
    </row>
    <row r="982" spans="4:10" x14ac:dyDescent="0.25">
      <c r="D982" s="4">
        <v>33289</v>
      </c>
      <c r="E982" s="6">
        <v>18.75</v>
      </c>
      <c r="G982" s="4">
        <f t="shared" si="63"/>
        <v>38779</v>
      </c>
      <c r="H982" s="5">
        <f t="shared" si="60"/>
        <v>62.69</v>
      </c>
      <c r="I982" s="5">
        <f t="shared" si="61"/>
        <v>3</v>
      </c>
      <c r="J982" s="5">
        <f t="shared" si="62"/>
        <v>2006</v>
      </c>
    </row>
    <row r="983" spans="4:10" x14ac:dyDescent="0.25">
      <c r="D983" s="4">
        <v>33290</v>
      </c>
      <c r="E983" s="6">
        <v>18.55</v>
      </c>
      <c r="G983" s="4">
        <f t="shared" si="63"/>
        <v>38786</v>
      </c>
      <c r="H983" s="5">
        <f t="shared" si="60"/>
        <v>59.04</v>
      </c>
      <c r="I983" s="5">
        <f t="shared" si="61"/>
        <v>3</v>
      </c>
      <c r="J983" s="5">
        <f t="shared" si="62"/>
        <v>2006</v>
      </c>
    </row>
    <row r="984" spans="4:10" x14ac:dyDescent="0.25">
      <c r="D984" s="4">
        <v>33291</v>
      </c>
      <c r="E984" s="6">
        <v>17.8</v>
      </c>
      <c r="G984" s="4">
        <f t="shared" si="63"/>
        <v>38793</v>
      </c>
      <c r="H984" s="5">
        <f t="shared" si="60"/>
        <v>63.54</v>
      </c>
      <c r="I984" s="5">
        <f t="shared" si="61"/>
        <v>3</v>
      </c>
      <c r="J984" s="5">
        <f t="shared" si="62"/>
        <v>2006</v>
      </c>
    </row>
    <row r="985" spans="4:10" x14ac:dyDescent="0.25">
      <c r="D985" s="4">
        <v>33294</v>
      </c>
      <c r="E985" s="6">
        <v>17.829999999999998</v>
      </c>
      <c r="G985" s="4">
        <f t="shared" si="63"/>
        <v>38800</v>
      </c>
      <c r="H985" s="5">
        <f t="shared" si="60"/>
        <v>62.78</v>
      </c>
      <c r="I985" s="5">
        <f t="shared" si="61"/>
        <v>3</v>
      </c>
      <c r="J985" s="5">
        <f t="shared" si="62"/>
        <v>2006</v>
      </c>
    </row>
    <row r="986" spans="4:10" x14ac:dyDescent="0.25">
      <c r="D986" s="4">
        <v>33295</v>
      </c>
      <c r="E986" s="6">
        <v>18</v>
      </c>
      <c r="G986" s="4">
        <f t="shared" si="63"/>
        <v>38807</v>
      </c>
      <c r="H986" s="5">
        <f t="shared" si="60"/>
        <v>66.06</v>
      </c>
      <c r="I986" s="5">
        <f t="shared" si="61"/>
        <v>3</v>
      </c>
      <c r="J986" s="5">
        <f t="shared" si="62"/>
        <v>2006</v>
      </c>
    </row>
    <row r="987" spans="4:10" x14ac:dyDescent="0.25">
      <c r="D987" s="4">
        <v>33296</v>
      </c>
      <c r="E987" s="6">
        <v>18.649999999999999</v>
      </c>
      <c r="G987" s="4">
        <f t="shared" si="63"/>
        <v>38814</v>
      </c>
      <c r="H987" s="5">
        <f t="shared" si="60"/>
        <v>67.11</v>
      </c>
      <c r="I987" s="5">
        <f t="shared" si="61"/>
        <v>4</v>
      </c>
      <c r="J987" s="5">
        <f t="shared" si="62"/>
        <v>2006</v>
      </c>
    </row>
    <row r="988" spans="4:10" x14ac:dyDescent="0.25">
      <c r="D988" s="4">
        <v>33297</v>
      </c>
      <c r="E988" s="6">
        <v>19.5</v>
      </c>
      <c r="G988" s="4">
        <f t="shared" si="63"/>
        <v>38821</v>
      </c>
      <c r="H988" s="5">
        <f t="shared" si="60"/>
        <v>0</v>
      </c>
      <c r="I988" s="5">
        <f t="shared" si="61"/>
        <v>4</v>
      </c>
      <c r="J988" s="5">
        <f t="shared" si="62"/>
        <v>2006</v>
      </c>
    </row>
    <row r="989" spans="4:10" x14ac:dyDescent="0.25">
      <c r="D989" s="4">
        <v>33298</v>
      </c>
      <c r="E989" s="6">
        <v>19.329999999999998</v>
      </c>
      <c r="G989" s="4">
        <f t="shared" si="63"/>
        <v>38828</v>
      </c>
      <c r="H989" s="5">
        <f t="shared" si="60"/>
        <v>73.94</v>
      </c>
      <c r="I989" s="5">
        <f t="shared" si="61"/>
        <v>4</v>
      </c>
      <c r="J989" s="5">
        <f t="shared" si="62"/>
        <v>2006</v>
      </c>
    </row>
    <row r="990" spans="4:10" x14ac:dyDescent="0.25">
      <c r="D990" s="4">
        <v>33301</v>
      </c>
      <c r="E990" s="6">
        <v>20.2</v>
      </c>
      <c r="G990" s="4">
        <f t="shared" si="63"/>
        <v>38835</v>
      </c>
      <c r="H990" s="5">
        <f t="shared" si="60"/>
        <v>72.150000000000006</v>
      </c>
      <c r="I990" s="5">
        <f t="shared" si="61"/>
        <v>4</v>
      </c>
      <c r="J990" s="5">
        <f t="shared" si="62"/>
        <v>2006</v>
      </c>
    </row>
    <row r="991" spans="4:10" x14ac:dyDescent="0.25">
      <c r="D991" s="4">
        <v>33302</v>
      </c>
      <c r="E991" s="6">
        <v>20.05</v>
      </c>
      <c r="G991" s="4">
        <f t="shared" si="63"/>
        <v>38842</v>
      </c>
      <c r="H991" s="5">
        <f t="shared" si="60"/>
        <v>71.22</v>
      </c>
      <c r="I991" s="5">
        <f t="shared" si="61"/>
        <v>5</v>
      </c>
      <c r="J991" s="5">
        <f t="shared" si="62"/>
        <v>2006</v>
      </c>
    </row>
    <row r="992" spans="4:10" x14ac:dyDescent="0.25">
      <c r="D992" s="4">
        <v>33303</v>
      </c>
      <c r="E992" s="6">
        <v>19.850000000000001</v>
      </c>
      <c r="G992" s="4">
        <f t="shared" si="63"/>
        <v>38849</v>
      </c>
      <c r="H992" s="5">
        <f t="shared" si="60"/>
        <v>71.3</v>
      </c>
      <c r="I992" s="5">
        <f t="shared" si="61"/>
        <v>5</v>
      </c>
      <c r="J992" s="5">
        <f t="shared" si="62"/>
        <v>2006</v>
      </c>
    </row>
    <row r="993" spans="4:10" x14ac:dyDescent="0.25">
      <c r="D993" s="4">
        <v>33304</v>
      </c>
      <c r="E993" s="6">
        <v>19.649999999999999</v>
      </c>
      <c r="G993" s="4">
        <f t="shared" si="63"/>
        <v>38856</v>
      </c>
      <c r="H993" s="5">
        <f t="shared" si="60"/>
        <v>66.930000000000007</v>
      </c>
      <c r="I993" s="5">
        <f t="shared" si="61"/>
        <v>5</v>
      </c>
      <c r="J993" s="5">
        <f t="shared" si="62"/>
        <v>2006</v>
      </c>
    </row>
    <row r="994" spans="4:10" x14ac:dyDescent="0.25">
      <c r="D994" s="4">
        <v>33305</v>
      </c>
      <c r="E994" s="6">
        <v>19.100000000000001</v>
      </c>
      <c r="G994" s="4">
        <f t="shared" si="63"/>
        <v>38863</v>
      </c>
      <c r="H994" s="5">
        <f t="shared" si="60"/>
        <v>69.88</v>
      </c>
      <c r="I994" s="5">
        <f t="shared" si="61"/>
        <v>5</v>
      </c>
      <c r="J994" s="5">
        <f t="shared" si="62"/>
        <v>2006</v>
      </c>
    </row>
    <row r="995" spans="4:10" x14ac:dyDescent="0.25">
      <c r="D995" s="4">
        <v>33308</v>
      </c>
      <c r="E995" s="6">
        <v>18.600000000000001</v>
      </c>
      <c r="G995" s="4">
        <f t="shared" si="63"/>
        <v>38870</v>
      </c>
      <c r="H995" s="5">
        <f t="shared" si="60"/>
        <v>68.42</v>
      </c>
      <c r="I995" s="5">
        <f t="shared" si="61"/>
        <v>6</v>
      </c>
      <c r="J995" s="5">
        <f t="shared" si="62"/>
        <v>2006</v>
      </c>
    </row>
    <row r="996" spans="4:10" x14ac:dyDescent="0.25">
      <c r="D996" s="4">
        <v>33309</v>
      </c>
      <c r="E996" s="6">
        <v>18.43</v>
      </c>
      <c r="G996" s="4">
        <f t="shared" si="63"/>
        <v>38877</v>
      </c>
      <c r="H996" s="5">
        <f t="shared" si="60"/>
        <v>69.13</v>
      </c>
      <c r="I996" s="5">
        <f t="shared" si="61"/>
        <v>6</v>
      </c>
      <c r="J996" s="5">
        <f t="shared" si="62"/>
        <v>2006</v>
      </c>
    </row>
    <row r="997" spans="4:10" x14ac:dyDescent="0.25">
      <c r="D997" s="4">
        <v>33310</v>
      </c>
      <c r="E997" s="6">
        <v>20.329999999999998</v>
      </c>
      <c r="G997" s="4">
        <f t="shared" si="63"/>
        <v>38884</v>
      </c>
      <c r="H997" s="5">
        <f t="shared" si="60"/>
        <v>65.010000000000005</v>
      </c>
      <c r="I997" s="5">
        <f t="shared" si="61"/>
        <v>6</v>
      </c>
      <c r="J997" s="5">
        <f t="shared" si="62"/>
        <v>2006</v>
      </c>
    </row>
    <row r="998" spans="4:10" x14ac:dyDescent="0.25">
      <c r="D998" s="4">
        <v>33311</v>
      </c>
      <c r="E998" s="6">
        <v>19.98</v>
      </c>
      <c r="G998" s="4">
        <f t="shared" si="63"/>
        <v>38891</v>
      </c>
      <c r="H998" s="5">
        <f t="shared" si="60"/>
        <v>69.91</v>
      </c>
      <c r="I998" s="5">
        <f t="shared" si="61"/>
        <v>6</v>
      </c>
      <c r="J998" s="5">
        <f t="shared" si="62"/>
        <v>2006</v>
      </c>
    </row>
    <row r="999" spans="4:10" x14ac:dyDescent="0.25">
      <c r="D999" s="4">
        <v>33312</v>
      </c>
      <c r="E999" s="6">
        <v>19.05</v>
      </c>
      <c r="G999" s="4">
        <f t="shared" si="63"/>
        <v>38898</v>
      </c>
      <c r="H999" s="5">
        <f t="shared" si="60"/>
        <v>73.2</v>
      </c>
      <c r="I999" s="5">
        <f t="shared" si="61"/>
        <v>6</v>
      </c>
      <c r="J999" s="5">
        <f t="shared" si="62"/>
        <v>2006</v>
      </c>
    </row>
    <row r="1000" spans="4:10" x14ac:dyDescent="0.25">
      <c r="D1000" s="4">
        <v>33315</v>
      </c>
      <c r="E1000" s="6">
        <v>18.3</v>
      </c>
      <c r="G1000" s="4">
        <f t="shared" si="63"/>
        <v>38905</v>
      </c>
      <c r="H1000" s="5">
        <f t="shared" si="60"/>
        <v>74.14</v>
      </c>
      <c r="I1000" s="5">
        <f t="shared" si="61"/>
        <v>7</v>
      </c>
      <c r="J1000" s="5">
        <f t="shared" si="62"/>
        <v>2006</v>
      </c>
    </row>
    <row r="1001" spans="4:10" x14ac:dyDescent="0.25">
      <c r="D1001" s="4">
        <v>33316</v>
      </c>
      <c r="E1001" s="6">
        <v>18.95</v>
      </c>
      <c r="G1001" s="4">
        <f t="shared" si="63"/>
        <v>38912</v>
      </c>
      <c r="H1001" s="5">
        <f t="shared" si="60"/>
        <v>76.13</v>
      </c>
      <c r="I1001" s="5">
        <f t="shared" si="61"/>
        <v>7</v>
      </c>
      <c r="J1001" s="5">
        <f t="shared" si="62"/>
        <v>2006</v>
      </c>
    </row>
    <row r="1002" spans="4:10" x14ac:dyDescent="0.25">
      <c r="D1002" s="4">
        <v>33317</v>
      </c>
      <c r="E1002" s="6">
        <v>18.98</v>
      </c>
      <c r="G1002" s="4">
        <f t="shared" si="63"/>
        <v>38919</v>
      </c>
      <c r="H1002" s="5">
        <f t="shared" si="60"/>
        <v>72.959999999999994</v>
      </c>
      <c r="I1002" s="5">
        <f t="shared" si="61"/>
        <v>7</v>
      </c>
      <c r="J1002" s="5">
        <f t="shared" si="62"/>
        <v>2006</v>
      </c>
    </row>
    <row r="1003" spans="4:10" x14ac:dyDescent="0.25">
      <c r="D1003" s="4">
        <v>33318</v>
      </c>
      <c r="E1003" s="6">
        <v>18.8</v>
      </c>
      <c r="G1003" s="4">
        <f t="shared" si="63"/>
        <v>38926</v>
      </c>
      <c r="H1003" s="5">
        <f t="shared" si="60"/>
        <v>73.95</v>
      </c>
      <c r="I1003" s="5">
        <f t="shared" si="61"/>
        <v>7</v>
      </c>
      <c r="J1003" s="5">
        <f t="shared" si="62"/>
        <v>2006</v>
      </c>
    </row>
    <row r="1004" spans="4:10" x14ac:dyDescent="0.25">
      <c r="D1004" s="4">
        <v>33319</v>
      </c>
      <c r="E1004" s="6">
        <v>18.95</v>
      </c>
      <c r="G1004" s="4">
        <f t="shared" si="63"/>
        <v>38933</v>
      </c>
      <c r="H1004" s="5">
        <f t="shared" si="60"/>
        <v>76.53</v>
      </c>
      <c r="I1004" s="5">
        <f t="shared" si="61"/>
        <v>8</v>
      </c>
      <c r="J1004" s="5">
        <f t="shared" si="62"/>
        <v>2006</v>
      </c>
    </row>
    <row r="1005" spans="4:10" x14ac:dyDescent="0.25">
      <c r="D1005" s="4">
        <v>33322</v>
      </c>
      <c r="E1005" s="6">
        <v>18.600000000000001</v>
      </c>
      <c r="G1005" s="4">
        <f t="shared" si="63"/>
        <v>38940</v>
      </c>
      <c r="H1005" s="5">
        <f t="shared" si="60"/>
        <v>75.19</v>
      </c>
      <c r="I1005" s="5">
        <f t="shared" si="61"/>
        <v>8</v>
      </c>
      <c r="J1005" s="5">
        <f t="shared" si="62"/>
        <v>2006</v>
      </c>
    </row>
    <row r="1006" spans="4:10" x14ac:dyDescent="0.25">
      <c r="D1006" s="4">
        <v>33323</v>
      </c>
      <c r="E1006" s="6">
        <v>18.350000000000001</v>
      </c>
      <c r="G1006" s="4">
        <f t="shared" si="63"/>
        <v>38947</v>
      </c>
      <c r="H1006" s="5">
        <f t="shared" si="60"/>
        <v>71.3</v>
      </c>
      <c r="I1006" s="5">
        <f t="shared" si="61"/>
        <v>8</v>
      </c>
      <c r="J1006" s="5">
        <f t="shared" si="62"/>
        <v>2006</v>
      </c>
    </row>
    <row r="1007" spans="4:10" x14ac:dyDescent="0.25">
      <c r="D1007" s="4">
        <v>33324</v>
      </c>
      <c r="E1007" s="6">
        <v>18.149999999999999</v>
      </c>
      <c r="G1007" s="4">
        <f t="shared" si="63"/>
        <v>38954</v>
      </c>
      <c r="H1007" s="5">
        <f t="shared" si="60"/>
        <v>72.58</v>
      </c>
      <c r="I1007" s="5">
        <f t="shared" si="61"/>
        <v>8</v>
      </c>
      <c r="J1007" s="5">
        <f t="shared" si="62"/>
        <v>2006</v>
      </c>
    </row>
    <row r="1008" spans="4:10" x14ac:dyDescent="0.25">
      <c r="D1008" s="4">
        <v>33325</v>
      </c>
      <c r="E1008" s="6">
        <v>18</v>
      </c>
      <c r="G1008" s="4">
        <f t="shared" si="63"/>
        <v>38961</v>
      </c>
      <c r="H1008" s="5">
        <f t="shared" si="60"/>
        <v>70.489999999999995</v>
      </c>
      <c r="I1008" s="5">
        <f t="shared" si="61"/>
        <v>9</v>
      </c>
      <c r="J1008" s="5">
        <f t="shared" si="62"/>
        <v>2006</v>
      </c>
    </row>
    <row r="1009" spans="4:10" x14ac:dyDescent="0.25">
      <c r="D1009" s="4">
        <v>33326</v>
      </c>
      <c r="E1009" s="5"/>
      <c r="G1009" s="4">
        <f t="shared" si="63"/>
        <v>38968</v>
      </c>
      <c r="H1009" s="5">
        <f t="shared" si="60"/>
        <v>64.3</v>
      </c>
      <c r="I1009" s="5">
        <f t="shared" si="61"/>
        <v>9</v>
      </c>
      <c r="J1009" s="5">
        <f t="shared" si="62"/>
        <v>2006</v>
      </c>
    </row>
    <row r="1010" spans="4:10" x14ac:dyDescent="0.25">
      <c r="D1010" s="4">
        <v>33329</v>
      </c>
      <c r="E1010" s="6">
        <v>18</v>
      </c>
      <c r="G1010" s="4">
        <f t="shared" si="63"/>
        <v>38975</v>
      </c>
      <c r="H1010" s="5">
        <f t="shared" si="60"/>
        <v>60.23</v>
      </c>
      <c r="I1010" s="5">
        <f t="shared" si="61"/>
        <v>9</v>
      </c>
      <c r="J1010" s="5">
        <f t="shared" si="62"/>
        <v>2006</v>
      </c>
    </row>
    <row r="1011" spans="4:10" x14ac:dyDescent="0.25">
      <c r="D1011" s="4">
        <v>33330</v>
      </c>
      <c r="E1011" s="6">
        <v>17.63</v>
      </c>
      <c r="G1011" s="4">
        <f t="shared" si="63"/>
        <v>38982</v>
      </c>
      <c r="H1011" s="5">
        <f t="shared" si="60"/>
        <v>58.81</v>
      </c>
      <c r="I1011" s="5">
        <f t="shared" si="61"/>
        <v>9</v>
      </c>
      <c r="J1011" s="5">
        <f t="shared" si="62"/>
        <v>2006</v>
      </c>
    </row>
    <row r="1012" spans="4:10" x14ac:dyDescent="0.25">
      <c r="D1012" s="4">
        <v>33331</v>
      </c>
      <c r="E1012" s="6">
        <v>17.75</v>
      </c>
      <c r="G1012" s="4">
        <f t="shared" si="63"/>
        <v>38989</v>
      </c>
      <c r="H1012" s="5">
        <f t="shared" si="60"/>
        <v>59.09</v>
      </c>
      <c r="I1012" s="5">
        <f t="shared" si="61"/>
        <v>9</v>
      </c>
      <c r="J1012" s="5">
        <f t="shared" si="62"/>
        <v>2006</v>
      </c>
    </row>
    <row r="1013" spans="4:10" x14ac:dyDescent="0.25">
      <c r="D1013" s="4">
        <v>33332</v>
      </c>
      <c r="E1013" s="6">
        <v>18</v>
      </c>
      <c r="G1013" s="4">
        <f t="shared" si="63"/>
        <v>38996</v>
      </c>
      <c r="H1013" s="5">
        <f t="shared" si="60"/>
        <v>56.9</v>
      </c>
      <c r="I1013" s="5">
        <f t="shared" si="61"/>
        <v>10</v>
      </c>
      <c r="J1013" s="5">
        <f t="shared" si="62"/>
        <v>2006</v>
      </c>
    </row>
    <row r="1014" spans="4:10" x14ac:dyDescent="0.25">
      <c r="D1014" s="4">
        <v>33333</v>
      </c>
      <c r="E1014" s="6">
        <v>18.350000000000001</v>
      </c>
      <c r="G1014" s="4">
        <f t="shared" si="63"/>
        <v>39003</v>
      </c>
      <c r="H1014" s="5">
        <f t="shared" si="60"/>
        <v>58.97</v>
      </c>
      <c r="I1014" s="5">
        <f t="shared" si="61"/>
        <v>10</v>
      </c>
      <c r="J1014" s="5">
        <f t="shared" si="62"/>
        <v>2006</v>
      </c>
    </row>
    <row r="1015" spans="4:10" x14ac:dyDescent="0.25">
      <c r="D1015" s="4">
        <v>33336</v>
      </c>
      <c r="E1015" s="6">
        <v>18.579999999999998</v>
      </c>
      <c r="G1015" s="4">
        <f t="shared" si="63"/>
        <v>39010</v>
      </c>
      <c r="H1015" s="5">
        <f t="shared" si="60"/>
        <v>57.94</v>
      </c>
      <c r="I1015" s="5">
        <f t="shared" si="61"/>
        <v>10</v>
      </c>
      <c r="J1015" s="5">
        <f t="shared" si="62"/>
        <v>2006</v>
      </c>
    </row>
    <row r="1016" spans="4:10" x14ac:dyDescent="0.25">
      <c r="D1016" s="4">
        <v>33337</v>
      </c>
      <c r="E1016" s="6">
        <v>18.600000000000001</v>
      </c>
      <c r="G1016" s="4">
        <f t="shared" si="63"/>
        <v>39017</v>
      </c>
      <c r="H1016" s="5">
        <f t="shared" si="60"/>
        <v>57.99</v>
      </c>
      <c r="I1016" s="5">
        <f t="shared" si="61"/>
        <v>10</v>
      </c>
      <c r="J1016" s="5">
        <f t="shared" si="62"/>
        <v>2006</v>
      </c>
    </row>
    <row r="1017" spans="4:10" x14ac:dyDescent="0.25">
      <c r="D1017" s="4">
        <v>33338</v>
      </c>
      <c r="E1017" s="6">
        <v>19.25</v>
      </c>
      <c r="G1017" s="4">
        <f t="shared" si="63"/>
        <v>39024</v>
      </c>
      <c r="H1017" s="5">
        <f t="shared" si="60"/>
        <v>56.55</v>
      </c>
      <c r="I1017" s="5">
        <f t="shared" si="61"/>
        <v>11</v>
      </c>
      <c r="J1017" s="5">
        <f t="shared" si="62"/>
        <v>2006</v>
      </c>
    </row>
    <row r="1018" spans="4:10" x14ac:dyDescent="0.25">
      <c r="D1018" s="4">
        <v>33339</v>
      </c>
      <c r="E1018" s="6">
        <v>19.5</v>
      </c>
      <c r="G1018" s="4">
        <f t="shared" si="63"/>
        <v>39031</v>
      </c>
      <c r="H1018" s="5">
        <f t="shared" si="60"/>
        <v>59.18</v>
      </c>
      <c r="I1018" s="5">
        <f t="shared" si="61"/>
        <v>11</v>
      </c>
      <c r="J1018" s="5">
        <f t="shared" si="62"/>
        <v>2006</v>
      </c>
    </row>
    <row r="1019" spans="4:10" x14ac:dyDescent="0.25">
      <c r="D1019" s="4">
        <v>33340</v>
      </c>
      <c r="E1019" s="6">
        <v>19.93</v>
      </c>
      <c r="G1019" s="4">
        <f t="shared" si="63"/>
        <v>39038</v>
      </c>
      <c r="H1019" s="5">
        <f t="shared" si="60"/>
        <v>57.01</v>
      </c>
      <c r="I1019" s="5">
        <f t="shared" si="61"/>
        <v>11</v>
      </c>
      <c r="J1019" s="5">
        <f t="shared" si="62"/>
        <v>2006</v>
      </c>
    </row>
    <row r="1020" spans="4:10" x14ac:dyDescent="0.25">
      <c r="D1020" s="4">
        <v>33343</v>
      </c>
      <c r="E1020" s="6">
        <v>20.23</v>
      </c>
      <c r="G1020" s="4">
        <f t="shared" si="63"/>
        <v>39045</v>
      </c>
      <c r="H1020" s="5">
        <f t="shared" si="60"/>
        <v>60.72</v>
      </c>
      <c r="I1020" s="5">
        <f t="shared" si="61"/>
        <v>11</v>
      </c>
      <c r="J1020" s="5">
        <f t="shared" si="62"/>
        <v>2006</v>
      </c>
    </row>
    <row r="1021" spans="4:10" x14ac:dyDescent="0.25">
      <c r="D1021" s="4">
        <v>33344</v>
      </c>
      <c r="E1021" s="6">
        <v>19.899999999999999</v>
      </c>
      <c r="G1021" s="4">
        <f t="shared" si="63"/>
        <v>39052</v>
      </c>
      <c r="H1021" s="5">
        <f t="shared" si="60"/>
        <v>64.739999999999995</v>
      </c>
      <c r="I1021" s="5">
        <f t="shared" si="61"/>
        <v>12</v>
      </c>
      <c r="J1021" s="5">
        <f t="shared" si="62"/>
        <v>2006</v>
      </c>
    </row>
    <row r="1022" spans="4:10" x14ac:dyDescent="0.25">
      <c r="D1022" s="4">
        <v>33345</v>
      </c>
      <c r="E1022" s="6">
        <v>19.850000000000001</v>
      </c>
      <c r="G1022" s="4">
        <f t="shared" si="63"/>
        <v>39059</v>
      </c>
      <c r="H1022" s="5">
        <f t="shared" si="60"/>
        <v>63.67</v>
      </c>
      <c r="I1022" s="5">
        <f t="shared" si="61"/>
        <v>12</v>
      </c>
      <c r="J1022" s="5">
        <f t="shared" si="62"/>
        <v>2006</v>
      </c>
    </row>
    <row r="1023" spans="4:10" x14ac:dyDescent="0.25">
      <c r="D1023" s="4">
        <v>33346</v>
      </c>
      <c r="E1023" s="6">
        <v>19.399999999999999</v>
      </c>
      <c r="G1023" s="4">
        <f t="shared" si="63"/>
        <v>39066</v>
      </c>
      <c r="H1023" s="5">
        <f t="shared" si="60"/>
        <v>62.91</v>
      </c>
      <c r="I1023" s="5">
        <f t="shared" si="61"/>
        <v>12</v>
      </c>
      <c r="J1023" s="5">
        <f t="shared" si="62"/>
        <v>2006</v>
      </c>
    </row>
    <row r="1024" spans="4:10" x14ac:dyDescent="0.25">
      <c r="D1024" s="4">
        <v>33347</v>
      </c>
      <c r="E1024" s="6">
        <v>19.18</v>
      </c>
      <c r="G1024" s="4">
        <f t="shared" si="63"/>
        <v>39073</v>
      </c>
      <c r="H1024" s="5">
        <f t="shared" si="60"/>
        <v>61.92</v>
      </c>
      <c r="I1024" s="5">
        <f t="shared" si="61"/>
        <v>12</v>
      </c>
      <c r="J1024" s="5">
        <f t="shared" si="62"/>
        <v>2006</v>
      </c>
    </row>
    <row r="1025" spans="4:10" x14ac:dyDescent="0.25">
      <c r="D1025" s="4">
        <v>33350</v>
      </c>
      <c r="E1025" s="6">
        <v>19.78</v>
      </c>
      <c r="G1025" s="4">
        <f t="shared" si="63"/>
        <v>39080</v>
      </c>
      <c r="H1025" s="5">
        <f t="shared" si="60"/>
        <v>58.96</v>
      </c>
      <c r="I1025" s="5">
        <f t="shared" si="61"/>
        <v>12</v>
      </c>
      <c r="J1025" s="5">
        <f t="shared" si="62"/>
        <v>2006</v>
      </c>
    </row>
    <row r="1026" spans="4:10" x14ac:dyDescent="0.25">
      <c r="D1026" s="4">
        <v>33351</v>
      </c>
      <c r="E1026" s="6">
        <v>19.600000000000001</v>
      </c>
      <c r="G1026" s="4">
        <f t="shared" si="63"/>
        <v>39087</v>
      </c>
      <c r="H1026" s="5">
        <f t="shared" si="60"/>
        <v>52.82</v>
      </c>
      <c r="I1026" s="5">
        <f t="shared" si="61"/>
        <v>1</v>
      </c>
      <c r="J1026" s="5">
        <f t="shared" si="62"/>
        <v>2007</v>
      </c>
    </row>
    <row r="1027" spans="4:10" x14ac:dyDescent="0.25">
      <c r="D1027" s="4">
        <v>33352</v>
      </c>
      <c r="E1027" s="6">
        <v>19.55</v>
      </c>
      <c r="G1027" s="4">
        <f t="shared" si="63"/>
        <v>39094</v>
      </c>
      <c r="H1027" s="5">
        <f t="shared" ref="H1027:H1090" si="64">_xlfn.XLOOKUP(G1027,D:D,E:E)</f>
        <v>49.95</v>
      </c>
      <c r="I1027" s="5">
        <f t="shared" ref="I1027:I1090" si="65">MONTH(G1027)</f>
        <v>1</v>
      </c>
      <c r="J1027" s="5">
        <f t="shared" ref="J1027:J1090" si="66">YEAR(G1027)</f>
        <v>2007</v>
      </c>
    </row>
    <row r="1028" spans="4:10" x14ac:dyDescent="0.25">
      <c r="D1028" s="4">
        <v>33353</v>
      </c>
      <c r="E1028" s="6">
        <v>19.600000000000001</v>
      </c>
      <c r="G1028" s="4">
        <f t="shared" ref="G1028:G1091" si="67">G1027+7</f>
        <v>39101</v>
      </c>
      <c r="H1028" s="5">
        <f t="shared" si="64"/>
        <v>52.29</v>
      </c>
      <c r="I1028" s="5">
        <f t="shared" si="65"/>
        <v>1</v>
      </c>
      <c r="J1028" s="5">
        <f t="shared" si="66"/>
        <v>2007</v>
      </c>
    </row>
    <row r="1029" spans="4:10" x14ac:dyDescent="0.25">
      <c r="D1029" s="4">
        <v>33354</v>
      </c>
      <c r="E1029" s="6">
        <v>19.63</v>
      </c>
      <c r="G1029" s="4">
        <f t="shared" si="67"/>
        <v>39108</v>
      </c>
      <c r="H1029" s="5">
        <f t="shared" si="64"/>
        <v>55.29</v>
      </c>
      <c r="I1029" s="5">
        <f t="shared" si="65"/>
        <v>1</v>
      </c>
      <c r="J1029" s="5">
        <f t="shared" si="66"/>
        <v>2007</v>
      </c>
    </row>
    <row r="1030" spans="4:10" x14ac:dyDescent="0.25">
      <c r="D1030" s="4">
        <v>33357</v>
      </c>
      <c r="E1030" s="6">
        <v>19.95</v>
      </c>
      <c r="G1030" s="4">
        <f t="shared" si="67"/>
        <v>39115</v>
      </c>
      <c r="H1030" s="5">
        <f t="shared" si="64"/>
        <v>56.93</v>
      </c>
      <c r="I1030" s="5">
        <f t="shared" si="65"/>
        <v>2</v>
      </c>
      <c r="J1030" s="5">
        <f t="shared" si="66"/>
        <v>2007</v>
      </c>
    </row>
    <row r="1031" spans="4:10" x14ac:dyDescent="0.25">
      <c r="D1031" s="4">
        <v>33358</v>
      </c>
      <c r="E1031" s="6">
        <v>19.7</v>
      </c>
      <c r="G1031" s="4">
        <f t="shared" si="67"/>
        <v>39122</v>
      </c>
      <c r="H1031" s="5">
        <f t="shared" si="64"/>
        <v>57.21</v>
      </c>
      <c r="I1031" s="5">
        <f t="shared" si="65"/>
        <v>2</v>
      </c>
      <c r="J1031" s="5">
        <f t="shared" si="66"/>
        <v>2007</v>
      </c>
    </row>
    <row r="1032" spans="4:10" x14ac:dyDescent="0.25">
      <c r="D1032" s="4">
        <v>33359</v>
      </c>
      <c r="E1032" s="6">
        <v>19.7</v>
      </c>
      <c r="G1032" s="4">
        <f t="shared" si="67"/>
        <v>39129</v>
      </c>
      <c r="H1032" s="5">
        <f t="shared" si="64"/>
        <v>56.78</v>
      </c>
      <c r="I1032" s="5">
        <f t="shared" si="65"/>
        <v>2</v>
      </c>
      <c r="J1032" s="5">
        <f t="shared" si="66"/>
        <v>2007</v>
      </c>
    </row>
    <row r="1033" spans="4:10" x14ac:dyDescent="0.25">
      <c r="D1033" s="4">
        <v>33360</v>
      </c>
      <c r="E1033" s="6">
        <v>19.7</v>
      </c>
      <c r="G1033" s="4">
        <f t="shared" si="67"/>
        <v>39136</v>
      </c>
      <c r="H1033" s="5">
        <f t="shared" si="64"/>
        <v>60.38</v>
      </c>
      <c r="I1033" s="5">
        <f t="shared" si="65"/>
        <v>2</v>
      </c>
      <c r="J1033" s="5">
        <f t="shared" si="66"/>
        <v>2007</v>
      </c>
    </row>
    <row r="1034" spans="4:10" x14ac:dyDescent="0.25">
      <c r="D1034" s="4">
        <v>33361</v>
      </c>
      <c r="E1034" s="6">
        <v>19.55</v>
      </c>
      <c r="G1034" s="4">
        <f t="shared" si="67"/>
        <v>39143</v>
      </c>
      <c r="H1034" s="5">
        <f t="shared" si="64"/>
        <v>61.92</v>
      </c>
      <c r="I1034" s="5">
        <f t="shared" si="65"/>
        <v>3</v>
      </c>
      <c r="J1034" s="5">
        <f t="shared" si="66"/>
        <v>2007</v>
      </c>
    </row>
    <row r="1035" spans="4:10" x14ac:dyDescent="0.25">
      <c r="D1035" s="4">
        <v>33364</v>
      </c>
      <c r="E1035" s="6">
        <v>19.8</v>
      </c>
      <c r="G1035" s="4">
        <f t="shared" si="67"/>
        <v>39150</v>
      </c>
      <c r="H1035" s="5">
        <f t="shared" si="64"/>
        <v>60.25</v>
      </c>
      <c r="I1035" s="5">
        <f t="shared" si="65"/>
        <v>3</v>
      </c>
      <c r="J1035" s="5">
        <f t="shared" si="66"/>
        <v>2007</v>
      </c>
    </row>
    <row r="1036" spans="4:10" x14ac:dyDescent="0.25">
      <c r="D1036" s="4">
        <v>33365</v>
      </c>
      <c r="E1036" s="6">
        <v>19.850000000000001</v>
      </c>
      <c r="G1036" s="4">
        <f t="shared" si="67"/>
        <v>39157</v>
      </c>
      <c r="H1036" s="5">
        <f t="shared" si="64"/>
        <v>60.93</v>
      </c>
      <c r="I1036" s="5">
        <f t="shared" si="65"/>
        <v>3</v>
      </c>
      <c r="J1036" s="5">
        <f t="shared" si="66"/>
        <v>2007</v>
      </c>
    </row>
    <row r="1037" spans="4:10" x14ac:dyDescent="0.25">
      <c r="D1037" s="4">
        <v>33366</v>
      </c>
      <c r="E1037" s="6">
        <v>19.8</v>
      </c>
      <c r="G1037" s="4">
        <f t="shared" si="67"/>
        <v>39164</v>
      </c>
      <c r="H1037" s="5">
        <f t="shared" si="64"/>
        <v>63.1</v>
      </c>
      <c r="I1037" s="5">
        <f t="shared" si="65"/>
        <v>3</v>
      </c>
      <c r="J1037" s="5">
        <f t="shared" si="66"/>
        <v>2007</v>
      </c>
    </row>
    <row r="1038" spans="4:10" x14ac:dyDescent="0.25">
      <c r="D1038" s="4">
        <v>33367</v>
      </c>
      <c r="E1038" s="6">
        <v>20.079999999999998</v>
      </c>
      <c r="G1038" s="4">
        <f t="shared" si="67"/>
        <v>39171</v>
      </c>
      <c r="H1038" s="5">
        <f t="shared" si="64"/>
        <v>68.47</v>
      </c>
      <c r="I1038" s="5">
        <f t="shared" si="65"/>
        <v>3</v>
      </c>
      <c r="J1038" s="5">
        <f t="shared" si="66"/>
        <v>2007</v>
      </c>
    </row>
    <row r="1039" spans="4:10" x14ac:dyDescent="0.25">
      <c r="D1039" s="4">
        <v>33368</v>
      </c>
      <c r="E1039" s="6">
        <v>19.53</v>
      </c>
      <c r="G1039" s="4">
        <f t="shared" si="67"/>
        <v>39178</v>
      </c>
      <c r="H1039" s="5">
        <f t="shared" si="64"/>
        <v>0</v>
      </c>
      <c r="I1039" s="5">
        <f t="shared" si="65"/>
        <v>4</v>
      </c>
      <c r="J1039" s="5">
        <f t="shared" si="66"/>
        <v>2007</v>
      </c>
    </row>
    <row r="1040" spans="4:10" x14ac:dyDescent="0.25">
      <c r="D1040" s="4">
        <v>33371</v>
      </c>
      <c r="E1040" s="6">
        <v>19.25</v>
      </c>
      <c r="G1040" s="4">
        <f t="shared" si="67"/>
        <v>39185</v>
      </c>
      <c r="H1040" s="5">
        <f t="shared" si="64"/>
        <v>68.78</v>
      </c>
      <c r="I1040" s="5">
        <f t="shared" si="65"/>
        <v>4</v>
      </c>
      <c r="J1040" s="5">
        <f t="shared" si="66"/>
        <v>2007</v>
      </c>
    </row>
    <row r="1041" spans="4:10" x14ac:dyDescent="0.25">
      <c r="D1041" s="4">
        <v>33372</v>
      </c>
      <c r="E1041" s="6">
        <v>18.95</v>
      </c>
      <c r="G1041" s="4">
        <f t="shared" si="67"/>
        <v>39192</v>
      </c>
      <c r="H1041" s="5">
        <f t="shared" si="64"/>
        <v>66.34</v>
      </c>
      <c r="I1041" s="5">
        <f t="shared" si="65"/>
        <v>4</v>
      </c>
      <c r="J1041" s="5">
        <f t="shared" si="66"/>
        <v>2007</v>
      </c>
    </row>
    <row r="1042" spans="4:10" x14ac:dyDescent="0.25">
      <c r="D1042" s="4">
        <v>33373</v>
      </c>
      <c r="E1042" s="6">
        <v>18.8</v>
      </c>
      <c r="G1042" s="4">
        <f t="shared" si="67"/>
        <v>39199</v>
      </c>
      <c r="H1042" s="5">
        <f t="shared" si="64"/>
        <v>67.28</v>
      </c>
      <c r="I1042" s="5">
        <f t="shared" si="65"/>
        <v>4</v>
      </c>
      <c r="J1042" s="5">
        <f t="shared" si="66"/>
        <v>2007</v>
      </c>
    </row>
    <row r="1043" spans="4:10" x14ac:dyDescent="0.25">
      <c r="D1043" s="4">
        <v>33374</v>
      </c>
      <c r="E1043" s="6">
        <v>18.75</v>
      </c>
      <c r="G1043" s="4">
        <f t="shared" si="67"/>
        <v>39206</v>
      </c>
      <c r="H1043" s="5">
        <f t="shared" si="64"/>
        <v>65.14</v>
      </c>
      <c r="I1043" s="5">
        <f t="shared" si="65"/>
        <v>5</v>
      </c>
      <c r="J1043" s="5">
        <f t="shared" si="66"/>
        <v>2007</v>
      </c>
    </row>
    <row r="1044" spans="4:10" x14ac:dyDescent="0.25">
      <c r="D1044" s="4">
        <v>33375</v>
      </c>
      <c r="E1044" s="6">
        <v>18.75</v>
      </c>
      <c r="G1044" s="4">
        <f t="shared" si="67"/>
        <v>39213</v>
      </c>
      <c r="H1044" s="5">
        <f t="shared" si="64"/>
        <v>65.180000000000007</v>
      </c>
      <c r="I1044" s="5">
        <f t="shared" si="65"/>
        <v>5</v>
      </c>
      <c r="J1044" s="5">
        <f t="shared" si="66"/>
        <v>2007</v>
      </c>
    </row>
    <row r="1045" spans="4:10" x14ac:dyDescent="0.25">
      <c r="D1045" s="4">
        <v>33378</v>
      </c>
      <c r="E1045" s="6">
        <v>18.899999999999999</v>
      </c>
      <c r="G1045" s="4">
        <f t="shared" si="67"/>
        <v>39220</v>
      </c>
      <c r="H1045" s="5">
        <f t="shared" si="64"/>
        <v>69.260000000000005</v>
      </c>
      <c r="I1045" s="5">
        <f t="shared" si="65"/>
        <v>5</v>
      </c>
      <c r="J1045" s="5">
        <f t="shared" si="66"/>
        <v>2007</v>
      </c>
    </row>
    <row r="1046" spans="4:10" x14ac:dyDescent="0.25">
      <c r="D1046" s="4">
        <v>33379</v>
      </c>
      <c r="E1046" s="6">
        <v>19.03</v>
      </c>
      <c r="G1046" s="4">
        <f t="shared" si="67"/>
        <v>39227</v>
      </c>
      <c r="H1046" s="5">
        <f t="shared" si="64"/>
        <v>70.72</v>
      </c>
      <c r="I1046" s="5">
        <f t="shared" si="65"/>
        <v>5</v>
      </c>
      <c r="J1046" s="5">
        <f t="shared" si="66"/>
        <v>2007</v>
      </c>
    </row>
    <row r="1047" spans="4:10" x14ac:dyDescent="0.25">
      <c r="D1047" s="4">
        <v>33380</v>
      </c>
      <c r="E1047" s="6">
        <v>18.579999999999998</v>
      </c>
      <c r="G1047" s="4">
        <f t="shared" si="67"/>
        <v>39234</v>
      </c>
      <c r="H1047" s="5">
        <f t="shared" si="64"/>
        <v>68.650000000000006</v>
      </c>
      <c r="I1047" s="5">
        <f t="shared" si="65"/>
        <v>6</v>
      </c>
      <c r="J1047" s="5">
        <f t="shared" si="66"/>
        <v>2007</v>
      </c>
    </row>
    <row r="1048" spans="4:10" x14ac:dyDescent="0.25">
      <c r="D1048" s="4">
        <v>33381</v>
      </c>
      <c r="E1048" s="6">
        <v>18.78</v>
      </c>
      <c r="G1048" s="4">
        <f t="shared" si="67"/>
        <v>39241</v>
      </c>
      <c r="H1048" s="5">
        <f t="shared" si="64"/>
        <v>70.040000000000006</v>
      </c>
      <c r="I1048" s="5">
        <f t="shared" si="65"/>
        <v>6</v>
      </c>
      <c r="J1048" s="5">
        <f t="shared" si="66"/>
        <v>2007</v>
      </c>
    </row>
    <row r="1049" spans="4:10" x14ac:dyDescent="0.25">
      <c r="D1049" s="4">
        <v>33382</v>
      </c>
      <c r="E1049" s="6">
        <v>18.829999999999998</v>
      </c>
      <c r="G1049" s="4">
        <f t="shared" si="67"/>
        <v>39248</v>
      </c>
      <c r="H1049" s="5">
        <f t="shared" si="64"/>
        <v>71.63</v>
      </c>
      <c r="I1049" s="5">
        <f t="shared" si="65"/>
        <v>6</v>
      </c>
      <c r="J1049" s="5">
        <f t="shared" si="66"/>
        <v>2007</v>
      </c>
    </row>
    <row r="1050" spans="4:10" x14ac:dyDescent="0.25">
      <c r="D1050" s="4">
        <v>33385</v>
      </c>
      <c r="E1050" s="5"/>
      <c r="G1050" s="4">
        <f t="shared" si="67"/>
        <v>39255</v>
      </c>
      <c r="H1050" s="5">
        <f t="shared" si="64"/>
        <v>72.040000000000006</v>
      </c>
      <c r="I1050" s="5">
        <f t="shared" si="65"/>
        <v>6</v>
      </c>
      <c r="J1050" s="5">
        <f t="shared" si="66"/>
        <v>2007</v>
      </c>
    </row>
    <row r="1051" spans="4:10" x14ac:dyDescent="0.25">
      <c r="D1051" s="4">
        <v>33386</v>
      </c>
      <c r="E1051" s="6">
        <v>19</v>
      </c>
      <c r="G1051" s="4">
        <f t="shared" si="67"/>
        <v>39262</v>
      </c>
      <c r="H1051" s="5">
        <f t="shared" si="64"/>
        <v>72.22</v>
      </c>
      <c r="I1051" s="5">
        <f t="shared" si="65"/>
        <v>6</v>
      </c>
      <c r="J1051" s="5">
        <f t="shared" si="66"/>
        <v>2007</v>
      </c>
    </row>
    <row r="1052" spans="4:10" x14ac:dyDescent="0.25">
      <c r="D1052" s="4">
        <v>33387</v>
      </c>
      <c r="E1052" s="6">
        <v>18.75</v>
      </c>
      <c r="G1052" s="4">
        <f t="shared" si="67"/>
        <v>39269</v>
      </c>
      <c r="H1052" s="5">
        <f t="shared" si="64"/>
        <v>76.58</v>
      </c>
      <c r="I1052" s="5">
        <f t="shared" si="65"/>
        <v>7</v>
      </c>
      <c r="J1052" s="5">
        <f t="shared" si="66"/>
        <v>2007</v>
      </c>
    </row>
    <row r="1053" spans="4:10" x14ac:dyDescent="0.25">
      <c r="D1053" s="4">
        <v>33388</v>
      </c>
      <c r="E1053" s="6">
        <v>18.73</v>
      </c>
      <c r="G1053" s="4">
        <f t="shared" si="67"/>
        <v>39276</v>
      </c>
      <c r="H1053" s="5">
        <f t="shared" si="64"/>
        <v>78.12</v>
      </c>
      <c r="I1053" s="5">
        <f t="shared" si="65"/>
        <v>7</v>
      </c>
      <c r="J1053" s="5">
        <f t="shared" si="66"/>
        <v>2007</v>
      </c>
    </row>
    <row r="1054" spans="4:10" x14ac:dyDescent="0.25">
      <c r="D1054" s="4">
        <v>33389</v>
      </c>
      <c r="E1054" s="6">
        <v>19</v>
      </c>
      <c r="G1054" s="4">
        <f t="shared" si="67"/>
        <v>39283</v>
      </c>
      <c r="H1054" s="5">
        <f t="shared" si="64"/>
        <v>79.09</v>
      </c>
      <c r="I1054" s="5">
        <f t="shared" si="65"/>
        <v>7</v>
      </c>
      <c r="J1054" s="5">
        <f t="shared" si="66"/>
        <v>2007</v>
      </c>
    </row>
    <row r="1055" spans="4:10" x14ac:dyDescent="0.25">
      <c r="D1055" s="4">
        <v>33392</v>
      </c>
      <c r="E1055" s="6">
        <v>19</v>
      </c>
      <c r="G1055" s="4">
        <f t="shared" si="67"/>
        <v>39290</v>
      </c>
      <c r="H1055" s="5">
        <f t="shared" si="64"/>
        <v>76.58</v>
      </c>
      <c r="I1055" s="5">
        <f t="shared" si="65"/>
        <v>7</v>
      </c>
      <c r="J1055" s="5">
        <f t="shared" si="66"/>
        <v>2007</v>
      </c>
    </row>
    <row r="1056" spans="4:10" x14ac:dyDescent="0.25">
      <c r="D1056" s="4">
        <v>33393</v>
      </c>
      <c r="E1056" s="6">
        <v>18.829999999999998</v>
      </c>
      <c r="G1056" s="4">
        <f t="shared" si="67"/>
        <v>39297</v>
      </c>
      <c r="H1056" s="5">
        <f t="shared" si="64"/>
        <v>75.36</v>
      </c>
      <c r="I1056" s="5">
        <f t="shared" si="65"/>
        <v>8</v>
      </c>
      <c r="J1056" s="5">
        <f t="shared" si="66"/>
        <v>2007</v>
      </c>
    </row>
    <row r="1057" spans="4:10" x14ac:dyDescent="0.25">
      <c r="D1057" s="4">
        <v>33394</v>
      </c>
      <c r="E1057" s="6">
        <v>18.63</v>
      </c>
      <c r="G1057" s="4">
        <f t="shared" si="67"/>
        <v>39304</v>
      </c>
      <c r="H1057" s="5">
        <f t="shared" si="64"/>
        <v>69.569999999999993</v>
      </c>
      <c r="I1057" s="5">
        <f t="shared" si="65"/>
        <v>8</v>
      </c>
      <c r="J1057" s="5">
        <f t="shared" si="66"/>
        <v>2007</v>
      </c>
    </row>
    <row r="1058" spans="4:10" x14ac:dyDescent="0.25">
      <c r="D1058" s="4">
        <v>33395</v>
      </c>
      <c r="E1058" s="6">
        <v>18.03</v>
      </c>
      <c r="G1058" s="4">
        <f t="shared" si="67"/>
        <v>39311</v>
      </c>
      <c r="H1058" s="5">
        <f t="shared" si="64"/>
        <v>69.8</v>
      </c>
      <c r="I1058" s="5">
        <f t="shared" si="65"/>
        <v>8</v>
      </c>
      <c r="J1058" s="5">
        <f t="shared" si="66"/>
        <v>2007</v>
      </c>
    </row>
    <row r="1059" spans="4:10" x14ac:dyDescent="0.25">
      <c r="D1059" s="4">
        <v>33396</v>
      </c>
      <c r="E1059" s="6">
        <v>18.28</v>
      </c>
      <c r="G1059" s="4">
        <f t="shared" si="67"/>
        <v>39318</v>
      </c>
      <c r="H1059" s="5">
        <f t="shared" si="64"/>
        <v>69.489999999999995</v>
      </c>
      <c r="I1059" s="5">
        <f t="shared" si="65"/>
        <v>8</v>
      </c>
      <c r="J1059" s="5">
        <f t="shared" si="66"/>
        <v>2007</v>
      </c>
    </row>
    <row r="1060" spans="4:10" x14ac:dyDescent="0.25">
      <c r="D1060" s="4">
        <v>33399</v>
      </c>
      <c r="E1060" s="6">
        <v>18</v>
      </c>
      <c r="G1060" s="4">
        <f t="shared" si="67"/>
        <v>39325</v>
      </c>
      <c r="H1060" s="5">
        <f t="shared" si="64"/>
        <v>72.290000000000006</v>
      </c>
      <c r="I1060" s="5">
        <f t="shared" si="65"/>
        <v>8</v>
      </c>
      <c r="J1060" s="5">
        <f t="shared" si="66"/>
        <v>2007</v>
      </c>
    </row>
    <row r="1061" spans="4:10" x14ac:dyDescent="0.25">
      <c r="D1061" s="4">
        <v>33400</v>
      </c>
      <c r="E1061" s="6">
        <v>17.850000000000001</v>
      </c>
      <c r="G1061" s="4">
        <f t="shared" si="67"/>
        <v>39332</v>
      </c>
      <c r="H1061" s="5">
        <f t="shared" si="64"/>
        <v>75.08</v>
      </c>
      <c r="I1061" s="5">
        <f t="shared" si="65"/>
        <v>9</v>
      </c>
      <c r="J1061" s="5">
        <f t="shared" si="66"/>
        <v>2007</v>
      </c>
    </row>
    <row r="1062" spans="4:10" x14ac:dyDescent="0.25">
      <c r="D1062" s="4">
        <v>33401</v>
      </c>
      <c r="E1062" s="6">
        <v>17.73</v>
      </c>
      <c r="G1062" s="4">
        <f t="shared" si="67"/>
        <v>39339</v>
      </c>
      <c r="H1062" s="5">
        <f t="shared" si="64"/>
        <v>78.27</v>
      </c>
      <c r="I1062" s="5">
        <f t="shared" si="65"/>
        <v>9</v>
      </c>
      <c r="J1062" s="5">
        <f t="shared" si="66"/>
        <v>2007</v>
      </c>
    </row>
    <row r="1063" spans="4:10" x14ac:dyDescent="0.25">
      <c r="D1063" s="4">
        <v>33402</v>
      </c>
      <c r="E1063" s="6">
        <v>18</v>
      </c>
      <c r="G1063" s="4">
        <f t="shared" si="67"/>
        <v>39346</v>
      </c>
      <c r="H1063" s="5">
        <f t="shared" si="64"/>
        <v>78.91</v>
      </c>
      <c r="I1063" s="5">
        <f t="shared" si="65"/>
        <v>9</v>
      </c>
      <c r="J1063" s="5">
        <f t="shared" si="66"/>
        <v>2007</v>
      </c>
    </row>
    <row r="1064" spans="4:10" x14ac:dyDescent="0.25">
      <c r="D1064" s="4">
        <v>33403</v>
      </c>
      <c r="E1064" s="6">
        <v>17.7</v>
      </c>
      <c r="G1064" s="4">
        <f t="shared" si="67"/>
        <v>39353</v>
      </c>
      <c r="H1064" s="5">
        <f t="shared" si="64"/>
        <v>80.97</v>
      </c>
      <c r="I1064" s="5">
        <f t="shared" si="65"/>
        <v>9</v>
      </c>
      <c r="J1064" s="5">
        <f t="shared" si="66"/>
        <v>2007</v>
      </c>
    </row>
    <row r="1065" spans="4:10" x14ac:dyDescent="0.25">
      <c r="D1065" s="4">
        <v>33406</v>
      </c>
      <c r="E1065" s="6">
        <v>17.850000000000001</v>
      </c>
      <c r="G1065" s="4">
        <f t="shared" si="67"/>
        <v>39360</v>
      </c>
      <c r="H1065" s="5">
        <f t="shared" si="64"/>
        <v>79.05</v>
      </c>
      <c r="I1065" s="5">
        <f t="shared" si="65"/>
        <v>10</v>
      </c>
      <c r="J1065" s="5">
        <f t="shared" si="66"/>
        <v>2007</v>
      </c>
    </row>
    <row r="1066" spans="4:10" x14ac:dyDescent="0.25">
      <c r="D1066" s="4">
        <v>33407</v>
      </c>
      <c r="E1066" s="6">
        <v>18</v>
      </c>
      <c r="G1066" s="4">
        <f t="shared" si="67"/>
        <v>39367</v>
      </c>
      <c r="H1066" s="5">
        <f t="shared" si="64"/>
        <v>80.819999999999993</v>
      </c>
      <c r="I1066" s="5">
        <f t="shared" si="65"/>
        <v>10</v>
      </c>
      <c r="J1066" s="5">
        <f t="shared" si="66"/>
        <v>2007</v>
      </c>
    </row>
    <row r="1067" spans="4:10" x14ac:dyDescent="0.25">
      <c r="D1067" s="4">
        <v>33408</v>
      </c>
      <c r="E1067" s="6">
        <v>17.88</v>
      </c>
      <c r="G1067" s="4">
        <f t="shared" si="67"/>
        <v>39374</v>
      </c>
      <c r="H1067" s="5">
        <f t="shared" si="64"/>
        <v>84.25</v>
      </c>
      <c r="I1067" s="5">
        <f t="shared" si="65"/>
        <v>10</v>
      </c>
      <c r="J1067" s="5">
        <f t="shared" si="66"/>
        <v>2007</v>
      </c>
    </row>
    <row r="1068" spans="4:10" x14ac:dyDescent="0.25">
      <c r="D1068" s="4">
        <v>33409</v>
      </c>
      <c r="E1068" s="6">
        <v>18.149999999999999</v>
      </c>
      <c r="G1068" s="4">
        <f t="shared" si="67"/>
        <v>39381</v>
      </c>
      <c r="H1068" s="5">
        <f t="shared" si="64"/>
        <v>84.71</v>
      </c>
      <c r="I1068" s="5">
        <f t="shared" si="65"/>
        <v>10</v>
      </c>
      <c r="J1068" s="5">
        <f t="shared" si="66"/>
        <v>2007</v>
      </c>
    </row>
    <row r="1069" spans="4:10" x14ac:dyDescent="0.25">
      <c r="D1069" s="4">
        <v>33410</v>
      </c>
      <c r="E1069" s="6">
        <v>18.43</v>
      </c>
      <c r="G1069" s="4">
        <f t="shared" si="67"/>
        <v>39388</v>
      </c>
      <c r="H1069" s="5">
        <f t="shared" si="64"/>
        <v>92.11</v>
      </c>
      <c r="I1069" s="5">
        <f t="shared" si="65"/>
        <v>11</v>
      </c>
      <c r="J1069" s="5">
        <f t="shared" si="66"/>
        <v>2007</v>
      </c>
    </row>
    <row r="1070" spans="4:10" x14ac:dyDescent="0.25">
      <c r="D1070" s="4">
        <v>33413</v>
      </c>
      <c r="E1070" s="6">
        <v>18.18</v>
      </c>
      <c r="G1070" s="4">
        <f t="shared" si="67"/>
        <v>39395</v>
      </c>
      <c r="H1070" s="5">
        <f t="shared" si="64"/>
        <v>92.32</v>
      </c>
      <c r="I1070" s="5">
        <f t="shared" si="65"/>
        <v>11</v>
      </c>
      <c r="J1070" s="5">
        <f t="shared" si="66"/>
        <v>2007</v>
      </c>
    </row>
    <row r="1071" spans="4:10" x14ac:dyDescent="0.25">
      <c r="D1071" s="4">
        <v>33414</v>
      </c>
      <c r="E1071" s="6">
        <v>18.149999999999999</v>
      </c>
      <c r="G1071" s="4">
        <f t="shared" si="67"/>
        <v>39402</v>
      </c>
      <c r="H1071" s="5">
        <f t="shared" si="64"/>
        <v>91.99</v>
      </c>
      <c r="I1071" s="5">
        <f t="shared" si="65"/>
        <v>11</v>
      </c>
      <c r="J1071" s="5">
        <f t="shared" si="66"/>
        <v>2007</v>
      </c>
    </row>
    <row r="1072" spans="4:10" x14ac:dyDescent="0.25">
      <c r="D1072" s="4">
        <v>33415</v>
      </c>
      <c r="E1072" s="6">
        <v>18.100000000000001</v>
      </c>
      <c r="G1072" s="4">
        <f t="shared" si="67"/>
        <v>39409</v>
      </c>
      <c r="H1072" s="5">
        <f t="shared" si="64"/>
        <v>95.33</v>
      </c>
      <c r="I1072" s="5">
        <f t="shared" si="65"/>
        <v>11</v>
      </c>
      <c r="J1072" s="5">
        <f t="shared" si="66"/>
        <v>2007</v>
      </c>
    </row>
    <row r="1073" spans="4:10" x14ac:dyDescent="0.25">
      <c r="D1073" s="4">
        <v>33416</v>
      </c>
      <c r="E1073" s="6">
        <v>18.079999999999998</v>
      </c>
      <c r="G1073" s="4">
        <f t="shared" si="67"/>
        <v>39416</v>
      </c>
      <c r="H1073" s="5">
        <f t="shared" si="64"/>
        <v>88.71</v>
      </c>
      <c r="I1073" s="5">
        <f t="shared" si="65"/>
        <v>11</v>
      </c>
      <c r="J1073" s="5">
        <f t="shared" si="66"/>
        <v>2007</v>
      </c>
    </row>
    <row r="1074" spans="4:10" x14ac:dyDescent="0.25">
      <c r="D1074" s="4">
        <v>33417</v>
      </c>
      <c r="E1074" s="6">
        <v>18.48</v>
      </c>
      <c r="G1074" s="4">
        <f t="shared" si="67"/>
        <v>39423</v>
      </c>
      <c r="H1074" s="5">
        <f t="shared" si="64"/>
        <v>88.46</v>
      </c>
      <c r="I1074" s="5">
        <f t="shared" si="65"/>
        <v>12</v>
      </c>
      <c r="J1074" s="5">
        <f t="shared" si="66"/>
        <v>2007</v>
      </c>
    </row>
    <row r="1075" spans="4:10" x14ac:dyDescent="0.25">
      <c r="D1075" s="4">
        <v>33420</v>
      </c>
      <c r="E1075" s="6">
        <v>18.53</v>
      </c>
      <c r="G1075" s="4">
        <f t="shared" si="67"/>
        <v>39430</v>
      </c>
      <c r="H1075" s="5">
        <f t="shared" si="64"/>
        <v>91.86</v>
      </c>
      <c r="I1075" s="5">
        <f t="shared" si="65"/>
        <v>12</v>
      </c>
      <c r="J1075" s="5">
        <f t="shared" si="66"/>
        <v>2007</v>
      </c>
    </row>
    <row r="1076" spans="4:10" x14ac:dyDescent="0.25">
      <c r="D1076" s="4">
        <v>33421</v>
      </c>
      <c r="E1076" s="6">
        <v>18.55</v>
      </c>
      <c r="G1076" s="4">
        <f t="shared" si="67"/>
        <v>39437</v>
      </c>
      <c r="H1076" s="5">
        <f t="shared" si="64"/>
        <v>91.03</v>
      </c>
      <c r="I1076" s="5">
        <f t="shared" si="65"/>
        <v>12</v>
      </c>
      <c r="J1076" s="5">
        <f t="shared" si="66"/>
        <v>2007</v>
      </c>
    </row>
    <row r="1077" spans="4:10" x14ac:dyDescent="0.25">
      <c r="D1077" s="4">
        <v>33422</v>
      </c>
      <c r="E1077" s="6">
        <v>18.5</v>
      </c>
      <c r="G1077" s="4">
        <f t="shared" si="67"/>
        <v>39444</v>
      </c>
      <c r="H1077" s="5">
        <f t="shared" si="64"/>
        <v>95.92</v>
      </c>
      <c r="I1077" s="5">
        <f t="shared" si="65"/>
        <v>12</v>
      </c>
      <c r="J1077" s="5">
        <f t="shared" si="66"/>
        <v>2007</v>
      </c>
    </row>
    <row r="1078" spans="4:10" x14ac:dyDescent="0.25">
      <c r="D1078" s="4">
        <v>33423</v>
      </c>
      <c r="E1078" s="6">
        <v>18.48</v>
      </c>
      <c r="G1078" s="4">
        <f t="shared" si="67"/>
        <v>39451</v>
      </c>
      <c r="H1078" s="5">
        <f t="shared" si="64"/>
        <v>96.87</v>
      </c>
      <c r="I1078" s="5">
        <f t="shared" si="65"/>
        <v>1</v>
      </c>
      <c r="J1078" s="5">
        <f t="shared" si="66"/>
        <v>2008</v>
      </c>
    </row>
    <row r="1079" spans="4:10" x14ac:dyDescent="0.25">
      <c r="D1079" s="4">
        <v>33424</v>
      </c>
      <c r="E1079" s="6">
        <v>18.7</v>
      </c>
      <c r="G1079" s="4">
        <f t="shared" si="67"/>
        <v>39458</v>
      </c>
      <c r="H1079" s="5">
        <f t="shared" si="64"/>
        <v>91.86</v>
      </c>
      <c r="I1079" s="5">
        <f t="shared" si="65"/>
        <v>1</v>
      </c>
      <c r="J1079" s="5">
        <f t="shared" si="66"/>
        <v>2008</v>
      </c>
    </row>
    <row r="1080" spans="4:10" x14ac:dyDescent="0.25">
      <c r="D1080" s="4">
        <v>33427</v>
      </c>
      <c r="E1080" s="6">
        <v>18.98</v>
      </c>
      <c r="G1080" s="4">
        <f t="shared" si="67"/>
        <v>39465</v>
      </c>
      <c r="H1080" s="5">
        <f t="shared" si="64"/>
        <v>89.66</v>
      </c>
      <c r="I1080" s="5">
        <f t="shared" si="65"/>
        <v>1</v>
      </c>
      <c r="J1080" s="5">
        <f t="shared" si="66"/>
        <v>2008</v>
      </c>
    </row>
    <row r="1081" spans="4:10" x14ac:dyDescent="0.25">
      <c r="D1081" s="4">
        <v>33428</v>
      </c>
      <c r="E1081" s="6">
        <v>19.03</v>
      </c>
      <c r="G1081" s="4">
        <f t="shared" si="67"/>
        <v>39472</v>
      </c>
      <c r="H1081" s="5">
        <f t="shared" si="64"/>
        <v>90.96</v>
      </c>
      <c r="I1081" s="5">
        <f t="shared" si="65"/>
        <v>1</v>
      </c>
      <c r="J1081" s="5">
        <f t="shared" si="66"/>
        <v>2008</v>
      </c>
    </row>
    <row r="1082" spans="4:10" x14ac:dyDescent="0.25">
      <c r="D1082" s="4">
        <v>33429</v>
      </c>
      <c r="E1082" s="6">
        <v>19.23</v>
      </c>
      <c r="G1082" s="4">
        <f t="shared" si="67"/>
        <v>39479</v>
      </c>
      <c r="H1082" s="5">
        <f t="shared" si="64"/>
        <v>91.41</v>
      </c>
      <c r="I1082" s="5">
        <f t="shared" si="65"/>
        <v>2</v>
      </c>
      <c r="J1082" s="5">
        <f t="shared" si="66"/>
        <v>2008</v>
      </c>
    </row>
    <row r="1083" spans="4:10" x14ac:dyDescent="0.25">
      <c r="D1083" s="4">
        <v>33430</v>
      </c>
      <c r="E1083" s="6">
        <v>19.2</v>
      </c>
      <c r="G1083" s="4">
        <f t="shared" si="67"/>
        <v>39486</v>
      </c>
      <c r="H1083" s="5">
        <f t="shared" si="64"/>
        <v>91.45</v>
      </c>
      <c r="I1083" s="5">
        <f t="shared" si="65"/>
        <v>2</v>
      </c>
      <c r="J1083" s="5">
        <f t="shared" si="66"/>
        <v>2008</v>
      </c>
    </row>
    <row r="1084" spans="4:10" x14ac:dyDescent="0.25">
      <c r="D1084" s="4">
        <v>33431</v>
      </c>
      <c r="E1084" s="6">
        <v>19.78</v>
      </c>
      <c r="G1084" s="4">
        <f t="shared" si="67"/>
        <v>39493</v>
      </c>
      <c r="H1084" s="5">
        <f t="shared" si="64"/>
        <v>96.96</v>
      </c>
      <c r="I1084" s="5">
        <f t="shared" si="65"/>
        <v>2</v>
      </c>
      <c r="J1084" s="5">
        <f t="shared" si="66"/>
        <v>2008</v>
      </c>
    </row>
    <row r="1085" spans="4:10" x14ac:dyDescent="0.25">
      <c r="D1085" s="4">
        <v>33434</v>
      </c>
      <c r="E1085" s="6">
        <v>19.600000000000001</v>
      </c>
      <c r="G1085" s="4">
        <f t="shared" si="67"/>
        <v>39500</v>
      </c>
      <c r="H1085" s="5">
        <f t="shared" si="64"/>
        <v>96.07</v>
      </c>
      <c r="I1085" s="5">
        <f t="shared" si="65"/>
        <v>2</v>
      </c>
      <c r="J1085" s="5">
        <f t="shared" si="66"/>
        <v>2008</v>
      </c>
    </row>
    <row r="1086" spans="4:10" x14ac:dyDescent="0.25">
      <c r="D1086" s="4">
        <v>33435</v>
      </c>
      <c r="E1086" s="6">
        <v>19.829999999999998</v>
      </c>
      <c r="G1086" s="4">
        <f t="shared" si="67"/>
        <v>39507</v>
      </c>
      <c r="H1086" s="5">
        <f t="shared" si="64"/>
        <v>100.9</v>
      </c>
      <c r="I1086" s="5">
        <f t="shared" si="65"/>
        <v>2</v>
      </c>
      <c r="J1086" s="5">
        <f t="shared" si="66"/>
        <v>2008</v>
      </c>
    </row>
    <row r="1087" spans="4:10" x14ac:dyDescent="0.25">
      <c r="D1087" s="4">
        <v>33436</v>
      </c>
      <c r="E1087" s="6">
        <v>20.13</v>
      </c>
      <c r="G1087" s="4">
        <f t="shared" si="67"/>
        <v>39514</v>
      </c>
      <c r="H1087" s="5">
        <f t="shared" si="64"/>
        <v>104.66</v>
      </c>
      <c r="I1087" s="5">
        <f t="shared" si="65"/>
        <v>3</v>
      </c>
      <c r="J1087" s="5">
        <f t="shared" si="66"/>
        <v>2008</v>
      </c>
    </row>
    <row r="1088" spans="4:10" x14ac:dyDescent="0.25">
      <c r="D1088" s="4">
        <v>33437</v>
      </c>
      <c r="E1088" s="6">
        <v>20.28</v>
      </c>
      <c r="G1088" s="4">
        <f t="shared" si="67"/>
        <v>39521</v>
      </c>
      <c r="H1088" s="5">
        <f t="shared" si="64"/>
        <v>109.16</v>
      </c>
      <c r="I1088" s="5">
        <f t="shared" si="65"/>
        <v>3</v>
      </c>
      <c r="J1088" s="5">
        <f t="shared" si="66"/>
        <v>2008</v>
      </c>
    </row>
    <row r="1089" spans="4:10" x14ac:dyDescent="0.25">
      <c r="D1089" s="4">
        <v>33438</v>
      </c>
      <c r="E1089" s="6">
        <v>20.28</v>
      </c>
      <c r="G1089" s="4">
        <f t="shared" si="67"/>
        <v>39528</v>
      </c>
      <c r="H1089" s="5">
        <f t="shared" si="64"/>
        <v>0</v>
      </c>
      <c r="I1089" s="5">
        <f t="shared" si="65"/>
        <v>3</v>
      </c>
      <c r="J1089" s="5">
        <f t="shared" si="66"/>
        <v>2008</v>
      </c>
    </row>
    <row r="1090" spans="4:10" x14ac:dyDescent="0.25">
      <c r="D1090" s="4">
        <v>33441</v>
      </c>
      <c r="E1090" s="6">
        <v>20.079999999999998</v>
      </c>
      <c r="G1090" s="4">
        <f t="shared" si="67"/>
        <v>39535</v>
      </c>
      <c r="H1090" s="5">
        <f t="shared" si="64"/>
        <v>102.68</v>
      </c>
      <c r="I1090" s="5">
        <f t="shared" si="65"/>
        <v>3</v>
      </c>
      <c r="J1090" s="5">
        <f t="shared" si="66"/>
        <v>2008</v>
      </c>
    </row>
    <row r="1091" spans="4:10" x14ac:dyDescent="0.25">
      <c r="D1091" s="4">
        <v>33442</v>
      </c>
      <c r="E1091" s="6">
        <v>19.579999999999998</v>
      </c>
      <c r="G1091" s="4">
        <f t="shared" si="67"/>
        <v>39542</v>
      </c>
      <c r="H1091" s="5">
        <f t="shared" ref="H1091:H1154" si="68">_xlfn.XLOOKUP(G1091,D:D,E:E)</f>
        <v>102.21</v>
      </c>
      <c r="I1091" s="5">
        <f t="shared" ref="I1091:I1154" si="69">MONTH(G1091)</f>
        <v>4</v>
      </c>
      <c r="J1091" s="5">
        <f t="shared" ref="J1091:J1154" si="70">YEAR(G1091)</f>
        <v>2008</v>
      </c>
    </row>
    <row r="1092" spans="4:10" x14ac:dyDescent="0.25">
      <c r="D1092" s="4">
        <v>33443</v>
      </c>
      <c r="E1092" s="6">
        <v>19.329999999999998</v>
      </c>
      <c r="G1092" s="4">
        <f t="shared" ref="G1092:G1155" si="71">G1091+7</f>
        <v>39549</v>
      </c>
      <c r="H1092" s="5">
        <f t="shared" si="68"/>
        <v>107.15</v>
      </c>
      <c r="I1092" s="5">
        <f t="shared" si="69"/>
        <v>4</v>
      </c>
      <c r="J1092" s="5">
        <f t="shared" si="70"/>
        <v>2008</v>
      </c>
    </row>
    <row r="1093" spans="4:10" x14ac:dyDescent="0.25">
      <c r="D1093" s="4">
        <v>33444</v>
      </c>
      <c r="E1093" s="6">
        <v>19.600000000000001</v>
      </c>
      <c r="G1093" s="4">
        <f t="shared" si="71"/>
        <v>39556</v>
      </c>
      <c r="H1093" s="5">
        <f t="shared" si="68"/>
        <v>110.67</v>
      </c>
      <c r="I1093" s="5">
        <f t="shared" si="69"/>
        <v>4</v>
      </c>
      <c r="J1093" s="5">
        <f t="shared" si="70"/>
        <v>2008</v>
      </c>
    </row>
    <row r="1094" spans="4:10" x14ac:dyDescent="0.25">
      <c r="D1094" s="4">
        <v>33445</v>
      </c>
      <c r="E1094" s="6">
        <v>19.73</v>
      </c>
      <c r="G1094" s="4">
        <f t="shared" si="71"/>
        <v>39563</v>
      </c>
      <c r="H1094" s="5">
        <f t="shared" si="68"/>
        <v>116.62</v>
      </c>
      <c r="I1094" s="5">
        <f t="shared" si="69"/>
        <v>4</v>
      </c>
      <c r="J1094" s="5">
        <f t="shared" si="70"/>
        <v>2008</v>
      </c>
    </row>
    <row r="1095" spans="4:10" x14ac:dyDescent="0.25">
      <c r="D1095" s="4">
        <v>33448</v>
      </c>
      <c r="E1095" s="6">
        <v>19.579999999999998</v>
      </c>
      <c r="G1095" s="4">
        <f t="shared" si="71"/>
        <v>39570</v>
      </c>
      <c r="H1095" s="5">
        <f t="shared" si="68"/>
        <v>111.92</v>
      </c>
      <c r="I1095" s="5">
        <f t="shared" si="69"/>
        <v>5</v>
      </c>
      <c r="J1095" s="5">
        <f t="shared" si="70"/>
        <v>2008</v>
      </c>
    </row>
    <row r="1096" spans="4:10" x14ac:dyDescent="0.25">
      <c r="D1096" s="4">
        <v>33449</v>
      </c>
      <c r="E1096" s="6">
        <v>19.48</v>
      </c>
      <c r="G1096" s="4">
        <f t="shared" si="71"/>
        <v>39577</v>
      </c>
      <c r="H1096" s="5">
        <f t="shared" si="68"/>
        <v>123.54</v>
      </c>
      <c r="I1096" s="5">
        <f t="shared" si="69"/>
        <v>5</v>
      </c>
      <c r="J1096" s="5">
        <f t="shared" si="70"/>
        <v>2008</v>
      </c>
    </row>
    <row r="1097" spans="4:10" x14ac:dyDescent="0.25">
      <c r="D1097" s="4">
        <v>33450</v>
      </c>
      <c r="E1097" s="6">
        <v>19.649999999999999</v>
      </c>
      <c r="G1097" s="4">
        <f t="shared" si="71"/>
        <v>39584</v>
      </c>
      <c r="H1097" s="5">
        <f t="shared" si="68"/>
        <v>122.98</v>
      </c>
      <c r="I1097" s="5">
        <f t="shared" si="69"/>
        <v>5</v>
      </c>
      <c r="J1097" s="5">
        <f t="shared" si="70"/>
        <v>2008</v>
      </c>
    </row>
    <row r="1098" spans="4:10" x14ac:dyDescent="0.25">
      <c r="D1098" s="4">
        <v>33451</v>
      </c>
      <c r="E1098" s="6">
        <v>19.73</v>
      </c>
      <c r="G1098" s="4">
        <f t="shared" si="71"/>
        <v>39591</v>
      </c>
      <c r="H1098" s="5">
        <f t="shared" si="68"/>
        <v>129.72</v>
      </c>
      <c r="I1098" s="5">
        <f t="shared" si="69"/>
        <v>5</v>
      </c>
      <c r="J1098" s="5">
        <f t="shared" si="70"/>
        <v>2008</v>
      </c>
    </row>
    <row r="1099" spans="4:10" x14ac:dyDescent="0.25">
      <c r="D1099" s="4">
        <v>33452</v>
      </c>
      <c r="E1099" s="6">
        <v>19.399999999999999</v>
      </c>
      <c r="G1099" s="4">
        <f t="shared" si="71"/>
        <v>39598</v>
      </c>
      <c r="H1099" s="5">
        <f t="shared" si="68"/>
        <v>127.85</v>
      </c>
      <c r="I1099" s="5">
        <f t="shared" si="69"/>
        <v>5</v>
      </c>
      <c r="J1099" s="5">
        <f t="shared" si="70"/>
        <v>2008</v>
      </c>
    </row>
    <row r="1100" spans="4:10" x14ac:dyDescent="0.25">
      <c r="D1100" s="4">
        <v>33455</v>
      </c>
      <c r="E1100" s="6">
        <v>19.5</v>
      </c>
      <c r="G1100" s="4">
        <f t="shared" si="71"/>
        <v>39605</v>
      </c>
      <c r="H1100" s="5">
        <f t="shared" si="68"/>
        <v>132.81</v>
      </c>
      <c r="I1100" s="5">
        <f t="shared" si="69"/>
        <v>6</v>
      </c>
      <c r="J1100" s="5">
        <f t="shared" si="70"/>
        <v>2008</v>
      </c>
    </row>
    <row r="1101" spans="4:10" x14ac:dyDescent="0.25">
      <c r="D1101" s="4">
        <v>33456</v>
      </c>
      <c r="E1101" s="6">
        <v>19.45</v>
      </c>
      <c r="G1101" s="4">
        <f t="shared" si="71"/>
        <v>39612</v>
      </c>
      <c r="H1101" s="5">
        <f t="shared" si="68"/>
        <v>134.29</v>
      </c>
      <c r="I1101" s="5">
        <f t="shared" si="69"/>
        <v>6</v>
      </c>
      <c r="J1101" s="5">
        <f t="shared" si="70"/>
        <v>2008</v>
      </c>
    </row>
    <row r="1102" spans="4:10" x14ac:dyDescent="0.25">
      <c r="D1102" s="4">
        <v>33457</v>
      </c>
      <c r="E1102" s="6">
        <v>19.350000000000001</v>
      </c>
      <c r="G1102" s="4">
        <f t="shared" si="71"/>
        <v>39619</v>
      </c>
      <c r="H1102" s="5">
        <f t="shared" si="68"/>
        <v>134.28</v>
      </c>
      <c r="I1102" s="5">
        <f t="shared" si="69"/>
        <v>6</v>
      </c>
      <c r="J1102" s="5">
        <f t="shared" si="70"/>
        <v>2008</v>
      </c>
    </row>
    <row r="1103" spans="4:10" x14ac:dyDescent="0.25">
      <c r="D1103" s="4">
        <v>33458</v>
      </c>
      <c r="E1103" s="6">
        <v>19.7</v>
      </c>
      <c r="G1103" s="4">
        <f t="shared" si="71"/>
        <v>39626</v>
      </c>
      <c r="H1103" s="5">
        <f t="shared" si="68"/>
        <v>139.38</v>
      </c>
      <c r="I1103" s="5">
        <f t="shared" si="69"/>
        <v>6</v>
      </c>
      <c r="J1103" s="5">
        <f t="shared" si="70"/>
        <v>2008</v>
      </c>
    </row>
    <row r="1104" spans="4:10" x14ac:dyDescent="0.25">
      <c r="D1104" s="4">
        <v>33459</v>
      </c>
      <c r="E1104" s="6">
        <v>19.579999999999998</v>
      </c>
      <c r="G1104" s="4">
        <f t="shared" si="71"/>
        <v>39633</v>
      </c>
      <c r="H1104" s="5">
        <f t="shared" si="68"/>
        <v>0</v>
      </c>
      <c r="I1104" s="5">
        <f t="shared" si="69"/>
        <v>7</v>
      </c>
      <c r="J1104" s="5">
        <f t="shared" si="70"/>
        <v>2008</v>
      </c>
    </row>
    <row r="1105" spans="4:10" x14ac:dyDescent="0.25">
      <c r="D1105" s="4">
        <v>33462</v>
      </c>
      <c r="E1105" s="6">
        <v>19.63</v>
      </c>
      <c r="G1105" s="4">
        <f t="shared" si="71"/>
        <v>39640</v>
      </c>
      <c r="H1105" s="5">
        <f t="shared" si="68"/>
        <v>143.68</v>
      </c>
      <c r="I1105" s="5">
        <f t="shared" si="69"/>
        <v>7</v>
      </c>
      <c r="J1105" s="5">
        <f t="shared" si="70"/>
        <v>2008</v>
      </c>
    </row>
    <row r="1106" spans="4:10" x14ac:dyDescent="0.25">
      <c r="D1106" s="4">
        <v>33463</v>
      </c>
      <c r="E1106" s="6">
        <v>19.5</v>
      </c>
      <c r="G1106" s="4">
        <f t="shared" si="71"/>
        <v>39647</v>
      </c>
      <c r="H1106" s="5">
        <f t="shared" si="68"/>
        <v>129.34</v>
      </c>
      <c r="I1106" s="5">
        <f t="shared" si="69"/>
        <v>7</v>
      </c>
      <c r="J1106" s="5">
        <f t="shared" si="70"/>
        <v>2008</v>
      </c>
    </row>
    <row r="1107" spans="4:10" x14ac:dyDescent="0.25">
      <c r="D1107" s="4">
        <v>33464</v>
      </c>
      <c r="E1107" s="6">
        <v>19.23</v>
      </c>
      <c r="G1107" s="4">
        <f t="shared" si="71"/>
        <v>39654</v>
      </c>
      <c r="H1107" s="5">
        <f t="shared" si="68"/>
        <v>124.7</v>
      </c>
      <c r="I1107" s="5">
        <f t="shared" si="69"/>
        <v>7</v>
      </c>
      <c r="J1107" s="5">
        <f t="shared" si="70"/>
        <v>2008</v>
      </c>
    </row>
    <row r="1108" spans="4:10" x14ac:dyDescent="0.25">
      <c r="D1108" s="4">
        <v>33465</v>
      </c>
      <c r="E1108" s="6">
        <v>19.25</v>
      </c>
      <c r="G1108" s="4">
        <f t="shared" si="71"/>
        <v>39661</v>
      </c>
      <c r="H1108" s="5">
        <f t="shared" si="68"/>
        <v>124.16</v>
      </c>
      <c r="I1108" s="5">
        <f t="shared" si="69"/>
        <v>8</v>
      </c>
      <c r="J1108" s="5">
        <f t="shared" si="70"/>
        <v>2008</v>
      </c>
    </row>
    <row r="1109" spans="4:10" x14ac:dyDescent="0.25">
      <c r="D1109" s="4">
        <v>33466</v>
      </c>
      <c r="E1109" s="6">
        <v>19.350000000000001</v>
      </c>
      <c r="G1109" s="4">
        <f t="shared" si="71"/>
        <v>39668</v>
      </c>
      <c r="H1109" s="5">
        <f t="shared" si="68"/>
        <v>113.03</v>
      </c>
      <c r="I1109" s="5">
        <f t="shared" si="69"/>
        <v>8</v>
      </c>
      <c r="J1109" s="5">
        <f t="shared" si="70"/>
        <v>2008</v>
      </c>
    </row>
    <row r="1110" spans="4:10" x14ac:dyDescent="0.25">
      <c r="D1110" s="4">
        <v>33469</v>
      </c>
      <c r="E1110" s="6">
        <v>20.55</v>
      </c>
      <c r="G1110" s="4">
        <f t="shared" si="71"/>
        <v>39675</v>
      </c>
      <c r="H1110" s="5">
        <f t="shared" si="68"/>
        <v>108.8</v>
      </c>
      <c r="I1110" s="5">
        <f t="shared" si="69"/>
        <v>8</v>
      </c>
      <c r="J1110" s="5">
        <f t="shared" si="70"/>
        <v>2008</v>
      </c>
    </row>
    <row r="1111" spans="4:10" x14ac:dyDescent="0.25">
      <c r="D1111" s="4">
        <v>33470</v>
      </c>
      <c r="E1111" s="6">
        <v>20.98</v>
      </c>
      <c r="G1111" s="4">
        <f t="shared" si="71"/>
        <v>39682</v>
      </c>
      <c r="H1111" s="5">
        <f t="shared" si="68"/>
        <v>113.99</v>
      </c>
      <c r="I1111" s="5">
        <f t="shared" si="69"/>
        <v>8</v>
      </c>
      <c r="J1111" s="5">
        <f t="shared" si="70"/>
        <v>2008</v>
      </c>
    </row>
    <row r="1112" spans="4:10" x14ac:dyDescent="0.25">
      <c r="D1112" s="4">
        <v>33471</v>
      </c>
      <c r="E1112" s="6">
        <v>19.55</v>
      </c>
      <c r="G1112" s="4">
        <f t="shared" si="71"/>
        <v>39689</v>
      </c>
      <c r="H1112" s="5">
        <f t="shared" si="68"/>
        <v>113.49</v>
      </c>
      <c r="I1112" s="5">
        <f t="shared" si="69"/>
        <v>8</v>
      </c>
      <c r="J1112" s="5">
        <f t="shared" si="70"/>
        <v>2008</v>
      </c>
    </row>
    <row r="1113" spans="4:10" x14ac:dyDescent="0.25">
      <c r="D1113" s="4">
        <v>33472</v>
      </c>
      <c r="E1113" s="6">
        <v>19.53</v>
      </c>
      <c r="G1113" s="4">
        <f t="shared" si="71"/>
        <v>39696</v>
      </c>
      <c r="H1113" s="5">
        <f t="shared" si="68"/>
        <v>102.51</v>
      </c>
      <c r="I1113" s="5">
        <f t="shared" si="69"/>
        <v>9</v>
      </c>
      <c r="J1113" s="5">
        <f t="shared" si="70"/>
        <v>2008</v>
      </c>
    </row>
    <row r="1114" spans="4:10" x14ac:dyDescent="0.25">
      <c r="D1114" s="4">
        <v>33473</v>
      </c>
      <c r="E1114" s="6">
        <v>19.850000000000001</v>
      </c>
      <c r="G1114" s="4">
        <f t="shared" si="71"/>
        <v>39703</v>
      </c>
      <c r="H1114" s="5">
        <f t="shared" si="68"/>
        <v>94.37</v>
      </c>
      <c r="I1114" s="5">
        <f t="shared" si="69"/>
        <v>9</v>
      </c>
      <c r="J1114" s="5">
        <f t="shared" si="70"/>
        <v>2008</v>
      </c>
    </row>
    <row r="1115" spans="4:10" x14ac:dyDescent="0.25">
      <c r="D1115" s="4">
        <v>33476</v>
      </c>
      <c r="E1115" s="6">
        <v>20.03</v>
      </c>
      <c r="G1115" s="4">
        <f t="shared" si="71"/>
        <v>39710</v>
      </c>
      <c r="H1115" s="5">
        <f t="shared" si="68"/>
        <v>93.46</v>
      </c>
      <c r="I1115" s="5">
        <f t="shared" si="69"/>
        <v>9</v>
      </c>
      <c r="J1115" s="5">
        <f t="shared" si="70"/>
        <v>2008</v>
      </c>
    </row>
    <row r="1116" spans="4:10" x14ac:dyDescent="0.25">
      <c r="D1116" s="4">
        <v>33477</v>
      </c>
      <c r="E1116" s="6">
        <v>20.03</v>
      </c>
      <c r="G1116" s="4">
        <f t="shared" si="71"/>
        <v>39717</v>
      </c>
      <c r="H1116" s="5">
        <f t="shared" si="68"/>
        <v>100.88</v>
      </c>
      <c r="I1116" s="5">
        <f t="shared" si="69"/>
        <v>9</v>
      </c>
      <c r="J1116" s="5">
        <f t="shared" si="70"/>
        <v>2008</v>
      </c>
    </row>
    <row r="1117" spans="4:10" x14ac:dyDescent="0.25">
      <c r="D1117" s="4">
        <v>33478</v>
      </c>
      <c r="E1117" s="6">
        <v>19.98</v>
      </c>
      <c r="G1117" s="4">
        <f t="shared" si="71"/>
        <v>39724</v>
      </c>
      <c r="H1117" s="5">
        <f t="shared" si="68"/>
        <v>88.95</v>
      </c>
      <c r="I1117" s="5">
        <f t="shared" si="69"/>
        <v>10</v>
      </c>
      <c r="J1117" s="5">
        <f t="shared" si="70"/>
        <v>2008</v>
      </c>
    </row>
    <row r="1118" spans="4:10" x14ac:dyDescent="0.25">
      <c r="D1118" s="4">
        <v>33479</v>
      </c>
      <c r="E1118" s="6">
        <v>20.3</v>
      </c>
      <c r="G1118" s="4">
        <f t="shared" si="71"/>
        <v>39731</v>
      </c>
      <c r="H1118" s="5">
        <f t="shared" si="68"/>
        <v>74.58</v>
      </c>
      <c r="I1118" s="5">
        <f t="shared" si="69"/>
        <v>10</v>
      </c>
      <c r="J1118" s="5">
        <f t="shared" si="70"/>
        <v>2008</v>
      </c>
    </row>
    <row r="1119" spans="4:10" x14ac:dyDescent="0.25">
      <c r="D1119" s="4">
        <v>33480</v>
      </c>
      <c r="E1119" s="6">
        <v>20.53</v>
      </c>
      <c r="G1119" s="4">
        <f t="shared" si="71"/>
        <v>39738</v>
      </c>
      <c r="H1119" s="5">
        <f t="shared" si="68"/>
        <v>66.05</v>
      </c>
      <c r="I1119" s="5">
        <f t="shared" si="69"/>
        <v>10</v>
      </c>
      <c r="J1119" s="5">
        <f t="shared" si="70"/>
        <v>2008</v>
      </c>
    </row>
    <row r="1120" spans="4:10" x14ac:dyDescent="0.25">
      <c r="D1120" s="4">
        <v>33483</v>
      </c>
      <c r="E1120" s="6">
        <v>20.65</v>
      </c>
      <c r="G1120" s="4">
        <f t="shared" si="71"/>
        <v>39745</v>
      </c>
      <c r="H1120" s="5">
        <f t="shared" si="68"/>
        <v>60.57</v>
      </c>
      <c r="I1120" s="5">
        <f t="shared" si="69"/>
        <v>10</v>
      </c>
      <c r="J1120" s="5">
        <f t="shared" si="70"/>
        <v>2008</v>
      </c>
    </row>
    <row r="1121" spans="4:10" x14ac:dyDescent="0.25">
      <c r="D1121" s="4">
        <v>33484</v>
      </c>
      <c r="E1121" s="6">
        <v>20.55</v>
      </c>
      <c r="G1121" s="4">
        <f t="shared" si="71"/>
        <v>39752</v>
      </c>
      <c r="H1121" s="5">
        <f t="shared" si="68"/>
        <v>60</v>
      </c>
      <c r="I1121" s="5">
        <f t="shared" si="69"/>
        <v>10</v>
      </c>
      <c r="J1121" s="5">
        <f t="shared" si="70"/>
        <v>2008</v>
      </c>
    </row>
    <row r="1122" spans="4:10" x14ac:dyDescent="0.25">
      <c r="D1122" s="4">
        <v>33485</v>
      </c>
      <c r="E1122" s="6">
        <v>20.25</v>
      </c>
      <c r="G1122" s="4">
        <f t="shared" si="71"/>
        <v>39759</v>
      </c>
      <c r="H1122" s="5">
        <f t="shared" si="68"/>
        <v>56.84</v>
      </c>
      <c r="I1122" s="5">
        <f t="shared" si="69"/>
        <v>11</v>
      </c>
      <c r="J1122" s="5">
        <f t="shared" si="70"/>
        <v>2008</v>
      </c>
    </row>
    <row r="1123" spans="4:10" x14ac:dyDescent="0.25">
      <c r="D1123" s="4">
        <v>33486</v>
      </c>
      <c r="E1123" s="6">
        <v>20.100000000000001</v>
      </c>
      <c r="G1123" s="4">
        <f t="shared" si="71"/>
        <v>39766</v>
      </c>
      <c r="H1123" s="5">
        <f t="shared" si="68"/>
        <v>50.7</v>
      </c>
      <c r="I1123" s="5">
        <f t="shared" si="69"/>
        <v>11</v>
      </c>
      <c r="J1123" s="5">
        <f t="shared" si="70"/>
        <v>2008</v>
      </c>
    </row>
    <row r="1124" spans="4:10" x14ac:dyDescent="0.25">
      <c r="D1124" s="4">
        <v>33487</v>
      </c>
      <c r="E1124" s="6">
        <v>20.13</v>
      </c>
      <c r="G1124" s="4">
        <f t="shared" si="71"/>
        <v>39773</v>
      </c>
      <c r="H1124" s="5">
        <f t="shared" si="68"/>
        <v>44.91</v>
      </c>
      <c r="I1124" s="5">
        <f t="shared" si="69"/>
        <v>11</v>
      </c>
      <c r="J1124" s="5">
        <f t="shared" si="70"/>
        <v>2008</v>
      </c>
    </row>
    <row r="1125" spans="4:10" x14ac:dyDescent="0.25">
      <c r="D1125" s="4">
        <v>33490</v>
      </c>
      <c r="E1125" s="6">
        <v>19.850000000000001</v>
      </c>
      <c r="G1125" s="4">
        <f t="shared" si="71"/>
        <v>39780</v>
      </c>
      <c r="H1125" s="5">
        <f t="shared" si="68"/>
        <v>47.72</v>
      </c>
      <c r="I1125" s="5">
        <f t="shared" si="69"/>
        <v>11</v>
      </c>
      <c r="J1125" s="5">
        <f t="shared" si="70"/>
        <v>2008</v>
      </c>
    </row>
    <row r="1126" spans="4:10" x14ac:dyDescent="0.25">
      <c r="D1126" s="4">
        <v>33491</v>
      </c>
      <c r="E1126" s="6">
        <v>19.93</v>
      </c>
      <c r="G1126" s="4">
        <f t="shared" si="71"/>
        <v>39787</v>
      </c>
      <c r="H1126" s="5">
        <f t="shared" si="68"/>
        <v>37.04</v>
      </c>
      <c r="I1126" s="5">
        <f t="shared" si="69"/>
        <v>12</v>
      </c>
      <c r="J1126" s="5">
        <f t="shared" si="70"/>
        <v>2008</v>
      </c>
    </row>
    <row r="1127" spans="4:10" x14ac:dyDescent="0.25">
      <c r="D1127" s="4">
        <v>33492</v>
      </c>
      <c r="E1127" s="6">
        <v>20</v>
      </c>
      <c r="G1127" s="4">
        <f t="shared" si="71"/>
        <v>39794</v>
      </c>
      <c r="H1127" s="5">
        <f t="shared" si="68"/>
        <v>42.38</v>
      </c>
      <c r="I1127" s="5">
        <f t="shared" si="69"/>
        <v>12</v>
      </c>
      <c r="J1127" s="5">
        <f t="shared" si="70"/>
        <v>2008</v>
      </c>
    </row>
    <row r="1128" spans="4:10" x14ac:dyDescent="0.25">
      <c r="D1128" s="4">
        <v>33493</v>
      </c>
      <c r="E1128" s="6">
        <v>20.25</v>
      </c>
      <c r="G1128" s="4">
        <f t="shared" si="71"/>
        <v>39801</v>
      </c>
      <c r="H1128" s="5">
        <f t="shared" si="68"/>
        <v>39.520000000000003</v>
      </c>
      <c r="I1128" s="5">
        <f t="shared" si="69"/>
        <v>12</v>
      </c>
      <c r="J1128" s="5">
        <f t="shared" si="70"/>
        <v>2008</v>
      </c>
    </row>
    <row r="1129" spans="4:10" x14ac:dyDescent="0.25">
      <c r="D1129" s="4">
        <v>33494</v>
      </c>
      <c r="E1129" s="6">
        <v>20.350000000000001</v>
      </c>
      <c r="G1129" s="4">
        <f t="shared" si="71"/>
        <v>39808</v>
      </c>
      <c r="H1129" s="5">
        <f t="shared" si="68"/>
        <v>33.729999999999997</v>
      </c>
      <c r="I1129" s="5">
        <f t="shared" si="69"/>
        <v>12</v>
      </c>
      <c r="J1129" s="5">
        <f t="shared" si="70"/>
        <v>2008</v>
      </c>
    </row>
    <row r="1130" spans="4:10" x14ac:dyDescent="0.25">
      <c r="D1130" s="4">
        <v>33497</v>
      </c>
      <c r="E1130" s="6">
        <v>20.53</v>
      </c>
      <c r="G1130" s="4">
        <f t="shared" si="71"/>
        <v>39815</v>
      </c>
      <c r="H1130" s="5">
        <f t="shared" si="68"/>
        <v>42.94</v>
      </c>
      <c r="I1130" s="5">
        <f t="shared" si="69"/>
        <v>1</v>
      </c>
      <c r="J1130" s="5">
        <f t="shared" si="70"/>
        <v>2009</v>
      </c>
    </row>
    <row r="1131" spans="4:10" x14ac:dyDescent="0.25">
      <c r="D1131" s="4">
        <v>33498</v>
      </c>
      <c r="E1131" s="6">
        <v>20.3</v>
      </c>
      <c r="G1131" s="4">
        <f t="shared" si="71"/>
        <v>39822</v>
      </c>
      <c r="H1131" s="5">
        <f t="shared" si="68"/>
        <v>42.34</v>
      </c>
      <c r="I1131" s="5">
        <f t="shared" si="69"/>
        <v>1</v>
      </c>
      <c r="J1131" s="5">
        <f t="shared" si="70"/>
        <v>2009</v>
      </c>
    </row>
    <row r="1132" spans="4:10" x14ac:dyDescent="0.25">
      <c r="D1132" s="4">
        <v>33499</v>
      </c>
      <c r="E1132" s="6">
        <v>20.53</v>
      </c>
      <c r="G1132" s="4">
        <f t="shared" si="71"/>
        <v>39829</v>
      </c>
      <c r="H1132" s="5">
        <f t="shared" si="68"/>
        <v>43.42</v>
      </c>
      <c r="I1132" s="5">
        <f t="shared" si="69"/>
        <v>1</v>
      </c>
      <c r="J1132" s="5">
        <f t="shared" si="70"/>
        <v>2009</v>
      </c>
    </row>
    <row r="1133" spans="4:10" x14ac:dyDescent="0.25">
      <c r="D1133" s="4">
        <v>33500</v>
      </c>
      <c r="E1133" s="6">
        <v>20.43</v>
      </c>
      <c r="G1133" s="4">
        <f t="shared" si="71"/>
        <v>39836</v>
      </c>
      <c r="H1133" s="5">
        <f t="shared" si="68"/>
        <v>43.13</v>
      </c>
      <c r="I1133" s="5">
        <f t="shared" si="69"/>
        <v>1</v>
      </c>
      <c r="J1133" s="5">
        <f t="shared" si="70"/>
        <v>2009</v>
      </c>
    </row>
    <row r="1134" spans="4:10" x14ac:dyDescent="0.25">
      <c r="D1134" s="4">
        <v>33501</v>
      </c>
      <c r="E1134" s="6">
        <v>20.55</v>
      </c>
      <c r="G1134" s="4">
        <f t="shared" si="71"/>
        <v>39843</v>
      </c>
      <c r="H1134" s="5">
        <f t="shared" si="68"/>
        <v>44.17</v>
      </c>
      <c r="I1134" s="5">
        <f t="shared" si="69"/>
        <v>1</v>
      </c>
      <c r="J1134" s="5">
        <f t="shared" si="70"/>
        <v>2009</v>
      </c>
    </row>
    <row r="1135" spans="4:10" x14ac:dyDescent="0.25">
      <c r="D1135" s="4">
        <v>33504</v>
      </c>
      <c r="E1135" s="6">
        <v>20.83</v>
      </c>
      <c r="G1135" s="4">
        <f t="shared" si="71"/>
        <v>39850</v>
      </c>
      <c r="H1135" s="5">
        <f t="shared" si="68"/>
        <v>44.49</v>
      </c>
      <c r="I1135" s="5">
        <f t="shared" si="69"/>
        <v>2</v>
      </c>
      <c r="J1135" s="5">
        <f t="shared" si="70"/>
        <v>2009</v>
      </c>
    </row>
    <row r="1136" spans="4:10" x14ac:dyDescent="0.25">
      <c r="D1136" s="4">
        <v>33505</v>
      </c>
      <c r="E1136" s="6">
        <v>20.75</v>
      </c>
      <c r="G1136" s="4">
        <f t="shared" si="71"/>
        <v>39857</v>
      </c>
      <c r="H1136" s="5">
        <f t="shared" si="68"/>
        <v>43.36</v>
      </c>
      <c r="I1136" s="5">
        <f t="shared" si="69"/>
        <v>2</v>
      </c>
      <c r="J1136" s="5">
        <f t="shared" si="70"/>
        <v>2009</v>
      </c>
    </row>
    <row r="1137" spans="4:10" x14ac:dyDescent="0.25">
      <c r="D1137" s="4">
        <v>33506</v>
      </c>
      <c r="E1137" s="6">
        <v>20.65</v>
      </c>
      <c r="G1137" s="4">
        <f t="shared" si="71"/>
        <v>39864</v>
      </c>
      <c r="H1137" s="5">
        <f t="shared" si="68"/>
        <v>42.19</v>
      </c>
      <c r="I1137" s="5">
        <f t="shared" si="69"/>
        <v>2</v>
      </c>
      <c r="J1137" s="5">
        <f t="shared" si="70"/>
        <v>2009</v>
      </c>
    </row>
    <row r="1138" spans="4:10" x14ac:dyDescent="0.25">
      <c r="D1138" s="4">
        <v>33507</v>
      </c>
      <c r="E1138" s="6">
        <v>21</v>
      </c>
      <c r="G1138" s="4">
        <f t="shared" si="71"/>
        <v>39871</v>
      </c>
      <c r="H1138" s="5">
        <f t="shared" si="68"/>
        <v>44.41</v>
      </c>
      <c r="I1138" s="5">
        <f t="shared" si="69"/>
        <v>2</v>
      </c>
      <c r="J1138" s="5">
        <f t="shared" si="70"/>
        <v>2009</v>
      </c>
    </row>
    <row r="1139" spans="4:10" x14ac:dyDescent="0.25">
      <c r="D1139" s="4">
        <v>33508</v>
      </c>
      <c r="E1139" s="6">
        <v>21.48</v>
      </c>
      <c r="G1139" s="4">
        <f t="shared" si="71"/>
        <v>39878</v>
      </c>
      <c r="H1139" s="5">
        <f t="shared" si="68"/>
        <v>43.48</v>
      </c>
      <c r="I1139" s="5">
        <f t="shared" si="69"/>
        <v>3</v>
      </c>
      <c r="J1139" s="5">
        <f t="shared" si="70"/>
        <v>2009</v>
      </c>
    </row>
    <row r="1140" spans="4:10" x14ac:dyDescent="0.25">
      <c r="D1140" s="4">
        <v>33511</v>
      </c>
      <c r="E1140" s="6">
        <v>21.43</v>
      </c>
      <c r="G1140" s="4">
        <f t="shared" si="71"/>
        <v>39885</v>
      </c>
      <c r="H1140" s="5">
        <f t="shared" si="68"/>
        <v>44.97</v>
      </c>
      <c r="I1140" s="5">
        <f t="shared" si="69"/>
        <v>3</v>
      </c>
      <c r="J1140" s="5">
        <f t="shared" si="70"/>
        <v>2009</v>
      </c>
    </row>
    <row r="1141" spans="4:10" x14ac:dyDescent="0.25">
      <c r="D1141" s="4">
        <v>33512</v>
      </c>
      <c r="E1141" s="6">
        <v>21.15</v>
      </c>
      <c r="G1141" s="4">
        <f t="shared" si="71"/>
        <v>39892</v>
      </c>
      <c r="H1141" s="5">
        <f t="shared" si="68"/>
        <v>49.27</v>
      </c>
      <c r="I1141" s="5">
        <f t="shared" si="69"/>
        <v>3</v>
      </c>
      <c r="J1141" s="5">
        <f t="shared" si="70"/>
        <v>2009</v>
      </c>
    </row>
    <row r="1142" spans="4:10" x14ac:dyDescent="0.25">
      <c r="D1142" s="4">
        <v>33513</v>
      </c>
      <c r="E1142" s="6">
        <v>21.3</v>
      </c>
      <c r="G1142" s="4">
        <f t="shared" si="71"/>
        <v>39899</v>
      </c>
      <c r="H1142" s="5">
        <f t="shared" si="68"/>
        <v>50.81</v>
      </c>
      <c r="I1142" s="5">
        <f t="shared" si="69"/>
        <v>3</v>
      </c>
      <c r="J1142" s="5">
        <f t="shared" si="70"/>
        <v>2009</v>
      </c>
    </row>
    <row r="1143" spans="4:10" x14ac:dyDescent="0.25">
      <c r="D1143" s="4">
        <v>33514</v>
      </c>
      <c r="E1143" s="6">
        <v>21.75</v>
      </c>
      <c r="G1143" s="4">
        <f t="shared" si="71"/>
        <v>39906</v>
      </c>
      <c r="H1143" s="5">
        <f t="shared" si="68"/>
        <v>50.48</v>
      </c>
      <c r="I1143" s="5">
        <f t="shared" si="69"/>
        <v>4</v>
      </c>
      <c r="J1143" s="5">
        <f t="shared" si="70"/>
        <v>2009</v>
      </c>
    </row>
    <row r="1144" spans="4:10" x14ac:dyDescent="0.25">
      <c r="D1144" s="4">
        <v>33515</v>
      </c>
      <c r="E1144" s="6">
        <v>21.83</v>
      </c>
      <c r="G1144" s="4">
        <f t="shared" si="71"/>
        <v>39913</v>
      </c>
      <c r="H1144" s="5">
        <f t="shared" si="68"/>
        <v>0</v>
      </c>
      <c r="I1144" s="5">
        <f t="shared" si="69"/>
        <v>4</v>
      </c>
      <c r="J1144" s="5">
        <f t="shared" si="70"/>
        <v>2009</v>
      </c>
    </row>
    <row r="1145" spans="4:10" x14ac:dyDescent="0.25">
      <c r="D1145" s="4">
        <v>33518</v>
      </c>
      <c r="E1145" s="6">
        <v>21.98</v>
      </c>
      <c r="G1145" s="4">
        <f t="shared" si="71"/>
        <v>39920</v>
      </c>
      <c r="H1145" s="5">
        <f t="shared" si="68"/>
        <v>52.02</v>
      </c>
      <c r="I1145" s="5">
        <f t="shared" si="69"/>
        <v>4</v>
      </c>
      <c r="J1145" s="5">
        <f t="shared" si="70"/>
        <v>2009</v>
      </c>
    </row>
    <row r="1146" spans="4:10" x14ac:dyDescent="0.25">
      <c r="D1146" s="4">
        <v>33519</v>
      </c>
      <c r="E1146" s="6">
        <v>21.95</v>
      </c>
      <c r="G1146" s="4">
        <f t="shared" si="71"/>
        <v>39927</v>
      </c>
      <c r="H1146" s="5">
        <f t="shared" si="68"/>
        <v>50.29</v>
      </c>
      <c r="I1146" s="5">
        <f t="shared" si="69"/>
        <v>4</v>
      </c>
      <c r="J1146" s="5">
        <f t="shared" si="70"/>
        <v>2009</v>
      </c>
    </row>
    <row r="1147" spans="4:10" x14ac:dyDescent="0.25">
      <c r="D1147" s="4">
        <v>33520</v>
      </c>
      <c r="E1147" s="6">
        <v>22.43</v>
      </c>
      <c r="G1147" s="4">
        <f t="shared" si="71"/>
        <v>39934</v>
      </c>
      <c r="H1147" s="5">
        <f t="shared" si="68"/>
        <v>51.75</v>
      </c>
      <c r="I1147" s="5">
        <f t="shared" si="69"/>
        <v>5</v>
      </c>
      <c r="J1147" s="5">
        <f t="shared" si="70"/>
        <v>2009</v>
      </c>
    </row>
    <row r="1148" spans="4:10" x14ac:dyDescent="0.25">
      <c r="D1148" s="4">
        <v>33521</v>
      </c>
      <c r="E1148" s="6">
        <v>22.13</v>
      </c>
      <c r="G1148" s="4">
        <f t="shared" si="71"/>
        <v>39941</v>
      </c>
      <c r="H1148" s="5">
        <f t="shared" si="68"/>
        <v>56.02</v>
      </c>
      <c r="I1148" s="5">
        <f t="shared" si="69"/>
        <v>5</v>
      </c>
      <c r="J1148" s="5">
        <f t="shared" si="70"/>
        <v>2009</v>
      </c>
    </row>
    <row r="1149" spans="4:10" x14ac:dyDescent="0.25">
      <c r="D1149" s="4">
        <v>33522</v>
      </c>
      <c r="E1149" s="6">
        <v>22.08</v>
      </c>
      <c r="G1149" s="4">
        <f t="shared" si="71"/>
        <v>39948</v>
      </c>
      <c r="H1149" s="5">
        <f t="shared" si="68"/>
        <v>56.33</v>
      </c>
      <c r="I1149" s="5">
        <f t="shared" si="69"/>
        <v>5</v>
      </c>
      <c r="J1149" s="5">
        <f t="shared" si="70"/>
        <v>2009</v>
      </c>
    </row>
    <row r="1150" spans="4:10" x14ac:dyDescent="0.25">
      <c r="D1150" s="4">
        <v>33525</v>
      </c>
      <c r="E1150" s="6">
        <v>22.6</v>
      </c>
      <c r="G1150" s="4">
        <f t="shared" si="71"/>
        <v>39955</v>
      </c>
      <c r="H1150" s="5">
        <f t="shared" si="68"/>
        <v>58.7</v>
      </c>
      <c r="I1150" s="5">
        <f t="shared" si="69"/>
        <v>5</v>
      </c>
      <c r="J1150" s="5">
        <f t="shared" si="70"/>
        <v>2009</v>
      </c>
    </row>
    <row r="1151" spans="4:10" x14ac:dyDescent="0.25">
      <c r="D1151" s="4">
        <v>33526</v>
      </c>
      <c r="E1151" s="6">
        <v>22.83</v>
      </c>
      <c r="G1151" s="4">
        <f t="shared" si="71"/>
        <v>39962</v>
      </c>
      <c r="H1151" s="5">
        <f t="shared" si="68"/>
        <v>64.98</v>
      </c>
      <c r="I1151" s="5">
        <f t="shared" si="69"/>
        <v>5</v>
      </c>
      <c r="J1151" s="5">
        <f t="shared" si="70"/>
        <v>2009</v>
      </c>
    </row>
    <row r="1152" spans="4:10" x14ac:dyDescent="0.25">
      <c r="D1152" s="4">
        <v>33527</v>
      </c>
      <c r="E1152" s="6">
        <v>22.6</v>
      </c>
      <c r="G1152" s="4">
        <f t="shared" si="71"/>
        <v>39969</v>
      </c>
      <c r="H1152" s="5">
        <f t="shared" si="68"/>
        <v>67.77</v>
      </c>
      <c r="I1152" s="5">
        <f t="shared" si="69"/>
        <v>6</v>
      </c>
      <c r="J1152" s="5">
        <f t="shared" si="70"/>
        <v>2009</v>
      </c>
    </row>
    <row r="1153" spans="4:10" x14ac:dyDescent="0.25">
      <c r="D1153" s="4">
        <v>33528</v>
      </c>
      <c r="E1153" s="6">
        <v>22.73</v>
      </c>
      <c r="G1153" s="4">
        <f t="shared" si="71"/>
        <v>39976</v>
      </c>
      <c r="H1153" s="5">
        <f t="shared" si="68"/>
        <v>70.62</v>
      </c>
      <c r="I1153" s="5">
        <f t="shared" si="69"/>
        <v>6</v>
      </c>
      <c r="J1153" s="5">
        <f t="shared" si="70"/>
        <v>2009</v>
      </c>
    </row>
    <row r="1154" spans="4:10" x14ac:dyDescent="0.25">
      <c r="D1154" s="4">
        <v>33529</v>
      </c>
      <c r="E1154" s="6">
        <v>23</v>
      </c>
      <c r="G1154" s="4">
        <f t="shared" si="71"/>
        <v>39983</v>
      </c>
      <c r="H1154" s="5">
        <f t="shared" si="68"/>
        <v>70.48</v>
      </c>
      <c r="I1154" s="5">
        <f t="shared" si="69"/>
        <v>6</v>
      </c>
      <c r="J1154" s="5">
        <f t="shared" si="70"/>
        <v>2009</v>
      </c>
    </row>
    <row r="1155" spans="4:10" x14ac:dyDescent="0.25">
      <c r="D1155" s="4">
        <v>33532</v>
      </c>
      <c r="E1155" s="6">
        <v>22.95</v>
      </c>
      <c r="G1155" s="4">
        <f t="shared" si="71"/>
        <v>39990</v>
      </c>
      <c r="H1155" s="5">
        <f t="shared" ref="H1155:H1218" si="72">_xlfn.XLOOKUP(G1155,D:D,E:E)</f>
        <v>68.099999999999994</v>
      </c>
      <c r="I1155" s="5">
        <f t="shared" ref="I1155:I1218" si="73">MONTH(G1155)</f>
        <v>6</v>
      </c>
      <c r="J1155" s="5">
        <f t="shared" ref="J1155:J1218" si="74">YEAR(G1155)</f>
        <v>2009</v>
      </c>
    </row>
    <row r="1156" spans="4:10" x14ac:dyDescent="0.25">
      <c r="D1156" s="4">
        <v>33533</v>
      </c>
      <c r="E1156" s="6">
        <v>22.65</v>
      </c>
      <c r="G1156" s="4">
        <f t="shared" ref="G1156:G1219" si="75">G1155+7</f>
        <v>39997</v>
      </c>
      <c r="H1156" s="5">
        <f t="shared" si="72"/>
        <v>0</v>
      </c>
      <c r="I1156" s="5">
        <f t="shared" si="73"/>
        <v>7</v>
      </c>
      <c r="J1156" s="5">
        <f t="shared" si="74"/>
        <v>2009</v>
      </c>
    </row>
    <row r="1157" spans="4:10" x14ac:dyDescent="0.25">
      <c r="D1157" s="4">
        <v>33534</v>
      </c>
      <c r="E1157" s="6">
        <v>22.48</v>
      </c>
      <c r="G1157" s="4">
        <f t="shared" si="75"/>
        <v>40004</v>
      </c>
      <c r="H1157" s="5">
        <f t="shared" si="72"/>
        <v>58.43</v>
      </c>
      <c r="I1157" s="5">
        <f t="shared" si="73"/>
        <v>7</v>
      </c>
      <c r="J1157" s="5">
        <f t="shared" si="74"/>
        <v>2009</v>
      </c>
    </row>
    <row r="1158" spans="4:10" x14ac:dyDescent="0.25">
      <c r="D1158" s="4">
        <v>33535</v>
      </c>
      <c r="E1158" s="6">
        <v>22.25</v>
      </c>
      <c r="G1158" s="4">
        <f t="shared" si="75"/>
        <v>40011</v>
      </c>
      <c r="H1158" s="5">
        <f t="shared" si="72"/>
        <v>63.54</v>
      </c>
      <c r="I1158" s="5">
        <f t="shared" si="73"/>
        <v>7</v>
      </c>
      <c r="J1158" s="5">
        <f t="shared" si="74"/>
        <v>2009</v>
      </c>
    </row>
    <row r="1159" spans="4:10" x14ac:dyDescent="0.25">
      <c r="D1159" s="4">
        <v>33536</v>
      </c>
      <c r="E1159" s="6">
        <v>22.35</v>
      </c>
      <c r="G1159" s="4">
        <f t="shared" si="75"/>
        <v>40018</v>
      </c>
      <c r="H1159" s="5">
        <f t="shared" si="72"/>
        <v>68.819999999999993</v>
      </c>
      <c r="I1159" s="5">
        <f t="shared" si="73"/>
        <v>7</v>
      </c>
      <c r="J1159" s="5">
        <f t="shared" si="74"/>
        <v>2009</v>
      </c>
    </row>
    <row r="1160" spans="4:10" x14ac:dyDescent="0.25">
      <c r="D1160" s="4">
        <v>33539</v>
      </c>
      <c r="E1160" s="6">
        <v>21.9</v>
      </c>
      <c r="G1160" s="4">
        <f t="shared" si="75"/>
        <v>40025</v>
      </c>
      <c r="H1160" s="5">
        <f t="shared" si="72"/>
        <v>70.08</v>
      </c>
      <c r="I1160" s="5">
        <f t="shared" si="73"/>
        <v>7</v>
      </c>
      <c r="J1160" s="5">
        <f t="shared" si="74"/>
        <v>2009</v>
      </c>
    </row>
    <row r="1161" spans="4:10" x14ac:dyDescent="0.25">
      <c r="D1161" s="4">
        <v>33540</v>
      </c>
      <c r="E1161" s="6">
        <v>21.85</v>
      </c>
      <c r="G1161" s="4">
        <f t="shared" si="75"/>
        <v>40032</v>
      </c>
      <c r="H1161" s="5">
        <f t="shared" si="72"/>
        <v>74.209999999999994</v>
      </c>
      <c r="I1161" s="5">
        <f t="shared" si="73"/>
        <v>8</v>
      </c>
      <c r="J1161" s="5">
        <f t="shared" si="74"/>
        <v>2009</v>
      </c>
    </row>
    <row r="1162" spans="4:10" x14ac:dyDescent="0.25">
      <c r="D1162" s="4">
        <v>33541</v>
      </c>
      <c r="E1162" s="6">
        <v>21.95</v>
      </c>
      <c r="G1162" s="4">
        <f t="shared" si="75"/>
        <v>40039</v>
      </c>
      <c r="H1162" s="5">
        <f t="shared" si="72"/>
        <v>71.33</v>
      </c>
      <c r="I1162" s="5">
        <f t="shared" si="73"/>
        <v>8</v>
      </c>
      <c r="J1162" s="5">
        <f t="shared" si="74"/>
        <v>2009</v>
      </c>
    </row>
    <row r="1163" spans="4:10" x14ac:dyDescent="0.25">
      <c r="D1163" s="4">
        <v>33542</v>
      </c>
      <c r="E1163" s="6">
        <v>22</v>
      </c>
      <c r="G1163" s="4">
        <f t="shared" si="75"/>
        <v>40046</v>
      </c>
      <c r="H1163" s="5">
        <f t="shared" si="72"/>
        <v>73.709999999999994</v>
      </c>
      <c r="I1163" s="5">
        <f t="shared" si="73"/>
        <v>8</v>
      </c>
      <c r="J1163" s="5">
        <f t="shared" si="74"/>
        <v>2009</v>
      </c>
    </row>
    <row r="1164" spans="4:10" x14ac:dyDescent="0.25">
      <c r="D1164" s="4">
        <v>33543</v>
      </c>
      <c r="E1164" s="6">
        <v>22.53</v>
      </c>
      <c r="G1164" s="4">
        <f t="shared" si="75"/>
        <v>40053</v>
      </c>
      <c r="H1164" s="5">
        <f t="shared" si="72"/>
        <v>72.8</v>
      </c>
      <c r="I1164" s="5">
        <f t="shared" si="73"/>
        <v>8</v>
      </c>
      <c r="J1164" s="5">
        <f t="shared" si="74"/>
        <v>2009</v>
      </c>
    </row>
    <row r="1165" spans="4:10" x14ac:dyDescent="0.25">
      <c r="D1165" s="4">
        <v>33546</v>
      </c>
      <c r="E1165" s="6">
        <v>22.73</v>
      </c>
      <c r="G1165" s="4">
        <f t="shared" si="75"/>
        <v>40060</v>
      </c>
      <c r="H1165" s="5">
        <f t="shared" si="72"/>
        <v>65.84</v>
      </c>
      <c r="I1165" s="5">
        <f t="shared" si="73"/>
        <v>9</v>
      </c>
      <c r="J1165" s="5">
        <f t="shared" si="74"/>
        <v>2009</v>
      </c>
    </row>
    <row r="1166" spans="4:10" x14ac:dyDescent="0.25">
      <c r="D1166" s="4">
        <v>33547</v>
      </c>
      <c r="E1166" s="6">
        <v>22.53</v>
      </c>
      <c r="G1166" s="4">
        <f t="shared" si="75"/>
        <v>40067</v>
      </c>
      <c r="H1166" s="5">
        <f t="shared" si="72"/>
        <v>68.760000000000005</v>
      </c>
      <c r="I1166" s="5">
        <f t="shared" si="73"/>
        <v>9</v>
      </c>
      <c r="J1166" s="5">
        <f t="shared" si="74"/>
        <v>2009</v>
      </c>
    </row>
    <row r="1167" spans="4:10" x14ac:dyDescent="0.25">
      <c r="D1167" s="4">
        <v>33548</v>
      </c>
      <c r="E1167" s="6">
        <v>22</v>
      </c>
      <c r="G1167" s="4">
        <f t="shared" si="75"/>
        <v>40074</v>
      </c>
      <c r="H1167" s="5">
        <f t="shared" si="72"/>
        <v>70.72</v>
      </c>
      <c r="I1167" s="5">
        <f t="shared" si="73"/>
        <v>9</v>
      </c>
      <c r="J1167" s="5">
        <f t="shared" si="74"/>
        <v>2009</v>
      </c>
    </row>
    <row r="1168" spans="4:10" x14ac:dyDescent="0.25">
      <c r="D1168" s="4">
        <v>33549</v>
      </c>
      <c r="E1168" s="6">
        <v>21.85</v>
      </c>
      <c r="G1168" s="4">
        <f t="shared" si="75"/>
        <v>40081</v>
      </c>
      <c r="H1168" s="5">
        <f t="shared" si="72"/>
        <v>64.599999999999994</v>
      </c>
      <c r="I1168" s="5">
        <f t="shared" si="73"/>
        <v>9</v>
      </c>
      <c r="J1168" s="5">
        <f t="shared" si="74"/>
        <v>2009</v>
      </c>
    </row>
    <row r="1169" spans="4:10" x14ac:dyDescent="0.25">
      <c r="D1169" s="4">
        <v>33550</v>
      </c>
      <c r="E1169" s="6">
        <v>21.8</v>
      </c>
      <c r="G1169" s="4">
        <f t="shared" si="75"/>
        <v>40088</v>
      </c>
      <c r="H1169" s="5">
        <f t="shared" si="72"/>
        <v>66.5</v>
      </c>
      <c r="I1169" s="5">
        <f t="shared" si="73"/>
        <v>10</v>
      </c>
      <c r="J1169" s="5">
        <f t="shared" si="74"/>
        <v>2009</v>
      </c>
    </row>
    <row r="1170" spans="4:10" x14ac:dyDescent="0.25">
      <c r="D1170" s="4">
        <v>33553</v>
      </c>
      <c r="E1170" s="6">
        <v>21.45</v>
      </c>
      <c r="G1170" s="4">
        <f t="shared" si="75"/>
        <v>40095</v>
      </c>
      <c r="H1170" s="5">
        <f t="shared" si="72"/>
        <v>69.45</v>
      </c>
      <c r="I1170" s="5">
        <f t="shared" si="73"/>
        <v>10</v>
      </c>
      <c r="J1170" s="5">
        <f t="shared" si="74"/>
        <v>2009</v>
      </c>
    </row>
    <row r="1171" spans="4:10" x14ac:dyDescent="0.25">
      <c r="D1171" s="4">
        <v>33554</v>
      </c>
      <c r="E1171" s="6">
        <v>21.2</v>
      </c>
      <c r="G1171" s="4">
        <f t="shared" si="75"/>
        <v>40102</v>
      </c>
      <c r="H1171" s="5">
        <f t="shared" si="72"/>
        <v>74.58</v>
      </c>
      <c r="I1171" s="5">
        <f t="shared" si="73"/>
        <v>10</v>
      </c>
      <c r="J1171" s="5">
        <f t="shared" si="74"/>
        <v>2009</v>
      </c>
    </row>
    <row r="1172" spans="4:10" x14ac:dyDescent="0.25">
      <c r="D1172" s="4">
        <v>33555</v>
      </c>
      <c r="E1172" s="6">
        <v>21.5</v>
      </c>
      <c r="G1172" s="4">
        <f t="shared" si="75"/>
        <v>40109</v>
      </c>
      <c r="H1172" s="5">
        <f t="shared" si="72"/>
        <v>77.72</v>
      </c>
      <c r="I1172" s="5">
        <f t="shared" si="73"/>
        <v>10</v>
      </c>
      <c r="J1172" s="5">
        <f t="shared" si="74"/>
        <v>2009</v>
      </c>
    </row>
    <row r="1173" spans="4:10" x14ac:dyDescent="0.25">
      <c r="D1173" s="4">
        <v>33556</v>
      </c>
      <c r="E1173" s="6">
        <v>21</v>
      </c>
      <c r="G1173" s="4">
        <f t="shared" si="75"/>
        <v>40116</v>
      </c>
      <c r="H1173" s="5">
        <f t="shared" si="72"/>
        <v>74.91</v>
      </c>
      <c r="I1173" s="5">
        <f t="shared" si="73"/>
        <v>10</v>
      </c>
      <c r="J1173" s="5">
        <f t="shared" si="74"/>
        <v>2009</v>
      </c>
    </row>
    <row r="1174" spans="4:10" x14ac:dyDescent="0.25">
      <c r="D1174" s="4">
        <v>33557</v>
      </c>
      <c r="E1174" s="6">
        <v>21.63</v>
      </c>
      <c r="G1174" s="4">
        <f t="shared" si="75"/>
        <v>40123</v>
      </c>
      <c r="H1174" s="5">
        <f t="shared" si="72"/>
        <v>75.510000000000005</v>
      </c>
      <c r="I1174" s="5">
        <f t="shared" si="73"/>
        <v>11</v>
      </c>
      <c r="J1174" s="5">
        <f t="shared" si="74"/>
        <v>2009</v>
      </c>
    </row>
    <row r="1175" spans="4:10" x14ac:dyDescent="0.25">
      <c r="D1175" s="4">
        <v>33560</v>
      </c>
      <c r="E1175" s="6">
        <v>21.35</v>
      </c>
      <c r="G1175" s="4">
        <f t="shared" si="75"/>
        <v>40130</v>
      </c>
      <c r="H1175" s="5">
        <f t="shared" si="72"/>
        <v>74.81</v>
      </c>
      <c r="I1175" s="5">
        <f t="shared" si="73"/>
        <v>11</v>
      </c>
      <c r="J1175" s="5">
        <f t="shared" si="74"/>
        <v>2009</v>
      </c>
    </row>
    <row r="1176" spans="4:10" x14ac:dyDescent="0.25">
      <c r="D1176" s="4">
        <v>33561</v>
      </c>
      <c r="E1176" s="6">
        <v>21.08</v>
      </c>
      <c r="G1176" s="4">
        <f t="shared" si="75"/>
        <v>40137</v>
      </c>
      <c r="H1176" s="5">
        <f t="shared" si="72"/>
        <v>75.61</v>
      </c>
      <c r="I1176" s="5">
        <f t="shared" si="73"/>
        <v>11</v>
      </c>
      <c r="J1176" s="5">
        <f t="shared" si="74"/>
        <v>2009</v>
      </c>
    </row>
    <row r="1177" spans="4:10" x14ac:dyDescent="0.25">
      <c r="D1177" s="4">
        <v>33562</v>
      </c>
      <c r="E1177" s="6">
        <v>20.48</v>
      </c>
      <c r="G1177" s="4">
        <f t="shared" si="75"/>
        <v>40144</v>
      </c>
      <c r="H1177" s="5">
        <f t="shared" si="72"/>
        <v>76</v>
      </c>
      <c r="I1177" s="5">
        <f t="shared" si="73"/>
        <v>11</v>
      </c>
      <c r="J1177" s="5">
        <f t="shared" si="74"/>
        <v>2009</v>
      </c>
    </row>
    <row r="1178" spans="4:10" x14ac:dyDescent="0.25">
      <c r="D1178" s="4">
        <v>33563</v>
      </c>
      <c r="E1178" s="6">
        <v>20.73</v>
      </c>
      <c r="G1178" s="4">
        <f t="shared" si="75"/>
        <v>40151</v>
      </c>
      <c r="H1178" s="5">
        <f t="shared" si="72"/>
        <v>77.739999999999995</v>
      </c>
      <c r="I1178" s="5">
        <f t="shared" si="73"/>
        <v>12</v>
      </c>
      <c r="J1178" s="5">
        <f t="shared" si="74"/>
        <v>2009</v>
      </c>
    </row>
    <row r="1179" spans="4:10" x14ac:dyDescent="0.25">
      <c r="D1179" s="4">
        <v>33564</v>
      </c>
      <c r="E1179" s="6">
        <v>20.149999999999999</v>
      </c>
      <c r="G1179" s="4">
        <f t="shared" si="75"/>
        <v>40158</v>
      </c>
      <c r="H1179" s="5">
        <f t="shared" si="72"/>
        <v>70.069999999999993</v>
      </c>
      <c r="I1179" s="5">
        <f t="shared" si="73"/>
        <v>12</v>
      </c>
      <c r="J1179" s="5">
        <f t="shared" si="74"/>
        <v>2009</v>
      </c>
    </row>
    <row r="1180" spans="4:10" x14ac:dyDescent="0.25">
      <c r="D1180" s="4">
        <v>33567</v>
      </c>
      <c r="E1180" s="6">
        <v>19.78</v>
      </c>
      <c r="G1180" s="4">
        <f t="shared" si="75"/>
        <v>40165</v>
      </c>
      <c r="H1180" s="5">
        <f t="shared" si="72"/>
        <v>71.87</v>
      </c>
      <c r="I1180" s="5">
        <f t="shared" si="73"/>
        <v>12</v>
      </c>
      <c r="J1180" s="5">
        <f t="shared" si="74"/>
        <v>2009</v>
      </c>
    </row>
    <row r="1181" spans="4:10" x14ac:dyDescent="0.25">
      <c r="D1181" s="4">
        <v>33568</v>
      </c>
      <c r="E1181" s="6">
        <v>19.78</v>
      </c>
      <c r="G1181" s="4">
        <f t="shared" si="75"/>
        <v>40172</v>
      </c>
      <c r="H1181" s="5">
        <f t="shared" si="72"/>
        <v>0</v>
      </c>
      <c r="I1181" s="5">
        <f t="shared" si="73"/>
        <v>12</v>
      </c>
      <c r="J1181" s="5">
        <f t="shared" si="74"/>
        <v>2009</v>
      </c>
    </row>
    <row r="1182" spans="4:10" x14ac:dyDescent="0.25">
      <c r="D1182" s="4">
        <v>33569</v>
      </c>
      <c r="E1182" s="6">
        <v>19.649999999999999</v>
      </c>
      <c r="G1182" s="4">
        <f t="shared" si="75"/>
        <v>40179</v>
      </c>
      <c r="H1182" s="5">
        <f t="shared" si="72"/>
        <v>0</v>
      </c>
      <c r="I1182" s="5">
        <f t="shared" si="73"/>
        <v>1</v>
      </c>
      <c r="J1182" s="5">
        <f t="shared" si="74"/>
        <v>2010</v>
      </c>
    </row>
    <row r="1183" spans="4:10" x14ac:dyDescent="0.25">
      <c r="D1183" s="4">
        <v>33570</v>
      </c>
      <c r="E1183" s="6">
        <v>19.98</v>
      </c>
      <c r="G1183" s="4">
        <f t="shared" si="75"/>
        <v>40186</v>
      </c>
      <c r="H1183" s="5">
        <f t="shared" si="72"/>
        <v>80.06</v>
      </c>
      <c r="I1183" s="5">
        <f t="shared" si="73"/>
        <v>1</v>
      </c>
      <c r="J1183" s="5">
        <f t="shared" si="74"/>
        <v>2010</v>
      </c>
    </row>
    <row r="1184" spans="4:10" x14ac:dyDescent="0.25">
      <c r="D1184" s="4">
        <v>33571</v>
      </c>
      <c r="E1184" s="6">
        <v>20.079999999999998</v>
      </c>
      <c r="G1184" s="4">
        <f t="shared" si="75"/>
        <v>40193</v>
      </c>
      <c r="H1184" s="5">
        <f t="shared" si="72"/>
        <v>76.849999999999994</v>
      </c>
      <c r="I1184" s="5">
        <f t="shared" si="73"/>
        <v>1</v>
      </c>
      <c r="J1184" s="5">
        <f t="shared" si="74"/>
        <v>2010</v>
      </c>
    </row>
    <row r="1185" spans="4:10" x14ac:dyDescent="0.25">
      <c r="D1185" s="4">
        <v>33574</v>
      </c>
      <c r="E1185" s="6">
        <v>19.600000000000001</v>
      </c>
      <c r="G1185" s="4">
        <f t="shared" si="75"/>
        <v>40200</v>
      </c>
      <c r="H1185" s="5">
        <f t="shared" si="72"/>
        <v>72.73</v>
      </c>
      <c r="I1185" s="5">
        <f t="shared" si="73"/>
        <v>1</v>
      </c>
      <c r="J1185" s="5">
        <f t="shared" si="74"/>
        <v>2010</v>
      </c>
    </row>
    <row r="1186" spans="4:10" x14ac:dyDescent="0.25">
      <c r="D1186" s="4">
        <v>33575</v>
      </c>
      <c r="E1186" s="6">
        <v>19.2</v>
      </c>
      <c r="G1186" s="4">
        <f t="shared" si="75"/>
        <v>40207</v>
      </c>
      <c r="H1186" s="5">
        <f t="shared" si="72"/>
        <v>71.2</v>
      </c>
      <c r="I1186" s="5">
        <f t="shared" si="73"/>
        <v>1</v>
      </c>
      <c r="J1186" s="5">
        <f t="shared" si="74"/>
        <v>2010</v>
      </c>
    </row>
    <row r="1187" spans="4:10" x14ac:dyDescent="0.25">
      <c r="D1187" s="4">
        <v>33576</v>
      </c>
      <c r="E1187" s="6">
        <v>19.18</v>
      </c>
      <c r="G1187" s="4">
        <f t="shared" si="75"/>
        <v>40214</v>
      </c>
      <c r="H1187" s="5">
        <f t="shared" si="72"/>
        <v>70.11</v>
      </c>
      <c r="I1187" s="5">
        <f t="shared" si="73"/>
        <v>2</v>
      </c>
      <c r="J1187" s="5">
        <f t="shared" si="74"/>
        <v>2010</v>
      </c>
    </row>
    <row r="1188" spans="4:10" x14ac:dyDescent="0.25">
      <c r="D1188" s="4">
        <v>33577</v>
      </c>
      <c r="E1188" s="6">
        <v>19.149999999999999</v>
      </c>
      <c r="G1188" s="4">
        <f t="shared" si="75"/>
        <v>40221</v>
      </c>
      <c r="H1188" s="5">
        <f t="shared" si="72"/>
        <v>71.489999999999995</v>
      </c>
      <c r="I1188" s="5">
        <f t="shared" si="73"/>
        <v>2</v>
      </c>
      <c r="J1188" s="5">
        <f t="shared" si="74"/>
        <v>2010</v>
      </c>
    </row>
    <row r="1189" spans="4:10" x14ac:dyDescent="0.25">
      <c r="D1189" s="4">
        <v>33578</v>
      </c>
      <c r="E1189" s="6">
        <v>19.05</v>
      </c>
      <c r="G1189" s="4">
        <f t="shared" si="75"/>
        <v>40228</v>
      </c>
      <c r="H1189" s="5">
        <f t="shared" si="72"/>
        <v>76.88</v>
      </c>
      <c r="I1189" s="5">
        <f t="shared" si="73"/>
        <v>2</v>
      </c>
      <c r="J1189" s="5">
        <f t="shared" si="74"/>
        <v>2010</v>
      </c>
    </row>
    <row r="1190" spans="4:10" x14ac:dyDescent="0.25">
      <c r="D1190" s="4">
        <v>33581</v>
      </c>
      <c r="E1190" s="6">
        <v>18.25</v>
      </c>
      <c r="G1190" s="4">
        <f t="shared" si="75"/>
        <v>40235</v>
      </c>
      <c r="H1190" s="5">
        <f t="shared" si="72"/>
        <v>76.36</v>
      </c>
      <c r="I1190" s="5">
        <f t="shared" si="73"/>
        <v>2</v>
      </c>
      <c r="J1190" s="5">
        <f t="shared" si="74"/>
        <v>2010</v>
      </c>
    </row>
    <row r="1191" spans="4:10" x14ac:dyDescent="0.25">
      <c r="D1191" s="4">
        <v>33582</v>
      </c>
      <c r="E1191" s="6">
        <v>18.100000000000001</v>
      </c>
      <c r="G1191" s="4">
        <f t="shared" si="75"/>
        <v>40242</v>
      </c>
      <c r="H1191" s="5">
        <f t="shared" si="72"/>
        <v>79.2</v>
      </c>
      <c r="I1191" s="5">
        <f t="shared" si="73"/>
        <v>3</v>
      </c>
      <c r="J1191" s="5">
        <f t="shared" si="74"/>
        <v>2010</v>
      </c>
    </row>
    <row r="1192" spans="4:10" x14ac:dyDescent="0.25">
      <c r="D1192" s="4">
        <v>33583</v>
      </c>
      <c r="E1192" s="6">
        <v>18.28</v>
      </c>
      <c r="G1192" s="4">
        <f t="shared" si="75"/>
        <v>40249</v>
      </c>
      <c r="H1192" s="5">
        <f t="shared" si="72"/>
        <v>79.38</v>
      </c>
      <c r="I1192" s="5">
        <f t="shared" si="73"/>
        <v>3</v>
      </c>
      <c r="J1192" s="5">
        <f t="shared" si="74"/>
        <v>2010</v>
      </c>
    </row>
    <row r="1193" spans="4:10" x14ac:dyDescent="0.25">
      <c r="D1193" s="4">
        <v>33584</v>
      </c>
      <c r="E1193" s="6">
        <v>18.579999999999998</v>
      </c>
      <c r="G1193" s="4">
        <f t="shared" si="75"/>
        <v>40256</v>
      </c>
      <c r="H1193" s="5">
        <f t="shared" si="72"/>
        <v>78.37</v>
      </c>
      <c r="I1193" s="5">
        <f t="shared" si="73"/>
        <v>3</v>
      </c>
      <c r="J1193" s="5">
        <f t="shared" si="74"/>
        <v>2010</v>
      </c>
    </row>
    <row r="1194" spans="4:10" x14ac:dyDescent="0.25">
      <c r="D1194" s="4">
        <v>33585</v>
      </c>
      <c r="E1194" s="6">
        <v>19.05</v>
      </c>
      <c r="G1194" s="4">
        <f t="shared" si="75"/>
        <v>40263</v>
      </c>
      <c r="H1194" s="5">
        <f t="shared" si="72"/>
        <v>77.98</v>
      </c>
      <c r="I1194" s="5">
        <f t="shared" si="73"/>
        <v>3</v>
      </c>
      <c r="J1194" s="5">
        <f t="shared" si="74"/>
        <v>2010</v>
      </c>
    </row>
    <row r="1195" spans="4:10" x14ac:dyDescent="0.25">
      <c r="D1195" s="4">
        <v>33588</v>
      </c>
      <c r="E1195" s="6">
        <v>18.55</v>
      </c>
      <c r="G1195" s="4">
        <f t="shared" si="75"/>
        <v>40270</v>
      </c>
      <c r="H1195" s="5">
        <f t="shared" si="72"/>
        <v>0</v>
      </c>
      <c r="I1195" s="5">
        <f t="shared" si="73"/>
        <v>4</v>
      </c>
      <c r="J1195" s="5">
        <f t="shared" si="74"/>
        <v>2010</v>
      </c>
    </row>
    <row r="1196" spans="4:10" x14ac:dyDescent="0.25">
      <c r="D1196" s="4">
        <v>33589</v>
      </c>
      <c r="E1196" s="6">
        <v>18.13</v>
      </c>
      <c r="G1196" s="4">
        <f t="shared" si="75"/>
        <v>40277</v>
      </c>
      <c r="H1196" s="5">
        <f t="shared" si="72"/>
        <v>82.77</v>
      </c>
      <c r="I1196" s="5">
        <f t="shared" si="73"/>
        <v>4</v>
      </c>
      <c r="J1196" s="5">
        <f t="shared" si="74"/>
        <v>2010</v>
      </c>
    </row>
    <row r="1197" spans="4:10" x14ac:dyDescent="0.25">
      <c r="D1197" s="4">
        <v>33590</v>
      </c>
      <c r="E1197" s="6">
        <v>18.149999999999999</v>
      </c>
      <c r="G1197" s="4">
        <f t="shared" si="75"/>
        <v>40284</v>
      </c>
      <c r="H1197" s="5">
        <f t="shared" si="72"/>
        <v>84.81</v>
      </c>
      <c r="I1197" s="5">
        <f t="shared" si="73"/>
        <v>4</v>
      </c>
      <c r="J1197" s="5">
        <f t="shared" si="74"/>
        <v>2010</v>
      </c>
    </row>
    <row r="1198" spans="4:10" x14ac:dyDescent="0.25">
      <c r="D1198" s="4">
        <v>33591</v>
      </c>
      <c r="E1198" s="6">
        <v>18.149999999999999</v>
      </c>
      <c r="G1198" s="4">
        <f t="shared" si="75"/>
        <v>40291</v>
      </c>
      <c r="H1198" s="5">
        <f t="shared" si="72"/>
        <v>86.09</v>
      </c>
      <c r="I1198" s="5">
        <f t="shared" si="73"/>
        <v>4</v>
      </c>
      <c r="J1198" s="5">
        <f t="shared" si="74"/>
        <v>2010</v>
      </c>
    </row>
    <row r="1199" spans="4:10" x14ac:dyDescent="0.25">
      <c r="D1199" s="4">
        <v>33592</v>
      </c>
      <c r="E1199" s="6">
        <v>18.55</v>
      </c>
      <c r="G1199" s="4">
        <f t="shared" si="75"/>
        <v>40298</v>
      </c>
      <c r="H1199" s="5">
        <f t="shared" si="72"/>
        <v>86.19</v>
      </c>
      <c r="I1199" s="5">
        <f t="shared" si="73"/>
        <v>4</v>
      </c>
      <c r="J1199" s="5">
        <f t="shared" si="74"/>
        <v>2010</v>
      </c>
    </row>
    <row r="1200" spans="4:10" x14ac:dyDescent="0.25">
      <c r="D1200" s="4">
        <v>33595</v>
      </c>
      <c r="E1200" s="6">
        <v>17.600000000000001</v>
      </c>
      <c r="G1200" s="4">
        <f t="shared" si="75"/>
        <v>40305</v>
      </c>
      <c r="H1200" s="5">
        <f t="shared" si="72"/>
        <v>76.48</v>
      </c>
      <c r="I1200" s="5">
        <f t="shared" si="73"/>
        <v>5</v>
      </c>
      <c r="J1200" s="5">
        <f t="shared" si="74"/>
        <v>2010</v>
      </c>
    </row>
    <row r="1201" spans="4:10" x14ac:dyDescent="0.25">
      <c r="D1201" s="4">
        <v>33596</v>
      </c>
      <c r="E1201" s="6">
        <v>17.78</v>
      </c>
      <c r="G1201" s="4">
        <f t="shared" si="75"/>
        <v>40312</v>
      </c>
      <c r="H1201" s="5">
        <f t="shared" si="72"/>
        <v>76.430000000000007</v>
      </c>
      <c r="I1201" s="5">
        <f t="shared" si="73"/>
        <v>5</v>
      </c>
      <c r="J1201" s="5">
        <f t="shared" si="74"/>
        <v>2010</v>
      </c>
    </row>
    <row r="1202" spans="4:10" x14ac:dyDescent="0.25">
      <c r="D1202" s="4">
        <v>33597</v>
      </c>
      <c r="E1202" s="5"/>
      <c r="G1202" s="4">
        <f t="shared" si="75"/>
        <v>40319</v>
      </c>
      <c r="H1202" s="5">
        <f t="shared" si="72"/>
        <v>70.45</v>
      </c>
      <c r="I1202" s="5">
        <f t="shared" si="73"/>
        <v>5</v>
      </c>
      <c r="J1202" s="5">
        <f t="shared" si="74"/>
        <v>2010</v>
      </c>
    </row>
    <row r="1203" spans="4:10" x14ac:dyDescent="0.25">
      <c r="D1203" s="4">
        <v>33598</v>
      </c>
      <c r="E1203" s="6">
        <v>17.78</v>
      </c>
      <c r="G1203" s="4">
        <f t="shared" si="75"/>
        <v>40326</v>
      </c>
      <c r="H1203" s="5">
        <f t="shared" si="72"/>
        <v>73</v>
      </c>
      <c r="I1203" s="5">
        <f t="shared" si="73"/>
        <v>5</v>
      </c>
      <c r="J1203" s="5">
        <f t="shared" si="74"/>
        <v>2010</v>
      </c>
    </row>
    <row r="1204" spans="4:10" x14ac:dyDescent="0.25">
      <c r="D1204" s="4">
        <v>33599</v>
      </c>
      <c r="E1204" s="6">
        <v>17.75</v>
      </c>
      <c r="G1204" s="4">
        <f t="shared" si="75"/>
        <v>40333</v>
      </c>
      <c r="H1204" s="5">
        <f t="shared" si="72"/>
        <v>71.84</v>
      </c>
      <c r="I1204" s="5">
        <f t="shared" si="73"/>
        <v>6</v>
      </c>
      <c r="J1204" s="5">
        <f t="shared" si="74"/>
        <v>2010</v>
      </c>
    </row>
    <row r="1205" spans="4:10" x14ac:dyDescent="0.25">
      <c r="D1205" s="4">
        <v>33602</v>
      </c>
      <c r="E1205" s="6">
        <v>18</v>
      </c>
      <c r="G1205" s="4">
        <f t="shared" si="75"/>
        <v>40340</v>
      </c>
      <c r="H1205" s="5">
        <f t="shared" si="72"/>
        <v>73.28</v>
      </c>
      <c r="I1205" s="5">
        <f t="shared" si="73"/>
        <v>6</v>
      </c>
      <c r="J1205" s="5">
        <f t="shared" si="74"/>
        <v>2010</v>
      </c>
    </row>
    <row r="1206" spans="4:10" x14ac:dyDescent="0.25">
      <c r="D1206" s="4">
        <v>33603</v>
      </c>
      <c r="E1206" s="6">
        <v>17.75</v>
      </c>
      <c r="G1206" s="4">
        <f t="shared" si="75"/>
        <v>40347</v>
      </c>
      <c r="H1206" s="5">
        <f t="shared" si="72"/>
        <v>77.05</v>
      </c>
      <c r="I1206" s="5">
        <f t="shared" si="73"/>
        <v>6</v>
      </c>
      <c r="J1206" s="5">
        <f t="shared" si="74"/>
        <v>2010</v>
      </c>
    </row>
    <row r="1207" spans="4:10" x14ac:dyDescent="0.25">
      <c r="D1207" s="4">
        <v>33604</v>
      </c>
      <c r="E1207" s="5"/>
      <c r="G1207" s="4">
        <f t="shared" si="75"/>
        <v>40354</v>
      </c>
      <c r="H1207" s="5">
        <f t="shared" si="72"/>
        <v>76.209999999999994</v>
      </c>
      <c r="I1207" s="5">
        <f t="shared" si="73"/>
        <v>6</v>
      </c>
      <c r="J1207" s="5">
        <f t="shared" si="74"/>
        <v>2010</v>
      </c>
    </row>
    <row r="1208" spans="4:10" x14ac:dyDescent="0.25">
      <c r="D1208" s="4">
        <v>33605</v>
      </c>
      <c r="E1208" s="6">
        <v>18.45</v>
      </c>
      <c r="G1208" s="4">
        <f t="shared" si="75"/>
        <v>40361</v>
      </c>
      <c r="H1208" s="5">
        <f t="shared" si="72"/>
        <v>71.75</v>
      </c>
      <c r="I1208" s="5">
        <f t="shared" si="73"/>
        <v>7</v>
      </c>
      <c r="J1208" s="5">
        <f t="shared" si="74"/>
        <v>2010</v>
      </c>
    </row>
    <row r="1209" spans="4:10" x14ac:dyDescent="0.25">
      <c r="D1209" s="4">
        <v>33606</v>
      </c>
      <c r="E1209" s="6">
        <v>18.5</v>
      </c>
      <c r="G1209" s="4">
        <f t="shared" si="75"/>
        <v>40368</v>
      </c>
      <c r="H1209" s="5">
        <f t="shared" si="72"/>
        <v>75.2</v>
      </c>
      <c r="I1209" s="5">
        <f t="shared" si="73"/>
        <v>7</v>
      </c>
      <c r="J1209" s="5">
        <f t="shared" si="74"/>
        <v>2010</v>
      </c>
    </row>
    <row r="1210" spans="4:10" x14ac:dyDescent="0.25">
      <c r="D1210" s="4">
        <v>33609</v>
      </c>
      <c r="E1210" s="6">
        <v>18.75</v>
      </c>
      <c r="G1210" s="4">
        <f t="shared" si="75"/>
        <v>40375</v>
      </c>
      <c r="H1210" s="5">
        <f t="shared" si="72"/>
        <v>75.55</v>
      </c>
      <c r="I1210" s="5">
        <f t="shared" si="73"/>
        <v>7</v>
      </c>
      <c r="J1210" s="5">
        <f t="shared" si="74"/>
        <v>2010</v>
      </c>
    </row>
    <row r="1211" spans="4:10" x14ac:dyDescent="0.25">
      <c r="D1211" s="4">
        <v>33610</v>
      </c>
      <c r="E1211" s="6">
        <v>18.399999999999999</v>
      </c>
      <c r="G1211" s="4">
        <f t="shared" si="75"/>
        <v>40382</v>
      </c>
      <c r="H1211" s="5">
        <f t="shared" si="72"/>
        <v>77.27</v>
      </c>
      <c r="I1211" s="5">
        <f t="shared" si="73"/>
        <v>7</v>
      </c>
      <c r="J1211" s="5">
        <f t="shared" si="74"/>
        <v>2010</v>
      </c>
    </row>
    <row r="1212" spans="4:10" x14ac:dyDescent="0.25">
      <c r="D1212" s="4">
        <v>33611</v>
      </c>
      <c r="E1212" s="6">
        <v>17.3</v>
      </c>
      <c r="G1212" s="4">
        <f t="shared" si="75"/>
        <v>40389</v>
      </c>
      <c r="H1212" s="5">
        <f t="shared" si="72"/>
        <v>77.5</v>
      </c>
      <c r="I1212" s="5">
        <f t="shared" si="73"/>
        <v>7</v>
      </c>
      <c r="J1212" s="5">
        <f t="shared" si="74"/>
        <v>2010</v>
      </c>
    </row>
    <row r="1213" spans="4:10" x14ac:dyDescent="0.25">
      <c r="D1213" s="4">
        <v>33612</v>
      </c>
      <c r="E1213" s="6">
        <v>17.18</v>
      </c>
      <c r="G1213" s="4">
        <f t="shared" si="75"/>
        <v>40396</v>
      </c>
      <c r="H1213" s="5">
        <f t="shared" si="72"/>
        <v>81.28</v>
      </c>
      <c r="I1213" s="5">
        <f t="shared" si="73"/>
        <v>8</v>
      </c>
      <c r="J1213" s="5">
        <f t="shared" si="74"/>
        <v>2010</v>
      </c>
    </row>
    <row r="1214" spans="4:10" x14ac:dyDescent="0.25">
      <c r="D1214" s="4">
        <v>33613</v>
      </c>
      <c r="E1214" s="6">
        <v>17.23</v>
      </c>
      <c r="G1214" s="4">
        <f t="shared" si="75"/>
        <v>40403</v>
      </c>
      <c r="H1214" s="5">
        <f t="shared" si="72"/>
        <v>75.14</v>
      </c>
      <c r="I1214" s="5">
        <f t="shared" si="73"/>
        <v>8</v>
      </c>
      <c r="J1214" s="5">
        <f t="shared" si="74"/>
        <v>2010</v>
      </c>
    </row>
    <row r="1215" spans="4:10" x14ac:dyDescent="0.25">
      <c r="D1215" s="4">
        <v>33616</v>
      </c>
      <c r="E1215" s="6">
        <v>18.079999999999998</v>
      </c>
      <c r="G1215" s="4">
        <f t="shared" si="75"/>
        <v>40410</v>
      </c>
      <c r="H1215" s="5">
        <f t="shared" si="72"/>
        <v>73.48</v>
      </c>
      <c r="I1215" s="5">
        <f t="shared" si="73"/>
        <v>8</v>
      </c>
      <c r="J1215" s="5">
        <f t="shared" si="74"/>
        <v>2010</v>
      </c>
    </row>
    <row r="1216" spans="4:10" x14ac:dyDescent="0.25">
      <c r="D1216" s="4">
        <v>33617</v>
      </c>
      <c r="E1216" s="6">
        <v>18.23</v>
      </c>
      <c r="G1216" s="4">
        <f t="shared" si="75"/>
        <v>40417</v>
      </c>
      <c r="H1216" s="5">
        <f t="shared" si="72"/>
        <v>75.16</v>
      </c>
      <c r="I1216" s="5">
        <f t="shared" si="73"/>
        <v>8</v>
      </c>
      <c r="J1216" s="5">
        <f t="shared" si="74"/>
        <v>2010</v>
      </c>
    </row>
    <row r="1217" spans="4:10" x14ac:dyDescent="0.25">
      <c r="D1217" s="4">
        <v>33618</v>
      </c>
      <c r="E1217" s="6">
        <v>18.38</v>
      </c>
      <c r="G1217" s="4">
        <f t="shared" si="75"/>
        <v>40424</v>
      </c>
      <c r="H1217" s="5">
        <f t="shared" si="72"/>
        <v>75.03</v>
      </c>
      <c r="I1217" s="5">
        <f t="shared" si="73"/>
        <v>9</v>
      </c>
      <c r="J1217" s="5">
        <f t="shared" si="74"/>
        <v>2010</v>
      </c>
    </row>
    <row r="1218" spans="4:10" x14ac:dyDescent="0.25">
      <c r="D1218" s="4">
        <v>33619</v>
      </c>
      <c r="E1218" s="6">
        <v>18.68</v>
      </c>
      <c r="G1218" s="4">
        <f t="shared" si="75"/>
        <v>40431</v>
      </c>
      <c r="H1218" s="5">
        <f t="shared" si="72"/>
        <v>77.540000000000006</v>
      </c>
      <c r="I1218" s="5">
        <f t="shared" si="73"/>
        <v>9</v>
      </c>
      <c r="J1218" s="5">
        <f t="shared" si="74"/>
        <v>2010</v>
      </c>
    </row>
    <row r="1219" spans="4:10" x14ac:dyDescent="0.25">
      <c r="D1219" s="4">
        <v>33620</v>
      </c>
      <c r="E1219" s="6">
        <v>18.48</v>
      </c>
      <c r="G1219" s="4">
        <f t="shared" si="75"/>
        <v>40438</v>
      </c>
      <c r="H1219" s="5">
        <f t="shared" ref="H1219:H1282" si="76">_xlfn.XLOOKUP(G1219,D:D,E:E)</f>
        <v>77.430000000000007</v>
      </c>
      <c r="I1219" s="5">
        <f t="shared" ref="I1219:I1282" si="77">MONTH(G1219)</f>
        <v>9</v>
      </c>
      <c r="J1219" s="5">
        <f t="shared" ref="J1219:J1282" si="78">YEAR(G1219)</f>
        <v>2010</v>
      </c>
    </row>
    <row r="1220" spans="4:10" x14ac:dyDescent="0.25">
      <c r="D1220" s="4">
        <v>33623</v>
      </c>
      <c r="E1220" s="6">
        <v>18.45</v>
      </c>
      <c r="G1220" s="4">
        <f t="shared" ref="G1220:G1283" si="79">G1219+7</f>
        <v>40445</v>
      </c>
      <c r="H1220" s="5">
        <f t="shared" si="76"/>
        <v>78.73</v>
      </c>
      <c r="I1220" s="5">
        <f t="shared" si="77"/>
        <v>9</v>
      </c>
      <c r="J1220" s="5">
        <f t="shared" si="78"/>
        <v>2010</v>
      </c>
    </row>
    <row r="1221" spans="4:10" x14ac:dyDescent="0.25">
      <c r="D1221" s="4">
        <v>33624</v>
      </c>
      <c r="E1221" s="6">
        <v>17.850000000000001</v>
      </c>
      <c r="G1221" s="4">
        <f t="shared" si="79"/>
        <v>40452</v>
      </c>
      <c r="H1221" s="5">
        <f t="shared" si="76"/>
        <v>82.69</v>
      </c>
      <c r="I1221" s="5">
        <f t="shared" si="77"/>
        <v>10</v>
      </c>
      <c r="J1221" s="5">
        <f t="shared" si="78"/>
        <v>2010</v>
      </c>
    </row>
    <row r="1222" spans="4:10" x14ac:dyDescent="0.25">
      <c r="D1222" s="4">
        <v>33625</v>
      </c>
      <c r="E1222" s="6">
        <v>17.829999999999998</v>
      </c>
      <c r="G1222" s="4">
        <f t="shared" si="79"/>
        <v>40459</v>
      </c>
      <c r="H1222" s="5">
        <f t="shared" si="76"/>
        <v>83.88</v>
      </c>
      <c r="I1222" s="5">
        <f t="shared" si="77"/>
        <v>10</v>
      </c>
      <c r="J1222" s="5">
        <f t="shared" si="78"/>
        <v>2010</v>
      </c>
    </row>
    <row r="1223" spans="4:10" x14ac:dyDescent="0.25">
      <c r="D1223" s="4">
        <v>33626</v>
      </c>
      <c r="E1223" s="6">
        <v>18.100000000000001</v>
      </c>
      <c r="G1223" s="4">
        <f t="shared" si="79"/>
        <v>40466</v>
      </c>
      <c r="H1223" s="5">
        <f t="shared" si="76"/>
        <v>81.94</v>
      </c>
      <c r="I1223" s="5">
        <f t="shared" si="77"/>
        <v>10</v>
      </c>
      <c r="J1223" s="5">
        <f t="shared" si="78"/>
        <v>2010</v>
      </c>
    </row>
    <row r="1224" spans="4:10" x14ac:dyDescent="0.25">
      <c r="D1224" s="4">
        <v>33627</v>
      </c>
      <c r="E1224" s="6">
        <v>18.329999999999998</v>
      </c>
      <c r="G1224" s="4">
        <f t="shared" si="79"/>
        <v>40473</v>
      </c>
      <c r="H1224" s="5">
        <f t="shared" si="76"/>
        <v>80.75</v>
      </c>
      <c r="I1224" s="5">
        <f t="shared" si="77"/>
        <v>10</v>
      </c>
      <c r="J1224" s="5">
        <f t="shared" si="78"/>
        <v>2010</v>
      </c>
    </row>
    <row r="1225" spans="4:10" x14ac:dyDescent="0.25">
      <c r="D1225" s="4">
        <v>33630</v>
      </c>
      <c r="E1225" s="6">
        <v>18.55</v>
      </c>
      <c r="G1225" s="4">
        <f t="shared" si="79"/>
        <v>40480</v>
      </c>
      <c r="H1225" s="5">
        <f t="shared" si="76"/>
        <v>82.47</v>
      </c>
      <c r="I1225" s="5">
        <f t="shared" si="77"/>
        <v>10</v>
      </c>
      <c r="J1225" s="5">
        <f t="shared" si="78"/>
        <v>2010</v>
      </c>
    </row>
    <row r="1226" spans="4:10" x14ac:dyDescent="0.25">
      <c r="D1226" s="4">
        <v>33631</v>
      </c>
      <c r="E1226" s="6">
        <v>18.43</v>
      </c>
      <c r="G1226" s="4">
        <f t="shared" si="79"/>
        <v>40487</v>
      </c>
      <c r="H1226" s="5">
        <f t="shared" si="76"/>
        <v>87.05</v>
      </c>
      <c r="I1226" s="5">
        <f t="shared" si="77"/>
        <v>11</v>
      </c>
      <c r="J1226" s="5">
        <f t="shared" si="78"/>
        <v>2010</v>
      </c>
    </row>
    <row r="1227" spans="4:10" x14ac:dyDescent="0.25">
      <c r="D1227" s="4">
        <v>33632</v>
      </c>
      <c r="E1227" s="6">
        <v>18.149999999999999</v>
      </c>
      <c r="G1227" s="4">
        <f t="shared" si="79"/>
        <v>40494</v>
      </c>
      <c r="H1227" s="5">
        <f t="shared" si="76"/>
        <v>86.07</v>
      </c>
      <c r="I1227" s="5">
        <f t="shared" si="77"/>
        <v>11</v>
      </c>
      <c r="J1227" s="5">
        <f t="shared" si="78"/>
        <v>2010</v>
      </c>
    </row>
    <row r="1228" spans="4:10" x14ac:dyDescent="0.25">
      <c r="D1228" s="4">
        <v>33633</v>
      </c>
      <c r="E1228" s="6">
        <v>18.100000000000001</v>
      </c>
      <c r="G1228" s="4">
        <f t="shared" si="79"/>
        <v>40501</v>
      </c>
      <c r="H1228" s="5">
        <f t="shared" si="76"/>
        <v>83.17</v>
      </c>
      <c r="I1228" s="5">
        <f t="shared" si="77"/>
        <v>11</v>
      </c>
      <c r="J1228" s="5">
        <f t="shared" si="78"/>
        <v>2010</v>
      </c>
    </row>
    <row r="1229" spans="4:10" x14ac:dyDescent="0.25">
      <c r="D1229" s="4">
        <v>33634</v>
      </c>
      <c r="E1229" s="6">
        <v>18.149999999999999</v>
      </c>
      <c r="G1229" s="4">
        <f t="shared" si="79"/>
        <v>40508</v>
      </c>
      <c r="H1229" s="5">
        <f t="shared" si="76"/>
        <v>84.78</v>
      </c>
      <c r="I1229" s="5">
        <f t="shared" si="77"/>
        <v>11</v>
      </c>
      <c r="J1229" s="5">
        <f t="shared" si="78"/>
        <v>2010</v>
      </c>
    </row>
    <row r="1230" spans="4:10" x14ac:dyDescent="0.25">
      <c r="D1230" s="4">
        <v>33637</v>
      </c>
      <c r="E1230" s="6">
        <v>18.350000000000001</v>
      </c>
      <c r="G1230" s="4">
        <f t="shared" si="79"/>
        <v>40515</v>
      </c>
      <c r="H1230" s="5">
        <f t="shared" si="76"/>
        <v>90.65</v>
      </c>
      <c r="I1230" s="5">
        <f t="shared" si="77"/>
        <v>12</v>
      </c>
      <c r="J1230" s="5">
        <f t="shared" si="78"/>
        <v>2010</v>
      </c>
    </row>
    <row r="1231" spans="4:10" x14ac:dyDescent="0.25">
      <c r="D1231" s="4">
        <v>33638</v>
      </c>
      <c r="E1231" s="6">
        <v>18.399999999999999</v>
      </c>
      <c r="G1231" s="4">
        <f t="shared" si="79"/>
        <v>40522</v>
      </c>
      <c r="H1231" s="5">
        <f t="shared" si="76"/>
        <v>89.54</v>
      </c>
      <c r="I1231" s="5">
        <f t="shared" si="77"/>
        <v>12</v>
      </c>
      <c r="J1231" s="5">
        <f t="shared" si="78"/>
        <v>2010</v>
      </c>
    </row>
    <row r="1232" spans="4:10" x14ac:dyDescent="0.25">
      <c r="D1232" s="4">
        <v>33639</v>
      </c>
      <c r="E1232" s="6">
        <v>18.48</v>
      </c>
      <c r="G1232" s="4">
        <f t="shared" si="79"/>
        <v>40529</v>
      </c>
      <c r="H1232" s="5">
        <f t="shared" si="76"/>
        <v>91.11</v>
      </c>
      <c r="I1232" s="5">
        <f t="shared" si="77"/>
        <v>12</v>
      </c>
      <c r="J1232" s="5">
        <f t="shared" si="78"/>
        <v>2010</v>
      </c>
    </row>
    <row r="1233" spans="4:10" x14ac:dyDescent="0.25">
      <c r="D1233" s="4">
        <v>33640</v>
      </c>
      <c r="E1233" s="6">
        <v>18.53</v>
      </c>
      <c r="G1233" s="4">
        <f t="shared" si="79"/>
        <v>40536</v>
      </c>
      <c r="H1233" s="5">
        <f t="shared" si="76"/>
        <v>0</v>
      </c>
      <c r="I1233" s="5">
        <f t="shared" si="77"/>
        <v>12</v>
      </c>
      <c r="J1233" s="5">
        <f t="shared" si="78"/>
        <v>2010</v>
      </c>
    </row>
    <row r="1234" spans="4:10" x14ac:dyDescent="0.25">
      <c r="D1234" s="4">
        <v>33641</v>
      </c>
      <c r="E1234" s="6">
        <v>18.579999999999998</v>
      </c>
      <c r="G1234" s="4">
        <f t="shared" si="79"/>
        <v>40543</v>
      </c>
      <c r="H1234" s="5">
        <f t="shared" si="76"/>
        <v>93.23</v>
      </c>
      <c r="I1234" s="5">
        <f t="shared" si="77"/>
        <v>12</v>
      </c>
      <c r="J1234" s="5">
        <f t="shared" si="78"/>
        <v>2010</v>
      </c>
    </row>
    <row r="1235" spans="4:10" x14ac:dyDescent="0.25">
      <c r="D1235" s="4">
        <v>33644</v>
      </c>
      <c r="E1235" s="6">
        <v>18.95</v>
      </c>
      <c r="G1235" s="4">
        <f t="shared" si="79"/>
        <v>40550</v>
      </c>
      <c r="H1235" s="5">
        <f t="shared" si="76"/>
        <v>94.25</v>
      </c>
      <c r="I1235" s="5">
        <f t="shared" si="77"/>
        <v>1</v>
      </c>
      <c r="J1235" s="5">
        <f t="shared" si="78"/>
        <v>2011</v>
      </c>
    </row>
    <row r="1236" spans="4:10" x14ac:dyDescent="0.25">
      <c r="D1236" s="4">
        <v>33645</v>
      </c>
      <c r="E1236" s="6">
        <v>18.48</v>
      </c>
      <c r="G1236" s="4">
        <f t="shared" si="79"/>
        <v>40557</v>
      </c>
      <c r="H1236" s="5">
        <f t="shared" si="76"/>
        <v>97.86</v>
      </c>
      <c r="I1236" s="5">
        <f t="shared" si="77"/>
        <v>1</v>
      </c>
      <c r="J1236" s="5">
        <f t="shared" si="78"/>
        <v>2011</v>
      </c>
    </row>
    <row r="1237" spans="4:10" x14ac:dyDescent="0.25">
      <c r="D1237" s="4">
        <v>33646</v>
      </c>
      <c r="E1237" s="6">
        <v>18.329999999999998</v>
      </c>
      <c r="G1237" s="4">
        <f t="shared" si="79"/>
        <v>40564</v>
      </c>
      <c r="H1237" s="5">
        <f t="shared" si="76"/>
        <v>96.84</v>
      </c>
      <c r="I1237" s="5">
        <f t="shared" si="77"/>
        <v>1</v>
      </c>
      <c r="J1237" s="5">
        <f t="shared" si="78"/>
        <v>2011</v>
      </c>
    </row>
    <row r="1238" spans="4:10" x14ac:dyDescent="0.25">
      <c r="D1238" s="4">
        <v>33647</v>
      </c>
      <c r="E1238" s="6">
        <v>18.53</v>
      </c>
      <c r="G1238" s="4">
        <f t="shared" si="79"/>
        <v>40571</v>
      </c>
      <c r="H1238" s="5">
        <f t="shared" si="76"/>
        <v>97.06</v>
      </c>
      <c r="I1238" s="5">
        <f t="shared" si="77"/>
        <v>1</v>
      </c>
      <c r="J1238" s="5">
        <f t="shared" si="78"/>
        <v>2011</v>
      </c>
    </row>
    <row r="1239" spans="4:10" x14ac:dyDescent="0.25">
      <c r="D1239" s="4">
        <v>33648</v>
      </c>
      <c r="E1239" s="6">
        <v>18.63</v>
      </c>
      <c r="G1239" s="4">
        <f t="shared" si="79"/>
        <v>40578</v>
      </c>
      <c r="H1239" s="5">
        <f t="shared" si="76"/>
        <v>99.43</v>
      </c>
      <c r="I1239" s="5">
        <f t="shared" si="77"/>
        <v>2</v>
      </c>
      <c r="J1239" s="5">
        <f t="shared" si="78"/>
        <v>2011</v>
      </c>
    </row>
    <row r="1240" spans="4:10" x14ac:dyDescent="0.25">
      <c r="D1240" s="4">
        <v>33651</v>
      </c>
      <c r="E1240" s="6">
        <v>17.649999999999999</v>
      </c>
      <c r="G1240" s="4">
        <f t="shared" si="79"/>
        <v>40585</v>
      </c>
      <c r="H1240" s="5">
        <f t="shared" si="76"/>
        <v>99.93</v>
      </c>
      <c r="I1240" s="5">
        <f t="shared" si="77"/>
        <v>2</v>
      </c>
      <c r="J1240" s="5">
        <f t="shared" si="78"/>
        <v>2011</v>
      </c>
    </row>
    <row r="1241" spans="4:10" x14ac:dyDescent="0.25">
      <c r="D1241" s="4">
        <v>33652</v>
      </c>
      <c r="E1241" s="6">
        <v>17.7</v>
      </c>
      <c r="G1241" s="4">
        <f t="shared" si="79"/>
        <v>40592</v>
      </c>
      <c r="H1241" s="5">
        <f t="shared" si="76"/>
        <v>102.2</v>
      </c>
      <c r="I1241" s="5">
        <f t="shared" si="77"/>
        <v>2</v>
      </c>
      <c r="J1241" s="5">
        <f t="shared" si="78"/>
        <v>2011</v>
      </c>
    </row>
    <row r="1242" spans="4:10" x14ac:dyDescent="0.25">
      <c r="D1242" s="4">
        <v>33653</v>
      </c>
      <c r="E1242" s="6">
        <v>17.5</v>
      </c>
      <c r="G1242" s="4">
        <f t="shared" si="79"/>
        <v>40599</v>
      </c>
      <c r="H1242" s="5">
        <f t="shared" si="76"/>
        <v>111.47</v>
      </c>
      <c r="I1242" s="5">
        <f t="shared" si="77"/>
        <v>2</v>
      </c>
      <c r="J1242" s="5">
        <f t="shared" si="78"/>
        <v>2011</v>
      </c>
    </row>
    <row r="1243" spans="4:10" x14ac:dyDescent="0.25">
      <c r="D1243" s="4">
        <v>33654</v>
      </c>
      <c r="E1243" s="6">
        <v>17.850000000000001</v>
      </c>
      <c r="G1243" s="4">
        <f t="shared" si="79"/>
        <v>40606</v>
      </c>
      <c r="H1243" s="5">
        <f t="shared" si="76"/>
        <v>115.71</v>
      </c>
      <c r="I1243" s="5">
        <f t="shared" si="77"/>
        <v>3</v>
      </c>
      <c r="J1243" s="5">
        <f t="shared" si="78"/>
        <v>2011</v>
      </c>
    </row>
    <row r="1244" spans="4:10" x14ac:dyDescent="0.25">
      <c r="D1244" s="4">
        <v>33655</v>
      </c>
      <c r="E1244" s="6">
        <v>18</v>
      </c>
      <c r="G1244" s="4">
        <f t="shared" si="79"/>
        <v>40613</v>
      </c>
      <c r="H1244" s="5">
        <f t="shared" si="76"/>
        <v>114.07</v>
      </c>
      <c r="I1244" s="5">
        <f t="shared" si="77"/>
        <v>3</v>
      </c>
      <c r="J1244" s="5">
        <f t="shared" si="78"/>
        <v>2011</v>
      </c>
    </row>
    <row r="1245" spans="4:10" x14ac:dyDescent="0.25">
      <c r="D1245" s="4">
        <v>33658</v>
      </c>
      <c r="E1245" s="6">
        <v>17.399999999999999</v>
      </c>
      <c r="G1245" s="4">
        <f t="shared" si="79"/>
        <v>40620</v>
      </c>
      <c r="H1245" s="5">
        <f t="shared" si="76"/>
        <v>114.13</v>
      </c>
      <c r="I1245" s="5">
        <f t="shared" si="77"/>
        <v>3</v>
      </c>
      <c r="J1245" s="5">
        <f t="shared" si="78"/>
        <v>2011</v>
      </c>
    </row>
    <row r="1246" spans="4:10" x14ac:dyDescent="0.25">
      <c r="D1246" s="4">
        <v>33659</v>
      </c>
      <c r="E1246" s="6">
        <v>17.43</v>
      </c>
      <c r="G1246" s="4">
        <f t="shared" si="79"/>
        <v>40627</v>
      </c>
      <c r="H1246" s="5">
        <f t="shared" si="76"/>
        <v>115.45</v>
      </c>
      <c r="I1246" s="5">
        <f t="shared" si="77"/>
        <v>3</v>
      </c>
      <c r="J1246" s="5">
        <f t="shared" si="78"/>
        <v>2011</v>
      </c>
    </row>
    <row r="1247" spans="4:10" x14ac:dyDescent="0.25">
      <c r="D1247" s="4">
        <v>33660</v>
      </c>
      <c r="E1247" s="6">
        <v>17.28</v>
      </c>
      <c r="G1247" s="4">
        <f t="shared" si="79"/>
        <v>40634</v>
      </c>
      <c r="H1247" s="5">
        <f t="shared" si="76"/>
        <v>118.63</v>
      </c>
      <c r="I1247" s="5">
        <f t="shared" si="77"/>
        <v>4</v>
      </c>
      <c r="J1247" s="5">
        <f t="shared" si="78"/>
        <v>2011</v>
      </c>
    </row>
    <row r="1248" spans="4:10" x14ac:dyDescent="0.25">
      <c r="D1248" s="4">
        <v>33661</v>
      </c>
      <c r="E1248" s="6">
        <v>17.55</v>
      </c>
      <c r="G1248" s="4">
        <f t="shared" si="79"/>
        <v>40641</v>
      </c>
      <c r="H1248" s="5">
        <f t="shared" si="76"/>
        <v>126.3</v>
      </c>
      <c r="I1248" s="5">
        <f t="shared" si="77"/>
        <v>4</v>
      </c>
      <c r="J1248" s="5">
        <f t="shared" si="78"/>
        <v>2011</v>
      </c>
    </row>
    <row r="1249" spans="4:10" x14ac:dyDescent="0.25">
      <c r="D1249" s="4">
        <v>33662</v>
      </c>
      <c r="E1249" s="6">
        <v>17.45</v>
      </c>
      <c r="G1249" s="4">
        <f t="shared" si="79"/>
        <v>40648</v>
      </c>
      <c r="H1249" s="5">
        <f t="shared" si="76"/>
        <v>124.63</v>
      </c>
      <c r="I1249" s="5">
        <f t="shared" si="77"/>
        <v>4</v>
      </c>
      <c r="J1249" s="5">
        <f t="shared" si="78"/>
        <v>2011</v>
      </c>
    </row>
    <row r="1250" spans="4:10" x14ac:dyDescent="0.25">
      <c r="D1250" s="4">
        <v>33665</v>
      </c>
      <c r="E1250" s="6">
        <v>17.350000000000001</v>
      </c>
      <c r="G1250" s="4">
        <f t="shared" si="79"/>
        <v>40655</v>
      </c>
      <c r="H1250" s="5">
        <f t="shared" si="76"/>
        <v>0</v>
      </c>
      <c r="I1250" s="5">
        <f t="shared" si="77"/>
        <v>4</v>
      </c>
      <c r="J1250" s="5">
        <f t="shared" si="78"/>
        <v>2011</v>
      </c>
    </row>
    <row r="1251" spans="4:10" x14ac:dyDescent="0.25">
      <c r="D1251" s="4">
        <v>33666</v>
      </c>
      <c r="E1251" s="6">
        <v>17.05</v>
      </c>
      <c r="G1251" s="4">
        <f t="shared" si="79"/>
        <v>40662</v>
      </c>
      <c r="H1251" s="5">
        <f t="shared" si="76"/>
        <v>0</v>
      </c>
      <c r="I1251" s="5">
        <f t="shared" si="77"/>
        <v>4</v>
      </c>
      <c r="J1251" s="5">
        <f t="shared" si="78"/>
        <v>2011</v>
      </c>
    </row>
    <row r="1252" spans="4:10" x14ac:dyDescent="0.25">
      <c r="D1252" s="4">
        <v>33667</v>
      </c>
      <c r="E1252" s="6">
        <v>17.28</v>
      </c>
      <c r="G1252" s="4">
        <f t="shared" si="79"/>
        <v>40669</v>
      </c>
      <c r="H1252" s="5">
        <f t="shared" si="76"/>
        <v>113.69</v>
      </c>
      <c r="I1252" s="5">
        <f t="shared" si="77"/>
        <v>5</v>
      </c>
      <c r="J1252" s="5">
        <f t="shared" si="78"/>
        <v>2011</v>
      </c>
    </row>
    <row r="1253" spans="4:10" x14ac:dyDescent="0.25">
      <c r="D1253" s="4">
        <v>33668</v>
      </c>
      <c r="E1253" s="6">
        <v>17.43</v>
      </c>
      <c r="G1253" s="4">
        <f t="shared" si="79"/>
        <v>40676</v>
      </c>
      <c r="H1253" s="5">
        <f t="shared" si="76"/>
        <v>113.08</v>
      </c>
      <c r="I1253" s="5">
        <f t="shared" si="77"/>
        <v>5</v>
      </c>
      <c r="J1253" s="5">
        <f t="shared" si="78"/>
        <v>2011</v>
      </c>
    </row>
    <row r="1254" spans="4:10" x14ac:dyDescent="0.25">
      <c r="D1254" s="4">
        <v>33669</v>
      </c>
      <c r="E1254" s="6">
        <v>17.3</v>
      </c>
      <c r="G1254" s="4">
        <f t="shared" si="79"/>
        <v>40683</v>
      </c>
      <c r="H1254" s="5">
        <f t="shared" si="76"/>
        <v>111.25</v>
      </c>
      <c r="I1254" s="5">
        <f t="shared" si="77"/>
        <v>5</v>
      </c>
      <c r="J1254" s="5">
        <f t="shared" si="78"/>
        <v>2011</v>
      </c>
    </row>
    <row r="1255" spans="4:10" x14ac:dyDescent="0.25">
      <c r="D1255" s="4">
        <v>33672</v>
      </c>
      <c r="E1255" s="6">
        <v>17.350000000000001</v>
      </c>
      <c r="G1255" s="4">
        <f t="shared" si="79"/>
        <v>40690</v>
      </c>
      <c r="H1255" s="5">
        <f t="shared" si="76"/>
        <v>114.85</v>
      </c>
      <c r="I1255" s="5">
        <f t="shared" si="77"/>
        <v>5</v>
      </c>
      <c r="J1255" s="5">
        <f t="shared" si="78"/>
        <v>2011</v>
      </c>
    </row>
    <row r="1256" spans="4:10" x14ac:dyDescent="0.25">
      <c r="D1256" s="4">
        <v>33673</v>
      </c>
      <c r="E1256" s="6">
        <v>17.350000000000001</v>
      </c>
      <c r="G1256" s="4">
        <f t="shared" si="79"/>
        <v>40697</v>
      </c>
      <c r="H1256" s="5">
        <f t="shared" si="76"/>
        <v>115.09</v>
      </c>
      <c r="I1256" s="5">
        <f t="shared" si="77"/>
        <v>6</v>
      </c>
      <c r="J1256" s="5">
        <f t="shared" si="78"/>
        <v>2011</v>
      </c>
    </row>
    <row r="1257" spans="4:10" x14ac:dyDescent="0.25">
      <c r="D1257" s="4">
        <v>33674</v>
      </c>
      <c r="E1257" s="6">
        <v>17.2</v>
      </c>
      <c r="G1257" s="4">
        <f t="shared" si="79"/>
        <v>40704</v>
      </c>
      <c r="H1257" s="5">
        <f t="shared" si="76"/>
        <v>118.71</v>
      </c>
      <c r="I1257" s="5">
        <f t="shared" si="77"/>
        <v>6</v>
      </c>
      <c r="J1257" s="5">
        <f t="shared" si="78"/>
        <v>2011</v>
      </c>
    </row>
    <row r="1258" spans="4:10" x14ac:dyDescent="0.25">
      <c r="D1258" s="4">
        <v>33675</v>
      </c>
      <c r="E1258" s="6">
        <v>17.350000000000001</v>
      </c>
      <c r="G1258" s="4">
        <f t="shared" si="79"/>
        <v>40711</v>
      </c>
      <c r="H1258" s="5">
        <f t="shared" si="76"/>
        <v>113.74</v>
      </c>
      <c r="I1258" s="5">
        <f t="shared" si="77"/>
        <v>6</v>
      </c>
      <c r="J1258" s="5">
        <f t="shared" si="78"/>
        <v>2011</v>
      </c>
    </row>
    <row r="1259" spans="4:10" x14ac:dyDescent="0.25">
      <c r="D1259" s="4">
        <v>33676</v>
      </c>
      <c r="E1259" s="6">
        <v>17.73</v>
      </c>
      <c r="G1259" s="4">
        <f t="shared" si="79"/>
        <v>40718</v>
      </c>
      <c r="H1259" s="5">
        <f t="shared" si="76"/>
        <v>104.79</v>
      </c>
      <c r="I1259" s="5">
        <f t="shared" si="77"/>
        <v>6</v>
      </c>
      <c r="J1259" s="5">
        <f t="shared" si="78"/>
        <v>2011</v>
      </c>
    </row>
    <row r="1260" spans="4:10" x14ac:dyDescent="0.25">
      <c r="D1260" s="4">
        <v>33679</v>
      </c>
      <c r="E1260" s="6">
        <v>17.73</v>
      </c>
      <c r="G1260" s="4">
        <f t="shared" si="79"/>
        <v>40725</v>
      </c>
      <c r="H1260" s="5">
        <f t="shared" si="76"/>
        <v>109.82</v>
      </c>
      <c r="I1260" s="5">
        <f t="shared" si="77"/>
        <v>7</v>
      </c>
      <c r="J1260" s="5">
        <f t="shared" si="78"/>
        <v>2011</v>
      </c>
    </row>
    <row r="1261" spans="4:10" x14ac:dyDescent="0.25">
      <c r="D1261" s="4">
        <v>33680</v>
      </c>
      <c r="E1261" s="6">
        <v>17.88</v>
      </c>
      <c r="G1261" s="4">
        <f t="shared" si="79"/>
        <v>40732</v>
      </c>
      <c r="H1261" s="5">
        <f t="shared" si="76"/>
        <v>117.4</v>
      </c>
      <c r="I1261" s="5">
        <f t="shared" si="77"/>
        <v>7</v>
      </c>
      <c r="J1261" s="5">
        <f t="shared" si="78"/>
        <v>2011</v>
      </c>
    </row>
    <row r="1262" spans="4:10" x14ac:dyDescent="0.25">
      <c r="D1262" s="4">
        <v>33681</v>
      </c>
      <c r="E1262" s="6">
        <v>17.649999999999999</v>
      </c>
      <c r="G1262" s="4">
        <f t="shared" si="79"/>
        <v>40739</v>
      </c>
      <c r="H1262" s="5">
        <f t="shared" si="76"/>
        <v>118.06</v>
      </c>
      <c r="I1262" s="5">
        <f t="shared" si="77"/>
        <v>7</v>
      </c>
      <c r="J1262" s="5">
        <f t="shared" si="78"/>
        <v>2011</v>
      </c>
    </row>
    <row r="1263" spans="4:10" x14ac:dyDescent="0.25">
      <c r="D1263" s="4">
        <v>33682</v>
      </c>
      <c r="E1263" s="6">
        <v>17.649999999999999</v>
      </c>
      <c r="G1263" s="4">
        <f t="shared" si="79"/>
        <v>40746</v>
      </c>
      <c r="H1263" s="5">
        <f t="shared" si="76"/>
        <v>118.99</v>
      </c>
      <c r="I1263" s="5">
        <f t="shared" si="77"/>
        <v>7</v>
      </c>
      <c r="J1263" s="5">
        <f t="shared" si="78"/>
        <v>2011</v>
      </c>
    </row>
    <row r="1264" spans="4:10" x14ac:dyDescent="0.25">
      <c r="D1264" s="4">
        <v>33683</v>
      </c>
      <c r="E1264" s="6">
        <v>17.75</v>
      </c>
      <c r="G1264" s="4">
        <f t="shared" si="79"/>
        <v>40753</v>
      </c>
      <c r="H1264" s="5">
        <f t="shared" si="76"/>
        <v>115.93</v>
      </c>
      <c r="I1264" s="5">
        <f t="shared" si="77"/>
        <v>7</v>
      </c>
      <c r="J1264" s="5">
        <f t="shared" si="78"/>
        <v>2011</v>
      </c>
    </row>
    <row r="1265" spans="4:10" x14ac:dyDescent="0.25">
      <c r="D1265" s="4">
        <v>33686</v>
      </c>
      <c r="E1265" s="6">
        <v>17.579999999999998</v>
      </c>
      <c r="G1265" s="4">
        <f t="shared" si="79"/>
        <v>40760</v>
      </c>
      <c r="H1265" s="5">
        <f t="shared" si="76"/>
        <v>106.92</v>
      </c>
      <c r="I1265" s="5">
        <f t="shared" si="77"/>
        <v>8</v>
      </c>
      <c r="J1265" s="5">
        <f t="shared" si="78"/>
        <v>2011</v>
      </c>
    </row>
    <row r="1266" spans="4:10" x14ac:dyDescent="0.25">
      <c r="D1266" s="4">
        <v>33687</v>
      </c>
      <c r="E1266" s="6">
        <v>17.649999999999999</v>
      </c>
      <c r="G1266" s="4">
        <f t="shared" si="79"/>
        <v>40767</v>
      </c>
      <c r="H1266" s="5">
        <f t="shared" si="76"/>
        <v>108.17</v>
      </c>
      <c r="I1266" s="5">
        <f t="shared" si="77"/>
        <v>8</v>
      </c>
      <c r="J1266" s="5">
        <f t="shared" si="78"/>
        <v>2011</v>
      </c>
    </row>
    <row r="1267" spans="4:10" x14ac:dyDescent="0.25">
      <c r="D1267" s="4">
        <v>33688</v>
      </c>
      <c r="E1267" s="6">
        <v>17.7</v>
      </c>
      <c r="G1267" s="4">
        <f t="shared" si="79"/>
        <v>40774</v>
      </c>
      <c r="H1267" s="5">
        <f t="shared" si="76"/>
        <v>109.37</v>
      </c>
      <c r="I1267" s="5">
        <f t="shared" si="77"/>
        <v>8</v>
      </c>
      <c r="J1267" s="5">
        <f t="shared" si="78"/>
        <v>2011</v>
      </c>
    </row>
    <row r="1268" spans="4:10" x14ac:dyDescent="0.25">
      <c r="D1268" s="4">
        <v>33689</v>
      </c>
      <c r="E1268" s="6">
        <v>17.98</v>
      </c>
      <c r="G1268" s="4">
        <f t="shared" si="79"/>
        <v>40781</v>
      </c>
      <c r="H1268" s="5">
        <f t="shared" si="76"/>
        <v>112.29</v>
      </c>
      <c r="I1268" s="5">
        <f t="shared" si="77"/>
        <v>8</v>
      </c>
      <c r="J1268" s="5">
        <f t="shared" si="78"/>
        <v>2011</v>
      </c>
    </row>
    <row r="1269" spans="4:10" x14ac:dyDescent="0.25">
      <c r="D1269" s="4">
        <v>33690</v>
      </c>
      <c r="E1269" s="6">
        <v>17.850000000000001</v>
      </c>
      <c r="G1269" s="4">
        <f t="shared" si="79"/>
        <v>40788</v>
      </c>
      <c r="H1269" s="5">
        <f t="shared" si="76"/>
        <v>115.92</v>
      </c>
      <c r="I1269" s="5">
        <f t="shared" si="77"/>
        <v>9</v>
      </c>
      <c r="J1269" s="5">
        <f t="shared" si="78"/>
        <v>2011</v>
      </c>
    </row>
    <row r="1270" spans="4:10" x14ac:dyDescent="0.25">
      <c r="D1270" s="4">
        <v>33693</v>
      </c>
      <c r="E1270" s="6">
        <v>17.98</v>
      </c>
      <c r="G1270" s="4">
        <f t="shared" si="79"/>
        <v>40795</v>
      </c>
      <c r="H1270" s="5">
        <f t="shared" si="76"/>
        <v>115.1</v>
      </c>
      <c r="I1270" s="5">
        <f t="shared" si="77"/>
        <v>9</v>
      </c>
      <c r="J1270" s="5">
        <f t="shared" si="78"/>
        <v>2011</v>
      </c>
    </row>
    <row r="1271" spans="4:10" x14ac:dyDescent="0.25">
      <c r="D1271" s="4">
        <v>33694</v>
      </c>
      <c r="E1271" s="6">
        <v>19.09</v>
      </c>
      <c r="G1271" s="4">
        <f t="shared" si="79"/>
        <v>40802</v>
      </c>
      <c r="H1271" s="5">
        <f t="shared" si="76"/>
        <v>116.26</v>
      </c>
      <c r="I1271" s="5">
        <f t="shared" si="77"/>
        <v>9</v>
      </c>
      <c r="J1271" s="5">
        <f t="shared" si="78"/>
        <v>2011</v>
      </c>
    </row>
    <row r="1272" spans="4:10" x14ac:dyDescent="0.25">
      <c r="D1272" s="4">
        <v>33695</v>
      </c>
      <c r="E1272" s="6">
        <v>18.38</v>
      </c>
      <c r="G1272" s="4">
        <f t="shared" si="79"/>
        <v>40809</v>
      </c>
      <c r="H1272" s="5">
        <f t="shared" si="76"/>
        <v>109.17</v>
      </c>
      <c r="I1272" s="5">
        <f t="shared" si="77"/>
        <v>9</v>
      </c>
      <c r="J1272" s="5">
        <f t="shared" si="78"/>
        <v>2011</v>
      </c>
    </row>
    <row r="1273" spans="4:10" x14ac:dyDescent="0.25">
      <c r="D1273" s="4">
        <v>33696</v>
      </c>
      <c r="E1273" s="6">
        <v>18.53</v>
      </c>
      <c r="G1273" s="4">
        <f t="shared" si="79"/>
        <v>40816</v>
      </c>
      <c r="H1273" s="5">
        <f t="shared" si="76"/>
        <v>105.42</v>
      </c>
      <c r="I1273" s="5">
        <f t="shared" si="77"/>
        <v>9</v>
      </c>
      <c r="J1273" s="5">
        <f t="shared" si="78"/>
        <v>2011</v>
      </c>
    </row>
    <row r="1274" spans="4:10" x14ac:dyDescent="0.25">
      <c r="D1274" s="4">
        <v>33697</v>
      </c>
      <c r="E1274" s="6">
        <v>18.63</v>
      </c>
      <c r="G1274" s="4">
        <f t="shared" si="79"/>
        <v>40823</v>
      </c>
      <c r="H1274" s="5">
        <f t="shared" si="76"/>
        <v>106.56</v>
      </c>
      <c r="I1274" s="5">
        <f t="shared" si="77"/>
        <v>10</v>
      </c>
      <c r="J1274" s="5">
        <f t="shared" si="78"/>
        <v>2011</v>
      </c>
    </row>
    <row r="1275" spans="4:10" x14ac:dyDescent="0.25">
      <c r="D1275" s="4">
        <v>33700</v>
      </c>
      <c r="E1275" s="6">
        <v>18.93</v>
      </c>
      <c r="G1275" s="4">
        <f t="shared" si="79"/>
        <v>40830</v>
      </c>
      <c r="H1275" s="5">
        <f t="shared" si="76"/>
        <v>114.33</v>
      </c>
      <c r="I1275" s="5">
        <f t="shared" si="77"/>
        <v>10</v>
      </c>
      <c r="J1275" s="5">
        <f t="shared" si="78"/>
        <v>2011</v>
      </c>
    </row>
    <row r="1276" spans="4:10" x14ac:dyDescent="0.25">
      <c r="D1276" s="4">
        <v>33701</v>
      </c>
      <c r="E1276" s="6">
        <v>18.93</v>
      </c>
      <c r="G1276" s="4">
        <f t="shared" si="79"/>
        <v>40837</v>
      </c>
      <c r="H1276" s="5">
        <f t="shared" si="76"/>
        <v>111.6</v>
      </c>
      <c r="I1276" s="5">
        <f t="shared" si="77"/>
        <v>10</v>
      </c>
      <c r="J1276" s="5">
        <f t="shared" si="78"/>
        <v>2011</v>
      </c>
    </row>
    <row r="1277" spans="4:10" x14ac:dyDescent="0.25">
      <c r="D1277" s="4">
        <v>33702</v>
      </c>
      <c r="E1277" s="6">
        <v>19.18</v>
      </c>
      <c r="G1277" s="4">
        <f t="shared" si="79"/>
        <v>40844</v>
      </c>
      <c r="H1277" s="5">
        <f t="shared" si="76"/>
        <v>110.01</v>
      </c>
      <c r="I1277" s="5">
        <f t="shared" si="77"/>
        <v>10</v>
      </c>
      <c r="J1277" s="5">
        <f t="shared" si="78"/>
        <v>2011</v>
      </c>
    </row>
    <row r="1278" spans="4:10" x14ac:dyDescent="0.25">
      <c r="D1278" s="4">
        <v>33703</v>
      </c>
      <c r="E1278" s="6">
        <v>18.95</v>
      </c>
      <c r="G1278" s="4">
        <f t="shared" si="79"/>
        <v>40851</v>
      </c>
      <c r="H1278" s="5">
        <f t="shared" si="76"/>
        <v>112.22</v>
      </c>
      <c r="I1278" s="5">
        <f t="shared" si="77"/>
        <v>11</v>
      </c>
      <c r="J1278" s="5">
        <f t="shared" si="78"/>
        <v>2011</v>
      </c>
    </row>
    <row r="1279" spans="4:10" x14ac:dyDescent="0.25">
      <c r="D1279" s="4">
        <v>33704</v>
      </c>
      <c r="E1279" s="6">
        <v>19.05</v>
      </c>
      <c r="G1279" s="4">
        <f t="shared" si="79"/>
        <v>40858</v>
      </c>
      <c r="H1279" s="5">
        <f t="shared" si="76"/>
        <v>114.43</v>
      </c>
      <c r="I1279" s="5">
        <f t="shared" si="77"/>
        <v>11</v>
      </c>
      <c r="J1279" s="5">
        <f t="shared" si="78"/>
        <v>2011</v>
      </c>
    </row>
    <row r="1280" spans="4:10" x14ac:dyDescent="0.25">
      <c r="D1280" s="4">
        <v>33707</v>
      </c>
      <c r="E1280" s="6">
        <v>19.03</v>
      </c>
      <c r="G1280" s="4">
        <f t="shared" si="79"/>
        <v>40865</v>
      </c>
      <c r="H1280" s="5">
        <f t="shared" si="76"/>
        <v>107.82</v>
      </c>
      <c r="I1280" s="5">
        <f t="shared" si="77"/>
        <v>11</v>
      </c>
      <c r="J1280" s="5">
        <f t="shared" si="78"/>
        <v>2011</v>
      </c>
    </row>
    <row r="1281" spans="4:10" x14ac:dyDescent="0.25">
      <c r="D1281" s="4">
        <v>33708</v>
      </c>
      <c r="E1281" s="6">
        <v>18.850000000000001</v>
      </c>
      <c r="G1281" s="4">
        <f t="shared" si="79"/>
        <v>40872</v>
      </c>
      <c r="H1281" s="5">
        <f t="shared" si="76"/>
        <v>106.08</v>
      </c>
      <c r="I1281" s="5">
        <f t="shared" si="77"/>
        <v>11</v>
      </c>
      <c r="J1281" s="5">
        <f t="shared" si="78"/>
        <v>2011</v>
      </c>
    </row>
    <row r="1282" spans="4:10" x14ac:dyDescent="0.25">
      <c r="D1282" s="4">
        <v>33709</v>
      </c>
      <c r="E1282" s="6">
        <v>18.600000000000001</v>
      </c>
      <c r="G1282" s="4">
        <f t="shared" si="79"/>
        <v>40879</v>
      </c>
      <c r="H1282" s="5">
        <f t="shared" si="76"/>
        <v>109.59</v>
      </c>
      <c r="I1282" s="5">
        <f t="shared" si="77"/>
        <v>12</v>
      </c>
      <c r="J1282" s="5">
        <f t="shared" si="78"/>
        <v>2011</v>
      </c>
    </row>
    <row r="1283" spans="4:10" x14ac:dyDescent="0.25">
      <c r="D1283" s="4">
        <v>33710</v>
      </c>
      <c r="E1283" s="6">
        <v>18.95</v>
      </c>
      <c r="G1283" s="4">
        <f t="shared" si="79"/>
        <v>40886</v>
      </c>
      <c r="H1283" s="5">
        <f t="shared" ref="H1283:H1346" si="80">_xlfn.XLOOKUP(G1283,D:D,E:E)</f>
        <v>107.91</v>
      </c>
      <c r="I1283" s="5">
        <f t="shared" ref="I1283:I1346" si="81">MONTH(G1283)</f>
        <v>12</v>
      </c>
      <c r="J1283" s="5">
        <f t="shared" ref="J1283:J1346" si="82">YEAR(G1283)</f>
        <v>2011</v>
      </c>
    </row>
    <row r="1284" spans="4:10" x14ac:dyDescent="0.25">
      <c r="D1284" s="4">
        <v>33711</v>
      </c>
      <c r="E1284" s="5"/>
      <c r="G1284" s="4">
        <f t="shared" ref="G1284:G1347" si="83">G1283+7</f>
        <v>40893</v>
      </c>
      <c r="H1284" s="5">
        <f t="shared" si="80"/>
        <v>104</v>
      </c>
      <c r="I1284" s="5">
        <f t="shared" si="81"/>
        <v>12</v>
      </c>
      <c r="J1284" s="5">
        <f t="shared" si="82"/>
        <v>2011</v>
      </c>
    </row>
    <row r="1285" spans="4:10" x14ac:dyDescent="0.25">
      <c r="D1285" s="4">
        <v>33714</v>
      </c>
      <c r="E1285" s="6">
        <v>18.95</v>
      </c>
      <c r="G1285" s="4">
        <f t="shared" si="83"/>
        <v>40900</v>
      </c>
      <c r="H1285" s="5">
        <f t="shared" si="80"/>
        <v>109.28</v>
      </c>
      <c r="I1285" s="5">
        <f t="shared" si="81"/>
        <v>12</v>
      </c>
      <c r="J1285" s="5">
        <f t="shared" si="82"/>
        <v>2011</v>
      </c>
    </row>
    <row r="1286" spans="4:10" x14ac:dyDescent="0.25">
      <c r="D1286" s="4">
        <v>33715</v>
      </c>
      <c r="E1286" s="6">
        <v>19</v>
      </c>
      <c r="G1286" s="4">
        <f t="shared" si="83"/>
        <v>40907</v>
      </c>
      <c r="H1286" s="5">
        <f t="shared" si="80"/>
        <v>108.09</v>
      </c>
      <c r="I1286" s="5">
        <f t="shared" si="81"/>
        <v>12</v>
      </c>
      <c r="J1286" s="5">
        <f t="shared" si="82"/>
        <v>2011</v>
      </c>
    </row>
    <row r="1287" spans="4:10" x14ac:dyDescent="0.25">
      <c r="D1287" s="4">
        <v>33716</v>
      </c>
      <c r="E1287" s="6">
        <v>18.73</v>
      </c>
      <c r="G1287" s="4">
        <f t="shared" si="83"/>
        <v>40914</v>
      </c>
      <c r="H1287" s="5">
        <f t="shared" si="80"/>
        <v>111.96</v>
      </c>
      <c r="I1287" s="5">
        <f t="shared" si="81"/>
        <v>1</v>
      </c>
      <c r="J1287" s="5">
        <f t="shared" si="82"/>
        <v>2012</v>
      </c>
    </row>
    <row r="1288" spans="4:10" x14ac:dyDescent="0.25">
      <c r="D1288" s="4">
        <v>33717</v>
      </c>
      <c r="E1288" s="6">
        <v>18.7</v>
      </c>
      <c r="G1288" s="4">
        <f t="shared" si="83"/>
        <v>40921</v>
      </c>
      <c r="H1288" s="5">
        <f t="shared" si="80"/>
        <v>109.88</v>
      </c>
      <c r="I1288" s="5">
        <f t="shared" si="81"/>
        <v>1</v>
      </c>
      <c r="J1288" s="5">
        <f t="shared" si="82"/>
        <v>2012</v>
      </c>
    </row>
    <row r="1289" spans="4:10" x14ac:dyDescent="0.25">
      <c r="D1289" s="4">
        <v>33718</v>
      </c>
      <c r="E1289" s="6">
        <v>18.899999999999999</v>
      </c>
      <c r="G1289" s="4">
        <f t="shared" si="83"/>
        <v>40928</v>
      </c>
      <c r="H1289" s="5">
        <f t="shared" si="80"/>
        <v>108.5</v>
      </c>
      <c r="I1289" s="5">
        <f t="shared" si="81"/>
        <v>1</v>
      </c>
      <c r="J1289" s="5">
        <f t="shared" si="82"/>
        <v>2012</v>
      </c>
    </row>
    <row r="1290" spans="4:10" x14ac:dyDescent="0.25">
      <c r="D1290" s="4">
        <v>33721</v>
      </c>
      <c r="E1290" s="6">
        <v>18.899999999999999</v>
      </c>
      <c r="G1290" s="4">
        <f t="shared" si="83"/>
        <v>40935</v>
      </c>
      <c r="H1290" s="5">
        <f t="shared" si="80"/>
        <v>110.5</v>
      </c>
      <c r="I1290" s="5">
        <f t="shared" si="81"/>
        <v>1</v>
      </c>
      <c r="J1290" s="5">
        <f t="shared" si="82"/>
        <v>2012</v>
      </c>
    </row>
    <row r="1291" spans="4:10" x14ac:dyDescent="0.25">
      <c r="D1291" s="4">
        <v>33722</v>
      </c>
      <c r="E1291" s="6">
        <v>19.18</v>
      </c>
      <c r="G1291" s="4">
        <f t="shared" si="83"/>
        <v>40942</v>
      </c>
      <c r="H1291" s="5">
        <f t="shared" si="80"/>
        <v>112.56</v>
      </c>
      <c r="I1291" s="5">
        <f t="shared" si="81"/>
        <v>2</v>
      </c>
      <c r="J1291" s="5">
        <f t="shared" si="82"/>
        <v>2012</v>
      </c>
    </row>
    <row r="1292" spans="4:10" x14ac:dyDescent="0.25">
      <c r="D1292" s="4">
        <v>33723</v>
      </c>
      <c r="E1292" s="6">
        <v>19.28</v>
      </c>
      <c r="G1292" s="4">
        <f t="shared" si="83"/>
        <v>40949</v>
      </c>
      <c r="H1292" s="5">
        <f t="shared" si="80"/>
        <v>118.13</v>
      </c>
      <c r="I1292" s="5">
        <f t="shared" si="81"/>
        <v>2</v>
      </c>
      <c r="J1292" s="5">
        <f t="shared" si="82"/>
        <v>2012</v>
      </c>
    </row>
    <row r="1293" spans="4:10" x14ac:dyDescent="0.25">
      <c r="D1293" s="4">
        <v>33724</v>
      </c>
      <c r="E1293" s="6">
        <v>19.649999999999999</v>
      </c>
      <c r="G1293" s="4">
        <f t="shared" si="83"/>
        <v>40956</v>
      </c>
      <c r="H1293" s="5">
        <f t="shared" si="80"/>
        <v>120.69</v>
      </c>
      <c r="I1293" s="5">
        <f t="shared" si="81"/>
        <v>2</v>
      </c>
      <c r="J1293" s="5">
        <f t="shared" si="82"/>
        <v>2012</v>
      </c>
    </row>
    <row r="1294" spans="4:10" x14ac:dyDescent="0.25">
      <c r="D1294" s="4">
        <v>33725</v>
      </c>
      <c r="E1294" s="6">
        <v>19.829999999999998</v>
      </c>
      <c r="G1294" s="4">
        <f t="shared" si="83"/>
        <v>40963</v>
      </c>
      <c r="H1294" s="5">
        <f t="shared" si="80"/>
        <v>124.89</v>
      </c>
      <c r="I1294" s="5">
        <f t="shared" si="81"/>
        <v>2</v>
      </c>
      <c r="J1294" s="5">
        <f t="shared" si="82"/>
        <v>2012</v>
      </c>
    </row>
    <row r="1295" spans="4:10" x14ac:dyDescent="0.25">
      <c r="D1295" s="4">
        <v>33728</v>
      </c>
      <c r="E1295" s="6">
        <v>19.88</v>
      </c>
      <c r="G1295" s="4">
        <f t="shared" si="83"/>
        <v>40970</v>
      </c>
      <c r="H1295" s="5">
        <f t="shared" si="80"/>
        <v>125.93</v>
      </c>
      <c r="I1295" s="5">
        <f t="shared" si="81"/>
        <v>3</v>
      </c>
      <c r="J1295" s="5">
        <f t="shared" si="82"/>
        <v>2012</v>
      </c>
    </row>
    <row r="1296" spans="4:10" x14ac:dyDescent="0.25">
      <c r="D1296" s="4">
        <v>33729</v>
      </c>
      <c r="E1296" s="6">
        <v>19.98</v>
      </c>
      <c r="G1296" s="4">
        <f t="shared" si="83"/>
        <v>40977</v>
      </c>
      <c r="H1296" s="5">
        <f t="shared" si="80"/>
        <v>128.08000000000001</v>
      </c>
      <c r="I1296" s="5">
        <f t="shared" si="81"/>
        <v>3</v>
      </c>
      <c r="J1296" s="5">
        <f t="shared" si="82"/>
        <v>2012</v>
      </c>
    </row>
    <row r="1297" spans="4:10" x14ac:dyDescent="0.25">
      <c r="D1297" s="4">
        <v>33730</v>
      </c>
      <c r="E1297" s="6">
        <v>19.68</v>
      </c>
      <c r="G1297" s="4">
        <f t="shared" si="83"/>
        <v>40984</v>
      </c>
      <c r="H1297" s="5">
        <f t="shared" si="80"/>
        <v>125.09</v>
      </c>
      <c r="I1297" s="5">
        <f t="shared" si="81"/>
        <v>3</v>
      </c>
      <c r="J1297" s="5">
        <f t="shared" si="82"/>
        <v>2012</v>
      </c>
    </row>
    <row r="1298" spans="4:10" x14ac:dyDescent="0.25">
      <c r="D1298" s="4">
        <v>33731</v>
      </c>
      <c r="E1298" s="6">
        <v>19.649999999999999</v>
      </c>
      <c r="G1298" s="4">
        <f t="shared" si="83"/>
        <v>40991</v>
      </c>
      <c r="H1298" s="5">
        <f t="shared" si="80"/>
        <v>125.21</v>
      </c>
      <c r="I1298" s="5">
        <f t="shared" si="81"/>
        <v>3</v>
      </c>
      <c r="J1298" s="5">
        <f t="shared" si="82"/>
        <v>2012</v>
      </c>
    </row>
    <row r="1299" spans="4:10" x14ac:dyDescent="0.25">
      <c r="D1299" s="4">
        <v>33732</v>
      </c>
      <c r="E1299" s="6">
        <v>19.63</v>
      </c>
      <c r="G1299" s="4">
        <f t="shared" si="83"/>
        <v>40998</v>
      </c>
      <c r="H1299" s="5">
        <f t="shared" si="80"/>
        <v>123.41</v>
      </c>
      <c r="I1299" s="5">
        <f t="shared" si="81"/>
        <v>3</v>
      </c>
      <c r="J1299" s="5">
        <f t="shared" si="82"/>
        <v>2012</v>
      </c>
    </row>
    <row r="1300" spans="4:10" x14ac:dyDescent="0.25">
      <c r="D1300" s="4">
        <v>33735</v>
      </c>
      <c r="E1300" s="6">
        <v>19.73</v>
      </c>
      <c r="G1300" s="4">
        <f t="shared" si="83"/>
        <v>41005</v>
      </c>
      <c r="H1300" s="5">
        <f t="shared" si="80"/>
        <v>0</v>
      </c>
      <c r="I1300" s="5">
        <f t="shared" si="81"/>
        <v>4</v>
      </c>
      <c r="J1300" s="5">
        <f t="shared" si="82"/>
        <v>2012</v>
      </c>
    </row>
    <row r="1301" spans="4:10" x14ac:dyDescent="0.25">
      <c r="D1301" s="4">
        <v>33736</v>
      </c>
      <c r="E1301" s="6">
        <v>19.8</v>
      </c>
      <c r="G1301" s="4">
        <f t="shared" si="83"/>
        <v>41012</v>
      </c>
      <c r="H1301" s="5">
        <f t="shared" si="80"/>
        <v>120.62</v>
      </c>
      <c r="I1301" s="5">
        <f t="shared" si="81"/>
        <v>4</v>
      </c>
      <c r="J1301" s="5">
        <f t="shared" si="82"/>
        <v>2012</v>
      </c>
    </row>
    <row r="1302" spans="4:10" x14ac:dyDescent="0.25">
      <c r="D1302" s="4">
        <v>33737</v>
      </c>
      <c r="E1302" s="6">
        <v>19.95</v>
      </c>
      <c r="G1302" s="4">
        <f t="shared" si="83"/>
        <v>41019</v>
      </c>
      <c r="H1302" s="5">
        <f t="shared" si="80"/>
        <v>118.08</v>
      </c>
      <c r="I1302" s="5">
        <f t="shared" si="81"/>
        <v>4</v>
      </c>
      <c r="J1302" s="5">
        <f t="shared" si="82"/>
        <v>2012</v>
      </c>
    </row>
    <row r="1303" spans="4:10" x14ac:dyDescent="0.25">
      <c r="D1303" s="4">
        <v>33738</v>
      </c>
      <c r="E1303" s="6">
        <v>19.75</v>
      </c>
      <c r="G1303" s="4">
        <f t="shared" si="83"/>
        <v>41026</v>
      </c>
      <c r="H1303" s="5">
        <f t="shared" si="80"/>
        <v>119.3</v>
      </c>
      <c r="I1303" s="5">
        <f t="shared" si="81"/>
        <v>4</v>
      </c>
      <c r="J1303" s="5">
        <f t="shared" si="82"/>
        <v>2012</v>
      </c>
    </row>
    <row r="1304" spans="4:10" x14ac:dyDescent="0.25">
      <c r="D1304" s="4">
        <v>33739</v>
      </c>
      <c r="E1304" s="6">
        <v>19.7</v>
      </c>
      <c r="G1304" s="4">
        <f t="shared" si="83"/>
        <v>41033</v>
      </c>
      <c r="H1304" s="5">
        <f t="shared" si="80"/>
        <v>111.66</v>
      </c>
      <c r="I1304" s="5">
        <f t="shared" si="81"/>
        <v>5</v>
      </c>
      <c r="J1304" s="5">
        <f t="shared" si="82"/>
        <v>2012</v>
      </c>
    </row>
    <row r="1305" spans="4:10" x14ac:dyDescent="0.25">
      <c r="D1305" s="4">
        <v>33742</v>
      </c>
      <c r="E1305" s="6">
        <v>19.7</v>
      </c>
      <c r="G1305" s="4">
        <f t="shared" si="83"/>
        <v>41040</v>
      </c>
      <c r="H1305" s="5">
        <f t="shared" si="80"/>
        <v>112.5</v>
      </c>
      <c r="I1305" s="5">
        <f t="shared" si="81"/>
        <v>5</v>
      </c>
      <c r="J1305" s="5">
        <f t="shared" si="82"/>
        <v>2012</v>
      </c>
    </row>
    <row r="1306" spans="4:10" x14ac:dyDescent="0.25">
      <c r="D1306" s="4">
        <v>33743</v>
      </c>
      <c r="E1306" s="6">
        <v>19.3</v>
      </c>
      <c r="G1306" s="4">
        <f t="shared" si="83"/>
        <v>41047</v>
      </c>
      <c r="H1306" s="5">
        <f t="shared" si="80"/>
        <v>108.03</v>
      </c>
      <c r="I1306" s="5">
        <f t="shared" si="81"/>
        <v>5</v>
      </c>
      <c r="J1306" s="5">
        <f t="shared" si="82"/>
        <v>2012</v>
      </c>
    </row>
    <row r="1307" spans="4:10" x14ac:dyDescent="0.25">
      <c r="D1307" s="4">
        <v>33744</v>
      </c>
      <c r="E1307" s="6">
        <v>19.28</v>
      </c>
      <c r="G1307" s="4">
        <f t="shared" si="83"/>
        <v>41054</v>
      </c>
      <c r="H1307" s="5">
        <f t="shared" si="80"/>
        <v>107.86</v>
      </c>
      <c r="I1307" s="5">
        <f t="shared" si="81"/>
        <v>5</v>
      </c>
      <c r="J1307" s="5">
        <f t="shared" si="82"/>
        <v>2012</v>
      </c>
    </row>
    <row r="1308" spans="4:10" x14ac:dyDescent="0.25">
      <c r="D1308" s="4">
        <v>33745</v>
      </c>
      <c r="E1308" s="6">
        <v>19.600000000000001</v>
      </c>
      <c r="G1308" s="4">
        <f t="shared" si="83"/>
        <v>41061</v>
      </c>
      <c r="H1308" s="5">
        <f t="shared" si="80"/>
        <v>98.63</v>
      </c>
      <c r="I1308" s="5">
        <f t="shared" si="81"/>
        <v>6</v>
      </c>
      <c r="J1308" s="5">
        <f t="shared" si="82"/>
        <v>2012</v>
      </c>
    </row>
    <row r="1309" spans="4:10" x14ac:dyDescent="0.25">
      <c r="D1309" s="4">
        <v>33746</v>
      </c>
      <c r="E1309" s="6">
        <v>19.579999999999998</v>
      </c>
      <c r="G1309" s="4">
        <f t="shared" si="83"/>
        <v>41068</v>
      </c>
      <c r="H1309" s="5">
        <f t="shared" si="80"/>
        <v>97.57</v>
      </c>
      <c r="I1309" s="5">
        <f t="shared" si="81"/>
        <v>6</v>
      </c>
      <c r="J1309" s="5">
        <f t="shared" si="82"/>
        <v>2012</v>
      </c>
    </row>
    <row r="1310" spans="4:10" x14ac:dyDescent="0.25">
      <c r="D1310" s="4">
        <v>33749</v>
      </c>
      <c r="E1310" s="5"/>
      <c r="G1310" s="4">
        <f t="shared" si="83"/>
        <v>41075</v>
      </c>
      <c r="H1310" s="5">
        <f t="shared" si="80"/>
        <v>97.13</v>
      </c>
      <c r="I1310" s="5">
        <f t="shared" si="81"/>
        <v>6</v>
      </c>
      <c r="J1310" s="5">
        <f t="shared" si="82"/>
        <v>2012</v>
      </c>
    </row>
    <row r="1311" spans="4:10" x14ac:dyDescent="0.25">
      <c r="D1311" s="4">
        <v>33750</v>
      </c>
      <c r="E1311" s="6">
        <v>20.5</v>
      </c>
      <c r="G1311" s="4">
        <f t="shared" si="83"/>
        <v>41082</v>
      </c>
      <c r="H1311" s="5">
        <f t="shared" si="80"/>
        <v>89.22</v>
      </c>
      <c r="I1311" s="5">
        <f t="shared" si="81"/>
        <v>6</v>
      </c>
      <c r="J1311" s="5">
        <f t="shared" si="82"/>
        <v>2012</v>
      </c>
    </row>
    <row r="1312" spans="4:10" x14ac:dyDescent="0.25">
      <c r="D1312" s="4">
        <v>33751</v>
      </c>
      <c r="E1312" s="6">
        <v>20.8</v>
      </c>
      <c r="G1312" s="4">
        <f t="shared" si="83"/>
        <v>41089</v>
      </c>
      <c r="H1312" s="5">
        <f t="shared" si="80"/>
        <v>94.17</v>
      </c>
      <c r="I1312" s="5">
        <f t="shared" si="81"/>
        <v>6</v>
      </c>
      <c r="J1312" s="5">
        <f t="shared" si="82"/>
        <v>2012</v>
      </c>
    </row>
    <row r="1313" spans="4:10" x14ac:dyDescent="0.25">
      <c r="D1313" s="4">
        <v>33752</v>
      </c>
      <c r="E1313" s="6">
        <v>20.73</v>
      </c>
      <c r="G1313" s="4">
        <f t="shared" si="83"/>
        <v>41096</v>
      </c>
      <c r="H1313" s="5">
        <f t="shared" si="80"/>
        <v>98.5</v>
      </c>
      <c r="I1313" s="5">
        <f t="shared" si="81"/>
        <v>7</v>
      </c>
      <c r="J1313" s="5">
        <f t="shared" si="82"/>
        <v>2012</v>
      </c>
    </row>
    <row r="1314" spans="4:10" x14ac:dyDescent="0.25">
      <c r="D1314" s="4">
        <v>33753</v>
      </c>
      <c r="E1314" s="6">
        <v>20.7</v>
      </c>
      <c r="G1314" s="4">
        <f t="shared" si="83"/>
        <v>41103</v>
      </c>
      <c r="H1314" s="5">
        <f t="shared" si="80"/>
        <v>101.91</v>
      </c>
      <c r="I1314" s="5">
        <f t="shared" si="81"/>
        <v>7</v>
      </c>
      <c r="J1314" s="5">
        <f t="shared" si="82"/>
        <v>2012</v>
      </c>
    </row>
    <row r="1315" spans="4:10" x14ac:dyDescent="0.25">
      <c r="D1315" s="4">
        <v>33756</v>
      </c>
      <c r="E1315" s="6">
        <v>20.9</v>
      </c>
      <c r="G1315" s="4">
        <f t="shared" si="83"/>
        <v>41110</v>
      </c>
      <c r="H1315" s="5">
        <f t="shared" si="80"/>
        <v>106.98</v>
      </c>
      <c r="I1315" s="5">
        <f t="shared" si="81"/>
        <v>7</v>
      </c>
      <c r="J1315" s="5">
        <f t="shared" si="82"/>
        <v>2012</v>
      </c>
    </row>
    <row r="1316" spans="4:10" x14ac:dyDescent="0.25">
      <c r="D1316" s="4">
        <v>33757</v>
      </c>
      <c r="E1316" s="6">
        <v>20.85</v>
      </c>
      <c r="G1316" s="4">
        <f t="shared" si="83"/>
        <v>41117</v>
      </c>
      <c r="H1316" s="5">
        <f t="shared" si="80"/>
        <v>106.3</v>
      </c>
      <c r="I1316" s="5">
        <f t="shared" si="81"/>
        <v>7</v>
      </c>
      <c r="J1316" s="5">
        <f t="shared" si="82"/>
        <v>2012</v>
      </c>
    </row>
    <row r="1317" spans="4:10" x14ac:dyDescent="0.25">
      <c r="D1317" s="4">
        <v>33758</v>
      </c>
      <c r="E1317" s="6">
        <v>21.23</v>
      </c>
      <c r="G1317" s="4">
        <f t="shared" si="83"/>
        <v>41124</v>
      </c>
      <c r="H1317" s="5">
        <f t="shared" si="80"/>
        <v>109.57</v>
      </c>
      <c r="I1317" s="5">
        <f t="shared" si="81"/>
        <v>8</v>
      </c>
      <c r="J1317" s="5">
        <f t="shared" si="82"/>
        <v>2012</v>
      </c>
    </row>
    <row r="1318" spans="4:10" x14ac:dyDescent="0.25">
      <c r="D1318" s="4">
        <v>33759</v>
      </c>
      <c r="E1318" s="6">
        <v>21.08</v>
      </c>
      <c r="G1318" s="4">
        <f t="shared" si="83"/>
        <v>41131</v>
      </c>
      <c r="H1318" s="5">
        <f t="shared" si="80"/>
        <v>113.13</v>
      </c>
      <c r="I1318" s="5">
        <f t="shared" si="81"/>
        <v>8</v>
      </c>
      <c r="J1318" s="5">
        <f t="shared" si="82"/>
        <v>2012</v>
      </c>
    </row>
    <row r="1319" spans="4:10" x14ac:dyDescent="0.25">
      <c r="D1319" s="4">
        <v>33760</v>
      </c>
      <c r="E1319" s="6">
        <v>21.35</v>
      </c>
      <c r="G1319" s="4">
        <f t="shared" si="83"/>
        <v>41138</v>
      </c>
      <c r="H1319" s="5">
        <f t="shared" si="80"/>
        <v>115.2</v>
      </c>
      <c r="I1319" s="5">
        <f t="shared" si="81"/>
        <v>8</v>
      </c>
      <c r="J1319" s="5">
        <f t="shared" si="82"/>
        <v>2012</v>
      </c>
    </row>
    <row r="1320" spans="4:10" x14ac:dyDescent="0.25">
      <c r="D1320" s="4">
        <v>33763</v>
      </c>
      <c r="E1320" s="6">
        <v>21.25</v>
      </c>
      <c r="G1320" s="4">
        <f t="shared" si="83"/>
        <v>41145</v>
      </c>
      <c r="H1320" s="5">
        <f t="shared" si="80"/>
        <v>115.76</v>
      </c>
      <c r="I1320" s="5">
        <f t="shared" si="81"/>
        <v>8</v>
      </c>
      <c r="J1320" s="5">
        <f t="shared" si="82"/>
        <v>2012</v>
      </c>
    </row>
    <row r="1321" spans="4:10" x14ac:dyDescent="0.25">
      <c r="D1321" s="4">
        <v>33764</v>
      </c>
      <c r="E1321" s="6">
        <v>21.13</v>
      </c>
      <c r="G1321" s="4">
        <f t="shared" si="83"/>
        <v>41152</v>
      </c>
      <c r="H1321" s="5">
        <f t="shared" si="80"/>
        <v>113.93</v>
      </c>
      <c r="I1321" s="5">
        <f t="shared" si="81"/>
        <v>8</v>
      </c>
      <c r="J1321" s="5">
        <f t="shared" si="82"/>
        <v>2012</v>
      </c>
    </row>
    <row r="1322" spans="4:10" x14ac:dyDescent="0.25">
      <c r="D1322" s="4">
        <v>33765</v>
      </c>
      <c r="E1322" s="6">
        <v>21.05</v>
      </c>
      <c r="G1322" s="4">
        <f t="shared" si="83"/>
        <v>41159</v>
      </c>
      <c r="H1322" s="5">
        <f t="shared" si="80"/>
        <v>113.64</v>
      </c>
      <c r="I1322" s="5">
        <f t="shared" si="81"/>
        <v>9</v>
      </c>
      <c r="J1322" s="5">
        <f t="shared" si="82"/>
        <v>2012</v>
      </c>
    </row>
    <row r="1323" spans="4:10" x14ac:dyDescent="0.25">
      <c r="D1323" s="4">
        <v>33766</v>
      </c>
      <c r="E1323" s="6">
        <v>21.33</v>
      </c>
      <c r="G1323" s="4">
        <f t="shared" si="83"/>
        <v>41166</v>
      </c>
      <c r="H1323" s="5">
        <f t="shared" si="80"/>
        <v>117.48</v>
      </c>
      <c r="I1323" s="5">
        <f t="shared" si="81"/>
        <v>9</v>
      </c>
      <c r="J1323" s="5">
        <f t="shared" si="82"/>
        <v>2012</v>
      </c>
    </row>
    <row r="1324" spans="4:10" x14ac:dyDescent="0.25">
      <c r="D1324" s="4">
        <v>33767</v>
      </c>
      <c r="E1324" s="6">
        <v>21.28</v>
      </c>
      <c r="G1324" s="4">
        <f t="shared" si="83"/>
        <v>41173</v>
      </c>
      <c r="H1324" s="5">
        <f t="shared" si="80"/>
        <v>111.27</v>
      </c>
      <c r="I1324" s="5">
        <f t="shared" si="81"/>
        <v>9</v>
      </c>
      <c r="J1324" s="5">
        <f t="shared" si="82"/>
        <v>2012</v>
      </c>
    </row>
    <row r="1325" spans="4:10" x14ac:dyDescent="0.25">
      <c r="D1325" s="4">
        <v>33770</v>
      </c>
      <c r="E1325" s="6">
        <v>21.3</v>
      </c>
      <c r="G1325" s="4">
        <f t="shared" si="83"/>
        <v>41180</v>
      </c>
      <c r="H1325" s="5">
        <f t="shared" si="80"/>
        <v>111.36</v>
      </c>
      <c r="I1325" s="5">
        <f t="shared" si="81"/>
        <v>9</v>
      </c>
      <c r="J1325" s="5">
        <f t="shared" si="82"/>
        <v>2012</v>
      </c>
    </row>
    <row r="1326" spans="4:10" x14ac:dyDescent="0.25">
      <c r="D1326" s="4">
        <v>33771</v>
      </c>
      <c r="E1326" s="6">
        <v>21.13</v>
      </c>
      <c r="G1326" s="4">
        <f t="shared" si="83"/>
        <v>41187</v>
      </c>
      <c r="H1326" s="5">
        <f t="shared" si="80"/>
        <v>112.17</v>
      </c>
      <c r="I1326" s="5">
        <f t="shared" si="81"/>
        <v>10</v>
      </c>
      <c r="J1326" s="5">
        <f t="shared" si="82"/>
        <v>2012</v>
      </c>
    </row>
    <row r="1327" spans="4:10" x14ac:dyDescent="0.25">
      <c r="D1327" s="4">
        <v>33772</v>
      </c>
      <c r="E1327" s="6">
        <v>21.03</v>
      </c>
      <c r="G1327" s="4">
        <f t="shared" si="83"/>
        <v>41194</v>
      </c>
      <c r="H1327" s="5">
        <f t="shared" si="80"/>
        <v>115.17</v>
      </c>
      <c r="I1327" s="5">
        <f t="shared" si="81"/>
        <v>10</v>
      </c>
      <c r="J1327" s="5">
        <f t="shared" si="82"/>
        <v>2012</v>
      </c>
    </row>
    <row r="1328" spans="4:10" x14ac:dyDescent="0.25">
      <c r="D1328" s="4">
        <v>33773</v>
      </c>
      <c r="E1328" s="6">
        <v>21.23</v>
      </c>
      <c r="G1328" s="4">
        <f t="shared" si="83"/>
        <v>41201</v>
      </c>
      <c r="H1328" s="5">
        <f t="shared" si="80"/>
        <v>111.89</v>
      </c>
      <c r="I1328" s="5">
        <f t="shared" si="81"/>
        <v>10</v>
      </c>
      <c r="J1328" s="5">
        <f t="shared" si="82"/>
        <v>2012</v>
      </c>
    </row>
    <row r="1329" spans="4:10" x14ac:dyDescent="0.25">
      <c r="D1329" s="4">
        <v>33774</v>
      </c>
      <c r="E1329" s="6">
        <v>21.13</v>
      </c>
      <c r="G1329" s="4">
        <f t="shared" si="83"/>
        <v>41208</v>
      </c>
      <c r="H1329" s="5">
        <f t="shared" si="80"/>
        <v>108.9</v>
      </c>
      <c r="I1329" s="5">
        <f t="shared" si="81"/>
        <v>10</v>
      </c>
      <c r="J1329" s="5">
        <f t="shared" si="82"/>
        <v>2012</v>
      </c>
    </row>
    <row r="1330" spans="4:10" x14ac:dyDescent="0.25">
      <c r="D1330" s="4">
        <v>33777</v>
      </c>
      <c r="E1330" s="6">
        <v>20.83</v>
      </c>
      <c r="G1330" s="4">
        <f t="shared" si="83"/>
        <v>41215</v>
      </c>
      <c r="H1330" s="5">
        <f t="shared" si="80"/>
        <v>106.79</v>
      </c>
      <c r="I1330" s="5">
        <f t="shared" si="81"/>
        <v>11</v>
      </c>
      <c r="J1330" s="5">
        <f t="shared" si="82"/>
        <v>2012</v>
      </c>
    </row>
    <row r="1331" spans="4:10" x14ac:dyDescent="0.25">
      <c r="D1331" s="4">
        <v>33778</v>
      </c>
      <c r="E1331" s="6">
        <v>21.35</v>
      </c>
      <c r="G1331" s="4">
        <f t="shared" si="83"/>
        <v>41222</v>
      </c>
      <c r="H1331" s="5">
        <f t="shared" si="80"/>
        <v>108.61</v>
      </c>
      <c r="I1331" s="5">
        <f t="shared" si="81"/>
        <v>11</v>
      </c>
      <c r="J1331" s="5">
        <f t="shared" si="82"/>
        <v>2012</v>
      </c>
    </row>
    <row r="1332" spans="4:10" x14ac:dyDescent="0.25">
      <c r="D1332" s="4">
        <v>33779</v>
      </c>
      <c r="E1332" s="6">
        <v>21.55</v>
      </c>
      <c r="G1332" s="4">
        <f t="shared" si="83"/>
        <v>41229</v>
      </c>
      <c r="H1332" s="5">
        <f t="shared" si="80"/>
        <v>106.81</v>
      </c>
      <c r="I1332" s="5">
        <f t="shared" si="81"/>
        <v>11</v>
      </c>
      <c r="J1332" s="5">
        <f t="shared" si="82"/>
        <v>2012</v>
      </c>
    </row>
    <row r="1333" spans="4:10" x14ac:dyDescent="0.25">
      <c r="D1333" s="4">
        <v>33780</v>
      </c>
      <c r="E1333" s="6">
        <v>21.5</v>
      </c>
      <c r="G1333" s="4">
        <f t="shared" si="83"/>
        <v>41236</v>
      </c>
      <c r="H1333" s="5">
        <f t="shared" si="80"/>
        <v>110.14</v>
      </c>
      <c r="I1333" s="5">
        <f t="shared" si="81"/>
        <v>11</v>
      </c>
      <c r="J1333" s="5">
        <f t="shared" si="82"/>
        <v>2012</v>
      </c>
    </row>
    <row r="1334" spans="4:10" x14ac:dyDescent="0.25">
      <c r="D1334" s="4">
        <v>33781</v>
      </c>
      <c r="E1334" s="6">
        <v>21.3</v>
      </c>
      <c r="G1334" s="4">
        <f t="shared" si="83"/>
        <v>41243</v>
      </c>
      <c r="H1334" s="5">
        <f t="shared" si="80"/>
        <v>110.84</v>
      </c>
      <c r="I1334" s="5">
        <f t="shared" si="81"/>
        <v>11</v>
      </c>
      <c r="J1334" s="5">
        <f t="shared" si="82"/>
        <v>2012</v>
      </c>
    </row>
    <row r="1335" spans="4:10" x14ac:dyDescent="0.25">
      <c r="D1335" s="4">
        <v>33784</v>
      </c>
      <c r="E1335" s="6">
        <v>21.08</v>
      </c>
      <c r="G1335" s="4">
        <f t="shared" si="83"/>
        <v>41250</v>
      </c>
      <c r="H1335" s="5">
        <f t="shared" si="80"/>
        <v>107.16</v>
      </c>
      <c r="I1335" s="5">
        <f t="shared" si="81"/>
        <v>12</v>
      </c>
      <c r="J1335" s="5">
        <f t="shared" si="82"/>
        <v>2012</v>
      </c>
    </row>
    <row r="1336" spans="4:10" x14ac:dyDescent="0.25">
      <c r="D1336" s="4">
        <v>33785</v>
      </c>
      <c r="E1336" s="6">
        <v>20.6</v>
      </c>
      <c r="G1336" s="4">
        <f t="shared" si="83"/>
        <v>41257</v>
      </c>
      <c r="H1336" s="5">
        <f t="shared" si="80"/>
        <v>109.28</v>
      </c>
      <c r="I1336" s="5">
        <f t="shared" si="81"/>
        <v>12</v>
      </c>
      <c r="J1336" s="5">
        <f t="shared" si="82"/>
        <v>2012</v>
      </c>
    </row>
    <row r="1337" spans="4:10" x14ac:dyDescent="0.25">
      <c r="D1337" s="4">
        <v>33786</v>
      </c>
      <c r="E1337" s="6">
        <v>20.25</v>
      </c>
      <c r="G1337" s="4">
        <f t="shared" si="83"/>
        <v>41264</v>
      </c>
      <c r="H1337" s="5">
        <f t="shared" si="80"/>
        <v>109.13</v>
      </c>
      <c r="I1337" s="5">
        <f t="shared" si="81"/>
        <v>12</v>
      </c>
      <c r="J1337" s="5">
        <f t="shared" si="82"/>
        <v>2012</v>
      </c>
    </row>
    <row r="1338" spans="4:10" x14ac:dyDescent="0.25">
      <c r="D1338" s="4">
        <v>33787</v>
      </c>
      <c r="E1338" s="6">
        <v>20.53</v>
      </c>
      <c r="G1338" s="4">
        <f t="shared" si="83"/>
        <v>41271</v>
      </c>
      <c r="H1338" s="5">
        <f t="shared" si="80"/>
        <v>110.05</v>
      </c>
      <c r="I1338" s="5">
        <f t="shared" si="81"/>
        <v>12</v>
      </c>
      <c r="J1338" s="5">
        <f t="shared" si="82"/>
        <v>2012</v>
      </c>
    </row>
    <row r="1339" spans="4:10" x14ac:dyDescent="0.25">
      <c r="D1339" s="4">
        <v>33788</v>
      </c>
      <c r="E1339" s="6">
        <v>20.65</v>
      </c>
      <c r="G1339" s="4">
        <f t="shared" si="83"/>
        <v>41278</v>
      </c>
      <c r="H1339" s="5">
        <f t="shared" si="80"/>
        <v>112.58</v>
      </c>
      <c r="I1339" s="5">
        <f t="shared" si="81"/>
        <v>1</v>
      </c>
      <c r="J1339" s="5">
        <f t="shared" si="82"/>
        <v>2013</v>
      </c>
    </row>
    <row r="1340" spans="4:10" x14ac:dyDescent="0.25">
      <c r="D1340" s="4">
        <v>33791</v>
      </c>
      <c r="E1340" s="6">
        <v>20.45</v>
      </c>
      <c r="G1340" s="4">
        <f t="shared" si="83"/>
        <v>41285</v>
      </c>
      <c r="H1340" s="5">
        <f t="shared" si="80"/>
        <v>110.3</v>
      </c>
      <c r="I1340" s="5">
        <f t="shared" si="81"/>
        <v>1</v>
      </c>
      <c r="J1340" s="5">
        <f t="shared" si="82"/>
        <v>2013</v>
      </c>
    </row>
    <row r="1341" spans="4:10" x14ac:dyDescent="0.25">
      <c r="D1341" s="4">
        <v>33792</v>
      </c>
      <c r="E1341" s="6">
        <v>19.8</v>
      </c>
      <c r="G1341" s="4">
        <f t="shared" si="83"/>
        <v>41292</v>
      </c>
      <c r="H1341" s="5">
        <f t="shared" si="80"/>
        <v>111.71</v>
      </c>
      <c r="I1341" s="5">
        <f t="shared" si="81"/>
        <v>1</v>
      </c>
      <c r="J1341" s="5">
        <f t="shared" si="82"/>
        <v>2013</v>
      </c>
    </row>
    <row r="1342" spans="4:10" x14ac:dyDescent="0.25">
      <c r="D1342" s="4">
        <v>33793</v>
      </c>
      <c r="E1342" s="6">
        <v>19.7</v>
      </c>
      <c r="G1342" s="4">
        <f t="shared" si="83"/>
        <v>41299</v>
      </c>
      <c r="H1342" s="5">
        <f t="shared" si="80"/>
        <v>113.88</v>
      </c>
      <c r="I1342" s="5">
        <f t="shared" si="81"/>
        <v>1</v>
      </c>
      <c r="J1342" s="5">
        <f t="shared" si="82"/>
        <v>2013</v>
      </c>
    </row>
    <row r="1343" spans="4:10" x14ac:dyDescent="0.25">
      <c r="D1343" s="4">
        <v>33794</v>
      </c>
      <c r="E1343" s="6">
        <v>19.78</v>
      </c>
      <c r="G1343" s="4">
        <f t="shared" si="83"/>
        <v>41306</v>
      </c>
      <c r="H1343" s="5">
        <f t="shared" si="80"/>
        <v>115.55</v>
      </c>
      <c r="I1343" s="5">
        <f t="shared" si="81"/>
        <v>2</v>
      </c>
      <c r="J1343" s="5">
        <f t="shared" si="82"/>
        <v>2013</v>
      </c>
    </row>
    <row r="1344" spans="4:10" x14ac:dyDescent="0.25">
      <c r="D1344" s="4">
        <v>33795</v>
      </c>
      <c r="E1344" s="6">
        <v>20</v>
      </c>
      <c r="G1344" s="4">
        <f t="shared" si="83"/>
        <v>41313</v>
      </c>
      <c r="H1344" s="5">
        <f t="shared" si="80"/>
        <v>118.9</v>
      </c>
      <c r="I1344" s="5">
        <f t="shared" si="81"/>
        <v>2</v>
      </c>
      <c r="J1344" s="5">
        <f t="shared" si="82"/>
        <v>2013</v>
      </c>
    </row>
    <row r="1345" spans="4:10" x14ac:dyDescent="0.25">
      <c r="D1345" s="4">
        <v>33798</v>
      </c>
      <c r="E1345" s="6">
        <v>19.829999999999998</v>
      </c>
      <c r="G1345" s="4">
        <f t="shared" si="83"/>
        <v>41320</v>
      </c>
      <c r="H1345" s="5">
        <f t="shared" si="80"/>
        <v>117.4</v>
      </c>
      <c r="I1345" s="5">
        <f t="shared" si="81"/>
        <v>2</v>
      </c>
      <c r="J1345" s="5">
        <f t="shared" si="82"/>
        <v>2013</v>
      </c>
    </row>
    <row r="1346" spans="4:10" x14ac:dyDescent="0.25">
      <c r="D1346" s="4">
        <v>33799</v>
      </c>
      <c r="E1346" s="6">
        <v>19.98</v>
      </c>
      <c r="G1346" s="4">
        <f t="shared" si="83"/>
        <v>41327</v>
      </c>
      <c r="H1346" s="5">
        <f t="shared" si="80"/>
        <v>113.74</v>
      </c>
      <c r="I1346" s="5">
        <f t="shared" si="81"/>
        <v>2</v>
      </c>
      <c r="J1346" s="5">
        <f t="shared" si="82"/>
        <v>2013</v>
      </c>
    </row>
    <row r="1347" spans="4:10" x14ac:dyDescent="0.25">
      <c r="D1347" s="4">
        <v>33800</v>
      </c>
      <c r="E1347" s="6">
        <v>19.850000000000001</v>
      </c>
      <c r="G1347" s="4">
        <f t="shared" si="83"/>
        <v>41334</v>
      </c>
      <c r="H1347" s="5">
        <f t="shared" ref="H1347:H1410" si="84">_xlfn.XLOOKUP(G1347,D:D,E:E)</f>
        <v>110.14</v>
      </c>
      <c r="I1347" s="5">
        <f t="shared" ref="I1347:I1410" si="85">MONTH(G1347)</f>
        <v>3</v>
      </c>
      <c r="J1347" s="5">
        <f t="shared" ref="J1347:J1410" si="86">YEAR(G1347)</f>
        <v>2013</v>
      </c>
    </row>
    <row r="1348" spans="4:10" x14ac:dyDescent="0.25">
      <c r="D1348" s="4">
        <v>33801</v>
      </c>
      <c r="E1348" s="6">
        <v>20.23</v>
      </c>
      <c r="G1348" s="4">
        <f t="shared" ref="G1348:G1411" si="87">G1347+7</f>
        <v>41341</v>
      </c>
      <c r="H1348" s="5">
        <f t="shared" si="84"/>
        <v>108.91</v>
      </c>
      <c r="I1348" s="5">
        <f t="shared" si="85"/>
        <v>3</v>
      </c>
      <c r="J1348" s="5">
        <f t="shared" si="86"/>
        <v>2013</v>
      </c>
    </row>
    <row r="1349" spans="4:10" x14ac:dyDescent="0.25">
      <c r="D1349" s="4">
        <v>33802</v>
      </c>
      <c r="E1349" s="6">
        <v>20.2</v>
      </c>
      <c r="G1349" s="4">
        <f t="shared" si="87"/>
        <v>41348</v>
      </c>
      <c r="H1349" s="5">
        <f t="shared" si="84"/>
        <v>109.32</v>
      </c>
      <c r="I1349" s="5">
        <f t="shared" si="85"/>
        <v>3</v>
      </c>
      <c r="J1349" s="5">
        <f t="shared" si="86"/>
        <v>2013</v>
      </c>
    </row>
    <row r="1350" spans="4:10" x14ac:dyDescent="0.25">
      <c r="D1350" s="4">
        <v>33805</v>
      </c>
      <c r="E1350" s="6">
        <v>19.95</v>
      </c>
      <c r="G1350" s="4">
        <f t="shared" si="87"/>
        <v>41355</v>
      </c>
      <c r="H1350" s="5">
        <f t="shared" si="84"/>
        <v>106.51</v>
      </c>
      <c r="I1350" s="5">
        <f t="shared" si="85"/>
        <v>3</v>
      </c>
      <c r="J1350" s="5">
        <f t="shared" si="86"/>
        <v>2013</v>
      </c>
    </row>
    <row r="1351" spans="4:10" x14ac:dyDescent="0.25">
      <c r="D1351" s="4">
        <v>33806</v>
      </c>
      <c r="E1351" s="6">
        <v>20.03</v>
      </c>
      <c r="G1351" s="4">
        <f t="shared" si="87"/>
        <v>41362</v>
      </c>
      <c r="H1351" s="5">
        <f t="shared" si="84"/>
        <v>0</v>
      </c>
      <c r="I1351" s="5">
        <f t="shared" si="85"/>
        <v>3</v>
      </c>
      <c r="J1351" s="5">
        <f t="shared" si="86"/>
        <v>2013</v>
      </c>
    </row>
    <row r="1352" spans="4:10" x14ac:dyDescent="0.25">
      <c r="D1352" s="4">
        <v>33807</v>
      </c>
      <c r="E1352" s="6">
        <v>20.23</v>
      </c>
      <c r="G1352" s="4">
        <f t="shared" si="87"/>
        <v>41369</v>
      </c>
      <c r="H1352" s="5">
        <f t="shared" si="84"/>
        <v>103.98</v>
      </c>
      <c r="I1352" s="5">
        <f t="shared" si="85"/>
        <v>4</v>
      </c>
      <c r="J1352" s="5">
        <f t="shared" si="86"/>
        <v>2013</v>
      </c>
    </row>
    <row r="1353" spans="4:10" x14ac:dyDescent="0.25">
      <c r="D1353" s="4">
        <v>33808</v>
      </c>
      <c r="E1353" s="6">
        <v>20.48</v>
      </c>
      <c r="G1353" s="4">
        <f t="shared" si="87"/>
        <v>41376</v>
      </c>
      <c r="H1353" s="5">
        <f t="shared" si="84"/>
        <v>100.58</v>
      </c>
      <c r="I1353" s="5">
        <f t="shared" si="85"/>
        <v>4</v>
      </c>
      <c r="J1353" s="5">
        <f t="shared" si="86"/>
        <v>2013</v>
      </c>
    </row>
    <row r="1354" spans="4:10" x14ac:dyDescent="0.25">
      <c r="D1354" s="4">
        <v>33809</v>
      </c>
      <c r="E1354" s="6">
        <v>20.6</v>
      </c>
      <c r="G1354" s="4">
        <f t="shared" si="87"/>
        <v>41383</v>
      </c>
      <c r="H1354" s="5">
        <f t="shared" si="84"/>
        <v>98.94</v>
      </c>
      <c r="I1354" s="5">
        <f t="shared" si="85"/>
        <v>4</v>
      </c>
      <c r="J1354" s="5">
        <f t="shared" si="86"/>
        <v>2013</v>
      </c>
    </row>
    <row r="1355" spans="4:10" x14ac:dyDescent="0.25">
      <c r="D1355" s="4">
        <v>33812</v>
      </c>
      <c r="E1355" s="6">
        <v>20.58</v>
      </c>
      <c r="G1355" s="4">
        <f t="shared" si="87"/>
        <v>41390</v>
      </c>
      <c r="H1355" s="5">
        <f t="shared" si="84"/>
        <v>102.39</v>
      </c>
      <c r="I1355" s="5">
        <f t="shared" si="85"/>
        <v>4</v>
      </c>
      <c r="J1355" s="5">
        <f t="shared" si="86"/>
        <v>2013</v>
      </c>
    </row>
    <row r="1356" spans="4:10" x14ac:dyDescent="0.25">
      <c r="D1356" s="4">
        <v>33813</v>
      </c>
      <c r="E1356" s="6">
        <v>20.78</v>
      </c>
      <c r="G1356" s="4">
        <f t="shared" si="87"/>
        <v>41397</v>
      </c>
      <c r="H1356" s="5">
        <f t="shared" si="84"/>
        <v>104.6</v>
      </c>
      <c r="I1356" s="5">
        <f t="shared" si="85"/>
        <v>5</v>
      </c>
      <c r="J1356" s="5">
        <f t="shared" si="86"/>
        <v>2013</v>
      </c>
    </row>
    <row r="1357" spans="4:10" x14ac:dyDescent="0.25">
      <c r="D1357" s="4">
        <v>33814</v>
      </c>
      <c r="E1357" s="6">
        <v>20.68</v>
      </c>
      <c r="G1357" s="4">
        <f t="shared" si="87"/>
        <v>41404</v>
      </c>
      <c r="H1357" s="5">
        <f t="shared" si="84"/>
        <v>101.31</v>
      </c>
      <c r="I1357" s="5">
        <f t="shared" si="85"/>
        <v>5</v>
      </c>
      <c r="J1357" s="5">
        <f t="shared" si="86"/>
        <v>2013</v>
      </c>
    </row>
    <row r="1358" spans="4:10" x14ac:dyDescent="0.25">
      <c r="D1358" s="4">
        <v>33815</v>
      </c>
      <c r="E1358" s="6">
        <v>20.48</v>
      </c>
      <c r="G1358" s="4">
        <f t="shared" si="87"/>
        <v>41411</v>
      </c>
      <c r="H1358" s="5">
        <f t="shared" si="84"/>
        <v>103.83</v>
      </c>
      <c r="I1358" s="5">
        <f t="shared" si="85"/>
        <v>5</v>
      </c>
      <c r="J1358" s="5">
        <f t="shared" si="86"/>
        <v>2013</v>
      </c>
    </row>
    <row r="1359" spans="4:10" x14ac:dyDescent="0.25">
      <c r="D1359" s="4">
        <v>33816</v>
      </c>
      <c r="E1359" s="6">
        <v>20.38</v>
      </c>
      <c r="G1359" s="4">
        <f t="shared" si="87"/>
        <v>41418</v>
      </c>
      <c r="H1359" s="5">
        <f t="shared" si="84"/>
        <v>101.24</v>
      </c>
      <c r="I1359" s="5">
        <f t="shared" si="85"/>
        <v>5</v>
      </c>
      <c r="J1359" s="5">
        <f t="shared" si="86"/>
        <v>2013</v>
      </c>
    </row>
    <row r="1360" spans="4:10" x14ac:dyDescent="0.25">
      <c r="D1360" s="4">
        <v>33819</v>
      </c>
      <c r="E1360" s="6">
        <v>20.329999999999998</v>
      </c>
      <c r="G1360" s="4">
        <f t="shared" si="87"/>
        <v>41425</v>
      </c>
      <c r="H1360" s="5">
        <f t="shared" si="84"/>
        <v>100.43</v>
      </c>
      <c r="I1360" s="5">
        <f t="shared" si="85"/>
        <v>5</v>
      </c>
      <c r="J1360" s="5">
        <f t="shared" si="86"/>
        <v>2013</v>
      </c>
    </row>
    <row r="1361" spans="4:10" x14ac:dyDescent="0.25">
      <c r="D1361" s="4">
        <v>33820</v>
      </c>
      <c r="E1361" s="6">
        <v>19.850000000000001</v>
      </c>
      <c r="G1361" s="4">
        <f t="shared" si="87"/>
        <v>41432</v>
      </c>
      <c r="H1361" s="5">
        <f t="shared" si="84"/>
        <v>104.07</v>
      </c>
      <c r="I1361" s="5">
        <f t="shared" si="85"/>
        <v>6</v>
      </c>
      <c r="J1361" s="5">
        <f t="shared" si="86"/>
        <v>2013</v>
      </c>
    </row>
    <row r="1362" spans="4:10" x14ac:dyDescent="0.25">
      <c r="D1362" s="4">
        <v>33821</v>
      </c>
      <c r="E1362" s="6">
        <v>19.68</v>
      </c>
      <c r="G1362" s="4">
        <f t="shared" si="87"/>
        <v>41439</v>
      </c>
      <c r="H1362" s="5">
        <f t="shared" si="84"/>
        <v>105.1</v>
      </c>
      <c r="I1362" s="5">
        <f t="shared" si="85"/>
        <v>6</v>
      </c>
      <c r="J1362" s="5">
        <f t="shared" si="86"/>
        <v>2013</v>
      </c>
    </row>
    <row r="1363" spans="4:10" x14ac:dyDescent="0.25">
      <c r="D1363" s="4">
        <v>33822</v>
      </c>
      <c r="E1363" s="6">
        <v>19.78</v>
      </c>
      <c r="G1363" s="4">
        <f t="shared" si="87"/>
        <v>41446</v>
      </c>
      <c r="H1363" s="5">
        <f t="shared" si="84"/>
        <v>100.36</v>
      </c>
      <c r="I1363" s="5">
        <f t="shared" si="85"/>
        <v>6</v>
      </c>
      <c r="J1363" s="5">
        <f t="shared" si="86"/>
        <v>2013</v>
      </c>
    </row>
    <row r="1364" spans="4:10" x14ac:dyDescent="0.25">
      <c r="D1364" s="4">
        <v>33823</v>
      </c>
      <c r="E1364" s="6">
        <v>19.75</v>
      </c>
      <c r="G1364" s="4">
        <f t="shared" si="87"/>
        <v>41453</v>
      </c>
      <c r="H1364" s="5">
        <f t="shared" si="84"/>
        <v>102.49</v>
      </c>
      <c r="I1364" s="5">
        <f t="shared" si="85"/>
        <v>6</v>
      </c>
      <c r="J1364" s="5">
        <f t="shared" si="86"/>
        <v>2013</v>
      </c>
    </row>
    <row r="1365" spans="4:10" x14ac:dyDescent="0.25">
      <c r="D1365" s="4">
        <v>33826</v>
      </c>
      <c r="E1365" s="6">
        <v>19.55</v>
      </c>
      <c r="G1365" s="4">
        <f t="shared" si="87"/>
        <v>41460</v>
      </c>
      <c r="H1365" s="5">
        <f t="shared" si="84"/>
        <v>107.46</v>
      </c>
      <c r="I1365" s="5">
        <f t="shared" si="85"/>
        <v>7</v>
      </c>
      <c r="J1365" s="5">
        <f t="shared" si="86"/>
        <v>2013</v>
      </c>
    </row>
    <row r="1366" spans="4:10" x14ac:dyDescent="0.25">
      <c r="D1366" s="4">
        <v>33827</v>
      </c>
      <c r="E1366" s="6">
        <v>19.48</v>
      </c>
      <c r="G1366" s="4">
        <f t="shared" si="87"/>
        <v>41467</v>
      </c>
      <c r="H1366" s="5">
        <f t="shared" si="84"/>
        <v>109.03</v>
      </c>
      <c r="I1366" s="5">
        <f t="shared" si="85"/>
        <v>7</v>
      </c>
      <c r="J1366" s="5">
        <f t="shared" si="86"/>
        <v>2013</v>
      </c>
    </row>
    <row r="1367" spans="4:10" x14ac:dyDescent="0.25">
      <c r="D1367" s="4">
        <v>33828</v>
      </c>
      <c r="E1367" s="6">
        <v>19.649999999999999</v>
      </c>
      <c r="G1367" s="4">
        <f t="shared" si="87"/>
        <v>41474</v>
      </c>
      <c r="H1367" s="5">
        <f t="shared" si="84"/>
        <v>109.34</v>
      </c>
      <c r="I1367" s="5">
        <f t="shared" si="85"/>
        <v>7</v>
      </c>
      <c r="J1367" s="5">
        <f t="shared" si="86"/>
        <v>2013</v>
      </c>
    </row>
    <row r="1368" spans="4:10" x14ac:dyDescent="0.25">
      <c r="D1368" s="4">
        <v>33829</v>
      </c>
      <c r="E1368" s="6">
        <v>19.829999999999998</v>
      </c>
      <c r="G1368" s="4">
        <f t="shared" si="87"/>
        <v>41481</v>
      </c>
      <c r="H1368" s="5">
        <f t="shared" si="84"/>
        <v>107.57</v>
      </c>
      <c r="I1368" s="5">
        <f t="shared" si="85"/>
        <v>7</v>
      </c>
      <c r="J1368" s="5">
        <f t="shared" si="86"/>
        <v>2013</v>
      </c>
    </row>
    <row r="1369" spans="4:10" x14ac:dyDescent="0.25">
      <c r="D1369" s="4">
        <v>33830</v>
      </c>
      <c r="E1369" s="6">
        <v>19.88</v>
      </c>
      <c r="G1369" s="4">
        <f t="shared" si="87"/>
        <v>41488</v>
      </c>
      <c r="H1369" s="5">
        <f t="shared" si="84"/>
        <v>109.63</v>
      </c>
      <c r="I1369" s="5">
        <f t="shared" si="85"/>
        <v>8</v>
      </c>
      <c r="J1369" s="5">
        <f t="shared" si="86"/>
        <v>2013</v>
      </c>
    </row>
    <row r="1370" spans="4:10" x14ac:dyDescent="0.25">
      <c r="D1370" s="4">
        <v>33833</v>
      </c>
      <c r="E1370" s="6">
        <v>19.95</v>
      </c>
      <c r="G1370" s="4">
        <f t="shared" si="87"/>
        <v>41495</v>
      </c>
      <c r="H1370" s="5">
        <f t="shared" si="84"/>
        <v>108.49</v>
      </c>
      <c r="I1370" s="5">
        <f t="shared" si="85"/>
        <v>8</v>
      </c>
      <c r="J1370" s="5">
        <f t="shared" si="86"/>
        <v>2013</v>
      </c>
    </row>
    <row r="1371" spans="4:10" x14ac:dyDescent="0.25">
      <c r="D1371" s="4">
        <v>33834</v>
      </c>
      <c r="E1371" s="6">
        <v>19.899999999999999</v>
      </c>
      <c r="G1371" s="4">
        <f t="shared" si="87"/>
        <v>41502</v>
      </c>
      <c r="H1371" s="5">
        <f t="shared" si="84"/>
        <v>111.82</v>
      </c>
      <c r="I1371" s="5">
        <f t="shared" si="85"/>
        <v>8</v>
      </c>
      <c r="J1371" s="5">
        <f t="shared" si="86"/>
        <v>2013</v>
      </c>
    </row>
    <row r="1372" spans="4:10" x14ac:dyDescent="0.25">
      <c r="D1372" s="4">
        <v>33835</v>
      </c>
      <c r="E1372" s="6">
        <v>19.8</v>
      </c>
      <c r="G1372" s="4">
        <f t="shared" si="87"/>
        <v>41509</v>
      </c>
      <c r="H1372" s="5">
        <f t="shared" si="84"/>
        <v>112.12</v>
      </c>
      <c r="I1372" s="5">
        <f t="shared" si="85"/>
        <v>8</v>
      </c>
      <c r="J1372" s="5">
        <f t="shared" si="86"/>
        <v>2013</v>
      </c>
    </row>
    <row r="1373" spans="4:10" x14ac:dyDescent="0.25">
      <c r="D1373" s="4">
        <v>33836</v>
      </c>
      <c r="E1373" s="6">
        <v>19.63</v>
      </c>
      <c r="G1373" s="4">
        <f t="shared" si="87"/>
        <v>41516</v>
      </c>
      <c r="H1373" s="5">
        <f t="shared" si="84"/>
        <v>115.97</v>
      </c>
      <c r="I1373" s="5">
        <f t="shared" si="85"/>
        <v>8</v>
      </c>
      <c r="J1373" s="5">
        <f t="shared" si="86"/>
        <v>2013</v>
      </c>
    </row>
    <row r="1374" spans="4:10" x14ac:dyDescent="0.25">
      <c r="D1374" s="4">
        <v>33837</v>
      </c>
      <c r="E1374" s="6">
        <v>19.68</v>
      </c>
      <c r="G1374" s="4">
        <f t="shared" si="87"/>
        <v>41523</v>
      </c>
      <c r="H1374" s="5">
        <f t="shared" si="84"/>
        <v>117.15</v>
      </c>
      <c r="I1374" s="5">
        <f t="shared" si="85"/>
        <v>9</v>
      </c>
      <c r="J1374" s="5">
        <f t="shared" si="86"/>
        <v>2013</v>
      </c>
    </row>
    <row r="1375" spans="4:10" x14ac:dyDescent="0.25">
      <c r="D1375" s="4">
        <v>33840</v>
      </c>
      <c r="E1375" s="6">
        <v>19.649999999999999</v>
      </c>
      <c r="G1375" s="4">
        <f t="shared" si="87"/>
        <v>41530</v>
      </c>
      <c r="H1375" s="5">
        <f t="shared" si="84"/>
        <v>113.31</v>
      </c>
      <c r="I1375" s="5">
        <f t="shared" si="85"/>
        <v>9</v>
      </c>
      <c r="J1375" s="5">
        <f t="shared" si="86"/>
        <v>2013</v>
      </c>
    </row>
    <row r="1376" spans="4:10" x14ac:dyDescent="0.25">
      <c r="D1376" s="4">
        <v>33841</v>
      </c>
      <c r="E1376" s="6">
        <v>19.68</v>
      </c>
      <c r="G1376" s="4">
        <f t="shared" si="87"/>
        <v>41537</v>
      </c>
      <c r="H1376" s="5">
        <f t="shared" si="84"/>
        <v>110.22</v>
      </c>
      <c r="I1376" s="5">
        <f t="shared" si="85"/>
        <v>9</v>
      </c>
      <c r="J1376" s="5">
        <f t="shared" si="86"/>
        <v>2013</v>
      </c>
    </row>
    <row r="1377" spans="4:10" x14ac:dyDescent="0.25">
      <c r="D1377" s="4">
        <v>33842</v>
      </c>
      <c r="E1377" s="6">
        <v>19.63</v>
      </c>
      <c r="G1377" s="4">
        <f t="shared" si="87"/>
        <v>41544</v>
      </c>
      <c r="H1377" s="5">
        <f t="shared" si="84"/>
        <v>109.45</v>
      </c>
      <c r="I1377" s="5">
        <f t="shared" si="85"/>
        <v>9</v>
      </c>
      <c r="J1377" s="5">
        <f t="shared" si="86"/>
        <v>2013</v>
      </c>
    </row>
    <row r="1378" spans="4:10" x14ac:dyDescent="0.25">
      <c r="D1378" s="4">
        <v>33843</v>
      </c>
      <c r="E1378" s="6">
        <v>19.5</v>
      </c>
      <c r="G1378" s="4">
        <f t="shared" si="87"/>
        <v>41551</v>
      </c>
      <c r="H1378" s="5">
        <f t="shared" si="84"/>
        <v>109.42</v>
      </c>
      <c r="I1378" s="5">
        <f t="shared" si="85"/>
        <v>10</v>
      </c>
      <c r="J1378" s="5">
        <f t="shared" si="86"/>
        <v>2013</v>
      </c>
    </row>
    <row r="1379" spans="4:10" x14ac:dyDescent="0.25">
      <c r="D1379" s="4">
        <v>33844</v>
      </c>
      <c r="E1379" s="6">
        <v>19.649999999999999</v>
      </c>
      <c r="G1379" s="4">
        <f t="shared" si="87"/>
        <v>41558</v>
      </c>
      <c r="H1379" s="5">
        <f t="shared" si="84"/>
        <v>110.65</v>
      </c>
      <c r="I1379" s="5">
        <f t="shared" si="85"/>
        <v>10</v>
      </c>
      <c r="J1379" s="5">
        <f t="shared" si="86"/>
        <v>2013</v>
      </c>
    </row>
    <row r="1380" spans="4:10" x14ac:dyDescent="0.25">
      <c r="D1380" s="4">
        <v>33847</v>
      </c>
      <c r="E1380" s="6">
        <v>19.649999999999999</v>
      </c>
      <c r="G1380" s="4">
        <f t="shared" si="87"/>
        <v>41565</v>
      </c>
      <c r="H1380" s="5">
        <f t="shared" si="84"/>
        <v>109.4</v>
      </c>
      <c r="I1380" s="5">
        <f t="shared" si="85"/>
        <v>10</v>
      </c>
      <c r="J1380" s="5">
        <f t="shared" si="86"/>
        <v>2013</v>
      </c>
    </row>
    <row r="1381" spans="4:10" x14ac:dyDescent="0.25">
      <c r="D1381" s="4">
        <v>33848</v>
      </c>
      <c r="E1381" s="6">
        <v>19.88</v>
      </c>
      <c r="G1381" s="4">
        <f t="shared" si="87"/>
        <v>41572</v>
      </c>
      <c r="H1381" s="5">
        <f t="shared" si="84"/>
        <v>105.7</v>
      </c>
      <c r="I1381" s="5">
        <f t="shared" si="85"/>
        <v>10</v>
      </c>
      <c r="J1381" s="5">
        <f t="shared" si="86"/>
        <v>2013</v>
      </c>
    </row>
    <row r="1382" spans="4:10" x14ac:dyDescent="0.25">
      <c r="D1382" s="4">
        <v>33849</v>
      </c>
      <c r="E1382" s="6">
        <v>20</v>
      </c>
      <c r="G1382" s="4">
        <f t="shared" si="87"/>
        <v>41579</v>
      </c>
      <c r="H1382" s="5">
        <f t="shared" si="84"/>
        <v>105.78</v>
      </c>
      <c r="I1382" s="5">
        <f t="shared" si="85"/>
        <v>11</v>
      </c>
      <c r="J1382" s="5">
        <f t="shared" si="86"/>
        <v>2013</v>
      </c>
    </row>
    <row r="1383" spans="4:10" x14ac:dyDescent="0.25">
      <c r="D1383" s="4">
        <v>33850</v>
      </c>
      <c r="E1383" s="6">
        <v>19.95</v>
      </c>
      <c r="G1383" s="4">
        <f t="shared" si="87"/>
        <v>41586</v>
      </c>
      <c r="H1383" s="5">
        <f t="shared" si="84"/>
        <v>104.29</v>
      </c>
      <c r="I1383" s="5">
        <f t="shared" si="85"/>
        <v>11</v>
      </c>
      <c r="J1383" s="5">
        <f t="shared" si="86"/>
        <v>2013</v>
      </c>
    </row>
    <row r="1384" spans="4:10" x14ac:dyDescent="0.25">
      <c r="D1384" s="4">
        <v>33851</v>
      </c>
      <c r="E1384" s="6">
        <v>20.03</v>
      </c>
      <c r="G1384" s="4">
        <f t="shared" si="87"/>
        <v>41593</v>
      </c>
      <c r="H1384" s="5">
        <f t="shared" si="84"/>
        <v>108.25</v>
      </c>
      <c r="I1384" s="5">
        <f t="shared" si="85"/>
        <v>11</v>
      </c>
      <c r="J1384" s="5">
        <f t="shared" si="86"/>
        <v>2013</v>
      </c>
    </row>
    <row r="1385" spans="4:10" x14ac:dyDescent="0.25">
      <c r="D1385" s="4">
        <v>33854</v>
      </c>
      <c r="E1385" s="6">
        <v>20.13</v>
      </c>
      <c r="G1385" s="4">
        <f t="shared" si="87"/>
        <v>41600</v>
      </c>
      <c r="H1385" s="5">
        <f t="shared" si="84"/>
        <v>111.36</v>
      </c>
      <c r="I1385" s="5">
        <f t="shared" si="85"/>
        <v>11</v>
      </c>
      <c r="J1385" s="5">
        <f t="shared" si="86"/>
        <v>2013</v>
      </c>
    </row>
    <row r="1386" spans="4:10" x14ac:dyDescent="0.25">
      <c r="D1386" s="4">
        <v>33855</v>
      </c>
      <c r="E1386" s="6">
        <v>20.3</v>
      </c>
      <c r="G1386" s="4">
        <f t="shared" si="87"/>
        <v>41607</v>
      </c>
      <c r="H1386" s="5">
        <f t="shared" si="84"/>
        <v>111.07</v>
      </c>
      <c r="I1386" s="5">
        <f t="shared" si="85"/>
        <v>11</v>
      </c>
      <c r="J1386" s="5">
        <f t="shared" si="86"/>
        <v>2013</v>
      </c>
    </row>
    <row r="1387" spans="4:10" x14ac:dyDescent="0.25">
      <c r="D1387" s="4">
        <v>33856</v>
      </c>
      <c r="E1387" s="6">
        <v>20.329999999999998</v>
      </c>
      <c r="G1387" s="4">
        <f t="shared" si="87"/>
        <v>41614</v>
      </c>
      <c r="H1387" s="5">
        <f t="shared" si="84"/>
        <v>111.5</v>
      </c>
      <c r="I1387" s="5">
        <f t="shared" si="85"/>
        <v>12</v>
      </c>
      <c r="J1387" s="5">
        <f t="shared" si="86"/>
        <v>2013</v>
      </c>
    </row>
    <row r="1388" spans="4:10" x14ac:dyDescent="0.25">
      <c r="D1388" s="4">
        <v>33857</v>
      </c>
      <c r="E1388" s="6">
        <v>20.3</v>
      </c>
      <c r="G1388" s="4">
        <f t="shared" si="87"/>
        <v>41621</v>
      </c>
      <c r="H1388" s="5">
        <f t="shared" si="84"/>
        <v>108.08</v>
      </c>
      <c r="I1388" s="5">
        <f t="shared" si="85"/>
        <v>12</v>
      </c>
      <c r="J1388" s="5">
        <f t="shared" si="86"/>
        <v>2013</v>
      </c>
    </row>
    <row r="1389" spans="4:10" x14ac:dyDescent="0.25">
      <c r="D1389" s="4">
        <v>33858</v>
      </c>
      <c r="E1389" s="6">
        <v>20.350000000000001</v>
      </c>
      <c r="G1389" s="4">
        <f t="shared" si="87"/>
        <v>41628</v>
      </c>
      <c r="H1389" s="5">
        <f t="shared" si="84"/>
        <v>112.15</v>
      </c>
      <c r="I1389" s="5">
        <f t="shared" si="85"/>
        <v>12</v>
      </c>
      <c r="J1389" s="5">
        <f t="shared" si="86"/>
        <v>2013</v>
      </c>
    </row>
    <row r="1390" spans="4:10" x14ac:dyDescent="0.25">
      <c r="D1390" s="4">
        <v>33861</v>
      </c>
      <c r="E1390" s="6">
        <v>20.68</v>
      </c>
      <c r="G1390" s="4">
        <f t="shared" si="87"/>
        <v>41635</v>
      </c>
      <c r="H1390" s="5">
        <f t="shared" si="84"/>
        <v>112.06</v>
      </c>
      <c r="I1390" s="5">
        <f t="shared" si="85"/>
        <v>12</v>
      </c>
      <c r="J1390" s="5">
        <f t="shared" si="86"/>
        <v>2013</v>
      </c>
    </row>
    <row r="1391" spans="4:10" x14ac:dyDescent="0.25">
      <c r="D1391" s="4">
        <v>33862</v>
      </c>
      <c r="E1391" s="6">
        <v>20.5</v>
      </c>
      <c r="G1391" s="4">
        <f t="shared" si="87"/>
        <v>41642</v>
      </c>
      <c r="H1391" s="5">
        <f t="shared" si="84"/>
        <v>106.57</v>
      </c>
      <c r="I1391" s="5">
        <f t="shared" si="85"/>
        <v>1</v>
      </c>
      <c r="J1391" s="5">
        <f t="shared" si="86"/>
        <v>2014</v>
      </c>
    </row>
    <row r="1392" spans="4:10" x14ac:dyDescent="0.25">
      <c r="D1392" s="4">
        <v>33863</v>
      </c>
      <c r="E1392" s="6">
        <v>20.43</v>
      </c>
      <c r="G1392" s="4">
        <f t="shared" si="87"/>
        <v>41649</v>
      </c>
      <c r="H1392" s="5">
        <f t="shared" si="84"/>
        <v>106.44</v>
      </c>
      <c r="I1392" s="5">
        <f t="shared" si="85"/>
        <v>1</v>
      </c>
      <c r="J1392" s="5">
        <f t="shared" si="86"/>
        <v>2014</v>
      </c>
    </row>
    <row r="1393" spans="4:10" x14ac:dyDescent="0.25">
      <c r="D1393" s="4">
        <v>33864</v>
      </c>
      <c r="E1393" s="6">
        <v>20.350000000000001</v>
      </c>
      <c r="G1393" s="4">
        <f t="shared" si="87"/>
        <v>41656</v>
      </c>
      <c r="H1393" s="5">
        <f t="shared" si="84"/>
        <v>108.45</v>
      </c>
      <c r="I1393" s="5">
        <f t="shared" si="85"/>
        <v>1</v>
      </c>
      <c r="J1393" s="5">
        <f t="shared" si="86"/>
        <v>2014</v>
      </c>
    </row>
    <row r="1394" spans="4:10" x14ac:dyDescent="0.25">
      <c r="D1394" s="4">
        <v>33865</v>
      </c>
      <c r="E1394" s="6">
        <v>20.3</v>
      </c>
      <c r="G1394" s="4">
        <f t="shared" si="87"/>
        <v>41663</v>
      </c>
      <c r="H1394" s="5">
        <f t="shared" si="84"/>
        <v>109.14</v>
      </c>
      <c r="I1394" s="5">
        <f t="shared" si="85"/>
        <v>1</v>
      </c>
      <c r="J1394" s="5">
        <f t="shared" si="86"/>
        <v>2014</v>
      </c>
    </row>
    <row r="1395" spans="4:10" x14ac:dyDescent="0.25">
      <c r="D1395" s="4">
        <v>33868</v>
      </c>
      <c r="E1395" s="6">
        <v>20.149999999999999</v>
      </c>
      <c r="G1395" s="4">
        <f t="shared" si="87"/>
        <v>41670</v>
      </c>
      <c r="H1395" s="5">
        <f t="shared" si="84"/>
        <v>108.16</v>
      </c>
      <c r="I1395" s="5">
        <f t="shared" si="85"/>
        <v>1</v>
      </c>
      <c r="J1395" s="5">
        <f t="shared" si="86"/>
        <v>2014</v>
      </c>
    </row>
    <row r="1396" spans="4:10" x14ac:dyDescent="0.25">
      <c r="D1396" s="4">
        <v>33869</v>
      </c>
      <c r="E1396" s="6">
        <v>20.329999999999998</v>
      </c>
      <c r="G1396" s="4">
        <f t="shared" si="87"/>
        <v>41677</v>
      </c>
      <c r="H1396" s="5">
        <f t="shared" si="84"/>
        <v>110.12</v>
      </c>
      <c r="I1396" s="5">
        <f t="shared" si="85"/>
        <v>2</v>
      </c>
      <c r="J1396" s="5">
        <f t="shared" si="86"/>
        <v>2014</v>
      </c>
    </row>
    <row r="1397" spans="4:10" x14ac:dyDescent="0.25">
      <c r="D1397" s="4">
        <v>33870</v>
      </c>
      <c r="E1397" s="6">
        <v>20.53</v>
      </c>
      <c r="G1397" s="4">
        <f t="shared" si="87"/>
        <v>41684</v>
      </c>
      <c r="H1397" s="5">
        <f t="shared" si="84"/>
        <v>108.63</v>
      </c>
      <c r="I1397" s="5">
        <f t="shared" si="85"/>
        <v>2</v>
      </c>
      <c r="J1397" s="5">
        <f t="shared" si="86"/>
        <v>2014</v>
      </c>
    </row>
    <row r="1398" spans="4:10" x14ac:dyDescent="0.25">
      <c r="D1398" s="4">
        <v>33871</v>
      </c>
      <c r="E1398" s="6">
        <v>20.43</v>
      </c>
      <c r="G1398" s="4">
        <f t="shared" si="87"/>
        <v>41691</v>
      </c>
      <c r="H1398" s="5">
        <f t="shared" si="84"/>
        <v>109.03</v>
      </c>
      <c r="I1398" s="5">
        <f t="shared" si="85"/>
        <v>2</v>
      </c>
      <c r="J1398" s="5">
        <f t="shared" si="86"/>
        <v>2014</v>
      </c>
    </row>
    <row r="1399" spans="4:10" x14ac:dyDescent="0.25">
      <c r="D1399" s="4">
        <v>33872</v>
      </c>
      <c r="E1399" s="6">
        <v>20.329999999999998</v>
      </c>
      <c r="G1399" s="4">
        <f t="shared" si="87"/>
        <v>41698</v>
      </c>
      <c r="H1399" s="5">
        <f t="shared" si="84"/>
        <v>108.98</v>
      </c>
      <c r="I1399" s="5">
        <f t="shared" si="85"/>
        <v>2</v>
      </c>
      <c r="J1399" s="5">
        <f t="shared" si="86"/>
        <v>2014</v>
      </c>
    </row>
    <row r="1400" spans="4:10" x14ac:dyDescent="0.25">
      <c r="D1400" s="4">
        <v>33875</v>
      </c>
      <c r="E1400" s="6">
        <v>20.28</v>
      </c>
      <c r="G1400" s="4">
        <f t="shared" si="87"/>
        <v>41705</v>
      </c>
      <c r="H1400" s="5">
        <f t="shared" si="84"/>
        <v>109.14</v>
      </c>
      <c r="I1400" s="5">
        <f t="shared" si="85"/>
        <v>3</v>
      </c>
      <c r="J1400" s="5">
        <f t="shared" si="86"/>
        <v>2014</v>
      </c>
    </row>
    <row r="1401" spans="4:10" x14ac:dyDescent="0.25">
      <c r="D1401" s="4">
        <v>33876</v>
      </c>
      <c r="E1401" s="6">
        <v>20.18</v>
      </c>
      <c r="G1401" s="4">
        <f t="shared" si="87"/>
        <v>41712</v>
      </c>
      <c r="H1401" s="5">
        <f t="shared" si="84"/>
        <v>108.08</v>
      </c>
      <c r="I1401" s="5">
        <f t="shared" si="85"/>
        <v>3</v>
      </c>
      <c r="J1401" s="5">
        <f t="shared" si="86"/>
        <v>2014</v>
      </c>
    </row>
    <row r="1402" spans="4:10" x14ac:dyDescent="0.25">
      <c r="D1402" s="4">
        <v>33877</v>
      </c>
      <c r="E1402" s="6">
        <v>20.18</v>
      </c>
      <c r="G1402" s="4">
        <f t="shared" si="87"/>
        <v>41719</v>
      </c>
      <c r="H1402" s="5">
        <f t="shared" si="84"/>
        <v>107.2</v>
      </c>
      <c r="I1402" s="5">
        <f t="shared" si="85"/>
        <v>3</v>
      </c>
      <c r="J1402" s="5">
        <f t="shared" si="86"/>
        <v>2014</v>
      </c>
    </row>
    <row r="1403" spans="4:10" x14ac:dyDescent="0.25">
      <c r="D1403" s="4">
        <v>33878</v>
      </c>
      <c r="E1403" s="6">
        <v>20.28</v>
      </c>
      <c r="G1403" s="4">
        <f t="shared" si="87"/>
        <v>41726</v>
      </c>
      <c r="H1403" s="5">
        <f t="shared" si="84"/>
        <v>106.64</v>
      </c>
      <c r="I1403" s="5">
        <f t="shared" si="85"/>
        <v>3</v>
      </c>
      <c r="J1403" s="5">
        <f t="shared" si="86"/>
        <v>2014</v>
      </c>
    </row>
    <row r="1404" spans="4:10" x14ac:dyDescent="0.25">
      <c r="D1404" s="4">
        <v>33879</v>
      </c>
      <c r="E1404" s="6">
        <v>20.399999999999999</v>
      </c>
      <c r="G1404" s="4">
        <f t="shared" si="87"/>
        <v>41733</v>
      </c>
      <c r="H1404" s="5">
        <f t="shared" si="84"/>
        <v>106.41</v>
      </c>
      <c r="I1404" s="5">
        <f t="shared" si="85"/>
        <v>4</v>
      </c>
      <c r="J1404" s="5">
        <f t="shared" si="86"/>
        <v>2014</v>
      </c>
    </row>
    <row r="1405" spans="4:10" x14ac:dyDescent="0.25">
      <c r="D1405" s="4">
        <v>33882</v>
      </c>
      <c r="E1405" s="6">
        <v>20.2</v>
      </c>
      <c r="G1405" s="4">
        <f t="shared" si="87"/>
        <v>41740</v>
      </c>
      <c r="H1405" s="5">
        <f t="shared" si="84"/>
        <v>107.34</v>
      </c>
      <c r="I1405" s="5">
        <f t="shared" si="85"/>
        <v>4</v>
      </c>
      <c r="J1405" s="5">
        <f t="shared" si="86"/>
        <v>2014</v>
      </c>
    </row>
    <row r="1406" spans="4:10" x14ac:dyDescent="0.25">
      <c r="D1406" s="4">
        <v>33883</v>
      </c>
      <c r="E1406" s="6">
        <v>20.23</v>
      </c>
      <c r="G1406" s="4">
        <f t="shared" si="87"/>
        <v>41747</v>
      </c>
      <c r="H1406" s="5">
        <f t="shared" si="84"/>
        <v>0</v>
      </c>
      <c r="I1406" s="5">
        <f t="shared" si="85"/>
        <v>4</v>
      </c>
      <c r="J1406" s="5">
        <f t="shared" si="86"/>
        <v>2014</v>
      </c>
    </row>
    <row r="1407" spans="4:10" x14ac:dyDescent="0.25">
      <c r="D1407" s="4">
        <v>33884</v>
      </c>
      <c r="E1407" s="6">
        <v>20.28</v>
      </c>
      <c r="G1407" s="4">
        <f t="shared" si="87"/>
        <v>41754</v>
      </c>
      <c r="H1407" s="5">
        <f t="shared" si="84"/>
        <v>109.53</v>
      </c>
      <c r="I1407" s="5">
        <f t="shared" si="85"/>
        <v>4</v>
      </c>
      <c r="J1407" s="5">
        <f t="shared" si="86"/>
        <v>2014</v>
      </c>
    </row>
    <row r="1408" spans="4:10" x14ac:dyDescent="0.25">
      <c r="D1408" s="4">
        <v>33885</v>
      </c>
      <c r="E1408" s="6">
        <v>20.48</v>
      </c>
      <c r="G1408" s="4">
        <f t="shared" si="87"/>
        <v>41761</v>
      </c>
      <c r="H1408" s="5">
        <f t="shared" si="84"/>
        <v>109.48</v>
      </c>
      <c r="I1408" s="5">
        <f t="shared" si="85"/>
        <v>5</v>
      </c>
      <c r="J1408" s="5">
        <f t="shared" si="86"/>
        <v>2014</v>
      </c>
    </row>
    <row r="1409" spans="4:10" x14ac:dyDescent="0.25">
      <c r="D1409" s="4">
        <v>33886</v>
      </c>
      <c r="E1409" s="6">
        <v>20.48</v>
      </c>
      <c r="G1409" s="4">
        <f t="shared" si="87"/>
        <v>41768</v>
      </c>
      <c r="H1409" s="5">
        <f t="shared" si="84"/>
        <v>108.26</v>
      </c>
      <c r="I1409" s="5">
        <f t="shared" si="85"/>
        <v>5</v>
      </c>
      <c r="J1409" s="5">
        <f t="shared" si="86"/>
        <v>2014</v>
      </c>
    </row>
    <row r="1410" spans="4:10" x14ac:dyDescent="0.25">
      <c r="D1410" s="4">
        <v>33889</v>
      </c>
      <c r="E1410" s="6">
        <v>20.8</v>
      </c>
      <c r="G1410" s="4">
        <f t="shared" si="87"/>
        <v>41775</v>
      </c>
      <c r="H1410" s="5">
        <f t="shared" si="84"/>
        <v>110.9</v>
      </c>
      <c r="I1410" s="5">
        <f t="shared" si="85"/>
        <v>5</v>
      </c>
      <c r="J1410" s="5">
        <f t="shared" si="86"/>
        <v>2014</v>
      </c>
    </row>
    <row r="1411" spans="4:10" x14ac:dyDescent="0.25">
      <c r="D1411" s="4">
        <v>33890</v>
      </c>
      <c r="E1411" s="6">
        <v>20.83</v>
      </c>
      <c r="G1411" s="4">
        <f t="shared" si="87"/>
        <v>41782</v>
      </c>
      <c r="H1411" s="5">
        <f t="shared" ref="H1411:H1474" si="88">_xlfn.XLOOKUP(G1411,D:D,E:E)</f>
        <v>110.19</v>
      </c>
      <c r="I1411" s="5">
        <f t="shared" ref="I1411:I1474" si="89">MONTH(G1411)</f>
        <v>5</v>
      </c>
      <c r="J1411" s="5">
        <f t="shared" ref="J1411:J1474" si="90">YEAR(G1411)</f>
        <v>2014</v>
      </c>
    </row>
    <row r="1412" spans="4:10" x14ac:dyDescent="0.25">
      <c r="D1412" s="4">
        <v>33891</v>
      </c>
      <c r="E1412" s="6">
        <v>20.68</v>
      </c>
      <c r="G1412" s="4">
        <f t="shared" ref="G1412:G1475" si="91">G1411+7</f>
        <v>41789</v>
      </c>
      <c r="H1412" s="5">
        <f t="shared" si="88"/>
        <v>109.21</v>
      </c>
      <c r="I1412" s="5">
        <f t="shared" si="89"/>
        <v>5</v>
      </c>
      <c r="J1412" s="5">
        <f t="shared" si="90"/>
        <v>2014</v>
      </c>
    </row>
    <row r="1413" spans="4:10" x14ac:dyDescent="0.25">
      <c r="D1413" s="4">
        <v>33892</v>
      </c>
      <c r="E1413" s="6">
        <v>20.73</v>
      </c>
      <c r="G1413" s="4">
        <f t="shared" si="91"/>
        <v>41796</v>
      </c>
      <c r="H1413" s="5">
        <f t="shared" si="88"/>
        <v>109.21</v>
      </c>
      <c r="I1413" s="5">
        <f t="shared" si="89"/>
        <v>6</v>
      </c>
      <c r="J1413" s="5">
        <f t="shared" si="90"/>
        <v>2014</v>
      </c>
    </row>
    <row r="1414" spans="4:10" x14ac:dyDescent="0.25">
      <c r="D1414" s="4">
        <v>33893</v>
      </c>
      <c r="E1414" s="6">
        <v>20.78</v>
      </c>
      <c r="G1414" s="4">
        <f t="shared" si="91"/>
        <v>41803</v>
      </c>
      <c r="H1414" s="5">
        <f t="shared" si="88"/>
        <v>113.15</v>
      </c>
      <c r="I1414" s="5">
        <f t="shared" si="89"/>
        <v>6</v>
      </c>
      <c r="J1414" s="5">
        <f t="shared" si="90"/>
        <v>2014</v>
      </c>
    </row>
    <row r="1415" spans="4:10" x14ac:dyDescent="0.25">
      <c r="D1415" s="4">
        <v>33896</v>
      </c>
      <c r="E1415" s="6">
        <v>20.73</v>
      </c>
      <c r="G1415" s="4">
        <f t="shared" si="91"/>
        <v>41810</v>
      </c>
      <c r="H1415" s="5">
        <f t="shared" si="88"/>
        <v>114.55</v>
      </c>
      <c r="I1415" s="5">
        <f t="shared" si="89"/>
        <v>6</v>
      </c>
      <c r="J1415" s="5">
        <f t="shared" si="90"/>
        <v>2014</v>
      </c>
    </row>
    <row r="1416" spans="4:10" x14ac:dyDescent="0.25">
      <c r="D1416" s="4">
        <v>33897</v>
      </c>
      <c r="E1416" s="6">
        <v>20.68</v>
      </c>
      <c r="G1416" s="4">
        <f t="shared" si="91"/>
        <v>41817</v>
      </c>
      <c r="H1416" s="5">
        <f t="shared" si="88"/>
        <v>112.62</v>
      </c>
      <c r="I1416" s="5">
        <f t="shared" si="89"/>
        <v>6</v>
      </c>
      <c r="J1416" s="5">
        <f t="shared" si="90"/>
        <v>2014</v>
      </c>
    </row>
    <row r="1417" spans="4:10" x14ac:dyDescent="0.25">
      <c r="D1417" s="4">
        <v>33898</v>
      </c>
      <c r="E1417" s="6">
        <v>20.28</v>
      </c>
      <c r="G1417" s="4">
        <f t="shared" si="91"/>
        <v>41824</v>
      </c>
      <c r="H1417" s="5">
        <f t="shared" si="88"/>
        <v>0</v>
      </c>
      <c r="I1417" s="5">
        <f t="shared" si="89"/>
        <v>7</v>
      </c>
      <c r="J1417" s="5">
        <f t="shared" si="90"/>
        <v>2014</v>
      </c>
    </row>
    <row r="1418" spans="4:10" x14ac:dyDescent="0.25">
      <c r="D1418" s="4">
        <v>33899</v>
      </c>
      <c r="E1418" s="6">
        <v>20.13</v>
      </c>
      <c r="G1418" s="4">
        <f t="shared" si="91"/>
        <v>41831</v>
      </c>
      <c r="H1418" s="5">
        <f t="shared" si="88"/>
        <v>105.77</v>
      </c>
      <c r="I1418" s="5">
        <f t="shared" si="89"/>
        <v>7</v>
      </c>
      <c r="J1418" s="5">
        <f t="shared" si="90"/>
        <v>2014</v>
      </c>
    </row>
    <row r="1419" spans="4:10" x14ac:dyDescent="0.25">
      <c r="D1419" s="4">
        <v>33900</v>
      </c>
      <c r="E1419" s="6">
        <v>20.03</v>
      </c>
      <c r="G1419" s="4">
        <f t="shared" si="91"/>
        <v>41838</v>
      </c>
      <c r="H1419" s="5">
        <f t="shared" si="88"/>
        <v>106.03</v>
      </c>
      <c r="I1419" s="5">
        <f t="shared" si="89"/>
        <v>7</v>
      </c>
      <c r="J1419" s="5">
        <f t="shared" si="90"/>
        <v>2014</v>
      </c>
    </row>
    <row r="1420" spans="4:10" x14ac:dyDescent="0.25">
      <c r="D1420" s="4">
        <v>33903</v>
      </c>
      <c r="E1420" s="6">
        <v>19.78</v>
      </c>
      <c r="G1420" s="4">
        <f t="shared" si="91"/>
        <v>41845</v>
      </c>
      <c r="H1420" s="5">
        <f t="shared" si="88"/>
        <v>106.89</v>
      </c>
      <c r="I1420" s="5">
        <f t="shared" si="89"/>
        <v>7</v>
      </c>
      <c r="J1420" s="5">
        <f t="shared" si="90"/>
        <v>2014</v>
      </c>
    </row>
    <row r="1421" spans="4:10" x14ac:dyDescent="0.25">
      <c r="D1421" s="4">
        <v>33904</v>
      </c>
      <c r="E1421" s="6">
        <v>19.78</v>
      </c>
      <c r="G1421" s="4">
        <f t="shared" si="91"/>
        <v>41852</v>
      </c>
      <c r="H1421" s="5">
        <f t="shared" si="88"/>
        <v>103.45</v>
      </c>
      <c r="I1421" s="5">
        <f t="shared" si="89"/>
        <v>8</v>
      </c>
      <c r="J1421" s="5">
        <f t="shared" si="90"/>
        <v>2014</v>
      </c>
    </row>
    <row r="1422" spans="4:10" x14ac:dyDescent="0.25">
      <c r="D1422" s="4">
        <v>33905</v>
      </c>
      <c r="E1422" s="6">
        <v>19.649999999999999</v>
      </c>
      <c r="G1422" s="4">
        <f t="shared" si="91"/>
        <v>41859</v>
      </c>
      <c r="H1422" s="5">
        <f t="shared" si="88"/>
        <v>103.36</v>
      </c>
      <c r="I1422" s="5">
        <f t="shared" si="89"/>
        <v>8</v>
      </c>
      <c r="J1422" s="5">
        <f t="shared" si="90"/>
        <v>2014</v>
      </c>
    </row>
    <row r="1423" spans="4:10" x14ac:dyDescent="0.25">
      <c r="D1423" s="4">
        <v>33906</v>
      </c>
      <c r="E1423" s="6">
        <v>19.399999999999999</v>
      </c>
      <c r="G1423" s="4">
        <f t="shared" si="91"/>
        <v>41866</v>
      </c>
      <c r="H1423" s="5">
        <f t="shared" si="88"/>
        <v>101.13</v>
      </c>
      <c r="I1423" s="5">
        <f t="shared" si="89"/>
        <v>8</v>
      </c>
      <c r="J1423" s="5">
        <f t="shared" si="90"/>
        <v>2014</v>
      </c>
    </row>
    <row r="1424" spans="4:10" x14ac:dyDescent="0.25">
      <c r="D1424" s="4">
        <v>33907</v>
      </c>
      <c r="E1424" s="6">
        <v>19.13</v>
      </c>
      <c r="G1424" s="4">
        <f t="shared" si="91"/>
        <v>41873</v>
      </c>
      <c r="H1424" s="5">
        <f t="shared" si="88"/>
        <v>100.09</v>
      </c>
      <c r="I1424" s="5">
        <f t="shared" si="89"/>
        <v>8</v>
      </c>
      <c r="J1424" s="5">
        <f t="shared" si="90"/>
        <v>2014</v>
      </c>
    </row>
    <row r="1425" spans="4:10" x14ac:dyDescent="0.25">
      <c r="D1425" s="4">
        <v>33910</v>
      </c>
      <c r="E1425" s="6">
        <v>19.25</v>
      </c>
      <c r="G1425" s="4">
        <f t="shared" si="91"/>
        <v>41880</v>
      </c>
      <c r="H1425" s="5">
        <f t="shared" si="88"/>
        <v>101.12</v>
      </c>
      <c r="I1425" s="5">
        <f t="shared" si="89"/>
        <v>8</v>
      </c>
      <c r="J1425" s="5">
        <f t="shared" si="90"/>
        <v>2014</v>
      </c>
    </row>
    <row r="1426" spans="4:10" x14ac:dyDescent="0.25">
      <c r="D1426" s="4">
        <v>33911</v>
      </c>
      <c r="E1426" s="6">
        <v>19.350000000000001</v>
      </c>
      <c r="G1426" s="4">
        <f t="shared" si="91"/>
        <v>41887</v>
      </c>
      <c r="H1426" s="5">
        <f t="shared" si="88"/>
        <v>99.51</v>
      </c>
      <c r="I1426" s="5">
        <f t="shared" si="89"/>
        <v>9</v>
      </c>
      <c r="J1426" s="5">
        <f t="shared" si="90"/>
        <v>2014</v>
      </c>
    </row>
    <row r="1427" spans="4:10" x14ac:dyDescent="0.25">
      <c r="D1427" s="4">
        <v>33912</v>
      </c>
      <c r="E1427" s="6">
        <v>19.03</v>
      </c>
      <c r="G1427" s="4">
        <f t="shared" si="91"/>
        <v>41894</v>
      </c>
      <c r="H1427" s="5">
        <f t="shared" si="88"/>
        <v>96.31</v>
      </c>
      <c r="I1427" s="5">
        <f t="shared" si="89"/>
        <v>9</v>
      </c>
      <c r="J1427" s="5">
        <f t="shared" si="90"/>
        <v>2014</v>
      </c>
    </row>
    <row r="1428" spans="4:10" x14ac:dyDescent="0.25">
      <c r="D1428" s="4">
        <v>33913</v>
      </c>
      <c r="E1428" s="6">
        <v>19.2</v>
      </c>
      <c r="G1428" s="4">
        <f t="shared" si="91"/>
        <v>41901</v>
      </c>
      <c r="H1428" s="5">
        <f t="shared" si="88"/>
        <v>96.75</v>
      </c>
      <c r="I1428" s="5">
        <f t="shared" si="89"/>
        <v>9</v>
      </c>
      <c r="J1428" s="5">
        <f t="shared" si="90"/>
        <v>2014</v>
      </c>
    </row>
    <row r="1429" spans="4:10" x14ac:dyDescent="0.25">
      <c r="D1429" s="4">
        <v>33914</v>
      </c>
      <c r="E1429" s="6">
        <v>19.13</v>
      </c>
      <c r="G1429" s="4">
        <f t="shared" si="91"/>
        <v>41908</v>
      </c>
      <c r="H1429" s="5">
        <f t="shared" si="88"/>
        <v>95.08</v>
      </c>
      <c r="I1429" s="5">
        <f t="shared" si="89"/>
        <v>9</v>
      </c>
      <c r="J1429" s="5">
        <f t="shared" si="90"/>
        <v>2014</v>
      </c>
    </row>
    <row r="1430" spans="4:10" x14ac:dyDescent="0.25">
      <c r="D1430" s="4">
        <v>33917</v>
      </c>
      <c r="E1430" s="6">
        <v>19.100000000000001</v>
      </c>
      <c r="G1430" s="4">
        <f t="shared" si="91"/>
        <v>41915</v>
      </c>
      <c r="H1430" s="5">
        <f t="shared" si="88"/>
        <v>90.8</v>
      </c>
      <c r="I1430" s="5">
        <f t="shared" si="89"/>
        <v>10</v>
      </c>
      <c r="J1430" s="5">
        <f t="shared" si="90"/>
        <v>2014</v>
      </c>
    </row>
    <row r="1431" spans="4:10" x14ac:dyDescent="0.25">
      <c r="D1431" s="4">
        <v>33918</v>
      </c>
      <c r="E1431" s="6">
        <v>19.53</v>
      </c>
      <c r="G1431" s="4">
        <f t="shared" si="91"/>
        <v>41922</v>
      </c>
      <c r="H1431" s="5">
        <f t="shared" si="88"/>
        <v>88.66</v>
      </c>
      <c r="I1431" s="5">
        <f t="shared" si="89"/>
        <v>10</v>
      </c>
      <c r="J1431" s="5">
        <f t="shared" si="90"/>
        <v>2014</v>
      </c>
    </row>
    <row r="1432" spans="4:10" x14ac:dyDescent="0.25">
      <c r="D1432" s="4">
        <v>33919</v>
      </c>
      <c r="E1432" s="6">
        <v>19.399999999999999</v>
      </c>
      <c r="G1432" s="4">
        <f t="shared" si="91"/>
        <v>41929</v>
      </c>
      <c r="H1432" s="5">
        <f t="shared" si="88"/>
        <v>85.27</v>
      </c>
      <c r="I1432" s="5">
        <f t="shared" si="89"/>
        <v>10</v>
      </c>
      <c r="J1432" s="5">
        <f t="shared" si="90"/>
        <v>2014</v>
      </c>
    </row>
    <row r="1433" spans="4:10" x14ac:dyDescent="0.25">
      <c r="D1433" s="4">
        <v>33920</v>
      </c>
      <c r="E1433" s="6">
        <v>19.18</v>
      </c>
      <c r="G1433" s="4">
        <f t="shared" si="91"/>
        <v>41936</v>
      </c>
      <c r="H1433" s="5">
        <f t="shared" si="88"/>
        <v>86</v>
      </c>
      <c r="I1433" s="5">
        <f t="shared" si="89"/>
        <v>10</v>
      </c>
      <c r="J1433" s="5">
        <f t="shared" si="90"/>
        <v>2014</v>
      </c>
    </row>
    <row r="1434" spans="4:10" x14ac:dyDescent="0.25">
      <c r="D1434" s="4">
        <v>33921</v>
      </c>
      <c r="E1434" s="6">
        <v>19.05</v>
      </c>
      <c r="G1434" s="4">
        <f t="shared" si="91"/>
        <v>41943</v>
      </c>
      <c r="H1434" s="5">
        <f t="shared" si="88"/>
        <v>84.17</v>
      </c>
      <c r="I1434" s="5">
        <f t="shared" si="89"/>
        <v>10</v>
      </c>
      <c r="J1434" s="5">
        <f t="shared" si="90"/>
        <v>2014</v>
      </c>
    </row>
    <row r="1435" spans="4:10" x14ac:dyDescent="0.25">
      <c r="D1435" s="4">
        <v>33924</v>
      </c>
      <c r="E1435" s="6">
        <v>19.2</v>
      </c>
      <c r="G1435" s="4">
        <f t="shared" si="91"/>
        <v>41950</v>
      </c>
      <c r="H1435" s="5">
        <f t="shared" si="88"/>
        <v>83.2</v>
      </c>
      <c r="I1435" s="5">
        <f t="shared" si="89"/>
        <v>11</v>
      </c>
      <c r="J1435" s="5">
        <f t="shared" si="90"/>
        <v>2014</v>
      </c>
    </row>
    <row r="1436" spans="4:10" x14ac:dyDescent="0.25">
      <c r="D1436" s="4">
        <v>33925</v>
      </c>
      <c r="E1436" s="6">
        <v>19.149999999999999</v>
      </c>
      <c r="G1436" s="4">
        <f t="shared" si="91"/>
        <v>41957</v>
      </c>
      <c r="H1436" s="5">
        <f t="shared" si="88"/>
        <v>77.510000000000005</v>
      </c>
      <c r="I1436" s="5">
        <f t="shared" si="89"/>
        <v>11</v>
      </c>
      <c r="J1436" s="5">
        <f t="shared" si="90"/>
        <v>2014</v>
      </c>
    </row>
    <row r="1437" spans="4:10" x14ac:dyDescent="0.25">
      <c r="D1437" s="4">
        <v>33926</v>
      </c>
      <c r="E1437" s="6">
        <v>19.100000000000001</v>
      </c>
      <c r="G1437" s="4">
        <f t="shared" si="91"/>
        <v>41964</v>
      </c>
      <c r="H1437" s="5">
        <f t="shared" si="88"/>
        <v>79.2</v>
      </c>
      <c r="I1437" s="5">
        <f t="shared" si="89"/>
        <v>11</v>
      </c>
      <c r="J1437" s="5">
        <f t="shared" si="90"/>
        <v>2014</v>
      </c>
    </row>
    <row r="1438" spans="4:10" x14ac:dyDescent="0.25">
      <c r="D1438" s="4">
        <v>33927</v>
      </c>
      <c r="E1438" s="6">
        <v>19.48</v>
      </c>
      <c r="G1438" s="4">
        <f t="shared" si="91"/>
        <v>41971</v>
      </c>
      <c r="H1438" s="5">
        <f t="shared" si="88"/>
        <v>71.89</v>
      </c>
      <c r="I1438" s="5">
        <f t="shared" si="89"/>
        <v>11</v>
      </c>
      <c r="J1438" s="5">
        <f t="shared" si="90"/>
        <v>2014</v>
      </c>
    </row>
    <row r="1439" spans="4:10" x14ac:dyDescent="0.25">
      <c r="D1439" s="4">
        <v>33928</v>
      </c>
      <c r="E1439" s="6">
        <v>19.48</v>
      </c>
      <c r="G1439" s="4">
        <f t="shared" si="91"/>
        <v>41978</v>
      </c>
      <c r="H1439" s="5">
        <f t="shared" si="88"/>
        <v>68</v>
      </c>
      <c r="I1439" s="5">
        <f t="shared" si="89"/>
        <v>12</v>
      </c>
      <c r="J1439" s="5">
        <f t="shared" si="90"/>
        <v>2014</v>
      </c>
    </row>
    <row r="1440" spans="4:10" x14ac:dyDescent="0.25">
      <c r="D1440" s="4">
        <v>33931</v>
      </c>
      <c r="E1440" s="6">
        <v>19.149999999999999</v>
      </c>
      <c r="G1440" s="4">
        <f t="shared" si="91"/>
        <v>41985</v>
      </c>
      <c r="H1440" s="5">
        <f t="shared" si="88"/>
        <v>61.67</v>
      </c>
      <c r="I1440" s="5">
        <f t="shared" si="89"/>
        <v>12</v>
      </c>
      <c r="J1440" s="5">
        <f t="shared" si="90"/>
        <v>2014</v>
      </c>
    </row>
    <row r="1441" spans="4:10" x14ac:dyDescent="0.25">
      <c r="D1441" s="4">
        <v>33932</v>
      </c>
      <c r="E1441" s="6">
        <v>19.18</v>
      </c>
      <c r="G1441" s="4">
        <f t="shared" si="91"/>
        <v>41992</v>
      </c>
      <c r="H1441" s="5">
        <f t="shared" si="88"/>
        <v>58.87</v>
      </c>
      <c r="I1441" s="5">
        <f t="shared" si="89"/>
        <v>12</v>
      </c>
      <c r="J1441" s="5">
        <f t="shared" si="90"/>
        <v>2014</v>
      </c>
    </row>
    <row r="1442" spans="4:10" x14ac:dyDescent="0.25">
      <c r="D1442" s="4">
        <v>33933</v>
      </c>
      <c r="E1442" s="6">
        <v>19.28</v>
      </c>
      <c r="G1442" s="4">
        <f t="shared" si="91"/>
        <v>41999</v>
      </c>
      <c r="H1442" s="5">
        <f t="shared" si="88"/>
        <v>58.72</v>
      </c>
      <c r="I1442" s="5">
        <f t="shared" si="89"/>
        <v>12</v>
      </c>
      <c r="J1442" s="5">
        <f t="shared" si="90"/>
        <v>2014</v>
      </c>
    </row>
    <row r="1443" spans="4:10" x14ac:dyDescent="0.25">
      <c r="D1443" s="4">
        <v>33934</v>
      </c>
      <c r="E1443" s="6">
        <v>18.93</v>
      </c>
      <c r="G1443" s="4">
        <f t="shared" si="91"/>
        <v>42006</v>
      </c>
      <c r="H1443" s="5">
        <f t="shared" si="88"/>
        <v>55.38</v>
      </c>
      <c r="I1443" s="5">
        <f t="shared" si="89"/>
        <v>1</v>
      </c>
      <c r="J1443" s="5">
        <f t="shared" si="90"/>
        <v>2015</v>
      </c>
    </row>
    <row r="1444" spans="4:10" x14ac:dyDescent="0.25">
      <c r="D1444" s="4">
        <v>33935</v>
      </c>
      <c r="E1444" s="6">
        <v>19.079999999999998</v>
      </c>
      <c r="G1444" s="4">
        <f t="shared" si="91"/>
        <v>42013</v>
      </c>
      <c r="H1444" s="5">
        <f t="shared" si="88"/>
        <v>47.64</v>
      </c>
      <c r="I1444" s="5">
        <f t="shared" si="89"/>
        <v>1</v>
      </c>
      <c r="J1444" s="5">
        <f t="shared" si="90"/>
        <v>2015</v>
      </c>
    </row>
    <row r="1445" spans="4:10" x14ac:dyDescent="0.25">
      <c r="D1445" s="4">
        <v>33938</v>
      </c>
      <c r="E1445" s="6">
        <v>19.25</v>
      </c>
      <c r="G1445" s="4">
        <f t="shared" si="91"/>
        <v>42020</v>
      </c>
      <c r="H1445" s="5">
        <f t="shared" si="88"/>
        <v>47.38</v>
      </c>
      <c r="I1445" s="5">
        <f t="shared" si="89"/>
        <v>1</v>
      </c>
      <c r="J1445" s="5">
        <f t="shared" si="90"/>
        <v>2015</v>
      </c>
    </row>
    <row r="1446" spans="4:10" x14ac:dyDescent="0.25">
      <c r="D1446" s="4">
        <v>33939</v>
      </c>
      <c r="E1446" s="6">
        <v>18.649999999999999</v>
      </c>
      <c r="G1446" s="4">
        <f t="shared" si="91"/>
        <v>42027</v>
      </c>
      <c r="H1446" s="5">
        <f t="shared" si="88"/>
        <v>46.69</v>
      </c>
      <c r="I1446" s="5">
        <f t="shared" si="89"/>
        <v>1</v>
      </c>
      <c r="J1446" s="5">
        <f t="shared" si="90"/>
        <v>2015</v>
      </c>
    </row>
    <row r="1447" spans="4:10" x14ac:dyDescent="0.25">
      <c r="D1447" s="4">
        <v>33940</v>
      </c>
      <c r="E1447" s="6">
        <v>18.38</v>
      </c>
      <c r="G1447" s="4">
        <f t="shared" si="91"/>
        <v>42034</v>
      </c>
      <c r="H1447" s="5">
        <f t="shared" si="88"/>
        <v>47.52</v>
      </c>
      <c r="I1447" s="5">
        <f t="shared" si="89"/>
        <v>1</v>
      </c>
      <c r="J1447" s="5">
        <f t="shared" si="90"/>
        <v>2015</v>
      </c>
    </row>
    <row r="1448" spans="4:10" x14ac:dyDescent="0.25">
      <c r="D1448" s="4">
        <v>33941</v>
      </c>
      <c r="E1448" s="6">
        <v>18.2</v>
      </c>
      <c r="G1448" s="4">
        <f t="shared" si="91"/>
        <v>42041</v>
      </c>
      <c r="H1448" s="5">
        <f t="shared" si="88"/>
        <v>55.88</v>
      </c>
      <c r="I1448" s="5">
        <f t="shared" si="89"/>
        <v>2</v>
      </c>
      <c r="J1448" s="5">
        <f t="shared" si="90"/>
        <v>2015</v>
      </c>
    </row>
    <row r="1449" spans="4:10" x14ac:dyDescent="0.25">
      <c r="D1449" s="4">
        <v>33942</v>
      </c>
      <c r="E1449" s="6">
        <v>18.350000000000001</v>
      </c>
      <c r="G1449" s="4">
        <f t="shared" si="91"/>
        <v>42048</v>
      </c>
      <c r="H1449" s="5">
        <f t="shared" si="88"/>
        <v>60.33</v>
      </c>
      <c r="I1449" s="5">
        <f t="shared" si="89"/>
        <v>2</v>
      </c>
      <c r="J1449" s="5">
        <f t="shared" si="90"/>
        <v>2015</v>
      </c>
    </row>
    <row r="1450" spans="4:10" x14ac:dyDescent="0.25">
      <c r="D1450" s="4">
        <v>33945</v>
      </c>
      <c r="E1450" s="6">
        <v>18.25</v>
      </c>
      <c r="G1450" s="4">
        <f t="shared" si="91"/>
        <v>42055</v>
      </c>
      <c r="H1450" s="5">
        <f t="shared" si="88"/>
        <v>60.99</v>
      </c>
      <c r="I1450" s="5">
        <f t="shared" si="89"/>
        <v>2</v>
      </c>
      <c r="J1450" s="5">
        <f t="shared" si="90"/>
        <v>2015</v>
      </c>
    </row>
    <row r="1451" spans="4:10" x14ac:dyDescent="0.25">
      <c r="D1451" s="4">
        <v>33946</v>
      </c>
      <c r="E1451" s="6">
        <v>18.079999999999998</v>
      </c>
      <c r="G1451" s="4">
        <f t="shared" si="91"/>
        <v>42062</v>
      </c>
      <c r="H1451" s="5">
        <f t="shared" si="88"/>
        <v>61.89</v>
      </c>
      <c r="I1451" s="5">
        <f t="shared" si="89"/>
        <v>2</v>
      </c>
      <c r="J1451" s="5">
        <f t="shared" si="90"/>
        <v>2015</v>
      </c>
    </row>
    <row r="1452" spans="4:10" x14ac:dyDescent="0.25">
      <c r="D1452" s="4">
        <v>33947</v>
      </c>
      <c r="E1452" s="6">
        <v>17.8</v>
      </c>
      <c r="G1452" s="4">
        <f t="shared" si="91"/>
        <v>42069</v>
      </c>
      <c r="H1452" s="5">
        <f t="shared" si="88"/>
        <v>59.15</v>
      </c>
      <c r="I1452" s="5">
        <f t="shared" si="89"/>
        <v>3</v>
      </c>
      <c r="J1452" s="5">
        <f t="shared" si="90"/>
        <v>2015</v>
      </c>
    </row>
    <row r="1453" spans="4:10" x14ac:dyDescent="0.25">
      <c r="D1453" s="4">
        <v>33948</v>
      </c>
      <c r="E1453" s="6">
        <v>18.28</v>
      </c>
      <c r="G1453" s="4">
        <f t="shared" si="91"/>
        <v>42076</v>
      </c>
      <c r="H1453" s="5">
        <f t="shared" si="88"/>
        <v>54.8</v>
      </c>
      <c r="I1453" s="5">
        <f t="shared" si="89"/>
        <v>3</v>
      </c>
      <c r="J1453" s="5">
        <f t="shared" si="90"/>
        <v>2015</v>
      </c>
    </row>
    <row r="1454" spans="4:10" x14ac:dyDescent="0.25">
      <c r="D1454" s="4">
        <v>33949</v>
      </c>
      <c r="E1454" s="6">
        <v>18.2</v>
      </c>
      <c r="G1454" s="4">
        <f t="shared" si="91"/>
        <v>42083</v>
      </c>
      <c r="H1454" s="5">
        <f t="shared" si="88"/>
        <v>53.88</v>
      </c>
      <c r="I1454" s="5">
        <f t="shared" si="89"/>
        <v>3</v>
      </c>
      <c r="J1454" s="5">
        <f t="shared" si="90"/>
        <v>2015</v>
      </c>
    </row>
    <row r="1455" spans="4:10" x14ac:dyDescent="0.25">
      <c r="D1455" s="4">
        <v>33952</v>
      </c>
      <c r="E1455" s="6">
        <v>18.03</v>
      </c>
      <c r="G1455" s="4">
        <f t="shared" si="91"/>
        <v>42090</v>
      </c>
      <c r="H1455" s="5">
        <f t="shared" si="88"/>
        <v>56.44</v>
      </c>
      <c r="I1455" s="5">
        <f t="shared" si="89"/>
        <v>3</v>
      </c>
      <c r="J1455" s="5">
        <f t="shared" si="90"/>
        <v>2015</v>
      </c>
    </row>
    <row r="1456" spans="4:10" x14ac:dyDescent="0.25">
      <c r="D1456" s="4">
        <v>33953</v>
      </c>
      <c r="E1456" s="6">
        <v>17.8</v>
      </c>
      <c r="G1456" s="4">
        <f t="shared" si="91"/>
        <v>42097</v>
      </c>
      <c r="H1456" s="5">
        <f t="shared" si="88"/>
        <v>0</v>
      </c>
      <c r="I1456" s="5">
        <f t="shared" si="89"/>
        <v>4</v>
      </c>
      <c r="J1456" s="5">
        <f t="shared" si="90"/>
        <v>2015</v>
      </c>
    </row>
    <row r="1457" spans="4:10" x14ac:dyDescent="0.25">
      <c r="D1457" s="4">
        <v>33954</v>
      </c>
      <c r="E1457" s="6">
        <v>17.899999999999999</v>
      </c>
      <c r="G1457" s="4">
        <f t="shared" si="91"/>
        <v>42104</v>
      </c>
      <c r="H1457" s="5">
        <f t="shared" si="88"/>
        <v>56.82</v>
      </c>
      <c r="I1457" s="5">
        <f t="shared" si="89"/>
        <v>4</v>
      </c>
      <c r="J1457" s="5">
        <f t="shared" si="90"/>
        <v>2015</v>
      </c>
    </row>
    <row r="1458" spans="4:10" x14ac:dyDescent="0.25">
      <c r="D1458" s="4">
        <v>33955</v>
      </c>
      <c r="E1458" s="6">
        <v>18.18</v>
      </c>
      <c r="G1458" s="4">
        <f t="shared" si="91"/>
        <v>42111</v>
      </c>
      <c r="H1458" s="5">
        <f t="shared" si="88"/>
        <v>61.31</v>
      </c>
      <c r="I1458" s="5">
        <f t="shared" si="89"/>
        <v>4</v>
      </c>
      <c r="J1458" s="5">
        <f t="shared" si="90"/>
        <v>2015</v>
      </c>
    </row>
    <row r="1459" spans="4:10" x14ac:dyDescent="0.25">
      <c r="D1459" s="4">
        <v>33956</v>
      </c>
      <c r="E1459" s="6">
        <v>18.3</v>
      </c>
      <c r="G1459" s="4">
        <f t="shared" si="91"/>
        <v>42118</v>
      </c>
      <c r="H1459" s="5">
        <f t="shared" si="88"/>
        <v>62.96</v>
      </c>
      <c r="I1459" s="5">
        <f t="shared" si="89"/>
        <v>4</v>
      </c>
      <c r="J1459" s="5">
        <f t="shared" si="90"/>
        <v>2015</v>
      </c>
    </row>
    <row r="1460" spans="4:10" x14ac:dyDescent="0.25">
      <c r="D1460" s="4">
        <v>33959</v>
      </c>
      <c r="E1460" s="6">
        <v>18.329999999999998</v>
      </c>
      <c r="G1460" s="4">
        <f t="shared" si="91"/>
        <v>42125</v>
      </c>
      <c r="H1460" s="5">
        <f t="shared" si="88"/>
        <v>64.13</v>
      </c>
      <c r="I1460" s="5">
        <f t="shared" si="89"/>
        <v>5</v>
      </c>
      <c r="J1460" s="5">
        <f t="shared" si="90"/>
        <v>2015</v>
      </c>
    </row>
    <row r="1461" spans="4:10" x14ac:dyDescent="0.25">
      <c r="D1461" s="4">
        <v>33960</v>
      </c>
      <c r="E1461" s="6">
        <v>18.079999999999998</v>
      </c>
      <c r="G1461" s="4">
        <f t="shared" si="91"/>
        <v>42132</v>
      </c>
      <c r="H1461" s="5">
        <f t="shared" si="88"/>
        <v>63.82</v>
      </c>
      <c r="I1461" s="5">
        <f t="shared" si="89"/>
        <v>5</v>
      </c>
      <c r="J1461" s="5">
        <f t="shared" si="90"/>
        <v>2015</v>
      </c>
    </row>
    <row r="1462" spans="4:10" x14ac:dyDescent="0.25">
      <c r="D1462" s="4">
        <v>33961</v>
      </c>
      <c r="E1462" s="6">
        <v>18.23</v>
      </c>
      <c r="G1462" s="4">
        <f t="shared" si="91"/>
        <v>42139</v>
      </c>
      <c r="H1462" s="5">
        <f t="shared" si="88"/>
        <v>64.69</v>
      </c>
      <c r="I1462" s="5">
        <f t="shared" si="89"/>
        <v>5</v>
      </c>
      <c r="J1462" s="5">
        <f t="shared" si="90"/>
        <v>2015</v>
      </c>
    </row>
    <row r="1463" spans="4:10" x14ac:dyDescent="0.25">
      <c r="D1463" s="4">
        <v>33962</v>
      </c>
      <c r="E1463" s="6">
        <v>18.28</v>
      </c>
      <c r="G1463" s="4">
        <f t="shared" si="91"/>
        <v>42146</v>
      </c>
      <c r="H1463" s="5">
        <f t="shared" si="88"/>
        <v>64.7</v>
      </c>
      <c r="I1463" s="5">
        <f t="shared" si="89"/>
        <v>5</v>
      </c>
      <c r="J1463" s="5">
        <f t="shared" si="90"/>
        <v>2015</v>
      </c>
    </row>
    <row r="1464" spans="4:10" x14ac:dyDescent="0.25">
      <c r="D1464" s="4">
        <v>33963</v>
      </c>
      <c r="E1464" s="5"/>
      <c r="G1464" s="4">
        <f t="shared" si="91"/>
        <v>42153</v>
      </c>
      <c r="H1464" s="5">
        <f t="shared" si="88"/>
        <v>63.16</v>
      </c>
      <c r="I1464" s="5">
        <f t="shared" si="89"/>
        <v>5</v>
      </c>
      <c r="J1464" s="5">
        <f t="shared" si="90"/>
        <v>2015</v>
      </c>
    </row>
    <row r="1465" spans="4:10" x14ac:dyDescent="0.25">
      <c r="D1465" s="4">
        <v>33966</v>
      </c>
      <c r="E1465" s="5"/>
      <c r="G1465" s="4">
        <f t="shared" si="91"/>
        <v>42160</v>
      </c>
      <c r="H1465" s="5">
        <f t="shared" si="88"/>
        <v>60.36</v>
      </c>
      <c r="I1465" s="5">
        <f t="shared" si="89"/>
        <v>6</v>
      </c>
      <c r="J1465" s="5">
        <f t="shared" si="90"/>
        <v>2015</v>
      </c>
    </row>
    <row r="1466" spans="4:10" x14ac:dyDescent="0.25">
      <c r="D1466" s="4">
        <v>33967</v>
      </c>
      <c r="E1466" s="6">
        <v>17.93</v>
      </c>
      <c r="G1466" s="4">
        <f t="shared" si="91"/>
        <v>42167</v>
      </c>
      <c r="H1466" s="5">
        <f t="shared" si="88"/>
        <v>63.19</v>
      </c>
      <c r="I1466" s="5">
        <f t="shared" si="89"/>
        <v>6</v>
      </c>
      <c r="J1466" s="5">
        <f t="shared" si="90"/>
        <v>2015</v>
      </c>
    </row>
    <row r="1467" spans="4:10" x14ac:dyDescent="0.25">
      <c r="D1467" s="4">
        <v>33968</v>
      </c>
      <c r="E1467" s="6">
        <v>17.829999999999998</v>
      </c>
      <c r="G1467" s="4">
        <f t="shared" si="91"/>
        <v>42174</v>
      </c>
      <c r="H1467" s="5">
        <f t="shared" si="88"/>
        <v>59.41</v>
      </c>
      <c r="I1467" s="5">
        <f t="shared" si="89"/>
        <v>6</v>
      </c>
      <c r="J1467" s="5">
        <f t="shared" si="90"/>
        <v>2015</v>
      </c>
    </row>
    <row r="1468" spans="4:10" x14ac:dyDescent="0.25">
      <c r="D1468" s="4">
        <v>33969</v>
      </c>
      <c r="E1468" s="6">
        <v>17.850000000000001</v>
      </c>
      <c r="G1468" s="4">
        <f t="shared" si="91"/>
        <v>42181</v>
      </c>
      <c r="H1468" s="5">
        <f t="shared" si="88"/>
        <v>60.14</v>
      </c>
      <c r="I1468" s="5">
        <f t="shared" si="89"/>
        <v>6</v>
      </c>
      <c r="J1468" s="5">
        <f t="shared" si="90"/>
        <v>2015</v>
      </c>
    </row>
    <row r="1469" spans="4:10" x14ac:dyDescent="0.25">
      <c r="D1469" s="4">
        <v>33970</v>
      </c>
      <c r="E1469" s="5"/>
      <c r="G1469" s="4">
        <f t="shared" si="91"/>
        <v>42188</v>
      </c>
      <c r="H1469" s="5">
        <f t="shared" si="88"/>
        <v>59.06</v>
      </c>
      <c r="I1469" s="5">
        <f t="shared" si="89"/>
        <v>7</v>
      </c>
      <c r="J1469" s="5">
        <f t="shared" si="90"/>
        <v>2015</v>
      </c>
    </row>
    <row r="1470" spans="4:10" x14ac:dyDescent="0.25">
      <c r="D1470" s="4">
        <v>33973</v>
      </c>
      <c r="E1470" s="6">
        <v>17.73</v>
      </c>
      <c r="G1470" s="4">
        <f t="shared" si="91"/>
        <v>42195</v>
      </c>
      <c r="H1470" s="5">
        <f t="shared" si="88"/>
        <v>57.72</v>
      </c>
      <c r="I1470" s="5">
        <f t="shared" si="89"/>
        <v>7</v>
      </c>
      <c r="J1470" s="5">
        <f t="shared" si="90"/>
        <v>2015</v>
      </c>
    </row>
    <row r="1471" spans="4:10" x14ac:dyDescent="0.25">
      <c r="D1471" s="4">
        <v>33974</v>
      </c>
      <c r="E1471" s="6">
        <v>17.48</v>
      </c>
      <c r="G1471" s="4">
        <f t="shared" si="91"/>
        <v>42202</v>
      </c>
      <c r="H1471" s="5">
        <f t="shared" si="88"/>
        <v>56.38</v>
      </c>
      <c r="I1471" s="5">
        <f t="shared" si="89"/>
        <v>7</v>
      </c>
      <c r="J1471" s="5">
        <f t="shared" si="90"/>
        <v>2015</v>
      </c>
    </row>
    <row r="1472" spans="4:10" x14ac:dyDescent="0.25">
      <c r="D1472" s="4">
        <v>33975</v>
      </c>
      <c r="E1472" s="6">
        <v>17.53</v>
      </c>
      <c r="G1472" s="4">
        <f t="shared" si="91"/>
        <v>42209</v>
      </c>
      <c r="H1472" s="5">
        <f t="shared" si="88"/>
        <v>54.29</v>
      </c>
      <c r="I1472" s="5">
        <f t="shared" si="89"/>
        <v>7</v>
      </c>
      <c r="J1472" s="5">
        <f t="shared" si="90"/>
        <v>2015</v>
      </c>
    </row>
    <row r="1473" spans="4:10" x14ac:dyDescent="0.25">
      <c r="D1473" s="4">
        <v>33976</v>
      </c>
      <c r="E1473" s="6">
        <v>17.579999999999998</v>
      </c>
      <c r="G1473" s="4">
        <f t="shared" si="91"/>
        <v>42216</v>
      </c>
      <c r="H1473" s="5">
        <f t="shared" si="88"/>
        <v>53.29</v>
      </c>
      <c r="I1473" s="5">
        <f t="shared" si="89"/>
        <v>7</v>
      </c>
      <c r="J1473" s="5">
        <f t="shared" si="90"/>
        <v>2015</v>
      </c>
    </row>
    <row r="1474" spans="4:10" x14ac:dyDescent="0.25">
      <c r="D1474" s="4">
        <v>33977</v>
      </c>
      <c r="E1474" s="6">
        <v>17.23</v>
      </c>
      <c r="G1474" s="4">
        <f t="shared" si="91"/>
        <v>42223</v>
      </c>
      <c r="H1474" s="5">
        <f t="shared" si="88"/>
        <v>47.54</v>
      </c>
      <c r="I1474" s="5">
        <f t="shared" si="89"/>
        <v>8</v>
      </c>
      <c r="J1474" s="5">
        <f t="shared" si="90"/>
        <v>2015</v>
      </c>
    </row>
    <row r="1475" spans="4:10" x14ac:dyDescent="0.25">
      <c r="D1475" s="4">
        <v>33980</v>
      </c>
      <c r="E1475" s="6">
        <v>17.28</v>
      </c>
      <c r="G1475" s="4">
        <f t="shared" si="91"/>
        <v>42230</v>
      </c>
      <c r="H1475" s="5">
        <f t="shared" ref="H1475:H1538" si="92">_xlfn.XLOOKUP(G1475,D:D,E:E)</f>
        <v>47.79</v>
      </c>
      <c r="I1475" s="5">
        <f t="shared" ref="I1475:I1538" si="93">MONTH(G1475)</f>
        <v>8</v>
      </c>
      <c r="J1475" s="5">
        <f t="shared" ref="J1475:J1538" si="94">YEAR(G1475)</f>
        <v>2015</v>
      </c>
    </row>
    <row r="1476" spans="4:10" x14ac:dyDescent="0.25">
      <c r="D1476" s="4">
        <v>33981</v>
      </c>
      <c r="E1476" s="6">
        <v>16.850000000000001</v>
      </c>
      <c r="G1476" s="4">
        <f t="shared" ref="G1476:G1539" si="95">G1475+7</f>
        <v>42237</v>
      </c>
      <c r="H1476" s="5">
        <f t="shared" si="92"/>
        <v>43.84</v>
      </c>
      <c r="I1476" s="5">
        <f t="shared" si="93"/>
        <v>8</v>
      </c>
      <c r="J1476" s="5">
        <f t="shared" si="94"/>
        <v>2015</v>
      </c>
    </row>
    <row r="1477" spans="4:10" x14ac:dyDescent="0.25">
      <c r="D1477" s="4">
        <v>33982</v>
      </c>
      <c r="E1477" s="6">
        <v>16.850000000000001</v>
      </c>
      <c r="G1477" s="4">
        <f t="shared" si="95"/>
        <v>42244</v>
      </c>
      <c r="H1477" s="5">
        <f t="shared" si="92"/>
        <v>47.97</v>
      </c>
      <c r="I1477" s="5">
        <f t="shared" si="93"/>
        <v>8</v>
      </c>
      <c r="J1477" s="5">
        <f t="shared" si="94"/>
        <v>2015</v>
      </c>
    </row>
    <row r="1478" spans="4:10" x14ac:dyDescent="0.25">
      <c r="D1478" s="4">
        <v>33983</v>
      </c>
      <c r="E1478" s="6">
        <v>17</v>
      </c>
      <c r="G1478" s="4">
        <f t="shared" si="95"/>
        <v>42251</v>
      </c>
      <c r="H1478" s="5">
        <f t="shared" si="92"/>
        <v>48.59</v>
      </c>
      <c r="I1478" s="5">
        <f t="shared" si="93"/>
        <v>9</v>
      </c>
      <c r="J1478" s="5">
        <f t="shared" si="94"/>
        <v>2015</v>
      </c>
    </row>
    <row r="1479" spans="4:10" x14ac:dyDescent="0.25">
      <c r="D1479" s="4">
        <v>33984</v>
      </c>
      <c r="E1479" s="6">
        <v>17.28</v>
      </c>
      <c r="G1479" s="4">
        <f t="shared" si="95"/>
        <v>42258</v>
      </c>
      <c r="H1479" s="5">
        <f t="shared" si="92"/>
        <v>46.87</v>
      </c>
      <c r="I1479" s="5">
        <f t="shared" si="93"/>
        <v>9</v>
      </c>
      <c r="J1479" s="5">
        <f t="shared" si="94"/>
        <v>2015</v>
      </c>
    </row>
    <row r="1480" spans="4:10" x14ac:dyDescent="0.25">
      <c r="D1480" s="4">
        <v>33987</v>
      </c>
      <c r="E1480" s="6">
        <v>17.25</v>
      </c>
      <c r="G1480" s="4">
        <f t="shared" si="95"/>
        <v>42265</v>
      </c>
      <c r="H1480" s="5">
        <f t="shared" si="92"/>
        <v>47.28</v>
      </c>
      <c r="I1480" s="5">
        <f t="shared" si="93"/>
        <v>9</v>
      </c>
      <c r="J1480" s="5">
        <f t="shared" si="94"/>
        <v>2015</v>
      </c>
    </row>
    <row r="1481" spans="4:10" x14ac:dyDescent="0.25">
      <c r="D1481" s="4">
        <v>33988</v>
      </c>
      <c r="E1481" s="6">
        <v>16.98</v>
      </c>
      <c r="G1481" s="4">
        <f t="shared" si="95"/>
        <v>42272</v>
      </c>
      <c r="H1481" s="5">
        <f t="shared" si="92"/>
        <v>47.28</v>
      </c>
      <c r="I1481" s="5">
        <f t="shared" si="93"/>
        <v>9</v>
      </c>
      <c r="J1481" s="5">
        <f t="shared" si="94"/>
        <v>2015</v>
      </c>
    </row>
    <row r="1482" spans="4:10" x14ac:dyDescent="0.25">
      <c r="D1482" s="4">
        <v>33989</v>
      </c>
      <c r="E1482" s="6">
        <v>16.7</v>
      </c>
      <c r="G1482" s="4">
        <f t="shared" si="95"/>
        <v>42279</v>
      </c>
      <c r="H1482" s="5">
        <f t="shared" si="92"/>
        <v>46.55</v>
      </c>
      <c r="I1482" s="5">
        <f t="shared" si="93"/>
        <v>10</v>
      </c>
      <c r="J1482" s="5">
        <f t="shared" si="94"/>
        <v>2015</v>
      </c>
    </row>
    <row r="1483" spans="4:10" x14ac:dyDescent="0.25">
      <c r="D1483" s="4">
        <v>33990</v>
      </c>
      <c r="E1483" s="6">
        <v>16.88</v>
      </c>
      <c r="G1483" s="4">
        <f t="shared" si="95"/>
        <v>42286</v>
      </c>
      <c r="H1483" s="5">
        <f t="shared" si="92"/>
        <v>52.08</v>
      </c>
      <c r="I1483" s="5">
        <f t="shared" si="93"/>
        <v>10</v>
      </c>
      <c r="J1483" s="5">
        <f t="shared" si="94"/>
        <v>2015</v>
      </c>
    </row>
    <row r="1484" spans="4:10" x14ac:dyDescent="0.25">
      <c r="D1484" s="4">
        <v>33991</v>
      </c>
      <c r="E1484" s="6">
        <v>17.079999999999998</v>
      </c>
      <c r="G1484" s="4">
        <f t="shared" si="95"/>
        <v>42293</v>
      </c>
      <c r="H1484" s="5">
        <f t="shared" si="92"/>
        <v>48.96</v>
      </c>
      <c r="I1484" s="5">
        <f t="shared" si="93"/>
        <v>10</v>
      </c>
      <c r="J1484" s="5">
        <f t="shared" si="94"/>
        <v>2015</v>
      </c>
    </row>
    <row r="1485" spans="4:10" x14ac:dyDescent="0.25">
      <c r="D1485" s="4">
        <v>33994</v>
      </c>
      <c r="E1485" s="6">
        <v>17.579999999999998</v>
      </c>
      <c r="G1485" s="4">
        <f t="shared" si="95"/>
        <v>42300</v>
      </c>
      <c r="H1485" s="5">
        <f t="shared" si="92"/>
        <v>46.3</v>
      </c>
      <c r="I1485" s="5">
        <f t="shared" si="93"/>
        <v>10</v>
      </c>
      <c r="J1485" s="5">
        <f t="shared" si="94"/>
        <v>2015</v>
      </c>
    </row>
    <row r="1486" spans="4:10" x14ac:dyDescent="0.25">
      <c r="D1486" s="4">
        <v>33995</v>
      </c>
      <c r="E1486" s="6">
        <v>17.93</v>
      </c>
      <c r="G1486" s="4">
        <f t="shared" si="95"/>
        <v>42307</v>
      </c>
      <c r="H1486" s="5">
        <f t="shared" si="92"/>
        <v>48</v>
      </c>
      <c r="I1486" s="5">
        <f t="shared" si="93"/>
        <v>10</v>
      </c>
      <c r="J1486" s="5">
        <f t="shared" si="94"/>
        <v>2015</v>
      </c>
    </row>
    <row r="1487" spans="4:10" x14ac:dyDescent="0.25">
      <c r="D1487" s="4">
        <v>33996</v>
      </c>
      <c r="E1487" s="6">
        <v>17.88</v>
      </c>
      <c r="G1487" s="4">
        <f t="shared" si="95"/>
        <v>42314</v>
      </c>
      <c r="H1487" s="5">
        <f t="shared" si="92"/>
        <v>46.09</v>
      </c>
      <c r="I1487" s="5">
        <f t="shared" si="93"/>
        <v>11</v>
      </c>
      <c r="J1487" s="5">
        <f t="shared" si="94"/>
        <v>2015</v>
      </c>
    </row>
    <row r="1488" spans="4:10" x14ac:dyDescent="0.25">
      <c r="D1488" s="4">
        <v>33997</v>
      </c>
      <c r="E1488" s="6">
        <v>18.149999999999999</v>
      </c>
      <c r="G1488" s="4">
        <f t="shared" si="95"/>
        <v>42321</v>
      </c>
      <c r="H1488" s="5">
        <f t="shared" si="92"/>
        <v>41.98</v>
      </c>
      <c r="I1488" s="5">
        <f t="shared" si="93"/>
        <v>11</v>
      </c>
      <c r="J1488" s="5">
        <f t="shared" si="94"/>
        <v>2015</v>
      </c>
    </row>
    <row r="1489" spans="4:10" x14ac:dyDescent="0.25">
      <c r="D1489" s="4">
        <v>33998</v>
      </c>
      <c r="E1489" s="6">
        <v>18.48</v>
      </c>
      <c r="G1489" s="4">
        <f t="shared" si="95"/>
        <v>42328</v>
      </c>
      <c r="H1489" s="5">
        <f t="shared" si="92"/>
        <v>42.49</v>
      </c>
      <c r="I1489" s="5">
        <f t="shared" si="93"/>
        <v>11</v>
      </c>
      <c r="J1489" s="5">
        <f t="shared" si="94"/>
        <v>2015</v>
      </c>
    </row>
    <row r="1490" spans="4:10" x14ac:dyDescent="0.25">
      <c r="D1490" s="4">
        <v>34001</v>
      </c>
      <c r="E1490" s="6">
        <v>18.55</v>
      </c>
      <c r="G1490" s="4">
        <f t="shared" si="95"/>
        <v>42335</v>
      </c>
      <c r="H1490" s="5">
        <f t="shared" si="92"/>
        <v>43.07</v>
      </c>
      <c r="I1490" s="5">
        <f t="shared" si="93"/>
        <v>11</v>
      </c>
      <c r="J1490" s="5">
        <f t="shared" si="94"/>
        <v>2015</v>
      </c>
    </row>
    <row r="1491" spans="4:10" x14ac:dyDescent="0.25">
      <c r="D1491" s="4">
        <v>34002</v>
      </c>
      <c r="E1491" s="6">
        <v>18.399999999999999</v>
      </c>
      <c r="G1491" s="4">
        <f t="shared" si="95"/>
        <v>42342</v>
      </c>
      <c r="H1491" s="5">
        <f t="shared" si="92"/>
        <v>41.44</v>
      </c>
      <c r="I1491" s="5">
        <f t="shared" si="93"/>
        <v>12</v>
      </c>
      <c r="J1491" s="5">
        <f t="shared" si="94"/>
        <v>2015</v>
      </c>
    </row>
    <row r="1492" spans="4:10" x14ac:dyDescent="0.25">
      <c r="D1492" s="4">
        <v>34003</v>
      </c>
      <c r="E1492" s="5"/>
      <c r="G1492" s="4">
        <f t="shared" si="95"/>
        <v>42349</v>
      </c>
      <c r="H1492" s="5">
        <f t="shared" si="92"/>
        <v>36.99</v>
      </c>
      <c r="I1492" s="5">
        <f t="shared" si="93"/>
        <v>12</v>
      </c>
      <c r="J1492" s="5">
        <f t="shared" si="94"/>
        <v>2015</v>
      </c>
    </row>
    <row r="1493" spans="4:10" x14ac:dyDescent="0.25">
      <c r="D1493" s="4">
        <v>34004</v>
      </c>
      <c r="E1493" s="6">
        <v>18.649999999999999</v>
      </c>
      <c r="G1493" s="4">
        <f t="shared" si="95"/>
        <v>42356</v>
      </c>
      <c r="H1493" s="5">
        <f t="shared" si="92"/>
        <v>36.76</v>
      </c>
      <c r="I1493" s="5">
        <f t="shared" si="93"/>
        <v>12</v>
      </c>
      <c r="J1493" s="5">
        <f t="shared" si="94"/>
        <v>2015</v>
      </c>
    </row>
    <row r="1494" spans="4:10" x14ac:dyDescent="0.25">
      <c r="D1494" s="4">
        <v>34005</v>
      </c>
      <c r="E1494" s="6">
        <v>18.7</v>
      </c>
      <c r="G1494" s="4">
        <f t="shared" si="95"/>
        <v>42363</v>
      </c>
      <c r="H1494" s="5">
        <f t="shared" si="92"/>
        <v>0</v>
      </c>
      <c r="I1494" s="5">
        <f t="shared" si="93"/>
        <v>12</v>
      </c>
      <c r="J1494" s="5">
        <f t="shared" si="94"/>
        <v>2015</v>
      </c>
    </row>
    <row r="1495" spans="4:10" x14ac:dyDescent="0.25">
      <c r="D1495" s="4">
        <v>34008</v>
      </c>
      <c r="E1495" s="6">
        <v>18.55</v>
      </c>
      <c r="G1495" s="4">
        <f t="shared" si="95"/>
        <v>42370</v>
      </c>
      <c r="H1495" s="5">
        <f t="shared" si="92"/>
        <v>0</v>
      </c>
      <c r="I1495" s="5">
        <f t="shared" si="93"/>
        <v>1</v>
      </c>
      <c r="J1495" s="5">
        <f t="shared" si="94"/>
        <v>2016</v>
      </c>
    </row>
    <row r="1496" spans="4:10" x14ac:dyDescent="0.25">
      <c r="D1496" s="4">
        <v>34009</v>
      </c>
      <c r="E1496" s="6">
        <v>18.329999999999998</v>
      </c>
      <c r="G1496" s="4">
        <f t="shared" si="95"/>
        <v>42377</v>
      </c>
      <c r="H1496" s="5">
        <f t="shared" si="92"/>
        <v>31.67</v>
      </c>
      <c r="I1496" s="5">
        <f t="shared" si="93"/>
        <v>1</v>
      </c>
      <c r="J1496" s="5">
        <f t="shared" si="94"/>
        <v>2016</v>
      </c>
    </row>
    <row r="1497" spans="4:10" x14ac:dyDescent="0.25">
      <c r="D1497" s="4">
        <v>34010</v>
      </c>
      <c r="E1497" s="6">
        <v>18.48</v>
      </c>
      <c r="G1497" s="4">
        <f t="shared" si="95"/>
        <v>42384</v>
      </c>
      <c r="H1497" s="5">
        <f t="shared" si="92"/>
        <v>28.8</v>
      </c>
      <c r="I1497" s="5">
        <f t="shared" si="93"/>
        <v>1</v>
      </c>
      <c r="J1497" s="5">
        <f t="shared" si="94"/>
        <v>2016</v>
      </c>
    </row>
    <row r="1498" spans="4:10" x14ac:dyDescent="0.25">
      <c r="D1498" s="4">
        <v>34011</v>
      </c>
      <c r="E1498" s="6">
        <v>18.43</v>
      </c>
      <c r="G1498" s="4">
        <f t="shared" si="95"/>
        <v>42391</v>
      </c>
      <c r="H1498" s="5">
        <f t="shared" si="92"/>
        <v>30.46</v>
      </c>
      <c r="I1498" s="5">
        <f t="shared" si="93"/>
        <v>1</v>
      </c>
      <c r="J1498" s="5">
        <f t="shared" si="94"/>
        <v>2016</v>
      </c>
    </row>
    <row r="1499" spans="4:10" x14ac:dyDescent="0.25">
      <c r="D1499" s="4">
        <v>34012</v>
      </c>
      <c r="E1499" s="6">
        <v>18.48</v>
      </c>
      <c r="G1499" s="4">
        <f t="shared" si="95"/>
        <v>42398</v>
      </c>
      <c r="H1499" s="5">
        <f t="shared" si="92"/>
        <v>33.14</v>
      </c>
      <c r="I1499" s="5">
        <f t="shared" si="93"/>
        <v>1</v>
      </c>
      <c r="J1499" s="5">
        <f t="shared" si="94"/>
        <v>2016</v>
      </c>
    </row>
    <row r="1500" spans="4:10" x14ac:dyDescent="0.25">
      <c r="D1500" s="4">
        <v>34015</v>
      </c>
      <c r="E1500" s="6">
        <v>17.98</v>
      </c>
      <c r="G1500" s="4">
        <f t="shared" si="95"/>
        <v>42405</v>
      </c>
      <c r="H1500" s="5">
        <f t="shared" si="92"/>
        <v>32.35</v>
      </c>
      <c r="I1500" s="5">
        <f t="shared" si="93"/>
        <v>2</v>
      </c>
      <c r="J1500" s="5">
        <f t="shared" si="94"/>
        <v>2016</v>
      </c>
    </row>
    <row r="1501" spans="4:10" x14ac:dyDescent="0.25">
      <c r="D1501" s="4">
        <v>34016</v>
      </c>
      <c r="E1501" s="6">
        <v>18.2</v>
      </c>
      <c r="G1501" s="4">
        <f t="shared" si="95"/>
        <v>42412</v>
      </c>
      <c r="H1501" s="5">
        <f t="shared" si="92"/>
        <v>31.8</v>
      </c>
      <c r="I1501" s="5">
        <f t="shared" si="93"/>
        <v>2</v>
      </c>
      <c r="J1501" s="5">
        <f t="shared" si="94"/>
        <v>2016</v>
      </c>
    </row>
    <row r="1502" spans="4:10" x14ac:dyDescent="0.25">
      <c r="D1502" s="4">
        <v>34017</v>
      </c>
      <c r="E1502" s="6">
        <v>17.93</v>
      </c>
      <c r="G1502" s="4">
        <f t="shared" si="95"/>
        <v>42419</v>
      </c>
      <c r="H1502" s="5">
        <f t="shared" si="92"/>
        <v>31.66</v>
      </c>
      <c r="I1502" s="5">
        <f t="shared" si="93"/>
        <v>2</v>
      </c>
      <c r="J1502" s="5">
        <f t="shared" si="94"/>
        <v>2016</v>
      </c>
    </row>
    <row r="1503" spans="4:10" x14ac:dyDescent="0.25">
      <c r="D1503" s="4">
        <v>34018</v>
      </c>
      <c r="E1503" s="6">
        <v>17.829999999999998</v>
      </c>
      <c r="G1503" s="4">
        <f t="shared" si="95"/>
        <v>42426</v>
      </c>
      <c r="H1503" s="5">
        <f t="shared" si="92"/>
        <v>35.76</v>
      </c>
      <c r="I1503" s="5">
        <f t="shared" si="93"/>
        <v>2</v>
      </c>
      <c r="J1503" s="5">
        <f t="shared" si="94"/>
        <v>2016</v>
      </c>
    </row>
    <row r="1504" spans="4:10" x14ac:dyDescent="0.25">
      <c r="D1504" s="4">
        <v>34019</v>
      </c>
      <c r="E1504" s="6">
        <v>18.3</v>
      </c>
      <c r="G1504" s="4">
        <f t="shared" si="95"/>
        <v>42433</v>
      </c>
      <c r="H1504" s="5">
        <f t="shared" si="92"/>
        <v>37.61</v>
      </c>
      <c r="I1504" s="5">
        <f t="shared" si="93"/>
        <v>3</v>
      </c>
      <c r="J1504" s="5">
        <f t="shared" si="94"/>
        <v>2016</v>
      </c>
    </row>
    <row r="1505" spans="4:10" x14ac:dyDescent="0.25">
      <c r="D1505" s="4">
        <v>34022</v>
      </c>
      <c r="E1505" s="6">
        <v>18.63</v>
      </c>
      <c r="G1505" s="4">
        <f t="shared" si="95"/>
        <v>42440</v>
      </c>
      <c r="H1505" s="5">
        <f t="shared" si="92"/>
        <v>39.409999999999997</v>
      </c>
      <c r="I1505" s="5">
        <f t="shared" si="93"/>
        <v>3</v>
      </c>
      <c r="J1505" s="5">
        <f t="shared" si="94"/>
        <v>2016</v>
      </c>
    </row>
    <row r="1506" spans="4:10" x14ac:dyDescent="0.25">
      <c r="D1506" s="4">
        <v>34023</v>
      </c>
      <c r="E1506" s="6">
        <v>18.88</v>
      </c>
      <c r="G1506" s="4">
        <f t="shared" si="95"/>
        <v>42447</v>
      </c>
      <c r="H1506" s="5">
        <f t="shared" si="92"/>
        <v>39.26</v>
      </c>
      <c r="I1506" s="5">
        <f t="shared" si="93"/>
        <v>3</v>
      </c>
      <c r="J1506" s="5">
        <f t="shared" si="94"/>
        <v>2016</v>
      </c>
    </row>
    <row r="1507" spans="4:10" x14ac:dyDescent="0.25">
      <c r="D1507" s="4">
        <v>34024</v>
      </c>
      <c r="E1507" s="6">
        <v>18.88</v>
      </c>
      <c r="G1507" s="4">
        <f t="shared" si="95"/>
        <v>42454</v>
      </c>
      <c r="H1507" s="5">
        <f t="shared" si="92"/>
        <v>0</v>
      </c>
      <c r="I1507" s="5">
        <f t="shared" si="93"/>
        <v>3</v>
      </c>
      <c r="J1507" s="5">
        <f t="shared" si="94"/>
        <v>2016</v>
      </c>
    </row>
    <row r="1508" spans="4:10" x14ac:dyDescent="0.25">
      <c r="D1508" s="4">
        <v>34025</v>
      </c>
      <c r="E1508" s="6">
        <v>18.829999999999998</v>
      </c>
      <c r="G1508" s="4">
        <f t="shared" si="95"/>
        <v>42461</v>
      </c>
      <c r="H1508" s="5">
        <f t="shared" si="92"/>
        <v>36.42</v>
      </c>
      <c r="I1508" s="5">
        <f t="shared" si="93"/>
        <v>4</v>
      </c>
      <c r="J1508" s="5">
        <f t="shared" si="94"/>
        <v>2016</v>
      </c>
    </row>
    <row r="1509" spans="4:10" x14ac:dyDescent="0.25">
      <c r="D1509" s="4">
        <v>34026</v>
      </c>
      <c r="E1509" s="6">
        <v>18.829999999999998</v>
      </c>
      <c r="G1509" s="4">
        <f t="shared" si="95"/>
        <v>42468</v>
      </c>
      <c r="H1509" s="5">
        <f t="shared" si="92"/>
        <v>40.71</v>
      </c>
      <c r="I1509" s="5">
        <f t="shared" si="93"/>
        <v>4</v>
      </c>
      <c r="J1509" s="5">
        <f t="shared" si="94"/>
        <v>2016</v>
      </c>
    </row>
    <row r="1510" spans="4:10" x14ac:dyDescent="0.25">
      <c r="D1510" s="4">
        <v>34029</v>
      </c>
      <c r="E1510" s="6">
        <v>19.03</v>
      </c>
      <c r="G1510" s="4">
        <f t="shared" si="95"/>
        <v>42475</v>
      </c>
      <c r="H1510" s="5">
        <f t="shared" si="92"/>
        <v>41.32</v>
      </c>
      <c r="I1510" s="5">
        <f t="shared" si="93"/>
        <v>4</v>
      </c>
      <c r="J1510" s="5">
        <f t="shared" si="94"/>
        <v>2016</v>
      </c>
    </row>
    <row r="1511" spans="4:10" x14ac:dyDescent="0.25">
      <c r="D1511" s="4">
        <v>34030</v>
      </c>
      <c r="E1511" s="6">
        <v>18.829999999999998</v>
      </c>
      <c r="G1511" s="4">
        <f t="shared" si="95"/>
        <v>42482</v>
      </c>
      <c r="H1511" s="5">
        <f t="shared" si="92"/>
        <v>43.97</v>
      </c>
      <c r="I1511" s="5">
        <f t="shared" si="93"/>
        <v>4</v>
      </c>
      <c r="J1511" s="5">
        <f t="shared" si="94"/>
        <v>2016</v>
      </c>
    </row>
    <row r="1512" spans="4:10" x14ac:dyDescent="0.25">
      <c r="D1512" s="4">
        <v>34031</v>
      </c>
      <c r="E1512" s="6">
        <v>18.93</v>
      </c>
      <c r="G1512" s="4">
        <f t="shared" si="95"/>
        <v>42489</v>
      </c>
      <c r="H1512" s="5">
        <f t="shared" si="92"/>
        <v>45.64</v>
      </c>
      <c r="I1512" s="5">
        <f t="shared" si="93"/>
        <v>4</v>
      </c>
      <c r="J1512" s="5">
        <f t="shared" si="94"/>
        <v>2016</v>
      </c>
    </row>
    <row r="1513" spans="4:10" x14ac:dyDescent="0.25">
      <c r="D1513" s="4">
        <v>34032</v>
      </c>
      <c r="E1513" s="6">
        <v>19.350000000000001</v>
      </c>
      <c r="G1513" s="4">
        <f t="shared" si="95"/>
        <v>42496</v>
      </c>
      <c r="H1513" s="5">
        <f t="shared" si="92"/>
        <v>44.6</v>
      </c>
      <c r="I1513" s="5">
        <f t="shared" si="93"/>
        <v>5</v>
      </c>
      <c r="J1513" s="5">
        <f t="shared" si="94"/>
        <v>2016</v>
      </c>
    </row>
    <row r="1514" spans="4:10" x14ac:dyDescent="0.25">
      <c r="D1514" s="4">
        <v>34033</v>
      </c>
      <c r="E1514" s="6">
        <v>19.600000000000001</v>
      </c>
      <c r="G1514" s="4">
        <f t="shared" si="95"/>
        <v>42503</v>
      </c>
      <c r="H1514" s="5">
        <f t="shared" si="92"/>
        <v>47.05</v>
      </c>
      <c r="I1514" s="5">
        <f t="shared" si="93"/>
        <v>5</v>
      </c>
      <c r="J1514" s="5">
        <f t="shared" si="94"/>
        <v>2016</v>
      </c>
    </row>
    <row r="1515" spans="4:10" x14ac:dyDescent="0.25">
      <c r="D1515" s="4">
        <v>34036</v>
      </c>
      <c r="E1515" s="6">
        <v>19.28</v>
      </c>
      <c r="G1515" s="4">
        <f t="shared" si="95"/>
        <v>42510</v>
      </c>
      <c r="H1515" s="5">
        <f t="shared" si="92"/>
        <v>48.54</v>
      </c>
      <c r="I1515" s="5">
        <f t="shared" si="93"/>
        <v>5</v>
      </c>
      <c r="J1515" s="5">
        <f t="shared" si="94"/>
        <v>2016</v>
      </c>
    </row>
    <row r="1516" spans="4:10" x14ac:dyDescent="0.25">
      <c r="D1516" s="4">
        <v>34037</v>
      </c>
      <c r="E1516" s="6">
        <v>19.23</v>
      </c>
      <c r="G1516" s="4">
        <f t="shared" si="95"/>
        <v>42517</v>
      </c>
      <c r="H1516" s="5">
        <f t="shared" si="92"/>
        <v>49.09</v>
      </c>
      <c r="I1516" s="5">
        <f t="shared" si="93"/>
        <v>5</v>
      </c>
      <c r="J1516" s="5">
        <f t="shared" si="94"/>
        <v>2016</v>
      </c>
    </row>
    <row r="1517" spans="4:10" x14ac:dyDescent="0.25">
      <c r="D1517" s="4">
        <v>34038</v>
      </c>
      <c r="E1517" s="6">
        <v>19.079999999999998</v>
      </c>
      <c r="G1517" s="4">
        <f t="shared" si="95"/>
        <v>42524</v>
      </c>
      <c r="H1517" s="5">
        <f t="shared" si="92"/>
        <v>48.5</v>
      </c>
      <c r="I1517" s="5">
        <f t="shared" si="93"/>
        <v>6</v>
      </c>
      <c r="J1517" s="5">
        <f t="shared" si="94"/>
        <v>2016</v>
      </c>
    </row>
    <row r="1518" spans="4:10" x14ac:dyDescent="0.25">
      <c r="D1518" s="4">
        <v>34039</v>
      </c>
      <c r="E1518" s="6">
        <v>18.7</v>
      </c>
      <c r="G1518" s="4">
        <f t="shared" si="95"/>
        <v>42531</v>
      </c>
      <c r="H1518" s="5">
        <f t="shared" si="92"/>
        <v>49.7</v>
      </c>
      <c r="I1518" s="5">
        <f t="shared" si="93"/>
        <v>6</v>
      </c>
      <c r="J1518" s="5">
        <f t="shared" si="94"/>
        <v>2016</v>
      </c>
    </row>
    <row r="1519" spans="4:10" x14ac:dyDescent="0.25">
      <c r="D1519" s="4">
        <v>34040</v>
      </c>
      <c r="E1519" s="6">
        <v>18.829999999999998</v>
      </c>
      <c r="G1519" s="4">
        <f t="shared" si="95"/>
        <v>42538</v>
      </c>
      <c r="H1519" s="5">
        <f t="shared" si="92"/>
        <v>46.57</v>
      </c>
      <c r="I1519" s="5">
        <f t="shared" si="93"/>
        <v>6</v>
      </c>
      <c r="J1519" s="5">
        <f t="shared" si="94"/>
        <v>2016</v>
      </c>
    </row>
    <row r="1520" spans="4:10" x14ac:dyDescent="0.25">
      <c r="D1520" s="4">
        <v>34043</v>
      </c>
      <c r="E1520" s="6">
        <v>18.88</v>
      </c>
      <c r="G1520" s="4">
        <f t="shared" si="95"/>
        <v>42545</v>
      </c>
      <c r="H1520" s="5">
        <f t="shared" si="92"/>
        <v>46.69</v>
      </c>
      <c r="I1520" s="5">
        <f t="shared" si="93"/>
        <v>6</v>
      </c>
      <c r="J1520" s="5">
        <f t="shared" si="94"/>
        <v>2016</v>
      </c>
    </row>
    <row r="1521" spans="4:10" x14ac:dyDescent="0.25">
      <c r="D1521" s="4">
        <v>34044</v>
      </c>
      <c r="E1521" s="6">
        <v>18.55</v>
      </c>
      <c r="G1521" s="4">
        <f t="shared" si="95"/>
        <v>42552</v>
      </c>
      <c r="H1521" s="5">
        <f t="shared" si="92"/>
        <v>47.65</v>
      </c>
      <c r="I1521" s="5">
        <f t="shared" si="93"/>
        <v>7</v>
      </c>
      <c r="J1521" s="5">
        <f t="shared" si="94"/>
        <v>2016</v>
      </c>
    </row>
    <row r="1522" spans="4:10" x14ac:dyDescent="0.25">
      <c r="D1522" s="4">
        <v>34045</v>
      </c>
      <c r="E1522" s="6">
        <v>18.600000000000001</v>
      </c>
      <c r="G1522" s="4">
        <f t="shared" si="95"/>
        <v>42559</v>
      </c>
      <c r="H1522" s="5">
        <f t="shared" si="92"/>
        <v>44.53</v>
      </c>
      <c r="I1522" s="5">
        <f t="shared" si="93"/>
        <v>7</v>
      </c>
      <c r="J1522" s="5">
        <f t="shared" si="94"/>
        <v>2016</v>
      </c>
    </row>
    <row r="1523" spans="4:10" x14ac:dyDescent="0.25">
      <c r="D1523" s="4">
        <v>34046</v>
      </c>
      <c r="E1523" s="6">
        <v>18.7</v>
      </c>
      <c r="G1523" s="4">
        <f t="shared" si="95"/>
        <v>42566</v>
      </c>
      <c r="H1523" s="5">
        <f t="shared" si="92"/>
        <v>46.25</v>
      </c>
      <c r="I1523" s="5">
        <f t="shared" si="93"/>
        <v>7</v>
      </c>
      <c r="J1523" s="5">
        <f t="shared" si="94"/>
        <v>2016</v>
      </c>
    </row>
    <row r="1524" spans="4:10" x14ac:dyDescent="0.25">
      <c r="D1524" s="4">
        <v>34047</v>
      </c>
      <c r="E1524" s="6">
        <v>18.579999999999998</v>
      </c>
      <c r="G1524" s="4">
        <f t="shared" si="95"/>
        <v>42573</v>
      </c>
      <c r="H1524" s="5">
        <f t="shared" si="92"/>
        <v>44.24</v>
      </c>
      <c r="I1524" s="5">
        <f t="shared" si="93"/>
        <v>7</v>
      </c>
      <c r="J1524" s="5">
        <f t="shared" si="94"/>
        <v>2016</v>
      </c>
    </row>
    <row r="1525" spans="4:10" x14ac:dyDescent="0.25">
      <c r="D1525" s="4">
        <v>34050</v>
      </c>
      <c r="E1525" s="6">
        <v>18.18</v>
      </c>
      <c r="G1525" s="4">
        <f t="shared" si="95"/>
        <v>42580</v>
      </c>
      <c r="H1525" s="5">
        <f t="shared" si="92"/>
        <v>40.76</v>
      </c>
      <c r="I1525" s="5">
        <f t="shared" si="93"/>
        <v>7</v>
      </c>
      <c r="J1525" s="5">
        <f t="shared" si="94"/>
        <v>2016</v>
      </c>
    </row>
    <row r="1526" spans="4:10" x14ac:dyDescent="0.25">
      <c r="D1526" s="4">
        <v>34051</v>
      </c>
      <c r="E1526" s="6">
        <v>18.23</v>
      </c>
      <c r="G1526" s="4">
        <f t="shared" si="95"/>
        <v>42587</v>
      </c>
      <c r="H1526" s="5">
        <f t="shared" si="92"/>
        <v>42.47</v>
      </c>
      <c r="I1526" s="5">
        <f t="shared" si="93"/>
        <v>8</v>
      </c>
      <c r="J1526" s="5">
        <f t="shared" si="94"/>
        <v>2016</v>
      </c>
    </row>
    <row r="1527" spans="4:10" x14ac:dyDescent="0.25">
      <c r="D1527" s="4">
        <v>34052</v>
      </c>
      <c r="E1527" s="6">
        <v>18.53</v>
      </c>
      <c r="G1527" s="4">
        <f t="shared" si="95"/>
        <v>42594</v>
      </c>
      <c r="H1527" s="5">
        <f t="shared" si="92"/>
        <v>45.12</v>
      </c>
      <c r="I1527" s="5">
        <f t="shared" si="93"/>
        <v>8</v>
      </c>
      <c r="J1527" s="5">
        <f t="shared" si="94"/>
        <v>2016</v>
      </c>
    </row>
    <row r="1528" spans="4:10" x14ac:dyDescent="0.25">
      <c r="D1528" s="4">
        <v>34053</v>
      </c>
      <c r="E1528" s="6">
        <v>18.600000000000001</v>
      </c>
      <c r="G1528" s="4">
        <f t="shared" si="95"/>
        <v>42601</v>
      </c>
      <c r="H1528" s="5">
        <f t="shared" si="92"/>
        <v>49.39</v>
      </c>
      <c r="I1528" s="5">
        <f t="shared" si="93"/>
        <v>8</v>
      </c>
      <c r="J1528" s="5">
        <f t="shared" si="94"/>
        <v>2016</v>
      </c>
    </row>
    <row r="1529" spans="4:10" x14ac:dyDescent="0.25">
      <c r="D1529" s="4">
        <v>34054</v>
      </c>
      <c r="E1529" s="6">
        <v>18.55</v>
      </c>
      <c r="G1529" s="4">
        <f t="shared" si="95"/>
        <v>42608</v>
      </c>
      <c r="H1529" s="5">
        <f t="shared" si="92"/>
        <v>49.66</v>
      </c>
      <c r="I1529" s="5">
        <f t="shared" si="93"/>
        <v>8</v>
      </c>
      <c r="J1529" s="5">
        <f t="shared" si="94"/>
        <v>2016</v>
      </c>
    </row>
    <row r="1530" spans="4:10" x14ac:dyDescent="0.25">
      <c r="D1530" s="4">
        <v>34057</v>
      </c>
      <c r="E1530" s="6">
        <v>18.649999999999999</v>
      </c>
      <c r="G1530" s="4">
        <f t="shared" si="95"/>
        <v>42615</v>
      </c>
      <c r="H1530" s="5">
        <f t="shared" si="92"/>
        <v>45.96</v>
      </c>
      <c r="I1530" s="5">
        <f t="shared" si="93"/>
        <v>9</v>
      </c>
      <c r="J1530" s="5">
        <f t="shared" si="94"/>
        <v>2016</v>
      </c>
    </row>
    <row r="1531" spans="4:10" x14ac:dyDescent="0.25">
      <c r="D1531" s="4">
        <v>34058</v>
      </c>
      <c r="E1531" s="6">
        <v>18.45</v>
      </c>
      <c r="G1531" s="4">
        <f t="shared" si="95"/>
        <v>42622</v>
      </c>
      <c r="H1531" s="5">
        <f t="shared" si="92"/>
        <v>48.37</v>
      </c>
      <c r="I1531" s="5">
        <f t="shared" si="93"/>
        <v>9</v>
      </c>
      <c r="J1531" s="5">
        <f t="shared" si="94"/>
        <v>2016</v>
      </c>
    </row>
    <row r="1532" spans="4:10" x14ac:dyDescent="0.25">
      <c r="D1532" s="4">
        <v>34059</v>
      </c>
      <c r="E1532" s="6">
        <v>18.7</v>
      </c>
      <c r="G1532" s="4">
        <f t="shared" si="95"/>
        <v>42629</v>
      </c>
      <c r="H1532" s="5">
        <f t="shared" si="92"/>
        <v>45.26</v>
      </c>
      <c r="I1532" s="5">
        <f t="shared" si="93"/>
        <v>9</v>
      </c>
      <c r="J1532" s="5">
        <f t="shared" si="94"/>
        <v>2016</v>
      </c>
    </row>
    <row r="1533" spans="4:10" x14ac:dyDescent="0.25">
      <c r="D1533" s="4">
        <v>34060</v>
      </c>
      <c r="E1533" s="6">
        <v>18.98</v>
      </c>
      <c r="G1533" s="4">
        <f t="shared" si="95"/>
        <v>42636</v>
      </c>
      <c r="H1533" s="5">
        <f t="shared" si="92"/>
        <v>46.71</v>
      </c>
      <c r="I1533" s="5">
        <f t="shared" si="93"/>
        <v>9</v>
      </c>
      <c r="J1533" s="5">
        <f t="shared" si="94"/>
        <v>2016</v>
      </c>
    </row>
    <row r="1534" spans="4:10" x14ac:dyDescent="0.25">
      <c r="D1534" s="4">
        <v>34061</v>
      </c>
      <c r="E1534" s="6">
        <v>18.88</v>
      </c>
      <c r="G1534" s="4">
        <f t="shared" si="95"/>
        <v>42643</v>
      </c>
      <c r="H1534" s="5">
        <f t="shared" si="92"/>
        <v>48.24</v>
      </c>
      <c r="I1534" s="5">
        <f t="shared" si="93"/>
        <v>9</v>
      </c>
      <c r="J1534" s="5">
        <f t="shared" si="94"/>
        <v>2016</v>
      </c>
    </row>
    <row r="1535" spans="4:10" x14ac:dyDescent="0.25">
      <c r="D1535" s="4">
        <v>34064</v>
      </c>
      <c r="E1535" s="6">
        <v>18.95</v>
      </c>
      <c r="G1535" s="4">
        <f t="shared" si="95"/>
        <v>42650</v>
      </c>
      <c r="H1535" s="5">
        <f t="shared" si="92"/>
        <v>50.49</v>
      </c>
      <c r="I1535" s="5">
        <f t="shared" si="93"/>
        <v>10</v>
      </c>
      <c r="J1535" s="5">
        <f t="shared" si="94"/>
        <v>2016</v>
      </c>
    </row>
    <row r="1536" spans="4:10" x14ac:dyDescent="0.25">
      <c r="D1536" s="4">
        <v>34065</v>
      </c>
      <c r="E1536" s="6">
        <v>18.649999999999999</v>
      </c>
      <c r="G1536" s="4">
        <f t="shared" si="95"/>
        <v>42657</v>
      </c>
      <c r="H1536" s="5">
        <f t="shared" si="92"/>
        <v>48.87</v>
      </c>
      <c r="I1536" s="5">
        <f t="shared" si="93"/>
        <v>10</v>
      </c>
      <c r="J1536" s="5">
        <f t="shared" si="94"/>
        <v>2016</v>
      </c>
    </row>
    <row r="1537" spans="4:10" x14ac:dyDescent="0.25">
      <c r="D1537" s="4">
        <v>34066</v>
      </c>
      <c r="E1537" s="6">
        <v>18.7</v>
      </c>
      <c r="G1537" s="4">
        <f t="shared" si="95"/>
        <v>42664</v>
      </c>
      <c r="H1537" s="5">
        <f t="shared" si="92"/>
        <v>50.28</v>
      </c>
      <c r="I1537" s="5">
        <f t="shared" si="93"/>
        <v>10</v>
      </c>
      <c r="J1537" s="5">
        <f t="shared" si="94"/>
        <v>2016</v>
      </c>
    </row>
    <row r="1538" spans="4:10" x14ac:dyDescent="0.25">
      <c r="D1538" s="4">
        <v>34067</v>
      </c>
      <c r="E1538" s="6">
        <v>18.53</v>
      </c>
      <c r="G1538" s="4">
        <f t="shared" si="95"/>
        <v>42671</v>
      </c>
      <c r="H1538" s="5">
        <f t="shared" si="92"/>
        <v>47.78</v>
      </c>
      <c r="I1538" s="5">
        <f t="shared" si="93"/>
        <v>10</v>
      </c>
      <c r="J1538" s="5">
        <f t="shared" si="94"/>
        <v>2016</v>
      </c>
    </row>
    <row r="1539" spans="4:10" x14ac:dyDescent="0.25">
      <c r="D1539" s="4">
        <v>34068</v>
      </c>
      <c r="E1539" s="5"/>
      <c r="G1539" s="4">
        <f t="shared" si="95"/>
        <v>42678</v>
      </c>
      <c r="H1539" s="5">
        <f t="shared" ref="H1539:H1602" si="96">_xlfn.XLOOKUP(G1539,D:D,E:E)</f>
        <v>43.06</v>
      </c>
      <c r="I1539" s="5">
        <f t="shared" ref="I1539:I1602" si="97">MONTH(G1539)</f>
        <v>11</v>
      </c>
      <c r="J1539" s="5">
        <f t="shared" ref="J1539:J1602" si="98">YEAR(G1539)</f>
        <v>2016</v>
      </c>
    </row>
    <row r="1540" spans="4:10" x14ac:dyDescent="0.25">
      <c r="D1540" s="4">
        <v>34071</v>
      </c>
      <c r="E1540" s="5"/>
      <c r="G1540" s="4">
        <f t="shared" ref="G1540:G1603" si="99">G1539+7</f>
        <v>42685</v>
      </c>
      <c r="H1540" s="5">
        <f t="shared" si="96"/>
        <v>41.61</v>
      </c>
      <c r="I1540" s="5">
        <f t="shared" si="97"/>
        <v>11</v>
      </c>
      <c r="J1540" s="5">
        <f t="shared" si="98"/>
        <v>2016</v>
      </c>
    </row>
    <row r="1541" spans="4:10" x14ac:dyDescent="0.25">
      <c r="D1541" s="4">
        <v>34072</v>
      </c>
      <c r="E1541" s="6">
        <v>18.8</v>
      </c>
      <c r="G1541" s="4">
        <f t="shared" si="99"/>
        <v>42692</v>
      </c>
      <c r="H1541" s="5">
        <f t="shared" si="96"/>
        <v>44.41</v>
      </c>
      <c r="I1541" s="5">
        <f t="shared" si="97"/>
        <v>11</v>
      </c>
      <c r="J1541" s="5">
        <f t="shared" si="98"/>
        <v>2016</v>
      </c>
    </row>
    <row r="1542" spans="4:10" x14ac:dyDescent="0.25">
      <c r="D1542" s="4">
        <v>34073</v>
      </c>
      <c r="E1542" s="6">
        <v>18.73</v>
      </c>
      <c r="G1542" s="4">
        <f t="shared" si="99"/>
        <v>42699</v>
      </c>
      <c r="H1542" s="5">
        <f t="shared" si="96"/>
        <v>46.32</v>
      </c>
      <c r="I1542" s="5">
        <f t="shared" si="97"/>
        <v>11</v>
      </c>
      <c r="J1542" s="5">
        <f t="shared" si="98"/>
        <v>2016</v>
      </c>
    </row>
    <row r="1543" spans="4:10" x14ac:dyDescent="0.25">
      <c r="D1543" s="4">
        <v>34074</v>
      </c>
      <c r="E1543" s="6">
        <v>18.63</v>
      </c>
      <c r="G1543" s="4">
        <f t="shared" si="99"/>
        <v>42706</v>
      </c>
      <c r="H1543" s="5">
        <f t="shared" si="96"/>
        <v>52.35</v>
      </c>
      <c r="I1543" s="5">
        <f t="shared" si="97"/>
        <v>12</v>
      </c>
      <c r="J1543" s="5">
        <f t="shared" si="98"/>
        <v>2016</v>
      </c>
    </row>
    <row r="1544" spans="4:10" x14ac:dyDescent="0.25">
      <c r="D1544" s="4">
        <v>34075</v>
      </c>
      <c r="E1544" s="6">
        <v>18.5</v>
      </c>
      <c r="G1544" s="4">
        <f t="shared" si="99"/>
        <v>42713</v>
      </c>
      <c r="H1544" s="5">
        <f t="shared" si="96"/>
        <v>52.19</v>
      </c>
      <c r="I1544" s="5">
        <f t="shared" si="97"/>
        <v>12</v>
      </c>
      <c r="J1544" s="5">
        <f t="shared" si="98"/>
        <v>2016</v>
      </c>
    </row>
    <row r="1545" spans="4:10" x14ac:dyDescent="0.25">
      <c r="D1545" s="4">
        <v>34078</v>
      </c>
      <c r="E1545" s="6">
        <v>18.48</v>
      </c>
      <c r="G1545" s="4">
        <f t="shared" si="99"/>
        <v>42720</v>
      </c>
      <c r="H1545" s="5">
        <f t="shared" si="96"/>
        <v>54.15</v>
      </c>
      <c r="I1545" s="5">
        <f t="shared" si="97"/>
        <v>12</v>
      </c>
      <c r="J1545" s="5">
        <f t="shared" si="98"/>
        <v>2016</v>
      </c>
    </row>
    <row r="1546" spans="4:10" x14ac:dyDescent="0.25">
      <c r="D1546" s="4">
        <v>34079</v>
      </c>
      <c r="E1546" s="6">
        <v>18.53</v>
      </c>
      <c r="G1546" s="4">
        <f t="shared" si="99"/>
        <v>42727</v>
      </c>
      <c r="H1546" s="5">
        <f t="shared" si="96"/>
        <v>53.93</v>
      </c>
      <c r="I1546" s="5">
        <f t="shared" si="97"/>
        <v>12</v>
      </c>
      <c r="J1546" s="5">
        <f t="shared" si="98"/>
        <v>2016</v>
      </c>
    </row>
    <row r="1547" spans="4:10" x14ac:dyDescent="0.25">
      <c r="D1547" s="4">
        <v>34080</v>
      </c>
      <c r="E1547" s="6">
        <v>18.68</v>
      </c>
      <c r="G1547" s="4">
        <f t="shared" si="99"/>
        <v>42734</v>
      </c>
      <c r="H1547" s="5">
        <f t="shared" si="96"/>
        <v>54.96</v>
      </c>
      <c r="I1547" s="5">
        <f t="shared" si="97"/>
        <v>12</v>
      </c>
      <c r="J1547" s="5">
        <f t="shared" si="98"/>
        <v>2016</v>
      </c>
    </row>
    <row r="1548" spans="4:10" x14ac:dyDescent="0.25">
      <c r="D1548" s="4">
        <v>34081</v>
      </c>
      <c r="E1548" s="6">
        <v>18.48</v>
      </c>
      <c r="G1548" s="4">
        <f t="shared" si="99"/>
        <v>42741</v>
      </c>
      <c r="H1548" s="5">
        <f t="shared" si="96"/>
        <v>55.9</v>
      </c>
      <c r="I1548" s="5">
        <f t="shared" si="97"/>
        <v>1</v>
      </c>
      <c r="J1548" s="5">
        <f t="shared" si="98"/>
        <v>2017</v>
      </c>
    </row>
    <row r="1549" spans="4:10" x14ac:dyDescent="0.25">
      <c r="D1549" s="4">
        <v>34082</v>
      </c>
      <c r="E1549" s="6">
        <v>18.63</v>
      </c>
      <c r="G1549" s="4">
        <f t="shared" si="99"/>
        <v>42748</v>
      </c>
      <c r="H1549" s="5">
        <f t="shared" si="96"/>
        <v>54.37</v>
      </c>
      <c r="I1549" s="5">
        <f t="shared" si="97"/>
        <v>1</v>
      </c>
      <c r="J1549" s="5">
        <f t="shared" si="98"/>
        <v>2017</v>
      </c>
    </row>
    <row r="1550" spans="4:10" x14ac:dyDescent="0.25">
      <c r="D1550" s="4">
        <v>34085</v>
      </c>
      <c r="E1550" s="6">
        <v>18.63</v>
      </c>
      <c r="G1550" s="4">
        <f t="shared" si="99"/>
        <v>42755</v>
      </c>
      <c r="H1550" s="5">
        <f t="shared" si="96"/>
        <v>55.04</v>
      </c>
      <c r="I1550" s="5">
        <f t="shared" si="97"/>
        <v>1</v>
      </c>
      <c r="J1550" s="5">
        <f t="shared" si="98"/>
        <v>2017</v>
      </c>
    </row>
    <row r="1551" spans="4:10" x14ac:dyDescent="0.25">
      <c r="D1551" s="4">
        <v>34086</v>
      </c>
      <c r="E1551" s="6">
        <v>18.579999999999998</v>
      </c>
      <c r="G1551" s="4">
        <f t="shared" si="99"/>
        <v>42762</v>
      </c>
      <c r="H1551" s="5">
        <f t="shared" si="96"/>
        <v>54.8</v>
      </c>
      <c r="I1551" s="5">
        <f t="shared" si="97"/>
        <v>1</v>
      </c>
      <c r="J1551" s="5">
        <f t="shared" si="98"/>
        <v>2017</v>
      </c>
    </row>
    <row r="1552" spans="4:10" x14ac:dyDescent="0.25">
      <c r="D1552" s="4">
        <v>34087</v>
      </c>
      <c r="E1552" s="6">
        <v>18.48</v>
      </c>
      <c r="G1552" s="4">
        <f t="shared" si="99"/>
        <v>42769</v>
      </c>
      <c r="H1552" s="5">
        <f t="shared" si="96"/>
        <v>55.92</v>
      </c>
      <c r="I1552" s="5">
        <f t="shared" si="97"/>
        <v>2</v>
      </c>
      <c r="J1552" s="5">
        <f t="shared" si="98"/>
        <v>2017</v>
      </c>
    </row>
    <row r="1553" spans="4:10" x14ac:dyDescent="0.25">
      <c r="D1553" s="4">
        <v>34088</v>
      </c>
      <c r="E1553" s="6">
        <v>18.8</v>
      </c>
      <c r="G1553" s="4">
        <f t="shared" si="99"/>
        <v>42776</v>
      </c>
      <c r="H1553" s="5">
        <f t="shared" si="96"/>
        <v>55.2</v>
      </c>
      <c r="I1553" s="5">
        <f t="shared" si="97"/>
        <v>2</v>
      </c>
      <c r="J1553" s="5">
        <f t="shared" si="98"/>
        <v>2017</v>
      </c>
    </row>
    <row r="1554" spans="4:10" x14ac:dyDescent="0.25">
      <c r="D1554" s="4">
        <v>34089</v>
      </c>
      <c r="E1554" s="6">
        <v>18.850000000000001</v>
      </c>
      <c r="G1554" s="4">
        <f t="shared" si="99"/>
        <v>42783</v>
      </c>
      <c r="H1554" s="5">
        <f t="shared" si="96"/>
        <v>54.48</v>
      </c>
      <c r="I1554" s="5">
        <f t="shared" si="97"/>
        <v>2</v>
      </c>
      <c r="J1554" s="5">
        <f t="shared" si="98"/>
        <v>2017</v>
      </c>
    </row>
    <row r="1555" spans="4:10" x14ac:dyDescent="0.25">
      <c r="D1555" s="4">
        <v>34092</v>
      </c>
      <c r="E1555" s="5"/>
      <c r="G1555" s="4">
        <f t="shared" si="99"/>
        <v>42790</v>
      </c>
      <c r="H1555" s="5">
        <f t="shared" si="96"/>
        <v>54.69</v>
      </c>
      <c r="I1555" s="5">
        <f t="shared" si="97"/>
        <v>2</v>
      </c>
      <c r="J1555" s="5">
        <f t="shared" si="98"/>
        <v>2017</v>
      </c>
    </row>
    <row r="1556" spans="4:10" x14ac:dyDescent="0.25">
      <c r="D1556" s="4">
        <v>34093</v>
      </c>
      <c r="E1556" s="6">
        <v>18.899999999999999</v>
      </c>
      <c r="G1556" s="4">
        <f t="shared" si="99"/>
        <v>42797</v>
      </c>
      <c r="H1556" s="5">
        <f t="shared" si="96"/>
        <v>54.12</v>
      </c>
      <c r="I1556" s="5">
        <f t="shared" si="97"/>
        <v>3</v>
      </c>
      <c r="J1556" s="5">
        <f t="shared" si="98"/>
        <v>2017</v>
      </c>
    </row>
    <row r="1557" spans="4:10" x14ac:dyDescent="0.25">
      <c r="D1557" s="4">
        <v>34094</v>
      </c>
      <c r="E1557" s="6">
        <v>18.850000000000001</v>
      </c>
      <c r="G1557" s="4">
        <f t="shared" si="99"/>
        <v>42804</v>
      </c>
      <c r="H1557" s="5">
        <f t="shared" si="96"/>
        <v>50.63</v>
      </c>
      <c r="I1557" s="5">
        <f t="shared" si="97"/>
        <v>3</v>
      </c>
      <c r="J1557" s="5">
        <f t="shared" si="98"/>
        <v>2017</v>
      </c>
    </row>
    <row r="1558" spans="4:10" x14ac:dyDescent="0.25">
      <c r="D1558" s="4">
        <v>34095</v>
      </c>
      <c r="E1558" s="6">
        <v>19.13</v>
      </c>
      <c r="G1558" s="4">
        <f t="shared" si="99"/>
        <v>42811</v>
      </c>
      <c r="H1558" s="5">
        <f t="shared" si="96"/>
        <v>50.58</v>
      </c>
      <c r="I1558" s="5">
        <f t="shared" si="97"/>
        <v>3</v>
      </c>
      <c r="J1558" s="5">
        <f t="shared" si="98"/>
        <v>2017</v>
      </c>
    </row>
    <row r="1559" spans="4:10" x14ac:dyDescent="0.25">
      <c r="D1559" s="4">
        <v>34096</v>
      </c>
      <c r="E1559" s="6">
        <v>18.98</v>
      </c>
      <c r="G1559" s="4">
        <f t="shared" si="99"/>
        <v>42818</v>
      </c>
      <c r="H1559" s="5">
        <f t="shared" si="96"/>
        <v>49.97</v>
      </c>
      <c r="I1559" s="5">
        <f t="shared" si="97"/>
        <v>3</v>
      </c>
      <c r="J1559" s="5">
        <f t="shared" si="98"/>
        <v>2017</v>
      </c>
    </row>
    <row r="1560" spans="4:10" x14ac:dyDescent="0.25">
      <c r="D1560" s="4">
        <v>34099</v>
      </c>
      <c r="E1560" s="6">
        <v>18.98</v>
      </c>
      <c r="G1560" s="4">
        <f t="shared" si="99"/>
        <v>42825</v>
      </c>
      <c r="H1560" s="5">
        <f t="shared" si="96"/>
        <v>52.2</v>
      </c>
      <c r="I1560" s="5">
        <f t="shared" si="97"/>
        <v>3</v>
      </c>
      <c r="J1560" s="5">
        <f t="shared" si="98"/>
        <v>2017</v>
      </c>
    </row>
    <row r="1561" spans="4:10" x14ac:dyDescent="0.25">
      <c r="D1561" s="4">
        <v>34100</v>
      </c>
      <c r="E1561" s="6">
        <v>18.829999999999998</v>
      </c>
      <c r="G1561" s="4">
        <f t="shared" si="99"/>
        <v>42832</v>
      </c>
      <c r="H1561" s="5">
        <f t="shared" si="96"/>
        <v>54.24</v>
      </c>
      <c r="I1561" s="5">
        <f t="shared" si="97"/>
        <v>4</v>
      </c>
      <c r="J1561" s="5">
        <f t="shared" si="98"/>
        <v>2017</v>
      </c>
    </row>
    <row r="1562" spans="4:10" x14ac:dyDescent="0.25">
      <c r="D1562" s="4">
        <v>34101</v>
      </c>
      <c r="E1562" s="6">
        <v>18.899999999999999</v>
      </c>
      <c r="G1562" s="4">
        <f t="shared" si="99"/>
        <v>42839</v>
      </c>
      <c r="H1562" s="5">
        <f t="shared" si="96"/>
        <v>0</v>
      </c>
      <c r="I1562" s="5">
        <f t="shared" si="97"/>
        <v>4</v>
      </c>
      <c r="J1562" s="5">
        <f t="shared" si="98"/>
        <v>2017</v>
      </c>
    </row>
    <row r="1563" spans="4:10" x14ac:dyDescent="0.25">
      <c r="D1563" s="4">
        <v>34102</v>
      </c>
      <c r="E1563" s="6">
        <v>18.7</v>
      </c>
      <c r="G1563" s="4">
        <f t="shared" si="99"/>
        <v>42846</v>
      </c>
      <c r="H1563" s="5">
        <f t="shared" si="96"/>
        <v>49.93</v>
      </c>
      <c r="I1563" s="5">
        <f t="shared" si="97"/>
        <v>4</v>
      </c>
      <c r="J1563" s="5">
        <f t="shared" si="98"/>
        <v>2017</v>
      </c>
    </row>
    <row r="1564" spans="4:10" x14ac:dyDescent="0.25">
      <c r="D1564" s="4">
        <v>34103</v>
      </c>
      <c r="E1564" s="6">
        <v>18.399999999999999</v>
      </c>
      <c r="G1564" s="4">
        <f t="shared" si="99"/>
        <v>42853</v>
      </c>
      <c r="H1564" s="5">
        <f t="shared" si="96"/>
        <v>49.46</v>
      </c>
      <c r="I1564" s="5">
        <f t="shared" si="97"/>
        <v>4</v>
      </c>
      <c r="J1564" s="5">
        <f t="shared" si="98"/>
        <v>2017</v>
      </c>
    </row>
    <row r="1565" spans="4:10" x14ac:dyDescent="0.25">
      <c r="D1565" s="4">
        <v>34106</v>
      </c>
      <c r="E1565" s="6">
        <v>18.28</v>
      </c>
      <c r="G1565" s="4">
        <f t="shared" si="99"/>
        <v>42860</v>
      </c>
      <c r="H1565" s="5">
        <f t="shared" si="96"/>
        <v>47.45</v>
      </c>
      <c r="I1565" s="5">
        <f t="shared" si="97"/>
        <v>5</v>
      </c>
      <c r="J1565" s="5">
        <f t="shared" si="98"/>
        <v>2017</v>
      </c>
    </row>
    <row r="1566" spans="4:10" x14ac:dyDescent="0.25">
      <c r="D1566" s="4">
        <v>34107</v>
      </c>
      <c r="E1566" s="6">
        <v>18.18</v>
      </c>
      <c r="G1566" s="4">
        <f t="shared" si="99"/>
        <v>42867</v>
      </c>
      <c r="H1566" s="5">
        <f t="shared" si="96"/>
        <v>49.08</v>
      </c>
      <c r="I1566" s="5">
        <f t="shared" si="97"/>
        <v>5</v>
      </c>
      <c r="J1566" s="5">
        <f t="shared" si="98"/>
        <v>2017</v>
      </c>
    </row>
    <row r="1567" spans="4:10" x14ac:dyDescent="0.25">
      <c r="D1567" s="4">
        <v>34108</v>
      </c>
      <c r="E1567" s="6">
        <v>18.13</v>
      </c>
      <c r="G1567" s="4">
        <f t="shared" si="99"/>
        <v>42874</v>
      </c>
      <c r="H1567" s="5">
        <f t="shared" si="96"/>
        <v>52.78</v>
      </c>
      <c r="I1567" s="5">
        <f t="shared" si="97"/>
        <v>5</v>
      </c>
      <c r="J1567" s="5">
        <f t="shared" si="98"/>
        <v>2017</v>
      </c>
    </row>
    <row r="1568" spans="4:10" x14ac:dyDescent="0.25">
      <c r="D1568" s="4">
        <v>34109</v>
      </c>
      <c r="E1568" s="6">
        <v>18.100000000000001</v>
      </c>
      <c r="G1568" s="4">
        <f t="shared" si="99"/>
        <v>42881</v>
      </c>
      <c r="H1568" s="5">
        <f t="shared" si="96"/>
        <v>50.84</v>
      </c>
      <c r="I1568" s="5">
        <f t="shared" si="97"/>
        <v>5</v>
      </c>
      <c r="J1568" s="5">
        <f t="shared" si="98"/>
        <v>2017</v>
      </c>
    </row>
    <row r="1569" spans="4:10" x14ac:dyDescent="0.25">
      <c r="D1569" s="4">
        <v>34110</v>
      </c>
      <c r="E1569" s="6">
        <v>18.05</v>
      </c>
      <c r="G1569" s="4">
        <f t="shared" si="99"/>
        <v>42888</v>
      </c>
      <c r="H1569" s="5">
        <f t="shared" si="96"/>
        <v>48.46</v>
      </c>
      <c r="I1569" s="5">
        <f t="shared" si="97"/>
        <v>6</v>
      </c>
      <c r="J1569" s="5">
        <f t="shared" si="98"/>
        <v>2017</v>
      </c>
    </row>
    <row r="1570" spans="4:10" x14ac:dyDescent="0.25">
      <c r="D1570" s="4">
        <v>34113</v>
      </c>
      <c r="E1570" s="6">
        <v>18.149999999999999</v>
      </c>
      <c r="G1570" s="4">
        <f t="shared" si="99"/>
        <v>42895</v>
      </c>
      <c r="H1570" s="5">
        <f t="shared" si="96"/>
        <v>46.64</v>
      </c>
      <c r="I1570" s="5">
        <f t="shared" si="97"/>
        <v>6</v>
      </c>
      <c r="J1570" s="5">
        <f t="shared" si="98"/>
        <v>2017</v>
      </c>
    </row>
    <row r="1571" spans="4:10" x14ac:dyDescent="0.25">
      <c r="D1571" s="4">
        <v>34114</v>
      </c>
      <c r="E1571" s="6">
        <v>18.149999999999999</v>
      </c>
      <c r="G1571" s="4">
        <f t="shared" si="99"/>
        <v>42902</v>
      </c>
      <c r="H1571" s="5">
        <f t="shared" si="96"/>
        <v>45.7</v>
      </c>
      <c r="I1571" s="5">
        <f t="shared" si="97"/>
        <v>6</v>
      </c>
      <c r="J1571" s="5">
        <f t="shared" si="98"/>
        <v>2017</v>
      </c>
    </row>
    <row r="1572" spans="4:10" x14ac:dyDescent="0.25">
      <c r="D1572" s="4">
        <v>34115</v>
      </c>
      <c r="E1572" s="6">
        <v>18.079999999999998</v>
      </c>
      <c r="G1572" s="4">
        <f t="shared" si="99"/>
        <v>42909</v>
      </c>
      <c r="H1572" s="5">
        <f t="shared" si="96"/>
        <v>44.14</v>
      </c>
      <c r="I1572" s="5">
        <f t="shared" si="97"/>
        <v>6</v>
      </c>
      <c r="J1572" s="5">
        <f t="shared" si="98"/>
        <v>2017</v>
      </c>
    </row>
    <row r="1573" spans="4:10" x14ac:dyDescent="0.25">
      <c r="D1573" s="4">
        <v>34116</v>
      </c>
      <c r="E1573" s="6">
        <v>18.43</v>
      </c>
      <c r="G1573" s="4">
        <f t="shared" si="99"/>
        <v>42916</v>
      </c>
      <c r="H1573" s="5">
        <f t="shared" si="96"/>
        <v>47.08</v>
      </c>
      <c r="I1573" s="5">
        <f t="shared" si="97"/>
        <v>6</v>
      </c>
      <c r="J1573" s="5">
        <f t="shared" si="98"/>
        <v>2017</v>
      </c>
    </row>
    <row r="1574" spans="4:10" x14ac:dyDescent="0.25">
      <c r="D1574" s="4">
        <v>34117</v>
      </c>
      <c r="E1574" s="6">
        <v>18.43</v>
      </c>
      <c r="G1574" s="4">
        <f t="shared" si="99"/>
        <v>42923</v>
      </c>
      <c r="H1574" s="5">
        <f t="shared" si="96"/>
        <v>46.47</v>
      </c>
      <c r="I1574" s="5">
        <f t="shared" si="97"/>
        <v>7</v>
      </c>
      <c r="J1574" s="5">
        <f t="shared" si="98"/>
        <v>2017</v>
      </c>
    </row>
    <row r="1575" spans="4:10" x14ac:dyDescent="0.25">
      <c r="D1575" s="4">
        <v>34120</v>
      </c>
      <c r="E1575" s="5"/>
      <c r="G1575" s="4">
        <f t="shared" si="99"/>
        <v>42930</v>
      </c>
      <c r="H1575" s="5">
        <f t="shared" si="96"/>
        <v>47.89</v>
      </c>
      <c r="I1575" s="5">
        <f t="shared" si="97"/>
        <v>7</v>
      </c>
      <c r="J1575" s="5">
        <f t="shared" si="98"/>
        <v>2017</v>
      </c>
    </row>
    <row r="1576" spans="4:10" x14ac:dyDescent="0.25">
      <c r="D1576" s="4">
        <v>34121</v>
      </c>
      <c r="E1576" s="6">
        <v>18.48</v>
      </c>
      <c r="G1576" s="4">
        <f t="shared" si="99"/>
        <v>42937</v>
      </c>
      <c r="H1576" s="5">
        <f t="shared" si="96"/>
        <v>47.47</v>
      </c>
      <c r="I1576" s="5">
        <f t="shared" si="97"/>
        <v>7</v>
      </c>
      <c r="J1576" s="5">
        <f t="shared" si="98"/>
        <v>2017</v>
      </c>
    </row>
    <row r="1577" spans="4:10" x14ac:dyDescent="0.25">
      <c r="D1577" s="4">
        <v>34122</v>
      </c>
      <c r="E1577" s="6">
        <v>18.48</v>
      </c>
      <c r="G1577" s="4">
        <f t="shared" si="99"/>
        <v>42944</v>
      </c>
      <c r="H1577" s="5">
        <f t="shared" si="96"/>
        <v>52</v>
      </c>
      <c r="I1577" s="5">
        <f t="shared" si="97"/>
        <v>7</v>
      </c>
      <c r="J1577" s="5">
        <f t="shared" si="98"/>
        <v>2017</v>
      </c>
    </row>
    <row r="1578" spans="4:10" x14ac:dyDescent="0.25">
      <c r="D1578" s="4">
        <v>34123</v>
      </c>
      <c r="E1578" s="6">
        <v>18.149999999999999</v>
      </c>
      <c r="G1578" s="4">
        <f t="shared" si="99"/>
        <v>42951</v>
      </c>
      <c r="H1578" s="5">
        <f t="shared" si="96"/>
        <v>52.48</v>
      </c>
      <c r="I1578" s="5">
        <f t="shared" si="97"/>
        <v>8</v>
      </c>
      <c r="J1578" s="5">
        <f t="shared" si="98"/>
        <v>2017</v>
      </c>
    </row>
    <row r="1579" spans="4:10" x14ac:dyDescent="0.25">
      <c r="D1579" s="4">
        <v>34124</v>
      </c>
      <c r="E1579" s="6">
        <v>18.25</v>
      </c>
      <c r="G1579" s="4">
        <f t="shared" si="99"/>
        <v>42958</v>
      </c>
      <c r="H1579" s="5">
        <f t="shared" si="96"/>
        <v>51.47</v>
      </c>
      <c r="I1579" s="5">
        <f t="shared" si="97"/>
        <v>8</v>
      </c>
      <c r="J1579" s="5">
        <f t="shared" si="98"/>
        <v>2017</v>
      </c>
    </row>
    <row r="1580" spans="4:10" x14ac:dyDescent="0.25">
      <c r="D1580" s="4">
        <v>34127</v>
      </c>
      <c r="E1580" s="6">
        <v>18</v>
      </c>
      <c r="G1580" s="4">
        <f t="shared" si="99"/>
        <v>42965</v>
      </c>
      <c r="H1580" s="5">
        <f t="shared" si="96"/>
        <v>50.96</v>
      </c>
      <c r="I1580" s="5">
        <f t="shared" si="97"/>
        <v>8</v>
      </c>
      <c r="J1580" s="5">
        <f t="shared" si="98"/>
        <v>2017</v>
      </c>
    </row>
    <row r="1581" spans="4:10" x14ac:dyDescent="0.25">
      <c r="D1581" s="4">
        <v>34128</v>
      </c>
      <c r="E1581" s="6">
        <v>18.23</v>
      </c>
      <c r="G1581" s="4">
        <f t="shared" si="99"/>
        <v>42972</v>
      </c>
      <c r="H1581" s="5">
        <f t="shared" si="96"/>
        <v>51.87</v>
      </c>
      <c r="I1581" s="5">
        <f t="shared" si="97"/>
        <v>8</v>
      </c>
      <c r="J1581" s="5">
        <f t="shared" si="98"/>
        <v>2017</v>
      </c>
    </row>
    <row r="1582" spans="4:10" x14ac:dyDescent="0.25">
      <c r="D1582" s="4">
        <v>34129</v>
      </c>
      <c r="E1582" s="6">
        <v>18.23</v>
      </c>
      <c r="G1582" s="4">
        <f t="shared" si="99"/>
        <v>42979</v>
      </c>
      <c r="H1582" s="5">
        <f t="shared" si="96"/>
        <v>53.15</v>
      </c>
      <c r="I1582" s="5">
        <f t="shared" si="97"/>
        <v>9</v>
      </c>
      <c r="J1582" s="5">
        <f t="shared" si="98"/>
        <v>2017</v>
      </c>
    </row>
    <row r="1583" spans="4:10" x14ac:dyDescent="0.25">
      <c r="D1583" s="4">
        <v>34130</v>
      </c>
      <c r="E1583" s="6">
        <v>18.2</v>
      </c>
      <c r="G1583" s="4">
        <f t="shared" si="99"/>
        <v>42986</v>
      </c>
      <c r="H1583" s="5">
        <f t="shared" si="96"/>
        <v>54.55</v>
      </c>
      <c r="I1583" s="5">
        <f t="shared" si="97"/>
        <v>9</v>
      </c>
      <c r="J1583" s="5">
        <f t="shared" si="98"/>
        <v>2017</v>
      </c>
    </row>
    <row r="1584" spans="4:10" x14ac:dyDescent="0.25">
      <c r="D1584" s="4">
        <v>34131</v>
      </c>
      <c r="E1584" s="6">
        <v>17.63</v>
      </c>
      <c r="G1584" s="4">
        <f t="shared" si="99"/>
        <v>42993</v>
      </c>
      <c r="H1584" s="5">
        <f t="shared" si="96"/>
        <v>56.18</v>
      </c>
      <c r="I1584" s="5">
        <f t="shared" si="97"/>
        <v>9</v>
      </c>
      <c r="J1584" s="5">
        <f t="shared" si="98"/>
        <v>2017</v>
      </c>
    </row>
    <row r="1585" spans="4:10" x14ac:dyDescent="0.25">
      <c r="D1585" s="4">
        <v>34134</v>
      </c>
      <c r="E1585" s="6">
        <v>17.579999999999998</v>
      </c>
      <c r="G1585" s="4">
        <f t="shared" si="99"/>
        <v>43000</v>
      </c>
      <c r="H1585" s="5">
        <f t="shared" si="96"/>
        <v>58.16</v>
      </c>
      <c r="I1585" s="5">
        <f t="shared" si="97"/>
        <v>9</v>
      </c>
      <c r="J1585" s="5">
        <f t="shared" si="98"/>
        <v>2017</v>
      </c>
    </row>
    <row r="1586" spans="4:10" x14ac:dyDescent="0.25">
      <c r="D1586" s="4">
        <v>34135</v>
      </c>
      <c r="E1586" s="6">
        <v>17.3</v>
      </c>
      <c r="G1586" s="4">
        <f t="shared" si="99"/>
        <v>43007</v>
      </c>
      <c r="H1586" s="5">
        <f t="shared" si="96"/>
        <v>57.02</v>
      </c>
      <c r="I1586" s="5">
        <f t="shared" si="97"/>
        <v>9</v>
      </c>
      <c r="J1586" s="5">
        <f t="shared" si="98"/>
        <v>2017</v>
      </c>
    </row>
    <row r="1587" spans="4:10" x14ac:dyDescent="0.25">
      <c r="D1587" s="4">
        <v>34136</v>
      </c>
      <c r="E1587" s="6">
        <v>17.329999999999998</v>
      </c>
      <c r="G1587" s="4">
        <f t="shared" si="99"/>
        <v>43014</v>
      </c>
      <c r="H1587" s="5">
        <f t="shared" si="96"/>
        <v>55.5</v>
      </c>
      <c r="I1587" s="5">
        <f t="shared" si="97"/>
        <v>10</v>
      </c>
      <c r="J1587" s="5">
        <f t="shared" si="98"/>
        <v>2017</v>
      </c>
    </row>
    <row r="1588" spans="4:10" x14ac:dyDescent="0.25">
      <c r="D1588" s="4">
        <v>34137</v>
      </c>
      <c r="E1588" s="6">
        <v>17.23</v>
      </c>
      <c r="G1588" s="4">
        <f t="shared" si="99"/>
        <v>43021</v>
      </c>
      <c r="H1588" s="5">
        <f t="shared" si="96"/>
        <v>56.86</v>
      </c>
      <c r="I1588" s="5">
        <f t="shared" si="97"/>
        <v>10</v>
      </c>
      <c r="J1588" s="5">
        <f t="shared" si="98"/>
        <v>2017</v>
      </c>
    </row>
    <row r="1589" spans="4:10" x14ac:dyDescent="0.25">
      <c r="D1589" s="4">
        <v>34138</v>
      </c>
      <c r="E1589" s="6">
        <v>17.13</v>
      </c>
      <c r="G1589" s="4">
        <f t="shared" si="99"/>
        <v>43028</v>
      </c>
      <c r="H1589" s="5">
        <f t="shared" si="96"/>
        <v>57.89</v>
      </c>
      <c r="I1589" s="5">
        <f t="shared" si="97"/>
        <v>10</v>
      </c>
      <c r="J1589" s="5">
        <f t="shared" si="98"/>
        <v>2017</v>
      </c>
    </row>
    <row r="1590" spans="4:10" x14ac:dyDescent="0.25">
      <c r="D1590" s="4">
        <v>34141</v>
      </c>
      <c r="E1590" s="6">
        <v>17.18</v>
      </c>
      <c r="G1590" s="4">
        <f t="shared" si="99"/>
        <v>43035</v>
      </c>
      <c r="H1590" s="5">
        <f t="shared" si="96"/>
        <v>60.15</v>
      </c>
      <c r="I1590" s="5">
        <f t="shared" si="97"/>
        <v>10</v>
      </c>
      <c r="J1590" s="5">
        <f t="shared" si="98"/>
        <v>2017</v>
      </c>
    </row>
    <row r="1591" spans="4:10" x14ac:dyDescent="0.25">
      <c r="D1591" s="4">
        <v>34142</v>
      </c>
      <c r="E1591" s="6">
        <v>17.18</v>
      </c>
      <c r="G1591" s="4">
        <f t="shared" si="99"/>
        <v>43042</v>
      </c>
      <c r="H1591" s="5">
        <f t="shared" si="96"/>
        <v>61.42</v>
      </c>
      <c r="I1591" s="5">
        <f t="shared" si="97"/>
        <v>11</v>
      </c>
      <c r="J1591" s="5">
        <f t="shared" si="98"/>
        <v>2017</v>
      </c>
    </row>
    <row r="1592" spans="4:10" x14ac:dyDescent="0.25">
      <c r="D1592" s="4">
        <v>34143</v>
      </c>
      <c r="E1592" s="6">
        <v>17.18</v>
      </c>
      <c r="G1592" s="4">
        <f t="shared" si="99"/>
        <v>43049</v>
      </c>
      <c r="H1592" s="5">
        <f t="shared" si="96"/>
        <v>64.349999999999994</v>
      </c>
      <c r="I1592" s="5">
        <f t="shared" si="97"/>
        <v>11</v>
      </c>
      <c r="J1592" s="5">
        <f t="shared" si="98"/>
        <v>2017</v>
      </c>
    </row>
    <row r="1593" spans="4:10" x14ac:dyDescent="0.25">
      <c r="D1593" s="4">
        <v>34144</v>
      </c>
      <c r="E1593" s="6">
        <v>17.23</v>
      </c>
      <c r="G1593" s="4">
        <f t="shared" si="99"/>
        <v>43056</v>
      </c>
      <c r="H1593" s="5">
        <f t="shared" si="96"/>
        <v>61.34</v>
      </c>
      <c r="I1593" s="5">
        <f t="shared" si="97"/>
        <v>11</v>
      </c>
      <c r="J1593" s="5">
        <f t="shared" si="98"/>
        <v>2017</v>
      </c>
    </row>
    <row r="1594" spans="4:10" x14ac:dyDescent="0.25">
      <c r="D1594" s="4">
        <v>34145</v>
      </c>
      <c r="E1594" s="6">
        <v>17.23</v>
      </c>
      <c r="G1594" s="4">
        <f t="shared" si="99"/>
        <v>43063</v>
      </c>
      <c r="H1594" s="5">
        <f t="shared" si="96"/>
        <v>63.58</v>
      </c>
      <c r="I1594" s="5">
        <f t="shared" si="97"/>
        <v>11</v>
      </c>
      <c r="J1594" s="5">
        <f t="shared" si="98"/>
        <v>2017</v>
      </c>
    </row>
    <row r="1595" spans="4:10" x14ac:dyDescent="0.25">
      <c r="D1595" s="4">
        <v>34148</v>
      </c>
      <c r="E1595" s="6">
        <v>17.23</v>
      </c>
      <c r="G1595" s="4">
        <f t="shared" si="99"/>
        <v>43070</v>
      </c>
      <c r="H1595" s="5">
        <f t="shared" si="96"/>
        <v>64.569999999999993</v>
      </c>
      <c r="I1595" s="5">
        <f t="shared" si="97"/>
        <v>12</v>
      </c>
      <c r="J1595" s="5">
        <f t="shared" si="98"/>
        <v>2017</v>
      </c>
    </row>
    <row r="1596" spans="4:10" x14ac:dyDescent="0.25">
      <c r="D1596" s="4">
        <v>34149</v>
      </c>
      <c r="E1596" s="6">
        <v>17.48</v>
      </c>
      <c r="G1596" s="4">
        <f t="shared" si="99"/>
        <v>43077</v>
      </c>
      <c r="H1596" s="5">
        <f t="shared" si="96"/>
        <v>63.86</v>
      </c>
      <c r="I1596" s="5">
        <f t="shared" si="97"/>
        <v>12</v>
      </c>
      <c r="J1596" s="5">
        <f t="shared" si="98"/>
        <v>2017</v>
      </c>
    </row>
    <row r="1597" spans="4:10" x14ac:dyDescent="0.25">
      <c r="D1597" s="4">
        <v>34150</v>
      </c>
      <c r="E1597" s="6">
        <v>17.43</v>
      </c>
      <c r="G1597" s="4">
        <f t="shared" si="99"/>
        <v>43084</v>
      </c>
      <c r="H1597" s="5">
        <f t="shared" si="96"/>
        <v>63.81</v>
      </c>
      <c r="I1597" s="5">
        <f t="shared" si="97"/>
        <v>12</v>
      </c>
      <c r="J1597" s="5">
        <f t="shared" si="98"/>
        <v>2017</v>
      </c>
    </row>
    <row r="1598" spans="4:10" x14ac:dyDescent="0.25">
      <c r="D1598" s="4">
        <v>34151</v>
      </c>
      <c r="E1598" s="6">
        <v>16.98</v>
      </c>
      <c r="G1598" s="4">
        <f t="shared" si="99"/>
        <v>43091</v>
      </c>
      <c r="H1598" s="5">
        <f t="shared" si="96"/>
        <v>64.61</v>
      </c>
      <c r="I1598" s="5">
        <f t="shared" si="97"/>
        <v>12</v>
      </c>
      <c r="J1598" s="5">
        <f t="shared" si="98"/>
        <v>2017</v>
      </c>
    </row>
    <row r="1599" spans="4:10" x14ac:dyDescent="0.25">
      <c r="D1599" s="4">
        <v>34152</v>
      </c>
      <c r="E1599" s="6">
        <v>16.63</v>
      </c>
      <c r="G1599" s="4">
        <f t="shared" si="99"/>
        <v>43098</v>
      </c>
      <c r="H1599" s="5">
        <f t="shared" si="96"/>
        <v>66.73</v>
      </c>
      <c r="I1599" s="5">
        <f t="shared" si="97"/>
        <v>12</v>
      </c>
      <c r="J1599" s="5">
        <f t="shared" si="98"/>
        <v>2017</v>
      </c>
    </row>
    <row r="1600" spans="4:10" x14ac:dyDescent="0.25">
      <c r="D1600" s="4">
        <v>34155</v>
      </c>
      <c r="E1600" s="6">
        <v>16.88</v>
      </c>
      <c r="G1600" s="4">
        <f t="shared" si="99"/>
        <v>43105</v>
      </c>
      <c r="H1600" s="5">
        <f t="shared" si="96"/>
        <v>68.010000000000005</v>
      </c>
      <c r="I1600" s="5">
        <f t="shared" si="97"/>
        <v>1</v>
      </c>
      <c r="J1600" s="5">
        <f t="shared" si="98"/>
        <v>2018</v>
      </c>
    </row>
    <row r="1601" spans="4:10" x14ac:dyDescent="0.25">
      <c r="D1601" s="4">
        <v>34156</v>
      </c>
      <c r="E1601" s="6">
        <v>17.13</v>
      </c>
      <c r="G1601" s="4">
        <f t="shared" si="99"/>
        <v>43112</v>
      </c>
      <c r="H1601" s="5">
        <f t="shared" si="96"/>
        <v>69.64</v>
      </c>
      <c r="I1601" s="5">
        <f t="shared" si="97"/>
        <v>1</v>
      </c>
      <c r="J1601" s="5">
        <f t="shared" si="98"/>
        <v>2018</v>
      </c>
    </row>
    <row r="1602" spans="4:10" x14ac:dyDescent="0.25">
      <c r="D1602" s="4">
        <v>34157</v>
      </c>
      <c r="E1602" s="6">
        <v>16.899999999999999</v>
      </c>
      <c r="G1602" s="4">
        <f t="shared" si="99"/>
        <v>43119</v>
      </c>
      <c r="H1602" s="5">
        <f t="shared" si="96"/>
        <v>68.56</v>
      </c>
      <c r="I1602" s="5">
        <f t="shared" si="97"/>
        <v>1</v>
      </c>
      <c r="J1602" s="5">
        <f t="shared" si="98"/>
        <v>2018</v>
      </c>
    </row>
    <row r="1603" spans="4:10" x14ac:dyDescent="0.25">
      <c r="D1603" s="4">
        <v>34158</v>
      </c>
      <c r="E1603" s="6">
        <v>16.55</v>
      </c>
      <c r="G1603" s="4">
        <f t="shared" si="99"/>
        <v>43126</v>
      </c>
      <c r="H1603" s="5">
        <f t="shared" ref="H1603:H1666" si="100">_xlfn.XLOOKUP(G1603,D:D,E:E)</f>
        <v>70.08</v>
      </c>
      <c r="I1603" s="5">
        <f t="shared" ref="I1603:I1666" si="101">MONTH(G1603)</f>
        <v>1</v>
      </c>
      <c r="J1603" s="5">
        <f t="shared" ref="J1603:J1666" si="102">YEAR(G1603)</f>
        <v>2018</v>
      </c>
    </row>
    <row r="1604" spans="4:10" x14ac:dyDescent="0.25">
      <c r="D1604" s="4">
        <v>34159</v>
      </c>
      <c r="E1604" s="6">
        <v>16.53</v>
      </c>
      <c r="G1604" s="4">
        <f t="shared" ref="G1604:G1667" si="103">G1603+7</f>
        <v>43133</v>
      </c>
      <c r="H1604" s="5">
        <f t="shared" si="100"/>
        <v>67.45</v>
      </c>
      <c r="I1604" s="5">
        <f t="shared" si="101"/>
        <v>2</v>
      </c>
      <c r="J1604" s="5">
        <f t="shared" si="102"/>
        <v>2018</v>
      </c>
    </row>
    <row r="1605" spans="4:10" x14ac:dyDescent="0.25">
      <c r="D1605" s="4">
        <v>34162</v>
      </c>
      <c r="E1605" s="6">
        <v>16.78</v>
      </c>
      <c r="G1605" s="4">
        <f t="shared" si="103"/>
        <v>43140</v>
      </c>
      <c r="H1605" s="5">
        <f t="shared" si="100"/>
        <v>63.04</v>
      </c>
      <c r="I1605" s="5">
        <f t="shared" si="101"/>
        <v>2</v>
      </c>
      <c r="J1605" s="5">
        <f t="shared" si="102"/>
        <v>2018</v>
      </c>
    </row>
    <row r="1606" spans="4:10" x14ac:dyDescent="0.25">
      <c r="D1606" s="4">
        <v>34163</v>
      </c>
      <c r="E1606" s="6">
        <v>16.95</v>
      </c>
      <c r="G1606" s="4">
        <f t="shared" si="103"/>
        <v>43147</v>
      </c>
      <c r="H1606" s="5">
        <f t="shared" si="100"/>
        <v>64.3</v>
      </c>
      <c r="I1606" s="5">
        <f t="shared" si="101"/>
        <v>2</v>
      </c>
      <c r="J1606" s="5">
        <f t="shared" si="102"/>
        <v>2018</v>
      </c>
    </row>
    <row r="1607" spans="4:10" x14ac:dyDescent="0.25">
      <c r="D1607" s="4">
        <v>34164</v>
      </c>
      <c r="E1607" s="6">
        <v>16.5</v>
      </c>
      <c r="G1607" s="4">
        <f t="shared" si="103"/>
        <v>43154</v>
      </c>
      <c r="H1607" s="5">
        <f t="shared" si="100"/>
        <v>67.040000000000006</v>
      </c>
      <c r="I1607" s="5">
        <f t="shared" si="101"/>
        <v>2</v>
      </c>
      <c r="J1607" s="5">
        <f t="shared" si="102"/>
        <v>2018</v>
      </c>
    </row>
    <row r="1608" spans="4:10" x14ac:dyDescent="0.25">
      <c r="D1608" s="4">
        <v>34165</v>
      </c>
      <c r="E1608" s="6">
        <v>16.48</v>
      </c>
      <c r="G1608" s="4">
        <f t="shared" si="103"/>
        <v>43161</v>
      </c>
      <c r="H1608" s="5">
        <f t="shared" si="100"/>
        <v>64.260000000000005</v>
      </c>
      <c r="I1608" s="5">
        <f t="shared" si="101"/>
        <v>3</v>
      </c>
      <c r="J1608" s="5">
        <f t="shared" si="102"/>
        <v>2018</v>
      </c>
    </row>
    <row r="1609" spans="4:10" x14ac:dyDescent="0.25">
      <c r="D1609" s="4">
        <v>34166</v>
      </c>
      <c r="E1609" s="6">
        <v>16.600000000000001</v>
      </c>
      <c r="G1609" s="4">
        <f t="shared" si="103"/>
        <v>43168</v>
      </c>
      <c r="H1609" s="5">
        <f t="shared" si="100"/>
        <v>65.19</v>
      </c>
      <c r="I1609" s="5">
        <f t="shared" si="101"/>
        <v>3</v>
      </c>
      <c r="J1609" s="5">
        <f t="shared" si="102"/>
        <v>2018</v>
      </c>
    </row>
    <row r="1610" spans="4:10" x14ac:dyDescent="0.25">
      <c r="D1610" s="4">
        <v>34169</v>
      </c>
      <c r="E1610" s="6">
        <v>16.579999999999998</v>
      </c>
      <c r="G1610" s="4">
        <f t="shared" si="103"/>
        <v>43175</v>
      </c>
      <c r="H1610" s="5">
        <f t="shared" si="100"/>
        <v>64.680000000000007</v>
      </c>
      <c r="I1610" s="5">
        <f t="shared" si="101"/>
        <v>3</v>
      </c>
      <c r="J1610" s="5">
        <f t="shared" si="102"/>
        <v>2018</v>
      </c>
    </row>
    <row r="1611" spans="4:10" x14ac:dyDescent="0.25">
      <c r="D1611" s="4">
        <v>34170</v>
      </c>
      <c r="E1611" s="6">
        <v>16.579999999999998</v>
      </c>
      <c r="G1611" s="4">
        <f t="shared" si="103"/>
        <v>43182</v>
      </c>
      <c r="H1611" s="5">
        <f t="shared" si="100"/>
        <v>69.03</v>
      </c>
      <c r="I1611" s="5">
        <f t="shared" si="101"/>
        <v>3</v>
      </c>
      <c r="J1611" s="5">
        <f t="shared" si="102"/>
        <v>2018</v>
      </c>
    </row>
    <row r="1612" spans="4:10" x14ac:dyDescent="0.25">
      <c r="D1612" s="4">
        <v>34171</v>
      </c>
      <c r="E1612" s="6">
        <v>16.73</v>
      </c>
      <c r="G1612" s="4">
        <f t="shared" si="103"/>
        <v>43189</v>
      </c>
      <c r="H1612" s="5">
        <f t="shared" si="100"/>
        <v>0</v>
      </c>
      <c r="I1612" s="5">
        <f t="shared" si="101"/>
        <v>3</v>
      </c>
      <c r="J1612" s="5">
        <f t="shared" si="102"/>
        <v>2018</v>
      </c>
    </row>
    <row r="1613" spans="4:10" x14ac:dyDescent="0.25">
      <c r="D1613" s="4">
        <v>34172</v>
      </c>
      <c r="E1613" s="6">
        <v>16.649999999999999</v>
      </c>
      <c r="G1613" s="4">
        <f t="shared" si="103"/>
        <v>43196</v>
      </c>
      <c r="H1613" s="5">
        <f t="shared" si="100"/>
        <v>66.510000000000005</v>
      </c>
      <c r="I1613" s="5">
        <f t="shared" si="101"/>
        <v>4</v>
      </c>
      <c r="J1613" s="5">
        <f t="shared" si="102"/>
        <v>2018</v>
      </c>
    </row>
    <row r="1614" spans="4:10" x14ac:dyDescent="0.25">
      <c r="D1614" s="4">
        <v>34173</v>
      </c>
      <c r="E1614" s="6">
        <v>16.850000000000001</v>
      </c>
      <c r="G1614" s="4">
        <f t="shared" si="103"/>
        <v>43203</v>
      </c>
      <c r="H1614" s="5">
        <f t="shared" si="100"/>
        <v>73.180000000000007</v>
      </c>
      <c r="I1614" s="5">
        <f t="shared" si="101"/>
        <v>4</v>
      </c>
      <c r="J1614" s="5">
        <f t="shared" si="102"/>
        <v>2018</v>
      </c>
    </row>
    <row r="1615" spans="4:10" x14ac:dyDescent="0.25">
      <c r="D1615" s="4">
        <v>34176</v>
      </c>
      <c r="E1615" s="6">
        <v>16.850000000000001</v>
      </c>
      <c r="G1615" s="4">
        <f t="shared" si="103"/>
        <v>43210</v>
      </c>
      <c r="H1615" s="5">
        <f t="shared" si="100"/>
        <v>74.62</v>
      </c>
      <c r="I1615" s="5">
        <f t="shared" si="101"/>
        <v>4</v>
      </c>
      <c r="J1615" s="5">
        <f t="shared" si="102"/>
        <v>2018</v>
      </c>
    </row>
    <row r="1616" spans="4:10" x14ac:dyDescent="0.25">
      <c r="D1616" s="4">
        <v>34177</v>
      </c>
      <c r="E1616" s="6">
        <v>16.850000000000001</v>
      </c>
      <c r="G1616" s="4">
        <f t="shared" si="103"/>
        <v>43217</v>
      </c>
      <c r="H1616" s="5">
        <f t="shared" si="100"/>
        <v>75.33</v>
      </c>
      <c r="I1616" s="5">
        <f t="shared" si="101"/>
        <v>4</v>
      </c>
      <c r="J1616" s="5">
        <f t="shared" si="102"/>
        <v>2018</v>
      </c>
    </row>
    <row r="1617" spans="4:10" x14ac:dyDescent="0.25">
      <c r="D1617" s="4">
        <v>34178</v>
      </c>
      <c r="E1617" s="6">
        <v>17.13</v>
      </c>
      <c r="G1617" s="4">
        <f t="shared" si="103"/>
        <v>43224</v>
      </c>
      <c r="H1617" s="5">
        <f t="shared" si="100"/>
        <v>74.75</v>
      </c>
      <c r="I1617" s="5">
        <f t="shared" si="101"/>
        <v>5</v>
      </c>
      <c r="J1617" s="5">
        <f t="shared" si="102"/>
        <v>2018</v>
      </c>
    </row>
    <row r="1618" spans="4:10" x14ac:dyDescent="0.25">
      <c r="D1618" s="4">
        <v>34179</v>
      </c>
      <c r="E1618" s="6">
        <v>17.079999999999998</v>
      </c>
      <c r="G1618" s="4">
        <f t="shared" si="103"/>
        <v>43231</v>
      </c>
      <c r="H1618" s="5">
        <f t="shared" si="100"/>
        <v>77.37</v>
      </c>
      <c r="I1618" s="5">
        <f t="shared" si="101"/>
        <v>5</v>
      </c>
      <c r="J1618" s="5">
        <f t="shared" si="102"/>
        <v>2018</v>
      </c>
    </row>
    <row r="1619" spans="4:10" x14ac:dyDescent="0.25">
      <c r="D1619" s="4">
        <v>34180</v>
      </c>
      <c r="E1619" s="6">
        <v>16.850000000000001</v>
      </c>
      <c r="G1619" s="4">
        <f t="shared" si="103"/>
        <v>43238</v>
      </c>
      <c r="H1619" s="5">
        <f t="shared" si="100"/>
        <v>78.38</v>
      </c>
      <c r="I1619" s="5">
        <f t="shared" si="101"/>
        <v>5</v>
      </c>
      <c r="J1619" s="5">
        <f t="shared" si="102"/>
        <v>2018</v>
      </c>
    </row>
    <row r="1620" spans="4:10" x14ac:dyDescent="0.25">
      <c r="D1620" s="4">
        <v>34183</v>
      </c>
      <c r="E1620" s="6">
        <v>16.850000000000001</v>
      </c>
      <c r="G1620" s="4">
        <f t="shared" si="103"/>
        <v>43245</v>
      </c>
      <c r="H1620" s="5">
        <f t="shared" si="100"/>
        <v>76.599999999999994</v>
      </c>
      <c r="I1620" s="5">
        <f t="shared" si="101"/>
        <v>5</v>
      </c>
      <c r="J1620" s="5">
        <f t="shared" si="102"/>
        <v>2018</v>
      </c>
    </row>
    <row r="1621" spans="4:10" x14ac:dyDescent="0.25">
      <c r="D1621" s="4">
        <v>34184</v>
      </c>
      <c r="E1621" s="6">
        <v>16.53</v>
      </c>
      <c r="G1621" s="4">
        <f t="shared" si="103"/>
        <v>43252</v>
      </c>
      <c r="H1621" s="5">
        <f t="shared" si="100"/>
        <v>74.540000000000006</v>
      </c>
      <c r="I1621" s="5">
        <f t="shared" si="101"/>
        <v>6</v>
      </c>
      <c r="J1621" s="5">
        <f t="shared" si="102"/>
        <v>2018</v>
      </c>
    </row>
    <row r="1622" spans="4:10" x14ac:dyDescent="0.25">
      <c r="D1622" s="4">
        <v>34185</v>
      </c>
      <c r="E1622" s="6">
        <v>16.63</v>
      </c>
      <c r="G1622" s="4">
        <f t="shared" si="103"/>
        <v>43259</v>
      </c>
      <c r="H1622" s="5">
        <f t="shared" si="100"/>
        <v>75.11</v>
      </c>
      <c r="I1622" s="5">
        <f t="shared" si="101"/>
        <v>6</v>
      </c>
      <c r="J1622" s="5">
        <f t="shared" si="102"/>
        <v>2018</v>
      </c>
    </row>
    <row r="1623" spans="4:10" x14ac:dyDescent="0.25">
      <c r="D1623" s="4">
        <v>34186</v>
      </c>
      <c r="E1623" s="6">
        <v>16.600000000000001</v>
      </c>
      <c r="G1623" s="4">
        <f t="shared" si="103"/>
        <v>43266</v>
      </c>
      <c r="H1623" s="5">
        <f t="shared" si="100"/>
        <v>72.02</v>
      </c>
      <c r="I1623" s="5">
        <f t="shared" si="101"/>
        <v>6</v>
      </c>
      <c r="J1623" s="5">
        <f t="shared" si="102"/>
        <v>2018</v>
      </c>
    </row>
    <row r="1624" spans="4:10" x14ac:dyDescent="0.25">
      <c r="D1624" s="4">
        <v>34187</v>
      </c>
      <c r="E1624" s="6">
        <v>16.38</v>
      </c>
      <c r="G1624" s="4">
        <f t="shared" si="103"/>
        <v>43273</v>
      </c>
      <c r="H1624" s="5">
        <f t="shared" si="100"/>
        <v>73.67</v>
      </c>
      <c r="I1624" s="5">
        <f t="shared" si="101"/>
        <v>6</v>
      </c>
      <c r="J1624" s="5">
        <f t="shared" si="102"/>
        <v>2018</v>
      </c>
    </row>
    <row r="1625" spans="4:10" x14ac:dyDescent="0.25">
      <c r="D1625" s="4">
        <v>34190</v>
      </c>
      <c r="E1625" s="6">
        <v>16.45</v>
      </c>
      <c r="G1625" s="4">
        <f t="shared" si="103"/>
        <v>43280</v>
      </c>
      <c r="H1625" s="5">
        <f t="shared" si="100"/>
        <v>77.44</v>
      </c>
      <c r="I1625" s="5">
        <f t="shared" si="101"/>
        <v>6</v>
      </c>
      <c r="J1625" s="5">
        <f t="shared" si="102"/>
        <v>2018</v>
      </c>
    </row>
    <row r="1626" spans="4:10" x14ac:dyDescent="0.25">
      <c r="D1626" s="4">
        <v>34191</v>
      </c>
      <c r="E1626" s="6">
        <v>16.3</v>
      </c>
      <c r="G1626" s="4">
        <f t="shared" si="103"/>
        <v>43287</v>
      </c>
      <c r="H1626" s="5">
        <f t="shared" si="100"/>
        <v>74.98</v>
      </c>
      <c r="I1626" s="5">
        <f t="shared" si="101"/>
        <v>7</v>
      </c>
      <c r="J1626" s="5">
        <f t="shared" si="102"/>
        <v>2018</v>
      </c>
    </row>
    <row r="1627" spans="4:10" x14ac:dyDescent="0.25">
      <c r="D1627" s="4">
        <v>34192</v>
      </c>
      <c r="E1627" s="6">
        <v>16.579999999999998</v>
      </c>
      <c r="G1627" s="4">
        <f t="shared" si="103"/>
        <v>43294</v>
      </c>
      <c r="H1627" s="5">
        <f t="shared" si="100"/>
        <v>74.11</v>
      </c>
      <c r="I1627" s="5">
        <f t="shared" si="101"/>
        <v>7</v>
      </c>
      <c r="J1627" s="5">
        <f t="shared" si="102"/>
        <v>2018</v>
      </c>
    </row>
    <row r="1628" spans="4:10" x14ac:dyDescent="0.25">
      <c r="D1628" s="4">
        <v>34193</v>
      </c>
      <c r="E1628" s="6">
        <v>16.78</v>
      </c>
      <c r="G1628" s="4">
        <f t="shared" si="103"/>
        <v>43301</v>
      </c>
      <c r="H1628" s="5">
        <f t="shared" si="100"/>
        <v>71.989999999999995</v>
      </c>
      <c r="I1628" s="5">
        <f t="shared" si="101"/>
        <v>7</v>
      </c>
      <c r="J1628" s="5">
        <f t="shared" si="102"/>
        <v>2018</v>
      </c>
    </row>
    <row r="1629" spans="4:10" x14ac:dyDescent="0.25">
      <c r="D1629" s="4">
        <v>34194</v>
      </c>
      <c r="E1629" s="6">
        <v>16.93</v>
      </c>
      <c r="G1629" s="4">
        <f t="shared" si="103"/>
        <v>43308</v>
      </c>
      <c r="H1629" s="5">
        <f t="shared" si="100"/>
        <v>74.84</v>
      </c>
      <c r="I1629" s="5">
        <f t="shared" si="101"/>
        <v>7</v>
      </c>
      <c r="J1629" s="5">
        <f t="shared" si="102"/>
        <v>2018</v>
      </c>
    </row>
    <row r="1630" spans="4:10" x14ac:dyDescent="0.25">
      <c r="D1630" s="4">
        <v>34197</v>
      </c>
      <c r="E1630" s="6">
        <v>16.8</v>
      </c>
      <c r="G1630" s="4">
        <f t="shared" si="103"/>
        <v>43315</v>
      </c>
      <c r="H1630" s="5">
        <f t="shared" si="100"/>
        <v>72.48</v>
      </c>
      <c r="I1630" s="5">
        <f t="shared" si="101"/>
        <v>8</v>
      </c>
      <c r="J1630" s="5">
        <f t="shared" si="102"/>
        <v>2018</v>
      </c>
    </row>
    <row r="1631" spans="4:10" x14ac:dyDescent="0.25">
      <c r="D1631" s="4">
        <v>34198</v>
      </c>
      <c r="E1631" s="6">
        <v>16.88</v>
      </c>
      <c r="G1631" s="4">
        <f t="shared" si="103"/>
        <v>43322</v>
      </c>
      <c r="H1631" s="5">
        <f t="shared" si="100"/>
        <v>71</v>
      </c>
      <c r="I1631" s="5">
        <f t="shared" si="101"/>
        <v>8</v>
      </c>
      <c r="J1631" s="5">
        <f t="shared" si="102"/>
        <v>2018</v>
      </c>
    </row>
    <row r="1632" spans="4:10" x14ac:dyDescent="0.25">
      <c r="D1632" s="4">
        <v>34199</v>
      </c>
      <c r="E1632" s="6">
        <v>16.63</v>
      </c>
      <c r="G1632" s="4">
        <f t="shared" si="103"/>
        <v>43329</v>
      </c>
      <c r="H1632" s="5">
        <f t="shared" si="100"/>
        <v>70.14</v>
      </c>
      <c r="I1632" s="5">
        <f t="shared" si="101"/>
        <v>8</v>
      </c>
      <c r="J1632" s="5">
        <f t="shared" si="102"/>
        <v>2018</v>
      </c>
    </row>
    <row r="1633" spans="4:10" x14ac:dyDescent="0.25">
      <c r="D1633" s="4">
        <v>34200</v>
      </c>
      <c r="E1633" s="6">
        <v>16.63</v>
      </c>
      <c r="G1633" s="4">
        <f t="shared" si="103"/>
        <v>43336</v>
      </c>
      <c r="H1633" s="5">
        <f t="shared" si="100"/>
        <v>74.41</v>
      </c>
      <c r="I1633" s="5">
        <f t="shared" si="101"/>
        <v>8</v>
      </c>
      <c r="J1633" s="5">
        <f t="shared" si="102"/>
        <v>2018</v>
      </c>
    </row>
    <row r="1634" spans="4:10" x14ac:dyDescent="0.25">
      <c r="D1634" s="4">
        <v>34201</v>
      </c>
      <c r="E1634" s="6">
        <v>16.68</v>
      </c>
      <c r="G1634" s="4">
        <f t="shared" si="103"/>
        <v>43343</v>
      </c>
      <c r="H1634" s="5">
        <f t="shared" si="100"/>
        <v>76.94</v>
      </c>
      <c r="I1634" s="5">
        <f t="shared" si="101"/>
        <v>8</v>
      </c>
      <c r="J1634" s="5">
        <f t="shared" si="102"/>
        <v>2018</v>
      </c>
    </row>
    <row r="1635" spans="4:10" x14ac:dyDescent="0.25">
      <c r="D1635" s="4">
        <v>34204</v>
      </c>
      <c r="E1635" s="6">
        <v>16.829999999999998</v>
      </c>
      <c r="G1635" s="4">
        <f t="shared" si="103"/>
        <v>43350</v>
      </c>
      <c r="H1635" s="5">
        <f t="shared" si="100"/>
        <v>75.55</v>
      </c>
      <c r="I1635" s="5">
        <f t="shared" si="101"/>
        <v>9</v>
      </c>
      <c r="J1635" s="5">
        <f t="shared" si="102"/>
        <v>2018</v>
      </c>
    </row>
    <row r="1636" spans="4:10" x14ac:dyDescent="0.25">
      <c r="D1636" s="4">
        <v>34205</v>
      </c>
      <c r="E1636" s="6">
        <v>16.93</v>
      </c>
      <c r="G1636" s="4">
        <f t="shared" si="103"/>
        <v>43357</v>
      </c>
      <c r="H1636" s="5">
        <f t="shared" si="100"/>
        <v>77.87</v>
      </c>
      <c r="I1636" s="5">
        <f t="shared" si="101"/>
        <v>9</v>
      </c>
      <c r="J1636" s="5">
        <f t="shared" si="102"/>
        <v>2018</v>
      </c>
    </row>
    <row r="1637" spans="4:10" x14ac:dyDescent="0.25">
      <c r="D1637" s="4">
        <v>34206</v>
      </c>
      <c r="E1637" s="6">
        <v>16.68</v>
      </c>
      <c r="G1637" s="4">
        <f t="shared" si="103"/>
        <v>43364</v>
      </c>
      <c r="H1637" s="5">
        <f t="shared" si="100"/>
        <v>78.900000000000006</v>
      </c>
      <c r="I1637" s="5">
        <f t="shared" si="101"/>
        <v>9</v>
      </c>
      <c r="J1637" s="5">
        <f t="shared" si="102"/>
        <v>2018</v>
      </c>
    </row>
    <row r="1638" spans="4:10" x14ac:dyDescent="0.25">
      <c r="D1638" s="4">
        <v>34207</v>
      </c>
      <c r="E1638" s="6">
        <v>16.75</v>
      </c>
      <c r="G1638" s="4">
        <f t="shared" si="103"/>
        <v>43371</v>
      </c>
      <c r="H1638" s="5">
        <f t="shared" si="100"/>
        <v>82.72</v>
      </c>
      <c r="I1638" s="5">
        <f t="shared" si="101"/>
        <v>9</v>
      </c>
      <c r="J1638" s="5">
        <f t="shared" si="102"/>
        <v>2018</v>
      </c>
    </row>
    <row r="1639" spans="4:10" x14ac:dyDescent="0.25">
      <c r="D1639" s="4">
        <v>34208</v>
      </c>
      <c r="E1639" s="6">
        <v>17.05</v>
      </c>
      <c r="G1639" s="4">
        <f t="shared" si="103"/>
        <v>43378</v>
      </c>
      <c r="H1639" s="5">
        <f t="shared" si="100"/>
        <v>85.12</v>
      </c>
      <c r="I1639" s="5">
        <f t="shared" si="101"/>
        <v>10</v>
      </c>
      <c r="J1639" s="5">
        <f t="shared" si="102"/>
        <v>2018</v>
      </c>
    </row>
    <row r="1640" spans="4:10" x14ac:dyDescent="0.25">
      <c r="D1640" s="4">
        <v>34211</v>
      </c>
      <c r="E1640" s="5"/>
      <c r="G1640" s="4">
        <f t="shared" si="103"/>
        <v>43385</v>
      </c>
      <c r="H1640" s="5">
        <f t="shared" si="100"/>
        <v>80.709999999999994</v>
      </c>
      <c r="I1640" s="5">
        <f t="shared" si="101"/>
        <v>10</v>
      </c>
      <c r="J1640" s="5">
        <f t="shared" si="102"/>
        <v>2018</v>
      </c>
    </row>
    <row r="1641" spans="4:10" x14ac:dyDescent="0.25">
      <c r="D1641" s="4">
        <v>34212</v>
      </c>
      <c r="E1641" s="6">
        <v>16.73</v>
      </c>
      <c r="G1641" s="4">
        <f t="shared" si="103"/>
        <v>43392</v>
      </c>
      <c r="H1641" s="5">
        <f t="shared" si="100"/>
        <v>80.38</v>
      </c>
      <c r="I1641" s="5">
        <f t="shared" si="101"/>
        <v>10</v>
      </c>
      <c r="J1641" s="5">
        <f t="shared" si="102"/>
        <v>2018</v>
      </c>
    </row>
    <row r="1642" spans="4:10" x14ac:dyDescent="0.25">
      <c r="D1642" s="4">
        <v>34213</v>
      </c>
      <c r="E1642" s="6">
        <v>16.55</v>
      </c>
      <c r="G1642" s="4">
        <f t="shared" si="103"/>
        <v>43399</v>
      </c>
      <c r="H1642" s="5">
        <f t="shared" si="100"/>
        <v>77.400000000000006</v>
      </c>
      <c r="I1642" s="5">
        <f t="shared" si="101"/>
        <v>10</v>
      </c>
      <c r="J1642" s="5">
        <f t="shared" si="102"/>
        <v>2018</v>
      </c>
    </row>
    <row r="1643" spans="4:10" x14ac:dyDescent="0.25">
      <c r="D1643" s="4">
        <v>34214</v>
      </c>
      <c r="E1643" s="6">
        <v>16.5</v>
      </c>
      <c r="G1643" s="4">
        <f t="shared" si="103"/>
        <v>43406</v>
      </c>
      <c r="H1643" s="5">
        <f t="shared" si="100"/>
        <v>71.11</v>
      </c>
      <c r="I1643" s="5">
        <f t="shared" si="101"/>
        <v>11</v>
      </c>
      <c r="J1643" s="5">
        <f t="shared" si="102"/>
        <v>2018</v>
      </c>
    </row>
    <row r="1644" spans="4:10" x14ac:dyDescent="0.25">
      <c r="D1644" s="4">
        <v>34215</v>
      </c>
      <c r="E1644" s="6">
        <v>16.329999999999998</v>
      </c>
      <c r="G1644" s="4">
        <f t="shared" si="103"/>
        <v>43413</v>
      </c>
      <c r="H1644" s="5">
        <f t="shared" si="100"/>
        <v>69.010000000000005</v>
      </c>
      <c r="I1644" s="5">
        <f t="shared" si="101"/>
        <v>11</v>
      </c>
      <c r="J1644" s="5">
        <f t="shared" si="102"/>
        <v>2018</v>
      </c>
    </row>
    <row r="1645" spans="4:10" x14ac:dyDescent="0.25">
      <c r="D1645" s="4">
        <v>34218</v>
      </c>
      <c r="E1645" s="6">
        <v>16.23</v>
      </c>
      <c r="G1645" s="4">
        <f t="shared" si="103"/>
        <v>43420</v>
      </c>
      <c r="H1645" s="5">
        <f t="shared" si="100"/>
        <v>65.290000000000006</v>
      </c>
      <c r="I1645" s="5">
        <f t="shared" si="101"/>
        <v>11</v>
      </c>
      <c r="J1645" s="5">
        <f t="shared" si="102"/>
        <v>2018</v>
      </c>
    </row>
    <row r="1646" spans="4:10" x14ac:dyDescent="0.25">
      <c r="D1646" s="4">
        <v>34219</v>
      </c>
      <c r="E1646" s="6">
        <v>15.85</v>
      </c>
      <c r="G1646" s="4">
        <f t="shared" si="103"/>
        <v>43427</v>
      </c>
      <c r="H1646" s="5">
        <f t="shared" si="100"/>
        <v>57.69</v>
      </c>
      <c r="I1646" s="5">
        <f t="shared" si="101"/>
        <v>11</v>
      </c>
      <c r="J1646" s="5">
        <f t="shared" si="102"/>
        <v>2018</v>
      </c>
    </row>
    <row r="1647" spans="4:10" x14ac:dyDescent="0.25">
      <c r="D1647" s="4">
        <v>34220</v>
      </c>
      <c r="E1647" s="6">
        <v>15.65</v>
      </c>
      <c r="G1647" s="4">
        <f t="shared" si="103"/>
        <v>43434</v>
      </c>
      <c r="H1647" s="5">
        <f t="shared" si="100"/>
        <v>57.71</v>
      </c>
      <c r="I1647" s="5">
        <f t="shared" si="101"/>
        <v>11</v>
      </c>
      <c r="J1647" s="5">
        <f t="shared" si="102"/>
        <v>2018</v>
      </c>
    </row>
    <row r="1648" spans="4:10" x14ac:dyDescent="0.25">
      <c r="D1648" s="4">
        <v>34221</v>
      </c>
      <c r="E1648" s="6">
        <v>15.73</v>
      </c>
      <c r="G1648" s="4">
        <f t="shared" si="103"/>
        <v>43441</v>
      </c>
      <c r="H1648" s="5">
        <f t="shared" si="100"/>
        <v>61.71</v>
      </c>
      <c r="I1648" s="5">
        <f t="shared" si="101"/>
        <v>12</v>
      </c>
      <c r="J1648" s="5">
        <f t="shared" si="102"/>
        <v>2018</v>
      </c>
    </row>
    <row r="1649" spans="4:10" x14ac:dyDescent="0.25">
      <c r="D1649" s="4">
        <v>34222</v>
      </c>
      <c r="E1649" s="6">
        <v>15.43</v>
      </c>
      <c r="G1649" s="4">
        <f t="shared" si="103"/>
        <v>43448</v>
      </c>
      <c r="H1649" s="5">
        <f t="shared" si="100"/>
        <v>58.56</v>
      </c>
      <c r="I1649" s="5">
        <f t="shared" si="101"/>
        <v>12</v>
      </c>
      <c r="J1649" s="5">
        <f t="shared" si="102"/>
        <v>2018</v>
      </c>
    </row>
    <row r="1650" spans="4:10" x14ac:dyDescent="0.25">
      <c r="D1650" s="4">
        <v>34225</v>
      </c>
      <c r="E1650" s="6">
        <v>15.43</v>
      </c>
      <c r="G1650" s="4">
        <f t="shared" si="103"/>
        <v>43455</v>
      </c>
      <c r="H1650" s="5">
        <f t="shared" si="100"/>
        <v>51.93</v>
      </c>
      <c r="I1650" s="5">
        <f t="shared" si="101"/>
        <v>12</v>
      </c>
      <c r="J1650" s="5">
        <f t="shared" si="102"/>
        <v>2018</v>
      </c>
    </row>
    <row r="1651" spans="4:10" x14ac:dyDescent="0.25">
      <c r="D1651" s="4">
        <v>34226</v>
      </c>
      <c r="E1651" s="6">
        <v>15.58</v>
      </c>
      <c r="G1651" s="4">
        <f t="shared" si="103"/>
        <v>43462</v>
      </c>
      <c r="H1651" s="5">
        <f t="shared" si="100"/>
        <v>50.57</v>
      </c>
      <c r="I1651" s="5">
        <f t="shared" si="101"/>
        <v>12</v>
      </c>
      <c r="J1651" s="5">
        <f t="shared" si="102"/>
        <v>2018</v>
      </c>
    </row>
    <row r="1652" spans="4:10" x14ac:dyDescent="0.25">
      <c r="D1652" s="4">
        <v>34227</v>
      </c>
      <c r="E1652" s="6">
        <v>15.35</v>
      </c>
      <c r="G1652" s="4">
        <f t="shared" si="103"/>
        <v>43469</v>
      </c>
      <c r="H1652" s="5">
        <f t="shared" si="100"/>
        <v>55.64</v>
      </c>
      <c r="I1652" s="5">
        <f t="shared" si="101"/>
        <v>1</v>
      </c>
      <c r="J1652" s="5">
        <f t="shared" si="102"/>
        <v>2019</v>
      </c>
    </row>
    <row r="1653" spans="4:10" x14ac:dyDescent="0.25">
      <c r="D1653" s="4">
        <v>34228</v>
      </c>
      <c r="E1653" s="6">
        <v>15.43</v>
      </c>
      <c r="G1653" s="4">
        <f t="shared" si="103"/>
        <v>43476</v>
      </c>
      <c r="H1653" s="5">
        <f t="shared" si="100"/>
        <v>59.24</v>
      </c>
      <c r="I1653" s="5">
        <f t="shared" si="101"/>
        <v>1</v>
      </c>
      <c r="J1653" s="5">
        <f t="shared" si="102"/>
        <v>2019</v>
      </c>
    </row>
    <row r="1654" spans="4:10" x14ac:dyDescent="0.25">
      <c r="D1654" s="4">
        <v>34229</v>
      </c>
      <c r="E1654" s="6">
        <v>15.55</v>
      </c>
      <c r="G1654" s="4">
        <f t="shared" si="103"/>
        <v>43483</v>
      </c>
      <c r="H1654" s="5">
        <f t="shared" si="100"/>
        <v>62.04</v>
      </c>
      <c r="I1654" s="5">
        <f t="shared" si="101"/>
        <v>1</v>
      </c>
      <c r="J1654" s="5">
        <f t="shared" si="102"/>
        <v>2019</v>
      </c>
    </row>
    <row r="1655" spans="4:10" x14ac:dyDescent="0.25">
      <c r="D1655" s="4">
        <v>34232</v>
      </c>
      <c r="E1655" s="6">
        <v>16.03</v>
      </c>
      <c r="G1655" s="4">
        <f t="shared" si="103"/>
        <v>43490</v>
      </c>
      <c r="H1655" s="5">
        <f t="shared" si="100"/>
        <v>61.49</v>
      </c>
      <c r="I1655" s="5">
        <f t="shared" si="101"/>
        <v>1</v>
      </c>
      <c r="J1655" s="5">
        <f t="shared" si="102"/>
        <v>2019</v>
      </c>
    </row>
    <row r="1656" spans="4:10" x14ac:dyDescent="0.25">
      <c r="D1656" s="4">
        <v>34233</v>
      </c>
      <c r="E1656" s="6">
        <v>16.25</v>
      </c>
      <c r="G1656" s="4">
        <f t="shared" si="103"/>
        <v>43497</v>
      </c>
      <c r="H1656" s="5">
        <f t="shared" si="100"/>
        <v>61.86</v>
      </c>
      <c r="I1656" s="5">
        <f t="shared" si="101"/>
        <v>2</v>
      </c>
      <c r="J1656" s="5">
        <f t="shared" si="102"/>
        <v>2019</v>
      </c>
    </row>
    <row r="1657" spans="4:10" x14ac:dyDescent="0.25">
      <c r="D1657" s="4">
        <v>34234</v>
      </c>
      <c r="E1657" s="6">
        <v>15.88</v>
      </c>
      <c r="G1657" s="4">
        <f t="shared" si="103"/>
        <v>43504</v>
      </c>
      <c r="H1657" s="5">
        <f t="shared" si="100"/>
        <v>61.37</v>
      </c>
      <c r="I1657" s="5">
        <f t="shared" si="101"/>
        <v>2</v>
      </c>
      <c r="J1657" s="5">
        <f t="shared" si="102"/>
        <v>2019</v>
      </c>
    </row>
    <row r="1658" spans="4:10" x14ac:dyDescent="0.25">
      <c r="D1658" s="4">
        <v>34235</v>
      </c>
      <c r="E1658" s="6">
        <v>15.88</v>
      </c>
      <c r="G1658" s="4">
        <f t="shared" si="103"/>
        <v>43511</v>
      </c>
      <c r="H1658" s="5">
        <f t="shared" si="100"/>
        <v>65.650000000000006</v>
      </c>
      <c r="I1658" s="5">
        <f t="shared" si="101"/>
        <v>2</v>
      </c>
      <c r="J1658" s="5">
        <f t="shared" si="102"/>
        <v>2019</v>
      </c>
    </row>
    <row r="1659" spans="4:10" x14ac:dyDescent="0.25">
      <c r="D1659" s="4">
        <v>34236</v>
      </c>
      <c r="E1659" s="6">
        <v>16.100000000000001</v>
      </c>
      <c r="G1659" s="4">
        <f t="shared" si="103"/>
        <v>43518</v>
      </c>
      <c r="H1659" s="5">
        <f t="shared" si="100"/>
        <v>66.91</v>
      </c>
      <c r="I1659" s="5">
        <f t="shared" si="101"/>
        <v>2</v>
      </c>
      <c r="J1659" s="5">
        <f t="shared" si="102"/>
        <v>2019</v>
      </c>
    </row>
    <row r="1660" spans="4:10" x14ac:dyDescent="0.25">
      <c r="D1660" s="4">
        <v>34239</v>
      </c>
      <c r="E1660" s="6">
        <v>16.100000000000001</v>
      </c>
      <c r="G1660" s="4">
        <f t="shared" si="103"/>
        <v>43525</v>
      </c>
      <c r="H1660" s="5">
        <f t="shared" si="100"/>
        <v>63.71</v>
      </c>
      <c r="I1660" s="5">
        <f t="shared" si="101"/>
        <v>3</v>
      </c>
      <c r="J1660" s="5">
        <f t="shared" si="102"/>
        <v>2019</v>
      </c>
    </row>
    <row r="1661" spans="4:10" x14ac:dyDescent="0.25">
      <c r="D1661" s="4">
        <v>34240</v>
      </c>
      <c r="E1661" s="6">
        <v>16.399999999999999</v>
      </c>
      <c r="G1661" s="4">
        <f t="shared" si="103"/>
        <v>43532</v>
      </c>
      <c r="H1661" s="5">
        <f t="shared" si="100"/>
        <v>65.66</v>
      </c>
      <c r="I1661" s="5">
        <f t="shared" si="101"/>
        <v>3</v>
      </c>
      <c r="J1661" s="5">
        <f t="shared" si="102"/>
        <v>2019</v>
      </c>
    </row>
    <row r="1662" spans="4:10" x14ac:dyDescent="0.25">
      <c r="D1662" s="4">
        <v>34241</v>
      </c>
      <c r="E1662" s="6">
        <v>16.78</v>
      </c>
      <c r="G1662" s="4">
        <f t="shared" si="103"/>
        <v>43539</v>
      </c>
      <c r="H1662" s="5">
        <f t="shared" si="100"/>
        <v>66.11</v>
      </c>
      <c r="I1662" s="5">
        <f t="shared" si="101"/>
        <v>3</v>
      </c>
      <c r="J1662" s="5">
        <f t="shared" si="102"/>
        <v>2019</v>
      </c>
    </row>
    <row r="1663" spans="4:10" x14ac:dyDescent="0.25">
      <c r="D1663" s="4">
        <v>34242</v>
      </c>
      <c r="E1663" s="6">
        <v>17.23</v>
      </c>
      <c r="G1663" s="4">
        <f t="shared" si="103"/>
        <v>43546</v>
      </c>
      <c r="H1663" s="5">
        <f t="shared" si="100"/>
        <v>66.290000000000006</v>
      </c>
      <c r="I1663" s="5">
        <f t="shared" si="101"/>
        <v>3</v>
      </c>
      <c r="J1663" s="5">
        <f t="shared" si="102"/>
        <v>2019</v>
      </c>
    </row>
    <row r="1664" spans="4:10" x14ac:dyDescent="0.25">
      <c r="D1664" s="4">
        <v>34243</v>
      </c>
      <c r="E1664" s="6">
        <v>17.079999999999998</v>
      </c>
      <c r="G1664" s="4">
        <f t="shared" si="103"/>
        <v>43553</v>
      </c>
      <c r="H1664" s="5">
        <f t="shared" si="100"/>
        <v>67.930000000000007</v>
      </c>
      <c r="I1664" s="5">
        <f t="shared" si="101"/>
        <v>3</v>
      </c>
      <c r="J1664" s="5">
        <f t="shared" si="102"/>
        <v>2019</v>
      </c>
    </row>
    <row r="1665" spans="4:10" x14ac:dyDescent="0.25">
      <c r="D1665" s="4">
        <v>34246</v>
      </c>
      <c r="E1665" s="6">
        <v>16.899999999999999</v>
      </c>
      <c r="G1665" s="4">
        <f t="shared" si="103"/>
        <v>43560</v>
      </c>
      <c r="H1665" s="5">
        <f t="shared" si="100"/>
        <v>69.930000000000007</v>
      </c>
      <c r="I1665" s="5">
        <f t="shared" si="101"/>
        <v>4</v>
      </c>
      <c r="J1665" s="5">
        <f t="shared" si="102"/>
        <v>2019</v>
      </c>
    </row>
    <row r="1666" spans="4:10" x14ac:dyDescent="0.25">
      <c r="D1666" s="4">
        <v>34247</v>
      </c>
      <c r="E1666" s="6">
        <v>16.78</v>
      </c>
      <c r="G1666" s="4">
        <f t="shared" si="103"/>
        <v>43567</v>
      </c>
      <c r="H1666" s="5">
        <f t="shared" si="100"/>
        <v>71.569999999999993</v>
      </c>
      <c r="I1666" s="5">
        <f t="shared" si="101"/>
        <v>4</v>
      </c>
      <c r="J1666" s="5">
        <f t="shared" si="102"/>
        <v>2019</v>
      </c>
    </row>
    <row r="1667" spans="4:10" x14ac:dyDescent="0.25">
      <c r="D1667" s="4">
        <v>34248</v>
      </c>
      <c r="E1667" s="6">
        <v>16.98</v>
      </c>
      <c r="G1667" s="4">
        <f t="shared" si="103"/>
        <v>43574</v>
      </c>
      <c r="H1667" s="5">
        <f t="shared" ref="H1667:H1730" si="104">_xlfn.XLOOKUP(G1667,D:D,E:E)</f>
        <v>0</v>
      </c>
      <c r="I1667" s="5">
        <f t="shared" ref="I1667:I1730" si="105">MONTH(G1667)</f>
        <v>4</v>
      </c>
      <c r="J1667" s="5">
        <f t="shared" ref="J1667:J1730" si="106">YEAR(G1667)</f>
        <v>2019</v>
      </c>
    </row>
    <row r="1668" spans="4:10" x14ac:dyDescent="0.25">
      <c r="D1668" s="4">
        <v>34249</v>
      </c>
      <c r="E1668" s="6">
        <v>16.88</v>
      </c>
      <c r="G1668" s="4">
        <f t="shared" ref="G1668:G1731" si="107">G1667+7</f>
        <v>43581</v>
      </c>
      <c r="H1668" s="5">
        <f t="shared" si="104"/>
        <v>71.03</v>
      </c>
      <c r="I1668" s="5">
        <f t="shared" si="105"/>
        <v>4</v>
      </c>
      <c r="J1668" s="5">
        <f t="shared" si="106"/>
        <v>2019</v>
      </c>
    </row>
    <row r="1669" spans="4:10" x14ac:dyDescent="0.25">
      <c r="D1669" s="4">
        <v>34250</v>
      </c>
      <c r="E1669" s="6">
        <v>16.98</v>
      </c>
      <c r="G1669" s="4">
        <f t="shared" si="107"/>
        <v>43588</v>
      </c>
      <c r="H1669" s="5">
        <f t="shared" si="104"/>
        <v>71.95</v>
      </c>
      <c r="I1669" s="5">
        <f t="shared" si="105"/>
        <v>5</v>
      </c>
      <c r="J1669" s="5">
        <f t="shared" si="106"/>
        <v>2019</v>
      </c>
    </row>
    <row r="1670" spans="4:10" x14ac:dyDescent="0.25">
      <c r="D1670" s="4">
        <v>34253</v>
      </c>
      <c r="E1670" s="6">
        <v>17.13</v>
      </c>
      <c r="G1670" s="4">
        <f t="shared" si="107"/>
        <v>43595</v>
      </c>
      <c r="H1670" s="5">
        <f t="shared" si="104"/>
        <v>71.63</v>
      </c>
      <c r="I1670" s="5">
        <f t="shared" si="105"/>
        <v>5</v>
      </c>
      <c r="J1670" s="5">
        <f t="shared" si="106"/>
        <v>2019</v>
      </c>
    </row>
    <row r="1671" spans="4:10" x14ac:dyDescent="0.25">
      <c r="D1671" s="4">
        <v>34254</v>
      </c>
      <c r="E1671" s="6">
        <v>17.149999999999999</v>
      </c>
      <c r="G1671" s="4">
        <f t="shared" si="107"/>
        <v>43602</v>
      </c>
      <c r="H1671" s="5">
        <f t="shared" si="104"/>
        <v>73.94</v>
      </c>
      <c r="I1671" s="5">
        <f t="shared" si="105"/>
        <v>5</v>
      </c>
      <c r="J1671" s="5">
        <f t="shared" si="106"/>
        <v>2019</v>
      </c>
    </row>
    <row r="1672" spans="4:10" x14ac:dyDescent="0.25">
      <c r="D1672" s="4">
        <v>34255</v>
      </c>
      <c r="E1672" s="6">
        <v>17</v>
      </c>
      <c r="G1672" s="4">
        <f t="shared" si="107"/>
        <v>43609</v>
      </c>
      <c r="H1672" s="5">
        <f t="shared" si="104"/>
        <v>67.98</v>
      </c>
      <c r="I1672" s="5">
        <f t="shared" si="105"/>
        <v>5</v>
      </c>
      <c r="J1672" s="5">
        <f t="shared" si="106"/>
        <v>2019</v>
      </c>
    </row>
    <row r="1673" spans="4:10" x14ac:dyDescent="0.25">
      <c r="D1673" s="4">
        <v>34256</v>
      </c>
      <c r="E1673" s="6">
        <v>16.8</v>
      </c>
      <c r="G1673" s="4">
        <f t="shared" si="107"/>
        <v>43616</v>
      </c>
      <c r="H1673" s="5">
        <f t="shared" si="104"/>
        <v>66.78</v>
      </c>
      <c r="I1673" s="5">
        <f t="shared" si="105"/>
        <v>5</v>
      </c>
      <c r="J1673" s="5">
        <f t="shared" si="106"/>
        <v>2019</v>
      </c>
    </row>
    <row r="1674" spans="4:10" x14ac:dyDescent="0.25">
      <c r="D1674" s="4">
        <v>34257</v>
      </c>
      <c r="E1674" s="6">
        <v>16.7</v>
      </c>
      <c r="G1674" s="4">
        <f t="shared" si="107"/>
        <v>43623</v>
      </c>
      <c r="H1674" s="5">
        <f t="shared" si="104"/>
        <v>64.099999999999994</v>
      </c>
      <c r="I1674" s="5">
        <f t="shared" si="105"/>
        <v>6</v>
      </c>
      <c r="J1674" s="5">
        <f t="shared" si="106"/>
        <v>2019</v>
      </c>
    </row>
    <row r="1675" spans="4:10" x14ac:dyDescent="0.25">
      <c r="D1675" s="4">
        <v>34260</v>
      </c>
      <c r="E1675" s="6">
        <v>16.5</v>
      </c>
      <c r="G1675" s="4">
        <f t="shared" si="107"/>
        <v>43630</v>
      </c>
      <c r="H1675" s="5">
        <f t="shared" si="104"/>
        <v>63.13</v>
      </c>
      <c r="I1675" s="5">
        <f t="shared" si="105"/>
        <v>6</v>
      </c>
      <c r="J1675" s="5">
        <f t="shared" si="106"/>
        <v>2019</v>
      </c>
    </row>
    <row r="1676" spans="4:10" x14ac:dyDescent="0.25">
      <c r="D1676" s="4">
        <v>34261</v>
      </c>
      <c r="E1676" s="6">
        <v>16.53</v>
      </c>
      <c r="G1676" s="4">
        <f t="shared" si="107"/>
        <v>43637</v>
      </c>
      <c r="H1676" s="5">
        <f t="shared" si="104"/>
        <v>65.989999999999995</v>
      </c>
      <c r="I1676" s="5">
        <f t="shared" si="105"/>
        <v>6</v>
      </c>
      <c r="J1676" s="5">
        <f t="shared" si="106"/>
        <v>2019</v>
      </c>
    </row>
    <row r="1677" spans="4:10" x14ac:dyDescent="0.25">
      <c r="D1677" s="4">
        <v>34262</v>
      </c>
      <c r="E1677" s="6">
        <v>16.68</v>
      </c>
      <c r="G1677" s="4">
        <f t="shared" si="107"/>
        <v>43644</v>
      </c>
      <c r="H1677" s="5">
        <f t="shared" si="104"/>
        <v>67.52</v>
      </c>
      <c r="I1677" s="5">
        <f t="shared" si="105"/>
        <v>6</v>
      </c>
      <c r="J1677" s="5">
        <f t="shared" si="106"/>
        <v>2019</v>
      </c>
    </row>
    <row r="1678" spans="4:10" x14ac:dyDescent="0.25">
      <c r="D1678" s="4">
        <v>34263</v>
      </c>
      <c r="E1678" s="6">
        <v>16.88</v>
      </c>
      <c r="G1678" s="4">
        <f t="shared" si="107"/>
        <v>43651</v>
      </c>
      <c r="H1678" s="5">
        <f t="shared" si="104"/>
        <v>64.23</v>
      </c>
      <c r="I1678" s="5">
        <f t="shared" si="105"/>
        <v>7</v>
      </c>
      <c r="J1678" s="5">
        <f t="shared" si="106"/>
        <v>2019</v>
      </c>
    </row>
    <row r="1679" spans="4:10" x14ac:dyDescent="0.25">
      <c r="D1679" s="4">
        <v>34264</v>
      </c>
      <c r="E1679" s="6">
        <v>16.48</v>
      </c>
      <c r="G1679" s="4">
        <f t="shared" si="107"/>
        <v>43658</v>
      </c>
      <c r="H1679" s="5">
        <f t="shared" si="104"/>
        <v>66.650000000000006</v>
      </c>
      <c r="I1679" s="5">
        <f t="shared" si="105"/>
        <v>7</v>
      </c>
      <c r="J1679" s="5">
        <f t="shared" si="106"/>
        <v>2019</v>
      </c>
    </row>
    <row r="1680" spans="4:10" x14ac:dyDescent="0.25">
      <c r="D1680" s="4">
        <v>34267</v>
      </c>
      <c r="E1680" s="6">
        <v>16.13</v>
      </c>
      <c r="G1680" s="4">
        <f t="shared" si="107"/>
        <v>43665</v>
      </c>
      <c r="H1680" s="5">
        <f t="shared" si="104"/>
        <v>61.04</v>
      </c>
      <c r="I1680" s="5">
        <f t="shared" si="105"/>
        <v>7</v>
      </c>
      <c r="J1680" s="5">
        <f t="shared" si="106"/>
        <v>2019</v>
      </c>
    </row>
    <row r="1681" spans="4:10" x14ac:dyDescent="0.25">
      <c r="D1681" s="4">
        <v>34268</v>
      </c>
      <c r="E1681" s="6">
        <v>15.95</v>
      </c>
      <c r="G1681" s="4">
        <f t="shared" si="107"/>
        <v>43672</v>
      </c>
      <c r="H1681" s="5">
        <f t="shared" si="104"/>
        <v>62.46</v>
      </c>
      <c r="I1681" s="5">
        <f t="shared" si="105"/>
        <v>7</v>
      </c>
      <c r="J1681" s="5">
        <f t="shared" si="106"/>
        <v>2019</v>
      </c>
    </row>
    <row r="1682" spans="4:10" x14ac:dyDescent="0.25">
      <c r="D1682" s="4">
        <v>34269</v>
      </c>
      <c r="E1682" s="6">
        <v>15.95</v>
      </c>
      <c r="G1682" s="4">
        <f t="shared" si="107"/>
        <v>43679</v>
      </c>
      <c r="H1682" s="5">
        <f t="shared" si="104"/>
        <v>61.12</v>
      </c>
      <c r="I1682" s="5">
        <f t="shared" si="105"/>
        <v>8</v>
      </c>
      <c r="J1682" s="5">
        <f t="shared" si="106"/>
        <v>2019</v>
      </c>
    </row>
    <row r="1683" spans="4:10" x14ac:dyDescent="0.25">
      <c r="D1683" s="4">
        <v>34270</v>
      </c>
      <c r="E1683" s="6">
        <v>15.83</v>
      </c>
      <c r="G1683" s="4">
        <f t="shared" si="107"/>
        <v>43686</v>
      </c>
      <c r="H1683" s="5">
        <f t="shared" si="104"/>
        <v>57.37</v>
      </c>
      <c r="I1683" s="5">
        <f t="shared" si="105"/>
        <v>8</v>
      </c>
      <c r="J1683" s="5">
        <f t="shared" si="106"/>
        <v>2019</v>
      </c>
    </row>
    <row r="1684" spans="4:10" x14ac:dyDescent="0.25">
      <c r="D1684" s="4">
        <v>34271</v>
      </c>
      <c r="E1684" s="6">
        <v>15.43</v>
      </c>
      <c r="G1684" s="4">
        <f t="shared" si="107"/>
        <v>43693</v>
      </c>
      <c r="H1684" s="5">
        <f t="shared" si="104"/>
        <v>59</v>
      </c>
      <c r="I1684" s="5">
        <f t="shared" si="105"/>
        <v>8</v>
      </c>
      <c r="J1684" s="5">
        <f t="shared" si="106"/>
        <v>2019</v>
      </c>
    </row>
    <row r="1685" spans="4:10" x14ac:dyDescent="0.25">
      <c r="D1685" s="4">
        <v>34274</v>
      </c>
      <c r="E1685" s="6">
        <v>15.83</v>
      </c>
      <c r="G1685" s="4">
        <f t="shared" si="107"/>
        <v>43700</v>
      </c>
      <c r="H1685" s="5">
        <f t="shared" si="104"/>
        <v>58.64</v>
      </c>
      <c r="I1685" s="5">
        <f t="shared" si="105"/>
        <v>8</v>
      </c>
      <c r="J1685" s="5">
        <f t="shared" si="106"/>
        <v>2019</v>
      </c>
    </row>
    <row r="1686" spans="4:10" x14ac:dyDescent="0.25">
      <c r="D1686" s="4">
        <v>34275</v>
      </c>
      <c r="E1686" s="6">
        <v>15.63</v>
      </c>
      <c r="G1686" s="4">
        <f t="shared" si="107"/>
        <v>43707</v>
      </c>
      <c r="H1686" s="5">
        <f t="shared" si="104"/>
        <v>61.04</v>
      </c>
      <c r="I1686" s="5">
        <f t="shared" si="105"/>
        <v>8</v>
      </c>
      <c r="J1686" s="5">
        <f t="shared" si="106"/>
        <v>2019</v>
      </c>
    </row>
    <row r="1687" spans="4:10" x14ac:dyDescent="0.25">
      <c r="D1687" s="4">
        <v>34276</v>
      </c>
      <c r="E1687" s="6">
        <v>15.83</v>
      </c>
      <c r="G1687" s="4">
        <f t="shared" si="107"/>
        <v>43714</v>
      </c>
      <c r="H1687" s="5">
        <f t="shared" si="104"/>
        <v>61.28</v>
      </c>
      <c r="I1687" s="5">
        <f t="shared" si="105"/>
        <v>9</v>
      </c>
      <c r="J1687" s="5">
        <f t="shared" si="106"/>
        <v>2019</v>
      </c>
    </row>
    <row r="1688" spans="4:10" x14ac:dyDescent="0.25">
      <c r="D1688" s="4">
        <v>34277</v>
      </c>
      <c r="E1688" s="6">
        <v>15.78</v>
      </c>
      <c r="G1688" s="4">
        <f t="shared" si="107"/>
        <v>43721</v>
      </c>
      <c r="H1688" s="5">
        <f t="shared" si="104"/>
        <v>61.25</v>
      </c>
      <c r="I1688" s="5">
        <f t="shared" si="105"/>
        <v>9</v>
      </c>
      <c r="J1688" s="5">
        <f t="shared" si="106"/>
        <v>2019</v>
      </c>
    </row>
    <row r="1689" spans="4:10" x14ac:dyDescent="0.25">
      <c r="D1689" s="4">
        <v>34278</v>
      </c>
      <c r="E1689" s="6">
        <v>15.73</v>
      </c>
      <c r="G1689" s="4">
        <f t="shared" si="107"/>
        <v>43728</v>
      </c>
      <c r="H1689" s="5">
        <f t="shared" si="104"/>
        <v>65.23</v>
      </c>
      <c r="I1689" s="5">
        <f t="shared" si="105"/>
        <v>9</v>
      </c>
      <c r="J1689" s="5">
        <f t="shared" si="106"/>
        <v>2019</v>
      </c>
    </row>
    <row r="1690" spans="4:10" x14ac:dyDescent="0.25">
      <c r="D1690" s="4">
        <v>34281</v>
      </c>
      <c r="E1690" s="6">
        <v>15.28</v>
      </c>
      <c r="G1690" s="4">
        <f t="shared" si="107"/>
        <v>43735</v>
      </c>
      <c r="H1690" s="5">
        <f t="shared" si="104"/>
        <v>62.48</v>
      </c>
      <c r="I1690" s="5">
        <f t="shared" si="105"/>
        <v>9</v>
      </c>
      <c r="J1690" s="5">
        <f t="shared" si="106"/>
        <v>2019</v>
      </c>
    </row>
    <row r="1691" spans="4:10" x14ac:dyDescent="0.25">
      <c r="D1691" s="4">
        <v>34282</v>
      </c>
      <c r="E1691" s="6">
        <v>15.33</v>
      </c>
      <c r="G1691" s="4">
        <f t="shared" si="107"/>
        <v>43742</v>
      </c>
      <c r="H1691" s="5">
        <f t="shared" si="104"/>
        <v>59.13</v>
      </c>
      <c r="I1691" s="5">
        <f t="shared" si="105"/>
        <v>10</v>
      </c>
      <c r="J1691" s="5">
        <f t="shared" si="106"/>
        <v>2019</v>
      </c>
    </row>
    <row r="1692" spans="4:10" x14ac:dyDescent="0.25">
      <c r="D1692" s="4">
        <v>34283</v>
      </c>
      <c r="E1692" s="6">
        <v>15.23</v>
      </c>
      <c r="G1692" s="4">
        <f t="shared" si="107"/>
        <v>43749</v>
      </c>
      <c r="H1692" s="5">
        <f t="shared" si="104"/>
        <v>60.59</v>
      </c>
      <c r="I1692" s="5">
        <f t="shared" si="105"/>
        <v>10</v>
      </c>
      <c r="J1692" s="5">
        <f t="shared" si="106"/>
        <v>2019</v>
      </c>
    </row>
    <row r="1693" spans="4:10" x14ac:dyDescent="0.25">
      <c r="D1693" s="4">
        <v>34284</v>
      </c>
      <c r="E1693" s="6">
        <v>15.18</v>
      </c>
      <c r="G1693" s="4">
        <f t="shared" si="107"/>
        <v>43756</v>
      </c>
      <c r="H1693" s="5">
        <f t="shared" si="104"/>
        <v>59.96</v>
      </c>
      <c r="I1693" s="5">
        <f t="shared" si="105"/>
        <v>10</v>
      </c>
      <c r="J1693" s="5">
        <f t="shared" si="106"/>
        <v>2019</v>
      </c>
    </row>
    <row r="1694" spans="4:10" x14ac:dyDescent="0.25">
      <c r="D1694" s="4">
        <v>34285</v>
      </c>
      <c r="E1694" s="6">
        <v>15.08</v>
      </c>
      <c r="G1694" s="4">
        <f t="shared" si="107"/>
        <v>43763</v>
      </c>
      <c r="H1694" s="5">
        <f t="shared" si="104"/>
        <v>62.06</v>
      </c>
      <c r="I1694" s="5">
        <f t="shared" si="105"/>
        <v>10</v>
      </c>
      <c r="J1694" s="5">
        <f t="shared" si="106"/>
        <v>2019</v>
      </c>
    </row>
    <row r="1695" spans="4:10" x14ac:dyDescent="0.25">
      <c r="D1695" s="4">
        <v>34288</v>
      </c>
      <c r="E1695" s="6">
        <v>15.25</v>
      </c>
      <c r="G1695" s="4">
        <f t="shared" si="107"/>
        <v>43770</v>
      </c>
      <c r="H1695" s="5">
        <f t="shared" si="104"/>
        <v>60.17</v>
      </c>
      <c r="I1695" s="5">
        <f t="shared" si="105"/>
        <v>11</v>
      </c>
      <c r="J1695" s="5">
        <f t="shared" si="106"/>
        <v>2019</v>
      </c>
    </row>
    <row r="1696" spans="4:10" x14ac:dyDescent="0.25">
      <c r="D1696" s="4">
        <v>34289</v>
      </c>
      <c r="E1696" s="6">
        <v>15.33</v>
      </c>
      <c r="G1696" s="4">
        <f t="shared" si="107"/>
        <v>43777</v>
      </c>
      <c r="H1696" s="5">
        <f t="shared" si="104"/>
        <v>62</v>
      </c>
      <c r="I1696" s="5">
        <f t="shared" si="105"/>
        <v>11</v>
      </c>
      <c r="J1696" s="5">
        <f t="shared" si="106"/>
        <v>2019</v>
      </c>
    </row>
    <row r="1697" spans="4:10" x14ac:dyDescent="0.25">
      <c r="D1697" s="4">
        <v>34290</v>
      </c>
      <c r="E1697" s="6">
        <v>15.55</v>
      </c>
      <c r="G1697" s="4">
        <f t="shared" si="107"/>
        <v>43784</v>
      </c>
      <c r="H1697" s="5">
        <f t="shared" si="104"/>
        <v>63.32</v>
      </c>
      <c r="I1697" s="5">
        <f t="shared" si="105"/>
        <v>11</v>
      </c>
      <c r="J1697" s="5">
        <f t="shared" si="106"/>
        <v>2019</v>
      </c>
    </row>
    <row r="1698" spans="4:10" x14ac:dyDescent="0.25">
      <c r="D1698" s="4">
        <v>34291</v>
      </c>
      <c r="E1698" s="6">
        <v>15.4</v>
      </c>
      <c r="G1698" s="4">
        <f t="shared" si="107"/>
        <v>43791</v>
      </c>
      <c r="H1698" s="5">
        <f t="shared" si="104"/>
        <v>64.83</v>
      </c>
      <c r="I1698" s="5">
        <f t="shared" si="105"/>
        <v>11</v>
      </c>
      <c r="J1698" s="5">
        <f t="shared" si="106"/>
        <v>2019</v>
      </c>
    </row>
    <row r="1699" spans="4:10" x14ac:dyDescent="0.25">
      <c r="D1699" s="4">
        <v>34292</v>
      </c>
      <c r="E1699" s="6">
        <v>15.25</v>
      </c>
      <c r="G1699" s="4">
        <f t="shared" si="107"/>
        <v>43798</v>
      </c>
      <c r="H1699" s="5">
        <f t="shared" si="104"/>
        <v>64.5</v>
      </c>
      <c r="I1699" s="5">
        <f t="shared" si="105"/>
        <v>11</v>
      </c>
      <c r="J1699" s="5">
        <f t="shared" si="106"/>
        <v>2019</v>
      </c>
    </row>
    <row r="1700" spans="4:10" x14ac:dyDescent="0.25">
      <c r="D1700" s="4">
        <v>34295</v>
      </c>
      <c r="E1700" s="6">
        <v>15.35</v>
      </c>
      <c r="G1700" s="4">
        <f t="shared" si="107"/>
        <v>43805</v>
      </c>
      <c r="H1700" s="5">
        <f t="shared" si="104"/>
        <v>66.5</v>
      </c>
      <c r="I1700" s="5">
        <f t="shared" si="105"/>
        <v>12</v>
      </c>
      <c r="J1700" s="5">
        <f t="shared" si="106"/>
        <v>2019</v>
      </c>
    </row>
    <row r="1701" spans="4:10" x14ac:dyDescent="0.25">
      <c r="D1701" s="4">
        <v>34296</v>
      </c>
      <c r="E1701" s="6">
        <v>15.25</v>
      </c>
      <c r="G1701" s="4">
        <f t="shared" si="107"/>
        <v>43812</v>
      </c>
      <c r="H1701" s="5">
        <f t="shared" si="104"/>
        <v>67.44</v>
      </c>
      <c r="I1701" s="5">
        <f t="shared" si="105"/>
        <v>12</v>
      </c>
      <c r="J1701" s="5">
        <f t="shared" si="106"/>
        <v>2019</v>
      </c>
    </row>
    <row r="1702" spans="4:10" x14ac:dyDescent="0.25">
      <c r="D1702" s="4">
        <v>34297</v>
      </c>
      <c r="E1702" s="6">
        <v>15.13</v>
      </c>
      <c r="G1702" s="4">
        <f t="shared" si="107"/>
        <v>43819</v>
      </c>
      <c r="H1702" s="5">
        <f t="shared" si="104"/>
        <v>68.66</v>
      </c>
      <c r="I1702" s="5">
        <f t="shared" si="105"/>
        <v>12</v>
      </c>
      <c r="J1702" s="5">
        <f t="shared" si="106"/>
        <v>2019</v>
      </c>
    </row>
    <row r="1703" spans="4:10" x14ac:dyDescent="0.25">
      <c r="D1703" s="4">
        <v>34298</v>
      </c>
      <c r="E1703" s="6">
        <v>14.35</v>
      </c>
      <c r="G1703" s="4">
        <f t="shared" si="107"/>
        <v>43826</v>
      </c>
      <c r="H1703" s="5">
        <f t="shared" si="104"/>
        <v>68.91</v>
      </c>
      <c r="I1703" s="5">
        <f t="shared" si="105"/>
        <v>12</v>
      </c>
      <c r="J1703" s="5">
        <f t="shared" si="106"/>
        <v>2019</v>
      </c>
    </row>
    <row r="1704" spans="4:10" x14ac:dyDescent="0.25">
      <c r="D1704" s="4">
        <v>34299</v>
      </c>
      <c r="E1704" s="6">
        <v>14.28</v>
      </c>
      <c r="G1704" s="4">
        <f t="shared" si="107"/>
        <v>43833</v>
      </c>
      <c r="H1704" s="5">
        <f t="shared" si="104"/>
        <v>69.08</v>
      </c>
      <c r="I1704" s="5">
        <f t="shared" si="105"/>
        <v>1</v>
      </c>
      <c r="J1704" s="5">
        <f t="shared" si="106"/>
        <v>2020</v>
      </c>
    </row>
    <row r="1705" spans="4:10" x14ac:dyDescent="0.25">
      <c r="D1705" s="4">
        <v>34302</v>
      </c>
      <c r="E1705" s="6">
        <v>14.05</v>
      </c>
      <c r="G1705" s="4">
        <f t="shared" si="107"/>
        <v>43840</v>
      </c>
      <c r="H1705" s="5">
        <f t="shared" si="104"/>
        <v>66.77</v>
      </c>
      <c r="I1705" s="5">
        <f t="shared" si="105"/>
        <v>1</v>
      </c>
      <c r="J1705" s="5">
        <f t="shared" si="106"/>
        <v>2020</v>
      </c>
    </row>
    <row r="1706" spans="4:10" x14ac:dyDescent="0.25">
      <c r="D1706" s="4">
        <v>34303</v>
      </c>
      <c r="E1706" s="6">
        <v>14.23</v>
      </c>
      <c r="G1706" s="4">
        <f t="shared" si="107"/>
        <v>43847</v>
      </c>
      <c r="H1706" s="5">
        <f t="shared" si="104"/>
        <v>64.05</v>
      </c>
      <c r="I1706" s="5">
        <f t="shared" si="105"/>
        <v>1</v>
      </c>
      <c r="J1706" s="5">
        <f t="shared" si="106"/>
        <v>2020</v>
      </c>
    </row>
    <row r="1707" spans="4:10" x14ac:dyDescent="0.25">
      <c r="D1707" s="4">
        <v>34304</v>
      </c>
      <c r="E1707" s="6">
        <v>14.43</v>
      </c>
      <c r="G1707" s="4">
        <f t="shared" si="107"/>
        <v>43854</v>
      </c>
      <c r="H1707" s="5">
        <f t="shared" si="104"/>
        <v>59.34</v>
      </c>
      <c r="I1707" s="5">
        <f t="shared" si="105"/>
        <v>1</v>
      </c>
      <c r="J1707" s="5">
        <f t="shared" si="106"/>
        <v>2020</v>
      </c>
    </row>
    <row r="1708" spans="4:10" x14ac:dyDescent="0.25">
      <c r="D1708" s="4">
        <v>34305</v>
      </c>
      <c r="E1708" s="6">
        <v>14.15</v>
      </c>
      <c r="G1708" s="4">
        <f t="shared" si="107"/>
        <v>43861</v>
      </c>
      <c r="H1708" s="5">
        <f t="shared" si="104"/>
        <v>57.77</v>
      </c>
      <c r="I1708" s="5">
        <f t="shared" si="105"/>
        <v>1</v>
      </c>
      <c r="J1708" s="5">
        <f t="shared" si="106"/>
        <v>2020</v>
      </c>
    </row>
    <row r="1709" spans="4:10" x14ac:dyDescent="0.25">
      <c r="D1709" s="4">
        <v>34306</v>
      </c>
      <c r="E1709" s="6">
        <v>13.95</v>
      </c>
      <c r="G1709" s="4">
        <f t="shared" si="107"/>
        <v>43868</v>
      </c>
      <c r="H1709" s="5">
        <f t="shared" si="104"/>
        <v>54.53</v>
      </c>
      <c r="I1709" s="5">
        <f t="shared" si="105"/>
        <v>2</v>
      </c>
      <c r="J1709" s="5">
        <f t="shared" si="106"/>
        <v>2020</v>
      </c>
    </row>
    <row r="1710" spans="4:10" x14ac:dyDescent="0.25">
      <c r="D1710" s="4">
        <v>34309</v>
      </c>
      <c r="E1710" s="6">
        <v>13.9</v>
      </c>
      <c r="G1710" s="4">
        <f t="shared" si="107"/>
        <v>43875</v>
      </c>
      <c r="H1710" s="5">
        <f t="shared" si="104"/>
        <v>57.37</v>
      </c>
      <c r="I1710" s="5">
        <f t="shared" si="105"/>
        <v>2</v>
      </c>
      <c r="J1710" s="5">
        <f t="shared" si="106"/>
        <v>2020</v>
      </c>
    </row>
    <row r="1711" spans="4:10" x14ac:dyDescent="0.25">
      <c r="D1711" s="4">
        <v>34310</v>
      </c>
      <c r="E1711" s="6">
        <v>13.88</v>
      </c>
      <c r="G1711" s="4">
        <f t="shared" si="107"/>
        <v>43882</v>
      </c>
      <c r="H1711" s="5">
        <f t="shared" si="104"/>
        <v>58.6</v>
      </c>
      <c r="I1711" s="5">
        <f t="shared" si="105"/>
        <v>2</v>
      </c>
      <c r="J1711" s="5">
        <f t="shared" si="106"/>
        <v>2020</v>
      </c>
    </row>
    <row r="1712" spans="4:10" x14ac:dyDescent="0.25">
      <c r="D1712" s="4">
        <v>34311</v>
      </c>
      <c r="E1712" s="6">
        <v>13.45</v>
      </c>
      <c r="G1712" s="4">
        <f t="shared" si="107"/>
        <v>43889</v>
      </c>
      <c r="H1712" s="5">
        <f t="shared" si="104"/>
        <v>51.31</v>
      </c>
      <c r="I1712" s="5">
        <f t="shared" si="105"/>
        <v>2</v>
      </c>
      <c r="J1712" s="5">
        <f t="shared" si="106"/>
        <v>2020</v>
      </c>
    </row>
    <row r="1713" spans="4:10" x14ac:dyDescent="0.25">
      <c r="D1713" s="4">
        <v>34312</v>
      </c>
      <c r="E1713" s="6">
        <v>13.6</v>
      </c>
      <c r="G1713" s="4">
        <f t="shared" si="107"/>
        <v>43896</v>
      </c>
      <c r="H1713" s="5">
        <f t="shared" si="104"/>
        <v>45.6</v>
      </c>
      <c r="I1713" s="5">
        <f t="shared" si="105"/>
        <v>3</v>
      </c>
      <c r="J1713" s="5">
        <f t="shared" si="106"/>
        <v>2020</v>
      </c>
    </row>
    <row r="1714" spans="4:10" x14ac:dyDescent="0.25">
      <c r="D1714" s="4">
        <v>34313</v>
      </c>
      <c r="E1714" s="6">
        <v>13.8</v>
      </c>
      <c r="G1714" s="4">
        <f t="shared" si="107"/>
        <v>43903</v>
      </c>
      <c r="H1714" s="5">
        <f t="shared" si="104"/>
        <v>32.25</v>
      </c>
      <c r="I1714" s="5">
        <f t="shared" si="105"/>
        <v>3</v>
      </c>
      <c r="J1714" s="5">
        <f t="shared" si="106"/>
        <v>2020</v>
      </c>
    </row>
    <row r="1715" spans="4:10" x14ac:dyDescent="0.25">
      <c r="D1715" s="4">
        <v>34316</v>
      </c>
      <c r="E1715" s="6">
        <v>13.9</v>
      </c>
      <c r="G1715" s="4">
        <f t="shared" si="107"/>
        <v>43910</v>
      </c>
      <c r="H1715" s="5">
        <f t="shared" si="104"/>
        <v>25.55</v>
      </c>
      <c r="I1715" s="5">
        <f t="shared" si="105"/>
        <v>3</v>
      </c>
      <c r="J1715" s="5">
        <f t="shared" si="106"/>
        <v>2020</v>
      </c>
    </row>
    <row r="1716" spans="4:10" x14ac:dyDescent="0.25">
      <c r="D1716" s="4">
        <v>34317</v>
      </c>
      <c r="E1716" s="6">
        <v>14.78</v>
      </c>
      <c r="G1716" s="4">
        <f t="shared" si="107"/>
        <v>43917</v>
      </c>
      <c r="H1716" s="5">
        <f t="shared" si="104"/>
        <v>22.39</v>
      </c>
      <c r="I1716" s="5">
        <f t="shared" si="105"/>
        <v>3</v>
      </c>
      <c r="J1716" s="5">
        <f t="shared" si="106"/>
        <v>2020</v>
      </c>
    </row>
    <row r="1717" spans="4:10" x14ac:dyDescent="0.25">
      <c r="D1717" s="4">
        <v>34318</v>
      </c>
      <c r="E1717" s="6">
        <v>13.8</v>
      </c>
      <c r="G1717" s="4">
        <f t="shared" si="107"/>
        <v>43924</v>
      </c>
      <c r="H1717" s="5">
        <f t="shared" si="104"/>
        <v>24.33</v>
      </c>
      <c r="I1717" s="5">
        <f t="shared" si="105"/>
        <v>4</v>
      </c>
      <c r="J1717" s="5">
        <f t="shared" si="106"/>
        <v>2020</v>
      </c>
    </row>
    <row r="1718" spans="4:10" x14ac:dyDescent="0.25">
      <c r="D1718" s="4">
        <v>34319</v>
      </c>
      <c r="E1718" s="6">
        <v>13.63</v>
      </c>
      <c r="G1718" s="4">
        <f t="shared" si="107"/>
        <v>43931</v>
      </c>
      <c r="H1718" s="5">
        <f t="shared" si="104"/>
        <v>0</v>
      </c>
      <c r="I1718" s="5">
        <f t="shared" si="105"/>
        <v>4</v>
      </c>
      <c r="J1718" s="5">
        <f t="shared" si="106"/>
        <v>2020</v>
      </c>
    </row>
    <row r="1719" spans="4:10" x14ac:dyDescent="0.25">
      <c r="D1719" s="4">
        <v>34320</v>
      </c>
      <c r="E1719" s="6">
        <v>13.85</v>
      </c>
      <c r="G1719" s="4">
        <f t="shared" si="107"/>
        <v>43938</v>
      </c>
      <c r="H1719" s="5">
        <f t="shared" si="104"/>
        <v>19.75</v>
      </c>
      <c r="I1719" s="5">
        <f t="shared" si="105"/>
        <v>4</v>
      </c>
      <c r="J1719" s="5">
        <f t="shared" si="106"/>
        <v>2020</v>
      </c>
    </row>
    <row r="1720" spans="4:10" x14ac:dyDescent="0.25">
      <c r="D1720" s="4">
        <v>34323</v>
      </c>
      <c r="E1720" s="6">
        <v>13.63</v>
      </c>
      <c r="G1720" s="4">
        <f t="shared" si="107"/>
        <v>43945</v>
      </c>
      <c r="H1720" s="5">
        <f t="shared" si="104"/>
        <v>15.87</v>
      </c>
      <c r="I1720" s="5">
        <f t="shared" si="105"/>
        <v>4</v>
      </c>
      <c r="J1720" s="5">
        <f t="shared" si="106"/>
        <v>2020</v>
      </c>
    </row>
    <row r="1721" spans="4:10" x14ac:dyDescent="0.25">
      <c r="D1721" s="4">
        <v>34324</v>
      </c>
      <c r="E1721" s="6">
        <v>13.45</v>
      </c>
      <c r="G1721" s="4">
        <f t="shared" si="107"/>
        <v>43952</v>
      </c>
      <c r="H1721" s="5">
        <f t="shared" si="104"/>
        <v>18.489999999999998</v>
      </c>
      <c r="I1721" s="5">
        <f t="shared" si="105"/>
        <v>5</v>
      </c>
      <c r="J1721" s="5">
        <f t="shared" si="106"/>
        <v>2020</v>
      </c>
    </row>
    <row r="1722" spans="4:10" x14ac:dyDescent="0.25">
      <c r="D1722" s="4">
        <v>34325</v>
      </c>
      <c r="E1722" s="6">
        <v>13.6</v>
      </c>
      <c r="G1722" s="4">
        <f t="shared" si="107"/>
        <v>43959</v>
      </c>
      <c r="H1722" s="5">
        <f t="shared" si="104"/>
        <v>0</v>
      </c>
      <c r="I1722" s="5">
        <f t="shared" si="105"/>
        <v>5</v>
      </c>
      <c r="J1722" s="5">
        <f t="shared" si="106"/>
        <v>2020</v>
      </c>
    </row>
    <row r="1723" spans="4:10" x14ac:dyDescent="0.25">
      <c r="D1723" s="4">
        <v>34326</v>
      </c>
      <c r="E1723" s="6">
        <v>13.55</v>
      </c>
      <c r="G1723" s="4">
        <f t="shared" si="107"/>
        <v>43966</v>
      </c>
      <c r="H1723" s="5">
        <f t="shared" si="104"/>
        <v>30.95</v>
      </c>
      <c r="I1723" s="5">
        <f t="shared" si="105"/>
        <v>5</v>
      </c>
      <c r="J1723" s="5">
        <f t="shared" si="106"/>
        <v>2020</v>
      </c>
    </row>
    <row r="1724" spans="4:10" x14ac:dyDescent="0.25">
      <c r="D1724" s="4">
        <v>34327</v>
      </c>
      <c r="E1724" s="6">
        <v>13.38</v>
      </c>
      <c r="G1724" s="4">
        <f t="shared" si="107"/>
        <v>43973</v>
      </c>
      <c r="H1724" s="5">
        <f t="shared" si="104"/>
        <v>33.799999999999997</v>
      </c>
      <c r="I1724" s="5">
        <f t="shared" si="105"/>
        <v>5</v>
      </c>
      <c r="J1724" s="5">
        <f t="shared" si="106"/>
        <v>2020</v>
      </c>
    </row>
    <row r="1725" spans="4:10" x14ac:dyDescent="0.25">
      <c r="D1725" s="4">
        <v>34330</v>
      </c>
      <c r="E1725" s="5"/>
      <c r="G1725" s="4">
        <f t="shared" si="107"/>
        <v>43980</v>
      </c>
      <c r="H1725" s="5">
        <f t="shared" si="104"/>
        <v>34.15</v>
      </c>
      <c r="I1725" s="5">
        <f t="shared" si="105"/>
        <v>5</v>
      </c>
      <c r="J1725" s="5">
        <f t="shared" si="106"/>
        <v>2020</v>
      </c>
    </row>
    <row r="1726" spans="4:10" x14ac:dyDescent="0.25">
      <c r="D1726" s="4">
        <v>34331</v>
      </c>
      <c r="E1726" s="5"/>
      <c r="G1726" s="4">
        <f t="shared" si="107"/>
        <v>43987</v>
      </c>
      <c r="H1726" s="5">
        <f t="shared" si="104"/>
        <v>41</v>
      </c>
      <c r="I1726" s="5">
        <f t="shared" si="105"/>
        <v>6</v>
      </c>
      <c r="J1726" s="5">
        <f t="shared" si="106"/>
        <v>2020</v>
      </c>
    </row>
    <row r="1727" spans="4:10" x14ac:dyDescent="0.25">
      <c r="D1727" s="4">
        <v>34332</v>
      </c>
      <c r="E1727" s="6">
        <v>13.13</v>
      </c>
      <c r="G1727" s="4">
        <f t="shared" si="107"/>
        <v>43994</v>
      </c>
      <c r="H1727" s="5">
        <f t="shared" si="104"/>
        <v>38.54</v>
      </c>
      <c r="I1727" s="5">
        <f t="shared" si="105"/>
        <v>6</v>
      </c>
      <c r="J1727" s="5">
        <f t="shared" si="106"/>
        <v>2020</v>
      </c>
    </row>
    <row r="1728" spans="4:10" x14ac:dyDescent="0.25">
      <c r="D1728" s="4">
        <v>34333</v>
      </c>
      <c r="E1728" s="6">
        <v>13.2</v>
      </c>
      <c r="G1728" s="4">
        <f t="shared" si="107"/>
        <v>44001</v>
      </c>
      <c r="H1728" s="5">
        <f t="shared" si="104"/>
        <v>42.33</v>
      </c>
      <c r="I1728" s="5">
        <f t="shared" si="105"/>
        <v>6</v>
      </c>
      <c r="J1728" s="5">
        <f t="shared" si="106"/>
        <v>2020</v>
      </c>
    </row>
    <row r="1729" spans="4:10" x14ac:dyDescent="0.25">
      <c r="D1729" s="4">
        <v>34334</v>
      </c>
      <c r="E1729" s="6">
        <v>13.18</v>
      </c>
      <c r="G1729" s="4">
        <f t="shared" si="107"/>
        <v>44008</v>
      </c>
      <c r="H1729" s="5">
        <f t="shared" si="104"/>
        <v>40.97</v>
      </c>
      <c r="I1729" s="5">
        <f t="shared" si="105"/>
        <v>6</v>
      </c>
      <c r="J1729" s="5">
        <f t="shared" si="106"/>
        <v>2020</v>
      </c>
    </row>
    <row r="1730" spans="4:10" x14ac:dyDescent="0.25">
      <c r="D1730" s="4">
        <v>34337</v>
      </c>
      <c r="E1730" s="5"/>
      <c r="G1730" s="4">
        <f t="shared" si="107"/>
        <v>44015</v>
      </c>
      <c r="H1730" s="5">
        <f t="shared" si="104"/>
        <v>42.92</v>
      </c>
      <c r="I1730" s="5">
        <f t="shared" si="105"/>
        <v>7</v>
      </c>
      <c r="J1730" s="5">
        <f t="shared" si="106"/>
        <v>2020</v>
      </c>
    </row>
    <row r="1731" spans="4:10" x14ac:dyDescent="0.25">
      <c r="D1731" s="4">
        <v>34338</v>
      </c>
      <c r="E1731" s="6">
        <v>13.43</v>
      </c>
      <c r="G1731" s="4">
        <f t="shared" si="107"/>
        <v>44022</v>
      </c>
      <c r="H1731" s="5">
        <f t="shared" ref="H1731:H1794" si="108">_xlfn.XLOOKUP(G1731,D:D,E:E)</f>
        <v>43.27</v>
      </c>
      <c r="I1731" s="5">
        <f t="shared" ref="I1731:I1794" si="109">MONTH(G1731)</f>
        <v>7</v>
      </c>
      <c r="J1731" s="5">
        <f t="shared" ref="J1731:J1794" si="110">YEAR(G1731)</f>
        <v>2020</v>
      </c>
    </row>
    <row r="1732" spans="4:10" x14ac:dyDescent="0.25">
      <c r="D1732" s="4">
        <v>34339</v>
      </c>
      <c r="E1732" s="6">
        <v>14.1</v>
      </c>
      <c r="G1732" s="4">
        <f t="shared" ref="G1732:G1795" si="111">G1731+7</f>
        <v>44029</v>
      </c>
      <c r="H1732" s="5">
        <f t="shared" si="108"/>
        <v>43.53</v>
      </c>
      <c r="I1732" s="5">
        <f t="shared" si="109"/>
        <v>7</v>
      </c>
      <c r="J1732" s="5">
        <f t="shared" si="110"/>
        <v>2020</v>
      </c>
    </row>
    <row r="1733" spans="4:10" x14ac:dyDescent="0.25">
      <c r="D1733" s="4">
        <v>34340</v>
      </c>
      <c r="E1733" s="6">
        <v>14.55</v>
      </c>
      <c r="G1733" s="4">
        <f t="shared" si="111"/>
        <v>44036</v>
      </c>
      <c r="H1733" s="5">
        <f t="shared" si="108"/>
        <v>43.29</v>
      </c>
      <c r="I1733" s="5">
        <f t="shared" si="109"/>
        <v>7</v>
      </c>
      <c r="J1733" s="5">
        <f t="shared" si="110"/>
        <v>2020</v>
      </c>
    </row>
    <row r="1734" spans="4:10" x14ac:dyDescent="0.25">
      <c r="D1734" s="4">
        <v>34341</v>
      </c>
      <c r="E1734" s="6">
        <v>14.63</v>
      </c>
      <c r="G1734" s="4">
        <f t="shared" si="111"/>
        <v>44043</v>
      </c>
      <c r="H1734" s="5">
        <f t="shared" si="108"/>
        <v>43.13</v>
      </c>
      <c r="I1734" s="5">
        <f t="shared" si="109"/>
        <v>7</v>
      </c>
      <c r="J1734" s="5">
        <f t="shared" si="110"/>
        <v>2020</v>
      </c>
    </row>
    <row r="1735" spans="4:10" x14ac:dyDescent="0.25">
      <c r="D1735" s="4">
        <v>34344</v>
      </c>
      <c r="E1735" s="6">
        <v>14.15</v>
      </c>
      <c r="G1735" s="4">
        <f t="shared" si="111"/>
        <v>44050</v>
      </c>
      <c r="H1735" s="5">
        <f t="shared" si="108"/>
        <v>44.07</v>
      </c>
      <c r="I1735" s="5">
        <f t="shared" si="109"/>
        <v>8</v>
      </c>
      <c r="J1735" s="5">
        <f t="shared" si="110"/>
        <v>2020</v>
      </c>
    </row>
    <row r="1736" spans="4:10" x14ac:dyDescent="0.25">
      <c r="D1736" s="4">
        <v>34345</v>
      </c>
      <c r="E1736" s="6">
        <v>14.1</v>
      </c>
      <c r="G1736" s="4">
        <f t="shared" si="111"/>
        <v>44057</v>
      </c>
      <c r="H1736" s="5">
        <f t="shared" si="108"/>
        <v>44.86</v>
      </c>
      <c r="I1736" s="5">
        <f t="shared" si="109"/>
        <v>8</v>
      </c>
      <c r="J1736" s="5">
        <f t="shared" si="110"/>
        <v>2020</v>
      </c>
    </row>
    <row r="1737" spans="4:10" x14ac:dyDescent="0.25">
      <c r="D1737" s="4">
        <v>34346</v>
      </c>
      <c r="E1737" s="6">
        <v>13.9</v>
      </c>
      <c r="G1737" s="4">
        <f t="shared" si="111"/>
        <v>44064</v>
      </c>
      <c r="H1737" s="5">
        <f t="shared" si="108"/>
        <v>43.94</v>
      </c>
      <c r="I1737" s="5">
        <f t="shared" si="109"/>
        <v>8</v>
      </c>
      <c r="J1737" s="5">
        <f t="shared" si="110"/>
        <v>2020</v>
      </c>
    </row>
    <row r="1738" spans="4:10" x14ac:dyDescent="0.25">
      <c r="D1738" s="4">
        <v>34347</v>
      </c>
      <c r="E1738" s="6">
        <v>13.75</v>
      </c>
      <c r="G1738" s="4">
        <f t="shared" si="111"/>
        <v>44071</v>
      </c>
      <c r="H1738" s="5">
        <f t="shared" si="108"/>
        <v>45.22</v>
      </c>
      <c r="I1738" s="5">
        <f t="shared" si="109"/>
        <v>8</v>
      </c>
      <c r="J1738" s="5">
        <f t="shared" si="110"/>
        <v>2020</v>
      </c>
    </row>
    <row r="1739" spans="4:10" x14ac:dyDescent="0.25">
      <c r="D1739" s="4">
        <v>34348</v>
      </c>
      <c r="E1739" s="6">
        <v>14.1</v>
      </c>
      <c r="G1739" s="4">
        <f t="shared" si="111"/>
        <v>44078</v>
      </c>
      <c r="H1739" s="5">
        <f t="shared" si="108"/>
        <v>41.1</v>
      </c>
      <c r="I1739" s="5">
        <f t="shared" si="109"/>
        <v>9</v>
      </c>
      <c r="J1739" s="5">
        <f t="shared" si="110"/>
        <v>2020</v>
      </c>
    </row>
    <row r="1740" spans="4:10" x14ac:dyDescent="0.25">
      <c r="D1740" s="4">
        <v>34351</v>
      </c>
      <c r="E1740" s="6">
        <v>14.4</v>
      </c>
      <c r="G1740" s="4">
        <f t="shared" si="111"/>
        <v>44085</v>
      </c>
      <c r="H1740" s="5">
        <f t="shared" si="108"/>
        <v>38.799999999999997</v>
      </c>
      <c r="I1740" s="5">
        <f t="shared" si="109"/>
        <v>9</v>
      </c>
      <c r="J1740" s="5">
        <f t="shared" si="110"/>
        <v>2020</v>
      </c>
    </row>
    <row r="1741" spans="4:10" x14ac:dyDescent="0.25">
      <c r="D1741" s="4">
        <v>34352</v>
      </c>
      <c r="E1741" s="6">
        <v>14.1</v>
      </c>
      <c r="G1741" s="4">
        <f t="shared" si="111"/>
        <v>44092</v>
      </c>
      <c r="H1741" s="5">
        <f t="shared" si="108"/>
        <v>42.16</v>
      </c>
      <c r="I1741" s="5">
        <f t="shared" si="109"/>
        <v>9</v>
      </c>
      <c r="J1741" s="5">
        <f t="shared" si="110"/>
        <v>2020</v>
      </c>
    </row>
    <row r="1742" spans="4:10" x14ac:dyDescent="0.25">
      <c r="D1742" s="4">
        <v>34353</v>
      </c>
      <c r="E1742" s="6">
        <v>14.25</v>
      </c>
      <c r="G1742" s="4">
        <f t="shared" si="111"/>
        <v>44099</v>
      </c>
      <c r="H1742" s="5">
        <f t="shared" si="108"/>
        <v>40.909999999999997</v>
      </c>
      <c r="I1742" s="5">
        <f t="shared" si="109"/>
        <v>9</v>
      </c>
      <c r="J1742" s="5">
        <f t="shared" si="110"/>
        <v>2020</v>
      </c>
    </row>
    <row r="1743" spans="4:10" x14ac:dyDescent="0.25">
      <c r="D1743" s="4">
        <v>34354</v>
      </c>
      <c r="E1743" s="6">
        <v>14.1</v>
      </c>
      <c r="G1743" s="4">
        <f t="shared" si="111"/>
        <v>44106</v>
      </c>
      <c r="H1743" s="5">
        <f t="shared" si="108"/>
        <v>38</v>
      </c>
      <c r="I1743" s="5">
        <f t="shared" si="109"/>
        <v>10</v>
      </c>
      <c r="J1743" s="5">
        <f t="shared" si="110"/>
        <v>2020</v>
      </c>
    </row>
    <row r="1744" spans="4:10" x14ac:dyDescent="0.25">
      <c r="D1744" s="4">
        <v>34355</v>
      </c>
      <c r="E1744" s="6">
        <v>14.23</v>
      </c>
      <c r="G1744" s="4">
        <f t="shared" si="111"/>
        <v>44113</v>
      </c>
      <c r="H1744" s="5">
        <f t="shared" si="108"/>
        <v>41.63</v>
      </c>
      <c r="I1744" s="5">
        <f t="shared" si="109"/>
        <v>10</v>
      </c>
      <c r="J1744" s="5">
        <f t="shared" si="110"/>
        <v>2020</v>
      </c>
    </row>
    <row r="1745" spans="4:10" x14ac:dyDescent="0.25">
      <c r="D1745" s="4">
        <v>34358</v>
      </c>
      <c r="E1745" s="6">
        <v>14.35</v>
      </c>
      <c r="G1745" s="4">
        <f t="shared" si="111"/>
        <v>44120</v>
      </c>
      <c r="H1745" s="5">
        <f t="shared" si="108"/>
        <v>41.34</v>
      </c>
      <c r="I1745" s="5">
        <f t="shared" si="109"/>
        <v>10</v>
      </c>
      <c r="J1745" s="5">
        <f t="shared" si="110"/>
        <v>2020</v>
      </c>
    </row>
    <row r="1746" spans="4:10" x14ac:dyDescent="0.25">
      <c r="D1746" s="4">
        <v>34359</v>
      </c>
      <c r="E1746" s="6">
        <v>14.63</v>
      </c>
      <c r="G1746" s="4">
        <f t="shared" si="111"/>
        <v>44127</v>
      </c>
      <c r="H1746" s="5">
        <f t="shared" si="108"/>
        <v>40.71</v>
      </c>
      <c r="I1746" s="5">
        <f t="shared" si="109"/>
        <v>10</v>
      </c>
      <c r="J1746" s="5">
        <f t="shared" si="110"/>
        <v>2020</v>
      </c>
    </row>
    <row r="1747" spans="4:10" x14ac:dyDescent="0.25">
      <c r="D1747" s="4">
        <v>34360</v>
      </c>
      <c r="E1747" s="6">
        <v>14.8</v>
      </c>
      <c r="G1747" s="4">
        <f t="shared" si="111"/>
        <v>44134</v>
      </c>
      <c r="H1747" s="5">
        <f t="shared" si="108"/>
        <v>36.33</v>
      </c>
      <c r="I1747" s="5">
        <f t="shared" si="109"/>
        <v>10</v>
      </c>
      <c r="J1747" s="5">
        <f t="shared" si="110"/>
        <v>2020</v>
      </c>
    </row>
    <row r="1748" spans="4:10" x14ac:dyDescent="0.25">
      <c r="D1748" s="4">
        <v>34361</v>
      </c>
      <c r="E1748" s="6">
        <v>14.78</v>
      </c>
      <c r="G1748" s="4">
        <f t="shared" si="111"/>
        <v>44141</v>
      </c>
      <c r="H1748" s="5">
        <f t="shared" si="108"/>
        <v>38.08</v>
      </c>
      <c r="I1748" s="5">
        <f t="shared" si="109"/>
        <v>11</v>
      </c>
      <c r="J1748" s="5">
        <f t="shared" si="110"/>
        <v>2020</v>
      </c>
    </row>
    <row r="1749" spans="4:10" x14ac:dyDescent="0.25">
      <c r="D1749" s="4">
        <v>34362</v>
      </c>
      <c r="E1749" s="6">
        <v>14.65</v>
      </c>
      <c r="G1749" s="4">
        <f t="shared" si="111"/>
        <v>44148</v>
      </c>
      <c r="H1749" s="5">
        <f t="shared" si="108"/>
        <v>41.51</v>
      </c>
      <c r="I1749" s="5">
        <f t="shared" si="109"/>
        <v>11</v>
      </c>
      <c r="J1749" s="5">
        <f t="shared" si="110"/>
        <v>2020</v>
      </c>
    </row>
    <row r="1750" spans="4:10" x14ac:dyDescent="0.25">
      <c r="D1750" s="4">
        <v>34365</v>
      </c>
      <c r="E1750" s="6">
        <v>14.83</v>
      </c>
      <c r="G1750" s="4">
        <f t="shared" si="111"/>
        <v>44155</v>
      </c>
      <c r="H1750" s="5">
        <f t="shared" si="108"/>
        <v>43.79</v>
      </c>
      <c r="I1750" s="5">
        <f t="shared" si="109"/>
        <v>11</v>
      </c>
      <c r="J1750" s="5">
        <f t="shared" si="110"/>
        <v>2020</v>
      </c>
    </row>
    <row r="1751" spans="4:10" x14ac:dyDescent="0.25">
      <c r="D1751" s="4">
        <v>34366</v>
      </c>
      <c r="E1751" s="6">
        <v>15.03</v>
      </c>
      <c r="G1751" s="4">
        <f t="shared" si="111"/>
        <v>44162</v>
      </c>
      <c r="H1751" s="5">
        <f t="shared" si="108"/>
        <v>46.88</v>
      </c>
      <c r="I1751" s="5">
        <f t="shared" si="109"/>
        <v>11</v>
      </c>
      <c r="J1751" s="5">
        <f t="shared" si="110"/>
        <v>2020</v>
      </c>
    </row>
    <row r="1752" spans="4:10" x14ac:dyDescent="0.25">
      <c r="D1752" s="4">
        <v>34367</v>
      </c>
      <c r="E1752" s="6">
        <v>15.4</v>
      </c>
      <c r="G1752" s="4">
        <f t="shared" si="111"/>
        <v>44169</v>
      </c>
      <c r="H1752" s="5">
        <f t="shared" si="108"/>
        <v>49.1</v>
      </c>
      <c r="I1752" s="5">
        <f t="shared" si="109"/>
        <v>12</v>
      </c>
      <c r="J1752" s="5">
        <f t="shared" si="110"/>
        <v>2020</v>
      </c>
    </row>
    <row r="1753" spans="4:10" x14ac:dyDescent="0.25">
      <c r="D1753" s="4">
        <v>34368</v>
      </c>
      <c r="E1753" s="6">
        <v>15.48</v>
      </c>
      <c r="G1753" s="4">
        <f t="shared" si="111"/>
        <v>44176</v>
      </c>
      <c r="H1753" s="5">
        <f t="shared" si="108"/>
        <v>50.01</v>
      </c>
      <c r="I1753" s="5">
        <f t="shared" si="109"/>
        <v>12</v>
      </c>
      <c r="J1753" s="5">
        <f t="shared" si="110"/>
        <v>2020</v>
      </c>
    </row>
    <row r="1754" spans="4:10" x14ac:dyDescent="0.25">
      <c r="D1754" s="4">
        <v>34369</v>
      </c>
      <c r="E1754" s="6">
        <v>14.93</v>
      </c>
      <c r="G1754" s="4">
        <f t="shared" si="111"/>
        <v>44183</v>
      </c>
      <c r="H1754" s="5">
        <f t="shared" si="108"/>
        <v>52.17</v>
      </c>
      <c r="I1754" s="5">
        <f t="shared" si="109"/>
        <v>12</v>
      </c>
      <c r="J1754" s="5">
        <f t="shared" si="110"/>
        <v>2020</v>
      </c>
    </row>
    <row r="1755" spans="4:10" x14ac:dyDescent="0.25">
      <c r="D1755" s="4">
        <v>34372</v>
      </c>
      <c r="E1755" s="6">
        <v>14.6</v>
      </c>
      <c r="G1755" s="4">
        <f t="shared" si="111"/>
        <v>44190</v>
      </c>
      <c r="H1755" s="5">
        <f t="shared" si="108"/>
        <v>0</v>
      </c>
      <c r="I1755" s="5">
        <f t="shared" si="109"/>
        <v>12</v>
      </c>
      <c r="J1755" s="5">
        <f t="shared" si="110"/>
        <v>2020</v>
      </c>
    </row>
    <row r="1756" spans="4:10" x14ac:dyDescent="0.25">
      <c r="D1756" s="4">
        <v>34373</v>
      </c>
      <c r="E1756" s="6">
        <v>14.13</v>
      </c>
      <c r="G1756" s="4">
        <f t="shared" si="111"/>
        <v>44197</v>
      </c>
      <c r="H1756" s="5">
        <f t="shared" si="108"/>
        <v>0</v>
      </c>
      <c r="I1756" s="5">
        <f t="shared" si="109"/>
        <v>1</v>
      </c>
      <c r="J1756" s="5">
        <f t="shared" si="110"/>
        <v>2021</v>
      </c>
    </row>
    <row r="1757" spans="4:10" x14ac:dyDescent="0.25">
      <c r="D1757" s="4">
        <v>34374</v>
      </c>
      <c r="E1757" s="6">
        <v>13.53</v>
      </c>
      <c r="G1757" s="4">
        <f t="shared" si="111"/>
        <v>44204</v>
      </c>
      <c r="H1757" s="5">
        <f t="shared" si="108"/>
        <v>55.51</v>
      </c>
      <c r="I1757" s="5">
        <f t="shared" si="109"/>
        <v>1</v>
      </c>
      <c r="J1757" s="5">
        <f t="shared" si="110"/>
        <v>2021</v>
      </c>
    </row>
    <row r="1758" spans="4:10" x14ac:dyDescent="0.25">
      <c r="D1758" s="4">
        <v>34375</v>
      </c>
      <c r="E1758" s="6">
        <v>13.58</v>
      </c>
      <c r="G1758" s="4">
        <f t="shared" si="111"/>
        <v>44211</v>
      </c>
      <c r="H1758" s="5">
        <f t="shared" si="108"/>
        <v>54.8</v>
      </c>
      <c r="I1758" s="5">
        <f t="shared" si="109"/>
        <v>1</v>
      </c>
      <c r="J1758" s="5">
        <f t="shared" si="110"/>
        <v>2021</v>
      </c>
    </row>
    <row r="1759" spans="4:10" x14ac:dyDescent="0.25">
      <c r="D1759" s="4">
        <v>34376</v>
      </c>
      <c r="E1759" s="6">
        <v>13.7</v>
      </c>
      <c r="G1759" s="4">
        <f t="shared" si="111"/>
        <v>44218</v>
      </c>
      <c r="H1759" s="5">
        <f t="shared" si="108"/>
        <v>55.22</v>
      </c>
      <c r="I1759" s="5">
        <f t="shared" si="109"/>
        <v>1</v>
      </c>
      <c r="J1759" s="5">
        <f t="shared" si="110"/>
        <v>2021</v>
      </c>
    </row>
    <row r="1760" spans="4:10" x14ac:dyDescent="0.25">
      <c r="D1760" s="4">
        <v>34379</v>
      </c>
      <c r="E1760" s="6">
        <v>13.4</v>
      </c>
      <c r="G1760" s="4">
        <f t="shared" si="111"/>
        <v>44225</v>
      </c>
      <c r="H1760" s="5">
        <f t="shared" si="108"/>
        <v>55.25</v>
      </c>
      <c r="I1760" s="5">
        <f t="shared" si="109"/>
        <v>1</v>
      </c>
      <c r="J1760" s="5">
        <f t="shared" si="110"/>
        <v>2021</v>
      </c>
    </row>
    <row r="1761" spans="4:10" x14ac:dyDescent="0.25">
      <c r="D1761" s="4">
        <v>34380</v>
      </c>
      <c r="E1761" s="6">
        <v>13.13</v>
      </c>
      <c r="G1761" s="4">
        <f t="shared" si="111"/>
        <v>44232</v>
      </c>
      <c r="H1761" s="5">
        <f t="shared" si="108"/>
        <v>59.48</v>
      </c>
      <c r="I1761" s="5">
        <f t="shared" si="109"/>
        <v>2</v>
      </c>
      <c r="J1761" s="5">
        <f t="shared" si="110"/>
        <v>2021</v>
      </c>
    </row>
    <row r="1762" spans="4:10" x14ac:dyDescent="0.25">
      <c r="D1762" s="4">
        <v>34381</v>
      </c>
      <c r="E1762" s="6">
        <v>13.08</v>
      </c>
      <c r="G1762" s="4">
        <f t="shared" si="111"/>
        <v>44239</v>
      </c>
      <c r="H1762" s="5">
        <f t="shared" si="108"/>
        <v>62.47</v>
      </c>
      <c r="I1762" s="5">
        <f t="shared" si="109"/>
        <v>2</v>
      </c>
      <c r="J1762" s="5">
        <f t="shared" si="110"/>
        <v>2021</v>
      </c>
    </row>
    <row r="1763" spans="4:10" x14ac:dyDescent="0.25">
      <c r="D1763" s="4">
        <v>34382</v>
      </c>
      <c r="E1763" s="6">
        <v>13.28</v>
      </c>
      <c r="G1763" s="4">
        <f t="shared" si="111"/>
        <v>44246</v>
      </c>
      <c r="H1763" s="5">
        <f t="shared" si="108"/>
        <v>62.84</v>
      </c>
      <c r="I1763" s="5">
        <f t="shared" si="109"/>
        <v>2</v>
      </c>
      <c r="J1763" s="5">
        <f t="shared" si="110"/>
        <v>2021</v>
      </c>
    </row>
    <row r="1764" spans="4:10" x14ac:dyDescent="0.25">
      <c r="D1764" s="4">
        <v>34383</v>
      </c>
      <c r="E1764" s="6">
        <v>13</v>
      </c>
      <c r="G1764" s="4">
        <f t="shared" si="111"/>
        <v>44253</v>
      </c>
      <c r="H1764" s="5">
        <f t="shared" si="108"/>
        <v>65.86</v>
      </c>
      <c r="I1764" s="5">
        <f t="shared" si="109"/>
        <v>2</v>
      </c>
      <c r="J1764" s="5">
        <f t="shared" si="110"/>
        <v>2021</v>
      </c>
    </row>
    <row r="1765" spans="4:10" x14ac:dyDescent="0.25">
      <c r="D1765" s="4">
        <v>34386</v>
      </c>
      <c r="E1765" s="6">
        <v>13.05</v>
      </c>
      <c r="G1765" s="4">
        <f t="shared" si="111"/>
        <v>44260</v>
      </c>
      <c r="H1765" s="5">
        <f t="shared" si="108"/>
        <v>69.95</v>
      </c>
      <c r="I1765" s="5">
        <f t="shared" si="109"/>
        <v>3</v>
      </c>
      <c r="J1765" s="5">
        <f t="shared" si="110"/>
        <v>2021</v>
      </c>
    </row>
    <row r="1766" spans="4:10" x14ac:dyDescent="0.25">
      <c r="D1766" s="4">
        <v>34387</v>
      </c>
      <c r="E1766" s="6">
        <v>13.2</v>
      </c>
      <c r="G1766" s="4">
        <f t="shared" si="111"/>
        <v>44267</v>
      </c>
      <c r="H1766" s="5">
        <f t="shared" si="108"/>
        <v>68.87</v>
      </c>
      <c r="I1766" s="5">
        <f t="shared" si="109"/>
        <v>3</v>
      </c>
      <c r="J1766" s="5">
        <f t="shared" si="110"/>
        <v>2021</v>
      </c>
    </row>
    <row r="1767" spans="4:10" x14ac:dyDescent="0.25">
      <c r="D1767" s="4">
        <v>34388</v>
      </c>
      <c r="E1767" s="6">
        <v>13.2</v>
      </c>
      <c r="G1767" s="4">
        <f t="shared" si="111"/>
        <v>44274</v>
      </c>
      <c r="H1767" s="5">
        <f t="shared" si="108"/>
        <v>64</v>
      </c>
      <c r="I1767" s="5">
        <f t="shared" si="109"/>
        <v>3</v>
      </c>
      <c r="J1767" s="5">
        <f t="shared" si="110"/>
        <v>2021</v>
      </c>
    </row>
    <row r="1768" spans="4:10" x14ac:dyDescent="0.25">
      <c r="D1768" s="4">
        <v>34389</v>
      </c>
      <c r="E1768" s="6">
        <v>13.4</v>
      </c>
      <c r="G1768" s="4">
        <f t="shared" si="111"/>
        <v>44281</v>
      </c>
      <c r="H1768" s="5">
        <f t="shared" si="108"/>
        <v>63.77</v>
      </c>
      <c r="I1768" s="5">
        <f t="shared" si="109"/>
        <v>3</v>
      </c>
      <c r="J1768" s="5">
        <f t="shared" si="110"/>
        <v>2021</v>
      </c>
    </row>
    <row r="1769" spans="4:10" x14ac:dyDescent="0.25">
      <c r="D1769" s="4">
        <v>34390</v>
      </c>
      <c r="E1769" s="6">
        <v>13.33</v>
      </c>
      <c r="G1769" s="4">
        <f t="shared" si="111"/>
        <v>44288</v>
      </c>
      <c r="H1769" s="5">
        <f t="shared" si="108"/>
        <v>0</v>
      </c>
      <c r="I1769" s="5">
        <f t="shared" si="109"/>
        <v>4</v>
      </c>
      <c r="J1769" s="5">
        <f t="shared" si="110"/>
        <v>2021</v>
      </c>
    </row>
    <row r="1770" spans="4:10" x14ac:dyDescent="0.25">
      <c r="D1770" s="4">
        <v>34393</v>
      </c>
      <c r="E1770" s="6">
        <v>13.59</v>
      </c>
      <c r="G1770" s="4">
        <f t="shared" si="111"/>
        <v>44295</v>
      </c>
      <c r="H1770" s="5">
        <f t="shared" si="108"/>
        <v>61.89</v>
      </c>
      <c r="I1770" s="5">
        <f t="shared" si="109"/>
        <v>4</v>
      </c>
      <c r="J1770" s="5">
        <f t="shared" si="110"/>
        <v>2021</v>
      </c>
    </row>
    <row r="1771" spans="4:10" x14ac:dyDescent="0.25">
      <c r="D1771" s="4">
        <v>34394</v>
      </c>
      <c r="E1771" s="6">
        <v>13.45</v>
      </c>
      <c r="G1771" s="4">
        <f t="shared" si="111"/>
        <v>44302</v>
      </c>
      <c r="H1771" s="5">
        <f t="shared" si="108"/>
        <v>65.98</v>
      </c>
      <c r="I1771" s="5">
        <f t="shared" si="109"/>
        <v>4</v>
      </c>
      <c r="J1771" s="5">
        <f t="shared" si="110"/>
        <v>2021</v>
      </c>
    </row>
    <row r="1772" spans="4:10" x14ac:dyDescent="0.25">
      <c r="D1772" s="4">
        <v>34395</v>
      </c>
      <c r="E1772" s="6">
        <v>13.5</v>
      </c>
      <c r="G1772" s="4">
        <f t="shared" si="111"/>
        <v>44309</v>
      </c>
      <c r="H1772" s="5">
        <f t="shared" si="108"/>
        <v>65.75</v>
      </c>
      <c r="I1772" s="5">
        <f t="shared" si="109"/>
        <v>4</v>
      </c>
      <c r="J1772" s="5">
        <f t="shared" si="110"/>
        <v>2021</v>
      </c>
    </row>
    <row r="1773" spans="4:10" x14ac:dyDescent="0.25">
      <c r="D1773" s="4">
        <v>34396</v>
      </c>
      <c r="E1773" s="6">
        <v>13.55</v>
      </c>
      <c r="G1773" s="4">
        <f t="shared" si="111"/>
        <v>44316</v>
      </c>
      <c r="H1773" s="5">
        <f t="shared" si="108"/>
        <v>67.73</v>
      </c>
      <c r="I1773" s="5">
        <f t="shared" si="109"/>
        <v>4</v>
      </c>
      <c r="J1773" s="5">
        <f t="shared" si="110"/>
        <v>2021</v>
      </c>
    </row>
    <row r="1774" spans="4:10" x14ac:dyDescent="0.25">
      <c r="D1774" s="4">
        <v>34397</v>
      </c>
      <c r="E1774" s="6">
        <v>13.43</v>
      </c>
      <c r="G1774" s="4">
        <f t="shared" si="111"/>
        <v>44323</v>
      </c>
      <c r="H1774" s="5">
        <f t="shared" si="108"/>
        <v>68.73</v>
      </c>
      <c r="I1774" s="5">
        <f t="shared" si="109"/>
        <v>5</v>
      </c>
      <c r="J1774" s="5">
        <f t="shared" si="110"/>
        <v>2021</v>
      </c>
    </row>
    <row r="1775" spans="4:10" x14ac:dyDescent="0.25">
      <c r="D1775" s="4">
        <v>34400</v>
      </c>
      <c r="E1775" s="6">
        <v>13.13</v>
      </c>
      <c r="G1775" s="4">
        <f t="shared" si="111"/>
        <v>44330</v>
      </c>
      <c r="H1775" s="5">
        <f t="shared" si="108"/>
        <v>69.239999999999995</v>
      </c>
      <c r="I1775" s="5">
        <f t="shared" si="109"/>
        <v>5</v>
      </c>
      <c r="J1775" s="5">
        <f t="shared" si="110"/>
        <v>2021</v>
      </c>
    </row>
    <row r="1776" spans="4:10" x14ac:dyDescent="0.25">
      <c r="D1776" s="4">
        <v>34401</v>
      </c>
      <c r="E1776" s="6">
        <v>13.15</v>
      </c>
      <c r="G1776" s="4">
        <f t="shared" si="111"/>
        <v>44337</v>
      </c>
      <c r="H1776" s="5">
        <f t="shared" si="108"/>
        <v>66.72</v>
      </c>
      <c r="I1776" s="5">
        <f t="shared" si="109"/>
        <v>5</v>
      </c>
      <c r="J1776" s="5">
        <f t="shared" si="110"/>
        <v>2021</v>
      </c>
    </row>
    <row r="1777" spans="4:10" x14ac:dyDescent="0.25">
      <c r="D1777" s="4">
        <v>34402</v>
      </c>
      <c r="E1777" s="6">
        <v>13.3</v>
      </c>
      <c r="G1777" s="4">
        <f t="shared" si="111"/>
        <v>44344</v>
      </c>
      <c r="H1777" s="5">
        <f t="shared" si="108"/>
        <v>69.36</v>
      </c>
      <c r="I1777" s="5">
        <f t="shared" si="109"/>
        <v>5</v>
      </c>
      <c r="J1777" s="5">
        <f t="shared" si="110"/>
        <v>2021</v>
      </c>
    </row>
    <row r="1778" spans="4:10" x14ac:dyDescent="0.25">
      <c r="D1778" s="4">
        <v>34403</v>
      </c>
      <c r="E1778" s="6">
        <v>13.23</v>
      </c>
      <c r="G1778" s="4">
        <f t="shared" si="111"/>
        <v>44351</v>
      </c>
      <c r="H1778" s="5">
        <f t="shared" si="108"/>
        <v>71.3</v>
      </c>
      <c r="I1778" s="5">
        <f t="shared" si="109"/>
        <v>6</v>
      </c>
      <c r="J1778" s="5">
        <f t="shared" si="110"/>
        <v>2021</v>
      </c>
    </row>
    <row r="1779" spans="4:10" x14ac:dyDescent="0.25">
      <c r="D1779" s="4">
        <v>34404</v>
      </c>
      <c r="E1779" s="6">
        <v>13.7</v>
      </c>
      <c r="G1779" s="4">
        <f t="shared" si="111"/>
        <v>44358</v>
      </c>
      <c r="H1779" s="5">
        <f t="shared" si="108"/>
        <v>72.05</v>
      </c>
      <c r="I1779" s="5">
        <f t="shared" si="109"/>
        <v>6</v>
      </c>
      <c r="J1779" s="5">
        <f t="shared" si="110"/>
        <v>2021</v>
      </c>
    </row>
    <row r="1780" spans="4:10" x14ac:dyDescent="0.25">
      <c r="D1780" s="4">
        <v>34407</v>
      </c>
      <c r="E1780" s="6">
        <v>14.03</v>
      </c>
      <c r="G1780" s="4">
        <f t="shared" si="111"/>
        <v>44365</v>
      </c>
      <c r="H1780" s="5">
        <f t="shared" si="108"/>
        <v>73.099999999999994</v>
      </c>
      <c r="I1780" s="5">
        <f t="shared" si="109"/>
        <v>6</v>
      </c>
      <c r="J1780" s="5">
        <f t="shared" si="110"/>
        <v>2021</v>
      </c>
    </row>
    <row r="1781" spans="4:10" x14ac:dyDescent="0.25">
      <c r="D1781" s="4">
        <v>34408</v>
      </c>
      <c r="E1781" s="6">
        <v>14.28</v>
      </c>
      <c r="G1781" s="4">
        <f t="shared" si="111"/>
        <v>44372</v>
      </c>
      <c r="H1781" s="5">
        <f t="shared" si="108"/>
        <v>76.45</v>
      </c>
      <c r="I1781" s="5">
        <f t="shared" si="109"/>
        <v>6</v>
      </c>
      <c r="J1781" s="5">
        <f t="shared" si="110"/>
        <v>2021</v>
      </c>
    </row>
    <row r="1782" spans="4:10" x14ac:dyDescent="0.25">
      <c r="D1782" s="4">
        <v>34409</v>
      </c>
      <c r="E1782" s="6">
        <v>14.3</v>
      </c>
      <c r="G1782" s="4">
        <f t="shared" si="111"/>
        <v>44379</v>
      </c>
      <c r="H1782" s="5">
        <f t="shared" si="108"/>
        <v>77.510000000000005</v>
      </c>
      <c r="I1782" s="5">
        <f t="shared" si="109"/>
        <v>7</v>
      </c>
      <c r="J1782" s="5">
        <f t="shared" si="110"/>
        <v>2021</v>
      </c>
    </row>
    <row r="1783" spans="4:10" x14ac:dyDescent="0.25">
      <c r="D1783" s="4">
        <v>34410</v>
      </c>
      <c r="E1783" s="6">
        <v>14.25</v>
      </c>
      <c r="G1783" s="4">
        <f t="shared" si="111"/>
        <v>44386</v>
      </c>
      <c r="H1783" s="5">
        <f t="shared" si="108"/>
        <v>77.14</v>
      </c>
      <c r="I1783" s="5">
        <f t="shared" si="109"/>
        <v>7</v>
      </c>
      <c r="J1783" s="5">
        <f t="shared" si="110"/>
        <v>2021</v>
      </c>
    </row>
    <row r="1784" spans="4:10" x14ac:dyDescent="0.25">
      <c r="D1784" s="4">
        <v>34411</v>
      </c>
      <c r="E1784" s="6">
        <v>14.05</v>
      </c>
      <c r="G1784" s="4">
        <f t="shared" si="111"/>
        <v>44393</v>
      </c>
      <c r="H1784" s="5">
        <f t="shared" si="108"/>
        <v>74.459999999999994</v>
      </c>
      <c r="I1784" s="5">
        <f t="shared" si="109"/>
        <v>7</v>
      </c>
      <c r="J1784" s="5">
        <f t="shared" si="110"/>
        <v>2021</v>
      </c>
    </row>
    <row r="1785" spans="4:10" x14ac:dyDescent="0.25">
      <c r="D1785" s="4">
        <v>34414</v>
      </c>
      <c r="E1785" s="6">
        <v>14.55</v>
      </c>
      <c r="G1785" s="4">
        <f t="shared" si="111"/>
        <v>44400</v>
      </c>
      <c r="H1785" s="5">
        <f t="shared" si="108"/>
        <v>74.86</v>
      </c>
      <c r="I1785" s="5">
        <f t="shared" si="109"/>
        <v>7</v>
      </c>
      <c r="J1785" s="5">
        <f t="shared" si="110"/>
        <v>2021</v>
      </c>
    </row>
    <row r="1786" spans="4:10" x14ac:dyDescent="0.25">
      <c r="D1786" s="4">
        <v>34415</v>
      </c>
      <c r="E1786" s="6">
        <v>14.8</v>
      </c>
      <c r="G1786" s="4">
        <f t="shared" si="111"/>
        <v>44407</v>
      </c>
      <c r="H1786" s="5">
        <f t="shared" si="108"/>
        <v>77.72</v>
      </c>
      <c r="I1786" s="5">
        <f t="shared" si="109"/>
        <v>7</v>
      </c>
      <c r="J1786" s="5">
        <f t="shared" si="110"/>
        <v>2021</v>
      </c>
    </row>
    <row r="1787" spans="4:10" x14ac:dyDescent="0.25">
      <c r="D1787" s="4">
        <v>34416</v>
      </c>
      <c r="E1787" s="6">
        <v>14.5</v>
      </c>
      <c r="G1787" s="4">
        <f t="shared" si="111"/>
        <v>44414</v>
      </c>
      <c r="H1787" s="5">
        <f t="shared" si="108"/>
        <v>71.02</v>
      </c>
      <c r="I1787" s="5">
        <f t="shared" si="109"/>
        <v>8</v>
      </c>
      <c r="J1787" s="5">
        <f t="shared" si="110"/>
        <v>2021</v>
      </c>
    </row>
    <row r="1788" spans="4:10" x14ac:dyDescent="0.25">
      <c r="D1788" s="4">
        <v>34417</v>
      </c>
      <c r="E1788" s="6">
        <v>14.53</v>
      </c>
      <c r="G1788" s="4">
        <f t="shared" si="111"/>
        <v>44421</v>
      </c>
      <c r="H1788" s="5">
        <f t="shared" si="108"/>
        <v>70.900000000000006</v>
      </c>
      <c r="I1788" s="5">
        <f t="shared" si="109"/>
        <v>8</v>
      </c>
      <c r="J1788" s="5">
        <f t="shared" si="110"/>
        <v>2021</v>
      </c>
    </row>
    <row r="1789" spans="4:10" x14ac:dyDescent="0.25">
      <c r="D1789" s="4">
        <v>34418</v>
      </c>
      <c r="E1789" s="6">
        <v>14.58</v>
      </c>
      <c r="G1789" s="4">
        <f t="shared" si="111"/>
        <v>44428</v>
      </c>
      <c r="H1789" s="5">
        <f t="shared" si="108"/>
        <v>65.510000000000005</v>
      </c>
      <c r="I1789" s="5">
        <f t="shared" si="109"/>
        <v>8</v>
      </c>
      <c r="J1789" s="5">
        <f t="shared" si="110"/>
        <v>2021</v>
      </c>
    </row>
    <row r="1790" spans="4:10" x14ac:dyDescent="0.25">
      <c r="D1790" s="4">
        <v>34421</v>
      </c>
      <c r="E1790" s="6">
        <v>13.75</v>
      </c>
      <c r="G1790" s="4">
        <f t="shared" si="111"/>
        <v>44435</v>
      </c>
      <c r="H1790" s="5">
        <f t="shared" si="108"/>
        <v>72.260000000000005</v>
      </c>
      <c r="I1790" s="5">
        <f t="shared" si="109"/>
        <v>8</v>
      </c>
      <c r="J1790" s="5">
        <f t="shared" si="110"/>
        <v>2021</v>
      </c>
    </row>
    <row r="1791" spans="4:10" x14ac:dyDescent="0.25">
      <c r="D1791" s="4">
        <v>34422</v>
      </c>
      <c r="E1791" s="6">
        <v>13.38</v>
      </c>
      <c r="G1791" s="4">
        <f t="shared" si="111"/>
        <v>44442</v>
      </c>
      <c r="H1791" s="5">
        <f t="shared" si="108"/>
        <v>73.069999999999993</v>
      </c>
      <c r="I1791" s="5">
        <f t="shared" si="109"/>
        <v>9</v>
      </c>
      <c r="J1791" s="5">
        <f t="shared" si="110"/>
        <v>2021</v>
      </c>
    </row>
    <row r="1792" spans="4:10" x14ac:dyDescent="0.25">
      <c r="D1792" s="4">
        <v>34423</v>
      </c>
      <c r="E1792" s="6">
        <v>13.23</v>
      </c>
      <c r="G1792" s="4">
        <f t="shared" si="111"/>
        <v>44449</v>
      </c>
      <c r="H1792" s="5">
        <f t="shared" si="108"/>
        <v>72.44</v>
      </c>
      <c r="I1792" s="5">
        <f t="shared" si="109"/>
        <v>9</v>
      </c>
      <c r="J1792" s="5">
        <f t="shared" si="110"/>
        <v>2021</v>
      </c>
    </row>
    <row r="1793" spans="4:10" x14ac:dyDescent="0.25">
      <c r="D1793" s="4">
        <v>34424</v>
      </c>
      <c r="E1793" s="6">
        <v>13.25</v>
      </c>
      <c r="G1793" s="4">
        <f t="shared" si="111"/>
        <v>44456</v>
      </c>
      <c r="H1793" s="5">
        <f t="shared" si="108"/>
        <v>74.64</v>
      </c>
      <c r="I1793" s="5">
        <f t="shared" si="109"/>
        <v>9</v>
      </c>
      <c r="J1793" s="5">
        <f t="shared" si="110"/>
        <v>2021</v>
      </c>
    </row>
    <row r="1794" spans="4:10" x14ac:dyDescent="0.25">
      <c r="D1794" s="4">
        <v>34425</v>
      </c>
      <c r="E1794" s="5"/>
      <c r="G1794" s="4">
        <f t="shared" si="111"/>
        <v>44463</v>
      </c>
      <c r="H1794" s="5">
        <f t="shared" si="108"/>
        <v>77.42</v>
      </c>
      <c r="I1794" s="5">
        <f t="shared" si="109"/>
        <v>9</v>
      </c>
      <c r="J1794" s="5">
        <f t="shared" si="110"/>
        <v>2021</v>
      </c>
    </row>
    <row r="1795" spans="4:10" x14ac:dyDescent="0.25">
      <c r="D1795" s="4">
        <v>34428</v>
      </c>
      <c r="E1795" s="5"/>
      <c r="G1795" s="4">
        <f t="shared" si="111"/>
        <v>44470</v>
      </c>
      <c r="H1795" s="5">
        <f t="shared" ref="H1795:H1858" si="112">_xlfn.XLOOKUP(G1795,D:D,E:E)</f>
        <v>79.400000000000006</v>
      </c>
      <c r="I1795" s="5">
        <f t="shared" ref="I1795:I1858" si="113">MONTH(G1795)</f>
        <v>10</v>
      </c>
      <c r="J1795" s="5">
        <f t="shared" ref="J1795:J1858" si="114">YEAR(G1795)</f>
        <v>2021</v>
      </c>
    </row>
    <row r="1796" spans="4:10" x14ac:dyDescent="0.25">
      <c r="D1796" s="4">
        <v>34429</v>
      </c>
      <c r="E1796" s="6">
        <v>14.33</v>
      </c>
      <c r="G1796" s="4">
        <f t="shared" ref="G1796:G1859" si="115">G1795+7</f>
        <v>44477</v>
      </c>
      <c r="H1796" s="5">
        <f t="shared" si="112"/>
        <v>82.17</v>
      </c>
      <c r="I1796" s="5">
        <f t="shared" si="113"/>
        <v>10</v>
      </c>
      <c r="J1796" s="5">
        <f t="shared" si="114"/>
        <v>2021</v>
      </c>
    </row>
    <row r="1797" spans="4:10" x14ac:dyDescent="0.25">
      <c r="D1797" s="4">
        <v>34430</v>
      </c>
      <c r="E1797" s="6">
        <v>14.33</v>
      </c>
      <c r="G1797" s="4">
        <f t="shared" si="115"/>
        <v>44484</v>
      </c>
      <c r="H1797" s="5">
        <f t="shared" si="112"/>
        <v>84.67</v>
      </c>
      <c r="I1797" s="5">
        <f t="shared" si="113"/>
        <v>10</v>
      </c>
      <c r="J1797" s="5">
        <f t="shared" si="114"/>
        <v>2021</v>
      </c>
    </row>
    <row r="1798" spans="4:10" x14ac:dyDescent="0.25">
      <c r="D1798" s="4">
        <v>34431</v>
      </c>
      <c r="E1798" s="6">
        <v>14.4</v>
      </c>
      <c r="G1798" s="4">
        <f t="shared" si="115"/>
        <v>44491</v>
      </c>
      <c r="H1798" s="5">
        <f t="shared" si="112"/>
        <v>85.43</v>
      </c>
      <c r="I1798" s="5">
        <f t="shared" si="113"/>
        <v>10</v>
      </c>
      <c r="J1798" s="5">
        <f t="shared" si="114"/>
        <v>2021</v>
      </c>
    </row>
    <row r="1799" spans="4:10" x14ac:dyDescent="0.25">
      <c r="D1799" s="4">
        <v>34432</v>
      </c>
      <c r="E1799" s="6">
        <v>14.3</v>
      </c>
      <c r="G1799" s="4">
        <f t="shared" si="115"/>
        <v>44498</v>
      </c>
      <c r="H1799" s="5">
        <f t="shared" si="112"/>
        <v>83.1</v>
      </c>
      <c r="I1799" s="5">
        <f t="shared" si="113"/>
        <v>10</v>
      </c>
      <c r="J1799" s="5">
        <f t="shared" si="114"/>
        <v>2021</v>
      </c>
    </row>
    <row r="1800" spans="4:10" x14ac:dyDescent="0.25">
      <c r="D1800" s="4">
        <v>34435</v>
      </c>
      <c r="E1800" s="6">
        <v>14.73</v>
      </c>
      <c r="G1800" s="4">
        <f t="shared" si="115"/>
        <v>44505</v>
      </c>
      <c r="H1800" s="5">
        <f t="shared" si="112"/>
        <v>82.43</v>
      </c>
      <c r="I1800" s="5">
        <f t="shared" si="113"/>
        <v>11</v>
      </c>
      <c r="J1800" s="5">
        <f t="shared" si="114"/>
        <v>2021</v>
      </c>
    </row>
    <row r="1801" spans="4:10" x14ac:dyDescent="0.25">
      <c r="D1801" s="4">
        <v>34436</v>
      </c>
      <c r="E1801" s="6">
        <v>14.8</v>
      </c>
      <c r="G1801" s="4">
        <f t="shared" si="115"/>
        <v>44512</v>
      </c>
      <c r="H1801" s="5">
        <f t="shared" si="112"/>
        <v>82.9</v>
      </c>
      <c r="I1801" s="5">
        <f t="shared" si="113"/>
        <v>11</v>
      </c>
      <c r="J1801" s="5">
        <f t="shared" si="114"/>
        <v>2021</v>
      </c>
    </row>
    <row r="1802" spans="4:10" x14ac:dyDescent="0.25">
      <c r="D1802" s="4">
        <v>34437</v>
      </c>
      <c r="E1802" s="6">
        <v>15</v>
      </c>
      <c r="G1802" s="4">
        <f t="shared" si="115"/>
        <v>44519</v>
      </c>
      <c r="H1802" s="5">
        <f t="shared" si="112"/>
        <v>80.239999999999995</v>
      </c>
      <c r="I1802" s="5">
        <f t="shared" si="113"/>
        <v>11</v>
      </c>
      <c r="J1802" s="5">
        <f t="shared" si="114"/>
        <v>2021</v>
      </c>
    </row>
    <row r="1803" spans="4:10" x14ac:dyDescent="0.25">
      <c r="D1803" s="4">
        <v>34438</v>
      </c>
      <c r="E1803" s="6">
        <v>15.28</v>
      </c>
      <c r="G1803" s="4">
        <f t="shared" si="115"/>
        <v>44526</v>
      </c>
      <c r="H1803" s="5">
        <f t="shared" si="112"/>
        <v>72.37</v>
      </c>
      <c r="I1803" s="5">
        <f t="shared" si="113"/>
        <v>11</v>
      </c>
      <c r="J1803" s="5">
        <f t="shared" si="114"/>
        <v>2021</v>
      </c>
    </row>
    <row r="1804" spans="4:10" x14ac:dyDescent="0.25">
      <c r="D1804" s="4">
        <v>34439</v>
      </c>
      <c r="E1804" s="6">
        <v>15.23</v>
      </c>
      <c r="G1804" s="4">
        <f t="shared" si="115"/>
        <v>44533</v>
      </c>
      <c r="H1804" s="5">
        <f t="shared" si="112"/>
        <v>70.709999999999994</v>
      </c>
      <c r="I1804" s="5">
        <f t="shared" si="113"/>
        <v>12</v>
      </c>
      <c r="J1804" s="5">
        <f t="shared" si="114"/>
        <v>2021</v>
      </c>
    </row>
    <row r="1805" spans="4:10" x14ac:dyDescent="0.25">
      <c r="D1805" s="4">
        <v>34442</v>
      </c>
      <c r="E1805" s="6">
        <v>15.48</v>
      </c>
      <c r="G1805" s="4">
        <f t="shared" si="115"/>
        <v>44540</v>
      </c>
      <c r="H1805" s="5">
        <f t="shared" si="112"/>
        <v>74.98</v>
      </c>
      <c r="I1805" s="5">
        <f t="shared" si="113"/>
        <v>12</v>
      </c>
      <c r="J1805" s="5">
        <f t="shared" si="114"/>
        <v>2021</v>
      </c>
    </row>
    <row r="1806" spans="4:10" x14ac:dyDescent="0.25">
      <c r="D1806" s="4">
        <v>34443</v>
      </c>
      <c r="E1806" s="6">
        <v>15.13</v>
      </c>
      <c r="G1806" s="4">
        <f t="shared" si="115"/>
        <v>44547</v>
      </c>
      <c r="H1806" s="5">
        <f t="shared" si="112"/>
        <v>72.97</v>
      </c>
      <c r="I1806" s="5">
        <f t="shared" si="113"/>
        <v>12</v>
      </c>
      <c r="J1806" s="5">
        <f t="shared" si="114"/>
        <v>2021</v>
      </c>
    </row>
    <row r="1807" spans="4:10" x14ac:dyDescent="0.25">
      <c r="D1807" s="4">
        <v>34444</v>
      </c>
      <c r="E1807" s="6">
        <v>15.3</v>
      </c>
      <c r="G1807" s="4">
        <f t="shared" si="115"/>
        <v>44554</v>
      </c>
      <c r="H1807" s="5">
        <f t="shared" si="112"/>
        <v>75.239999999999995</v>
      </c>
      <c r="I1807" s="5">
        <f t="shared" si="113"/>
        <v>12</v>
      </c>
      <c r="J1807" s="5">
        <f t="shared" si="114"/>
        <v>2021</v>
      </c>
    </row>
    <row r="1808" spans="4:10" x14ac:dyDescent="0.25">
      <c r="D1808" s="4">
        <v>34445</v>
      </c>
      <c r="E1808" s="6">
        <v>15.63</v>
      </c>
      <c r="G1808" s="4">
        <f t="shared" si="115"/>
        <v>44561</v>
      </c>
      <c r="H1808" s="5">
        <f t="shared" si="112"/>
        <v>77.239999999999995</v>
      </c>
      <c r="I1808" s="5">
        <f t="shared" si="113"/>
        <v>12</v>
      </c>
      <c r="J1808" s="5">
        <f t="shared" si="114"/>
        <v>2021</v>
      </c>
    </row>
    <row r="1809" spans="4:10" x14ac:dyDescent="0.25">
      <c r="D1809" s="4">
        <v>34446</v>
      </c>
      <c r="E1809" s="6">
        <v>16.28</v>
      </c>
      <c r="G1809" s="4">
        <f t="shared" si="115"/>
        <v>44568</v>
      </c>
      <c r="H1809" s="5">
        <f t="shared" si="112"/>
        <v>82.28</v>
      </c>
      <c r="I1809" s="5">
        <f t="shared" si="113"/>
        <v>1</v>
      </c>
      <c r="J1809" s="5">
        <f t="shared" si="114"/>
        <v>2022</v>
      </c>
    </row>
    <row r="1810" spans="4:10" x14ac:dyDescent="0.25">
      <c r="D1810" s="4">
        <v>34449</v>
      </c>
      <c r="E1810" s="6">
        <v>16.38</v>
      </c>
      <c r="G1810" s="4">
        <f t="shared" si="115"/>
        <v>44575</v>
      </c>
      <c r="H1810" s="5">
        <f t="shared" si="112"/>
        <v>87.17</v>
      </c>
      <c r="I1810" s="5">
        <f t="shared" si="113"/>
        <v>1</v>
      </c>
      <c r="J1810" s="5">
        <f t="shared" si="114"/>
        <v>2022</v>
      </c>
    </row>
    <row r="1811" spans="4:10" x14ac:dyDescent="0.25">
      <c r="D1811" s="4">
        <v>34450</v>
      </c>
      <c r="E1811" s="6">
        <v>16.05</v>
      </c>
      <c r="G1811" s="4">
        <f t="shared" si="115"/>
        <v>44582</v>
      </c>
      <c r="H1811" s="5">
        <f t="shared" si="112"/>
        <v>89.75</v>
      </c>
      <c r="I1811" s="5">
        <f t="shared" si="113"/>
        <v>1</v>
      </c>
      <c r="J1811" s="5">
        <f t="shared" si="114"/>
        <v>2022</v>
      </c>
    </row>
    <row r="1812" spans="4:10" x14ac:dyDescent="0.25">
      <c r="D1812" s="4">
        <v>34451</v>
      </c>
      <c r="E1812" s="6">
        <v>15.75</v>
      </c>
      <c r="G1812" s="4">
        <f t="shared" si="115"/>
        <v>44589</v>
      </c>
      <c r="H1812" s="5">
        <f t="shared" si="112"/>
        <v>91.47</v>
      </c>
      <c r="I1812" s="5">
        <f t="shared" si="113"/>
        <v>1</v>
      </c>
      <c r="J1812" s="5">
        <f t="shared" si="114"/>
        <v>2022</v>
      </c>
    </row>
    <row r="1813" spans="4:10" x14ac:dyDescent="0.25">
      <c r="D1813" s="4">
        <v>34452</v>
      </c>
      <c r="E1813" s="6">
        <v>15.65</v>
      </c>
      <c r="G1813" s="4">
        <f t="shared" si="115"/>
        <v>44596</v>
      </c>
      <c r="H1813" s="5">
        <f t="shared" si="112"/>
        <v>96.86</v>
      </c>
      <c r="I1813" s="5">
        <f t="shared" si="113"/>
        <v>2</v>
      </c>
      <c r="J1813" s="5">
        <f t="shared" si="114"/>
        <v>2022</v>
      </c>
    </row>
    <row r="1814" spans="4:10" x14ac:dyDescent="0.25">
      <c r="D1814" s="4">
        <v>34453</v>
      </c>
      <c r="E1814" s="6">
        <v>15.35</v>
      </c>
      <c r="G1814" s="4">
        <f t="shared" si="115"/>
        <v>44603</v>
      </c>
      <c r="H1814" s="5">
        <f t="shared" si="112"/>
        <v>97.5</v>
      </c>
      <c r="I1814" s="5">
        <f t="shared" si="113"/>
        <v>2</v>
      </c>
      <c r="J1814" s="5">
        <f t="shared" si="114"/>
        <v>2022</v>
      </c>
    </row>
    <row r="1815" spans="4:10" x14ac:dyDescent="0.25">
      <c r="D1815" s="4">
        <v>34456</v>
      </c>
      <c r="E1815" s="5"/>
      <c r="G1815" s="4">
        <f t="shared" si="115"/>
        <v>44610</v>
      </c>
      <c r="H1815" s="5">
        <f t="shared" si="112"/>
        <v>96.18</v>
      </c>
      <c r="I1815" s="5">
        <f t="shared" si="113"/>
        <v>2</v>
      </c>
      <c r="J1815" s="5">
        <f t="shared" si="114"/>
        <v>2022</v>
      </c>
    </row>
    <row r="1816" spans="4:10" x14ac:dyDescent="0.25">
      <c r="D1816" s="4">
        <v>34457</v>
      </c>
      <c r="E1816" s="6">
        <v>15.93</v>
      </c>
      <c r="G1816" s="4">
        <f t="shared" si="115"/>
        <v>44617</v>
      </c>
      <c r="H1816" s="5">
        <f t="shared" si="112"/>
        <v>98.56</v>
      </c>
      <c r="I1816" s="5">
        <f t="shared" si="113"/>
        <v>2</v>
      </c>
      <c r="J1816" s="5">
        <f t="shared" si="114"/>
        <v>2022</v>
      </c>
    </row>
    <row r="1817" spans="4:10" x14ac:dyDescent="0.25">
      <c r="D1817" s="4">
        <v>34458</v>
      </c>
      <c r="E1817" s="6">
        <v>15.95</v>
      </c>
      <c r="G1817" s="4">
        <f t="shared" si="115"/>
        <v>44624</v>
      </c>
      <c r="H1817" s="5">
        <f t="shared" si="112"/>
        <v>123.86</v>
      </c>
      <c r="I1817" s="5">
        <f t="shared" si="113"/>
        <v>3</v>
      </c>
      <c r="J1817" s="5">
        <f t="shared" si="114"/>
        <v>2022</v>
      </c>
    </row>
    <row r="1818" spans="4:10" x14ac:dyDescent="0.25">
      <c r="D1818" s="4">
        <v>34459</v>
      </c>
      <c r="E1818" s="6">
        <v>15.85</v>
      </c>
      <c r="G1818" s="4">
        <f t="shared" si="115"/>
        <v>44631</v>
      </c>
      <c r="H1818" s="5">
        <f t="shared" si="112"/>
        <v>118.11</v>
      </c>
      <c r="I1818" s="5">
        <f t="shared" si="113"/>
        <v>3</v>
      </c>
      <c r="J1818" s="5">
        <f t="shared" si="114"/>
        <v>2022</v>
      </c>
    </row>
    <row r="1819" spans="4:10" x14ac:dyDescent="0.25">
      <c r="D1819" s="4">
        <v>34460</v>
      </c>
      <c r="E1819" s="6">
        <v>16.25</v>
      </c>
      <c r="G1819" s="4">
        <f t="shared" si="115"/>
        <v>44638</v>
      </c>
      <c r="H1819" s="5">
        <f t="shared" si="112"/>
        <v>114.32</v>
      </c>
      <c r="I1819" s="5">
        <f t="shared" si="113"/>
        <v>3</v>
      </c>
      <c r="J1819" s="5">
        <f t="shared" si="114"/>
        <v>2022</v>
      </c>
    </row>
    <row r="1820" spans="4:10" x14ac:dyDescent="0.25">
      <c r="D1820" s="4">
        <v>34463</v>
      </c>
      <c r="E1820" s="6">
        <v>16.329999999999998</v>
      </c>
      <c r="G1820" s="4">
        <f t="shared" si="115"/>
        <v>44645</v>
      </c>
      <c r="H1820" s="5">
        <f t="shared" si="112"/>
        <v>122.67</v>
      </c>
      <c r="I1820" s="5">
        <f t="shared" si="113"/>
        <v>3</v>
      </c>
      <c r="J1820" s="5">
        <f t="shared" si="114"/>
        <v>2022</v>
      </c>
    </row>
    <row r="1821" spans="4:10" x14ac:dyDescent="0.25">
      <c r="D1821" s="4">
        <v>34464</v>
      </c>
      <c r="E1821" s="6">
        <v>16.25</v>
      </c>
      <c r="G1821" s="4">
        <f t="shared" si="115"/>
        <v>44652</v>
      </c>
      <c r="H1821" s="5">
        <f t="shared" si="112"/>
        <v>106.13</v>
      </c>
      <c r="I1821" s="5">
        <f t="shared" si="113"/>
        <v>4</v>
      </c>
      <c r="J1821" s="5">
        <f t="shared" si="114"/>
        <v>2022</v>
      </c>
    </row>
    <row r="1822" spans="4:10" x14ac:dyDescent="0.25">
      <c r="D1822" s="4">
        <v>34465</v>
      </c>
      <c r="E1822" s="6">
        <v>16.100000000000001</v>
      </c>
      <c r="G1822" s="4">
        <f t="shared" si="115"/>
        <v>44659</v>
      </c>
      <c r="H1822" s="5">
        <f t="shared" si="112"/>
        <v>101.26</v>
      </c>
      <c r="I1822" s="5">
        <f t="shared" si="113"/>
        <v>4</v>
      </c>
      <c r="J1822" s="5">
        <f t="shared" si="114"/>
        <v>2022</v>
      </c>
    </row>
    <row r="1823" spans="4:10" x14ac:dyDescent="0.25">
      <c r="D1823" s="4">
        <v>34466</v>
      </c>
      <c r="E1823" s="6">
        <v>16.25</v>
      </c>
      <c r="G1823" s="4">
        <f t="shared" si="115"/>
        <v>44666</v>
      </c>
      <c r="H1823" s="5">
        <f t="shared" si="112"/>
        <v>0</v>
      </c>
      <c r="I1823" s="5">
        <f t="shared" si="113"/>
        <v>4</v>
      </c>
      <c r="J1823" s="5">
        <f t="shared" si="114"/>
        <v>2022</v>
      </c>
    </row>
    <row r="1824" spans="4:10" x14ac:dyDescent="0.25">
      <c r="D1824" s="4">
        <v>34467</v>
      </c>
      <c r="E1824" s="6">
        <v>16.5</v>
      </c>
      <c r="G1824" s="4">
        <f t="shared" si="115"/>
        <v>44673</v>
      </c>
      <c r="H1824" s="5">
        <f t="shared" si="112"/>
        <v>105.15</v>
      </c>
      <c r="I1824" s="5">
        <f t="shared" si="113"/>
        <v>4</v>
      </c>
      <c r="J1824" s="5">
        <f t="shared" si="114"/>
        <v>2022</v>
      </c>
    </row>
    <row r="1825" spans="4:10" x14ac:dyDescent="0.25">
      <c r="D1825" s="4">
        <v>34470</v>
      </c>
      <c r="E1825" s="6">
        <v>16.23</v>
      </c>
      <c r="G1825" s="4">
        <f t="shared" si="115"/>
        <v>44680</v>
      </c>
      <c r="H1825" s="5">
        <f t="shared" si="112"/>
        <v>108.36</v>
      </c>
      <c r="I1825" s="5">
        <f t="shared" si="113"/>
        <v>4</v>
      </c>
      <c r="J1825" s="5">
        <f t="shared" si="114"/>
        <v>2022</v>
      </c>
    </row>
    <row r="1826" spans="4:10" x14ac:dyDescent="0.25">
      <c r="D1826" s="4">
        <v>34471</v>
      </c>
      <c r="E1826" s="6">
        <v>15.83</v>
      </c>
      <c r="G1826" s="4">
        <f t="shared" si="115"/>
        <v>44687</v>
      </c>
      <c r="H1826" s="5">
        <f t="shared" si="112"/>
        <v>113.86</v>
      </c>
      <c r="I1826" s="5">
        <f t="shared" si="113"/>
        <v>5</v>
      </c>
      <c r="J1826" s="5">
        <f t="shared" si="114"/>
        <v>2022</v>
      </c>
    </row>
    <row r="1827" spans="4:10" x14ac:dyDescent="0.25">
      <c r="D1827" s="4">
        <v>34472</v>
      </c>
      <c r="E1827" s="6">
        <v>15.98</v>
      </c>
      <c r="G1827" s="4">
        <f t="shared" si="115"/>
        <v>44694</v>
      </c>
      <c r="H1827" s="5">
        <f t="shared" si="112"/>
        <v>112.12</v>
      </c>
      <c r="I1827" s="5">
        <f t="shared" si="113"/>
        <v>5</v>
      </c>
      <c r="J1827" s="5">
        <f t="shared" si="114"/>
        <v>2022</v>
      </c>
    </row>
    <row r="1828" spans="4:10" x14ac:dyDescent="0.25">
      <c r="D1828" s="4">
        <v>34473</v>
      </c>
      <c r="E1828" s="6">
        <v>16.149999999999999</v>
      </c>
      <c r="G1828" s="4">
        <f t="shared" si="115"/>
        <v>44701</v>
      </c>
      <c r="H1828" s="5">
        <f t="shared" si="112"/>
        <v>113.63</v>
      </c>
      <c r="I1828" s="5">
        <f t="shared" si="113"/>
        <v>5</v>
      </c>
      <c r="J1828" s="5">
        <f t="shared" si="114"/>
        <v>2022</v>
      </c>
    </row>
    <row r="1829" spans="4:10" x14ac:dyDescent="0.25">
      <c r="D1829" s="4">
        <v>34474</v>
      </c>
      <c r="E1829" s="6">
        <v>16.23</v>
      </c>
      <c r="G1829" s="4">
        <f t="shared" si="115"/>
        <v>44708</v>
      </c>
      <c r="H1829" s="5">
        <f t="shared" si="112"/>
        <v>121.19</v>
      </c>
      <c r="I1829" s="5">
        <f t="shared" si="113"/>
        <v>5</v>
      </c>
      <c r="J1829" s="5">
        <f t="shared" si="114"/>
        <v>2022</v>
      </c>
    </row>
    <row r="1830" spans="4:10" x14ac:dyDescent="0.25">
      <c r="D1830" s="4">
        <v>34477</v>
      </c>
      <c r="E1830" s="6">
        <v>16.63</v>
      </c>
      <c r="G1830" s="4">
        <f t="shared" si="115"/>
        <v>44715</v>
      </c>
      <c r="H1830" s="5">
        <f t="shared" si="112"/>
        <v>125.68</v>
      </c>
      <c r="I1830" s="5">
        <f t="shared" si="113"/>
        <v>6</v>
      </c>
      <c r="J1830" s="5">
        <f t="shared" si="114"/>
        <v>2022</v>
      </c>
    </row>
    <row r="1831" spans="4:10" x14ac:dyDescent="0.25">
      <c r="D1831" s="4">
        <v>34478</v>
      </c>
      <c r="E1831" s="6">
        <v>16.63</v>
      </c>
      <c r="G1831" s="4">
        <f t="shared" si="115"/>
        <v>44722</v>
      </c>
      <c r="H1831" s="5">
        <f t="shared" si="112"/>
        <v>127.44</v>
      </c>
      <c r="I1831" s="5">
        <f t="shared" si="113"/>
        <v>6</v>
      </c>
      <c r="J1831" s="5">
        <f t="shared" si="114"/>
        <v>2022</v>
      </c>
    </row>
    <row r="1832" spans="4:10" x14ac:dyDescent="0.25">
      <c r="D1832" s="4">
        <v>34479</v>
      </c>
      <c r="E1832" s="6">
        <v>16.329999999999998</v>
      </c>
      <c r="G1832" s="4">
        <f t="shared" si="115"/>
        <v>44729</v>
      </c>
      <c r="H1832" s="5">
        <f t="shared" si="112"/>
        <v>119.22</v>
      </c>
      <c r="I1832" s="5">
        <f t="shared" si="113"/>
        <v>6</v>
      </c>
      <c r="J1832" s="5">
        <f t="shared" si="114"/>
        <v>2022</v>
      </c>
    </row>
    <row r="1833" spans="4:10" x14ac:dyDescent="0.25">
      <c r="D1833" s="4">
        <v>34480</v>
      </c>
      <c r="E1833" s="6">
        <v>16.079999999999998</v>
      </c>
      <c r="G1833" s="4">
        <f t="shared" si="115"/>
        <v>44736</v>
      </c>
      <c r="H1833" s="5">
        <f t="shared" si="112"/>
        <v>117.36</v>
      </c>
      <c r="I1833" s="5">
        <f t="shared" si="113"/>
        <v>6</v>
      </c>
      <c r="J1833" s="5">
        <f t="shared" si="114"/>
        <v>2022</v>
      </c>
    </row>
    <row r="1834" spans="4:10" x14ac:dyDescent="0.25">
      <c r="D1834" s="4">
        <v>34481</v>
      </c>
      <c r="E1834" s="6">
        <v>16.079999999999998</v>
      </c>
      <c r="G1834" s="4">
        <f t="shared" si="115"/>
        <v>44743</v>
      </c>
      <c r="H1834" s="5">
        <f t="shared" si="112"/>
        <v>119.21</v>
      </c>
      <c r="I1834" s="5">
        <f t="shared" si="113"/>
        <v>7</v>
      </c>
      <c r="J1834" s="5">
        <f t="shared" si="114"/>
        <v>2022</v>
      </c>
    </row>
    <row r="1835" spans="4:10" x14ac:dyDescent="0.25">
      <c r="D1835" s="4">
        <v>34484</v>
      </c>
      <c r="E1835" s="5"/>
      <c r="G1835" s="4">
        <f t="shared" si="115"/>
        <v>44750</v>
      </c>
      <c r="H1835" s="5">
        <f t="shared" si="112"/>
        <v>113.95</v>
      </c>
      <c r="I1835" s="5">
        <f t="shared" si="113"/>
        <v>7</v>
      </c>
      <c r="J1835" s="5">
        <f t="shared" si="114"/>
        <v>2022</v>
      </c>
    </row>
    <row r="1836" spans="4:10" x14ac:dyDescent="0.25">
      <c r="D1836" s="4">
        <v>34485</v>
      </c>
      <c r="E1836" s="6">
        <v>16.18</v>
      </c>
      <c r="G1836" s="4">
        <f t="shared" si="115"/>
        <v>44757</v>
      </c>
      <c r="H1836" s="5">
        <f t="shared" si="112"/>
        <v>112.26</v>
      </c>
      <c r="I1836" s="5">
        <f t="shared" si="113"/>
        <v>7</v>
      </c>
      <c r="J1836" s="5">
        <f t="shared" si="114"/>
        <v>2022</v>
      </c>
    </row>
    <row r="1837" spans="4:10" x14ac:dyDescent="0.25">
      <c r="D1837" s="4">
        <v>34486</v>
      </c>
      <c r="E1837" s="6">
        <v>16.399999999999999</v>
      </c>
      <c r="G1837" s="4">
        <f t="shared" si="115"/>
        <v>44764</v>
      </c>
      <c r="H1837" s="5">
        <f t="shared" si="112"/>
        <v>106.77</v>
      </c>
      <c r="I1837" s="5">
        <f t="shared" si="113"/>
        <v>7</v>
      </c>
      <c r="J1837" s="5">
        <f t="shared" si="114"/>
        <v>2022</v>
      </c>
    </row>
    <row r="1838" spans="4:10" x14ac:dyDescent="0.25">
      <c r="D1838" s="4">
        <v>34487</v>
      </c>
      <c r="E1838" s="6">
        <v>16.350000000000001</v>
      </c>
      <c r="G1838" s="4">
        <f t="shared" si="115"/>
        <v>44771</v>
      </c>
      <c r="H1838" s="5">
        <f t="shared" si="112"/>
        <v>111.51</v>
      </c>
      <c r="I1838" s="5">
        <f t="shared" si="113"/>
        <v>7</v>
      </c>
      <c r="J1838" s="5">
        <f t="shared" si="114"/>
        <v>2022</v>
      </c>
    </row>
    <row r="1839" spans="4:10" x14ac:dyDescent="0.25">
      <c r="D1839" s="4">
        <v>34488</v>
      </c>
      <c r="E1839" s="6">
        <v>16.13</v>
      </c>
      <c r="G1839" s="4">
        <f t="shared" si="115"/>
        <v>44778</v>
      </c>
      <c r="H1839" s="5">
        <f t="shared" si="112"/>
        <v>100.31</v>
      </c>
      <c r="I1839" s="5">
        <f t="shared" si="113"/>
        <v>8</v>
      </c>
      <c r="J1839" s="5">
        <f t="shared" si="114"/>
        <v>2022</v>
      </c>
    </row>
    <row r="1840" spans="4:10" x14ac:dyDescent="0.25">
      <c r="D1840" s="4">
        <v>34491</v>
      </c>
      <c r="E1840" s="6">
        <v>16.18</v>
      </c>
      <c r="G1840" s="4">
        <f t="shared" si="115"/>
        <v>44785</v>
      </c>
      <c r="H1840" s="5">
        <f t="shared" si="112"/>
        <v>103.7</v>
      </c>
      <c r="I1840" s="5">
        <f t="shared" si="113"/>
        <v>8</v>
      </c>
      <c r="J1840" s="5">
        <f t="shared" si="114"/>
        <v>2022</v>
      </c>
    </row>
    <row r="1841" spans="4:10" x14ac:dyDescent="0.25">
      <c r="D1841" s="4">
        <v>34492</v>
      </c>
      <c r="E1841" s="6">
        <v>15.95</v>
      </c>
      <c r="G1841" s="4">
        <f t="shared" si="115"/>
        <v>44792</v>
      </c>
      <c r="H1841" s="5">
        <f t="shared" si="112"/>
        <v>96.45</v>
      </c>
      <c r="I1841" s="5">
        <f t="shared" si="113"/>
        <v>8</v>
      </c>
      <c r="J1841" s="5">
        <f t="shared" si="114"/>
        <v>2022</v>
      </c>
    </row>
    <row r="1842" spans="4:10" x14ac:dyDescent="0.25">
      <c r="D1842" s="4">
        <v>34493</v>
      </c>
      <c r="E1842" s="6">
        <v>15.65</v>
      </c>
      <c r="G1842" s="4">
        <f t="shared" si="115"/>
        <v>44799</v>
      </c>
      <c r="H1842" s="5">
        <f t="shared" si="112"/>
        <v>101.13</v>
      </c>
      <c r="I1842" s="5">
        <f t="shared" si="113"/>
        <v>8</v>
      </c>
      <c r="J1842" s="5">
        <f t="shared" si="114"/>
        <v>2022</v>
      </c>
    </row>
    <row r="1843" spans="4:10" x14ac:dyDescent="0.25">
      <c r="D1843" s="4">
        <v>34494</v>
      </c>
      <c r="E1843" s="6">
        <v>16.13</v>
      </c>
      <c r="G1843" s="4">
        <f t="shared" si="115"/>
        <v>44806</v>
      </c>
      <c r="H1843" s="5">
        <f t="shared" si="112"/>
        <v>93.09</v>
      </c>
      <c r="I1843" s="5">
        <f t="shared" si="113"/>
        <v>9</v>
      </c>
      <c r="J1843" s="5">
        <f t="shared" si="114"/>
        <v>2022</v>
      </c>
    </row>
    <row r="1844" spans="4:10" x14ac:dyDescent="0.25">
      <c r="D1844" s="4">
        <v>34495</v>
      </c>
      <c r="E1844" s="6">
        <v>16.38</v>
      </c>
      <c r="G1844" s="4">
        <f t="shared" si="115"/>
        <v>44813</v>
      </c>
      <c r="H1844" s="5">
        <f t="shared" si="112"/>
        <v>91.68</v>
      </c>
      <c r="I1844" s="5">
        <f t="shared" si="113"/>
        <v>9</v>
      </c>
      <c r="J1844" s="5">
        <f t="shared" si="114"/>
        <v>2022</v>
      </c>
    </row>
    <row r="1845" spans="4:10" x14ac:dyDescent="0.25">
      <c r="D1845" s="4">
        <v>34498</v>
      </c>
      <c r="E1845" s="6">
        <v>16.23</v>
      </c>
      <c r="G1845" s="4">
        <f t="shared" si="115"/>
        <v>44820</v>
      </c>
      <c r="H1845" s="5">
        <f t="shared" si="112"/>
        <v>89.43</v>
      </c>
      <c r="I1845" s="5">
        <f t="shared" si="113"/>
        <v>9</v>
      </c>
      <c r="J1845" s="5">
        <f t="shared" si="114"/>
        <v>2022</v>
      </c>
    </row>
    <row r="1846" spans="4:10" x14ac:dyDescent="0.25">
      <c r="D1846" s="4">
        <v>34499</v>
      </c>
      <c r="E1846" s="6">
        <v>16.399999999999999</v>
      </c>
      <c r="G1846" s="4">
        <f t="shared" si="115"/>
        <v>44827</v>
      </c>
      <c r="H1846" s="5">
        <f t="shared" si="112"/>
        <v>84.29</v>
      </c>
      <c r="I1846" s="5">
        <f t="shared" si="113"/>
        <v>9</v>
      </c>
      <c r="J1846" s="5">
        <f t="shared" si="114"/>
        <v>2022</v>
      </c>
    </row>
    <row r="1847" spans="4:10" x14ac:dyDescent="0.25">
      <c r="D1847" s="4">
        <v>34500</v>
      </c>
      <c r="E1847" s="6">
        <v>16.73</v>
      </c>
      <c r="G1847" s="4">
        <f t="shared" si="115"/>
        <v>44834</v>
      </c>
      <c r="H1847" s="5">
        <f t="shared" si="112"/>
        <v>88.9</v>
      </c>
      <c r="I1847" s="5">
        <f t="shared" si="113"/>
        <v>9</v>
      </c>
      <c r="J1847" s="5">
        <f t="shared" si="114"/>
        <v>2022</v>
      </c>
    </row>
    <row r="1848" spans="4:10" x14ac:dyDescent="0.25">
      <c r="D1848" s="4">
        <v>34501</v>
      </c>
      <c r="E1848" s="6">
        <v>16.88</v>
      </c>
      <c r="G1848" s="4">
        <f t="shared" si="115"/>
        <v>44841</v>
      </c>
      <c r="H1848" s="5">
        <f t="shared" si="112"/>
        <v>98.88</v>
      </c>
      <c r="I1848" s="5">
        <f t="shared" si="113"/>
        <v>10</v>
      </c>
      <c r="J1848" s="5">
        <f t="shared" si="114"/>
        <v>2022</v>
      </c>
    </row>
    <row r="1849" spans="4:10" x14ac:dyDescent="0.25">
      <c r="D1849" s="4">
        <v>34502</v>
      </c>
      <c r="E1849" s="6">
        <v>17.13</v>
      </c>
      <c r="G1849" s="4">
        <f t="shared" si="115"/>
        <v>44848</v>
      </c>
      <c r="H1849" s="5">
        <f t="shared" si="112"/>
        <v>92.22</v>
      </c>
      <c r="I1849" s="5">
        <f t="shared" si="113"/>
        <v>10</v>
      </c>
      <c r="J1849" s="5">
        <f t="shared" si="114"/>
        <v>2022</v>
      </c>
    </row>
    <row r="1850" spans="4:10" x14ac:dyDescent="0.25">
      <c r="D1850" s="4">
        <v>34505</v>
      </c>
      <c r="E1850" s="6">
        <v>17.38</v>
      </c>
      <c r="G1850" s="4">
        <f t="shared" si="115"/>
        <v>44855</v>
      </c>
      <c r="H1850" s="5">
        <f t="shared" si="112"/>
        <v>91.82</v>
      </c>
      <c r="I1850" s="5">
        <f t="shared" si="113"/>
        <v>10</v>
      </c>
      <c r="J1850" s="5">
        <f t="shared" si="114"/>
        <v>2022</v>
      </c>
    </row>
    <row r="1851" spans="4:10" x14ac:dyDescent="0.25">
      <c r="D1851" s="4">
        <v>34506</v>
      </c>
      <c r="E1851" s="6">
        <v>17.63</v>
      </c>
      <c r="G1851" s="4">
        <f t="shared" si="115"/>
        <v>44862</v>
      </c>
      <c r="H1851" s="5">
        <f t="shared" si="112"/>
        <v>94.64</v>
      </c>
      <c r="I1851" s="5">
        <f t="shared" si="113"/>
        <v>10</v>
      </c>
      <c r="J1851" s="5">
        <f t="shared" si="114"/>
        <v>2022</v>
      </c>
    </row>
    <row r="1852" spans="4:10" x14ac:dyDescent="0.25">
      <c r="D1852" s="4">
        <v>34507</v>
      </c>
      <c r="E1852" s="6">
        <v>17.48</v>
      </c>
      <c r="G1852" s="4">
        <f t="shared" si="115"/>
        <v>44869</v>
      </c>
      <c r="H1852" s="5">
        <f t="shared" si="112"/>
        <v>99.53</v>
      </c>
      <c r="I1852" s="5">
        <f t="shared" si="113"/>
        <v>11</v>
      </c>
      <c r="J1852" s="5">
        <f t="shared" si="114"/>
        <v>2022</v>
      </c>
    </row>
    <row r="1853" spans="4:10" x14ac:dyDescent="0.25">
      <c r="D1853" s="4">
        <v>34508</v>
      </c>
      <c r="E1853" s="6">
        <v>17.3</v>
      </c>
      <c r="G1853" s="4">
        <f t="shared" si="115"/>
        <v>44876</v>
      </c>
      <c r="H1853" s="5">
        <f t="shared" si="112"/>
        <v>96.37</v>
      </c>
      <c r="I1853" s="5">
        <f t="shared" si="113"/>
        <v>11</v>
      </c>
      <c r="J1853" s="5">
        <f t="shared" si="114"/>
        <v>2022</v>
      </c>
    </row>
    <row r="1854" spans="4:10" x14ac:dyDescent="0.25">
      <c r="D1854" s="4">
        <v>34509</v>
      </c>
      <c r="E1854" s="6">
        <v>17.399999999999999</v>
      </c>
      <c r="G1854" s="4">
        <f t="shared" si="115"/>
        <v>44883</v>
      </c>
      <c r="H1854" s="5">
        <f t="shared" si="112"/>
        <v>88.93</v>
      </c>
      <c r="I1854" s="5">
        <f t="shared" si="113"/>
        <v>11</v>
      </c>
      <c r="J1854" s="5">
        <f t="shared" si="114"/>
        <v>2022</v>
      </c>
    </row>
    <row r="1855" spans="4:10" x14ac:dyDescent="0.25">
      <c r="D1855" s="4">
        <v>34512</v>
      </c>
      <c r="E1855" s="6">
        <v>17.399999999999999</v>
      </c>
      <c r="G1855" s="4">
        <f t="shared" si="115"/>
        <v>44890</v>
      </c>
      <c r="H1855" s="5">
        <f t="shared" si="112"/>
        <v>83.4</v>
      </c>
      <c r="I1855" s="5">
        <f t="shared" si="113"/>
        <v>11</v>
      </c>
      <c r="J1855" s="5">
        <f t="shared" si="114"/>
        <v>2022</v>
      </c>
    </row>
    <row r="1856" spans="4:10" x14ac:dyDescent="0.25">
      <c r="D1856" s="4">
        <v>34513</v>
      </c>
      <c r="E1856" s="6">
        <v>16.98</v>
      </c>
      <c r="G1856" s="4">
        <f t="shared" si="115"/>
        <v>44897</v>
      </c>
      <c r="H1856" s="5">
        <f t="shared" si="112"/>
        <v>86.54</v>
      </c>
      <c r="I1856" s="5">
        <f t="shared" si="113"/>
        <v>12</v>
      </c>
      <c r="J1856" s="5">
        <f t="shared" si="114"/>
        <v>2022</v>
      </c>
    </row>
    <row r="1857" spans="4:10" x14ac:dyDescent="0.25">
      <c r="D1857" s="4">
        <v>34514</v>
      </c>
      <c r="E1857" s="6">
        <v>17.23</v>
      </c>
      <c r="G1857" s="4">
        <f t="shared" si="115"/>
        <v>44904</v>
      </c>
      <c r="H1857" s="5">
        <f t="shared" si="112"/>
        <v>76.37</v>
      </c>
      <c r="I1857" s="5">
        <f t="shared" si="113"/>
        <v>12</v>
      </c>
      <c r="J1857" s="5">
        <f t="shared" si="114"/>
        <v>2022</v>
      </c>
    </row>
    <row r="1858" spans="4:10" x14ac:dyDescent="0.25">
      <c r="D1858" s="4">
        <v>34515</v>
      </c>
      <c r="E1858" s="6">
        <v>17.45</v>
      </c>
      <c r="G1858" s="4">
        <f t="shared" si="115"/>
        <v>44911</v>
      </c>
      <c r="H1858" s="5">
        <f t="shared" si="112"/>
        <v>80.2</v>
      </c>
      <c r="I1858" s="5">
        <f t="shared" si="113"/>
        <v>12</v>
      </c>
      <c r="J1858" s="5">
        <f t="shared" si="114"/>
        <v>2022</v>
      </c>
    </row>
    <row r="1859" spans="4:10" x14ac:dyDescent="0.25">
      <c r="D1859" s="4">
        <v>34516</v>
      </c>
      <c r="E1859" s="6">
        <v>17.649999999999999</v>
      </c>
      <c r="G1859" s="4">
        <f t="shared" si="115"/>
        <v>44918</v>
      </c>
      <c r="H1859" s="5">
        <f t="shared" ref="H1859:H1922" si="116">_xlfn.XLOOKUP(G1859,D:D,E:E)</f>
        <v>82.45</v>
      </c>
      <c r="I1859" s="5">
        <f t="shared" ref="I1859:I1922" si="117">MONTH(G1859)</f>
        <v>12</v>
      </c>
      <c r="J1859" s="5">
        <f t="shared" ref="J1859:J1922" si="118">YEAR(G1859)</f>
        <v>2022</v>
      </c>
    </row>
    <row r="1860" spans="4:10" x14ac:dyDescent="0.25">
      <c r="D1860" s="4">
        <v>34519</v>
      </c>
      <c r="E1860" s="6">
        <v>17.5</v>
      </c>
      <c r="G1860" s="4">
        <f t="shared" ref="G1860:G1923" si="119">G1859+7</f>
        <v>44925</v>
      </c>
      <c r="H1860" s="5">
        <f t="shared" si="116"/>
        <v>82.82</v>
      </c>
      <c r="I1860" s="5">
        <f t="shared" si="117"/>
        <v>12</v>
      </c>
      <c r="J1860" s="5">
        <f t="shared" si="118"/>
        <v>2022</v>
      </c>
    </row>
    <row r="1861" spans="4:10" x14ac:dyDescent="0.25">
      <c r="D1861" s="4">
        <v>34520</v>
      </c>
      <c r="E1861" s="6">
        <v>17.13</v>
      </c>
      <c r="G1861" s="4">
        <f t="shared" si="119"/>
        <v>44932</v>
      </c>
      <c r="H1861" s="5">
        <f t="shared" si="116"/>
        <v>76.41</v>
      </c>
      <c r="I1861" s="5">
        <f t="shared" si="117"/>
        <v>1</v>
      </c>
      <c r="J1861" s="5">
        <f t="shared" si="118"/>
        <v>2023</v>
      </c>
    </row>
    <row r="1862" spans="4:10" x14ac:dyDescent="0.25">
      <c r="D1862" s="4">
        <v>34521</v>
      </c>
      <c r="E1862" s="6">
        <v>16.899999999999999</v>
      </c>
      <c r="G1862" s="4">
        <f t="shared" si="119"/>
        <v>44939</v>
      </c>
      <c r="H1862" s="5">
        <f t="shared" si="116"/>
        <v>83.43</v>
      </c>
      <c r="I1862" s="5">
        <f t="shared" si="117"/>
        <v>1</v>
      </c>
      <c r="J1862" s="5">
        <f t="shared" si="118"/>
        <v>2023</v>
      </c>
    </row>
    <row r="1863" spans="4:10" x14ac:dyDescent="0.25">
      <c r="D1863" s="4">
        <v>34522</v>
      </c>
      <c r="E1863" s="6">
        <v>16.78</v>
      </c>
      <c r="G1863" s="4">
        <f t="shared" si="119"/>
        <v>44946</v>
      </c>
      <c r="H1863" s="5">
        <f t="shared" si="116"/>
        <v>86.96</v>
      </c>
      <c r="I1863" s="5">
        <f t="shared" si="117"/>
        <v>1</v>
      </c>
      <c r="J1863" s="5">
        <f t="shared" si="118"/>
        <v>2023</v>
      </c>
    </row>
    <row r="1864" spans="4:10" x14ac:dyDescent="0.25">
      <c r="D1864" s="4">
        <v>34523</v>
      </c>
      <c r="E1864" s="6">
        <v>17</v>
      </c>
      <c r="G1864" s="4">
        <f t="shared" si="119"/>
        <v>44953</v>
      </c>
      <c r="H1864" s="5">
        <f t="shared" si="116"/>
        <v>85.36</v>
      </c>
      <c r="I1864" s="5">
        <f t="shared" si="117"/>
        <v>1</v>
      </c>
      <c r="J1864" s="5">
        <f t="shared" si="118"/>
        <v>2023</v>
      </c>
    </row>
    <row r="1865" spans="4:10" x14ac:dyDescent="0.25">
      <c r="D1865" s="4">
        <v>34526</v>
      </c>
      <c r="E1865" s="6">
        <v>17.48</v>
      </c>
      <c r="G1865" s="4">
        <f t="shared" si="119"/>
        <v>44960</v>
      </c>
      <c r="H1865" s="5">
        <f t="shared" si="116"/>
        <v>78.849999999999994</v>
      </c>
      <c r="I1865" s="5">
        <f t="shared" si="117"/>
        <v>2</v>
      </c>
      <c r="J1865" s="5">
        <f t="shared" si="118"/>
        <v>2023</v>
      </c>
    </row>
    <row r="1866" spans="4:10" x14ac:dyDescent="0.25">
      <c r="D1866" s="4">
        <v>34527</v>
      </c>
      <c r="E1866" s="6">
        <v>18.25</v>
      </c>
      <c r="G1866" s="4">
        <f t="shared" si="119"/>
        <v>44967</v>
      </c>
      <c r="H1866" s="5">
        <f t="shared" si="116"/>
        <v>85.46</v>
      </c>
      <c r="I1866" s="5">
        <f t="shared" si="117"/>
        <v>2</v>
      </c>
      <c r="J1866" s="5">
        <f t="shared" si="118"/>
        <v>2023</v>
      </c>
    </row>
    <row r="1867" spans="4:10" x14ac:dyDescent="0.25">
      <c r="D1867" s="4">
        <v>34528</v>
      </c>
      <c r="E1867" s="6">
        <v>18.25</v>
      </c>
      <c r="G1867" s="4">
        <f t="shared" si="119"/>
        <v>44974</v>
      </c>
      <c r="H1867" s="5">
        <f t="shared" si="116"/>
        <v>81.97</v>
      </c>
      <c r="I1867" s="5">
        <f t="shared" si="117"/>
        <v>2</v>
      </c>
      <c r="J1867" s="5">
        <f t="shared" si="118"/>
        <v>2023</v>
      </c>
    </row>
    <row r="1868" spans="4:10" x14ac:dyDescent="0.25">
      <c r="D1868" s="4">
        <v>34529</v>
      </c>
      <c r="E1868" s="6">
        <v>18.329999999999998</v>
      </c>
      <c r="G1868" s="4">
        <f t="shared" si="119"/>
        <v>44981</v>
      </c>
      <c r="H1868" s="5">
        <f t="shared" si="116"/>
        <v>82.31</v>
      </c>
      <c r="I1868" s="5">
        <f t="shared" si="117"/>
        <v>2</v>
      </c>
      <c r="J1868" s="5">
        <f t="shared" si="118"/>
        <v>2023</v>
      </c>
    </row>
    <row r="1869" spans="4:10" x14ac:dyDescent="0.25">
      <c r="D1869" s="4">
        <v>34530</v>
      </c>
      <c r="E1869" s="6">
        <v>18.149999999999999</v>
      </c>
      <c r="G1869" s="4">
        <f t="shared" si="119"/>
        <v>44988</v>
      </c>
      <c r="H1869" s="5">
        <f t="shared" si="116"/>
        <v>85.74</v>
      </c>
      <c r="I1869" s="5">
        <f t="shared" si="117"/>
        <v>3</v>
      </c>
      <c r="J1869" s="5">
        <f t="shared" si="118"/>
        <v>2023</v>
      </c>
    </row>
    <row r="1870" spans="4:10" x14ac:dyDescent="0.25">
      <c r="D1870" s="4">
        <v>34533</v>
      </c>
      <c r="E1870" s="6">
        <v>17.5</v>
      </c>
      <c r="G1870" s="4">
        <f t="shared" si="119"/>
        <v>44995</v>
      </c>
      <c r="H1870" s="5">
        <f t="shared" si="116"/>
        <v>82.3</v>
      </c>
      <c r="I1870" s="5">
        <f t="shared" si="117"/>
        <v>3</v>
      </c>
      <c r="J1870" s="5">
        <f t="shared" si="118"/>
        <v>2023</v>
      </c>
    </row>
    <row r="1871" spans="4:10" x14ac:dyDescent="0.25">
      <c r="D1871" s="4">
        <v>34534</v>
      </c>
      <c r="E1871" s="6">
        <v>17.2</v>
      </c>
      <c r="G1871" s="4">
        <f t="shared" si="119"/>
        <v>45002</v>
      </c>
      <c r="H1871" s="5">
        <f t="shared" si="116"/>
        <v>71.03</v>
      </c>
      <c r="I1871" s="5">
        <f t="shared" si="117"/>
        <v>3</v>
      </c>
      <c r="J1871" s="5">
        <f t="shared" si="118"/>
        <v>2023</v>
      </c>
    </row>
    <row r="1872" spans="4:10" x14ac:dyDescent="0.25">
      <c r="D1872" s="4">
        <v>34535</v>
      </c>
      <c r="E1872" s="6">
        <v>17.350000000000001</v>
      </c>
      <c r="G1872" s="4">
        <f t="shared" si="119"/>
        <v>45009</v>
      </c>
      <c r="H1872" s="5">
        <f t="shared" si="116"/>
        <v>73.63</v>
      </c>
      <c r="I1872" s="5">
        <f t="shared" si="117"/>
        <v>3</v>
      </c>
      <c r="J1872" s="5">
        <f t="shared" si="118"/>
        <v>2023</v>
      </c>
    </row>
    <row r="1873" spans="4:10" x14ac:dyDescent="0.25">
      <c r="D1873" s="4">
        <v>34536</v>
      </c>
      <c r="E1873" s="6">
        <v>17.45</v>
      </c>
      <c r="G1873" s="4">
        <f t="shared" si="119"/>
        <v>45016</v>
      </c>
      <c r="H1873" s="5">
        <f t="shared" si="116"/>
        <v>79.19</v>
      </c>
      <c r="I1873" s="5">
        <f t="shared" si="117"/>
        <v>3</v>
      </c>
      <c r="J1873" s="5">
        <f t="shared" si="118"/>
        <v>2023</v>
      </c>
    </row>
    <row r="1874" spans="4:10" x14ac:dyDescent="0.25">
      <c r="D1874" s="4">
        <v>34537</v>
      </c>
      <c r="E1874" s="6">
        <v>17.579999999999998</v>
      </c>
      <c r="G1874" s="4">
        <f t="shared" si="119"/>
        <v>45023</v>
      </c>
      <c r="H1874" s="5">
        <f t="shared" si="116"/>
        <v>0</v>
      </c>
      <c r="I1874" s="5">
        <f t="shared" si="117"/>
        <v>4</v>
      </c>
      <c r="J1874" s="5">
        <f t="shared" si="118"/>
        <v>2023</v>
      </c>
    </row>
    <row r="1875" spans="4:10" x14ac:dyDescent="0.25">
      <c r="D1875" s="4">
        <v>34540</v>
      </c>
      <c r="E1875" s="6">
        <v>17.350000000000001</v>
      </c>
      <c r="G1875" s="4">
        <f t="shared" si="119"/>
        <v>45030</v>
      </c>
      <c r="H1875" s="5">
        <f t="shared" si="116"/>
        <v>87.31</v>
      </c>
      <c r="I1875" s="5">
        <f t="shared" si="117"/>
        <v>4</v>
      </c>
      <c r="J1875" s="5">
        <f t="shared" si="118"/>
        <v>2023</v>
      </c>
    </row>
    <row r="1876" spans="4:10" x14ac:dyDescent="0.25">
      <c r="D1876" s="4">
        <v>34541</v>
      </c>
      <c r="E1876" s="6">
        <v>17.43</v>
      </c>
      <c r="G1876" s="4">
        <f t="shared" si="119"/>
        <v>45037</v>
      </c>
      <c r="H1876" s="5">
        <f t="shared" si="116"/>
        <v>83.36</v>
      </c>
      <c r="I1876" s="5">
        <f t="shared" si="117"/>
        <v>4</v>
      </c>
      <c r="J1876" s="5">
        <f t="shared" si="118"/>
        <v>2023</v>
      </c>
    </row>
    <row r="1877" spans="4:10" x14ac:dyDescent="0.25">
      <c r="D1877" s="4">
        <v>34542</v>
      </c>
      <c r="E1877" s="6">
        <v>17.829999999999998</v>
      </c>
      <c r="G1877" s="4">
        <f t="shared" si="119"/>
        <v>45044</v>
      </c>
      <c r="H1877" s="5">
        <f t="shared" si="116"/>
        <v>81.319999999999993</v>
      </c>
      <c r="I1877" s="5">
        <f t="shared" si="117"/>
        <v>4</v>
      </c>
      <c r="J1877" s="5">
        <f t="shared" si="118"/>
        <v>2023</v>
      </c>
    </row>
    <row r="1878" spans="4:10" x14ac:dyDescent="0.25">
      <c r="D1878" s="4">
        <v>34543</v>
      </c>
      <c r="E1878" s="6">
        <v>18</v>
      </c>
      <c r="G1878" s="4">
        <f t="shared" si="119"/>
        <v>45051</v>
      </c>
      <c r="H1878" s="5">
        <f t="shared" si="116"/>
        <v>75.849999999999994</v>
      </c>
      <c r="I1878" s="5">
        <f t="shared" si="117"/>
        <v>5</v>
      </c>
      <c r="J1878" s="5">
        <f t="shared" si="118"/>
        <v>2023</v>
      </c>
    </row>
    <row r="1879" spans="4:10" x14ac:dyDescent="0.25">
      <c r="D1879" s="4">
        <v>34544</v>
      </c>
      <c r="E1879" s="6">
        <v>18.48</v>
      </c>
      <c r="G1879" s="4">
        <f t="shared" si="119"/>
        <v>45058</v>
      </c>
      <c r="H1879" s="5">
        <f t="shared" si="116"/>
        <v>74.540000000000006</v>
      </c>
      <c r="I1879" s="5">
        <f t="shared" si="117"/>
        <v>5</v>
      </c>
      <c r="J1879" s="5">
        <f t="shared" si="118"/>
        <v>2023</v>
      </c>
    </row>
    <row r="1880" spans="4:10" x14ac:dyDescent="0.25">
      <c r="D1880" s="4">
        <v>34547</v>
      </c>
      <c r="E1880" s="6">
        <v>19.03</v>
      </c>
      <c r="G1880" s="4">
        <f t="shared" si="119"/>
        <v>45065</v>
      </c>
      <c r="H1880" s="5">
        <f t="shared" si="116"/>
        <v>75.42</v>
      </c>
      <c r="I1880" s="5">
        <f t="shared" si="117"/>
        <v>5</v>
      </c>
      <c r="J1880" s="5">
        <f t="shared" si="118"/>
        <v>2023</v>
      </c>
    </row>
    <row r="1881" spans="4:10" x14ac:dyDescent="0.25">
      <c r="D1881" s="4">
        <v>34548</v>
      </c>
      <c r="E1881" s="6">
        <v>18.48</v>
      </c>
      <c r="G1881" s="4">
        <f t="shared" si="119"/>
        <v>45072</v>
      </c>
      <c r="H1881" s="5">
        <f t="shared" si="116"/>
        <v>76.33</v>
      </c>
      <c r="I1881" s="5">
        <f t="shared" si="117"/>
        <v>5</v>
      </c>
      <c r="J1881" s="5">
        <f t="shared" si="118"/>
        <v>2023</v>
      </c>
    </row>
    <row r="1882" spans="4:10" x14ac:dyDescent="0.25">
      <c r="D1882" s="4">
        <v>34549</v>
      </c>
      <c r="E1882" s="6">
        <v>18.48</v>
      </c>
      <c r="G1882" s="4">
        <f t="shared" si="119"/>
        <v>45079</v>
      </c>
      <c r="H1882" s="5">
        <f t="shared" si="116"/>
        <v>76</v>
      </c>
      <c r="I1882" s="5">
        <f t="shared" si="117"/>
        <v>6</v>
      </c>
      <c r="J1882" s="5">
        <f t="shared" si="118"/>
        <v>2023</v>
      </c>
    </row>
    <row r="1883" spans="4:10" x14ac:dyDescent="0.25">
      <c r="D1883" s="4">
        <v>34550</v>
      </c>
      <c r="E1883" s="6">
        <v>18.43</v>
      </c>
      <c r="G1883" s="4">
        <f t="shared" si="119"/>
        <v>45086</v>
      </c>
      <c r="H1883" s="5">
        <f t="shared" si="116"/>
        <v>74.739999999999995</v>
      </c>
      <c r="I1883" s="5">
        <f t="shared" si="117"/>
        <v>6</v>
      </c>
      <c r="J1883" s="5">
        <f t="shared" si="118"/>
        <v>2023</v>
      </c>
    </row>
    <row r="1884" spans="4:10" x14ac:dyDescent="0.25">
      <c r="D1884" s="4">
        <v>34551</v>
      </c>
      <c r="E1884" s="6">
        <v>17.78</v>
      </c>
      <c r="G1884" s="4">
        <f t="shared" si="119"/>
        <v>45093</v>
      </c>
      <c r="H1884" s="5">
        <f t="shared" si="116"/>
        <v>76.760000000000005</v>
      </c>
      <c r="I1884" s="5">
        <f t="shared" si="117"/>
        <v>6</v>
      </c>
      <c r="J1884" s="5">
        <f t="shared" si="118"/>
        <v>2023</v>
      </c>
    </row>
    <row r="1885" spans="4:10" x14ac:dyDescent="0.25">
      <c r="D1885" s="4">
        <v>34554</v>
      </c>
      <c r="E1885" s="6">
        <v>17.93</v>
      </c>
      <c r="G1885" s="4">
        <f t="shared" si="119"/>
        <v>45100</v>
      </c>
      <c r="H1885" s="5">
        <f t="shared" si="116"/>
        <v>73.56</v>
      </c>
      <c r="I1885" s="5">
        <f t="shared" si="117"/>
        <v>6</v>
      </c>
      <c r="J1885" s="5">
        <f t="shared" si="118"/>
        <v>2023</v>
      </c>
    </row>
    <row r="1886" spans="4:10" x14ac:dyDescent="0.25">
      <c r="D1886" s="4">
        <v>34555</v>
      </c>
      <c r="E1886" s="6">
        <v>17.68</v>
      </c>
      <c r="G1886" s="4">
        <f t="shared" si="119"/>
        <v>45107</v>
      </c>
      <c r="H1886" s="5">
        <f t="shared" si="116"/>
        <v>74.510000000000005</v>
      </c>
      <c r="I1886" s="5">
        <f t="shared" si="117"/>
        <v>6</v>
      </c>
      <c r="J1886" s="5">
        <f t="shared" si="118"/>
        <v>2023</v>
      </c>
    </row>
    <row r="1887" spans="4:10" x14ac:dyDescent="0.25">
      <c r="D1887" s="4">
        <v>34556</v>
      </c>
      <c r="E1887" s="6">
        <v>17.329999999999998</v>
      </c>
      <c r="G1887" s="4">
        <f t="shared" si="119"/>
        <v>45114</v>
      </c>
      <c r="H1887" s="5">
        <f t="shared" si="116"/>
        <v>78.77</v>
      </c>
      <c r="I1887" s="5">
        <f t="shared" si="117"/>
        <v>7</v>
      </c>
      <c r="J1887" s="5">
        <f t="shared" si="118"/>
        <v>2023</v>
      </c>
    </row>
    <row r="1888" spans="4:10" x14ac:dyDescent="0.25">
      <c r="D1888" s="4">
        <v>34557</v>
      </c>
      <c r="E1888" s="6">
        <v>17.5</v>
      </c>
      <c r="G1888" s="4">
        <f t="shared" si="119"/>
        <v>45121</v>
      </c>
      <c r="H1888" s="5">
        <f t="shared" si="116"/>
        <v>79.900000000000006</v>
      </c>
      <c r="I1888" s="5">
        <f t="shared" si="117"/>
        <v>7</v>
      </c>
      <c r="J1888" s="5">
        <f t="shared" si="118"/>
        <v>2023</v>
      </c>
    </row>
    <row r="1889" spans="4:10" x14ac:dyDescent="0.25">
      <c r="D1889" s="4">
        <v>34558</v>
      </c>
      <c r="E1889" s="6">
        <v>17.100000000000001</v>
      </c>
      <c r="G1889" s="4">
        <f t="shared" si="119"/>
        <v>45128</v>
      </c>
      <c r="H1889" s="5">
        <f t="shared" si="116"/>
        <v>81.06</v>
      </c>
      <c r="I1889" s="5">
        <f t="shared" si="117"/>
        <v>7</v>
      </c>
      <c r="J1889" s="5">
        <f t="shared" si="118"/>
        <v>2023</v>
      </c>
    </row>
    <row r="1890" spans="4:10" x14ac:dyDescent="0.25">
      <c r="D1890" s="4">
        <v>34561</v>
      </c>
      <c r="E1890" s="6">
        <v>16.75</v>
      </c>
      <c r="G1890" s="4">
        <f t="shared" si="119"/>
        <v>45135</v>
      </c>
      <c r="H1890" s="5">
        <f t="shared" si="116"/>
        <v>84.49</v>
      </c>
      <c r="I1890" s="5">
        <f t="shared" si="117"/>
        <v>7</v>
      </c>
      <c r="J1890" s="5">
        <f t="shared" si="118"/>
        <v>2023</v>
      </c>
    </row>
    <row r="1891" spans="4:10" x14ac:dyDescent="0.25">
      <c r="D1891" s="4">
        <v>34562</v>
      </c>
      <c r="E1891" s="6">
        <v>16.68</v>
      </c>
      <c r="G1891" s="4">
        <f t="shared" si="119"/>
        <v>45142</v>
      </c>
      <c r="H1891" s="5">
        <f t="shared" si="116"/>
        <v>87.38</v>
      </c>
      <c r="I1891" s="5">
        <f t="shared" si="117"/>
        <v>8</v>
      </c>
      <c r="J1891" s="5">
        <f t="shared" si="118"/>
        <v>2023</v>
      </c>
    </row>
    <row r="1892" spans="4:10" x14ac:dyDescent="0.25">
      <c r="D1892" s="4">
        <v>34563</v>
      </c>
      <c r="E1892" s="6">
        <v>16.28</v>
      </c>
      <c r="G1892" s="4">
        <f t="shared" si="119"/>
        <v>45149</v>
      </c>
      <c r="H1892" s="5">
        <f t="shared" si="116"/>
        <v>87.93</v>
      </c>
      <c r="I1892" s="5">
        <f t="shared" si="117"/>
        <v>8</v>
      </c>
      <c r="J1892" s="5">
        <f t="shared" si="118"/>
        <v>2023</v>
      </c>
    </row>
    <row r="1893" spans="4:10" x14ac:dyDescent="0.25">
      <c r="D1893" s="4">
        <v>34564</v>
      </c>
      <c r="E1893" s="6">
        <v>16.3</v>
      </c>
      <c r="G1893" s="4">
        <f t="shared" si="119"/>
        <v>45156</v>
      </c>
      <c r="H1893" s="5">
        <f t="shared" si="116"/>
        <v>85.92</v>
      </c>
      <c r="I1893" s="5">
        <f t="shared" si="117"/>
        <v>8</v>
      </c>
      <c r="J1893" s="5">
        <f t="shared" si="118"/>
        <v>2023</v>
      </c>
    </row>
    <row r="1894" spans="4:10" x14ac:dyDescent="0.25">
      <c r="D1894" s="4">
        <v>34565</v>
      </c>
      <c r="E1894" s="6">
        <v>16.13</v>
      </c>
      <c r="G1894" s="4">
        <f t="shared" si="119"/>
        <v>45163</v>
      </c>
      <c r="H1894" s="5">
        <f t="shared" si="116"/>
        <v>85.42</v>
      </c>
      <c r="I1894" s="5">
        <f t="shared" si="117"/>
        <v>8</v>
      </c>
      <c r="J1894" s="5">
        <f t="shared" si="118"/>
        <v>2023</v>
      </c>
    </row>
    <row r="1895" spans="4:10" x14ac:dyDescent="0.25">
      <c r="D1895" s="4">
        <v>34568</v>
      </c>
      <c r="E1895" s="6">
        <v>15.25</v>
      </c>
      <c r="G1895" s="4">
        <f t="shared" si="119"/>
        <v>45170</v>
      </c>
      <c r="H1895" s="5">
        <f t="shared" si="116"/>
        <v>89.98</v>
      </c>
      <c r="I1895" s="5">
        <f t="shared" si="117"/>
        <v>9</v>
      </c>
      <c r="J1895" s="5">
        <f t="shared" si="118"/>
        <v>2023</v>
      </c>
    </row>
    <row r="1896" spans="4:10" x14ac:dyDescent="0.25">
      <c r="D1896" s="4">
        <v>34569</v>
      </c>
      <c r="E1896" s="6">
        <v>15.3</v>
      </c>
      <c r="G1896" s="4">
        <f t="shared" si="119"/>
        <v>45177</v>
      </c>
      <c r="H1896" s="5">
        <f t="shared" si="116"/>
        <v>91.85</v>
      </c>
      <c r="I1896" s="5">
        <f t="shared" si="117"/>
        <v>9</v>
      </c>
      <c r="J1896" s="5">
        <f t="shared" si="118"/>
        <v>2023</v>
      </c>
    </row>
    <row r="1897" spans="4:10" x14ac:dyDescent="0.25">
      <c r="D1897" s="4">
        <v>34570</v>
      </c>
      <c r="E1897" s="6">
        <v>15.8</v>
      </c>
      <c r="G1897" s="4">
        <f t="shared" si="119"/>
        <v>45184</v>
      </c>
      <c r="H1897" s="5">
        <f t="shared" si="116"/>
        <v>95.55</v>
      </c>
      <c r="I1897" s="5">
        <f t="shared" si="117"/>
        <v>9</v>
      </c>
      <c r="J1897" s="5">
        <f t="shared" si="118"/>
        <v>2023</v>
      </c>
    </row>
    <row r="1898" spans="4:10" x14ac:dyDescent="0.25">
      <c r="D1898" s="4">
        <v>34571</v>
      </c>
      <c r="E1898" s="6">
        <v>15.75</v>
      </c>
      <c r="G1898" s="4">
        <f t="shared" si="119"/>
        <v>45191</v>
      </c>
      <c r="H1898" s="5">
        <f t="shared" si="116"/>
        <v>93.99</v>
      </c>
      <c r="I1898" s="5">
        <f t="shared" si="117"/>
        <v>9</v>
      </c>
      <c r="J1898" s="5">
        <f t="shared" si="118"/>
        <v>2023</v>
      </c>
    </row>
    <row r="1899" spans="4:10" x14ac:dyDescent="0.25">
      <c r="D1899" s="4">
        <v>34572</v>
      </c>
      <c r="E1899" s="6">
        <v>15.85</v>
      </c>
      <c r="G1899" s="4">
        <f t="shared" si="119"/>
        <v>45198</v>
      </c>
      <c r="H1899" s="5">
        <f t="shared" si="116"/>
        <v>95.86</v>
      </c>
      <c r="I1899" s="5">
        <f t="shared" si="117"/>
        <v>9</v>
      </c>
      <c r="J1899" s="5">
        <f t="shared" si="118"/>
        <v>2023</v>
      </c>
    </row>
    <row r="1900" spans="4:10" x14ac:dyDescent="0.25">
      <c r="D1900" s="4">
        <v>34575</v>
      </c>
      <c r="E1900" s="5"/>
      <c r="G1900" s="4">
        <f t="shared" si="119"/>
        <v>45205</v>
      </c>
      <c r="H1900" s="5">
        <f t="shared" si="116"/>
        <v>87.86</v>
      </c>
      <c r="I1900" s="5">
        <f t="shared" si="117"/>
        <v>10</v>
      </c>
      <c r="J1900" s="5">
        <f t="shared" si="118"/>
        <v>2023</v>
      </c>
    </row>
    <row r="1901" spans="4:10" x14ac:dyDescent="0.25">
      <c r="D1901" s="4">
        <v>34576</v>
      </c>
      <c r="E1901" s="6">
        <v>15.78</v>
      </c>
      <c r="G1901" s="4">
        <f t="shared" si="119"/>
        <v>45212</v>
      </c>
      <c r="H1901" s="5">
        <f t="shared" si="116"/>
        <v>94.33</v>
      </c>
      <c r="I1901" s="5">
        <f t="shared" si="117"/>
        <v>10</v>
      </c>
      <c r="J1901" s="5">
        <f t="shared" si="118"/>
        <v>2023</v>
      </c>
    </row>
    <row r="1902" spans="4:10" x14ac:dyDescent="0.25">
      <c r="D1902" s="4">
        <v>34577</v>
      </c>
      <c r="E1902" s="6">
        <v>16.03</v>
      </c>
      <c r="G1902" s="4">
        <f t="shared" si="119"/>
        <v>45219</v>
      </c>
      <c r="H1902" s="5">
        <f t="shared" si="116"/>
        <v>93.72</v>
      </c>
      <c r="I1902" s="5">
        <f t="shared" si="117"/>
        <v>10</v>
      </c>
      <c r="J1902" s="5">
        <f t="shared" si="118"/>
        <v>2023</v>
      </c>
    </row>
    <row r="1903" spans="4:10" x14ac:dyDescent="0.25">
      <c r="D1903" s="4">
        <v>34578</v>
      </c>
      <c r="E1903" s="6">
        <v>16.03</v>
      </c>
      <c r="G1903" s="4">
        <f t="shared" si="119"/>
        <v>45226</v>
      </c>
      <c r="H1903" s="5">
        <f t="shared" si="116"/>
        <v>90.73</v>
      </c>
      <c r="I1903" s="5">
        <f t="shared" si="117"/>
        <v>10</v>
      </c>
      <c r="J1903" s="5">
        <f t="shared" si="118"/>
        <v>2023</v>
      </c>
    </row>
    <row r="1904" spans="4:10" x14ac:dyDescent="0.25">
      <c r="D1904" s="4">
        <v>34579</v>
      </c>
      <c r="E1904" s="6">
        <v>15.88</v>
      </c>
      <c r="G1904" s="4">
        <f t="shared" si="119"/>
        <v>45233</v>
      </c>
      <c r="H1904" s="5">
        <f t="shared" si="116"/>
        <v>87.55</v>
      </c>
      <c r="I1904" s="5">
        <f t="shared" si="117"/>
        <v>11</v>
      </c>
      <c r="J1904" s="5">
        <f t="shared" si="118"/>
        <v>2023</v>
      </c>
    </row>
    <row r="1905" spans="4:10" x14ac:dyDescent="0.25">
      <c r="D1905" s="4">
        <v>34582</v>
      </c>
      <c r="E1905" s="6">
        <v>15.6</v>
      </c>
      <c r="G1905" s="4">
        <f t="shared" si="119"/>
        <v>45240</v>
      </c>
      <c r="H1905" s="5">
        <f t="shared" si="116"/>
        <v>83.66</v>
      </c>
      <c r="I1905" s="5">
        <f t="shared" si="117"/>
        <v>11</v>
      </c>
      <c r="J1905" s="5">
        <f t="shared" si="118"/>
        <v>2023</v>
      </c>
    </row>
    <row r="1906" spans="4:10" x14ac:dyDescent="0.25">
      <c r="D1906" s="4">
        <v>34583</v>
      </c>
      <c r="E1906" s="6">
        <v>15.95</v>
      </c>
      <c r="G1906" s="4">
        <f t="shared" si="119"/>
        <v>45247</v>
      </c>
      <c r="H1906" s="5">
        <f t="shared" si="116"/>
        <v>81.22</v>
      </c>
      <c r="I1906" s="5">
        <f t="shared" si="117"/>
        <v>11</v>
      </c>
      <c r="J1906" s="5">
        <f t="shared" si="118"/>
        <v>2023</v>
      </c>
    </row>
    <row r="1907" spans="4:10" x14ac:dyDescent="0.25">
      <c r="D1907" s="4">
        <v>34584</v>
      </c>
      <c r="E1907" s="6">
        <v>16.03</v>
      </c>
      <c r="G1907" s="4">
        <f t="shared" si="119"/>
        <v>45254</v>
      </c>
      <c r="H1907" s="5">
        <f t="shared" si="116"/>
        <v>79.819999999999993</v>
      </c>
      <c r="I1907" s="5">
        <f t="shared" si="117"/>
        <v>11</v>
      </c>
      <c r="J1907" s="5">
        <f t="shared" si="118"/>
        <v>2023</v>
      </c>
    </row>
    <row r="1908" spans="4:10" x14ac:dyDescent="0.25">
      <c r="D1908" s="4">
        <v>34585</v>
      </c>
      <c r="E1908" s="6">
        <v>16.05</v>
      </c>
      <c r="G1908" s="4">
        <f t="shared" si="119"/>
        <v>45261</v>
      </c>
      <c r="H1908" s="5">
        <f t="shared" si="116"/>
        <v>78.72</v>
      </c>
      <c r="I1908" s="5">
        <f t="shared" si="117"/>
        <v>12</v>
      </c>
      <c r="J1908" s="5">
        <f t="shared" si="118"/>
        <v>2023</v>
      </c>
    </row>
    <row r="1909" spans="4:10" x14ac:dyDescent="0.25">
      <c r="D1909" s="4">
        <v>34586</v>
      </c>
      <c r="E1909" s="6">
        <v>15.93</v>
      </c>
      <c r="G1909" s="4">
        <f t="shared" si="119"/>
        <v>45268</v>
      </c>
      <c r="H1909" s="5">
        <f t="shared" si="116"/>
        <v>75.94</v>
      </c>
      <c r="I1909" s="5">
        <f t="shared" si="117"/>
        <v>12</v>
      </c>
      <c r="J1909" s="5">
        <f t="shared" si="118"/>
        <v>2023</v>
      </c>
    </row>
    <row r="1910" spans="4:10" x14ac:dyDescent="0.25">
      <c r="D1910" s="4">
        <v>34589</v>
      </c>
      <c r="E1910" s="6">
        <v>15.83</v>
      </c>
      <c r="G1910" s="4">
        <f t="shared" si="119"/>
        <v>45275</v>
      </c>
      <c r="H1910" s="5">
        <f t="shared" si="116"/>
        <v>76.84</v>
      </c>
      <c r="I1910" s="5">
        <f t="shared" si="117"/>
        <v>12</v>
      </c>
      <c r="J1910" s="5">
        <f t="shared" si="118"/>
        <v>2023</v>
      </c>
    </row>
    <row r="1911" spans="4:10" x14ac:dyDescent="0.25">
      <c r="D1911" s="4">
        <v>34590</v>
      </c>
      <c r="E1911" s="6">
        <v>15.48</v>
      </c>
      <c r="G1911" s="4">
        <f t="shared" si="119"/>
        <v>45282</v>
      </c>
      <c r="H1911" s="5">
        <f t="shared" si="116"/>
        <v>80.23</v>
      </c>
      <c r="I1911" s="5">
        <f t="shared" si="117"/>
        <v>12</v>
      </c>
      <c r="J1911" s="5">
        <f t="shared" si="118"/>
        <v>2023</v>
      </c>
    </row>
    <row r="1912" spans="4:10" x14ac:dyDescent="0.25">
      <c r="D1912" s="4">
        <v>34591</v>
      </c>
      <c r="E1912" s="6">
        <v>15.4</v>
      </c>
      <c r="G1912" s="4">
        <f t="shared" si="119"/>
        <v>45289</v>
      </c>
      <c r="H1912" s="5">
        <f t="shared" si="116"/>
        <v>77.69</v>
      </c>
      <c r="I1912" s="5">
        <f t="shared" si="117"/>
        <v>12</v>
      </c>
      <c r="J1912" s="5">
        <f t="shared" si="118"/>
        <v>2023</v>
      </c>
    </row>
    <row r="1913" spans="4:10" x14ac:dyDescent="0.25">
      <c r="D1913" s="4">
        <v>34592</v>
      </c>
      <c r="E1913" s="6">
        <v>15.25</v>
      </c>
      <c r="G1913" s="4">
        <f t="shared" si="119"/>
        <v>45296</v>
      </c>
      <c r="H1913" s="5">
        <f t="shared" si="116"/>
        <v>78.31</v>
      </c>
      <c r="I1913" s="5">
        <f t="shared" si="117"/>
        <v>1</v>
      </c>
      <c r="J1913" s="5">
        <f t="shared" si="118"/>
        <v>2024</v>
      </c>
    </row>
    <row r="1914" spans="4:10" x14ac:dyDescent="0.25">
      <c r="D1914" s="4">
        <v>34593</v>
      </c>
      <c r="E1914" s="6">
        <v>15.3</v>
      </c>
      <c r="G1914" s="4">
        <f t="shared" si="119"/>
        <v>45303</v>
      </c>
      <c r="H1914" s="5">
        <f t="shared" si="116"/>
        <v>79.89</v>
      </c>
      <c r="I1914" s="5">
        <f t="shared" si="117"/>
        <v>1</v>
      </c>
      <c r="J1914" s="5">
        <f t="shared" si="118"/>
        <v>2024</v>
      </c>
    </row>
    <row r="1915" spans="4:10" x14ac:dyDescent="0.25">
      <c r="D1915" s="4">
        <v>34596</v>
      </c>
      <c r="E1915" s="6">
        <v>15.45</v>
      </c>
      <c r="G1915" s="4">
        <f t="shared" si="119"/>
        <v>45310</v>
      </c>
      <c r="H1915" s="5">
        <f t="shared" si="116"/>
        <v>80.709999999999994</v>
      </c>
      <c r="I1915" s="5">
        <f t="shared" si="117"/>
        <v>1</v>
      </c>
      <c r="J1915" s="5">
        <f t="shared" si="118"/>
        <v>2024</v>
      </c>
    </row>
    <row r="1916" spans="4:10" x14ac:dyDescent="0.25">
      <c r="D1916" s="4">
        <v>34597</v>
      </c>
      <c r="E1916" s="6">
        <v>15.78</v>
      </c>
      <c r="G1916" s="4">
        <f t="shared" si="119"/>
        <v>45317</v>
      </c>
      <c r="H1916" s="5">
        <f t="shared" si="116"/>
        <v>83.34</v>
      </c>
      <c r="I1916" s="5">
        <f t="shared" si="117"/>
        <v>1</v>
      </c>
      <c r="J1916" s="5">
        <f t="shared" si="118"/>
        <v>2024</v>
      </c>
    </row>
    <row r="1917" spans="4:10" x14ac:dyDescent="0.25">
      <c r="D1917" s="4">
        <v>34598</v>
      </c>
      <c r="E1917" s="6">
        <v>15.8</v>
      </c>
      <c r="G1917" s="4">
        <f t="shared" si="119"/>
        <v>45324</v>
      </c>
      <c r="H1917" s="5">
        <f t="shared" si="116"/>
        <v>79.540000000000006</v>
      </c>
      <c r="I1917" s="5">
        <f t="shared" si="117"/>
        <v>2</v>
      </c>
      <c r="J1917" s="5">
        <f t="shared" si="118"/>
        <v>2024</v>
      </c>
    </row>
    <row r="1918" spans="4:10" x14ac:dyDescent="0.25">
      <c r="D1918" s="4">
        <v>34599</v>
      </c>
      <c r="E1918" s="6">
        <v>15.9</v>
      </c>
      <c r="G1918" s="4">
        <f t="shared" si="119"/>
        <v>45331</v>
      </c>
      <c r="H1918" s="5">
        <f t="shared" si="116"/>
        <v>83.58</v>
      </c>
      <c r="I1918" s="5">
        <f t="shared" si="117"/>
        <v>2</v>
      </c>
      <c r="J1918" s="5">
        <f t="shared" si="118"/>
        <v>2024</v>
      </c>
    </row>
    <row r="1919" spans="4:10" x14ac:dyDescent="0.25">
      <c r="D1919" s="4">
        <v>34600</v>
      </c>
      <c r="E1919" s="6">
        <v>16.3</v>
      </c>
      <c r="G1919" s="4">
        <f t="shared" si="119"/>
        <v>45338</v>
      </c>
      <c r="H1919" s="5">
        <f t="shared" si="116"/>
        <v>84.88</v>
      </c>
      <c r="I1919" s="5">
        <f t="shared" si="117"/>
        <v>2</v>
      </c>
      <c r="J1919" s="5">
        <f t="shared" si="118"/>
        <v>2024</v>
      </c>
    </row>
    <row r="1920" spans="4:10" x14ac:dyDescent="0.25">
      <c r="D1920" s="4">
        <v>34603</v>
      </c>
      <c r="E1920" s="6">
        <v>16.100000000000001</v>
      </c>
      <c r="G1920" s="4">
        <f t="shared" si="119"/>
        <v>45345</v>
      </c>
      <c r="H1920" s="5">
        <f t="shared" si="116"/>
        <v>84.18</v>
      </c>
      <c r="I1920" s="5">
        <f t="shared" si="117"/>
        <v>2</v>
      </c>
      <c r="J1920" s="5">
        <f t="shared" si="118"/>
        <v>2024</v>
      </c>
    </row>
    <row r="1921" spans="4:10" x14ac:dyDescent="0.25">
      <c r="D1921" s="4">
        <v>34604</v>
      </c>
      <c r="E1921" s="6">
        <v>16.100000000000001</v>
      </c>
      <c r="G1921" s="4">
        <f t="shared" si="119"/>
        <v>45352</v>
      </c>
      <c r="H1921" s="5">
        <f t="shared" si="116"/>
        <v>84.82</v>
      </c>
      <c r="I1921" s="5">
        <f t="shared" si="117"/>
        <v>3</v>
      </c>
      <c r="J1921" s="5">
        <f t="shared" si="118"/>
        <v>2024</v>
      </c>
    </row>
    <row r="1922" spans="4:10" x14ac:dyDescent="0.25">
      <c r="D1922" s="4">
        <v>34605</v>
      </c>
      <c r="E1922" s="6">
        <v>16.2</v>
      </c>
      <c r="G1922" s="4">
        <f t="shared" si="119"/>
        <v>45359</v>
      </c>
      <c r="H1922" s="5">
        <f t="shared" si="116"/>
        <v>84.29</v>
      </c>
      <c r="I1922" s="5">
        <f t="shared" si="117"/>
        <v>3</v>
      </c>
      <c r="J1922" s="5">
        <f t="shared" si="118"/>
        <v>2024</v>
      </c>
    </row>
    <row r="1923" spans="4:10" x14ac:dyDescent="0.25">
      <c r="D1923" s="4">
        <v>34606</v>
      </c>
      <c r="E1923" s="6">
        <v>16.600000000000001</v>
      </c>
      <c r="G1923" s="4">
        <f t="shared" si="119"/>
        <v>45366</v>
      </c>
      <c r="H1923" s="5">
        <f t="shared" ref="H1923:H1986" si="120">_xlfn.XLOOKUP(G1923,D:D,E:E)</f>
        <v>85.39</v>
      </c>
      <c r="I1923" s="5">
        <f t="shared" ref="I1923:I1986" si="121">MONTH(G1923)</f>
        <v>3</v>
      </c>
      <c r="J1923" s="5">
        <f t="shared" ref="J1923:J1986" si="122">YEAR(G1923)</f>
        <v>2024</v>
      </c>
    </row>
    <row r="1924" spans="4:10" x14ac:dyDescent="0.25">
      <c r="D1924" s="4">
        <v>34607</v>
      </c>
      <c r="E1924" s="6">
        <v>16.73</v>
      </c>
      <c r="G1924" s="4">
        <f t="shared" ref="G1924:G1987" si="123">G1923+7</f>
        <v>45373</v>
      </c>
      <c r="H1924" s="5">
        <f t="shared" si="120"/>
        <v>84.87</v>
      </c>
      <c r="I1924" s="5">
        <f t="shared" si="121"/>
        <v>3</v>
      </c>
      <c r="J1924" s="5">
        <f t="shared" si="122"/>
        <v>2024</v>
      </c>
    </row>
    <row r="1925" spans="4:10" x14ac:dyDescent="0.25">
      <c r="D1925" s="4">
        <v>34610</v>
      </c>
      <c r="E1925" s="6">
        <v>16.850000000000001</v>
      </c>
      <c r="G1925" s="4">
        <f t="shared" si="123"/>
        <v>45380</v>
      </c>
      <c r="H1925" s="5">
        <f t="shared" si="120"/>
        <v>0</v>
      </c>
      <c r="I1925" s="5">
        <f t="shared" si="121"/>
        <v>3</v>
      </c>
      <c r="J1925" s="5">
        <f t="shared" si="122"/>
        <v>2024</v>
      </c>
    </row>
    <row r="1926" spans="4:10" x14ac:dyDescent="0.25">
      <c r="D1926" s="4">
        <v>34611</v>
      </c>
      <c r="E1926" s="6">
        <v>16.7</v>
      </c>
      <c r="G1926" s="4">
        <f t="shared" si="123"/>
        <v>45387</v>
      </c>
      <c r="H1926" s="5">
        <f t="shared" si="120"/>
        <v>92.81</v>
      </c>
      <c r="I1926" s="5">
        <f t="shared" si="121"/>
        <v>4</v>
      </c>
      <c r="J1926" s="5">
        <f t="shared" si="122"/>
        <v>2024</v>
      </c>
    </row>
    <row r="1927" spans="4:10" x14ac:dyDescent="0.25">
      <c r="D1927" s="4">
        <v>34612</v>
      </c>
      <c r="E1927" s="6">
        <v>16.5</v>
      </c>
      <c r="G1927" s="4">
        <f t="shared" si="123"/>
        <v>45394</v>
      </c>
      <c r="H1927" s="5">
        <f t="shared" si="120"/>
        <v>93.12</v>
      </c>
      <c r="I1927" s="5">
        <f t="shared" si="121"/>
        <v>4</v>
      </c>
      <c r="J1927" s="5">
        <f t="shared" si="122"/>
        <v>2024</v>
      </c>
    </row>
    <row r="1928" spans="4:10" x14ac:dyDescent="0.25">
      <c r="D1928" s="4">
        <v>34613</v>
      </c>
      <c r="E1928" s="6">
        <v>16.63</v>
      </c>
      <c r="G1928" s="4">
        <f t="shared" si="123"/>
        <v>45401</v>
      </c>
      <c r="H1928" s="5">
        <f t="shared" si="120"/>
        <v>87.96</v>
      </c>
      <c r="I1928" s="5">
        <f t="shared" si="121"/>
        <v>4</v>
      </c>
      <c r="J1928" s="5">
        <f t="shared" si="122"/>
        <v>2024</v>
      </c>
    </row>
    <row r="1929" spans="4:10" x14ac:dyDescent="0.25">
      <c r="D1929" s="4">
        <v>34614</v>
      </c>
      <c r="E1929" s="6">
        <v>16.93</v>
      </c>
      <c r="G1929" s="4">
        <f t="shared" si="123"/>
        <v>45408</v>
      </c>
      <c r="H1929" s="5">
        <f t="shared" si="120"/>
        <v>89.95</v>
      </c>
      <c r="I1929" s="5">
        <f t="shared" si="121"/>
        <v>4</v>
      </c>
      <c r="J1929" s="5">
        <f t="shared" si="122"/>
        <v>2024</v>
      </c>
    </row>
    <row r="1930" spans="4:10" x14ac:dyDescent="0.25">
      <c r="D1930" s="4">
        <v>34617</v>
      </c>
      <c r="E1930" s="6">
        <v>16.7</v>
      </c>
      <c r="G1930" s="4">
        <f t="shared" si="123"/>
        <v>45415</v>
      </c>
      <c r="H1930" s="5">
        <f t="shared" si="120"/>
        <v>83.6</v>
      </c>
      <c r="I1930" s="5">
        <f t="shared" si="121"/>
        <v>5</v>
      </c>
      <c r="J1930" s="5">
        <f t="shared" si="122"/>
        <v>2024</v>
      </c>
    </row>
    <row r="1931" spans="4:10" x14ac:dyDescent="0.25">
      <c r="D1931" s="4">
        <v>34618</v>
      </c>
      <c r="E1931" s="6">
        <v>16.38</v>
      </c>
      <c r="G1931" s="4">
        <f t="shared" si="123"/>
        <v>45422</v>
      </c>
      <c r="H1931" s="5">
        <f t="shared" si="120"/>
        <v>83.39</v>
      </c>
      <c r="I1931" s="5">
        <f t="shared" si="121"/>
        <v>5</v>
      </c>
      <c r="J1931" s="5">
        <f t="shared" si="122"/>
        <v>2024</v>
      </c>
    </row>
    <row r="1932" spans="4:10" x14ac:dyDescent="0.25">
      <c r="D1932" s="4">
        <v>34619</v>
      </c>
      <c r="E1932" s="6">
        <v>16.079999999999998</v>
      </c>
      <c r="G1932" s="4">
        <f t="shared" si="123"/>
        <v>45429</v>
      </c>
      <c r="H1932" s="5">
        <f t="shared" si="120"/>
        <v>82.24</v>
      </c>
      <c r="I1932" s="5">
        <f t="shared" si="121"/>
        <v>5</v>
      </c>
      <c r="J1932" s="5">
        <f t="shared" si="122"/>
        <v>2024</v>
      </c>
    </row>
    <row r="1933" spans="4:10" x14ac:dyDescent="0.25">
      <c r="D1933" s="4">
        <v>34620</v>
      </c>
      <c r="E1933" s="6">
        <v>15.63</v>
      </c>
      <c r="G1933" s="4">
        <f t="shared" si="123"/>
        <v>45436</v>
      </c>
      <c r="H1933" s="5">
        <f t="shared" si="120"/>
        <v>78.92</v>
      </c>
      <c r="I1933" s="5">
        <f t="shared" si="121"/>
        <v>5</v>
      </c>
      <c r="J1933" s="5">
        <f t="shared" si="122"/>
        <v>2024</v>
      </c>
    </row>
    <row r="1934" spans="4:10" x14ac:dyDescent="0.25">
      <c r="D1934" s="4">
        <v>34621</v>
      </c>
      <c r="E1934" s="6">
        <v>15.58</v>
      </c>
      <c r="G1934" s="4">
        <f t="shared" si="123"/>
        <v>45443</v>
      </c>
      <c r="H1934" s="5">
        <f t="shared" si="120"/>
        <v>79.41</v>
      </c>
      <c r="I1934" s="5">
        <f t="shared" si="121"/>
        <v>5</v>
      </c>
      <c r="J1934" s="5">
        <f t="shared" si="122"/>
        <v>2024</v>
      </c>
    </row>
    <row r="1935" spans="4:10" x14ac:dyDescent="0.25">
      <c r="D1935" s="4">
        <v>34624</v>
      </c>
      <c r="E1935" s="6">
        <v>15.75</v>
      </c>
      <c r="G1935" s="4">
        <f t="shared" si="123"/>
        <v>45450</v>
      </c>
      <c r="H1935" s="5">
        <f t="shared" si="120"/>
        <v>78.12</v>
      </c>
      <c r="I1935" s="5">
        <f t="shared" si="121"/>
        <v>6</v>
      </c>
      <c r="J1935" s="5">
        <f t="shared" si="122"/>
        <v>2024</v>
      </c>
    </row>
    <row r="1936" spans="4:10" x14ac:dyDescent="0.25">
      <c r="D1936" s="4">
        <v>34625</v>
      </c>
      <c r="E1936" s="6">
        <v>16.13</v>
      </c>
      <c r="G1936" s="4">
        <f t="shared" si="123"/>
        <v>45457</v>
      </c>
      <c r="H1936" s="5">
        <f t="shared" si="120"/>
        <v>81.489999999999995</v>
      </c>
      <c r="I1936" s="5">
        <f t="shared" si="121"/>
        <v>6</v>
      </c>
      <c r="J1936" s="5">
        <f t="shared" si="122"/>
        <v>2024</v>
      </c>
    </row>
    <row r="1937" spans="4:10" x14ac:dyDescent="0.25">
      <c r="D1937" s="4">
        <v>34626</v>
      </c>
      <c r="E1937" s="6">
        <v>16.28</v>
      </c>
      <c r="G1937" s="4">
        <f t="shared" si="123"/>
        <v>45464</v>
      </c>
      <c r="H1937" s="5">
        <f t="shared" si="120"/>
        <v>86.42</v>
      </c>
      <c r="I1937" s="5">
        <f t="shared" si="121"/>
        <v>6</v>
      </c>
      <c r="J1937" s="5">
        <f t="shared" si="122"/>
        <v>2024</v>
      </c>
    </row>
    <row r="1938" spans="4:10" x14ac:dyDescent="0.25">
      <c r="D1938" s="4">
        <v>34627</v>
      </c>
      <c r="E1938" s="6">
        <v>16.53</v>
      </c>
      <c r="G1938" s="4">
        <f t="shared" si="123"/>
        <v>45471</v>
      </c>
      <c r="H1938" s="5">
        <f t="shared" si="120"/>
        <v>87.26</v>
      </c>
      <c r="I1938" s="5">
        <f t="shared" si="121"/>
        <v>6</v>
      </c>
      <c r="J1938" s="5">
        <f t="shared" si="122"/>
        <v>2024</v>
      </c>
    </row>
    <row r="1939" spans="4:10" x14ac:dyDescent="0.25">
      <c r="D1939" s="4">
        <v>34628</v>
      </c>
      <c r="E1939" s="6">
        <v>16.350000000000001</v>
      </c>
      <c r="G1939" s="4">
        <f t="shared" si="123"/>
        <v>45478</v>
      </c>
      <c r="H1939" s="5">
        <f t="shared" si="120"/>
        <v>88.66</v>
      </c>
      <c r="I1939" s="5">
        <f t="shared" si="121"/>
        <v>7</v>
      </c>
      <c r="J1939" s="5">
        <f t="shared" si="122"/>
        <v>2024</v>
      </c>
    </row>
    <row r="1940" spans="4:10" x14ac:dyDescent="0.25">
      <c r="D1940" s="4">
        <v>34631</v>
      </c>
      <c r="E1940" s="6">
        <v>16.48</v>
      </c>
      <c r="G1940" s="4">
        <f t="shared" si="123"/>
        <v>45485</v>
      </c>
      <c r="H1940" s="5">
        <f t="shared" si="120"/>
        <v>87.35</v>
      </c>
      <c r="I1940" s="5">
        <f t="shared" si="121"/>
        <v>7</v>
      </c>
      <c r="J1940" s="5">
        <f t="shared" si="122"/>
        <v>2024</v>
      </c>
    </row>
    <row r="1941" spans="4:10" x14ac:dyDescent="0.25">
      <c r="D1941" s="4">
        <v>34632</v>
      </c>
      <c r="E1941" s="6">
        <v>16.48</v>
      </c>
      <c r="G1941" s="4">
        <f t="shared" si="123"/>
        <v>45492</v>
      </c>
      <c r="H1941" s="5">
        <f t="shared" si="120"/>
        <v>85.19</v>
      </c>
      <c r="I1941" s="5">
        <f t="shared" si="121"/>
        <v>7</v>
      </c>
      <c r="J1941" s="5">
        <f t="shared" si="122"/>
        <v>2024</v>
      </c>
    </row>
    <row r="1942" spans="4:10" x14ac:dyDescent="0.25">
      <c r="D1942" s="4">
        <v>34633</v>
      </c>
      <c r="E1942" s="6">
        <v>16.88</v>
      </c>
      <c r="G1942" s="4">
        <f t="shared" si="123"/>
        <v>45499</v>
      </c>
      <c r="H1942" s="5">
        <f t="shared" si="120"/>
        <v>81.349999999999994</v>
      </c>
      <c r="I1942" s="5">
        <f t="shared" si="121"/>
        <v>7</v>
      </c>
      <c r="J1942" s="5">
        <f t="shared" si="122"/>
        <v>2024</v>
      </c>
    </row>
    <row r="1943" spans="4:10" x14ac:dyDescent="0.25">
      <c r="D1943" s="4">
        <v>34634</v>
      </c>
      <c r="E1943" s="6">
        <v>17.079999999999998</v>
      </c>
      <c r="G1943" s="4">
        <f t="shared" si="123"/>
        <v>45506</v>
      </c>
      <c r="H1943" s="5">
        <f t="shared" si="120"/>
        <v>78.349999999999994</v>
      </c>
      <c r="I1943" s="5">
        <f t="shared" si="121"/>
        <v>8</v>
      </c>
      <c r="J1943" s="5">
        <f t="shared" si="122"/>
        <v>2024</v>
      </c>
    </row>
    <row r="1944" spans="4:10" x14ac:dyDescent="0.25">
      <c r="D1944" s="4">
        <v>34635</v>
      </c>
      <c r="E1944" s="6">
        <v>17.18</v>
      </c>
      <c r="G1944" s="4">
        <f t="shared" si="123"/>
        <v>45513</v>
      </c>
      <c r="H1944" s="5">
        <f t="shared" si="120"/>
        <v>81.069999999999993</v>
      </c>
      <c r="I1944" s="5">
        <f t="shared" si="121"/>
        <v>8</v>
      </c>
      <c r="J1944" s="5">
        <f t="shared" si="122"/>
        <v>2024</v>
      </c>
    </row>
    <row r="1945" spans="4:10" x14ac:dyDescent="0.25">
      <c r="D1945" s="4">
        <v>34638</v>
      </c>
      <c r="E1945" s="6">
        <v>17.18</v>
      </c>
      <c r="G1945" s="4">
        <f t="shared" si="123"/>
        <v>45520</v>
      </c>
      <c r="H1945" s="5">
        <f t="shared" si="120"/>
        <v>81.56</v>
      </c>
      <c r="I1945" s="5">
        <f t="shared" si="121"/>
        <v>8</v>
      </c>
      <c r="J1945" s="5">
        <f t="shared" si="122"/>
        <v>2024</v>
      </c>
    </row>
    <row r="1946" spans="4:10" x14ac:dyDescent="0.25">
      <c r="D1946" s="4">
        <v>34639</v>
      </c>
      <c r="E1946" s="6">
        <v>17.399999999999999</v>
      </c>
      <c r="G1946" s="4">
        <f t="shared" si="123"/>
        <v>45527</v>
      </c>
      <c r="H1946" s="5">
        <f t="shared" si="120"/>
        <v>80.34</v>
      </c>
      <c r="I1946" s="5">
        <f t="shared" si="121"/>
        <v>8</v>
      </c>
      <c r="J1946" s="5">
        <f t="shared" si="122"/>
        <v>2024</v>
      </c>
    </row>
    <row r="1947" spans="4:10" x14ac:dyDescent="0.25">
      <c r="D1947" s="4">
        <v>34640</v>
      </c>
      <c r="E1947" s="6">
        <v>17.579999999999998</v>
      </c>
      <c r="G1947" s="4">
        <f t="shared" si="123"/>
        <v>45534</v>
      </c>
      <c r="H1947" s="5">
        <f t="shared" si="120"/>
        <v>80.2</v>
      </c>
      <c r="I1947" s="5">
        <f t="shared" si="121"/>
        <v>8</v>
      </c>
      <c r="J1947" s="5">
        <f t="shared" si="122"/>
        <v>2024</v>
      </c>
    </row>
    <row r="1948" spans="4:10" x14ac:dyDescent="0.25">
      <c r="D1948" s="4">
        <v>34641</v>
      </c>
      <c r="E1948" s="6">
        <v>17.75</v>
      </c>
      <c r="G1948" s="4">
        <f t="shared" si="123"/>
        <v>45541</v>
      </c>
      <c r="H1948" s="5">
        <f t="shared" si="120"/>
        <v>72.819999999999993</v>
      </c>
      <c r="I1948" s="5">
        <f t="shared" si="121"/>
        <v>9</v>
      </c>
      <c r="J1948" s="5">
        <f t="shared" si="122"/>
        <v>2024</v>
      </c>
    </row>
    <row r="1949" spans="4:10" x14ac:dyDescent="0.25">
      <c r="D1949" s="4">
        <v>34642</v>
      </c>
      <c r="E1949" s="6">
        <v>18</v>
      </c>
      <c r="G1949" s="4">
        <f t="shared" si="123"/>
        <v>45548</v>
      </c>
      <c r="H1949" s="5">
        <f t="shared" si="120"/>
        <v>73.680000000000007</v>
      </c>
      <c r="I1949" s="5">
        <f t="shared" si="121"/>
        <v>9</v>
      </c>
      <c r="J1949" s="5">
        <f t="shared" si="122"/>
        <v>2024</v>
      </c>
    </row>
    <row r="1950" spans="4:10" x14ac:dyDescent="0.25">
      <c r="D1950" s="4">
        <v>34645</v>
      </c>
      <c r="E1950" s="6">
        <v>17.78</v>
      </c>
      <c r="G1950" s="4">
        <f t="shared" si="123"/>
        <v>45555</v>
      </c>
      <c r="H1950" s="5">
        <f t="shared" si="120"/>
        <v>75.959999999999994</v>
      </c>
      <c r="I1950" s="5">
        <f t="shared" si="121"/>
        <v>9</v>
      </c>
      <c r="J1950" s="5">
        <f t="shared" si="122"/>
        <v>2024</v>
      </c>
    </row>
    <row r="1951" spans="4:10" x14ac:dyDescent="0.25">
      <c r="D1951" s="4">
        <v>34646</v>
      </c>
      <c r="E1951" s="6">
        <v>17.38</v>
      </c>
      <c r="G1951" s="4">
        <f t="shared" si="123"/>
        <v>45562</v>
      </c>
      <c r="H1951" s="5">
        <f t="shared" si="120"/>
        <v>71.63</v>
      </c>
      <c r="I1951" s="5">
        <f t="shared" si="121"/>
        <v>9</v>
      </c>
      <c r="J1951" s="5">
        <f t="shared" si="122"/>
        <v>2024</v>
      </c>
    </row>
    <row r="1952" spans="4:10" x14ac:dyDescent="0.25">
      <c r="D1952" s="4">
        <v>34647</v>
      </c>
      <c r="E1952" s="6">
        <v>17.55</v>
      </c>
      <c r="G1952" s="4">
        <f t="shared" si="123"/>
        <v>45569</v>
      </c>
      <c r="H1952" s="5">
        <f t="shared" si="120"/>
        <v>79.319999999999993</v>
      </c>
      <c r="I1952" s="5">
        <f t="shared" si="121"/>
        <v>10</v>
      </c>
      <c r="J1952" s="5">
        <f t="shared" si="122"/>
        <v>2024</v>
      </c>
    </row>
    <row r="1953" spans="4:10" x14ac:dyDescent="0.25">
      <c r="D1953" s="4">
        <v>34648</v>
      </c>
      <c r="E1953" s="6">
        <v>17.2</v>
      </c>
      <c r="G1953" s="4">
        <f t="shared" si="123"/>
        <v>45576</v>
      </c>
      <c r="H1953" s="5">
        <f t="shared" si="120"/>
        <v>80.27</v>
      </c>
      <c r="I1953" s="5">
        <f t="shared" si="121"/>
        <v>10</v>
      </c>
      <c r="J1953" s="5">
        <f t="shared" si="122"/>
        <v>2024</v>
      </c>
    </row>
    <row r="1954" spans="4:10" x14ac:dyDescent="0.25">
      <c r="D1954" s="4">
        <v>34649</v>
      </c>
      <c r="E1954" s="6">
        <v>17.38</v>
      </c>
      <c r="G1954" s="4">
        <f t="shared" si="123"/>
        <v>45583</v>
      </c>
      <c r="H1954" s="5">
        <f t="shared" si="120"/>
        <v>72.75</v>
      </c>
      <c r="I1954" s="5">
        <f t="shared" si="121"/>
        <v>10</v>
      </c>
      <c r="J1954" s="5">
        <f t="shared" si="122"/>
        <v>2024</v>
      </c>
    </row>
    <row r="1955" spans="4:10" x14ac:dyDescent="0.25">
      <c r="D1955" s="4">
        <v>34652</v>
      </c>
      <c r="E1955" s="6">
        <v>17.25</v>
      </c>
      <c r="G1955" s="4">
        <f t="shared" si="123"/>
        <v>45590</v>
      </c>
      <c r="H1955" s="5">
        <f t="shared" si="120"/>
        <v>75.62</v>
      </c>
      <c r="I1955" s="5">
        <f t="shared" si="121"/>
        <v>10</v>
      </c>
      <c r="J1955" s="5">
        <f t="shared" si="122"/>
        <v>2024</v>
      </c>
    </row>
    <row r="1956" spans="4:10" x14ac:dyDescent="0.25">
      <c r="D1956" s="4">
        <v>34653</v>
      </c>
      <c r="E1956" s="6">
        <v>16.98</v>
      </c>
      <c r="G1956" s="4">
        <f t="shared" si="123"/>
        <v>45597</v>
      </c>
      <c r="H1956" s="5">
        <f t="shared" si="120"/>
        <v>73.63</v>
      </c>
      <c r="I1956" s="5">
        <f t="shared" si="121"/>
        <v>11</v>
      </c>
      <c r="J1956" s="5">
        <f t="shared" si="122"/>
        <v>2024</v>
      </c>
    </row>
    <row r="1957" spans="4:10" x14ac:dyDescent="0.25">
      <c r="D1957" s="4">
        <v>34654</v>
      </c>
      <c r="E1957" s="6">
        <v>16.8</v>
      </c>
      <c r="G1957" s="4">
        <f t="shared" si="123"/>
        <v>45604</v>
      </c>
      <c r="H1957" s="5">
        <f t="shared" si="120"/>
        <v>74.040000000000006</v>
      </c>
      <c r="I1957" s="5">
        <f t="shared" si="121"/>
        <v>11</v>
      </c>
      <c r="J1957" s="5">
        <f t="shared" si="122"/>
        <v>2024</v>
      </c>
    </row>
    <row r="1958" spans="4:10" x14ac:dyDescent="0.25">
      <c r="D1958" s="4">
        <v>34655</v>
      </c>
      <c r="E1958" s="6">
        <v>16.53</v>
      </c>
      <c r="G1958" s="4">
        <f t="shared" si="123"/>
        <v>45611</v>
      </c>
      <c r="H1958" s="5">
        <f t="shared" si="120"/>
        <v>73.45</v>
      </c>
      <c r="I1958" s="5">
        <f t="shared" si="121"/>
        <v>11</v>
      </c>
      <c r="J1958" s="5">
        <f t="shared" si="122"/>
        <v>2024</v>
      </c>
    </row>
    <row r="1959" spans="4:10" x14ac:dyDescent="0.25">
      <c r="D1959" s="4">
        <v>34656</v>
      </c>
      <c r="E1959" s="6">
        <v>16.45</v>
      </c>
      <c r="G1959" s="4">
        <f t="shared" si="123"/>
        <v>45618</v>
      </c>
      <c r="H1959" s="5">
        <f t="shared" si="120"/>
        <v>76.099999999999994</v>
      </c>
      <c r="I1959" s="5">
        <f t="shared" si="121"/>
        <v>11</v>
      </c>
      <c r="J1959" s="5">
        <f t="shared" si="122"/>
        <v>2024</v>
      </c>
    </row>
    <row r="1960" spans="4:10" x14ac:dyDescent="0.25">
      <c r="D1960" s="4">
        <v>34659</v>
      </c>
      <c r="E1960" s="6">
        <v>17.25</v>
      </c>
      <c r="G1960" s="4">
        <f t="shared" si="123"/>
        <v>45625</v>
      </c>
      <c r="H1960" s="5">
        <f t="shared" si="120"/>
        <v>74.16</v>
      </c>
      <c r="I1960" s="5">
        <f t="shared" si="121"/>
        <v>11</v>
      </c>
      <c r="J1960" s="5">
        <f t="shared" si="122"/>
        <v>2024</v>
      </c>
    </row>
    <row r="1961" spans="4:10" x14ac:dyDescent="0.25">
      <c r="D1961" s="4">
        <v>34660</v>
      </c>
      <c r="E1961" s="6">
        <v>17.2</v>
      </c>
      <c r="G1961" s="4">
        <f t="shared" si="123"/>
        <v>45632</v>
      </c>
      <c r="H1961" s="5">
        <f t="shared" si="120"/>
        <v>73.78</v>
      </c>
      <c r="I1961" s="5">
        <f t="shared" si="121"/>
        <v>12</v>
      </c>
      <c r="J1961" s="5">
        <f t="shared" si="122"/>
        <v>2024</v>
      </c>
    </row>
    <row r="1962" spans="4:10" x14ac:dyDescent="0.25">
      <c r="D1962" s="4">
        <v>34661</v>
      </c>
      <c r="E1962" s="6">
        <v>16.88</v>
      </c>
      <c r="G1962" s="4">
        <f t="shared" si="123"/>
        <v>45639</v>
      </c>
      <c r="H1962" s="5">
        <f t="shared" si="120"/>
        <v>74.89</v>
      </c>
      <c r="I1962" s="5">
        <f t="shared" si="121"/>
        <v>12</v>
      </c>
      <c r="J1962" s="5">
        <f t="shared" si="122"/>
        <v>2024</v>
      </c>
    </row>
    <row r="1963" spans="4:10" x14ac:dyDescent="0.25">
      <c r="D1963" s="4">
        <v>34662</v>
      </c>
      <c r="E1963" s="6">
        <v>16.95</v>
      </c>
      <c r="G1963" s="4">
        <f t="shared" si="123"/>
        <v>45646</v>
      </c>
      <c r="H1963" s="5">
        <f t="shared" si="120"/>
        <v>73.19</v>
      </c>
      <c r="I1963" s="5">
        <f t="shared" si="121"/>
        <v>12</v>
      </c>
      <c r="J1963" s="5">
        <f t="shared" si="122"/>
        <v>2024</v>
      </c>
    </row>
    <row r="1964" spans="4:10" x14ac:dyDescent="0.25">
      <c r="D1964" s="4">
        <v>34663</v>
      </c>
      <c r="E1964" s="6">
        <v>17</v>
      </c>
      <c r="G1964" s="4">
        <f t="shared" si="123"/>
        <v>45653</v>
      </c>
      <c r="H1964" s="5">
        <f t="shared" si="120"/>
        <v>73.77</v>
      </c>
      <c r="I1964" s="5">
        <f t="shared" si="121"/>
        <v>12</v>
      </c>
      <c r="J1964" s="5">
        <f t="shared" si="122"/>
        <v>2024</v>
      </c>
    </row>
    <row r="1965" spans="4:10" x14ac:dyDescent="0.25">
      <c r="D1965" s="4">
        <v>34666</v>
      </c>
      <c r="E1965" s="6">
        <v>16.95</v>
      </c>
      <c r="G1965" s="4">
        <f t="shared" si="123"/>
        <v>45660</v>
      </c>
      <c r="H1965" s="5">
        <f t="shared" si="120"/>
        <v>76.72</v>
      </c>
      <c r="I1965" s="5">
        <f t="shared" si="121"/>
        <v>1</v>
      </c>
      <c r="J1965" s="5">
        <f t="shared" si="122"/>
        <v>2025</v>
      </c>
    </row>
    <row r="1966" spans="4:10" x14ac:dyDescent="0.25">
      <c r="D1966" s="4">
        <v>34667</v>
      </c>
      <c r="E1966" s="6">
        <v>17</v>
      </c>
      <c r="G1966" s="4">
        <f t="shared" si="123"/>
        <v>45667</v>
      </c>
      <c r="H1966" s="5">
        <f t="shared" si="120"/>
        <v>79.760000000000005</v>
      </c>
      <c r="I1966" s="5">
        <f t="shared" si="121"/>
        <v>1</v>
      </c>
      <c r="J1966" s="5">
        <f t="shared" si="122"/>
        <v>2025</v>
      </c>
    </row>
    <row r="1967" spans="4:10" x14ac:dyDescent="0.25">
      <c r="D1967" s="4">
        <v>34668</v>
      </c>
      <c r="E1967" s="6">
        <v>16.95</v>
      </c>
      <c r="G1967" s="4">
        <f t="shared" si="123"/>
        <v>45674</v>
      </c>
      <c r="H1967" s="5">
        <f t="shared" si="120"/>
        <v>83.02</v>
      </c>
      <c r="I1967" s="5">
        <f t="shared" si="121"/>
        <v>1</v>
      </c>
      <c r="J1967" s="5">
        <f t="shared" si="122"/>
        <v>2025</v>
      </c>
    </row>
    <row r="1968" spans="4:10" x14ac:dyDescent="0.25">
      <c r="D1968" s="4">
        <v>34669</v>
      </c>
      <c r="E1968" s="6">
        <v>16.98</v>
      </c>
      <c r="G1968" s="4">
        <f t="shared" si="123"/>
        <v>45681</v>
      </c>
      <c r="H1968" s="5">
        <f t="shared" si="120"/>
        <v>78.709999999999994</v>
      </c>
      <c r="I1968" s="5">
        <f t="shared" si="121"/>
        <v>1</v>
      </c>
      <c r="J1968" s="5">
        <f t="shared" si="122"/>
        <v>2025</v>
      </c>
    </row>
    <row r="1969" spans="4:10" x14ac:dyDescent="0.25">
      <c r="D1969" s="4">
        <v>34670</v>
      </c>
      <c r="E1969" s="6">
        <v>16.350000000000001</v>
      </c>
      <c r="G1969" s="4">
        <f t="shared" si="123"/>
        <v>45688</v>
      </c>
      <c r="H1969" s="5">
        <f t="shared" si="120"/>
        <v>77.11</v>
      </c>
      <c r="I1969" s="5">
        <f t="shared" si="121"/>
        <v>1</v>
      </c>
      <c r="J1969" s="5">
        <f t="shared" si="122"/>
        <v>2025</v>
      </c>
    </row>
    <row r="1970" spans="4:10" x14ac:dyDescent="0.25">
      <c r="D1970" s="4">
        <v>34673</v>
      </c>
      <c r="E1970" s="6">
        <v>15.93</v>
      </c>
      <c r="G1970" s="4">
        <f t="shared" si="123"/>
        <v>45695</v>
      </c>
      <c r="H1970" s="5">
        <f t="shared" si="120"/>
        <v>74.680000000000007</v>
      </c>
      <c r="I1970" s="5">
        <f t="shared" si="121"/>
        <v>2</v>
      </c>
      <c r="J1970" s="5">
        <f t="shared" si="122"/>
        <v>2025</v>
      </c>
    </row>
    <row r="1971" spans="4:10" x14ac:dyDescent="0.25">
      <c r="D1971" s="4">
        <v>34674</v>
      </c>
      <c r="E1971" s="6">
        <v>16.05</v>
      </c>
      <c r="G1971" s="4">
        <f t="shared" si="123"/>
        <v>45702</v>
      </c>
      <c r="H1971" s="5">
        <f t="shared" si="120"/>
        <v>75.19</v>
      </c>
      <c r="I1971" s="5">
        <f t="shared" si="121"/>
        <v>2</v>
      </c>
      <c r="J1971" s="5">
        <f t="shared" si="122"/>
        <v>2025</v>
      </c>
    </row>
    <row r="1972" spans="4:10" x14ac:dyDescent="0.25">
      <c r="D1972" s="4">
        <v>34675</v>
      </c>
      <c r="E1972" s="6">
        <v>15.83</v>
      </c>
      <c r="G1972" s="4">
        <f t="shared" si="123"/>
        <v>45709</v>
      </c>
      <c r="H1972" s="5">
        <f t="shared" si="120"/>
        <v>74.88</v>
      </c>
      <c r="I1972" s="5">
        <f t="shared" si="121"/>
        <v>2</v>
      </c>
      <c r="J1972" s="5">
        <f t="shared" si="122"/>
        <v>2025</v>
      </c>
    </row>
    <row r="1973" spans="4:10" x14ac:dyDescent="0.25">
      <c r="D1973" s="4">
        <v>34676</v>
      </c>
      <c r="E1973" s="6">
        <v>16.13</v>
      </c>
      <c r="G1973" s="4">
        <f t="shared" si="123"/>
        <v>45716</v>
      </c>
      <c r="H1973" s="5">
        <f t="shared" si="120"/>
        <v>74.760000000000005</v>
      </c>
      <c r="I1973" s="5">
        <f t="shared" si="121"/>
        <v>2</v>
      </c>
      <c r="J1973" s="5">
        <f t="shared" si="122"/>
        <v>2025</v>
      </c>
    </row>
    <row r="1974" spans="4:10" x14ac:dyDescent="0.25">
      <c r="D1974" s="4">
        <v>34677</v>
      </c>
      <c r="E1974" s="6">
        <v>16.079999999999998</v>
      </c>
      <c r="G1974" s="4">
        <f t="shared" si="123"/>
        <v>45723</v>
      </c>
      <c r="H1974" s="5">
        <f t="shared" si="120"/>
        <v>72.489999999999995</v>
      </c>
      <c r="I1974" s="5">
        <f t="shared" si="121"/>
        <v>3</v>
      </c>
      <c r="J1974" s="5">
        <f t="shared" si="122"/>
        <v>2025</v>
      </c>
    </row>
    <row r="1975" spans="4:10" x14ac:dyDescent="0.25">
      <c r="D1975" s="4">
        <v>34680</v>
      </c>
      <c r="E1975" s="6">
        <v>15.98</v>
      </c>
      <c r="G1975" s="4">
        <f t="shared" si="123"/>
        <v>45730</v>
      </c>
      <c r="H1975" s="5">
        <f t="shared" si="120"/>
        <v>71.94</v>
      </c>
      <c r="I1975" s="5">
        <f t="shared" si="121"/>
        <v>3</v>
      </c>
      <c r="J1975" s="5">
        <f t="shared" si="122"/>
        <v>2025</v>
      </c>
    </row>
    <row r="1976" spans="4:10" x14ac:dyDescent="0.25">
      <c r="D1976" s="4">
        <v>34681</v>
      </c>
      <c r="E1976" s="6">
        <v>15.73</v>
      </c>
      <c r="G1976" s="4">
        <f t="shared" si="123"/>
        <v>45737</v>
      </c>
      <c r="H1976" s="5">
        <f t="shared" si="120"/>
        <v>72.64</v>
      </c>
      <c r="I1976" s="5">
        <f t="shared" si="121"/>
        <v>3</v>
      </c>
      <c r="J1976" s="5">
        <f t="shared" si="122"/>
        <v>2025</v>
      </c>
    </row>
    <row r="1977" spans="4:10" x14ac:dyDescent="0.25">
      <c r="D1977" s="4">
        <v>34682</v>
      </c>
      <c r="E1977" s="6">
        <v>15.83</v>
      </c>
      <c r="G1977" s="4">
        <f t="shared" si="123"/>
        <v>45744</v>
      </c>
      <c r="H1977" s="5">
        <f t="shared" si="120"/>
        <v>74.69</v>
      </c>
      <c r="I1977" s="5">
        <f t="shared" si="121"/>
        <v>3</v>
      </c>
      <c r="J1977" s="5">
        <f t="shared" si="122"/>
        <v>2025</v>
      </c>
    </row>
    <row r="1978" spans="4:10" x14ac:dyDescent="0.25">
      <c r="D1978" s="4">
        <v>34683</v>
      </c>
      <c r="E1978" s="6">
        <v>15.6</v>
      </c>
      <c r="G1978" s="4">
        <f t="shared" si="123"/>
        <v>45751</v>
      </c>
      <c r="H1978" s="5">
        <f t="shared" si="120"/>
        <v>68.36</v>
      </c>
      <c r="I1978" s="5">
        <f t="shared" si="121"/>
        <v>4</v>
      </c>
      <c r="J1978" s="5">
        <f t="shared" si="122"/>
        <v>2025</v>
      </c>
    </row>
    <row r="1979" spans="4:10" x14ac:dyDescent="0.25">
      <c r="D1979" s="4">
        <v>34684</v>
      </c>
      <c r="E1979" s="6">
        <v>15.48</v>
      </c>
      <c r="G1979" s="4">
        <f t="shared" si="123"/>
        <v>45758</v>
      </c>
      <c r="H1979" s="5">
        <f t="shared" si="120"/>
        <v>66.83</v>
      </c>
      <c r="I1979" s="5">
        <f t="shared" si="121"/>
        <v>4</v>
      </c>
      <c r="J1979" s="5">
        <f t="shared" si="122"/>
        <v>2025</v>
      </c>
    </row>
    <row r="1980" spans="4:10" x14ac:dyDescent="0.25">
      <c r="D1980" s="4">
        <v>34687</v>
      </c>
      <c r="E1980" s="6">
        <v>15.58</v>
      </c>
      <c r="G1980" s="4">
        <f t="shared" si="123"/>
        <v>45765</v>
      </c>
      <c r="H1980" s="5">
        <f t="shared" si="120"/>
        <v>0</v>
      </c>
      <c r="I1980" s="5">
        <f t="shared" si="121"/>
        <v>4</v>
      </c>
      <c r="J1980" s="5">
        <f t="shared" si="122"/>
        <v>2025</v>
      </c>
    </row>
    <row r="1981" spans="4:10" x14ac:dyDescent="0.25">
      <c r="D1981" s="4">
        <v>34688</v>
      </c>
      <c r="E1981" s="6">
        <v>15.73</v>
      </c>
      <c r="G1981" s="4">
        <f t="shared" si="123"/>
        <v>45772</v>
      </c>
      <c r="H1981" s="5">
        <f t="shared" si="120"/>
        <v>66.989999999999995</v>
      </c>
      <c r="I1981" s="5">
        <f t="shared" si="121"/>
        <v>4</v>
      </c>
      <c r="J1981" s="5">
        <f t="shared" si="122"/>
        <v>2025</v>
      </c>
    </row>
    <row r="1982" spans="4:10" x14ac:dyDescent="0.25">
      <c r="D1982" s="4">
        <v>34689</v>
      </c>
      <c r="E1982" s="6">
        <v>15.65</v>
      </c>
      <c r="G1982" s="4">
        <f t="shared" si="123"/>
        <v>45779</v>
      </c>
      <c r="H1982" s="5">
        <f t="shared" si="120"/>
        <v>61.57</v>
      </c>
      <c r="I1982" s="5">
        <f t="shared" si="121"/>
        <v>5</v>
      </c>
      <c r="J1982" s="5">
        <f t="shared" si="122"/>
        <v>2025</v>
      </c>
    </row>
    <row r="1983" spans="4:10" x14ac:dyDescent="0.25">
      <c r="D1983" s="4">
        <v>34690</v>
      </c>
      <c r="E1983" s="6">
        <v>15.6</v>
      </c>
      <c r="G1983" s="4">
        <f t="shared" si="123"/>
        <v>45786</v>
      </c>
      <c r="H1983" s="5">
        <f t="shared" si="120"/>
        <v>64.260000000000005</v>
      </c>
      <c r="I1983" s="5">
        <f t="shared" si="121"/>
        <v>5</v>
      </c>
      <c r="J1983" s="5">
        <f t="shared" si="122"/>
        <v>2025</v>
      </c>
    </row>
    <row r="1984" spans="4:10" x14ac:dyDescent="0.25">
      <c r="D1984" s="4">
        <v>34691</v>
      </c>
      <c r="E1984" s="6">
        <v>15.55</v>
      </c>
      <c r="G1984" s="4">
        <f t="shared" si="123"/>
        <v>45793</v>
      </c>
      <c r="H1984" s="5">
        <f t="shared" si="120"/>
        <v>65.2</v>
      </c>
      <c r="I1984" s="5">
        <f t="shared" si="121"/>
        <v>5</v>
      </c>
      <c r="J1984" s="5">
        <f t="shared" si="122"/>
        <v>2025</v>
      </c>
    </row>
    <row r="1985" spans="4:10" x14ac:dyDescent="0.25">
      <c r="D1985" s="4">
        <v>34694</v>
      </c>
      <c r="E1985" s="5"/>
      <c r="G1985" s="4">
        <f t="shared" si="123"/>
        <v>45800</v>
      </c>
      <c r="H1985" s="5">
        <f t="shared" si="120"/>
        <v>65.41</v>
      </c>
      <c r="I1985" s="5">
        <f t="shared" si="121"/>
        <v>5</v>
      </c>
      <c r="J1985" s="5">
        <f t="shared" si="122"/>
        <v>2025</v>
      </c>
    </row>
    <row r="1986" spans="4:10" x14ac:dyDescent="0.25">
      <c r="D1986" s="4">
        <v>34695</v>
      </c>
      <c r="E1986" s="5"/>
      <c r="G1986" s="4">
        <f t="shared" si="123"/>
        <v>45807</v>
      </c>
      <c r="H1986" s="5">
        <f t="shared" si="120"/>
        <v>64.319999999999993</v>
      </c>
      <c r="I1986" s="5">
        <f t="shared" si="121"/>
        <v>5</v>
      </c>
      <c r="J1986" s="5">
        <f t="shared" si="122"/>
        <v>2025</v>
      </c>
    </row>
    <row r="1987" spans="4:10" x14ac:dyDescent="0.25">
      <c r="D1987" s="4">
        <v>34696</v>
      </c>
      <c r="E1987" s="6">
        <v>16.079999999999998</v>
      </c>
      <c r="G1987" s="4">
        <f t="shared" si="123"/>
        <v>45814</v>
      </c>
      <c r="H1987" s="5">
        <f t="shared" ref="H1987:H2050" si="124">_xlfn.XLOOKUP(G1987,D:D,E:E)</f>
        <v>68.02</v>
      </c>
      <c r="I1987" s="5">
        <f t="shared" ref="I1987:I2006" si="125">MONTH(G1987)</f>
        <v>6</v>
      </c>
      <c r="J1987" s="5">
        <f t="shared" ref="J1987:J2006" si="126">YEAR(G1987)</f>
        <v>2025</v>
      </c>
    </row>
    <row r="1988" spans="4:10" x14ac:dyDescent="0.25">
      <c r="D1988" s="4">
        <v>34697</v>
      </c>
      <c r="E1988" s="6">
        <v>16.25</v>
      </c>
      <c r="G1988" s="4">
        <f t="shared" ref="G1988:G2051" si="127">G1987+7</f>
        <v>45821</v>
      </c>
      <c r="H1988" s="5">
        <f t="shared" si="124"/>
        <v>76</v>
      </c>
      <c r="I1988" s="5">
        <f t="shared" si="125"/>
        <v>6</v>
      </c>
      <c r="J1988" s="5">
        <f t="shared" si="126"/>
        <v>2025</v>
      </c>
    </row>
    <row r="1989" spans="4:10" x14ac:dyDescent="0.25">
      <c r="D1989" s="4">
        <v>34698</v>
      </c>
      <c r="E1989" s="6">
        <v>16.23</v>
      </c>
      <c r="G1989" s="4">
        <f t="shared" si="127"/>
        <v>45828</v>
      </c>
      <c r="H1989" s="5">
        <f t="shared" si="124"/>
        <v>78.73</v>
      </c>
      <c r="I1989" s="5">
        <f t="shared" si="125"/>
        <v>6</v>
      </c>
      <c r="J1989" s="5">
        <f t="shared" si="126"/>
        <v>2025</v>
      </c>
    </row>
    <row r="1990" spans="4:10" x14ac:dyDescent="0.25">
      <c r="D1990" s="4">
        <v>34701</v>
      </c>
      <c r="E1990" s="5"/>
      <c r="G1990" s="4">
        <f t="shared" si="127"/>
        <v>45835</v>
      </c>
      <c r="H1990" s="5">
        <f t="shared" si="124"/>
        <v>69.37</v>
      </c>
      <c r="I1990" s="5">
        <f t="shared" si="125"/>
        <v>6</v>
      </c>
      <c r="J1990" s="5">
        <f t="shared" si="126"/>
        <v>2025</v>
      </c>
    </row>
    <row r="1991" spans="4:10" x14ac:dyDescent="0.25">
      <c r="D1991" s="4">
        <v>34702</v>
      </c>
      <c r="E1991" s="6">
        <v>15.88</v>
      </c>
      <c r="G1991" s="4">
        <f t="shared" si="127"/>
        <v>45842</v>
      </c>
      <c r="H1991" s="5">
        <f t="shared" si="124"/>
        <v>71.03</v>
      </c>
      <c r="I1991" s="5">
        <f t="shared" si="125"/>
        <v>7</v>
      </c>
      <c r="J1991" s="5">
        <f t="shared" si="126"/>
        <v>2025</v>
      </c>
    </row>
    <row r="1992" spans="4:10" x14ac:dyDescent="0.25">
      <c r="D1992" s="4">
        <v>34703</v>
      </c>
      <c r="E1992" s="6">
        <v>15.93</v>
      </c>
      <c r="G1992" s="4">
        <f t="shared" si="127"/>
        <v>45849</v>
      </c>
      <c r="H1992" s="5">
        <f t="shared" si="124"/>
        <v>72.06</v>
      </c>
      <c r="I1992" s="5">
        <f t="shared" si="125"/>
        <v>7</v>
      </c>
      <c r="J1992" s="5">
        <f t="shared" si="126"/>
        <v>2025</v>
      </c>
    </row>
    <row r="1993" spans="4:10" x14ac:dyDescent="0.25">
      <c r="D1993" s="4">
        <v>34704</v>
      </c>
      <c r="E1993" s="6">
        <v>16.13</v>
      </c>
      <c r="G1993" s="4">
        <f t="shared" si="127"/>
        <v>45856</v>
      </c>
      <c r="H1993" s="5">
        <f t="shared" si="124"/>
        <v>71.06</v>
      </c>
      <c r="I1993" s="5">
        <f t="shared" si="125"/>
        <v>7</v>
      </c>
      <c r="J1993" s="5">
        <f t="shared" si="126"/>
        <v>2025</v>
      </c>
    </row>
    <row r="1994" spans="4:10" x14ac:dyDescent="0.25">
      <c r="D1994" s="4">
        <v>34705</v>
      </c>
      <c r="E1994" s="6">
        <v>16.350000000000001</v>
      </c>
      <c r="G1994" s="4">
        <f t="shared" si="127"/>
        <v>45863</v>
      </c>
      <c r="H1994" s="5">
        <f t="shared" si="124"/>
        <v>69.23</v>
      </c>
      <c r="I1994" s="5">
        <f t="shared" si="125"/>
        <v>7</v>
      </c>
      <c r="J1994" s="5">
        <f t="shared" si="126"/>
        <v>2025</v>
      </c>
    </row>
    <row r="1995" spans="4:10" x14ac:dyDescent="0.25">
      <c r="D1995" s="4">
        <v>34708</v>
      </c>
      <c r="E1995" s="6">
        <v>16.079999999999998</v>
      </c>
      <c r="G1995" s="4">
        <f t="shared" si="127"/>
        <v>45870</v>
      </c>
      <c r="H1995" s="5">
        <f t="shared" si="124"/>
        <v>70.55</v>
      </c>
      <c r="I1995" s="5">
        <f t="shared" si="125"/>
        <v>8</v>
      </c>
      <c r="J1995" s="5">
        <f t="shared" si="126"/>
        <v>2025</v>
      </c>
    </row>
    <row r="1996" spans="4:10" x14ac:dyDescent="0.25">
      <c r="D1996" s="4">
        <v>34709</v>
      </c>
      <c r="E1996" s="6">
        <v>16</v>
      </c>
      <c r="G1996" s="4">
        <f t="shared" si="127"/>
        <v>45877</v>
      </c>
      <c r="H1996" s="5">
        <f t="shared" si="124"/>
        <v>67.17</v>
      </c>
      <c r="I1996" s="5">
        <f t="shared" si="125"/>
        <v>8</v>
      </c>
      <c r="J1996" s="5">
        <f t="shared" si="126"/>
        <v>2025</v>
      </c>
    </row>
    <row r="1997" spans="4:10" x14ac:dyDescent="0.25">
      <c r="D1997" s="4">
        <v>34710</v>
      </c>
      <c r="E1997" s="6">
        <v>16.399999999999999</v>
      </c>
      <c r="G1997" s="4">
        <f t="shared" si="127"/>
        <v>45884</v>
      </c>
      <c r="H1997" s="5">
        <f t="shared" si="124"/>
        <v>67.3</v>
      </c>
      <c r="I1997" s="5">
        <f t="shared" si="125"/>
        <v>8</v>
      </c>
      <c r="J1997" s="5">
        <f t="shared" si="126"/>
        <v>2025</v>
      </c>
    </row>
    <row r="1998" spans="4:10" x14ac:dyDescent="0.25">
      <c r="D1998" s="4">
        <v>34711</v>
      </c>
      <c r="E1998" s="6">
        <v>16.48</v>
      </c>
      <c r="G1998" s="4">
        <f t="shared" si="127"/>
        <v>45891</v>
      </c>
      <c r="H1998" s="5">
        <f t="shared" si="124"/>
        <v>68.290000000000006</v>
      </c>
      <c r="I1998" s="5">
        <f t="shared" si="125"/>
        <v>8</v>
      </c>
      <c r="J1998" s="5">
        <f t="shared" si="126"/>
        <v>2025</v>
      </c>
    </row>
    <row r="1999" spans="4:10" x14ac:dyDescent="0.25">
      <c r="D1999" s="4">
        <v>34712</v>
      </c>
      <c r="E1999" s="6">
        <v>16.2</v>
      </c>
      <c r="G1999" s="4">
        <f t="shared" si="127"/>
        <v>45898</v>
      </c>
      <c r="H1999" s="5">
        <f t="shared" si="124"/>
        <v>67.83</v>
      </c>
      <c r="I1999" s="5">
        <f t="shared" si="125"/>
        <v>8</v>
      </c>
      <c r="J1999" s="5">
        <f t="shared" si="126"/>
        <v>2025</v>
      </c>
    </row>
    <row r="2000" spans="4:10" x14ac:dyDescent="0.25">
      <c r="D2000" s="4">
        <v>34715</v>
      </c>
      <c r="E2000" s="6">
        <v>16.38</v>
      </c>
      <c r="G2000" s="4">
        <f t="shared" si="127"/>
        <v>45905</v>
      </c>
      <c r="H2000" s="5">
        <f t="shared" si="124"/>
        <v>64.92</v>
      </c>
      <c r="I2000" s="5">
        <f t="shared" si="125"/>
        <v>9</v>
      </c>
      <c r="J2000" s="5">
        <f t="shared" si="126"/>
        <v>2025</v>
      </c>
    </row>
    <row r="2001" spans="4:10" x14ac:dyDescent="0.25">
      <c r="D2001" s="4">
        <v>34716</v>
      </c>
      <c r="E2001" s="6">
        <v>16.78</v>
      </c>
      <c r="G2001" s="4">
        <f t="shared" si="127"/>
        <v>45912</v>
      </c>
      <c r="H2001" s="5">
        <f t="shared" si="124"/>
        <v>67.87</v>
      </c>
      <c r="I2001" s="5">
        <f t="shared" si="125"/>
        <v>9</v>
      </c>
      <c r="J2001" s="5">
        <f t="shared" si="126"/>
        <v>2025</v>
      </c>
    </row>
    <row r="2002" spans="4:10" x14ac:dyDescent="0.25">
      <c r="D2002" s="4">
        <v>34717</v>
      </c>
      <c r="E2002" s="6">
        <v>16.95</v>
      </c>
      <c r="G2002" s="4">
        <f t="shared" si="127"/>
        <v>45919</v>
      </c>
      <c r="H2002" s="5">
        <f t="shared" si="124"/>
        <v>67.05</v>
      </c>
      <c r="I2002" s="5">
        <f t="shared" si="125"/>
        <v>9</v>
      </c>
      <c r="J2002" s="5">
        <f t="shared" si="126"/>
        <v>2025</v>
      </c>
    </row>
    <row r="2003" spans="4:10" x14ac:dyDescent="0.25">
      <c r="D2003" s="4">
        <v>34718</v>
      </c>
      <c r="E2003" s="6">
        <v>17.079999999999998</v>
      </c>
      <c r="G2003" s="4">
        <f t="shared" si="127"/>
        <v>45926</v>
      </c>
      <c r="H2003" s="5">
        <f t="shared" si="124"/>
        <v>71.150000000000006</v>
      </c>
      <c r="I2003" s="5">
        <f t="shared" si="125"/>
        <v>9</v>
      </c>
      <c r="J2003" s="5">
        <f t="shared" si="126"/>
        <v>2025</v>
      </c>
    </row>
    <row r="2004" spans="4:10" x14ac:dyDescent="0.25">
      <c r="D2004" s="4">
        <v>34719</v>
      </c>
      <c r="E2004" s="6">
        <v>17.23</v>
      </c>
      <c r="G2004" s="4">
        <f t="shared" si="127"/>
        <v>45933</v>
      </c>
      <c r="H2004" s="5">
        <f t="shared" si="124"/>
        <v>66.13</v>
      </c>
      <c r="I2004" s="5">
        <f t="shared" si="125"/>
        <v>10</v>
      </c>
      <c r="J2004" s="5">
        <f t="shared" si="126"/>
        <v>2025</v>
      </c>
    </row>
    <row r="2005" spans="4:10" x14ac:dyDescent="0.25">
      <c r="D2005" s="4">
        <v>34722</v>
      </c>
      <c r="E2005" s="6">
        <v>17</v>
      </c>
      <c r="G2005" s="4">
        <f t="shared" si="127"/>
        <v>45940</v>
      </c>
      <c r="H2005" s="5">
        <f t="shared" si="124"/>
        <v>64.41</v>
      </c>
      <c r="I2005" s="5">
        <f t="shared" si="125"/>
        <v>10</v>
      </c>
      <c r="J2005" s="5">
        <f t="shared" si="126"/>
        <v>2025</v>
      </c>
    </row>
    <row r="2006" spans="4:10" x14ac:dyDescent="0.25">
      <c r="D2006" s="4">
        <v>34723</v>
      </c>
      <c r="E2006" s="6">
        <v>17.149999999999999</v>
      </c>
      <c r="G2006" s="4">
        <f t="shared" si="127"/>
        <v>45947</v>
      </c>
      <c r="H2006" s="5">
        <f t="shared" si="124"/>
        <v>61.23</v>
      </c>
      <c r="I2006" s="5">
        <f t="shared" si="125"/>
        <v>10</v>
      </c>
      <c r="J2006" s="5">
        <f t="shared" si="126"/>
        <v>2025</v>
      </c>
    </row>
    <row r="2007" spans="4:10" x14ac:dyDescent="0.25">
      <c r="D2007" s="4">
        <v>34724</v>
      </c>
      <c r="E2007" s="6">
        <v>16.98</v>
      </c>
      <c r="G2007" s="4"/>
      <c r="H2007" s="5"/>
    </row>
    <row r="2008" spans="4:10" x14ac:dyDescent="0.25">
      <c r="D2008" s="4">
        <v>34725</v>
      </c>
      <c r="E2008" s="6">
        <v>16.73</v>
      </c>
      <c r="G2008" s="4"/>
      <c r="H2008" s="5"/>
    </row>
    <row r="2009" spans="4:10" x14ac:dyDescent="0.25">
      <c r="D2009" s="4">
        <v>34726</v>
      </c>
      <c r="E2009" s="6">
        <v>16.38</v>
      </c>
      <c r="G2009" s="4"/>
      <c r="H2009" s="5"/>
    </row>
    <row r="2010" spans="4:10" x14ac:dyDescent="0.25">
      <c r="D2010" s="4">
        <v>34729</v>
      </c>
      <c r="E2010" s="6">
        <v>16.68</v>
      </c>
      <c r="G2010" s="4"/>
      <c r="H2010" s="5"/>
    </row>
    <row r="2011" spans="4:10" x14ac:dyDescent="0.25">
      <c r="D2011" s="4">
        <v>34730</v>
      </c>
      <c r="E2011" s="6">
        <v>16.8</v>
      </c>
      <c r="G2011" s="4"/>
      <c r="H2011" s="5"/>
    </row>
    <row r="2012" spans="4:10" x14ac:dyDescent="0.25">
      <c r="D2012" s="4">
        <v>34731</v>
      </c>
      <c r="E2012" s="6">
        <v>17.05</v>
      </c>
      <c r="G2012" s="4"/>
      <c r="H2012" s="5"/>
    </row>
    <row r="2013" spans="4:10" x14ac:dyDescent="0.25">
      <c r="D2013" s="4">
        <v>34732</v>
      </c>
      <c r="E2013" s="6">
        <v>17</v>
      </c>
      <c r="G2013" s="4"/>
      <c r="H2013" s="5"/>
    </row>
    <row r="2014" spans="4:10" x14ac:dyDescent="0.25">
      <c r="D2014" s="4">
        <v>34733</v>
      </c>
      <c r="E2014" s="6">
        <v>17.399999999999999</v>
      </c>
      <c r="G2014" s="4"/>
      <c r="H2014" s="5"/>
    </row>
    <row r="2015" spans="4:10" x14ac:dyDescent="0.25">
      <c r="D2015" s="4">
        <v>34736</v>
      </c>
      <c r="E2015" s="6">
        <v>17.079999999999998</v>
      </c>
      <c r="G2015" s="4"/>
      <c r="H2015" s="5"/>
    </row>
    <row r="2016" spans="4:10" x14ac:dyDescent="0.25">
      <c r="D2016" s="4">
        <v>34737</v>
      </c>
      <c r="E2016" s="6">
        <v>17.05</v>
      </c>
      <c r="G2016" s="4"/>
      <c r="H2016" s="5"/>
    </row>
    <row r="2017" spans="4:8" x14ac:dyDescent="0.25">
      <c r="D2017" s="4">
        <v>34738</v>
      </c>
      <c r="E2017" s="6">
        <v>17.03</v>
      </c>
      <c r="G2017" s="4"/>
      <c r="H2017" s="5"/>
    </row>
    <row r="2018" spans="4:8" x14ac:dyDescent="0.25">
      <c r="D2018" s="4">
        <v>34739</v>
      </c>
      <c r="E2018" s="6">
        <v>16.850000000000001</v>
      </c>
      <c r="G2018" s="4"/>
      <c r="H2018" s="5"/>
    </row>
    <row r="2019" spans="4:8" x14ac:dyDescent="0.25">
      <c r="D2019" s="4">
        <v>34740</v>
      </c>
      <c r="E2019" s="6">
        <v>16.850000000000001</v>
      </c>
      <c r="G2019" s="4"/>
      <c r="H2019" s="5"/>
    </row>
    <row r="2020" spans="4:8" x14ac:dyDescent="0.25">
      <c r="D2020" s="4">
        <v>34743</v>
      </c>
      <c r="E2020" s="6">
        <v>16.88</v>
      </c>
      <c r="G2020" s="4"/>
      <c r="H2020" s="5"/>
    </row>
    <row r="2021" spans="4:8" x14ac:dyDescent="0.25">
      <c r="D2021" s="4">
        <v>34744</v>
      </c>
      <c r="E2021" s="6">
        <v>17</v>
      </c>
      <c r="G2021" s="4"/>
      <c r="H2021" s="5"/>
    </row>
    <row r="2022" spans="4:8" x14ac:dyDescent="0.25">
      <c r="D2022" s="4">
        <v>34745</v>
      </c>
      <c r="E2022" s="6">
        <v>17.100000000000001</v>
      </c>
      <c r="G2022" s="4"/>
      <c r="H2022" s="5"/>
    </row>
    <row r="2023" spans="4:8" x14ac:dyDescent="0.25">
      <c r="D2023" s="4">
        <v>34746</v>
      </c>
      <c r="E2023" s="6">
        <v>17.13</v>
      </c>
      <c r="G2023" s="4"/>
      <c r="H2023" s="5"/>
    </row>
    <row r="2024" spans="4:8" x14ac:dyDescent="0.25">
      <c r="D2024" s="4">
        <v>34747</v>
      </c>
      <c r="E2024" s="6">
        <v>17.399999999999999</v>
      </c>
      <c r="G2024" s="4"/>
      <c r="H2024" s="5"/>
    </row>
    <row r="2025" spans="4:8" x14ac:dyDescent="0.25">
      <c r="D2025" s="4">
        <v>34750</v>
      </c>
      <c r="E2025" s="6">
        <v>17.43</v>
      </c>
      <c r="G2025" s="4"/>
      <c r="H2025" s="5"/>
    </row>
    <row r="2026" spans="4:8" x14ac:dyDescent="0.25">
      <c r="D2026" s="4">
        <v>34751</v>
      </c>
      <c r="E2026" s="6">
        <v>17.18</v>
      </c>
      <c r="G2026" s="4"/>
      <c r="H2026" s="5"/>
    </row>
    <row r="2027" spans="4:8" x14ac:dyDescent="0.25">
      <c r="D2027" s="4">
        <v>34752</v>
      </c>
      <c r="E2027" s="6">
        <v>17.079999999999998</v>
      </c>
      <c r="G2027" s="4"/>
      <c r="H2027" s="5"/>
    </row>
    <row r="2028" spans="4:8" x14ac:dyDescent="0.25">
      <c r="D2028" s="4">
        <v>34753</v>
      </c>
      <c r="E2028" s="6">
        <v>17.100000000000001</v>
      </c>
      <c r="G2028" s="4"/>
      <c r="H2028" s="5"/>
    </row>
    <row r="2029" spans="4:8" x14ac:dyDescent="0.25">
      <c r="D2029" s="4">
        <v>34754</v>
      </c>
      <c r="E2029" s="6">
        <v>17.100000000000001</v>
      </c>
      <c r="G2029" s="4"/>
      <c r="H2029" s="5"/>
    </row>
    <row r="2030" spans="4:8" x14ac:dyDescent="0.25">
      <c r="D2030" s="4">
        <v>34757</v>
      </c>
      <c r="E2030" s="6">
        <v>17.350000000000001</v>
      </c>
      <c r="G2030" s="4"/>
      <c r="H2030" s="5"/>
    </row>
    <row r="2031" spans="4:8" x14ac:dyDescent="0.25">
      <c r="D2031" s="4">
        <v>34758</v>
      </c>
      <c r="E2031" s="6">
        <v>17.23</v>
      </c>
      <c r="G2031" s="4"/>
      <c r="H2031" s="5"/>
    </row>
    <row r="2032" spans="4:8" x14ac:dyDescent="0.25">
      <c r="D2032" s="4">
        <v>34759</v>
      </c>
      <c r="E2032" s="6">
        <v>16.850000000000001</v>
      </c>
      <c r="G2032" s="4"/>
      <c r="H2032" s="5"/>
    </row>
    <row r="2033" spans="4:8" x14ac:dyDescent="0.25">
      <c r="D2033" s="4">
        <v>34760</v>
      </c>
      <c r="E2033" s="6">
        <v>16.55</v>
      </c>
      <c r="G2033" s="4"/>
      <c r="H2033" s="5"/>
    </row>
    <row r="2034" spans="4:8" x14ac:dyDescent="0.25">
      <c r="D2034" s="4">
        <v>34761</v>
      </c>
      <c r="E2034" s="6">
        <v>16.68</v>
      </c>
      <c r="G2034" s="4"/>
      <c r="H2034" s="5"/>
    </row>
    <row r="2035" spans="4:8" x14ac:dyDescent="0.25">
      <c r="D2035" s="4">
        <v>34764</v>
      </c>
      <c r="E2035" s="6">
        <v>16.75</v>
      </c>
      <c r="G2035" s="4"/>
      <c r="H2035" s="5"/>
    </row>
    <row r="2036" spans="4:8" x14ac:dyDescent="0.25">
      <c r="D2036" s="4">
        <v>34765</v>
      </c>
      <c r="E2036" s="6">
        <v>16.850000000000001</v>
      </c>
      <c r="G2036" s="4"/>
      <c r="H2036" s="5"/>
    </row>
    <row r="2037" spans="4:8" x14ac:dyDescent="0.25">
      <c r="D2037" s="4">
        <v>34766</v>
      </c>
      <c r="E2037" s="6">
        <v>16.73</v>
      </c>
      <c r="G2037" s="4"/>
      <c r="H2037" s="5"/>
    </row>
    <row r="2038" spans="4:8" x14ac:dyDescent="0.25">
      <c r="D2038" s="4">
        <v>34767</v>
      </c>
      <c r="E2038" s="6">
        <v>16.649999999999999</v>
      </c>
      <c r="G2038" s="4"/>
      <c r="H2038" s="5"/>
    </row>
    <row r="2039" spans="4:8" x14ac:dyDescent="0.25">
      <c r="D2039" s="4">
        <v>34768</v>
      </c>
      <c r="E2039" s="6">
        <v>16.5</v>
      </c>
      <c r="G2039" s="4"/>
      <c r="H2039" s="5"/>
    </row>
    <row r="2040" spans="4:8" x14ac:dyDescent="0.25">
      <c r="D2040" s="4">
        <v>34771</v>
      </c>
      <c r="E2040" s="6">
        <v>16.3</v>
      </c>
      <c r="G2040" s="4"/>
      <c r="H2040" s="5"/>
    </row>
    <row r="2041" spans="4:8" x14ac:dyDescent="0.25">
      <c r="D2041" s="4">
        <v>34772</v>
      </c>
      <c r="E2041" s="6">
        <v>16.329999999999998</v>
      </c>
      <c r="G2041" s="4"/>
      <c r="H2041" s="5"/>
    </row>
    <row r="2042" spans="4:8" x14ac:dyDescent="0.25">
      <c r="D2042" s="4">
        <v>34773</v>
      </c>
      <c r="E2042" s="6">
        <v>16.38</v>
      </c>
      <c r="G2042" s="4"/>
      <c r="H2042" s="5"/>
    </row>
    <row r="2043" spans="4:8" x14ac:dyDescent="0.25">
      <c r="D2043" s="4">
        <v>34774</v>
      </c>
      <c r="E2043" s="6">
        <v>16.5</v>
      </c>
      <c r="G2043" s="4"/>
      <c r="H2043" s="5"/>
    </row>
    <row r="2044" spans="4:8" x14ac:dyDescent="0.25">
      <c r="D2044" s="4">
        <v>34775</v>
      </c>
      <c r="E2044" s="6">
        <v>16.55</v>
      </c>
      <c r="G2044" s="4"/>
      <c r="H2044" s="5"/>
    </row>
    <row r="2045" spans="4:8" x14ac:dyDescent="0.25">
      <c r="D2045" s="4">
        <v>34778</v>
      </c>
      <c r="E2045" s="6">
        <v>16.829999999999998</v>
      </c>
      <c r="G2045" s="4"/>
      <c r="H2045" s="5"/>
    </row>
    <row r="2046" spans="4:8" x14ac:dyDescent="0.25">
      <c r="D2046" s="4">
        <v>34779</v>
      </c>
      <c r="E2046" s="6">
        <v>16.8</v>
      </c>
      <c r="G2046" s="4"/>
      <c r="H2046" s="5"/>
    </row>
    <row r="2047" spans="4:8" x14ac:dyDescent="0.25">
      <c r="D2047" s="4">
        <v>34780</v>
      </c>
      <c r="E2047" s="6">
        <v>17.079999999999998</v>
      </c>
      <c r="G2047" s="4"/>
      <c r="H2047" s="5"/>
    </row>
    <row r="2048" spans="4:8" x14ac:dyDescent="0.25">
      <c r="D2048" s="4">
        <v>34781</v>
      </c>
      <c r="E2048" s="6">
        <v>17.48</v>
      </c>
      <c r="G2048" s="4"/>
      <c r="H2048" s="5"/>
    </row>
    <row r="2049" spans="4:8" x14ac:dyDescent="0.25">
      <c r="D2049" s="4">
        <v>34782</v>
      </c>
      <c r="E2049" s="6">
        <v>17.649999999999999</v>
      </c>
      <c r="G2049" s="4"/>
      <c r="H2049" s="5"/>
    </row>
    <row r="2050" spans="4:8" x14ac:dyDescent="0.25">
      <c r="D2050" s="4">
        <v>34785</v>
      </c>
      <c r="E2050" s="6">
        <v>17.829999999999998</v>
      </c>
      <c r="G2050" s="4"/>
      <c r="H2050" s="5"/>
    </row>
    <row r="2051" spans="4:8" x14ac:dyDescent="0.25">
      <c r="D2051" s="4">
        <v>34786</v>
      </c>
      <c r="E2051" s="6">
        <v>17.850000000000001</v>
      </c>
      <c r="G2051" s="4"/>
      <c r="H2051" s="5"/>
    </row>
    <row r="2052" spans="4:8" x14ac:dyDescent="0.25">
      <c r="D2052" s="4">
        <v>34787</v>
      </c>
      <c r="E2052" s="6">
        <v>18.05</v>
      </c>
      <c r="G2052" s="4"/>
      <c r="H2052" s="5"/>
    </row>
    <row r="2053" spans="4:8" x14ac:dyDescent="0.25">
      <c r="D2053" s="4">
        <v>34788</v>
      </c>
      <c r="E2053" s="6">
        <v>17.98</v>
      </c>
      <c r="G2053" s="4"/>
      <c r="H2053" s="5"/>
    </row>
    <row r="2054" spans="4:8" x14ac:dyDescent="0.25">
      <c r="D2054" s="4">
        <v>34789</v>
      </c>
      <c r="E2054" s="6">
        <v>17.98</v>
      </c>
      <c r="G2054" s="4"/>
      <c r="H2054" s="5"/>
    </row>
    <row r="2055" spans="4:8" x14ac:dyDescent="0.25">
      <c r="D2055" s="4">
        <v>34792</v>
      </c>
      <c r="E2055" s="6">
        <v>17.88</v>
      </c>
      <c r="G2055" s="4"/>
      <c r="H2055" s="5"/>
    </row>
    <row r="2056" spans="4:8" x14ac:dyDescent="0.25">
      <c r="D2056" s="4">
        <v>34793</v>
      </c>
      <c r="E2056" s="6">
        <v>18.03</v>
      </c>
      <c r="G2056" s="4"/>
      <c r="H2056" s="5"/>
    </row>
    <row r="2057" spans="4:8" x14ac:dyDescent="0.25">
      <c r="D2057" s="4">
        <v>34794</v>
      </c>
      <c r="E2057" s="6">
        <v>18.350000000000001</v>
      </c>
      <c r="G2057" s="4"/>
      <c r="H2057" s="5"/>
    </row>
    <row r="2058" spans="4:8" x14ac:dyDescent="0.25">
      <c r="D2058" s="4">
        <v>34795</v>
      </c>
      <c r="E2058" s="6">
        <v>18.5</v>
      </c>
      <c r="G2058" s="4"/>
      <c r="H2058" s="5"/>
    </row>
    <row r="2059" spans="4:8" x14ac:dyDescent="0.25">
      <c r="D2059" s="4">
        <v>34796</v>
      </c>
      <c r="E2059" s="6">
        <v>18.45</v>
      </c>
      <c r="G2059" s="4"/>
      <c r="H2059" s="5"/>
    </row>
    <row r="2060" spans="4:8" x14ac:dyDescent="0.25">
      <c r="D2060" s="4">
        <v>34799</v>
      </c>
      <c r="E2060" s="6">
        <v>18.149999999999999</v>
      </c>
      <c r="G2060" s="4"/>
      <c r="H2060" s="5"/>
    </row>
    <row r="2061" spans="4:8" x14ac:dyDescent="0.25">
      <c r="D2061" s="4">
        <v>34800</v>
      </c>
      <c r="E2061" s="6">
        <v>18.63</v>
      </c>
      <c r="G2061" s="4"/>
      <c r="H2061" s="5"/>
    </row>
    <row r="2062" spans="4:8" x14ac:dyDescent="0.25">
      <c r="D2062" s="4">
        <v>34801</v>
      </c>
      <c r="E2062" s="6">
        <v>18.73</v>
      </c>
      <c r="G2062" s="4"/>
      <c r="H2062" s="5"/>
    </row>
    <row r="2063" spans="4:8" x14ac:dyDescent="0.25">
      <c r="D2063" s="4">
        <v>34802</v>
      </c>
      <c r="E2063" s="6">
        <v>17.98</v>
      </c>
      <c r="G2063" s="4"/>
      <c r="H2063" s="5"/>
    </row>
    <row r="2064" spans="4:8" x14ac:dyDescent="0.25">
      <c r="D2064" s="4">
        <v>34803</v>
      </c>
      <c r="E2064" s="5"/>
      <c r="G2064" s="4"/>
      <c r="H2064" s="5"/>
    </row>
    <row r="2065" spans="4:8" x14ac:dyDescent="0.25">
      <c r="D2065" s="4">
        <v>34806</v>
      </c>
      <c r="E2065" s="5"/>
      <c r="G2065" s="4"/>
      <c r="H2065" s="5"/>
    </row>
    <row r="2066" spans="4:8" x14ac:dyDescent="0.25">
      <c r="D2066" s="4">
        <v>34807</v>
      </c>
      <c r="E2066" s="6">
        <v>18.55</v>
      </c>
      <c r="G2066" s="4"/>
      <c r="H2066" s="5"/>
    </row>
    <row r="2067" spans="4:8" x14ac:dyDescent="0.25">
      <c r="D2067" s="4">
        <v>34808</v>
      </c>
      <c r="E2067" s="6">
        <v>18.73</v>
      </c>
      <c r="G2067" s="4"/>
      <c r="H2067" s="5"/>
    </row>
    <row r="2068" spans="4:8" x14ac:dyDescent="0.25">
      <c r="D2068" s="4">
        <v>34809</v>
      </c>
      <c r="E2068" s="6">
        <v>19.149999999999999</v>
      </c>
      <c r="G2068" s="4"/>
      <c r="H2068" s="5"/>
    </row>
    <row r="2069" spans="4:8" x14ac:dyDescent="0.25">
      <c r="D2069" s="4">
        <v>34810</v>
      </c>
      <c r="E2069" s="6">
        <v>19.18</v>
      </c>
      <c r="G2069" s="4"/>
      <c r="H2069" s="5"/>
    </row>
    <row r="2070" spans="4:8" x14ac:dyDescent="0.25">
      <c r="D2070" s="4">
        <v>34813</v>
      </c>
      <c r="E2070" s="6">
        <v>19.05</v>
      </c>
      <c r="G2070" s="4"/>
      <c r="H2070" s="5"/>
    </row>
    <row r="2071" spans="4:8" x14ac:dyDescent="0.25">
      <c r="D2071" s="4">
        <v>34814</v>
      </c>
      <c r="E2071" s="6">
        <v>19.350000000000001</v>
      </c>
      <c r="G2071" s="4"/>
      <c r="H2071" s="5"/>
    </row>
    <row r="2072" spans="4:8" x14ac:dyDescent="0.25">
      <c r="D2072" s="4">
        <v>34815</v>
      </c>
      <c r="E2072" s="6">
        <v>18.899999999999999</v>
      </c>
      <c r="G2072" s="4"/>
      <c r="H2072" s="5"/>
    </row>
    <row r="2073" spans="4:8" x14ac:dyDescent="0.25">
      <c r="D2073" s="4">
        <v>34816</v>
      </c>
      <c r="E2073" s="6">
        <v>19.079999999999998</v>
      </c>
      <c r="G2073" s="4"/>
      <c r="H2073" s="5"/>
    </row>
    <row r="2074" spans="4:8" x14ac:dyDescent="0.25">
      <c r="D2074" s="4">
        <v>34817</v>
      </c>
      <c r="E2074" s="6">
        <v>18.98</v>
      </c>
      <c r="G2074" s="4"/>
      <c r="H2074" s="5"/>
    </row>
    <row r="2075" spans="4:8" x14ac:dyDescent="0.25">
      <c r="D2075" s="4">
        <v>34820</v>
      </c>
      <c r="E2075" s="6">
        <v>19.38</v>
      </c>
      <c r="G2075" s="4"/>
      <c r="H2075" s="5"/>
    </row>
    <row r="2076" spans="4:8" x14ac:dyDescent="0.25">
      <c r="D2076" s="4">
        <v>34821</v>
      </c>
      <c r="E2076" s="6">
        <v>18.829999999999998</v>
      </c>
      <c r="G2076" s="4"/>
      <c r="H2076" s="5"/>
    </row>
    <row r="2077" spans="4:8" x14ac:dyDescent="0.25">
      <c r="D2077" s="4">
        <v>34822</v>
      </c>
      <c r="E2077" s="6">
        <v>18.329999999999998</v>
      </c>
      <c r="G2077" s="4"/>
      <c r="H2077" s="5"/>
    </row>
    <row r="2078" spans="4:8" x14ac:dyDescent="0.25">
      <c r="D2078" s="4">
        <v>34823</v>
      </c>
      <c r="E2078" s="6">
        <v>18.68</v>
      </c>
      <c r="G2078" s="4"/>
      <c r="H2078" s="5"/>
    </row>
    <row r="2079" spans="4:8" x14ac:dyDescent="0.25">
      <c r="D2079" s="4">
        <v>34824</v>
      </c>
      <c r="E2079" s="6">
        <v>18.850000000000001</v>
      </c>
      <c r="G2079" s="4"/>
      <c r="H2079" s="5"/>
    </row>
    <row r="2080" spans="4:8" x14ac:dyDescent="0.25">
      <c r="D2080" s="4">
        <v>34827</v>
      </c>
      <c r="E2080" s="6">
        <v>18.78</v>
      </c>
      <c r="G2080" s="4"/>
      <c r="H2080" s="5"/>
    </row>
    <row r="2081" spans="4:8" x14ac:dyDescent="0.25">
      <c r="D2081" s="4">
        <v>34828</v>
      </c>
      <c r="E2081" s="6">
        <v>18.12</v>
      </c>
      <c r="G2081" s="4"/>
      <c r="H2081" s="5"/>
    </row>
    <row r="2082" spans="4:8" x14ac:dyDescent="0.25">
      <c r="D2082" s="4">
        <v>34829</v>
      </c>
      <c r="E2082" s="6">
        <v>18.100000000000001</v>
      </c>
      <c r="G2082" s="4"/>
      <c r="H2082" s="5"/>
    </row>
    <row r="2083" spans="4:8" x14ac:dyDescent="0.25">
      <c r="D2083" s="4">
        <v>34830</v>
      </c>
      <c r="E2083" s="6">
        <v>18.079999999999998</v>
      </c>
      <c r="G2083" s="4"/>
      <c r="H2083" s="5"/>
    </row>
    <row r="2084" spans="4:8" x14ac:dyDescent="0.25">
      <c r="D2084" s="4">
        <v>34831</v>
      </c>
      <c r="E2084" s="6">
        <v>18.23</v>
      </c>
      <c r="G2084" s="4"/>
      <c r="H2084" s="5"/>
    </row>
    <row r="2085" spans="4:8" x14ac:dyDescent="0.25">
      <c r="D2085" s="4">
        <v>34834</v>
      </c>
      <c r="E2085" s="6">
        <v>18.43</v>
      </c>
      <c r="G2085" s="4"/>
      <c r="H2085" s="5"/>
    </row>
    <row r="2086" spans="4:8" x14ac:dyDescent="0.25">
      <c r="D2086" s="4">
        <v>34835</v>
      </c>
      <c r="E2086" s="6">
        <v>18.53</v>
      </c>
      <c r="G2086" s="4"/>
      <c r="H2086" s="5"/>
    </row>
    <row r="2087" spans="4:8" x14ac:dyDescent="0.25">
      <c r="D2087" s="4">
        <v>34836</v>
      </c>
      <c r="E2087" s="6">
        <v>18.5</v>
      </c>
      <c r="G2087" s="4"/>
      <c r="H2087" s="5"/>
    </row>
    <row r="2088" spans="4:8" x14ac:dyDescent="0.25">
      <c r="D2088" s="4">
        <v>34837</v>
      </c>
      <c r="E2088" s="6">
        <v>18.23</v>
      </c>
      <c r="G2088" s="4"/>
      <c r="H2088" s="5"/>
    </row>
    <row r="2089" spans="4:8" x14ac:dyDescent="0.25">
      <c r="D2089" s="4">
        <v>34838</v>
      </c>
      <c r="E2089" s="6">
        <v>18.43</v>
      </c>
      <c r="G2089" s="4"/>
      <c r="H2089" s="5"/>
    </row>
    <row r="2090" spans="4:8" x14ac:dyDescent="0.25">
      <c r="D2090" s="4">
        <v>34841</v>
      </c>
      <c r="E2090" s="6">
        <v>18.38</v>
      </c>
      <c r="G2090" s="4"/>
      <c r="H2090" s="5"/>
    </row>
    <row r="2091" spans="4:8" x14ac:dyDescent="0.25">
      <c r="D2091" s="4">
        <v>34842</v>
      </c>
      <c r="E2091" s="6">
        <v>18.48</v>
      </c>
      <c r="G2091" s="4"/>
      <c r="H2091" s="5"/>
    </row>
    <row r="2092" spans="4:8" x14ac:dyDescent="0.25">
      <c r="D2092" s="4">
        <v>34843</v>
      </c>
      <c r="E2092" s="6">
        <v>18.55</v>
      </c>
      <c r="G2092" s="4"/>
      <c r="H2092" s="5"/>
    </row>
    <row r="2093" spans="4:8" x14ac:dyDescent="0.25">
      <c r="D2093" s="4">
        <v>34844</v>
      </c>
      <c r="E2093" s="6">
        <v>18</v>
      </c>
      <c r="G2093" s="4"/>
      <c r="H2093" s="5"/>
    </row>
    <row r="2094" spans="4:8" x14ac:dyDescent="0.25">
      <c r="D2094" s="4">
        <v>34845</v>
      </c>
      <c r="E2094" s="6">
        <v>17.8</v>
      </c>
      <c r="G2094" s="4"/>
      <c r="H2094" s="5"/>
    </row>
    <row r="2095" spans="4:8" x14ac:dyDescent="0.25">
      <c r="D2095" s="4">
        <v>34848</v>
      </c>
      <c r="E2095" s="5"/>
      <c r="G2095" s="4"/>
      <c r="H2095" s="5"/>
    </row>
    <row r="2096" spans="4:8" x14ac:dyDescent="0.25">
      <c r="D2096" s="4">
        <v>34849</v>
      </c>
      <c r="E2096" s="6">
        <v>17.43</v>
      </c>
      <c r="G2096" s="4"/>
      <c r="H2096" s="5"/>
    </row>
    <row r="2097" spans="4:8" x14ac:dyDescent="0.25">
      <c r="D2097" s="4">
        <v>34850</v>
      </c>
      <c r="E2097" s="6">
        <v>17.579999999999998</v>
      </c>
      <c r="G2097" s="4"/>
      <c r="H2097" s="5"/>
    </row>
    <row r="2098" spans="4:8" x14ac:dyDescent="0.25">
      <c r="D2098" s="4">
        <v>34851</v>
      </c>
      <c r="E2098" s="6">
        <v>17.7</v>
      </c>
      <c r="G2098" s="4"/>
      <c r="H2098" s="5"/>
    </row>
    <row r="2099" spans="4:8" x14ac:dyDescent="0.25">
      <c r="D2099" s="4">
        <v>34852</v>
      </c>
      <c r="E2099" s="6">
        <v>17.899999999999999</v>
      </c>
      <c r="G2099" s="4"/>
      <c r="H2099" s="5"/>
    </row>
    <row r="2100" spans="4:8" x14ac:dyDescent="0.25">
      <c r="D2100" s="4">
        <v>34855</v>
      </c>
      <c r="E2100" s="6">
        <v>18.23</v>
      </c>
      <c r="G2100" s="4"/>
      <c r="H2100" s="5"/>
    </row>
    <row r="2101" spans="4:8" x14ac:dyDescent="0.25">
      <c r="D2101" s="4">
        <v>34856</v>
      </c>
      <c r="E2101" s="6">
        <v>17.95</v>
      </c>
      <c r="G2101" s="4"/>
      <c r="H2101" s="5"/>
    </row>
    <row r="2102" spans="4:8" x14ac:dyDescent="0.25">
      <c r="D2102" s="4">
        <v>34857</v>
      </c>
      <c r="E2102" s="6">
        <v>18.13</v>
      </c>
      <c r="G2102" s="4"/>
      <c r="H2102" s="5"/>
    </row>
    <row r="2103" spans="4:8" x14ac:dyDescent="0.25">
      <c r="D2103" s="4">
        <v>34858</v>
      </c>
      <c r="E2103" s="6">
        <v>17.93</v>
      </c>
      <c r="G2103" s="4"/>
      <c r="H2103" s="5"/>
    </row>
    <row r="2104" spans="4:8" x14ac:dyDescent="0.25">
      <c r="D2104" s="4">
        <v>34859</v>
      </c>
      <c r="E2104" s="6">
        <v>17.68</v>
      </c>
      <c r="G2104" s="4"/>
      <c r="H2104" s="5"/>
    </row>
    <row r="2105" spans="4:8" x14ac:dyDescent="0.25">
      <c r="D2105" s="4">
        <v>34862</v>
      </c>
      <c r="E2105" s="6">
        <v>17.63</v>
      </c>
      <c r="G2105" s="4"/>
      <c r="H2105" s="5"/>
    </row>
    <row r="2106" spans="4:8" x14ac:dyDescent="0.25">
      <c r="D2106" s="4">
        <v>34863</v>
      </c>
      <c r="E2106" s="6">
        <v>17.829999999999998</v>
      </c>
      <c r="G2106" s="4"/>
      <c r="H2106" s="5"/>
    </row>
    <row r="2107" spans="4:8" x14ac:dyDescent="0.25">
      <c r="D2107" s="4">
        <v>34864</v>
      </c>
      <c r="E2107" s="6">
        <v>17.63</v>
      </c>
      <c r="G2107" s="4"/>
      <c r="H2107" s="5"/>
    </row>
    <row r="2108" spans="4:8" x14ac:dyDescent="0.25">
      <c r="D2108" s="4">
        <v>34865</v>
      </c>
      <c r="E2108" s="6">
        <v>17.95</v>
      </c>
      <c r="G2108" s="4"/>
      <c r="H2108" s="5"/>
    </row>
    <row r="2109" spans="4:8" x14ac:dyDescent="0.25">
      <c r="D2109" s="4">
        <v>34866</v>
      </c>
      <c r="E2109" s="6">
        <v>17.75</v>
      </c>
      <c r="G2109" s="4"/>
      <c r="H2109" s="5"/>
    </row>
    <row r="2110" spans="4:8" x14ac:dyDescent="0.25">
      <c r="D2110" s="4">
        <v>34869</v>
      </c>
      <c r="E2110" s="6">
        <v>16.93</v>
      </c>
      <c r="G2110" s="4"/>
      <c r="H2110" s="5"/>
    </row>
    <row r="2111" spans="4:8" x14ac:dyDescent="0.25">
      <c r="D2111" s="4">
        <v>34870</v>
      </c>
      <c r="E2111" s="6">
        <v>16.98</v>
      </c>
      <c r="G2111" s="4"/>
      <c r="H2111" s="5"/>
    </row>
    <row r="2112" spans="4:8" x14ac:dyDescent="0.25">
      <c r="D2112" s="4">
        <v>34871</v>
      </c>
      <c r="E2112" s="6">
        <v>16.5</v>
      </c>
      <c r="G2112" s="4"/>
      <c r="H2112" s="5"/>
    </row>
    <row r="2113" spans="4:8" x14ac:dyDescent="0.25">
      <c r="D2113" s="4">
        <v>34872</v>
      </c>
      <c r="E2113" s="6">
        <v>16.55</v>
      </c>
      <c r="G2113" s="4"/>
      <c r="H2113" s="5"/>
    </row>
    <row r="2114" spans="4:8" x14ac:dyDescent="0.25">
      <c r="D2114" s="4">
        <v>34873</v>
      </c>
      <c r="E2114" s="6">
        <v>16.399999999999999</v>
      </c>
      <c r="G2114" s="4"/>
      <c r="H2114" s="5"/>
    </row>
    <row r="2115" spans="4:8" x14ac:dyDescent="0.25">
      <c r="D2115" s="4">
        <v>34876</v>
      </c>
      <c r="E2115" s="6">
        <v>16.55</v>
      </c>
      <c r="G2115" s="4"/>
      <c r="H2115" s="5"/>
    </row>
    <row r="2116" spans="4:8" x14ac:dyDescent="0.25">
      <c r="D2116" s="4">
        <v>34877</v>
      </c>
      <c r="E2116" s="6">
        <v>16.63</v>
      </c>
      <c r="G2116" s="4"/>
      <c r="H2116" s="5"/>
    </row>
    <row r="2117" spans="4:8" x14ac:dyDescent="0.25">
      <c r="D2117" s="4">
        <v>34878</v>
      </c>
      <c r="E2117" s="6">
        <v>16.95</v>
      </c>
      <c r="G2117" s="4"/>
      <c r="H2117" s="5"/>
    </row>
    <row r="2118" spans="4:8" x14ac:dyDescent="0.25">
      <c r="D2118" s="4">
        <v>34879</v>
      </c>
      <c r="E2118" s="6">
        <v>16.5</v>
      </c>
      <c r="G2118" s="4"/>
      <c r="H2118" s="5"/>
    </row>
    <row r="2119" spans="4:8" x14ac:dyDescent="0.25">
      <c r="D2119" s="4">
        <v>34880</v>
      </c>
      <c r="E2119" s="6">
        <v>16.579999999999998</v>
      </c>
      <c r="G2119" s="4"/>
      <c r="H2119" s="5"/>
    </row>
    <row r="2120" spans="4:8" x14ac:dyDescent="0.25">
      <c r="D2120" s="4">
        <v>34883</v>
      </c>
      <c r="E2120" s="6">
        <v>16.350000000000001</v>
      </c>
      <c r="G2120" s="4"/>
      <c r="H2120" s="5"/>
    </row>
    <row r="2121" spans="4:8" x14ac:dyDescent="0.25">
      <c r="D2121" s="4">
        <v>34884</v>
      </c>
      <c r="E2121" s="6">
        <v>15.93</v>
      </c>
      <c r="G2121" s="4"/>
      <c r="H2121" s="5"/>
    </row>
    <row r="2122" spans="4:8" x14ac:dyDescent="0.25">
      <c r="D2122" s="4">
        <v>34885</v>
      </c>
      <c r="E2122" s="6">
        <v>16</v>
      </c>
      <c r="G2122" s="4"/>
      <c r="H2122" s="5"/>
    </row>
    <row r="2123" spans="4:8" x14ac:dyDescent="0.25">
      <c r="D2123" s="4">
        <v>34886</v>
      </c>
      <c r="E2123" s="6">
        <v>16.149999999999999</v>
      </c>
      <c r="G2123" s="4"/>
      <c r="H2123" s="5"/>
    </row>
    <row r="2124" spans="4:8" x14ac:dyDescent="0.25">
      <c r="D2124" s="4">
        <v>34887</v>
      </c>
      <c r="E2124" s="6">
        <v>16.100000000000001</v>
      </c>
      <c r="G2124" s="4"/>
      <c r="H2124" s="5"/>
    </row>
    <row r="2125" spans="4:8" x14ac:dyDescent="0.25">
      <c r="D2125" s="4">
        <v>34890</v>
      </c>
      <c r="E2125" s="6">
        <v>15.88</v>
      </c>
      <c r="G2125" s="4"/>
      <c r="H2125" s="5"/>
    </row>
    <row r="2126" spans="4:8" x14ac:dyDescent="0.25">
      <c r="D2126" s="4">
        <v>34891</v>
      </c>
      <c r="E2126" s="6">
        <v>15.93</v>
      </c>
      <c r="G2126" s="4"/>
      <c r="H2126" s="5"/>
    </row>
    <row r="2127" spans="4:8" x14ac:dyDescent="0.25">
      <c r="D2127" s="4">
        <v>34892</v>
      </c>
      <c r="E2127" s="6">
        <v>16.03</v>
      </c>
      <c r="G2127" s="4"/>
      <c r="H2127" s="5"/>
    </row>
    <row r="2128" spans="4:8" x14ac:dyDescent="0.25">
      <c r="D2128" s="4">
        <v>34893</v>
      </c>
      <c r="E2128" s="6">
        <v>15.98</v>
      </c>
      <c r="G2128" s="4"/>
      <c r="H2128" s="5"/>
    </row>
    <row r="2129" spans="4:8" x14ac:dyDescent="0.25">
      <c r="D2129" s="4">
        <v>34894</v>
      </c>
      <c r="E2129" s="6">
        <v>15.8</v>
      </c>
      <c r="G2129" s="4"/>
      <c r="H2129" s="5"/>
    </row>
    <row r="2130" spans="4:8" x14ac:dyDescent="0.25">
      <c r="D2130" s="4">
        <v>34897</v>
      </c>
      <c r="E2130" s="6">
        <v>15.73</v>
      </c>
      <c r="G2130" s="4"/>
      <c r="H2130" s="5"/>
    </row>
    <row r="2131" spans="4:8" x14ac:dyDescent="0.25">
      <c r="D2131" s="4">
        <v>34898</v>
      </c>
      <c r="E2131" s="6">
        <v>15.68</v>
      </c>
      <c r="G2131" s="4"/>
      <c r="H2131" s="5"/>
    </row>
    <row r="2132" spans="4:8" x14ac:dyDescent="0.25">
      <c r="D2132" s="4">
        <v>34899</v>
      </c>
      <c r="E2132" s="6">
        <v>15.8</v>
      </c>
      <c r="G2132" s="4"/>
      <c r="H2132" s="5"/>
    </row>
    <row r="2133" spans="4:8" x14ac:dyDescent="0.25">
      <c r="D2133" s="4">
        <v>34900</v>
      </c>
      <c r="E2133" s="6">
        <v>15.68</v>
      </c>
      <c r="G2133" s="4"/>
      <c r="H2133" s="5"/>
    </row>
    <row r="2134" spans="4:8" x14ac:dyDescent="0.25">
      <c r="D2134" s="4">
        <v>34901</v>
      </c>
      <c r="E2134" s="6">
        <v>15.35</v>
      </c>
      <c r="G2134" s="4"/>
      <c r="H2134" s="5"/>
    </row>
    <row r="2135" spans="4:8" x14ac:dyDescent="0.25">
      <c r="D2135" s="4">
        <v>34904</v>
      </c>
      <c r="E2135" s="6">
        <v>15.38</v>
      </c>
      <c r="G2135" s="4"/>
      <c r="H2135" s="5"/>
    </row>
    <row r="2136" spans="4:8" x14ac:dyDescent="0.25">
      <c r="D2136" s="4">
        <v>34905</v>
      </c>
      <c r="E2136" s="6">
        <v>15.48</v>
      </c>
      <c r="G2136" s="4"/>
      <c r="H2136" s="5"/>
    </row>
    <row r="2137" spans="4:8" x14ac:dyDescent="0.25">
      <c r="D2137" s="4">
        <v>34906</v>
      </c>
      <c r="E2137" s="6">
        <v>16</v>
      </c>
      <c r="G2137" s="4"/>
      <c r="H2137" s="5"/>
    </row>
    <row r="2138" spans="4:8" x14ac:dyDescent="0.25">
      <c r="D2138" s="4">
        <v>34907</v>
      </c>
      <c r="E2138" s="6">
        <v>15.98</v>
      </c>
      <c r="G2138" s="4"/>
      <c r="H2138" s="5"/>
    </row>
    <row r="2139" spans="4:8" x14ac:dyDescent="0.25">
      <c r="D2139" s="4">
        <v>34908</v>
      </c>
      <c r="E2139" s="6">
        <v>15.93</v>
      </c>
      <c r="G2139" s="4"/>
      <c r="H2139" s="5"/>
    </row>
    <row r="2140" spans="4:8" x14ac:dyDescent="0.25">
      <c r="D2140" s="4">
        <v>34911</v>
      </c>
      <c r="E2140" s="6">
        <v>15.78</v>
      </c>
      <c r="G2140" s="4"/>
      <c r="H2140" s="5"/>
    </row>
    <row r="2141" spans="4:8" x14ac:dyDescent="0.25">
      <c r="D2141" s="4">
        <v>34912</v>
      </c>
      <c r="E2141" s="6">
        <v>16.100000000000001</v>
      </c>
      <c r="G2141" s="4"/>
      <c r="H2141" s="5"/>
    </row>
    <row r="2142" spans="4:8" x14ac:dyDescent="0.25">
      <c r="D2142" s="4">
        <v>34913</v>
      </c>
      <c r="E2142" s="6">
        <v>16.13</v>
      </c>
      <c r="G2142" s="4"/>
      <c r="H2142" s="5"/>
    </row>
    <row r="2143" spans="4:8" x14ac:dyDescent="0.25">
      <c r="D2143" s="4">
        <v>34914</v>
      </c>
      <c r="E2143" s="6">
        <v>15.99</v>
      </c>
      <c r="G2143" s="4"/>
      <c r="H2143" s="5"/>
    </row>
    <row r="2144" spans="4:8" x14ac:dyDescent="0.25">
      <c r="D2144" s="4">
        <v>34915</v>
      </c>
      <c r="E2144" s="6">
        <v>16.079999999999998</v>
      </c>
      <c r="G2144" s="4"/>
      <c r="H2144" s="5"/>
    </row>
    <row r="2145" spans="4:8" x14ac:dyDescent="0.25">
      <c r="D2145" s="4">
        <v>34918</v>
      </c>
      <c r="E2145" s="6">
        <v>15.9</v>
      </c>
      <c r="G2145" s="4"/>
      <c r="H2145" s="5"/>
    </row>
    <row r="2146" spans="4:8" x14ac:dyDescent="0.25">
      <c r="D2146" s="4">
        <v>34919</v>
      </c>
      <c r="E2146" s="6">
        <v>16</v>
      </c>
      <c r="G2146" s="4"/>
      <c r="H2146" s="5"/>
    </row>
    <row r="2147" spans="4:8" x14ac:dyDescent="0.25">
      <c r="D2147" s="4">
        <v>34920</v>
      </c>
      <c r="E2147" s="6">
        <v>16.13</v>
      </c>
      <c r="G2147" s="4"/>
      <c r="H2147" s="5"/>
    </row>
    <row r="2148" spans="4:8" x14ac:dyDescent="0.25">
      <c r="D2148" s="4">
        <v>34921</v>
      </c>
      <c r="E2148" s="6">
        <v>16.079999999999998</v>
      </c>
      <c r="G2148" s="4"/>
      <c r="H2148" s="5"/>
    </row>
    <row r="2149" spans="4:8" x14ac:dyDescent="0.25">
      <c r="D2149" s="4">
        <v>34922</v>
      </c>
      <c r="E2149" s="6">
        <v>16.23</v>
      </c>
      <c r="G2149" s="4"/>
      <c r="H2149" s="5"/>
    </row>
    <row r="2150" spans="4:8" x14ac:dyDescent="0.25">
      <c r="D2150" s="4">
        <v>34925</v>
      </c>
      <c r="E2150" s="6">
        <v>15.93</v>
      </c>
      <c r="G2150" s="4"/>
      <c r="H2150" s="5"/>
    </row>
    <row r="2151" spans="4:8" x14ac:dyDescent="0.25">
      <c r="D2151" s="4">
        <v>34926</v>
      </c>
      <c r="E2151" s="6">
        <v>15.85</v>
      </c>
      <c r="G2151" s="4"/>
      <c r="H2151" s="5"/>
    </row>
    <row r="2152" spans="4:8" x14ac:dyDescent="0.25">
      <c r="D2152" s="4">
        <v>34927</v>
      </c>
      <c r="E2152" s="6">
        <v>15.78</v>
      </c>
      <c r="G2152" s="4"/>
      <c r="H2152" s="5"/>
    </row>
    <row r="2153" spans="4:8" x14ac:dyDescent="0.25">
      <c r="D2153" s="4">
        <v>34928</v>
      </c>
      <c r="E2153" s="6">
        <v>15.85</v>
      </c>
      <c r="G2153" s="4"/>
      <c r="H2153" s="5"/>
    </row>
    <row r="2154" spans="4:8" x14ac:dyDescent="0.25">
      <c r="D2154" s="4">
        <v>34929</v>
      </c>
      <c r="E2154" s="6">
        <v>16.03</v>
      </c>
      <c r="G2154" s="4"/>
      <c r="H2154" s="5"/>
    </row>
    <row r="2155" spans="4:8" x14ac:dyDescent="0.25">
      <c r="D2155" s="4">
        <v>34932</v>
      </c>
      <c r="E2155" s="6">
        <v>16.25</v>
      </c>
      <c r="G2155" s="4"/>
      <c r="H2155" s="5"/>
    </row>
    <row r="2156" spans="4:8" x14ac:dyDescent="0.25">
      <c r="D2156" s="4">
        <v>34933</v>
      </c>
      <c r="E2156" s="6">
        <v>16.23</v>
      </c>
      <c r="G2156" s="4"/>
      <c r="H2156" s="5"/>
    </row>
    <row r="2157" spans="4:8" x14ac:dyDescent="0.25">
      <c r="D2157" s="4">
        <v>34934</v>
      </c>
      <c r="E2157" s="6">
        <v>16.5</v>
      </c>
      <c r="G2157" s="4"/>
      <c r="H2157" s="5"/>
    </row>
    <row r="2158" spans="4:8" x14ac:dyDescent="0.25">
      <c r="D2158" s="4">
        <v>34935</v>
      </c>
      <c r="E2158" s="6">
        <v>16.3</v>
      </c>
      <c r="G2158" s="4"/>
      <c r="H2158" s="5"/>
    </row>
    <row r="2159" spans="4:8" x14ac:dyDescent="0.25">
      <c r="D2159" s="4">
        <v>34936</v>
      </c>
      <c r="E2159" s="6">
        <v>16.149999999999999</v>
      </c>
      <c r="G2159" s="4"/>
      <c r="H2159" s="5"/>
    </row>
    <row r="2160" spans="4:8" x14ac:dyDescent="0.25">
      <c r="D2160" s="4">
        <v>34939</v>
      </c>
      <c r="E2160" s="5"/>
      <c r="G2160" s="4"/>
      <c r="H2160" s="5"/>
    </row>
    <row r="2161" spans="4:8" x14ac:dyDescent="0.25">
      <c r="D2161" s="4">
        <v>34940</v>
      </c>
      <c r="E2161" s="6">
        <v>16.23</v>
      </c>
      <c r="G2161" s="4"/>
      <c r="H2161" s="5"/>
    </row>
    <row r="2162" spans="4:8" x14ac:dyDescent="0.25">
      <c r="D2162" s="4">
        <v>34941</v>
      </c>
      <c r="E2162" s="6">
        <v>16.18</v>
      </c>
      <c r="G2162" s="4"/>
      <c r="H2162" s="5"/>
    </row>
    <row r="2163" spans="4:8" x14ac:dyDescent="0.25">
      <c r="D2163" s="4">
        <v>34942</v>
      </c>
      <c r="E2163" s="6">
        <v>16.2</v>
      </c>
      <c r="G2163" s="4"/>
      <c r="H2163" s="5"/>
    </row>
    <row r="2164" spans="4:8" x14ac:dyDescent="0.25">
      <c r="D2164" s="4">
        <v>34943</v>
      </c>
      <c r="E2164" s="6">
        <v>16.25</v>
      </c>
      <c r="G2164" s="4"/>
      <c r="H2164" s="5"/>
    </row>
    <row r="2165" spans="4:8" x14ac:dyDescent="0.25">
      <c r="D2165" s="4">
        <v>34946</v>
      </c>
      <c r="E2165" s="6">
        <v>16.62</v>
      </c>
      <c r="G2165" s="4"/>
      <c r="H2165" s="5"/>
    </row>
    <row r="2166" spans="4:8" x14ac:dyDescent="0.25">
      <c r="D2166" s="4">
        <v>34947</v>
      </c>
      <c r="E2166" s="6">
        <v>16.68</v>
      </c>
      <c r="G2166" s="4"/>
      <c r="H2166" s="5"/>
    </row>
    <row r="2167" spans="4:8" x14ac:dyDescent="0.25">
      <c r="D2167" s="4">
        <v>34948</v>
      </c>
      <c r="E2167" s="6">
        <v>16.63</v>
      </c>
      <c r="G2167" s="4"/>
      <c r="H2167" s="5"/>
    </row>
    <row r="2168" spans="4:8" x14ac:dyDescent="0.25">
      <c r="D2168" s="4">
        <v>34949</v>
      </c>
      <c r="E2168" s="6">
        <v>16.600000000000001</v>
      </c>
      <c r="G2168" s="4"/>
      <c r="H2168" s="5"/>
    </row>
    <row r="2169" spans="4:8" x14ac:dyDescent="0.25">
      <c r="D2169" s="4">
        <v>34950</v>
      </c>
      <c r="E2169" s="6">
        <v>16.93</v>
      </c>
      <c r="G2169" s="4"/>
      <c r="H2169" s="5"/>
    </row>
    <row r="2170" spans="4:8" x14ac:dyDescent="0.25">
      <c r="D2170" s="4">
        <v>34953</v>
      </c>
      <c r="E2170" s="6">
        <v>16.75</v>
      </c>
      <c r="G2170" s="4"/>
      <c r="H2170" s="5"/>
    </row>
    <row r="2171" spans="4:8" x14ac:dyDescent="0.25">
      <c r="D2171" s="4">
        <v>34954</v>
      </c>
      <c r="E2171" s="6">
        <v>16.899999999999999</v>
      </c>
      <c r="G2171" s="4"/>
      <c r="H2171" s="5"/>
    </row>
    <row r="2172" spans="4:8" x14ac:dyDescent="0.25">
      <c r="D2172" s="4">
        <v>34955</v>
      </c>
      <c r="E2172" s="6">
        <v>16.850000000000001</v>
      </c>
      <c r="G2172" s="4"/>
      <c r="H2172" s="5"/>
    </row>
    <row r="2173" spans="4:8" x14ac:dyDescent="0.25">
      <c r="D2173" s="4">
        <v>34956</v>
      </c>
      <c r="E2173" s="6">
        <v>17</v>
      </c>
      <c r="G2173" s="4"/>
      <c r="H2173" s="5"/>
    </row>
    <row r="2174" spans="4:8" x14ac:dyDescent="0.25">
      <c r="D2174" s="4">
        <v>34957</v>
      </c>
      <c r="E2174" s="6">
        <v>17.18</v>
      </c>
      <c r="G2174" s="4"/>
      <c r="H2174" s="5"/>
    </row>
    <row r="2175" spans="4:8" x14ac:dyDescent="0.25">
      <c r="D2175" s="4">
        <v>34960</v>
      </c>
      <c r="E2175" s="6">
        <v>17.23</v>
      </c>
      <c r="G2175" s="4"/>
      <c r="H2175" s="5"/>
    </row>
    <row r="2176" spans="4:8" x14ac:dyDescent="0.25">
      <c r="D2176" s="4">
        <v>34961</v>
      </c>
      <c r="E2176" s="6">
        <v>17.23</v>
      </c>
      <c r="G2176" s="4"/>
      <c r="H2176" s="5"/>
    </row>
    <row r="2177" spans="4:8" x14ac:dyDescent="0.25">
      <c r="D2177" s="4">
        <v>34962</v>
      </c>
      <c r="E2177" s="6">
        <v>17</v>
      </c>
      <c r="G2177" s="4"/>
      <c r="H2177" s="5"/>
    </row>
    <row r="2178" spans="4:8" x14ac:dyDescent="0.25">
      <c r="D2178" s="4">
        <v>34963</v>
      </c>
      <c r="E2178" s="6">
        <v>16.600000000000001</v>
      </c>
      <c r="G2178" s="4"/>
      <c r="H2178" s="5"/>
    </row>
    <row r="2179" spans="4:8" x14ac:dyDescent="0.25">
      <c r="D2179" s="4">
        <v>34964</v>
      </c>
      <c r="E2179" s="6">
        <v>16.399999999999999</v>
      </c>
      <c r="G2179" s="4"/>
      <c r="H2179" s="5"/>
    </row>
    <row r="2180" spans="4:8" x14ac:dyDescent="0.25">
      <c r="D2180" s="4">
        <v>34967</v>
      </c>
      <c r="E2180" s="6">
        <v>16.18</v>
      </c>
      <c r="G2180" s="4"/>
      <c r="H2180" s="5"/>
    </row>
    <row r="2181" spans="4:8" x14ac:dyDescent="0.25">
      <c r="D2181" s="4">
        <v>34968</v>
      </c>
      <c r="E2181" s="6">
        <v>16.149999999999999</v>
      </c>
      <c r="G2181" s="4"/>
      <c r="H2181" s="5"/>
    </row>
    <row r="2182" spans="4:8" x14ac:dyDescent="0.25">
      <c r="D2182" s="4">
        <v>34969</v>
      </c>
      <c r="E2182" s="6">
        <v>16.28</v>
      </c>
      <c r="G2182" s="4"/>
      <c r="H2182" s="5"/>
    </row>
    <row r="2183" spans="4:8" x14ac:dyDescent="0.25">
      <c r="D2183" s="4">
        <v>34970</v>
      </c>
      <c r="E2183" s="6">
        <v>16.649999999999999</v>
      </c>
      <c r="G2183" s="4"/>
      <c r="H2183" s="5"/>
    </row>
    <row r="2184" spans="4:8" x14ac:dyDescent="0.25">
      <c r="D2184" s="4">
        <v>34971</v>
      </c>
      <c r="E2184" s="6">
        <v>16.579999999999998</v>
      </c>
      <c r="G2184" s="4"/>
      <c r="H2184" s="5"/>
    </row>
    <row r="2185" spans="4:8" x14ac:dyDescent="0.25">
      <c r="D2185" s="4">
        <v>34974</v>
      </c>
      <c r="E2185" s="6">
        <v>16.55</v>
      </c>
      <c r="G2185" s="4"/>
      <c r="H2185" s="5"/>
    </row>
    <row r="2186" spans="4:8" x14ac:dyDescent="0.25">
      <c r="D2186" s="4">
        <v>34975</v>
      </c>
      <c r="E2186" s="6">
        <v>16.579999999999998</v>
      </c>
      <c r="G2186" s="4"/>
      <c r="H2186" s="5"/>
    </row>
    <row r="2187" spans="4:8" x14ac:dyDescent="0.25">
      <c r="D2187" s="4">
        <v>34976</v>
      </c>
      <c r="E2187" s="6">
        <v>16.399999999999999</v>
      </c>
      <c r="G2187" s="4"/>
      <c r="H2187" s="5"/>
    </row>
    <row r="2188" spans="4:8" x14ac:dyDescent="0.25">
      <c r="D2188" s="4">
        <v>34977</v>
      </c>
      <c r="E2188" s="6">
        <v>15.85</v>
      </c>
      <c r="G2188" s="4"/>
      <c r="H2188" s="5"/>
    </row>
    <row r="2189" spans="4:8" x14ac:dyDescent="0.25">
      <c r="D2189" s="4">
        <v>34978</v>
      </c>
      <c r="E2189" s="6">
        <v>15.75</v>
      </c>
      <c r="G2189" s="4"/>
      <c r="H2189" s="5"/>
    </row>
    <row r="2190" spans="4:8" x14ac:dyDescent="0.25">
      <c r="D2190" s="4">
        <v>34981</v>
      </c>
      <c r="E2190" s="6">
        <v>16</v>
      </c>
      <c r="G2190" s="4"/>
      <c r="H2190" s="5"/>
    </row>
    <row r="2191" spans="4:8" x14ac:dyDescent="0.25">
      <c r="D2191" s="4">
        <v>34982</v>
      </c>
      <c r="E2191" s="6">
        <v>15.95</v>
      </c>
      <c r="G2191" s="4"/>
      <c r="H2191" s="5"/>
    </row>
    <row r="2192" spans="4:8" x14ac:dyDescent="0.25">
      <c r="D2192" s="4">
        <v>34983</v>
      </c>
      <c r="E2192" s="6">
        <v>16.05</v>
      </c>
      <c r="G2192" s="4"/>
      <c r="H2192" s="5"/>
    </row>
    <row r="2193" spans="4:8" x14ac:dyDescent="0.25">
      <c r="D2193" s="4">
        <v>34984</v>
      </c>
      <c r="E2193" s="6">
        <v>15.9</v>
      </c>
      <c r="G2193" s="4"/>
      <c r="H2193" s="5"/>
    </row>
    <row r="2194" spans="4:8" x14ac:dyDescent="0.25">
      <c r="D2194" s="4">
        <v>34985</v>
      </c>
      <c r="E2194" s="6">
        <v>15.98</v>
      </c>
      <c r="G2194" s="4"/>
      <c r="H2194" s="5"/>
    </row>
    <row r="2195" spans="4:8" x14ac:dyDescent="0.25">
      <c r="D2195" s="4">
        <v>34988</v>
      </c>
      <c r="E2195" s="6">
        <v>16.149999999999999</v>
      </c>
      <c r="G2195" s="4"/>
      <c r="H2195" s="5"/>
    </row>
    <row r="2196" spans="4:8" x14ac:dyDescent="0.25">
      <c r="D2196" s="4">
        <v>34989</v>
      </c>
      <c r="E2196" s="6">
        <v>16.03</v>
      </c>
      <c r="G2196" s="4"/>
      <c r="H2196" s="5"/>
    </row>
    <row r="2197" spans="4:8" x14ac:dyDescent="0.25">
      <c r="D2197" s="4">
        <v>34990</v>
      </c>
      <c r="E2197" s="6">
        <v>15.98</v>
      </c>
      <c r="G2197" s="4"/>
      <c r="H2197" s="5"/>
    </row>
    <row r="2198" spans="4:8" x14ac:dyDescent="0.25">
      <c r="D2198" s="4">
        <v>34991</v>
      </c>
      <c r="E2198" s="6">
        <v>15.85</v>
      </c>
      <c r="G2198" s="4"/>
      <c r="H2198" s="5"/>
    </row>
    <row r="2199" spans="4:8" x14ac:dyDescent="0.25">
      <c r="D2199" s="4">
        <v>34992</v>
      </c>
      <c r="E2199" s="6">
        <v>15.8</v>
      </c>
      <c r="G2199" s="4"/>
      <c r="H2199" s="5"/>
    </row>
    <row r="2200" spans="4:8" x14ac:dyDescent="0.25">
      <c r="D2200" s="4">
        <v>34995</v>
      </c>
      <c r="E2200" s="6">
        <v>15.88</v>
      </c>
      <c r="G2200" s="4"/>
      <c r="H2200" s="5"/>
    </row>
    <row r="2201" spans="4:8" x14ac:dyDescent="0.25">
      <c r="D2201" s="4">
        <v>34996</v>
      </c>
      <c r="E2201" s="6">
        <v>16.079999999999998</v>
      </c>
      <c r="G2201" s="4"/>
      <c r="H2201" s="5"/>
    </row>
    <row r="2202" spans="4:8" x14ac:dyDescent="0.25">
      <c r="D2202" s="4">
        <v>34997</v>
      </c>
      <c r="E2202" s="6">
        <v>15.98</v>
      </c>
      <c r="G2202" s="4"/>
      <c r="H2202" s="5"/>
    </row>
    <row r="2203" spans="4:8" x14ac:dyDescent="0.25">
      <c r="D2203" s="4">
        <v>34998</v>
      </c>
      <c r="E2203" s="6">
        <v>16.3</v>
      </c>
      <c r="G2203" s="4"/>
      <c r="H2203" s="5"/>
    </row>
    <row r="2204" spans="4:8" x14ac:dyDescent="0.25">
      <c r="D2204" s="4">
        <v>34999</v>
      </c>
      <c r="E2204" s="6">
        <v>16.350000000000001</v>
      </c>
      <c r="G2204" s="4"/>
      <c r="H2204" s="5"/>
    </row>
    <row r="2205" spans="4:8" x14ac:dyDescent="0.25">
      <c r="D2205" s="4">
        <v>35002</v>
      </c>
      <c r="E2205" s="6">
        <v>16.45</v>
      </c>
      <c r="G2205" s="4"/>
      <c r="H2205" s="5"/>
    </row>
    <row r="2206" spans="4:8" x14ac:dyDescent="0.25">
      <c r="D2206" s="4">
        <v>35003</v>
      </c>
      <c r="E2206" s="6">
        <v>16.579999999999998</v>
      </c>
      <c r="G2206" s="4"/>
      <c r="H2206" s="5"/>
    </row>
    <row r="2207" spans="4:8" x14ac:dyDescent="0.25">
      <c r="D2207" s="4">
        <v>35004</v>
      </c>
      <c r="E2207" s="6">
        <v>16.53</v>
      </c>
      <c r="G2207" s="4"/>
      <c r="H2207" s="5"/>
    </row>
    <row r="2208" spans="4:8" x14ac:dyDescent="0.25">
      <c r="D2208" s="4">
        <v>35005</v>
      </c>
      <c r="E2208" s="6">
        <v>16.829999999999998</v>
      </c>
      <c r="G2208" s="4"/>
      <c r="H2208" s="5"/>
    </row>
    <row r="2209" spans="4:8" x14ac:dyDescent="0.25">
      <c r="D2209" s="4">
        <v>35006</v>
      </c>
      <c r="E2209" s="6">
        <v>16.88</v>
      </c>
      <c r="G2209" s="4"/>
      <c r="H2209" s="5"/>
    </row>
    <row r="2210" spans="4:8" x14ac:dyDescent="0.25">
      <c r="D2210" s="4">
        <v>35009</v>
      </c>
      <c r="E2210" s="6">
        <v>16.78</v>
      </c>
      <c r="G2210" s="4"/>
      <c r="H2210" s="5"/>
    </row>
    <row r="2211" spans="4:8" x14ac:dyDescent="0.25">
      <c r="D2211" s="4">
        <v>35010</v>
      </c>
      <c r="E2211" s="6">
        <v>16.7</v>
      </c>
      <c r="G2211" s="4"/>
      <c r="H2211" s="5"/>
    </row>
    <row r="2212" spans="4:8" x14ac:dyDescent="0.25">
      <c r="D2212" s="4">
        <v>35011</v>
      </c>
      <c r="E2212" s="6">
        <v>16.75</v>
      </c>
      <c r="G2212" s="4"/>
      <c r="H2212" s="5"/>
    </row>
    <row r="2213" spans="4:8" x14ac:dyDescent="0.25">
      <c r="D2213" s="4">
        <v>35012</v>
      </c>
      <c r="E2213" s="6">
        <v>16.899999999999999</v>
      </c>
      <c r="G2213" s="4"/>
      <c r="H2213" s="5"/>
    </row>
    <row r="2214" spans="4:8" x14ac:dyDescent="0.25">
      <c r="D2214" s="4">
        <v>35013</v>
      </c>
      <c r="E2214" s="6">
        <v>16.829999999999998</v>
      </c>
      <c r="G2214" s="4"/>
      <c r="H2214" s="5"/>
    </row>
    <row r="2215" spans="4:8" x14ac:dyDescent="0.25">
      <c r="D2215" s="4">
        <v>35016</v>
      </c>
      <c r="E2215" s="6">
        <v>16.63</v>
      </c>
      <c r="G2215" s="4"/>
      <c r="H2215" s="5"/>
    </row>
    <row r="2216" spans="4:8" x14ac:dyDescent="0.25">
      <c r="D2216" s="4">
        <v>35017</v>
      </c>
      <c r="E2216" s="6">
        <v>16.579999999999998</v>
      </c>
      <c r="G2216" s="4"/>
      <c r="H2216" s="5"/>
    </row>
    <row r="2217" spans="4:8" x14ac:dyDescent="0.25">
      <c r="D2217" s="4">
        <v>35018</v>
      </c>
      <c r="E2217" s="6">
        <v>16.73</v>
      </c>
      <c r="G2217" s="4"/>
      <c r="H2217" s="5"/>
    </row>
    <row r="2218" spans="4:8" x14ac:dyDescent="0.25">
      <c r="D2218" s="4">
        <v>35019</v>
      </c>
      <c r="E2218" s="6">
        <v>16.78</v>
      </c>
      <c r="G2218" s="4"/>
      <c r="H2218" s="5"/>
    </row>
    <row r="2219" spans="4:8" x14ac:dyDescent="0.25">
      <c r="D2219" s="4">
        <v>35020</v>
      </c>
      <c r="E2219" s="6">
        <v>17.03</v>
      </c>
      <c r="G2219" s="4"/>
      <c r="H2219" s="5"/>
    </row>
    <row r="2220" spans="4:8" x14ac:dyDescent="0.25">
      <c r="D2220" s="4">
        <v>35023</v>
      </c>
      <c r="E2220" s="6">
        <v>16.8</v>
      </c>
      <c r="G2220" s="4"/>
      <c r="H2220" s="5"/>
    </row>
    <row r="2221" spans="4:8" x14ac:dyDescent="0.25">
      <c r="D2221" s="4">
        <v>35024</v>
      </c>
      <c r="E2221" s="6">
        <v>16.600000000000001</v>
      </c>
      <c r="G2221" s="4"/>
      <c r="H2221" s="5"/>
    </row>
    <row r="2222" spans="4:8" x14ac:dyDescent="0.25">
      <c r="D2222" s="4">
        <v>35025</v>
      </c>
      <c r="E2222" s="6">
        <v>16.899999999999999</v>
      </c>
      <c r="G2222" s="4"/>
      <c r="H2222" s="5"/>
    </row>
    <row r="2223" spans="4:8" x14ac:dyDescent="0.25">
      <c r="D2223" s="4">
        <v>35026</v>
      </c>
      <c r="E2223" s="6">
        <v>16.88</v>
      </c>
      <c r="G2223" s="4"/>
      <c r="H2223" s="5"/>
    </row>
    <row r="2224" spans="4:8" x14ac:dyDescent="0.25">
      <c r="D2224" s="4">
        <v>35027</v>
      </c>
      <c r="E2224" s="6">
        <v>16.93</v>
      </c>
      <c r="G2224" s="4"/>
      <c r="H2224" s="5"/>
    </row>
    <row r="2225" spans="4:8" x14ac:dyDescent="0.25">
      <c r="D2225" s="4">
        <v>35030</v>
      </c>
      <c r="E2225" s="6">
        <v>17.2</v>
      </c>
      <c r="G2225" s="4"/>
      <c r="H2225" s="5"/>
    </row>
    <row r="2226" spans="4:8" x14ac:dyDescent="0.25">
      <c r="D2226" s="4">
        <v>35031</v>
      </c>
      <c r="E2226" s="6">
        <v>17.25</v>
      </c>
      <c r="G2226" s="4"/>
      <c r="H2226" s="5"/>
    </row>
    <row r="2227" spans="4:8" x14ac:dyDescent="0.25">
      <c r="D2227" s="4">
        <v>35032</v>
      </c>
      <c r="E2227" s="6">
        <v>17.3</v>
      </c>
      <c r="G2227" s="4"/>
      <c r="H2227" s="5"/>
    </row>
    <row r="2228" spans="4:8" x14ac:dyDescent="0.25">
      <c r="D2228" s="4">
        <v>35033</v>
      </c>
      <c r="E2228" s="6">
        <v>17.13</v>
      </c>
      <c r="G2228" s="4"/>
      <c r="H2228" s="5"/>
    </row>
    <row r="2229" spans="4:8" x14ac:dyDescent="0.25">
      <c r="D2229" s="4">
        <v>35034</v>
      </c>
      <c r="E2229" s="6">
        <v>17.18</v>
      </c>
      <c r="G2229" s="4"/>
      <c r="H2229" s="5"/>
    </row>
    <row r="2230" spans="4:8" x14ac:dyDescent="0.25">
      <c r="D2230" s="4">
        <v>35037</v>
      </c>
      <c r="E2230" s="6">
        <v>17.350000000000001</v>
      </c>
      <c r="G2230" s="4"/>
      <c r="H2230" s="5"/>
    </row>
    <row r="2231" spans="4:8" x14ac:dyDescent="0.25">
      <c r="D2231" s="4">
        <v>35038</v>
      </c>
      <c r="E2231" s="6">
        <v>17.53</v>
      </c>
      <c r="G2231" s="4"/>
      <c r="H2231" s="5"/>
    </row>
    <row r="2232" spans="4:8" x14ac:dyDescent="0.25">
      <c r="D2232" s="4">
        <v>35039</v>
      </c>
      <c r="E2232" s="6">
        <v>17.55</v>
      </c>
      <c r="G2232" s="4"/>
      <c r="H2232" s="5"/>
    </row>
    <row r="2233" spans="4:8" x14ac:dyDescent="0.25">
      <c r="D2233" s="4">
        <v>35040</v>
      </c>
      <c r="E2233" s="6">
        <v>17.48</v>
      </c>
      <c r="G2233" s="4"/>
      <c r="H2233" s="5"/>
    </row>
    <row r="2234" spans="4:8" x14ac:dyDescent="0.25">
      <c r="D2234" s="4">
        <v>35041</v>
      </c>
      <c r="E2234" s="6">
        <v>17.73</v>
      </c>
      <c r="G2234" s="4"/>
      <c r="H2234" s="5"/>
    </row>
    <row r="2235" spans="4:8" x14ac:dyDescent="0.25">
      <c r="D2235" s="4">
        <v>35044</v>
      </c>
      <c r="E2235" s="6">
        <v>17.68</v>
      </c>
      <c r="G2235" s="4"/>
      <c r="H2235" s="5"/>
    </row>
    <row r="2236" spans="4:8" x14ac:dyDescent="0.25">
      <c r="D2236" s="4">
        <v>35045</v>
      </c>
      <c r="E2236" s="6">
        <v>17.48</v>
      </c>
      <c r="G2236" s="4"/>
      <c r="H2236" s="5"/>
    </row>
    <row r="2237" spans="4:8" x14ac:dyDescent="0.25">
      <c r="D2237" s="4">
        <v>35046</v>
      </c>
      <c r="E2237" s="6">
        <v>17.7</v>
      </c>
      <c r="G2237" s="4"/>
      <c r="H2237" s="5"/>
    </row>
    <row r="2238" spans="4:8" x14ac:dyDescent="0.25">
      <c r="D2238" s="4">
        <v>35047</v>
      </c>
      <c r="E2238" s="6">
        <v>17.899999999999999</v>
      </c>
      <c r="G2238" s="4"/>
      <c r="H2238" s="5"/>
    </row>
    <row r="2239" spans="4:8" x14ac:dyDescent="0.25">
      <c r="D2239" s="4">
        <v>35048</v>
      </c>
      <c r="E2239" s="6">
        <v>18.149999999999999</v>
      </c>
      <c r="G2239" s="4"/>
      <c r="H2239" s="5"/>
    </row>
    <row r="2240" spans="4:8" x14ac:dyDescent="0.25">
      <c r="D2240" s="4">
        <v>35051</v>
      </c>
      <c r="E2240" s="6">
        <v>18.329999999999998</v>
      </c>
      <c r="G2240" s="4"/>
      <c r="H2240" s="5"/>
    </row>
    <row r="2241" spans="4:8" x14ac:dyDescent="0.25">
      <c r="D2241" s="4">
        <v>35052</v>
      </c>
      <c r="E2241" s="6">
        <v>18.03</v>
      </c>
      <c r="G2241" s="4"/>
      <c r="H2241" s="5"/>
    </row>
    <row r="2242" spans="4:8" x14ac:dyDescent="0.25">
      <c r="D2242" s="4">
        <v>35053</v>
      </c>
      <c r="E2242" s="6">
        <v>18.05</v>
      </c>
      <c r="G2242" s="4"/>
      <c r="H2242" s="5"/>
    </row>
    <row r="2243" spans="4:8" x14ac:dyDescent="0.25">
      <c r="D2243" s="4">
        <v>35054</v>
      </c>
      <c r="E2243" s="6">
        <v>18.100000000000001</v>
      </c>
      <c r="G2243" s="4"/>
      <c r="H2243" s="5"/>
    </row>
    <row r="2244" spans="4:8" x14ac:dyDescent="0.25">
      <c r="D2244" s="4">
        <v>35055</v>
      </c>
      <c r="E2244" s="6">
        <v>18.18</v>
      </c>
      <c r="G2244" s="4"/>
      <c r="H2244" s="5"/>
    </row>
    <row r="2245" spans="4:8" x14ac:dyDescent="0.25">
      <c r="D2245" s="4">
        <v>35058</v>
      </c>
      <c r="E2245" s="5"/>
      <c r="G2245" s="4"/>
      <c r="H2245" s="5"/>
    </row>
    <row r="2246" spans="4:8" x14ac:dyDescent="0.25">
      <c r="D2246" s="4">
        <v>35059</v>
      </c>
      <c r="E2246" s="5"/>
      <c r="G2246" s="4"/>
      <c r="H2246" s="5"/>
    </row>
    <row r="2247" spans="4:8" x14ac:dyDescent="0.25">
      <c r="D2247" s="4">
        <v>35060</v>
      </c>
      <c r="E2247" s="6">
        <v>18.73</v>
      </c>
      <c r="G2247" s="4"/>
      <c r="H2247" s="5"/>
    </row>
    <row r="2248" spans="4:8" x14ac:dyDescent="0.25">
      <c r="D2248" s="4">
        <v>35061</v>
      </c>
      <c r="E2248" s="6">
        <v>18.78</v>
      </c>
      <c r="G2248" s="4"/>
      <c r="H2248" s="5"/>
    </row>
    <row r="2249" spans="4:8" x14ac:dyDescent="0.25">
      <c r="D2249" s="4">
        <v>35062</v>
      </c>
      <c r="E2249" s="6">
        <v>18.649999999999999</v>
      </c>
      <c r="G2249" s="4"/>
      <c r="H2249" s="5"/>
    </row>
    <row r="2250" spans="4:8" x14ac:dyDescent="0.25">
      <c r="D2250" s="4">
        <v>35065</v>
      </c>
      <c r="E2250" s="5"/>
      <c r="G2250" s="4"/>
      <c r="H2250" s="5"/>
    </row>
    <row r="2251" spans="4:8" x14ac:dyDescent="0.25">
      <c r="D2251" s="4">
        <v>35066</v>
      </c>
      <c r="E2251" s="6">
        <v>18.95</v>
      </c>
      <c r="G2251" s="4"/>
      <c r="H2251" s="5"/>
    </row>
    <row r="2252" spans="4:8" x14ac:dyDescent="0.25">
      <c r="D2252" s="4">
        <v>35067</v>
      </c>
      <c r="E2252" s="6">
        <v>19.149999999999999</v>
      </c>
      <c r="G2252" s="4"/>
      <c r="H2252" s="5"/>
    </row>
    <row r="2253" spans="4:8" x14ac:dyDescent="0.25">
      <c r="D2253" s="4">
        <v>35068</v>
      </c>
      <c r="E2253" s="6">
        <v>19.13</v>
      </c>
      <c r="G2253" s="4"/>
      <c r="H2253" s="5"/>
    </row>
    <row r="2254" spans="4:8" x14ac:dyDescent="0.25">
      <c r="D2254" s="4">
        <v>35069</v>
      </c>
      <c r="E2254" s="6">
        <v>19.5</v>
      </c>
      <c r="G2254" s="4"/>
      <c r="H2254" s="5"/>
    </row>
    <row r="2255" spans="4:8" x14ac:dyDescent="0.25">
      <c r="D2255" s="4">
        <v>35072</v>
      </c>
      <c r="E2255" s="6">
        <v>19.68</v>
      </c>
      <c r="G2255" s="4"/>
      <c r="H2255" s="5"/>
    </row>
    <row r="2256" spans="4:8" x14ac:dyDescent="0.25">
      <c r="D2256" s="4">
        <v>35073</v>
      </c>
      <c r="E2256" s="6">
        <v>19.05</v>
      </c>
      <c r="G2256" s="4"/>
      <c r="H2256" s="5"/>
    </row>
    <row r="2257" spans="4:8" x14ac:dyDescent="0.25">
      <c r="D2257" s="4">
        <v>35074</v>
      </c>
      <c r="E2257" s="6">
        <v>18.48</v>
      </c>
      <c r="G2257" s="4"/>
      <c r="H2257" s="5"/>
    </row>
    <row r="2258" spans="4:8" x14ac:dyDescent="0.25">
      <c r="D2258" s="4">
        <v>35075</v>
      </c>
      <c r="E2258" s="6">
        <v>17.850000000000001</v>
      </c>
      <c r="G2258" s="4"/>
      <c r="H2258" s="5"/>
    </row>
    <row r="2259" spans="4:8" x14ac:dyDescent="0.25">
      <c r="D2259" s="4">
        <v>35076</v>
      </c>
      <c r="E2259" s="6">
        <v>17.579999999999998</v>
      </c>
      <c r="G2259" s="4"/>
      <c r="H2259" s="5"/>
    </row>
    <row r="2260" spans="4:8" x14ac:dyDescent="0.25">
      <c r="D2260" s="4">
        <v>35079</v>
      </c>
      <c r="E2260" s="6">
        <v>17.5</v>
      </c>
      <c r="G2260" s="4"/>
      <c r="H2260" s="5"/>
    </row>
    <row r="2261" spans="4:8" x14ac:dyDescent="0.25">
      <c r="D2261" s="4">
        <v>35080</v>
      </c>
      <c r="E2261" s="6">
        <v>17.73</v>
      </c>
      <c r="G2261" s="4"/>
      <c r="H2261" s="5"/>
    </row>
    <row r="2262" spans="4:8" x14ac:dyDescent="0.25">
      <c r="D2262" s="4">
        <v>35081</v>
      </c>
      <c r="E2262" s="6">
        <v>17.43</v>
      </c>
      <c r="G2262" s="4"/>
      <c r="H2262" s="5"/>
    </row>
    <row r="2263" spans="4:8" x14ac:dyDescent="0.25">
      <c r="D2263" s="4">
        <v>35082</v>
      </c>
      <c r="E2263" s="6">
        <v>17.88</v>
      </c>
      <c r="G2263" s="4"/>
      <c r="H2263" s="5"/>
    </row>
    <row r="2264" spans="4:8" x14ac:dyDescent="0.25">
      <c r="D2264" s="4">
        <v>35083</v>
      </c>
      <c r="E2264" s="6">
        <v>17.53</v>
      </c>
      <c r="G2264" s="4"/>
      <c r="H2264" s="5"/>
    </row>
    <row r="2265" spans="4:8" x14ac:dyDescent="0.25">
      <c r="D2265" s="4">
        <v>35086</v>
      </c>
      <c r="E2265" s="6">
        <v>17.53</v>
      </c>
      <c r="G2265" s="4"/>
      <c r="H2265" s="5"/>
    </row>
    <row r="2266" spans="4:8" x14ac:dyDescent="0.25">
      <c r="D2266" s="4">
        <v>35087</v>
      </c>
      <c r="E2266" s="6">
        <v>17.38</v>
      </c>
      <c r="G2266" s="4"/>
      <c r="H2266" s="5"/>
    </row>
    <row r="2267" spans="4:8" x14ac:dyDescent="0.25">
      <c r="D2267" s="4">
        <v>35088</v>
      </c>
      <c r="E2267" s="6">
        <v>17.329999999999998</v>
      </c>
      <c r="G2267" s="4"/>
      <c r="H2267" s="5"/>
    </row>
    <row r="2268" spans="4:8" x14ac:dyDescent="0.25">
      <c r="D2268" s="4">
        <v>35089</v>
      </c>
      <c r="E2268" s="6">
        <v>17</v>
      </c>
      <c r="G2268" s="4"/>
      <c r="H2268" s="5"/>
    </row>
    <row r="2269" spans="4:8" x14ac:dyDescent="0.25">
      <c r="D2269" s="4">
        <v>35090</v>
      </c>
      <c r="E2269" s="6">
        <v>16.7</v>
      </c>
      <c r="G2269" s="4"/>
      <c r="H2269" s="5"/>
    </row>
    <row r="2270" spans="4:8" x14ac:dyDescent="0.25">
      <c r="D2270" s="4">
        <v>35093</v>
      </c>
      <c r="E2270" s="6">
        <v>16.23</v>
      </c>
      <c r="G2270" s="4"/>
      <c r="H2270" s="5"/>
    </row>
    <row r="2271" spans="4:8" x14ac:dyDescent="0.25">
      <c r="D2271" s="4">
        <v>35094</v>
      </c>
      <c r="E2271" s="6">
        <v>16.53</v>
      </c>
      <c r="G2271" s="4"/>
      <c r="H2271" s="5"/>
    </row>
    <row r="2272" spans="4:8" x14ac:dyDescent="0.25">
      <c r="D2272" s="4">
        <v>35095</v>
      </c>
      <c r="E2272" s="6">
        <v>16.63</v>
      </c>
      <c r="G2272" s="4"/>
      <c r="H2272" s="5"/>
    </row>
    <row r="2273" spans="4:8" x14ac:dyDescent="0.25">
      <c r="D2273" s="4">
        <v>35096</v>
      </c>
      <c r="E2273" s="6">
        <v>16.78</v>
      </c>
      <c r="G2273" s="4"/>
      <c r="H2273" s="5"/>
    </row>
    <row r="2274" spans="4:8" x14ac:dyDescent="0.25">
      <c r="D2274" s="4">
        <v>35097</v>
      </c>
      <c r="E2274" s="6">
        <v>17.05</v>
      </c>
      <c r="G2274" s="4"/>
      <c r="H2274" s="5"/>
    </row>
    <row r="2275" spans="4:8" x14ac:dyDescent="0.25">
      <c r="D2275" s="4">
        <v>35100</v>
      </c>
      <c r="E2275" s="6">
        <v>16.93</v>
      </c>
      <c r="G2275" s="4"/>
      <c r="H2275" s="5"/>
    </row>
    <row r="2276" spans="4:8" x14ac:dyDescent="0.25">
      <c r="D2276" s="4">
        <v>35101</v>
      </c>
      <c r="E2276" s="6">
        <v>16.829999999999998</v>
      </c>
      <c r="G2276" s="4"/>
      <c r="H2276" s="5"/>
    </row>
    <row r="2277" spans="4:8" x14ac:dyDescent="0.25">
      <c r="D2277" s="4">
        <v>35102</v>
      </c>
      <c r="E2277" s="6">
        <v>16.93</v>
      </c>
      <c r="G2277" s="4"/>
      <c r="H2277" s="5"/>
    </row>
    <row r="2278" spans="4:8" x14ac:dyDescent="0.25">
      <c r="D2278" s="4">
        <v>35103</v>
      </c>
      <c r="E2278" s="6">
        <v>17.05</v>
      </c>
      <c r="G2278" s="4"/>
      <c r="H2278" s="5"/>
    </row>
    <row r="2279" spans="4:8" x14ac:dyDescent="0.25">
      <c r="D2279" s="4">
        <v>35104</v>
      </c>
      <c r="E2279" s="6">
        <v>17.23</v>
      </c>
      <c r="G2279" s="4"/>
      <c r="H2279" s="5"/>
    </row>
    <row r="2280" spans="4:8" x14ac:dyDescent="0.25">
      <c r="D2280" s="4">
        <v>35107</v>
      </c>
      <c r="E2280" s="6">
        <v>17.18</v>
      </c>
      <c r="G2280" s="4"/>
      <c r="H2280" s="5"/>
    </row>
    <row r="2281" spans="4:8" x14ac:dyDescent="0.25">
      <c r="D2281" s="4">
        <v>35108</v>
      </c>
      <c r="E2281" s="6">
        <v>18.079999999999998</v>
      </c>
      <c r="G2281" s="4"/>
      <c r="H2281" s="5"/>
    </row>
    <row r="2282" spans="4:8" x14ac:dyDescent="0.25">
      <c r="D2282" s="4">
        <v>35109</v>
      </c>
      <c r="E2282" s="6">
        <v>18.28</v>
      </c>
      <c r="G2282" s="4"/>
      <c r="H2282" s="5"/>
    </row>
    <row r="2283" spans="4:8" x14ac:dyDescent="0.25">
      <c r="D2283" s="4">
        <v>35110</v>
      </c>
      <c r="E2283" s="6">
        <v>18.18</v>
      </c>
      <c r="G2283" s="4"/>
      <c r="H2283" s="5"/>
    </row>
    <row r="2284" spans="4:8" x14ac:dyDescent="0.25">
      <c r="D2284" s="4">
        <v>35111</v>
      </c>
      <c r="E2284" s="6">
        <v>18.2</v>
      </c>
      <c r="G2284" s="4"/>
      <c r="H2284" s="5"/>
    </row>
    <row r="2285" spans="4:8" x14ac:dyDescent="0.25">
      <c r="D2285" s="4">
        <v>35114</v>
      </c>
      <c r="E2285" s="6">
        <v>18.2</v>
      </c>
      <c r="G2285" s="4"/>
      <c r="H2285" s="5"/>
    </row>
    <row r="2286" spans="4:8" x14ac:dyDescent="0.25">
      <c r="D2286" s="4">
        <v>35115</v>
      </c>
      <c r="E2286" s="6">
        <v>18.579999999999998</v>
      </c>
      <c r="G2286" s="4"/>
      <c r="H2286" s="5"/>
    </row>
    <row r="2287" spans="4:8" x14ac:dyDescent="0.25">
      <c r="D2287" s="4">
        <v>35116</v>
      </c>
      <c r="E2287" s="6">
        <v>19.05</v>
      </c>
      <c r="G2287" s="4"/>
      <c r="H2287" s="5"/>
    </row>
    <row r="2288" spans="4:8" x14ac:dyDescent="0.25">
      <c r="D2288" s="4">
        <v>35117</v>
      </c>
      <c r="E2288" s="6">
        <v>19.28</v>
      </c>
      <c r="G2288" s="4"/>
      <c r="H2288" s="5"/>
    </row>
    <row r="2289" spans="4:8" x14ac:dyDescent="0.25">
      <c r="D2289" s="4">
        <v>35118</v>
      </c>
      <c r="E2289" s="6">
        <v>18.850000000000001</v>
      </c>
      <c r="G2289" s="4"/>
      <c r="H2289" s="5"/>
    </row>
    <row r="2290" spans="4:8" x14ac:dyDescent="0.25">
      <c r="D2290" s="4">
        <v>35121</v>
      </c>
      <c r="E2290" s="6">
        <v>18.850000000000001</v>
      </c>
      <c r="G2290" s="4"/>
      <c r="H2290" s="5"/>
    </row>
    <row r="2291" spans="4:8" x14ac:dyDescent="0.25">
      <c r="D2291" s="4">
        <v>35122</v>
      </c>
      <c r="E2291" s="6">
        <v>19</v>
      </c>
      <c r="G2291" s="4"/>
      <c r="H2291" s="5"/>
    </row>
    <row r="2292" spans="4:8" x14ac:dyDescent="0.25">
      <c r="D2292" s="4">
        <v>35123</v>
      </c>
      <c r="E2292" s="6">
        <v>18.649999999999999</v>
      </c>
      <c r="G2292" s="4"/>
      <c r="H2292" s="5"/>
    </row>
    <row r="2293" spans="4:8" x14ac:dyDescent="0.25">
      <c r="D2293" s="4">
        <v>35124</v>
      </c>
      <c r="E2293" s="6">
        <v>18.8</v>
      </c>
      <c r="G2293" s="4"/>
      <c r="H2293" s="5"/>
    </row>
    <row r="2294" spans="4:8" x14ac:dyDescent="0.25">
      <c r="D2294" s="4">
        <v>35125</v>
      </c>
      <c r="E2294" s="6">
        <v>18.55</v>
      </c>
      <c r="G2294" s="4"/>
      <c r="H2294" s="5"/>
    </row>
    <row r="2295" spans="4:8" x14ac:dyDescent="0.25">
      <c r="D2295" s="4">
        <v>35128</v>
      </c>
      <c r="E2295" s="6">
        <v>18.399999999999999</v>
      </c>
      <c r="G2295" s="4"/>
      <c r="H2295" s="5"/>
    </row>
    <row r="2296" spans="4:8" x14ac:dyDescent="0.25">
      <c r="D2296" s="4">
        <v>35129</v>
      </c>
      <c r="E2296" s="6">
        <v>18.75</v>
      </c>
      <c r="G2296" s="4"/>
      <c r="H2296" s="5"/>
    </row>
    <row r="2297" spans="4:8" x14ac:dyDescent="0.25">
      <c r="D2297" s="4">
        <v>35130</v>
      </c>
      <c r="E2297" s="6">
        <v>19.18</v>
      </c>
      <c r="G2297" s="4"/>
      <c r="H2297" s="5"/>
    </row>
    <row r="2298" spans="4:8" x14ac:dyDescent="0.25">
      <c r="D2298" s="4">
        <v>35131</v>
      </c>
      <c r="E2298" s="6">
        <v>19.03</v>
      </c>
      <c r="G2298" s="4"/>
      <c r="H2298" s="5"/>
    </row>
    <row r="2299" spans="4:8" x14ac:dyDescent="0.25">
      <c r="D2299" s="4">
        <v>35132</v>
      </c>
      <c r="E2299" s="6">
        <v>18.850000000000001</v>
      </c>
      <c r="G2299" s="4"/>
      <c r="H2299" s="5"/>
    </row>
    <row r="2300" spans="4:8" x14ac:dyDescent="0.25">
      <c r="D2300" s="4">
        <v>35135</v>
      </c>
      <c r="E2300" s="6">
        <v>18.93</v>
      </c>
      <c r="G2300" s="4"/>
      <c r="H2300" s="5"/>
    </row>
    <row r="2301" spans="4:8" x14ac:dyDescent="0.25">
      <c r="D2301" s="4">
        <v>35136</v>
      </c>
      <c r="E2301" s="6">
        <v>19.3</v>
      </c>
      <c r="G2301" s="4"/>
      <c r="H2301" s="5"/>
    </row>
    <row r="2302" spans="4:8" x14ac:dyDescent="0.25">
      <c r="D2302" s="4">
        <v>35137</v>
      </c>
      <c r="E2302" s="6">
        <v>19.579999999999998</v>
      </c>
      <c r="G2302" s="4"/>
      <c r="H2302" s="5"/>
    </row>
    <row r="2303" spans="4:8" x14ac:dyDescent="0.25">
      <c r="D2303" s="4">
        <v>35138</v>
      </c>
      <c r="E2303" s="6">
        <v>19.399999999999999</v>
      </c>
      <c r="G2303" s="4"/>
      <c r="H2303" s="5"/>
    </row>
    <row r="2304" spans="4:8" x14ac:dyDescent="0.25">
      <c r="D2304" s="4">
        <v>35139</v>
      </c>
      <c r="E2304" s="6">
        <v>19.3</v>
      </c>
      <c r="G2304" s="4"/>
      <c r="H2304" s="5"/>
    </row>
    <row r="2305" spans="4:8" x14ac:dyDescent="0.25">
      <c r="D2305" s="4">
        <v>35142</v>
      </c>
      <c r="E2305" s="6">
        <v>20.5</v>
      </c>
      <c r="G2305" s="4"/>
      <c r="H2305" s="5"/>
    </row>
    <row r="2306" spans="4:8" x14ac:dyDescent="0.25">
      <c r="D2306" s="4">
        <v>35143</v>
      </c>
      <c r="E2306" s="6">
        <v>20.350000000000001</v>
      </c>
      <c r="G2306" s="4"/>
      <c r="H2306" s="5"/>
    </row>
    <row r="2307" spans="4:8" x14ac:dyDescent="0.25">
      <c r="D2307" s="4">
        <v>35144</v>
      </c>
      <c r="E2307" s="6">
        <v>20.38</v>
      </c>
      <c r="G2307" s="4"/>
      <c r="H2307" s="5"/>
    </row>
    <row r="2308" spans="4:8" x14ac:dyDescent="0.25">
      <c r="D2308" s="4">
        <v>35145</v>
      </c>
      <c r="E2308" s="6">
        <v>20.350000000000001</v>
      </c>
      <c r="G2308" s="4"/>
      <c r="H2308" s="5"/>
    </row>
    <row r="2309" spans="4:8" x14ac:dyDescent="0.25">
      <c r="D2309" s="4">
        <v>35146</v>
      </c>
      <c r="E2309" s="6">
        <v>21.15</v>
      </c>
      <c r="G2309" s="4"/>
      <c r="H2309" s="5"/>
    </row>
    <row r="2310" spans="4:8" x14ac:dyDescent="0.25">
      <c r="D2310" s="4">
        <v>35149</v>
      </c>
      <c r="E2310" s="6">
        <v>21.3</v>
      </c>
      <c r="G2310" s="4"/>
      <c r="H2310" s="5"/>
    </row>
    <row r="2311" spans="4:8" x14ac:dyDescent="0.25">
      <c r="D2311" s="4">
        <v>35150</v>
      </c>
      <c r="E2311" s="6">
        <v>21.68</v>
      </c>
      <c r="G2311" s="4"/>
      <c r="H2311" s="5"/>
    </row>
    <row r="2312" spans="4:8" x14ac:dyDescent="0.25">
      <c r="D2312" s="4">
        <v>35151</v>
      </c>
      <c r="E2312" s="6">
        <v>21.33</v>
      </c>
      <c r="G2312" s="4"/>
      <c r="H2312" s="5"/>
    </row>
    <row r="2313" spans="4:8" x14ac:dyDescent="0.25">
      <c r="D2313" s="4">
        <v>35152</v>
      </c>
      <c r="E2313" s="6">
        <v>20.25</v>
      </c>
      <c r="G2313" s="4"/>
      <c r="H2313" s="5"/>
    </row>
    <row r="2314" spans="4:8" x14ac:dyDescent="0.25">
      <c r="D2314" s="4">
        <v>35153</v>
      </c>
      <c r="E2314" s="6">
        <v>20.329999999999998</v>
      </c>
      <c r="G2314" s="4"/>
      <c r="H2314" s="5"/>
    </row>
    <row r="2315" spans="4:8" x14ac:dyDescent="0.25">
      <c r="D2315" s="4">
        <v>35156</v>
      </c>
      <c r="E2315" s="6">
        <v>20.8</v>
      </c>
      <c r="G2315" s="4"/>
      <c r="H2315" s="5"/>
    </row>
    <row r="2316" spans="4:8" x14ac:dyDescent="0.25">
      <c r="D2316" s="4">
        <v>35157</v>
      </c>
      <c r="E2316" s="6">
        <v>21.18</v>
      </c>
      <c r="G2316" s="4"/>
      <c r="H2316" s="5"/>
    </row>
    <row r="2317" spans="4:8" x14ac:dyDescent="0.25">
      <c r="D2317" s="4">
        <v>35158</v>
      </c>
      <c r="E2317" s="6">
        <v>20.93</v>
      </c>
      <c r="G2317" s="4"/>
      <c r="H2317" s="5"/>
    </row>
    <row r="2318" spans="4:8" x14ac:dyDescent="0.25">
      <c r="D2318" s="4">
        <v>35159</v>
      </c>
      <c r="E2318" s="6">
        <v>20.85</v>
      </c>
      <c r="G2318" s="4"/>
      <c r="H2318" s="5"/>
    </row>
    <row r="2319" spans="4:8" x14ac:dyDescent="0.25">
      <c r="D2319" s="4">
        <v>35160</v>
      </c>
      <c r="E2319" s="5"/>
      <c r="G2319" s="4"/>
      <c r="H2319" s="5"/>
    </row>
    <row r="2320" spans="4:8" x14ac:dyDescent="0.25">
      <c r="D2320" s="4">
        <v>35163</v>
      </c>
      <c r="E2320" s="5"/>
      <c r="G2320" s="4"/>
      <c r="H2320" s="5"/>
    </row>
    <row r="2321" spans="4:8" x14ac:dyDescent="0.25">
      <c r="D2321" s="4">
        <v>35164</v>
      </c>
      <c r="E2321" s="6">
        <v>21.43</v>
      </c>
      <c r="G2321" s="4"/>
      <c r="H2321" s="5"/>
    </row>
    <row r="2322" spans="4:8" x14ac:dyDescent="0.25">
      <c r="D2322" s="4">
        <v>35165</v>
      </c>
      <c r="E2322" s="6">
        <v>22.63</v>
      </c>
      <c r="G2322" s="4"/>
      <c r="H2322" s="5"/>
    </row>
    <row r="2323" spans="4:8" x14ac:dyDescent="0.25">
      <c r="D2323" s="4">
        <v>35166</v>
      </c>
      <c r="E2323" s="6">
        <v>23.9</v>
      </c>
      <c r="G2323" s="4"/>
      <c r="H2323" s="5"/>
    </row>
    <row r="2324" spans="4:8" x14ac:dyDescent="0.25">
      <c r="D2324" s="4">
        <v>35167</v>
      </c>
      <c r="E2324" s="6">
        <v>22.73</v>
      </c>
      <c r="G2324" s="4"/>
      <c r="H2324" s="5"/>
    </row>
    <row r="2325" spans="4:8" x14ac:dyDescent="0.25">
      <c r="D2325" s="4">
        <v>35170</v>
      </c>
      <c r="E2325" s="6">
        <v>22.68</v>
      </c>
      <c r="G2325" s="4"/>
      <c r="H2325" s="5"/>
    </row>
    <row r="2326" spans="4:8" x14ac:dyDescent="0.25">
      <c r="D2326" s="4">
        <v>35171</v>
      </c>
      <c r="E2326" s="6">
        <v>21.2</v>
      </c>
      <c r="G2326" s="4"/>
      <c r="H2326" s="5"/>
    </row>
    <row r="2327" spans="4:8" x14ac:dyDescent="0.25">
      <c r="D2327" s="4">
        <v>35172</v>
      </c>
      <c r="E2327" s="6">
        <v>19.88</v>
      </c>
      <c r="G2327" s="4"/>
      <c r="H2327" s="5"/>
    </row>
    <row r="2328" spans="4:8" x14ac:dyDescent="0.25">
      <c r="D2328" s="4">
        <v>35173</v>
      </c>
      <c r="E2328" s="6">
        <v>19.329999999999998</v>
      </c>
      <c r="G2328" s="4"/>
      <c r="H2328" s="5"/>
    </row>
    <row r="2329" spans="4:8" x14ac:dyDescent="0.25">
      <c r="D2329" s="4">
        <v>35174</v>
      </c>
      <c r="E2329" s="6">
        <v>19.53</v>
      </c>
      <c r="G2329" s="4"/>
      <c r="H2329" s="5"/>
    </row>
    <row r="2330" spans="4:8" x14ac:dyDescent="0.25">
      <c r="D2330" s="4">
        <v>35177</v>
      </c>
      <c r="E2330" s="6">
        <v>19.38</v>
      </c>
      <c r="G2330" s="4"/>
      <c r="H2330" s="5"/>
    </row>
    <row r="2331" spans="4:8" x14ac:dyDescent="0.25">
      <c r="D2331" s="4">
        <v>35178</v>
      </c>
      <c r="E2331" s="6">
        <v>20.88</v>
      </c>
      <c r="G2331" s="4"/>
      <c r="H2331" s="5"/>
    </row>
    <row r="2332" spans="4:8" x14ac:dyDescent="0.25">
      <c r="D2332" s="4">
        <v>35179</v>
      </c>
      <c r="E2332" s="6">
        <v>20.73</v>
      </c>
      <c r="G2332" s="4"/>
      <c r="H2332" s="5"/>
    </row>
    <row r="2333" spans="4:8" x14ac:dyDescent="0.25">
      <c r="D2333" s="4">
        <v>35180</v>
      </c>
      <c r="E2333" s="6">
        <v>20.350000000000001</v>
      </c>
      <c r="G2333" s="4"/>
      <c r="H2333" s="5"/>
    </row>
    <row r="2334" spans="4:8" x14ac:dyDescent="0.25">
      <c r="D2334" s="4">
        <v>35181</v>
      </c>
      <c r="E2334" s="6">
        <v>20.05</v>
      </c>
      <c r="G2334" s="4"/>
      <c r="H2334" s="5"/>
    </row>
    <row r="2335" spans="4:8" x14ac:dyDescent="0.25">
      <c r="D2335" s="4">
        <v>35184</v>
      </c>
      <c r="E2335" s="6">
        <v>20.05</v>
      </c>
      <c r="G2335" s="4"/>
      <c r="H2335" s="5"/>
    </row>
    <row r="2336" spans="4:8" x14ac:dyDescent="0.25">
      <c r="D2336" s="4">
        <v>35185</v>
      </c>
      <c r="E2336" s="6">
        <v>19.5</v>
      </c>
      <c r="G2336" s="4"/>
      <c r="H2336" s="5"/>
    </row>
    <row r="2337" spans="4:8" x14ac:dyDescent="0.25">
      <c r="D2337" s="4">
        <v>35186</v>
      </c>
      <c r="E2337" s="6">
        <v>18.95</v>
      </c>
      <c r="G2337" s="4"/>
      <c r="H2337" s="5"/>
    </row>
    <row r="2338" spans="4:8" x14ac:dyDescent="0.25">
      <c r="D2338" s="4">
        <v>35187</v>
      </c>
      <c r="E2338" s="6">
        <v>19.45</v>
      </c>
      <c r="G2338" s="4"/>
      <c r="H2338" s="5"/>
    </row>
    <row r="2339" spans="4:8" x14ac:dyDescent="0.25">
      <c r="D2339" s="4">
        <v>35188</v>
      </c>
      <c r="E2339" s="6">
        <v>19.38</v>
      </c>
      <c r="G2339" s="4"/>
      <c r="H2339" s="5"/>
    </row>
    <row r="2340" spans="4:8" x14ac:dyDescent="0.25">
      <c r="D2340" s="4">
        <v>35191</v>
      </c>
      <c r="E2340" s="5"/>
      <c r="G2340" s="4"/>
      <c r="H2340" s="5"/>
    </row>
    <row r="2341" spans="4:8" x14ac:dyDescent="0.25">
      <c r="D2341" s="4">
        <v>35192</v>
      </c>
      <c r="E2341" s="6">
        <v>20.079999999999998</v>
      </c>
      <c r="G2341" s="4"/>
      <c r="H2341" s="5"/>
    </row>
    <row r="2342" spans="4:8" x14ac:dyDescent="0.25">
      <c r="D2342" s="4">
        <v>35193</v>
      </c>
      <c r="E2342" s="6">
        <v>19.850000000000001</v>
      </c>
      <c r="G2342" s="4"/>
      <c r="H2342" s="5"/>
    </row>
    <row r="2343" spans="4:8" x14ac:dyDescent="0.25">
      <c r="D2343" s="4">
        <v>35194</v>
      </c>
      <c r="E2343" s="6">
        <v>19.350000000000001</v>
      </c>
      <c r="G2343" s="4"/>
      <c r="H2343" s="5"/>
    </row>
    <row r="2344" spans="4:8" x14ac:dyDescent="0.25">
      <c r="D2344" s="4">
        <v>35195</v>
      </c>
      <c r="E2344" s="6">
        <v>19.23</v>
      </c>
      <c r="G2344" s="4"/>
      <c r="H2344" s="5"/>
    </row>
    <row r="2345" spans="4:8" x14ac:dyDescent="0.25">
      <c r="D2345" s="4">
        <v>35198</v>
      </c>
      <c r="E2345" s="6">
        <v>19.48</v>
      </c>
      <c r="G2345" s="4"/>
      <c r="H2345" s="5"/>
    </row>
    <row r="2346" spans="4:8" x14ac:dyDescent="0.25">
      <c r="D2346" s="4">
        <v>35199</v>
      </c>
      <c r="E2346" s="6">
        <v>19.63</v>
      </c>
      <c r="G2346" s="4"/>
      <c r="H2346" s="5"/>
    </row>
    <row r="2347" spans="4:8" x14ac:dyDescent="0.25">
      <c r="D2347" s="4">
        <v>35200</v>
      </c>
      <c r="E2347" s="6">
        <v>19.5</v>
      </c>
      <c r="G2347" s="4"/>
      <c r="H2347" s="5"/>
    </row>
    <row r="2348" spans="4:8" x14ac:dyDescent="0.25">
      <c r="D2348" s="4">
        <v>35201</v>
      </c>
      <c r="E2348" s="6">
        <v>18.63</v>
      </c>
      <c r="G2348" s="4"/>
      <c r="H2348" s="5"/>
    </row>
    <row r="2349" spans="4:8" x14ac:dyDescent="0.25">
      <c r="D2349" s="4">
        <v>35202</v>
      </c>
      <c r="E2349" s="6">
        <v>18.05</v>
      </c>
      <c r="G2349" s="4"/>
      <c r="H2349" s="5"/>
    </row>
    <row r="2350" spans="4:8" x14ac:dyDescent="0.25">
      <c r="D2350" s="4">
        <v>35205</v>
      </c>
      <c r="E2350" s="6">
        <v>18.63</v>
      </c>
      <c r="G2350" s="4"/>
      <c r="H2350" s="5"/>
    </row>
    <row r="2351" spans="4:8" x14ac:dyDescent="0.25">
      <c r="D2351" s="4">
        <v>35206</v>
      </c>
      <c r="E2351" s="6">
        <v>18.7</v>
      </c>
      <c r="G2351" s="4"/>
      <c r="H2351" s="5"/>
    </row>
    <row r="2352" spans="4:8" x14ac:dyDescent="0.25">
      <c r="D2352" s="4">
        <v>35207</v>
      </c>
      <c r="E2352" s="6">
        <v>19.399999999999999</v>
      </c>
      <c r="G2352" s="4"/>
      <c r="H2352" s="5"/>
    </row>
    <row r="2353" spans="4:8" x14ac:dyDescent="0.25">
      <c r="D2353" s="4">
        <v>35208</v>
      </c>
      <c r="E2353" s="6">
        <v>19.53</v>
      </c>
      <c r="G2353" s="4"/>
      <c r="H2353" s="5"/>
    </row>
    <row r="2354" spans="4:8" x14ac:dyDescent="0.25">
      <c r="D2354" s="4">
        <v>35209</v>
      </c>
      <c r="E2354" s="6">
        <v>19.73</v>
      </c>
      <c r="G2354" s="4"/>
      <c r="H2354" s="5"/>
    </row>
    <row r="2355" spans="4:8" x14ac:dyDescent="0.25">
      <c r="D2355" s="4">
        <v>35212</v>
      </c>
      <c r="E2355" s="5"/>
      <c r="G2355" s="4"/>
      <c r="H2355" s="5"/>
    </row>
    <row r="2356" spans="4:8" x14ac:dyDescent="0.25">
      <c r="D2356" s="4">
        <v>35213</v>
      </c>
      <c r="E2356" s="6">
        <v>19.53</v>
      </c>
      <c r="G2356" s="4"/>
      <c r="H2356" s="5"/>
    </row>
    <row r="2357" spans="4:8" x14ac:dyDescent="0.25">
      <c r="D2357" s="4">
        <v>35214</v>
      </c>
      <c r="E2357" s="6">
        <v>18.95</v>
      </c>
      <c r="G2357" s="4"/>
      <c r="H2357" s="5"/>
    </row>
    <row r="2358" spans="4:8" x14ac:dyDescent="0.25">
      <c r="D2358" s="4">
        <v>35215</v>
      </c>
      <c r="E2358" s="6">
        <v>18.100000000000001</v>
      </c>
      <c r="G2358" s="4"/>
      <c r="H2358" s="5"/>
    </row>
    <row r="2359" spans="4:8" x14ac:dyDescent="0.25">
      <c r="D2359" s="4">
        <v>35216</v>
      </c>
      <c r="E2359" s="6">
        <v>18.100000000000001</v>
      </c>
      <c r="G2359" s="4"/>
      <c r="H2359" s="5"/>
    </row>
    <row r="2360" spans="4:8" x14ac:dyDescent="0.25">
      <c r="D2360" s="4">
        <v>35219</v>
      </c>
      <c r="E2360" s="6">
        <v>18.25</v>
      </c>
      <c r="G2360" s="4"/>
      <c r="H2360" s="5"/>
    </row>
    <row r="2361" spans="4:8" x14ac:dyDescent="0.25">
      <c r="D2361" s="4">
        <v>35220</v>
      </c>
      <c r="E2361" s="6">
        <v>18.5</v>
      </c>
      <c r="G2361" s="4"/>
      <c r="H2361" s="5"/>
    </row>
    <row r="2362" spans="4:8" x14ac:dyDescent="0.25">
      <c r="D2362" s="4">
        <v>35221</v>
      </c>
      <c r="E2362" s="6">
        <v>18.2</v>
      </c>
      <c r="G2362" s="4"/>
      <c r="H2362" s="5"/>
    </row>
    <row r="2363" spans="4:8" x14ac:dyDescent="0.25">
      <c r="D2363" s="4">
        <v>35222</v>
      </c>
      <c r="E2363" s="6">
        <v>18.18</v>
      </c>
      <c r="G2363" s="4"/>
      <c r="H2363" s="5"/>
    </row>
    <row r="2364" spans="4:8" x14ac:dyDescent="0.25">
      <c r="D2364" s="4">
        <v>35223</v>
      </c>
      <c r="E2364" s="6">
        <v>18.399999999999999</v>
      </c>
      <c r="G2364" s="4"/>
      <c r="H2364" s="5"/>
    </row>
    <row r="2365" spans="4:8" x14ac:dyDescent="0.25">
      <c r="D2365" s="4">
        <v>35226</v>
      </c>
      <c r="E2365" s="6">
        <v>18.48</v>
      </c>
      <c r="G2365" s="4"/>
      <c r="H2365" s="5"/>
    </row>
    <row r="2366" spans="4:8" x14ac:dyDescent="0.25">
      <c r="D2366" s="4">
        <v>35227</v>
      </c>
      <c r="E2366" s="6">
        <v>18.28</v>
      </c>
      <c r="G2366" s="4"/>
      <c r="H2366" s="5"/>
    </row>
    <row r="2367" spans="4:8" x14ac:dyDescent="0.25">
      <c r="D2367" s="4">
        <v>35228</v>
      </c>
      <c r="E2367" s="6">
        <v>18.23</v>
      </c>
      <c r="G2367" s="4"/>
      <c r="H2367" s="5"/>
    </row>
    <row r="2368" spans="4:8" x14ac:dyDescent="0.25">
      <c r="D2368" s="4">
        <v>35229</v>
      </c>
      <c r="E2368" s="6">
        <v>17.98</v>
      </c>
      <c r="G2368" s="4"/>
      <c r="H2368" s="5"/>
    </row>
    <row r="2369" spans="4:8" x14ac:dyDescent="0.25">
      <c r="D2369" s="4">
        <v>35230</v>
      </c>
      <c r="E2369" s="6">
        <v>17.829999999999998</v>
      </c>
      <c r="G2369" s="4"/>
      <c r="H2369" s="5"/>
    </row>
    <row r="2370" spans="4:8" x14ac:dyDescent="0.25">
      <c r="D2370" s="4">
        <v>35233</v>
      </c>
      <c r="E2370" s="6">
        <v>18.7</v>
      </c>
      <c r="G2370" s="4"/>
      <c r="H2370" s="5"/>
    </row>
    <row r="2371" spans="4:8" x14ac:dyDescent="0.25">
      <c r="D2371" s="4">
        <v>35234</v>
      </c>
      <c r="E2371" s="6">
        <v>18.8</v>
      </c>
      <c r="G2371" s="4"/>
      <c r="H2371" s="5"/>
    </row>
    <row r="2372" spans="4:8" x14ac:dyDescent="0.25">
      <c r="D2372" s="4">
        <v>35235</v>
      </c>
      <c r="E2372" s="6">
        <v>18.399999999999999</v>
      </c>
      <c r="G2372" s="4"/>
      <c r="H2372" s="5"/>
    </row>
    <row r="2373" spans="4:8" x14ac:dyDescent="0.25">
      <c r="D2373" s="4">
        <v>35236</v>
      </c>
      <c r="E2373" s="6">
        <v>18.43</v>
      </c>
      <c r="G2373" s="4"/>
      <c r="H2373" s="5"/>
    </row>
    <row r="2374" spans="4:8" x14ac:dyDescent="0.25">
      <c r="D2374" s="4">
        <v>35237</v>
      </c>
      <c r="E2374" s="6">
        <v>18.45</v>
      </c>
      <c r="G2374" s="4"/>
      <c r="H2374" s="5"/>
    </row>
    <row r="2375" spans="4:8" x14ac:dyDescent="0.25">
      <c r="D2375" s="4">
        <v>35240</v>
      </c>
      <c r="E2375" s="6">
        <v>18.38</v>
      </c>
      <c r="G2375" s="4"/>
      <c r="H2375" s="5"/>
    </row>
    <row r="2376" spans="4:8" x14ac:dyDescent="0.25">
      <c r="D2376" s="4">
        <v>35241</v>
      </c>
      <c r="E2376" s="6">
        <v>18.38</v>
      </c>
      <c r="G2376" s="4"/>
      <c r="H2376" s="5"/>
    </row>
    <row r="2377" spans="4:8" x14ac:dyDescent="0.25">
      <c r="D2377" s="4">
        <v>35242</v>
      </c>
      <c r="E2377" s="6">
        <v>18.600000000000001</v>
      </c>
      <c r="G2377" s="4"/>
      <c r="H2377" s="5"/>
    </row>
    <row r="2378" spans="4:8" x14ac:dyDescent="0.25">
      <c r="D2378" s="4">
        <v>35243</v>
      </c>
      <c r="E2378" s="6">
        <v>19.38</v>
      </c>
      <c r="G2378" s="4"/>
      <c r="H2378" s="5"/>
    </row>
    <row r="2379" spans="4:8" x14ac:dyDescent="0.25">
      <c r="D2379" s="4">
        <v>35244</v>
      </c>
      <c r="E2379" s="6">
        <v>19.28</v>
      </c>
      <c r="G2379" s="4"/>
      <c r="H2379" s="5"/>
    </row>
    <row r="2380" spans="4:8" x14ac:dyDescent="0.25">
      <c r="D2380" s="4">
        <v>35247</v>
      </c>
      <c r="E2380" s="6">
        <v>19.77</v>
      </c>
      <c r="G2380" s="4"/>
      <c r="H2380" s="5"/>
    </row>
    <row r="2381" spans="4:8" x14ac:dyDescent="0.25">
      <c r="D2381" s="4">
        <v>35248</v>
      </c>
      <c r="E2381" s="6">
        <v>19.43</v>
      </c>
      <c r="G2381" s="4"/>
      <c r="H2381" s="5"/>
    </row>
    <row r="2382" spans="4:8" x14ac:dyDescent="0.25">
      <c r="D2382" s="4">
        <v>35249</v>
      </c>
      <c r="E2382" s="6">
        <v>19.13</v>
      </c>
      <c r="G2382" s="4"/>
      <c r="H2382" s="5"/>
    </row>
    <row r="2383" spans="4:8" x14ac:dyDescent="0.25">
      <c r="D2383" s="4">
        <v>35250</v>
      </c>
      <c r="E2383" s="6">
        <v>19.77</v>
      </c>
      <c r="G2383" s="4"/>
      <c r="H2383" s="5"/>
    </row>
    <row r="2384" spans="4:8" x14ac:dyDescent="0.25">
      <c r="D2384" s="4">
        <v>35251</v>
      </c>
      <c r="E2384" s="6">
        <v>19.989999999999998</v>
      </c>
      <c r="G2384" s="4"/>
      <c r="H2384" s="5"/>
    </row>
    <row r="2385" spans="4:8" x14ac:dyDescent="0.25">
      <c r="D2385" s="4">
        <v>35254</v>
      </c>
      <c r="E2385" s="6">
        <v>19.62</v>
      </c>
      <c r="G2385" s="4"/>
      <c r="H2385" s="5"/>
    </row>
    <row r="2386" spans="4:8" x14ac:dyDescent="0.25">
      <c r="D2386" s="4">
        <v>35255</v>
      </c>
      <c r="E2386" s="6">
        <v>19.63</v>
      </c>
      <c r="G2386" s="4"/>
      <c r="H2386" s="5"/>
    </row>
    <row r="2387" spans="4:8" x14ac:dyDescent="0.25">
      <c r="D2387" s="4">
        <v>35256</v>
      </c>
      <c r="E2387" s="6">
        <v>19.8</v>
      </c>
      <c r="G2387" s="4"/>
      <c r="H2387" s="5"/>
    </row>
    <row r="2388" spans="4:8" x14ac:dyDescent="0.25">
      <c r="D2388" s="4">
        <v>35257</v>
      </c>
      <c r="E2388" s="6">
        <v>20.010000000000002</v>
      </c>
      <c r="G2388" s="4"/>
      <c r="H2388" s="5"/>
    </row>
    <row r="2389" spans="4:8" x14ac:dyDescent="0.25">
      <c r="D2389" s="4">
        <v>35258</v>
      </c>
      <c r="E2389" s="6">
        <v>19.93</v>
      </c>
      <c r="G2389" s="4"/>
      <c r="H2389" s="5"/>
    </row>
    <row r="2390" spans="4:8" x14ac:dyDescent="0.25">
      <c r="D2390" s="4">
        <v>35261</v>
      </c>
      <c r="E2390" s="6">
        <v>20.2</v>
      </c>
      <c r="G2390" s="4"/>
      <c r="H2390" s="5"/>
    </row>
    <row r="2391" spans="4:8" x14ac:dyDescent="0.25">
      <c r="D2391" s="4">
        <v>35262</v>
      </c>
      <c r="E2391" s="6">
        <v>20.3</v>
      </c>
      <c r="G2391" s="4"/>
      <c r="H2391" s="5"/>
    </row>
    <row r="2392" spans="4:8" x14ac:dyDescent="0.25">
      <c r="D2392" s="4">
        <v>35263</v>
      </c>
      <c r="E2392" s="6">
        <v>19.75</v>
      </c>
      <c r="G2392" s="4"/>
      <c r="H2392" s="5"/>
    </row>
    <row r="2393" spans="4:8" x14ac:dyDescent="0.25">
      <c r="D2393" s="4">
        <v>35264</v>
      </c>
      <c r="E2393" s="6">
        <v>19.95</v>
      </c>
      <c r="G2393" s="4"/>
      <c r="H2393" s="5"/>
    </row>
    <row r="2394" spans="4:8" x14ac:dyDescent="0.25">
      <c r="D2394" s="4">
        <v>35265</v>
      </c>
      <c r="E2394" s="6">
        <v>19.45</v>
      </c>
      <c r="G2394" s="4"/>
      <c r="H2394" s="5"/>
    </row>
    <row r="2395" spans="4:8" x14ac:dyDescent="0.25">
      <c r="D2395" s="4">
        <v>35268</v>
      </c>
      <c r="E2395" s="6">
        <v>19.23</v>
      </c>
      <c r="G2395" s="4"/>
      <c r="H2395" s="5"/>
    </row>
    <row r="2396" spans="4:8" x14ac:dyDescent="0.25">
      <c r="D2396" s="4">
        <v>35269</v>
      </c>
      <c r="E2396" s="6">
        <v>19.5</v>
      </c>
      <c r="G2396" s="4"/>
      <c r="H2396" s="5"/>
    </row>
    <row r="2397" spans="4:8" x14ac:dyDescent="0.25">
      <c r="D2397" s="4">
        <v>35270</v>
      </c>
      <c r="E2397" s="6">
        <v>19.36</v>
      </c>
      <c r="G2397" s="4"/>
      <c r="H2397" s="5"/>
    </row>
    <row r="2398" spans="4:8" x14ac:dyDescent="0.25">
      <c r="D2398" s="4">
        <v>35271</v>
      </c>
      <c r="E2398" s="6">
        <v>19.5</v>
      </c>
      <c r="G2398" s="4"/>
      <c r="H2398" s="5"/>
    </row>
    <row r="2399" spans="4:8" x14ac:dyDescent="0.25">
      <c r="D2399" s="4">
        <v>35272</v>
      </c>
      <c r="E2399" s="6">
        <v>18.920000000000002</v>
      </c>
      <c r="G2399" s="4"/>
      <c r="H2399" s="5"/>
    </row>
    <row r="2400" spans="4:8" x14ac:dyDescent="0.25">
      <c r="D2400" s="4">
        <v>35275</v>
      </c>
      <c r="E2400" s="6">
        <v>18.989999999999998</v>
      </c>
      <c r="G2400" s="4"/>
      <c r="H2400" s="5"/>
    </row>
    <row r="2401" spans="4:8" x14ac:dyDescent="0.25">
      <c r="D2401" s="4">
        <v>35276</v>
      </c>
      <c r="E2401" s="6">
        <v>18.899999999999999</v>
      </c>
      <c r="G2401" s="4"/>
      <c r="H2401" s="5"/>
    </row>
    <row r="2402" spans="4:8" x14ac:dyDescent="0.25">
      <c r="D2402" s="4">
        <v>35277</v>
      </c>
      <c r="E2402" s="6">
        <v>19</v>
      </c>
      <c r="G2402" s="4"/>
      <c r="H2402" s="5"/>
    </row>
    <row r="2403" spans="4:8" x14ac:dyDescent="0.25">
      <c r="D2403" s="4">
        <v>35278</v>
      </c>
      <c r="E2403" s="6">
        <v>18.84</v>
      </c>
      <c r="G2403" s="4"/>
      <c r="H2403" s="5"/>
    </row>
    <row r="2404" spans="4:8" x14ac:dyDescent="0.25">
      <c r="D2404" s="4">
        <v>35279</v>
      </c>
      <c r="E2404" s="6">
        <v>19.63</v>
      </c>
      <c r="G2404" s="4"/>
      <c r="H2404" s="5"/>
    </row>
    <row r="2405" spans="4:8" x14ac:dyDescent="0.25">
      <c r="D2405" s="4">
        <v>35282</v>
      </c>
      <c r="E2405" s="6">
        <v>19.649999999999999</v>
      </c>
      <c r="G2405" s="4"/>
      <c r="H2405" s="5"/>
    </row>
    <row r="2406" spans="4:8" x14ac:dyDescent="0.25">
      <c r="D2406" s="4">
        <v>35283</v>
      </c>
      <c r="E2406" s="6">
        <v>19.45</v>
      </c>
      <c r="G2406" s="4"/>
      <c r="H2406" s="5"/>
    </row>
    <row r="2407" spans="4:8" x14ac:dyDescent="0.25">
      <c r="D2407" s="4">
        <v>35284</v>
      </c>
      <c r="E2407" s="6">
        <v>19.48</v>
      </c>
      <c r="G2407" s="4"/>
      <c r="H2407" s="5"/>
    </row>
    <row r="2408" spans="4:8" x14ac:dyDescent="0.25">
      <c r="D2408" s="4">
        <v>35285</v>
      </c>
      <c r="E2408" s="6">
        <v>20.03</v>
      </c>
      <c r="G2408" s="4"/>
      <c r="H2408" s="5"/>
    </row>
    <row r="2409" spans="4:8" x14ac:dyDescent="0.25">
      <c r="D2409" s="4">
        <v>35286</v>
      </c>
      <c r="E2409" s="6">
        <v>20.05</v>
      </c>
      <c r="G2409" s="4"/>
      <c r="H2409" s="5"/>
    </row>
    <row r="2410" spans="4:8" x14ac:dyDescent="0.25">
      <c r="D2410" s="4">
        <v>35289</v>
      </c>
      <c r="E2410" s="6">
        <v>20.65</v>
      </c>
      <c r="G2410" s="4"/>
      <c r="H2410" s="5"/>
    </row>
    <row r="2411" spans="4:8" x14ac:dyDescent="0.25">
      <c r="D2411" s="4">
        <v>35290</v>
      </c>
      <c r="E2411" s="6">
        <v>21.03</v>
      </c>
      <c r="G2411" s="4"/>
      <c r="H2411" s="5"/>
    </row>
    <row r="2412" spans="4:8" x14ac:dyDescent="0.25">
      <c r="D2412" s="4">
        <v>35291</v>
      </c>
      <c r="E2412" s="6">
        <v>20.9</v>
      </c>
      <c r="G2412" s="4"/>
      <c r="H2412" s="5"/>
    </row>
    <row r="2413" spans="4:8" x14ac:dyDescent="0.25">
      <c r="D2413" s="4">
        <v>35292</v>
      </c>
      <c r="E2413" s="6">
        <v>20.88</v>
      </c>
      <c r="G2413" s="4"/>
      <c r="H2413" s="5"/>
    </row>
    <row r="2414" spans="4:8" x14ac:dyDescent="0.25">
      <c r="D2414" s="4">
        <v>35293</v>
      </c>
      <c r="E2414" s="6">
        <v>21.3</v>
      </c>
      <c r="G2414" s="4"/>
      <c r="H2414" s="5"/>
    </row>
    <row r="2415" spans="4:8" x14ac:dyDescent="0.25">
      <c r="D2415" s="4">
        <v>35296</v>
      </c>
      <c r="E2415" s="6">
        <v>21.58</v>
      </c>
      <c r="G2415" s="4"/>
      <c r="H2415" s="5"/>
    </row>
    <row r="2416" spans="4:8" x14ac:dyDescent="0.25">
      <c r="D2416" s="4">
        <v>35297</v>
      </c>
      <c r="E2416" s="6">
        <v>21.35</v>
      </c>
      <c r="G2416" s="4"/>
      <c r="H2416" s="5"/>
    </row>
    <row r="2417" spans="4:8" x14ac:dyDescent="0.25">
      <c r="D2417" s="4">
        <v>35298</v>
      </c>
      <c r="E2417" s="6">
        <v>20.8</v>
      </c>
      <c r="G2417" s="4"/>
      <c r="H2417" s="5"/>
    </row>
    <row r="2418" spans="4:8" x14ac:dyDescent="0.25">
      <c r="D2418" s="4">
        <v>35299</v>
      </c>
      <c r="E2418" s="6">
        <v>21.25</v>
      </c>
      <c r="G2418" s="4"/>
      <c r="H2418" s="5"/>
    </row>
    <row r="2419" spans="4:8" x14ac:dyDescent="0.25">
      <c r="D2419" s="4">
        <v>35300</v>
      </c>
      <c r="E2419" s="6">
        <v>20.78</v>
      </c>
      <c r="G2419" s="4"/>
      <c r="H2419" s="5"/>
    </row>
    <row r="2420" spans="4:8" x14ac:dyDescent="0.25">
      <c r="D2420" s="4">
        <v>35303</v>
      </c>
      <c r="E2420" s="5"/>
      <c r="G2420" s="4"/>
      <c r="H2420" s="5"/>
    </row>
    <row r="2421" spans="4:8" x14ac:dyDescent="0.25">
      <c r="D2421" s="4">
        <v>35304</v>
      </c>
      <c r="E2421" s="6">
        <v>20.45</v>
      </c>
      <c r="G2421" s="4"/>
      <c r="H2421" s="5"/>
    </row>
    <row r="2422" spans="4:8" x14ac:dyDescent="0.25">
      <c r="D2422" s="4">
        <v>35305</v>
      </c>
      <c r="E2422" s="6">
        <v>20.68</v>
      </c>
      <c r="G2422" s="4"/>
      <c r="H2422" s="5"/>
    </row>
    <row r="2423" spans="4:8" x14ac:dyDescent="0.25">
      <c r="D2423" s="4">
        <v>35306</v>
      </c>
      <c r="E2423" s="6">
        <v>21</v>
      </c>
      <c r="G2423" s="4"/>
      <c r="H2423" s="5"/>
    </row>
    <row r="2424" spans="4:8" x14ac:dyDescent="0.25">
      <c r="D2424" s="4">
        <v>35307</v>
      </c>
      <c r="E2424" s="6">
        <v>20.98</v>
      </c>
      <c r="G2424" s="4"/>
      <c r="H2424" s="5"/>
    </row>
    <row r="2425" spans="4:8" x14ac:dyDescent="0.25">
      <c r="D2425" s="4">
        <v>35310</v>
      </c>
      <c r="E2425" s="6">
        <v>22.23</v>
      </c>
      <c r="G2425" s="4"/>
      <c r="H2425" s="5"/>
    </row>
    <row r="2426" spans="4:8" x14ac:dyDescent="0.25">
      <c r="D2426" s="4">
        <v>35311</v>
      </c>
      <c r="E2426" s="6">
        <v>21.9</v>
      </c>
      <c r="G2426" s="4"/>
      <c r="H2426" s="5"/>
    </row>
    <row r="2427" spans="4:8" x14ac:dyDescent="0.25">
      <c r="D2427" s="4">
        <v>35312</v>
      </c>
      <c r="E2427" s="6">
        <v>22.2</v>
      </c>
      <c r="G2427" s="4"/>
      <c r="H2427" s="5"/>
    </row>
    <row r="2428" spans="4:8" x14ac:dyDescent="0.25">
      <c r="D2428" s="4">
        <v>35313</v>
      </c>
      <c r="E2428" s="6">
        <v>22.15</v>
      </c>
      <c r="G2428" s="4"/>
      <c r="H2428" s="5"/>
    </row>
    <row r="2429" spans="4:8" x14ac:dyDescent="0.25">
      <c r="D2429" s="4">
        <v>35314</v>
      </c>
      <c r="E2429" s="6">
        <v>22.43</v>
      </c>
      <c r="G2429" s="4"/>
      <c r="H2429" s="5"/>
    </row>
    <row r="2430" spans="4:8" x14ac:dyDescent="0.25">
      <c r="D2430" s="4">
        <v>35317</v>
      </c>
      <c r="E2430" s="6">
        <v>22.25</v>
      </c>
      <c r="G2430" s="4"/>
      <c r="H2430" s="5"/>
    </row>
    <row r="2431" spans="4:8" x14ac:dyDescent="0.25">
      <c r="D2431" s="4">
        <v>35318</v>
      </c>
      <c r="E2431" s="6">
        <v>22.68</v>
      </c>
      <c r="G2431" s="4"/>
      <c r="H2431" s="5"/>
    </row>
    <row r="2432" spans="4:8" x14ac:dyDescent="0.25">
      <c r="D2432" s="4">
        <v>35319</v>
      </c>
      <c r="E2432" s="6">
        <v>23.3</v>
      </c>
      <c r="G2432" s="4"/>
      <c r="H2432" s="5"/>
    </row>
    <row r="2433" spans="4:8" x14ac:dyDescent="0.25">
      <c r="D2433" s="4">
        <v>35320</v>
      </c>
      <c r="E2433" s="6">
        <v>23.35</v>
      </c>
      <c r="G2433" s="4"/>
      <c r="H2433" s="5"/>
    </row>
    <row r="2434" spans="4:8" x14ac:dyDescent="0.25">
      <c r="D2434" s="4">
        <v>35321</v>
      </c>
      <c r="E2434" s="6">
        <v>23.83</v>
      </c>
      <c r="G2434" s="4"/>
      <c r="H2434" s="5"/>
    </row>
    <row r="2435" spans="4:8" x14ac:dyDescent="0.25">
      <c r="D2435" s="4">
        <v>35324</v>
      </c>
      <c r="E2435" s="6">
        <v>22.6</v>
      </c>
      <c r="G2435" s="4"/>
      <c r="H2435" s="5"/>
    </row>
    <row r="2436" spans="4:8" x14ac:dyDescent="0.25">
      <c r="D2436" s="4">
        <v>35325</v>
      </c>
      <c r="E2436" s="6">
        <v>21.7</v>
      </c>
      <c r="G2436" s="4"/>
      <c r="H2436" s="5"/>
    </row>
    <row r="2437" spans="4:8" x14ac:dyDescent="0.25">
      <c r="D2437" s="4">
        <v>35326</v>
      </c>
      <c r="E2437" s="6">
        <v>22.38</v>
      </c>
      <c r="G2437" s="4"/>
      <c r="H2437" s="5"/>
    </row>
    <row r="2438" spans="4:8" x14ac:dyDescent="0.25">
      <c r="D2438" s="4">
        <v>35327</v>
      </c>
      <c r="E2438" s="6">
        <v>22.08</v>
      </c>
      <c r="G2438" s="4"/>
      <c r="H2438" s="5"/>
    </row>
    <row r="2439" spans="4:8" x14ac:dyDescent="0.25">
      <c r="D2439" s="4">
        <v>35328</v>
      </c>
      <c r="E2439" s="6">
        <v>21.78</v>
      </c>
      <c r="G2439" s="4"/>
      <c r="H2439" s="5"/>
    </row>
    <row r="2440" spans="4:8" x14ac:dyDescent="0.25">
      <c r="D2440" s="4">
        <v>35331</v>
      </c>
      <c r="E2440" s="6">
        <v>22.15</v>
      </c>
      <c r="G2440" s="4"/>
      <c r="H2440" s="5"/>
    </row>
    <row r="2441" spans="4:8" x14ac:dyDescent="0.25">
      <c r="D2441" s="4">
        <v>35332</v>
      </c>
      <c r="E2441" s="6">
        <v>22.78</v>
      </c>
      <c r="G2441" s="4"/>
      <c r="H2441" s="5"/>
    </row>
    <row r="2442" spans="4:8" x14ac:dyDescent="0.25">
      <c r="D2442" s="4">
        <v>35333</v>
      </c>
      <c r="E2442" s="6">
        <v>23.05</v>
      </c>
      <c r="G2442" s="4"/>
      <c r="H2442" s="5"/>
    </row>
    <row r="2443" spans="4:8" x14ac:dyDescent="0.25">
      <c r="D2443" s="4">
        <v>35334</v>
      </c>
      <c r="E2443" s="6">
        <v>23.35</v>
      </c>
      <c r="G2443" s="4"/>
      <c r="H2443" s="5"/>
    </row>
    <row r="2444" spans="4:8" x14ac:dyDescent="0.25">
      <c r="D2444" s="4">
        <v>35335</v>
      </c>
      <c r="E2444" s="6">
        <v>22.9</v>
      </c>
      <c r="G2444" s="4"/>
      <c r="H2444" s="5"/>
    </row>
    <row r="2445" spans="4:8" x14ac:dyDescent="0.25">
      <c r="D2445" s="4">
        <v>35338</v>
      </c>
      <c r="E2445" s="6">
        <v>24.15</v>
      </c>
      <c r="G2445" s="4"/>
      <c r="H2445" s="5"/>
    </row>
    <row r="2446" spans="4:8" x14ac:dyDescent="0.25">
      <c r="D2446" s="4">
        <v>35339</v>
      </c>
      <c r="E2446" s="6">
        <v>23.18</v>
      </c>
      <c r="G2446" s="4"/>
      <c r="H2446" s="5"/>
    </row>
    <row r="2447" spans="4:8" x14ac:dyDescent="0.25">
      <c r="D2447" s="4">
        <v>35340</v>
      </c>
      <c r="E2447" s="6">
        <v>23.13</v>
      </c>
      <c r="G2447" s="4"/>
      <c r="H2447" s="5"/>
    </row>
    <row r="2448" spans="4:8" x14ac:dyDescent="0.25">
      <c r="D2448" s="4">
        <v>35341</v>
      </c>
      <c r="E2448" s="6">
        <v>23.63</v>
      </c>
      <c r="G2448" s="4"/>
      <c r="H2448" s="5"/>
    </row>
    <row r="2449" spans="4:8" x14ac:dyDescent="0.25">
      <c r="D2449" s="4">
        <v>35342</v>
      </c>
      <c r="E2449" s="6">
        <v>23.88</v>
      </c>
      <c r="G2449" s="4"/>
      <c r="H2449" s="5"/>
    </row>
    <row r="2450" spans="4:8" x14ac:dyDescent="0.25">
      <c r="D2450" s="4">
        <v>35345</v>
      </c>
      <c r="E2450" s="6">
        <v>24.28</v>
      </c>
      <c r="G2450" s="4"/>
      <c r="H2450" s="5"/>
    </row>
    <row r="2451" spans="4:8" x14ac:dyDescent="0.25">
      <c r="D2451" s="4">
        <v>35346</v>
      </c>
      <c r="E2451" s="6">
        <v>24.55</v>
      </c>
      <c r="G2451" s="4"/>
      <c r="H2451" s="5"/>
    </row>
    <row r="2452" spans="4:8" x14ac:dyDescent="0.25">
      <c r="D2452" s="4">
        <v>35347</v>
      </c>
      <c r="E2452" s="6">
        <v>24.58</v>
      </c>
      <c r="G2452" s="4"/>
      <c r="H2452" s="5"/>
    </row>
    <row r="2453" spans="4:8" x14ac:dyDescent="0.25">
      <c r="D2453" s="4">
        <v>35348</v>
      </c>
      <c r="E2453" s="6">
        <v>23.63</v>
      </c>
      <c r="G2453" s="4"/>
      <c r="H2453" s="5"/>
    </row>
    <row r="2454" spans="4:8" x14ac:dyDescent="0.25">
      <c r="D2454" s="4">
        <v>35349</v>
      </c>
      <c r="E2454" s="6">
        <v>23.85</v>
      </c>
      <c r="G2454" s="4"/>
      <c r="H2454" s="5"/>
    </row>
    <row r="2455" spans="4:8" x14ac:dyDescent="0.25">
      <c r="D2455" s="4">
        <v>35352</v>
      </c>
      <c r="E2455" s="6">
        <v>24.75</v>
      </c>
      <c r="G2455" s="4"/>
      <c r="H2455" s="5"/>
    </row>
    <row r="2456" spans="4:8" x14ac:dyDescent="0.25">
      <c r="D2456" s="4">
        <v>35353</v>
      </c>
      <c r="E2456" s="6">
        <v>24.58</v>
      </c>
      <c r="G2456" s="4"/>
      <c r="H2456" s="5"/>
    </row>
    <row r="2457" spans="4:8" x14ac:dyDescent="0.25">
      <c r="D2457" s="4">
        <v>35354</v>
      </c>
      <c r="E2457" s="6">
        <v>24.5</v>
      </c>
      <c r="G2457" s="4"/>
      <c r="H2457" s="5"/>
    </row>
    <row r="2458" spans="4:8" x14ac:dyDescent="0.25">
      <c r="D2458" s="4">
        <v>35355</v>
      </c>
      <c r="E2458" s="6">
        <v>24.83</v>
      </c>
      <c r="G2458" s="4"/>
      <c r="H2458" s="5"/>
    </row>
    <row r="2459" spans="4:8" x14ac:dyDescent="0.25">
      <c r="D2459" s="4">
        <v>35356</v>
      </c>
      <c r="E2459" s="6">
        <v>25.18</v>
      </c>
      <c r="G2459" s="4"/>
      <c r="H2459" s="5"/>
    </row>
    <row r="2460" spans="4:8" x14ac:dyDescent="0.25">
      <c r="D2460" s="4">
        <v>35359</v>
      </c>
      <c r="E2460" s="6">
        <v>25.08</v>
      </c>
      <c r="G2460" s="4"/>
      <c r="H2460" s="5"/>
    </row>
    <row r="2461" spans="4:8" x14ac:dyDescent="0.25">
      <c r="D2461" s="4">
        <v>35360</v>
      </c>
      <c r="E2461" s="6">
        <v>25.4</v>
      </c>
      <c r="G2461" s="4"/>
      <c r="H2461" s="5"/>
    </row>
    <row r="2462" spans="4:8" x14ac:dyDescent="0.25">
      <c r="D2462" s="4">
        <v>35361</v>
      </c>
      <c r="E2462" s="6">
        <v>24.6</v>
      </c>
      <c r="G2462" s="4"/>
      <c r="H2462" s="5"/>
    </row>
    <row r="2463" spans="4:8" x14ac:dyDescent="0.25">
      <c r="D2463" s="4">
        <v>35362</v>
      </c>
      <c r="E2463" s="6">
        <v>24.28</v>
      </c>
      <c r="G2463" s="4"/>
      <c r="H2463" s="5"/>
    </row>
    <row r="2464" spans="4:8" x14ac:dyDescent="0.25">
      <c r="D2464" s="4">
        <v>35363</v>
      </c>
      <c r="E2464" s="6">
        <v>24.13</v>
      </c>
      <c r="G2464" s="4"/>
      <c r="H2464" s="5"/>
    </row>
    <row r="2465" spans="4:8" x14ac:dyDescent="0.25">
      <c r="D2465" s="4">
        <v>35366</v>
      </c>
      <c r="E2465" s="6">
        <v>24.45</v>
      </c>
      <c r="G2465" s="4"/>
      <c r="H2465" s="5"/>
    </row>
    <row r="2466" spans="4:8" x14ac:dyDescent="0.25">
      <c r="D2466" s="4">
        <v>35367</v>
      </c>
      <c r="E2466" s="6">
        <v>23.3</v>
      </c>
      <c r="G2466" s="4"/>
      <c r="H2466" s="5"/>
    </row>
    <row r="2467" spans="4:8" x14ac:dyDescent="0.25">
      <c r="D2467" s="4">
        <v>35368</v>
      </c>
      <c r="E2467" s="6">
        <v>23.15</v>
      </c>
      <c r="G2467" s="4"/>
      <c r="H2467" s="5"/>
    </row>
    <row r="2468" spans="4:8" x14ac:dyDescent="0.25">
      <c r="D2468" s="4">
        <v>35369</v>
      </c>
      <c r="E2468" s="6">
        <v>22.8</v>
      </c>
      <c r="G2468" s="4"/>
      <c r="H2468" s="5"/>
    </row>
    <row r="2469" spans="4:8" x14ac:dyDescent="0.25">
      <c r="D2469" s="4">
        <v>35370</v>
      </c>
      <c r="E2469" s="6">
        <v>22.3</v>
      </c>
      <c r="G2469" s="4"/>
      <c r="H2469" s="5"/>
    </row>
    <row r="2470" spans="4:8" x14ac:dyDescent="0.25">
      <c r="D2470" s="4">
        <v>35373</v>
      </c>
      <c r="E2470" s="6">
        <v>22.1</v>
      </c>
      <c r="G2470" s="4"/>
      <c r="H2470" s="5"/>
    </row>
    <row r="2471" spans="4:8" x14ac:dyDescent="0.25">
      <c r="D2471" s="4">
        <v>35374</v>
      </c>
      <c r="E2471" s="6">
        <v>21.85</v>
      </c>
      <c r="G2471" s="4"/>
      <c r="H2471" s="5"/>
    </row>
    <row r="2472" spans="4:8" x14ac:dyDescent="0.25">
      <c r="D2472" s="4">
        <v>35375</v>
      </c>
      <c r="E2472" s="6">
        <v>21.85</v>
      </c>
      <c r="G2472" s="4"/>
      <c r="H2472" s="5"/>
    </row>
    <row r="2473" spans="4:8" x14ac:dyDescent="0.25">
      <c r="D2473" s="4">
        <v>35376</v>
      </c>
      <c r="E2473" s="6">
        <v>21.75</v>
      </c>
      <c r="G2473" s="4"/>
      <c r="H2473" s="5"/>
    </row>
    <row r="2474" spans="4:8" x14ac:dyDescent="0.25">
      <c r="D2474" s="4">
        <v>35377</v>
      </c>
      <c r="E2474" s="6">
        <v>22.4</v>
      </c>
      <c r="G2474" s="4"/>
      <c r="H2474" s="5"/>
    </row>
    <row r="2475" spans="4:8" x14ac:dyDescent="0.25">
      <c r="D2475" s="4">
        <v>35380</v>
      </c>
      <c r="E2475" s="6">
        <v>22.7</v>
      </c>
      <c r="G2475" s="4"/>
      <c r="H2475" s="5"/>
    </row>
    <row r="2476" spans="4:8" x14ac:dyDescent="0.25">
      <c r="D2476" s="4">
        <v>35381</v>
      </c>
      <c r="E2476" s="6">
        <v>22.38</v>
      </c>
      <c r="G2476" s="4"/>
      <c r="H2476" s="5"/>
    </row>
    <row r="2477" spans="4:8" x14ac:dyDescent="0.25">
      <c r="D2477" s="4">
        <v>35382</v>
      </c>
      <c r="E2477" s="6">
        <v>22.88</v>
      </c>
      <c r="G2477" s="4"/>
      <c r="H2477" s="5"/>
    </row>
    <row r="2478" spans="4:8" x14ac:dyDescent="0.25">
      <c r="D2478" s="4">
        <v>35383</v>
      </c>
      <c r="E2478" s="6">
        <v>23.18</v>
      </c>
      <c r="G2478" s="4"/>
      <c r="H2478" s="5"/>
    </row>
    <row r="2479" spans="4:8" x14ac:dyDescent="0.25">
      <c r="D2479" s="4">
        <v>35384</v>
      </c>
      <c r="E2479" s="6">
        <v>23.28</v>
      </c>
      <c r="G2479" s="4"/>
      <c r="H2479" s="5"/>
    </row>
    <row r="2480" spans="4:8" x14ac:dyDescent="0.25">
      <c r="D2480" s="4">
        <v>35387</v>
      </c>
      <c r="E2480" s="6">
        <v>22.75</v>
      </c>
      <c r="G2480" s="4"/>
      <c r="H2480" s="5"/>
    </row>
    <row r="2481" spans="4:8" x14ac:dyDescent="0.25">
      <c r="D2481" s="4">
        <v>35388</v>
      </c>
      <c r="E2481" s="6">
        <v>23.13</v>
      </c>
      <c r="G2481" s="4"/>
      <c r="H2481" s="5"/>
    </row>
    <row r="2482" spans="4:8" x14ac:dyDescent="0.25">
      <c r="D2482" s="4">
        <v>35389</v>
      </c>
      <c r="E2482" s="6">
        <v>23.4</v>
      </c>
      <c r="G2482" s="4"/>
      <c r="H2482" s="5"/>
    </row>
    <row r="2483" spans="4:8" x14ac:dyDescent="0.25">
      <c r="D2483" s="4">
        <v>35390</v>
      </c>
      <c r="E2483" s="6">
        <v>22.9</v>
      </c>
      <c r="G2483" s="4"/>
      <c r="H2483" s="5"/>
    </row>
    <row r="2484" spans="4:8" x14ac:dyDescent="0.25">
      <c r="D2484" s="4">
        <v>35391</v>
      </c>
      <c r="E2484" s="6">
        <v>23.86</v>
      </c>
      <c r="G2484" s="4"/>
      <c r="H2484" s="5"/>
    </row>
    <row r="2485" spans="4:8" x14ac:dyDescent="0.25">
      <c r="D2485" s="4">
        <v>35394</v>
      </c>
      <c r="E2485" s="6">
        <v>23.22</v>
      </c>
      <c r="G2485" s="4"/>
      <c r="H2485" s="5"/>
    </row>
    <row r="2486" spans="4:8" x14ac:dyDescent="0.25">
      <c r="D2486" s="4">
        <v>35395</v>
      </c>
      <c r="E2486" s="6">
        <v>22.78</v>
      </c>
      <c r="G2486" s="4"/>
      <c r="H2486" s="5"/>
    </row>
    <row r="2487" spans="4:8" x14ac:dyDescent="0.25">
      <c r="D2487" s="4">
        <v>35396</v>
      </c>
      <c r="E2487" s="6">
        <v>23.07</v>
      </c>
      <c r="G2487" s="4"/>
      <c r="H2487" s="5"/>
    </row>
    <row r="2488" spans="4:8" x14ac:dyDescent="0.25">
      <c r="D2488" s="4">
        <v>35397</v>
      </c>
      <c r="E2488" s="6">
        <v>23</v>
      </c>
      <c r="G2488" s="4"/>
      <c r="H2488" s="5"/>
    </row>
    <row r="2489" spans="4:8" x14ac:dyDescent="0.25">
      <c r="D2489" s="4">
        <v>35398</v>
      </c>
      <c r="E2489" s="6">
        <v>23.17</v>
      </c>
      <c r="G2489" s="4"/>
      <c r="H2489" s="5"/>
    </row>
    <row r="2490" spans="4:8" x14ac:dyDescent="0.25">
      <c r="D2490" s="4">
        <v>35401</v>
      </c>
      <c r="E2490" s="6">
        <v>23.5</v>
      </c>
      <c r="G2490" s="4"/>
      <c r="H2490" s="5"/>
    </row>
    <row r="2491" spans="4:8" x14ac:dyDescent="0.25">
      <c r="D2491" s="4">
        <v>35402</v>
      </c>
      <c r="E2491" s="6">
        <v>24.12</v>
      </c>
      <c r="G2491" s="4"/>
      <c r="H2491" s="5"/>
    </row>
    <row r="2492" spans="4:8" x14ac:dyDescent="0.25">
      <c r="D2492" s="4">
        <v>35403</v>
      </c>
      <c r="E2492" s="6">
        <v>24.21</v>
      </c>
      <c r="G2492" s="4"/>
      <c r="H2492" s="5"/>
    </row>
    <row r="2493" spans="4:8" x14ac:dyDescent="0.25">
      <c r="D2493" s="4">
        <v>35404</v>
      </c>
      <c r="E2493" s="6">
        <v>24.49</v>
      </c>
      <c r="G2493" s="4"/>
      <c r="H2493" s="5"/>
    </row>
    <row r="2494" spans="4:8" x14ac:dyDescent="0.25">
      <c r="D2494" s="4">
        <v>35405</v>
      </c>
      <c r="E2494" s="6">
        <v>24.56</v>
      </c>
      <c r="G2494" s="4"/>
      <c r="H2494" s="5"/>
    </row>
    <row r="2495" spans="4:8" x14ac:dyDescent="0.25">
      <c r="D2495" s="4">
        <v>35408</v>
      </c>
      <c r="E2495" s="6">
        <v>24.18</v>
      </c>
      <c r="G2495" s="4"/>
      <c r="H2495" s="5"/>
    </row>
    <row r="2496" spans="4:8" x14ac:dyDescent="0.25">
      <c r="D2496" s="4">
        <v>35409</v>
      </c>
      <c r="E2496" s="6">
        <v>23.74</v>
      </c>
      <c r="G2496" s="4"/>
      <c r="H2496" s="5"/>
    </row>
    <row r="2497" spans="4:8" x14ac:dyDescent="0.25">
      <c r="D2497" s="4">
        <v>35410</v>
      </c>
      <c r="E2497" s="6">
        <v>22.95</v>
      </c>
      <c r="G2497" s="4"/>
      <c r="H2497" s="5"/>
    </row>
    <row r="2498" spans="4:8" x14ac:dyDescent="0.25">
      <c r="D2498" s="4">
        <v>35411</v>
      </c>
      <c r="E2498" s="6">
        <v>22.65</v>
      </c>
      <c r="G2498" s="4"/>
      <c r="H2498" s="5"/>
    </row>
    <row r="2499" spans="4:8" x14ac:dyDescent="0.25">
      <c r="D2499" s="4">
        <v>35412</v>
      </c>
      <c r="E2499" s="6">
        <v>22.83</v>
      </c>
      <c r="G2499" s="4"/>
      <c r="H2499" s="5"/>
    </row>
    <row r="2500" spans="4:8" x14ac:dyDescent="0.25">
      <c r="D2500" s="4">
        <v>35415</v>
      </c>
      <c r="E2500" s="6">
        <v>23.98</v>
      </c>
      <c r="G2500" s="4"/>
      <c r="H2500" s="5"/>
    </row>
    <row r="2501" spans="4:8" x14ac:dyDescent="0.25">
      <c r="D2501" s="4">
        <v>35416</v>
      </c>
      <c r="E2501" s="6">
        <v>24.05</v>
      </c>
      <c r="G2501" s="4"/>
      <c r="H2501" s="5"/>
    </row>
    <row r="2502" spans="4:8" x14ac:dyDescent="0.25">
      <c r="D2502" s="4">
        <v>35417</v>
      </c>
      <c r="E2502" s="6">
        <v>23.69</v>
      </c>
      <c r="G2502" s="4"/>
      <c r="H2502" s="5"/>
    </row>
    <row r="2503" spans="4:8" x14ac:dyDescent="0.25">
      <c r="D2503" s="4">
        <v>35418</v>
      </c>
      <c r="E2503" s="6">
        <v>24.18</v>
      </c>
      <c r="G2503" s="4"/>
      <c r="H2503" s="5"/>
    </row>
    <row r="2504" spans="4:8" x14ac:dyDescent="0.25">
      <c r="D2504" s="4">
        <v>35419</v>
      </c>
      <c r="E2504" s="6">
        <v>23.96</v>
      </c>
      <c r="G2504" s="4"/>
      <c r="H2504" s="5"/>
    </row>
    <row r="2505" spans="4:8" x14ac:dyDescent="0.25">
      <c r="D2505" s="4">
        <v>35422</v>
      </c>
      <c r="E2505" s="6">
        <v>23.51</v>
      </c>
      <c r="G2505" s="4"/>
      <c r="H2505" s="5"/>
    </row>
    <row r="2506" spans="4:8" x14ac:dyDescent="0.25">
      <c r="D2506" s="4">
        <v>35423</v>
      </c>
      <c r="E2506" s="6">
        <v>23.66</v>
      </c>
      <c r="G2506" s="4"/>
      <c r="H2506" s="5"/>
    </row>
    <row r="2507" spans="4:8" x14ac:dyDescent="0.25">
      <c r="D2507" s="4">
        <v>35424</v>
      </c>
      <c r="E2507" s="5"/>
      <c r="G2507" s="4"/>
      <c r="H2507" s="5"/>
    </row>
    <row r="2508" spans="4:8" x14ac:dyDescent="0.25">
      <c r="D2508" s="4">
        <v>35425</v>
      </c>
      <c r="E2508" s="5"/>
      <c r="G2508" s="4"/>
      <c r="H2508" s="5"/>
    </row>
    <row r="2509" spans="4:8" x14ac:dyDescent="0.25">
      <c r="D2509" s="4">
        <v>35426</v>
      </c>
      <c r="E2509" s="6">
        <v>23.55</v>
      </c>
      <c r="G2509" s="4"/>
      <c r="H2509" s="5"/>
    </row>
    <row r="2510" spans="4:8" x14ac:dyDescent="0.25">
      <c r="D2510" s="4">
        <v>35429</v>
      </c>
      <c r="E2510" s="6">
        <v>23.95</v>
      </c>
      <c r="G2510" s="4"/>
      <c r="H2510" s="5"/>
    </row>
    <row r="2511" spans="4:8" x14ac:dyDescent="0.25">
      <c r="D2511" s="4">
        <v>35430</v>
      </c>
      <c r="E2511" s="6">
        <v>23.9</v>
      </c>
      <c r="G2511" s="4"/>
      <c r="H2511" s="5"/>
    </row>
    <row r="2512" spans="4:8" x14ac:dyDescent="0.25">
      <c r="D2512" s="4">
        <v>35431</v>
      </c>
      <c r="E2512" s="5"/>
      <c r="G2512" s="4"/>
      <c r="H2512" s="5"/>
    </row>
    <row r="2513" spans="4:8" x14ac:dyDescent="0.25">
      <c r="D2513" s="4">
        <v>35432</v>
      </c>
      <c r="E2513" s="6">
        <v>24.45</v>
      </c>
      <c r="G2513" s="4"/>
      <c r="H2513" s="5"/>
    </row>
    <row r="2514" spans="4:8" x14ac:dyDescent="0.25">
      <c r="D2514" s="4">
        <v>35433</v>
      </c>
      <c r="E2514" s="6">
        <v>24.19</v>
      </c>
      <c r="G2514" s="4"/>
      <c r="H2514" s="5"/>
    </row>
    <row r="2515" spans="4:8" x14ac:dyDescent="0.25">
      <c r="D2515" s="4">
        <v>35436</v>
      </c>
      <c r="E2515" s="6">
        <v>24.76</v>
      </c>
      <c r="G2515" s="4"/>
      <c r="H2515" s="5"/>
    </row>
    <row r="2516" spans="4:8" x14ac:dyDescent="0.25">
      <c r="D2516" s="4">
        <v>35437</v>
      </c>
      <c r="E2516" s="6">
        <v>24.76</v>
      </c>
      <c r="G2516" s="4"/>
      <c r="H2516" s="5"/>
    </row>
    <row r="2517" spans="4:8" x14ac:dyDescent="0.25">
      <c r="D2517" s="4">
        <v>35438</v>
      </c>
      <c r="E2517" s="6">
        <v>24.78</v>
      </c>
      <c r="G2517" s="4"/>
      <c r="H2517" s="5"/>
    </row>
    <row r="2518" spans="4:8" x14ac:dyDescent="0.25">
      <c r="D2518" s="4">
        <v>35439</v>
      </c>
      <c r="E2518" s="6">
        <v>24.83</v>
      </c>
      <c r="G2518" s="4"/>
      <c r="H2518" s="5"/>
    </row>
    <row r="2519" spans="4:8" x14ac:dyDescent="0.25">
      <c r="D2519" s="4">
        <v>35440</v>
      </c>
      <c r="E2519" s="6">
        <v>24.22</v>
      </c>
      <c r="G2519" s="4"/>
      <c r="H2519" s="5"/>
    </row>
    <row r="2520" spans="4:8" x14ac:dyDescent="0.25">
      <c r="D2520" s="4">
        <v>35443</v>
      </c>
      <c r="E2520" s="6">
        <v>23.41</v>
      </c>
      <c r="G2520" s="4"/>
      <c r="H2520" s="5"/>
    </row>
    <row r="2521" spans="4:8" x14ac:dyDescent="0.25">
      <c r="D2521" s="4">
        <v>35444</v>
      </c>
      <c r="E2521" s="5"/>
      <c r="G2521" s="4"/>
      <c r="H2521" s="5"/>
    </row>
    <row r="2522" spans="4:8" x14ac:dyDescent="0.25">
      <c r="D2522" s="4">
        <v>35445</v>
      </c>
      <c r="E2522" s="6">
        <v>23.31</v>
      </c>
      <c r="G2522" s="4"/>
      <c r="H2522" s="5"/>
    </row>
    <row r="2523" spans="4:8" x14ac:dyDescent="0.25">
      <c r="D2523" s="4">
        <v>35446</v>
      </c>
      <c r="E2523" s="6">
        <v>23.31</v>
      </c>
      <c r="G2523" s="4"/>
      <c r="H2523" s="5"/>
    </row>
    <row r="2524" spans="4:8" x14ac:dyDescent="0.25">
      <c r="D2524" s="4">
        <v>35447</v>
      </c>
      <c r="E2524" s="6">
        <v>22.87</v>
      </c>
      <c r="G2524" s="4"/>
      <c r="H2524" s="5"/>
    </row>
    <row r="2525" spans="4:8" x14ac:dyDescent="0.25">
      <c r="D2525" s="4">
        <v>35450</v>
      </c>
      <c r="E2525" s="6">
        <v>22.86</v>
      </c>
      <c r="G2525" s="4"/>
      <c r="H2525" s="5"/>
    </row>
    <row r="2526" spans="4:8" x14ac:dyDescent="0.25">
      <c r="D2526" s="4">
        <v>35451</v>
      </c>
      <c r="E2526" s="6">
        <v>22.98</v>
      </c>
      <c r="G2526" s="4"/>
      <c r="H2526" s="5"/>
    </row>
    <row r="2527" spans="4:8" x14ac:dyDescent="0.25">
      <c r="D2527" s="4">
        <v>35452</v>
      </c>
      <c r="E2527" s="6">
        <v>22.93</v>
      </c>
      <c r="G2527" s="4"/>
      <c r="H2527" s="5"/>
    </row>
    <row r="2528" spans="4:8" x14ac:dyDescent="0.25">
      <c r="D2528" s="4">
        <v>35453</v>
      </c>
      <c r="E2528" s="6">
        <v>22.93</v>
      </c>
      <c r="G2528" s="4"/>
      <c r="H2528" s="5"/>
    </row>
    <row r="2529" spans="4:8" x14ac:dyDescent="0.25">
      <c r="D2529" s="4">
        <v>35454</v>
      </c>
      <c r="E2529" s="6">
        <v>22.8</v>
      </c>
      <c r="G2529" s="4"/>
      <c r="H2529" s="5"/>
    </row>
    <row r="2530" spans="4:8" x14ac:dyDescent="0.25">
      <c r="D2530" s="4">
        <v>35457</v>
      </c>
      <c r="E2530" s="6">
        <v>22.56</v>
      </c>
      <c r="G2530" s="4"/>
      <c r="H2530" s="5"/>
    </row>
    <row r="2531" spans="4:8" x14ac:dyDescent="0.25">
      <c r="D2531" s="4">
        <v>35458</v>
      </c>
      <c r="E2531" s="6">
        <v>22.62</v>
      </c>
      <c r="G2531" s="4"/>
      <c r="H2531" s="5"/>
    </row>
    <row r="2532" spans="4:8" x14ac:dyDescent="0.25">
      <c r="D2532" s="4">
        <v>35459</v>
      </c>
      <c r="E2532" s="6">
        <v>23.01</v>
      </c>
      <c r="G2532" s="4"/>
      <c r="H2532" s="5"/>
    </row>
    <row r="2533" spans="4:8" x14ac:dyDescent="0.25">
      <c r="D2533" s="4">
        <v>35460</v>
      </c>
      <c r="E2533" s="6">
        <v>23.43</v>
      </c>
      <c r="G2533" s="4"/>
      <c r="H2533" s="5"/>
    </row>
    <row r="2534" spans="4:8" x14ac:dyDescent="0.25">
      <c r="D2534" s="4">
        <v>35461</v>
      </c>
      <c r="E2534" s="6">
        <v>23.28</v>
      </c>
      <c r="G2534" s="4"/>
      <c r="H2534" s="5"/>
    </row>
    <row r="2535" spans="4:8" x14ac:dyDescent="0.25">
      <c r="D2535" s="4">
        <v>35464</v>
      </c>
      <c r="E2535" s="6">
        <v>22.91</v>
      </c>
      <c r="G2535" s="4"/>
      <c r="H2535" s="5"/>
    </row>
    <row r="2536" spans="4:8" x14ac:dyDescent="0.25">
      <c r="D2536" s="4">
        <v>35465</v>
      </c>
      <c r="E2536" s="6">
        <v>22.65</v>
      </c>
      <c r="G2536" s="4"/>
      <c r="H2536" s="5"/>
    </row>
    <row r="2537" spans="4:8" x14ac:dyDescent="0.25">
      <c r="D2537" s="4">
        <v>35466</v>
      </c>
      <c r="E2537" s="6">
        <v>22.69</v>
      </c>
      <c r="G2537" s="4"/>
      <c r="H2537" s="5"/>
    </row>
    <row r="2538" spans="4:8" x14ac:dyDescent="0.25">
      <c r="D2538" s="4">
        <v>35467</v>
      </c>
      <c r="E2538" s="6">
        <v>21.86</v>
      </c>
      <c r="G2538" s="4"/>
      <c r="H2538" s="5"/>
    </row>
    <row r="2539" spans="4:8" x14ac:dyDescent="0.25">
      <c r="D2539" s="4">
        <v>35468</v>
      </c>
      <c r="E2539" s="5"/>
      <c r="G2539" s="4"/>
      <c r="H2539" s="5"/>
    </row>
    <row r="2540" spans="4:8" x14ac:dyDescent="0.25">
      <c r="D2540" s="4">
        <v>35471</v>
      </c>
      <c r="E2540" s="6">
        <v>20.73</v>
      </c>
      <c r="G2540" s="4"/>
      <c r="H2540" s="5"/>
    </row>
    <row r="2541" spans="4:8" x14ac:dyDescent="0.25">
      <c r="D2541" s="4">
        <v>35472</v>
      </c>
      <c r="E2541" s="6">
        <v>21.25</v>
      </c>
      <c r="G2541" s="4"/>
      <c r="H2541" s="5"/>
    </row>
    <row r="2542" spans="4:8" x14ac:dyDescent="0.25">
      <c r="D2542" s="4">
        <v>35473</v>
      </c>
      <c r="E2542" s="6">
        <v>21.15</v>
      </c>
      <c r="G2542" s="4"/>
      <c r="H2542" s="5"/>
    </row>
    <row r="2543" spans="4:8" x14ac:dyDescent="0.25">
      <c r="D2543" s="4">
        <v>35474</v>
      </c>
      <c r="E2543" s="6">
        <v>20.47</v>
      </c>
      <c r="G2543" s="4"/>
      <c r="H2543" s="5"/>
    </row>
    <row r="2544" spans="4:8" x14ac:dyDescent="0.25">
      <c r="D2544" s="4">
        <v>35475</v>
      </c>
      <c r="E2544" s="6">
        <v>20.56</v>
      </c>
      <c r="G2544" s="4"/>
      <c r="H2544" s="5"/>
    </row>
    <row r="2545" spans="4:8" x14ac:dyDescent="0.25">
      <c r="D2545" s="4">
        <v>35478</v>
      </c>
      <c r="E2545" s="6">
        <v>20.48</v>
      </c>
      <c r="G2545" s="4"/>
      <c r="H2545" s="5"/>
    </row>
    <row r="2546" spans="4:8" x14ac:dyDescent="0.25">
      <c r="D2546" s="4">
        <v>35479</v>
      </c>
      <c r="E2546" s="6">
        <v>20.56</v>
      </c>
      <c r="G2546" s="4"/>
      <c r="H2546" s="5"/>
    </row>
    <row r="2547" spans="4:8" x14ac:dyDescent="0.25">
      <c r="D2547" s="4">
        <v>35480</v>
      </c>
      <c r="E2547" s="6">
        <v>20.98</v>
      </c>
      <c r="G2547" s="4"/>
      <c r="H2547" s="5"/>
    </row>
    <row r="2548" spans="4:8" x14ac:dyDescent="0.25">
      <c r="D2548" s="4">
        <v>35481</v>
      </c>
      <c r="E2548" s="6">
        <v>20.57</v>
      </c>
      <c r="G2548" s="4"/>
      <c r="H2548" s="5"/>
    </row>
    <row r="2549" spans="4:8" x14ac:dyDescent="0.25">
      <c r="D2549" s="4">
        <v>35482</v>
      </c>
      <c r="E2549" s="6">
        <v>20.13</v>
      </c>
      <c r="G2549" s="4"/>
      <c r="H2549" s="5"/>
    </row>
    <row r="2550" spans="4:8" x14ac:dyDescent="0.25">
      <c r="D2550" s="4">
        <v>35485</v>
      </c>
      <c r="E2550" s="6">
        <v>19.87</v>
      </c>
      <c r="G2550" s="4"/>
      <c r="H2550" s="5"/>
    </row>
    <row r="2551" spans="4:8" x14ac:dyDescent="0.25">
      <c r="D2551" s="4">
        <v>35486</v>
      </c>
      <c r="E2551" s="6">
        <v>20.079999999999998</v>
      </c>
      <c r="G2551" s="4"/>
      <c r="H2551" s="5"/>
    </row>
    <row r="2552" spans="4:8" x14ac:dyDescent="0.25">
      <c r="D2552" s="4">
        <v>35487</v>
      </c>
      <c r="E2552" s="6">
        <v>19.82</v>
      </c>
      <c r="G2552" s="4"/>
      <c r="H2552" s="5"/>
    </row>
    <row r="2553" spans="4:8" x14ac:dyDescent="0.25">
      <c r="D2553" s="4">
        <v>35488</v>
      </c>
      <c r="E2553" s="6">
        <v>19.96</v>
      </c>
      <c r="G2553" s="4"/>
      <c r="H2553" s="5"/>
    </row>
    <row r="2554" spans="4:8" x14ac:dyDescent="0.25">
      <c r="D2554" s="4">
        <v>35489</v>
      </c>
      <c r="E2554" s="6">
        <v>19.440000000000001</v>
      </c>
      <c r="G2554" s="4"/>
      <c r="H2554" s="5"/>
    </row>
    <row r="2555" spans="4:8" x14ac:dyDescent="0.25">
      <c r="D2555" s="4">
        <v>35492</v>
      </c>
      <c r="E2555" s="6">
        <v>19.100000000000001</v>
      </c>
      <c r="G2555" s="4"/>
      <c r="H2555" s="5"/>
    </row>
    <row r="2556" spans="4:8" x14ac:dyDescent="0.25">
      <c r="D2556" s="4">
        <v>35493</v>
      </c>
      <c r="E2556" s="6">
        <v>19.399999999999999</v>
      </c>
      <c r="G2556" s="4"/>
      <c r="H2556" s="5"/>
    </row>
    <row r="2557" spans="4:8" x14ac:dyDescent="0.25">
      <c r="D2557" s="4">
        <v>35494</v>
      </c>
      <c r="E2557" s="6">
        <v>19.38</v>
      </c>
      <c r="G2557" s="4"/>
      <c r="H2557" s="5"/>
    </row>
    <row r="2558" spans="4:8" x14ac:dyDescent="0.25">
      <c r="D2558" s="4">
        <v>35495</v>
      </c>
      <c r="E2558" s="6">
        <v>19.55</v>
      </c>
      <c r="G2558" s="4"/>
      <c r="H2558" s="5"/>
    </row>
    <row r="2559" spans="4:8" x14ac:dyDescent="0.25">
      <c r="D2559" s="4">
        <v>35496</v>
      </c>
      <c r="E2559" s="5"/>
      <c r="G2559" s="4"/>
      <c r="H2559" s="5"/>
    </row>
    <row r="2560" spans="4:8" x14ac:dyDescent="0.25">
      <c r="D2560" s="4">
        <v>35499</v>
      </c>
      <c r="E2560" s="6">
        <v>19.21</v>
      </c>
      <c r="G2560" s="4"/>
      <c r="H2560" s="5"/>
    </row>
    <row r="2561" spans="4:8" x14ac:dyDescent="0.25">
      <c r="D2561" s="4">
        <v>35500</v>
      </c>
      <c r="E2561" s="6">
        <v>18.57</v>
      </c>
      <c r="G2561" s="4"/>
      <c r="H2561" s="5"/>
    </row>
    <row r="2562" spans="4:8" x14ac:dyDescent="0.25">
      <c r="D2562" s="4">
        <v>35501</v>
      </c>
      <c r="E2562" s="6">
        <v>18.98</v>
      </c>
      <c r="G2562" s="4"/>
      <c r="H2562" s="5"/>
    </row>
    <row r="2563" spans="4:8" x14ac:dyDescent="0.25">
      <c r="D2563" s="4">
        <v>35502</v>
      </c>
      <c r="E2563" s="6">
        <v>19.3</v>
      </c>
      <c r="G2563" s="4"/>
      <c r="H2563" s="5"/>
    </row>
    <row r="2564" spans="4:8" x14ac:dyDescent="0.25">
      <c r="D2564" s="4">
        <v>35503</v>
      </c>
      <c r="E2564" s="6">
        <v>19.440000000000001</v>
      </c>
      <c r="G2564" s="4"/>
      <c r="H2564" s="5"/>
    </row>
    <row r="2565" spans="4:8" x14ac:dyDescent="0.25">
      <c r="D2565" s="4">
        <v>35506</v>
      </c>
      <c r="E2565" s="6">
        <v>18.98</v>
      </c>
      <c r="G2565" s="4"/>
      <c r="H2565" s="5"/>
    </row>
    <row r="2566" spans="4:8" x14ac:dyDescent="0.25">
      <c r="D2566" s="4">
        <v>35507</v>
      </c>
      <c r="E2566" s="6">
        <v>19.54</v>
      </c>
      <c r="G2566" s="4"/>
      <c r="H2566" s="5"/>
    </row>
    <row r="2567" spans="4:8" x14ac:dyDescent="0.25">
      <c r="D2567" s="4">
        <v>35508</v>
      </c>
      <c r="E2567" s="6">
        <v>20</v>
      </c>
      <c r="G2567" s="4"/>
      <c r="H2567" s="5"/>
    </row>
    <row r="2568" spans="4:8" x14ac:dyDescent="0.25">
      <c r="D2568" s="4">
        <v>35509</v>
      </c>
      <c r="E2568" s="6">
        <v>19.62</v>
      </c>
      <c r="G2568" s="4"/>
      <c r="H2568" s="5"/>
    </row>
    <row r="2569" spans="4:8" x14ac:dyDescent="0.25">
      <c r="D2569" s="4">
        <v>35510</v>
      </c>
      <c r="E2569" s="6">
        <v>19.39</v>
      </c>
      <c r="G2569" s="4"/>
      <c r="H2569" s="5"/>
    </row>
    <row r="2570" spans="4:8" x14ac:dyDescent="0.25">
      <c r="D2570" s="4">
        <v>35513</v>
      </c>
      <c r="E2570" s="6">
        <v>18.93</v>
      </c>
      <c r="G2570" s="4"/>
      <c r="H2570" s="5"/>
    </row>
    <row r="2571" spans="4:8" x14ac:dyDescent="0.25">
      <c r="D2571" s="4">
        <v>35514</v>
      </c>
      <c r="E2571" s="6">
        <v>18.77</v>
      </c>
      <c r="G2571" s="4"/>
      <c r="H2571" s="5"/>
    </row>
    <row r="2572" spans="4:8" x14ac:dyDescent="0.25">
      <c r="D2572" s="4">
        <v>35515</v>
      </c>
      <c r="E2572" s="6">
        <v>18.91</v>
      </c>
      <c r="G2572" s="4"/>
      <c r="H2572" s="5"/>
    </row>
    <row r="2573" spans="4:8" x14ac:dyDescent="0.25">
      <c r="D2573" s="4">
        <v>35516</v>
      </c>
      <c r="E2573" s="6">
        <v>18.53</v>
      </c>
      <c r="G2573" s="4"/>
      <c r="H2573" s="5"/>
    </row>
    <row r="2574" spans="4:8" x14ac:dyDescent="0.25">
      <c r="D2574" s="4">
        <v>35517</v>
      </c>
      <c r="E2574" s="6">
        <v>18.53</v>
      </c>
      <c r="G2574" s="4"/>
      <c r="H2574" s="5"/>
    </row>
    <row r="2575" spans="4:8" x14ac:dyDescent="0.25">
      <c r="D2575" s="4">
        <v>35520</v>
      </c>
      <c r="E2575" s="6">
        <v>18.53</v>
      </c>
      <c r="G2575" s="4"/>
      <c r="H2575" s="5"/>
    </row>
    <row r="2576" spans="4:8" x14ac:dyDescent="0.25">
      <c r="D2576" s="4">
        <v>35521</v>
      </c>
      <c r="E2576" s="6">
        <v>18.149999999999999</v>
      </c>
      <c r="G2576" s="4"/>
      <c r="H2576" s="5"/>
    </row>
    <row r="2577" spans="4:8" x14ac:dyDescent="0.25">
      <c r="D2577" s="4">
        <v>35522</v>
      </c>
      <c r="E2577" s="6">
        <v>17.97</v>
      </c>
      <c r="G2577" s="4"/>
      <c r="H2577" s="5"/>
    </row>
    <row r="2578" spans="4:8" x14ac:dyDescent="0.25">
      <c r="D2578" s="4">
        <v>35523</v>
      </c>
      <c r="E2578" s="6">
        <v>17.28</v>
      </c>
      <c r="G2578" s="4"/>
      <c r="H2578" s="5"/>
    </row>
    <row r="2579" spans="4:8" x14ac:dyDescent="0.25">
      <c r="D2579" s="4">
        <v>35524</v>
      </c>
      <c r="E2579" s="6">
        <v>17.25</v>
      </c>
      <c r="G2579" s="4"/>
      <c r="H2579" s="5"/>
    </row>
    <row r="2580" spans="4:8" x14ac:dyDescent="0.25">
      <c r="D2580" s="4">
        <v>35527</v>
      </c>
      <c r="E2580" s="6">
        <v>16.920000000000002</v>
      </c>
      <c r="G2580" s="4"/>
      <c r="H2580" s="5"/>
    </row>
    <row r="2581" spans="4:8" x14ac:dyDescent="0.25">
      <c r="D2581" s="4">
        <v>35528</v>
      </c>
      <c r="E2581" s="6">
        <v>16.98</v>
      </c>
      <c r="G2581" s="4"/>
      <c r="H2581" s="5"/>
    </row>
    <row r="2582" spans="4:8" x14ac:dyDescent="0.25">
      <c r="D2582" s="4">
        <v>35529</v>
      </c>
      <c r="E2582" s="6">
        <v>17.02</v>
      </c>
      <c r="G2582" s="4"/>
      <c r="H2582" s="5"/>
    </row>
    <row r="2583" spans="4:8" x14ac:dyDescent="0.25">
      <c r="D2583" s="4">
        <v>35530</v>
      </c>
      <c r="E2583" s="6">
        <v>17.25</v>
      </c>
      <c r="G2583" s="4"/>
      <c r="H2583" s="5"/>
    </row>
    <row r="2584" spans="4:8" x14ac:dyDescent="0.25">
      <c r="D2584" s="4">
        <v>35531</v>
      </c>
      <c r="E2584" s="6">
        <v>17.54</v>
      </c>
      <c r="G2584" s="4"/>
      <c r="H2584" s="5"/>
    </row>
    <row r="2585" spans="4:8" x14ac:dyDescent="0.25">
      <c r="D2585" s="4">
        <v>35534</v>
      </c>
      <c r="E2585" s="6">
        <v>17.61</v>
      </c>
      <c r="G2585" s="4"/>
      <c r="H2585" s="5"/>
    </row>
    <row r="2586" spans="4:8" x14ac:dyDescent="0.25">
      <c r="D2586" s="4">
        <v>35535</v>
      </c>
      <c r="E2586" s="6">
        <v>17.53</v>
      </c>
      <c r="G2586" s="4"/>
      <c r="H2586" s="5"/>
    </row>
    <row r="2587" spans="4:8" x14ac:dyDescent="0.25">
      <c r="D2587" s="4">
        <v>35536</v>
      </c>
      <c r="E2587" s="6">
        <v>17.239999999999998</v>
      </c>
      <c r="G2587" s="4"/>
      <c r="H2587" s="5"/>
    </row>
    <row r="2588" spans="4:8" x14ac:dyDescent="0.25">
      <c r="D2588" s="4">
        <v>35537</v>
      </c>
      <c r="E2588" s="6">
        <v>17</v>
      </c>
      <c r="G2588" s="4"/>
      <c r="H2588" s="5"/>
    </row>
    <row r="2589" spans="4:8" x14ac:dyDescent="0.25">
      <c r="D2589" s="4">
        <v>35538</v>
      </c>
      <c r="E2589" s="6">
        <v>17.260000000000002</v>
      </c>
      <c r="G2589" s="4"/>
      <c r="H2589" s="5"/>
    </row>
    <row r="2590" spans="4:8" x14ac:dyDescent="0.25">
      <c r="D2590" s="4">
        <v>35541</v>
      </c>
      <c r="E2590" s="6">
        <v>17.739999999999998</v>
      </c>
      <c r="G2590" s="4"/>
      <c r="H2590" s="5"/>
    </row>
    <row r="2591" spans="4:8" x14ac:dyDescent="0.25">
      <c r="D2591" s="4">
        <v>35542</v>
      </c>
      <c r="E2591" s="6">
        <v>17.72</v>
      </c>
      <c r="G2591" s="4"/>
      <c r="H2591" s="5"/>
    </row>
    <row r="2592" spans="4:8" x14ac:dyDescent="0.25">
      <c r="D2592" s="4">
        <v>35543</v>
      </c>
      <c r="E2592" s="6">
        <v>17.46</v>
      </c>
      <c r="G2592" s="4"/>
      <c r="H2592" s="5"/>
    </row>
    <row r="2593" spans="4:8" x14ac:dyDescent="0.25">
      <c r="D2593" s="4">
        <v>35544</v>
      </c>
      <c r="E2593" s="6">
        <v>17.8</v>
      </c>
      <c r="G2593" s="4"/>
      <c r="H2593" s="5"/>
    </row>
    <row r="2594" spans="4:8" x14ac:dyDescent="0.25">
      <c r="D2594" s="4">
        <v>35545</v>
      </c>
      <c r="E2594" s="6">
        <v>18.07</v>
      </c>
      <c r="G2594" s="4"/>
      <c r="H2594" s="5"/>
    </row>
    <row r="2595" spans="4:8" x14ac:dyDescent="0.25">
      <c r="D2595" s="4">
        <v>35548</v>
      </c>
      <c r="E2595" s="6">
        <v>17.920000000000002</v>
      </c>
      <c r="G2595" s="4"/>
      <c r="H2595" s="5"/>
    </row>
    <row r="2596" spans="4:8" x14ac:dyDescent="0.25">
      <c r="D2596" s="4">
        <v>35549</v>
      </c>
      <c r="E2596" s="6">
        <v>18.27</v>
      </c>
      <c r="G2596" s="4"/>
      <c r="H2596" s="5"/>
    </row>
    <row r="2597" spans="4:8" x14ac:dyDescent="0.25">
      <c r="D2597" s="4">
        <v>35550</v>
      </c>
      <c r="E2597" s="6">
        <v>18.25</v>
      </c>
      <c r="G2597" s="4"/>
      <c r="H2597" s="5"/>
    </row>
    <row r="2598" spans="4:8" x14ac:dyDescent="0.25">
      <c r="D2598" s="4">
        <v>35551</v>
      </c>
      <c r="E2598" s="6">
        <v>18.239999999999998</v>
      </c>
      <c r="G2598" s="4"/>
      <c r="H2598" s="5"/>
    </row>
    <row r="2599" spans="4:8" x14ac:dyDescent="0.25">
      <c r="D2599" s="4">
        <v>35552</v>
      </c>
      <c r="E2599" s="6">
        <v>17.7</v>
      </c>
      <c r="G2599" s="4"/>
      <c r="H2599" s="5"/>
    </row>
    <row r="2600" spans="4:8" x14ac:dyDescent="0.25">
      <c r="D2600" s="4">
        <v>35555</v>
      </c>
      <c r="E2600" s="6">
        <v>17.72</v>
      </c>
      <c r="G2600" s="4"/>
      <c r="H2600" s="5"/>
    </row>
    <row r="2601" spans="4:8" x14ac:dyDescent="0.25">
      <c r="D2601" s="4">
        <v>35556</v>
      </c>
      <c r="E2601" s="6">
        <v>17.82</v>
      </c>
      <c r="G2601" s="4"/>
      <c r="H2601" s="5"/>
    </row>
    <row r="2602" spans="4:8" x14ac:dyDescent="0.25">
      <c r="D2602" s="4">
        <v>35557</v>
      </c>
      <c r="E2602" s="6">
        <v>17.84</v>
      </c>
      <c r="G2602" s="4"/>
      <c r="H2602" s="5"/>
    </row>
    <row r="2603" spans="4:8" x14ac:dyDescent="0.25">
      <c r="D2603" s="4">
        <v>35558</v>
      </c>
      <c r="E2603" s="6">
        <v>18.32</v>
      </c>
      <c r="G2603" s="4"/>
      <c r="H2603" s="5"/>
    </row>
    <row r="2604" spans="4:8" x14ac:dyDescent="0.25">
      <c r="D2604" s="4">
        <v>35559</v>
      </c>
      <c r="E2604" s="6">
        <v>18.62</v>
      </c>
      <c r="G2604" s="4"/>
      <c r="H2604" s="5"/>
    </row>
    <row r="2605" spans="4:8" x14ac:dyDescent="0.25">
      <c r="D2605" s="4">
        <v>35562</v>
      </c>
      <c r="E2605" s="6">
        <v>19.420000000000002</v>
      </c>
      <c r="G2605" s="4"/>
      <c r="H2605" s="5"/>
    </row>
    <row r="2606" spans="4:8" x14ac:dyDescent="0.25">
      <c r="D2606" s="4">
        <v>35563</v>
      </c>
      <c r="E2606" s="6">
        <v>19.399999999999999</v>
      </c>
      <c r="G2606" s="4"/>
      <c r="H2606" s="5"/>
    </row>
    <row r="2607" spans="4:8" x14ac:dyDescent="0.25">
      <c r="D2607" s="4">
        <v>35564</v>
      </c>
      <c r="E2607" s="6">
        <v>19.100000000000001</v>
      </c>
      <c r="G2607" s="4"/>
      <c r="H2607" s="5"/>
    </row>
    <row r="2608" spans="4:8" x14ac:dyDescent="0.25">
      <c r="D2608" s="4">
        <v>35565</v>
      </c>
      <c r="E2608" s="6">
        <v>19.399999999999999</v>
      </c>
      <c r="G2608" s="4"/>
      <c r="H2608" s="5"/>
    </row>
    <row r="2609" spans="4:8" x14ac:dyDescent="0.25">
      <c r="D2609" s="4">
        <v>35566</v>
      </c>
      <c r="E2609" s="6">
        <v>19.77</v>
      </c>
      <c r="G2609" s="4"/>
      <c r="H2609" s="5"/>
    </row>
    <row r="2610" spans="4:8" x14ac:dyDescent="0.25">
      <c r="D2610" s="4">
        <v>35569</v>
      </c>
      <c r="E2610" s="6">
        <v>19.920000000000002</v>
      </c>
      <c r="G2610" s="4"/>
      <c r="H2610" s="5"/>
    </row>
    <row r="2611" spans="4:8" x14ac:dyDescent="0.25">
      <c r="D2611" s="4">
        <v>35570</v>
      </c>
      <c r="E2611" s="6">
        <v>19.75</v>
      </c>
      <c r="G2611" s="4"/>
      <c r="H2611" s="5"/>
    </row>
    <row r="2612" spans="4:8" x14ac:dyDescent="0.25">
      <c r="D2612" s="4">
        <v>35571</v>
      </c>
      <c r="E2612" s="6">
        <v>19.7</v>
      </c>
      <c r="G2612" s="4"/>
      <c r="H2612" s="5"/>
    </row>
    <row r="2613" spans="4:8" x14ac:dyDescent="0.25">
      <c r="D2613" s="4">
        <v>35572</v>
      </c>
      <c r="E2613" s="6">
        <v>20.03</v>
      </c>
      <c r="G2613" s="4"/>
      <c r="H2613" s="5"/>
    </row>
    <row r="2614" spans="4:8" x14ac:dyDescent="0.25">
      <c r="D2614" s="4">
        <v>35573</v>
      </c>
      <c r="E2614" s="6">
        <v>20.149999999999999</v>
      </c>
      <c r="G2614" s="4"/>
      <c r="H2614" s="5"/>
    </row>
    <row r="2615" spans="4:8" x14ac:dyDescent="0.25">
      <c r="D2615" s="4">
        <v>35576</v>
      </c>
      <c r="E2615" s="5"/>
      <c r="G2615" s="4"/>
      <c r="H2615" s="5"/>
    </row>
    <row r="2616" spans="4:8" x14ac:dyDescent="0.25">
      <c r="D2616" s="4">
        <v>35577</v>
      </c>
      <c r="E2616" s="6">
        <v>19.329999999999998</v>
      </c>
      <c r="G2616" s="4"/>
      <c r="H2616" s="5"/>
    </row>
    <row r="2617" spans="4:8" x14ac:dyDescent="0.25">
      <c r="D2617" s="4">
        <v>35578</v>
      </c>
      <c r="E2617" s="6">
        <v>18.88</v>
      </c>
      <c r="G2617" s="4"/>
      <c r="H2617" s="5"/>
    </row>
    <row r="2618" spans="4:8" x14ac:dyDescent="0.25">
      <c r="D2618" s="4">
        <v>35579</v>
      </c>
      <c r="E2618" s="6">
        <v>19.38</v>
      </c>
      <c r="G2618" s="4"/>
      <c r="H2618" s="5"/>
    </row>
    <row r="2619" spans="4:8" x14ac:dyDescent="0.25">
      <c r="D2619" s="4">
        <v>35580</v>
      </c>
      <c r="E2619" s="6">
        <v>18.989999999999998</v>
      </c>
      <c r="G2619" s="4"/>
      <c r="H2619" s="5"/>
    </row>
    <row r="2620" spans="4:8" x14ac:dyDescent="0.25">
      <c r="D2620" s="4">
        <v>35583</v>
      </c>
      <c r="E2620" s="6">
        <v>19.170000000000002</v>
      </c>
      <c r="G2620" s="4"/>
      <c r="H2620" s="5"/>
    </row>
    <row r="2621" spans="4:8" x14ac:dyDescent="0.25">
      <c r="D2621" s="4">
        <v>35584</v>
      </c>
      <c r="E2621" s="6">
        <v>18.59</v>
      </c>
      <c r="G2621" s="4"/>
      <c r="H2621" s="5"/>
    </row>
    <row r="2622" spans="4:8" x14ac:dyDescent="0.25">
      <c r="D2622" s="4">
        <v>35585</v>
      </c>
      <c r="E2622" s="6">
        <v>18.36</v>
      </c>
      <c r="G2622" s="4"/>
      <c r="H2622" s="5"/>
    </row>
    <row r="2623" spans="4:8" x14ac:dyDescent="0.25">
      <c r="D2623" s="4">
        <v>35586</v>
      </c>
      <c r="E2623" s="6">
        <v>17.96</v>
      </c>
      <c r="G2623" s="4"/>
      <c r="H2623" s="5"/>
    </row>
    <row r="2624" spans="4:8" x14ac:dyDescent="0.25">
      <c r="D2624" s="4">
        <v>35587</v>
      </c>
      <c r="E2624" s="6">
        <v>17.43</v>
      </c>
      <c r="G2624" s="4"/>
      <c r="H2624" s="5"/>
    </row>
    <row r="2625" spans="4:8" x14ac:dyDescent="0.25">
      <c r="D2625" s="4">
        <v>35590</v>
      </c>
      <c r="E2625" s="6">
        <v>17.079999999999998</v>
      </c>
      <c r="G2625" s="4"/>
      <c r="H2625" s="5"/>
    </row>
    <row r="2626" spans="4:8" x14ac:dyDescent="0.25">
      <c r="D2626" s="4">
        <v>35591</v>
      </c>
      <c r="E2626" s="6">
        <v>17.010000000000002</v>
      </c>
      <c r="G2626" s="4"/>
      <c r="H2626" s="5"/>
    </row>
    <row r="2627" spans="4:8" x14ac:dyDescent="0.25">
      <c r="D2627" s="4">
        <v>35592</v>
      </c>
      <c r="E2627" s="6">
        <v>16.690000000000001</v>
      </c>
      <c r="G2627" s="4"/>
      <c r="H2627" s="5"/>
    </row>
    <row r="2628" spans="4:8" x14ac:dyDescent="0.25">
      <c r="D2628" s="4">
        <v>35593</v>
      </c>
      <c r="E2628" s="6">
        <v>16.79</v>
      </c>
      <c r="G2628" s="4"/>
      <c r="H2628" s="5"/>
    </row>
    <row r="2629" spans="4:8" x14ac:dyDescent="0.25">
      <c r="D2629" s="4">
        <v>35594</v>
      </c>
      <c r="E2629" s="6">
        <v>16.829999999999998</v>
      </c>
      <c r="G2629" s="4"/>
      <c r="H2629" s="5"/>
    </row>
    <row r="2630" spans="4:8" x14ac:dyDescent="0.25">
      <c r="D2630" s="4">
        <v>35597</v>
      </c>
      <c r="E2630" s="6">
        <v>17.149999999999999</v>
      </c>
      <c r="G2630" s="4"/>
      <c r="H2630" s="5"/>
    </row>
    <row r="2631" spans="4:8" x14ac:dyDescent="0.25">
      <c r="D2631" s="4">
        <v>35598</v>
      </c>
      <c r="E2631" s="6">
        <v>17.55</v>
      </c>
      <c r="G2631" s="4"/>
      <c r="H2631" s="5"/>
    </row>
    <row r="2632" spans="4:8" x14ac:dyDescent="0.25">
      <c r="D2632" s="4">
        <v>35599</v>
      </c>
      <c r="E2632" s="6">
        <v>17.22</v>
      </c>
      <c r="G2632" s="4"/>
      <c r="H2632" s="5"/>
    </row>
    <row r="2633" spans="4:8" x14ac:dyDescent="0.25">
      <c r="D2633" s="4">
        <v>35600</v>
      </c>
      <c r="E2633" s="6">
        <v>17.34</v>
      </c>
      <c r="G2633" s="4"/>
      <c r="H2633" s="5"/>
    </row>
    <row r="2634" spans="4:8" x14ac:dyDescent="0.25">
      <c r="D2634" s="4">
        <v>35601</v>
      </c>
      <c r="E2634" s="6">
        <v>17.09</v>
      </c>
      <c r="G2634" s="4"/>
      <c r="H2634" s="5"/>
    </row>
    <row r="2635" spans="4:8" x14ac:dyDescent="0.25">
      <c r="D2635" s="4">
        <v>35604</v>
      </c>
      <c r="E2635" s="6">
        <v>17.8</v>
      </c>
      <c r="G2635" s="4"/>
      <c r="H2635" s="5"/>
    </row>
    <row r="2636" spans="4:8" x14ac:dyDescent="0.25">
      <c r="D2636" s="4">
        <v>35605</v>
      </c>
      <c r="E2636" s="6">
        <v>17.649999999999999</v>
      </c>
      <c r="G2636" s="4"/>
      <c r="H2636" s="5"/>
    </row>
    <row r="2637" spans="4:8" x14ac:dyDescent="0.25">
      <c r="D2637" s="4">
        <v>35606</v>
      </c>
      <c r="E2637" s="6">
        <v>17.649999999999999</v>
      </c>
      <c r="G2637" s="4"/>
      <c r="H2637" s="5"/>
    </row>
    <row r="2638" spans="4:8" x14ac:dyDescent="0.25">
      <c r="D2638" s="4">
        <v>35607</v>
      </c>
      <c r="E2638" s="6">
        <v>17.600000000000001</v>
      </c>
      <c r="G2638" s="4"/>
      <c r="H2638" s="5"/>
    </row>
    <row r="2639" spans="4:8" x14ac:dyDescent="0.25">
      <c r="D2639" s="4">
        <v>35608</v>
      </c>
      <c r="E2639" s="6">
        <v>18</v>
      </c>
      <c r="G2639" s="4"/>
      <c r="H2639" s="5"/>
    </row>
    <row r="2640" spans="4:8" x14ac:dyDescent="0.25">
      <c r="D2640" s="4">
        <v>35611</v>
      </c>
      <c r="E2640" s="6">
        <v>18.22</v>
      </c>
      <c r="G2640" s="4"/>
      <c r="H2640" s="5"/>
    </row>
    <row r="2641" spans="4:8" x14ac:dyDescent="0.25">
      <c r="D2641" s="4">
        <v>35612</v>
      </c>
      <c r="E2641" s="5"/>
      <c r="G2641" s="4"/>
      <c r="H2641" s="5"/>
    </row>
    <row r="2642" spans="4:8" x14ac:dyDescent="0.25">
      <c r="D2642" s="4">
        <v>35613</v>
      </c>
      <c r="E2642" s="6">
        <v>18.829999999999998</v>
      </c>
      <c r="G2642" s="4"/>
      <c r="H2642" s="5"/>
    </row>
    <row r="2643" spans="4:8" x14ac:dyDescent="0.25">
      <c r="D2643" s="4">
        <v>35614</v>
      </c>
      <c r="E2643" s="6">
        <v>18.18</v>
      </c>
      <c r="G2643" s="4"/>
      <c r="H2643" s="5"/>
    </row>
    <row r="2644" spans="4:8" x14ac:dyDescent="0.25">
      <c r="D2644" s="4">
        <v>35615</v>
      </c>
      <c r="E2644" s="5"/>
      <c r="G2644" s="4"/>
      <c r="H2644" s="5"/>
    </row>
    <row r="2645" spans="4:8" x14ac:dyDescent="0.25">
      <c r="D2645" s="4">
        <v>35618</v>
      </c>
      <c r="E2645" s="6">
        <v>18.28</v>
      </c>
      <c r="G2645" s="4"/>
      <c r="H2645" s="5"/>
    </row>
    <row r="2646" spans="4:8" x14ac:dyDescent="0.25">
      <c r="D2646" s="4">
        <v>35619</v>
      </c>
      <c r="E2646" s="5"/>
      <c r="G2646" s="4"/>
      <c r="H2646" s="5"/>
    </row>
    <row r="2647" spans="4:8" x14ac:dyDescent="0.25">
      <c r="D2647" s="4">
        <v>35620</v>
      </c>
      <c r="E2647" s="6">
        <v>18.25</v>
      </c>
      <c r="G2647" s="4"/>
      <c r="H2647" s="5"/>
    </row>
    <row r="2648" spans="4:8" x14ac:dyDescent="0.25">
      <c r="D2648" s="4">
        <v>35621</v>
      </c>
      <c r="E2648" s="6">
        <v>18.16</v>
      </c>
      <c r="G2648" s="4"/>
      <c r="H2648" s="5"/>
    </row>
    <row r="2649" spans="4:8" x14ac:dyDescent="0.25">
      <c r="D2649" s="4">
        <v>35622</v>
      </c>
      <c r="E2649" s="6">
        <v>18</v>
      </c>
      <c r="G2649" s="4"/>
      <c r="H2649" s="5"/>
    </row>
    <row r="2650" spans="4:8" x14ac:dyDescent="0.25">
      <c r="D2650" s="4">
        <v>35625</v>
      </c>
      <c r="E2650" s="6">
        <v>17.79</v>
      </c>
      <c r="G2650" s="4"/>
      <c r="H2650" s="5"/>
    </row>
    <row r="2651" spans="4:8" x14ac:dyDescent="0.25">
      <c r="D2651" s="4">
        <v>35626</v>
      </c>
      <c r="E2651" s="6">
        <v>18.190000000000001</v>
      </c>
      <c r="G2651" s="4"/>
      <c r="H2651" s="5"/>
    </row>
    <row r="2652" spans="4:8" x14ac:dyDescent="0.25">
      <c r="D2652" s="4">
        <v>35627</v>
      </c>
      <c r="E2652" s="6">
        <v>18.27</v>
      </c>
      <c r="G2652" s="4"/>
      <c r="H2652" s="5"/>
    </row>
    <row r="2653" spans="4:8" x14ac:dyDescent="0.25">
      <c r="D2653" s="4">
        <v>35628</v>
      </c>
      <c r="E2653" s="6">
        <v>18.829999999999998</v>
      </c>
      <c r="G2653" s="4"/>
      <c r="H2653" s="5"/>
    </row>
    <row r="2654" spans="4:8" x14ac:dyDescent="0.25">
      <c r="D2654" s="4">
        <v>35629</v>
      </c>
      <c r="E2654" s="6">
        <v>18.21</v>
      </c>
      <c r="G2654" s="4"/>
      <c r="H2654" s="5"/>
    </row>
    <row r="2655" spans="4:8" x14ac:dyDescent="0.25">
      <c r="D2655" s="4">
        <v>35632</v>
      </c>
      <c r="E2655" s="6">
        <v>18.23</v>
      </c>
      <c r="G2655" s="4"/>
      <c r="H2655" s="5"/>
    </row>
    <row r="2656" spans="4:8" x14ac:dyDescent="0.25">
      <c r="D2656" s="4">
        <v>35633</v>
      </c>
      <c r="E2656" s="6">
        <v>18.47</v>
      </c>
      <c r="G2656" s="4"/>
      <c r="H2656" s="5"/>
    </row>
    <row r="2657" spans="4:8" x14ac:dyDescent="0.25">
      <c r="D2657" s="4">
        <v>35634</v>
      </c>
      <c r="E2657" s="6">
        <v>18.71</v>
      </c>
      <c r="G2657" s="4"/>
      <c r="H2657" s="5"/>
    </row>
    <row r="2658" spans="4:8" x14ac:dyDescent="0.25">
      <c r="D2658" s="4">
        <v>35635</v>
      </c>
      <c r="E2658" s="6">
        <v>18.66</v>
      </c>
      <c r="G2658" s="4"/>
      <c r="H2658" s="5"/>
    </row>
    <row r="2659" spans="4:8" x14ac:dyDescent="0.25">
      <c r="D2659" s="4">
        <v>35636</v>
      </c>
      <c r="E2659" s="6">
        <v>18.77</v>
      </c>
      <c r="G2659" s="4"/>
      <c r="H2659" s="5"/>
    </row>
    <row r="2660" spans="4:8" x14ac:dyDescent="0.25">
      <c r="D2660" s="4">
        <v>35639</v>
      </c>
      <c r="E2660" s="6">
        <v>18.760000000000002</v>
      </c>
      <c r="G2660" s="4"/>
      <c r="H2660" s="5"/>
    </row>
    <row r="2661" spans="4:8" x14ac:dyDescent="0.25">
      <c r="D2661" s="4">
        <v>35640</v>
      </c>
      <c r="E2661" s="6">
        <v>18.739999999999998</v>
      </c>
      <c r="G2661" s="4"/>
      <c r="H2661" s="5"/>
    </row>
    <row r="2662" spans="4:8" x14ac:dyDescent="0.25">
      <c r="D2662" s="4">
        <v>35641</v>
      </c>
      <c r="E2662" s="6">
        <v>19.02</v>
      </c>
      <c r="G2662" s="4"/>
      <c r="H2662" s="5"/>
    </row>
    <row r="2663" spans="4:8" x14ac:dyDescent="0.25">
      <c r="D2663" s="4">
        <v>35642</v>
      </c>
      <c r="E2663" s="6">
        <v>18.940000000000001</v>
      </c>
      <c r="G2663" s="4"/>
      <c r="H2663" s="5"/>
    </row>
    <row r="2664" spans="4:8" x14ac:dyDescent="0.25">
      <c r="D2664" s="4">
        <v>35643</v>
      </c>
      <c r="E2664" s="6">
        <v>19.329999999999998</v>
      </c>
      <c r="G2664" s="4"/>
      <c r="H2664" s="5"/>
    </row>
    <row r="2665" spans="4:8" x14ac:dyDescent="0.25">
      <c r="D2665" s="4">
        <v>35646</v>
      </c>
      <c r="E2665" s="6">
        <v>19.64</v>
      </c>
      <c r="G2665" s="4"/>
      <c r="H2665" s="5"/>
    </row>
    <row r="2666" spans="4:8" x14ac:dyDescent="0.25">
      <c r="D2666" s="4">
        <v>35647</v>
      </c>
      <c r="E2666" s="6">
        <v>19.510000000000002</v>
      </c>
      <c r="G2666" s="4"/>
      <c r="H2666" s="5"/>
    </row>
    <row r="2667" spans="4:8" x14ac:dyDescent="0.25">
      <c r="D2667" s="4">
        <v>35648</v>
      </c>
      <c r="E2667" s="6">
        <v>19.21</v>
      </c>
      <c r="G2667" s="4"/>
      <c r="H2667" s="5"/>
    </row>
    <row r="2668" spans="4:8" x14ac:dyDescent="0.25">
      <c r="D2668" s="4">
        <v>35649</v>
      </c>
      <c r="E2668" s="6">
        <v>18.940000000000001</v>
      </c>
      <c r="G2668" s="4"/>
      <c r="H2668" s="5"/>
    </row>
    <row r="2669" spans="4:8" x14ac:dyDescent="0.25">
      <c r="D2669" s="4">
        <v>35650</v>
      </c>
      <c r="E2669" s="6">
        <v>18.559999999999999</v>
      </c>
      <c r="G2669" s="4"/>
      <c r="H2669" s="5"/>
    </row>
    <row r="2670" spans="4:8" x14ac:dyDescent="0.25">
      <c r="D2670" s="4">
        <v>35653</v>
      </c>
      <c r="E2670" s="6">
        <v>18.21</v>
      </c>
      <c r="G2670" s="4"/>
      <c r="H2670" s="5"/>
    </row>
    <row r="2671" spans="4:8" x14ac:dyDescent="0.25">
      <c r="D2671" s="4">
        <v>35654</v>
      </c>
      <c r="E2671" s="6">
        <v>18.559999999999999</v>
      </c>
      <c r="G2671" s="4"/>
      <c r="H2671" s="5"/>
    </row>
    <row r="2672" spans="4:8" x14ac:dyDescent="0.25">
      <c r="D2672" s="4">
        <v>35655</v>
      </c>
      <c r="E2672" s="6">
        <v>18.63</v>
      </c>
      <c r="G2672" s="4"/>
      <c r="H2672" s="5"/>
    </row>
    <row r="2673" spans="4:8" x14ac:dyDescent="0.25">
      <c r="D2673" s="4">
        <v>35656</v>
      </c>
      <c r="E2673" s="6">
        <v>19</v>
      </c>
      <c r="G2673" s="4"/>
      <c r="H2673" s="5"/>
    </row>
    <row r="2674" spans="4:8" x14ac:dyDescent="0.25">
      <c r="D2674" s="4">
        <v>35657</v>
      </c>
      <c r="E2674" s="6">
        <v>18.77</v>
      </c>
      <c r="G2674" s="4"/>
      <c r="H2674" s="5"/>
    </row>
    <row r="2675" spans="4:8" x14ac:dyDescent="0.25">
      <c r="D2675" s="4">
        <v>35660</v>
      </c>
      <c r="E2675" s="6">
        <v>18.41</v>
      </c>
      <c r="G2675" s="4"/>
      <c r="H2675" s="5"/>
    </row>
    <row r="2676" spans="4:8" x14ac:dyDescent="0.25">
      <c r="D2676" s="4">
        <v>35661</v>
      </c>
      <c r="E2676" s="6">
        <v>18.88</v>
      </c>
      <c r="G2676" s="4"/>
      <c r="H2676" s="5"/>
    </row>
    <row r="2677" spans="4:8" x14ac:dyDescent="0.25">
      <c r="D2677" s="4">
        <v>35662</v>
      </c>
      <c r="E2677" s="6">
        <v>18.829999999999998</v>
      </c>
      <c r="G2677" s="4"/>
      <c r="H2677" s="5"/>
    </row>
    <row r="2678" spans="4:8" x14ac:dyDescent="0.25">
      <c r="D2678" s="4">
        <v>35663</v>
      </c>
      <c r="E2678" s="6">
        <v>18.260000000000002</v>
      </c>
      <c r="G2678" s="4"/>
      <c r="H2678" s="5"/>
    </row>
    <row r="2679" spans="4:8" x14ac:dyDescent="0.25">
      <c r="D2679" s="4">
        <v>35664</v>
      </c>
      <c r="E2679" s="5"/>
      <c r="G2679" s="4"/>
      <c r="H2679" s="5"/>
    </row>
    <row r="2680" spans="4:8" x14ac:dyDescent="0.25">
      <c r="D2680" s="4">
        <v>35667</v>
      </c>
      <c r="E2680" s="6">
        <v>17.87</v>
      </c>
      <c r="G2680" s="4"/>
      <c r="H2680" s="5"/>
    </row>
    <row r="2681" spans="4:8" x14ac:dyDescent="0.25">
      <c r="D2681" s="4">
        <v>35668</v>
      </c>
      <c r="E2681" s="6">
        <v>17.579999999999998</v>
      </c>
      <c r="G2681" s="4"/>
      <c r="H2681" s="5"/>
    </row>
    <row r="2682" spans="4:8" x14ac:dyDescent="0.25">
      <c r="D2682" s="4">
        <v>35669</v>
      </c>
      <c r="E2682" s="6">
        <v>17.829999999999998</v>
      </c>
      <c r="G2682" s="4"/>
      <c r="H2682" s="5"/>
    </row>
    <row r="2683" spans="4:8" x14ac:dyDescent="0.25">
      <c r="D2683" s="4">
        <v>35670</v>
      </c>
      <c r="E2683" s="6">
        <v>17.91</v>
      </c>
      <c r="G2683" s="4"/>
      <c r="H2683" s="5"/>
    </row>
    <row r="2684" spans="4:8" x14ac:dyDescent="0.25">
      <c r="D2684" s="4">
        <v>35671</v>
      </c>
      <c r="E2684" s="6">
        <v>17.98</v>
      </c>
      <c r="G2684" s="4"/>
      <c r="H2684" s="5"/>
    </row>
    <row r="2685" spans="4:8" x14ac:dyDescent="0.25">
      <c r="D2685" s="4">
        <v>35674</v>
      </c>
      <c r="E2685" s="5"/>
      <c r="G2685" s="4"/>
      <c r="H2685" s="5"/>
    </row>
    <row r="2686" spans="4:8" x14ac:dyDescent="0.25">
      <c r="D2686" s="4">
        <v>35675</v>
      </c>
      <c r="E2686" s="6">
        <v>18.22</v>
      </c>
      <c r="G2686" s="4"/>
      <c r="H2686" s="5"/>
    </row>
    <row r="2687" spans="4:8" x14ac:dyDescent="0.25">
      <c r="D2687" s="4">
        <v>35676</v>
      </c>
      <c r="E2687" s="6">
        <v>18.12</v>
      </c>
      <c r="G2687" s="4"/>
      <c r="H2687" s="5"/>
    </row>
    <row r="2688" spans="4:8" x14ac:dyDescent="0.25">
      <c r="D2688" s="4">
        <v>35677</v>
      </c>
      <c r="E2688" s="6">
        <v>17.920000000000002</v>
      </c>
      <c r="G2688" s="4"/>
      <c r="H2688" s="5"/>
    </row>
    <row r="2689" spans="4:8" x14ac:dyDescent="0.25">
      <c r="D2689" s="4">
        <v>35678</v>
      </c>
      <c r="E2689" s="6">
        <v>18.149999999999999</v>
      </c>
      <c r="G2689" s="4"/>
      <c r="H2689" s="5"/>
    </row>
    <row r="2690" spans="4:8" x14ac:dyDescent="0.25">
      <c r="D2690" s="4">
        <v>35681</v>
      </c>
      <c r="E2690" s="6">
        <v>18.03</v>
      </c>
      <c r="G2690" s="4"/>
      <c r="H2690" s="5"/>
    </row>
    <row r="2691" spans="4:8" x14ac:dyDescent="0.25">
      <c r="D2691" s="4">
        <v>35682</v>
      </c>
      <c r="E2691" s="6">
        <v>18.18</v>
      </c>
      <c r="G2691" s="4"/>
      <c r="H2691" s="5"/>
    </row>
    <row r="2692" spans="4:8" x14ac:dyDescent="0.25">
      <c r="D2692" s="4">
        <v>35683</v>
      </c>
      <c r="E2692" s="6">
        <v>18.079999999999998</v>
      </c>
      <c r="G2692" s="4"/>
      <c r="H2692" s="5"/>
    </row>
    <row r="2693" spans="4:8" x14ac:dyDescent="0.25">
      <c r="D2693" s="4">
        <v>35684</v>
      </c>
      <c r="E2693" s="6">
        <v>18.21</v>
      </c>
      <c r="G2693" s="4"/>
      <c r="H2693" s="5"/>
    </row>
    <row r="2694" spans="4:8" x14ac:dyDescent="0.25">
      <c r="D2694" s="4">
        <v>35685</v>
      </c>
      <c r="E2694" s="6">
        <v>18.059999999999999</v>
      </c>
      <c r="G2694" s="4"/>
      <c r="H2694" s="5"/>
    </row>
    <row r="2695" spans="4:8" x14ac:dyDescent="0.25">
      <c r="D2695" s="4">
        <v>35688</v>
      </c>
      <c r="E2695" s="6">
        <v>18.05</v>
      </c>
      <c r="G2695" s="4"/>
      <c r="H2695" s="5"/>
    </row>
    <row r="2696" spans="4:8" x14ac:dyDescent="0.25">
      <c r="D2696" s="4">
        <v>35689</v>
      </c>
      <c r="E2696" s="6">
        <v>18.399999999999999</v>
      </c>
      <c r="G2696" s="4"/>
      <c r="H2696" s="5"/>
    </row>
    <row r="2697" spans="4:8" x14ac:dyDescent="0.25">
      <c r="D2697" s="4">
        <v>35690</v>
      </c>
      <c r="E2697" s="6">
        <v>18.21</v>
      </c>
      <c r="G2697" s="4"/>
      <c r="H2697" s="5"/>
    </row>
    <row r="2698" spans="4:8" x14ac:dyDescent="0.25">
      <c r="D2698" s="4">
        <v>35691</v>
      </c>
      <c r="E2698" s="6">
        <v>18.14</v>
      </c>
      <c r="G2698" s="4"/>
      <c r="H2698" s="5"/>
    </row>
    <row r="2699" spans="4:8" x14ac:dyDescent="0.25">
      <c r="D2699" s="4">
        <v>35692</v>
      </c>
      <c r="E2699" s="6">
        <v>18.32</v>
      </c>
      <c r="G2699" s="4"/>
      <c r="H2699" s="5"/>
    </row>
    <row r="2700" spans="4:8" x14ac:dyDescent="0.25">
      <c r="D2700" s="4">
        <v>35695</v>
      </c>
      <c r="E2700" s="6">
        <v>18.649999999999999</v>
      </c>
      <c r="G2700" s="4"/>
      <c r="H2700" s="5"/>
    </row>
    <row r="2701" spans="4:8" x14ac:dyDescent="0.25">
      <c r="D2701" s="4">
        <v>35696</v>
      </c>
      <c r="E2701" s="6">
        <v>18.57</v>
      </c>
      <c r="G2701" s="4"/>
      <c r="H2701" s="5"/>
    </row>
    <row r="2702" spans="4:8" x14ac:dyDescent="0.25">
      <c r="D2702" s="4">
        <v>35697</v>
      </c>
      <c r="E2702" s="6">
        <v>18.52</v>
      </c>
      <c r="G2702" s="4"/>
      <c r="H2702" s="5"/>
    </row>
    <row r="2703" spans="4:8" x14ac:dyDescent="0.25">
      <c r="D2703" s="4">
        <v>35698</v>
      </c>
      <c r="E2703" s="6">
        <v>19.05</v>
      </c>
      <c r="G2703" s="4"/>
      <c r="H2703" s="5"/>
    </row>
    <row r="2704" spans="4:8" x14ac:dyDescent="0.25">
      <c r="D2704" s="4">
        <v>35699</v>
      </c>
      <c r="E2704" s="6">
        <v>19.36</v>
      </c>
      <c r="G2704" s="4"/>
      <c r="H2704" s="5"/>
    </row>
    <row r="2705" spans="4:8" x14ac:dyDescent="0.25">
      <c r="D2705" s="4">
        <v>35702</v>
      </c>
      <c r="E2705" s="6">
        <v>19.48</v>
      </c>
      <c r="G2705" s="4"/>
      <c r="H2705" s="5"/>
    </row>
    <row r="2706" spans="4:8" x14ac:dyDescent="0.25">
      <c r="D2706" s="4">
        <v>35703</v>
      </c>
      <c r="E2706" s="6">
        <v>19.96</v>
      </c>
      <c r="G2706" s="4"/>
      <c r="H2706" s="5"/>
    </row>
    <row r="2707" spans="4:8" x14ac:dyDescent="0.25">
      <c r="D2707" s="4">
        <v>35704</v>
      </c>
      <c r="E2707" s="6">
        <v>19.87</v>
      </c>
      <c r="G2707" s="4"/>
      <c r="H2707" s="5"/>
    </row>
    <row r="2708" spans="4:8" x14ac:dyDescent="0.25">
      <c r="D2708" s="4">
        <v>35705</v>
      </c>
      <c r="E2708" s="6">
        <v>20.079999999999998</v>
      </c>
      <c r="G2708" s="4"/>
      <c r="H2708" s="5"/>
    </row>
    <row r="2709" spans="4:8" x14ac:dyDescent="0.25">
      <c r="D2709" s="4">
        <v>35706</v>
      </c>
      <c r="E2709" s="6">
        <v>21.29</v>
      </c>
      <c r="G2709" s="4"/>
      <c r="H2709" s="5"/>
    </row>
    <row r="2710" spans="4:8" x14ac:dyDescent="0.25">
      <c r="D2710" s="4">
        <v>35709</v>
      </c>
      <c r="E2710" s="6">
        <v>20.94</v>
      </c>
      <c r="G2710" s="4"/>
      <c r="H2710" s="5"/>
    </row>
    <row r="2711" spans="4:8" x14ac:dyDescent="0.25">
      <c r="D2711" s="4">
        <v>35710</v>
      </c>
      <c r="E2711" s="6">
        <v>20.71</v>
      </c>
      <c r="G2711" s="4"/>
      <c r="H2711" s="5"/>
    </row>
    <row r="2712" spans="4:8" x14ac:dyDescent="0.25">
      <c r="D2712" s="4">
        <v>35711</v>
      </c>
      <c r="E2712" s="6">
        <v>20.79</v>
      </c>
      <c r="G2712" s="4"/>
      <c r="H2712" s="5"/>
    </row>
    <row r="2713" spans="4:8" x14ac:dyDescent="0.25">
      <c r="D2713" s="4">
        <v>35712</v>
      </c>
      <c r="E2713" s="6">
        <v>20.6</v>
      </c>
      <c r="G2713" s="4"/>
      <c r="H2713" s="5"/>
    </row>
    <row r="2714" spans="4:8" x14ac:dyDescent="0.25">
      <c r="D2714" s="4">
        <v>35713</v>
      </c>
      <c r="E2714" s="6">
        <v>20.73</v>
      </c>
      <c r="G2714" s="4"/>
      <c r="H2714" s="5"/>
    </row>
    <row r="2715" spans="4:8" x14ac:dyDescent="0.25">
      <c r="D2715" s="4">
        <v>35716</v>
      </c>
      <c r="E2715" s="6">
        <v>20.079999999999998</v>
      </c>
      <c r="G2715" s="4"/>
      <c r="H2715" s="5"/>
    </row>
    <row r="2716" spans="4:8" x14ac:dyDescent="0.25">
      <c r="D2716" s="4">
        <v>35717</v>
      </c>
      <c r="E2716" s="6">
        <v>19.399999999999999</v>
      </c>
      <c r="G2716" s="4"/>
      <c r="H2716" s="5"/>
    </row>
    <row r="2717" spans="4:8" x14ac:dyDescent="0.25">
      <c r="D2717" s="4">
        <v>35718</v>
      </c>
      <c r="E2717" s="6">
        <v>19.27</v>
      </c>
      <c r="G2717" s="4"/>
      <c r="H2717" s="5"/>
    </row>
    <row r="2718" spans="4:8" x14ac:dyDescent="0.25">
      <c r="D2718" s="4">
        <v>35719</v>
      </c>
      <c r="E2718" s="6">
        <v>19.559999999999999</v>
      </c>
      <c r="G2718" s="4"/>
      <c r="H2718" s="5"/>
    </row>
    <row r="2719" spans="4:8" x14ac:dyDescent="0.25">
      <c r="D2719" s="4">
        <v>35720</v>
      </c>
      <c r="E2719" s="6">
        <v>19.43</v>
      </c>
      <c r="G2719" s="4"/>
      <c r="H2719" s="5"/>
    </row>
    <row r="2720" spans="4:8" x14ac:dyDescent="0.25">
      <c r="D2720" s="4">
        <v>35723</v>
      </c>
      <c r="E2720" s="6">
        <v>19.29</v>
      </c>
      <c r="G2720" s="4"/>
      <c r="H2720" s="5"/>
    </row>
    <row r="2721" spans="4:8" x14ac:dyDescent="0.25">
      <c r="D2721" s="4">
        <v>35724</v>
      </c>
      <c r="E2721" s="6">
        <v>19.3</v>
      </c>
      <c r="G2721" s="4"/>
      <c r="H2721" s="5"/>
    </row>
    <row r="2722" spans="4:8" x14ac:dyDescent="0.25">
      <c r="D2722" s="4">
        <v>35725</v>
      </c>
      <c r="E2722" s="6">
        <v>19.86</v>
      </c>
      <c r="G2722" s="4"/>
      <c r="H2722" s="5"/>
    </row>
    <row r="2723" spans="4:8" x14ac:dyDescent="0.25">
      <c r="D2723" s="4">
        <v>35726</v>
      </c>
      <c r="E2723" s="6">
        <v>19.89</v>
      </c>
      <c r="G2723" s="4"/>
      <c r="H2723" s="5"/>
    </row>
    <row r="2724" spans="4:8" x14ac:dyDescent="0.25">
      <c r="D2724" s="4">
        <v>35727</v>
      </c>
      <c r="E2724" s="6">
        <v>19.45</v>
      </c>
      <c r="G2724" s="4"/>
      <c r="H2724" s="5"/>
    </row>
    <row r="2725" spans="4:8" x14ac:dyDescent="0.25">
      <c r="D2725" s="4">
        <v>35730</v>
      </c>
      <c r="E2725" s="6">
        <v>19.63</v>
      </c>
      <c r="G2725" s="4"/>
      <c r="H2725" s="5"/>
    </row>
    <row r="2726" spans="4:8" x14ac:dyDescent="0.25">
      <c r="D2726" s="4">
        <v>35731</v>
      </c>
      <c r="E2726" s="6">
        <v>18.86</v>
      </c>
      <c r="G2726" s="4"/>
      <c r="H2726" s="5"/>
    </row>
    <row r="2727" spans="4:8" x14ac:dyDescent="0.25">
      <c r="D2727" s="4">
        <v>35732</v>
      </c>
      <c r="E2727" s="6">
        <v>19</v>
      </c>
      <c r="G2727" s="4"/>
      <c r="H2727" s="5"/>
    </row>
    <row r="2728" spans="4:8" x14ac:dyDescent="0.25">
      <c r="D2728" s="4">
        <v>35733</v>
      </c>
      <c r="E2728" s="6">
        <v>19.45</v>
      </c>
      <c r="G2728" s="4"/>
      <c r="H2728" s="5"/>
    </row>
    <row r="2729" spans="4:8" x14ac:dyDescent="0.25">
      <c r="D2729" s="4">
        <v>35734</v>
      </c>
      <c r="E2729" s="6">
        <v>19.420000000000002</v>
      </c>
      <c r="G2729" s="4"/>
      <c r="H2729" s="5"/>
    </row>
    <row r="2730" spans="4:8" x14ac:dyDescent="0.25">
      <c r="D2730" s="4">
        <v>35737</v>
      </c>
      <c r="E2730" s="6">
        <v>19.48</v>
      </c>
      <c r="G2730" s="4"/>
      <c r="H2730" s="5"/>
    </row>
    <row r="2731" spans="4:8" x14ac:dyDescent="0.25">
      <c r="D2731" s="4">
        <v>35738</v>
      </c>
      <c r="E2731" s="6">
        <v>19.100000000000001</v>
      </c>
      <c r="G2731" s="4"/>
      <c r="H2731" s="5"/>
    </row>
    <row r="2732" spans="4:8" x14ac:dyDescent="0.25">
      <c r="D2732" s="4">
        <v>35739</v>
      </c>
      <c r="E2732" s="6">
        <v>18.93</v>
      </c>
      <c r="G2732" s="4"/>
      <c r="H2732" s="5"/>
    </row>
    <row r="2733" spans="4:8" x14ac:dyDescent="0.25">
      <c r="D2733" s="4">
        <v>35740</v>
      </c>
      <c r="E2733" s="6">
        <v>18.97</v>
      </c>
      <c r="G2733" s="4"/>
      <c r="H2733" s="5"/>
    </row>
    <row r="2734" spans="4:8" x14ac:dyDescent="0.25">
      <c r="D2734" s="4">
        <v>35741</v>
      </c>
      <c r="E2734" s="6">
        <v>19.239999999999998</v>
      </c>
      <c r="G2734" s="4"/>
      <c r="H2734" s="5"/>
    </row>
    <row r="2735" spans="4:8" x14ac:dyDescent="0.25">
      <c r="D2735" s="4">
        <v>35744</v>
      </c>
      <c r="E2735" s="6">
        <v>19.14</v>
      </c>
      <c r="G2735" s="4"/>
      <c r="H2735" s="5"/>
    </row>
    <row r="2736" spans="4:8" x14ac:dyDescent="0.25">
      <c r="D2736" s="4">
        <v>35745</v>
      </c>
      <c r="E2736" s="5"/>
      <c r="G2736" s="4"/>
      <c r="H2736" s="5"/>
    </row>
    <row r="2737" spans="4:8" x14ac:dyDescent="0.25">
      <c r="D2737" s="4">
        <v>35746</v>
      </c>
      <c r="E2737" s="6">
        <v>19.260000000000002</v>
      </c>
      <c r="G2737" s="4"/>
      <c r="H2737" s="5"/>
    </row>
    <row r="2738" spans="4:8" x14ac:dyDescent="0.25">
      <c r="D2738" s="4">
        <v>35747</v>
      </c>
      <c r="E2738" s="6">
        <v>19.71</v>
      </c>
      <c r="G2738" s="4"/>
      <c r="H2738" s="5"/>
    </row>
    <row r="2739" spans="4:8" x14ac:dyDescent="0.25">
      <c r="D2739" s="4">
        <v>35748</v>
      </c>
      <c r="E2739" s="6">
        <v>20.239999999999998</v>
      </c>
      <c r="G2739" s="4"/>
      <c r="H2739" s="5"/>
    </row>
    <row r="2740" spans="4:8" x14ac:dyDescent="0.25">
      <c r="D2740" s="4">
        <v>35751</v>
      </c>
      <c r="E2740" s="6">
        <v>19.54</v>
      </c>
      <c r="G2740" s="4"/>
      <c r="H2740" s="5"/>
    </row>
    <row r="2741" spans="4:8" x14ac:dyDescent="0.25">
      <c r="D2741" s="4">
        <v>35752</v>
      </c>
      <c r="E2741" s="6">
        <v>19.39</v>
      </c>
      <c r="G2741" s="4"/>
      <c r="H2741" s="5"/>
    </row>
    <row r="2742" spans="4:8" x14ac:dyDescent="0.25">
      <c r="D2742" s="4">
        <v>35753</v>
      </c>
      <c r="E2742" s="6">
        <v>19.41</v>
      </c>
      <c r="G2742" s="4"/>
      <c r="H2742" s="5"/>
    </row>
    <row r="2743" spans="4:8" x14ac:dyDescent="0.25">
      <c r="D2743" s="4">
        <v>35754</v>
      </c>
      <c r="E2743" s="6">
        <v>18.82</v>
      </c>
      <c r="G2743" s="4"/>
      <c r="H2743" s="5"/>
    </row>
    <row r="2744" spans="4:8" x14ac:dyDescent="0.25">
      <c r="D2744" s="4">
        <v>35755</v>
      </c>
      <c r="E2744" s="6">
        <v>18.829999999999998</v>
      </c>
      <c r="G2744" s="4"/>
      <c r="H2744" s="5"/>
    </row>
    <row r="2745" spans="4:8" x14ac:dyDescent="0.25">
      <c r="D2745" s="4">
        <v>35758</v>
      </c>
      <c r="E2745" s="6">
        <v>19.010000000000002</v>
      </c>
      <c r="G2745" s="4"/>
      <c r="H2745" s="5"/>
    </row>
    <row r="2746" spans="4:8" x14ac:dyDescent="0.25">
      <c r="D2746" s="4">
        <v>35759</v>
      </c>
      <c r="E2746" s="6">
        <v>19.14</v>
      </c>
      <c r="G2746" s="4"/>
      <c r="H2746" s="5"/>
    </row>
    <row r="2747" spans="4:8" x14ac:dyDescent="0.25">
      <c r="D2747" s="4">
        <v>35760</v>
      </c>
      <c r="E2747" s="6">
        <v>18.5</v>
      </c>
      <c r="G2747" s="4"/>
      <c r="H2747" s="5"/>
    </row>
    <row r="2748" spans="4:8" x14ac:dyDescent="0.25">
      <c r="D2748" s="4">
        <v>35761</v>
      </c>
      <c r="E2748" s="6">
        <v>18.64</v>
      </c>
      <c r="G2748" s="4"/>
      <c r="H2748" s="5"/>
    </row>
    <row r="2749" spans="4:8" x14ac:dyDescent="0.25">
      <c r="D2749" s="4">
        <v>35762</v>
      </c>
      <c r="E2749" s="6">
        <v>18.96</v>
      </c>
      <c r="G2749" s="4"/>
      <c r="H2749" s="5"/>
    </row>
    <row r="2750" spans="4:8" x14ac:dyDescent="0.25">
      <c r="D2750" s="4">
        <v>35765</v>
      </c>
      <c r="E2750" s="6">
        <v>18.010000000000002</v>
      </c>
      <c r="G2750" s="4"/>
      <c r="H2750" s="5"/>
    </row>
    <row r="2751" spans="4:8" x14ac:dyDescent="0.25">
      <c r="D2751" s="4">
        <v>35766</v>
      </c>
      <c r="E2751" s="6">
        <v>18.04</v>
      </c>
      <c r="G2751" s="4"/>
      <c r="H2751" s="5"/>
    </row>
    <row r="2752" spans="4:8" x14ac:dyDescent="0.25">
      <c r="D2752" s="4">
        <v>35767</v>
      </c>
      <c r="E2752" s="6">
        <v>17.940000000000001</v>
      </c>
      <c r="G2752" s="4"/>
      <c r="H2752" s="5"/>
    </row>
    <row r="2753" spans="4:8" x14ac:dyDescent="0.25">
      <c r="D2753" s="4">
        <v>35768</v>
      </c>
      <c r="E2753" s="6">
        <v>17.7</v>
      </c>
      <c r="G2753" s="4"/>
      <c r="H2753" s="5"/>
    </row>
    <row r="2754" spans="4:8" x14ac:dyDescent="0.25">
      <c r="D2754" s="4">
        <v>35769</v>
      </c>
      <c r="E2754" s="6">
        <v>17.91</v>
      </c>
      <c r="G2754" s="4"/>
      <c r="H2754" s="5"/>
    </row>
    <row r="2755" spans="4:8" x14ac:dyDescent="0.25">
      <c r="D2755" s="4">
        <v>35772</v>
      </c>
      <c r="E2755" s="6">
        <v>17.87</v>
      </c>
      <c r="G2755" s="4"/>
      <c r="H2755" s="5"/>
    </row>
    <row r="2756" spans="4:8" x14ac:dyDescent="0.25">
      <c r="D2756" s="4">
        <v>35773</v>
      </c>
      <c r="E2756" s="6">
        <v>17.57</v>
      </c>
      <c r="G2756" s="4"/>
      <c r="H2756" s="5"/>
    </row>
    <row r="2757" spans="4:8" x14ac:dyDescent="0.25">
      <c r="D2757" s="4">
        <v>35774</v>
      </c>
      <c r="E2757" s="6">
        <v>17.079999999999998</v>
      </c>
      <c r="G2757" s="4"/>
      <c r="H2757" s="5"/>
    </row>
    <row r="2758" spans="4:8" x14ac:dyDescent="0.25">
      <c r="D2758" s="4">
        <v>35775</v>
      </c>
      <c r="E2758" s="6">
        <v>16.98</v>
      </c>
      <c r="G2758" s="4"/>
      <c r="H2758" s="5"/>
    </row>
    <row r="2759" spans="4:8" x14ac:dyDescent="0.25">
      <c r="D2759" s="4">
        <v>35776</v>
      </c>
      <c r="E2759" s="6">
        <v>17.12</v>
      </c>
      <c r="G2759" s="4"/>
      <c r="H2759" s="5"/>
    </row>
    <row r="2760" spans="4:8" x14ac:dyDescent="0.25">
      <c r="D2760" s="4">
        <v>35779</v>
      </c>
      <c r="E2760" s="6">
        <v>16.89</v>
      </c>
      <c r="G2760" s="4"/>
      <c r="H2760" s="5"/>
    </row>
    <row r="2761" spans="4:8" x14ac:dyDescent="0.25">
      <c r="D2761" s="4">
        <v>35780</v>
      </c>
      <c r="E2761" s="6">
        <v>16.8</v>
      </c>
      <c r="G2761" s="4"/>
      <c r="H2761" s="5"/>
    </row>
    <row r="2762" spans="4:8" x14ac:dyDescent="0.25">
      <c r="D2762" s="4">
        <v>35781</v>
      </c>
      <c r="E2762" s="6">
        <v>16.98</v>
      </c>
      <c r="G2762" s="4"/>
      <c r="H2762" s="5"/>
    </row>
    <row r="2763" spans="4:8" x14ac:dyDescent="0.25">
      <c r="D2763" s="4">
        <v>35782</v>
      </c>
      <c r="E2763" s="6">
        <v>17.34</v>
      </c>
      <c r="G2763" s="4"/>
      <c r="H2763" s="5"/>
    </row>
    <row r="2764" spans="4:8" x14ac:dyDescent="0.25">
      <c r="D2764" s="4">
        <v>35783</v>
      </c>
      <c r="E2764" s="6">
        <v>17.2</v>
      </c>
      <c r="G2764" s="4"/>
      <c r="H2764" s="5"/>
    </row>
    <row r="2765" spans="4:8" x14ac:dyDescent="0.25">
      <c r="D2765" s="4">
        <v>35786</v>
      </c>
      <c r="E2765" s="6">
        <v>17.04</v>
      </c>
      <c r="G2765" s="4"/>
      <c r="H2765" s="5"/>
    </row>
    <row r="2766" spans="4:8" x14ac:dyDescent="0.25">
      <c r="D2766" s="4">
        <v>35787</v>
      </c>
      <c r="E2766" s="6">
        <v>17.09</v>
      </c>
      <c r="G2766" s="4"/>
      <c r="H2766" s="5"/>
    </row>
    <row r="2767" spans="4:8" x14ac:dyDescent="0.25">
      <c r="D2767" s="4">
        <v>35788</v>
      </c>
      <c r="E2767" s="6">
        <v>17.04</v>
      </c>
      <c r="G2767" s="4"/>
      <c r="H2767" s="5"/>
    </row>
    <row r="2768" spans="4:8" x14ac:dyDescent="0.25">
      <c r="D2768" s="4">
        <v>35789</v>
      </c>
      <c r="E2768" s="5"/>
      <c r="G2768" s="4"/>
      <c r="H2768" s="5"/>
    </row>
    <row r="2769" spans="4:8" x14ac:dyDescent="0.25">
      <c r="D2769" s="4">
        <v>35790</v>
      </c>
      <c r="E2769" s="5"/>
      <c r="G2769" s="4"/>
      <c r="H2769" s="5"/>
    </row>
    <row r="2770" spans="4:8" x14ac:dyDescent="0.25">
      <c r="D2770" s="4">
        <v>35793</v>
      </c>
      <c r="E2770" s="6">
        <v>16.350000000000001</v>
      </c>
      <c r="G2770" s="4"/>
      <c r="H2770" s="5"/>
    </row>
    <row r="2771" spans="4:8" x14ac:dyDescent="0.25">
      <c r="D2771" s="4">
        <v>35794</v>
      </c>
      <c r="E2771" s="6">
        <v>16.010000000000002</v>
      </c>
      <c r="G2771" s="4"/>
      <c r="H2771" s="5"/>
    </row>
    <row r="2772" spans="4:8" x14ac:dyDescent="0.25">
      <c r="D2772" s="4">
        <v>35795</v>
      </c>
      <c r="E2772" s="6">
        <v>15.86</v>
      </c>
      <c r="G2772" s="4"/>
      <c r="H2772" s="5"/>
    </row>
    <row r="2773" spans="4:8" x14ac:dyDescent="0.25">
      <c r="D2773" s="4">
        <v>35796</v>
      </c>
      <c r="E2773" s="5"/>
      <c r="G2773" s="4"/>
      <c r="H2773" s="5"/>
    </row>
    <row r="2774" spans="4:8" x14ac:dyDescent="0.25">
      <c r="D2774" s="4">
        <v>35797</v>
      </c>
      <c r="E2774" s="6">
        <v>15.77</v>
      </c>
      <c r="G2774" s="4"/>
      <c r="H2774" s="5"/>
    </row>
    <row r="2775" spans="4:8" x14ac:dyDescent="0.25">
      <c r="D2775" s="4">
        <v>35800</v>
      </c>
      <c r="E2775" s="6">
        <v>15.29</v>
      </c>
      <c r="G2775" s="4"/>
      <c r="H2775" s="5"/>
    </row>
    <row r="2776" spans="4:8" x14ac:dyDescent="0.25">
      <c r="D2776" s="4">
        <v>35801</v>
      </c>
      <c r="E2776" s="6">
        <v>15.48</v>
      </c>
      <c r="G2776" s="4"/>
      <c r="H2776" s="5"/>
    </row>
    <row r="2777" spans="4:8" x14ac:dyDescent="0.25">
      <c r="D2777" s="4">
        <v>35802</v>
      </c>
      <c r="E2777" s="6">
        <v>15.33</v>
      </c>
      <c r="G2777" s="4"/>
      <c r="H2777" s="5"/>
    </row>
    <row r="2778" spans="4:8" x14ac:dyDescent="0.25">
      <c r="D2778" s="4">
        <v>35803</v>
      </c>
      <c r="E2778" s="6">
        <v>15.47</v>
      </c>
      <c r="G2778" s="4"/>
      <c r="H2778" s="5"/>
    </row>
    <row r="2779" spans="4:8" x14ac:dyDescent="0.25">
      <c r="D2779" s="4">
        <v>35804</v>
      </c>
      <c r="E2779" s="6">
        <v>15.33</v>
      </c>
      <c r="G2779" s="4"/>
      <c r="H2779" s="5"/>
    </row>
    <row r="2780" spans="4:8" x14ac:dyDescent="0.25">
      <c r="D2780" s="4">
        <v>35807</v>
      </c>
      <c r="E2780" s="6">
        <v>15.07</v>
      </c>
      <c r="G2780" s="4"/>
      <c r="H2780" s="5"/>
    </row>
    <row r="2781" spans="4:8" x14ac:dyDescent="0.25">
      <c r="D2781" s="4">
        <v>35808</v>
      </c>
      <c r="E2781" s="6">
        <v>15.08</v>
      </c>
      <c r="G2781" s="4"/>
      <c r="H2781" s="5"/>
    </row>
    <row r="2782" spans="4:8" x14ac:dyDescent="0.25">
      <c r="D2782" s="4">
        <v>35809</v>
      </c>
      <c r="E2782" s="6">
        <v>14.81</v>
      </c>
      <c r="G2782" s="4"/>
      <c r="H2782" s="5"/>
    </row>
    <row r="2783" spans="4:8" x14ac:dyDescent="0.25">
      <c r="D2783" s="4">
        <v>35810</v>
      </c>
      <c r="E2783" s="6">
        <v>14.75</v>
      </c>
      <c r="G2783" s="4"/>
      <c r="H2783" s="5"/>
    </row>
    <row r="2784" spans="4:8" x14ac:dyDescent="0.25">
      <c r="D2784" s="4">
        <v>35811</v>
      </c>
      <c r="E2784" s="6">
        <v>14.89</v>
      </c>
      <c r="G2784" s="4"/>
      <c r="H2784" s="5"/>
    </row>
    <row r="2785" spans="4:8" x14ac:dyDescent="0.25">
      <c r="D2785" s="4">
        <v>35814</v>
      </c>
      <c r="E2785" s="6">
        <v>15.38</v>
      </c>
      <c r="G2785" s="4"/>
      <c r="H2785" s="5"/>
    </row>
    <row r="2786" spans="4:8" x14ac:dyDescent="0.25">
      <c r="D2786" s="4">
        <v>35815</v>
      </c>
      <c r="E2786" s="6">
        <v>14.95</v>
      </c>
      <c r="G2786" s="4"/>
      <c r="H2786" s="5"/>
    </row>
    <row r="2787" spans="4:8" x14ac:dyDescent="0.25">
      <c r="D2787" s="4">
        <v>35816</v>
      </c>
      <c r="E2787" s="6">
        <v>14.67</v>
      </c>
      <c r="G2787" s="4"/>
      <c r="H2787" s="5"/>
    </row>
    <row r="2788" spans="4:8" x14ac:dyDescent="0.25">
      <c r="D2788" s="4">
        <v>35817</v>
      </c>
      <c r="E2788" s="6">
        <v>14.35</v>
      </c>
      <c r="G2788" s="4"/>
      <c r="H2788" s="5"/>
    </row>
    <row r="2789" spans="4:8" x14ac:dyDescent="0.25">
      <c r="D2789" s="4">
        <v>35818</v>
      </c>
      <c r="E2789" s="6">
        <v>14.26</v>
      </c>
      <c r="G2789" s="4"/>
      <c r="H2789" s="5"/>
    </row>
    <row r="2790" spans="4:8" x14ac:dyDescent="0.25">
      <c r="D2790" s="4">
        <v>35821</v>
      </c>
      <c r="E2790" s="6">
        <v>14.79</v>
      </c>
      <c r="G2790" s="4"/>
      <c r="H2790" s="5"/>
    </row>
    <row r="2791" spans="4:8" x14ac:dyDescent="0.25">
      <c r="D2791" s="4">
        <v>35822</v>
      </c>
      <c r="E2791" s="6">
        <v>15.74</v>
      </c>
      <c r="G2791" s="4"/>
      <c r="H2791" s="5"/>
    </row>
    <row r="2792" spans="4:8" x14ac:dyDescent="0.25">
      <c r="D2792" s="4">
        <v>35823</v>
      </c>
      <c r="E2792" s="6">
        <v>15.64</v>
      </c>
      <c r="G2792" s="4"/>
      <c r="H2792" s="5"/>
    </row>
    <row r="2793" spans="4:8" x14ac:dyDescent="0.25">
      <c r="D2793" s="4">
        <v>35824</v>
      </c>
      <c r="E2793" s="6">
        <v>16.28</v>
      </c>
      <c r="G2793" s="4"/>
      <c r="H2793" s="5"/>
    </row>
    <row r="2794" spans="4:8" x14ac:dyDescent="0.25">
      <c r="D2794" s="4">
        <v>35825</v>
      </c>
      <c r="E2794" s="6">
        <v>15.59</v>
      </c>
      <c r="G2794" s="4"/>
      <c r="H2794" s="5"/>
    </row>
    <row r="2795" spans="4:8" x14ac:dyDescent="0.25">
      <c r="D2795" s="4">
        <v>35828</v>
      </c>
      <c r="E2795" s="6">
        <v>15.28</v>
      </c>
      <c r="G2795" s="4"/>
      <c r="H2795" s="5"/>
    </row>
    <row r="2796" spans="4:8" x14ac:dyDescent="0.25">
      <c r="D2796" s="4">
        <v>35829</v>
      </c>
      <c r="E2796" s="6">
        <v>14.87</v>
      </c>
      <c r="G2796" s="4"/>
      <c r="H2796" s="5"/>
    </row>
    <row r="2797" spans="4:8" x14ac:dyDescent="0.25">
      <c r="D2797" s="4">
        <v>35830</v>
      </c>
      <c r="E2797" s="6">
        <v>14.56</v>
      </c>
      <c r="G2797" s="4"/>
      <c r="H2797" s="5"/>
    </row>
    <row r="2798" spans="4:8" x14ac:dyDescent="0.25">
      <c r="D2798" s="4">
        <v>35831</v>
      </c>
      <c r="E2798" s="6">
        <v>14.83</v>
      </c>
      <c r="G2798" s="4"/>
      <c r="H2798" s="5"/>
    </row>
    <row r="2799" spans="4:8" x14ac:dyDescent="0.25">
      <c r="D2799" s="4">
        <v>35832</v>
      </c>
      <c r="E2799" s="6">
        <v>15.05</v>
      </c>
      <c r="G2799" s="4"/>
      <c r="H2799" s="5"/>
    </row>
    <row r="2800" spans="4:8" x14ac:dyDescent="0.25">
      <c r="D2800" s="4">
        <v>35835</v>
      </c>
      <c r="E2800" s="6">
        <v>14.77</v>
      </c>
      <c r="G2800" s="4"/>
      <c r="H2800" s="5"/>
    </row>
    <row r="2801" spans="4:8" x14ac:dyDescent="0.25">
      <c r="D2801" s="4">
        <v>35836</v>
      </c>
      <c r="E2801" s="6">
        <v>14.6</v>
      </c>
      <c r="G2801" s="4"/>
      <c r="H2801" s="5"/>
    </row>
    <row r="2802" spans="4:8" x14ac:dyDescent="0.25">
      <c r="D2802" s="4">
        <v>35837</v>
      </c>
      <c r="E2802" s="6">
        <v>14.35</v>
      </c>
      <c r="G2802" s="4"/>
      <c r="H2802" s="5"/>
    </row>
    <row r="2803" spans="4:8" x14ac:dyDescent="0.25">
      <c r="D2803" s="4">
        <v>35838</v>
      </c>
      <c r="E2803" s="6">
        <v>14.04</v>
      </c>
      <c r="G2803" s="4"/>
      <c r="H2803" s="5"/>
    </row>
    <row r="2804" spans="4:8" x14ac:dyDescent="0.25">
      <c r="D2804" s="4">
        <v>35839</v>
      </c>
      <c r="E2804" s="6">
        <v>14.05</v>
      </c>
      <c r="G2804" s="4"/>
      <c r="H2804" s="5"/>
    </row>
    <row r="2805" spans="4:8" x14ac:dyDescent="0.25">
      <c r="D2805" s="4">
        <v>35842</v>
      </c>
      <c r="E2805" s="6">
        <v>13.5</v>
      </c>
      <c r="G2805" s="4"/>
      <c r="H2805" s="5"/>
    </row>
    <row r="2806" spans="4:8" x14ac:dyDescent="0.25">
      <c r="D2806" s="4">
        <v>35843</v>
      </c>
      <c r="E2806" s="6">
        <v>13.5</v>
      </c>
      <c r="G2806" s="4"/>
      <c r="H2806" s="5"/>
    </row>
    <row r="2807" spans="4:8" x14ac:dyDescent="0.25">
      <c r="D2807" s="4">
        <v>35844</v>
      </c>
      <c r="E2807" s="6">
        <v>13.46</v>
      </c>
      <c r="G2807" s="4"/>
      <c r="H2807" s="5"/>
    </row>
    <row r="2808" spans="4:8" x14ac:dyDescent="0.25">
      <c r="D2808" s="4">
        <v>35845</v>
      </c>
      <c r="E2808" s="6">
        <v>14.02</v>
      </c>
      <c r="G2808" s="4"/>
      <c r="H2808" s="5"/>
    </row>
    <row r="2809" spans="4:8" x14ac:dyDescent="0.25">
      <c r="D2809" s="4">
        <v>35846</v>
      </c>
      <c r="E2809" s="6">
        <v>13.91</v>
      </c>
      <c r="G2809" s="4"/>
      <c r="H2809" s="5"/>
    </row>
    <row r="2810" spans="4:8" x14ac:dyDescent="0.25">
      <c r="D2810" s="4">
        <v>35849</v>
      </c>
      <c r="E2810" s="6">
        <v>13.26</v>
      </c>
      <c r="G2810" s="4"/>
      <c r="H2810" s="5"/>
    </row>
    <row r="2811" spans="4:8" x14ac:dyDescent="0.25">
      <c r="D2811" s="4">
        <v>35850</v>
      </c>
      <c r="E2811" s="6">
        <v>13.08</v>
      </c>
      <c r="G2811" s="4"/>
      <c r="H2811" s="5"/>
    </row>
    <row r="2812" spans="4:8" x14ac:dyDescent="0.25">
      <c r="D2812" s="4">
        <v>35851</v>
      </c>
      <c r="E2812" s="6">
        <v>13.35</v>
      </c>
      <c r="G2812" s="4"/>
      <c r="H2812" s="5"/>
    </row>
    <row r="2813" spans="4:8" x14ac:dyDescent="0.25">
      <c r="D2813" s="4">
        <v>35852</v>
      </c>
      <c r="E2813" s="6">
        <v>13.38</v>
      </c>
      <c r="G2813" s="4"/>
      <c r="H2813" s="5"/>
    </row>
    <row r="2814" spans="4:8" x14ac:dyDescent="0.25">
      <c r="D2814" s="4">
        <v>35853</v>
      </c>
      <c r="E2814" s="6">
        <v>13.53</v>
      </c>
      <c r="G2814" s="4"/>
      <c r="H2814" s="5"/>
    </row>
    <row r="2815" spans="4:8" x14ac:dyDescent="0.25">
      <c r="D2815" s="4">
        <v>35856</v>
      </c>
      <c r="E2815" s="6">
        <v>13.37</v>
      </c>
      <c r="G2815" s="4"/>
      <c r="H2815" s="5"/>
    </row>
    <row r="2816" spans="4:8" x14ac:dyDescent="0.25">
      <c r="D2816" s="4">
        <v>35857</v>
      </c>
      <c r="E2816" s="6">
        <v>13.18</v>
      </c>
      <c r="G2816" s="4"/>
      <c r="H2816" s="5"/>
    </row>
    <row r="2817" spans="4:8" x14ac:dyDescent="0.25">
      <c r="D2817" s="4">
        <v>35858</v>
      </c>
      <c r="E2817" s="6">
        <v>13.09</v>
      </c>
      <c r="G2817" s="4"/>
      <c r="H2817" s="5"/>
    </row>
    <row r="2818" spans="4:8" x14ac:dyDescent="0.25">
      <c r="D2818" s="4">
        <v>35859</v>
      </c>
      <c r="E2818" s="6">
        <v>13.18</v>
      </c>
      <c r="G2818" s="4"/>
      <c r="H2818" s="5"/>
    </row>
    <row r="2819" spans="4:8" x14ac:dyDescent="0.25">
      <c r="D2819" s="4">
        <v>35860</v>
      </c>
      <c r="E2819" s="6">
        <v>12.85</v>
      </c>
      <c r="G2819" s="4"/>
      <c r="H2819" s="5"/>
    </row>
    <row r="2820" spans="4:8" x14ac:dyDescent="0.25">
      <c r="D2820" s="4">
        <v>35863</v>
      </c>
      <c r="E2820" s="6">
        <v>12.24</v>
      </c>
      <c r="G2820" s="4"/>
      <c r="H2820" s="5"/>
    </row>
    <row r="2821" spans="4:8" x14ac:dyDescent="0.25">
      <c r="D2821" s="4">
        <v>35864</v>
      </c>
      <c r="E2821" s="6">
        <v>12.36</v>
      </c>
      <c r="G2821" s="4"/>
      <c r="H2821" s="5"/>
    </row>
    <row r="2822" spans="4:8" x14ac:dyDescent="0.25">
      <c r="D2822" s="4">
        <v>35865</v>
      </c>
      <c r="E2822" s="6">
        <v>12.41</v>
      </c>
      <c r="G2822" s="4"/>
      <c r="H2822" s="5"/>
    </row>
    <row r="2823" spans="4:8" x14ac:dyDescent="0.25">
      <c r="D2823" s="4">
        <v>35866</v>
      </c>
      <c r="E2823" s="6">
        <v>12.3</v>
      </c>
      <c r="G2823" s="4"/>
      <c r="H2823" s="5"/>
    </row>
    <row r="2824" spans="4:8" x14ac:dyDescent="0.25">
      <c r="D2824" s="4">
        <v>35867</v>
      </c>
      <c r="E2824" s="6">
        <v>12.25</v>
      </c>
      <c r="G2824" s="4"/>
      <c r="H2824" s="5"/>
    </row>
    <row r="2825" spans="4:8" x14ac:dyDescent="0.25">
      <c r="D2825" s="4">
        <v>35870</v>
      </c>
      <c r="E2825" s="6">
        <v>11.74</v>
      </c>
      <c r="G2825" s="4"/>
      <c r="H2825" s="5"/>
    </row>
    <row r="2826" spans="4:8" x14ac:dyDescent="0.25">
      <c r="D2826" s="4">
        <v>35871</v>
      </c>
      <c r="E2826" s="6">
        <v>11.05</v>
      </c>
      <c r="G2826" s="4"/>
      <c r="H2826" s="5"/>
    </row>
    <row r="2827" spans="4:8" x14ac:dyDescent="0.25">
      <c r="D2827" s="4">
        <v>35872</v>
      </c>
      <c r="E2827" s="6">
        <v>12.21</v>
      </c>
      <c r="G2827" s="4"/>
      <c r="H2827" s="5"/>
    </row>
    <row r="2828" spans="4:8" x14ac:dyDescent="0.25">
      <c r="D2828" s="4">
        <v>35873</v>
      </c>
      <c r="E2828" s="6">
        <v>12.41</v>
      </c>
      <c r="G2828" s="4"/>
      <c r="H2828" s="5"/>
    </row>
    <row r="2829" spans="4:8" x14ac:dyDescent="0.25">
      <c r="D2829" s="4">
        <v>35874</v>
      </c>
      <c r="E2829" s="6">
        <v>12.35</v>
      </c>
      <c r="G2829" s="4"/>
      <c r="H2829" s="5"/>
    </row>
    <row r="2830" spans="4:8" x14ac:dyDescent="0.25">
      <c r="D2830" s="4">
        <v>35877</v>
      </c>
      <c r="E2830" s="6">
        <v>14.53</v>
      </c>
      <c r="G2830" s="4"/>
      <c r="H2830" s="5"/>
    </row>
    <row r="2831" spans="4:8" x14ac:dyDescent="0.25">
      <c r="D2831" s="4">
        <v>35878</v>
      </c>
      <c r="E2831" s="6">
        <v>14.02</v>
      </c>
      <c r="G2831" s="4"/>
      <c r="H2831" s="5"/>
    </row>
    <row r="2832" spans="4:8" x14ac:dyDescent="0.25">
      <c r="D2832" s="4">
        <v>35879</v>
      </c>
      <c r="E2832" s="6">
        <v>14.41</v>
      </c>
      <c r="G2832" s="4"/>
      <c r="H2832" s="5"/>
    </row>
    <row r="2833" spans="4:8" x14ac:dyDescent="0.25">
      <c r="D2833" s="4">
        <v>35880</v>
      </c>
      <c r="E2833" s="6">
        <v>15.18</v>
      </c>
      <c r="G2833" s="4"/>
      <c r="H2833" s="5"/>
    </row>
    <row r="2834" spans="4:8" x14ac:dyDescent="0.25">
      <c r="D2834" s="4">
        <v>35881</v>
      </c>
      <c r="E2834" s="6">
        <v>14.92</v>
      </c>
      <c r="G2834" s="4"/>
      <c r="H2834" s="5"/>
    </row>
    <row r="2835" spans="4:8" x14ac:dyDescent="0.25">
      <c r="D2835" s="4">
        <v>35884</v>
      </c>
      <c r="E2835" s="6">
        <v>14.35</v>
      </c>
      <c r="G2835" s="4"/>
      <c r="H2835" s="5"/>
    </row>
    <row r="2836" spans="4:8" x14ac:dyDescent="0.25">
      <c r="D2836" s="4">
        <v>35885</v>
      </c>
      <c r="E2836" s="6">
        <v>13.87</v>
      </c>
      <c r="G2836" s="4"/>
      <c r="H2836" s="5"/>
    </row>
    <row r="2837" spans="4:8" x14ac:dyDescent="0.25">
      <c r="D2837" s="4">
        <v>35886</v>
      </c>
      <c r="E2837" s="6">
        <v>13.72</v>
      </c>
      <c r="G2837" s="4"/>
      <c r="H2837" s="5"/>
    </row>
    <row r="2838" spans="4:8" x14ac:dyDescent="0.25">
      <c r="D2838" s="4">
        <v>35887</v>
      </c>
      <c r="E2838" s="6">
        <v>13.38</v>
      </c>
      <c r="G2838" s="4"/>
      <c r="H2838" s="5"/>
    </row>
    <row r="2839" spans="4:8" x14ac:dyDescent="0.25">
      <c r="D2839" s="4">
        <v>35888</v>
      </c>
      <c r="E2839" s="6">
        <v>13.63</v>
      </c>
      <c r="G2839" s="4"/>
      <c r="H2839" s="5"/>
    </row>
    <row r="2840" spans="4:8" x14ac:dyDescent="0.25">
      <c r="D2840" s="4">
        <v>35891</v>
      </c>
      <c r="E2840" s="6">
        <v>13.13</v>
      </c>
      <c r="G2840" s="4"/>
      <c r="H2840" s="5"/>
    </row>
    <row r="2841" spans="4:8" x14ac:dyDescent="0.25">
      <c r="D2841" s="4">
        <v>35892</v>
      </c>
      <c r="E2841" s="6">
        <v>12.82</v>
      </c>
      <c r="G2841" s="4"/>
      <c r="H2841" s="5"/>
    </row>
    <row r="2842" spans="4:8" x14ac:dyDescent="0.25">
      <c r="D2842" s="4">
        <v>35893</v>
      </c>
      <c r="E2842" s="6">
        <v>12.79</v>
      </c>
      <c r="G2842" s="4"/>
      <c r="H2842" s="5"/>
    </row>
    <row r="2843" spans="4:8" x14ac:dyDescent="0.25">
      <c r="D2843" s="4">
        <v>35894</v>
      </c>
      <c r="E2843" s="6">
        <v>13.23</v>
      </c>
      <c r="G2843" s="4"/>
      <c r="H2843" s="5"/>
    </row>
    <row r="2844" spans="4:8" x14ac:dyDescent="0.25">
      <c r="D2844" s="4">
        <v>35895</v>
      </c>
      <c r="E2844" s="5"/>
      <c r="G2844" s="4"/>
      <c r="H2844" s="5"/>
    </row>
    <row r="2845" spans="4:8" x14ac:dyDescent="0.25">
      <c r="D2845" s="4">
        <v>35898</v>
      </c>
      <c r="E2845" s="5"/>
      <c r="G2845" s="4"/>
      <c r="H2845" s="5"/>
    </row>
    <row r="2846" spans="4:8" x14ac:dyDescent="0.25">
      <c r="D2846" s="4">
        <v>35899</v>
      </c>
      <c r="E2846" s="6">
        <v>13.15</v>
      </c>
      <c r="G2846" s="4"/>
      <c r="H2846" s="5"/>
    </row>
    <row r="2847" spans="4:8" x14ac:dyDescent="0.25">
      <c r="D2847" s="4">
        <v>35900</v>
      </c>
      <c r="E2847" s="6">
        <v>13.31</v>
      </c>
      <c r="G2847" s="4"/>
      <c r="H2847" s="5"/>
    </row>
    <row r="2848" spans="4:8" x14ac:dyDescent="0.25">
      <c r="D2848" s="4">
        <v>35901</v>
      </c>
      <c r="E2848" s="6">
        <v>13.68</v>
      </c>
      <c r="G2848" s="4"/>
      <c r="H2848" s="5"/>
    </row>
    <row r="2849" spans="4:8" x14ac:dyDescent="0.25">
      <c r="D2849" s="4">
        <v>35902</v>
      </c>
      <c r="E2849" s="6">
        <v>14.06</v>
      </c>
      <c r="G2849" s="4"/>
      <c r="H2849" s="5"/>
    </row>
    <row r="2850" spans="4:8" x14ac:dyDescent="0.25">
      <c r="D2850" s="4">
        <v>35905</v>
      </c>
      <c r="E2850" s="6">
        <v>13.82</v>
      </c>
      <c r="G2850" s="4"/>
      <c r="H2850" s="5"/>
    </row>
    <row r="2851" spans="4:8" x14ac:dyDescent="0.25">
      <c r="D2851" s="4">
        <v>35906</v>
      </c>
      <c r="E2851" s="6">
        <v>13.95</v>
      </c>
      <c r="G2851" s="4"/>
      <c r="H2851" s="5"/>
    </row>
    <row r="2852" spans="4:8" x14ac:dyDescent="0.25">
      <c r="D2852" s="4">
        <v>35907</v>
      </c>
      <c r="E2852" s="6">
        <v>13.71</v>
      </c>
      <c r="G2852" s="4"/>
      <c r="H2852" s="5"/>
    </row>
    <row r="2853" spans="4:8" x14ac:dyDescent="0.25">
      <c r="D2853" s="4">
        <v>35908</v>
      </c>
      <c r="E2853" s="6">
        <v>13.42</v>
      </c>
      <c r="G2853" s="4"/>
      <c r="H2853" s="5"/>
    </row>
    <row r="2854" spans="4:8" x14ac:dyDescent="0.25">
      <c r="D2854" s="4">
        <v>35909</v>
      </c>
      <c r="E2854" s="6">
        <v>13.32</v>
      </c>
      <c r="G2854" s="4"/>
      <c r="H2854" s="5"/>
    </row>
    <row r="2855" spans="4:8" x14ac:dyDescent="0.25">
      <c r="D2855" s="4">
        <v>35912</v>
      </c>
      <c r="E2855" s="6">
        <v>13.65</v>
      </c>
      <c r="G2855" s="4"/>
      <c r="H2855" s="5"/>
    </row>
    <row r="2856" spans="4:8" x14ac:dyDescent="0.25">
      <c r="D2856" s="4">
        <v>35913</v>
      </c>
      <c r="E2856" s="6">
        <v>13.88</v>
      </c>
      <c r="G2856" s="4"/>
      <c r="H2856" s="5"/>
    </row>
    <row r="2857" spans="4:8" x14ac:dyDescent="0.25">
      <c r="D2857" s="4">
        <v>35914</v>
      </c>
      <c r="E2857" s="6">
        <v>14.09</v>
      </c>
      <c r="G2857" s="4"/>
      <c r="H2857" s="5"/>
    </row>
    <row r="2858" spans="4:8" x14ac:dyDescent="0.25">
      <c r="D2858" s="4">
        <v>35915</v>
      </c>
      <c r="E2858" s="6">
        <v>13.79</v>
      </c>
      <c r="G2858" s="4"/>
      <c r="H2858" s="5"/>
    </row>
    <row r="2859" spans="4:8" x14ac:dyDescent="0.25">
      <c r="D2859" s="4">
        <v>35916</v>
      </c>
      <c r="E2859" s="6">
        <v>14.6</v>
      </c>
      <c r="G2859" s="4"/>
      <c r="H2859" s="5"/>
    </row>
    <row r="2860" spans="4:8" x14ac:dyDescent="0.25">
      <c r="D2860" s="4">
        <v>35919</v>
      </c>
      <c r="E2860" s="5"/>
      <c r="G2860" s="4"/>
      <c r="H2860" s="5"/>
    </row>
    <row r="2861" spans="4:8" x14ac:dyDescent="0.25">
      <c r="D2861" s="4">
        <v>35920</v>
      </c>
      <c r="E2861" s="6">
        <v>14.13</v>
      </c>
      <c r="G2861" s="4"/>
      <c r="H2861" s="5"/>
    </row>
    <row r="2862" spans="4:8" x14ac:dyDescent="0.25">
      <c r="D2862" s="4">
        <v>35921</v>
      </c>
      <c r="E2862" s="6">
        <v>13.91</v>
      </c>
      <c r="G2862" s="4"/>
      <c r="H2862" s="5"/>
    </row>
    <row r="2863" spans="4:8" x14ac:dyDescent="0.25">
      <c r="D2863" s="4">
        <v>35922</v>
      </c>
      <c r="E2863" s="6">
        <v>13.81</v>
      </c>
      <c r="G2863" s="4"/>
      <c r="H2863" s="5"/>
    </row>
    <row r="2864" spans="4:8" x14ac:dyDescent="0.25">
      <c r="D2864" s="4">
        <v>35923</v>
      </c>
      <c r="E2864" s="6">
        <v>13.94</v>
      </c>
      <c r="G2864" s="4"/>
      <c r="H2864" s="5"/>
    </row>
    <row r="2865" spans="4:8" x14ac:dyDescent="0.25">
      <c r="D2865" s="4">
        <v>35926</v>
      </c>
      <c r="E2865" s="6">
        <v>14.41</v>
      </c>
      <c r="G2865" s="4"/>
      <c r="H2865" s="5"/>
    </row>
    <row r="2866" spans="4:8" x14ac:dyDescent="0.25">
      <c r="D2866" s="4">
        <v>35927</v>
      </c>
      <c r="E2866" s="6">
        <v>14.75</v>
      </c>
      <c r="G2866" s="4"/>
      <c r="H2866" s="5"/>
    </row>
    <row r="2867" spans="4:8" x14ac:dyDescent="0.25">
      <c r="D2867" s="4">
        <v>35928</v>
      </c>
      <c r="E2867" s="6">
        <v>14.15</v>
      </c>
      <c r="G2867" s="4"/>
      <c r="H2867" s="5"/>
    </row>
    <row r="2868" spans="4:8" x14ac:dyDescent="0.25">
      <c r="D2868" s="4">
        <v>35929</v>
      </c>
      <c r="E2868" s="6">
        <v>14.29</v>
      </c>
      <c r="G2868" s="4"/>
      <c r="H2868" s="5"/>
    </row>
    <row r="2869" spans="4:8" x14ac:dyDescent="0.25">
      <c r="D2869" s="4">
        <v>35930</v>
      </c>
      <c r="E2869" s="6">
        <v>14.33</v>
      </c>
      <c r="G2869" s="4"/>
      <c r="H2869" s="5"/>
    </row>
    <row r="2870" spans="4:8" x14ac:dyDescent="0.25">
      <c r="D2870" s="4">
        <v>35933</v>
      </c>
      <c r="E2870" s="6">
        <v>14.72</v>
      </c>
      <c r="G2870" s="4"/>
      <c r="H2870" s="5"/>
    </row>
    <row r="2871" spans="4:8" x14ac:dyDescent="0.25">
      <c r="D2871" s="4">
        <v>35934</v>
      </c>
      <c r="E2871" s="6">
        <v>14.87</v>
      </c>
      <c r="G2871" s="4"/>
      <c r="H2871" s="5"/>
    </row>
    <row r="2872" spans="4:8" x14ac:dyDescent="0.25">
      <c r="D2872" s="4">
        <v>35935</v>
      </c>
      <c r="E2872" s="6">
        <v>14.58</v>
      </c>
      <c r="G2872" s="4"/>
      <c r="H2872" s="5"/>
    </row>
    <row r="2873" spans="4:8" x14ac:dyDescent="0.25">
      <c r="D2873" s="4">
        <v>35936</v>
      </c>
      <c r="E2873" s="6">
        <v>14.29</v>
      </c>
      <c r="G2873" s="4"/>
      <c r="H2873" s="5"/>
    </row>
    <row r="2874" spans="4:8" x14ac:dyDescent="0.25">
      <c r="D2874" s="4">
        <v>35937</v>
      </c>
      <c r="E2874" s="6">
        <v>14.33</v>
      </c>
      <c r="G2874" s="4"/>
      <c r="H2874" s="5"/>
    </row>
    <row r="2875" spans="4:8" x14ac:dyDescent="0.25">
      <c r="D2875" s="4">
        <v>35940</v>
      </c>
      <c r="E2875" s="5"/>
      <c r="G2875" s="4"/>
      <c r="H2875" s="5"/>
    </row>
    <row r="2876" spans="4:8" x14ac:dyDescent="0.25">
      <c r="D2876" s="4">
        <v>35941</v>
      </c>
      <c r="E2876" s="6">
        <v>14.27</v>
      </c>
      <c r="G2876" s="4"/>
      <c r="H2876" s="5"/>
    </row>
    <row r="2877" spans="4:8" x14ac:dyDescent="0.25">
      <c r="D2877" s="4">
        <v>35942</v>
      </c>
      <c r="E2877" s="6">
        <v>14.78</v>
      </c>
      <c r="G2877" s="4"/>
      <c r="H2877" s="5"/>
    </row>
    <row r="2878" spans="4:8" x14ac:dyDescent="0.25">
      <c r="D2878" s="4">
        <v>35943</v>
      </c>
      <c r="E2878" s="6">
        <v>14.71</v>
      </c>
      <c r="G2878" s="4"/>
      <c r="H2878" s="5"/>
    </row>
    <row r="2879" spans="4:8" x14ac:dyDescent="0.25">
      <c r="D2879" s="4">
        <v>35944</v>
      </c>
      <c r="E2879" s="6">
        <v>14.03</v>
      </c>
      <c r="G2879" s="4"/>
      <c r="H2879" s="5"/>
    </row>
    <row r="2880" spans="4:8" x14ac:dyDescent="0.25">
      <c r="D2880" s="4">
        <v>35947</v>
      </c>
      <c r="E2880" s="6">
        <v>13.66</v>
      </c>
      <c r="G2880" s="4"/>
      <c r="H2880" s="5"/>
    </row>
    <row r="2881" spans="4:8" x14ac:dyDescent="0.25">
      <c r="D2881" s="4">
        <v>35948</v>
      </c>
      <c r="E2881" s="6">
        <v>13.62</v>
      </c>
      <c r="G2881" s="4"/>
      <c r="H2881" s="5"/>
    </row>
    <row r="2882" spans="4:8" x14ac:dyDescent="0.25">
      <c r="D2882" s="4">
        <v>35949</v>
      </c>
      <c r="E2882" s="6">
        <v>13.23</v>
      </c>
      <c r="G2882" s="4"/>
      <c r="H2882" s="5"/>
    </row>
    <row r="2883" spans="4:8" x14ac:dyDescent="0.25">
      <c r="D2883" s="4">
        <v>35950</v>
      </c>
      <c r="E2883" s="6">
        <v>13.71</v>
      </c>
      <c r="G2883" s="4"/>
      <c r="H2883" s="5"/>
    </row>
    <row r="2884" spans="4:8" x14ac:dyDescent="0.25">
      <c r="D2884" s="4">
        <v>35951</v>
      </c>
      <c r="E2884" s="6">
        <v>13.95</v>
      </c>
      <c r="G2884" s="4"/>
      <c r="H2884" s="5"/>
    </row>
    <row r="2885" spans="4:8" x14ac:dyDescent="0.25">
      <c r="D2885" s="4">
        <v>35954</v>
      </c>
      <c r="E2885" s="6">
        <v>13.56</v>
      </c>
      <c r="G2885" s="4"/>
      <c r="H2885" s="5"/>
    </row>
    <row r="2886" spans="4:8" x14ac:dyDescent="0.25">
      <c r="D2886" s="4">
        <v>35955</v>
      </c>
      <c r="E2886" s="6">
        <v>12.76</v>
      </c>
      <c r="G2886" s="4"/>
      <c r="H2886" s="5"/>
    </row>
    <row r="2887" spans="4:8" x14ac:dyDescent="0.25">
      <c r="D2887" s="4">
        <v>35956</v>
      </c>
      <c r="E2887" s="6">
        <v>12.23</v>
      </c>
      <c r="G2887" s="4"/>
      <c r="H2887" s="5"/>
    </row>
    <row r="2888" spans="4:8" x14ac:dyDescent="0.25">
      <c r="D2888" s="4">
        <v>35957</v>
      </c>
      <c r="E2888" s="6">
        <v>12.12</v>
      </c>
      <c r="G2888" s="4"/>
      <c r="H2888" s="5"/>
    </row>
    <row r="2889" spans="4:8" x14ac:dyDescent="0.25">
      <c r="D2889" s="4">
        <v>35958</v>
      </c>
      <c r="E2889" s="6">
        <v>11.62</v>
      </c>
      <c r="G2889" s="4"/>
      <c r="H2889" s="5"/>
    </row>
    <row r="2890" spans="4:8" x14ac:dyDescent="0.25">
      <c r="D2890" s="4">
        <v>35961</v>
      </c>
      <c r="E2890" s="6">
        <v>10.77</v>
      </c>
      <c r="G2890" s="4"/>
      <c r="H2890" s="5"/>
    </row>
    <row r="2891" spans="4:8" x14ac:dyDescent="0.25">
      <c r="D2891" s="4">
        <v>35962</v>
      </c>
      <c r="E2891" s="6">
        <v>10.77</v>
      </c>
      <c r="G2891" s="4"/>
      <c r="H2891" s="5"/>
    </row>
    <row r="2892" spans="4:8" x14ac:dyDescent="0.25">
      <c r="D2892" s="4">
        <v>35963</v>
      </c>
      <c r="E2892" s="6">
        <v>11.3</v>
      </c>
      <c r="G2892" s="4"/>
      <c r="H2892" s="5"/>
    </row>
    <row r="2893" spans="4:8" x14ac:dyDescent="0.25">
      <c r="D2893" s="4">
        <v>35964</v>
      </c>
      <c r="E2893" s="6">
        <v>10.88</v>
      </c>
      <c r="G2893" s="4"/>
      <c r="H2893" s="5"/>
    </row>
    <row r="2894" spans="4:8" x14ac:dyDescent="0.25">
      <c r="D2894" s="4">
        <v>35965</v>
      </c>
      <c r="E2894" s="6">
        <v>10.89</v>
      </c>
      <c r="G2894" s="4"/>
      <c r="H2894" s="5"/>
    </row>
    <row r="2895" spans="4:8" x14ac:dyDescent="0.25">
      <c r="D2895" s="4">
        <v>35968</v>
      </c>
      <c r="E2895" s="6">
        <v>11.23</v>
      </c>
      <c r="G2895" s="4"/>
      <c r="H2895" s="5"/>
    </row>
    <row r="2896" spans="4:8" x14ac:dyDescent="0.25">
      <c r="D2896" s="4">
        <v>35969</v>
      </c>
      <c r="E2896" s="6">
        <v>12.09</v>
      </c>
      <c r="G2896" s="4"/>
      <c r="H2896" s="5"/>
    </row>
    <row r="2897" spans="4:8" x14ac:dyDescent="0.25">
      <c r="D2897" s="4">
        <v>35970</v>
      </c>
      <c r="E2897" s="6">
        <v>12.5</v>
      </c>
      <c r="G2897" s="4"/>
      <c r="H2897" s="5"/>
    </row>
    <row r="2898" spans="4:8" x14ac:dyDescent="0.25">
      <c r="D2898" s="4">
        <v>35971</v>
      </c>
      <c r="E2898" s="6">
        <v>11.94</v>
      </c>
      <c r="G2898" s="4"/>
      <c r="H2898" s="5"/>
    </row>
    <row r="2899" spans="4:8" x14ac:dyDescent="0.25">
      <c r="D2899" s="4">
        <v>35972</v>
      </c>
      <c r="E2899" s="6">
        <v>12.04</v>
      </c>
      <c r="G2899" s="4"/>
      <c r="H2899" s="5"/>
    </row>
    <row r="2900" spans="4:8" x14ac:dyDescent="0.25">
      <c r="D2900" s="4">
        <v>35975</v>
      </c>
      <c r="E2900" s="6">
        <v>11.83</v>
      </c>
      <c r="G2900" s="4"/>
      <c r="H2900" s="5"/>
    </row>
    <row r="2901" spans="4:8" x14ac:dyDescent="0.25">
      <c r="D2901" s="4">
        <v>35976</v>
      </c>
      <c r="E2901" s="6">
        <v>11.84</v>
      </c>
      <c r="G2901" s="4"/>
      <c r="H2901" s="5"/>
    </row>
    <row r="2902" spans="4:8" x14ac:dyDescent="0.25">
      <c r="D2902" s="4">
        <v>35977</v>
      </c>
      <c r="E2902" s="6">
        <v>11.93</v>
      </c>
      <c r="G2902" s="4"/>
      <c r="H2902" s="5"/>
    </row>
    <row r="2903" spans="4:8" x14ac:dyDescent="0.25">
      <c r="D2903" s="4">
        <v>35978</v>
      </c>
      <c r="E2903" s="6">
        <v>11.95</v>
      </c>
      <c r="G2903" s="4"/>
      <c r="H2903" s="5"/>
    </row>
    <row r="2904" spans="4:8" x14ac:dyDescent="0.25">
      <c r="D2904" s="4">
        <v>35979</v>
      </c>
      <c r="E2904" s="6">
        <v>11.79</v>
      </c>
      <c r="G2904" s="4"/>
      <c r="H2904" s="5"/>
    </row>
    <row r="2905" spans="4:8" x14ac:dyDescent="0.25">
      <c r="D2905" s="4">
        <v>35982</v>
      </c>
      <c r="E2905" s="6">
        <v>11.7</v>
      </c>
      <c r="G2905" s="4"/>
      <c r="H2905" s="5"/>
    </row>
    <row r="2906" spans="4:8" x14ac:dyDescent="0.25">
      <c r="D2906" s="4">
        <v>35983</v>
      </c>
      <c r="E2906" s="6">
        <v>11.66</v>
      </c>
      <c r="G2906" s="4"/>
      <c r="H2906" s="5"/>
    </row>
    <row r="2907" spans="4:8" x14ac:dyDescent="0.25">
      <c r="D2907" s="4">
        <v>35984</v>
      </c>
      <c r="E2907" s="6">
        <v>11.71</v>
      </c>
      <c r="G2907" s="4"/>
      <c r="H2907" s="5"/>
    </row>
    <row r="2908" spans="4:8" x14ac:dyDescent="0.25">
      <c r="D2908" s="4">
        <v>35985</v>
      </c>
      <c r="E2908" s="6">
        <v>11.61</v>
      </c>
      <c r="G2908" s="4"/>
      <c r="H2908" s="5"/>
    </row>
    <row r="2909" spans="4:8" x14ac:dyDescent="0.25">
      <c r="D2909" s="4">
        <v>35986</v>
      </c>
      <c r="E2909" s="6">
        <v>11.61</v>
      </c>
      <c r="G2909" s="4"/>
      <c r="H2909" s="5"/>
    </row>
    <row r="2910" spans="4:8" x14ac:dyDescent="0.25">
      <c r="D2910" s="4">
        <v>35989</v>
      </c>
      <c r="E2910" s="6">
        <v>11.56</v>
      </c>
      <c r="G2910" s="4"/>
      <c r="H2910" s="5"/>
    </row>
    <row r="2911" spans="4:8" x14ac:dyDescent="0.25">
      <c r="D2911" s="4">
        <v>35990</v>
      </c>
      <c r="E2911" s="6">
        <v>11.83</v>
      </c>
      <c r="G2911" s="4"/>
      <c r="H2911" s="5"/>
    </row>
    <row r="2912" spans="4:8" x14ac:dyDescent="0.25">
      <c r="D2912" s="4">
        <v>35991</v>
      </c>
      <c r="E2912" s="6">
        <v>11.79</v>
      </c>
      <c r="G2912" s="4"/>
      <c r="H2912" s="5"/>
    </row>
    <row r="2913" spans="4:8" x14ac:dyDescent="0.25">
      <c r="D2913" s="4">
        <v>35992</v>
      </c>
      <c r="E2913" s="6">
        <v>12.65</v>
      </c>
      <c r="G2913" s="4"/>
      <c r="H2913" s="5"/>
    </row>
    <row r="2914" spans="4:8" x14ac:dyDescent="0.25">
      <c r="D2914" s="4">
        <v>35993</v>
      </c>
      <c r="E2914" s="6">
        <v>12.38</v>
      </c>
      <c r="G2914" s="4"/>
      <c r="H2914" s="5"/>
    </row>
    <row r="2915" spans="4:8" x14ac:dyDescent="0.25">
      <c r="D2915" s="4">
        <v>35996</v>
      </c>
      <c r="E2915" s="6">
        <v>12.11</v>
      </c>
      <c r="G2915" s="4"/>
      <c r="H2915" s="5"/>
    </row>
    <row r="2916" spans="4:8" x14ac:dyDescent="0.25">
      <c r="D2916" s="4">
        <v>35997</v>
      </c>
      <c r="E2916" s="6">
        <v>12.01</v>
      </c>
      <c r="G2916" s="4"/>
      <c r="H2916" s="5"/>
    </row>
    <row r="2917" spans="4:8" x14ac:dyDescent="0.25">
      <c r="D2917" s="4">
        <v>35998</v>
      </c>
      <c r="E2917" s="6">
        <v>12.21</v>
      </c>
      <c r="G2917" s="4"/>
      <c r="H2917" s="5"/>
    </row>
    <row r="2918" spans="4:8" x14ac:dyDescent="0.25">
      <c r="D2918" s="4">
        <v>35999</v>
      </c>
      <c r="E2918" s="6">
        <v>12.23</v>
      </c>
      <c r="G2918" s="4"/>
      <c r="H2918" s="5"/>
    </row>
    <row r="2919" spans="4:8" x14ac:dyDescent="0.25">
      <c r="D2919" s="4">
        <v>36000</v>
      </c>
      <c r="E2919" s="6">
        <v>12.05</v>
      </c>
      <c r="G2919" s="4"/>
      <c r="H2919" s="5"/>
    </row>
    <row r="2920" spans="4:8" x14ac:dyDescent="0.25">
      <c r="D2920" s="4">
        <v>36003</v>
      </c>
      <c r="E2920" s="6">
        <v>12.53</v>
      </c>
      <c r="G2920" s="4"/>
      <c r="H2920" s="5"/>
    </row>
    <row r="2921" spans="4:8" x14ac:dyDescent="0.25">
      <c r="D2921" s="4">
        <v>36004</v>
      </c>
      <c r="E2921" s="6">
        <v>12.74</v>
      </c>
      <c r="G2921" s="4"/>
      <c r="H2921" s="5"/>
    </row>
    <row r="2922" spans="4:8" x14ac:dyDescent="0.25">
      <c r="D2922" s="4">
        <v>36005</v>
      </c>
      <c r="E2922" s="6">
        <v>12.6</v>
      </c>
      <c r="G2922" s="4"/>
      <c r="H2922" s="5"/>
    </row>
    <row r="2923" spans="4:8" x14ac:dyDescent="0.25">
      <c r="D2923" s="4">
        <v>36006</v>
      </c>
      <c r="E2923" s="6">
        <v>12.55</v>
      </c>
      <c r="G2923" s="4"/>
      <c r="H2923" s="5"/>
    </row>
    <row r="2924" spans="4:8" x14ac:dyDescent="0.25">
      <c r="D2924" s="4">
        <v>36007</v>
      </c>
      <c r="E2924" s="6">
        <v>12.63</v>
      </c>
      <c r="G2924" s="4"/>
      <c r="H2924" s="5"/>
    </row>
    <row r="2925" spans="4:8" x14ac:dyDescent="0.25">
      <c r="D2925" s="4">
        <v>36010</v>
      </c>
      <c r="E2925" s="6">
        <v>12.04</v>
      </c>
      <c r="G2925" s="4"/>
      <c r="H2925" s="5"/>
    </row>
    <row r="2926" spans="4:8" x14ac:dyDescent="0.25">
      <c r="D2926" s="4">
        <v>36011</v>
      </c>
      <c r="E2926" s="6">
        <v>12.03</v>
      </c>
      <c r="G2926" s="4"/>
      <c r="H2926" s="5"/>
    </row>
    <row r="2927" spans="4:8" x14ac:dyDescent="0.25">
      <c r="D2927" s="4">
        <v>36012</v>
      </c>
      <c r="E2927" s="6">
        <v>12.32</v>
      </c>
      <c r="G2927" s="4"/>
      <c r="H2927" s="5"/>
    </row>
    <row r="2928" spans="4:8" x14ac:dyDescent="0.25">
      <c r="D2928" s="4">
        <v>36013</v>
      </c>
      <c r="E2928" s="6">
        <v>12.08</v>
      </c>
      <c r="G2928" s="4"/>
      <c r="H2928" s="5"/>
    </row>
    <row r="2929" spans="4:8" x14ac:dyDescent="0.25">
      <c r="D2929" s="4">
        <v>36014</v>
      </c>
      <c r="E2929" s="6">
        <v>12.05</v>
      </c>
      <c r="G2929" s="4"/>
      <c r="H2929" s="5"/>
    </row>
    <row r="2930" spans="4:8" x14ac:dyDescent="0.25">
      <c r="D2930" s="4">
        <v>36017</v>
      </c>
      <c r="E2930" s="6">
        <v>11.62</v>
      </c>
      <c r="G2930" s="4"/>
      <c r="H2930" s="5"/>
    </row>
    <row r="2931" spans="4:8" x14ac:dyDescent="0.25">
      <c r="D2931" s="4">
        <v>36018</v>
      </c>
      <c r="E2931" s="6">
        <v>11.16</v>
      </c>
      <c r="G2931" s="4"/>
      <c r="H2931" s="5"/>
    </row>
    <row r="2932" spans="4:8" x14ac:dyDescent="0.25">
      <c r="D2932" s="4">
        <v>36019</v>
      </c>
      <c r="E2932" s="6">
        <v>11.24</v>
      </c>
      <c r="G2932" s="4"/>
      <c r="H2932" s="5"/>
    </row>
    <row r="2933" spans="4:8" x14ac:dyDescent="0.25">
      <c r="D2933" s="4">
        <v>36020</v>
      </c>
      <c r="E2933" s="6">
        <v>11.48</v>
      </c>
      <c r="G2933" s="4"/>
      <c r="H2933" s="5"/>
    </row>
    <row r="2934" spans="4:8" x14ac:dyDescent="0.25">
      <c r="D2934" s="4">
        <v>36021</v>
      </c>
      <c r="E2934" s="6">
        <v>11.46</v>
      </c>
      <c r="G2934" s="4"/>
      <c r="H2934" s="5"/>
    </row>
    <row r="2935" spans="4:8" x14ac:dyDescent="0.25">
      <c r="D2935" s="4">
        <v>36024</v>
      </c>
      <c r="E2935" s="6">
        <v>11.93</v>
      </c>
      <c r="G2935" s="4"/>
      <c r="H2935" s="5"/>
    </row>
    <row r="2936" spans="4:8" x14ac:dyDescent="0.25">
      <c r="D2936" s="4">
        <v>36025</v>
      </c>
      <c r="E2936" s="6">
        <v>11.87</v>
      </c>
      <c r="G2936" s="4"/>
      <c r="H2936" s="5"/>
    </row>
    <row r="2937" spans="4:8" x14ac:dyDescent="0.25">
      <c r="D2937" s="4">
        <v>36026</v>
      </c>
      <c r="E2937" s="6">
        <v>11.99</v>
      </c>
      <c r="G2937" s="4"/>
      <c r="H2937" s="5"/>
    </row>
    <row r="2938" spans="4:8" x14ac:dyDescent="0.25">
      <c r="D2938" s="4">
        <v>36027</v>
      </c>
      <c r="E2938" s="6">
        <v>12.21</v>
      </c>
      <c r="G2938" s="4"/>
      <c r="H2938" s="5"/>
    </row>
    <row r="2939" spans="4:8" x14ac:dyDescent="0.25">
      <c r="D2939" s="4">
        <v>36028</v>
      </c>
      <c r="E2939" s="6">
        <v>12.02</v>
      </c>
      <c r="G2939" s="4"/>
      <c r="H2939" s="5"/>
    </row>
    <row r="2940" spans="4:8" x14ac:dyDescent="0.25">
      <c r="D2940" s="4">
        <v>36031</v>
      </c>
      <c r="E2940" s="6">
        <v>12.15</v>
      </c>
      <c r="G2940" s="4"/>
      <c r="H2940" s="5"/>
    </row>
    <row r="2941" spans="4:8" x14ac:dyDescent="0.25">
      <c r="D2941" s="4">
        <v>36032</v>
      </c>
      <c r="E2941" s="6">
        <v>12.43</v>
      </c>
      <c r="G2941" s="4"/>
      <c r="H2941" s="5"/>
    </row>
    <row r="2942" spans="4:8" x14ac:dyDescent="0.25">
      <c r="D2942" s="4">
        <v>36033</v>
      </c>
      <c r="E2942" s="6">
        <v>12.24</v>
      </c>
      <c r="G2942" s="4"/>
      <c r="H2942" s="5"/>
    </row>
    <row r="2943" spans="4:8" x14ac:dyDescent="0.25">
      <c r="D2943" s="4">
        <v>36034</v>
      </c>
      <c r="E2943" s="6">
        <v>11.9</v>
      </c>
      <c r="G2943" s="4"/>
      <c r="H2943" s="5"/>
    </row>
    <row r="2944" spans="4:8" x14ac:dyDescent="0.25">
      <c r="D2944" s="4">
        <v>36035</v>
      </c>
      <c r="E2944" s="6">
        <v>12.06</v>
      </c>
      <c r="G2944" s="4"/>
      <c r="H2944" s="5"/>
    </row>
    <row r="2945" spans="4:8" x14ac:dyDescent="0.25">
      <c r="D2945" s="4">
        <v>36038</v>
      </c>
      <c r="E2945" s="5"/>
      <c r="G2945" s="4"/>
      <c r="H2945" s="5"/>
    </row>
    <row r="2946" spans="4:8" x14ac:dyDescent="0.25">
      <c r="D2946" s="4">
        <v>36039</v>
      </c>
      <c r="E2946" s="6">
        <v>12.11</v>
      </c>
      <c r="G2946" s="4"/>
      <c r="H2946" s="5"/>
    </row>
    <row r="2947" spans="4:8" x14ac:dyDescent="0.25">
      <c r="D2947" s="4">
        <v>36040</v>
      </c>
      <c r="E2947" s="6">
        <v>12.05</v>
      </c>
      <c r="G2947" s="4"/>
      <c r="H2947" s="5"/>
    </row>
    <row r="2948" spans="4:8" x14ac:dyDescent="0.25">
      <c r="D2948" s="4">
        <v>36041</v>
      </c>
      <c r="E2948" s="6">
        <v>12.54</v>
      </c>
      <c r="G2948" s="4"/>
      <c r="H2948" s="5"/>
    </row>
    <row r="2949" spans="4:8" x14ac:dyDescent="0.25">
      <c r="D2949" s="4">
        <v>36042</v>
      </c>
      <c r="E2949" s="6">
        <v>12.96</v>
      </c>
      <c r="G2949" s="4"/>
      <c r="H2949" s="5"/>
    </row>
    <row r="2950" spans="4:8" x14ac:dyDescent="0.25">
      <c r="D2950" s="4">
        <v>36045</v>
      </c>
      <c r="E2950" s="6">
        <v>12.51</v>
      </c>
      <c r="G2950" s="4"/>
      <c r="H2950" s="5"/>
    </row>
    <row r="2951" spans="4:8" x14ac:dyDescent="0.25">
      <c r="D2951" s="4">
        <v>36046</v>
      </c>
      <c r="E2951" s="6">
        <v>12.53</v>
      </c>
      <c r="G2951" s="4"/>
      <c r="H2951" s="5"/>
    </row>
    <row r="2952" spans="4:8" x14ac:dyDescent="0.25">
      <c r="D2952" s="4">
        <v>36047</v>
      </c>
      <c r="E2952" s="6">
        <v>12.53</v>
      </c>
      <c r="G2952" s="4"/>
      <c r="H2952" s="5"/>
    </row>
    <row r="2953" spans="4:8" x14ac:dyDescent="0.25">
      <c r="D2953" s="4">
        <v>36048</v>
      </c>
      <c r="E2953" s="6">
        <v>12.82</v>
      </c>
      <c r="G2953" s="4"/>
      <c r="H2953" s="5"/>
    </row>
    <row r="2954" spans="4:8" x14ac:dyDescent="0.25">
      <c r="D2954" s="4">
        <v>36049</v>
      </c>
      <c r="E2954" s="6">
        <v>12.66</v>
      </c>
      <c r="G2954" s="4"/>
      <c r="H2954" s="5"/>
    </row>
    <row r="2955" spans="4:8" x14ac:dyDescent="0.25">
      <c r="D2955" s="4">
        <v>36052</v>
      </c>
      <c r="E2955" s="6">
        <v>12.47</v>
      </c>
      <c r="G2955" s="4"/>
      <c r="H2955" s="5"/>
    </row>
    <row r="2956" spans="4:8" x14ac:dyDescent="0.25">
      <c r="D2956" s="4">
        <v>36053</v>
      </c>
      <c r="E2956" s="6">
        <v>12.61</v>
      </c>
      <c r="G2956" s="4"/>
      <c r="H2956" s="5"/>
    </row>
    <row r="2957" spans="4:8" x14ac:dyDescent="0.25">
      <c r="D2957" s="4">
        <v>36054</v>
      </c>
      <c r="E2957" s="6">
        <v>12.65</v>
      </c>
      <c r="G2957" s="4"/>
      <c r="H2957" s="5"/>
    </row>
    <row r="2958" spans="4:8" x14ac:dyDescent="0.25">
      <c r="D2958" s="4">
        <v>36055</v>
      </c>
      <c r="E2958" s="6">
        <v>12.97</v>
      </c>
      <c r="G2958" s="4"/>
      <c r="H2958" s="5"/>
    </row>
    <row r="2959" spans="4:8" x14ac:dyDescent="0.25">
      <c r="D2959" s="4">
        <v>36056</v>
      </c>
      <c r="E2959" s="6">
        <v>13.92</v>
      </c>
      <c r="G2959" s="4"/>
      <c r="H2959" s="5"/>
    </row>
    <row r="2960" spans="4:8" x14ac:dyDescent="0.25">
      <c r="D2960" s="4">
        <v>36059</v>
      </c>
      <c r="E2960" s="6">
        <v>14.31</v>
      </c>
      <c r="G2960" s="4"/>
      <c r="H2960" s="5"/>
    </row>
    <row r="2961" spans="4:8" x14ac:dyDescent="0.25">
      <c r="D2961" s="4">
        <v>36060</v>
      </c>
      <c r="E2961" s="6">
        <v>14.36</v>
      </c>
      <c r="G2961" s="4"/>
      <c r="H2961" s="5"/>
    </row>
    <row r="2962" spans="4:8" x14ac:dyDescent="0.25">
      <c r="D2962" s="4">
        <v>36061</v>
      </c>
      <c r="E2962" s="6">
        <v>14.67</v>
      </c>
      <c r="G2962" s="4"/>
      <c r="H2962" s="5"/>
    </row>
    <row r="2963" spans="4:8" x14ac:dyDescent="0.25">
      <c r="D2963" s="4">
        <v>36062</v>
      </c>
      <c r="E2963" s="6">
        <v>14.84</v>
      </c>
      <c r="G2963" s="4"/>
      <c r="H2963" s="5"/>
    </row>
    <row r="2964" spans="4:8" x14ac:dyDescent="0.25">
      <c r="D2964" s="4">
        <v>36063</v>
      </c>
      <c r="E2964" s="6">
        <v>14.55</v>
      </c>
      <c r="G2964" s="4"/>
      <c r="H2964" s="5"/>
    </row>
    <row r="2965" spans="4:8" x14ac:dyDescent="0.25">
      <c r="D2965" s="4">
        <v>36066</v>
      </c>
      <c r="E2965" s="6">
        <v>14.41</v>
      </c>
      <c r="G2965" s="4"/>
      <c r="H2965" s="5"/>
    </row>
    <row r="2966" spans="4:8" x14ac:dyDescent="0.25">
      <c r="D2966" s="4">
        <v>36067</v>
      </c>
      <c r="E2966" s="6">
        <v>14.38</v>
      </c>
      <c r="G2966" s="4"/>
      <c r="H2966" s="5"/>
    </row>
    <row r="2967" spans="4:8" x14ac:dyDescent="0.25">
      <c r="D2967" s="4">
        <v>36068</v>
      </c>
      <c r="E2967" s="6">
        <v>14.71</v>
      </c>
      <c r="G2967" s="4"/>
      <c r="H2967" s="5"/>
    </row>
    <row r="2968" spans="4:8" x14ac:dyDescent="0.25">
      <c r="D2968" s="4">
        <v>36069</v>
      </c>
      <c r="E2968" s="6">
        <v>14.46</v>
      </c>
      <c r="G2968" s="4"/>
      <c r="H2968" s="5"/>
    </row>
    <row r="2969" spans="4:8" x14ac:dyDescent="0.25">
      <c r="D2969" s="4">
        <v>36070</v>
      </c>
      <c r="E2969" s="6">
        <v>14.21</v>
      </c>
      <c r="G2969" s="4"/>
      <c r="H2969" s="5"/>
    </row>
    <row r="2970" spans="4:8" x14ac:dyDescent="0.25">
      <c r="D2970" s="4">
        <v>36073</v>
      </c>
      <c r="E2970" s="6">
        <v>14.1</v>
      </c>
      <c r="G2970" s="4"/>
      <c r="H2970" s="5"/>
    </row>
    <row r="2971" spans="4:8" x14ac:dyDescent="0.25">
      <c r="D2971" s="4">
        <v>36074</v>
      </c>
      <c r="E2971" s="6">
        <v>13.98</v>
      </c>
      <c r="G2971" s="4"/>
      <c r="H2971" s="5"/>
    </row>
    <row r="2972" spans="4:8" x14ac:dyDescent="0.25">
      <c r="D2972" s="4">
        <v>36075</v>
      </c>
      <c r="E2972" s="6">
        <v>13.88</v>
      </c>
      <c r="G2972" s="4"/>
      <c r="H2972" s="5"/>
    </row>
    <row r="2973" spans="4:8" x14ac:dyDescent="0.25">
      <c r="D2973" s="4">
        <v>36076</v>
      </c>
      <c r="E2973" s="6">
        <v>13.23</v>
      </c>
      <c r="G2973" s="4"/>
      <c r="H2973" s="5"/>
    </row>
    <row r="2974" spans="4:8" x14ac:dyDescent="0.25">
      <c r="D2974" s="4">
        <v>36077</v>
      </c>
      <c r="E2974" s="6">
        <v>12.87</v>
      </c>
      <c r="G2974" s="4"/>
      <c r="H2974" s="5"/>
    </row>
    <row r="2975" spans="4:8" x14ac:dyDescent="0.25">
      <c r="D2975" s="4">
        <v>36080</v>
      </c>
      <c r="E2975" s="6">
        <v>13.18</v>
      </c>
      <c r="G2975" s="4"/>
      <c r="H2975" s="5"/>
    </row>
    <row r="2976" spans="4:8" x14ac:dyDescent="0.25">
      <c r="D2976" s="4">
        <v>36081</v>
      </c>
      <c r="E2976" s="6">
        <v>12.73</v>
      </c>
      <c r="G2976" s="4"/>
      <c r="H2976" s="5"/>
    </row>
    <row r="2977" spans="4:8" x14ac:dyDescent="0.25">
      <c r="D2977" s="4">
        <v>36082</v>
      </c>
      <c r="E2977" s="6">
        <v>12.26</v>
      </c>
      <c r="G2977" s="4"/>
      <c r="H2977" s="5"/>
    </row>
    <row r="2978" spans="4:8" x14ac:dyDescent="0.25">
      <c r="D2978" s="4">
        <v>36083</v>
      </c>
      <c r="E2978" s="6">
        <v>11.98</v>
      </c>
      <c r="G2978" s="4"/>
      <c r="H2978" s="5"/>
    </row>
    <row r="2979" spans="4:8" x14ac:dyDescent="0.25">
      <c r="D2979" s="4">
        <v>36084</v>
      </c>
      <c r="E2979" s="6">
        <v>12.11</v>
      </c>
      <c r="G2979" s="4"/>
      <c r="H2979" s="5"/>
    </row>
    <row r="2980" spans="4:8" x14ac:dyDescent="0.25">
      <c r="D2980" s="4">
        <v>36087</v>
      </c>
      <c r="E2980" s="6">
        <v>11.6</v>
      </c>
      <c r="G2980" s="4"/>
      <c r="H2980" s="5"/>
    </row>
    <row r="2981" spans="4:8" x14ac:dyDescent="0.25">
      <c r="D2981" s="4">
        <v>36088</v>
      </c>
      <c r="E2981" s="6">
        <v>11.29</v>
      </c>
      <c r="G2981" s="4"/>
      <c r="H2981" s="5"/>
    </row>
    <row r="2982" spans="4:8" x14ac:dyDescent="0.25">
      <c r="D2982" s="4">
        <v>36089</v>
      </c>
      <c r="E2982" s="6">
        <v>11.94</v>
      </c>
      <c r="G2982" s="4"/>
      <c r="H2982" s="5"/>
    </row>
    <row r="2983" spans="4:8" x14ac:dyDescent="0.25">
      <c r="D2983" s="4">
        <v>36090</v>
      </c>
      <c r="E2983" s="6">
        <v>11.68</v>
      </c>
      <c r="G2983" s="4"/>
      <c r="H2983" s="5"/>
    </row>
    <row r="2984" spans="4:8" x14ac:dyDescent="0.25">
      <c r="D2984" s="4">
        <v>36091</v>
      </c>
      <c r="E2984" s="6">
        <v>12.18</v>
      </c>
      <c r="G2984" s="4"/>
      <c r="H2984" s="5"/>
    </row>
    <row r="2985" spans="4:8" x14ac:dyDescent="0.25">
      <c r="D2985" s="4">
        <v>36094</v>
      </c>
      <c r="E2985" s="6">
        <v>12.74</v>
      </c>
      <c r="G2985" s="4"/>
      <c r="H2985" s="5"/>
    </row>
    <row r="2986" spans="4:8" x14ac:dyDescent="0.25">
      <c r="D2986" s="4">
        <v>36095</v>
      </c>
      <c r="E2986" s="6">
        <v>12.46</v>
      </c>
      <c r="G2986" s="4"/>
      <c r="H2986" s="5"/>
    </row>
    <row r="2987" spans="4:8" x14ac:dyDescent="0.25">
      <c r="D2987" s="4">
        <v>36096</v>
      </c>
      <c r="E2987" s="6">
        <v>12.26</v>
      </c>
      <c r="G2987" s="4"/>
      <c r="H2987" s="5"/>
    </row>
    <row r="2988" spans="4:8" x14ac:dyDescent="0.25">
      <c r="D2988" s="4">
        <v>36097</v>
      </c>
      <c r="E2988" s="6">
        <v>12.31</v>
      </c>
      <c r="G2988" s="4"/>
      <c r="H2988" s="5"/>
    </row>
    <row r="2989" spans="4:8" x14ac:dyDescent="0.25">
      <c r="D2989" s="4">
        <v>36098</v>
      </c>
      <c r="E2989" s="6">
        <v>12</v>
      </c>
      <c r="G2989" s="4"/>
      <c r="H2989" s="5"/>
    </row>
    <row r="2990" spans="4:8" x14ac:dyDescent="0.25">
      <c r="D2990" s="4">
        <v>36101</v>
      </c>
      <c r="E2990" s="6">
        <v>12.43</v>
      </c>
      <c r="G2990" s="4"/>
      <c r="H2990" s="5"/>
    </row>
    <row r="2991" spans="4:8" x14ac:dyDescent="0.25">
      <c r="D2991" s="4">
        <v>36102</v>
      </c>
      <c r="E2991" s="6">
        <v>11.93</v>
      </c>
      <c r="G2991" s="4"/>
      <c r="H2991" s="5"/>
    </row>
    <row r="2992" spans="4:8" x14ac:dyDescent="0.25">
      <c r="D2992" s="4">
        <v>36103</v>
      </c>
      <c r="E2992" s="6">
        <v>11.88</v>
      </c>
      <c r="G2992" s="4"/>
      <c r="H2992" s="5"/>
    </row>
    <row r="2993" spans="4:8" x14ac:dyDescent="0.25">
      <c r="D2993" s="4">
        <v>36104</v>
      </c>
      <c r="E2993" s="6">
        <v>11.73</v>
      </c>
      <c r="G2993" s="4"/>
      <c r="H2993" s="5"/>
    </row>
    <row r="2994" spans="4:8" x14ac:dyDescent="0.25">
      <c r="D2994" s="4">
        <v>36105</v>
      </c>
      <c r="E2994" s="6">
        <v>11.51</v>
      </c>
      <c r="G2994" s="4"/>
      <c r="H2994" s="5"/>
    </row>
    <row r="2995" spans="4:8" x14ac:dyDescent="0.25">
      <c r="D2995" s="4">
        <v>36108</v>
      </c>
      <c r="E2995" s="6">
        <v>11.15</v>
      </c>
      <c r="G2995" s="4"/>
      <c r="H2995" s="5"/>
    </row>
    <row r="2996" spans="4:8" x14ac:dyDescent="0.25">
      <c r="D2996" s="4">
        <v>36109</v>
      </c>
      <c r="E2996" s="6">
        <v>11.18</v>
      </c>
      <c r="G2996" s="4"/>
      <c r="H2996" s="5"/>
    </row>
    <row r="2997" spans="4:8" x14ac:dyDescent="0.25">
      <c r="D2997" s="4">
        <v>36110</v>
      </c>
      <c r="E2997" s="6">
        <v>11.45</v>
      </c>
      <c r="G2997" s="4"/>
      <c r="H2997" s="5"/>
    </row>
    <row r="2998" spans="4:8" x14ac:dyDescent="0.25">
      <c r="D2998" s="4">
        <v>36111</v>
      </c>
      <c r="E2998" s="6">
        <v>11.56</v>
      </c>
      <c r="G2998" s="4"/>
      <c r="H2998" s="5"/>
    </row>
    <row r="2999" spans="4:8" x14ac:dyDescent="0.25">
      <c r="D2999" s="4">
        <v>36112</v>
      </c>
      <c r="E2999" s="6">
        <v>11.46</v>
      </c>
      <c r="G2999" s="4"/>
      <c r="H2999" s="5"/>
    </row>
    <row r="3000" spans="4:8" x14ac:dyDescent="0.25">
      <c r="D3000" s="4">
        <v>36115</v>
      </c>
      <c r="E3000" s="6">
        <v>11.1</v>
      </c>
      <c r="G3000" s="4"/>
      <c r="H3000" s="5"/>
    </row>
    <row r="3001" spans="4:8" x14ac:dyDescent="0.25">
      <c r="D3001" s="4">
        <v>36116</v>
      </c>
      <c r="E3001" s="6">
        <v>10.62</v>
      </c>
      <c r="G3001" s="4"/>
      <c r="H3001" s="5"/>
    </row>
    <row r="3002" spans="4:8" x14ac:dyDescent="0.25">
      <c r="D3002" s="4">
        <v>36117</v>
      </c>
      <c r="E3002" s="6">
        <v>10.25</v>
      </c>
      <c r="G3002" s="4"/>
      <c r="H3002" s="5"/>
    </row>
    <row r="3003" spans="4:8" x14ac:dyDescent="0.25">
      <c r="D3003" s="4">
        <v>36118</v>
      </c>
      <c r="E3003" s="6">
        <v>10.45</v>
      </c>
      <c r="G3003" s="4"/>
      <c r="H3003" s="5"/>
    </row>
    <row r="3004" spans="4:8" x14ac:dyDescent="0.25">
      <c r="D3004" s="4">
        <v>36119</v>
      </c>
      <c r="E3004" s="6">
        <v>10.4</v>
      </c>
      <c r="G3004" s="4"/>
      <c r="H3004" s="5"/>
    </row>
    <row r="3005" spans="4:8" x14ac:dyDescent="0.25">
      <c r="D3005" s="4">
        <v>36122</v>
      </c>
      <c r="E3005" s="6">
        <v>10.54</v>
      </c>
      <c r="G3005" s="4"/>
      <c r="H3005" s="5"/>
    </row>
    <row r="3006" spans="4:8" x14ac:dyDescent="0.25">
      <c r="D3006" s="4">
        <v>36123</v>
      </c>
      <c r="E3006" s="6">
        <v>10.58</v>
      </c>
      <c r="G3006" s="4"/>
      <c r="H3006" s="5"/>
    </row>
    <row r="3007" spans="4:8" x14ac:dyDescent="0.25">
      <c r="D3007" s="4">
        <v>36124</v>
      </c>
      <c r="E3007" s="6">
        <v>10.51</v>
      </c>
      <c r="G3007" s="4"/>
      <c r="H3007" s="5"/>
    </row>
    <row r="3008" spans="4:8" x14ac:dyDescent="0.25">
      <c r="D3008" s="4">
        <v>36125</v>
      </c>
      <c r="E3008" s="6">
        <v>10.41</v>
      </c>
      <c r="G3008" s="4"/>
      <c r="H3008" s="5"/>
    </row>
    <row r="3009" spans="4:8" x14ac:dyDescent="0.25">
      <c r="D3009" s="4">
        <v>36126</v>
      </c>
      <c r="E3009" s="6">
        <v>10.77</v>
      </c>
      <c r="G3009" s="4"/>
      <c r="H3009" s="5"/>
    </row>
    <row r="3010" spans="4:8" x14ac:dyDescent="0.25">
      <c r="D3010" s="4">
        <v>36129</v>
      </c>
      <c r="E3010" s="6">
        <v>9.91</v>
      </c>
      <c r="G3010" s="4"/>
      <c r="H3010" s="5"/>
    </row>
    <row r="3011" spans="4:8" x14ac:dyDescent="0.25">
      <c r="D3011" s="4">
        <v>36130</v>
      </c>
      <c r="E3011" s="6">
        <v>9.8699999999999992</v>
      </c>
      <c r="G3011" s="4"/>
      <c r="H3011" s="5"/>
    </row>
    <row r="3012" spans="4:8" x14ac:dyDescent="0.25">
      <c r="D3012" s="4">
        <v>36131</v>
      </c>
      <c r="E3012" s="6">
        <v>9.7100000000000009</v>
      </c>
      <c r="G3012" s="4"/>
      <c r="H3012" s="5"/>
    </row>
    <row r="3013" spans="4:8" x14ac:dyDescent="0.25">
      <c r="D3013" s="4">
        <v>36132</v>
      </c>
      <c r="E3013" s="6">
        <v>10.050000000000001</v>
      </c>
      <c r="G3013" s="4"/>
      <c r="H3013" s="5"/>
    </row>
    <row r="3014" spans="4:8" x14ac:dyDescent="0.25">
      <c r="D3014" s="4">
        <v>36133</v>
      </c>
      <c r="E3014" s="6">
        <v>9.73</v>
      </c>
      <c r="G3014" s="4"/>
      <c r="H3014" s="5"/>
    </row>
    <row r="3015" spans="4:8" x14ac:dyDescent="0.25">
      <c r="D3015" s="4">
        <v>36136</v>
      </c>
      <c r="E3015" s="6">
        <v>9.6999999999999993</v>
      </c>
      <c r="G3015" s="4"/>
      <c r="H3015" s="5"/>
    </row>
    <row r="3016" spans="4:8" x14ac:dyDescent="0.25">
      <c r="D3016" s="4">
        <v>36137</v>
      </c>
      <c r="E3016" s="6">
        <v>9.68</v>
      </c>
      <c r="G3016" s="4"/>
      <c r="H3016" s="5"/>
    </row>
    <row r="3017" spans="4:8" x14ac:dyDescent="0.25">
      <c r="D3017" s="4">
        <v>36138</v>
      </c>
      <c r="E3017" s="6">
        <v>9.4600000000000009</v>
      </c>
      <c r="G3017" s="4"/>
      <c r="H3017" s="5"/>
    </row>
    <row r="3018" spans="4:8" x14ac:dyDescent="0.25">
      <c r="D3018" s="4">
        <v>36139</v>
      </c>
      <c r="E3018" s="6">
        <v>9.1</v>
      </c>
      <c r="G3018" s="4"/>
      <c r="H3018" s="5"/>
    </row>
    <row r="3019" spans="4:8" x14ac:dyDescent="0.25">
      <c r="D3019" s="4">
        <v>36140</v>
      </c>
      <c r="E3019" s="6">
        <v>9.26</v>
      </c>
      <c r="G3019" s="4"/>
      <c r="H3019" s="5"/>
    </row>
    <row r="3020" spans="4:8" x14ac:dyDescent="0.25">
      <c r="D3020" s="4">
        <v>36143</v>
      </c>
      <c r="E3020" s="6">
        <v>9.4499999999999993</v>
      </c>
      <c r="G3020" s="4"/>
      <c r="H3020" s="5"/>
    </row>
    <row r="3021" spans="4:8" x14ac:dyDescent="0.25">
      <c r="D3021" s="4">
        <v>36144</v>
      </c>
      <c r="E3021" s="6">
        <v>9.57</v>
      </c>
      <c r="G3021" s="4"/>
      <c r="H3021" s="5"/>
    </row>
    <row r="3022" spans="4:8" x14ac:dyDescent="0.25">
      <c r="D3022" s="4">
        <v>36145</v>
      </c>
      <c r="E3022" s="6">
        <v>10.87</v>
      </c>
      <c r="G3022" s="4"/>
      <c r="H3022" s="5"/>
    </row>
    <row r="3023" spans="4:8" x14ac:dyDescent="0.25">
      <c r="D3023" s="4">
        <v>36146</v>
      </c>
      <c r="E3023" s="6">
        <v>9.92</v>
      </c>
      <c r="G3023" s="4"/>
      <c r="H3023" s="5"/>
    </row>
    <row r="3024" spans="4:8" x14ac:dyDescent="0.25">
      <c r="D3024" s="4">
        <v>36147</v>
      </c>
      <c r="E3024" s="6">
        <v>9.6199999999999992</v>
      </c>
      <c r="G3024" s="4"/>
      <c r="H3024" s="5"/>
    </row>
    <row r="3025" spans="4:8" x14ac:dyDescent="0.25">
      <c r="D3025" s="4">
        <v>36150</v>
      </c>
      <c r="E3025" s="6">
        <v>9.4499999999999993</v>
      </c>
      <c r="G3025" s="4"/>
      <c r="H3025" s="5"/>
    </row>
    <row r="3026" spans="4:8" x14ac:dyDescent="0.25">
      <c r="D3026" s="4">
        <v>36151</v>
      </c>
      <c r="E3026" s="6">
        <v>9.83</v>
      </c>
      <c r="G3026" s="4"/>
      <c r="H3026" s="5"/>
    </row>
    <row r="3027" spans="4:8" x14ac:dyDescent="0.25">
      <c r="D3027" s="4">
        <v>36152</v>
      </c>
      <c r="E3027" s="6">
        <v>9.91</v>
      </c>
      <c r="G3027" s="4"/>
      <c r="H3027" s="5"/>
    </row>
    <row r="3028" spans="4:8" x14ac:dyDescent="0.25">
      <c r="D3028" s="4">
        <v>36153</v>
      </c>
      <c r="E3028" s="6">
        <v>9.91</v>
      </c>
      <c r="G3028" s="4"/>
      <c r="H3028" s="5"/>
    </row>
    <row r="3029" spans="4:8" x14ac:dyDescent="0.25">
      <c r="D3029" s="4">
        <v>36154</v>
      </c>
      <c r="E3029" s="5"/>
      <c r="G3029" s="4"/>
      <c r="H3029" s="5"/>
    </row>
    <row r="3030" spans="4:8" x14ac:dyDescent="0.25">
      <c r="D3030" s="4">
        <v>36157</v>
      </c>
      <c r="E3030" s="5"/>
      <c r="G3030" s="4"/>
      <c r="H3030" s="5"/>
    </row>
    <row r="3031" spans="4:8" x14ac:dyDescent="0.25">
      <c r="D3031" s="4">
        <v>36158</v>
      </c>
      <c r="E3031" s="6">
        <v>10.23</v>
      </c>
      <c r="G3031" s="4"/>
      <c r="H3031" s="5"/>
    </row>
    <row r="3032" spans="4:8" x14ac:dyDescent="0.25">
      <c r="D3032" s="4">
        <v>36159</v>
      </c>
      <c r="E3032" s="6">
        <v>10.45</v>
      </c>
      <c r="G3032" s="4"/>
      <c r="H3032" s="5"/>
    </row>
    <row r="3033" spans="4:8" x14ac:dyDescent="0.25">
      <c r="D3033" s="4">
        <v>36160</v>
      </c>
      <c r="E3033" s="6">
        <v>10.54</v>
      </c>
      <c r="G3033" s="4"/>
      <c r="H3033" s="5"/>
    </row>
    <row r="3034" spans="4:8" x14ac:dyDescent="0.25">
      <c r="D3034" s="4">
        <v>36161</v>
      </c>
      <c r="E3034" s="5"/>
      <c r="G3034" s="4"/>
      <c r="H3034" s="5"/>
    </row>
    <row r="3035" spans="4:8" x14ac:dyDescent="0.25">
      <c r="D3035" s="4">
        <v>36164</v>
      </c>
      <c r="E3035" s="6">
        <v>10.94</v>
      </c>
      <c r="G3035" s="4"/>
      <c r="H3035" s="5"/>
    </row>
    <row r="3036" spans="4:8" x14ac:dyDescent="0.25">
      <c r="D3036" s="4">
        <v>36165</v>
      </c>
      <c r="E3036" s="6">
        <v>10.3</v>
      </c>
      <c r="G3036" s="4"/>
      <c r="H3036" s="5"/>
    </row>
    <row r="3037" spans="4:8" x14ac:dyDescent="0.25">
      <c r="D3037" s="4">
        <v>36166</v>
      </c>
      <c r="E3037" s="6">
        <v>10.67</v>
      </c>
      <c r="G3037" s="4"/>
      <c r="H3037" s="5"/>
    </row>
    <row r="3038" spans="4:8" x14ac:dyDescent="0.25">
      <c r="D3038" s="4">
        <v>36167</v>
      </c>
      <c r="E3038" s="6">
        <v>11.08</v>
      </c>
      <c r="G3038" s="4"/>
      <c r="H3038" s="5"/>
    </row>
    <row r="3039" spans="4:8" x14ac:dyDescent="0.25">
      <c r="D3039" s="4">
        <v>36168</v>
      </c>
      <c r="E3039" s="6">
        <v>11.7</v>
      </c>
      <c r="G3039" s="4"/>
      <c r="H3039" s="5"/>
    </row>
    <row r="3040" spans="4:8" x14ac:dyDescent="0.25">
      <c r="D3040" s="4">
        <v>36171</v>
      </c>
      <c r="E3040" s="6">
        <v>12.07</v>
      </c>
      <c r="G3040" s="4"/>
      <c r="H3040" s="5"/>
    </row>
    <row r="3041" spans="4:8" x14ac:dyDescent="0.25">
      <c r="D3041" s="4">
        <v>36172</v>
      </c>
      <c r="E3041" s="6">
        <v>11.78</v>
      </c>
      <c r="G3041" s="4"/>
      <c r="H3041" s="5"/>
    </row>
    <row r="3042" spans="4:8" x14ac:dyDescent="0.25">
      <c r="D3042" s="4">
        <v>36173</v>
      </c>
      <c r="E3042" s="6">
        <v>10.9</v>
      </c>
      <c r="G3042" s="4"/>
      <c r="H3042" s="5"/>
    </row>
    <row r="3043" spans="4:8" x14ac:dyDescent="0.25">
      <c r="D3043" s="4">
        <v>36174</v>
      </c>
      <c r="E3043" s="6">
        <v>11.1</v>
      </c>
      <c r="G3043" s="4"/>
      <c r="H3043" s="5"/>
    </row>
    <row r="3044" spans="4:8" x14ac:dyDescent="0.25">
      <c r="D3044" s="4">
        <v>36175</v>
      </c>
      <c r="E3044" s="6">
        <v>10.97</v>
      </c>
      <c r="G3044" s="4"/>
      <c r="H3044" s="5"/>
    </row>
    <row r="3045" spans="4:8" x14ac:dyDescent="0.25">
      <c r="D3045" s="4">
        <v>36178</v>
      </c>
      <c r="E3045" s="6">
        <v>10.81</v>
      </c>
      <c r="G3045" s="4"/>
      <c r="H3045" s="5"/>
    </row>
    <row r="3046" spans="4:8" x14ac:dyDescent="0.25">
      <c r="D3046" s="4">
        <v>36179</v>
      </c>
      <c r="E3046" s="6">
        <v>11.19</v>
      </c>
      <c r="G3046" s="4"/>
      <c r="H3046" s="5"/>
    </row>
    <row r="3047" spans="4:8" x14ac:dyDescent="0.25">
      <c r="D3047" s="4">
        <v>36180</v>
      </c>
      <c r="E3047" s="6">
        <v>10.85</v>
      </c>
      <c r="G3047" s="4"/>
      <c r="H3047" s="5"/>
    </row>
    <row r="3048" spans="4:8" x14ac:dyDescent="0.25">
      <c r="D3048" s="4">
        <v>36181</v>
      </c>
      <c r="E3048" s="6">
        <v>11.14</v>
      </c>
      <c r="G3048" s="4"/>
      <c r="H3048" s="5"/>
    </row>
    <row r="3049" spans="4:8" x14ac:dyDescent="0.25">
      <c r="D3049" s="4">
        <v>36182</v>
      </c>
      <c r="E3049" s="6">
        <v>11.23</v>
      </c>
      <c r="G3049" s="4"/>
      <c r="H3049" s="5"/>
    </row>
    <row r="3050" spans="4:8" x14ac:dyDescent="0.25">
      <c r="D3050" s="4">
        <v>36185</v>
      </c>
      <c r="E3050" s="6">
        <v>11.21</v>
      </c>
      <c r="G3050" s="4"/>
      <c r="H3050" s="5"/>
    </row>
    <row r="3051" spans="4:8" x14ac:dyDescent="0.25">
      <c r="D3051" s="4">
        <v>36186</v>
      </c>
      <c r="E3051" s="6">
        <v>10.84</v>
      </c>
      <c r="G3051" s="4"/>
      <c r="H3051" s="5"/>
    </row>
    <row r="3052" spans="4:8" x14ac:dyDescent="0.25">
      <c r="D3052" s="4">
        <v>36187</v>
      </c>
      <c r="E3052" s="6">
        <v>11.03</v>
      </c>
      <c r="G3052" s="4"/>
      <c r="H3052" s="5"/>
    </row>
    <row r="3053" spans="4:8" x14ac:dyDescent="0.25">
      <c r="D3053" s="4">
        <v>36188</v>
      </c>
      <c r="E3053" s="6">
        <v>11.14</v>
      </c>
      <c r="G3053" s="4"/>
      <c r="H3053" s="5"/>
    </row>
    <row r="3054" spans="4:8" x14ac:dyDescent="0.25">
      <c r="D3054" s="4">
        <v>36189</v>
      </c>
      <c r="E3054" s="6">
        <v>11.34</v>
      </c>
      <c r="G3054" s="4"/>
      <c r="H3054" s="5"/>
    </row>
    <row r="3055" spans="4:8" x14ac:dyDescent="0.25">
      <c r="D3055" s="4">
        <v>36192</v>
      </c>
      <c r="E3055" s="6">
        <v>10.81</v>
      </c>
      <c r="G3055" s="4"/>
      <c r="H3055" s="5"/>
    </row>
    <row r="3056" spans="4:8" x14ac:dyDescent="0.25">
      <c r="D3056" s="4">
        <v>36193</v>
      </c>
      <c r="E3056" s="6">
        <v>10.39</v>
      </c>
      <c r="G3056" s="4"/>
      <c r="H3056" s="5"/>
    </row>
    <row r="3057" spans="4:8" x14ac:dyDescent="0.25">
      <c r="D3057" s="4">
        <v>36194</v>
      </c>
      <c r="E3057" s="6">
        <v>10.78</v>
      </c>
      <c r="G3057" s="4"/>
      <c r="H3057" s="5"/>
    </row>
    <row r="3058" spans="4:8" x14ac:dyDescent="0.25">
      <c r="D3058" s="4">
        <v>36195</v>
      </c>
      <c r="E3058" s="6">
        <v>10.42</v>
      </c>
      <c r="G3058" s="4"/>
      <c r="H3058" s="5"/>
    </row>
    <row r="3059" spans="4:8" x14ac:dyDescent="0.25">
      <c r="D3059" s="4">
        <v>36196</v>
      </c>
      <c r="E3059" s="6">
        <v>10.18</v>
      </c>
      <c r="G3059" s="4"/>
      <c r="H3059" s="5"/>
    </row>
    <row r="3060" spans="4:8" x14ac:dyDescent="0.25">
      <c r="D3060" s="4">
        <v>36199</v>
      </c>
      <c r="E3060" s="6">
        <v>9.9700000000000006</v>
      </c>
      <c r="G3060" s="4"/>
      <c r="H3060" s="5"/>
    </row>
    <row r="3061" spans="4:8" x14ac:dyDescent="0.25">
      <c r="D3061" s="4">
        <v>36200</v>
      </c>
      <c r="E3061" s="6">
        <v>9.77</v>
      </c>
      <c r="G3061" s="4"/>
      <c r="H3061" s="5"/>
    </row>
    <row r="3062" spans="4:8" x14ac:dyDescent="0.25">
      <c r="D3062" s="4">
        <v>36201</v>
      </c>
      <c r="E3062" s="6">
        <v>9.8800000000000008</v>
      </c>
      <c r="G3062" s="4"/>
      <c r="H3062" s="5"/>
    </row>
    <row r="3063" spans="4:8" x14ac:dyDescent="0.25">
      <c r="D3063" s="4">
        <v>36202</v>
      </c>
      <c r="E3063" s="6">
        <v>9.82</v>
      </c>
      <c r="G3063" s="4"/>
      <c r="H3063" s="5"/>
    </row>
    <row r="3064" spans="4:8" x14ac:dyDescent="0.25">
      <c r="D3064" s="4">
        <v>36203</v>
      </c>
      <c r="E3064" s="6">
        <v>9.9700000000000006</v>
      </c>
      <c r="G3064" s="4"/>
      <c r="H3064" s="5"/>
    </row>
    <row r="3065" spans="4:8" x14ac:dyDescent="0.25">
      <c r="D3065" s="4">
        <v>36206</v>
      </c>
      <c r="E3065" s="5"/>
      <c r="G3065" s="4"/>
      <c r="H3065" s="5"/>
    </row>
    <row r="3066" spans="4:8" x14ac:dyDescent="0.25">
      <c r="D3066" s="4">
        <v>36207</v>
      </c>
      <c r="E3066" s="6">
        <v>9.98</v>
      </c>
      <c r="G3066" s="4"/>
      <c r="H3066" s="5"/>
    </row>
    <row r="3067" spans="4:8" x14ac:dyDescent="0.25">
      <c r="D3067" s="4">
        <v>36208</v>
      </c>
      <c r="E3067" s="6">
        <v>10.09</v>
      </c>
      <c r="G3067" s="4"/>
      <c r="H3067" s="5"/>
    </row>
    <row r="3068" spans="4:8" x14ac:dyDescent="0.25">
      <c r="D3068" s="4">
        <v>36209</v>
      </c>
      <c r="E3068" s="6">
        <v>9.93</v>
      </c>
      <c r="G3068" s="4"/>
      <c r="H3068" s="5"/>
    </row>
    <row r="3069" spans="4:8" x14ac:dyDescent="0.25">
      <c r="D3069" s="4">
        <v>36210</v>
      </c>
      <c r="E3069" s="6">
        <v>10.29</v>
      </c>
      <c r="G3069" s="4"/>
      <c r="H3069" s="5"/>
    </row>
    <row r="3070" spans="4:8" x14ac:dyDescent="0.25">
      <c r="D3070" s="4">
        <v>36213</v>
      </c>
      <c r="E3070" s="6">
        <v>10.24</v>
      </c>
      <c r="G3070" s="4"/>
      <c r="H3070" s="5"/>
    </row>
    <row r="3071" spans="4:8" x14ac:dyDescent="0.25">
      <c r="D3071" s="4">
        <v>36214</v>
      </c>
      <c r="E3071" s="6">
        <v>10.58</v>
      </c>
      <c r="G3071" s="4"/>
      <c r="H3071" s="5"/>
    </row>
    <row r="3072" spans="4:8" x14ac:dyDescent="0.25">
      <c r="D3072" s="4">
        <v>36215</v>
      </c>
      <c r="E3072" s="6">
        <v>10.64</v>
      </c>
      <c r="G3072" s="4"/>
      <c r="H3072" s="5"/>
    </row>
    <row r="3073" spans="4:8" x14ac:dyDescent="0.25">
      <c r="D3073" s="4">
        <v>36216</v>
      </c>
      <c r="E3073" s="6">
        <v>10.84</v>
      </c>
      <c r="G3073" s="4"/>
      <c r="H3073" s="5"/>
    </row>
    <row r="3074" spans="4:8" x14ac:dyDescent="0.25">
      <c r="D3074" s="4">
        <v>36217</v>
      </c>
      <c r="E3074" s="6">
        <v>10.58</v>
      </c>
      <c r="G3074" s="4"/>
      <c r="H3074" s="5"/>
    </row>
    <row r="3075" spans="4:8" x14ac:dyDescent="0.25">
      <c r="D3075" s="4">
        <v>36220</v>
      </c>
      <c r="E3075" s="6">
        <v>10.52</v>
      </c>
      <c r="G3075" s="4"/>
      <c r="H3075" s="5"/>
    </row>
    <row r="3076" spans="4:8" x14ac:dyDescent="0.25">
      <c r="D3076" s="4">
        <v>36221</v>
      </c>
      <c r="E3076" s="6">
        <v>10.41</v>
      </c>
      <c r="G3076" s="4"/>
      <c r="H3076" s="5"/>
    </row>
    <row r="3077" spans="4:8" x14ac:dyDescent="0.25">
      <c r="D3077" s="4">
        <v>36222</v>
      </c>
      <c r="E3077" s="6">
        <v>10.81</v>
      </c>
      <c r="G3077" s="4"/>
      <c r="H3077" s="5"/>
    </row>
    <row r="3078" spans="4:8" x14ac:dyDescent="0.25">
      <c r="D3078" s="4">
        <v>36223</v>
      </c>
      <c r="E3078" s="6">
        <v>11.2</v>
      </c>
      <c r="G3078" s="4"/>
      <c r="H3078" s="5"/>
    </row>
    <row r="3079" spans="4:8" x14ac:dyDescent="0.25">
      <c r="D3079" s="4">
        <v>36224</v>
      </c>
      <c r="E3079" s="6">
        <v>11.02</v>
      </c>
      <c r="G3079" s="4"/>
      <c r="H3079" s="5"/>
    </row>
    <row r="3080" spans="4:8" x14ac:dyDescent="0.25">
      <c r="D3080" s="4">
        <v>36227</v>
      </c>
      <c r="E3080" s="6">
        <v>11.49</v>
      </c>
      <c r="G3080" s="4"/>
      <c r="H3080" s="5"/>
    </row>
    <row r="3081" spans="4:8" x14ac:dyDescent="0.25">
      <c r="D3081" s="4">
        <v>36228</v>
      </c>
      <c r="E3081" s="6">
        <v>11.25</v>
      </c>
      <c r="G3081" s="4"/>
      <c r="H3081" s="5"/>
    </row>
    <row r="3082" spans="4:8" x14ac:dyDescent="0.25">
      <c r="D3082" s="4">
        <v>36229</v>
      </c>
      <c r="E3082" s="6">
        <v>11.46</v>
      </c>
      <c r="G3082" s="4"/>
      <c r="H3082" s="5"/>
    </row>
    <row r="3083" spans="4:8" x14ac:dyDescent="0.25">
      <c r="D3083" s="4">
        <v>36230</v>
      </c>
      <c r="E3083" s="6">
        <v>11.86</v>
      </c>
      <c r="G3083" s="4"/>
      <c r="H3083" s="5"/>
    </row>
    <row r="3084" spans="4:8" x14ac:dyDescent="0.25">
      <c r="D3084" s="4">
        <v>36231</v>
      </c>
      <c r="E3084" s="6">
        <v>12.3</v>
      </c>
      <c r="G3084" s="4"/>
      <c r="H3084" s="5"/>
    </row>
    <row r="3085" spans="4:8" x14ac:dyDescent="0.25">
      <c r="D3085" s="4">
        <v>36234</v>
      </c>
      <c r="E3085" s="6">
        <v>12.17</v>
      </c>
      <c r="G3085" s="4"/>
      <c r="H3085" s="5"/>
    </row>
    <row r="3086" spans="4:8" x14ac:dyDescent="0.25">
      <c r="D3086" s="4">
        <v>36235</v>
      </c>
      <c r="E3086" s="6">
        <v>12.11</v>
      </c>
      <c r="G3086" s="4"/>
      <c r="H3086" s="5"/>
    </row>
    <row r="3087" spans="4:8" x14ac:dyDescent="0.25">
      <c r="D3087" s="4">
        <v>36236</v>
      </c>
      <c r="E3087" s="6">
        <v>12.95</v>
      </c>
      <c r="G3087" s="4"/>
      <c r="H3087" s="5"/>
    </row>
    <row r="3088" spans="4:8" x14ac:dyDescent="0.25">
      <c r="D3088" s="4">
        <v>36237</v>
      </c>
      <c r="E3088" s="6">
        <v>13.35</v>
      </c>
      <c r="G3088" s="4"/>
      <c r="H3088" s="5"/>
    </row>
    <row r="3089" spans="4:8" x14ac:dyDescent="0.25">
      <c r="D3089" s="4">
        <v>36238</v>
      </c>
      <c r="E3089" s="6">
        <v>13.15</v>
      </c>
      <c r="G3089" s="4"/>
      <c r="H3089" s="5"/>
    </row>
    <row r="3090" spans="4:8" x14ac:dyDescent="0.25">
      <c r="D3090" s="4">
        <v>36241</v>
      </c>
      <c r="E3090" s="6">
        <v>13.37</v>
      </c>
      <c r="G3090" s="4"/>
      <c r="H3090" s="5"/>
    </row>
    <row r="3091" spans="4:8" x14ac:dyDescent="0.25">
      <c r="D3091" s="4">
        <v>36242</v>
      </c>
      <c r="E3091" s="6">
        <v>13.64</v>
      </c>
      <c r="G3091" s="4"/>
      <c r="H3091" s="5"/>
    </row>
    <row r="3092" spans="4:8" x14ac:dyDescent="0.25">
      <c r="D3092" s="4">
        <v>36243</v>
      </c>
      <c r="E3092" s="6">
        <v>13.37</v>
      </c>
      <c r="G3092" s="4"/>
      <c r="H3092" s="5"/>
    </row>
    <row r="3093" spans="4:8" x14ac:dyDescent="0.25">
      <c r="D3093" s="4">
        <v>36244</v>
      </c>
      <c r="E3093" s="6">
        <v>13.5</v>
      </c>
      <c r="G3093" s="4"/>
      <c r="H3093" s="5"/>
    </row>
    <row r="3094" spans="4:8" x14ac:dyDescent="0.25">
      <c r="D3094" s="4">
        <v>36245</v>
      </c>
      <c r="E3094" s="6">
        <v>13.97</v>
      </c>
      <c r="G3094" s="4"/>
      <c r="H3094" s="5"/>
    </row>
    <row r="3095" spans="4:8" x14ac:dyDescent="0.25">
      <c r="D3095" s="4">
        <v>36248</v>
      </c>
      <c r="E3095" s="6">
        <v>14.34</v>
      </c>
      <c r="G3095" s="4"/>
      <c r="H3095" s="5"/>
    </row>
    <row r="3096" spans="4:8" x14ac:dyDescent="0.25">
      <c r="D3096" s="4">
        <v>36249</v>
      </c>
      <c r="E3096" s="6">
        <v>14.5</v>
      </c>
      <c r="G3096" s="4"/>
      <c r="H3096" s="5"/>
    </row>
    <row r="3097" spans="4:8" x14ac:dyDescent="0.25">
      <c r="D3097" s="4">
        <v>36250</v>
      </c>
      <c r="E3097" s="6">
        <v>15.02</v>
      </c>
      <c r="G3097" s="4"/>
      <c r="H3097" s="5"/>
    </row>
    <row r="3098" spans="4:8" x14ac:dyDescent="0.25">
      <c r="D3098" s="4">
        <v>36251</v>
      </c>
      <c r="E3098" s="6">
        <v>14.6</v>
      </c>
      <c r="G3098" s="4"/>
      <c r="H3098" s="5"/>
    </row>
    <row r="3099" spans="4:8" x14ac:dyDescent="0.25">
      <c r="D3099" s="4">
        <v>36252</v>
      </c>
      <c r="E3099" s="5"/>
      <c r="G3099" s="4"/>
      <c r="H3099" s="5"/>
    </row>
    <row r="3100" spans="4:8" x14ac:dyDescent="0.25">
      <c r="D3100" s="4">
        <v>36255</v>
      </c>
      <c r="E3100" s="5"/>
      <c r="G3100" s="4"/>
      <c r="H3100" s="5"/>
    </row>
    <row r="3101" spans="4:8" x14ac:dyDescent="0.25">
      <c r="D3101" s="4">
        <v>36256</v>
      </c>
      <c r="E3101" s="6">
        <v>14.53</v>
      </c>
      <c r="G3101" s="4"/>
      <c r="H3101" s="5"/>
    </row>
    <row r="3102" spans="4:8" x14ac:dyDescent="0.25">
      <c r="D3102" s="4">
        <v>36257</v>
      </c>
      <c r="E3102" s="6">
        <v>14.14</v>
      </c>
      <c r="G3102" s="4"/>
      <c r="H3102" s="5"/>
    </row>
    <row r="3103" spans="4:8" x14ac:dyDescent="0.25">
      <c r="D3103" s="4">
        <v>36258</v>
      </c>
      <c r="E3103" s="6">
        <v>13.72</v>
      </c>
      <c r="G3103" s="4"/>
      <c r="H3103" s="5"/>
    </row>
    <row r="3104" spans="4:8" x14ac:dyDescent="0.25">
      <c r="D3104" s="4">
        <v>36259</v>
      </c>
      <c r="E3104" s="6">
        <v>14.11</v>
      </c>
      <c r="G3104" s="4"/>
      <c r="H3104" s="5"/>
    </row>
    <row r="3105" spans="4:8" x14ac:dyDescent="0.25">
      <c r="D3105" s="4">
        <v>36262</v>
      </c>
      <c r="E3105" s="6">
        <v>14.23</v>
      </c>
      <c r="G3105" s="4"/>
      <c r="H3105" s="5"/>
    </row>
    <row r="3106" spans="4:8" x14ac:dyDescent="0.25">
      <c r="D3106" s="4">
        <v>36263</v>
      </c>
      <c r="E3106" s="6">
        <v>14.68</v>
      </c>
      <c r="G3106" s="4"/>
      <c r="H3106" s="5"/>
    </row>
    <row r="3107" spans="4:8" x14ac:dyDescent="0.25">
      <c r="D3107" s="4">
        <v>36264</v>
      </c>
      <c r="E3107" s="6">
        <v>14.45</v>
      </c>
      <c r="G3107" s="4"/>
      <c r="H3107" s="5"/>
    </row>
    <row r="3108" spans="4:8" x14ac:dyDescent="0.25">
      <c r="D3108" s="4">
        <v>36265</v>
      </c>
      <c r="E3108" s="6">
        <v>14.82</v>
      </c>
      <c r="G3108" s="4"/>
      <c r="H3108" s="5"/>
    </row>
    <row r="3109" spans="4:8" x14ac:dyDescent="0.25">
      <c r="D3109" s="4">
        <v>36266</v>
      </c>
      <c r="E3109" s="6">
        <v>15.34</v>
      </c>
      <c r="G3109" s="4"/>
      <c r="H3109" s="5"/>
    </row>
    <row r="3110" spans="4:8" x14ac:dyDescent="0.25">
      <c r="D3110" s="4">
        <v>36269</v>
      </c>
      <c r="E3110" s="6">
        <v>16.010000000000002</v>
      </c>
      <c r="G3110" s="4"/>
      <c r="H3110" s="5"/>
    </row>
    <row r="3111" spans="4:8" x14ac:dyDescent="0.25">
      <c r="D3111" s="4">
        <v>36270</v>
      </c>
      <c r="E3111" s="6">
        <v>16.04</v>
      </c>
      <c r="G3111" s="4"/>
      <c r="H3111" s="5"/>
    </row>
    <row r="3112" spans="4:8" x14ac:dyDescent="0.25">
      <c r="D3112" s="4">
        <v>36271</v>
      </c>
      <c r="E3112" s="6">
        <v>15.96</v>
      </c>
      <c r="G3112" s="4"/>
      <c r="H3112" s="5"/>
    </row>
    <row r="3113" spans="4:8" x14ac:dyDescent="0.25">
      <c r="D3113" s="4">
        <v>36272</v>
      </c>
      <c r="E3113" s="6">
        <v>16.29</v>
      </c>
      <c r="G3113" s="4"/>
      <c r="H3113" s="5"/>
    </row>
    <row r="3114" spans="4:8" x14ac:dyDescent="0.25">
      <c r="D3114" s="4">
        <v>36273</v>
      </c>
      <c r="E3114" s="6">
        <v>16.07</v>
      </c>
      <c r="G3114" s="4"/>
      <c r="H3114" s="5"/>
    </row>
    <row r="3115" spans="4:8" x14ac:dyDescent="0.25">
      <c r="D3115" s="4">
        <v>36276</v>
      </c>
      <c r="E3115" s="6">
        <v>15.63</v>
      </c>
      <c r="G3115" s="4"/>
      <c r="H3115" s="5"/>
    </row>
    <row r="3116" spans="4:8" x14ac:dyDescent="0.25">
      <c r="D3116" s="4">
        <v>36277</v>
      </c>
      <c r="E3116" s="6">
        <v>15.91</v>
      </c>
      <c r="G3116" s="4"/>
      <c r="H3116" s="5"/>
    </row>
    <row r="3117" spans="4:8" x14ac:dyDescent="0.25">
      <c r="D3117" s="4">
        <v>36278</v>
      </c>
      <c r="E3117" s="6">
        <v>16.38</v>
      </c>
      <c r="G3117" s="4"/>
      <c r="H3117" s="5"/>
    </row>
    <row r="3118" spans="4:8" x14ac:dyDescent="0.25">
      <c r="D3118" s="4">
        <v>36279</v>
      </c>
      <c r="E3118" s="6">
        <v>16.53</v>
      </c>
      <c r="G3118" s="4"/>
      <c r="H3118" s="5"/>
    </row>
    <row r="3119" spans="4:8" x14ac:dyDescent="0.25">
      <c r="D3119" s="4">
        <v>36280</v>
      </c>
      <c r="E3119" s="6">
        <v>16.45</v>
      </c>
      <c r="G3119" s="4"/>
      <c r="H3119" s="5"/>
    </row>
    <row r="3120" spans="4:8" x14ac:dyDescent="0.25">
      <c r="D3120" s="4">
        <v>36283</v>
      </c>
      <c r="E3120" s="5"/>
      <c r="G3120" s="4"/>
      <c r="H3120" s="5"/>
    </row>
    <row r="3121" spans="4:8" x14ac:dyDescent="0.25">
      <c r="D3121" s="4">
        <v>36284</v>
      </c>
      <c r="E3121" s="6">
        <v>16.98</v>
      </c>
      <c r="G3121" s="4"/>
      <c r="H3121" s="5"/>
    </row>
    <row r="3122" spans="4:8" x14ac:dyDescent="0.25">
      <c r="D3122" s="4">
        <v>36285</v>
      </c>
      <c r="E3122" s="6">
        <v>16.850000000000001</v>
      </c>
      <c r="G3122" s="4"/>
      <c r="H3122" s="5"/>
    </row>
    <row r="3123" spans="4:8" x14ac:dyDescent="0.25">
      <c r="D3123" s="4">
        <v>36286</v>
      </c>
      <c r="E3123" s="6">
        <v>16.440000000000001</v>
      </c>
      <c r="G3123" s="4"/>
      <c r="H3123" s="5"/>
    </row>
    <row r="3124" spans="4:8" x14ac:dyDescent="0.25">
      <c r="D3124" s="4">
        <v>36287</v>
      </c>
      <c r="E3124" s="6">
        <v>15.66</v>
      </c>
      <c r="G3124" s="4"/>
      <c r="H3124" s="5"/>
    </row>
    <row r="3125" spans="4:8" x14ac:dyDescent="0.25">
      <c r="D3125" s="4">
        <v>36290</v>
      </c>
      <c r="E3125" s="6">
        <v>15.72</v>
      </c>
      <c r="G3125" s="4"/>
      <c r="H3125" s="5"/>
    </row>
    <row r="3126" spans="4:8" x14ac:dyDescent="0.25">
      <c r="D3126" s="4">
        <v>36291</v>
      </c>
      <c r="E3126" s="6">
        <v>15.23</v>
      </c>
      <c r="G3126" s="4"/>
      <c r="H3126" s="5"/>
    </row>
    <row r="3127" spans="4:8" x14ac:dyDescent="0.25">
      <c r="D3127" s="4">
        <v>36292</v>
      </c>
      <c r="E3127" s="6">
        <v>14.74</v>
      </c>
      <c r="G3127" s="4"/>
      <c r="H3127" s="5"/>
    </row>
    <row r="3128" spans="4:8" x14ac:dyDescent="0.25">
      <c r="D3128" s="4">
        <v>36293</v>
      </c>
      <c r="E3128" s="6">
        <v>15.21</v>
      </c>
      <c r="G3128" s="4"/>
      <c r="H3128" s="5"/>
    </row>
    <row r="3129" spans="4:8" x14ac:dyDescent="0.25">
      <c r="D3129" s="4">
        <v>36294</v>
      </c>
      <c r="E3129" s="6">
        <v>15.18</v>
      </c>
      <c r="G3129" s="4"/>
      <c r="H3129" s="5"/>
    </row>
    <row r="3130" spans="4:8" x14ac:dyDescent="0.25">
      <c r="D3130" s="4">
        <v>36297</v>
      </c>
      <c r="E3130" s="6">
        <v>14.98</v>
      </c>
      <c r="G3130" s="4"/>
      <c r="H3130" s="5"/>
    </row>
    <row r="3131" spans="4:8" x14ac:dyDescent="0.25">
      <c r="D3131" s="4">
        <v>36298</v>
      </c>
      <c r="E3131" s="6">
        <v>14.43</v>
      </c>
      <c r="G3131" s="4"/>
      <c r="H3131" s="5"/>
    </row>
    <row r="3132" spans="4:8" x14ac:dyDescent="0.25">
      <c r="D3132" s="4">
        <v>36299</v>
      </c>
      <c r="E3132" s="6">
        <v>14.42</v>
      </c>
      <c r="G3132" s="4"/>
      <c r="H3132" s="5"/>
    </row>
    <row r="3133" spans="4:8" x14ac:dyDescent="0.25">
      <c r="D3133" s="4">
        <v>36300</v>
      </c>
      <c r="E3133" s="6">
        <v>14.44</v>
      </c>
      <c r="G3133" s="4"/>
      <c r="H3133" s="5"/>
    </row>
    <row r="3134" spans="4:8" x14ac:dyDescent="0.25">
      <c r="D3134" s="4">
        <v>36301</v>
      </c>
      <c r="E3134" s="6">
        <v>14.49</v>
      </c>
      <c r="G3134" s="4"/>
      <c r="H3134" s="5"/>
    </row>
    <row r="3135" spans="4:8" x14ac:dyDescent="0.25">
      <c r="D3135" s="4">
        <v>36304</v>
      </c>
      <c r="E3135" s="6">
        <v>14.83</v>
      </c>
      <c r="G3135" s="4"/>
      <c r="H3135" s="5"/>
    </row>
    <row r="3136" spans="4:8" x14ac:dyDescent="0.25">
      <c r="D3136" s="4">
        <v>36305</v>
      </c>
      <c r="E3136" s="6">
        <v>14.71</v>
      </c>
      <c r="G3136" s="4"/>
      <c r="H3136" s="5"/>
    </row>
    <row r="3137" spans="4:8" x14ac:dyDescent="0.25">
      <c r="D3137" s="4">
        <v>36306</v>
      </c>
      <c r="E3137" s="6">
        <v>15.18</v>
      </c>
      <c r="G3137" s="4"/>
      <c r="H3137" s="5"/>
    </row>
    <row r="3138" spans="4:8" x14ac:dyDescent="0.25">
      <c r="D3138" s="4">
        <v>36307</v>
      </c>
      <c r="E3138" s="6">
        <v>15.04</v>
      </c>
      <c r="G3138" s="4"/>
      <c r="H3138" s="5"/>
    </row>
    <row r="3139" spans="4:8" x14ac:dyDescent="0.25">
      <c r="D3139" s="4">
        <v>36308</v>
      </c>
      <c r="E3139" s="6">
        <v>14.75</v>
      </c>
      <c r="G3139" s="4"/>
      <c r="H3139" s="5"/>
    </row>
    <row r="3140" spans="4:8" x14ac:dyDescent="0.25">
      <c r="D3140" s="4">
        <v>36311</v>
      </c>
      <c r="E3140" s="5"/>
      <c r="G3140" s="4"/>
      <c r="H3140" s="5"/>
    </row>
    <row r="3141" spans="4:8" x14ac:dyDescent="0.25">
      <c r="D3141" s="4">
        <v>36312</v>
      </c>
      <c r="E3141" s="6">
        <v>14.22</v>
      </c>
      <c r="G3141" s="4"/>
      <c r="H3141" s="5"/>
    </row>
    <row r="3142" spans="4:8" x14ac:dyDescent="0.25">
      <c r="D3142" s="4">
        <v>36313</v>
      </c>
      <c r="E3142" s="6">
        <v>14.28</v>
      </c>
      <c r="G3142" s="4"/>
      <c r="H3142" s="5"/>
    </row>
    <row r="3143" spans="4:8" x14ac:dyDescent="0.25">
      <c r="D3143" s="4">
        <v>36314</v>
      </c>
      <c r="E3143" s="6">
        <v>14.26</v>
      </c>
      <c r="G3143" s="4"/>
      <c r="H3143" s="5"/>
    </row>
    <row r="3144" spans="4:8" x14ac:dyDescent="0.25">
      <c r="D3144" s="4">
        <v>36315</v>
      </c>
      <c r="E3144" s="6">
        <v>15.21</v>
      </c>
      <c r="G3144" s="4"/>
      <c r="H3144" s="5"/>
    </row>
    <row r="3145" spans="4:8" x14ac:dyDescent="0.25">
      <c r="D3145" s="4">
        <v>36318</v>
      </c>
      <c r="E3145" s="6">
        <v>15.98</v>
      </c>
      <c r="G3145" s="4"/>
      <c r="H3145" s="5"/>
    </row>
    <row r="3146" spans="4:8" x14ac:dyDescent="0.25">
      <c r="D3146" s="4">
        <v>36319</v>
      </c>
      <c r="E3146" s="6">
        <v>16.25</v>
      </c>
      <c r="G3146" s="4"/>
      <c r="H3146" s="5"/>
    </row>
    <row r="3147" spans="4:8" x14ac:dyDescent="0.25">
      <c r="D3147" s="4">
        <v>36320</v>
      </c>
      <c r="E3147" s="6">
        <v>16.190000000000001</v>
      </c>
      <c r="G3147" s="4"/>
      <c r="H3147" s="5"/>
    </row>
    <row r="3148" spans="4:8" x14ac:dyDescent="0.25">
      <c r="D3148" s="4">
        <v>36321</v>
      </c>
      <c r="E3148" s="6">
        <v>15.99</v>
      </c>
      <c r="G3148" s="4"/>
      <c r="H3148" s="5"/>
    </row>
    <row r="3149" spans="4:8" x14ac:dyDescent="0.25">
      <c r="D3149" s="4">
        <v>36322</v>
      </c>
      <c r="E3149" s="6">
        <v>16.25</v>
      </c>
      <c r="G3149" s="4"/>
      <c r="H3149" s="5"/>
    </row>
    <row r="3150" spans="4:8" x14ac:dyDescent="0.25">
      <c r="D3150" s="4">
        <v>36325</v>
      </c>
      <c r="E3150" s="6">
        <v>16.05</v>
      </c>
      <c r="G3150" s="4"/>
      <c r="H3150" s="5"/>
    </row>
    <row r="3151" spans="4:8" x14ac:dyDescent="0.25">
      <c r="D3151" s="4">
        <v>36326</v>
      </c>
      <c r="E3151" s="6">
        <v>16.329999999999998</v>
      </c>
      <c r="G3151" s="4"/>
      <c r="H3151" s="5"/>
    </row>
    <row r="3152" spans="4:8" x14ac:dyDescent="0.25">
      <c r="D3152" s="4">
        <v>36327</v>
      </c>
      <c r="E3152" s="6">
        <v>16.29</v>
      </c>
      <c r="G3152" s="4"/>
      <c r="H3152" s="5"/>
    </row>
    <row r="3153" spans="4:8" x14ac:dyDescent="0.25">
      <c r="D3153" s="4">
        <v>36328</v>
      </c>
      <c r="E3153" s="6">
        <v>16</v>
      </c>
      <c r="G3153" s="4"/>
      <c r="H3153" s="5"/>
    </row>
    <row r="3154" spans="4:8" x14ac:dyDescent="0.25">
      <c r="D3154" s="4">
        <v>36329</v>
      </c>
      <c r="E3154" s="6">
        <v>15.93</v>
      </c>
      <c r="G3154" s="4"/>
      <c r="H3154" s="5"/>
    </row>
    <row r="3155" spans="4:8" x14ac:dyDescent="0.25">
      <c r="D3155" s="4">
        <v>36332</v>
      </c>
      <c r="E3155" s="6">
        <v>15.64</v>
      </c>
      <c r="G3155" s="4"/>
      <c r="H3155" s="5"/>
    </row>
    <row r="3156" spans="4:8" x14ac:dyDescent="0.25">
      <c r="D3156" s="4">
        <v>36333</v>
      </c>
      <c r="E3156" s="6">
        <v>15.91</v>
      </c>
      <c r="G3156" s="4"/>
      <c r="H3156" s="5"/>
    </row>
    <row r="3157" spans="4:8" x14ac:dyDescent="0.25">
      <c r="D3157" s="4">
        <v>36334</v>
      </c>
      <c r="E3157" s="6">
        <v>16.04</v>
      </c>
      <c r="G3157" s="4"/>
      <c r="H3157" s="5"/>
    </row>
    <row r="3158" spans="4:8" x14ac:dyDescent="0.25">
      <c r="D3158" s="4">
        <v>36335</v>
      </c>
      <c r="E3158" s="6">
        <v>16.28</v>
      </c>
      <c r="G3158" s="4"/>
      <c r="H3158" s="5"/>
    </row>
    <row r="3159" spans="4:8" x14ac:dyDescent="0.25">
      <c r="D3159" s="4">
        <v>36336</v>
      </c>
      <c r="E3159" s="6">
        <v>16.27</v>
      </c>
      <c r="G3159" s="4"/>
      <c r="H3159" s="5"/>
    </row>
    <row r="3160" spans="4:8" x14ac:dyDescent="0.25">
      <c r="D3160" s="4">
        <v>36339</v>
      </c>
      <c r="E3160" s="6">
        <v>16.27</v>
      </c>
      <c r="G3160" s="4"/>
      <c r="H3160" s="5"/>
    </row>
    <row r="3161" spans="4:8" x14ac:dyDescent="0.25">
      <c r="D3161" s="4">
        <v>36340</v>
      </c>
      <c r="E3161" s="6">
        <v>16.38</v>
      </c>
      <c r="G3161" s="4"/>
      <c r="H3161" s="5"/>
    </row>
    <row r="3162" spans="4:8" x14ac:dyDescent="0.25">
      <c r="D3162" s="4">
        <v>36341</v>
      </c>
      <c r="E3162" s="6">
        <v>16.97</v>
      </c>
      <c r="G3162" s="4"/>
      <c r="H3162" s="5"/>
    </row>
    <row r="3163" spans="4:8" x14ac:dyDescent="0.25">
      <c r="D3163" s="4">
        <v>36342</v>
      </c>
      <c r="E3163" s="6">
        <v>17.25</v>
      </c>
      <c r="G3163" s="4"/>
      <c r="H3163" s="5"/>
    </row>
    <row r="3164" spans="4:8" x14ac:dyDescent="0.25">
      <c r="D3164" s="4">
        <v>36343</v>
      </c>
      <c r="E3164" s="6">
        <v>17.55</v>
      </c>
      <c r="G3164" s="4"/>
      <c r="H3164" s="5"/>
    </row>
    <row r="3165" spans="4:8" x14ac:dyDescent="0.25">
      <c r="D3165" s="4">
        <v>36346</v>
      </c>
      <c r="E3165" s="5"/>
      <c r="G3165" s="4"/>
      <c r="H3165" s="5"/>
    </row>
    <row r="3166" spans="4:8" x14ac:dyDescent="0.25">
      <c r="D3166" s="4">
        <v>36347</v>
      </c>
      <c r="E3166" s="6">
        <v>18.47</v>
      </c>
      <c r="G3166" s="4"/>
      <c r="H3166" s="5"/>
    </row>
    <row r="3167" spans="4:8" x14ac:dyDescent="0.25">
      <c r="D3167" s="4">
        <v>36348</v>
      </c>
      <c r="E3167" s="6">
        <v>18.36</v>
      </c>
      <c r="G3167" s="4"/>
      <c r="H3167" s="5"/>
    </row>
    <row r="3168" spans="4:8" x14ac:dyDescent="0.25">
      <c r="D3168" s="4">
        <v>36349</v>
      </c>
      <c r="E3168" s="6">
        <v>18.739999999999998</v>
      </c>
      <c r="G3168" s="4"/>
      <c r="H3168" s="5"/>
    </row>
    <row r="3169" spans="4:8" x14ac:dyDescent="0.25">
      <c r="D3169" s="4">
        <v>36350</v>
      </c>
      <c r="E3169" s="6">
        <v>18.899999999999999</v>
      </c>
      <c r="G3169" s="4"/>
      <c r="H3169" s="5"/>
    </row>
    <row r="3170" spans="4:8" x14ac:dyDescent="0.25">
      <c r="D3170" s="4">
        <v>36353</v>
      </c>
      <c r="E3170" s="6">
        <v>18.940000000000001</v>
      </c>
      <c r="G3170" s="4"/>
      <c r="H3170" s="5"/>
    </row>
    <row r="3171" spans="4:8" x14ac:dyDescent="0.25">
      <c r="D3171" s="4">
        <v>36354</v>
      </c>
      <c r="E3171" s="6">
        <v>19.489999999999998</v>
      </c>
      <c r="G3171" s="4"/>
      <c r="H3171" s="5"/>
    </row>
    <row r="3172" spans="4:8" x14ac:dyDescent="0.25">
      <c r="D3172" s="4">
        <v>36355</v>
      </c>
      <c r="E3172" s="6">
        <v>19.48</v>
      </c>
      <c r="G3172" s="4"/>
      <c r="H3172" s="5"/>
    </row>
    <row r="3173" spans="4:8" x14ac:dyDescent="0.25">
      <c r="D3173" s="4">
        <v>36356</v>
      </c>
      <c r="E3173" s="6">
        <v>18.899999999999999</v>
      </c>
      <c r="G3173" s="4"/>
      <c r="H3173" s="5"/>
    </row>
    <row r="3174" spans="4:8" x14ac:dyDescent="0.25">
      <c r="D3174" s="4">
        <v>36357</v>
      </c>
      <c r="E3174" s="6">
        <v>19.420000000000002</v>
      </c>
      <c r="G3174" s="4"/>
      <c r="H3174" s="5"/>
    </row>
    <row r="3175" spans="4:8" x14ac:dyDescent="0.25">
      <c r="D3175" s="4">
        <v>36360</v>
      </c>
      <c r="E3175" s="6">
        <v>19.75</v>
      </c>
      <c r="G3175" s="4"/>
      <c r="H3175" s="5"/>
    </row>
    <row r="3176" spans="4:8" x14ac:dyDescent="0.25">
      <c r="D3176" s="4">
        <v>36361</v>
      </c>
      <c r="E3176" s="6">
        <v>19.329999999999998</v>
      </c>
      <c r="G3176" s="4"/>
      <c r="H3176" s="5"/>
    </row>
    <row r="3177" spans="4:8" x14ac:dyDescent="0.25">
      <c r="D3177" s="4">
        <v>36362</v>
      </c>
      <c r="E3177" s="6">
        <v>18.62</v>
      </c>
      <c r="G3177" s="4"/>
      <c r="H3177" s="5"/>
    </row>
    <row r="3178" spans="4:8" x14ac:dyDescent="0.25">
      <c r="D3178" s="4">
        <v>36363</v>
      </c>
      <c r="E3178" s="6">
        <v>19.010000000000002</v>
      </c>
      <c r="G3178" s="4"/>
      <c r="H3178" s="5"/>
    </row>
    <row r="3179" spans="4:8" x14ac:dyDescent="0.25">
      <c r="D3179" s="4">
        <v>36364</v>
      </c>
      <c r="E3179" s="6">
        <v>19.690000000000001</v>
      </c>
      <c r="G3179" s="4"/>
      <c r="H3179" s="5"/>
    </row>
    <row r="3180" spans="4:8" x14ac:dyDescent="0.25">
      <c r="D3180" s="4">
        <v>36367</v>
      </c>
      <c r="E3180" s="6">
        <v>19.73</v>
      </c>
      <c r="G3180" s="4"/>
      <c r="H3180" s="5"/>
    </row>
    <row r="3181" spans="4:8" x14ac:dyDescent="0.25">
      <c r="D3181" s="4">
        <v>36368</v>
      </c>
      <c r="E3181" s="6">
        <v>19.46</v>
      </c>
      <c r="G3181" s="4"/>
      <c r="H3181" s="5"/>
    </row>
    <row r="3182" spans="4:8" x14ac:dyDescent="0.25">
      <c r="D3182" s="4">
        <v>36369</v>
      </c>
      <c r="E3182" s="6">
        <v>19.649999999999999</v>
      </c>
      <c r="G3182" s="4"/>
      <c r="H3182" s="5"/>
    </row>
    <row r="3183" spans="4:8" x14ac:dyDescent="0.25">
      <c r="D3183" s="4">
        <v>36370</v>
      </c>
      <c r="E3183" s="6">
        <v>19.97</v>
      </c>
      <c r="G3183" s="4"/>
      <c r="H3183" s="5"/>
    </row>
    <row r="3184" spans="4:8" x14ac:dyDescent="0.25">
      <c r="D3184" s="4">
        <v>36371</v>
      </c>
      <c r="E3184" s="6">
        <v>19.97</v>
      </c>
      <c r="G3184" s="4"/>
      <c r="H3184" s="5"/>
    </row>
    <row r="3185" spans="4:8" x14ac:dyDescent="0.25">
      <c r="D3185" s="4">
        <v>36374</v>
      </c>
      <c r="E3185" s="6">
        <v>19.21</v>
      </c>
      <c r="G3185" s="4"/>
      <c r="H3185" s="5"/>
    </row>
    <row r="3186" spans="4:8" x14ac:dyDescent="0.25">
      <c r="D3186" s="4">
        <v>36375</v>
      </c>
      <c r="E3186" s="6">
        <v>19.32</v>
      </c>
      <c r="G3186" s="4"/>
      <c r="H3186" s="5"/>
    </row>
    <row r="3187" spans="4:8" x14ac:dyDescent="0.25">
      <c r="D3187" s="4">
        <v>36376</v>
      </c>
      <c r="E3187" s="6">
        <v>19.38</v>
      </c>
      <c r="G3187" s="4"/>
      <c r="H3187" s="5"/>
    </row>
    <row r="3188" spans="4:8" x14ac:dyDescent="0.25">
      <c r="D3188" s="4">
        <v>36377</v>
      </c>
      <c r="E3188" s="6">
        <v>19.64</v>
      </c>
      <c r="G3188" s="4"/>
      <c r="H3188" s="5"/>
    </row>
    <row r="3189" spans="4:8" x14ac:dyDescent="0.25">
      <c r="D3189" s="4">
        <v>36378</v>
      </c>
      <c r="E3189" s="6">
        <v>19.66</v>
      </c>
      <c r="G3189" s="4"/>
      <c r="H3189" s="5"/>
    </row>
    <row r="3190" spans="4:8" x14ac:dyDescent="0.25">
      <c r="D3190" s="4">
        <v>36381</v>
      </c>
      <c r="E3190" s="6">
        <v>19.34</v>
      </c>
      <c r="G3190" s="4"/>
      <c r="H3190" s="5"/>
    </row>
    <row r="3191" spans="4:8" x14ac:dyDescent="0.25">
      <c r="D3191" s="4">
        <v>36382</v>
      </c>
      <c r="E3191" s="6">
        <v>20.18</v>
      </c>
      <c r="G3191" s="4"/>
      <c r="H3191" s="5"/>
    </row>
    <row r="3192" spans="4:8" x14ac:dyDescent="0.25">
      <c r="D3192" s="4">
        <v>36383</v>
      </c>
      <c r="E3192" s="6">
        <v>20.58</v>
      </c>
      <c r="G3192" s="4"/>
      <c r="H3192" s="5"/>
    </row>
    <row r="3193" spans="4:8" x14ac:dyDescent="0.25">
      <c r="D3193" s="4">
        <v>36384</v>
      </c>
      <c r="E3193" s="6">
        <v>20.32</v>
      </c>
      <c r="G3193" s="4"/>
      <c r="H3193" s="5"/>
    </row>
    <row r="3194" spans="4:8" x14ac:dyDescent="0.25">
      <c r="D3194" s="4">
        <v>36385</v>
      </c>
      <c r="E3194" s="6">
        <v>20.61</v>
      </c>
      <c r="G3194" s="4"/>
      <c r="H3194" s="5"/>
    </row>
    <row r="3195" spans="4:8" x14ac:dyDescent="0.25">
      <c r="D3195" s="4">
        <v>36388</v>
      </c>
      <c r="E3195" s="6">
        <v>20.68</v>
      </c>
      <c r="G3195" s="4"/>
      <c r="H3195" s="5"/>
    </row>
    <row r="3196" spans="4:8" x14ac:dyDescent="0.25">
      <c r="D3196" s="4">
        <v>36389</v>
      </c>
      <c r="E3196" s="6">
        <v>20.61</v>
      </c>
      <c r="G3196" s="4"/>
      <c r="H3196" s="5"/>
    </row>
    <row r="3197" spans="4:8" x14ac:dyDescent="0.25">
      <c r="D3197" s="4">
        <v>36390</v>
      </c>
      <c r="E3197" s="6">
        <v>20.69</v>
      </c>
      <c r="G3197" s="4"/>
      <c r="H3197" s="5"/>
    </row>
    <row r="3198" spans="4:8" x14ac:dyDescent="0.25">
      <c r="D3198" s="4">
        <v>36391</v>
      </c>
      <c r="E3198" s="6">
        <v>20.92</v>
      </c>
      <c r="G3198" s="4"/>
      <c r="H3198" s="5"/>
    </row>
    <row r="3199" spans="4:8" x14ac:dyDescent="0.25">
      <c r="D3199" s="4">
        <v>36392</v>
      </c>
      <c r="E3199" s="6">
        <v>21.11</v>
      </c>
      <c r="G3199" s="4"/>
      <c r="H3199" s="5"/>
    </row>
    <row r="3200" spans="4:8" x14ac:dyDescent="0.25">
      <c r="D3200" s="4">
        <v>36395</v>
      </c>
      <c r="E3200" s="6">
        <v>20.96</v>
      </c>
      <c r="G3200" s="4"/>
      <c r="H3200" s="5"/>
    </row>
    <row r="3201" spans="4:8" x14ac:dyDescent="0.25">
      <c r="D3201" s="4">
        <v>36396</v>
      </c>
      <c r="E3201" s="6">
        <v>20.48</v>
      </c>
      <c r="G3201" s="4"/>
      <c r="H3201" s="5"/>
    </row>
    <row r="3202" spans="4:8" x14ac:dyDescent="0.25">
      <c r="D3202" s="4">
        <v>36397</v>
      </c>
      <c r="E3202" s="6">
        <v>19.71</v>
      </c>
      <c r="G3202" s="4"/>
      <c r="H3202" s="5"/>
    </row>
    <row r="3203" spans="4:8" x14ac:dyDescent="0.25">
      <c r="D3203" s="4">
        <v>36398</v>
      </c>
      <c r="E3203" s="6">
        <v>19.8</v>
      </c>
      <c r="G3203" s="4"/>
      <c r="H3203" s="5"/>
    </row>
    <row r="3204" spans="4:8" x14ac:dyDescent="0.25">
      <c r="D3204" s="4">
        <v>36399</v>
      </c>
      <c r="E3204" s="6">
        <v>20.32</v>
      </c>
      <c r="G3204" s="4"/>
      <c r="H3204" s="5"/>
    </row>
    <row r="3205" spans="4:8" x14ac:dyDescent="0.25">
      <c r="D3205" s="4">
        <v>36402</v>
      </c>
      <c r="E3205" s="5"/>
      <c r="G3205" s="4"/>
      <c r="H3205" s="5"/>
    </row>
    <row r="3206" spans="4:8" x14ac:dyDescent="0.25">
      <c r="D3206" s="4">
        <v>36403</v>
      </c>
      <c r="E3206" s="6">
        <v>21.08</v>
      </c>
      <c r="G3206" s="4"/>
      <c r="H3206" s="5"/>
    </row>
    <row r="3207" spans="4:8" x14ac:dyDescent="0.25">
      <c r="D3207" s="4">
        <v>36404</v>
      </c>
      <c r="E3207" s="6">
        <v>21.1</v>
      </c>
      <c r="G3207" s="4"/>
      <c r="H3207" s="5"/>
    </row>
    <row r="3208" spans="4:8" x14ac:dyDescent="0.25">
      <c r="D3208" s="4">
        <v>36405</v>
      </c>
      <c r="E3208" s="6">
        <v>20.66</v>
      </c>
      <c r="G3208" s="4"/>
      <c r="H3208" s="5"/>
    </row>
    <row r="3209" spans="4:8" x14ac:dyDescent="0.25">
      <c r="D3209" s="4">
        <v>36406</v>
      </c>
      <c r="E3209" s="6">
        <v>20.74</v>
      </c>
      <c r="G3209" s="4"/>
      <c r="H3209" s="5"/>
    </row>
    <row r="3210" spans="4:8" x14ac:dyDescent="0.25">
      <c r="D3210" s="4">
        <v>36409</v>
      </c>
      <c r="E3210" s="6">
        <v>21.14</v>
      </c>
      <c r="G3210" s="4"/>
      <c r="H3210" s="5"/>
    </row>
    <row r="3211" spans="4:8" x14ac:dyDescent="0.25">
      <c r="D3211" s="4">
        <v>36410</v>
      </c>
      <c r="E3211" s="6">
        <v>21.71</v>
      </c>
      <c r="G3211" s="4"/>
      <c r="H3211" s="5"/>
    </row>
    <row r="3212" spans="4:8" x14ac:dyDescent="0.25">
      <c r="D3212" s="4">
        <v>36411</v>
      </c>
      <c r="E3212" s="6">
        <v>21.96</v>
      </c>
      <c r="G3212" s="4"/>
      <c r="H3212" s="5"/>
    </row>
    <row r="3213" spans="4:8" x14ac:dyDescent="0.25">
      <c r="D3213" s="4">
        <v>36412</v>
      </c>
      <c r="E3213" s="6">
        <v>22.51</v>
      </c>
      <c r="G3213" s="4"/>
      <c r="H3213" s="5"/>
    </row>
    <row r="3214" spans="4:8" x14ac:dyDescent="0.25">
      <c r="D3214" s="4">
        <v>36413</v>
      </c>
      <c r="E3214" s="6">
        <v>22.36</v>
      </c>
      <c r="G3214" s="4"/>
      <c r="H3214" s="5"/>
    </row>
    <row r="3215" spans="4:8" x14ac:dyDescent="0.25">
      <c r="D3215" s="4">
        <v>36416</v>
      </c>
      <c r="E3215" s="6">
        <v>22.98</v>
      </c>
      <c r="G3215" s="4"/>
      <c r="H3215" s="5"/>
    </row>
    <row r="3216" spans="4:8" x14ac:dyDescent="0.25">
      <c r="D3216" s="4">
        <v>36417</v>
      </c>
      <c r="E3216" s="6">
        <v>23.18</v>
      </c>
      <c r="G3216" s="4"/>
      <c r="H3216" s="5"/>
    </row>
    <row r="3217" spans="4:8" x14ac:dyDescent="0.25">
      <c r="D3217" s="4">
        <v>36418</v>
      </c>
      <c r="E3217" s="6">
        <v>23.25</v>
      </c>
      <c r="G3217" s="4"/>
      <c r="H3217" s="5"/>
    </row>
    <row r="3218" spans="4:8" x14ac:dyDescent="0.25">
      <c r="D3218" s="4">
        <v>36419</v>
      </c>
      <c r="E3218" s="6">
        <v>23.06</v>
      </c>
      <c r="G3218" s="4"/>
      <c r="H3218" s="5"/>
    </row>
    <row r="3219" spans="4:8" x14ac:dyDescent="0.25">
      <c r="D3219" s="4">
        <v>36420</v>
      </c>
      <c r="E3219" s="6">
        <v>22.93</v>
      </c>
      <c r="G3219" s="4"/>
      <c r="H3219" s="5"/>
    </row>
    <row r="3220" spans="4:8" x14ac:dyDescent="0.25">
      <c r="D3220" s="4">
        <v>36423</v>
      </c>
      <c r="E3220" s="6">
        <v>22.85</v>
      </c>
      <c r="G3220" s="4"/>
      <c r="H3220" s="5"/>
    </row>
    <row r="3221" spans="4:8" x14ac:dyDescent="0.25">
      <c r="D3221" s="4">
        <v>36424</v>
      </c>
      <c r="E3221" s="6">
        <v>22.68</v>
      </c>
      <c r="G3221" s="4"/>
      <c r="H3221" s="5"/>
    </row>
    <row r="3222" spans="4:8" x14ac:dyDescent="0.25">
      <c r="D3222" s="4">
        <v>36425</v>
      </c>
      <c r="E3222" s="6">
        <v>22.49</v>
      </c>
      <c r="G3222" s="4"/>
      <c r="H3222" s="5"/>
    </row>
    <row r="3223" spans="4:8" x14ac:dyDescent="0.25">
      <c r="D3223" s="4">
        <v>36426</v>
      </c>
      <c r="E3223" s="6">
        <v>23.41</v>
      </c>
      <c r="G3223" s="4"/>
      <c r="H3223" s="5"/>
    </row>
    <row r="3224" spans="4:8" x14ac:dyDescent="0.25">
      <c r="D3224" s="4">
        <v>36427</v>
      </c>
      <c r="E3224" s="6">
        <v>23.66</v>
      </c>
      <c r="G3224" s="4"/>
      <c r="H3224" s="5"/>
    </row>
    <row r="3225" spans="4:8" x14ac:dyDescent="0.25">
      <c r="D3225" s="4">
        <v>36430</v>
      </c>
      <c r="E3225" s="6">
        <v>23.6</v>
      </c>
      <c r="G3225" s="4"/>
      <c r="H3225" s="5"/>
    </row>
    <row r="3226" spans="4:8" x14ac:dyDescent="0.25">
      <c r="D3226" s="4">
        <v>36431</v>
      </c>
      <c r="E3226" s="6">
        <v>23.24</v>
      </c>
      <c r="G3226" s="4"/>
      <c r="H3226" s="5"/>
    </row>
    <row r="3227" spans="4:8" x14ac:dyDescent="0.25">
      <c r="D3227" s="4">
        <v>36432</v>
      </c>
      <c r="E3227" s="6">
        <v>23.46</v>
      </c>
      <c r="G3227" s="4"/>
      <c r="H3227" s="5"/>
    </row>
    <row r="3228" spans="4:8" x14ac:dyDescent="0.25">
      <c r="D3228" s="4">
        <v>36433</v>
      </c>
      <c r="E3228" s="6">
        <v>22.98</v>
      </c>
      <c r="G3228" s="4"/>
      <c r="H3228" s="5"/>
    </row>
    <row r="3229" spans="4:8" x14ac:dyDescent="0.25">
      <c r="D3229" s="4">
        <v>36434</v>
      </c>
      <c r="E3229" s="6">
        <v>22.98</v>
      </c>
      <c r="G3229" s="4"/>
      <c r="H3229" s="5"/>
    </row>
    <row r="3230" spans="4:8" x14ac:dyDescent="0.25">
      <c r="D3230" s="4">
        <v>36437</v>
      </c>
      <c r="E3230" s="6">
        <v>23.3</v>
      </c>
      <c r="G3230" s="4"/>
      <c r="H3230" s="5"/>
    </row>
    <row r="3231" spans="4:8" x14ac:dyDescent="0.25">
      <c r="D3231" s="4">
        <v>36438</v>
      </c>
      <c r="E3231" s="6">
        <v>22.64</v>
      </c>
      <c r="G3231" s="4"/>
      <c r="H3231" s="5"/>
    </row>
    <row r="3232" spans="4:8" x14ac:dyDescent="0.25">
      <c r="D3232" s="4">
        <v>36439</v>
      </c>
      <c r="E3232" s="6">
        <v>23.07</v>
      </c>
      <c r="G3232" s="4"/>
      <c r="H3232" s="5"/>
    </row>
    <row r="3233" spans="4:8" x14ac:dyDescent="0.25">
      <c r="D3233" s="4">
        <v>36440</v>
      </c>
      <c r="E3233" s="6">
        <v>22.33</v>
      </c>
      <c r="G3233" s="4"/>
      <c r="H3233" s="5"/>
    </row>
    <row r="3234" spans="4:8" x14ac:dyDescent="0.25">
      <c r="D3234" s="4">
        <v>36441</v>
      </c>
      <c r="E3234" s="6">
        <v>20.78</v>
      </c>
      <c r="G3234" s="4"/>
      <c r="H3234" s="5"/>
    </row>
    <row r="3235" spans="4:8" x14ac:dyDescent="0.25">
      <c r="D3235" s="4">
        <v>36444</v>
      </c>
      <c r="E3235" s="6">
        <v>20.84</v>
      </c>
      <c r="G3235" s="4"/>
      <c r="H3235" s="5"/>
    </row>
    <row r="3236" spans="4:8" x14ac:dyDescent="0.25">
      <c r="D3236" s="4">
        <v>36445</v>
      </c>
      <c r="E3236" s="6">
        <v>21.89</v>
      </c>
      <c r="G3236" s="4"/>
      <c r="H3236" s="5"/>
    </row>
    <row r="3237" spans="4:8" x14ac:dyDescent="0.25">
      <c r="D3237" s="4">
        <v>36446</v>
      </c>
      <c r="E3237" s="6">
        <v>22.26</v>
      </c>
      <c r="G3237" s="4"/>
      <c r="H3237" s="5"/>
    </row>
    <row r="3238" spans="4:8" x14ac:dyDescent="0.25">
      <c r="D3238" s="4">
        <v>36447</v>
      </c>
      <c r="E3238" s="6">
        <v>22.28</v>
      </c>
      <c r="G3238" s="4"/>
      <c r="H3238" s="5"/>
    </row>
    <row r="3239" spans="4:8" x14ac:dyDescent="0.25">
      <c r="D3239" s="4">
        <v>36448</v>
      </c>
      <c r="E3239" s="6">
        <v>21.65</v>
      </c>
      <c r="G3239" s="4"/>
      <c r="H3239" s="5"/>
    </row>
    <row r="3240" spans="4:8" x14ac:dyDescent="0.25">
      <c r="D3240" s="4">
        <v>36451</v>
      </c>
      <c r="E3240" s="6">
        <v>22.26</v>
      </c>
      <c r="G3240" s="4"/>
      <c r="H3240" s="5"/>
    </row>
    <row r="3241" spans="4:8" x14ac:dyDescent="0.25">
      <c r="D3241" s="4">
        <v>36452</v>
      </c>
      <c r="E3241" s="6">
        <v>21.59</v>
      </c>
      <c r="G3241" s="4"/>
      <c r="H3241" s="5"/>
    </row>
    <row r="3242" spans="4:8" x14ac:dyDescent="0.25">
      <c r="D3242" s="4">
        <v>36453</v>
      </c>
      <c r="E3242" s="6">
        <v>21.02</v>
      </c>
      <c r="G3242" s="4"/>
      <c r="H3242" s="5"/>
    </row>
    <row r="3243" spans="4:8" x14ac:dyDescent="0.25">
      <c r="D3243" s="4">
        <v>36454</v>
      </c>
      <c r="E3243" s="6">
        <v>21.68</v>
      </c>
      <c r="G3243" s="4"/>
      <c r="H3243" s="5"/>
    </row>
    <row r="3244" spans="4:8" x14ac:dyDescent="0.25">
      <c r="D3244" s="4">
        <v>36455</v>
      </c>
      <c r="E3244" s="6">
        <v>22.38</v>
      </c>
      <c r="G3244" s="4"/>
      <c r="H3244" s="5"/>
    </row>
    <row r="3245" spans="4:8" x14ac:dyDescent="0.25">
      <c r="D3245" s="4">
        <v>36458</v>
      </c>
      <c r="E3245" s="6">
        <v>22.45</v>
      </c>
      <c r="G3245" s="4"/>
      <c r="H3245" s="5"/>
    </row>
    <row r="3246" spans="4:8" x14ac:dyDescent="0.25">
      <c r="D3246" s="4">
        <v>36459</v>
      </c>
      <c r="E3246" s="6">
        <v>22.14</v>
      </c>
      <c r="G3246" s="4"/>
      <c r="H3246" s="5"/>
    </row>
    <row r="3247" spans="4:8" x14ac:dyDescent="0.25">
      <c r="D3247" s="4">
        <v>36460</v>
      </c>
      <c r="E3247" s="6">
        <v>22.18</v>
      </c>
      <c r="G3247" s="4"/>
      <c r="H3247" s="5"/>
    </row>
    <row r="3248" spans="4:8" x14ac:dyDescent="0.25">
      <c r="D3248" s="4">
        <v>36461</v>
      </c>
      <c r="E3248" s="6">
        <v>21.22</v>
      </c>
      <c r="G3248" s="4"/>
      <c r="H3248" s="5"/>
    </row>
    <row r="3249" spans="4:8" x14ac:dyDescent="0.25">
      <c r="D3249" s="4">
        <v>36462</v>
      </c>
      <c r="E3249" s="6">
        <v>21.11</v>
      </c>
      <c r="G3249" s="4"/>
      <c r="H3249" s="5"/>
    </row>
    <row r="3250" spans="4:8" x14ac:dyDescent="0.25">
      <c r="D3250" s="4">
        <v>36465</v>
      </c>
      <c r="E3250" s="6">
        <v>21.32</v>
      </c>
      <c r="G3250" s="4"/>
      <c r="H3250" s="5"/>
    </row>
    <row r="3251" spans="4:8" x14ac:dyDescent="0.25">
      <c r="D3251" s="4">
        <v>36466</v>
      </c>
      <c r="E3251" s="6">
        <v>21.98</v>
      </c>
      <c r="G3251" s="4"/>
      <c r="H3251" s="5"/>
    </row>
    <row r="3252" spans="4:8" x14ac:dyDescent="0.25">
      <c r="D3252" s="4">
        <v>36467</v>
      </c>
      <c r="E3252" s="6">
        <v>22.38</v>
      </c>
      <c r="G3252" s="4"/>
      <c r="H3252" s="5"/>
    </row>
    <row r="3253" spans="4:8" x14ac:dyDescent="0.25">
      <c r="D3253" s="4">
        <v>36468</v>
      </c>
      <c r="E3253" s="6">
        <v>22.64</v>
      </c>
      <c r="G3253" s="4"/>
      <c r="H3253" s="5"/>
    </row>
    <row r="3254" spans="4:8" x14ac:dyDescent="0.25">
      <c r="D3254" s="4">
        <v>36469</v>
      </c>
      <c r="E3254" s="6">
        <v>22.8</v>
      </c>
      <c r="G3254" s="4"/>
      <c r="H3254" s="5"/>
    </row>
    <row r="3255" spans="4:8" x14ac:dyDescent="0.25">
      <c r="D3255" s="4">
        <v>36472</v>
      </c>
      <c r="E3255" s="6">
        <v>23.62</v>
      </c>
      <c r="G3255" s="4"/>
      <c r="H3255" s="5"/>
    </row>
    <row r="3256" spans="4:8" x14ac:dyDescent="0.25">
      <c r="D3256" s="4">
        <v>36473</v>
      </c>
      <c r="E3256" s="6">
        <v>24.44</v>
      </c>
      <c r="G3256" s="4"/>
      <c r="H3256" s="5"/>
    </row>
    <row r="3257" spans="4:8" x14ac:dyDescent="0.25">
      <c r="D3257" s="4">
        <v>36474</v>
      </c>
      <c r="E3257" s="6">
        <v>25.42</v>
      </c>
      <c r="G3257" s="4"/>
      <c r="H3257" s="5"/>
    </row>
    <row r="3258" spans="4:8" x14ac:dyDescent="0.25">
      <c r="D3258" s="4">
        <v>36475</v>
      </c>
      <c r="E3258" s="6">
        <v>24.96</v>
      </c>
      <c r="G3258" s="4"/>
      <c r="H3258" s="5"/>
    </row>
    <row r="3259" spans="4:8" x14ac:dyDescent="0.25">
      <c r="D3259" s="4">
        <v>36476</v>
      </c>
      <c r="E3259" s="6">
        <v>25.39</v>
      </c>
      <c r="G3259" s="4"/>
      <c r="H3259" s="5"/>
    </row>
    <row r="3260" spans="4:8" x14ac:dyDescent="0.25">
      <c r="D3260" s="4">
        <v>36479</v>
      </c>
      <c r="E3260" s="6">
        <v>25.93</v>
      </c>
      <c r="G3260" s="4"/>
      <c r="H3260" s="5"/>
    </row>
    <row r="3261" spans="4:8" x14ac:dyDescent="0.25">
      <c r="D3261" s="4">
        <v>36480</v>
      </c>
      <c r="E3261" s="6">
        <v>24.88</v>
      </c>
      <c r="G3261" s="4"/>
      <c r="H3261" s="5"/>
    </row>
    <row r="3262" spans="4:8" x14ac:dyDescent="0.25">
      <c r="D3262" s="4">
        <v>36481</v>
      </c>
      <c r="E3262" s="6">
        <v>24.98</v>
      </c>
      <c r="G3262" s="4"/>
      <c r="H3262" s="5"/>
    </row>
    <row r="3263" spans="4:8" x14ac:dyDescent="0.25">
      <c r="D3263" s="4">
        <v>36482</v>
      </c>
      <c r="E3263" s="6">
        <v>25.02</v>
      </c>
      <c r="G3263" s="4"/>
      <c r="H3263" s="5"/>
    </row>
    <row r="3264" spans="4:8" x14ac:dyDescent="0.25">
      <c r="D3264" s="4">
        <v>36483</v>
      </c>
      <c r="E3264" s="6">
        <v>25.14</v>
      </c>
      <c r="G3264" s="4"/>
      <c r="H3264" s="5"/>
    </row>
    <row r="3265" spans="4:8" x14ac:dyDescent="0.25">
      <c r="D3265" s="4">
        <v>36486</v>
      </c>
      <c r="E3265" s="6">
        <v>25.86</v>
      </c>
      <c r="G3265" s="4"/>
      <c r="H3265" s="5"/>
    </row>
    <row r="3266" spans="4:8" x14ac:dyDescent="0.25">
      <c r="D3266" s="4">
        <v>36487</v>
      </c>
      <c r="E3266" s="6">
        <v>25.66</v>
      </c>
      <c r="G3266" s="4"/>
      <c r="H3266" s="5"/>
    </row>
    <row r="3267" spans="4:8" x14ac:dyDescent="0.25">
      <c r="D3267" s="4">
        <v>36488</v>
      </c>
      <c r="E3267" s="6">
        <v>25.77</v>
      </c>
      <c r="G3267" s="4"/>
      <c r="H3267" s="5"/>
    </row>
    <row r="3268" spans="4:8" x14ac:dyDescent="0.25">
      <c r="D3268" s="4">
        <v>36489</v>
      </c>
      <c r="E3268" s="6">
        <v>25.94</v>
      </c>
      <c r="G3268" s="4"/>
      <c r="H3268" s="5"/>
    </row>
    <row r="3269" spans="4:8" x14ac:dyDescent="0.25">
      <c r="D3269" s="4">
        <v>36490</v>
      </c>
      <c r="E3269" s="6">
        <v>25.85</v>
      </c>
      <c r="G3269" s="4"/>
      <c r="H3269" s="5"/>
    </row>
    <row r="3270" spans="4:8" x14ac:dyDescent="0.25">
      <c r="D3270" s="4">
        <v>36493</v>
      </c>
      <c r="E3270" s="6">
        <v>25.67</v>
      </c>
      <c r="G3270" s="4"/>
      <c r="H3270" s="5"/>
    </row>
    <row r="3271" spans="4:8" x14ac:dyDescent="0.25">
      <c r="D3271" s="4">
        <v>36494</v>
      </c>
      <c r="E3271" s="6">
        <v>25.2</v>
      </c>
      <c r="G3271" s="4"/>
      <c r="H3271" s="5"/>
    </row>
    <row r="3272" spans="4:8" x14ac:dyDescent="0.25">
      <c r="D3272" s="4">
        <v>36495</v>
      </c>
      <c r="E3272" s="6">
        <v>24.2</v>
      </c>
      <c r="G3272" s="4"/>
      <c r="H3272" s="5"/>
    </row>
    <row r="3273" spans="4:8" x14ac:dyDescent="0.25">
      <c r="D3273" s="4">
        <v>36496</v>
      </c>
      <c r="E3273" s="6">
        <v>25.52</v>
      </c>
      <c r="G3273" s="4"/>
      <c r="H3273" s="5"/>
    </row>
    <row r="3274" spans="4:8" x14ac:dyDescent="0.25">
      <c r="D3274" s="4">
        <v>36497</v>
      </c>
      <c r="E3274" s="6">
        <v>26.17</v>
      </c>
      <c r="G3274" s="4"/>
      <c r="H3274" s="5"/>
    </row>
    <row r="3275" spans="4:8" x14ac:dyDescent="0.25">
      <c r="D3275" s="4">
        <v>36500</v>
      </c>
      <c r="E3275" s="6">
        <v>26.46</v>
      </c>
      <c r="G3275" s="4"/>
      <c r="H3275" s="5"/>
    </row>
    <row r="3276" spans="4:8" x14ac:dyDescent="0.25">
      <c r="D3276" s="4">
        <v>36501</v>
      </c>
      <c r="E3276" s="6">
        <v>26.1</v>
      </c>
      <c r="G3276" s="4"/>
      <c r="H3276" s="5"/>
    </row>
    <row r="3277" spans="4:8" x14ac:dyDescent="0.25">
      <c r="D3277" s="4">
        <v>36502</v>
      </c>
      <c r="E3277" s="6">
        <v>25.45</v>
      </c>
      <c r="G3277" s="4"/>
      <c r="H3277" s="5"/>
    </row>
    <row r="3278" spans="4:8" x14ac:dyDescent="0.25">
      <c r="D3278" s="4">
        <v>36503</v>
      </c>
      <c r="E3278" s="6">
        <v>25.85</v>
      </c>
      <c r="G3278" s="4"/>
      <c r="H3278" s="5"/>
    </row>
    <row r="3279" spans="4:8" x14ac:dyDescent="0.25">
      <c r="D3279" s="4">
        <v>36504</v>
      </c>
      <c r="E3279" s="6">
        <v>24.86</v>
      </c>
      <c r="G3279" s="4"/>
      <c r="H3279" s="5"/>
    </row>
    <row r="3280" spans="4:8" x14ac:dyDescent="0.25">
      <c r="D3280" s="4">
        <v>36507</v>
      </c>
      <c r="E3280" s="6">
        <v>24.31</v>
      </c>
      <c r="G3280" s="4"/>
      <c r="H3280" s="5"/>
    </row>
    <row r="3281" spans="4:8" x14ac:dyDescent="0.25">
      <c r="D3281" s="4">
        <v>36508</v>
      </c>
      <c r="E3281" s="6">
        <v>24.88</v>
      </c>
      <c r="G3281" s="4"/>
      <c r="H3281" s="5"/>
    </row>
    <row r="3282" spans="4:8" x14ac:dyDescent="0.25">
      <c r="D3282" s="4">
        <v>36509</v>
      </c>
      <c r="E3282" s="6">
        <v>25.68</v>
      </c>
      <c r="G3282" s="4"/>
      <c r="H3282" s="5"/>
    </row>
    <row r="3283" spans="4:8" x14ac:dyDescent="0.25">
      <c r="D3283" s="4">
        <v>36510</v>
      </c>
      <c r="E3283" s="6">
        <v>26.09</v>
      </c>
      <c r="G3283" s="4"/>
      <c r="H3283" s="5"/>
    </row>
    <row r="3284" spans="4:8" x14ac:dyDescent="0.25">
      <c r="D3284" s="4">
        <v>36511</v>
      </c>
      <c r="E3284" s="6">
        <v>26.22</v>
      </c>
      <c r="G3284" s="4"/>
      <c r="H3284" s="5"/>
    </row>
    <row r="3285" spans="4:8" x14ac:dyDescent="0.25">
      <c r="D3285" s="4">
        <v>36514</v>
      </c>
      <c r="E3285" s="6">
        <v>25.98</v>
      </c>
      <c r="G3285" s="4"/>
      <c r="H3285" s="5"/>
    </row>
    <row r="3286" spans="4:8" x14ac:dyDescent="0.25">
      <c r="D3286" s="4">
        <v>36515</v>
      </c>
      <c r="E3286" s="6">
        <v>25.51</v>
      </c>
      <c r="G3286" s="4"/>
      <c r="H3286" s="5"/>
    </row>
    <row r="3287" spans="4:8" x14ac:dyDescent="0.25">
      <c r="D3287" s="4">
        <v>36516</v>
      </c>
      <c r="E3287" s="6">
        <v>25.04</v>
      </c>
      <c r="G3287" s="4"/>
      <c r="H3287" s="5"/>
    </row>
    <row r="3288" spans="4:8" x14ac:dyDescent="0.25">
      <c r="D3288" s="4">
        <v>36517</v>
      </c>
      <c r="E3288" s="6">
        <v>25.11</v>
      </c>
      <c r="G3288" s="4"/>
      <c r="H3288" s="5"/>
    </row>
    <row r="3289" spans="4:8" x14ac:dyDescent="0.25">
      <c r="D3289" s="4">
        <v>36518</v>
      </c>
      <c r="E3289" s="5"/>
      <c r="G3289" s="4"/>
      <c r="H3289" s="5"/>
    </row>
    <row r="3290" spans="4:8" x14ac:dyDescent="0.25">
      <c r="D3290" s="4">
        <v>36521</v>
      </c>
      <c r="E3290" s="5"/>
      <c r="G3290" s="4"/>
      <c r="H3290" s="5"/>
    </row>
    <row r="3291" spans="4:8" x14ac:dyDescent="0.25">
      <c r="D3291" s="4">
        <v>36522</v>
      </c>
      <c r="E3291" s="5"/>
      <c r="G3291" s="4"/>
      <c r="H3291" s="5"/>
    </row>
    <row r="3292" spans="4:8" x14ac:dyDescent="0.25">
      <c r="D3292" s="4">
        <v>36523</v>
      </c>
      <c r="E3292" s="6">
        <v>25.63</v>
      </c>
      <c r="G3292" s="4"/>
      <c r="H3292" s="5"/>
    </row>
    <row r="3293" spans="4:8" x14ac:dyDescent="0.25">
      <c r="D3293" s="4">
        <v>36524</v>
      </c>
      <c r="E3293" s="6">
        <v>24.93</v>
      </c>
      <c r="G3293" s="4"/>
      <c r="H3293" s="5"/>
    </row>
    <row r="3294" spans="4:8" x14ac:dyDescent="0.25">
      <c r="D3294" s="4">
        <v>36525</v>
      </c>
      <c r="E3294" s="5"/>
      <c r="G3294" s="4"/>
      <c r="H3294" s="5"/>
    </row>
    <row r="3295" spans="4:8" x14ac:dyDescent="0.25">
      <c r="D3295" s="4">
        <v>36528</v>
      </c>
      <c r="E3295" s="5"/>
      <c r="G3295" s="4"/>
      <c r="H3295" s="5"/>
    </row>
    <row r="3296" spans="4:8" x14ac:dyDescent="0.25">
      <c r="D3296" s="4">
        <v>36529</v>
      </c>
      <c r="E3296" s="6">
        <v>23.95</v>
      </c>
      <c r="G3296" s="4"/>
      <c r="H3296" s="5"/>
    </row>
    <row r="3297" spans="4:8" x14ac:dyDescent="0.25">
      <c r="D3297" s="4">
        <v>36530</v>
      </c>
      <c r="E3297" s="6">
        <v>23.72</v>
      </c>
      <c r="G3297" s="4"/>
      <c r="H3297" s="5"/>
    </row>
    <row r="3298" spans="4:8" x14ac:dyDescent="0.25">
      <c r="D3298" s="4">
        <v>36531</v>
      </c>
      <c r="E3298" s="6">
        <v>23.55</v>
      </c>
      <c r="G3298" s="4"/>
      <c r="H3298" s="5"/>
    </row>
    <row r="3299" spans="4:8" x14ac:dyDescent="0.25">
      <c r="D3299" s="4">
        <v>36532</v>
      </c>
      <c r="E3299" s="6">
        <v>23.35</v>
      </c>
      <c r="G3299" s="4"/>
      <c r="H3299" s="5"/>
    </row>
    <row r="3300" spans="4:8" x14ac:dyDescent="0.25">
      <c r="D3300" s="4">
        <v>36535</v>
      </c>
      <c r="E3300" s="6">
        <v>22.77</v>
      </c>
      <c r="G3300" s="4"/>
      <c r="H3300" s="5"/>
    </row>
    <row r="3301" spans="4:8" x14ac:dyDescent="0.25">
      <c r="D3301" s="4">
        <v>36536</v>
      </c>
      <c r="E3301" s="6">
        <v>23.93</v>
      </c>
      <c r="G3301" s="4"/>
      <c r="H3301" s="5"/>
    </row>
    <row r="3302" spans="4:8" x14ac:dyDescent="0.25">
      <c r="D3302" s="4">
        <v>36537</v>
      </c>
      <c r="E3302" s="6">
        <v>24.62</v>
      </c>
      <c r="G3302" s="4"/>
      <c r="H3302" s="5"/>
    </row>
    <row r="3303" spans="4:8" x14ac:dyDescent="0.25">
      <c r="D3303" s="4">
        <v>36538</v>
      </c>
      <c r="E3303" s="6">
        <v>24.9</v>
      </c>
      <c r="G3303" s="4"/>
      <c r="H3303" s="5"/>
    </row>
    <row r="3304" spans="4:8" x14ac:dyDescent="0.25">
      <c r="D3304" s="4">
        <v>36539</v>
      </c>
      <c r="E3304" s="6">
        <v>25.5</v>
      </c>
      <c r="G3304" s="4"/>
      <c r="H3304" s="5"/>
    </row>
    <row r="3305" spans="4:8" x14ac:dyDescent="0.25">
      <c r="D3305" s="4">
        <v>36542</v>
      </c>
      <c r="E3305" s="6">
        <v>25.99</v>
      </c>
      <c r="G3305" s="4"/>
      <c r="H3305" s="5"/>
    </row>
    <row r="3306" spans="4:8" x14ac:dyDescent="0.25">
      <c r="D3306" s="4">
        <v>36543</v>
      </c>
      <c r="E3306" s="6">
        <v>26.31</v>
      </c>
      <c r="G3306" s="4"/>
      <c r="H3306" s="5"/>
    </row>
    <row r="3307" spans="4:8" x14ac:dyDescent="0.25">
      <c r="D3307" s="4">
        <v>36544</v>
      </c>
      <c r="E3307" s="6">
        <v>26.17</v>
      </c>
      <c r="G3307" s="4"/>
      <c r="H3307" s="5"/>
    </row>
    <row r="3308" spans="4:8" x14ac:dyDescent="0.25">
      <c r="D3308" s="4">
        <v>36545</v>
      </c>
      <c r="E3308" s="6">
        <v>26.26</v>
      </c>
      <c r="G3308" s="4"/>
      <c r="H3308" s="5"/>
    </row>
    <row r="3309" spans="4:8" x14ac:dyDescent="0.25">
      <c r="D3309" s="4">
        <v>36546</v>
      </c>
      <c r="E3309" s="6">
        <v>27.18</v>
      </c>
      <c r="G3309" s="4"/>
      <c r="H3309" s="5"/>
    </row>
    <row r="3310" spans="4:8" x14ac:dyDescent="0.25">
      <c r="D3310" s="4">
        <v>36549</v>
      </c>
      <c r="E3310" s="6">
        <v>27.02</v>
      </c>
      <c r="G3310" s="4"/>
      <c r="H3310" s="5"/>
    </row>
    <row r="3311" spans="4:8" x14ac:dyDescent="0.25">
      <c r="D3311" s="4">
        <v>36550</v>
      </c>
      <c r="E3311" s="6">
        <v>27.24</v>
      </c>
      <c r="G3311" s="4"/>
      <c r="H3311" s="5"/>
    </row>
    <row r="3312" spans="4:8" x14ac:dyDescent="0.25">
      <c r="D3312" s="4">
        <v>36551</v>
      </c>
      <c r="E3312" s="6">
        <v>27.18</v>
      </c>
      <c r="G3312" s="4"/>
      <c r="H3312" s="5"/>
    </row>
    <row r="3313" spans="4:8" x14ac:dyDescent="0.25">
      <c r="D3313" s="4">
        <v>36552</v>
      </c>
      <c r="E3313" s="6">
        <v>26.91</v>
      </c>
      <c r="G3313" s="4"/>
      <c r="H3313" s="5"/>
    </row>
    <row r="3314" spans="4:8" x14ac:dyDescent="0.25">
      <c r="D3314" s="4">
        <v>36553</v>
      </c>
      <c r="E3314" s="6">
        <v>26.59</v>
      </c>
      <c r="G3314" s="4"/>
      <c r="H3314" s="5"/>
    </row>
    <row r="3315" spans="4:8" x14ac:dyDescent="0.25">
      <c r="D3315" s="4">
        <v>36556</v>
      </c>
      <c r="E3315" s="6">
        <v>27.08</v>
      </c>
      <c r="G3315" s="4"/>
      <c r="H3315" s="5"/>
    </row>
    <row r="3316" spans="4:8" x14ac:dyDescent="0.25">
      <c r="D3316" s="4">
        <v>36557</v>
      </c>
      <c r="E3316" s="6">
        <v>27.35</v>
      </c>
      <c r="G3316" s="4"/>
      <c r="H3316" s="5"/>
    </row>
    <row r="3317" spans="4:8" x14ac:dyDescent="0.25">
      <c r="D3317" s="4">
        <v>36558</v>
      </c>
      <c r="E3317" s="6">
        <v>27.15</v>
      </c>
      <c r="G3317" s="4"/>
      <c r="H3317" s="5"/>
    </row>
    <row r="3318" spans="4:8" x14ac:dyDescent="0.25">
      <c r="D3318" s="4">
        <v>36559</v>
      </c>
      <c r="E3318" s="6">
        <v>27.6</v>
      </c>
      <c r="G3318" s="4"/>
      <c r="H3318" s="5"/>
    </row>
    <row r="3319" spans="4:8" x14ac:dyDescent="0.25">
      <c r="D3319" s="4">
        <v>36560</v>
      </c>
      <c r="E3319" s="6">
        <v>27.48</v>
      </c>
      <c r="G3319" s="4"/>
      <c r="H3319" s="5"/>
    </row>
    <row r="3320" spans="4:8" x14ac:dyDescent="0.25">
      <c r="D3320" s="4">
        <v>36563</v>
      </c>
      <c r="E3320" s="6">
        <v>27.94</v>
      </c>
      <c r="G3320" s="4"/>
      <c r="H3320" s="5"/>
    </row>
    <row r="3321" spans="4:8" x14ac:dyDescent="0.25">
      <c r="D3321" s="4">
        <v>36564</v>
      </c>
      <c r="E3321" s="6">
        <v>27.61</v>
      </c>
      <c r="G3321" s="4"/>
      <c r="H3321" s="5"/>
    </row>
    <row r="3322" spans="4:8" x14ac:dyDescent="0.25">
      <c r="D3322" s="4">
        <v>36565</v>
      </c>
      <c r="E3322" s="6">
        <v>27.44</v>
      </c>
      <c r="G3322" s="4"/>
      <c r="H3322" s="5"/>
    </row>
    <row r="3323" spans="4:8" x14ac:dyDescent="0.25">
      <c r="D3323" s="4">
        <v>36566</v>
      </c>
      <c r="E3323" s="6">
        <v>27.32</v>
      </c>
      <c r="G3323" s="4"/>
      <c r="H3323" s="5"/>
    </row>
    <row r="3324" spans="4:8" x14ac:dyDescent="0.25">
      <c r="D3324" s="4">
        <v>36567</v>
      </c>
      <c r="E3324" s="6">
        <v>27.82</v>
      </c>
      <c r="G3324" s="4"/>
      <c r="H3324" s="5"/>
    </row>
    <row r="3325" spans="4:8" x14ac:dyDescent="0.25">
      <c r="D3325" s="4">
        <v>36570</v>
      </c>
      <c r="E3325" s="6">
        <v>28.03</v>
      </c>
      <c r="G3325" s="4"/>
      <c r="H3325" s="5"/>
    </row>
    <row r="3326" spans="4:8" x14ac:dyDescent="0.25">
      <c r="D3326" s="4">
        <v>36571</v>
      </c>
      <c r="E3326" s="6">
        <v>28.12</v>
      </c>
      <c r="G3326" s="4"/>
      <c r="H3326" s="5"/>
    </row>
    <row r="3327" spans="4:8" x14ac:dyDescent="0.25">
      <c r="D3327" s="4">
        <v>36572</v>
      </c>
      <c r="E3327" s="6">
        <v>28.11</v>
      </c>
      <c r="G3327" s="4"/>
      <c r="H3327" s="5"/>
    </row>
    <row r="3328" spans="4:8" x14ac:dyDescent="0.25">
      <c r="D3328" s="4">
        <v>36573</v>
      </c>
      <c r="E3328" s="6">
        <v>27.54</v>
      </c>
      <c r="G3328" s="4"/>
      <c r="H3328" s="5"/>
    </row>
    <row r="3329" spans="4:8" x14ac:dyDescent="0.25">
      <c r="D3329" s="4">
        <v>36574</v>
      </c>
      <c r="E3329" s="6">
        <v>27.26</v>
      </c>
      <c r="G3329" s="4"/>
      <c r="H3329" s="5"/>
    </row>
    <row r="3330" spans="4:8" x14ac:dyDescent="0.25">
      <c r="D3330" s="4">
        <v>36577</v>
      </c>
      <c r="E3330" s="6">
        <v>26.93</v>
      </c>
      <c r="G3330" s="4"/>
      <c r="H3330" s="5"/>
    </row>
    <row r="3331" spans="4:8" x14ac:dyDescent="0.25">
      <c r="D3331" s="4">
        <v>36578</v>
      </c>
      <c r="E3331" s="6">
        <v>27.22</v>
      </c>
      <c r="G3331" s="4"/>
      <c r="H3331" s="5"/>
    </row>
    <row r="3332" spans="4:8" x14ac:dyDescent="0.25">
      <c r="D3332" s="4">
        <v>36579</v>
      </c>
      <c r="E3332" s="6">
        <v>27.92</v>
      </c>
      <c r="G3332" s="4"/>
      <c r="H3332" s="5"/>
    </row>
    <row r="3333" spans="4:8" x14ac:dyDescent="0.25">
      <c r="D3333" s="4">
        <v>36580</v>
      </c>
      <c r="E3333" s="6">
        <v>28.21</v>
      </c>
      <c r="G3333" s="4"/>
      <c r="H3333" s="5"/>
    </row>
    <row r="3334" spans="4:8" x14ac:dyDescent="0.25">
      <c r="D3334" s="4">
        <v>36581</v>
      </c>
      <c r="E3334" s="6">
        <v>28.53</v>
      </c>
      <c r="G3334" s="4"/>
      <c r="H3334" s="5"/>
    </row>
    <row r="3335" spans="4:8" x14ac:dyDescent="0.25">
      <c r="D3335" s="4">
        <v>36584</v>
      </c>
      <c r="E3335" s="6">
        <v>28.7</v>
      </c>
      <c r="G3335" s="4"/>
      <c r="H3335" s="5"/>
    </row>
    <row r="3336" spans="4:8" x14ac:dyDescent="0.25">
      <c r="D3336" s="4">
        <v>36585</v>
      </c>
      <c r="E3336" s="6">
        <v>29.01</v>
      </c>
      <c r="G3336" s="4"/>
      <c r="H3336" s="5"/>
    </row>
    <row r="3337" spans="4:8" x14ac:dyDescent="0.25">
      <c r="D3337" s="4">
        <v>36586</v>
      </c>
      <c r="E3337" s="6">
        <v>29.78</v>
      </c>
      <c r="G3337" s="4"/>
      <c r="H3337" s="5"/>
    </row>
    <row r="3338" spans="4:8" x14ac:dyDescent="0.25">
      <c r="D3338" s="4">
        <v>36587</v>
      </c>
      <c r="E3338" s="6">
        <v>30.12</v>
      </c>
      <c r="G3338" s="4"/>
      <c r="H3338" s="5"/>
    </row>
    <row r="3339" spans="4:8" x14ac:dyDescent="0.25">
      <c r="D3339" s="4">
        <v>36588</v>
      </c>
      <c r="E3339" s="6">
        <v>29.83</v>
      </c>
      <c r="G3339" s="4"/>
      <c r="H3339" s="5"/>
    </row>
    <row r="3340" spans="4:8" x14ac:dyDescent="0.25">
      <c r="D3340" s="4">
        <v>36591</v>
      </c>
      <c r="E3340" s="6">
        <v>30.08</v>
      </c>
      <c r="G3340" s="4"/>
      <c r="H3340" s="5"/>
    </row>
    <row r="3341" spans="4:8" x14ac:dyDescent="0.25">
      <c r="D3341" s="4">
        <v>36592</v>
      </c>
      <c r="E3341" s="6">
        <v>31.93</v>
      </c>
      <c r="G3341" s="4"/>
      <c r="H3341" s="5"/>
    </row>
    <row r="3342" spans="4:8" x14ac:dyDescent="0.25">
      <c r="D3342" s="4">
        <v>36593</v>
      </c>
      <c r="E3342" s="6">
        <v>31.41</v>
      </c>
      <c r="G3342" s="4"/>
      <c r="H3342" s="5"/>
    </row>
    <row r="3343" spans="4:8" x14ac:dyDescent="0.25">
      <c r="D3343" s="4">
        <v>36594</v>
      </c>
      <c r="E3343" s="6">
        <v>29.11</v>
      </c>
      <c r="G3343" s="4"/>
      <c r="H3343" s="5"/>
    </row>
    <row r="3344" spans="4:8" x14ac:dyDescent="0.25">
      <c r="D3344" s="4">
        <v>36595</v>
      </c>
      <c r="E3344" s="6">
        <v>28.97</v>
      </c>
      <c r="G3344" s="4"/>
      <c r="H3344" s="5"/>
    </row>
    <row r="3345" spans="4:8" x14ac:dyDescent="0.25">
      <c r="D3345" s="4">
        <v>36598</v>
      </c>
      <c r="E3345" s="6">
        <v>29.25</v>
      </c>
      <c r="G3345" s="4"/>
      <c r="H3345" s="5"/>
    </row>
    <row r="3346" spans="4:8" x14ac:dyDescent="0.25">
      <c r="D3346" s="4">
        <v>36599</v>
      </c>
      <c r="E3346" s="6">
        <v>28.83</v>
      </c>
      <c r="G3346" s="4"/>
      <c r="H3346" s="5"/>
    </row>
    <row r="3347" spans="4:8" x14ac:dyDescent="0.25">
      <c r="D3347" s="4">
        <v>36600</v>
      </c>
      <c r="E3347" s="6">
        <v>28.03</v>
      </c>
      <c r="G3347" s="4"/>
      <c r="H3347" s="5"/>
    </row>
    <row r="3348" spans="4:8" x14ac:dyDescent="0.25">
      <c r="D3348" s="4">
        <v>36601</v>
      </c>
      <c r="E3348" s="6">
        <v>27.97</v>
      </c>
      <c r="G3348" s="4"/>
      <c r="H3348" s="5"/>
    </row>
    <row r="3349" spans="4:8" x14ac:dyDescent="0.25">
      <c r="D3349" s="4">
        <v>36602</v>
      </c>
      <c r="E3349" s="6">
        <v>27.87</v>
      </c>
      <c r="G3349" s="4"/>
      <c r="H3349" s="5"/>
    </row>
    <row r="3350" spans="4:8" x14ac:dyDescent="0.25">
      <c r="D3350" s="4">
        <v>36605</v>
      </c>
      <c r="E3350" s="6">
        <v>25.59</v>
      </c>
      <c r="G3350" s="4"/>
      <c r="H3350" s="5"/>
    </row>
    <row r="3351" spans="4:8" x14ac:dyDescent="0.25">
      <c r="D3351" s="4">
        <v>36606</v>
      </c>
      <c r="E3351" s="6">
        <v>24.93</v>
      </c>
      <c r="G3351" s="4"/>
      <c r="H3351" s="5"/>
    </row>
    <row r="3352" spans="4:8" x14ac:dyDescent="0.25">
      <c r="D3352" s="4">
        <v>36607</v>
      </c>
      <c r="E3352" s="6">
        <v>25.77</v>
      </c>
      <c r="G3352" s="4"/>
      <c r="H3352" s="5"/>
    </row>
    <row r="3353" spans="4:8" x14ac:dyDescent="0.25">
      <c r="D3353" s="4">
        <v>36608</v>
      </c>
      <c r="E3353" s="6">
        <v>25.32</v>
      </c>
      <c r="G3353" s="4"/>
      <c r="H3353" s="5"/>
    </row>
    <row r="3354" spans="4:8" x14ac:dyDescent="0.25">
      <c r="D3354" s="4">
        <v>36609</v>
      </c>
      <c r="E3354" s="6">
        <v>25.74</v>
      </c>
      <c r="G3354" s="4"/>
      <c r="H3354" s="5"/>
    </row>
    <row r="3355" spans="4:8" x14ac:dyDescent="0.25">
      <c r="D3355" s="4">
        <v>36612</v>
      </c>
      <c r="E3355" s="6">
        <v>25.16</v>
      </c>
      <c r="G3355" s="4"/>
      <c r="H3355" s="5"/>
    </row>
    <row r="3356" spans="4:8" x14ac:dyDescent="0.25">
      <c r="D3356" s="4">
        <v>36613</v>
      </c>
      <c r="E3356" s="6">
        <v>24.8</v>
      </c>
      <c r="G3356" s="4"/>
      <c r="H3356" s="5"/>
    </row>
    <row r="3357" spans="4:8" x14ac:dyDescent="0.25">
      <c r="D3357" s="4">
        <v>36614</v>
      </c>
      <c r="E3357" s="6">
        <v>23.77</v>
      </c>
      <c r="G3357" s="4"/>
      <c r="H3357" s="5"/>
    </row>
    <row r="3358" spans="4:8" x14ac:dyDescent="0.25">
      <c r="D3358" s="4">
        <v>36615</v>
      </c>
      <c r="E3358" s="6">
        <v>23.94</v>
      </c>
      <c r="G3358" s="4"/>
      <c r="H3358" s="5"/>
    </row>
    <row r="3359" spans="4:8" x14ac:dyDescent="0.25">
      <c r="D3359" s="4">
        <v>36616</v>
      </c>
      <c r="E3359" s="6">
        <v>23.98</v>
      </c>
      <c r="G3359" s="4"/>
      <c r="H3359" s="5"/>
    </row>
    <row r="3360" spans="4:8" x14ac:dyDescent="0.25">
      <c r="D3360" s="4">
        <v>36619</v>
      </c>
      <c r="E3360" s="6">
        <v>24.62</v>
      </c>
      <c r="G3360" s="4"/>
      <c r="H3360" s="5"/>
    </row>
    <row r="3361" spans="4:8" x14ac:dyDescent="0.25">
      <c r="D3361" s="4">
        <v>36620</v>
      </c>
      <c r="E3361" s="6">
        <v>23.26</v>
      </c>
      <c r="G3361" s="4"/>
      <c r="H3361" s="5"/>
    </row>
    <row r="3362" spans="4:8" x14ac:dyDescent="0.25">
      <c r="D3362" s="4">
        <v>36621</v>
      </c>
      <c r="E3362" s="6">
        <v>22.98</v>
      </c>
      <c r="G3362" s="4"/>
      <c r="H3362" s="5"/>
    </row>
    <row r="3363" spans="4:8" x14ac:dyDescent="0.25">
      <c r="D3363" s="4">
        <v>36622</v>
      </c>
      <c r="E3363" s="6">
        <v>22.9</v>
      </c>
      <c r="G3363" s="4"/>
      <c r="H3363" s="5"/>
    </row>
    <row r="3364" spans="4:8" x14ac:dyDescent="0.25">
      <c r="D3364" s="4">
        <v>36623</v>
      </c>
      <c r="E3364" s="6">
        <v>22.63</v>
      </c>
      <c r="G3364" s="4"/>
      <c r="H3364" s="5"/>
    </row>
    <row r="3365" spans="4:8" x14ac:dyDescent="0.25">
      <c r="D3365" s="4">
        <v>36626</v>
      </c>
      <c r="E3365" s="6">
        <v>21.08</v>
      </c>
      <c r="G3365" s="4"/>
      <c r="H3365" s="5"/>
    </row>
    <row r="3366" spans="4:8" x14ac:dyDescent="0.25">
      <c r="D3366" s="4">
        <v>36627</v>
      </c>
      <c r="E3366" s="6">
        <v>21.05</v>
      </c>
      <c r="G3366" s="4"/>
      <c r="H3366" s="5"/>
    </row>
    <row r="3367" spans="4:8" x14ac:dyDescent="0.25">
      <c r="D3367" s="4">
        <v>36628</v>
      </c>
      <c r="E3367" s="6">
        <v>21.4</v>
      </c>
      <c r="G3367" s="4"/>
      <c r="H3367" s="5"/>
    </row>
    <row r="3368" spans="4:8" x14ac:dyDescent="0.25">
      <c r="D3368" s="4">
        <v>36629</v>
      </c>
      <c r="E3368" s="6">
        <v>22.65</v>
      </c>
      <c r="G3368" s="4"/>
      <c r="H3368" s="5"/>
    </row>
    <row r="3369" spans="4:8" x14ac:dyDescent="0.25">
      <c r="D3369" s="4">
        <v>36630</v>
      </c>
      <c r="E3369" s="6">
        <v>22.13</v>
      </c>
      <c r="G3369" s="4"/>
      <c r="H3369" s="5"/>
    </row>
    <row r="3370" spans="4:8" x14ac:dyDescent="0.25">
      <c r="D3370" s="4">
        <v>36633</v>
      </c>
      <c r="E3370" s="6">
        <v>22.2</v>
      </c>
      <c r="G3370" s="4"/>
      <c r="H3370" s="5"/>
    </row>
    <row r="3371" spans="4:8" x14ac:dyDescent="0.25">
      <c r="D3371" s="4">
        <v>36634</v>
      </c>
      <c r="E3371" s="6">
        <v>22.67</v>
      </c>
      <c r="G3371" s="4"/>
      <c r="H3371" s="5"/>
    </row>
    <row r="3372" spans="4:8" x14ac:dyDescent="0.25">
      <c r="D3372" s="4">
        <v>36635</v>
      </c>
      <c r="E3372" s="6">
        <v>23.5</v>
      </c>
      <c r="G3372" s="4"/>
      <c r="H3372" s="5"/>
    </row>
    <row r="3373" spans="4:8" x14ac:dyDescent="0.25">
      <c r="D3373" s="4">
        <v>36636</v>
      </c>
      <c r="E3373" s="6">
        <v>23.57</v>
      </c>
      <c r="G3373" s="4"/>
      <c r="H3373" s="5"/>
    </row>
    <row r="3374" spans="4:8" x14ac:dyDescent="0.25">
      <c r="D3374" s="4">
        <v>36637</v>
      </c>
      <c r="E3374" s="5"/>
      <c r="G3374" s="4"/>
      <c r="H3374" s="5"/>
    </row>
    <row r="3375" spans="4:8" x14ac:dyDescent="0.25">
      <c r="D3375" s="4">
        <v>36640</v>
      </c>
      <c r="E3375" s="5"/>
      <c r="G3375" s="4"/>
      <c r="H3375" s="5"/>
    </row>
    <row r="3376" spans="4:8" x14ac:dyDescent="0.25">
      <c r="D3376" s="4">
        <v>36641</v>
      </c>
      <c r="E3376" s="6">
        <v>23.36</v>
      </c>
      <c r="G3376" s="4"/>
      <c r="H3376" s="5"/>
    </row>
    <row r="3377" spans="4:8" x14ac:dyDescent="0.25">
      <c r="D3377" s="4">
        <v>36642</v>
      </c>
      <c r="E3377" s="6">
        <v>22.9</v>
      </c>
      <c r="G3377" s="4"/>
      <c r="H3377" s="5"/>
    </row>
    <row r="3378" spans="4:8" x14ac:dyDescent="0.25">
      <c r="D3378" s="4">
        <v>36643</v>
      </c>
      <c r="E3378" s="6">
        <v>23.07</v>
      </c>
      <c r="G3378" s="4"/>
      <c r="H3378" s="5"/>
    </row>
    <row r="3379" spans="4:8" x14ac:dyDescent="0.25">
      <c r="D3379" s="4">
        <v>36644</v>
      </c>
      <c r="E3379" s="6">
        <v>23.79</v>
      </c>
      <c r="G3379" s="4"/>
      <c r="H3379" s="5"/>
    </row>
    <row r="3380" spans="4:8" x14ac:dyDescent="0.25">
      <c r="D3380" s="4">
        <v>36647</v>
      </c>
      <c r="E3380" s="5"/>
      <c r="G3380" s="4"/>
      <c r="H3380" s="5"/>
    </row>
    <row r="3381" spans="4:8" x14ac:dyDescent="0.25">
      <c r="D3381" s="4">
        <v>36648</v>
      </c>
      <c r="E3381" s="6">
        <v>24.73</v>
      </c>
      <c r="G3381" s="4"/>
      <c r="H3381" s="5"/>
    </row>
    <row r="3382" spans="4:8" x14ac:dyDescent="0.25">
      <c r="D3382" s="4">
        <v>36649</v>
      </c>
      <c r="E3382" s="6">
        <v>25.13</v>
      </c>
      <c r="G3382" s="4"/>
      <c r="H3382" s="5"/>
    </row>
    <row r="3383" spans="4:8" x14ac:dyDescent="0.25">
      <c r="D3383" s="4">
        <v>36650</v>
      </c>
      <c r="E3383" s="6">
        <v>25.06</v>
      </c>
      <c r="G3383" s="4"/>
      <c r="H3383" s="5"/>
    </row>
    <row r="3384" spans="4:8" x14ac:dyDescent="0.25">
      <c r="D3384" s="4">
        <v>36651</v>
      </c>
      <c r="E3384" s="6">
        <v>24.93</v>
      </c>
      <c r="G3384" s="4"/>
      <c r="H3384" s="5"/>
    </row>
    <row r="3385" spans="4:8" x14ac:dyDescent="0.25">
      <c r="D3385" s="4">
        <v>36654</v>
      </c>
      <c r="E3385" s="6">
        <v>26.03</v>
      </c>
      <c r="G3385" s="4"/>
      <c r="H3385" s="5"/>
    </row>
    <row r="3386" spans="4:8" x14ac:dyDescent="0.25">
      <c r="D3386" s="4">
        <v>36655</v>
      </c>
      <c r="E3386" s="6">
        <v>26.69</v>
      </c>
      <c r="G3386" s="4"/>
      <c r="H3386" s="5"/>
    </row>
    <row r="3387" spans="4:8" x14ac:dyDescent="0.25">
      <c r="D3387" s="4">
        <v>36656</v>
      </c>
      <c r="E3387" s="6">
        <v>26.59</v>
      </c>
      <c r="G3387" s="4"/>
      <c r="H3387" s="5"/>
    </row>
    <row r="3388" spans="4:8" x14ac:dyDescent="0.25">
      <c r="D3388" s="4">
        <v>36657</v>
      </c>
      <c r="E3388" s="6">
        <v>27.22</v>
      </c>
      <c r="G3388" s="4"/>
      <c r="H3388" s="5"/>
    </row>
    <row r="3389" spans="4:8" x14ac:dyDescent="0.25">
      <c r="D3389" s="4">
        <v>36658</v>
      </c>
      <c r="E3389" s="6">
        <v>27.98</v>
      </c>
      <c r="G3389" s="4"/>
      <c r="H3389" s="5"/>
    </row>
    <row r="3390" spans="4:8" x14ac:dyDescent="0.25">
      <c r="D3390" s="4">
        <v>36661</v>
      </c>
      <c r="E3390" s="6">
        <v>28.26</v>
      </c>
      <c r="G3390" s="4"/>
      <c r="H3390" s="5"/>
    </row>
    <row r="3391" spans="4:8" x14ac:dyDescent="0.25">
      <c r="D3391" s="4">
        <v>36662</v>
      </c>
      <c r="E3391" s="6">
        <v>28.78</v>
      </c>
      <c r="G3391" s="4"/>
      <c r="H3391" s="5"/>
    </row>
    <row r="3392" spans="4:8" x14ac:dyDescent="0.25">
      <c r="D3392" s="4">
        <v>36663</v>
      </c>
      <c r="E3392" s="6">
        <v>28.4</v>
      </c>
      <c r="G3392" s="4"/>
      <c r="H3392" s="5"/>
    </row>
    <row r="3393" spans="4:8" x14ac:dyDescent="0.25">
      <c r="D3393" s="4">
        <v>36664</v>
      </c>
      <c r="E3393" s="6">
        <v>28.9</v>
      </c>
      <c r="G3393" s="4"/>
      <c r="H3393" s="5"/>
    </row>
    <row r="3394" spans="4:8" x14ac:dyDescent="0.25">
      <c r="D3394" s="4">
        <v>36665</v>
      </c>
      <c r="E3394" s="6">
        <v>29.01</v>
      </c>
      <c r="G3394" s="4"/>
      <c r="H3394" s="5"/>
    </row>
    <row r="3395" spans="4:8" x14ac:dyDescent="0.25">
      <c r="D3395" s="4">
        <v>36668</v>
      </c>
      <c r="E3395" s="6">
        <v>28.45</v>
      </c>
      <c r="G3395" s="4"/>
      <c r="H3395" s="5"/>
    </row>
    <row r="3396" spans="4:8" x14ac:dyDescent="0.25">
      <c r="D3396" s="4">
        <v>36669</v>
      </c>
      <c r="E3396" s="6">
        <v>28.12</v>
      </c>
      <c r="G3396" s="4"/>
      <c r="H3396" s="5"/>
    </row>
    <row r="3397" spans="4:8" x14ac:dyDescent="0.25">
      <c r="D3397" s="4">
        <v>36670</v>
      </c>
      <c r="E3397" s="6">
        <v>28.97</v>
      </c>
      <c r="G3397" s="4"/>
      <c r="H3397" s="5"/>
    </row>
    <row r="3398" spans="4:8" x14ac:dyDescent="0.25">
      <c r="D3398" s="4">
        <v>36671</v>
      </c>
      <c r="E3398" s="6">
        <v>29.62</v>
      </c>
      <c r="G3398" s="4"/>
      <c r="H3398" s="5"/>
    </row>
    <row r="3399" spans="4:8" x14ac:dyDescent="0.25">
      <c r="D3399" s="4">
        <v>36672</v>
      </c>
      <c r="E3399" s="6">
        <v>30.09</v>
      </c>
      <c r="G3399" s="4"/>
      <c r="H3399" s="5"/>
    </row>
    <row r="3400" spans="4:8" x14ac:dyDescent="0.25">
      <c r="D3400" s="4">
        <v>36675</v>
      </c>
      <c r="E3400" s="5"/>
      <c r="G3400" s="4"/>
      <c r="H3400" s="5"/>
    </row>
    <row r="3401" spans="4:8" x14ac:dyDescent="0.25">
      <c r="D3401" s="4">
        <v>36676</v>
      </c>
      <c r="E3401" s="6">
        <v>29.89</v>
      </c>
      <c r="G3401" s="4"/>
      <c r="H3401" s="5"/>
    </row>
    <row r="3402" spans="4:8" x14ac:dyDescent="0.25">
      <c r="D3402" s="4">
        <v>36677</v>
      </c>
      <c r="E3402" s="6">
        <v>29.64</v>
      </c>
      <c r="G3402" s="4"/>
      <c r="H3402" s="5"/>
    </row>
    <row r="3403" spans="4:8" x14ac:dyDescent="0.25">
      <c r="D3403" s="4">
        <v>36678</v>
      </c>
      <c r="E3403" s="6">
        <v>29.69</v>
      </c>
      <c r="G3403" s="4"/>
      <c r="H3403" s="5"/>
    </row>
    <row r="3404" spans="4:8" x14ac:dyDescent="0.25">
      <c r="D3404" s="4">
        <v>36679</v>
      </c>
      <c r="E3404" s="6">
        <v>29.35</v>
      </c>
      <c r="G3404" s="4"/>
      <c r="H3404" s="5"/>
    </row>
    <row r="3405" spans="4:8" x14ac:dyDescent="0.25">
      <c r="D3405" s="4">
        <v>36682</v>
      </c>
      <c r="E3405" s="6">
        <v>28.27</v>
      </c>
      <c r="G3405" s="4"/>
      <c r="H3405" s="5"/>
    </row>
    <row r="3406" spans="4:8" x14ac:dyDescent="0.25">
      <c r="D3406" s="4">
        <v>36683</v>
      </c>
      <c r="E3406" s="6">
        <v>28.42</v>
      </c>
      <c r="G3406" s="4"/>
      <c r="H3406" s="5"/>
    </row>
    <row r="3407" spans="4:8" x14ac:dyDescent="0.25">
      <c r="D3407" s="4">
        <v>36684</v>
      </c>
      <c r="E3407" s="6">
        <v>28.32</v>
      </c>
      <c r="G3407" s="4"/>
      <c r="H3407" s="5"/>
    </row>
    <row r="3408" spans="4:8" x14ac:dyDescent="0.25">
      <c r="D3408" s="4">
        <v>36685</v>
      </c>
      <c r="E3408" s="6">
        <v>29.34</v>
      </c>
      <c r="G3408" s="4"/>
      <c r="H3408" s="5"/>
    </row>
    <row r="3409" spans="4:8" x14ac:dyDescent="0.25">
      <c r="D3409" s="4">
        <v>36686</v>
      </c>
      <c r="E3409" s="6">
        <v>29</v>
      </c>
      <c r="G3409" s="4"/>
      <c r="H3409" s="5"/>
    </row>
    <row r="3410" spans="4:8" x14ac:dyDescent="0.25">
      <c r="D3410" s="4">
        <v>36689</v>
      </c>
      <c r="E3410" s="6">
        <v>30.1</v>
      </c>
      <c r="G3410" s="4"/>
      <c r="H3410" s="5"/>
    </row>
    <row r="3411" spans="4:8" x14ac:dyDescent="0.25">
      <c r="D3411" s="4">
        <v>36690</v>
      </c>
      <c r="E3411" s="6">
        <v>30.4</v>
      </c>
      <c r="G3411" s="4"/>
      <c r="H3411" s="5"/>
    </row>
    <row r="3412" spans="4:8" x14ac:dyDescent="0.25">
      <c r="D3412" s="4">
        <v>36691</v>
      </c>
      <c r="E3412" s="6">
        <v>30.12</v>
      </c>
      <c r="G3412" s="4"/>
      <c r="H3412" s="5"/>
    </row>
    <row r="3413" spans="4:8" x14ac:dyDescent="0.25">
      <c r="D3413" s="4">
        <v>36692</v>
      </c>
      <c r="E3413" s="6">
        <v>29.77</v>
      </c>
      <c r="G3413" s="4"/>
      <c r="H3413" s="5"/>
    </row>
    <row r="3414" spans="4:8" x14ac:dyDescent="0.25">
      <c r="D3414" s="4">
        <v>36693</v>
      </c>
      <c r="E3414" s="6">
        <v>28.68</v>
      </c>
      <c r="G3414" s="4"/>
      <c r="H3414" s="5"/>
    </row>
    <row r="3415" spans="4:8" x14ac:dyDescent="0.25">
      <c r="D3415" s="4">
        <v>36696</v>
      </c>
      <c r="E3415" s="6">
        <v>27.69</v>
      </c>
      <c r="G3415" s="4"/>
      <c r="H3415" s="5"/>
    </row>
    <row r="3416" spans="4:8" x14ac:dyDescent="0.25">
      <c r="D3416" s="4">
        <v>36697</v>
      </c>
      <c r="E3416" s="6">
        <v>28.86</v>
      </c>
      <c r="G3416" s="4"/>
      <c r="H3416" s="5"/>
    </row>
    <row r="3417" spans="4:8" x14ac:dyDescent="0.25">
      <c r="D3417" s="4">
        <v>36698</v>
      </c>
      <c r="E3417" s="6">
        <v>30.71</v>
      </c>
      <c r="G3417" s="4"/>
      <c r="H3417" s="5"/>
    </row>
    <row r="3418" spans="4:8" x14ac:dyDescent="0.25">
      <c r="D3418" s="4">
        <v>36699</v>
      </c>
      <c r="E3418" s="6">
        <v>30.61</v>
      </c>
      <c r="G3418" s="4"/>
      <c r="H3418" s="5"/>
    </row>
    <row r="3419" spans="4:8" x14ac:dyDescent="0.25">
      <c r="D3419" s="4">
        <v>36700</v>
      </c>
      <c r="E3419" s="6">
        <v>31.02</v>
      </c>
      <c r="G3419" s="4"/>
      <c r="H3419" s="5"/>
    </row>
    <row r="3420" spans="4:8" x14ac:dyDescent="0.25">
      <c r="D3420" s="4">
        <v>36703</v>
      </c>
      <c r="E3420" s="6">
        <v>30.9</v>
      </c>
      <c r="G3420" s="4"/>
      <c r="H3420" s="5"/>
    </row>
    <row r="3421" spans="4:8" x14ac:dyDescent="0.25">
      <c r="D3421" s="4">
        <v>36704</v>
      </c>
      <c r="E3421" s="6">
        <v>30.47</v>
      </c>
      <c r="G3421" s="4"/>
      <c r="H3421" s="5"/>
    </row>
    <row r="3422" spans="4:8" x14ac:dyDescent="0.25">
      <c r="D3422" s="4">
        <v>36705</v>
      </c>
      <c r="E3422" s="6">
        <v>31.15</v>
      </c>
      <c r="G3422" s="4"/>
      <c r="H3422" s="5"/>
    </row>
    <row r="3423" spans="4:8" x14ac:dyDescent="0.25">
      <c r="D3423" s="4">
        <v>36706</v>
      </c>
      <c r="E3423" s="6">
        <v>31.05</v>
      </c>
      <c r="G3423" s="4"/>
      <c r="H3423" s="5"/>
    </row>
    <row r="3424" spans="4:8" x14ac:dyDescent="0.25">
      <c r="D3424" s="4">
        <v>36707</v>
      </c>
      <c r="E3424" s="6">
        <v>31.58</v>
      </c>
      <c r="G3424" s="4"/>
      <c r="H3424" s="5"/>
    </row>
    <row r="3425" spans="4:8" x14ac:dyDescent="0.25">
      <c r="D3425" s="4">
        <v>36710</v>
      </c>
      <c r="E3425" s="6">
        <v>32.15</v>
      </c>
      <c r="G3425" s="4"/>
      <c r="H3425" s="5"/>
    </row>
    <row r="3426" spans="4:8" x14ac:dyDescent="0.25">
      <c r="D3426" s="4">
        <v>36711</v>
      </c>
      <c r="E3426" s="6">
        <v>30.73</v>
      </c>
      <c r="G3426" s="4"/>
      <c r="H3426" s="5"/>
    </row>
    <row r="3427" spans="4:8" x14ac:dyDescent="0.25">
      <c r="D3427" s="4">
        <v>36712</v>
      </c>
      <c r="E3427" s="6">
        <v>30.35</v>
      </c>
      <c r="G3427" s="4"/>
      <c r="H3427" s="5"/>
    </row>
    <row r="3428" spans="4:8" x14ac:dyDescent="0.25">
      <c r="D3428" s="4">
        <v>36713</v>
      </c>
      <c r="E3428" s="6">
        <v>30.67</v>
      </c>
      <c r="G3428" s="4"/>
      <c r="H3428" s="5"/>
    </row>
    <row r="3429" spans="4:8" x14ac:dyDescent="0.25">
      <c r="D3429" s="4">
        <v>36714</v>
      </c>
      <c r="E3429" s="6">
        <v>30.62</v>
      </c>
      <c r="G3429" s="4"/>
      <c r="H3429" s="5"/>
    </row>
    <row r="3430" spans="4:8" x14ac:dyDescent="0.25">
      <c r="D3430" s="4">
        <v>36717</v>
      </c>
      <c r="E3430" s="6">
        <v>30.58</v>
      </c>
      <c r="G3430" s="4"/>
      <c r="H3430" s="5"/>
    </row>
    <row r="3431" spans="4:8" x14ac:dyDescent="0.25">
      <c r="D3431" s="4">
        <v>36718</v>
      </c>
      <c r="E3431" s="6">
        <v>29.83</v>
      </c>
      <c r="G3431" s="4"/>
      <c r="H3431" s="5"/>
    </row>
    <row r="3432" spans="4:8" x14ac:dyDescent="0.25">
      <c r="D3432" s="4">
        <v>36719</v>
      </c>
      <c r="E3432" s="6">
        <v>30.27</v>
      </c>
      <c r="G3432" s="4"/>
      <c r="H3432" s="5"/>
    </row>
    <row r="3433" spans="4:8" x14ac:dyDescent="0.25">
      <c r="D3433" s="4">
        <v>36720</v>
      </c>
      <c r="E3433" s="6">
        <v>31.15</v>
      </c>
      <c r="G3433" s="4"/>
      <c r="H3433" s="5"/>
    </row>
    <row r="3434" spans="4:8" x14ac:dyDescent="0.25">
      <c r="D3434" s="4">
        <v>36721</v>
      </c>
      <c r="E3434" s="6">
        <v>30.82</v>
      </c>
      <c r="G3434" s="4"/>
      <c r="H3434" s="5"/>
    </row>
    <row r="3435" spans="4:8" x14ac:dyDescent="0.25">
      <c r="D3435" s="4">
        <v>36724</v>
      </c>
      <c r="E3435" s="6">
        <v>28.44</v>
      </c>
      <c r="G3435" s="4"/>
      <c r="H3435" s="5"/>
    </row>
    <row r="3436" spans="4:8" x14ac:dyDescent="0.25">
      <c r="D3436" s="4">
        <v>36725</v>
      </c>
      <c r="E3436" s="6">
        <v>28.46</v>
      </c>
      <c r="G3436" s="4"/>
      <c r="H3436" s="5"/>
    </row>
    <row r="3437" spans="4:8" x14ac:dyDescent="0.25">
      <c r="D3437" s="4">
        <v>36726</v>
      </c>
      <c r="E3437" s="6">
        <v>28.33</v>
      </c>
      <c r="G3437" s="4"/>
      <c r="H3437" s="5"/>
    </row>
    <row r="3438" spans="4:8" x14ac:dyDescent="0.25">
      <c r="D3438" s="4">
        <v>36727</v>
      </c>
      <c r="E3438" s="6">
        <v>27.85</v>
      </c>
      <c r="G3438" s="4"/>
      <c r="H3438" s="5"/>
    </row>
    <row r="3439" spans="4:8" x14ac:dyDescent="0.25">
      <c r="D3439" s="4">
        <v>36728</v>
      </c>
      <c r="E3439" s="6">
        <v>26.68</v>
      </c>
      <c r="G3439" s="4"/>
      <c r="H3439" s="5"/>
    </row>
    <row r="3440" spans="4:8" x14ac:dyDescent="0.25">
      <c r="D3440" s="4">
        <v>36731</v>
      </c>
      <c r="E3440" s="6">
        <v>26.84</v>
      </c>
      <c r="G3440" s="4"/>
      <c r="H3440" s="5"/>
    </row>
    <row r="3441" spans="4:8" x14ac:dyDescent="0.25">
      <c r="D3441" s="4">
        <v>36732</v>
      </c>
      <c r="E3441" s="6">
        <v>25.78</v>
      </c>
      <c r="G3441" s="4"/>
      <c r="H3441" s="5"/>
    </row>
    <row r="3442" spans="4:8" x14ac:dyDescent="0.25">
      <c r="D3442" s="4">
        <v>36733</v>
      </c>
      <c r="E3442" s="6">
        <v>25.92</v>
      </c>
      <c r="G3442" s="4"/>
      <c r="H3442" s="5"/>
    </row>
    <row r="3443" spans="4:8" x14ac:dyDescent="0.25">
      <c r="D3443" s="4">
        <v>36734</v>
      </c>
      <c r="E3443" s="6">
        <v>25.6</v>
      </c>
      <c r="G3443" s="4"/>
      <c r="H3443" s="5"/>
    </row>
    <row r="3444" spans="4:8" x14ac:dyDescent="0.25">
      <c r="D3444" s="4">
        <v>36735</v>
      </c>
      <c r="E3444" s="6">
        <v>25.96</v>
      </c>
      <c r="G3444" s="4"/>
      <c r="H3444" s="5"/>
    </row>
    <row r="3445" spans="4:8" x14ac:dyDescent="0.25">
      <c r="D3445" s="4">
        <v>36738</v>
      </c>
      <c r="E3445" s="6">
        <v>25.3</v>
      </c>
      <c r="G3445" s="4"/>
      <c r="H3445" s="5"/>
    </row>
    <row r="3446" spans="4:8" x14ac:dyDescent="0.25">
      <c r="D3446" s="4">
        <v>36739</v>
      </c>
      <c r="E3446" s="6">
        <v>25.24</v>
      </c>
      <c r="G3446" s="4"/>
      <c r="H3446" s="5"/>
    </row>
    <row r="3447" spans="4:8" x14ac:dyDescent="0.25">
      <c r="D3447" s="4">
        <v>36740</v>
      </c>
      <c r="E3447" s="6">
        <v>26.8</v>
      </c>
      <c r="G3447" s="4"/>
      <c r="H3447" s="5"/>
    </row>
    <row r="3448" spans="4:8" x14ac:dyDescent="0.25">
      <c r="D3448" s="4">
        <v>36741</v>
      </c>
      <c r="E3448" s="6">
        <v>27.04</v>
      </c>
      <c r="G3448" s="4"/>
      <c r="H3448" s="5"/>
    </row>
    <row r="3449" spans="4:8" x14ac:dyDescent="0.25">
      <c r="D3449" s="4">
        <v>36742</v>
      </c>
      <c r="E3449" s="6">
        <v>28.01</v>
      </c>
      <c r="G3449" s="4"/>
      <c r="H3449" s="5"/>
    </row>
    <row r="3450" spans="4:8" x14ac:dyDescent="0.25">
      <c r="D3450" s="4">
        <v>36745</v>
      </c>
      <c r="E3450" s="6">
        <v>27.56</v>
      </c>
      <c r="G3450" s="4"/>
      <c r="H3450" s="5"/>
    </row>
    <row r="3451" spans="4:8" x14ac:dyDescent="0.25">
      <c r="D3451" s="4">
        <v>36746</v>
      </c>
      <c r="E3451" s="6">
        <v>27.58</v>
      </c>
      <c r="G3451" s="4"/>
      <c r="H3451" s="5"/>
    </row>
    <row r="3452" spans="4:8" x14ac:dyDescent="0.25">
      <c r="D3452" s="4">
        <v>36747</v>
      </c>
      <c r="E3452" s="6">
        <v>28.13</v>
      </c>
      <c r="G3452" s="4"/>
      <c r="H3452" s="5"/>
    </row>
    <row r="3453" spans="4:8" x14ac:dyDescent="0.25">
      <c r="D3453" s="4">
        <v>36748</v>
      </c>
      <c r="E3453" s="6">
        <v>28.98</v>
      </c>
      <c r="G3453" s="4"/>
      <c r="H3453" s="5"/>
    </row>
    <row r="3454" spans="4:8" x14ac:dyDescent="0.25">
      <c r="D3454" s="4">
        <v>36749</v>
      </c>
      <c r="E3454" s="6">
        <v>29.44</v>
      </c>
      <c r="G3454" s="4"/>
      <c r="H3454" s="5"/>
    </row>
    <row r="3455" spans="4:8" x14ac:dyDescent="0.25">
      <c r="D3455" s="4">
        <v>36752</v>
      </c>
      <c r="E3455" s="6">
        <v>29.24</v>
      </c>
      <c r="G3455" s="4"/>
      <c r="H3455" s="5"/>
    </row>
    <row r="3456" spans="4:8" x14ac:dyDescent="0.25">
      <c r="D3456" s="4">
        <v>36753</v>
      </c>
      <c r="E3456" s="6">
        <v>30</v>
      </c>
      <c r="G3456" s="4"/>
      <c r="H3456" s="5"/>
    </row>
    <row r="3457" spans="4:8" x14ac:dyDescent="0.25">
      <c r="D3457" s="4">
        <v>36754</v>
      </c>
      <c r="E3457" s="6">
        <v>29.66</v>
      </c>
      <c r="G3457" s="4"/>
      <c r="H3457" s="5"/>
    </row>
    <row r="3458" spans="4:8" x14ac:dyDescent="0.25">
      <c r="D3458" s="4">
        <v>36755</v>
      </c>
      <c r="E3458" s="6">
        <v>30.71</v>
      </c>
      <c r="G3458" s="4"/>
      <c r="H3458" s="5"/>
    </row>
    <row r="3459" spans="4:8" x14ac:dyDescent="0.25">
      <c r="D3459" s="4">
        <v>36756</v>
      </c>
      <c r="E3459" s="6">
        <v>30.76</v>
      </c>
      <c r="G3459" s="4"/>
      <c r="H3459" s="5"/>
    </row>
    <row r="3460" spans="4:8" x14ac:dyDescent="0.25">
      <c r="D3460" s="4">
        <v>36759</v>
      </c>
      <c r="E3460" s="6">
        <v>31.34</v>
      </c>
      <c r="G3460" s="4"/>
      <c r="H3460" s="5"/>
    </row>
    <row r="3461" spans="4:8" x14ac:dyDescent="0.25">
      <c r="D3461" s="4">
        <v>36760</v>
      </c>
      <c r="E3461" s="6">
        <v>30.18</v>
      </c>
      <c r="G3461" s="4"/>
      <c r="H3461" s="5"/>
    </row>
    <row r="3462" spans="4:8" x14ac:dyDescent="0.25">
      <c r="D3462" s="4">
        <v>36761</v>
      </c>
      <c r="E3462" s="6">
        <v>32.380000000000003</v>
      </c>
      <c r="G3462" s="4"/>
      <c r="H3462" s="5"/>
    </row>
    <row r="3463" spans="4:8" x14ac:dyDescent="0.25">
      <c r="D3463" s="4">
        <v>36762</v>
      </c>
      <c r="E3463" s="6">
        <v>31.67</v>
      </c>
      <c r="G3463" s="4"/>
      <c r="H3463" s="5"/>
    </row>
    <row r="3464" spans="4:8" x14ac:dyDescent="0.25">
      <c r="D3464" s="4">
        <v>36763</v>
      </c>
      <c r="E3464" s="6">
        <v>33.26</v>
      </c>
      <c r="G3464" s="4"/>
      <c r="H3464" s="5"/>
    </row>
    <row r="3465" spans="4:8" x14ac:dyDescent="0.25">
      <c r="D3465" s="4">
        <v>36766</v>
      </c>
      <c r="E3465" s="6">
        <v>33.29</v>
      </c>
      <c r="G3465" s="4"/>
      <c r="H3465" s="5"/>
    </row>
    <row r="3466" spans="4:8" x14ac:dyDescent="0.25">
      <c r="D3466" s="4">
        <v>36767</v>
      </c>
      <c r="E3466" s="6">
        <v>34.03</v>
      </c>
      <c r="G3466" s="4"/>
      <c r="H3466" s="5"/>
    </row>
    <row r="3467" spans="4:8" x14ac:dyDescent="0.25">
      <c r="D3467" s="4">
        <v>36768</v>
      </c>
      <c r="E3467" s="6">
        <v>34.130000000000003</v>
      </c>
      <c r="G3467" s="4"/>
      <c r="H3467" s="5"/>
    </row>
    <row r="3468" spans="4:8" x14ac:dyDescent="0.25">
      <c r="D3468" s="4">
        <v>36769</v>
      </c>
      <c r="E3468" s="6">
        <v>35.08</v>
      </c>
      <c r="G3468" s="4"/>
      <c r="H3468" s="5"/>
    </row>
    <row r="3469" spans="4:8" x14ac:dyDescent="0.25">
      <c r="D3469" s="4">
        <v>36770</v>
      </c>
      <c r="E3469" s="6">
        <v>35.090000000000003</v>
      </c>
      <c r="G3469" s="4"/>
      <c r="H3469" s="5"/>
    </row>
    <row r="3470" spans="4:8" x14ac:dyDescent="0.25">
      <c r="D3470" s="4">
        <v>36773</v>
      </c>
      <c r="E3470" s="6">
        <v>36.020000000000003</v>
      </c>
      <c r="G3470" s="4"/>
      <c r="H3470" s="5"/>
    </row>
    <row r="3471" spans="4:8" x14ac:dyDescent="0.25">
      <c r="D3471" s="4">
        <v>36774</v>
      </c>
      <c r="E3471" s="6">
        <v>35.72</v>
      </c>
      <c r="G3471" s="4"/>
      <c r="H3471" s="5"/>
    </row>
    <row r="3472" spans="4:8" x14ac:dyDescent="0.25">
      <c r="D3472" s="4">
        <v>36775</v>
      </c>
      <c r="E3472" s="6">
        <v>36.700000000000003</v>
      </c>
      <c r="G3472" s="4"/>
      <c r="H3472" s="5"/>
    </row>
    <row r="3473" spans="4:8" x14ac:dyDescent="0.25">
      <c r="D3473" s="4">
        <v>36776</v>
      </c>
      <c r="E3473" s="6">
        <v>37.43</v>
      </c>
      <c r="G3473" s="4"/>
      <c r="H3473" s="5"/>
    </row>
    <row r="3474" spans="4:8" x14ac:dyDescent="0.25">
      <c r="D3474" s="4">
        <v>36777</v>
      </c>
      <c r="E3474" s="6">
        <v>36.270000000000003</v>
      </c>
      <c r="G3474" s="4"/>
      <c r="H3474" s="5"/>
    </row>
    <row r="3475" spans="4:8" x14ac:dyDescent="0.25">
      <c r="D3475" s="4">
        <v>36780</v>
      </c>
      <c r="E3475" s="6">
        <v>36.869999999999997</v>
      </c>
      <c r="G3475" s="4"/>
      <c r="H3475" s="5"/>
    </row>
    <row r="3476" spans="4:8" x14ac:dyDescent="0.25">
      <c r="D3476" s="4">
        <v>36781</v>
      </c>
      <c r="E3476" s="6">
        <v>33.299999999999997</v>
      </c>
      <c r="G3476" s="4"/>
      <c r="H3476" s="5"/>
    </row>
    <row r="3477" spans="4:8" x14ac:dyDescent="0.25">
      <c r="D3477" s="4">
        <v>36782</v>
      </c>
      <c r="E3477" s="6">
        <v>31.08</v>
      </c>
      <c r="G3477" s="4"/>
      <c r="H3477" s="5"/>
    </row>
    <row r="3478" spans="4:8" x14ac:dyDescent="0.25">
      <c r="D3478" s="4">
        <v>36783</v>
      </c>
      <c r="E3478" s="6">
        <v>31.35</v>
      </c>
      <c r="G3478" s="4"/>
      <c r="H3478" s="5"/>
    </row>
    <row r="3479" spans="4:8" x14ac:dyDescent="0.25">
      <c r="D3479" s="4">
        <v>36784</v>
      </c>
      <c r="E3479" s="6">
        <v>33.68</v>
      </c>
      <c r="G3479" s="4"/>
      <c r="H3479" s="5"/>
    </row>
    <row r="3480" spans="4:8" x14ac:dyDescent="0.25">
      <c r="D3480" s="4">
        <v>36787</v>
      </c>
      <c r="E3480" s="6">
        <v>34.549999999999997</v>
      </c>
      <c r="G3480" s="4"/>
      <c r="H3480" s="5"/>
    </row>
    <row r="3481" spans="4:8" x14ac:dyDescent="0.25">
      <c r="D3481" s="4">
        <v>36788</v>
      </c>
      <c r="E3481" s="6">
        <v>33.479999999999997</v>
      </c>
      <c r="G3481" s="4"/>
      <c r="H3481" s="5"/>
    </row>
    <row r="3482" spans="4:8" x14ac:dyDescent="0.25">
      <c r="D3482" s="4">
        <v>36789</v>
      </c>
      <c r="E3482" s="6">
        <v>33.67</v>
      </c>
      <c r="G3482" s="4"/>
      <c r="H3482" s="5"/>
    </row>
    <row r="3483" spans="4:8" x14ac:dyDescent="0.25">
      <c r="D3483" s="4">
        <v>36790</v>
      </c>
      <c r="E3483" s="6">
        <v>32.18</v>
      </c>
      <c r="G3483" s="4"/>
      <c r="H3483" s="5"/>
    </row>
    <row r="3484" spans="4:8" x14ac:dyDescent="0.25">
      <c r="D3484" s="4">
        <v>36791</v>
      </c>
      <c r="E3484" s="6">
        <v>31.59</v>
      </c>
      <c r="G3484" s="4"/>
      <c r="H3484" s="5"/>
    </row>
    <row r="3485" spans="4:8" x14ac:dyDescent="0.25">
      <c r="D3485" s="4">
        <v>36794</v>
      </c>
      <c r="E3485" s="6">
        <v>30.01</v>
      </c>
      <c r="G3485" s="4"/>
      <c r="H3485" s="5"/>
    </row>
    <row r="3486" spans="4:8" x14ac:dyDescent="0.25">
      <c r="D3486" s="4">
        <v>36795</v>
      </c>
      <c r="E3486" s="6">
        <v>29.94</v>
      </c>
      <c r="G3486" s="4"/>
      <c r="H3486" s="5"/>
    </row>
    <row r="3487" spans="4:8" x14ac:dyDescent="0.25">
      <c r="D3487" s="4">
        <v>36796</v>
      </c>
      <c r="E3487" s="6">
        <v>29.78</v>
      </c>
      <c r="G3487" s="4"/>
      <c r="H3487" s="5"/>
    </row>
    <row r="3488" spans="4:8" x14ac:dyDescent="0.25">
      <c r="D3488" s="4">
        <v>36797</v>
      </c>
      <c r="E3488" s="6">
        <v>28.91</v>
      </c>
      <c r="G3488" s="4"/>
      <c r="H3488" s="5"/>
    </row>
    <row r="3489" spans="4:8" x14ac:dyDescent="0.25">
      <c r="D3489" s="4">
        <v>36798</v>
      </c>
      <c r="E3489" s="6">
        <v>28.42</v>
      </c>
      <c r="G3489" s="4"/>
      <c r="H3489" s="5"/>
    </row>
    <row r="3490" spans="4:8" x14ac:dyDescent="0.25">
      <c r="D3490" s="4">
        <v>36801</v>
      </c>
      <c r="E3490" s="6">
        <v>29.65</v>
      </c>
      <c r="G3490" s="4"/>
      <c r="H3490" s="5"/>
    </row>
    <row r="3491" spans="4:8" x14ac:dyDescent="0.25">
      <c r="D3491" s="4">
        <v>36802</v>
      </c>
      <c r="E3491" s="6">
        <v>30.64</v>
      </c>
      <c r="G3491" s="4"/>
      <c r="H3491" s="5"/>
    </row>
    <row r="3492" spans="4:8" x14ac:dyDescent="0.25">
      <c r="D3492" s="4">
        <v>36803</v>
      </c>
      <c r="E3492" s="6">
        <v>30.07</v>
      </c>
      <c r="G3492" s="4"/>
      <c r="H3492" s="5"/>
    </row>
    <row r="3493" spans="4:8" x14ac:dyDescent="0.25">
      <c r="D3493" s="4">
        <v>36804</v>
      </c>
      <c r="E3493" s="6">
        <v>29.19</v>
      </c>
      <c r="G3493" s="4"/>
      <c r="H3493" s="5"/>
    </row>
    <row r="3494" spans="4:8" x14ac:dyDescent="0.25">
      <c r="D3494" s="4">
        <v>36805</v>
      </c>
      <c r="E3494" s="6">
        <v>29.62</v>
      </c>
      <c r="G3494" s="4"/>
      <c r="H3494" s="5"/>
    </row>
    <row r="3495" spans="4:8" x14ac:dyDescent="0.25">
      <c r="D3495" s="4">
        <v>36808</v>
      </c>
      <c r="E3495" s="6">
        <v>29.99</v>
      </c>
      <c r="G3495" s="4"/>
      <c r="H3495" s="5"/>
    </row>
    <row r="3496" spans="4:8" x14ac:dyDescent="0.25">
      <c r="D3496" s="4">
        <v>36809</v>
      </c>
      <c r="E3496" s="6">
        <v>30.95</v>
      </c>
      <c r="G3496" s="4"/>
      <c r="H3496" s="5"/>
    </row>
    <row r="3497" spans="4:8" x14ac:dyDescent="0.25">
      <c r="D3497" s="4">
        <v>36810</v>
      </c>
      <c r="E3497" s="6">
        <v>31.25</v>
      </c>
      <c r="G3497" s="4"/>
      <c r="H3497" s="5"/>
    </row>
    <row r="3498" spans="4:8" x14ac:dyDescent="0.25">
      <c r="D3498" s="4">
        <v>36811</v>
      </c>
      <c r="E3498" s="6">
        <v>33.450000000000003</v>
      </c>
      <c r="G3498" s="4"/>
      <c r="H3498" s="5"/>
    </row>
    <row r="3499" spans="4:8" x14ac:dyDescent="0.25">
      <c r="D3499" s="4">
        <v>36812</v>
      </c>
      <c r="E3499" s="6">
        <v>33.5</v>
      </c>
      <c r="G3499" s="4"/>
      <c r="H3499" s="5"/>
    </row>
    <row r="3500" spans="4:8" x14ac:dyDescent="0.25">
      <c r="D3500" s="4">
        <v>36815</v>
      </c>
      <c r="E3500" s="6">
        <v>32.03</v>
      </c>
      <c r="G3500" s="4"/>
      <c r="H3500" s="5"/>
    </row>
    <row r="3501" spans="4:8" x14ac:dyDescent="0.25">
      <c r="D3501" s="4">
        <v>36816</v>
      </c>
      <c r="E3501" s="6">
        <v>30.38</v>
      </c>
      <c r="G3501" s="4"/>
      <c r="H3501" s="5"/>
    </row>
    <row r="3502" spans="4:8" x14ac:dyDescent="0.25">
      <c r="D3502" s="4">
        <v>36817</v>
      </c>
      <c r="E3502" s="6">
        <v>30.98</v>
      </c>
      <c r="G3502" s="4"/>
      <c r="H3502" s="5"/>
    </row>
    <row r="3503" spans="4:8" x14ac:dyDescent="0.25">
      <c r="D3503" s="4">
        <v>36818</v>
      </c>
      <c r="E3503" s="6">
        <v>31.29</v>
      </c>
      <c r="G3503" s="4"/>
      <c r="H3503" s="5"/>
    </row>
    <row r="3504" spans="4:8" x14ac:dyDescent="0.25">
      <c r="D3504" s="4">
        <v>36819</v>
      </c>
      <c r="E3504" s="6">
        <v>30.16</v>
      </c>
      <c r="G3504" s="4"/>
      <c r="H3504" s="5"/>
    </row>
    <row r="3505" spans="4:8" x14ac:dyDescent="0.25">
      <c r="D3505" s="4">
        <v>36822</v>
      </c>
      <c r="E3505" s="6">
        <v>30.98</v>
      </c>
      <c r="G3505" s="4"/>
      <c r="H3505" s="5"/>
    </row>
    <row r="3506" spans="4:8" x14ac:dyDescent="0.25">
      <c r="D3506" s="4">
        <v>36823</v>
      </c>
      <c r="E3506" s="6">
        <v>31.81</v>
      </c>
      <c r="G3506" s="4"/>
      <c r="H3506" s="5"/>
    </row>
    <row r="3507" spans="4:8" x14ac:dyDescent="0.25">
      <c r="D3507" s="4">
        <v>36824</v>
      </c>
      <c r="E3507" s="6">
        <v>31.17</v>
      </c>
      <c r="G3507" s="4"/>
      <c r="H3507" s="5"/>
    </row>
    <row r="3508" spans="4:8" x14ac:dyDescent="0.25">
      <c r="D3508" s="4">
        <v>36825</v>
      </c>
      <c r="E3508" s="6">
        <v>31.48</v>
      </c>
      <c r="G3508" s="4"/>
      <c r="H3508" s="5"/>
    </row>
    <row r="3509" spans="4:8" x14ac:dyDescent="0.25">
      <c r="D3509" s="4">
        <v>36826</v>
      </c>
      <c r="E3509" s="6">
        <v>31.31</v>
      </c>
      <c r="G3509" s="4"/>
      <c r="H3509" s="5"/>
    </row>
    <row r="3510" spans="4:8" x14ac:dyDescent="0.25">
      <c r="D3510" s="4">
        <v>36829</v>
      </c>
      <c r="E3510" s="6">
        <v>31.09</v>
      </c>
      <c r="G3510" s="4"/>
      <c r="H3510" s="5"/>
    </row>
    <row r="3511" spans="4:8" x14ac:dyDescent="0.25">
      <c r="D3511" s="4">
        <v>36830</v>
      </c>
      <c r="E3511" s="6">
        <v>30.15</v>
      </c>
      <c r="G3511" s="4"/>
      <c r="H3511" s="5"/>
    </row>
    <row r="3512" spans="4:8" x14ac:dyDescent="0.25">
      <c r="D3512" s="4">
        <v>36831</v>
      </c>
      <c r="E3512" s="6">
        <v>31.62</v>
      </c>
      <c r="G3512" s="4"/>
      <c r="H3512" s="5"/>
    </row>
    <row r="3513" spans="4:8" x14ac:dyDescent="0.25">
      <c r="D3513" s="4">
        <v>36832</v>
      </c>
      <c r="E3513" s="6">
        <v>30.81</v>
      </c>
      <c r="G3513" s="4"/>
      <c r="H3513" s="5"/>
    </row>
    <row r="3514" spans="4:8" x14ac:dyDescent="0.25">
      <c r="D3514" s="4">
        <v>36833</v>
      </c>
      <c r="E3514" s="6">
        <v>30.81</v>
      </c>
      <c r="G3514" s="4"/>
      <c r="H3514" s="5"/>
    </row>
    <row r="3515" spans="4:8" x14ac:dyDescent="0.25">
      <c r="D3515" s="4">
        <v>36836</v>
      </c>
      <c r="E3515" s="6">
        <v>31</v>
      </c>
      <c r="G3515" s="4"/>
      <c r="H3515" s="5"/>
    </row>
    <row r="3516" spans="4:8" x14ac:dyDescent="0.25">
      <c r="D3516" s="4">
        <v>36837</v>
      </c>
      <c r="E3516" s="6">
        <v>31.59</v>
      </c>
      <c r="G3516" s="4"/>
      <c r="H3516" s="5"/>
    </row>
    <row r="3517" spans="4:8" x14ac:dyDescent="0.25">
      <c r="D3517" s="4">
        <v>36838</v>
      </c>
      <c r="E3517" s="6">
        <v>31.3</v>
      </c>
      <c r="G3517" s="4"/>
      <c r="H3517" s="5"/>
    </row>
    <row r="3518" spans="4:8" x14ac:dyDescent="0.25">
      <c r="D3518" s="4">
        <v>36839</v>
      </c>
      <c r="E3518" s="6">
        <v>31.79</v>
      </c>
      <c r="G3518" s="4"/>
      <c r="H3518" s="5"/>
    </row>
    <row r="3519" spans="4:8" x14ac:dyDescent="0.25">
      <c r="D3519" s="4">
        <v>36840</v>
      </c>
      <c r="E3519" s="6">
        <v>32.26</v>
      </c>
      <c r="G3519" s="4"/>
      <c r="H3519" s="5"/>
    </row>
    <row r="3520" spans="4:8" x14ac:dyDescent="0.25">
      <c r="D3520" s="4">
        <v>36843</v>
      </c>
      <c r="E3520" s="6">
        <v>32.5</v>
      </c>
      <c r="G3520" s="4"/>
      <c r="H3520" s="5"/>
    </row>
    <row r="3521" spans="4:8" x14ac:dyDescent="0.25">
      <c r="D3521" s="4">
        <v>36844</v>
      </c>
      <c r="E3521" s="6">
        <v>33.049999999999997</v>
      </c>
      <c r="G3521" s="4"/>
      <c r="H3521" s="5"/>
    </row>
    <row r="3522" spans="4:8" x14ac:dyDescent="0.25">
      <c r="D3522" s="4">
        <v>36845</v>
      </c>
      <c r="E3522" s="6">
        <v>33.82</v>
      </c>
      <c r="G3522" s="4"/>
      <c r="H3522" s="5"/>
    </row>
    <row r="3523" spans="4:8" x14ac:dyDescent="0.25">
      <c r="D3523" s="4">
        <v>36846</v>
      </c>
      <c r="E3523" s="6">
        <v>34.159999999999997</v>
      </c>
      <c r="G3523" s="4"/>
      <c r="H3523" s="5"/>
    </row>
    <row r="3524" spans="4:8" x14ac:dyDescent="0.25">
      <c r="D3524" s="4">
        <v>36847</v>
      </c>
      <c r="E3524" s="6">
        <v>33.090000000000003</v>
      </c>
      <c r="G3524" s="4"/>
      <c r="H3524" s="5"/>
    </row>
    <row r="3525" spans="4:8" x14ac:dyDescent="0.25">
      <c r="D3525" s="4">
        <v>36850</v>
      </c>
      <c r="E3525" s="6">
        <v>34.229999999999997</v>
      </c>
      <c r="G3525" s="4"/>
      <c r="H3525" s="5"/>
    </row>
    <row r="3526" spans="4:8" x14ac:dyDescent="0.25">
      <c r="D3526" s="4">
        <v>36851</v>
      </c>
      <c r="E3526" s="6">
        <v>33.33</v>
      </c>
      <c r="G3526" s="4"/>
      <c r="H3526" s="5"/>
    </row>
    <row r="3527" spans="4:8" x14ac:dyDescent="0.25">
      <c r="D3527" s="4">
        <v>36852</v>
      </c>
      <c r="E3527" s="6">
        <v>33.11</v>
      </c>
      <c r="G3527" s="4"/>
      <c r="H3527" s="5"/>
    </row>
    <row r="3528" spans="4:8" x14ac:dyDescent="0.25">
      <c r="D3528" s="4">
        <v>36853</v>
      </c>
      <c r="E3528" s="6">
        <v>33.29</v>
      </c>
      <c r="G3528" s="4"/>
      <c r="H3528" s="5"/>
    </row>
    <row r="3529" spans="4:8" x14ac:dyDescent="0.25">
      <c r="D3529" s="4">
        <v>36854</v>
      </c>
      <c r="E3529" s="6">
        <v>33.35</v>
      </c>
      <c r="G3529" s="4"/>
      <c r="H3529" s="5"/>
    </row>
    <row r="3530" spans="4:8" x14ac:dyDescent="0.25">
      <c r="D3530" s="4">
        <v>36857</v>
      </c>
      <c r="E3530" s="6">
        <v>33.47</v>
      </c>
      <c r="G3530" s="4"/>
      <c r="H3530" s="5"/>
    </row>
    <row r="3531" spans="4:8" x14ac:dyDescent="0.25">
      <c r="D3531" s="4">
        <v>36858</v>
      </c>
      <c r="E3531" s="6">
        <v>32.590000000000003</v>
      </c>
      <c r="G3531" s="4"/>
      <c r="H3531" s="5"/>
    </row>
    <row r="3532" spans="4:8" x14ac:dyDescent="0.25">
      <c r="D3532" s="4">
        <v>36859</v>
      </c>
      <c r="E3532" s="6">
        <v>32.450000000000003</v>
      </c>
      <c r="G3532" s="4"/>
      <c r="H3532" s="5"/>
    </row>
    <row r="3533" spans="4:8" x14ac:dyDescent="0.25">
      <c r="D3533" s="4">
        <v>36860</v>
      </c>
      <c r="E3533" s="6">
        <v>32.53</v>
      </c>
      <c r="G3533" s="4"/>
      <c r="H3533" s="5"/>
    </row>
    <row r="3534" spans="4:8" x14ac:dyDescent="0.25">
      <c r="D3534" s="4">
        <v>36861</v>
      </c>
      <c r="E3534" s="6">
        <v>31.59</v>
      </c>
      <c r="G3534" s="4"/>
      <c r="H3534" s="5"/>
    </row>
    <row r="3535" spans="4:8" x14ac:dyDescent="0.25">
      <c r="D3535" s="4">
        <v>36864</v>
      </c>
      <c r="E3535" s="6">
        <v>30.37</v>
      </c>
      <c r="G3535" s="4"/>
      <c r="H3535" s="5"/>
    </row>
    <row r="3536" spans="4:8" x14ac:dyDescent="0.25">
      <c r="D3536" s="4">
        <v>36865</v>
      </c>
      <c r="E3536" s="6">
        <v>28.88</v>
      </c>
      <c r="G3536" s="4"/>
      <c r="H3536" s="5"/>
    </row>
    <row r="3537" spans="4:8" x14ac:dyDescent="0.25">
      <c r="D3537" s="4">
        <v>36866</v>
      </c>
      <c r="E3537" s="6">
        <v>27.47</v>
      </c>
      <c r="G3537" s="4"/>
      <c r="H3537" s="5"/>
    </row>
    <row r="3538" spans="4:8" x14ac:dyDescent="0.25">
      <c r="D3538" s="4">
        <v>36867</v>
      </c>
      <c r="E3538" s="6">
        <v>27.85</v>
      </c>
      <c r="G3538" s="4"/>
      <c r="H3538" s="5"/>
    </row>
    <row r="3539" spans="4:8" x14ac:dyDescent="0.25">
      <c r="D3539" s="4">
        <v>36868</v>
      </c>
      <c r="E3539" s="6">
        <v>26.85</v>
      </c>
      <c r="G3539" s="4"/>
      <c r="H3539" s="5"/>
    </row>
    <row r="3540" spans="4:8" x14ac:dyDescent="0.25">
      <c r="D3540" s="4">
        <v>36871</v>
      </c>
      <c r="E3540" s="6">
        <v>27.28</v>
      </c>
      <c r="G3540" s="4"/>
      <c r="H3540" s="5"/>
    </row>
    <row r="3541" spans="4:8" x14ac:dyDescent="0.25">
      <c r="D3541" s="4">
        <v>36872</v>
      </c>
      <c r="E3541" s="6">
        <v>26.81</v>
      </c>
      <c r="G3541" s="4"/>
      <c r="H3541" s="5"/>
    </row>
    <row r="3542" spans="4:8" x14ac:dyDescent="0.25">
      <c r="D3542" s="4">
        <v>36873</v>
      </c>
      <c r="E3542" s="6">
        <v>26.84</v>
      </c>
      <c r="G3542" s="4"/>
      <c r="H3542" s="5"/>
    </row>
    <row r="3543" spans="4:8" x14ac:dyDescent="0.25">
      <c r="D3543" s="4">
        <v>36874</v>
      </c>
      <c r="E3543" s="6">
        <v>24.32</v>
      </c>
      <c r="G3543" s="4"/>
      <c r="H3543" s="5"/>
    </row>
    <row r="3544" spans="4:8" x14ac:dyDescent="0.25">
      <c r="D3544" s="4">
        <v>36875</v>
      </c>
      <c r="E3544" s="6">
        <v>24.44</v>
      </c>
      <c r="G3544" s="4"/>
      <c r="H3544" s="5"/>
    </row>
    <row r="3545" spans="4:8" x14ac:dyDescent="0.25">
      <c r="D3545" s="4">
        <v>36878</v>
      </c>
      <c r="E3545" s="6">
        <v>25.11</v>
      </c>
      <c r="G3545" s="4"/>
      <c r="H3545" s="5"/>
    </row>
    <row r="3546" spans="4:8" x14ac:dyDescent="0.25">
      <c r="D3546" s="4">
        <v>36879</v>
      </c>
      <c r="E3546" s="6">
        <v>24.36</v>
      </c>
      <c r="G3546" s="4"/>
      <c r="H3546" s="5"/>
    </row>
    <row r="3547" spans="4:8" x14ac:dyDescent="0.25">
      <c r="D3547" s="4">
        <v>36880</v>
      </c>
      <c r="E3547" s="6">
        <v>23.29</v>
      </c>
      <c r="G3547" s="4"/>
      <c r="H3547" s="5"/>
    </row>
    <row r="3548" spans="4:8" x14ac:dyDescent="0.25">
      <c r="D3548" s="4">
        <v>36881</v>
      </c>
      <c r="E3548" s="6">
        <v>22.4</v>
      </c>
      <c r="G3548" s="4"/>
      <c r="H3548" s="5"/>
    </row>
    <row r="3549" spans="4:8" x14ac:dyDescent="0.25">
      <c r="D3549" s="4">
        <v>36882</v>
      </c>
      <c r="E3549" s="6">
        <v>22.23</v>
      </c>
      <c r="G3549" s="4"/>
      <c r="H3549" s="5"/>
    </row>
    <row r="3550" spans="4:8" x14ac:dyDescent="0.25">
      <c r="D3550" s="4">
        <v>36885</v>
      </c>
      <c r="E3550" s="5"/>
      <c r="G3550" s="4"/>
      <c r="H3550" s="5"/>
    </row>
    <row r="3551" spans="4:8" x14ac:dyDescent="0.25">
      <c r="D3551" s="4">
        <v>36886</v>
      </c>
      <c r="E3551" s="5"/>
      <c r="G3551" s="4"/>
      <c r="H3551" s="5"/>
    </row>
    <row r="3552" spans="4:8" x14ac:dyDescent="0.25">
      <c r="D3552" s="4">
        <v>36887</v>
      </c>
      <c r="E3552" s="6">
        <v>22.58</v>
      </c>
      <c r="G3552" s="4"/>
      <c r="H3552" s="5"/>
    </row>
    <row r="3553" spans="4:8" x14ac:dyDescent="0.25">
      <c r="D3553" s="4">
        <v>36888</v>
      </c>
      <c r="E3553" s="6">
        <v>22.29</v>
      </c>
      <c r="G3553" s="4"/>
      <c r="H3553" s="5"/>
    </row>
    <row r="3554" spans="4:8" x14ac:dyDescent="0.25">
      <c r="D3554" s="4">
        <v>36889</v>
      </c>
      <c r="E3554" s="6">
        <v>22.58</v>
      </c>
      <c r="G3554" s="4"/>
      <c r="H3554" s="5"/>
    </row>
    <row r="3555" spans="4:8" x14ac:dyDescent="0.25">
      <c r="D3555" s="4">
        <v>36892</v>
      </c>
      <c r="E3555" s="5"/>
      <c r="G3555" s="4"/>
      <c r="H3555" s="5"/>
    </row>
    <row r="3556" spans="4:8" x14ac:dyDescent="0.25">
      <c r="D3556" s="4">
        <v>36893</v>
      </c>
      <c r="E3556" s="6">
        <v>23.43</v>
      </c>
      <c r="G3556" s="4"/>
      <c r="H3556" s="5"/>
    </row>
    <row r="3557" spans="4:8" x14ac:dyDescent="0.25">
      <c r="D3557" s="4">
        <v>36894</v>
      </c>
      <c r="E3557" s="6">
        <v>23.44</v>
      </c>
      <c r="G3557" s="4"/>
      <c r="H3557" s="5"/>
    </row>
    <row r="3558" spans="4:8" x14ac:dyDescent="0.25">
      <c r="D3558" s="4">
        <v>36895</v>
      </c>
      <c r="E3558" s="6">
        <v>24.57</v>
      </c>
      <c r="G3558" s="4"/>
      <c r="H3558" s="5"/>
    </row>
    <row r="3559" spans="4:8" x14ac:dyDescent="0.25">
      <c r="D3559" s="4">
        <v>36896</v>
      </c>
      <c r="E3559" s="6">
        <v>24.77</v>
      </c>
      <c r="G3559" s="4"/>
      <c r="H3559" s="5"/>
    </row>
    <row r="3560" spans="4:8" x14ac:dyDescent="0.25">
      <c r="D3560" s="4">
        <v>36899</v>
      </c>
      <c r="E3560" s="6">
        <v>24.75</v>
      </c>
      <c r="G3560" s="4"/>
      <c r="H3560" s="5"/>
    </row>
    <row r="3561" spans="4:8" x14ac:dyDescent="0.25">
      <c r="D3561" s="4">
        <v>36900</v>
      </c>
      <c r="E3561" s="6">
        <v>24.13</v>
      </c>
      <c r="G3561" s="4"/>
      <c r="H3561" s="5"/>
    </row>
    <row r="3562" spans="4:8" x14ac:dyDescent="0.25">
      <c r="D3562" s="4">
        <v>36901</v>
      </c>
      <c r="E3562" s="6">
        <v>24.98</v>
      </c>
      <c r="G3562" s="4"/>
      <c r="H3562" s="5"/>
    </row>
    <row r="3563" spans="4:8" x14ac:dyDescent="0.25">
      <c r="D3563" s="4">
        <v>36902</v>
      </c>
      <c r="E3563" s="6">
        <v>25.6</v>
      </c>
      <c r="G3563" s="4"/>
      <c r="H3563" s="5"/>
    </row>
    <row r="3564" spans="4:8" x14ac:dyDescent="0.25">
      <c r="D3564" s="4">
        <v>36903</v>
      </c>
      <c r="E3564" s="6">
        <v>25.63</v>
      </c>
      <c r="G3564" s="4"/>
      <c r="H3564" s="5"/>
    </row>
    <row r="3565" spans="4:8" x14ac:dyDescent="0.25">
      <c r="D3565" s="4">
        <v>36906</v>
      </c>
      <c r="E3565" s="6">
        <v>26.03</v>
      </c>
      <c r="G3565" s="4"/>
      <c r="H3565" s="5"/>
    </row>
    <row r="3566" spans="4:8" x14ac:dyDescent="0.25">
      <c r="D3566" s="4">
        <v>36907</v>
      </c>
      <c r="E3566" s="6">
        <v>25.52</v>
      </c>
      <c r="G3566" s="4"/>
      <c r="H3566" s="5"/>
    </row>
    <row r="3567" spans="4:8" x14ac:dyDescent="0.25">
      <c r="D3567" s="4">
        <v>36908</v>
      </c>
      <c r="E3567" s="6">
        <v>24.27</v>
      </c>
      <c r="G3567" s="4"/>
      <c r="H3567" s="5"/>
    </row>
    <row r="3568" spans="4:8" x14ac:dyDescent="0.25">
      <c r="D3568" s="4">
        <v>36909</v>
      </c>
      <c r="E3568" s="6">
        <v>24.74</v>
      </c>
      <c r="G3568" s="4"/>
      <c r="H3568" s="5"/>
    </row>
    <row r="3569" spans="4:8" x14ac:dyDescent="0.25">
      <c r="D3569" s="4">
        <v>36910</v>
      </c>
      <c r="E3569" s="6">
        <v>26.29</v>
      </c>
      <c r="G3569" s="4"/>
      <c r="H3569" s="5"/>
    </row>
    <row r="3570" spans="4:8" x14ac:dyDescent="0.25">
      <c r="D3570" s="4">
        <v>36913</v>
      </c>
      <c r="E3570" s="6">
        <v>27.69</v>
      </c>
      <c r="G3570" s="4"/>
      <c r="H3570" s="5"/>
    </row>
    <row r="3571" spans="4:8" x14ac:dyDescent="0.25">
      <c r="D3571" s="4">
        <v>36914</v>
      </c>
      <c r="E3571" s="6">
        <v>27.02</v>
      </c>
      <c r="G3571" s="4"/>
      <c r="H3571" s="5"/>
    </row>
    <row r="3572" spans="4:8" x14ac:dyDescent="0.25">
      <c r="D3572" s="4">
        <v>36915</v>
      </c>
      <c r="E3572" s="6">
        <v>27.04</v>
      </c>
      <c r="G3572" s="4"/>
      <c r="H3572" s="5"/>
    </row>
    <row r="3573" spans="4:8" x14ac:dyDescent="0.25">
      <c r="D3573" s="4">
        <v>36916</v>
      </c>
      <c r="E3573" s="6">
        <v>26.94</v>
      </c>
      <c r="G3573" s="4"/>
      <c r="H3573" s="5"/>
    </row>
    <row r="3574" spans="4:8" x14ac:dyDescent="0.25">
      <c r="D3574" s="4">
        <v>36917</v>
      </c>
      <c r="E3574" s="6">
        <v>27.04</v>
      </c>
      <c r="G3574" s="4"/>
      <c r="H3574" s="5"/>
    </row>
    <row r="3575" spans="4:8" x14ac:dyDescent="0.25">
      <c r="D3575" s="4">
        <v>36920</v>
      </c>
      <c r="E3575" s="6">
        <v>26.95</v>
      </c>
      <c r="G3575" s="4"/>
      <c r="H3575" s="5"/>
    </row>
    <row r="3576" spans="4:8" x14ac:dyDescent="0.25">
      <c r="D3576" s="4">
        <v>36921</v>
      </c>
      <c r="E3576" s="6">
        <v>26.32</v>
      </c>
      <c r="G3576" s="4"/>
      <c r="H3576" s="5"/>
    </row>
    <row r="3577" spans="4:8" x14ac:dyDescent="0.25">
      <c r="D3577" s="4">
        <v>36922</v>
      </c>
      <c r="E3577" s="6">
        <v>26.59</v>
      </c>
      <c r="G3577" s="4"/>
      <c r="H3577" s="5"/>
    </row>
    <row r="3578" spans="4:8" x14ac:dyDescent="0.25">
      <c r="D3578" s="4">
        <v>36923</v>
      </c>
      <c r="E3578" s="6">
        <v>27.17</v>
      </c>
      <c r="G3578" s="4"/>
      <c r="H3578" s="5"/>
    </row>
    <row r="3579" spans="4:8" x14ac:dyDescent="0.25">
      <c r="D3579" s="4">
        <v>36924</v>
      </c>
      <c r="E3579" s="6">
        <v>28.9</v>
      </c>
      <c r="G3579" s="4"/>
      <c r="H3579" s="5"/>
    </row>
    <row r="3580" spans="4:8" x14ac:dyDescent="0.25">
      <c r="D3580" s="4">
        <v>36927</v>
      </c>
      <c r="E3580" s="6">
        <v>29.25</v>
      </c>
      <c r="G3580" s="4"/>
      <c r="H3580" s="5"/>
    </row>
    <row r="3581" spans="4:8" x14ac:dyDescent="0.25">
      <c r="D3581" s="4">
        <v>36928</v>
      </c>
      <c r="E3581" s="6">
        <v>29.1</v>
      </c>
      <c r="G3581" s="4"/>
      <c r="H3581" s="5"/>
    </row>
    <row r="3582" spans="4:8" x14ac:dyDescent="0.25">
      <c r="D3582" s="4">
        <v>36929</v>
      </c>
      <c r="E3582" s="6">
        <v>29.54</v>
      </c>
      <c r="G3582" s="4"/>
      <c r="H3582" s="5"/>
    </row>
    <row r="3583" spans="4:8" x14ac:dyDescent="0.25">
      <c r="D3583" s="4">
        <v>36930</v>
      </c>
      <c r="E3583" s="6">
        <v>30.68</v>
      </c>
      <c r="G3583" s="4"/>
      <c r="H3583" s="5"/>
    </row>
    <row r="3584" spans="4:8" x14ac:dyDescent="0.25">
      <c r="D3584" s="4">
        <v>36931</v>
      </c>
      <c r="E3584" s="6">
        <v>29.53</v>
      </c>
      <c r="G3584" s="4"/>
      <c r="H3584" s="5"/>
    </row>
    <row r="3585" spans="4:8" x14ac:dyDescent="0.25">
      <c r="D3585" s="4">
        <v>36934</v>
      </c>
      <c r="E3585" s="6">
        <v>29.32</v>
      </c>
      <c r="G3585" s="4"/>
      <c r="H3585" s="5"/>
    </row>
    <row r="3586" spans="4:8" x14ac:dyDescent="0.25">
      <c r="D3586" s="4">
        <v>36935</v>
      </c>
      <c r="E3586" s="6">
        <v>28</v>
      </c>
      <c r="G3586" s="4"/>
      <c r="H3586" s="5"/>
    </row>
    <row r="3587" spans="4:8" x14ac:dyDescent="0.25">
      <c r="D3587" s="4">
        <v>36936</v>
      </c>
      <c r="E3587" s="6">
        <v>27.89</v>
      </c>
      <c r="G3587" s="4"/>
      <c r="H3587" s="5"/>
    </row>
    <row r="3588" spans="4:8" x14ac:dyDescent="0.25">
      <c r="D3588" s="4">
        <v>36937</v>
      </c>
      <c r="E3588" s="6">
        <v>26.33</v>
      </c>
      <c r="G3588" s="4"/>
      <c r="H3588" s="5"/>
    </row>
    <row r="3589" spans="4:8" x14ac:dyDescent="0.25">
      <c r="D3589" s="4">
        <v>36938</v>
      </c>
      <c r="E3589" s="6">
        <v>26.61</v>
      </c>
      <c r="G3589" s="4"/>
      <c r="H3589" s="5"/>
    </row>
    <row r="3590" spans="4:8" x14ac:dyDescent="0.25">
      <c r="D3590" s="4">
        <v>36941</v>
      </c>
      <c r="E3590" s="6">
        <v>27.05</v>
      </c>
      <c r="G3590" s="4"/>
      <c r="H3590" s="5"/>
    </row>
    <row r="3591" spans="4:8" x14ac:dyDescent="0.25">
      <c r="D3591" s="4">
        <v>36942</v>
      </c>
      <c r="E3591" s="6">
        <v>26.45</v>
      </c>
      <c r="G3591" s="4"/>
      <c r="H3591" s="5"/>
    </row>
    <row r="3592" spans="4:8" x14ac:dyDescent="0.25">
      <c r="D3592" s="4">
        <v>36943</v>
      </c>
      <c r="E3592" s="6">
        <v>26.1</v>
      </c>
      <c r="G3592" s="4"/>
      <c r="H3592" s="5"/>
    </row>
    <row r="3593" spans="4:8" x14ac:dyDescent="0.25">
      <c r="D3593" s="4">
        <v>36944</v>
      </c>
      <c r="E3593" s="6">
        <v>25.75</v>
      </c>
      <c r="G3593" s="4"/>
      <c r="H3593" s="5"/>
    </row>
    <row r="3594" spans="4:8" x14ac:dyDescent="0.25">
      <c r="D3594" s="4">
        <v>36945</v>
      </c>
      <c r="E3594" s="6">
        <v>26.12</v>
      </c>
      <c r="G3594" s="4"/>
      <c r="H3594" s="5"/>
    </row>
    <row r="3595" spans="4:8" x14ac:dyDescent="0.25">
      <c r="D3595" s="4">
        <v>36948</v>
      </c>
      <c r="E3595" s="6">
        <v>25.84</v>
      </c>
      <c r="G3595" s="4"/>
      <c r="H3595" s="5"/>
    </row>
    <row r="3596" spans="4:8" x14ac:dyDescent="0.25">
      <c r="D3596" s="4">
        <v>36949</v>
      </c>
      <c r="E3596" s="6">
        <v>25.28</v>
      </c>
      <c r="G3596" s="4"/>
      <c r="H3596" s="5"/>
    </row>
    <row r="3597" spans="4:8" x14ac:dyDescent="0.25">
      <c r="D3597" s="4">
        <v>36950</v>
      </c>
      <c r="E3597" s="6">
        <v>25.16</v>
      </c>
      <c r="G3597" s="4"/>
      <c r="H3597" s="5"/>
    </row>
    <row r="3598" spans="4:8" x14ac:dyDescent="0.25">
      <c r="D3598" s="4">
        <v>36951</v>
      </c>
      <c r="E3598" s="6">
        <v>24.76</v>
      </c>
      <c r="G3598" s="4"/>
      <c r="H3598" s="5"/>
    </row>
    <row r="3599" spans="4:8" x14ac:dyDescent="0.25">
      <c r="D3599" s="4">
        <v>36952</v>
      </c>
      <c r="E3599" s="6">
        <v>25.28</v>
      </c>
      <c r="G3599" s="4"/>
      <c r="H3599" s="5"/>
    </row>
    <row r="3600" spans="4:8" x14ac:dyDescent="0.25">
      <c r="D3600" s="4">
        <v>36955</v>
      </c>
      <c r="E3600" s="6">
        <v>25.98</v>
      </c>
      <c r="G3600" s="4"/>
      <c r="H3600" s="5"/>
    </row>
    <row r="3601" spans="4:8" x14ac:dyDescent="0.25">
      <c r="D3601" s="4">
        <v>36956</v>
      </c>
      <c r="E3601" s="6">
        <v>25.59</v>
      </c>
      <c r="G3601" s="4"/>
      <c r="H3601" s="5"/>
    </row>
    <row r="3602" spans="4:8" x14ac:dyDescent="0.25">
      <c r="D3602" s="4">
        <v>36957</v>
      </c>
      <c r="E3602" s="6">
        <v>25.91</v>
      </c>
      <c r="G3602" s="4"/>
      <c r="H3602" s="5"/>
    </row>
    <row r="3603" spans="4:8" x14ac:dyDescent="0.25">
      <c r="D3603" s="4">
        <v>36958</v>
      </c>
      <c r="E3603" s="6">
        <v>26.37</v>
      </c>
      <c r="G3603" s="4"/>
      <c r="H3603" s="5"/>
    </row>
    <row r="3604" spans="4:8" x14ac:dyDescent="0.25">
      <c r="D3604" s="4">
        <v>36959</v>
      </c>
      <c r="E3604" s="6">
        <v>25.78</v>
      </c>
      <c r="G3604" s="4"/>
      <c r="H3604" s="5"/>
    </row>
    <row r="3605" spans="4:8" x14ac:dyDescent="0.25">
      <c r="D3605" s="4">
        <v>36962</v>
      </c>
      <c r="E3605" s="6">
        <v>25.34</v>
      </c>
      <c r="G3605" s="4"/>
      <c r="H3605" s="5"/>
    </row>
    <row r="3606" spans="4:8" x14ac:dyDescent="0.25">
      <c r="D3606" s="4">
        <v>36963</v>
      </c>
      <c r="E3606" s="6">
        <v>24.8</v>
      </c>
      <c r="G3606" s="4"/>
      <c r="H3606" s="5"/>
    </row>
    <row r="3607" spans="4:8" x14ac:dyDescent="0.25">
      <c r="D3607" s="4">
        <v>36964</v>
      </c>
      <c r="E3607" s="6">
        <v>24.31</v>
      </c>
      <c r="G3607" s="4"/>
      <c r="H3607" s="5"/>
    </row>
    <row r="3608" spans="4:8" x14ac:dyDescent="0.25">
      <c r="D3608" s="4">
        <v>36965</v>
      </c>
      <c r="E3608" s="6">
        <v>23.37</v>
      </c>
      <c r="G3608" s="4"/>
      <c r="H3608" s="5"/>
    </row>
    <row r="3609" spans="4:8" x14ac:dyDescent="0.25">
      <c r="D3609" s="4">
        <v>36966</v>
      </c>
      <c r="E3609" s="6">
        <v>23.84</v>
      </c>
      <c r="G3609" s="4"/>
      <c r="H3609" s="5"/>
    </row>
    <row r="3610" spans="4:8" x14ac:dyDescent="0.25">
      <c r="D3610" s="4">
        <v>36969</v>
      </c>
      <c r="E3610" s="6">
        <v>23.19</v>
      </c>
      <c r="G3610" s="4"/>
      <c r="H3610" s="5"/>
    </row>
    <row r="3611" spans="4:8" x14ac:dyDescent="0.25">
      <c r="D3611" s="4">
        <v>36970</v>
      </c>
      <c r="E3611" s="6">
        <v>23.63</v>
      </c>
      <c r="G3611" s="4"/>
      <c r="H3611" s="5"/>
    </row>
    <row r="3612" spans="4:8" x14ac:dyDescent="0.25">
      <c r="D3612" s="4">
        <v>36971</v>
      </c>
      <c r="E3612" s="6">
        <v>23.21</v>
      </c>
      <c r="G3612" s="4"/>
      <c r="H3612" s="5"/>
    </row>
    <row r="3613" spans="4:8" x14ac:dyDescent="0.25">
      <c r="D3613" s="4">
        <v>36972</v>
      </c>
      <c r="E3613" s="6">
        <v>23.45</v>
      </c>
      <c r="G3613" s="4"/>
      <c r="H3613" s="5"/>
    </row>
    <row r="3614" spans="4:8" x14ac:dyDescent="0.25">
      <c r="D3614" s="4">
        <v>36973</v>
      </c>
      <c r="E3614" s="6">
        <v>23.94</v>
      </c>
      <c r="G3614" s="4"/>
      <c r="H3614" s="5"/>
    </row>
    <row r="3615" spans="4:8" x14ac:dyDescent="0.25">
      <c r="D3615" s="4">
        <v>36976</v>
      </c>
      <c r="E3615" s="6">
        <v>24.01</v>
      </c>
      <c r="G3615" s="4"/>
      <c r="H3615" s="5"/>
    </row>
    <row r="3616" spans="4:8" x14ac:dyDescent="0.25">
      <c r="D3616" s="4">
        <v>36977</v>
      </c>
      <c r="E3616" s="6">
        <v>24.41</v>
      </c>
      <c r="G3616" s="4"/>
      <c r="H3616" s="5"/>
    </row>
    <row r="3617" spans="4:8" x14ac:dyDescent="0.25">
      <c r="D3617" s="4">
        <v>36978</v>
      </c>
      <c r="E3617" s="6">
        <v>24.5</v>
      </c>
      <c r="G3617" s="4"/>
      <c r="H3617" s="5"/>
    </row>
    <row r="3618" spans="4:8" x14ac:dyDescent="0.25">
      <c r="D3618" s="4">
        <v>36979</v>
      </c>
      <c r="E3618" s="6">
        <v>23.77</v>
      </c>
      <c r="G3618" s="4"/>
      <c r="H3618" s="5"/>
    </row>
    <row r="3619" spans="4:8" x14ac:dyDescent="0.25">
      <c r="D3619" s="4">
        <v>36980</v>
      </c>
      <c r="E3619" s="6">
        <v>23.5</v>
      </c>
      <c r="G3619" s="4"/>
      <c r="H3619" s="5"/>
    </row>
    <row r="3620" spans="4:8" x14ac:dyDescent="0.25">
      <c r="D3620" s="4">
        <v>36983</v>
      </c>
      <c r="E3620" s="6">
        <v>23.31</v>
      </c>
      <c r="G3620" s="4"/>
      <c r="H3620" s="5"/>
    </row>
    <row r="3621" spans="4:8" x14ac:dyDescent="0.25">
      <c r="D3621" s="4">
        <v>36984</v>
      </c>
      <c r="E3621" s="6">
        <v>23.47</v>
      </c>
      <c r="G3621" s="4"/>
      <c r="H3621" s="5"/>
    </row>
    <row r="3622" spans="4:8" x14ac:dyDescent="0.25">
      <c r="D3622" s="4">
        <v>36985</v>
      </c>
      <c r="E3622" s="6">
        <v>24.35</v>
      </c>
      <c r="G3622" s="4"/>
      <c r="H3622" s="5"/>
    </row>
    <row r="3623" spans="4:8" x14ac:dyDescent="0.25">
      <c r="D3623" s="4">
        <v>36986</v>
      </c>
      <c r="E3623" s="6">
        <v>24.87</v>
      </c>
      <c r="G3623" s="4"/>
      <c r="H3623" s="5"/>
    </row>
    <row r="3624" spans="4:8" x14ac:dyDescent="0.25">
      <c r="D3624" s="4">
        <v>36987</v>
      </c>
      <c r="E3624" s="6">
        <v>24.02</v>
      </c>
      <c r="G3624" s="4"/>
      <c r="H3624" s="5"/>
    </row>
    <row r="3625" spans="4:8" x14ac:dyDescent="0.25">
      <c r="D3625" s="4">
        <v>36990</v>
      </c>
      <c r="E3625" s="6">
        <v>24.37</v>
      </c>
      <c r="G3625" s="4"/>
      <c r="H3625" s="5"/>
    </row>
    <row r="3626" spans="4:8" x14ac:dyDescent="0.25">
      <c r="D3626" s="4">
        <v>36991</v>
      </c>
      <c r="E3626" s="6">
        <v>25.64</v>
      </c>
      <c r="G3626" s="4"/>
      <c r="H3626" s="5"/>
    </row>
    <row r="3627" spans="4:8" x14ac:dyDescent="0.25">
      <c r="D3627" s="4">
        <v>36992</v>
      </c>
      <c r="E3627" s="6">
        <v>26.08</v>
      </c>
      <c r="G3627" s="4"/>
      <c r="H3627" s="5"/>
    </row>
    <row r="3628" spans="4:8" x14ac:dyDescent="0.25">
      <c r="D3628" s="4">
        <v>36993</v>
      </c>
      <c r="E3628" s="6">
        <v>27.12</v>
      </c>
      <c r="G3628" s="4"/>
      <c r="H3628" s="5"/>
    </row>
    <row r="3629" spans="4:8" x14ac:dyDescent="0.25">
      <c r="D3629" s="4">
        <v>36994</v>
      </c>
      <c r="E3629" s="6">
        <v>26.8</v>
      </c>
      <c r="G3629" s="4"/>
      <c r="H3629" s="5"/>
    </row>
    <row r="3630" spans="4:8" x14ac:dyDescent="0.25">
      <c r="D3630" s="4">
        <v>36997</v>
      </c>
      <c r="E3630" s="6">
        <v>26.8</v>
      </c>
      <c r="G3630" s="4"/>
      <c r="H3630" s="5"/>
    </row>
    <row r="3631" spans="4:8" x14ac:dyDescent="0.25">
      <c r="D3631" s="4">
        <v>36998</v>
      </c>
      <c r="E3631" s="6">
        <v>26.99</v>
      </c>
      <c r="G3631" s="4"/>
      <c r="H3631" s="5"/>
    </row>
    <row r="3632" spans="4:8" x14ac:dyDescent="0.25">
      <c r="D3632" s="4">
        <v>36999</v>
      </c>
      <c r="E3632" s="6">
        <v>26.11</v>
      </c>
      <c r="G3632" s="4"/>
      <c r="H3632" s="5"/>
    </row>
    <row r="3633" spans="4:8" x14ac:dyDescent="0.25">
      <c r="D3633" s="4">
        <v>37000</v>
      </c>
      <c r="E3633" s="6">
        <v>25.86</v>
      </c>
      <c r="G3633" s="4"/>
      <c r="H3633" s="5"/>
    </row>
    <row r="3634" spans="4:8" x14ac:dyDescent="0.25">
      <c r="D3634" s="4">
        <v>37001</v>
      </c>
      <c r="E3634" s="6">
        <v>25.57</v>
      </c>
      <c r="G3634" s="4"/>
      <c r="H3634" s="5"/>
    </row>
    <row r="3635" spans="4:8" x14ac:dyDescent="0.25">
      <c r="D3635" s="4">
        <v>37004</v>
      </c>
      <c r="E3635" s="6">
        <v>25.42</v>
      </c>
      <c r="G3635" s="4"/>
      <c r="H3635" s="5"/>
    </row>
    <row r="3636" spans="4:8" x14ac:dyDescent="0.25">
      <c r="D3636" s="4">
        <v>37005</v>
      </c>
      <c r="E3636" s="6">
        <v>25.76</v>
      </c>
      <c r="G3636" s="4"/>
      <c r="H3636" s="5"/>
    </row>
    <row r="3637" spans="4:8" x14ac:dyDescent="0.25">
      <c r="D3637" s="4">
        <v>37006</v>
      </c>
      <c r="E3637" s="6">
        <v>25.49</v>
      </c>
      <c r="G3637" s="4"/>
      <c r="H3637" s="5"/>
    </row>
    <row r="3638" spans="4:8" x14ac:dyDescent="0.25">
      <c r="D3638" s="4">
        <v>37007</v>
      </c>
      <c r="E3638" s="6">
        <v>26.71</v>
      </c>
      <c r="G3638" s="4"/>
      <c r="H3638" s="5"/>
    </row>
    <row r="3639" spans="4:8" x14ac:dyDescent="0.25">
      <c r="D3639" s="4">
        <v>37008</v>
      </c>
      <c r="E3639" s="6">
        <v>26.85</v>
      </c>
      <c r="G3639" s="4"/>
      <c r="H3639" s="5"/>
    </row>
    <row r="3640" spans="4:8" x14ac:dyDescent="0.25">
      <c r="D3640" s="4">
        <v>37011</v>
      </c>
      <c r="E3640" s="6">
        <v>27.21</v>
      </c>
      <c r="G3640" s="4"/>
      <c r="H3640" s="5"/>
    </row>
    <row r="3641" spans="4:8" x14ac:dyDescent="0.25">
      <c r="D3641" s="4">
        <v>37012</v>
      </c>
      <c r="E3641" s="6">
        <v>27.31</v>
      </c>
      <c r="G3641" s="4"/>
      <c r="H3641" s="5"/>
    </row>
    <row r="3642" spans="4:8" x14ac:dyDescent="0.25">
      <c r="D3642" s="4">
        <v>37013</v>
      </c>
      <c r="E3642" s="6">
        <v>26.82</v>
      </c>
      <c r="G3642" s="4"/>
      <c r="H3642" s="5"/>
    </row>
    <row r="3643" spans="4:8" x14ac:dyDescent="0.25">
      <c r="D3643" s="4">
        <v>37014</v>
      </c>
      <c r="E3643" s="6">
        <v>27.46</v>
      </c>
      <c r="G3643" s="4"/>
      <c r="H3643" s="5"/>
    </row>
    <row r="3644" spans="4:8" x14ac:dyDescent="0.25">
      <c r="D3644" s="4">
        <v>37015</v>
      </c>
      <c r="E3644" s="6">
        <v>27.59</v>
      </c>
      <c r="G3644" s="4"/>
      <c r="H3644" s="5"/>
    </row>
    <row r="3645" spans="4:8" x14ac:dyDescent="0.25">
      <c r="D3645" s="4">
        <v>37018</v>
      </c>
      <c r="E3645" s="6">
        <v>27.71</v>
      </c>
      <c r="G3645" s="4"/>
      <c r="H3645" s="5"/>
    </row>
    <row r="3646" spans="4:8" x14ac:dyDescent="0.25">
      <c r="D3646" s="4">
        <v>37019</v>
      </c>
      <c r="E3646" s="6">
        <v>27.45</v>
      </c>
      <c r="G3646" s="4"/>
      <c r="H3646" s="5"/>
    </row>
    <row r="3647" spans="4:8" x14ac:dyDescent="0.25">
      <c r="D3647" s="4">
        <v>37020</v>
      </c>
      <c r="E3647" s="6">
        <v>27.46</v>
      </c>
      <c r="G3647" s="4"/>
      <c r="H3647" s="5"/>
    </row>
    <row r="3648" spans="4:8" x14ac:dyDescent="0.25">
      <c r="D3648" s="4">
        <v>37021</v>
      </c>
      <c r="E3648" s="6">
        <v>28.27</v>
      </c>
      <c r="G3648" s="4"/>
      <c r="H3648" s="5"/>
    </row>
    <row r="3649" spans="4:8" x14ac:dyDescent="0.25">
      <c r="D3649" s="4">
        <v>37022</v>
      </c>
      <c r="E3649" s="6">
        <v>27.97</v>
      </c>
      <c r="G3649" s="4"/>
      <c r="H3649" s="5"/>
    </row>
    <row r="3650" spans="4:8" x14ac:dyDescent="0.25">
      <c r="D3650" s="4">
        <v>37025</v>
      </c>
      <c r="E3650" s="6">
        <v>27.77</v>
      </c>
      <c r="G3650" s="4"/>
      <c r="H3650" s="5"/>
    </row>
    <row r="3651" spans="4:8" x14ac:dyDescent="0.25">
      <c r="D3651" s="4">
        <v>37026</v>
      </c>
      <c r="E3651" s="6">
        <v>27.88</v>
      </c>
      <c r="G3651" s="4"/>
      <c r="H3651" s="5"/>
    </row>
    <row r="3652" spans="4:8" x14ac:dyDescent="0.25">
      <c r="D3652" s="4">
        <v>37027</v>
      </c>
      <c r="E3652" s="6">
        <v>28.19</v>
      </c>
      <c r="G3652" s="4"/>
      <c r="H3652" s="5"/>
    </row>
    <row r="3653" spans="4:8" x14ac:dyDescent="0.25">
      <c r="D3653" s="4">
        <v>37028</v>
      </c>
      <c r="E3653" s="6">
        <v>28.57</v>
      </c>
      <c r="G3653" s="4"/>
      <c r="H3653" s="5"/>
    </row>
    <row r="3654" spans="4:8" x14ac:dyDescent="0.25">
      <c r="D3654" s="4">
        <v>37029</v>
      </c>
      <c r="E3654" s="6">
        <v>29.3</v>
      </c>
      <c r="G3654" s="4"/>
      <c r="H3654" s="5"/>
    </row>
    <row r="3655" spans="4:8" x14ac:dyDescent="0.25">
      <c r="D3655" s="4">
        <v>37032</v>
      </c>
      <c r="E3655" s="6">
        <v>29.8</v>
      </c>
      <c r="G3655" s="4"/>
      <c r="H3655" s="5"/>
    </row>
    <row r="3656" spans="4:8" x14ac:dyDescent="0.25">
      <c r="D3656" s="4">
        <v>37033</v>
      </c>
      <c r="E3656" s="6">
        <v>29.72</v>
      </c>
      <c r="G3656" s="4"/>
      <c r="H3656" s="5"/>
    </row>
    <row r="3657" spans="4:8" x14ac:dyDescent="0.25">
      <c r="D3657" s="4">
        <v>37034</v>
      </c>
      <c r="E3657" s="6">
        <v>29.51</v>
      </c>
      <c r="G3657" s="4"/>
      <c r="H3657" s="5"/>
    </row>
    <row r="3658" spans="4:8" x14ac:dyDescent="0.25">
      <c r="D3658" s="4">
        <v>37035</v>
      </c>
      <c r="E3658" s="6">
        <v>28.85</v>
      </c>
      <c r="G3658" s="4"/>
      <c r="H3658" s="5"/>
    </row>
    <row r="3659" spans="4:8" x14ac:dyDescent="0.25">
      <c r="D3659" s="4">
        <v>37036</v>
      </c>
      <c r="E3659" s="6">
        <v>28.69</v>
      </c>
      <c r="G3659" s="4"/>
      <c r="H3659" s="5"/>
    </row>
    <row r="3660" spans="4:8" x14ac:dyDescent="0.25">
      <c r="D3660" s="4">
        <v>37039</v>
      </c>
      <c r="E3660" s="5"/>
      <c r="G3660" s="4"/>
      <c r="H3660" s="5"/>
    </row>
    <row r="3661" spans="4:8" x14ac:dyDescent="0.25">
      <c r="D3661" s="4">
        <v>37040</v>
      </c>
      <c r="E3661" s="6">
        <v>29.11</v>
      </c>
      <c r="G3661" s="4"/>
      <c r="H3661" s="5"/>
    </row>
    <row r="3662" spans="4:8" x14ac:dyDescent="0.25">
      <c r="D3662" s="4">
        <v>37041</v>
      </c>
      <c r="E3662" s="6">
        <v>28.92</v>
      </c>
      <c r="G3662" s="4"/>
      <c r="H3662" s="5"/>
    </row>
    <row r="3663" spans="4:8" x14ac:dyDescent="0.25">
      <c r="D3663" s="4">
        <v>37042</v>
      </c>
      <c r="E3663" s="6">
        <v>28.55</v>
      </c>
      <c r="G3663" s="4"/>
      <c r="H3663" s="5"/>
    </row>
    <row r="3664" spans="4:8" x14ac:dyDescent="0.25">
      <c r="D3664" s="4">
        <v>37043</v>
      </c>
      <c r="E3664" s="6">
        <v>28.86</v>
      </c>
      <c r="G3664" s="4"/>
      <c r="H3664" s="5"/>
    </row>
    <row r="3665" spans="4:8" x14ac:dyDescent="0.25">
      <c r="D3665" s="4">
        <v>37046</v>
      </c>
      <c r="E3665" s="6">
        <v>28.95</v>
      </c>
      <c r="G3665" s="4"/>
      <c r="H3665" s="5"/>
    </row>
    <row r="3666" spans="4:8" x14ac:dyDescent="0.25">
      <c r="D3666" s="4">
        <v>37047</v>
      </c>
      <c r="E3666" s="6">
        <v>29.25</v>
      </c>
      <c r="G3666" s="4"/>
      <c r="H3666" s="5"/>
    </row>
    <row r="3667" spans="4:8" x14ac:dyDescent="0.25">
      <c r="D3667" s="4">
        <v>37048</v>
      </c>
      <c r="E3667" s="6">
        <v>28.73</v>
      </c>
      <c r="G3667" s="4"/>
      <c r="H3667" s="5"/>
    </row>
    <row r="3668" spans="4:8" x14ac:dyDescent="0.25">
      <c r="D3668" s="4">
        <v>37049</v>
      </c>
      <c r="E3668" s="6">
        <v>28.55</v>
      </c>
      <c r="G3668" s="4"/>
      <c r="H3668" s="5"/>
    </row>
    <row r="3669" spans="4:8" x14ac:dyDescent="0.25">
      <c r="D3669" s="4">
        <v>37050</v>
      </c>
      <c r="E3669" s="6">
        <v>28.88</v>
      </c>
      <c r="G3669" s="4"/>
      <c r="H3669" s="5"/>
    </row>
    <row r="3670" spans="4:8" x14ac:dyDescent="0.25">
      <c r="D3670" s="4">
        <v>37053</v>
      </c>
      <c r="E3670" s="6">
        <v>29.57</v>
      </c>
      <c r="G3670" s="4"/>
      <c r="H3670" s="5"/>
    </row>
    <row r="3671" spans="4:8" x14ac:dyDescent="0.25">
      <c r="D3671" s="4">
        <v>37054</v>
      </c>
      <c r="E3671" s="6">
        <v>29.03</v>
      </c>
      <c r="G3671" s="4"/>
      <c r="H3671" s="5"/>
    </row>
    <row r="3672" spans="4:8" x14ac:dyDescent="0.25">
      <c r="D3672" s="4">
        <v>37055</v>
      </c>
      <c r="E3672" s="6">
        <v>29.13</v>
      </c>
      <c r="G3672" s="4"/>
      <c r="H3672" s="5"/>
    </row>
    <row r="3673" spans="4:8" x14ac:dyDescent="0.25">
      <c r="D3673" s="4">
        <v>37056</v>
      </c>
      <c r="E3673" s="6">
        <v>28.5</v>
      </c>
      <c r="G3673" s="4"/>
      <c r="H3673" s="5"/>
    </row>
    <row r="3674" spans="4:8" x14ac:dyDescent="0.25">
      <c r="D3674" s="4">
        <v>37057</v>
      </c>
      <c r="E3674" s="6">
        <v>28.13</v>
      </c>
      <c r="G3674" s="4"/>
      <c r="H3674" s="5"/>
    </row>
    <row r="3675" spans="4:8" x14ac:dyDescent="0.25">
      <c r="D3675" s="4">
        <v>37060</v>
      </c>
      <c r="E3675" s="6">
        <v>27.61</v>
      </c>
      <c r="G3675" s="4"/>
      <c r="H3675" s="5"/>
    </row>
    <row r="3676" spans="4:8" x14ac:dyDescent="0.25">
      <c r="D3676" s="4">
        <v>37061</v>
      </c>
      <c r="E3676" s="6">
        <v>26.68</v>
      </c>
      <c r="G3676" s="4"/>
      <c r="H3676" s="5"/>
    </row>
    <row r="3677" spans="4:8" x14ac:dyDescent="0.25">
      <c r="D3677" s="4">
        <v>37062</v>
      </c>
      <c r="E3677" s="6">
        <v>26.24</v>
      </c>
      <c r="G3677" s="4"/>
      <c r="H3677" s="5"/>
    </row>
    <row r="3678" spans="4:8" x14ac:dyDescent="0.25">
      <c r="D3678" s="4">
        <v>37063</v>
      </c>
      <c r="E3678" s="6">
        <v>26.7</v>
      </c>
      <c r="G3678" s="4"/>
      <c r="H3678" s="5"/>
    </row>
    <row r="3679" spans="4:8" x14ac:dyDescent="0.25">
      <c r="D3679" s="4">
        <v>37064</v>
      </c>
      <c r="E3679" s="6">
        <v>26.86</v>
      </c>
      <c r="G3679" s="4"/>
      <c r="H3679" s="5"/>
    </row>
    <row r="3680" spans="4:8" x14ac:dyDescent="0.25">
      <c r="D3680" s="4">
        <v>37067</v>
      </c>
      <c r="E3680" s="6">
        <v>27.36</v>
      </c>
      <c r="G3680" s="4"/>
      <c r="H3680" s="5"/>
    </row>
    <row r="3681" spans="4:8" x14ac:dyDescent="0.25">
      <c r="D3681" s="4">
        <v>37068</v>
      </c>
      <c r="E3681" s="6">
        <v>27.66</v>
      </c>
      <c r="G3681" s="4"/>
      <c r="H3681" s="5"/>
    </row>
    <row r="3682" spans="4:8" x14ac:dyDescent="0.25">
      <c r="D3682" s="4">
        <v>37069</v>
      </c>
      <c r="E3682" s="6">
        <v>26.25</v>
      </c>
      <c r="G3682" s="4"/>
      <c r="H3682" s="5"/>
    </row>
    <row r="3683" spans="4:8" x14ac:dyDescent="0.25">
      <c r="D3683" s="4">
        <v>37070</v>
      </c>
      <c r="E3683" s="6">
        <v>25.68</v>
      </c>
      <c r="G3683" s="4"/>
      <c r="H3683" s="5"/>
    </row>
    <row r="3684" spans="4:8" x14ac:dyDescent="0.25">
      <c r="D3684" s="4">
        <v>37071</v>
      </c>
      <c r="E3684" s="6">
        <v>26.21</v>
      </c>
      <c r="G3684" s="4"/>
      <c r="H3684" s="5"/>
    </row>
    <row r="3685" spans="4:8" x14ac:dyDescent="0.25">
      <c r="D3685" s="4">
        <v>37074</v>
      </c>
      <c r="E3685" s="6">
        <v>25.73</v>
      </c>
      <c r="G3685" s="4"/>
      <c r="H3685" s="5"/>
    </row>
    <row r="3686" spans="4:8" x14ac:dyDescent="0.25">
      <c r="D3686" s="4">
        <v>37075</v>
      </c>
      <c r="E3686" s="6">
        <v>25.56</v>
      </c>
      <c r="G3686" s="4"/>
      <c r="H3686" s="5"/>
    </row>
    <row r="3687" spans="4:8" x14ac:dyDescent="0.25">
      <c r="D3687" s="4">
        <v>37076</v>
      </c>
      <c r="E3687" s="6">
        <v>25.97</v>
      </c>
      <c r="G3687" s="4"/>
      <c r="H3687" s="5"/>
    </row>
    <row r="3688" spans="4:8" x14ac:dyDescent="0.25">
      <c r="D3688" s="4">
        <v>37077</v>
      </c>
      <c r="E3688" s="6">
        <v>25.69</v>
      </c>
      <c r="G3688" s="4"/>
      <c r="H3688" s="5"/>
    </row>
    <row r="3689" spans="4:8" x14ac:dyDescent="0.25">
      <c r="D3689" s="4">
        <v>37078</v>
      </c>
      <c r="E3689" s="6">
        <v>26.55</v>
      </c>
      <c r="G3689" s="4"/>
      <c r="H3689" s="5"/>
    </row>
    <row r="3690" spans="4:8" x14ac:dyDescent="0.25">
      <c r="D3690" s="4">
        <v>37081</v>
      </c>
      <c r="E3690" s="6">
        <v>25.59</v>
      </c>
      <c r="G3690" s="4"/>
      <c r="H3690" s="5"/>
    </row>
    <row r="3691" spans="4:8" x14ac:dyDescent="0.25">
      <c r="D3691" s="4">
        <v>37082</v>
      </c>
      <c r="E3691" s="6">
        <v>24.69</v>
      </c>
      <c r="G3691" s="4"/>
      <c r="H3691" s="5"/>
    </row>
    <row r="3692" spans="4:8" x14ac:dyDescent="0.25">
      <c r="D3692" s="4">
        <v>37083</v>
      </c>
      <c r="E3692" s="6">
        <v>24.44</v>
      </c>
      <c r="G3692" s="4"/>
      <c r="H3692" s="5"/>
    </row>
    <row r="3693" spans="4:8" x14ac:dyDescent="0.25">
      <c r="D3693" s="4">
        <v>37084</v>
      </c>
      <c r="E3693" s="6">
        <v>23.62</v>
      </c>
      <c r="G3693" s="4"/>
      <c r="H3693" s="5"/>
    </row>
    <row r="3694" spans="4:8" x14ac:dyDescent="0.25">
      <c r="D3694" s="4">
        <v>37085</v>
      </c>
      <c r="E3694" s="6">
        <v>24.02</v>
      </c>
      <c r="G3694" s="4"/>
      <c r="H3694" s="5"/>
    </row>
    <row r="3695" spans="4:8" x14ac:dyDescent="0.25">
      <c r="D3695" s="4">
        <v>37088</v>
      </c>
      <c r="E3695" s="6">
        <v>23.58</v>
      </c>
      <c r="G3695" s="4"/>
      <c r="H3695" s="5"/>
    </row>
    <row r="3696" spans="4:8" x14ac:dyDescent="0.25">
      <c r="D3696" s="4">
        <v>37089</v>
      </c>
      <c r="E3696" s="6">
        <v>23.9</v>
      </c>
      <c r="G3696" s="4"/>
      <c r="H3696" s="5"/>
    </row>
    <row r="3697" spans="4:8" x14ac:dyDescent="0.25">
      <c r="D3697" s="4">
        <v>37090</v>
      </c>
      <c r="E3697" s="6">
        <v>23.1</v>
      </c>
      <c r="G3697" s="4"/>
      <c r="H3697" s="5"/>
    </row>
    <row r="3698" spans="4:8" x14ac:dyDescent="0.25">
      <c r="D3698" s="4">
        <v>37091</v>
      </c>
      <c r="E3698" s="6">
        <v>23.35</v>
      </c>
      <c r="G3698" s="4"/>
      <c r="H3698" s="5"/>
    </row>
    <row r="3699" spans="4:8" x14ac:dyDescent="0.25">
      <c r="D3699" s="4">
        <v>37092</v>
      </c>
      <c r="E3699" s="6">
        <v>23.43</v>
      </c>
      <c r="G3699" s="4"/>
      <c r="H3699" s="5"/>
    </row>
    <row r="3700" spans="4:8" x14ac:dyDescent="0.25">
      <c r="D3700" s="4">
        <v>37095</v>
      </c>
      <c r="E3700" s="6">
        <v>24.44</v>
      </c>
      <c r="G3700" s="4"/>
      <c r="H3700" s="5"/>
    </row>
    <row r="3701" spans="4:8" x14ac:dyDescent="0.25">
      <c r="D3701" s="4">
        <v>37096</v>
      </c>
      <c r="E3701" s="6">
        <v>24.37</v>
      </c>
      <c r="G3701" s="4"/>
      <c r="H3701" s="5"/>
    </row>
    <row r="3702" spans="4:8" x14ac:dyDescent="0.25">
      <c r="D3702" s="4">
        <v>37097</v>
      </c>
      <c r="E3702" s="6">
        <v>24.9</v>
      </c>
      <c r="G3702" s="4"/>
      <c r="H3702" s="5"/>
    </row>
    <row r="3703" spans="4:8" x14ac:dyDescent="0.25">
      <c r="D3703" s="4">
        <v>37098</v>
      </c>
      <c r="E3703" s="6">
        <v>24.94</v>
      </c>
      <c r="G3703" s="4"/>
      <c r="H3703" s="5"/>
    </row>
    <row r="3704" spans="4:8" x14ac:dyDescent="0.25">
      <c r="D3704" s="4">
        <v>37099</v>
      </c>
      <c r="E3704" s="6">
        <v>24.82</v>
      </c>
      <c r="G3704" s="4"/>
      <c r="H3704" s="5"/>
    </row>
    <row r="3705" spans="4:8" x14ac:dyDescent="0.25">
      <c r="D3705" s="4">
        <v>37102</v>
      </c>
      <c r="E3705" s="6">
        <v>24.46</v>
      </c>
      <c r="G3705" s="4"/>
      <c r="H3705" s="5"/>
    </row>
    <row r="3706" spans="4:8" x14ac:dyDescent="0.25">
      <c r="D3706" s="4">
        <v>37103</v>
      </c>
      <c r="E3706" s="6">
        <v>24.35</v>
      </c>
      <c r="G3706" s="4"/>
      <c r="H3706" s="5"/>
    </row>
    <row r="3707" spans="4:8" x14ac:dyDescent="0.25">
      <c r="D3707" s="4">
        <v>37104</v>
      </c>
      <c r="E3707" s="6">
        <v>24.23</v>
      </c>
      <c r="G3707" s="4"/>
      <c r="H3707" s="5"/>
    </row>
    <row r="3708" spans="4:8" x14ac:dyDescent="0.25">
      <c r="D3708" s="4">
        <v>37105</v>
      </c>
      <c r="E3708" s="6">
        <v>25.49</v>
      </c>
      <c r="G3708" s="4"/>
      <c r="H3708" s="5"/>
    </row>
    <row r="3709" spans="4:8" x14ac:dyDescent="0.25">
      <c r="D3709" s="4">
        <v>37106</v>
      </c>
      <c r="E3709" s="6">
        <v>25.6</v>
      </c>
      <c r="G3709" s="4"/>
      <c r="H3709" s="5"/>
    </row>
    <row r="3710" spans="4:8" x14ac:dyDescent="0.25">
      <c r="D3710" s="4">
        <v>37109</v>
      </c>
      <c r="E3710" s="6">
        <v>25.39</v>
      </c>
      <c r="G3710" s="4"/>
      <c r="H3710" s="5"/>
    </row>
    <row r="3711" spans="4:8" x14ac:dyDescent="0.25">
      <c r="D3711" s="4">
        <v>37110</v>
      </c>
      <c r="E3711" s="6">
        <v>25.94</v>
      </c>
      <c r="G3711" s="4"/>
      <c r="H3711" s="5"/>
    </row>
    <row r="3712" spans="4:8" x14ac:dyDescent="0.25">
      <c r="D3712" s="4">
        <v>37111</v>
      </c>
      <c r="E3712" s="6">
        <v>25.61</v>
      </c>
      <c r="G3712" s="4"/>
      <c r="H3712" s="5"/>
    </row>
    <row r="3713" spans="4:8" x14ac:dyDescent="0.25">
      <c r="D3713" s="4">
        <v>37112</v>
      </c>
      <c r="E3713" s="6">
        <v>25.28</v>
      </c>
      <c r="G3713" s="4"/>
      <c r="H3713" s="5"/>
    </row>
    <row r="3714" spans="4:8" x14ac:dyDescent="0.25">
      <c r="D3714" s="4">
        <v>37113</v>
      </c>
      <c r="E3714" s="6">
        <v>25.78</v>
      </c>
      <c r="G3714" s="4"/>
      <c r="H3714" s="5"/>
    </row>
    <row r="3715" spans="4:8" x14ac:dyDescent="0.25">
      <c r="D3715" s="4">
        <v>37116</v>
      </c>
      <c r="E3715" s="6">
        <v>25.88</v>
      </c>
      <c r="G3715" s="4"/>
      <c r="H3715" s="5"/>
    </row>
    <row r="3716" spans="4:8" x14ac:dyDescent="0.25">
      <c r="D3716" s="4">
        <v>37117</v>
      </c>
      <c r="E3716" s="6">
        <v>25.71</v>
      </c>
      <c r="G3716" s="4"/>
      <c r="H3716" s="5"/>
    </row>
    <row r="3717" spans="4:8" x14ac:dyDescent="0.25">
      <c r="D3717" s="4">
        <v>37118</v>
      </c>
      <c r="E3717" s="6">
        <v>25.61</v>
      </c>
      <c r="G3717" s="4"/>
      <c r="H3717" s="5"/>
    </row>
    <row r="3718" spans="4:8" x14ac:dyDescent="0.25">
      <c r="D3718" s="4">
        <v>37119</v>
      </c>
      <c r="E3718" s="6">
        <v>25.18</v>
      </c>
      <c r="G3718" s="4"/>
      <c r="H3718" s="5"/>
    </row>
    <row r="3719" spans="4:8" x14ac:dyDescent="0.25">
      <c r="D3719" s="4">
        <v>37120</v>
      </c>
      <c r="E3719" s="6">
        <v>24.68</v>
      </c>
      <c r="G3719" s="4"/>
      <c r="H3719" s="5"/>
    </row>
    <row r="3720" spans="4:8" x14ac:dyDescent="0.25">
      <c r="D3720" s="4">
        <v>37123</v>
      </c>
      <c r="E3720" s="6">
        <v>24.35</v>
      </c>
      <c r="G3720" s="4"/>
      <c r="H3720" s="5"/>
    </row>
    <row r="3721" spans="4:8" x14ac:dyDescent="0.25">
      <c r="D3721" s="4">
        <v>37124</v>
      </c>
      <c r="E3721" s="6">
        <v>25.36</v>
      </c>
      <c r="G3721" s="4"/>
      <c r="H3721" s="5"/>
    </row>
    <row r="3722" spans="4:8" x14ac:dyDescent="0.25">
      <c r="D3722" s="4">
        <v>37125</v>
      </c>
      <c r="E3722" s="6">
        <v>25.71</v>
      </c>
      <c r="G3722" s="4"/>
      <c r="H3722" s="5"/>
    </row>
    <row r="3723" spans="4:8" x14ac:dyDescent="0.25">
      <c r="D3723" s="4">
        <v>37126</v>
      </c>
      <c r="E3723" s="6">
        <v>25.66</v>
      </c>
      <c r="G3723" s="4"/>
      <c r="H3723" s="5"/>
    </row>
    <row r="3724" spans="4:8" x14ac:dyDescent="0.25">
      <c r="D3724" s="4">
        <v>37127</v>
      </c>
      <c r="E3724" s="6">
        <v>26.33</v>
      </c>
      <c r="G3724" s="4"/>
      <c r="H3724" s="5"/>
    </row>
    <row r="3725" spans="4:8" x14ac:dyDescent="0.25">
      <c r="D3725" s="4">
        <v>37130</v>
      </c>
      <c r="E3725" s="6">
        <v>26.22</v>
      </c>
      <c r="G3725" s="4"/>
      <c r="H3725" s="5"/>
    </row>
    <row r="3726" spans="4:8" x14ac:dyDescent="0.25">
      <c r="D3726" s="4">
        <v>37131</v>
      </c>
      <c r="E3726" s="6">
        <v>26.46</v>
      </c>
      <c r="G3726" s="4"/>
      <c r="H3726" s="5"/>
    </row>
    <row r="3727" spans="4:8" x14ac:dyDescent="0.25">
      <c r="D3727" s="4">
        <v>37132</v>
      </c>
      <c r="E3727" s="6">
        <v>26.67</v>
      </c>
      <c r="G3727" s="4"/>
      <c r="H3727" s="5"/>
    </row>
    <row r="3728" spans="4:8" x14ac:dyDescent="0.25">
      <c r="D3728" s="4">
        <v>37133</v>
      </c>
      <c r="E3728" s="6">
        <v>26.7</v>
      </c>
      <c r="G3728" s="4"/>
      <c r="H3728" s="5"/>
    </row>
    <row r="3729" spans="4:8" x14ac:dyDescent="0.25">
      <c r="D3729" s="4">
        <v>37134</v>
      </c>
      <c r="E3729" s="6">
        <v>26.8</v>
      </c>
      <c r="G3729" s="4"/>
      <c r="H3729" s="5"/>
    </row>
    <row r="3730" spans="4:8" x14ac:dyDescent="0.25">
      <c r="D3730" s="4">
        <v>37137</v>
      </c>
      <c r="E3730" s="6">
        <v>26.52</v>
      </c>
      <c r="G3730" s="4"/>
      <c r="H3730" s="5"/>
    </row>
    <row r="3731" spans="4:8" x14ac:dyDescent="0.25">
      <c r="D3731" s="4">
        <v>37138</v>
      </c>
      <c r="E3731" s="6">
        <v>26.27</v>
      </c>
      <c r="G3731" s="4"/>
      <c r="H3731" s="5"/>
    </row>
    <row r="3732" spans="4:8" x14ac:dyDescent="0.25">
      <c r="D3732" s="4">
        <v>37139</v>
      </c>
      <c r="E3732" s="6">
        <v>26.27</v>
      </c>
      <c r="G3732" s="4"/>
      <c r="H3732" s="5"/>
    </row>
    <row r="3733" spans="4:8" x14ac:dyDescent="0.25">
      <c r="D3733" s="4">
        <v>37140</v>
      </c>
      <c r="E3733" s="6">
        <v>26.61</v>
      </c>
      <c r="G3733" s="4"/>
      <c r="H3733" s="5"/>
    </row>
    <row r="3734" spans="4:8" x14ac:dyDescent="0.25">
      <c r="D3734" s="4">
        <v>37141</v>
      </c>
      <c r="E3734" s="6">
        <v>27.54</v>
      </c>
      <c r="G3734" s="4"/>
      <c r="H3734" s="5"/>
    </row>
    <row r="3735" spans="4:8" x14ac:dyDescent="0.25">
      <c r="D3735" s="4">
        <v>37144</v>
      </c>
      <c r="E3735" s="6">
        <v>27.59</v>
      </c>
      <c r="G3735" s="4"/>
      <c r="H3735" s="5"/>
    </row>
    <row r="3736" spans="4:8" x14ac:dyDescent="0.25">
      <c r="D3736" s="4">
        <v>37145</v>
      </c>
      <c r="E3736" s="6">
        <v>29.12</v>
      </c>
      <c r="G3736" s="4"/>
      <c r="H3736" s="5"/>
    </row>
    <row r="3737" spans="4:8" x14ac:dyDescent="0.25">
      <c r="D3737" s="4">
        <v>37146</v>
      </c>
      <c r="E3737" s="6">
        <v>28.24</v>
      </c>
      <c r="G3737" s="4"/>
      <c r="H3737" s="5"/>
    </row>
    <row r="3738" spans="4:8" x14ac:dyDescent="0.25">
      <c r="D3738" s="4">
        <v>37147</v>
      </c>
      <c r="E3738" s="6">
        <v>28.2</v>
      </c>
      <c r="G3738" s="4"/>
      <c r="H3738" s="5"/>
    </row>
    <row r="3739" spans="4:8" x14ac:dyDescent="0.25">
      <c r="D3739" s="4">
        <v>37148</v>
      </c>
      <c r="E3739" s="6">
        <v>29.22</v>
      </c>
      <c r="G3739" s="4"/>
      <c r="H3739" s="5"/>
    </row>
    <row r="3740" spans="4:8" x14ac:dyDescent="0.25">
      <c r="D3740" s="4">
        <v>37151</v>
      </c>
      <c r="E3740" s="6">
        <v>28.32</v>
      </c>
      <c r="G3740" s="4"/>
      <c r="H3740" s="5"/>
    </row>
    <row r="3741" spans="4:8" x14ac:dyDescent="0.25">
      <c r="D3741" s="4">
        <v>37152</v>
      </c>
      <c r="E3741" s="6">
        <v>27.54</v>
      </c>
      <c r="G3741" s="4"/>
      <c r="H3741" s="5"/>
    </row>
    <row r="3742" spans="4:8" x14ac:dyDescent="0.25">
      <c r="D3742" s="4">
        <v>37153</v>
      </c>
      <c r="E3742" s="6">
        <v>25.44</v>
      </c>
      <c r="G3742" s="4"/>
      <c r="H3742" s="5"/>
    </row>
    <row r="3743" spans="4:8" x14ac:dyDescent="0.25">
      <c r="D3743" s="4">
        <v>37154</v>
      </c>
      <c r="E3743" s="6">
        <v>25.57</v>
      </c>
      <c r="G3743" s="4"/>
      <c r="H3743" s="5"/>
    </row>
    <row r="3744" spans="4:8" x14ac:dyDescent="0.25">
      <c r="D3744" s="4">
        <v>37155</v>
      </c>
      <c r="E3744" s="6">
        <v>25.17</v>
      </c>
      <c r="G3744" s="4"/>
      <c r="H3744" s="5"/>
    </row>
    <row r="3745" spans="4:8" x14ac:dyDescent="0.25">
      <c r="D3745" s="4">
        <v>37158</v>
      </c>
      <c r="E3745" s="6">
        <v>20.63</v>
      </c>
      <c r="G3745" s="4"/>
      <c r="H3745" s="5"/>
    </row>
    <row r="3746" spans="4:8" x14ac:dyDescent="0.25">
      <c r="D3746" s="4">
        <v>37159</v>
      </c>
      <c r="E3746" s="6">
        <v>20.13</v>
      </c>
      <c r="G3746" s="4"/>
      <c r="H3746" s="5"/>
    </row>
    <row r="3747" spans="4:8" x14ac:dyDescent="0.25">
      <c r="D3747" s="4">
        <v>37160</v>
      </c>
      <c r="E3747" s="6">
        <v>20.67</v>
      </c>
      <c r="G3747" s="4"/>
      <c r="H3747" s="5"/>
    </row>
    <row r="3748" spans="4:8" x14ac:dyDescent="0.25">
      <c r="D3748" s="4">
        <v>37161</v>
      </c>
      <c r="E3748" s="6">
        <v>21.47</v>
      </c>
      <c r="G3748" s="4"/>
      <c r="H3748" s="5"/>
    </row>
    <row r="3749" spans="4:8" x14ac:dyDescent="0.25">
      <c r="D3749" s="4">
        <v>37162</v>
      </c>
      <c r="E3749" s="6">
        <v>21.87</v>
      </c>
      <c r="G3749" s="4"/>
      <c r="H3749" s="5"/>
    </row>
    <row r="3750" spans="4:8" x14ac:dyDescent="0.25">
      <c r="D3750" s="4">
        <v>37165</v>
      </c>
      <c r="E3750" s="6">
        <v>21.22</v>
      </c>
      <c r="G3750" s="4"/>
      <c r="H3750" s="5"/>
    </row>
    <row r="3751" spans="4:8" x14ac:dyDescent="0.25">
      <c r="D3751" s="4">
        <v>37166</v>
      </c>
      <c r="E3751" s="6">
        <v>21.29</v>
      </c>
      <c r="G3751" s="4"/>
      <c r="H3751" s="5"/>
    </row>
    <row r="3752" spans="4:8" x14ac:dyDescent="0.25">
      <c r="D3752" s="4">
        <v>37167</v>
      </c>
      <c r="E3752" s="6">
        <v>20.63</v>
      </c>
      <c r="G3752" s="4"/>
      <c r="H3752" s="5"/>
    </row>
    <row r="3753" spans="4:8" x14ac:dyDescent="0.25">
      <c r="D3753" s="4">
        <v>37168</v>
      </c>
      <c r="E3753" s="6">
        <v>20.94</v>
      </c>
      <c r="G3753" s="4"/>
      <c r="H3753" s="5"/>
    </row>
    <row r="3754" spans="4:8" x14ac:dyDescent="0.25">
      <c r="D3754" s="4">
        <v>37169</v>
      </c>
      <c r="E3754" s="6">
        <v>21.46</v>
      </c>
      <c r="G3754" s="4"/>
      <c r="H3754" s="5"/>
    </row>
    <row r="3755" spans="4:8" x14ac:dyDescent="0.25">
      <c r="D3755" s="4">
        <v>37172</v>
      </c>
      <c r="E3755" s="6">
        <v>20.91</v>
      </c>
      <c r="G3755" s="4"/>
      <c r="H3755" s="5"/>
    </row>
    <row r="3756" spans="4:8" x14ac:dyDescent="0.25">
      <c r="D3756" s="4">
        <v>37173</v>
      </c>
      <c r="E3756" s="6">
        <v>20.65</v>
      </c>
      <c r="G3756" s="4"/>
      <c r="H3756" s="5"/>
    </row>
    <row r="3757" spans="4:8" x14ac:dyDescent="0.25">
      <c r="D3757" s="4">
        <v>37174</v>
      </c>
      <c r="E3757" s="6">
        <v>21.02</v>
      </c>
      <c r="G3757" s="4"/>
      <c r="H3757" s="5"/>
    </row>
    <row r="3758" spans="4:8" x14ac:dyDescent="0.25">
      <c r="D3758" s="4">
        <v>37175</v>
      </c>
      <c r="E3758" s="6">
        <v>21.38</v>
      </c>
      <c r="G3758" s="4"/>
      <c r="H3758" s="5"/>
    </row>
    <row r="3759" spans="4:8" x14ac:dyDescent="0.25">
      <c r="D3759" s="4">
        <v>37176</v>
      </c>
      <c r="E3759" s="6">
        <v>20.57</v>
      </c>
      <c r="G3759" s="4"/>
      <c r="H3759" s="5"/>
    </row>
    <row r="3760" spans="4:8" x14ac:dyDescent="0.25">
      <c r="D3760" s="4">
        <v>37179</v>
      </c>
      <c r="E3760" s="6">
        <v>20.36</v>
      </c>
      <c r="G3760" s="4"/>
      <c r="H3760" s="5"/>
    </row>
    <row r="3761" spans="4:8" x14ac:dyDescent="0.25">
      <c r="D3761" s="4">
        <v>37180</v>
      </c>
      <c r="E3761" s="6">
        <v>20.47</v>
      </c>
      <c r="G3761" s="4"/>
      <c r="H3761" s="5"/>
    </row>
    <row r="3762" spans="4:8" x14ac:dyDescent="0.25">
      <c r="D3762" s="4">
        <v>37181</v>
      </c>
      <c r="E3762" s="6">
        <v>19.47</v>
      </c>
      <c r="G3762" s="4"/>
      <c r="H3762" s="5"/>
    </row>
    <row r="3763" spans="4:8" x14ac:dyDescent="0.25">
      <c r="D3763" s="4">
        <v>37182</v>
      </c>
      <c r="E3763" s="6">
        <v>19.21</v>
      </c>
      <c r="G3763" s="4"/>
      <c r="H3763" s="5"/>
    </row>
    <row r="3764" spans="4:8" x14ac:dyDescent="0.25">
      <c r="D3764" s="4">
        <v>37183</v>
      </c>
      <c r="E3764" s="6">
        <v>19.91</v>
      </c>
      <c r="G3764" s="4"/>
      <c r="H3764" s="5"/>
    </row>
    <row r="3765" spans="4:8" x14ac:dyDescent="0.25">
      <c r="D3765" s="4">
        <v>37186</v>
      </c>
      <c r="E3765" s="6">
        <v>20.38</v>
      </c>
      <c r="G3765" s="4"/>
      <c r="H3765" s="5"/>
    </row>
    <row r="3766" spans="4:8" x14ac:dyDescent="0.25">
      <c r="D3766" s="4">
        <v>37187</v>
      </c>
      <c r="E3766" s="6">
        <v>20.56</v>
      </c>
      <c r="G3766" s="4"/>
      <c r="H3766" s="5"/>
    </row>
    <row r="3767" spans="4:8" x14ac:dyDescent="0.25">
      <c r="D3767" s="4">
        <v>37188</v>
      </c>
      <c r="E3767" s="6">
        <v>20.37</v>
      </c>
      <c r="G3767" s="4"/>
      <c r="H3767" s="5"/>
    </row>
    <row r="3768" spans="4:8" x14ac:dyDescent="0.25">
      <c r="D3768" s="4">
        <v>37189</v>
      </c>
      <c r="E3768" s="6">
        <v>20.67</v>
      </c>
      <c r="G3768" s="4"/>
      <c r="H3768" s="5"/>
    </row>
    <row r="3769" spans="4:8" x14ac:dyDescent="0.25">
      <c r="D3769" s="4">
        <v>37190</v>
      </c>
      <c r="E3769" s="6">
        <v>20.309999999999999</v>
      </c>
      <c r="G3769" s="4"/>
      <c r="H3769" s="5"/>
    </row>
    <row r="3770" spans="4:8" x14ac:dyDescent="0.25">
      <c r="D3770" s="4">
        <v>37193</v>
      </c>
      <c r="E3770" s="6">
        <v>20.55</v>
      </c>
      <c r="G3770" s="4"/>
      <c r="H3770" s="5"/>
    </row>
    <row r="3771" spans="4:8" x14ac:dyDescent="0.25">
      <c r="D3771" s="4">
        <v>37194</v>
      </c>
      <c r="E3771" s="6">
        <v>20.41</v>
      </c>
      <c r="G3771" s="4"/>
      <c r="H3771" s="5"/>
    </row>
    <row r="3772" spans="4:8" x14ac:dyDescent="0.25">
      <c r="D3772" s="4">
        <v>37195</v>
      </c>
      <c r="E3772" s="6">
        <v>19.63</v>
      </c>
      <c r="G3772" s="4"/>
      <c r="H3772" s="5"/>
    </row>
    <row r="3773" spans="4:8" x14ac:dyDescent="0.25">
      <c r="D3773" s="4">
        <v>37196</v>
      </c>
      <c r="E3773" s="6">
        <v>19.39</v>
      </c>
      <c r="G3773" s="4"/>
      <c r="H3773" s="5"/>
    </row>
    <row r="3774" spans="4:8" x14ac:dyDescent="0.25">
      <c r="D3774" s="4">
        <v>37197</v>
      </c>
      <c r="E3774" s="6">
        <v>18.63</v>
      </c>
      <c r="G3774" s="4"/>
      <c r="H3774" s="5"/>
    </row>
    <row r="3775" spans="4:8" x14ac:dyDescent="0.25">
      <c r="D3775" s="4">
        <v>37200</v>
      </c>
      <c r="E3775" s="6">
        <v>18.78</v>
      </c>
      <c r="G3775" s="4"/>
      <c r="H3775" s="5"/>
    </row>
    <row r="3776" spans="4:8" x14ac:dyDescent="0.25">
      <c r="D3776" s="4">
        <v>37201</v>
      </c>
      <c r="E3776" s="6">
        <v>18.64</v>
      </c>
      <c r="G3776" s="4"/>
      <c r="H3776" s="5"/>
    </row>
    <row r="3777" spans="4:8" x14ac:dyDescent="0.25">
      <c r="D3777" s="4">
        <v>37202</v>
      </c>
      <c r="E3777" s="6">
        <v>18.86</v>
      </c>
      <c r="G3777" s="4"/>
      <c r="H3777" s="5"/>
    </row>
    <row r="3778" spans="4:8" x14ac:dyDescent="0.25">
      <c r="D3778" s="4">
        <v>37203</v>
      </c>
      <c r="E3778" s="6">
        <v>19.54</v>
      </c>
      <c r="G3778" s="4"/>
      <c r="H3778" s="5"/>
    </row>
    <row r="3779" spans="4:8" x14ac:dyDescent="0.25">
      <c r="D3779" s="4">
        <v>37204</v>
      </c>
      <c r="E3779" s="6">
        <v>20.72</v>
      </c>
      <c r="G3779" s="4"/>
      <c r="H3779" s="5"/>
    </row>
    <row r="3780" spans="4:8" x14ac:dyDescent="0.25">
      <c r="D3780" s="4">
        <v>37207</v>
      </c>
      <c r="E3780" s="6">
        <v>19.48</v>
      </c>
      <c r="G3780" s="4"/>
      <c r="H3780" s="5"/>
    </row>
    <row r="3781" spans="4:8" x14ac:dyDescent="0.25">
      <c r="D3781" s="4">
        <v>37208</v>
      </c>
      <c r="E3781" s="6">
        <v>20.47</v>
      </c>
      <c r="G3781" s="4"/>
      <c r="H3781" s="5"/>
    </row>
    <row r="3782" spans="4:8" x14ac:dyDescent="0.25">
      <c r="D3782" s="4">
        <v>37209</v>
      </c>
      <c r="E3782" s="6">
        <v>18.78</v>
      </c>
      <c r="G3782" s="4"/>
      <c r="H3782" s="5"/>
    </row>
    <row r="3783" spans="4:8" x14ac:dyDescent="0.25">
      <c r="D3783" s="4">
        <v>37210</v>
      </c>
      <c r="E3783" s="6">
        <v>16.510000000000002</v>
      </c>
      <c r="G3783" s="4"/>
      <c r="H3783" s="5"/>
    </row>
    <row r="3784" spans="4:8" x14ac:dyDescent="0.25">
      <c r="D3784" s="4">
        <v>37211</v>
      </c>
      <c r="E3784" s="6">
        <v>16.86</v>
      </c>
      <c r="G3784" s="4"/>
      <c r="H3784" s="5"/>
    </row>
    <row r="3785" spans="4:8" x14ac:dyDescent="0.25">
      <c r="D3785" s="4">
        <v>37214</v>
      </c>
      <c r="E3785" s="6">
        <v>16.55</v>
      </c>
      <c r="G3785" s="4"/>
      <c r="H3785" s="5"/>
    </row>
    <row r="3786" spans="4:8" x14ac:dyDescent="0.25">
      <c r="D3786" s="4">
        <v>37215</v>
      </c>
      <c r="E3786" s="6">
        <v>18.82</v>
      </c>
      <c r="G3786" s="4"/>
      <c r="H3786" s="5"/>
    </row>
    <row r="3787" spans="4:8" x14ac:dyDescent="0.25">
      <c r="D3787" s="4">
        <v>37216</v>
      </c>
      <c r="E3787" s="6">
        <v>18.440000000000001</v>
      </c>
      <c r="G3787" s="4"/>
      <c r="H3787" s="5"/>
    </row>
    <row r="3788" spans="4:8" x14ac:dyDescent="0.25">
      <c r="D3788" s="4">
        <v>37217</v>
      </c>
      <c r="E3788" s="6">
        <v>19.649999999999999</v>
      </c>
      <c r="G3788" s="4"/>
      <c r="H3788" s="5"/>
    </row>
    <row r="3789" spans="4:8" x14ac:dyDescent="0.25">
      <c r="D3789" s="4">
        <v>37218</v>
      </c>
      <c r="E3789" s="6">
        <v>19.399999999999999</v>
      </c>
      <c r="G3789" s="4"/>
      <c r="H3789" s="5"/>
    </row>
    <row r="3790" spans="4:8" x14ac:dyDescent="0.25">
      <c r="D3790" s="4">
        <v>37221</v>
      </c>
      <c r="E3790" s="6">
        <v>18.66</v>
      </c>
      <c r="G3790" s="4"/>
      <c r="H3790" s="5"/>
    </row>
    <row r="3791" spans="4:8" x14ac:dyDescent="0.25">
      <c r="D3791" s="4">
        <v>37222</v>
      </c>
      <c r="E3791" s="6">
        <v>19.09</v>
      </c>
      <c r="G3791" s="4"/>
      <c r="H3791" s="5"/>
    </row>
    <row r="3792" spans="4:8" x14ac:dyDescent="0.25">
      <c r="D3792" s="4">
        <v>37223</v>
      </c>
      <c r="E3792" s="6">
        <v>18.809999999999999</v>
      </c>
      <c r="G3792" s="4"/>
      <c r="H3792" s="5"/>
    </row>
    <row r="3793" spans="4:8" x14ac:dyDescent="0.25">
      <c r="D3793" s="4">
        <v>37224</v>
      </c>
      <c r="E3793" s="6">
        <v>18.54</v>
      </c>
      <c r="G3793" s="4"/>
      <c r="H3793" s="5"/>
    </row>
    <row r="3794" spans="4:8" x14ac:dyDescent="0.25">
      <c r="D3794" s="4">
        <v>37225</v>
      </c>
      <c r="E3794" s="6">
        <v>18.920000000000002</v>
      </c>
      <c r="G3794" s="4"/>
      <c r="H3794" s="5"/>
    </row>
    <row r="3795" spans="4:8" x14ac:dyDescent="0.25">
      <c r="D3795" s="4">
        <v>37228</v>
      </c>
      <c r="E3795" s="6">
        <v>20</v>
      </c>
      <c r="G3795" s="4"/>
      <c r="H3795" s="5"/>
    </row>
    <row r="3796" spans="4:8" x14ac:dyDescent="0.25">
      <c r="D3796" s="4">
        <v>37229</v>
      </c>
      <c r="E3796" s="6">
        <v>19.28</v>
      </c>
      <c r="G3796" s="4"/>
      <c r="H3796" s="5"/>
    </row>
    <row r="3797" spans="4:8" x14ac:dyDescent="0.25">
      <c r="D3797" s="4">
        <v>37230</v>
      </c>
      <c r="E3797" s="6">
        <v>19.27</v>
      </c>
      <c r="G3797" s="4"/>
      <c r="H3797" s="5"/>
    </row>
    <row r="3798" spans="4:8" x14ac:dyDescent="0.25">
      <c r="D3798" s="4">
        <v>37231</v>
      </c>
      <c r="E3798" s="6">
        <v>18.57</v>
      </c>
      <c r="G3798" s="4"/>
      <c r="H3798" s="5"/>
    </row>
    <row r="3799" spans="4:8" x14ac:dyDescent="0.25">
      <c r="D3799" s="4">
        <v>37232</v>
      </c>
      <c r="E3799" s="6">
        <v>17.809999999999999</v>
      </c>
      <c r="G3799" s="4"/>
      <c r="H3799" s="5"/>
    </row>
    <row r="3800" spans="4:8" x14ac:dyDescent="0.25">
      <c r="D3800" s="4">
        <v>37235</v>
      </c>
      <c r="E3800" s="6">
        <v>18.03</v>
      </c>
      <c r="G3800" s="4"/>
      <c r="H3800" s="5"/>
    </row>
    <row r="3801" spans="4:8" x14ac:dyDescent="0.25">
      <c r="D3801" s="4">
        <v>37236</v>
      </c>
      <c r="E3801" s="6">
        <v>17.61</v>
      </c>
      <c r="G3801" s="4"/>
      <c r="H3801" s="5"/>
    </row>
    <row r="3802" spans="4:8" x14ac:dyDescent="0.25">
      <c r="D3802" s="4">
        <v>37237</v>
      </c>
      <c r="E3802" s="6">
        <v>18.13</v>
      </c>
      <c r="G3802" s="4"/>
      <c r="H3802" s="5"/>
    </row>
    <row r="3803" spans="4:8" x14ac:dyDescent="0.25">
      <c r="D3803" s="4">
        <v>37238</v>
      </c>
      <c r="E3803" s="6">
        <v>17.8</v>
      </c>
      <c r="G3803" s="4"/>
      <c r="H3803" s="5"/>
    </row>
    <row r="3804" spans="4:8" x14ac:dyDescent="0.25">
      <c r="D3804" s="4">
        <v>37239</v>
      </c>
      <c r="E3804" s="6">
        <v>18.54</v>
      </c>
      <c r="G3804" s="4"/>
      <c r="H3804" s="5"/>
    </row>
    <row r="3805" spans="4:8" x14ac:dyDescent="0.25">
      <c r="D3805" s="4">
        <v>37242</v>
      </c>
      <c r="E3805" s="6">
        <v>18.579999999999998</v>
      </c>
      <c r="G3805" s="4"/>
      <c r="H3805" s="5"/>
    </row>
    <row r="3806" spans="4:8" x14ac:dyDescent="0.25">
      <c r="D3806" s="4">
        <v>37243</v>
      </c>
      <c r="E3806" s="6">
        <v>18.510000000000002</v>
      </c>
      <c r="G3806" s="4"/>
      <c r="H3806" s="5"/>
    </row>
    <row r="3807" spans="4:8" x14ac:dyDescent="0.25">
      <c r="D3807" s="4">
        <v>37244</v>
      </c>
      <c r="E3807" s="6">
        <v>19.03</v>
      </c>
      <c r="G3807" s="4"/>
      <c r="H3807" s="5"/>
    </row>
    <row r="3808" spans="4:8" x14ac:dyDescent="0.25">
      <c r="D3808" s="4">
        <v>37245</v>
      </c>
      <c r="E3808" s="6">
        <v>18.87</v>
      </c>
      <c r="G3808" s="4"/>
      <c r="H3808" s="5"/>
    </row>
    <row r="3809" spans="4:8" x14ac:dyDescent="0.25">
      <c r="D3809" s="4">
        <v>37246</v>
      </c>
      <c r="E3809" s="6">
        <v>18.73</v>
      </c>
      <c r="G3809" s="4"/>
      <c r="H3809" s="5"/>
    </row>
    <row r="3810" spans="4:8" x14ac:dyDescent="0.25">
      <c r="D3810" s="4">
        <v>37249</v>
      </c>
      <c r="E3810" s="6">
        <v>18.649999999999999</v>
      </c>
      <c r="G3810" s="4"/>
      <c r="H3810" s="5"/>
    </row>
    <row r="3811" spans="4:8" x14ac:dyDescent="0.25">
      <c r="D3811" s="4">
        <v>37250</v>
      </c>
      <c r="E3811" s="5"/>
      <c r="G3811" s="4"/>
      <c r="H3811" s="5"/>
    </row>
    <row r="3812" spans="4:8" x14ac:dyDescent="0.25">
      <c r="D3812" s="4">
        <v>37251</v>
      </c>
      <c r="E3812" s="5"/>
      <c r="G3812" s="4"/>
      <c r="H3812" s="5"/>
    </row>
    <row r="3813" spans="4:8" x14ac:dyDescent="0.25">
      <c r="D3813" s="4">
        <v>37252</v>
      </c>
      <c r="E3813" s="6">
        <v>18.87</v>
      </c>
      <c r="G3813" s="4"/>
      <c r="H3813" s="5"/>
    </row>
    <row r="3814" spans="4:8" x14ac:dyDescent="0.25">
      <c r="D3814" s="4">
        <v>37253</v>
      </c>
      <c r="E3814" s="6">
        <v>19.77</v>
      </c>
      <c r="G3814" s="4"/>
      <c r="H3814" s="5"/>
    </row>
    <row r="3815" spans="4:8" x14ac:dyDescent="0.25">
      <c r="D3815" s="4">
        <v>37256</v>
      </c>
      <c r="E3815" s="6">
        <v>19.350000000000001</v>
      </c>
      <c r="G3815" s="4"/>
      <c r="H3815" s="5"/>
    </row>
    <row r="3816" spans="4:8" x14ac:dyDescent="0.25">
      <c r="D3816" s="4">
        <v>37257</v>
      </c>
      <c r="E3816" s="5"/>
      <c r="G3816" s="4"/>
      <c r="H3816" s="5"/>
    </row>
    <row r="3817" spans="4:8" x14ac:dyDescent="0.25">
      <c r="D3817" s="4">
        <v>37258</v>
      </c>
      <c r="E3817" s="6">
        <v>20.13</v>
      </c>
      <c r="G3817" s="4"/>
      <c r="H3817" s="5"/>
    </row>
    <row r="3818" spans="4:8" x14ac:dyDescent="0.25">
      <c r="D3818" s="4">
        <v>37259</v>
      </c>
      <c r="E3818" s="6">
        <v>20.47</v>
      </c>
      <c r="G3818" s="4"/>
      <c r="H3818" s="5"/>
    </row>
    <row r="3819" spans="4:8" x14ac:dyDescent="0.25">
      <c r="D3819" s="4">
        <v>37260</v>
      </c>
      <c r="E3819" s="6">
        <v>21.2</v>
      </c>
      <c r="G3819" s="4"/>
      <c r="H3819" s="5"/>
    </row>
    <row r="3820" spans="4:8" x14ac:dyDescent="0.25">
      <c r="D3820" s="4">
        <v>37263</v>
      </c>
      <c r="E3820" s="6">
        <v>21.08</v>
      </c>
      <c r="G3820" s="4"/>
      <c r="H3820" s="5"/>
    </row>
    <row r="3821" spans="4:8" x14ac:dyDescent="0.25">
      <c r="D3821" s="4">
        <v>37264</v>
      </c>
      <c r="E3821" s="6">
        <v>21.03</v>
      </c>
      <c r="G3821" s="4"/>
      <c r="H3821" s="5"/>
    </row>
    <row r="3822" spans="4:8" x14ac:dyDescent="0.25">
      <c r="D3822" s="4">
        <v>37265</v>
      </c>
      <c r="E3822" s="6">
        <v>20.21</v>
      </c>
      <c r="G3822" s="4"/>
      <c r="H3822" s="5"/>
    </row>
    <row r="3823" spans="4:8" x14ac:dyDescent="0.25">
      <c r="D3823" s="4">
        <v>37266</v>
      </c>
      <c r="E3823" s="6">
        <v>19.71</v>
      </c>
      <c r="G3823" s="4"/>
      <c r="H3823" s="5"/>
    </row>
    <row r="3824" spans="4:8" x14ac:dyDescent="0.25">
      <c r="D3824" s="4">
        <v>37267</v>
      </c>
      <c r="E3824" s="6">
        <v>20.079999999999998</v>
      </c>
      <c r="G3824" s="4"/>
      <c r="H3824" s="5"/>
    </row>
    <row r="3825" spans="4:8" x14ac:dyDescent="0.25">
      <c r="D3825" s="4">
        <v>37270</v>
      </c>
      <c r="E3825" s="6">
        <v>18.89</v>
      </c>
      <c r="G3825" s="4"/>
      <c r="H3825" s="5"/>
    </row>
    <row r="3826" spans="4:8" x14ac:dyDescent="0.25">
      <c r="D3826" s="4">
        <v>37271</v>
      </c>
      <c r="E3826" s="6">
        <v>18.86</v>
      </c>
      <c r="G3826" s="4"/>
      <c r="H3826" s="5"/>
    </row>
    <row r="3827" spans="4:8" x14ac:dyDescent="0.25">
      <c r="D3827" s="4">
        <v>37272</v>
      </c>
      <c r="E3827" s="6">
        <v>18.5</v>
      </c>
      <c r="G3827" s="4"/>
      <c r="H3827" s="5"/>
    </row>
    <row r="3828" spans="4:8" x14ac:dyDescent="0.25">
      <c r="D3828" s="4">
        <v>37273</v>
      </c>
      <c r="E3828" s="6">
        <v>18.2</v>
      </c>
      <c r="G3828" s="4"/>
      <c r="H3828" s="5"/>
    </row>
    <row r="3829" spans="4:8" x14ac:dyDescent="0.25">
      <c r="D3829" s="4">
        <v>37274</v>
      </c>
      <c r="E3829" s="6">
        <v>18.170000000000002</v>
      </c>
      <c r="G3829" s="4"/>
      <c r="H3829" s="5"/>
    </row>
    <row r="3830" spans="4:8" x14ac:dyDescent="0.25">
      <c r="D3830" s="4">
        <v>37277</v>
      </c>
      <c r="E3830" s="6">
        <v>18.32</v>
      </c>
      <c r="G3830" s="4"/>
      <c r="H3830" s="5"/>
    </row>
    <row r="3831" spans="4:8" x14ac:dyDescent="0.25">
      <c r="D3831" s="4">
        <v>37278</v>
      </c>
      <c r="E3831" s="6">
        <v>18.7</v>
      </c>
      <c r="G3831" s="4"/>
      <c r="H3831" s="5"/>
    </row>
    <row r="3832" spans="4:8" x14ac:dyDescent="0.25">
      <c r="D3832" s="4">
        <v>37279</v>
      </c>
      <c r="E3832" s="6">
        <v>18.89</v>
      </c>
      <c r="G3832" s="4"/>
      <c r="H3832" s="5"/>
    </row>
    <row r="3833" spans="4:8" x14ac:dyDescent="0.25">
      <c r="D3833" s="4">
        <v>37280</v>
      </c>
      <c r="E3833" s="6">
        <v>18.91</v>
      </c>
      <c r="G3833" s="4"/>
      <c r="H3833" s="5"/>
    </row>
    <row r="3834" spans="4:8" x14ac:dyDescent="0.25">
      <c r="D3834" s="4">
        <v>37281</v>
      </c>
      <c r="E3834" s="6">
        <v>19.04</v>
      </c>
      <c r="G3834" s="4"/>
      <c r="H3834" s="5"/>
    </row>
    <row r="3835" spans="4:8" x14ac:dyDescent="0.25">
      <c r="D3835" s="4">
        <v>37284</v>
      </c>
      <c r="E3835" s="6">
        <v>19.739999999999998</v>
      </c>
      <c r="G3835" s="4"/>
      <c r="H3835" s="5"/>
    </row>
    <row r="3836" spans="4:8" x14ac:dyDescent="0.25">
      <c r="D3836" s="4">
        <v>37285</v>
      </c>
      <c r="E3836" s="6">
        <v>19.260000000000002</v>
      </c>
      <c r="G3836" s="4"/>
      <c r="H3836" s="5"/>
    </row>
    <row r="3837" spans="4:8" x14ac:dyDescent="0.25">
      <c r="D3837" s="4">
        <v>37286</v>
      </c>
      <c r="E3837" s="6">
        <v>18.71</v>
      </c>
      <c r="G3837" s="4"/>
      <c r="H3837" s="5"/>
    </row>
    <row r="3838" spans="4:8" x14ac:dyDescent="0.25">
      <c r="D3838" s="4">
        <v>37287</v>
      </c>
      <c r="E3838" s="6">
        <v>19.07</v>
      </c>
      <c r="G3838" s="4"/>
      <c r="H3838" s="5"/>
    </row>
    <row r="3839" spans="4:8" x14ac:dyDescent="0.25">
      <c r="D3839" s="4">
        <v>37288</v>
      </c>
      <c r="E3839" s="6">
        <v>19.7</v>
      </c>
      <c r="G3839" s="4"/>
      <c r="H3839" s="5"/>
    </row>
    <row r="3840" spans="4:8" x14ac:dyDescent="0.25">
      <c r="D3840" s="4">
        <v>37291</v>
      </c>
      <c r="E3840" s="6">
        <v>20.260000000000002</v>
      </c>
      <c r="G3840" s="4"/>
      <c r="H3840" s="5"/>
    </row>
    <row r="3841" spans="4:8" x14ac:dyDescent="0.25">
      <c r="D3841" s="4">
        <v>37292</v>
      </c>
      <c r="E3841" s="6">
        <v>19.899999999999999</v>
      </c>
      <c r="G3841" s="4"/>
      <c r="H3841" s="5"/>
    </row>
    <row r="3842" spans="4:8" x14ac:dyDescent="0.25">
      <c r="D3842" s="4">
        <v>37293</v>
      </c>
      <c r="E3842" s="6">
        <v>19.97</v>
      </c>
      <c r="G3842" s="4"/>
      <c r="H3842" s="5"/>
    </row>
    <row r="3843" spans="4:8" x14ac:dyDescent="0.25">
      <c r="D3843" s="4">
        <v>37294</v>
      </c>
      <c r="E3843" s="6">
        <v>19.420000000000002</v>
      </c>
      <c r="G3843" s="4"/>
      <c r="H3843" s="5"/>
    </row>
    <row r="3844" spans="4:8" x14ac:dyDescent="0.25">
      <c r="D3844" s="4">
        <v>37295</v>
      </c>
      <c r="E3844" s="6">
        <v>20.010000000000002</v>
      </c>
      <c r="G3844" s="4"/>
      <c r="H3844" s="5"/>
    </row>
    <row r="3845" spans="4:8" x14ac:dyDescent="0.25">
      <c r="D3845" s="4">
        <v>37298</v>
      </c>
      <c r="E3845" s="6">
        <v>20.079999999999998</v>
      </c>
      <c r="G3845" s="4"/>
      <c r="H3845" s="5"/>
    </row>
    <row r="3846" spans="4:8" x14ac:dyDescent="0.25">
      <c r="D3846" s="4">
        <v>37299</v>
      </c>
      <c r="E3846" s="6">
        <v>21.75</v>
      </c>
      <c r="G3846" s="4"/>
      <c r="H3846" s="5"/>
    </row>
    <row r="3847" spans="4:8" x14ac:dyDescent="0.25">
      <c r="D3847" s="4">
        <v>37300</v>
      </c>
      <c r="E3847" s="6">
        <v>21.41</v>
      </c>
      <c r="G3847" s="4"/>
      <c r="H3847" s="5"/>
    </row>
    <row r="3848" spans="4:8" x14ac:dyDescent="0.25">
      <c r="D3848" s="4">
        <v>37301</v>
      </c>
      <c r="E3848" s="6">
        <v>20.97</v>
      </c>
      <c r="G3848" s="4"/>
      <c r="H3848" s="5"/>
    </row>
    <row r="3849" spans="4:8" x14ac:dyDescent="0.25">
      <c r="D3849" s="4">
        <v>37302</v>
      </c>
      <c r="E3849" s="6">
        <v>20.76</v>
      </c>
      <c r="G3849" s="4"/>
      <c r="H3849" s="5"/>
    </row>
    <row r="3850" spans="4:8" x14ac:dyDescent="0.25">
      <c r="D3850" s="4">
        <v>37305</v>
      </c>
      <c r="E3850" s="6">
        <v>20.12</v>
      </c>
      <c r="G3850" s="4"/>
      <c r="H3850" s="5"/>
    </row>
    <row r="3851" spans="4:8" x14ac:dyDescent="0.25">
      <c r="D3851" s="4">
        <v>37306</v>
      </c>
      <c r="E3851" s="6">
        <v>20.18</v>
      </c>
      <c r="G3851" s="4"/>
      <c r="H3851" s="5"/>
    </row>
    <row r="3852" spans="4:8" x14ac:dyDescent="0.25">
      <c r="D3852" s="4">
        <v>37307</v>
      </c>
      <c r="E3852" s="6">
        <v>19.440000000000001</v>
      </c>
      <c r="G3852" s="4"/>
      <c r="H3852" s="5"/>
    </row>
    <row r="3853" spans="4:8" x14ac:dyDescent="0.25">
      <c r="D3853" s="4">
        <v>37308</v>
      </c>
      <c r="E3853" s="6">
        <v>20.21</v>
      </c>
      <c r="G3853" s="4"/>
      <c r="H3853" s="5"/>
    </row>
    <row r="3854" spans="4:8" x14ac:dyDescent="0.25">
      <c r="D3854" s="4">
        <v>37309</v>
      </c>
      <c r="E3854" s="6">
        <v>20.14</v>
      </c>
      <c r="G3854" s="4"/>
      <c r="H3854" s="5"/>
    </row>
    <row r="3855" spans="4:8" x14ac:dyDescent="0.25">
      <c r="D3855" s="4">
        <v>37312</v>
      </c>
      <c r="E3855" s="6">
        <v>19.78</v>
      </c>
      <c r="G3855" s="4"/>
      <c r="H3855" s="5"/>
    </row>
    <row r="3856" spans="4:8" x14ac:dyDescent="0.25">
      <c r="D3856" s="4">
        <v>37313</v>
      </c>
      <c r="E3856" s="6">
        <v>19.95</v>
      </c>
      <c r="G3856" s="4"/>
      <c r="H3856" s="5"/>
    </row>
    <row r="3857" spans="4:8" x14ac:dyDescent="0.25">
      <c r="D3857" s="4">
        <v>37314</v>
      </c>
      <c r="E3857" s="6">
        <v>20.73</v>
      </c>
      <c r="G3857" s="4"/>
      <c r="H3857" s="5"/>
    </row>
    <row r="3858" spans="4:8" x14ac:dyDescent="0.25">
      <c r="D3858" s="4">
        <v>37315</v>
      </c>
      <c r="E3858" s="6">
        <v>20.73</v>
      </c>
      <c r="G3858" s="4"/>
      <c r="H3858" s="5"/>
    </row>
    <row r="3859" spans="4:8" x14ac:dyDescent="0.25">
      <c r="D3859" s="4">
        <v>37316</v>
      </c>
      <c r="E3859" s="6">
        <v>21.83</v>
      </c>
      <c r="G3859" s="4"/>
      <c r="H3859" s="5"/>
    </row>
    <row r="3860" spans="4:8" x14ac:dyDescent="0.25">
      <c r="D3860" s="4">
        <v>37319</v>
      </c>
      <c r="E3860" s="6">
        <v>21.59</v>
      </c>
      <c r="G3860" s="4"/>
      <c r="H3860" s="5"/>
    </row>
    <row r="3861" spans="4:8" x14ac:dyDescent="0.25">
      <c r="D3861" s="4">
        <v>37320</v>
      </c>
      <c r="E3861" s="6">
        <v>22.25</v>
      </c>
      <c r="G3861" s="4"/>
      <c r="H3861" s="5"/>
    </row>
    <row r="3862" spans="4:8" x14ac:dyDescent="0.25">
      <c r="D3862" s="4">
        <v>37321</v>
      </c>
      <c r="E3862" s="6">
        <v>22.11</v>
      </c>
      <c r="G3862" s="4"/>
      <c r="H3862" s="5"/>
    </row>
    <row r="3863" spans="4:8" x14ac:dyDescent="0.25">
      <c r="D3863" s="4">
        <v>37322</v>
      </c>
      <c r="E3863" s="6">
        <v>23.1</v>
      </c>
      <c r="G3863" s="4"/>
      <c r="H3863" s="5"/>
    </row>
    <row r="3864" spans="4:8" x14ac:dyDescent="0.25">
      <c r="D3864" s="4">
        <v>37323</v>
      </c>
      <c r="E3864" s="6">
        <v>22.32</v>
      </c>
      <c r="G3864" s="4"/>
      <c r="H3864" s="5"/>
    </row>
    <row r="3865" spans="4:8" x14ac:dyDescent="0.25">
      <c r="D3865" s="4">
        <v>37326</v>
      </c>
      <c r="E3865" s="6">
        <v>23.14</v>
      </c>
      <c r="G3865" s="4"/>
      <c r="H3865" s="5"/>
    </row>
    <row r="3866" spans="4:8" x14ac:dyDescent="0.25">
      <c r="D3866" s="4">
        <v>37327</v>
      </c>
      <c r="E3866" s="6">
        <v>22.7</v>
      </c>
      <c r="G3866" s="4"/>
      <c r="H3866" s="5"/>
    </row>
    <row r="3867" spans="4:8" x14ac:dyDescent="0.25">
      <c r="D3867" s="4">
        <v>37328</v>
      </c>
      <c r="E3867" s="6">
        <v>23.6</v>
      </c>
      <c r="G3867" s="4"/>
      <c r="H3867" s="5"/>
    </row>
    <row r="3868" spans="4:8" x14ac:dyDescent="0.25">
      <c r="D3868" s="4">
        <v>37329</v>
      </c>
      <c r="E3868" s="6">
        <v>23.76</v>
      </c>
      <c r="G3868" s="4"/>
      <c r="H3868" s="5"/>
    </row>
    <row r="3869" spans="4:8" x14ac:dyDescent="0.25">
      <c r="D3869" s="4">
        <v>37330</v>
      </c>
      <c r="E3869" s="6">
        <v>23.9</v>
      </c>
      <c r="G3869" s="4"/>
      <c r="H3869" s="5"/>
    </row>
    <row r="3870" spans="4:8" x14ac:dyDescent="0.25">
      <c r="D3870" s="4">
        <v>37333</v>
      </c>
      <c r="E3870" s="6">
        <v>23.8</v>
      </c>
      <c r="G3870" s="4"/>
      <c r="H3870" s="5"/>
    </row>
    <row r="3871" spans="4:8" x14ac:dyDescent="0.25">
      <c r="D3871" s="4">
        <v>37334</v>
      </c>
      <c r="E3871" s="6">
        <v>24.51</v>
      </c>
      <c r="G3871" s="4"/>
      <c r="H3871" s="5"/>
    </row>
    <row r="3872" spans="4:8" x14ac:dyDescent="0.25">
      <c r="D3872" s="4">
        <v>37335</v>
      </c>
      <c r="E3872" s="6">
        <v>24.78</v>
      </c>
      <c r="G3872" s="4"/>
      <c r="H3872" s="5"/>
    </row>
    <row r="3873" spans="4:8" x14ac:dyDescent="0.25">
      <c r="D3873" s="4">
        <v>37336</v>
      </c>
      <c r="E3873" s="6">
        <v>24.25</v>
      </c>
      <c r="G3873" s="4"/>
      <c r="H3873" s="5"/>
    </row>
    <row r="3874" spans="4:8" x14ac:dyDescent="0.25">
      <c r="D3874" s="4">
        <v>37337</v>
      </c>
      <c r="E3874" s="6">
        <v>24.83</v>
      </c>
      <c r="G3874" s="4"/>
      <c r="H3874" s="5"/>
    </row>
    <row r="3875" spans="4:8" x14ac:dyDescent="0.25">
      <c r="D3875" s="4">
        <v>37340</v>
      </c>
      <c r="E3875" s="6">
        <v>24.75</v>
      </c>
      <c r="G3875" s="4"/>
      <c r="H3875" s="5"/>
    </row>
    <row r="3876" spans="4:8" x14ac:dyDescent="0.25">
      <c r="D3876" s="4">
        <v>37341</v>
      </c>
      <c r="E3876" s="6">
        <v>24.6</v>
      </c>
      <c r="G3876" s="4"/>
      <c r="H3876" s="5"/>
    </row>
    <row r="3877" spans="4:8" x14ac:dyDescent="0.25">
      <c r="D3877" s="4">
        <v>37342</v>
      </c>
      <c r="E3877" s="6">
        <v>25.13</v>
      </c>
      <c r="G3877" s="4"/>
      <c r="H3877" s="5"/>
    </row>
    <row r="3878" spans="4:8" x14ac:dyDescent="0.25">
      <c r="D3878" s="4">
        <v>37343</v>
      </c>
      <c r="E3878" s="6">
        <v>25.34</v>
      </c>
      <c r="G3878" s="4"/>
      <c r="H3878" s="5"/>
    </row>
    <row r="3879" spans="4:8" x14ac:dyDescent="0.25">
      <c r="D3879" s="4">
        <v>37344</v>
      </c>
      <c r="E3879" s="6">
        <v>25.34</v>
      </c>
      <c r="G3879" s="4"/>
      <c r="H3879" s="5"/>
    </row>
    <row r="3880" spans="4:8" x14ac:dyDescent="0.25">
      <c r="D3880" s="4">
        <v>37347</v>
      </c>
      <c r="E3880" s="6">
        <v>26.06</v>
      </c>
      <c r="G3880" s="4"/>
      <c r="H3880" s="5"/>
    </row>
    <row r="3881" spans="4:8" x14ac:dyDescent="0.25">
      <c r="D3881" s="4">
        <v>37348</v>
      </c>
      <c r="E3881" s="6">
        <v>26.97</v>
      </c>
      <c r="G3881" s="4"/>
      <c r="H3881" s="5"/>
    </row>
    <row r="3882" spans="4:8" x14ac:dyDescent="0.25">
      <c r="D3882" s="4">
        <v>37349</v>
      </c>
      <c r="E3882" s="6">
        <v>26.72</v>
      </c>
      <c r="G3882" s="4"/>
      <c r="H3882" s="5"/>
    </row>
    <row r="3883" spans="4:8" x14ac:dyDescent="0.25">
      <c r="D3883" s="4">
        <v>37350</v>
      </c>
      <c r="E3883" s="6">
        <v>26.97</v>
      </c>
      <c r="G3883" s="4"/>
      <c r="H3883" s="5"/>
    </row>
    <row r="3884" spans="4:8" x14ac:dyDescent="0.25">
      <c r="D3884" s="4">
        <v>37351</v>
      </c>
      <c r="E3884" s="6">
        <v>25.39</v>
      </c>
      <c r="G3884" s="4"/>
      <c r="H3884" s="5"/>
    </row>
    <row r="3885" spans="4:8" x14ac:dyDescent="0.25">
      <c r="D3885" s="4">
        <v>37354</v>
      </c>
      <c r="E3885" s="6">
        <v>26.36</v>
      </c>
      <c r="G3885" s="4"/>
      <c r="H3885" s="5"/>
    </row>
    <row r="3886" spans="4:8" x14ac:dyDescent="0.25">
      <c r="D3886" s="4">
        <v>37355</v>
      </c>
      <c r="E3886" s="6">
        <v>25.48</v>
      </c>
      <c r="G3886" s="4"/>
      <c r="H3886" s="5"/>
    </row>
    <row r="3887" spans="4:8" x14ac:dyDescent="0.25">
      <c r="D3887" s="4">
        <v>37356</v>
      </c>
      <c r="E3887" s="6">
        <v>25.13</v>
      </c>
      <c r="G3887" s="4"/>
      <c r="H3887" s="5"/>
    </row>
    <row r="3888" spans="4:8" x14ac:dyDescent="0.25">
      <c r="D3888" s="4">
        <v>37357</v>
      </c>
      <c r="E3888" s="6">
        <v>24.22</v>
      </c>
      <c r="G3888" s="4"/>
      <c r="H3888" s="5"/>
    </row>
    <row r="3889" spans="4:8" x14ac:dyDescent="0.25">
      <c r="D3889" s="4">
        <v>37358</v>
      </c>
      <c r="E3889" s="6">
        <v>23.25</v>
      </c>
      <c r="G3889" s="4"/>
      <c r="H3889" s="5"/>
    </row>
    <row r="3890" spans="4:8" x14ac:dyDescent="0.25">
      <c r="D3890" s="4">
        <v>37361</v>
      </c>
      <c r="E3890" s="6">
        <v>23.39</v>
      </c>
      <c r="G3890" s="4"/>
      <c r="H3890" s="5"/>
    </row>
    <row r="3891" spans="4:8" x14ac:dyDescent="0.25">
      <c r="D3891" s="4">
        <v>37362</v>
      </c>
      <c r="E3891" s="6">
        <v>24.03</v>
      </c>
      <c r="G3891" s="4"/>
      <c r="H3891" s="5"/>
    </row>
    <row r="3892" spans="4:8" x14ac:dyDescent="0.25">
      <c r="D3892" s="4">
        <v>37363</v>
      </c>
      <c r="E3892" s="6">
        <v>25.26</v>
      </c>
      <c r="G3892" s="4"/>
      <c r="H3892" s="5"/>
    </row>
    <row r="3893" spans="4:8" x14ac:dyDescent="0.25">
      <c r="D3893" s="4">
        <v>37364</v>
      </c>
      <c r="E3893" s="6">
        <v>25.9</v>
      </c>
      <c r="G3893" s="4"/>
      <c r="H3893" s="5"/>
    </row>
    <row r="3894" spans="4:8" x14ac:dyDescent="0.25">
      <c r="D3894" s="4">
        <v>37365</v>
      </c>
      <c r="E3894" s="6">
        <v>25.86</v>
      </c>
      <c r="G3894" s="4"/>
      <c r="H3894" s="5"/>
    </row>
    <row r="3895" spans="4:8" x14ac:dyDescent="0.25">
      <c r="D3895" s="4">
        <v>37368</v>
      </c>
      <c r="E3895" s="6">
        <v>25.96</v>
      </c>
      <c r="G3895" s="4"/>
      <c r="H3895" s="5"/>
    </row>
    <row r="3896" spans="4:8" x14ac:dyDescent="0.25">
      <c r="D3896" s="4">
        <v>37369</v>
      </c>
      <c r="E3896" s="6">
        <v>26.26</v>
      </c>
      <c r="G3896" s="4"/>
      <c r="H3896" s="5"/>
    </row>
    <row r="3897" spans="4:8" x14ac:dyDescent="0.25">
      <c r="D3897" s="4">
        <v>37370</v>
      </c>
      <c r="E3897" s="6">
        <v>26.2</v>
      </c>
      <c r="G3897" s="4"/>
      <c r="H3897" s="5"/>
    </row>
    <row r="3898" spans="4:8" x14ac:dyDescent="0.25">
      <c r="D3898" s="4">
        <v>37371</v>
      </c>
      <c r="E3898" s="6">
        <v>26.47</v>
      </c>
      <c r="G3898" s="4"/>
      <c r="H3898" s="5"/>
    </row>
    <row r="3899" spans="4:8" x14ac:dyDescent="0.25">
      <c r="D3899" s="4">
        <v>37372</v>
      </c>
      <c r="E3899" s="6">
        <v>26.32</v>
      </c>
      <c r="G3899" s="4"/>
      <c r="H3899" s="5"/>
    </row>
    <row r="3900" spans="4:8" x14ac:dyDescent="0.25">
      <c r="D3900" s="4">
        <v>37375</v>
      </c>
      <c r="E3900" s="6">
        <v>26.85</v>
      </c>
      <c r="G3900" s="4"/>
      <c r="H3900" s="5"/>
    </row>
    <row r="3901" spans="4:8" x14ac:dyDescent="0.25">
      <c r="D3901" s="4">
        <v>37376</v>
      </c>
      <c r="E3901" s="6">
        <v>26.98</v>
      </c>
      <c r="G3901" s="4"/>
      <c r="H3901" s="5"/>
    </row>
    <row r="3902" spans="4:8" x14ac:dyDescent="0.25">
      <c r="D3902" s="4">
        <v>37377</v>
      </c>
      <c r="E3902" s="6">
        <v>26.67</v>
      </c>
      <c r="G3902" s="4"/>
      <c r="H3902" s="5"/>
    </row>
    <row r="3903" spans="4:8" x14ac:dyDescent="0.25">
      <c r="D3903" s="4">
        <v>37378</v>
      </c>
      <c r="E3903" s="6">
        <v>25.73</v>
      </c>
      <c r="G3903" s="4"/>
      <c r="H3903" s="5"/>
    </row>
    <row r="3904" spans="4:8" x14ac:dyDescent="0.25">
      <c r="D3904" s="4">
        <v>37379</v>
      </c>
      <c r="E3904" s="6">
        <v>25.8</v>
      </c>
      <c r="G3904" s="4"/>
      <c r="H3904" s="5"/>
    </row>
    <row r="3905" spans="4:8" x14ac:dyDescent="0.25">
      <c r="D3905" s="4">
        <v>37382</v>
      </c>
      <c r="E3905" s="5"/>
      <c r="G3905" s="4"/>
      <c r="H3905" s="5"/>
    </row>
    <row r="3906" spans="4:8" x14ac:dyDescent="0.25">
      <c r="D3906" s="4">
        <v>37383</v>
      </c>
      <c r="E3906" s="6">
        <v>25.53</v>
      </c>
      <c r="G3906" s="4"/>
      <c r="H3906" s="5"/>
    </row>
    <row r="3907" spans="4:8" x14ac:dyDescent="0.25">
      <c r="D3907" s="4">
        <v>37384</v>
      </c>
      <c r="E3907" s="6">
        <v>26.09</v>
      </c>
      <c r="G3907" s="4"/>
      <c r="H3907" s="5"/>
    </row>
    <row r="3908" spans="4:8" x14ac:dyDescent="0.25">
      <c r="D3908" s="4">
        <v>37385</v>
      </c>
      <c r="E3908" s="6">
        <v>26.09</v>
      </c>
      <c r="G3908" s="4"/>
      <c r="H3908" s="5"/>
    </row>
    <row r="3909" spans="4:8" x14ac:dyDescent="0.25">
      <c r="D3909" s="4">
        <v>37386</v>
      </c>
      <c r="E3909" s="6">
        <v>26.89</v>
      </c>
      <c r="G3909" s="4"/>
      <c r="H3909" s="5"/>
    </row>
    <row r="3910" spans="4:8" x14ac:dyDescent="0.25">
      <c r="D3910" s="4">
        <v>37389</v>
      </c>
      <c r="E3910" s="6">
        <v>26.3</v>
      </c>
      <c r="G3910" s="4"/>
      <c r="H3910" s="5"/>
    </row>
    <row r="3911" spans="4:8" x14ac:dyDescent="0.25">
      <c r="D3911" s="4">
        <v>37390</v>
      </c>
      <c r="E3911" s="6">
        <v>27.12</v>
      </c>
      <c r="G3911" s="4"/>
      <c r="H3911" s="5"/>
    </row>
    <row r="3912" spans="4:8" x14ac:dyDescent="0.25">
      <c r="D3912" s="4">
        <v>37391</v>
      </c>
      <c r="E3912" s="6">
        <v>27.17</v>
      </c>
      <c r="G3912" s="4"/>
      <c r="H3912" s="5"/>
    </row>
    <row r="3913" spans="4:8" x14ac:dyDescent="0.25">
      <c r="D3913" s="4">
        <v>37392</v>
      </c>
      <c r="E3913" s="6">
        <v>25.71</v>
      </c>
      <c r="G3913" s="4"/>
      <c r="H3913" s="5"/>
    </row>
    <row r="3914" spans="4:8" x14ac:dyDescent="0.25">
      <c r="D3914" s="4">
        <v>37393</v>
      </c>
      <c r="E3914" s="6">
        <v>25.45</v>
      </c>
      <c r="G3914" s="4"/>
      <c r="H3914" s="5"/>
    </row>
    <row r="3915" spans="4:8" x14ac:dyDescent="0.25">
      <c r="D3915" s="4">
        <v>37396</v>
      </c>
      <c r="E3915" s="6">
        <v>25.97</v>
      </c>
      <c r="G3915" s="4"/>
      <c r="H3915" s="5"/>
    </row>
    <row r="3916" spans="4:8" x14ac:dyDescent="0.25">
      <c r="D3916" s="4">
        <v>37397</v>
      </c>
      <c r="E3916" s="6">
        <v>24.99</v>
      </c>
      <c r="G3916" s="4"/>
      <c r="H3916" s="5"/>
    </row>
    <row r="3917" spans="4:8" x14ac:dyDescent="0.25">
      <c r="D3917" s="4">
        <v>37398</v>
      </c>
      <c r="E3917" s="6">
        <v>24.32</v>
      </c>
      <c r="G3917" s="4"/>
      <c r="H3917" s="5"/>
    </row>
    <row r="3918" spans="4:8" x14ac:dyDescent="0.25">
      <c r="D3918" s="4">
        <v>37399</v>
      </c>
      <c r="E3918" s="6">
        <v>24.01</v>
      </c>
      <c r="G3918" s="4"/>
      <c r="H3918" s="5"/>
    </row>
    <row r="3919" spans="4:8" x14ac:dyDescent="0.25">
      <c r="D3919" s="4">
        <v>37400</v>
      </c>
      <c r="E3919" s="6">
        <v>23.76</v>
      </c>
      <c r="G3919" s="4"/>
      <c r="H3919" s="5"/>
    </row>
    <row r="3920" spans="4:8" x14ac:dyDescent="0.25">
      <c r="D3920" s="4">
        <v>37403</v>
      </c>
      <c r="E3920" s="6">
        <v>23.52</v>
      </c>
      <c r="G3920" s="4"/>
      <c r="H3920" s="5"/>
    </row>
    <row r="3921" spans="4:8" x14ac:dyDescent="0.25">
      <c r="D3921" s="4">
        <v>37404</v>
      </c>
      <c r="E3921" s="6">
        <v>24.71</v>
      </c>
      <c r="G3921" s="4"/>
      <c r="H3921" s="5"/>
    </row>
    <row r="3922" spans="4:8" x14ac:dyDescent="0.25">
      <c r="D3922" s="4">
        <v>37405</v>
      </c>
      <c r="E3922" s="6">
        <v>24.18</v>
      </c>
      <c r="G3922" s="4"/>
      <c r="H3922" s="5"/>
    </row>
    <row r="3923" spans="4:8" x14ac:dyDescent="0.25">
      <c r="D3923" s="4">
        <v>37406</v>
      </c>
      <c r="E3923" s="6">
        <v>23.72</v>
      </c>
      <c r="G3923" s="4"/>
      <c r="H3923" s="5"/>
    </row>
    <row r="3924" spans="4:8" x14ac:dyDescent="0.25">
      <c r="D3924" s="4">
        <v>37407</v>
      </c>
      <c r="E3924" s="6">
        <v>23.87</v>
      </c>
      <c r="G3924" s="4"/>
      <c r="H3924" s="5"/>
    </row>
    <row r="3925" spans="4:8" x14ac:dyDescent="0.25">
      <c r="D3925" s="4">
        <v>37410</v>
      </c>
      <c r="E3925" s="5"/>
      <c r="G3925" s="4"/>
      <c r="H3925" s="5"/>
    </row>
    <row r="3926" spans="4:8" x14ac:dyDescent="0.25">
      <c r="D3926" s="4">
        <v>37411</v>
      </c>
      <c r="E3926" s="5"/>
      <c r="G3926" s="4"/>
      <c r="H3926" s="5"/>
    </row>
    <row r="3927" spans="4:8" x14ac:dyDescent="0.25">
      <c r="D3927" s="4">
        <v>37412</v>
      </c>
      <c r="E3927" s="6">
        <v>23.19</v>
      </c>
      <c r="G3927" s="4"/>
      <c r="H3927" s="5"/>
    </row>
    <row r="3928" spans="4:8" x14ac:dyDescent="0.25">
      <c r="D3928" s="4">
        <v>37413</v>
      </c>
      <c r="E3928" s="6">
        <v>22.79</v>
      </c>
      <c r="G3928" s="4"/>
      <c r="H3928" s="5"/>
    </row>
    <row r="3929" spans="4:8" x14ac:dyDescent="0.25">
      <c r="D3929" s="4">
        <v>37414</v>
      </c>
      <c r="E3929" s="6">
        <v>22.99</v>
      </c>
      <c r="G3929" s="4"/>
      <c r="H3929" s="5"/>
    </row>
    <row r="3930" spans="4:8" x14ac:dyDescent="0.25">
      <c r="D3930" s="4">
        <v>37417</v>
      </c>
      <c r="E3930" s="6">
        <v>22.83</v>
      </c>
      <c r="G3930" s="4"/>
      <c r="H3930" s="5"/>
    </row>
    <row r="3931" spans="4:8" x14ac:dyDescent="0.25">
      <c r="D3931" s="4">
        <v>37418</v>
      </c>
      <c r="E3931" s="6">
        <v>22.37</v>
      </c>
      <c r="G3931" s="4"/>
      <c r="H3931" s="5"/>
    </row>
    <row r="3932" spans="4:8" x14ac:dyDescent="0.25">
      <c r="D3932" s="4">
        <v>37419</v>
      </c>
      <c r="E3932" s="6">
        <v>23.09</v>
      </c>
      <c r="G3932" s="4"/>
      <c r="H3932" s="5"/>
    </row>
    <row r="3933" spans="4:8" x14ac:dyDescent="0.25">
      <c r="D3933" s="4">
        <v>37420</v>
      </c>
      <c r="E3933" s="6">
        <v>23.72</v>
      </c>
      <c r="G3933" s="4"/>
      <c r="H3933" s="5"/>
    </row>
    <row r="3934" spans="4:8" x14ac:dyDescent="0.25">
      <c r="D3934" s="4">
        <v>37421</v>
      </c>
      <c r="E3934" s="6">
        <v>23.97</v>
      </c>
      <c r="G3934" s="4"/>
      <c r="H3934" s="5"/>
    </row>
    <row r="3935" spans="4:8" x14ac:dyDescent="0.25">
      <c r="D3935" s="4">
        <v>37424</v>
      </c>
      <c r="E3935" s="6">
        <v>24.69</v>
      </c>
      <c r="G3935" s="4"/>
      <c r="H3935" s="5"/>
    </row>
    <row r="3936" spans="4:8" x14ac:dyDescent="0.25">
      <c r="D3936" s="4">
        <v>37425</v>
      </c>
      <c r="E3936" s="6">
        <v>24.64</v>
      </c>
      <c r="G3936" s="4"/>
      <c r="H3936" s="5"/>
    </row>
    <row r="3937" spans="4:8" x14ac:dyDescent="0.25">
      <c r="D3937" s="4">
        <v>37426</v>
      </c>
      <c r="E3937" s="6">
        <v>24.85</v>
      </c>
      <c r="G3937" s="4"/>
      <c r="H3937" s="5"/>
    </row>
    <row r="3938" spans="4:8" x14ac:dyDescent="0.25">
      <c r="D3938" s="4">
        <v>37427</v>
      </c>
      <c r="E3938" s="6">
        <v>24.42</v>
      </c>
      <c r="G3938" s="4"/>
      <c r="H3938" s="5"/>
    </row>
    <row r="3939" spans="4:8" x14ac:dyDescent="0.25">
      <c r="D3939" s="4">
        <v>37428</v>
      </c>
      <c r="E3939" s="6">
        <v>24.14</v>
      </c>
      <c r="G3939" s="4"/>
      <c r="H3939" s="5"/>
    </row>
    <row r="3940" spans="4:8" x14ac:dyDescent="0.25">
      <c r="D3940" s="4">
        <v>37431</v>
      </c>
      <c r="E3940" s="6">
        <v>24.99</v>
      </c>
      <c r="G3940" s="4"/>
      <c r="H3940" s="5"/>
    </row>
    <row r="3941" spans="4:8" x14ac:dyDescent="0.25">
      <c r="D3941" s="4">
        <v>37432</v>
      </c>
      <c r="E3941" s="6">
        <v>25.32</v>
      </c>
      <c r="G3941" s="4"/>
      <c r="H3941" s="5"/>
    </row>
    <row r="3942" spans="4:8" x14ac:dyDescent="0.25">
      <c r="D3942" s="4">
        <v>37433</v>
      </c>
      <c r="E3942" s="6">
        <v>24.75</v>
      </c>
      <c r="G3942" s="4"/>
      <c r="H3942" s="5"/>
    </row>
    <row r="3943" spans="4:8" x14ac:dyDescent="0.25">
      <c r="D3943" s="4">
        <v>37434</v>
      </c>
      <c r="E3943" s="6">
        <v>25.39</v>
      </c>
      <c r="G3943" s="4"/>
      <c r="H3943" s="5"/>
    </row>
    <row r="3944" spans="4:8" x14ac:dyDescent="0.25">
      <c r="D3944" s="4">
        <v>37435</v>
      </c>
      <c r="E3944" s="6">
        <v>25.33</v>
      </c>
      <c r="G3944" s="4"/>
      <c r="H3944" s="5"/>
    </row>
    <row r="3945" spans="4:8" x14ac:dyDescent="0.25">
      <c r="D3945" s="4">
        <v>37438</v>
      </c>
      <c r="E3945" s="6">
        <v>25.65</v>
      </c>
      <c r="G3945" s="4"/>
      <c r="H3945" s="5"/>
    </row>
    <row r="3946" spans="4:8" x14ac:dyDescent="0.25">
      <c r="D3946" s="4">
        <v>37439</v>
      </c>
      <c r="E3946" s="6">
        <v>25.64</v>
      </c>
      <c r="G3946" s="4"/>
      <c r="H3946" s="5"/>
    </row>
    <row r="3947" spans="4:8" x14ac:dyDescent="0.25">
      <c r="D3947" s="4">
        <v>37440</v>
      </c>
      <c r="E3947" s="6">
        <v>25.59</v>
      </c>
      <c r="G3947" s="4"/>
      <c r="H3947" s="5"/>
    </row>
    <row r="3948" spans="4:8" x14ac:dyDescent="0.25">
      <c r="D3948" s="4">
        <v>37441</v>
      </c>
      <c r="E3948" s="6">
        <v>25.51</v>
      </c>
      <c r="G3948" s="4"/>
      <c r="H3948" s="5"/>
    </row>
    <row r="3949" spans="4:8" x14ac:dyDescent="0.25">
      <c r="D3949" s="4">
        <v>37442</v>
      </c>
      <c r="E3949" s="6">
        <v>25.75</v>
      </c>
      <c r="G3949" s="4"/>
      <c r="H3949" s="5"/>
    </row>
    <row r="3950" spans="4:8" x14ac:dyDescent="0.25">
      <c r="D3950" s="4">
        <v>37445</v>
      </c>
      <c r="E3950" s="6">
        <v>25.08</v>
      </c>
      <c r="G3950" s="4"/>
      <c r="H3950" s="5"/>
    </row>
    <row r="3951" spans="4:8" x14ac:dyDescent="0.25">
      <c r="D3951" s="4">
        <v>37446</v>
      </c>
      <c r="E3951" s="6">
        <v>24.9</v>
      </c>
      <c r="G3951" s="4"/>
      <c r="H3951" s="5"/>
    </row>
    <row r="3952" spans="4:8" x14ac:dyDescent="0.25">
      <c r="D3952" s="4">
        <v>37447</v>
      </c>
      <c r="E3952" s="6">
        <v>25.82</v>
      </c>
      <c r="G3952" s="4"/>
      <c r="H3952" s="5"/>
    </row>
    <row r="3953" spans="4:8" x14ac:dyDescent="0.25">
      <c r="D3953" s="4">
        <v>37448</v>
      </c>
      <c r="E3953" s="6">
        <v>25.83</v>
      </c>
      <c r="G3953" s="4"/>
      <c r="H3953" s="5"/>
    </row>
    <row r="3954" spans="4:8" x14ac:dyDescent="0.25">
      <c r="D3954" s="4">
        <v>37449</v>
      </c>
      <c r="E3954" s="6">
        <v>26.11</v>
      </c>
      <c r="G3954" s="4"/>
      <c r="H3954" s="5"/>
    </row>
    <row r="3955" spans="4:8" x14ac:dyDescent="0.25">
      <c r="D3955" s="4">
        <v>37452</v>
      </c>
      <c r="E3955" s="6">
        <v>26.16</v>
      </c>
      <c r="G3955" s="4"/>
      <c r="H3955" s="5"/>
    </row>
    <row r="3956" spans="4:8" x14ac:dyDescent="0.25">
      <c r="D3956" s="4">
        <v>37453</v>
      </c>
      <c r="E3956" s="6">
        <v>25.94</v>
      </c>
      <c r="G3956" s="4"/>
      <c r="H3956" s="5"/>
    </row>
    <row r="3957" spans="4:8" x14ac:dyDescent="0.25">
      <c r="D3957" s="4">
        <v>37454</v>
      </c>
      <c r="E3957" s="6">
        <v>26.19</v>
      </c>
      <c r="G3957" s="4"/>
      <c r="H3957" s="5"/>
    </row>
    <row r="3958" spans="4:8" x14ac:dyDescent="0.25">
      <c r="D3958" s="4">
        <v>37455</v>
      </c>
      <c r="E3958" s="6">
        <v>26.72</v>
      </c>
      <c r="G3958" s="4"/>
      <c r="H3958" s="5"/>
    </row>
    <row r="3959" spans="4:8" x14ac:dyDescent="0.25">
      <c r="D3959" s="4">
        <v>37456</v>
      </c>
      <c r="E3959" s="6">
        <v>26.37</v>
      </c>
      <c r="G3959" s="4"/>
      <c r="H3959" s="5"/>
    </row>
    <row r="3960" spans="4:8" x14ac:dyDescent="0.25">
      <c r="D3960" s="4">
        <v>37459</v>
      </c>
      <c r="E3960" s="6">
        <v>25.7</v>
      </c>
      <c r="G3960" s="4"/>
      <c r="H3960" s="5"/>
    </row>
    <row r="3961" spans="4:8" x14ac:dyDescent="0.25">
      <c r="D3961" s="4">
        <v>37460</v>
      </c>
      <c r="E3961" s="6">
        <v>25.65</v>
      </c>
      <c r="G3961" s="4"/>
      <c r="H3961" s="5"/>
    </row>
    <row r="3962" spans="4:8" x14ac:dyDescent="0.25">
      <c r="D3962" s="4">
        <v>37461</v>
      </c>
      <c r="E3962" s="6">
        <v>25.43</v>
      </c>
      <c r="G3962" s="4"/>
      <c r="H3962" s="5"/>
    </row>
    <row r="3963" spans="4:8" x14ac:dyDescent="0.25">
      <c r="D3963" s="4">
        <v>37462</v>
      </c>
      <c r="E3963" s="6">
        <v>25.36</v>
      </c>
      <c r="G3963" s="4"/>
      <c r="H3963" s="5"/>
    </row>
    <row r="3964" spans="4:8" x14ac:dyDescent="0.25">
      <c r="D3964" s="4">
        <v>37463</v>
      </c>
      <c r="E3964" s="6">
        <v>25.1</v>
      </c>
      <c r="G3964" s="4"/>
      <c r="H3964" s="5"/>
    </row>
    <row r="3965" spans="4:8" x14ac:dyDescent="0.25">
      <c r="D3965" s="4">
        <v>37466</v>
      </c>
      <c r="E3965" s="6">
        <v>25.2</v>
      </c>
      <c r="G3965" s="4"/>
      <c r="H3965" s="5"/>
    </row>
    <row r="3966" spans="4:8" x14ac:dyDescent="0.25">
      <c r="D3966" s="4">
        <v>37467</v>
      </c>
      <c r="E3966" s="6">
        <v>25.95</v>
      </c>
      <c r="G3966" s="4"/>
      <c r="H3966" s="5"/>
    </row>
    <row r="3967" spans="4:8" x14ac:dyDescent="0.25">
      <c r="D3967" s="4">
        <v>37468</v>
      </c>
      <c r="E3967" s="6">
        <v>26.28</v>
      </c>
      <c r="G3967" s="4"/>
      <c r="H3967" s="5"/>
    </row>
    <row r="3968" spans="4:8" x14ac:dyDescent="0.25">
      <c r="D3968" s="4">
        <v>37469</v>
      </c>
      <c r="E3968" s="6">
        <v>25.79</v>
      </c>
      <c r="G3968" s="4"/>
      <c r="H3968" s="5"/>
    </row>
    <row r="3969" spans="4:8" x14ac:dyDescent="0.25">
      <c r="D3969" s="4">
        <v>37470</v>
      </c>
      <c r="E3969" s="6">
        <v>25.17</v>
      </c>
      <c r="G3969" s="4"/>
      <c r="H3969" s="5"/>
    </row>
    <row r="3970" spans="4:8" x14ac:dyDescent="0.25">
      <c r="D3970" s="4">
        <v>37473</v>
      </c>
      <c r="E3970" s="6">
        <v>25.2</v>
      </c>
      <c r="G3970" s="4"/>
      <c r="H3970" s="5"/>
    </row>
    <row r="3971" spans="4:8" x14ac:dyDescent="0.25">
      <c r="D3971" s="4">
        <v>37474</v>
      </c>
      <c r="E3971" s="6">
        <v>25.69</v>
      </c>
      <c r="G3971" s="4"/>
      <c r="H3971" s="5"/>
    </row>
    <row r="3972" spans="4:8" x14ac:dyDescent="0.25">
      <c r="D3972" s="4">
        <v>37475</v>
      </c>
      <c r="E3972" s="6">
        <v>25.7</v>
      </c>
      <c r="G3972" s="4"/>
      <c r="H3972" s="5"/>
    </row>
    <row r="3973" spans="4:8" x14ac:dyDescent="0.25">
      <c r="D3973" s="4">
        <v>37476</v>
      </c>
      <c r="E3973" s="6">
        <v>25.51</v>
      </c>
      <c r="G3973" s="4"/>
      <c r="H3973" s="5"/>
    </row>
    <row r="3974" spans="4:8" x14ac:dyDescent="0.25">
      <c r="D3974" s="4">
        <v>37477</v>
      </c>
      <c r="E3974" s="6">
        <v>25.49</v>
      </c>
      <c r="G3974" s="4"/>
      <c r="H3974" s="5"/>
    </row>
    <row r="3975" spans="4:8" x14ac:dyDescent="0.25">
      <c r="D3975" s="4">
        <v>37480</v>
      </c>
      <c r="E3975" s="6">
        <v>25.63</v>
      </c>
      <c r="G3975" s="4"/>
      <c r="H3975" s="5"/>
    </row>
    <row r="3976" spans="4:8" x14ac:dyDescent="0.25">
      <c r="D3976" s="4">
        <v>37481</v>
      </c>
      <c r="E3976" s="6">
        <v>26.11</v>
      </c>
      <c r="G3976" s="4"/>
      <c r="H3976" s="5"/>
    </row>
    <row r="3977" spans="4:8" x14ac:dyDescent="0.25">
      <c r="D3977" s="4">
        <v>37482</v>
      </c>
      <c r="E3977" s="6">
        <v>26.47</v>
      </c>
      <c r="G3977" s="4"/>
      <c r="H3977" s="5"/>
    </row>
    <row r="3978" spans="4:8" x14ac:dyDescent="0.25">
      <c r="D3978" s="4">
        <v>37483</v>
      </c>
      <c r="E3978" s="6">
        <v>26.66</v>
      </c>
      <c r="G3978" s="4"/>
      <c r="H3978" s="5"/>
    </row>
    <row r="3979" spans="4:8" x14ac:dyDescent="0.25">
      <c r="D3979" s="4">
        <v>37484</v>
      </c>
      <c r="E3979" s="6">
        <v>27.33</v>
      </c>
      <c r="G3979" s="4"/>
      <c r="H3979" s="5"/>
    </row>
    <row r="3980" spans="4:8" x14ac:dyDescent="0.25">
      <c r="D3980" s="4">
        <v>37487</v>
      </c>
      <c r="E3980" s="6">
        <v>27.44</v>
      </c>
      <c r="G3980" s="4"/>
      <c r="H3980" s="5"/>
    </row>
    <row r="3981" spans="4:8" x14ac:dyDescent="0.25">
      <c r="D3981" s="4">
        <v>37488</v>
      </c>
      <c r="E3981" s="6">
        <v>27.63</v>
      </c>
      <c r="G3981" s="4"/>
      <c r="H3981" s="5"/>
    </row>
    <row r="3982" spans="4:8" x14ac:dyDescent="0.25">
      <c r="D3982" s="4">
        <v>37489</v>
      </c>
      <c r="E3982" s="6">
        <v>27.53</v>
      </c>
      <c r="G3982" s="4"/>
      <c r="H3982" s="5"/>
    </row>
    <row r="3983" spans="4:8" x14ac:dyDescent="0.25">
      <c r="D3983" s="4">
        <v>37490</v>
      </c>
      <c r="E3983" s="6">
        <v>27.81</v>
      </c>
      <c r="G3983" s="4"/>
      <c r="H3983" s="5"/>
    </row>
    <row r="3984" spans="4:8" x14ac:dyDescent="0.25">
      <c r="D3984" s="4">
        <v>37491</v>
      </c>
      <c r="E3984" s="6">
        <v>27.51</v>
      </c>
      <c r="G3984" s="4"/>
      <c r="H3984" s="5"/>
    </row>
    <row r="3985" spans="4:8" x14ac:dyDescent="0.25">
      <c r="D3985" s="4">
        <v>37494</v>
      </c>
      <c r="E3985" s="6">
        <v>27.56</v>
      </c>
      <c r="G3985" s="4"/>
      <c r="H3985" s="5"/>
    </row>
    <row r="3986" spans="4:8" x14ac:dyDescent="0.25">
      <c r="D3986" s="4">
        <v>37495</v>
      </c>
      <c r="E3986" s="6">
        <v>27.89</v>
      </c>
      <c r="G3986" s="4"/>
      <c r="H3986" s="5"/>
    </row>
    <row r="3987" spans="4:8" x14ac:dyDescent="0.25">
      <c r="D3987" s="4">
        <v>37496</v>
      </c>
      <c r="E3987" s="6">
        <v>27.54</v>
      </c>
      <c r="G3987" s="4"/>
      <c r="H3987" s="5"/>
    </row>
    <row r="3988" spans="4:8" x14ac:dyDescent="0.25">
      <c r="D3988" s="4">
        <v>37497</v>
      </c>
      <c r="E3988" s="6">
        <v>27.11</v>
      </c>
      <c r="G3988" s="4"/>
      <c r="H3988" s="5"/>
    </row>
    <row r="3989" spans="4:8" x14ac:dyDescent="0.25">
      <c r="D3989" s="4">
        <v>37498</v>
      </c>
      <c r="E3989" s="6">
        <v>27.56</v>
      </c>
      <c r="G3989" s="4"/>
      <c r="H3989" s="5"/>
    </row>
    <row r="3990" spans="4:8" x14ac:dyDescent="0.25">
      <c r="D3990" s="4">
        <v>37501</v>
      </c>
      <c r="E3990" s="6">
        <v>27.45</v>
      </c>
      <c r="G3990" s="4"/>
      <c r="H3990" s="5"/>
    </row>
    <row r="3991" spans="4:8" x14ac:dyDescent="0.25">
      <c r="D3991" s="4">
        <v>37502</v>
      </c>
      <c r="E3991" s="6">
        <v>26.58</v>
      </c>
      <c r="G3991" s="4"/>
      <c r="H3991" s="5"/>
    </row>
    <row r="3992" spans="4:8" x14ac:dyDescent="0.25">
      <c r="D3992" s="4">
        <v>37503</v>
      </c>
      <c r="E3992" s="6">
        <v>27.31</v>
      </c>
      <c r="G3992" s="4"/>
      <c r="H3992" s="5"/>
    </row>
    <row r="3993" spans="4:8" x14ac:dyDescent="0.25">
      <c r="D3993" s="4">
        <v>37504</v>
      </c>
      <c r="E3993" s="6">
        <v>27.54</v>
      </c>
      <c r="G3993" s="4"/>
      <c r="H3993" s="5"/>
    </row>
    <row r="3994" spans="4:8" x14ac:dyDescent="0.25">
      <c r="D3994" s="4">
        <v>37505</v>
      </c>
      <c r="E3994" s="6">
        <v>28.36</v>
      </c>
      <c r="G3994" s="4"/>
      <c r="H3994" s="5"/>
    </row>
    <row r="3995" spans="4:8" x14ac:dyDescent="0.25">
      <c r="D3995" s="4">
        <v>37508</v>
      </c>
      <c r="E3995" s="6">
        <v>28.67</v>
      </c>
      <c r="G3995" s="4"/>
      <c r="H3995" s="5"/>
    </row>
    <row r="3996" spans="4:8" x14ac:dyDescent="0.25">
      <c r="D3996" s="4">
        <v>37509</v>
      </c>
      <c r="E3996" s="6">
        <v>28.92</v>
      </c>
      <c r="G3996" s="4"/>
      <c r="H3996" s="5"/>
    </row>
    <row r="3997" spans="4:8" x14ac:dyDescent="0.25">
      <c r="D3997" s="4">
        <v>37510</v>
      </c>
      <c r="E3997" s="6">
        <v>28.68</v>
      </c>
      <c r="G3997" s="4"/>
      <c r="H3997" s="5"/>
    </row>
    <row r="3998" spans="4:8" x14ac:dyDescent="0.25">
      <c r="D3998" s="4">
        <v>37511</v>
      </c>
      <c r="E3998" s="6">
        <v>27.76</v>
      </c>
      <c r="G3998" s="4"/>
      <c r="H3998" s="5"/>
    </row>
    <row r="3999" spans="4:8" x14ac:dyDescent="0.25">
      <c r="D3999" s="4">
        <v>37512</v>
      </c>
      <c r="E3999" s="6">
        <v>28.53</v>
      </c>
      <c r="G3999" s="4"/>
      <c r="H3999" s="5"/>
    </row>
    <row r="4000" spans="4:8" x14ac:dyDescent="0.25">
      <c r="D4000" s="4">
        <v>37515</v>
      </c>
      <c r="E4000" s="6">
        <v>28.38</v>
      </c>
      <c r="G4000" s="4"/>
      <c r="H4000" s="5"/>
    </row>
    <row r="4001" spans="4:8" x14ac:dyDescent="0.25">
      <c r="D4001" s="4">
        <v>37516</v>
      </c>
      <c r="E4001" s="6">
        <v>27.76</v>
      </c>
      <c r="G4001" s="4"/>
      <c r="H4001" s="5"/>
    </row>
    <row r="4002" spans="4:8" x14ac:dyDescent="0.25">
      <c r="D4002" s="4">
        <v>37517</v>
      </c>
      <c r="E4002" s="6">
        <v>28.41</v>
      </c>
      <c r="G4002" s="4"/>
      <c r="H4002" s="5"/>
    </row>
    <row r="4003" spans="4:8" x14ac:dyDescent="0.25">
      <c r="D4003" s="4">
        <v>37518</v>
      </c>
      <c r="E4003" s="6">
        <v>28.45</v>
      </c>
      <c r="G4003" s="4"/>
      <c r="H4003" s="5"/>
    </row>
    <row r="4004" spans="4:8" x14ac:dyDescent="0.25">
      <c r="D4004" s="4">
        <v>37519</v>
      </c>
      <c r="E4004" s="6">
        <v>28.61</v>
      </c>
      <c r="G4004" s="4"/>
      <c r="H4004" s="5"/>
    </row>
    <row r="4005" spans="4:8" x14ac:dyDescent="0.25">
      <c r="D4005" s="4">
        <v>37522</v>
      </c>
      <c r="E4005" s="6">
        <v>29.36</v>
      </c>
      <c r="G4005" s="4"/>
      <c r="H4005" s="5"/>
    </row>
    <row r="4006" spans="4:8" x14ac:dyDescent="0.25">
      <c r="D4006" s="4">
        <v>37523</v>
      </c>
      <c r="E4006" s="6">
        <v>29.47</v>
      </c>
      <c r="G4006" s="4"/>
      <c r="H4006" s="5"/>
    </row>
    <row r="4007" spans="4:8" x14ac:dyDescent="0.25">
      <c r="D4007" s="4">
        <v>37524</v>
      </c>
      <c r="E4007" s="6">
        <v>29.11</v>
      </c>
      <c r="G4007" s="4"/>
      <c r="H4007" s="5"/>
    </row>
    <row r="4008" spans="4:8" x14ac:dyDescent="0.25">
      <c r="D4008" s="4">
        <v>37525</v>
      </c>
      <c r="E4008" s="6">
        <v>28.93</v>
      </c>
      <c r="G4008" s="4"/>
      <c r="H4008" s="5"/>
    </row>
    <row r="4009" spans="4:8" x14ac:dyDescent="0.25">
      <c r="D4009" s="4">
        <v>37526</v>
      </c>
      <c r="E4009" s="6">
        <v>29</v>
      </c>
      <c r="G4009" s="4"/>
      <c r="H4009" s="5"/>
    </row>
    <row r="4010" spans="4:8" x14ac:dyDescent="0.25">
      <c r="D4010" s="4">
        <v>37529</v>
      </c>
      <c r="E4010" s="6">
        <v>29.11</v>
      </c>
      <c r="G4010" s="4"/>
      <c r="H4010" s="5"/>
    </row>
    <row r="4011" spans="4:8" x14ac:dyDescent="0.25">
      <c r="D4011" s="4">
        <v>37530</v>
      </c>
      <c r="E4011" s="6">
        <v>29.42</v>
      </c>
      <c r="G4011" s="4"/>
      <c r="H4011" s="5"/>
    </row>
    <row r="4012" spans="4:8" x14ac:dyDescent="0.25">
      <c r="D4012" s="4">
        <v>37531</v>
      </c>
      <c r="E4012" s="6">
        <v>29.14</v>
      </c>
      <c r="G4012" s="4"/>
      <c r="H4012" s="5"/>
    </row>
    <row r="4013" spans="4:8" x14ac:dyDescent="0.25">
      <c r="D4013" s="4">
        <v>37532</v>
      </c>
      <c r="E4013" s="6">
        <v>28.46</v>
      </c>
      <c r="G4013" s="4"/>
      <c r="H4013" s="5"/>
    </row>
    <row r="4014" spans="4:8" x14ac:dyDescent="0.25">
      <c r="D4014" s="4">
        <v>37533</v>
      </c>
      <c r="E4014" s="6">
        <v>28.32</v>
      </c>
      <c r="G4014" s="4"/>
      <c r="H4014" s="5"/>
    </row>
    <row r="4015" spans="4:8" x14ac:dyDescent="0.25">
      <c r="D4015" s="4">
        <v>37536</v>
      </c>
      <c r="E4015" s="6">
        <v>28.38</v>
      </c>
      <c r="G4015" s="4"/>
      <c r="H4015" s="5"/>
    </row>
    <row r="4016" spans="4:8" x14ac:dyDescent="0.25">
      <c r="D4016" s="4">
        <v>37537</v>
      </c>
      <c r="E4016" s="6">
        <v>28.28</v>
      </c>
      <c r="G4016" s="4"/>
      <c r="H4016" s="5"/>
    </row>
    <row r="4017" spans="4:8" x14ac:dyDescent="0.25">
      <c r="D4017" s="4">
        <v>37538</v>
      </c>
      <c r="E4017" s="6">
        <v>28.29</v>
      </c>
      <c r="G4017" s="4"/>
      <c r="H4017" s="5"/>
    </row>
    <row r="4018" spans="4:8" x14ac:dyDescent="0.25">
      <c r="D4018" s="4">
        <v>37539</v>
      </c>
      <c r="E4018" s="6">
        <v>27.7</v>
      </c>
      <c r="G4018" s="4"/>
      <c r="H4018" s="5"/>
    </row>
    <row r="4019" spans="4:8" x14ac:dyDescent="0.25">
      <c r="D4019" s="4">
        <v>37540</v>
      </c>
      <c r="E4019" s="6">
        <v>28.18</v>
      </c>
      <c r="G4019" s="4"/>
      <c r="H4019" s="5"/>
    </row>
    <row r="4020" spans="4:8" x14ac:dyDescent="0.25">
      <c r="D4020" s="4">
        <v>37543</v>
      </c>
      <c r="E4020" s="6">
        <v>28.56</v>
      </c>
      <c r="G4020" s="4"/>
      <c r="H4020" s="5"/>
    </row>
    <row r="4021" spans="4:8" x14ac:dyDescent="0.25">
      <c r="D4021" s="4">
        <v>37544</v>
      </c>
      <c r="E4021" s="6">
        <v>28.66</v>
      </c>
      <c r="G4021" s="4"/>
      <c r="H4021" s="5"/>
    </row>
    <row r="4022" spans="4:8" x14ac:dyDescent="0.25">
      <c r="D4022" s="4">
        <v>37545</v>
      </c>
      <c r="E4022" s="6">
        <v>28.61</v>
      </c>
      <c r="G4022" s="4"/>
      <c r="H4022" s="5"/>
    </row>
    <row r="4023" spans="4:8" x14ac:dyDescent="0.25">
      <c r="D4023" s="4">
        <v>37546</v>
      </c>
      <c r="E4023" s="6">
        <v>28.22</v>
      </c>
      <c r="G4023" s="4"/>
      <c r="H4023" s="5"/>
    </row>
    <row r="4024" spans="4:8" x14ac:dyDescent="0.25">
      <c r="D4024" s="4">
        <v>37547</v>
      </c>
      <c r="E4024" s="6">
        <v>28.2</v>
      </c>
      <c r="G4024" s="4"/>
      <c r="H4024" s="5"/>
    </row>
    <row r="4025" spans="4:8" x14ac:dyDescent="0.25">
      <c r="D4025" s="4">
        <v>37550</v>
      </c>
      <c r="E4025" s="6">
        <v>27.01</v>
      </c>
      <c r="G4025" s="4"/>
      <c r="H4025" s="5"/>
    </row>
    <row r="4026" spans="4:8" x14ac:dyDescent="0.25">
      <c r="D4026" s="4">
        <v>37551</v>
      </c>
      <c r="E4026" s="6">
        <v>26.69</v>
      </c>
      <c r="G4026" s="4"/>
      <c r="H4026" s="5"/>
    </row>
    <row r="4027" spans="4:8" x14ac:dyDescent="0.25">
      <c r="D4027" s="4">
        <v>37552</v>
      </c>
      <c r="E4027" s="6">
        <v>26.68</v>
      </c>
      <c r="G4027" s="4"/>
      <c r="H4027" s="5"/>
    </row>
    <row r="4028" spans="4:8" x14ac:dyDescent="0.25">
      <c r="D4028" s="4">
        <v>37553</v>
      </c>
      <c r="E4028" s="6">
        <v>26.78</v>
      </c>
      <c r="G4028" s="4"/>
      <c r="H4028" s="5"/>
    </row>
    <row r="4029" spans="4:8" x14ac:dyDescent="0.25">
      <c r="D4029" s="4">
        <v>37554</v>
      </c>
      <c r="E4029" s="6">
        <v>25.96</v>
      </c>
      <c r="G4029" s="4"/>
      <c r="H4029" s="5"/>
    </row>
    <row r="4030" spans="4:8" x14ac:dyDescent="0.25">
      <c r="D4030" s="4">
        <v>37557</v>
      </c>
      <c r="E4030" s="6">
        <v>25.44</v>
      </c>
      <c r="G4030" s="4"/>
      <c r="H4030" s="5"/>
    </row>
    <row r="4031" spans="4:8" x14ac:dyDescent="0.25">
      <c r="D4031" s="4">
        <v>37558</v>
      </c>
      <c r="E4031" s="6">
        <v>25.71</v>
      </c>
      <c r="G4031" s="4"/>
      <c r="H4031" s="5"/>
    </row>
    <row r="4032" spans="4:8" x14ac:dyDescent="0.25">
      <c r="D4032" s="4">
        <v>37559</v>
      </c>
      <c r="E4032" s="6">
        <v>25.29</v>
      </c>
      <c r="G4032" s="4"/>
      <c r="H4032" s="5"/>
    </row>
    <row r="4033" spans="4:8" x14ac:dyDescent="0.25">
      <c r="D4033" s="4">
        <v>37560</v>
      </c>
      <c r="E4033" s="6">
        <v>25.51</v>
      </c>
      <c r="G4033" s="4"/>
      <c r="H4033" s="5"/>
    </row>
    <row r="4034" spans="4:8" x14ac:dyDescent="0.25">
      <c r="D4034" s="4">
        <v>37561</v>
      </c>
      <c r="E4034" s="6">
        <v>25.78</v>
      </c>
      <c r="G4034" s="4"/>
      <c r="H4034" s="5"/>
    </row>
    <row r="4035" spans="4:8" x14ac:dyDescent="0.25">
      <c r="D4035" s="4">
        <v>37564</v>
      </c>
      <c r="E4035" s="6">
        <v>25.21</v>
      </c>
      <c r="G4035" s="4"/>
      <c r="H4035" s="5"/>
    </row>
    <row r="4036" spans="4:8" x14ac:dyDescent="0.25">
      <c r="D4036" s="4">
        <v>37565</v>
      </c>
      <c r="E4036" s="6">
        <v>24.66</v>
      </c>
      <c r="G4036" s="4"/>
      <c r="H4036" s="5"/>
    </row>
    <row r="4037" spans="4:8" x14ac:dyDescent="0.25">
      <c r="D4037" s="4">
        <v>37566</v>
      </c>
      <c r="E4037" s="6">
        <v>23.73</v>
      </c>
      <c r="G4037" s="4"/>
      <c r="H4037" s="5"/>
    </row>
    <row r="4038" spans="4:8" x14ac:dyDescent="0.25">
      <c r="D4038" s="4">
        <v>37567</v>
      </c>
      <c r="E4038" s="6">
        <v>24.36</v>
      </c>
      <c r="G4038" s="4"/>
      <c r="H4038" s="5"/>
    </row>
    <row r="4039" spans="4:8" x14ac:dyDescent="0.25">
      <c r="D4039" s="4">
        <v>37568</v>
      </c>
      <c r="E4039" s="6">
        <v>23.54</v>
      </c>
      <c r="G4039" s="4"/>
      <c r="H4039" s="5"/>
    </row>
    <row r="4040" spans="4:8" x14ac:dyDescent="0.25">
      <c r="D4040" s="4">
        <v>37571</v>
      </c>
      <c r="E4040" s="6">
        <v>23.86</v>
      </c>
      <c r="G4040" s="4"/>
      <c r="H4040" s="5"/>
    </row>
    <row r="4041" spans="4:8" x14ac:dyDescent="0.25">
      <c r="D4041" s="4">
        <v>37572</v>
      </c>
      <c r="E4041" s="6">
        <v>24.01</v>
      </c>
      <c r="G4041" s="4"/>
      <c r="H4041" s="5"/>
    </row>
    <row r="4042" spans="4:8" x14ac:dyDescent="0.25">
      <c r="D4042" s="4">
        <v>37573</v>
      </c>
      <c r="E4042" s="6">
        <v>22.96</v>
      </c>
      <c r="G4042" s="4"/>
      <c r="H4042" s="5"/>
    </row>
    <row r="4043" spans="4:8" x14ac:dyDescent="0.25">
      <c r="D4043" s="4">
        <v>37574</v>
      </c>
      <c r="E4043" s="6">
        <v>22.82</v>
      </c>
      <c r="G4043" s="4"/>
      <c r="H4043" s="5"/>
    </row>
    <row r="4044" spans="4:8" x14ac:dyDescent="0.25">
      <c r="D4044" s="4">
        <v>37575</v>
      </c>
      <c r="E4044" s="6">
        <v>23.33</v>
      </c>
      <c r="G4044" s="4"/>
      <c r="H4044" s="5"/>
    </row>
    <row r="4045" spans="4:8" x14ac:dyDescent="0.25">
      <c r="D4045" s="4">
        <v>37578</v>
      </c>
      <c r="E4045" s="6">
        <v>23.41</v>
      </c>
      <c r="G4045" s="4"/>
      <c r="H4045" s="5"/>
    </row>
    <row r="4046" spans="4:8" x14ac:dyDescent="0.25">
      <c r="D4046" s="4">
        <v>37579</v>
      </c>
      <c r="E4046" s="6">
        <v>24.05</v>
      </c>
      <c r="G4046" s="4"/>
      <c r="H4046" s="5"/>
    </row>
    <row r="4047" spans="4:8" x14ac:dyDescent="0.25">
      <c r="D4047" s="4">
        <v>37580</v>
      </c>
      <c r="E4047" s="6">
        <v>24.05</v>
      </c>
      <c r="G4047" s="4"/>
      <c r="H4047" s="5"/>
    </row>
    <row r="4048" spans="4:8" x14ac:dyDescent="0.25">
      <c r="D4048" s="4">
        <v>37581</v>
      </c>
      <c r="E4048" s="6">
        <v>24.52</v>
      </c>
      <c r="G4048" s="4"/>
      <c r="H4048" s="5"/>
    </row>
    <row r="4049" spans="4:8" x14ac:dyDescent="0.25">
      <c r="D4049" s="4">
        <v>37582</v>
      </c>
      <c r="E4049" s="6">
        <v>24.79</v>
      </c>
      <c r="G4049" s="4"/>
      <c r="H4049" s="5"/>
    </row>
    <row r="4050" spans="4:8" x14ac:dyDescent="0.25">
      <c r="D4050" s="4">
        <v>37585</v>
      </c>
      <c r="E4050" s="6">
        <v>24.85</v>
      </c>
      <c r="G4050" s="4"/>
      <c r="H4050" s="5"/>
    </row>
    <row r="4051" spans="4:8" x14ac:dyDescent="0.25">
      <c r="D4051" s="4">
        <v>37586</v>
      </c>
      <c r="E4051" s="6">
        <v>24.56</v>
      </c>
      <c r="G4051" s="4"/>
      <c r="H4051" s="5"/>
    </row>
    <row r="4052" spans="4:8" x14ac:dyDescent="0.25">
      <c r="D4052" s="4">
        <v>37587</v>
      </c>
      <c r="E4052" s="6">
        <v>25.11</v>
      </c>
      <c r="G4052" s="4"/>
      <c r="H4052" s="5"/>
    </row>
    <row r="4053" spans="4:8" x14ac:dyDescent="0.25">
      <c r="D4053" s="4">
        <v>37588</v>
      </c>
      <c r="E4053" s="6">
        <v>25.7</v>
      </c>
      <c r="G4053" s="4"/>
      <c r="H4053" s="5"/>
    </row>
    <row r="4054" spans="4:8" x14ac:dyDescent="0.25">
      <c r="D4054" s="4">
        <v>37589</v>
      </c>
      <c r="E4054" s="6">
        <v>25.74</v>
      </c>
      <c r="G4054" s="4"/>
      <c r="H4054" s="5"/>
    </row>
    <row r="4055" spans="4:8" x14ac:dyDescent="0.25">
      <c r="D4055" s="4">
        <v>37592</v>
      </c>
      <c r="E4055" s="6">
        <v>25.73</v>
      </c>
      <c r="G4055" s="4"/>
      <c r="H4055" s="5"/>
    </row>
    <row r="4056" spans="4:8" x14ac:dyDescent="0.25">
      <c r="D4056" s="4">
        <v>37593</v>
      </c>
      <c r="E4056" s="6">
        <v>26.09</v>
      </c>
      <c r="G4056" s="4"/>
      <c r="H4056" s="5"/>
    </row>
    <row r="4057" spans="4:8" x14ac:dyDescent="0.25">
      <c r="D4057" s="4">
        <v>37594</v>
      </c>
      <c r="E4057" s="6">
        <v>25.99</v>
      </c>
      <c r="G4057" s="4"/>
      <c r="H4057" s="5"/>
    </row>
    <row r="4058" spans="4:8" x14ac:dyDescent="0.25">
      <c r="D4058" s="4">
        <v>37595</v>
      </c>
      <c r="E4058" s="6">
        <v>26.07</v>
      </c>
      <c r="G4058" s="4"/>
      <c r="H4058" s="5"/>
    </row>
    <row r="4059" spans="4:8" x14ac:dyDescent="0.25">
      <c r="D4059" s="4">
        <v>37596</v>
      </c>
      <c r="E4059" s="6">
        <v>25.67</v>
      </c>
      <c r="G4059" s="4"/>
      <c r="H4059" s="5"/>
    </row>
    <row r="4060" spans="4:8" x14ac:dyDescent="0.25">
      <c r="D4060" s="4">
        <v>37599</v>
      </c>
      <c r="E4060" s="6">
        <v>26.06</v>
      </c>
      <c r="G4060" s="4"/>
      <c r="H4060" s="5"/>
    </row>
    <row r="4061" spans="4:8" x14ac:dyDescent="0.25">
      <c r="D4061" s="4">
        <v>37600</v>
      </c>
      <c r="E4061" s="6">
        <v>26.35</v>
      </c>
      <c r="G4061" s="4"/>
      <c r="H4061" s="5"/>
    </row>
    <row r="4062" spans="4:8" x14ac:dyDescent="0.25">
      <c r="D4062" s="4">
        <v>37601</v>
      </c>
      <c r="E4062" s="6">
        <v>26.85</v>
      </c>
      <c r="G4062" s="4"/>
      <c r="H4062" s="5"/>
    </row>
    <row r="4063" spans="4:8" x14ac:dyDescent="0.25">
      <c r="D4063" s="4">
        <v>37602</v>
      </c>
      <c r="E4063" s="6">
        <v>27.29</v>
      </c>
      <c r="G4063" s="4"/>
      <c r="H4063" s="5"/>
    </row>
    <row r="4064" spans="4:8" x14ac:dyDescent="0.25">
      <c r="D4064" s="4">
        <v>37603</v>
      </c>
      <c r="E4064" s="6">
        <v>27.64</v>
      </c>
      <c r="G4064" s="4"/>
      <c r="H4064" s="5"/>
    </row>
    <row r="4065" spans="4:8" x14ac:dyDescent="0.25">
      <c r="D4065" s="4">
        <v>37606</v>
      </c>
      <c r="E4065" s="6">
        <v>28.73</v>
      </c>
      <c r="G4065" s="4"/>
      <c r="H4065" s="5"/>
    </row>
    <row r="4066" spans="4:8" x14ac:dyDescent="0.25">
      <c r="D4066" s="4">
        <v>37607</v>
      </c>
      <c r="E4066" s="6">
        <v>29.25</v>
      </c>
      <c r="G4066" s="4"/>
      <c r="H4066" s="5"/>
    </row>
    <row r="4067" spans="4:8" x14ac:dyDescent="0.25">
      <c r="D4067" s="4">
        <v>37608</v>
      </c>
      <c r="E4067" s="6">
        <v>29.95</v>
      </c>
      <c r="G4067" s="4"/>
      <c r="H4067" s="5"/>
    </row>
    <row r="4068" spans="4:8" x14ac:dyDescent="0.25">
      <c r="D4068" s="4">
        <v>37609</v>
      </c>
      <c r="E4068" s="6">
        <v>30.26</v>
      </c>
      <c r="G4068" s="4"/>
      <c r="H4068" s="5"/>
    </row>
    <row r="4069" spans="4:8" x14ac:dyDescent="0.25">
      <c r="D4069" s="4">
        <v>37610</v>
      </c>
      <c r="E4069" s="6">
        <v>29.59</v>
      </c>
      <c r="G4069" s="4"/>
      <c r="H4069" s="5"/>
    </row>
    <row r="4070" spans="4:8" x14ac:dyDescent="0.25">
      <c r="D4070" s="4">
        <v>37613</v>
      </c>
      <c r="E4070" s="6">
        <v>30.61</v>
      </c>
      <c r="G4070" s="4"/>
      <c r="H4070" s="5"/>
    </row>
    <row r="4071" spans="4:8" x14ac:dyDescent="0.25">
      <c r="D4071" s="4">
        <v>37614</v>
      </c>
      <c r="E4071" s="6">
        <v>30.93</v>
      </c>
      <c r="G4071" s="4"/>
      <c r="H4071" s="5"/>
    </row>
    <row r="4072" spans="4:8" x14ac:dyDescent="0.25">
      <c r="D4072" s="4">
        <v>37615</v>
      </c>
      <c r="E4072" s="5"/>
      <c r="G4072" s="4"/>
      <c r="H4072" s="5"/>
    </row>
    <row r="4073" spans="4:8" x14ac:dyDescent="0.25">
      <c r="D4073" s="4">
        <v>37616</v>
      </c>
      <c r="E4073" s="5"/>
      <c r="G4073" s="4"/>
      <c r="H4073" s="5"/>
    </row>
    <row r="4074" spans="4:8" x14ac:dyDescent="0.25">
      <c r="D4074" s="4">
        <v>37617</v>
      </c>
      <c r="E4074" s="6">
        <v>31.49</v>
      </c>
      <c r="G4074" s="4"/>
      <c r="H4074" s="5"/>
    </row>
    <row r="4075" spans="4:8" x14ac:dyDescent="0.25">
      <c r="D4075" s="4">
        <v>37620</v>
      </c>
      <c r="E4075" s="6">
        <v>32.020000000000003</v>
      </c>
      <c r="G4075" s="4"/>
      <c r="H4075" s="5"/>
    </row>
    <row r="4076" spans="4:8" x14ac:dyDescent="0.25">
      <c r="D4076" s="4">
        <v>37621</v>
      </c>
      <c r="E4076" s="6">
        <v>30.12</v>
      </c>
      <c r="G4076" s="4"/>
      <c r="H4076" s="5"/>
    </row>
    <row r="4077" spans="4:8" x14ac:dyDescent="0.25">
      <c r="D4077" s="4">
        <v>37622</v>
      </c>
      <c r="E4077" s="5"/>
      <c r="G4077" s="4"/>
      <c r="H4077" s="5"/>
    </row>
    <row r="4078" spans="4:8" x14ac:dyDescent="0.25">
      <c r="D4078" s="4">
        <v>37623</v>
      </c>
      <c r="E4078" s="6">
        <v>30.32</v>
      </c>
      <c r="G4078" s="4"/>
      <c r="H4078" s="5"/>
    </row>
    <row r="4079" spans="4:8" x14ac:dyDescent="0.25">
      <c r="D4079" s="4">
        <v>37624</v>
      </c>
      <c r="E4079" s="6">
        <v>31.43</v>
      </c>
      <c r="G4079" s="4"/>
      <c r="H4079" s="5"/>
    </row>
    <row r="4080" spans="4:8" x14ac:dyDescent="0.25">
      <c r="D4080" s="4">
        <v>37627</v>
      </c>
      <c r="E4080" s="6">
        <v>31.43</v>
      </c>
      <c r="G4080" s="4"/>
      <c r="H4080" s="5"/>
    </row>
    <row r="4081" spans="4:8" x14ac:dyDescent="0.25">
      <c r="D4081" s="4">
        <v>37628</v>
      </c>
      <c r="E4081" s="6">
        <v>30.78</v>
      </c>
      <c r="G4081" s="4"/>
      <c r="H4081" s="5"/>
    </row>
    <row r="4082" spans="4:8" x14ac:dyDescent="0.25">
      <c r="D4082" s="4">
        <v>37629</v>
      </c>
      <c r="E4082" s="6">
        <v>29.3</v>
      </c>
      <c r="G4082" s="4"/>
      <c r="H4082" s="5"/>
    </row>
    <row r="4083" spans="4:8" x14ac:dyDescent="0.25">
      <c r="D4083" s="4">
        <v>37630</v>
      </c>
      <c r="E4083" s="6">
        <v>30.26</v>
      </c>
      <c r="G4083" s="4"/>
      <c r="H4083" s="5"/>
    </row>
    <row r="4084" spans="4:8" x14ac:dyDescent="0.25">
      <c r="D4084" s="4">
        <v>37631</v>
      </c>
      <c r="E4084" s="6">
        <v>30.07</v>
      </c>
      <c r="G4084" s="4"/>
      <c r="H4084" s="5"/>
    </row>
    <row r="4085" spans="4:8" x14ac:dyDescent="0.25">
      <c r="D4085" s="4">
        <v>37634</v>
      </c>
      <c r="E4085" s="6">
        <v>30.46</v>
      </c>
      <c r="G4085" s="4"/>
      <c r="H4085" s="5"/>
    </row>
    <row r="4086" spans="4:8" x14ac:dyDescent="0.25">
      <c r="D4086" s="4">
        <v>37635</v>
      </c>
      <c r="E4086" s="6">
        <v>31.36</v>
      </c>
      <c r="G4086" s="4"/>
      <c r="H4086" s="5"/>
    </row>
    <row r="4087" spans="4:8" x14ac:dyDescent="0.25">
      <c r="D4087" s="4">
        <v>37636</v>
      </c>
      <c r="E4087" s="6">
        <v>31.73</v>
      </c>
      <c r="G4087" s="4"/>
      <c r="H4087" s="5"/>
    </row>
    <row r="4088" spans="4:8" x14ac:dyDescent="0.25">
      <c r="D4088" s="4">
        <v>37637</v>
      </c>
      <c r="E4088" s="6">
        <v>32.29</v>
      </c>
      <c r="G4088" s="4"/>
      <c r="H4088" s="5"/>
    </row>
    <row r="4089" spans="4:8" x14ac:dyDescent="0.25">
      <c r="D4089" s="4">
        <v>37638</v>
      </c>
      <c r="E4089" s="6">
        <v>31.57</v>
      </c>
      <c r="G4089" s="4"/>
      <c r="H4089" s="5"/>
    </row>
    <row r="4090" spans="4:8" x14ac:dyDescent="0.25">
      <c r="D4090" s="4">
        <v>37641</v>
      </c>
      <c r="E4090" s="6">
        <v>32.229999999999997</v>
      </c>
      <c r="G4090" s="4"/>
      <c r="H4090" s="5"/>
    </row>
    <row r="4091" spans="4:8" x14ac:dyDescent="0.25">
      <c r="D4091" s="4">
        <v>37642</v>
      </c>
      <c r="E4091" s="6">
        <v>31.72</v>
      </c>
      <c r="G4091" s="4"/>
      <c r="H4091" s="5"/>
    </row>
    <row r="4092" spans="4:8" x14ac:dyDescent="0.25">
      <c r="D4092" s="4">
        <v>37643</v>
      </c>
      <c r="E4092" s="6">
        <v>32.07</v>
      </c>
      <c r="G4092" s="4"/>
      <c r="H4092" s="5"/>
    </row>
    <row r="4093" spans="4:8" x14ac:dyDescent="0.25">
      <c r="D4093" s="4">
        <v>37644</v>
      </c>
      <c r="E4093" s="6">
        <v>31.4</v>
      </c>
      <c r="G4093" s="4"/>
      <c r="H4093" s="5"/>
    </row>
    <row r="4094" spans="4:8" x14ac:dyDescent="0.25">
      <c r="D4094" s="4">
        <v>37645</v>
      </c>
      <c r="E4094" s="6">
        <v>31.62</v>
      </c>
      <c r="G4094" s="4"/>
      <c r="H4094" s="5"/>
    </row>
    <row r="4095" spans="4:8" x14ac:dyDescent="0.25">
      <c r="D4095" s="4">
        <v>37648</v>
      </c>
      <c r="E4095" s="6">
        <v>31.02</v>
      </c>
      <c r="G4095" s="4"/>
      <c r="H4095" s="5"/>
    </row>
    <row r="4096" spans="4:8" x14ac:dyDescent="0.25">
      <c r="D4096" s="4">
        <v>37649</v>
      </c>
      <c r="E4096" s="6">
        <v>30.73</v>
      </c>
      <c r="G4096" s="4"/>
      <c r="H4096" s="5"/>
    </row>
    <row r="4097" spans="4:8" x14ac:dyDescent="0.25">
      <c r="D4097" s="4">
        <v>37650</v>
      </c>
      <c r="E4097" s="6">
        <v>31.26</v>
      </c>
      <c r="G4097" s="4"/>
      <c r="H4097" s="5"/>
    </row>
    <row r="4098" spans="4:8" x14ac:dyDescent="0.25">
      <c r="D4098" s="4">
        <v>37651</v>
      </c>
      <c r="E4098" s="6">
        <v>31.42</v>
      </c>
      <c r="G4098" s="4"/>
      <c r="H4098" s="5"/>
    </row>
    <row r="4099" spans="4:8" x14ac:dyDescent="0.25">
      <c r="D4099" s="4">
        <v>37652</v>
      </c>
      <c r="E4099" s="6">
        <v>31.57</v>
      </c>
      <c r="G4099" s="4"/>
      <c r="H4099" s="5"/>
    </row>
    <row r="4100" spans="4:8" x14ac:dyDescent="0.25">
      <c r="D4100" s="4">
        <v>37655</v>
      </c>
      <c r="E4100" s="6">
        <v>30.95</v>
      </c>
      <c r="G4100" s="4"/>
      <c r="H4100" s="5"/>
    </row>
    <row r="4101" spans="4:8" x14ac:dyDescent="0.25">
      <c r="D4101" s="4">
        <v>37656</v>
      </c>
      <c r="E4101" s="6">
        <v>31.13</v>
      </c>
      <c r="G4101" s="4"/>
      <c r="H4101" s="5"/>
    </row>
    <row r="4102" spans="4:8" x14ac:dyDescent="0.25">
      <c r="D4102" s="4">
        <v>37657</v>
      </c>
      <c r="E4102" s="6">
        <v>31.77</v>
      </c>
      <c r="G4102" s="4"/>
      <c r="H4102" s="5"/>
    </row>
    <row r="4103" spans="4:8" x14ac:dyDescent="0.25">
      <c r="D4103" s="4">
        <v>37658</v>
      </c>
      <c r="E4103" s="6">
        <v>31.81</v>
      </c>
      <c r="G4103" s="4"/>
      <c r="H4103" s="5"/>
    </row>
    <row r="4104" spans="4:8" x14ac:dyDescent="0.25">
      <c r="D4104" s="4">
        <v>37659</v>
      </c>
      <c r="E4104" s="6">
        <v>32.229999999999997</v>
      </c>
      <c r="G4104" s="4"/>
      <c r="H4104" s="5"/>
    </row>
    <row r="4105" spans="4:8" x14ac:dyDescent="0.25">
      <c r="D4105" s="4">
        <v>37662</v>
      </c>
      <c r="E4105" s="6">
        <v>32.47</v>
      </c>
      <c r="G4105" s="4"/>
      <c r="H4105" s="5"/>
    </row>
    <row r="4106" spans="4:8" x14ac:dyDescent="0.25">
      <c r="D4106" s="4">
        <v>37663</v>
      </c>
      <c r="E4106" s="6">
        <v>32.51</v>
      </c>
      <c r="G4106" s="4"/>
      <c r="H4106" s="5"/>
    </row>
    <row r="4107" spans="4:8" x14ac:dyDescent="0.25">
      <c r="D4107" s="4">
        <v>37664</v>
      </c>
      <c r="E4107" s="6">
        <v>32.46</v>
      </c>
      <c r="G4107" s="4"/>
      <c r="H4107" s="5"/>
    </row>
    <row r="4108" spans="4:8" x14ac:dyDescent="0.25">
      <c r="D4108" s="4">
        <v>37665</v>
      </c>
      <c r="E4108" s="6">
        <v>33.229999999999997</v>
      </c>
      <c r="G4108" s="4"/>
      <c r="H4108" s="5"/>
    </row>
    <row r="4109" spans="4:8" x14ac:dyDescent="0.25">
      <c r="D4109" s="4">
        <v>37666</v>
      </c>
      <c r="E4109" s="6">
        <v>33.26</v>
      </c>
      <c r="G4109" s="4"/>
      <c r="H4109" s="5"/>
    </row>
    <row r="4110" spans="4:8" x14ac:dyDescent="0.25">
      <c r="D4110" s="4">
        <v>37669</v>
      </c>
      <c r="E4110" s="6">
        <v>33.06</v>
      </c>
      <c r="G4110" s="4"/>
      <c r="H4110" s="5"/>
    </row>
    <row r="4111" spans="4:8" x14ac:dyDescent="0.25">
      <c r="D4111" s="4">
        <v>37670</v>
      </c>
      <c r="E4111" s="6">
        <v>33.26</v>
      </c>
      <c r="G4111" s="4"/>
      <c r="H4111" s="5"/>
    </row>
    <row r="4112" spans="4:8" x14ac:dyDescent="0.25">
      <c r="D4112" s="4">
        <v>37671</v>
      </c>
      <c r="E4112" s="6">
        <v>33.159999999999997</v>
      </c>
      <c r="G4112" s="4"/>
      <c r="H4112" s="5"/>
    </row>
    <row r="4113" spans="4:8" x14ac:dyDescent="0.25">
      <c r="D4113" s="4">
        <v>37672</v>
      </c>
      <c r="E4113" s="6">
        <v>32.76</v>
      </c>
      <c r="G4113" s="4"/>
      <c r="H4113" s="5"/>
    </row>
    <row r="4114" spans="4:8" x14ac:dyDescent="0.25">
      <c r="D4114" s="4">
        <v>37673</v>
      </c>
      <c r="E4114" s="6">
        <v>32.76</v>
      </c>
      <c r="G4114" s="4"/>
      <c r="H4114" s="5"/>
    </row>
    <row r="4115" spans="4:8" x14ac:dyDescent="0.25">
      <c r="D4115" s="4">
        <v>37676</v>
      </c>
      <c r="E4115" s="6">
        <v>33.409999999999997</v>
      </c>
      <c r="G4115" s="4"/>
      <c r="H4115" s="5"/>
    </row>
    <row r="4116" spans="4:8" x14ac:dyDescent="0.25">
      <c r="D4116" s="4">
        <v>37677</v>
      </c>
      <c r="E4116" s="6">
        <v>33.64</v>
      </c>
      <c r="G4116" s="4"/>
      <c r="H4116" s="5"/>
    </row>
    <row r="4117" spans="4:8" x14ac:dyDescent="0.25">
      <c r="D4117" s="4">
        <v>37678</v>
      </c>
      <c r="E4117" s="6">
        <v>33.46</v>
      </c>
      <c r="G4117" s="4"/>
      <c r="H4117" s="5"/>
    </row>
    <row r="4118" spans="4:8" x14ac:dyDescent="0.25">
      <c r="D4118" s="4">
        <v>37679</v>
      </c>
      <c r="E4118" s="6">
        <v>34.090000000000003</v>
      </c>
      <c r="G4118" s="4"/>
      <c r="H4118" s="5"/>
    </row>
    <row r="4119" spans="4:8" x14ac:dyDescent="0.25">
      <c r="D4119" s="4">
        <v>37680</v>
      </c>
      <c r="E4119" s="6">
        <v>34</v>
      </c>
      <c r="G4119" s="4"/>
      <c r="H4119" s="5"/>
    </row>
    <row r="4120" spans="4:8" x14ac:dyDescent="0.25">
      <c r="D4120" s="4">
        <v>37683</v>
      </c>
      <c r="E4120" s="6">
        <v>33.4</v>
      </c>
      <c r="G4120" s="4"/>
      <c r="H4120" s="5"/>
    </row>
    <row r="4121" spans="4:8" x14ac:dyDescent="0.25">
      <c r="D4121" s="4">
        <v>37684</v>
      </c>
      <c r="E4121" s="6">
        <v>34.369999999999997</v>
      </c>
      <c r="G4121" s="4"/>
      <c r="H4121" s="5"/>
    </row>
    <row r="4122" spans="4:8" x14ac:dyDescent="0.25">
      <c r="D4122" s="4">
        <v>37685</v>
      </c>
      <c r="E4122" s="6">
        <v>33.92</v>
      </c>
      <c r="G4122" s="4"/>
      <c r="H4122" s="5"/>
    </row>
    <row r="4123" spans="4:8" x14ac:dyDescent="0.25">
      <c r="D4123" s="4">
        <v>37686</v>
      </c>
      <c r="E4123" s="6">
        <v>34.39</v>
      </c>
      <c r="G4123" s="4"/>
      <c r="H4123" s="5"/>
    </row>
    <row r="4124" spans="4:8" x14ac:dyDescent="0.25">
      <c r="D4124" s="4">
        <v>37687</v>
      </c>
      <c r="E4124" s="6">
        <v>34.47</v>
      </c>
      <c r="G4124" s="4"/>
      <c r="H4124" s="5"/>
    </row>
    <row r="4125" spans="4:8" x14ac:dyDescent="0.25">
      <c r="D4125" s="4">
        <v>37690</v>
      </c>
      <c r="E4125" s="6">
        <v>34.94</v>
      </c>
      <c r="G4125" s="4"/>
      <c r="H4125" s="5"/>
    </row>
    <row r="4126" spans="4:8" x14ac:dyDescent="0.25">
      <c r="D4126" s="4">
        <v>37691</v>
      </c>
      <c r="E4126" s="6">
        <v>34.06</v>
      </c>
      <c r="G4126" s="4"/>
      <c r="H4126" s="5"/>
    </row>
    <row r="4127" spans="4:8" x14ac:dyDescent="0.25">
      <c r="D4127" s="4">
        <v>37692</v>
      </c>
      <c r="E4127" s="6">
        <v>34.159999999999997</v>
      </c>
      <c r="G4127" s="4"/>
      <c r="H4127" s="5"/>
    </row>
    <row r="4128" spans="4:8" x14ac:dyDescent="0.25">
      <c r="D4128" s="4">
        <v>37693</v>
      </c>
      <c r="E4128" s="6">
        <v>33.979999999999997</v>
      </c>
      <c r="G4128" s="4"/>
      <c r="H4128" s="5"/>
    </row>
    <row r="4129" spans="4:8" x14ac:dyDescent="0.25">
      <c r="D4129" s="4">
        <v>37694</v>
      </c>
      <c r="E4129" s="6">
        <v>31.48</v>
      </c>
      <c r="G4129" s="4"/>
      <c r="H4129" s="5"/>
    </row>
    <row r="4130" spans="4:8" x14ac:dyDescent="0.25">
      <c r="D4130" s="4">
        <v>37697</v>
      </c>
      <c r="E4130" s="6">
        <v>30.35</v>
      </c>
      <c r="G4130" s="4"/>
      <c r="H4130" s="5"/>
    </row>
    <row r="4131" spans="4:8" x14ac:dyDescent="0.25">
      <c r="D4131" s="4">
        <v>37698</v>
      </c>
      <c r="E4131" s="6">
        <v>28.55</v>
      </c>
      <c r="G4131" s="4"/>
      <c r="H4131" s="5"/>
    </row>
    <row r="4132" spans="4:8" x14ac:dyDescent="0.25">
      <c r="D4132" s="4">
        <v>37699</v>
      </c>
      <c r="E4132" s="6">
        <v>28.4</v>
      </c>
      <c r="G4132" s="4"/>
      <c r="H4132" s="5"/>
    </row>
    <row r="4133" spans="4:8" x14ac:dyDescent="0.25">
      <c r="D4133" s="4">
        <v>37700</v>
      </c>
      <c r="E4133" s="6">
        <v>28</v>
      </c>
      <c r="G4133" s="4"/>
      <c r="H4133" s="5"/>
    </row>
    <row r="4134" spans="4:8" x14ac:dyDescent="0.25">
      <c r="D4134" s="4">
        <v>37701</v>
      </c>
      <c r="E4134" s="6">
        <v>25.59</v>
      </c>
      <c r="G4134" s="4"/>
      <c r="H4134" s="5"/>
    </row>
    <row r="4135" spans="4:8" x14ac:dyDescent="0.25">
      <c r="D4135" s="4">
        <v>37704</v>
      </c>
      <c r="E4135" s="6">
        <v>26.54</v>
      </c>
      <c r="G4135" s="4"/>
      <c r="H4135" s="5"/>
    </row>
    <row r="4136" spans="4:8" x14ac:dyDescent="0.25">
      <c r="D4136" s="4">
        <v>37705</v>
      </c>
      <c r="E4136" s="6">
        <v>27.28</v>
      </c>
      <c r="G4136" s="4"/>
      <c r="H4136" s="5"/>
    </row>
    <row r="4137" spans="4:8" x14ac:dyDescent="0.25">
      <c r="D4137" s="4">
        <v>37706</v>
      </c>
      <c r="E4137" s="6">
        <v>25.98</v>
      </c>
      <c r="G4137" s="4"/>
      <c r="H4137" s="5"/>
    </row>
    <row r="4138" spans="4:8" x14ac:dyDescent="0.25">
      <c r="D4138" s="4">
        <v>37707</v>
      </c>
      <c r="E4138" s="6">
        <v>27.29</v>
      </c>
      <c r="G4138" s="4"/>
      <c r="H4138" s="5"/>
    </row>
    <row r="4139" spans="4:8" x14ac:dyDescent="0.25">
      <c r="D4139" s="4">
        <v>37708</v>
      </c>
      <c r="E4139" s="6">
        <v>27.66</v>
      </c>
      <c r="G4139" s="4"/>
      <c r="H4139" s="5"/>
    </row>
    <row r="4140" spans="4:8" x14ac:dyDescent="0.25">
      <c r="D4140" s="4">
        <v>37711</v>
      </c>
      <c r="E4140" s="6">
        <v>28.05</v>
      </c>
      <c r="G4140" s="4"/>
      <c r="H4140" s="5"/>
    </row>
    <row r="4141" spans="4:8" x14ac:dyDescent="0.25">
      <c r="D4141" s="4">
        <v>37712</v>
      </c>
      <c r="E4141" s="6">
        <v>27.94</v>
      </c>
      <c r="G4141" s="4"/>
      <c r="H4141" s="5"/>
    </row>
    <row r="4142" spans="4:8" x14ac:dyDescent="0.25">
      <c r="D4142" s="4">
        <v>37713</v>
      </c>
      <c r="E4142" s="6">
        <v>26.29</v>
      </c>
      <c r="G4142" s="4"/>
      <c r="H4142" s="5"/>
    </row>
    <row r="4143" spans="4:8" x14ac:dyDescent="0.25">
      <c r="D4143" s="4">
        <v>37714</v>
      </c>
      <c r="E4143" s="6">
        <v>26.75</v>
      </c>
      <c r="G4143" s="4"/>
      <c r="H4143" s="5"/>
    </row>
    <row r="4144" spans="4:8" x14ac:dyDescent="0.25">
      <c r="D4144" s="4">
        <v>37715</v>
      </c>
      <c r="E4144" s="6">
        <v>25.62</v>
      </c>
      <c r="G4144" s="4"/>
      <c r="H4144" s="5"/>
    </row>
    <row r="4145" spans="4:8" x14ac:dyDescent="0.25">
      <c r="D4145" s="4">
        <v>37718</v>
      </c>
      <c r="E4145" s="6">
        <v>25.27</v>
      </c>
      <c r="G4145" s="4"/>
      <c r="H4145" s="5"/>
    </row>
    <row r="4146" spans="4:8" x14ac:dyDescent="0.25">
      <c r="D4146" s="4">
        <v>37719</v>
      </c>
      <c r="E4146" s="6">
        <v>24.88</v>
      </c>
      <c r="G4146" s="4"/>
      <c r="H4146" s="5"/>
    </row>
    <row r="4147" spans="4:8" x14ac:dyDescent="0.25">
      <c r="D4147" s="4">
        <v>37720</v>
      </c>
      <c r="E4147" s="6">
        <v>25.11</v>
      </c>
      <c r="G4147" s="4"/>
      <c r="H4147" s="5"/>
    </row>
    <row r="4148" spans="4:8" x14ac:dyDescent="0.25">
      <c r="D4148" s="4">
        <v>37721</v>
      </c>
      <c r="E4148" s="6">
        <v>25.16</v>
      </c>
      <c r="G4148" s="4"/>
      <c r="H4148" s="5"/>
    </row>
    <row r="4149" spans="4:8" x14ac:dyDescent="0.25">
      <c r="D4149" s="4">
        <v>37722</v>
      </c>
      <c r="E4149" s="6">
        <v>24.39</v>
      </c>
      <c r="G4149" s="4"/>
      <c r="H4149" s="5"/>
    </row>
    <row r="4150" spans="4:8" x14ac:dyDescent="0.25">
      <c r="D4150" s="4">
        <v>37725</v>
      </c>
      <c r="E4150" s="6">
        <v>24.72</v>
      </c>
      <c r="G4150" s="4"/>
      <c r="H4150" s="5"/>
    </row>
    <row r="4151" spans="4:8" x14ac:dyDescent="0.25">
      <c r="D4151" s="4">
        <v>37726</v>
      </c>
      <c r="E4151" s="6">
        <v>24.74</v>
      </c>
      <c r="G4151" s="4"/>
      <c r="H4151" s="5"/>
    </row>
    <row r="4152" spans="4:8" x14ac:dyDescent="0.25">
      <c r="D4152" s="4">
        <v>37727</v>
      </c>
      <c r="E4152" s="6">
        <v>24.86</v>
      </c>
      <c r="G4152" s="4"/>
      <c r="H4152" s="5"/>
    </row>
    <row r="4153" spans="4:8" x14ac:dyDescent="0.25">
      <c r="D4153" s="4">
        <v>37728</v>
      </c>
      <c r="E4153" s="6">
        <v>25.36</v>
      </c>
      <c r="G4153" s="4"/>
      <c r="H4153" s="5"/>
    </row>
    <row r="4154" spans="4:8" x14ac:dyDescent="0.25">
      <c r="D4154" s="4">
        <v>37729</v>
      </c>
      <c r="E4154" s="6">
        <v>25.76</v>
      </c>
      <c r="G4154" s="4"/>
      <c r="H4154" s="5"/>
    </row>
    <row r="4155" spans="4:8" x14ac:dyDescent="0.25">
      <c r="D4155" s="4">
        <v>37732</v>
      </c>
      <c r="E4155" s="6">
        <v>25.76</v>
      </c>
      <c r="G4155" s="4"/>
      <c r="H4155" s="5"/>
    </row>
    <row r="4156" spans="4:8" x14ac:dyDescent="0.25">
      <c r="D4156" s="4">
        <v>37733</v>
      </c>
      <c r="E4156" s="6">
        <v>25.72</v>
      </c>
      <c r="G4156" s="4"/>
      <c r="H4156" s="5"/>
    </row>
    <row r="4157" spans="4:8" x14ac:dyDescent="0.25">
      <c r="D4157" s="4">
        <v>37734</v>
      </c>
      <c r="E4157" s="6">
        <v>24.56</v>
      </c>
      <c r="G4157" s="4"/>
      <c r="H4157" s="5"/>
    </row>
    <row r="4158" spans="4:8" x14ac:dyDescent="0.25">
      <c r="D4158" s="4">
        <v>37735</v>
      </c>
      <c r="E4158" s="6">
        <v>24.06</v>
      </c>
      <c r="G4158" s="4"/>
      <c r="H4158" s="5"/>
    </row>
    <row r="4159" spans="4:8" x14ac:dyDescent="0.25">
      <c r="D4159" s="4">
        <v>37736</v>
      </c>
      <c r="E4159" s="6">
        <v>24.29</v>
      </c>
      <c r="G4159" s="4"/>
      <c r="H4159" s="5"/>
    </row>
    <row r="4160" spans="4:8" x14ac:dyDescent="0.25">
      <c r="D4160" s="4">
        <v>37739</v>
      </c>
      <c r="E4160" s="6">
        <v>23.42</v>
      </c>
      <c r="G4160" s="4"/>
      <c r="H4160" s="5"/>
    </row>
    <row r="4161" spans="4:8" x14ac:dyDescent="0.25">
      <c r="D4161" s="4">
        <v>37740</v>
      </c>
      <c r="E4161" s="6">
        <v>23.23</v>
      </c>
      <c r="G4161" s="4"/>
      <c r="H4161" s="5"/>
    </row>
    <row r="4162" spans="4:8" x14ac:dyDescent="0.25">
      <c r="D4162" s="4">
        <v>37741</v>
      </c>
      <c r="E4162" s="6">
        <v>23.6</v>
      </c>
      <c r="G4162" s="4"/>
      <c r="H4162" s="5"/>
    </row>
    <row r="4163" spans="4:8" x14ac:dyDescent="0.25">
      <c r="D4163" s="4">
        <v>37742</v>
      </c>
      <c r="E4163" s="6">
        <v>23.79</v>
      </c>
      <c r="G4163" s="4"/>
      <c r="H4163" s="5"/>
    </row>
    <row r="4164" spans="4:8" x14ac:dyDescent="0.25">
      <c r="D4164" s="4">
        <v>37743</v>
      </c>
      <c r="E4164" s="6">
        <v>23.73</v>
      </c>
      <c r="G4164" s="4"/>
      <c r="H4164" s="5"/>
    </row>
    <row r="4165" spans="4:8" x14ac:dyDescent="0.25">
      <c r="D4165" s="4">
        <v>37746</v>
      </c>
      <c r="E4165" s="6">
        <v>23.59</v>
      </c>
      <c r="G4165" s="4"/>
      <c r="H4165" s="5"/>
    </row>
    <row r="4166" spans="4:8" x14ac:dyDescent="0.25">
      <c r="D4166" s="4">
        <v>37747</v>
      </c>
      <c r="E4166" s="6">
        <v>23.91</v>
      </c>
      <c r="G4166" s="4"/>
      <c r="H4166" s="5"/>
    </row>
    <row r="4167" spans="4:8" x14ac:dyDescent="0.25">
      <c r="D4167" s="4">
        <v>37748</v>
      </c>
      <c r="E4167" s="6">
        <v>24.01</v>
      </c>
      <c r="G4167" s="4"/>
      <c r="H4167" s="5"/>
    </row>
    <row r="4168" spans="4:8" x14ac:dyDescent="0.25">
      <c r="D4168" s="4">
        <v>37749</v>
      </c>
      <c r="E4168" s="6">
        <v>24.48</v>
      </c>
      <c r="G4168" s="4"/>
      <c r="H4168" s="5"/>
    </row>
    <row r="4169" spans="4:8" x14ac:dyDescent="0.25">
      <c r="D4169" s="4">
        <v>37750</v>
      </c>
      <c r="E4169" s="6">
        <v>25.55</v>
      </c>
      <c r="G4169" s="4"/>
      <c r="H4169" s="5"/>
    </row>
    <row r="4170" spans="4:8" x14ac:dyDescent="0.25">
      <c r="D4170" s="4">
        <v>37753</v>
      </c>
      <c r="E4170" s="6">
        <v>25.69</v>
      </c>
      <c r="G4170" s="4"/>
      <c r="H4170" s="5"/>
    </row>
    <row r="4171" spans="4:8" x14ac:dyDescent="0.25">
      <c r="D4171" s="4">
        <v>37754</v>
      </c>
      <c r="E4171" s="6">
        <v>25.45</v>
      </c>
      <c r="G4171" s="4"/>
      <c r="H4171" s="5"/>
    </row>
    <row r="4172" spans="4:8" x14ac:dyDescent="0.25">
      <c r="D4172" s="4">
        <v>37755</v>
      </c>
      <c r="E4172" s="6">
        <v>25.98</v>
      </c>
      <c r="G4172" s="4"/>
      <c r="H4172" s="5"/>
    </row>
    <row r="4173" spans="4:8" x14ac:dyDescent="0.25">
      <c r="D4173" s="4">
        <v>37756</v>
      </c>
      <c r="E4173" s="6">
        <v>26.77</v>
      </c>
      <c r="G4173" s="4"/>
      <c r="H4173" s="5"/>
    </row>
    <row r="4174" spans="4:8" x14ac:dyDescent="0.25">
      <c r="D4174" s="4">
        <v>37757</v>
      </c>
      <c r="E4174" s="6">
        <v>27.18</v>
      </c>
      <c r="G4174" s="4"/>
      <c r="H4174" s="5"/>
    </row>
    <row r="4175" spans="4:8" x14ac:dyDescent="0.25">
      <c r="D4175" s="4">
        <v>37760</v>
      </c>
      <c r="E4175" s="6">
        <v>27.23</v>
      </c>
      <c r="G4175" s="4"/>
      <c r="H4175" s="5"/>
    </row>
    <row r="4176" spans="4:8" x14ac:dyDescent="0.25">
      <c r="D4176" s="4">
        <v>37761</v>
      </c>
      <c r="E4176" s="6">
        <v>26.69</v>
      </c>
      <c r="G4176" s="4"/>
      <c r="H4176" s="5"/>
    </row>
    <row r="4177" spans="4:8" x14ac:dyDescent="0.25">
      <c r="D4177" s="4">
        <v>37762</v>
      </c>
      <c r="E4177" s="6">
        <v>27.58</v>
      </c>
      <c r="G4177" s="4"/>
      <c r="H4177" s="5"/>
    </row>
    <row r="4178" spans="4:8" x14ac:dyDescent="0.25">
      <c r="D4178" s="4">
        <v>37763</v>
      </c>
      <c r="E4178" s="6">
        <v>27.32</v>
      </c>
      <c r="G4178" s="4"/>
      <c r="H4178" s="5"/>
    </row>
    <row r="4179" spans="4:8" x14ac:dyDescent="0.25">
      <c r="D4179" s="4">
        <v>37764</v>
      </c>
      <c r="E4179" s="6">
        <v>27.14</v>
      </c>
      <c r="G4179" s="4"/>
      <c r="H4179" s="5"/>
    </row>
    <row r="4180" spans="4:8" x14ac:dyDescent="0.25">
      <c r="D4180" s="4">
        <v>37767</v>
      </c>
      <c r="E4180" s="6">
        <v>26.78</v>
      </c>
      <c r="G4180" s="4"/>
      <c r="H4180" s="5"/>
    </row>
    <row r="4181" spans="4:8" x14ac:dyDescent="0.25">
      <c r="D4181" s="4">
        <v>37768</v>
      </c>
      <c r="E4181" s="6">
        <v>26.55</v>
      </c>
      <c r="G4181" s="4"/>
      <c r="H4181" s="5"/>
    </row>
    <row r="4182" spans="4:8" x14ac:dyDescent="0.25">
      <c r="D4182" s="4">
        <v>37769</v>
      </c>
      <c r="E4182" s="6">
        <v>26.48</v>
      </c>
      <c r="G4182" s="4"/>
      <c r="H4182" s="5"/>
    </row>
    <row r="4183" spans="4:8" x14ac:dyDescent="0.25">
      <c r="D4183" s="4">
        <v>37770</v>
      </c>
      <c r="E4183" s="6">
        <v>26.39</v>
      </c>
      <c r="G4183" s="4"/>
      <c r="H4183" s="5"/>
    </row>
    <row r="4184" spans="4:8" x14ac:dyDescent="0.25">
      <c r="D4184" s="4">
        <v>37771</v>
      </c>
      <c r="E4184" s="6">
        <v>26.58</v>
      </c>
      <c r="G4184" s="4"/>
      <c r="H4184" s="5"/>
    </row>
    <row r="4185" spans="4:8" x14ac:dyDescent="0.25">
      <c r="D4185" s="4">
        <v>37774</v>
      </c>
      <c r="E4185" s="6">
        <v>27.56</v>
      </c>
      <c r="G4185" s="4"/>
      <c r="H4185" s="5"/>
    </row>
    <row r="4186" spans="4:8" x14ac:dyDescent="0.25">
      <c r="D4186" s="4">
        <v>37775</v>
      </c>
      <c r="E4186" s="6">
        <v>27.99</v>
      </c>
      <c r="G4186" s="4"/>
      <c r="H4186" s="5"/>
    </row>
    <row r="4187" spans="4:8" x14ac:dyDescent="0.25">
      <c r="D4187" s="4">
        <v>37776</v>
      </c>
      <c r="E4187" s="6">
        <v>27.49</v>
      </c>
      <c r="G4187" s="4"/>
      <c r="H4187" s="5"/>
    </row>
    <row r="4188" spans="4:8" x14ac:dyDescent="0.25">
      <c r="D4188" s="4">
        <v>37777</v>
      </c>
      <c r="E4188" s="6">
        <v>28.16</v>
      </c>
      <c r="G4188" s="4"/>
      <c r="H4188" s="5"/>
    </row>
    <row r="4189" spans="4:8" x14ac:dyDescent="0.25">
      <c r="D4189" s="4">
        <v>37778</v>
      </c>
      <c r="E4189" s="6">
        <v>28.38</v>
      </c>
      <c r="G4189" s="4"/>
      <c r="H4189" s="5"/>
    </row>
    <row r="4190" spans="4:8" x14ac:dyDescent="0.25">
      <c r="D4190" s="4">
        <v>37781</v>
      </c>
      <c r="E4190" s="6">
        <v>28.62</v>
      </c>
      <c r="G4190" s="4"/>
      <c r="H4190" s="5"/>
    </row>
    <row r="4191" spans="4:8" x14ac:dyDescent="0.25">
      <c r="D4191" s="4">
        <v>37782</v>
      </c>
      <c r="E4191" s="6">
        <v>28.44</v>
      </c>
      <c r="G4191" s="4"/>
      <c r="H4191" s="5"/>
    </row>
    <row r="4192" spans="4:8" x14ac:dyDescent="0.25">
      <c r="D4192" s="4">
        <v>37783</v>
      </c>
      <c r="E4192" s="6">
        <v>28.97</v>
      </c>
      <c r="G4192" s="4"/>
      <c r="H4192" s="5"/>
    </row>
    <row r="4193" spans="4:8" x14ac:dyDescent="0.25">
      <c r="D4193" s="4">
        <v>37784</v>
      </c>
      <c r="E4193" s="6">
        <v>28.48</v>
      </c>
      <c r="G4193" s="4"/>
      <c r="H4193" s="5"/>
    </row>
    <row r="4194" spans="4:8" x14ac:dyDescent="0.25">
      <c r="D4194" s="4">
        <v>37785</v>
      </c>
      <c r="E4194" s="6">
        <v>27.39</v>
      </c>
      <c r="G4194" s="4"/>
      <c r="H4194" s="5"/>
    </row>
    <row r="4195" spans="4:8" x14ac:dyDescent="0.25">
      <c r="D4195" s="4">
        <v>37788</v>
      </c>
      <c r="E4195" s="6">
        <v>27.5</v>
      </c>
      <c r="G4195" s="4"/>
      <c r="H4195" s="5"/>
    </row>
    <row r="4196" spans="4:8" x14ac:dyDescent="0.25">
      <c r="D4196" s="4">
        <v>37789</v>
      </c>
      <c r="E4196" s="6">
        <v>27.14</v>
      </c>
      <c r="G4196" s="4"/>
      <c r="H4196" s="5"/>
    </row>
    <row r="4197" spans="4:8" x14ac:dyDescent="0.25">
      <c r="D4197" s="4">
        <v>37790</v>
      </c>
      <c r="E4197" s="6">
        <v>26.43</v>
      </c>
      <c r="G4197" s="4"/>
      <c r="H4197" s="5"/>
    </row>
    <row r="4198" spans="4:8" x14ac:dyDescent="0.25">
      <c r="D4198" s="4">
        <v>37791</v>
      </c>
      <c r="E4198" s="6">
        <v>26.21</v>
      </c>
      <c r="G4198" s="4"/>
      <c r="H4198" s="5"/>
    </row>
    <row r="4199" spans="4:8" x14ac:dyDescent="0.25">
      <c r="D4199" s="4">
        <v>37792</v>
      </c>
      <c r="E4199" s="6">
        <v>27.13</v>
      </c>
      <c r="G4199" s="4"/>
      <c r="H4199" s="5"/>
    </row>
    <row r="4200" spans="4:8" x14ac:dyDescent="0.25">
      <c r="D4200" s="4">
        <v>37795</v>
      </c>
      <c r="E4200" s="6">
        <v>27.13</v>
      </c>
      <c r="G4200" s="4"/>
      <c r="H4200" s="5"/>
    </row>
    <row r="4201" spans="4:8" x14ac:dyDescent="0.25">
      <c r="D4201" s="4">
        <v>37796</v>
      </c>
      <c r="E4201" s="6">
        <v>26.96</v>
      </c>
      <c r="G4201" s="4"/>
      <c r="H4201" s="5"/>
    </row>
    <row r="4202" spans="4:8" x14ac:dyDescent="0.25">
      <c r="D4202" s="4">
        <v>37797</v>
      </c>
      <c r="E4202" s="6">
        <v>27.34</v>
      </c>
      <c r="G4202" s="4"/>
      <c r="H4202" s="5"/>
    </row>
    <row r="4203" spans="4:8" x14ac:dyDescent="0.25">
      <c r="D4203" s="4">
        <v>37798</v>
      </c>
      <c r="E4203" s="6">
        <v>27.06</v>
      </c>
      <c r="G4203" s="4"/>
      <c r="H4203" s="5"/>
    </row>
    <row r="4204" spans="4:8" x14ac:dyDescent="0.25">
      <c r="D4204" s="4">
        <v>37799</v>
      </c>
      <c r="E4204" s="6">
        <v>27.45</v>
      </c>
      <c r="G4204" s="4"/>
      <c r="H4204" s="5"/>
    </row>
    <row r="4205" spans="4:8" x14ac:dyDescent="0.25">
      <c r="D4205" s="4">
        <v>37802</v>
      </c>
      <c r="E4205" s="6">
        <v>28.88</v>
      </c>
      <c r="G4205" s="4"/>
      <c r="H4205" s="5"/>
    </row>
    <row r="4206" spans="4:8" x14ac:dyDescent="0.25">
      <c r="D4206" s="4">
        <v>37803</v>
      </c>
      <c r="E4206" s="6">
        <v>28.33</v>
      </c>
      <c r="G4206" s="4"/>
      <c r="H4206" s="5"/>
    </row>
    <row r="4207" spans="4:8" x14ac:dyDescent="0.25">
      <c r="D4207" s="4">
        <v>37804</v>
      </c>
      <c r="E4207" s="6">
        <v>28.2</v>
      </c>
      <c r="G4207" s="4"/>
      <c r="H4207" s="5"/>
    </row>
    <row r="4208" spans="4:8" x14ac:dyDescent="0.25">
      <c r="D4208" s="4">
        <v>37805</v>
      </c>
      <c r="E4208" s="6">
        <v>28.63</v>
      </c>
      <c r="G4208" s="4"/>
      <c r="H4208" s="5"/>
    </row>
    <row r="4209" spans="4:8" x14ac:dyDescent="0.25">
      <c r="D4209" s="4">
        <v>37806</v>
      </c>
      <c r="E4209" s="6">
        <v>27.97</v>
      </c>
      <c r="G4209" s="4"/>
      <c r="H4209" s="5"/>
    </row>
    <row r="4210" spans="4:8" x14ac:dyDescent="0.25">
      <c r="D4210" s="4">
        <v>37809</v>
      </c>
      <c r="E4210" s="6">
        <v>27.23</v>
      </c>
      <c r="G4210" s="4"/>
      <c r="H4210" s="5"/>
    </row>
    <row r="4211" spans="4:8" x14ac:dyDescent="0.25">
      <c r="D4211" s="4">
        <v>37810</v>
      </c>
      <c r="E4211" s="6">
        <v>27.95</v>
      </c>
      <c r="G4211" s="4"/>
      <c r="H4211" s="5"/>
    </row>
    <row r="4212" spans="4:8" x14ac:dyDescent="0.25">
      <c r="D4212" s="4">
        <v>37811</v>
      </c>
      <c r="E4212" s="6">
        <v>28.21</v>
      </c>
      <c r="G4212" s="4"/>
      <c r="H4212" s="5"/>
    </row>
    <row r="4213" spans="4:8" x14ac:dyDescent="0.25">
      <c r="D4213" s="4">
        <v>37812</v>
      </c>
      <c r="E4213" s="6">
        <v>29.37</v>
      </c>
      <c r="G4213" s="4"/>
      <c r="H4213" s="5"/>
    </row>
    <row r="4214" spans="4:8" x14ac:dyDescent="0.25">
      <c r="D4214" s="4">
        <v>37813</v>
      </c>
      <c r="E4214" s="6">
        <v>29.36</v>
      </c>
      <c r="G4214" s="4"/>
      <c r="H4214" s="5"/>
    </row>
    <row r="4215" spans="4:8" x14ac:dyDescent="0.25">
      <c r="D4215" s="4">
        <v>37816</v>
      </c>
      <c r="E4215" s="6">
        <v>28.52</v>
      </c>
      <c r="G4215" s="4"/>
      <c r="H4215" s="5"/>
    </row>
    <row r="4216" spans="4:8" x14ac:dyDescent="0.25">
      <c r="D4216" s="4">
        <v>37817</v>
      </c>
      <c r="E4216" s="6">
        <v>28.87</v>
      </c>
      <c r="G4216" s="4"/>
      <c r="H4216" s="5"/>
    </row>
    <row r="4217" spans="4:8" x14ac:dyDescent="0.25">
      <c r="D4217" s="4">
        <v>37818</v>
      </c>
      <c r="E4217" s="6">
        <v>28.51</v>
      </c>
      <c r="G4217" s="4"/>
      <c r="H4217" s="5"/>
    </row>
    <row r="4218" spans="4:8" x14ac:dyDescent="0.25">
      <c r="D4218" s="4">
        <v>37819</v>
      </c>
      <c r="E4218" s="6">
        <v>28.59</v>
      </c>
      <c r="G4218" s="4"/>
      <c r="H4218" s="5"/>
    </row>
    <row r="4219" spans="4:8" x14ac:dyDescent="0.25">
      <c r="D4219" s="4">
        <v>37820</v>
      </c>
      <c r="E4219" s="6">
        <v>29.2</v>
      </c>
      <c r="G4219" s="4"/>
      <c r="H4219" s="5"/>
    </row>
    <row r="4220" spans="4:8" x14ac:dyDescent="0.25">
      <c r="D4220" s="4">
        <v>37823</v>
      </c>
      <c r="E4220" s="6">
        <v>28.01</v>
      </c>
      <c r="G4220" s="4"/>
      <c r="H4220" s="5"/>
    </row>
    <row r="4221" spans="4:8" x14ac:dyDescent="0.25">
      <c r="D4221" s="4">
        <v>37824</v>
      </c>
      <c r="E4221" s="6">
        <v>28.4</v>
      </c>
      <c r="G4221" s="4"/>
      <c r="H4221" s="5"/>
    </row>
    <row r="4222" spans="4:8" x14ac:dyDescent="0.25">
      <c r="D4222" s="4">
        <v>37825</v>
      </c>
      <c r="E4222" s="6">
        <v>27.67</v>
      </c>
      <c r="G4222" s="4"/>
      <c r="H4222" s="5"/>
    </row>
    <row r="4223" spans="4:8" x14ac:dyDescent="0.25">
      <c r="D4223" s="4">
        <v>37826</v>
      </c>
      <c r="E4223" s="6">
        <v>27.73</v>
      </c>
      <c r="G4223" s="4"/>
      <c r="H4223" s="5"/>
    </row>
    <row r="4224" spans="4:8" x14ac:dyDescent="0.25">
      <c r="D4224" s="4">
        <v>37827</v>
      </c>
      <c r="E4224" s="6">
        <v>28.3</v>
      </c>
      <c r="G4224" s="4"/>
      <c r="H4224" s="5"/>
    </row>
    <row r="4225" spans="4:8" x14ac:dyDescent="0.25">
      <c r="D4225" s="4">
        <v>37830</v>
      </c>
      <c r="E4225" s="6">
        <v>27.71</v>
      </c>
      <c r="G4225" s="4"/>
      <c r="H4225" s="5"/>
    </row>
    <row r="4226" spans="4:8" x14ac:dyDescent="0.25">
      <c r="D4226" s="4">
        <v>37831</v>
      </c>
      <c r="E4226" s="6">
        <v>28.27</v>
      </c>
      <c r="G4226" s="4"/>
      <c r="H4226" s="5"/>
    </row>
    <row r="4227" spans="4:8" x14ac:dyDescent="0.25">
      <c r="D4227" s="4">
        <v>37832</v>
      </c>
      <c r="E4227" s="6">
        <v>28.31</v>
      </c>
      <c r="G4227" s="4"/>
      <c r="H4227" s="5"/>
    </row>
    <row r="4228" spans="4:8" x14ac:dyDescent="0.25">
      <c r="D4228" s="4">
        <v>37833</v>
      </c>
      <c r="E4228" s="6">
        <v>28.68</v>
      </c>
      <c r="G4228" s="4"/>
      <c r="H4228" s="5"/>
    </row>
    <row r="4229" spans="4:8" x14ac:dyDescent="0.25">
      <c r="D4229" s="4">
        <v>37834</v>
      </c>
      <c r="E4229" s="6">
        <v>29.63</v>
      </c>
      <c r="G4229" s="4"/>
      <c r="H4229" s="5"/>
    </row>
    <row r="4230" spans="4:8" x14ac:dyDescent="0.25">
      <c r="D4230" s="4">
        <v>37837</v>
      </c>
      <c r="E4230" s="6">
        <v>29.91</v>
      </c>
      <c r="G4230" s="4"/>
      <c r="H4230" s="5"/>
    </row>
    <row r="4231" spans="4:8" x14ac:dyDescent="0.25">
      <c r="D4231" s="4">
        <v>37838</v>
      </c>
      <c r="E4231" s="6">
        <v>30.37</v>
      </c>
      <c r="G4231" s="4"/>
      <c r="H4231" s="5"/>
    </row>
    <row r="4232" spans="4:8" x14ac:dyDescent="0.25">
      <c r="D4232" s="4">
        <v>37839</v>
      </c>
      <c r="E4232" s="6">
        <v>30.01</v>
      </c>
      <c r="G4232" s="4"/>
      <c r="H4232" s="5"/>
    </row>
    <row r="4233" spans="4:8" x14ac:dyDescent="0.25">
      <c r="D4233" s="4">
        <v>37840</v>
      </c>
      <c r="E4233" s="6">
        <v>30.06</v>
      </c>
      <c r="G4233" s="4"/>
      <c r="H4233" s="5"/>
    </row>
    <row r="4234" spans="4:8" x14ac:dyDescent="0.25">
      <c r="D4234" s="4">
        <v>37841</v>
      </c>
      <c r="E4234" s="6">
        <v>30.59</v>
      </c>
      <c r="G4234" s="4"/>
      <c r="H4234" s="5"/>
    </row>
    <row r="4235" spans="4:8" x14ac:dyDescent="0.25">
      <c r="D4235" s="4">
        <v>37844</v>
      </c>
      <c r="E4235" s="6">
        <v>30.05</v>
      </c>
      <c r="G4235" s="4"/>
      <c r="H4235" s="5"/>
    </row>
    <row r="4236" spans="4:8" x14ac:dyDescent="0.25">
      <c r="D4236" s="4">
        <v>37845</v>
      </c>
      <c r="E4236" s="6">
        <v>30.13</v>
      </c>
      <c r="G4236" s="4"/>
      <c r="H4236" s="5"/>
    </row>
    <row r="4237" spans="4:8" x14ac:dyDescent="0.25">
      <c r="D4237" s="4">
        <v>37846</v>
      </c>
      <c r="E4237" s="6">
        <v>29.66</v>
      </c>
      <c r="G4237" s="4"/>
      <c r="H4237" s="5"/>
    </row>
    <row r="4238" spans="4:8" x14ac:dyDescent="0.25">
      <c r="D4238" s="4">
        <v>37847</v>
      </c>
      <c r="E4238" s="6">
        <v>28.96</v>
      </c>
      <c r="G4238" s="4"/>
      <c r="H4238" s="5"/>
    </row>
    <row r="4239" spans="4:8" x14ac:dyDescent="0.25">
      <c r="D4239" s="4">
        <v>37848</v>
      </c>
      <c r="E4239" s="6">
        <v>29.18</v>
      </c>
      <c r="G4239" s="4"/>
      <c r="H4239" s="5"/>
    </row>
    <row r="4240" spans="4:8" x14ac:dyDescent="0.25">
      <c r="D4240" s="4">
        <v>37851</v>
      </c>
      <c r="E4240" s="6">
        <v>29.88</v>
      </c>
      <c r="G4240" s="4"/>
      <c r="H4240" s="5"/>
    </row>
    <row r="4241" spans="4:8" x14ac:dyDescent="0.25">
      <c r="D4241" s="4">
        <v>37852</v>
      </c>
      <c r="E4241" s="6">
        <v>29.18</v>
      </c>
      <c r="G4241" s="4"/>
      <c r="H4241" s="5"/>
    </row>
    <row r="4242" spans="4:8" x14ac:dyDescent="0.25">
      <c r="D4242" s="4">
        <v>37853</v>
      </c>
      <c r="E4242" s="6">
        <v>29.28</v>
      </c>
      <c r="G4242" s="4"/>
      <c r="H4242" s="5"/>
    </row>
    <row r="4243" spans="4:8" x14ac:dyDescent="0.25">
      <c r="D4243" s="4">
        <v>37854</v>
      </c>
      <c r="E4243" s="6">
        <v>29.95</v>
      </c>
      <c r="G4243" s="4"/>
      <c r="H4243" s="5"/>
    </row>
    <row r="4244" spans="4:8" x14ac:dyDescent="0.25">
      <c r="D4244" s="4">
        <v>37855</v>
      </c>
      <c r="E4244" s="6">
        <v>30.22</v>
      </c>
      <c r="G4244" s="4"/>
      <c r="H4244" s="5"/>
    </row>
    <row r="4245" spans="4:8" x14ac:dyDescent="0.25">
      <c r="D4245" s="4">
        <v>37858</v>
      </c>
      <c r="E4245" s="6">
        <v>29.98</v>
      </c>
      <c r="G4245" s="4"/>
      <c r="H4245" s="5"/>
    </row>
    <row r="4246" spans="4:8" x14ac:dyDescent="0.25">
      <c r="D4246" s="4">
        <v>37859</v>
      </c>
      <c r="E4246" s="6">
        <v>30.08</v>
      </c>
      <c r="G4246" s="4"/>
      <c r="H4246" s="5"/>
    </row>
    <row r="4247" spans="4:8" x14ac:dyDescent="0.25">
      <c r="D4247" s="4">
        <v>37860</v>
      </c>
      <c r="E4247" s="6">
        <v>30.05</v>
      </c>
      <c r="G4247" s="4"/>
      <c r="H4247" s="5"/>
    </row>
    <row r="4248" spans="4:8" x14ac:dyDescent="0.25">
      <c r="D4248" s="4">
        <v>37861</v>
      </c>
      <c r="E4248" s="6">
        <v>30.1</v>
      </c>
      <c r="G4248" s="4"/>
      <c r="H4248" s="5"/>
    </row>
    <row r="4249" spans="4:8" x14ac:dyDescent="0.25">
      <c r="D4249" s="4">
        <v>37862</v>
      </c>
      <c r="E4249" s="6">
        <v>30.38</v>
      </c>
      <c r="G4249" s="4"/>
      <c r="H4249" s="5"/>
    </row>
    <row r="4250" spans="4:8" x14ac:dyDescent="0.25">
      <c r="D4250" s="4">
        <v>37865</v>
      </c>
      <c r="E4250" s="6">
        <v>29.64</v>
      </c>
      <c r="G4250" s="4"/>
      <c r="H4250" s="5"/>
    </row>
    <row r="4251" spans="4:8" x14ac:dyDescent="0.25">
      <c r="D4251" s="4">
        <v>37866</v>
      </c>
      <c r="E4251" s="6">
        <v>28.08</v>
      </c>
      <c r="G4251" s="4"/>
      <c r="H4251" s="5"/>
    </row>
    <row r="4252" spans="4:8" x14ac:dyDescent="0.25">
      <c r="D4252" s="4">
        <v>37867</v>
      </c>
      <c r="E4252" s="6">
        <v>27.89</v>
      </c>
      <c r="G4252" s="4"/>
      <c r="H4252" s="5"/>
    </row>
    <row r="4253" spans="4:8" x14ac:dyDescent="0.25">
      <c r="D4253" s="4">
        <v>37868</v>
      </c>
      <c r="E4253" s="6">
        <v>27.49</v>
      </c>
      <c r="G4253" s="4"/>
      <c r="H4253" s="5"/>
    </row>
    <row r="4254" spans="4:8" x14ac:dyDescent="0.25">
      <c r="D4254" s="4">
        <v>37869</v>
      </c>
      <c r="E4254" s="6">
        <v>27.72</v>
      </c>
      <c r="G4254" s="4"/>
      <c r="H4254" s="5"/>
    </row>
    <row r="4255" spans="4:8" x14ac:dyDescent="0.25">
      <c r="D4255" s="4">
        <v>37872</v>
      </c>
      <c r="E4255" s="6">
        <v>28.47</v>
      </c>
      <c r="G4255" s="4"/>
      <c r="H4255" s="5"/>
    </row>
    <row r="4256" spans="4:8" x14ac:dyDescent="0.25">
      <c r="D4256" s="4">
        <v>37873</v>
      </c>
      <c r="E4256" s="6">
        <v>27.64</v>
      </c>
      <c r="G4256" s="4"/>
      <c r="H4256" s="5"/>
    </row>
    <row r="4257" spans="4:8" x14ac:dyDescent="0.25">
      <c r="D4257" s="4">
        <v>37874</v>
      </c>
      <c r="E4257" s="6">
        <v>27.76</v>
      </c>
      <c r="G4257" s="4"/>
      <c r="H4257" s="5"/>
    </row>
    <row r="4258" spans="4:8" x14ac:dyDescent="0.25">
      <c r="D4258" s="4">
        <v>37875</v>
      </c>
      <c r="E4258" s="6">
        <v>27.48</v>
      </c>
      <c r="G4258" s="4"/>
      <c r="H4258" s="5"/>
    </row>
    <row r="4259" spans="4:8" x14ac:dyDescent="0.25">
      <c r="D4259" s="4">
        <v>37876</v>
      </c>
      <c r="E4259" s="6">
        <v>26.52</v>
      </c>
      <c r="G4259" s="4"/>
      <c r="H4259" s="5"/>
    </row>
    <row r="4260" spans="4:8" x14ac:dyDescent="0.25">
      <c r="D4260" s="4">
        <v>37879</v>
      </c>
      <c r="E4260" s="6">
        <v>26.38</v>
      </c>
      <c r="G4260" s="4"/>
      <c r="H4260" s="5"/>
    </row>
    <row r="4261" spans="4:8" x14ac:dyDescent="0.25">
      <c r="D4261" s="4">
        <v>37880</v>
      </c>
      <c r="E4261" s="6">
        <v>26.28</v>
      </c>
      <c r="G4261" s="4"/>
      <c r="H4261" s="5"/>
    </row>
    <row r="4262" spans="4:8" x14ac:dyDescent="0.25">
      <c r="D4262" s="4">
        <v>37881</v>
      </c>
      <c r="E4262" s="6">
        <v>25.76</v>
      </c>
      <c r="G4262" s="4"/>
      <c r="H4262" s="5"/>
    </row>
    <row r="4263" spans="4:8" x14ac:dyDescent="0.25">
      <c r="D4263" s="4">
        <v>37882</v>
      </c>
      <c r="E4263" s="6">
        <v>25.56</v>
      </c>
      <c r="G4263" s="4"/>
      <c r="H4263" s="5"/>
    </row>
    <row r="4264" spans="4:8" x14ac:dyDescent="0.25">
      <c r="D4264" s="4">
        <v>37883</v>
      </c>
      <c r="E4264" s="6">
        <v>25.51</v>
      </c>
      <c r="G4264" s="4"/>
      <c r="H4264" s="5"/>
    </row>
    <row r="4265" spans="4:8" x14ac:dyDescent="0.25">
      <c r="D4265" s="4">
        <v>37886</v>
      </c>
      <c r="E4265" s="6">
        <v>25.82</v>
      </c>
      <c r="G4265" s="4"/>
      <c r="H4265" s="5"/>
    </row>
    <row r="4266" spans="4:8" x14ac:dyDescent="0.25">
      <c r="D4266" s="4">
        <v>37887</v>
      </c>
      <c r="E4266" s="6">
        <v>25.74</v>
      </c>
      <c r="G4266" s="4"/>
      <c r="H4266" s="5"/>
    </row>
    <row r="4267" spans="4:8" x14ac:dyDescent="0.25">
      <c r="D4267" s="4">
        <v>37888</v>
      </c>
      <c r="E4267" s="6">
        <v>26.81</v>
      </c>
      <c r="G4267" s="4"/>
      <c r="H4267" s="5"/>
    </row>
    <row r="4268" spans="4:8" x14ac:dyDescent="0.25">
      <c r="D4268" s="4">
        <v>37889</v>
      </c>
      <c r="E4268" s="6">
        <v>27.04</v>
      </c>
      <c r="G4268" s="4"/>
      <c r="H4268" s="5"/>
    </row>
    <row r="4269" spans="4:8" x14ac:dyDescent="0.25">
      <c r="D4269" s="4">
        <v>37890</v>
      </c>
      <c r="E4269" s="6">
        <v>27.02</v>
      </c>
      <c r="G4269" s="4"/>
      <c r="H4269" s="5"/>
    </row>
    <row r="4270" spans="4:8" x14ac:dyDescent="0.25">
      <c r="D4270" s="4">
        <v>37893</v>
      </c>
      <c r="E4270" s="6">
        <v>27.77</v>
      </c>
      <c r="G4270" s="4"/>
      <c r="H4270" s="5"/>
    </row>
    <row r="4271" spans="4:8" x14ac:dyDescent="0.25">
      <c r="D4271" s="4">
        <v>37894</v>
      </c>
      <c r="E4271" s="6">
        <v>28.09</v>
      </c>
      <c r="G4271" s="4"/>
      <c r="H4271" s="5"/>
    </row>
    <row r="4272" spans="4:8" x14ac:dyDescent="0.25">
      <c r="D4272" s="4">
        <v>37895</v>
      </c>
      <c r="E4272" s="6">
        <v>27.98</v>
      </c>
      <c r="G4272" s="4"/>
      <c r="H4272" s="5"/>
    </row>
    <row r="4273" spans="4:8" x14ac:dyDescent="0.25">
      <c r="D4273" s="4">
        <v>37896</v>
      </c>
      <c r="E4273" s="6">
        <v>28.9</v>
      </c>
      <c r="G4273" s="4"/>
      <c r="H4273" s="5"/>
    </row>
    <row r="4274" spans="4:8" x14ac:dyDescent="0.25">
      <c r="D4274" s="4">
        <v>37897</v>
      </c>
      <c r="E4274" s="6">
        <v>29.14</v>
      </c>
      <c r="G4274" s="4"/>
      <c r="H4274" s="5"/>
    </row>
    <row r="4275" spans="4:8" x14ac:dyDescent="0.25">
      <c r="D4275" s="4">
        <v>37900</v>
      </c>
      <c r="E4275" s="6">
        <v>29.75</v>
      </c>
      <c r="G4275" s="4"/>
      <c r="H4275" s="5"/>
    </row>
    <row r="4276" spans="4:8" x14ac:dyDescent="0.25">
      <c r="D4276" s="4">
        <v>37901</v>
      </c>
      <c r="E4276" s="6">
        <v>29.35</v>
      </c>
      <c r="G4276" s="4"/>
      <c r="H4276" s="5"/>
    </row>
    <row r="4277" spans="4:8" x14ac:dyDescent="0.25">
      <c r="D4277" s="4">
        <v>37902</v>
      </c>
      <c r="E4277" s="6">
        <v>28.96</v>
      </c>
      <c r="G4277" s="4"/>
      <c r="H4277" s="5"/>
    </row>
    <row r="4278" spans="4:8" x14ac:dyDescent="0.25">
      <c r="D4278" s="4">
        <v>37903</v>
      </c>
      <c r="E4278" s="6">
        <v>30.21</v>
      </c>
      <c r="G4278" s="4"/>
      <c r="H4278" s="5"/>
    </row>
    <row r="4279" spans="4:8" x14ac:dyDescent="0.25">
      <c r="D4279" s="4">
        <v>37904</v>
      </c>
      <c r="E4279" s="6">
        <v>31.13</v>
      </c>
      <c r="G4279" s="4"/>
      <c r="H4279" s="5"/>
    </row>
    <row r="4280" spans="4:8" x14ac:dyDescent="0.25">
      <c r="D4280" s="4">
        <v>37907</v>
      </c>
      <c r="E4280" s="6">
        <v>31</v>
      </c>
      <c r="G4280" s="4"/>
      <c r="H4280" s="5"/>
    </row>
    <row r="4281" spans="4:8" x14ac:dyDescent="0.25">
      <c r="D4281" s="4">
        <v>37908</v>
      </c>
      <c r="E4281" s="6">
        <v>31.45</v>
      </c>
      <c r="G4281" s="4"/>
      <c r="H4281" s="5"/>
    </row>
    <row r="4282" spans="4:8" x14ac:dyDescent="0.25">
      <c r="D4282" s="4">
        <v>37909</v>
      </c>
      <c r="E4282" s="6">
        <v>31.23</v>
      </c>
      <c r="G4282" s="4"/>
      <c r="H4282" s="5"/>
    </row>
    <row r="4283" spans="4:8" x14ac:dyDescent="0.25">
      <c r="D4283" s="4">
        <v>37910</v>
      </c>
      <c r="E4283" s="6">
        <v>31.05</v>
      </c>
      <c r="G4283" s="4"/>
      <c r="H4283" s="5"/>
    </row>
    <row r="4284" spans="4:8" x14ac:dyDescent="0.25">
      <c r="D4284" s="4">
        <v>37911</v>
      </c>
      <c r="E4284" s="6">
        <v>30.27</v>
      </c>
      <c r="G4284" s="4"/>
      <c r="H4284" s="5"/>
    </row>
    <row r="4285" spans="4:8" x14ac:dyDescent="0.25">
      <c r="D4285" s="4">
        <v>37914</v>
      </c>
      <c r="E4285" s="6">
        <v>29.78</v>
      </c>
      <c r="G4285" s="4"/>
      <c r="H4285" s="5"/>
    </row>
    <row r="4286" spans="4:8" x14ac:dyDescent="0.25">
      <c r="D4286" s="4">
        <v>37915</v>
      </c>
      <c r="E4286" s="6">
        <v>29.61</v>
      </c>
      <c r="G4286" s="4"/>
      <c r="H4286" s="5"/>
    </row>
    <row r="4287" spans="4:8" x14ac:dyDescent="0.25">
      <c r="D4287" s="4">
        <v>37916</v>
      </c>
      <c r="E4287" s="6">
        <v>29.25</v>
      </c>
      <c r="G4287" s="4"/>
      <c r="H4287" s="5"/>
    </row>
    <row r="4288" spans="4:8" x14ac:dyDescent="0.25">
      <c r="D4288" s="4">
        <v>37917</v>
      </c>
      <c r="E4288" s="6">
        <v>29.63</v>
      </c>
      <c r="G4288" s="4"/>
      <c r="H4288" s="5"/>
    </row>
    <row r="4289" spans="4:8" x14ac:dyDescent="0.25">
      <c r="D4289" s="4">
        <v>37918</v>
      </c>
      <c r="E4289" s="6">
        <v>30.01</v>
      </c>
      <c r="G4289" s="4"/>
      <c r="H4289" s="5"/>
    </row>
    <row r="4290" spans="4:8" x14ac:dyDescent="0.25">
      <c r="D4290" s="4">
        <v>37921</v>
      </c>
      <c r="E4290" s="6">
        <v>29.38</v>
      </c>
      <c r="G4290" s="4"/>
      <c r="H4290" s="5"/>
    </row>
    <row r="4291" spans="4:8" x14ac:dyDescent="0.25">
      <c r="D4291" s="4">
        <v>37922</v>
      </c>
      <c r="E4291" s="6">
        <v>28.99</v>
      </c>
      <c r="G4291" s="4"/>
      <c r="H4291" s="5"/>
    </row>
    <row r="4292" spans="4:8" x14ac:dyDescent="0.25">
      <c r="D4292" s="4">
        <v>37923</v>
      </c>
      <c r="E4292" s="6">
        <v>28.56</v>
      </c>
      <c r="G4292" s="4"/>
      <c r="H4292" s="5"/>
    </row>
    <row r="4293" spans="4:8" x14ac:dyDescent="0.25">
      <c r="D4293" s="4">
        <v>37924</v>
      </c>
      <c r="E4293" s="6">
        <v>27.47</v>
      </c>
      <c r="G4293" s="4"/>
      <c r="H4293" s="5"/>
    </row>
    <row r="4294" spans="4:8" x14ac:dyDescent="0.25">
      <c r="D4294" s="4">
        <v>37925</v>
      </c>
      <c r="E4294" s="6">
        <v>27.88</v>
      </c>
      <c r="G4294" s="4"/>
      <c r="H4294" s="5"/>
    </row>
    <row r="4295" spans="4:8" x14ac:dyDescent="0.25">
      <c r="D4295" s="4">
        <v>37928</v>
      </c>
      <c r="E4295" s="6">
        <v>27.78</v>
      </c>
      <c r="G4295" s="4"/>
      <c r="H4295" s="5"/>
    </row>
    <row r="4296" spans="4:8" x14ac:dyDescent="0.25">
      <c r="D4296" s="4">
        <v>37929</v>
      </c>
      <c r="E4296" s="6">
        <v>27.32</v>
      </c>
      <c r="G4296" s="4"/>
      <c r="H4296" s="5"/>
    </row>
    <row r="4297" spans="4:8" x14ac:dyDescent="0.25">
      <c r="D4297" s="4">
        <v>37930</v>
      </c>
      <c r="E4297" s="6">
        <v>27.9</v>
      </c>
      <c r="G4297" s="4"/>
      <c r="H4297" s="5"/>
    </row>
    <row r="4298" spans="4:8" x14ac:dyDescent="0.25">
      <c r="D4298" s="4">
        <v>37931</v>
      </c>
      <c r="E4298" s="6">
        <v>28.52</v>
      </c>
      <c r="G4298" s="4"/>
      <c r="H4298" s="5"/>
    </row>
    <row r="4299" spans="4:8" x14ac:dyDescent="0.25">
      <c r="D4299" s="4">
        <v>37932</v>
      </c>
      <c r="E4299" s="6">
        <v>28.73</v>
      </c>
      <c r="G4299" s="4"/>
      <c r="H4299" s="5"/>
    </row>
    <row r="4300" spans="4:8" x14ac:dyDescent="0.25">
      <c r="D4300" s="4">
        <v>37935</v>
      </c>
      <c r="E4300" s="6">
        <v>28.82</v>
      </c>
      <c r="G4300" s="4"/>
      <c r="H4300" s="5"/>
    </row>
    <row r="4301" spans="4:8" x14ac:dyDescent="0.25">
      <c r="D4301" s="4">
        <v>37936</v>
      </c>
      <c r="E4301" s="6">
        <v>28.88</v>
      </c>
      <c r="G4301" s="4"/>
      <c r="H4301" s="5"/>
    </row>
    <row r="4302" spans="4:8" x14ac:dyDescent="0.25">
      <c r="D4302" s="4">
        <v>37937</v>
      </c>
      <c r="E4302" s="6">
        <v>28.58</v>
      </c>
      <c r="G4302" s="4"/>
      <c r="H4302" s="5"/>
    </row>
    <row r="4303" spans="4:8" x14ac:dyDescent="0.25">
      <c r="D4303" s="4">
        <v>37938</v>
      </c>
      <c r="E4303" s="6">
        <v>29.01</v>
      </c>
      <c r="G4303" s="4"/>
      <c r="H4303" s="5"/>
    </row>
    <row r="4304" spans="4:8" x14ac:dyDescent="0.25">
      <c r="D4304" s="4">
        <v>37939</v>
      </c>
      <c r="E4304" s="6">
        <v>29.78</v>
      </c>
      <c r="G4304" s="4"/>
      <c r="H4304" s="5"/>
    </row>
    <row r="4305" spans="4:8" x14ac:dyDescent="0.25">
      <c r="D4305" s="4">
        <v>37942</v>
      </c>
      <c r="E4305" s="6">
        <v>28.98</v>
      </c>
      <c r="G4305" s="4"/>
      <c r="H4305" s="5"/>
    </row>
    <row r="4306" spans="4:8" x14ac:dyDescent="0.25">
      <c r="D4306" s="4">
        <v>37943</v>
      </c>
      <c r="E4306" s="6">
        <v>29.26</v>
      </c>
      <c r="G4306" s="4"/>
      <c r="H4306" s="5"/>
    </row>
    <row r="4307" spans="4:8" x14ac:dyDescent="0.25">
      <c r="D4307" s="4">
        <v>37944</v>
      </c>
      <c r="E4307" s="6">
        <v>30.13</v>
      </c>
      <c r="G4307" s="4"/>
      <c r="H4307" s="5"/>
    </row>
    <row r="4308" spans="4:8" x14ac:dyDescent="0.25">
      <c r="D4308" s="4">
        <v>37945</v>
      </c>
      <c r="E4308" s="6">
        <v>29.88</v>
      </c>
      <c r="G4308" s="4"/>
      <c r="H4308" s="5"/>
    </row>
    <row r="4309" spans="4:8" x14ac:dyDescent="0.25">
      <c r="D4309" s="4">
        <v>37946</v>
      </c>
      <c r="E4309" s="6">
        <v>29.79</v>
      </c>
      <c r="G4309" s="4"/>
      <c r="H4309" s="5"/>
    </row>
    <row r="4310" spans="4:8" x14ac:dyDescent="0.25">
      <c r="D4310" s="4">
        <v>37949</v>
      </c>
      <c r="E4310" s="6">
        <v>27.99</v>
      </c>
      <c r="G4310" s="4"/>
      <c r="H4310" s="5"/>
    </row>
    <row r="4311" spans="4:8" x14ac:dyDescent="0.25">
      <c r="D4311" s="4">
        <v>37950</v>
      </c>
      <c r="E4311" s="6">
        <v>27.62</v>
      </c>
      <c r="G4311" s="4"/>
      <c r="H4311" s="5"/>
    </row>
    <row r="4312" spans="4:8" x14ac:dyDescent="0.25">
      <c r="D4312" s="4">
        <v>37951</v>
      </c>
      <c r="E4312" s="6">
        <v>28.23</v>
      </c>
      <c r="G4312" s="4"/>
      <c r="H4312" s="5"/>
    </row>
    <row r="4313" spans="4:8" x14ac:dyDescent="0.25">
      <c r="D4313" s="4">
        <v>37952</v>
      </c>
      <c r="E4313" s="6">
        <v>28.9</v>
      </c>
      <c r="G4313" s="4"/>
      <c r="H4313" s="5"/>
    </row>
    <row r="4314" spans="4:8" x14ac:dyDescent="0.25">
      <c r="D4314" s="4">
        <v>37953</v>
      </c>
      <c r="E4314" s="6">
        <v>28.95</v>
      </c>
      <c r="G4314" s="4"/>
      <c r="H4314" s="5"/>
    </row>
    <row r="4315" spans="4:8" x14ac:dyDescent="0.25">
      <c r="D4315" s="4">
        <v>37956</v>
      </c>
      <c r="E4315" s="6">
        <v>28.17</v>
      </c>
      <c r="G4315" s="4"/>
      <c r="H4315" s="5"/>
    </row>
    <row r="4316" spans="4:8" x14ac:dyDescent="0.25">
      <c r="D4316" s="4">
        <v>37957</v>
      </c>
      <c r="E4316" s="6">
        <v>29.1</v>
      </c>
      <c r="G4316" s="4"/>
      <c r="H4316" s="5"/>
    </row>
    <row r="4317" spans="4:8" x14ac:dyDescent="0.25">
      <c r="D4317" s="4">
        <v>37958</v>
      </c>
      <c r="E4317" s="6">
        <v>29.26</v>
      </c>
      <c r="G4317" s="4"/>
      <c r="H4317" s="5"/>
    </row>
    <row r="4318" spans="4:8" x14ac:dyDescent="0.25">
      <c r="D4318" s="4">
        <v>37959</v>
      </c>
      <c r="E4318" s="6">
        <v>29.25</v>
      </c>
      <c r="G4318" s="4"/>
      <c r="H4318" s="5"/>
    </row>
    <row r="4319" spans="4:8" x14ac:dyDescent="0.25">
      <c r="D4319" s="4">
        <v>37960</v>
      </c>
      <c r="E4319" s="6">
        <v>28.87</v>
      </c>
      <c r="G4319" s="4"/>
      <c r="H4319" s="5"/>
    </row>
    <row r="4320" spans="4:8" x14ac:dyDescent="0.25">
      <c r="D4320" s="4">
        <v>37963</v>
      </c>
      <c r="E4320" s="6">
        <v>30.52</v>
      </c>
      <c r="G4320" s="4"/>
      <c r="H4320" s="5"/>
    </row>
    <row r="4321" spans="4:8" x14ac:dyDescent="0.25">
      <c r="D4321" s="4">
        <v>37964</v>
      </c>
      <c r="E4321" s="6">
        <v>30.27</v>
      </c>
      <c r="G4321" s="4"/>
      <c r="H4321" s="5"/>
    </row>
    <row r="4322" spans="4:8" x14ac:dyDescent="0.25">
      <c r="D4322" s="4">
        <v>37965</v>
      </c>
      <c r="E4322" s="6">
        <v>30.02</v>
      </c>
      <c r="G4322" s="4"/>
      <c r="H4322" s="5"/>
    </row>
    <row r="4323" spans="4:8" x14ac:dyDescent="0.25">
      <c r="D4323" s="4">
        <v>37966</v>
      </c>
      <c r="E4323" s="6">
        <v>29.79</v>
      </c>
      <c r="G4323" s="4"/>
      <c r="H4323" s="5"/>
    </row>
    <row r="4324" spans="4:8" x14ac:dyDescent="0.25">
      <c r="D4324" s="4">
        <v>37967</v>
      </c>
      <c r="E4324" s="6">
        <v>30.24</v>
      </c>
      <c r="G4324" s="4"/>
      <c r="H4324" s="5"/>
    </row>
    <row r="4325" spans="4:8" x14ac:dyDescent="0.25">
      <c r="D4325" s="4">
        <v>37970</v>
      </c>
      <c r="E4325" s="6">
        <v>30.89</v>
      </c>
      <c r="G4325" s="4"/>
      <c r="H4325" s="5"/>
    </row>
    <row r="4326" spans="4:8" x14ac:dyDescent="0.25">
      <c r="D4326" s="4">
        <v>37971</v>
      </c>
      <c r="E4326" s="6">
        <v>30.64</v>
      </c>
      <c r="G4326" s="4"/>
      <c r="H4326" s="5"/>
    </row>
    <row r="4327" spans="4:8" x14ac:dyDescent="0.25">
      <c r="D4327" s="4">
        <v>37972</v>
      </c>
      <c r="E4327" s="6">
        <v>31.01</v>
      </c>
      <c r="G4327" s="4"/>
      <c r="H4327" s="5"/>
    </row>
    <row r="4328" spans="4:8" x14ac:dyDescent="0.25">
      <c r="D4328" s="4">
        <v>37973</v>
      </c>
      <c r="E4328" s="6">
        <v>30.79</v>
      </c>
      <c r="G4328" s="4"/>
      <c r="H4328" s="5"/>
    </row>
    <row r="4329" spans="4:8" x14ac:dyDescent="0.25">
      <c r="D4329" s="4">
        <v>37974</v>
      </c>
      <c r="E4329" s="6">
        <v>31.03</v>
      </c>
      <c r="G4329" s="4"/>
      <c r="H4329" s="5"/>
    </row>
    <row r="4330" spans="4:8" x14ac:dyDescent="0.25">
      <c r="D4330" s="4">
        <v>37977</v>
      </c>
      <c r="E4330" s="6">
        <v>28.78</v>
      </c>
      <c r="G4330" s="4"/>
      <c r="H4330" s="5"/>
    </row>
    <row r="4331" spans="4:8" x14ac:dyDescent="0.25">
      <c r="D4331" s="4">
        <v>37978</v>
      </c>
      <c r="E4331" s="6">
        <v>28.3</v>
      </c>
      <c r="G4331" s="4"/>
      <c r="H4331" s="5"/>
    </row>
    <row r="4332" spans="4:8" x14ac:dyDescent="0.25">
      <c r="D4332" s="4">
        <v>37979</v>
      </c>
      <c r="E4332" s="6">
        <v>29.45</v>
      </c>
      <c r="G4332" s="4"/>
      <c r="H4332" s="5"/>
    </row>
    <row r="4333" spans="4:8" x14ac:dyDescent="0.25">
      <c r="D4333" s="4">
        <v>37980</v>
      </c>
      <c r="E4333" s="5"/>
      <c r="G4333" s="4"/>
      <c r="H4333" s="5"/>
    </row>
    <row r="4334" spans="4:8" x14ac:dyDescent="0.25">
      <c r="D4334" s="4">
        <v>37981</v>
      </c>
      <c r="E4334" s="5"/>
      <c r="G4334" s="4"/>
      <c r="H4334" s="5"/>
    </row>
    <row r="4335" spans="4:8" x14ac:dyDescent="0.25">
      <c r="D4335" s="4">
        <v>37984</v>
      </c>
      <c r="E4335" s="6">
        <v>29.17</v>
      </c>
      <c r="G4335" s="4"/>
      <c r="H4335" s="5"/>
    </row>
    <row r="4336" spans="4:8" x14ac:dyDescent="0.25">
      <c r="D4336" s="4">
        <v>37985</v>
      </c>
      <c r="E4336" s="6">
        <v>30.1</v>
      </c>
      <c r="G4336" s="4"/>
      <c r="H4336" s="5"/>
    </row>
    <row r="4337" spans="4:8" x14ac:dyDescent="0.25">
      <c r="D4337" s="4">
        <v>37986</v>
      </c>
      <c r="E4337" s="6">
        <v>30.3</v>
      </c>
      <c r="G4337" s="4"/>
      <c r="H4337" s="5"/>
    </row>
    <row r="4338" spans="4:8" x14ac:dyDescent="0.25">
      <c r="D4338" s="4">
        <v>37987</v>
      </c>
      <c r="E4338" s="5"/>
      <c r="G4338" s="4"/>
      <c r="H4338" s="5"/>
    </row>
    <row r="4339" spans="4:8" x14ac:dyDescent="0.25">
      <c r="D4339" s="4">
        <v>37988</v>
      </c>
      <c r="E4339" s="6">
        <v>29.55</v>
      </c>
      <c r="G4339" s="4"/>
      <c r="H4339" s="5"/>
    </row>
    <row r="4340" spans="4:8" x14ac:dyDescent="0.25">
      <c r="D4340" s="4">
        <v>37991</v>
      </c>
      <c r="E4340" s="6">
        <v>32.299999999999997</v>
      </c>
      <c r="G4340" s="4"/>
      <c r="H4340" s="5"/>
    </row>
    <row r="4341" spans="4:8" x14ac:dyDescent="0.25">
      <c r="D4341" s="4">
        <v>37992</v>
      </c>
      <c r="E4341" s="6">
        <v>31.2</v>
      </c>
      <c r="G4341" s="4"/>
      <c r="H4341" s="5"/>
    </row>
    <row r="4342" spans="4:8" x14ac:dyDescent="0.25">
      <c r="D4342" s="4">
        <v>37993</v>
      </c>
      <c r="E4342" s="6">
        <v>30.99</v>
      </c>
      <c r="G4342" s="4"/>
      <c r="H4342" s="5"/>
    </row>
    <row r="4343" spans="4:8" x14ac:dyDescent="0.25">
      <c r="D4343" s="4">
        <v>37994</v>
      </c>
      <c r="E4343" s="6">
        <v>31.11</v>
      </c>
      <c r="G4343" s="4"/>
      <c r="H4343" s="5"/>
    </row>
    <row r="4344" spans="4:8" x14ac:dyDescent="0.25">
      <c r="D4344" s="4">
        <v>37995</v>
      </c>
      <c r="E4344" s="6">
        <v>31.91</v>
      </c>
      <c r="G4344" s="4"/>
      <c r="H4344" s="5"/>
    </row>
    <row r="4345" spans="4:8" x14ac:dyDescent="0.25">
      <c r="D4345" s="4">
        <v>37998</v>
      </c>
      <c r="E4345" s="6">
        <v>31.41</v>
      </c>
      <c r="G4345" s="4"/>
      <c r="H4345" s="5"/>
    </row>
    <row r="4346" spans="4:8" x14ac:dyDescent="0.25">
      <c r="D4346" s="4">
        <v>37999</v>
      </c>
      <c r="E4346" s="6">
        <v>32.549999999999997</v>
      </c>
      <c r="G4346" s="4"/>
      <c r="H4346" s="5"/>
    </row>
    <row r="4347" spans="4:8" x14ac:dyDescent="0.25">
      <c r="D4347" s="4">
        <v>38000</v>
      </c>
      <c r="E4347" s="6">
        <v>31.84</v>
      </c>
      <c r="G4347" s="4"/>
      <c r="H4347" s="5"/>
    </row>
    <row r="4348" spans="4:8" x14ac:dyDescent="0.25">
      <c r="D4348" s="4">
        <v>38001</v>
      </c>
      <c r="E4348" s="6">
        <v>31.43</v>
      </c>
      <c r="G4348" s="4"/>
      <c r="H4348" s="5"/>
    </row>
    <row r="4349" spans="4:8" x14ac:dyDescent="0.25">
      <c r="D4349" s="4">
        <v>38002</v>
      </c>
      <c r="E4349" s="6">
        <v>31.26</v>
      </c>
      <c r="G4349" s="4"/>
      <c r="H4349" s="5"/>
    </row>
    <row r="4350" spans="4:8" x14ac:dyDescent="0.25">
      <c r="D4350" s="4">
        <v>38005</v>
      </c>
      <c r="E4350" s="6">
        <v>31.67</v>
      </c>
      <c r="G4350" s="4"/>
      <c r="H4350" s="5"/>
    </row>
    <row r="4351" spans="4:8" x14ac:dyDescent="0.25">
      <c r="D4351" s="4">
        <v>38006</v>
      </c>
      <c r="E4351" s="6">
        <v>32.26</v>
      </c>
      <c r="G4351" s="4"/>
      <c r="H4351" s="5"/>
    </row>
    <row r="4352" spans="4:8" x14ac:dyDescent="0.25">
      <c r="D4352" s="4">
        <v>38007</v>
      </c>
      <c r="E4352" s="6">
        <v>31.95</v>
      </c>
      <c r="G4352" s="4"/>
      <c r="H4352" s="5"/>
    </row>
    <row r="4353" spans="4:8" x14ac:dyDescent="0.25">
      <c r="D4353" s="4">
        <v>38008</v>
      </c>
      <c r="E4353" s="6">
        <v>31.42</v>
      </c>
      <c r="G4353" s="4"/>
      <c r="H4353" s="5"/>
    </row>
    <row r="4354" spans="4:8" x14ac:dyDescent="0.25">
      <c r="D4354" s="4">
        <v>38009</v>
      </c>
      <c r="E4354" s="6">
        <v>32.08</v>
      </c>
      <c r="G4354" s="4"/>
      <c r="H4354" s="5"/>
    </row>
    <row r="4355" spans="4:8" x14ac:dyDescent="0.25">
      <c r="D4355" s="4">
        <v>38012</v>
      </c>
      <c r="E4355" s="6">
        <v>31.15</v>
      </c>
      <c r="G4355" s="4"/>
      <c r="H4355" s="5"/>
    </row>
    <row r="4356" spans="4:8" x14ac:dyDescent="0.25">
      <c r="D4356" s="4">
        <v>38013</v>
      </c>
      <c r="E4356" s="6">
        <v>31.05</v>
      </c>
      <c r="G4356" s="4"/>
      <c r="H4356" s="5"/>
    </row>
    <row r="4357" spans="4:8" x14ac:dyDescent="0.25">
      <c r="D4357" s="4">
        <v>38014</v>
      </c>
      <c r="E4357" s="6">
        <v>30.77</v>
      </c>
      <c r="G4357" s="4"/>
      <c r="H4357" s="5"/>
    </row>
    <row r="4358" spans="4:8" x14ac:dyDescent="0.25">
      <c r="D4358" s="4">
        <v>38015</v>
      </c>
      <c r="E4358" s="6">
        <v>29.47</v>
      </c>
      <c r="G4358" s="4"/>
      <c r="H4358" s="5"/>
    </row>
    <row r="4359" spans="4:8" x14ac:dyDescent="0.25">
      <c r="D4359" s="4">
        <v>38016</v>
      </c>
      <c r="E4359" s="6">
        <v>29.53</v>
      </c>
      <c r="G4359" s="4"/>
      <c r="H4359" s="5"/>
    </row>
    <row r="4360" spans="4:8" x14ac:dyDescent="0.25">
      <c r="D4360" s="4">
        <v>38019</v>
      </c>
      <c r="E4360" s="6">
        <v>30.3</v>
      </c>
      <c r="G4360" s="4"/>
      <c r="H4360" s="5"/>
    </row>
    <row r="4361" spans="4:8" x14ac:dyDescent="0.25">
      <c r="D4361" s="4">
        <v>38020</v>
      </c>
      <c r="E4361" s="6">
        <v>30.07</v>
      </c>
      <c r="G4361" s="4"/>
      <c r="H4361" s="5"/>
    </row>
    <row r="4362" spans="4:8" x14ac:dyDescent="0.25">
      <c r="D4362" s="4">
        <v>38021</v>
      </c>
      <c r="E4362" s="6">
        <v>29.63</v>
      </c>
      <c r="G4362" s="4"/>
      <c r="H4362" s="5"/>
    </row>
    <row r="4363" spans="4:8" x14ac:dyDescent="0.25">
      <c r="D4363" s="4">
        <v>38022</v>
      </c>
      <c r="E4363" s="6">
        <v>29.02</v>
      </c>
      <c r="G4363" s="4"/>
      <c r="H4363" s="5"/>
    </row>
    <row r="4364" spans="4:8" x14ac:dyDescent="0.25">
      <c r="D4364" s="4">
        <v>38023</v>
      </c>
      <c r="E4364" s="6">
        <v>29.26</v>
      </c>
      <c r="G4364" s="4"/>
      <c r="H4364" s="5"/>
    </row>
    <row r="4365" spans="4:8" x14ac:dyDescent="0.25">
      <c r="D4365" s="4">
        <v>38026</v>
      </c>
      <c r="E4365" s="6">
        <v>29.1</v>
      </c>
      <c r="G4365" s="4"/>
      <c r="H4365" s="5"/>
    </row>
    <row r="4366" spans="4:8" x14ac:dyDescent="0.25">
      <c r="D4366" s="4">
        <v>38027</v>
      </c>
      <c r="E4366" s="6">
        <v>30.06</v>
      </c>
      <c r="G4366" s="4"/>
      <c r="H4366" s="5"/>
    </row>
    <row r="4367" spans="4:8" x14ac:dyDescent="0.25">
      <c r="D4367" s="4">
        <v>38028</v>
      </c>
      <c r="E4367" s="6">
        <v>30.33</v>
      </c>
      <c r="G4367" s="4"/>
      <c r="H4367" s="5"/>
    </row>
    <row r="4368" spans="4:8" x14ac:dyDescent="0.25">
      <c r="D4368" s="4">
        <v>38029</v>
      </c>
      <c r="E4368" s="6">
        <v>30.17</v>
      </c>
      <c r="G4368" s="4"/>
      <c r="H4368" s="5"/>
    </row>
    <row r="4369" spans="4:8" x14ac:dyDescent="0.25">
      <c r="D4369" s="4">
        <v>38030</v>
      </c>
      <c r="E4369" s="6">
        <v>30.96</v>
      </c>
      <c r="G4369" s="4"/>
      <c r="H4369" s="5"/>
    </row>
    <row r="4370" spans="4:8" x14ac:dyDescent="0.25">
      <c r="D4370" s="4">
        <v>38033</v>
      </c>
      <c r="E4370" s="6">
        <v>31.08</v>
      </c>
      <c r="G4370" s="4"/>
      <c r="H4370" s="5"/>
    </row>
    <row r="4371" spans="4:8" x14ac:dyDescent="0.25">
      <c r="D4371" s="4">
        <v>38034</v>
      </c>
      <c r="E4371" s="6">
        <v>31.43</v>
      </c>
      <c r="G4371" s="4"/>
      <c r="H4371" s="5"/>
    </row>
    <row r="4372" spans="4:8" x14ac:dyDescent="0.25">
      <c r="D4372" s="4">
        <v>38035</v>
      </c>
      <c r="E4372" s="6">
        <v>31.57</v>
      </c>
      <c r="G4372" s="4"/>
      <c r="H4372" s="5"/>
    </row>
    <row r="4373" spans="4:8" x14ac:dyDescent="0.25">
      <c r="D4373" s="4">
        <v>38036</v>
      </c>
      <c r="E4373" s="6">
        <v>31.63</v>
      </c>
      <c r="G4373" s="4"/>
      <c r="H4373" s="5"/>
    </row>
    <row r="4374" spans="4:8" x14ac:dyDescent="0.25">
      <c r="D4374" s="4">
        <v>38037</v>
      </c>
      <c r="E4374" s="6">
        <v>31.22</v>
      </c>
      <c r="G4374" s="4"/>
      <c r="H4374" s="5"/>
    </row>
    <row r="4375" spans="4:8" x14ac:dyDescent="0.25">
      <c r="D4375" s="4">
        <v>38040</v>
      </c>
      <c r="E4375" s="6">
        <v>31.89</v>
      </c>
      <c r="G4375" s="4"/>
      <c r="H4375" s="5"/>
    </row>
    <row r="4376" spans="4:8" x14ac:dyDescent="0.25">
      <c r="D4376" s="4">
        <v>38041</v>
      </c>
      <c r="E4376" s="6">
        <v>31.6</v>
      </c>
      <c r="G4376" s="4"/>
      <c r="H4376" s="5"/>
    </row>
    <row r="4377" spans="4:8" x14ac:dyDescent="0.25">
      <c r="D4377" s="4">
        <v>38042</v>
      </c>
      <c r="E4377" s="6">
        <v>32.46</v>
      </c>
      <c r="G4377" s="4"/>
      <c r="H4377" s="5"/>
    </row>
    <row r="4378" spans="4:8" x14ac:dyDescent="0.25">
      <c r="D4378" s="4">
        <v>38043</v>
      </c>
      <c r="E4378" s="6">
        <v>32.450000000000003</v>
      </c>
      <c r="G4378" s="4"/>
      <c r="H4378" s="5"/>
    </row>
    <row r="4379" spans="4:8" x14ac:dyDescent="0.25">
      <c r="D4379" s="4">
        <v>38044</v>
      </c>
      <c r="E4379" s="6">
        <v>32.94</v>
      </c>
      <c r="G4379" s="4"/>
      <c r="H4379" s="5"/>
    </row>
    <row r="4380" spans="4:8" x14ac:dyDescent="0.25">
      <c r="D4380" s="4">
        <v>38047</v>
      </c>
      <c r="E4380" s="6">
        <v>33.340000000000003</v>
      </c>
      <c r="G4380" s="4"/>
      <c r="H4380" s="5"/>
    </row>
    <row r="4381" spans="4:8" x14ac:dyDescent="0.25">
      <c r="D4381" s="4">
        <v>38048</v>
      </c>
      <c r="E4381" s="6">
        <v>34.15</v>
      </c>
      <c r="G4381" s="4"/>
      <c r="H4381" s="5"/>
    </row>
    <row r="4382" spans="4:8" x14ac:dyDescent="0.25">
      <c r="D4382" s="4">
        <v>38049</v>
      </c>
      <c r="E4382" s="6">
        <v>33.32</v>
      </c>
      <c r="G4382" s="4"/>
      <c r="H4382" s="5"/>
    </row>
    <row r="4383" spans="4:8" x14ac:dyDescent="0.25">
      <c r="D4383" s="4">
        <v>38050</v>
      </c>
      <c r="E4383" s="6">
        <v>33.450000000000003</v>
      </c>
      <c r="G4383" s="4"/>
      <c r="H4383" s="5"/>
    </row>
    <row r="4384" spans="4:8" x14ac:dyDescent="0.25">
      <c r="D4384" s="4">
        <v>38051</v>
      </c>
      <c r="E4384" s="6">
        <v>34.4</v>
      </c>
      <c r="G4384" s="4"/>
      <c r="H4384" s="5"/>
    </row>
    <row r="4385" spans="4:8" x14ac:dyDescent="0.25">
      <c r="D4385" s="4">
        <v>38054</v>
      </c>
      <c r="E4385" s="6">
        <v>34.270000000000003</v>
      </c>
      <c r="G4385" s="4"/>
      <c r="H4385" s="5"/>
    </row>
    <row r="4386" spans="4:8" x14ac:dyDescent="0.25">
      <c r="D4386" s="4">
        <v>38055</v>
      </c>
      <c r="E4386" s="6">
        <v>33.72</v>
      </c>
      <c r="G4386" s="4"/>
      <c r="H4386" s="5"/>
    </row>
    <row r="4387" spans="4:8" x14ac:dyDescent="0.25">
      <c r="D4387" s="4">
        <v>38056</v>
      </c>
      <c r="E4387" s="6">
        <v>32.83</v>
      </c>
      <c r="G4387" s="4"/>
      <c r="H4387" s="5"/>
    </row>
    <row r="4388" spans="4:8" x14ac:dyDescent="0.25">
      <c r="D4388" s="4">
        <v>38057</v>
      </c>
      <c r="E4388" s="6">
        <v>33.22</v>
      </c>
      <c r="G4388" s="4"/>
      <c r="H4388" s="5"/>
    </row>
    <row r="4389" spans="4:8" x14ac:dyDescent="0.25">
      <c r="D4389" s="4">
        <v>38058</v>
      </c>
      <c r="E4389" s="6">
        <v>32.76</v>
      </c>
      <c r="G4389" s="4"/>
      <c r="H4389" s="5"/>
    </row>
    <row r="4390" spans="4:8" x14ac:dyDescent="0.25">
      <c r="D4390" s="4">
        <v>38061</v>
      </c>
      <c r="E4390" s="6">
        <v>34.39</v>
      </c>
      <c r="G4390" s="4"/>
      <c r="H4390" s="5"/>
    </row>
    <row r="4391" spans="4:8" x14ac:dyDescent="0.25">
      <c r="D4391" s="4">
        <v>38062</v>
      </c>
      <c r="E4391" s="6">
        <v>34.72</v>
      </c>
      <c r="G4391" s="4"/>
      <c r="H4391" s="5"/>
    </row>
    <row r="4392" spans="4:8" x14ac:dyDescent="0.25">
      <c r="D4392" s="4">
        <v>38063</v>
      </c>
      <c r="E4392" s="6">
        <v>34.950000000000003</v>
      </c>
      <c r="G4392" s="4"/>
      <c r="H4392" s="5"/>
    </row>
    <row r="4393" spans="4:8" x14ac:dyDescent="0.25">
      <c r="D4393" s="4">
        <v>38064</v>
      </c>
      <c r="E4393" s="6">
        <v>34.43</v>
      </c>
      <c r="G4393" s="4"/>
      <c r="H4393" s="5"/>
    </row>
    <row r="4394" spans="4:8" x14ac:dyDescent="0.25">
      <c r="D4394" s="4">
        <v>38065</v>
      </c>
      <c r="E4394" s="6">
        <v>34.33</v>
      </c>
      <c r="G4394" s="4"/>
      <c r="H4394" s="5"/>
    </row>
    <row r="4395" spans="4:8" x14ac:dyDescent="0.25">
      <c r="D4395" s="4">
        <v>38068</v>
      </c>
      <c r="E4395" s="6">
        <v>33.57</v>
      </c>
      <c r="G4395" s="4"/>
      <c r="H4395" s="5"/>
    </row>
    <row r="4396" spans="4:8" x14ac:dyDescent="0.25">
      <c r="D4396" s="4">
        <v>38069</v>
      </c>
      <c r="E4396" s="6">
        <v>34.4</v>
      </c>
      <c r="G4396" s="4"/>
      <c r="H4396" s="5"/>
    </row>
    <row r="4397" spans="4:8" x14ac:dyDescent="0.25">
      <c r="D4397" s="4">
        <v>38070</v>
      </c>
      <c r="E4397" s="6">
        <v>34.14</v>
      </c>
      <c r="G4397" s="4"/>
      <c r="H4397" s="5"/>
    </row>
    <row r="4398" spans="4:8" x14ac:dyDescent="0.25">
      <c r="D4398" s="4">
        <v>38071</v>
      </c>
      <c r="E4398" s="6">
        <v>33.32</v>
      </c>
      <c r="G4398" s="4"/>
      <c r="H4398" s="5"/>
    </row>
    <row r="4399" spans="4:8" x14ac:dyDescent="0.25">
      <c r="D4399" s="4">
        <v>38072</v>
      </c>
      <c r="E4399" s="6">
        <v>32.51</v>
      </c>
      <c r="G4399" s="4"/>
      <c r="H4399" s="5"/>
    </row>
    <row r="4400" spans="4:8" x14ac:dyDescent="0.25">
      <c r="D4400" s="4">
        <v>38075</v>
      </c>
      <c r="E4400" s="6">
        <v>32.04</v>
      </c>
      <c r="G4400" s="4"/>
      <c r="H4400" s="5"/>
    </row>
    <row r="4401" spans="4:8" x14ac:dyDescent="0.25">
      <c r="D4401" s="4">
        <v>38076</v>
      </c>
      <c r="E4401" s="6">
        <v>33.04</v>
      </c>
      <c r="G4401" s="4"/>
      <c r="H4401" s="5"/>
    </row>
    <row r="4402" spans="4:8" x14ac:dyDescent="0.25">
      <c r="D4402" s="4">
        <v>38077</v>
      </c>
      <c r="E4402" s="6">
        <v>32.29</v>
      </c>
      <c r="G4402" s="4"/>
      <c r="H4402" s="5"/>
    </row>
    <row r="4403" spans="4:8" x14ac:dyDescent="0.25">
      <c r="D4403" s="4">
        <v>38078</v>
      </c>
      <c r="E4403" s="6">
        <v>32.590000000000003</v>
      </c>
      <c r="G4403" s="4"/>
      <c r="H4403" s="5"/>
    </row>
    <row r="4404" spans="4:8" x14ac:dyDescent="0.25">
      <c r="D4404" s="4">
        <v>38079</v>
      </c>
      <c r="E4404" s="6">
        <v>31.19</v>
      </c>
      <c r="G4404" s="4"/>
      <c r="H4404" s="5"/>
    </row>
    <row r="4405" spans="4:8" x14ac:dyDescent="0.25">
      <c r="D4405" s="4">
        <v>38082</v>
      </c>
      <c r="E4405" s="6">
        <v>31.17</v>
      </c>
      <c r="G4405" s="4"/>
      <c r="H4405" s="5"/>
    </row>
    <row r="4406" spans="4:8" x14ac:dyDescent="0.25">
      <c r="D4406" s="4">
        <v>38083</v>
      </c>
      <c r="E4406" s="6">
        <v>31.48</v>
      </c>
      <c r="G4406" s="4"/>
      <c r="H4406" s="5"/>
    </row>
    <row r="4407" spans="4:8" x14ac:dyDescent="0.25">
      <c r="D4407" s="4">
        <v>38084</v>
      </c>
      <c r="E4407" s="6">
        <v>33.07</v>
      </c>
      <c r="G4407" s="4"/>
      <c r="H4407" s="5"/>
    </row>
    <row r="4408" spans="4:8" x14ac:dyDescent="0.25">
      <c r="D4408" s="4">
        <v>38085</v>
      </c>
      <c r="E4408" s="6">
        <v>33.979999999999997</v>
      </c>
      <c r="G4408" s="4"/>
      <c r="H4408" s="5"/>
    </row>
    <row r="4409" spans="4:8" x14ac:dyDescent="0.25">
      <c r="D4409" s="4">
        <v>38086</v>
      </c>
      <c r="E4409" s="6">
        <v>34.03</v>
      </c>
      <c r="G4409" s="4"/>
      <c r="H4409" s="5"/>
    </row>
    <row r="4410" spans="4:8" x14ac:dyDescent="0.25">
      <c r="D4410" s="4">
        <v>38089</v>
      </c>
      <c r="E4410" s="6">
        <v>34.51</v>
      </c>
      <c r="G4410" s="4"/>
      <c r="H4410" s="5"/>
    </row>
    <row r="4411" spans="4:8" x14ac:dyDescent="0.25">
      <c r="D4411" s="4">
        <v>38090</v>
      </c>
      <c r="E4411" s="6">
        <v>34.15</v>
      </c>
      <c r="G4411" s="4"/>
      <c r="H4411" s="5"/>
    </row>
    <row r="4412" spans="4:8" x14ac:dyDescent="0.25">
      <c r="D4412" s="4">
        <v>38091</v>
      </c>
      <c r="E4412" s="6">
        <v>33.54</v>
      </c>
      <c r="G4412" s="4"/>
      <c r="H4412" s="5"/>
    </row>
    <row r="4413" spans="4:8" x14ac:dyDescent="0.25">
      <c r="D4413" s="4">
        <v>38092</v>
      </c>
      <c r="E4413" s="6">
        <v>33.72</v>
      </c>
      <c r="G4413" s="4"/>
      <c r="H4413" s="5"/>
    </row>
    <row r="4414" spans="4:8" x14ac:dyDescent="0.25">
      <c r="D4414" s="4">
        <v>38093</v>
      </c>
      <c r="E4414" s="6">
        <v>33.85</v>
      </c>
      <c r="G4414" s="4"/>
      <c r="H4414" s="5"/>
    </row>
    <row r="4415" spans="4:8" x14ac:dyDescent="0.25">
      <c r="D4415" s="4">
        <v>38096</v>
      </c>
      <c r="E4415" s="6">
        <v>34.71</v>
      </c>
      <c r="G4415" s="4"/>
      <c r="H4415" s="5"/>
    </row>
    <row r="4416" spans="4:8" x14ac:dyDescent="0.25">
      <c r="D4416" s="4">
        <v>38097</v>
      </c>
      <c r="E4416" s="6">
        <v>33.56</v>
      </c>
      <c r="G4416" s="4"/>
      <c r="H4416" s="5"/>
    </row>
    <row r="4417" spans="4:8" x14ac:dyDescent="0.25">
      <c r="D4417" s="4">
        <v>38098</v>
      </c>
      <c r="E4417" s="6">
        <v>33.229999999999997</v>
      </c>
      <c r="G4417" s="4"/>
      <c r="H4417" s="5"/>
    </row>
    <row r="4418" spans="4:8" x14ac:dyDescent="0.25">
      <c r="D4418" s="4">
        <v>38099</v>
      </c>
      <c r="E4418" s="6">
        <v>33.24</v>
      </c>
      <c r="G4418" s="4"/>
      <c r="H4418" s="5"/>
    </row>
    <row r="4419" spans="4:8" x14ac:dyDescent="0.25">
      <c r="D4419" s="4">
        <v>38100</v>
      </c>
      <c r="E4419" s="6">
        <v>33.78</v>
      </c>
      <c r="G4419" s="4"/>
      <c r="H4419" s="5"/>
    </row>
    <row r="4420" spans="4:8" x14ac:dyDescent="0.25">
      <c r="D4420" s="4">
        <v>38103</v>
      </c>
      <c r="E4420" s="6">
        <v>34.18</v>
      </c>
      <c r="G4420" s="4"/>
      <c r="H4420" s="5"/>
    </row>
    <row r="4421" spans="4:8" x14ac:dyDescent="0.25">
      <c r="D4421" s="4">
        <v>38104</v>
      </c>
      <c r="E4421" s="6">
        <v>34.11</v>
      </c>
      <c r="G4421" s="4"/>
      <c r="H4421" s="5"/>
    </row>
    <row r="4422" spans="4:8" x14ac:dyDescent="0.25">
      <c r="D4422" s="4">
        <v>38105</v>
      </c>
      <c r="E4422" s="6">
        <v>35.020000000000003</v>
      </c>
      <c r="G4422" s="4"/>
      <c r="H4422" s="5"/>
    </row>
    <row r="4423" spans="4:8" x14ac:dyDescent="0.25">
      <c r="D4423" s="4">
        <v>38106</v>
      </c>
      <c r="E4423" s="6">
        <v>34.659999999999997</v>
      </c>
      <c r="G4423" s="4"/>
      <c r="H4423" s="5"/>
    </row>
    <row r="4424" spans="4:8" x14ac:dyDescent="0.25">
      <c r="D4424" s="4">
        <v>38107</v>
      </c>
      <c r="E4424" s="6">
        <v>35.229999999999997</v>
      </c>
      <c r="G4424" s="4"/>
      <c r="H4424" s="5"/>
    </row>
    <row r="4425" spans="4:8" x14ac:dyDescent="0.25">
      <c r="D4425" s="4">
        <v>38110</v>
      </c>
      <c r="E4425" s="6">
        <v>34.97</v>
      </c>
      <c r="G4425" s="4"/>
      <c r="H4425" s="5"/>
    </row>
    <row r="4426" spans="4:8" x14ac:dyDescent="0.25">
      <c r="D4426" s="4">
        <v>38111</v>
      </c>
      <c r="E4426" s="6">
        <v>36.07</v>
      </c>
      <c r="G4426" s="4"/>
      <c r="H4426" s="5"/>
    </row>
    <row r="4427" spans="4:8" x14ac:dyDescent="0.25">
      <c r="D4427" s="4">
        <v>38112</v>
      </c>
      <c r="E4427" s="6">
        <v>36.58</v>
      </c>
      <c r="G4427" s="4"/>
      <c r="H4427" s="5"/>
    </row>
    <row r="4428" spans="4:8" x14ac:dyDescent="0.25">
      <c r="D4428" s="4">
        <v>38113</v>
      </c>
      <c r="E4428" s="6">
        <v>37.049999999999997</v>
      </c>
      <c r="G4428" s="4"/>
      <c r="H4428" s="5"/>
    </row>
    <row r="4429" spans="4:8" x14ac:dyDescent="0.25">
      <c r="D4429" s="4">
        <v>38114</v>
      </c>
      <c r="E4429" s="6">
        <v>37.25</v>
      </c>
      <c r="G4429" s="4"/>
      <c r="H4429" s="5"/>
    </row>
    <row r="4430" spans="4:8" x14ac:dyDescent="0.25">
      <c r="D4430" s="4">
        <v>38117</v>
      </c>
      <c r="E4430" s="6">
        <v>35.83</v>
      </c>
      <c r="G4430" s="4"/>
      <c r="H4430" s="5"/>
    </row>
    <row r="4431" spans="4:8" x14ac:dyDescent="0.25">
      <c r="D4431" s="4">
        <v>38118</v>
      </c>
      <c r="E4431" s="6">
        <v>36.97</v>
      </c>
      <c r="G4431" s="4"/>
      <c r="H4431" s="5"/>
    </row>
    <row r="4432" spans="4:8" x14ac:dyDescent="0.25">
      <c r="D4432" s="4">
        <v>38119</v>
      </c>
      <c r="E4432" s="6">
        <v>37.950000000000003</v>
      </c>
      <c r="G4432" s="4"/>
      <c r="H4432" s="5"/>
    </row>
    <row r="4433" spans="4:8" x14ac:dyDescent="0.25">
      <c r="D4433" s="4">
        <v>38120</v>
      </c>
      <c r="E4433" s="6">
        <v>38.299999999999997</v>
      </c>
      <c r="G4433" s="4"/>
      <c r="H4433" s="5"/>
    </row>
    <row r="4434" spans="4:8" x14ac:dyDescent="0.25">
      <c r="D4434" s="4">
        <v>38121</v>
      </c>
      <c r="E4434" s="6">
        <v>39.04</v>
      </c>
      <c r="G4434" s="4"/>
      <c r="H4434" s="5"/>
    </row>
    <row r="4435" spans="4:8" x14ac:dyDescent="0.25">
      <c r="D4435" s="4">
        <v>38124</v>
      </c>
      <c r="E4435" s="6">
        <v>38.880000000000003</v>
      </c>
      <c r="G4435" s="4"/>
      <c r="H4435" s="5"/>
    </row>
    <row r="4436" spans="4:8" x14ac:dyDescent="0.25">
      <c r="D4436" s="4">
        <v>38125</v>
      </c>
      <c r="E4436" s="6">
        <v>38.43</v>
      </c>
      <c r="G4436" s="4"/>
      <c r="H4436" s="5"/>
    </row>
    <row r="4437" spans="4:8" x14ac:dyDescent="0.25">
      <c r="D4437" s="4">
        <v>38126</v>
      </c>
      <c r="E4437" s="6">
        <v>38.35</v>
      </c>
      <c r="G4437" s="4"/>
      <c r="H4437" s="5"/>
    </row>
    <row r="4438" spans="4:8" x14ac:dyDescent="0.25">
      <c r="D4438" s="4">
        <v>38127</v>
      </c>
      <c r="E4438" s="6">
        <v>38.89</v>
      </c>
      <c r="G4438" s="4"/>
      <c r="H4438" s="5"/>
    </row>
    <row r="4439" spans="4:8" x14ac:dyDescent="0.25">
      <c r="D4439" s="4">
        <v>38128</v>
      </c>
      <c r="E4439" s="6">
        <v>37.6</v>
      </c>
      <c r="G4439" s="4"/>
      <c r="H4439" s="5"/>
    </row>
    <row r="4440" spans="4:8" x14ac:dyDescent="0.25">
      <c r="D4440" s="4">
        <v>38131</v>
      </c>
      <c r="E4440" s="6">
        <v>39.22</v>
      </c>
      <c r="G4440" s="4"/>
      <c r="H4440" s="5"/>
    </row>
    <row r="4441" spans="4:8" x14ac:dyDescent="0.25">
      <c r="D4441" s="4">
        <v>38132</v>
      </c>
      <c r="E4441" s="6">
        <v>38.46</v>
      </c>
      <c r="G4441" s="4"/>
      <c r="H4441" s="5"/>
    </row>
    <row r="4442" spans="4:8" x14ac:dyDescent="0.25">
      <c r="D4442" s="4">
        <v>38133</v>
      </c>
      <c r="E4442" s="6">
        <v>38.049999999999997</v>
      </c>
      <c r="G4442" s="4"/>
      <c r="H4442" s="5"/>
    </row>
    <row r="4443" spans="4:8" x14ac:dyDescent="0.25">
      <c r="D4443" s="4">
        <v>38134</v>
      </c>
      <c r="E4443" s="6">
        <v>37.03</v>
      </c>
      <c r="G4443" s="4"/>
      <c r="H4443" s="5"/>
    </row>
    <row r="4444" spans="4:8" x14ac:dyDescent="0.25">
      <c r="D4444" s="4">
        <v>38135</v>
      </c>
      <c r="E4444" s="6">
        <v>37</v>
      </c>
      <c r="G4444" s="4"/>
      <c r="H4444" s="5"/>
    </row>
    <row r="4445" spans="4:8" x14ac:dyDescent="0.25">
      <c r="D4445" s="4">
        <v>38138</v>
      </c>
      <c r="E4445" s="6">
        <v>37</v>
      </c>
      <c r="G4445" s="4"/>
      <c r="H4445" s="5"/>
    </row>
    <row r="4446" spans="4:8" x14ac:dyDescent="0.25">
      <c r="D4446" s="4">
        <v>38139</v>
      </c>
      <c r="E4446" s="6">
        <v>39.049999999999997</v>
      </c>
      <c r="G4446" s="4"/>
      <c r="H4446" s="5"/>
    </row>
    <row r="4447" spans="4:8" x14ac:dyDescent="0.25">
      <c r="D4447" s="4">
        <v>38140</v>
      </c>
      <c r="E4447" s="6">
        <v>37.99</v>
      </c>
      <c r="G4447" s="4"/>
      <c r="H4447" s="5"/>
    </row>
    <row r="4448" spans="4:8" x14ac:dyDescent="0.25">
      <c r="D4448" s="4">
        <v>38141</v>
      </c>
      <c r="E4448" s="6">
        <v>36.26</v>
      </c>
      <c r="G4448" s="4"/>
      <c r="H4448" s="5"/>
    </row>
    <row r="4449" spans="4:8" x14ac:dyDescent="0.25">
      <c r="D4449" s="4">
        <v>38142</v>
      </c>
      <c r="E4449" s="6">
        <v>35.97</v>
      </c>
      <c r="G4449" s="4"/>
      <c r="H4449" s="5"/>
    </row>
    <row r="4450" spans="4:8" x14ac:dyDescent="0.25">
      <c r="D4450" s="4">
        <v>38145</v>
      </c>
      <c r="E4450" s="6">
        <v>35.57</v>
      </c>
      <c r="G4450" s="4"/>
      <c r="H4450" s="5"/>
    </row>
    <row r="4451" spans="4:8" x14ac:dyDescent="0.25">
      <c r="D4451" s="4">
        <v>38146</v>
      </c>
      <c r="E4451" s="6">
        <v>35.47</v>
      </c>
      <c r="G4451" s="4"/>
      <c r="H4451" s="5"/>
    </row>
    <row r="4452" spans="4:8" x14ac:dyDescent="0.25">
      <c r="D4452" s="4">
        <v>38147</v>
      </c>
      <c r="E4452" s="6">
        <v>34.69</v>
      </c>
      <c r="G4452" s="4"/>
      <c r="H4452" s="5"/>
    </row>
    <row r="4453" spans="4:8" x14ac:dyDescent="0.25">
      <c r="D4453" s="4">
        <v>38148</v>
      </c>
      <c r="E4453" s="6">
        <v>35.75</v>
      </c>
      <c r="G4453" s="4"/>
      <c r="H4453" s="5"/>
    </row>
    <row r="4454" spans="4:8" x14ac:dyDescent="0.25">
      <c r="D4454" s="4">
        <v>38149</v>
      </c>
      <c r="E4454" s="6">
        <v>35.229999999999997</v>
      </c>
      <c r="G4454" s="4"/>
      <c r="H4454" s="5"/>
    </row>
    <row r="4455" spans="4:8" x14ac:dyDescent="0.25">
      <c r="D4455" s="4">
        <v>38152</v>
      </c>
      <c r="E4455" s="6">
        <v>35.22</v>
      </c>
      <c r="G4455" s="4"/>
      <c r="H4455" s="5"/>
    </row>
    <row r="4456" spans="4:8" x14ac:dyDescent="0.25">
      <c r="D4456" s="4">
        <v>38153</v>
      </c>
      <c r="E4456" s="6">
        <v>34.659999999999997</v>
      </c>
      <c r="G4456" s="4"/>
      <c r="H4456" s="5"/>
    </row>
    <row r="4457" spans="4:8" x14ac:dyDescent="0.25">
      <c r="D4457" s="4">
        <v>38154</v>
      </c>
      <c r="E4457" s="6">
        <v>34.56</v>
      </c>
      <c r="G4457" s="4"/>
      <c r="H4457" s="5"/>
    </row>
    <row r="4458" spans="4:8" x14ac:dyDescent="0.25">
      <c r="D4458" s="4">
        <v>38155</v>
      </c>
      <c r="E4458" s="6">
        <v>35.58</v>
      </c>
      <c r="G4458" s="4"/>
      <c r="H4458" s="5"/>
    </row>
    <row r="4459" spans="4:8" x14ac:dyDescent="0.25">
      <c r="D4459" s="4">
        <v>38156</v>
      </c>
      <c r="E4459" s="6">
        <v>35.43</v>
      </c>
      <c r="G4459" s="4"/>
      <c r="H4459" s="5"/>
    </row>
    <row r="4460" spans="4:8" x14ac:dyDescent="0.25">
      <c r="D4460" s="4">
        <v>38159</v>
      </c>
      <c r="E4460" s="6">
        <v>34.82</v>
      </c>
      <c r="G4460" s="4"/>
      <c r="H4460" s="5"/>
    </row>
    <row r="4461" spans="4:8" x14ac:dyDescent="0.25">
      <c r="D4461" s="4">
        <v>38160</v>
      </c>
      <c r="E4461" s="6">
        <v>34.950000000000003</v>
      </c>
      <c r="G4461" s="4"/>
      <c r="H4461" s="5"/>
    </row>
    <row r="4462" spans="4:8" x14ac:dyDescent="0.25">
      <c r="D4462" s="4">
        <v>38161</v>
      </c>
      <c r="E4462" s="6">
        <v>34.81</v>
      </c>
      <c r="G4462" s="4"/>
      <c r="H4462" s="5"/>
    </row>
    <row r="4463" spans="4:8" x14ac:dyDescent="0.25">
      <c r="D4463" s="4">
        <v>38162</v>
      </c>
      <c r="E4463" s="6">
        <v>34.71</v>
      </c>
      <c r="G4463" s="4"/>
      <c r="H4463" s="5"/>
    </row>
    <row r="4464" spans="4:8" x14ac:dyDescent="0.25">
      <c r="D4464" s="4">
        <v>38163</v>
      </c>
      <c r="E4464" s="6">
        <v>34.25</v>
      </c>
      <c r="G4464" s="4"/>
      <c r="H4464" s="5"/>
    </row>
    <row r="4465" spans="4:8" x14ac:dyDescent="0.25">
      <c r="D4465" s="4">
        <v>38166</v>
      </c>
      <c r="E4465" s="6">
        <v>33.24</v>
      </c>
      <c r="G4465" s="4"/>
      <c r="H4465" s="5"/>
    </row>
    <row r="4466" spans="4:8" x14ac:dyDescent="0.25">
      <c r="D4466" s="4">
        <v>38167</v>
      </c>
      <c r="E4466" s="6">
        <v>32.61</v>
      </c>
      <c r="G4466" s="4"/>
      <c r="H4466" s="5"/>
    </row>
    <row r="4467" spans="4:8" x14ac:dyDescent="0.25">
      <c r="D4467" s="4">
        <v>38168</v>
      </c>
      <c r="E4467" s="6">
        <v>33.22</v>
      </c>
      <c r="G4467" s="4"/>
      <c r="H4467" s="5"/>
    </row>
    <row r="4468" spans="4:8" x14ac:dyDescent="0.25">
      <c r="D4468" s="4">
        <v>38169</v>
      </c>
      <c r="E4468" s="6">
        <v>35.58</v>
      </c>
      <c r="G4468" s="4"/>
      <c r="H4468" s="5"/>
    </row>
    <row r="4469" spans="4:8" x14ac:dyDescent="0.25">
      <c r="D4469" s="4">
        <v>38170</v>
      </c>
      <c r="E4469" s="6">
        <v>35.36</v>
      </c>
      <c r="G4469" s="4"/>
      <c r="H4469" s="5"/>
    </row>
    <row r="4470" spans="4:8" x14ac:dyDescent="0.25">
      <c r="D4470" s="4">
        <v>38173</v>
      </c>
      <c r="E4470" s="6">
        <v>35.729999999999997</v>
      </c>
      <c r="G4470" s="4"/>
      <c r="H4470" s="5"/>
    </row>
    <row r="4471" spans="4:8" x14ac:dyDescent="0.25">
      <c r="D4471" s="4">
        <v>38174</v>
      </c>
      <c r="E4471" s="6">
        <v>36.47</v>
      </c>
      <c r="G4471" s="4"/>
      <c r="H4471" s="5"/>
    </row>
    <row r="4472" spans="4:8" x14ac:dyDescent="0.25">
      <c r="D4472" s="4">
        <v>38175</v>
      </c>
      <c r="E4472" s="6">
        <v>35.619999999999997</v>
      </c>
      <c r="G4472" s="4"/>
      <c r="H4472" s="5"/>
    </row>
    <row r="4473" spans="4:8" x14ac:dyDescent="0.25">
      <c r="D4473" s="4">
        <v>38176</v>
      </c>
      <c r="E4473" s="6">
        <v>37.130000000000003</v>
      </c>
      <c r="G4473" s="4"/>
      <c r="H4473" s="5"/>
    </row>
    <row r="4474" spans="4:8" x14ac:dyDescent="0.25">
      <c r="D4474" s="4">
        <v>38177</v>
      </c>
      <c r="E4474" s="6">
        <v>37.58</v>
      </c>
      <c r="G4474" s="4"/>
      <c r="H4474" s="5"/>
    </row>
    <row r="4475" spans="4:8" x14ac:dyDescent="0.25">
      <c r="D4475" s="4">
        <v>38180</v>
      </c>
      <c r="E4475" s="6">
        <v>37.729999999999997</v>
      </c>
      <c r="G4475" s="4"/>
      <c r="H4475" s="5"/>
    </row>
    <row r="4476" spans="4:8" x14ac:dyDescent="0.25">
      <c r="D4476" s="4">
        <v>38181</v>
      </c>
      <c r="E4476" s="6">
        <v>36.68</v>
      </c>
      <c r="G4476" s="4"/>
      <c r="H4476" s="5"/>
    </row>
    <row r="4477" spans="4:8" x14ac:dyDescent="0.25">
      <c r="D4477" s="4">
        <v>38182</v>
      </c>
      <c r="E4477" s="6">
        <v>37.51</v>
      </c>
      <c r="G4477" s="4"/>
      <c r="H4477" s="5"/>
    </row>
    <row r="4478" spans="4:8" x14ac:dyDescent="0.25">
      <c r="D4478" s="4">
        <v>38183</v>
      </c>
      <c r="E4478" s="6">
        <v>38.409999999999997</v>
      </c>
      <c r="G4478" s="4"/>
      <c r="H4478" s="5"/>
    </row>
    <row r="4479" spans="4:8" x14ac:dyDescent="0.25">
      <c r="D4479" s="4">
        <v>38184</v>
      </c>
      <c r="E4479" s="6">
        <v>38.49</v>
      </c>
      <c r="G4479" s="4"/>
      <c r="H4479" s="5"/>
    </row>
    <row r="4480" spans="4:8" x14ac:dyDescent="0.25">
      <c r="D4480" s="4">
        <v>38187</v>
      </c>
      <c r="E4480" s="6">
        <v>39.07</v>
      </c>
      <c r="G4480" s="4"/>
      <c r="H4480" s="5"/>
    </row>
    <row r="4481" spans="4:8" x14ac:dyDescent="0.25">
      <c r="D4481" s="4">
        <v>38188</v>
      </c>
      <c r="E4481" s="6">
        <v>38.96</v>
      </c>
      <c r="G4481" s="4"/>
      <c r="H4481" s="5"/>
    </row>
    <row r="4482" spans="4:8" x14ac:dyDescent="0.25">
      <c r="D4482" s="4">
        <v>38189</v>
      </c>
      <c r="E4482" s="6">
        <v>38.479999999999997</v>
      </c>
      <c r="G4482" s="4"/>
      <c r="H4482" s="5"/>
    </row>
    <row r="4483" spans="4:8" x14ac:dyDescent="0.25">
      <c r="D4483" s="4">
        <v>38190</v>
      </c>
      <c r="E4483" s="6">
        <v>39.159999999999997</v>
      </c>
      <c r="G4483" s="4"/>
      <c r="H4483" s="5"/>
    </row>
    <row r="4484" spans="4:8" x14ac:dyDescent="0.25">
      <c r="D4484" s="4">
        <v>38191</v>
      </c>
      <c r="E4484" s="6">
        <v>39.590000000000003</v>
      </c>
      <c r="G4484" s="4"/>
      <c r="H4484" s="5"/>
    </row>
    <row r="4485" spans="4:8" x14ac:dyDescent="0.25">
      <c r="D4485" s="4">
        <v>38194</v>
      </c>
      <c r="E4485" s="6">
        <v>39.75</v>
      </c>
      <c r="G4485" s="4"/>
      <c r="H4485" s="5"/>
    </row>
    <row r="4486" spans="4:8" x14ac:dyDescent="0.25">
      <c r="D4486" s="4">
        <v>38195</v>
      </c>
      <c r="E4486" s="6">
        <v>40.090000000000003</v>
      </c>
      <c r="G4486" s="4"/>
      <c r="H4486" s="5"/>
    </row>
    <row r="4487" spans="4:8" x14ac:dyDescent="0.25">
      <c r="D4487" s="4">
        <v>38196</v>
      </c>
      <c r="E4487" s="6">
        <v>41.08</v>
      </c>
      <c r="G4487" s="4"/>
      <c r="H4487" s="5"/>
    </row>
    <row r="4488" spans="4:8" x14ac:dyDescent="0.25">
      <c r="D4488" s="4">
        <v>38197</v>
      </c>
      <c r="E4488" s="6">
        <v>40.93</v>
      </c>
      <c r="G4488" s="4"/>
      <c r="H4488" s="5"/>
    </row>
    <row r="4489" spans="4:8" x14ac:dyDescent="0.25">
      <c r="D4489" s="4">
        <v>38198</v>
      </c>
      <c r="E4489" s="6">
        <v>41.47</v>
      </c>
      <c r="G4489" s="4"/>
      <c r="H4489" s="5"/>
    </row>
    <row r="4490" spans="4:8" x14ac:dyDescent="0.25">
      <c r="D4490" s="4">
        <v>38201</v>
      </c>
      <c r="E4490" s="6">
        <v>41.35</v>
      </c>
      <c r="G4490" s="4"/>
      <c r="H4490" s="5"/>
    </row>
    <row r="4491" spans="4:8" x14ac:dyDescent="0.25">
      <c r="D4491" s="4">
        <v>38202</v>
      </c>
      <c r="E4491" s="6">
        <v>41.82</v>
      </c>
      <c r="G4491" s="4"/>
      <c r="H4491" s="5"/>
    </row>
    <row r="4492" spans="4:8" x14ac:dyDescent="0.25">
      <c r="D4492" s="4">
        <v>38203</v>
      </c>
      <c r="E4492" s="6">
        <v>41.75</v>
      </c>
      <c r="G4492" s="4"/>
      <c r="H4492" s="5"/>
    </row>
    <row r="4493" spans="4:8" x14ac:dyDescent="0.25">
      <c r="D4493" s="4">
        <v>38204</v>
      </c>
      <c r="E4493" s="6">
        <v>42.49</v>
      </c>
      <c r="G4493" s="4"/>
      <c r="H4493" s="5"/>
    </row>
    <row r="4494" spans="4:8" x14ac:dyDescent="0.25">
      <c r="D4494" s="4">
        <v>38205</v>
      </c>
      <c r="E4494" s="6">
        <v>42.63</v>
      </c>
      <c r="G4494" s="4"/>
      <c r="H4494" s="5"/>
    </row>
    <row r="4495" spans="4:8" x14ac:dyDescent="0.25">
      <c r="D4495" s="4">
        <v>38208</v>
      </c>
      <c r="E4495" s="6">
        <v>43.21</v>
      </c>
      <c r="G4495" s="4"/>
      <c r="H4495" s="5"/>
    </row>
    <row r="4496" spans="4:8" x14ac:dyDescent="0.25">
      <c r="D4496" s="4">
        <v>38209</v>
      </c>
      <c r="E4496" s="6">
        <v>42.5</v>
      </c>
      <c r="G4496" s="4"/>
      <c r="H4496" s="5"/>
    </row>
    <row r="4497" spans="4:8" x14ac:dyDescent="0.25">
      <c r="D4497" s="4">
        <v>38210</v>
      </c>
      <c r="E4497" s="6">
        <v>42.45</v>
      </c>
      <c r="G4497" s="4"/>
      <c r="H4497" s="5"/>
    </row>
    <row r="4498" spans="4:8" x14ac:dyDescent="0.25">
      <c r="D4498" s="4">
        <v>38211</v>
      </c>
      <c r="E4498" s="6">
        <v>43.5</v>
      </c>
      <c r="G4498" s="4"/>
      <c r="H4498" s="5"/>
    </row>
    <row r="4499" spans="4:8" x14ac:dyDescent="0.25">
      <c r="D4499" s="4">
        <v>38212</v>
      </c>
      <c r="E4499" s="6">
        <v>44.13</v>
      </c>
      <c r="G4499" s="4"/>
      <c r="H4499" s="5"/>
    </row>
    <row r="4500" spans="4:8" x14ac:dyDescent="0.25">
      <c r="D4500" s="4">
        <v>38215</v>
      </c>
      <c r="E4500" s="6">
        <v>44.35</v>
      </c>
      <c r="G4500" s="4"/>
      <c r="H4500" s="5"/>
    </row>
    <row r="4501" spans="4:8" x14ac:dyDescent="0.25">
      <c r="D4501" s="4">
        <v>38216</v>
      </c>
      <c r="E4501" s="6">
        <v>44.05</v>
      </c>
      <c r="G4501" s="4"/>
      <c r="H4501" s="5"/>
    </row>
    <row r="4502" spans="4:8" x14ac:dyDescent="0.25">
      <c r="D4502" s="4">
        <v>38217</v>
      </c>
      <c r="E4502" s="6">
        <v>44.12</v>
      </c>
      <c r="G4502" s="4"/>
      <c r="H4502" s="5"/>
    </row>
    <row r="4503" spans="4:8" x14ac:dyDescent="0.25">
      <c r="D4503" s="4">
        <v>38218</v>
      </c>
      <c r="E4503" s="6">
        <v>44.84</v>
      </c>
      <c r="G4503" s="4"/>
      <c r="H4503" s="5"/>
    </row>
    <row r="4504" spans="4:8" x14ac:dyDescent="0.25">
      <c r="D4504" s="4">
        <v>38219</v>
      </c>
      <c r="E4504" s="6">
        <v>45.46</v>
      </c>
      <c r="G4504" s="4"/>
      <c r="H4504" s="5"/>
    </row>
    <row r="4505" spans="4:8" x14ac:dyDescent="0.25">
      <c r="D4505" s="4">
        <v>38222</v>
      </c>
      <c r="E4505" s="6">
        <v>44.39</v>
      </c>
      <c r="G4505" s="4"/>
      <c r="H4505" s="5"/>
    </row>
    <row r="4506" spans="4:8" x14ac:dyDescent="0.25">
      <c r="D4506" s="4">
        <v>38223</v>
      </c>
      <c r="E4506" s="6">
        <v>42.99</v>
      </c>
      <c r="G4506" s="4"/>
      <c r="H4506" s="5"/>
    </row>
    <row r="4507" spans="4:8" x14ac:dyDescent="0.25">
      <c r="D4507" s="4">
        <v>38224</v>
      </c>
      <c r="E4507" s="6">
        <v>42.39</v>
      </c>
      <c r="G4507" s="4"/>
      <c r="H4507" s="5"/>
    </row>
    <row r="4508" spans="4:8" x14ac:dyDescent="0.25">
      <c r="D4508" s="4">
        <v>38225</v>
      </c>
      <c r="E4508" s="6">
        <v>40.65</v>
      </c>
      <c r="G4508" s="4"/>
      <c r="H4508" s="5"/>
    </row>
    <row r="4509" spans="4:8" x14ac:dyDescent="0.25">
      <c r="D4509" s="4">
        <v>38226</v>
      </c>
      <c r="E4509" s="6">
        <v>40.72</v>
      </c>
      <c r="G4509" s="4"/>
      <c r="H4509" s="5"/>
    </row>
    <row r="4510" spans="4:8" x14ac:dyDescent="0.25">
      <c r="D4510" s="4">
        <v>38229</v>
      </c>
      <c r="E4510" s="6">
        <v>40.78</v>
      </c>
      <c r="G4510" s="4"/>
      <c r="H4510" s="5"/>
    </row>
    <row r="4511" spans="4:8" x14ac:dyDescent="0.25">
      <c r="D4511" s="4">
        <v>38230</v>
      </c>
      <c r="E4511" s="6">
        <v>39.799999999999997</v>
      </c>
      <c r="G4511" s="4"/>
      <c r="H4511" s="5"/>
    </row>
    <row r="4512" spans="4:8" x14ac:dyDescent="0.25">
      <c r="D4512" s="4">
        <v>38231</v>
      </c>
      <c r="E4512" s="6">
        <v>40.96</v>
      </c>
      <c r="G4512" s="4"/>
      <c r="H4512" s="5"/>
    </row>
    <row r="4513" spans="4:8" x14ac:dyDescent="0.25">
      <c r="D4513" s="4">
        <v>38232</v>
      </c>
      <c r="E4513" s="6">
        <v>42.39</v>
      </c>
      <c r="G4513" s="4"/>
      <c r="H4513" s="5"/>
    </row>
    <row r="4514" spans="4:8" x14ac:dyDescent="0.25">
      <c r="D4514" s="4">
        <v>38233</v>
      </c>
      <c r="E4514" s="6">
        <v>41.07</v>
      </c>
      <c r="G4514" s="4"/>
      <c r="H4514" s="5"/>
    </row>
    <row r="4515" spans="4:8" x14ac:dyDescent="0.25">
      <c r="D4515" s="4">
        <v>38236</v>
      </c>
      <c r="E4515" s="6">
        <v>40.4</v>
      </c>
      <c r="G4515" s="4"/>
      <c r="H4515" s="5"/>
    </row>
    <row r="4516" spans="4:8" x14ac:dyDescent="0.25">
      <c r="D4516" s="4">
        <v>38237</v>
      </c>
      <c r="E4516" s="6">
        <v>40.19</v>
      </c>
      <c r="G4516" s="4"/>
      <c r="H4516" s="5"/>
    </row>
    <row r="4517" spans="4:8" x14ac:dyDescent="0.25">
      <c r="D4517" s="4">
        <v>38238</v>
      </c>
      <c r="E4517" s="6">
        <v>39.909999999999997</v>
      </c>
      <c r="G4517" s="4"/>
      <c r="H4517" s="5"/>
    </row>
    <row r="4518" spans="4:8" x14ac:dyDescent="0.25">
      <c r="D4518" s="4">
        <v>38239</v>
      </c>
      <c r="E4518" s="6">
        <v>41.45</v>
      </c>
      <c r="G4518" s="4"/>
      <c r="H4518" s="5"/>
    </row>
    <row r="4519" spans="4:8" x14ac:dyDescent="0.25">
      <c r="D4519" s="4">
        <v>38240</v>
      </c>
      <c r="E4519" s="6">
        <v>41.03</v>
      </c>
      <c r="G4519" s="4"/>
      <c r="H4519" s="5"/>
    </row>
    <row r="4520" spans="4:8" x14ac:dyDescent="0.25">
      <c r="D4520" s="4">
        <v>38243</v>
      </c>
      <c r="E4520" s="6">
        <v>40.630000000000003</v>
      </c>
      <c r="G4520" s="4"/>
      <c r="H4520" s="5"/>
    </row>
    <row r="4521" spans="4:8" x14ac:dyDescent="0.25">
      <c r="D4521" s="4">
        <v>38244</v>
      </c>
      <c r="E4521" s="6">
        <v>41.34</v>
      </c>
      <c r="G4521" s="4"/>
      <c r="H4521" s="5"/>
    </row>
    <row r="4522" spans="4:8" x14ac:dyDescent="0.25">
      <c r="D4522" s="4">
        <v>38245</v>
      </c>
      <c r="E4522" s="6">
        <v>42.03</v>
      </c>
      <c r="G4522" s="4"/>
      <c r="H4522" s="5"/>
    </row>
    <row r="4523" spans="4:8" x14ac:dyDescent="0.25">
      <c r="D4523" s="4">
        <v>38246</v>
      </c>
      <c r="E4523" s="6">
        <v>40.68</v>
      </c>
      <c r="G4523" s="4"/>
      <c r="H4523" s="5"/>
    </row>
    <row r="4524" spans="4:8" x14ac:dyDescent="0.25">
      <c r="D4524" s="4">
        <v>38247</v>
      </c>
      <c r="E4524" s="6">
        <v>43.08</v>
      </c>
      <c r="G4524" s="4"/>
      <c r="H4524" s="5"/>
    </row>
    <row r="4525" spans="4:8" x14ac:dyDescent="0.25">
      <c r="D4525" s="4">
        <v>38250</v>
      </c>
      <c r="E4525" s="6">
        <v>43.6</v>
      </c>
      <c r="G4525" s="4"/>
      <c r="H4525" s="5"/>
    </row>
    <row r="4526" spans="4:8" x14ac:dyDescent="0.25">
      <c r="D4526" s="4">
        <v>38251</v>
      </c>
      <c r="E4526" s="6">
        <v>44.56</v>
      </c>
      <c r="G4526" s="4"/>
      <c r="H4526" s="5"/>
    </row>
    <row r="4527" spans="4:8" x14ac:dyDescent="0.25">
      <c r="D4527" s="4">
        <v>38252</v>
      </c>
      <c r="E4527" s="6">
        <v>45.66</v>
      </c>
      <c r="G4527" s="4"/>
      <c r="H4527" s="5"/>
    </row>
    <row r="4528" spans="4:8" x14ac:dyDescent="0.25">
      <c r="D4528" s="4">
        <v>38253</v>
      </c>
      <c r="E4528" s="6">
        <v>46.53</v>
      </c>
      <c r="G4528" s="4"/>
      <c r="H4528" s="5"/>
    </row>
    <row r="4529" spans="4:8" x14ac:dyDescent="0.25">
      <c r="D4529" s="4">
        <v>38254</v>
      </c>
      <c r="E4529" s="6">
        <v>46.13</v>
      </c>
      <c r="G4529" s="4"/>
      <c r="H4529" s="5"/>
    </row>
    <row r="4530" spans="4:8" x14ac:dyDescent="0.25">
      <c r="D4530" s="4">
        <v>38257</v>
      </c>
      <c r="E4530" s="6">
        <v>46.87</v>
      </c>
      <c r="G4530" s="4"/>
      <c r="H4530" s="5"/>
    </row>
    <row r="4531" spans="4:8" x14ac:dyDescent="0.25">
      <c r="D4531" s="4">
        <v>38258</v>
      </c>
      <c r="E4531" s="6">
        <v>47.52</v>
      </c>
      <c r="G4531" s="4"/>
      <c r="H4531" s="5"/>
    </row>
    <row r="4532" spans="4:8" x14ac:dyDescent="0.25">
      <c r="D4532" s="4">
        <v>38259</v>
      </c>
      <c r="E4532" s="6">
        <v>46.54</v>
      </c>
      <c r="G4532" s="4"/>
      <c r="H4532" s="5"/>
    </row>
    <row r="4533" spans="4:8" x14ac:dyDescent="0.25">
      <c r="D4533" s="4">
        <v>38260</v>
      </c>
      <c r="E4533" s="6">
        <v>47.76</v>
      </c>
      <c r="G4533" s="4"/>
      <c r="H4533" s="5"/>
    </row>
    <row r="4534" spans="4:8" x14ac:dyDescent="0.25">
      <c r="D4534" s="4">
        <v>38261</v>
      </c>
      <c r="E4534" s="6">
        <v>46.86</v>
      </c>
      <c r="G4534" s="4"/>
      <c r="H4534" s="5"/>
    </row>
    <row r="4535" spans="4:8" x14ac:dyDescent="0.25">
      <c r="D4535" s="4">
        <v>38264</v>
      </c>
      <c r="E4535" s="6">
        <v>46.99</v>
      </c>
      <c r="G4535" s="4"/>
      <c r="H4535" s="5"/>
    </row>
    <row r="4536" spans="4:8" x14ac:dyDescent="0.25">
      <c r="D4536" s="4">
        <v>38265</v>
      </c>
      <c r="E4536" s="6">
        <v>47.1</v>
      </c>
      <c r="G4536" s="4"/>
      <c r="H4536" s="5"/>
    </row>
    <row r="4537" spans="4:8" x14ac:dyDescent="0.25">
      <c r="D4537" s="4">
        <v>38266</v>
      </c>
      <c r="E4537" s="6">
        <v>47.95</v>
      </c>
      <c r="G4537" s="4"/>
      <c r="H4537" s="5"/>
    </row>
    <row r="4538" spans="4:8" x14ac:dyDescent="0.25">
      <c r="D4538" s="4">
        <v>38267</v>
      </c>
      <c r="E4538" s="6">
        <v>48.98</v>
      </c>
      <c r="G4538" s="4"/>
      <c r="H4538" s="5"/>
    </row>
    <row r="4539" spans="4:8" x14ac:dyDescent="0.25">
      <c r="D4539" s="4">
        <v>38268</v>
      </c>
      <c r="E4539" s="6">
        <v>49.41</v>
      </c>
      <c r="G4539" s="4"/>
      <c r="H4539" s="5"/>
    </row>
    <row r="4540" spans="4:8" x14ac:dyDescent="0.25">
      <c r="D4540" s="4">
        <v>38271</v>
      </c>
      <c r="E4540" s="6">
        <v>50.75</v>
      </c>
      <c r="G4540" s="4"/>
      <c r="H4540" s="5"/>
    </row>
    <row r="4541" spans="4:8" x14ac:dyDescent="0.25">
      <c r="D4541" s="4">
        <v>38272</v>
      </c>
      <c r="E4541" s="6">
        <v>51.28</v>
      </c>
      <c r="G4541" s="4"/>
      <c r="H4541" s="5"/>
    </row>
    <row r="4542" spans="4:8" x14ac:dyDescent="0.25">
      <c r="D4542" s="4">
        <v>38273</v>
      </c>
      <c r="E4542" s="6">
        <v>50.42</v>
      </c>
      <c r="G4542" s="4"/>
      <c r="H4542" s="5"/>
    </row>
    <row r="4543" spans="4:8" x14ac:dyDescent="0.25">
      <c r="D4543" s="4">
        <v>38274</v>
      </c>
      <c r="E4543" s="6">
        <v>51.31</v>
      </c>
      <c r="G4543" s="4"/>
      <c r="H4543" s="5"/>
    </row>
    <row r="4544" spans="4:8" x14ac:dyDescent="0.25">
      <c r="D4544" s="4">
        <v>38275</v>
      </c>
      <c r="E4544" s="6">
        <v>51.02</v>
      </c>
      <c r="G4544" s="4"/>
      <c r="H4544" s="5"/>
    </row>
    <row r="4545" spans="4:8" x14ac:dyDescent="0.25">
      <c r="D4545" s="4">
        <v>38278</v>
      </c>
      <c r="E4545" s="6">
        <v>49.16</v>
      </c>
      <c r="G4545" s="4"/>
      <c r="H4545" s="5"/>
    </row>
    <row r="4546" spans="4:8" x14ac:dyDescent="0.25">
      <c r="D4546" s="4">
        <v>38279</v>
      </c>
      <c r="E4546" s="6">
        <v>49.21</v>
      </c>
      <c r="G4546" s="4"/>
      <c r="H4546" s="5"/>
    </row>
    <row r="4547" spans="4:8" x14ac:dyDescent="0.25">
      <c r="D4547" s="4">
        <v>38280</v>
      </c>
      <c r="E4547" s="6">
        <v>50.78</v>
      </c>
      <c r="G4547" s="4"/>
      <c r="H4547" s="5"/>
    </row>
    <row r="4548" spans="4:8" x14ac:dyDescent="0.25">
      <c r="D4548" s="4">
        <v>38281</v>
      </c>
      <c r="E4548" s="6">
        <v>51.06</v>
      </c>
      <c r="G4548" s="4"/>
      <c r="H4548" s="5"/>
    </row>
    <row r="4549" spans="4:8" x14ac:dyDescent="0.25">
      <c r="D4549" s="4">
        <v>38282</v>
      </c>
      <c r="E4549" s="6">
        <v>52.28</v>
      </c>
      <c r="G4549" s="4"/>
      <c r="H4549" s="5"/>
    </row>
    <row r="4550" spans="4:8" x14ac:dyDescent="0.25">
      <c r="D4550" s="4">
        <v>38285</v>
      </c>
      <c r="E4550" s="6">
        <v>51.68</v>
      </c>
      <c r="G4550" s="4"/>
      <c r="H4550" s="5"/>
    </row>
    <row r="4551" spans="4:8" x14ac:dyDescent="0.25">
      <c r="D4551" s="4">
        <v>38286</v>
      </c>
      <c r="E4551" s="6">
        <v>52.04</v>
      </c>
      <c r="G4551" s="4"/>
      <c r="H4551" s="5"/>
    </row>
    <row r="4552" spans="4:8" x14ac:dyDescent="0.25">
      <c r="D4552" s="4">
        <v>38287</v>
      </c>
      <c r="E4552" s="6">
        <v>49.99</v>
      </c>
      <c r="G4552" s="4"/>
      <c r="H4552" s="5"/>
    </row>
    <row r="4553" spans="4:8" x14ac:dyDescent="0.25">
      <c r="D4553" s="4">
        <v>38288</v>
      </c>
      <c r="E4553" s="6">
        <v>48.88</v>
      </c>
      <c r="G4553" s="4"/>
      <c r="H4553" s="5"/>
    </row>
    <row r="4554" spans="4:8" x14ac:dyDescent="0.25">
      <c r="D4554" s="4">
        <v>38289</v>
      </c>
      <c r="E4554" s="6">
        <v>48.16</v>
      </c>
      <c r="G4554" s="4"/>
      <c r="H4554" s="5"/>
    </row>
    <row r="4555" spans="4:8" x14ac:dyDescent="0.25">
      <c r="D4555" s="4">
        <v>38292</v>
      </c>
      <c r="E4555" s="6">
        <v>46.84</v>
      </c>
      <c r="G4555" s="4"/>
      <c r="H4555" s="5"/>
    </row>
    <row r="4556" spans="4:8" x14ac:dyDescent="0.25">
      <c r="D4556" s="4">
        <v>38293</v>
      </c>
      <c r="E4556" s="6">
        <v>46.25</v>
      </c>
      <c r="G4556" s="4"/>
      <c r="H4556" s="5"/>
    </row>
    <row r="4557" spans="4:8" x14ac:dyDescent="0.25">
      <c r="D4557" s="4">
        <v>38294</v>
      </c>
      <c r="E4557" s="6">
        <v>46.14</v>
      </c>
      <c r="G4557" s="4"/>
      <c r="H4557" s="5"/>
    </row>
    <row r="4558" spans="4:8" x14ac:dyDescent="0.25">
      <c r="D4558" s="4">
        <v>38295</v>
      </c>
      <c r="E4558" s="6">
        <v>45.32</v>
      </c>
      <c r="G4558" s="4"/>
      <c r="H4558" s="5"/>
    </row>
    <row r="4559" spans="4:8" x14ac:dyDescent="0.25">
      <c r="D4559" s="4">
        <v>38296</v>
      </c>
      <c r="E4559" s="6">
        <v>44.37</v>
      </c>
      <c r="G4559" s="4"/>
      <c r="H4559" s="5"/>
    </row>
    <row r="4560" spans="4:8" x14ac:dyDescent="0.25">
      <c r="D4560" s="4">
        <v>38299</v>
      </c>
      <c r="E4560" s="6">
        <v>44.78</v>
      </c>
      <c r="G4560" s="4"/>
      <c r="H4560" s="5"/>
    </row>
    <row r="4561" spans="4:8" x14ac:dyDescent="0.25">
      <c r="D4561" s="4">
        <v>38300</v>
      </c>
      <c r="E4561" s="6">
        <v>43.27</v>
      </c>
      <c r="G4561" s="4"/>
      <c r="H4561" s="5"/>
    </row>
    <row r="4562" spans="4:8" x14ac:dyDescent="0.25">
      <c r="D4562" s="4">
        <v>38301</v>
      </c>
      <c r="E4562" s="6">
        <v>42.57</v>
      </c>
      <c r="G4562" s="4"/>
      <c r="H4562" s="5"/>
    </row>
    <row r="4563" spans="4:8" x14ac:dyDescent="0.25">
      <c r="D4563" s="4">
        <v>38302</v>
      </c>
      <c r="E4563" s="6">
        <v>42.22</v>
      </c>
      <c r="G4563" s="4"/>
      <c r="H4563" s="5"/>
    </row>
    <row r="4564" spans="4:8" x14ac:dyDescent="0.25">
      <c r="D4564" s="4">
        <v>38303</v>
      </c>
      <c r="E4564" s="6">
        <v>41.33</v>
      </c>
      <c r="G4564" s="4"/>
      <c r="H4564" s="5"/>
    </row>
    <row r="4565" spans="4:8" x14ac:dyDescent="0.25">
      <c r="D4565" s="4">
        <v>38306</v>
      </c>
      <c r="E4565" s="6">
        <v>39.32</v>
      </c>
      <c r="G4565" s="4"/>
      <c r="H4565" s="5"/>
    </row>
    <row r="4566" spans="4:8" x14ac:dyDescent="0.25">
      <c r="D4566" s="4">
        <v>38307</v>
      </c>
      <c r="E4566" s="6">
        <v>40.479999999999997</v>
      </c>
      <c r="G4566" s="4"/>
      <c r="H4566" s="5"/>
    </row>
    <row r="4567" spans="4:8" x14ac:dyDescent="0.25">
      <c r="D4567" s="4">
        <v>38308</v>
      </c>
      <c r="E4567" s="6">
        <v>40.270000000000003</v>
      </c>
      <c r="G4567" s="4"/>
      <c r="H4567" s="5"/>
    </row>
    <row r="4568" spans="4:8" x14ac:dyDescent="0.25">
      <c r="D4568" s="4">
        <v>38309</v>
      </c>
      <c r="E4568" s="6">
        <v>40.799999999999997</v>
      </c>
      <c r="G4568" s="4"/>
      <c r="H4568" s="5"/>
    </row>
    <row r="4569" spans="4:8" x14ac:dyDescent="0.25">
      <c r="D4569" s="4">
        <v>38310</v>
      </c>
      <c r="E4569" s="6">
        <v>42.29</v>
      </c>
      <c r="G4569" s="4"/>
      <c r="H4569" s="5"/>
    </row>
    <row r="4570" spans="4:8" x14ac:dyDescent="0.25">
      <c r="D4570" s="4">
        <v>38313</v>
      </c>
      <c r="E4570" s="6">
        <v>42.26</v>
      </c>
      <c r="G4570" s="4"/>
      <c r="H4570" s="5"/>
    </row>
    <row r="4571" spans="4:8" x14ac:dyDescent="0.25">
      <c r="D4571" s="4">
        <v>38314</v>
      </c>
      <c r="E4571" s="6">
        <v>43.03</v>
      </c>
      <c r="G4571" s="4"/>
      <c r="H4571" s="5"/>
    </row>
    <row r="4572" spans="4:8" x14ac:dyDescent="0.25">
      <c r="D4572" s="4">
        <v>38315</v>
      </c>
      <c r="E4572" s="6">
        <v>42.62</v>
      </c>
      <c r="G4572" s="4"/>
      <c r="H4572" s="5"/>
    </row>
    <row r="4573" spans="4:8" x14ac:dyDescent="0.25">
      <c r="D4573" s="4">
        <v>38316</v>
      </c>
      <c r="E4573" s="6">
        <v>43.12</v>
      </c>
      <c r="G4573" s="4"/>
      <c r="H4573" s="5"/>
    </row>
    <row r="4574" spans="4:8" x14ac:dyDescent="0.25">
      <c r="D4574" s="4">
        <v>38317</v>
      </c>
      <c r="E4574" s="6">
        <v>42.87</v>
      </c>
      <c r="G4574" s="4"/>
      <c r="H4574" s="5"/>
    </row>
    <row r="4575" spans="4:8" x14ac:dyDescent="0.25">
      <c r="D4575" s="4">
        <v>38320</v>
      </c>
      <c r="E4575" s="6">
        <v>44.05</v>
      </c>
      <c r="G4575" s="4"/>
      <c r="H4575" s="5"/>
    </row>
    <row r="4576" spans="4:8" x14ac:dyDescent="0.25">
      <c r="D4576" s="4">
        <v>38321</v>
      </c>
      <c r="E4576" s="6">
        <v>44.23</v>
      </c>
      <c r="G4576" s="4"/>
      <c r="H4576" s="5"/>
    </row>
    <row r="4577" spans="4:8" x14ac:dyDescent="0.25">
      <c r="D4577" s="4">
        <v>38322</v>
      </c>
      <c r="E4577" s="6">
        <v>41.19</v>
      </c>
      <c r="G4577" s="4"/>
      <c r="H4577" s="5"/>
    </row>
    <row r="4578" spans="4:8" x14ac:dyDescent="0.25">
      <c r="D4578" s="4">
        <v>38323</v>
      </c>
      <c r="E4578" s="6">
        <v>38.49</v>
      </c>
      <c r="G4578" s="4"/>
      <c r="H4578" s="5"/>
    </row>
    <row r="4579" spans="4:8" x14ac:dyDescent="0.25">
      <c r="D4579" s="4">
        <v>38324</v>
      </c>
      <c r="E4579" s="6">
        <v>38.57</v>
      </c>
      <c r="G4579" s="4"/>
      <c r="H4579" s="5"/>
    </row>
    <row r="4580" spans="4:8" x14ac:dyDescent="0.25">
      <c r="D4580" s="4">
        <v>38327</v>
      </c>
      <c r="E4580" s="6">
        <v>38.43</v>
      </c>
      <c r="G4580" s="4"/>
      <c r="H4580" s="5"/>
    </row>
    <row r="4581" spans="4:8" x14ac:dyDescent="0.25">
      <c r="D4581" s="4">
        <v>38328</v>
      </c>
      <c r="E4581" s="6">
        <v>37.11</v>
      </c>
      <c r="G4581" s="4"/>
      <c r="H4581" s="5"/>
    </row>
    <row r="4582" spans="4:8" x14ac:dyDescent="0.25">
      <c r="D4582" s="4">
        <v>38329</v>
      </c>
      <c r="E4582" s="6">
        <v>36.9</v>
      </c>
      <c r="G4582" s="4"/>
      <c r="H4582" s="5"/>
    </row>
    <row r="4583" spans="4:8" x14ac:dyDescent="0.25">
      <c r="D4583" s="4">
        <v>38330</v>
      </c>
      <c r="E4583" s="6">
        <v>38.33</v>
      </c>
      <c r="G4583" s="4"/>
      <c r="H4583" s="5"/>
    </row>
    <row r="4584" spans="4:8" x14ac:dyDescent="0.25">
      <c r="D4584" s="4">
        <v>38331</v>
      </c>
      <c r="E4584" s="6">
        <v>37.24</v>
      </c>
      <c r="G4584" s="4"/>
      <c r="H4584" s="5"/>
    </row>
    <row r="4585" spans="4:8" x14ac:dyDescent="0.25">
      <c r="D4585" s="4">
        <v>38334</v>
      </c>
      <c r="E4585" s="6">
        <v>36.770000000000003</v>
      </c>
      <c r="G4585" s="4"/>
      <c r="H4585" s="5"/>
    </row>
    <row r="4586" spans="4:8" x14ac:dyDescent="0.25">
      <c r="D4586" s="4">
        <v>38335</v>
      </c>
      <c r="E4586" s="6">
        <v>37.03</v>
      </c>
      <c r="G4586" s="4"/>
      <c r="H4586" s="5"/>
    </row>
    <row r="4587" spans="4:8" x14ac:dyDescent="0.25">
      <c r="D4587" s="4">
        <v>38336</v>
      </c>
      <c r="E4587" s="6">
        <v>41.53</v>
      </c>
      <c r="G4587" s="4"/>
      <c r="H4587" s="5"/>
    </row>
    <row r="4588" spans="4:8" x14ac:dyDescent="0.25">
      <c r="D4588" s="4">
        <v>38337</v>
      </c>
      <c r="E4588" s="6">
        <v>41.49</v>
      </c>
      <c r="G4588" s="4"/>
      <c r="H4588" s="5"/>
    </row>
    <row r="4589" spans="4:8" x14ac:dyDescent="0.25">
      <c r="D4589" s="4">
        <v>38338</v>
      </c>
      <c r="E4589" s="6">
        <v>43.06</v>
      </c>
      <c r="G4589" s="4"/>
      <c r="H4589" s="5"/>
    </row>
    <row r="4590" spans="4:8" x14ac:dyDescent="0.25">
      <c r="D4590" s="4">
        <v>38341</v>
      </c>
      <c r="E4590" s="6">
        <v>42.67</v>
      </c>
      <c r="G4590" s="4"/>
      <c r="H4590" s="5"/>
    </row>
    <row r="4591" spans="4:8" x14ac:dyDescent="0.25">
      <c r="D4591" s="4">
        <v>38342</v>
      </c>
      <c r="E4591" s="6">
        <v>42.76</v>
      </c>
      <c r="G4591" s="4"/>
      <c r="H4591" s="5"/>
    </row>
    <row r="4592" spans="4:8" x14ac:dyDescent="0.25">
      <c r="D4592" s="4">
        <v>38343</v>
      </c>
      <c r="E4592" s="6">
        <v>40.44</v>
      </c>
      <c r="G4592" s="4"/>
      <c r="H4592" s="5"/>
    </row>
    <row r="4593" spans="4:8" x14ac:dyDescent="0.25">
      <c r="D4593" s="4">
        <v>38344</v>
      </c>
      <c r="E4593" s="6">
        <v>40.29</v>
      </c>
      <c r="G4593" s="4"/>
      <c r="H4593" s="5"/>
    </row>
    <row r="4594" spans="4:8" x14ac:dyDescent="0.25">
      <c r="D4594" s="4">
        <v>38345</v>
      </c>
      <c r="E4594" s="6">
        <v>39.6</v>
      </c>
      <c r="G4594" s="4"/>
      <c r="H4594" s="5"/>
    </row>
    <row r="4595" spans="4:8" x14ac:dyDescent="0.25">
      <c r="D4595" s="4">
        <v>38348</v>
      </c>
      <c r="E4595" s="6">
        <v>39.6</v>
      </c>
      <c r="G4595" s="4"/>
      <c r="H4595" s="5"/>
    </row>
    <row r="4596" spans="4:8" x14ac:dyDescent="0.25">
      <c r="D4596" s="4">
        <v>38349</v>
      </c>
      <c r="E4596" s="6">
        <v>40.24</v>
      </c>
      <c r="G4596" s="4"/>
      <c r="H4596" s="5"/>
    </row>
    <row r="4597" spans="4:8" x14ac:dyDescent="0.25">
      <c r="D4597" s="4">
        <v>38350</v>
      </c>
      <c r="E4597" s="6">
        <v>38.93</v>
      </c>
      <c r="G4597" s="4"/>
      <c r="H4597" s="5"/>
    </row>
    <row r="4598" spans="4:8" x14ac:dyDescent="0.25">
      <c r="D4598" s="4">
        <v>38351</v>
      </c>
      <c r="E4598" s="6">
        <v>39.799999999999997</v>
      </c>
      <c r="G4598" s="4"/>
      <c r="H4598" s="5"/>
    </row>
    <row r="4599" spans="4:8" x14ac:dyDescent="0.25">
      <c r="D4599" s="4">
        <v>38352</v>
      </c>
      <c r="E4599" s="6">
        <v>40.380000000000003</v>
      </c>
      <c r="G4599" s="4"/>
      <c r="H4599" s="5"/>
    </row>
    <row r="4600" spans="4:8" x14ac:dyDescent="0.25">
      <c r="D4600" s="4">
        <v>38355</v>
      </c>
      <c r="E4600" s="5"/>
      <c r="G4600" s="4"/>
      <c r="H4600" s="5"/>
    </row>
    <row r="4601" spans="4:8" x14ac:dyDescent="0.25">
      <c r="D4601" s="4">
        <v>38356</v>
      </c>
      <c r="E4601" s="6">
        <v>40.75</v>
      </c>
      <c r="G4601" s="4"/>
      <c r="H4601" s="5"/>
    </row>
    <row r="4602" spans="4:8" x14ac:dyDescent="0.25">
      <c r="D4602" s="4">
        <v>38357</v>
      </c>
      <c r="E4602" s="6">
        <v>41</v>
      </c>
      <c r="G4602" s="4"/>
      <c r="H4602" s="5"/>
    </row>
    <row r="4603" spans="4:8" x14ac:dyDescent="0.25">
      <c r="D4603" s="4">
        <v>38358</v>
      </c>
      <c r="E4603" s="6">
        <v>43.25</v>
      </c>
      <c r="G4603" s="4"/>
      <c r="H4603" s="5"/>
    </row>
    <row r="4604" spans="4:8" x14ac:dyDescent="0.25">
      <c r="D4604" s="4">
        <v>38359</v>
      </c>
      <c r="E4604" s="6">
        <v>43.28</v>
      </c>
      <c r="G4604" s="4"/>
      <c r="H4604" s="5"/>
    </row>
    <row r="4605" spans="4:8" x14ac:dyDescent="0.25">
      <c r="D4605" s="4">
        <v>38362</v>
      </c>
      <c r="E4605" s="6">
        <v>44.71</v>
      </c>
      <c r="G4605" s="4"/>
      <c r="H4605" s="5"/>
    </row>
    <row r="4606" spans="4:8" x14ac:dyDescent="0.25">
      <c r="D4606" s="4">
        <v>38363</v>
      </c>
      <c r="E4606" s="6">
        <v>43.45</v>
      </c>
      <c r="G4606" s="4"/>
      <c r="H4606" s="5"/>
    </row>
    <row r="4607" spans="4:8" x14ac:dyDescent="0.25">
      <c r="D4607" s="4">
        <v>38364</v>
      </c>
      <c r="E4607" s="6">
        <v>43.75</v>
      </c>
      <c r="G4607" s="4"/>
      <c r="H4607" s="5"/>
    </row>
    <row r="4608" spans="4:8" x14ac:dyDescent="0.25">
      <c r="D4608" s="4">
        <v>38365</v>
      </c>
      <c r="E4608" s="6">
        <v>45.76</v>
      </c>
      <c r="G4608" s="4"/>
      <c r="H4608" s="5"/>
    </row>
    <row r="4609" spans="4:8" x14ac:dyDescent="0.25">
      <c r="D4609" s="4">
        <v>38366</v>
      </c>
      <c r="E4609" s="6">
        <v>45.26</v>
      </c>
      <c r="G4609" s="4"/>
      <c r="H4609" s="5"/>
    </row>
    <row r="4610" spans="4:8" x14ac:dyDescent="0.25">
      <c r="D4610" s="4">
        <v>38369</v>
      </c>
      <c r="E4610" s="6">
        <v>45.1</v>
      </c>
      <c r="G4610" s="4"/>
      <c r="H4610" s="5"/>
    </row>
    <row r="4611" spans="4:8" x14ac:dyDescent="0.25">
      <c r="D4611" s="4">
        <v>38370</v>
      </c>
      <c r="E4611" s="6">
        <v>45.18</v>
      </c>
      <c r="G4611" s="4"/>
      <c r="H4611" s="5"/>
    </row>
    <row r="4612" spans="4:8" x14ac:dyDescent="0.25">
      <c r="D4612" s="4">
        <v>38371</v>
      </c>
      <c r="E4612" s="6">
        <v>45.16</v>
      </c>
      <c r="G4612" s="4"/>
      <c r="H4612" s="5"/>
    </row>
    <row r="4613" spans="4:8" x14ac:dyDescent="0.25">
      <c r="D4613" s="4">
        <v>38372</v>
      </c>
      <c r="E4613" s="6">
        <v>44.06</v>
      </c>
      <c r="G4613" s="4"/>
      <c r="H4613" s="5"/>
    </row>
    <row r="4614" spans="4:8" x14ac:dyDescent="0.25">
      <c r="D4614" s="4">
        <v>38373</v>
      </c>
      <c r="E4614" s="6">
        <v>45.88</v>
      </c>
      <c r="G4614" s="4"/>
      <c r="H4614" s="5"/>
    </row>
    <row r="4615" spans="4:8" x14ac:dyDescent="0.25">
      <c r="D4615" s="4">
        <v>38376</v>
      </c>
      <c r="E4615" s="6">
        <v>45.74</v>
      </c>
      <c r="G4615" s="4"/>
      <c r="H4615" s="5"/>
    </row>
    <row r="4616" spans="4:8" x14ac:dyDescent="0.25">
      <c r="D4616" s="4">
        <v>38377</v>
      </c>
      <c r="E4616" s="6">
        <v>46.14</v>
      </c>
      <c r="G4616" s="4"/>
      <c r="H4616" s="5"/>
    </row>
    <row r="4617" spans="4:8" x14ac:dyDescent="0.25">
      <c r="D4617" s="4">
        <v>38378</v>
      </c>
      <c r="E4617" s="6">
        <v>45.94</v>
      </c>
      <c r="G4617" s="4"/>
      <c r="H4617" s="5"/>
    </row>
    <row r="4618" spans="4:8" x14ac:dyDescent="0.25">
      <c r="D4618" s="4">
        <v>38379</v>
      </c>
      <c r="E4618" s="6">
        <v>46.51</v>
      </c>
      <c r="G4618" s="4"/>
      <c r="H4618" s="5"/>
    </row>
    <row r="4619" spans="4:8" x14ac:dyDescent="0.25">
      <c r="D4619" s="4">
        <v>38380</v>
      </c>
      <c r="E4619" s="6">
        <v>44.75</v>
      </c>
      <c r="G4619" s="4"/>
      <c r="H4619" s="5"/>
    </row>
    <row r="4620" spans="4:8" x14ac:dyDescent="0.25">
      <c r="D4620" s="4">
        <v>38383</v>
      </c>
      <c r="E4620" s="6">
        <v>44.51</v>
      </c>
      <c r="G4620" s="4"/>
      <c r="H4620" s="5"/>
    </row>
    <row r="4621" spans="4:8" x14ac:dyDescent="0.25">
      <c r="D4621" s="4">
        <v>38384</v>
      </c>
      <c r="E4621" s="6">
        <v>45.12</v>
      </c>
      <c r="G4621" s="4"/>
      <c r="H4621" s="5"/>
    </row>
    <row r="4622" spans="4:8" x14ac:dyDescent="0.25">
      <c r="D4622" s="4">
        <v>38385</v>
      </c>
      <c r="E4622" s="6">
        <v>44.17</v>
      </c>
      <c r="G4622" s="4"/>
      <c r="H4622" s="5"/>
    </row>
    <row r="4623" spans="4:8" x14ac:dyDescent="0.25">
      <c r="D4623" s="4">
        <v>38386</v>
      </c>
      <c r="E4623" s="6">
        <v>43.13</v>
      </c>
      <c r="G4623" s="4"/>
      <c r="H4623" s="5"/>
    </row>
    <row r="4624" spans="4:8" x14ac:dyDescent="0.25">
      <c r="D4624" s="4">
        <v>38387</v>
      </c>
      <c r="E4624" s="6">
        <v>43.26</v>
      </c>
      <c r="G4624" s="4"/>
      <c r="H4624" s="5"/>
    </row>
    <row r="4625" spans="4:8" x14ac:dyDescent="0.25">
      <c r="D4625" s="4">
        <v>38390</v>
      </c>
      <c r="E4625" s="6">
        <v>42.7</v>
      </c>
      <c r="G4625" s="4"/>
      <c r="H4625" s="5"/>
    </row>
    <row r="4626" spans="4:8" x14ac:dyDescent="0.25">
      <c r="D4626" s="4">
        <v>38391</v>
      </c>
      <c r="E4626" s="6">
        <v>42.79</v>
      </c>
      <c r="G4626" s="4"/>
      <c r="H4626" s="5"/>
    </row>
    <row r="4627" spans="4:8" x14ac:dyDescent="0.25">
      <c r="D4627" s="4">
        <v>38392</v>
      </c>
      <c r="E4627" s="6">
        <v>42.49</v>
      </c>
      <c r="G4627" s="4"/>
      <c r="H4627" s="5"/>
    </row>
    <row r="4628" spans="4:8" x14ac:dyDescent="0.25">
      <c r="D4628" s="4">
        <v>38393</v>
      </c>
      <c r="E4628" s="6">
        <v>44.04</v>
      </c>
      <c r="G4628" s="4"/>
      <c r="H4628" s="5"/>
    </row>
    <row r="4629" spans="4:8" x14ac:dyDescent="0.25">
      <c r="D4629" s="4">
        <v>38394</v>
      </c>
      <c r="E4629" s="6">
        <v>44.41</v>
      </c>
      <c r="G4629" s="4"/>
      <c r="H4629" s="5"/>
    </row>
    <row r="4630" spans="4:8" x14ac:dyDescent="0.25">
      <c r="D4630" s="4">
        <v>38397</v>
      </c>
      <c r="E4630" s="6">
        <v>44.51</v>
      </c>
      <c r="G4630" s="4"/>
      <c r="H4630" s="5"/>
    </row>
    <row r="4631" spans="4:8" x14ac:dyDescent="0.25">
      <c r="D4631" s="4">
        <v>38398</v>
      </c>
      <c r="E4631" s="6">
        <v>44.91</v>
      </c>
      <c r="G4631" s="4"/>
      <c r="H4631" s="5"/>
    </row>
    <row r="4632" spans="4:8" x14ac:dyDescent="0.25">
      <c r="D4632" s="4">
        <v>38399</v>
      </c>
      <c r="E4632" s="6">
        <v>45.42</v>
      </c>
      <c r="G4632" s="4"/>
      <c r="H4632" s="5"/>
    </row>
    <row r="4633" spans="4:8" x14ac:dyDescent="0.25">
      <c r="D4633" s="4">
        <v>38400</v>
      </c>
      <c r="E4633" s="6">
        <v>45.42</v>
      </c>
      <c r="G4633" s="4"/>
      <c r="H4633" s="5"/>
    </row>
    <row r="4634" spans="4:8" x14ac:dyDescent="0.25">
      <c r="D4634" s="4">
        <v>38401</v>
      </c>
      <c r="E4634" s="6">
        <v>45.86</v>
      </c>
      <c r="G4634" s="4"/>
      <c r="H4634" s="5"/>
    </row>
    <row r="4635" spans="4:8" x14ac:dyDescent="0.25">
      <c r="D4635" s="4">
        <v>38404</v>
      </c>
      <c r="E4635" s="6">
        <v>46.09</v>
      </c>
      <c r="G4635" s="4"/>
      <c r="H4635" s="5"/>
    </row>
    <row r="4636" spans="4:8" x14ac:dyDescent="0.25">
      <c r="D4636" s="4">
        <v>38405</v>
      </c>
      <c r="E4636" s="6">
        <v>47.6</v>
      </c>
      <c r="G4636" s="4"/>
      <c r="H4636" s="5"/>
    </row>
    <row r="4637" spans="4:8" x14ac:dyDescent="0.25">
      <c r="D4637" s="4">
        <v>38406</v>
      </c>
      <c r="E4637" s="6">
        <v>48.16</v>
      </c>
      <c r="G4637" s="4"/>
      <c r="H4637" s="5"/>
    </row>
    <row r="4638" spans="4:8" x14ac:dyDescent="0.25">
      <c r="D4638" s="4">
        <v>38407</v>
      </c>
      <c r="E4638" s="6">
        <v>49.24</v>
      </c>
      <c r="G4638" s="4"/>
      <c r="H4638" s="5"/>
    </row>
    <row r="4639" spans="4:8" x14ac:dyDescent="0.25">
      <c r="D4639" s="4">
        <v>38408</v>
      </c>
      <c r="E4639" s="6">
        <v>50.05</v>
      </c>
      <c r="G4639" s="4"/>
      <c r="H4639" s="5"/>
    </row>
    <row r="4640" spans="4:8" x14ac:dyDescent="0.25">
      <c r="D4640" s="4">
        <v>38411</v>
      </c>
      <c r="E4640" s="6">
        <v>50.13</v>
      </c>
      <c r="G4640" s="4"/>
      <c r="H4640" s="5"/>
    </row>
    <row r="4641" spans="4:8" x14ac:dyDescent="0.25">
      <c r="D4641" s="4">
        <v>38412</v>
      </c>
      <c r="E4641" s="6">
        <v>50.47</v>
      </c>
      <c r="G4641" s="4"/>
      <c r="H4641" s="5"/>
    </row>
    <row r="4642" spans="4:8" x14ac:dyDescent="0.25">
      <c r="D4642" s="4">
        <v>38413</v>
      </c>
      <c r="E4642" s="6">
        <v>51.05</v>
      </c>
      <c r="G4642" s="4"/>
      <c r="H4642" s="5"/>
    </row>
    <row r="4643" spans="4:8" x14ac:dyDescent="0.25">
      <c r="D4643" s="4">
        <v>38414</v>
      </c>
      <c r="E4643" s="6">
        <v>52.89</v>
      </c>
      <c r="G4643" s="4"/>
      <c r="H4643" s="5"/>
    </row>
    <row r="4644" spans="4:8" x14ac:dyDescent="0.25">
      <c r="D4644" s="4">
        <v>38415</v>
      </c>
      <c r="E4644" s="6">
        <v>52.1</v>
      </c>
      <c r="G4644" s="4"/>
      <c r="H4644" s="5"/>
    </row>
    <row r="4645" spans="4:8" x14ac:dyDescent="0.25">
      <c r="D4645" s="4">
        <v>38418</v>
      </c>
      <c r="E4645" s="6">
        <v>51.87</v>
      </c>
      <c r="G4645" s="4"/>
      <c r="H4645" s="5"/>
    </row>
    <row r="4646" spans="4:8" x14ac:dyDescent="0.25">
      <c r="D4646" s="4">
        <v>38419</v>
      </c>
      <c r="E4646" s="6">
        <v>53.29</v>
      </c>
      <c r="G4646" s="4"/>
      <c r="H4646" s="5"/>
    </row>
    <row r="4647" spans="4:8" x14ac:dyDescent="0.25">
      <c r="D4647" s="4">
        <v>38420</v>
      </c>
      <c r="E4647" s="6">
        <v>54.11</v>
      </c>
      <c r="G4647" s="4"/>
      <c r="H4647" s="5"/>
    </row>
    <row r="4648" spans="4:8" x14ac:dyDescent="0.25">
      <c r="D4648" s="4">
        <v>38421</v>
      </c>
      <c r="E4648" s="6">
        <v>53.04</v>
      </c>
      <c r="G4648" s="4"/>
      <c r="H4648" s="5"/>
    </row>
    <row r="4649" spans="4:8" x14ac:dyDescent="0.25">
      <c r="D4649" s="4">
        <v>38422</v>
      </c>
      <c r="E4649" s="6">
        <v>53.15</v>
      </c>
      <c r="G4649" s="4"/>
      <c r="H4649" s="5"/>
    </row>
    <row r="4650" spans="4:8" x14ac:dyDescent="0.25">
      <c r="D4650" s="4">
        <v>38425</v>
      </c>
      <c r="E4650" s="6">
        <v>53.68</v>
      </c>
      <c r="G4650" s="4"/>
      <c r="H4650" s="5"/>
    </row>
    <row r="4651" spans="4:8" x14ac:dyDescent="0.25">
      <c r="D4651" s="4">
        <v>38426</v>
      </c>
      <c r="E4651" s="6">
        <v>53.97</v>
      </c>
      <c r="G4651" s="4"/>
      <c r="H4651" s="5"/>
    </row>
    <row r="4652" spans="4:8" x14ac:dyDescent="0.25">
      <c r="D4652" s="4">
        <v>38427</v>
      </c>
      <c r="E4652" s="6">
        <v>54.61</v>
      </c>
      <c r="G4652" s="4"/>
      <c r="H4652" s="5"/>
    </row>
    <row r="4653" spans="4:8" x14ac:dyDescent="0.25">
      <c r="D4653" s="4">
        <v>38428</v>
      </c>
      <c r="E4653" s="6">
        <v>56.03</v>
      </c>
      <c r="G4653" s="4"/>
      <c r="H4653" s="5"/>
    </row>
    <row r="4654" spans="4:8" x14ac:dyDescent="0.25">
      <c r="D4654" s="4">
        <v>38429</v>
      </c>
      <c r="E4654" s="6">
        <v>55.97</v>
      </c>
      <c r="G4654" s="4"/>
      <c r="H4654" s="5"/>
    </row>
    <row r="4655" spans="4:8" x14ac:dyDescent="0.25">
      <c r="D4655" s="4">
        <v>38432</v>
      </c>
      <c r="E4655" s="6">
        <v>55.79</v>
      </c>
      <c r="G4655" s="4"/>
      <c r="H4655" s="5"/>
    </row>
    <row r="4656" spans="4:8" x14ac:dyDescent="0.25">
      <c r="D4656" s="4">
        <v>38433</v>
      </c>
      <c r="E4656" s="6">
        <v>55.39</v>
      </c>
      <c r="G4656" s="4"/>
      <c r="H4656" s="5"/>
    </row>
    <row r="4657" spans="4:8" x14ac:dyDescent="0.25">
      <c r="D4657" s="4">
        <v>38434</v>
      </c>
      <c r="E4657" s="6">
        <v>51.52</v>
      </c>
      <c r="G4657" s="4"/>
      <c r="H4657" s="5"/>
    </row>
    <row r="4658" spans="4:8" x14ac:dyDescent="0.25">
      <c r="D4658" s="4">
        <v>38435</v>
      </c>
      <c r="E4658" s="6">
        <v>52.35</v>
      </c>
      <c r="G4658" s="4"/>
      <c r="H4658" s="5"/>
    </row>
    <row r="4659" spans="4:8" x14ac:dyDescent="0.25">
      <c r="D4659" s="4">
        <v>38436</v>
      </c>
      <c r="E4659" s="5"/>
      <c r="G4659" s="4"/>
      <c r="H4659" s="5"/>
    </row>
    <row r="4660" spans="4:8" x14ac:dyDescent="0.25">
      <c r="D4660" s="4">
        <v>38439</v>
      </c>
      <c r="E4660" s="6">
        <v>51.75</v>
      </c>
      <c r="G4660" s="4"/>
      <c r="H4660" s="5"/>
    </row>
    <row r="4661" spans="4:8" x14ac:dyDescent="0.25">
      <c r="D4661" s="4">
        <v>38440</v>
      </c>
      <c r="E4661" s="6">
        <v>51.42</v>
      </c>
      <c r="G4661" s="4"/>
      <c r="H4661" s="5"/>
    </row>
    <row r="4662" spans="4:8" x14ac:dyDescent="0.25">
      <c r="D4662" s="4">
        <v>38441</v>
      </c>
      <c r="E4662" s="6">
        <v>50.63</v>
      </c>
      <c r="G4662" s="4"/>
      <c r="H4662" s="5"/>
    </row>
    <row r="4663" spans="4:8" x14ac:dyDescent="0.25">
      <c r="D4663" s="4">
        <v>38442</v>
      </c>
      <c r="E4663" s="6">
        <v>53.22</v>
      </c>
      <c r="G4663" s="4"/>
      <c r="H4663" s="5"/>
    </row>
    <row r="4664" spans="4:8" x14ac:dyDescent="0.25">
      <c r="D4664" s="4">
        <v>38443</v>
      </c>
      <c r="E4664" s="6">
        <v>54.14</v>
      </c>
      <c r="G4664" s="4"/>
      <c r="H4664" s="5"/>
    </row>
    <row r="4665" spans="4:8" x14ac:dyDescent="0.25">
      <c r="D4665" s="4">
        <v>38446</v>
      </c>
      <c r="E4665" s="6">
        <v>55.92</v>
      </c>
      <c r="G4665" s="4"/>
      <c r="H4665" s="5"/>
    </row>
    <row r="4666" spans="4:8" x14ac:dyDescent="0.25">
      <c r="D4666" s="4">
        <v>38447</v>
      </c>
      <c r="E4666" s="6">
        <v>54.53</v>
      </c>
      <c r="G4666" s="4"/>
      <c r="H4666" s="5"/>
    </row>
    <row r="4667" spans="4:8" x14ac:dyDescent="0.25">
      <c r="D4667" s="4">
        <v>38448</v>
      </c>
      <c r="E4667" s="6">
        <v>54.08</v>
      </c>
      <c r="G4667" s="4"/>
      <c r="H4667" s="5"/>
    </row>
    <row r="4668" spans="4:8" x14ac:dyDescent="0.25">
      <c r="D4668" s="4">
        <v>38449</v>
      </c>
      <c r="E4668" s="6">
        <v>52.57</v>
      </c>
      <c r="G4668" s="4"/>
      <c r="H4668" s="5"/>
    </row>
    <row r="4669" spans="4:8" x14ac:dyDescent="0.25">
      <c r="D4669" s="4">
        <v>38450</v>
      </c>
      <c r="E4669" s="6">
        <v>51.83</v>
      </c>
      <c r="G4669" s="4"/>
      <c r="H4669" s="5"/>
    </row>
    <row r="4670" spans="4:8" x14ac:dyDescent="0.25">
      <c r="D4670" s="4">
        <v>38453</v>
      </c>
      <c r="E4670" s="6">
        <v>51.21</v>
      </c>
      <c r="G4670" s="4"/>
      <c r="H4670" s="5"/>
    </row>
    <row r="4671" spans="4:8" x14ac:dyDescent="0.25">
      <c r="D4671" s="4">
        <v>38454</v>
      </c>
      <c r="E4671" s="6">
        <v>51.53</v>
      </c>
      <c r="G4671" s="4"/>
      <c r="H4671" s="5"/>
    </row>
    <row r="4672" spans="4:8" x14ac:dyDescent="0.25">
      <c r="D4672" s="4">
        <v>38455</v>
      </c>
      <c r="E4672" s="6">
        <v>49.67</v>
      </c>
      <c r="G4672" s="4"/>
      <c r="H4672" s="5"/>
    </row>
    <row r="4673" spans="4:8" x14ac:dyDescent="0.25">
      <c r="D4673" s="4">
        <v>38456</v>
      </c>
      <c r="E4673" s="6">
        <v>50.21</v>
      </c>
      <c r="G4673" s="4"/>
      <c r="H4673" s="5"/>
    </row>
    <row r="4674" spans="4:8" x14ac:dyDescent="0.25">
      <c r="D4674" s="4">
        <v>38457</v>
      </c>
      <c r="E4674" s="6">
        <v>49.52</v>
      </c>
      <c r="G4674" s="4"/>
      <c r="H4674" s="5"/>
    </row>
    <row r="4675" spans="4:8" x14ac:dyDescent="0.25">
      <c r="D4675" s="4">
        <v>38460</v>
      </c>
      <c r="E4675" s="6">
        <v>48.58</v>
      </c>
      <c r="G4675" s="4"/>
      <c r="H4675" s="5"/>
    </row>
    <row r="4676" spans="4:8" x14ac:dyDescent="0.25">
      <c r="D4676" s="4">
        <v>38461</v>
      </c>
      <c r="E4676" s="6">
        <v>50.79</v>
      </c>
      <c r="G4676" s="4"/>
      <c r="H4676" s="5"/>
    </row>
    <row r="4677" spans="4:8" x14ac:dyDescent="0.25">
      <c r="D4677" s="4">
        <v>38462</v>
      </c>
      <c r="E4677" s="6">
        <v>51.53</v>
      </c>
      <c r="G4677" s="4"/>
      <c r="H4677" s="5"/>
    </row>
    <row r="4678" spans="4:8" x14ac:dyDescent="0.25">
      <c r="D4678" s="4">
        <v>38463</v>
      </c>
      <c r="E4678" s="6">
        <v>51.73</v>
      </c>
      <c r="G4678" s="4"/>
      <c r="H4678" s="5"/>
    </row>
    <row r="4679" spans="4:8" x14ac:dyDescent="0.25">
      <c r="D4679" s="4">
        <v>38464</v>
      </c>
      <c r="E4679" s="6">
        <v>53.51</v>
      </c>
      <c r="G4679" s="4"/>
      <c r="H4679" s="5"/>
    </row>
    <row r="4680" spans="4:8" x14ac:dyDescent="0.25">
      <c r="D4680" s="4">
        <v>38467</v>
      </c>
      <c r="E4680" s="6">
        <v>53.1</v>
      </c>
      <c r="G4680" s="4"/>
      <c r="H4680" s="5"/>
    </row>
    <row r="4681" spans="4:8" x14ac:dyDescent="0.25">
      <c r="D4681" s="4">
        <v>38468</v>
      </c>
      <c r="E4681" s="6">
        <v>52.47</v>
      </c>
      <c r="G4681" s="4"/>
      <c r="H4681" s="5"/>
    </row>
    <row r="4682" spans="4:8" x14ac:dyDescent="0.25">
      <c r="D4682" s="4">
        <v>38469</v>
      </c>
      <c r="E4682" s="6">
        <v>51.29</v>
      </c>
      <c r="G4682" s="4"/>
      <c r="H4682" s="5"/>
    </row>
    <row r="4683" spans="4:8" x14ac:dyDescent="0.25">
      <c r="D4683" s="4">
        <v>38470</v>
      </c>
      <c r="E4683" s="6">
        <v>50.74</v>
      </c>
      <c r="G4683" s="4"/>
      <c r="H4683" s="5"/>
    </row>
    <row r="4684" spans="4:8" x14ac:dyDescent="0.25">
      <c r="D4684" s="4">
        <v>38471</v>
      </c>
      <c r="E4684" s="6">
        <v>50.61</v>
      </c>
      <c r="G4684" s="4"/>
      <c r="H4684" s="5"/>
    </row>
    <row r="4685" spans="4:8" x14ac:dyDescent="0.25">
      <c r="D4685" s="4">
        <v>38474</v>
      </c>
      <c r="E4685" s="6">
        <v>50.89</v>
      </c>
      <c r="G4685" s="4"/>
      <c r="H4685" s="5"/>
    </row>
    <row r="4686" spans="4:8" x14ac:dyDescent="0.25">
      <c r="D4686" s="4">
        <v>38475</v>
      </c>
      <c r="E4686" s="6">
        <v>49.48</v>
      </c>
      <c r="G4686" s="4"/>
      <c r="H4686" s="5"/>
    </row>
    <row r="4687" spans="4:8" x14ac:dyDescent="0.25">
      <c r="D4687" s="4">
        <v>38476</v>
      </c>
      <c r="E4687" s="6">
        <v>50.36</v>
      </c>
      <c r="G4687" s="4"/>
      <c r="H4687" s="5"/>
    </row>
    <row r="4688" spans="4:8" x14ac:dyDescent="0.25">
      <c r="D4688" s="4">
        <v>38477</v>
      </c>
      <c r="E4688" s="6">
        <v>49.81</v>
      </c>
      <c r="G4688" s="4"/>
      <c r="H4688" s="5"/>
    </row>
    <row r="4689" spans="4:8" x14ac:dyDescent="0.25">
      <c r="D4689" s="4">
        <v>38478</v>
      </c>
      <c r="E4689" s="6">
        <v>49.7</v>
      </c>
      <c r="G4689" s="4"/>
      <c r="H4689" s="5"/>
    </row>
    <row r="4690" spans="4:8" x14ac:dyDescent="0.25">
      <c r="D4690" s="4">
        <v>38481</v>
      </c>
      <c r="E4690" s="6">
        <v>49.71</v>
      </c>
      <c r="G4690" s="4"/>
      <c r="H4690" s="5"/>
    </row>
    <row r="4691" spans="4:8" x14ac:dyDescent="0.25">
      <c r="D4691" s="4">
        <v>38482</v>
      </c>
      <c r="E4691" s="6">
        <v>50.61</v>
      </c>
      <c r="G4691" s="4"/>
      <c r="H4691" s="5"/>
    </row>
    <row r="4692" spans="4:8" x14ac:dyDescent="0.25">
      <c r="D4692" s="4">
        <v>38483</v>
      </c>
      <c r="E4692" s="6">
        <v>48.91</v>
      </c>
      <c r="G4692" s="4"/>
      <c r="H4692" s="5"/>
    </row>
    <row r="4693" spans="4:8" x14ac:dyDescent="0.25">
      <c r="D4693" s="4">
        <v>38484</v>
      </c>
      <c r="E4693" s="6">
        <v>47.4</v>
      </c>
      <c r="G4693" s="4"/>
      <c r="H4693" s="5"/>
    </row>
    <row r="4694" spans="4:8" x14ac:dyDescent="0.25">
      <c r="D4694" s="4">
        <v>38485</v>
      </c>
      <c r="E4694" s="6">
        <v>46.85</v>
      </c>
      <c r="G4694" s="4"/>
      <c r="H4694" s="5"/>
    </row>
    <row r="4695" spans="4:8" x14ac:dyDescent="0.25">
      <c r="D4695" s="4">
        <v>38488</v>
      </c>
      <c r="E4695" s="6">
        <v>46.42</v>
      </c>
      <c r="G4695" s="4"/>
      <c r="H4695" s="5"/>
    </row>
    <row r="4696" spans="4:8" x14ac:dyDescent="0.25">
      <c r="D4696" s="4">
        <v>38489</v>
      </c>
      <c r="E4696" s="6">
        <v>47.31</v>
      </c>
      <c r="G4696" s="4"/>
      <c r="H4696" s="5"/>
    </row>
    <row r="4697" spans="4:8" x14ac:dyDescent="0.25">
      <c r="D4697" s="4">
        <v>38490</v>
      </c>
      <c r="E4697" s="6">
        <v>47.35</v>
      </c>
      <c r="G4697" s="4"/>
      <c r="H4697" s="5"/>
    </row>
    <row r="4698" spans="4:8" x14ac:dyDescent="0.25">
      <c r="D4698" s="4">
        <v>38491</v>
      </c>
      <c r="E4698" s="6">
        <v>46.92</v>
      </c>
      <c r="G4698" s="4"/>
      <c r="H4698" s="5"/>
    </row>
    <row r="4699" spans="4:8" x14ac:dyDescent="0.25">
      <c r="D4699" s="4">
        <v>38492</v>
      </c>
      <c r="E4699" s="6">
        <v>46.91</v>
      </c>
      <c r="G4699" s="4"/>
      <c r="H4699" s="5"/>
    </row>
    <row r="4700" spans="4:8" x14ac:dyDescent="0.25">
      <c r="D4700" s="4">
        <v>38495</v>
      </c>
      <c r="E4700" s="6">
        <v>47.28</v>
      </c>
      <c r="G4700" s="4"/>
      <c r="H4700" s="5"/>
    </row>
    <row r="4701" spans="4:8" x14ac:dyDescent="0.25">
      <c r="D4701" s="4">
        <v>38496</v>
      </c>
      <c r="E4701" s="6">
        <v>47.29</v>
      </c>
      <c r="G4701" s="4"/>
      <c r="H4701" s="5"/>
    </row>
    <row r="4702" spans="4:8" x14ac:dyDescent="0.25">
      <c r="D4702" s="4">
        <v>38497</v>
      </c>
      <c r="E4702" s="6">
        <v>49.24</v>
      </c>
      <c r="G4702" s="4"/>
      <c r="H4702" s="5"/>
    </row>
    <row r="4703" spans="4:8" x14ac:dyDescent="0.25">
      <c r="D4703" s="4">
        <v>38498</v>
      </c>
      <c r="E4703" s="6">
        <v>49.71</v>
      </c>
      <c r="G4703" s="4"/>
      <c r="H4703" s="5"/>
    </row>
    <row r="4704" spans="4:8" x14ac:dyDescent="0.25">
      <c r="D4704" s="4">
        <v>38499</v>
      </c>
      <c r="E4704" s="6">
        <v>49.42</v>
      </c>
      <c r="G4704" s="4"/>
      <c r="H4704" s="5"/>
    </row>
    <row r="4705" spans="4:8" x14ac:dyDescent="0.25">
      <c r="D4705" s="4">
        <v>38502</v>
      </c>
      <c r="E4705" s="6">
        <v>49.33</v>
      </c>
      <c r="G4705" s="4"/>
      <c r="H4705" s="5"/>
    </row>
    <row r="4706" spans="4:8" x14ac:dyDescent="0.25">
      <c r="D4706" s="4">
        <v>38503</v>
      </c>
      <c r="E4706" s="6">
        <v>49.3</v>
      </c>
      <c r="G4706" s="4"/>
      <c r="H4706" s="5"/>
    </row>
    <row r="4707" spans="4:8" x14ac:dyDescent="0.25">
      <c r="D4707" s="4">
        <v>38504</v>
      </c>
      <c r="E4707" s="6">
        <v>50.46</v>
      </c>
      <c r="G4707" s="4"/>
      <c r="H4707" s="5"/>
    </row>
    <row r="4708" spans="4:8" x14ac:dyDescent="0.25">
      <c r="D4708" s="4">
        <v>38505</v>
      </c>
      <c r="E4708" s="6">
        <v>51.3</v>
      </c>
      <c r="G4708" s="4"/>
      <c r="H4708" s="5"/>
    </row>
    <row r="4709" spans="4:8" x14ac:dyDescent="0.25">
      <c r="D4709" s="4">
        <v>38506</v>
      </c>
      <c r="E4709" s="6">
        <v>51.9</v>
      </c>
      <c r="G4709" s="4"/>
      <c r="H4709" s="5"/>
    </row>
    <row r="4710" spans="4:8" x14ac:dyDescent="0.25">
      <c r="D4710" s="4">
        <v>38509</v>
      </c>
      <c r="E4710" s="6">
        <v>52.61</v>
      </c>
      <c r="G4710" s="4"/>
      <c r="H4710" s="5"/>
    </row>
    <row r="4711" spans="4:8" x14ac:dyDescent="0.25">
      <c r="D4711" s="4">
        <v>38510</v>
      </c>
      <c r="E4711" s="6">
        <v>51.62</v>
      </c>
      <c r="G4711" s="4"/>
      <c r="H4711" s="5"/>
    </row>
    <row r="4712" spans="4:8" x14ac:dyDescent="0.25">
      <c r="D4712" s="4">
        <v>38511</v>
      </c>
      <c r="E4712" s="6">
        <v>51.92</v>
      </c>
      <c r="G4712" s="4"/>
      <c r="H4712" s="5"/>
    </row>
    <row r="4713" spans="4:8" x14ac:dyDescent="0.25">
      <c r="D4713" s="4">
        <v>38512</v>
      </c>
      <c r="E4713" s="6">
        <v>51.36</v>
      </c>
      <c r="G4713" s="4"/>
      <c r="H4713" s="5"/>
    </row>
    <row r="4714" spans="4:8" x14ac:dyDescent="0.25">
      <c r="D4714" s="4">
        <v>38513</v>
      </c>
      <c r="E4714" s="6">
        <v>51.98</v>
      </c>
      <c r="G4714" s="4"/>
      <c r="H4714" s="5"/>
    </row>
    <row r="4715" spans="4:8" x14ac:dyDescent="0.25">
      <c r="D4715" s="4">
        <v>38516</v>
      </c>
      <c r="E4715" s="6">
        <v>52</v>
      </c>
      <c r="G4715" s="4"/>
      <c r="H4715" s="5"/>
    </row>
    <row r="4716" spans="4:8" x14ac:dyDescent="0.25">
      <c r="D4716" s="4">
        <v>38517</v>
      </c>
      <c r="E4716" s="6">
        <v>53.52</v>
      </c>
      <c r="G4716" s="4"/>
      <c r="H4716" s="5"/>
    </row>
    <row r="4717" spans="4:8" x14ac:dyDescent="0.25">
      <c r="D4717" s="4">
        <v>38518</v>
      </c>
      <c r="E4717" s="6">
        <v>54.12</v>
      </c>
      <c r="G4717" s="4"/>
      <c r="H4717" s="5"/>
    </row>
    <row r="4718" spans="4:8" x14ac:dyDescent="0.25">
      <c r="D4718" s="4">
        <v>38519</v>
      </c>
      <c r="E4718" s="6">
        <v>54.3</v>
      </c>
      <c r="G4718" s="4"/>
      <c r="H4718" s="5"/>
    </row>
    <row r="4719" spans="4:8" x14ac:dyDescent="0.25">
      <c r="D4719" s="4">
        <v>38520</v>
      </c>
      <c r="E4719" s="6">
        <v>56.92</v>
      </c>
      <c r="G4719" s="4"/>
      <c r="H4719" s="5"/>
    </row>
    <row r="4720" spans="4:8" x14ac:dyDescent="0.25">
      <c r="D4720" s="4">
        <v>38523</v>
      </c>
      <c r="E4720" s="6">
        <v>57.1</v>
      </c>
      <c r="G4720" s="4"/>
      <c r="H4720" s="5"/>
    </row>
    <row r="4721" spans="4:8" x14ac:dyDescent="0.25">
      <c r="D4721" s="4">
        <v>38524</v>
      </c>
      <c r="E4721" s="6">
        <v>57.36</v>
      </c>
      <c r="G4721" s="4"/>
      <c r="H4721" s="5"/>
    </row>
    <row r="4722" spans="4:8" x14ac:dyDescent="0.25">
      <c r="D4722" s="4">
        <v>38525</v>
      </c>
      <c r="E4722" s="6">
        <v>56.06</v>
      </c>
      <c r="G4722" s="4"/>
      <c r="H4722" s="5"/>
    </row>
    <row r="4723" spans="4:8" x14ac:dyDescent="0.25">
      <c r="D4723" s="4">
        <v>38526</v>
      </c>
      <c r="E4723" s="6">
        <v>57.03</v>
      </c>
      <c r="G4723" s="4"/>
      <c r="H4723" s="5"/>
    </row>
    <row r="4724" spans="4:8" x14ac:dyDescent="0.25">
      <c r="D4724" s="4">
        <v>38527</v>
      </c>
      <c r="E4724" s="6">
        <v>57.21</v>
      </c>
      <c r="G4724" s="4"/>
      <c r="H4724" s="5"/>
    </row>
    <row r="4725" spans="4:8" x14ac:dyDescent="0.25">
      <c r="D4725" s="4">
        <v>38530</v>
      </c>
      <c r="E4725" s="6">
        <v>58.5</v>
      </c>
      <c r="G4725" s="4"/>
      <c r="H4725" s="5"/>
    </row>
    <row r="4726" spans="4:8" x14ac:dyDescent="0.25">
      <c r="D4726" s="4">
        <v>38531</v>
      </c>
      <c r="E4726" s="6">
        <v>57.75</v>
      </c>
      <c r="G4726" s="4"/>
      <c r="H4726" s="5"/>
    </row>
    <row r="4727" spans="4:8" x14ac:dyDescent="0.25">
      <c r="D4727" s="4">
        <v>38532</v>
      </c>
      <c r="E4727" s="6">
        <v>55.42</v>
      </c>
      <c r="G4727" s="4"/>
      <c r="H4727" s="5"/>
    </row>
    <row r="4728" spans="4:8" x14ac:dyDescent="0.25">
      <c r="D4728" s="4">
        <v>38533</v>
      </c>
      <c r="E4728" s="6">
        <v>55.36</v>
      </c>
      <c r="G4728" s="4"/>
      <c r="H4728" s="5"/>
    </row>
    <row r="4729" spans="4:8" x14ac:dyDescent="0.25">
      <c r="D4729" s="4">
        <v>38534</v>
      </c>
      <c r="E4729" s="6">
        <v>56.41</v>
      </c>
      <c r="G4729" s="4"/>
      <c r="H4729" s="5"/>
    </row>
    <row r="4730" spans="4:8" x14ac:dyDescent="0.25">
      <c r="D4730" s="4">
        <v>38537</v>
      </c>
      <c r="E4730" s="6">
        <v>57.13</v>
      </c>
      <c r="G4730" s="4"/>
      <c r="H4730" s="5"/>
    </row>
    <row r="4731" spans="4:8" x14ac:dyDescent="0.25">
      <c r="D4731" s="4">
        <v>38538</v>
      </c>
      <c r="E4731" s="6">
        <v>57.86</v>
      </c>
      <c r="G4731" s="4"/>
      <c r="H4731" s="5"/>
    </row>
    <row r="4732" spans="4:8" x14ac:dyDescent="0.25">
      <c r="D4732" s="4">
        <v>38539</v>
      </c>
      <c r="E4732" s="6">
        <v>58.38</v>
      </c>
      <c r="G4732" s="4"/>
      <c r="H4732" s="5"/>
    </row>
    <row r="4733" spans="4:8" x14ac:dyDescent="0.25">
      <c r="D4733" s="4">
        <v>38540</v>
      </c>
      <c r="E4733" s="6">
        <v>57.55</v>
      </c>
      <c r="G4733" s="4"/>
      <c r="H4733" s="5"/>
    </row>
    <row r="4734" spans="4:8" x14ac:dyDescent="0.25">
      <c r="D4734" s="4">
        <v>38541</v>
      </c>
      <c r="E4734" s="6">
        <v>59</v>
      </c>
      <c r="G4734" s="4"/>
      <c r="H4734" s="5"/>
    </row>
    <row r="4735" spans="4:8" x14ac:dyDescent="0.25">
      <c r="D4735" s="4">
        <v>38544</v>
      </c>
      <c r="E4735" s="6">
        <v>56.1</v>
      </c>
      <c r="G4735" s="4"/>
      <c r="H4735" s="5"/>
    </row>
    <row r="4736" spans="4:8" x14ac:dyDescent="0.25">
      <c r="D4736" s="4">
        <v>38545</v>
      </c>
      <c r="E4736" s="6">
        <v>58.95</v>
      </c>
      <c r="G4736" s="4"/>
      <c r="H4736" s="5"/>
    </row>
    <row r="4737" spans="4:8" x14ac:dyDescent="0.25">
      <c r="D4737" s="4">
        <v>38546</v>
      </c>
      <c r="E4737" s="6">
        <v>58.33</v>
      </c>
      <c r="G4737" s="4"/>
      <c r="H4737" s="5"/>
    </row>
    <row r="4738" spans="4:8" x14ac:dyDescent="0.25">
      <c r="D4738" s="4">
        <v>38547</v>
      </c>
      <c r="E4738" s="6">
        <v>56.79</v>
      </c>
      <c r="G4738" s="4"/>
      <c r="H4738" s="5"/>
    </row>
    <row r="4739" spans="4:8" x14ac:dyDescent="0.25">
      <c r="D4739" s="4">
        <v>38548</v>
      </c>
      <c r="E4739" s="6">
        <v>56.98</v>
      </c>
      <c r="G4739" s="4"/>
      <c r="H4739" s="5"/>
    </row>
    <row r="4740" spans="4:8" x14ac:dyDescent="0.25">
      <c r="D4740" s="4">
        <v>38551</v>
      </c>
      <c r="E4740" s="6">
        <v>56.25</v>
      </c>
      <c r="G4740" s="4"/>
      <c r="H4740" s="5"/>
    </row>
    <row r="4741" spans="4:8" x14ac:dyDescent="0.25">
      <c r="D4741" s="4">
        <v>38552</v>
      </c>
      <c r="E4741" s="6">
        <v>56.75</v>
      </c>
      <c r="G4741" s="4"/>
      <c r="H4741" s="5"/>
    </row>
    <row r="4742" spans="4:8" x14ac:dyDescent="0.25">
      <c r="D4742" s="4">
        <v>38553</v>
      </c>
      <c r="E4742" s="6">
        <v>56.39</v>
      </c>
      <c r="G4742" s="4"/>
      <c r="H4742" s="5"/>
    </row>
    <row r="4743" spans="4:8" x14ac:dyDescent="0.25">
      <c r="D4743" s="4">
        <v>38554</v>
      </c>
      <c r="E4743" s="6">
        <v>55.59</v>
      </c>
      <c r="G4743" s="4"/>
      <c r="H4743" s="5"/>
    </row>
    <row r="4744" spans="4:8" x14ac:dyDescent="0.25">
      <c r="D4744" s="4">
        <v>38555</v>
      </c>
      <c r="E4744" s="6">
        <v>56.98</v>
      </c>
      <c r="G4744" s="4"/>
      <c r="H4744" s="5"/>
    </row>
    <row r="4745" spans="4:8" x14ac:dyDescent="0.25">
      <c r="D4745" s="4">
        <v>38558</v>
      </c>
      <c r="E4745" s="6">
        <v>57.51</v>
      </c>
      <c r="G4745" s="4"/>
      <c r="H4745" s="5"/>
    </row>
    <row r="4746" spans="4:8" x14ac:dyDescent="0.25">
      <c r="D4746" s="4">
        <v>38559</v>
      </c>
      <c r="E4746" s="6">
        <v>58.58</v>
      </c>
      <c r="G4746" s="4"/>
      <c r="H4746" s="5"/>
    </row>
    <row r="4747" spans="4:8" x14ac:dyDescent="0.25">
      <c r="D4747" s="4">
        <v>38560</v>
      </c>
      <c r="E4747" s="6">
        <v>58.34</v>
      </c>
      <c r="G4747" s="4"/>
      <c r="H4747" s="5"/>
    </row>
    <row r="4748" spans="4:8" x14ac:dyDescent="0.25">
      <c r="D4748" s="4">
        <v>38561</v>
      </c>
      <c r="E4748" s="6">
        <v>58.28</v>
      </c>
      <c r="G4748" s="4"/>
      <c r="H4748" s="5"/>
    </row>
    <row r="4749" spans="4:8" x14ac:dyDescent="0.25">
      <c r="D4749" s="4">
        <v>38562</v>
      </c>
      <c r="E4749" s="6">
        <v>59.77</v>
      </c>
      <c r="G4749" s="4"/>
      <c r="H4749" s="5"/>
    </row>
    <row r="4750" spans="4:8" x14ac:dyDescent="0.25">
      <c r="D4750" s="4">
        <v>38565</v>
      </c>
      <c r="E4750" s="6">
        <v>60.56</v>
      </c>
      <c r="G4750" s="4"/>
      <c r="H4750" s="5"/>
    </row>
    <row r="4751" spans="4:8" x14ac:dyDescent="0.25">
      <c r="D4751" s="4">
        <v>38566</v>
      </c>
      <c r="E4751" s="6">
        <v>60.13</v>
      </c>
      <c r="G4751" s="4"/>
      <c r="H4751" s="5"/>
    </row>
    <row r="4752" spans="4:8" x14ac:dyDescent="0.25">
      <c r="D4752" s="4">
        <v>38567</v>
      </c>
      <c r="E4752" s="6">
        <v>60.04</v>
      </c>
      <c r="G4752" s="4"/>
      <c r="H4752" s="5"/>
    </row>
    <row r="4753" spans="4:8" x14ac:dyDescent="0.25">
      <c r="D4753" s="4">
        <v>38568</v>
      </c>
      <c r="E4753" s="6">
        <v>60.62</v>
      </c>
      <c r="G4753" s="4"/>
      <c r="H4753" s="5"/>
    </row>
    <row r="4754" spans="4:8" x14ac:dyDescent="0.25">
      <c r="D4754" s="4">
        <v>38569</v>
      </c>
      <c r="E4754" s="6">
        <v>60.73</v>
      </c>
      <c r="G4754" s="4"/>
      <c r="H4754" s="5"/>
    </row>
    <row r="4755" spans="4:8" x14ac:dyDescent="0.25">
      <c r="D4755" s="4">
        <v>38572</v>
      </c>
      <c r="E4755" s="6">
        <v>62.56</v>
      </c>
      <c r="G4755" s="4"/>
      <c r="H4755" s="5"/>
    </row>
    <row r="4756" spans="4:8" x14ac:dyDescent="0.25">
      <c r="D4756" s="4">
        <v>38573</v>
      </c>
      <c r="E4756" s="6">
        <v>62.79</v>
      </c>
      <c r="G4756" s="4"/>
      <c r="H4756" s="5"/>
    </row>
    <row r="4757" spans="4:8" x14ac:dyDescent="0.25">
      <c r="D4757" s="4">
        <v>38574</v>
      </c>
      <c r="E4757" s="6">
        <v>63.77</v>
      </c>
      <c r="G4757" s="4"/>
      <c r="H4757" s="5"/>
    </row>
    <row r="4758" spans="4:8" x14ac:dyDescent="0.25">
      <c r="D4758" s="4">
        <v>38575</v>
      </c>
      <c r="E4758" s="6">
        <v>65.900000000000006</v>
      </c>
      <c r="G4758" s="4"/>
      <c r="H4758" s="5"/>
    </row>
    <row r="4759" spans="4:8" x14ac:dyDescent="0.25">
      <c r="D4759" s="4">
        <v>38576</v>
      </c>
      <c r="E4759" s="6">
        <v>67.260000000000005</v>
      </c>
      <c r="G4759" s="4"/>
      <c r="H4759" s="5"/>
    </row>
    <row r="4760" spans="4:8" x14ac:dyDescent="0.25">
      <c r="D4760" s="4">
        <v>38579</v>
      </c>
      <c r="E4760" s="6">
        <v>66.680000000000007</v>
      </c>
      <c r="G4760" s="4"/>
      <c r="H4760" s="5"/>
    </row>
    <row r="4761" spans="4:8" x14ac:dyDescent="0.25">
      <c r="D4761" s="4">
        <v>38580</v>
      </c>
      <c r="E4761" s="6">
        <v>65.099999999999994</v>
      </c>
      <c r="G4761" s="4"/>
      <c r="H4761" s="5"/>
    </row>
    <row r="4762" spans="4:8" x14ac:dyDescent="0.25">
      <c r="D4762" s="4">
        <v>38581</v>
      </c>
      <c r="E4762" s="6">
        <v>63.41</v>
      </c>
      <c r="G4762" s="4"/>
      <c r="H4762" s="5"/>
    </row>
    <row r="4763" spans="4:8" x14ac:dyDescent="0.25">
      <c r="D4763" s="4">
        <v>38582</v>
      </c>
      <c r="E4763" s="6">
        <v>61.75</v>
      </c>
      <c r="G4763" s="4"/>
      <c r="H4763" s="5"/>
    </row>
    <row r="4764" spans="4:8" x14ac:dyDescent="0.25">
      <c r="D4764" s="4">
        <v>38583</v>
      </c>
      <c r="E4764" s="6">
        <v>64.209999999999994</v>
      </c>
      <c r="G4764" s="4"/>
      <c r="H4764" s="5"/>
    </row>
    <row r="4765" spans="4:8" x14ac:dyDescent="0.25">
      <c r="D4765" s="4">
        <v>38586</v>
      </c>
      <c r="E4765" s="6">
        <v>65.87</v>
      </c>
      <c r="G4765" s="4"/>
      <c r="H4765" s="5"/>
    </row>
    <row r="4766" spans="4:8" x14ac:dyDescent="0.25">
      <c r="D4766" s="4">
        <v>38587</v>
      </c>
      <c r="E4766" s="6">
        <v>65.16</v>
      </c>
      <c r="G4766" s="4"/>
      <c r="H4766" s="5"/>
    </row>
    <row r="4767" spans="4:8" x14ac:dyDescent="0.25">
      <c r="D4767" s="4">
        <v>38588</v>
      </c>
      <c r="E4767" s="6">
        <v>65.25</v>
      </c>
      <c r="G4767" s="4"/>
      <c r="H4767" s="5"/>
    </row>
    <row r="4768" spans="4:8" x14ac:dyDescent="0.25">
      <c r="D4768" s="4">
        <v>38589</v>
      </c>
      <c r="E4768" s="6">
        <v>65.88</v>
      </c>
      <c r="G4768" s="4"/>
      <c r="H4768" s="5"/>
    </row>
    <row r="4769" spans="4:8" x14ac:dyDescent="0.25">
      <c r="D4769" s="4">
        <v>38590</v>
      </c>
      <c r="E4769" s="6">
        <v>66.23</v>
      </c>
      <c r="G4769" s="4"/>
      <c r="H4769" s="5"/>
    </row>
    <row r="4770" spans="4:8" x14ac:dyDescent="0.25">
      <c r="D4770" s="4">
        <v>38593</v>
      </c>
      <c r="E4770" s="6">
        <v>64.77</v>
      </c>
      <c r="G4770" s="4"/>
      <c r="H4770" s="5"/>
    </row>
    <row r="4771" spans="4:8" x14ac:dyDescent="0.25">
      <c r="D4771" s="4">
        <v>38594</v>
      </c>
      <c r="E4771" s="6">
        <v>66.150000000000006</v>
      </c>
      <c r="G4771" s="4"/>
      <c r="H4771" s="5"/>
    </row>
    <row r="4772" spans="4:8" x14ac:dyDescent="0.25">
      <c r="D4772" s="4">
        <v>38595</v>
      </c>
      <c r="E4772" s="6">
        <v>66.8</v>
      </c>
      <c r="G4772" s="4"/>
      <c r="H4772" s="5"/>
    </row>
    <row r="4773" spans="4:8" x14ac:dyDescent="0.25">
      <c r="D4773" s="4">
        <v>38596</v>
      </c>
      <c r="E4773" s="6">
        <v>66.790000000000006</v>
      </c>
      <c r="G4773" s="4"/>
      <c r="H4773" s="5"/>
    </row>
    <row r="4774" spans="4:8" x14ac:dyDescent="0.25">
      <c r="D4774" s="4">
        <v>38597</v>
      </c>
      <c r="E4774" s="6">
        <v>65.95</v>
      </c>
      <c r="G4774" s="4"/>
      <c r="H4774" s="5"/>
    </row>
    <row r="4775" spans="4:8" x14ac:dyDescent="0.25">
      <c r="D4775" s="4">
        <v>38600</v>
      </c>
      <c r="E4775" s="6">
        <v>64.16</v>
      </c>
      <c r="G4775" s="4"/>
      <c r="H4775" s="5"/>
    </row>
    <row r="4776" spans="4:8" x14ac:dyDescent="0.25">
      <c r="D4776" s="4">
        <v>38601</v>
      </c>
      <c r="E4776" s="6">
        <v>64.16</v>
      </c>
      <c r="G4776" s="4"/>
      <c r="H4776" s="5"/>
    </row>
    <row r="4777" spans="4:8" x14ac:dyDescent="0.25">
      <c r="D4777" s="4">
        <v>38602</v>
      </c>
      <c r="E4777" s="6">
        <v>63.6</v>
      </c>
      <c r="G4777" s="4"/>
      <c r="H4777" s="5"/>
    </row>
    <row r="4778" spans="4:8" x14ac:dyDescent="0.25">
      <c r="D4778" s="4">
        <v>38603</v>
      </c>
      <c r="E4778" s="6">
        <v>61.66</v>
      </c>
      <c r="G4778" s="4"/>
      <c r="H4778" s="5"/>
    </row>
    <row r="4779" spans="4:8" x14ac:dyDescent="0.25">
      <c r="D4779" s="4">
        <v>38604</v>
      </c>
      <c r="E4779" s="6">
        <v>62.62</v>
      </c>
      <c r="G4779" s="4"/>
      <c r="H4779" s="5"/>
    </row>
    <row r="4780" spans="4:8" x14ac:dyDescent="0.25">
      <c r="D4780" s="4">
        <v>38607</v>
      </c>
      <c r="E4780" s="6">
        <v>60.69</v>
      </c>
      <c r="G4780" s="4"/>
      <c r="H4780" s="5"/>
    </row>
    <row r="4781" spans="4:8" x14ac:dyDescent="0.25">
      <c r="D4781" s="4">
        <v>38608</v>
      </c>
      <c r="E4781" s="6">
        <v>61.31</v>
      </c>
      <c r="G4781" s="4"/>
      <c r="H4781" s="5"/>
    </row>
    <row r="4782" spans="4:8" x14ac:dyDescent="0.25">
      <c r="D4782" s="4">
        <v>38609</v>
      </c>
      <c r="E4782" s="6">
        <v>61.7</v>
      </c>
      <c r="G4782" s="4"/>
      <c r="H4782" s="5"/>
    </row>
    <row r="4783" spans="4:8" x14ac:dyDescent="0.25">
      <c r="D4783" s="4">
        <v>38610</v>
      </c>
      <c r="E4783" s="6">
        <v>61.9</v>
      </c>
      <c r="G4783" s="4"/>
      <c r="H4783" s="5"/>
    </row>
    <row r="4784" spans="4:8" x14ac:dyDescent="0.25">
      <c r="D4784" s="4">
        <v>38611</v>
      </c>
      <c r="E4784" s="6">
        <v>60.48</v>
      </c>
      <c r="G4784" s="4"/>
      <c r="H4784" s="5"/>
    </row>
    <row r="4785" spans="4:8" x14ac:dyDescent="0.25">
      <c r="D4785" s="4">
        <v>38614</v>
      </c>
      <c r="E4785" s="6">
        <v>64.040000000000006</v>
      </c>
      <c r="G4785" s="4"/>
      <c r="H4785" s="5"/>
    </row>
    <row r="4786" spans="4:8" x14ac:dyDescent="0.25">
      <c r="D4786" s="4">
        <v>38615</v>
      </c>
      <c r="E4786" s="6">
        <v>62.98</v>
      </c>
      <c r="G4786" s="4"/>
      <c r="H4786" s="5"/>
    </row>
    <row r="4787" spans="4:8" x14ac:dyDescent="0.25">
      <c r="D4787" s="4">
        <v>38616</v>
      </c>
      <c r="E4787" s="6">
        <v>64.31</v>
      </c>
      <c r="G4787" s="4"/>
      <c r="H4787" s="5"/>
    </row>
    <row r="4788" spans="4:8" x14ac:dyDescent="0.25">
      <c r="D4788" s="4">
        <v>38617</v>
      </c>
      <c r="E4788" s="6">
        <v>64.64</v>
      </c>
      <c r="G4788" s="4"/>
      <c r="H4788" s="5"/>
    </row>
    <row r="4789" spans="4:8" x14ac:dyDescent="0.25">
      <c r="D4789" s="4">
        <v>38618</v>
      </c>
      <c r="E4789" s="6">
        <v>62.17</v>
      </c>
      <c r="G4789" s="4"/>
      <c r="H4789" s="5"/>
    </row>
    <row r="4790" spans="4:8" x14ac:dyDescent="0.25">
      <c r="D4790" s="4">
        <v>38621</v>
      </c>
      <c r="E4790" s="6">
        <v>61.73</v>
      </c>
      <c r="G4790" s="4"/>
      <c r="H4790" s="5"/>
    </row>
    <row r="4791" spans="4:8" x14ac:dyDescent="0.25">
      <c r="D4791" s="4">
        <v>38622</v>
      </c>
      <c r="E4791" s="6">
        <v>62.56</v>
      </c>
      <c r="G4791" s="4"/>
      <c r="H4791" s="5"/>
    </row>
    <row r="4792" spans="4:8" x14ac:dyDescent="0.25">
      <c r="D4792" s="4">
        <v>38623</v>
      </c>
      <c r="E4792" s="6">
        <v>62.81</v>
      </c>
      <c r="G4792" s="4"/>
      <c r="H4792" s="5"/>
    </row>
    <row r="4793" spans="4:8" x14ac:dyDescent="0.25">
      <c r="D4793" s="4">
        <v>38624</v>
      </c>
      <c r="E4793" s="6">
        <v>62.02</v>
      </c>
      <c r="G4793" s="4"/>
      <c r="H4793" s="5"/>
    </row>
    <row r="4794" spans="4:8" x14ac:dyDescent="0.25">
      <c r="D4794" s="4">
        <v>38625</v>
      </c>
      <c r="E4794" s="6">
        <v>61.7</v>
      </c>
      <c r="G4794" s="4"/>
      <c r="H4794" s="5"/>
    </row>
    <row r="4795" spans="4:8" x14ac:dyDescent="0.25">
      <c r="D4795" s="4">
        <v>38628</v>
      </c>
      <c r="E4795" s="6">
        <v>61.64</v>
      </c>
      <c r="G4795" s="4"/>
      <c r="H4795" s="5"/>
    </row>
    <row r="4796" spans="4:8" x14ac:dyDescent="0.25">
      <c r="D4796" s="4">
        <v>38629</v>
      </c>
      <c r="E4796" s="6">
        <v>59.17</v>
      </c>
      <c r="G4796" s="4"/>
      <c r="H4796" s="5"/>
    </row>
    <row r="4797" spans="4:8" x14ac:dyDescent="0.25">
      <c r="D4797" s="4">
        <v>38630</v>
      </c>
      <c r="E4797" s="6">
        <v>59.33</v>
      </c>
      <c r="G4797" s="4"/>
      <c r="H4797" s="5"/>
    </row>
    <row r="4798" spans="4:8" x14ac:dyDescent="0.25">
      <c r="D4798" s="4">
        <v>38631</v>
      </c>
      <c r="E4798" s="6">
        <v>57.2</v>
      </c>
      <c r="G4798" s="4"/>
      <c r="H4798" s="5"/>
    </row>
    <row r="4799" spans="4:8" x14ac:dyDescent="0.25">
      <c r="D4799" s="4">
        <v>38632</v>
      </c>
      <c r="E4799" s="6">
        <v>57.29</v>
      </c>
      <c r="G4799" s="4"/>
      <c r="H4799" s="5"/>
    </row>
    <row r="4800" spans="4:8" x14ac:dyDescent="0.25">
      <c r="D4800" s="4">
        <v>38635</v>
      </c>
      <c r="E4800" s="6">
        <v>57.01</v>
      </c>
      <c r="G4800" s="4"/>
      <c r="H4800" s="5"/>
    </row>
    <row r="4801" spans="4:8" x14ac:dyDescent="0.25">
      <c r="D4801" s="4">
        <v>38636</v>
      </c>
      <c r="E4801" s="6">
        <v>58.1</v>
      </c>
      <c r="G4801" s="4"/>
      <c r="H4801" s="5"/>
    </row>
    <row r="4802" spans="4:8" x14ac:dyDescent="0.25">
      <c r="D4802" s="4">
        <v>38637</v>
      </c>
      <c r="E4802" s="6">
        <v>59.91</v>
      </c>
      <c r="G4802" s="4"/>
      <c r="H4802" s="5"/>
    </row>
    <row r="4803" spans="4:8" x14ac:dyDescent="0.25">
      <c r="D4803" s="4">
        <v>38638</v>
      </c>
      <c r="E4803" s="6">
        <v>59.48</v>
      </c>
      <c r="G4803" s="4"/>
      <c r="H4803" s="5"/>
    </row>
    <row r="4804" spans="4:8" x14ac:dyDescent="0.25">
      <c r="D4804" s="4">
        <v>38639</v>
      </c>
      <c r="E4804" s="6">
        <v>58.45</v>
      </c>
      <c r="G4804" s="4"/>
      <c r="H4804" s="5"/>
    </row>
    <row r="4805" spans="4:8" x14ac:dyDescent="0.25">
      <c r="D4805" s="4">
        <v>38642</v>
      </c>
      <c r="E4805" s="6">
        <v>59.81</v>
      </c>
      <c r="G4805" s="4"/>
      <c r="H4805" s="5"/>
    </row>
    <row r="4806" spans="4:8" x14ac:dyDescent="0.25">
      <c r="D4806" s="4">
        <v>38643</v>
      </c>
      <c r="E4806" s="6">
        <v>58.85</v>
      </c>
      <c r="G4806" s="4"/>
      <c r="H4806" s="5"/>
    </row>
    <row r="4807" spans="4:8" x14ac:dyDescent="0.25">
      <c r="D4807" s="4">
        <v>38644</v>
      </c>
      <c r="E4807" s="6">
        <v>58.13</v>
      </c>
      <c r="G4807" s="4"/>
      <c r="H4807" s="5"/>
    </row>
    <row r="4808" spans="4:8" x14ac:dyDescent="0.25">
      <c r="D4808" s="4">
        <v>38645</v>
      </c>
      <c r="E4808" s="6">
        <v>57.04</v>
      </c>
      <c r="G4808" s="4"/>
      <c r="H4808" s="5"/>
    </row>
    <row r="4809" spans="4:8" x14ac:dyDescent="0.25">
      <c r="D4809" s="4">
        <v>38646</v>
      </c>
      <c r="E4809" s="6">
        <v>56.94</v>
      </c>
      <c r="G4809" s="4"/>
      <c r="H4809" s="5"/>
    </row>
    <row r="4810" spans="4:8" x14ac:dyDescent="0.25">
      <c r="D4810" s="4">
        <v>38649</v>
      </c>
      <c r="E4810" s="6">
        <v>57.64</v>
      </c>
      <c r="G4810" s="4"/>
      <c r="H4810" s="5"/>
    </row>
    <row r="4811" spans="4:8" x14ac:dyDescent="0.25">
      <c r="D4811" s="4">
        <v>38650</v>
      </c>
      <c r="E4811" s="6">
        <v>58.72</v>
      </c>
      <c r="G4811" s="4"/>
      <c r="H4811" s="5"/>
    </row>
    <row r="4812" spans="4:8" x14ac:dyDescent="0.25">
      <c r="D4812" s="4">
        <v>38651</v>
      </c>
      <c r="E4812" s="6">
        <v>58.56</v>
      </c>
      <c r="G4812" s="4"/>
      <c r="H4812" s="5"/>
    </row>
    <row r="4813" spans="4:8" x14ac:dyDescent="0.25">
      <c r="D4813" s="4">
        <v>38652</v>
      </c>
      <c r="E4813" s="6">
        <v>58.1</v>
      </c>
      <c r="G4813" s="4"/>
      <c r="H4813" s="5"/>
    </row>
    <row r="4814" spans="4:8" x14ac:dyDescent="0.25">
      <c r="D4814" s="4">
        <v>38653</v>
      </c>
      <c r="E4814" s="6">
        <v>59.47</v>
      </c>
      <c r="G4814" s="4"/>
      <c r="H4814" s="5"/>
    </row>
    <row r="4815" spans="4:8" x14ac:dyDescent="0.25">
      <c r="D4815" s="4">
        <v>38656</v>
      </c>
      <c r="E4815" s="6">
        <v>58.47</v>
      </c>
      <c r="G4815" s="4"/>
      <c r="H4815" s="5"/>
    </row>
    <row r="4816" spans="4:8" x14ac:dyDescent="0.25">
      <c r="D4816" s="4">
        <v>38657</v>
      </c>
      <c r="E4816" s="6">
        <v>56.69</v>
      </c>
      <c r="G4816" s="4"/>
      <c r="H4816" s="5"/>
    </row>
    <row r="4817" spans="4:8" x14ac:dyDescent="0.25">
      <c r="D4817" s="4">
        <v>38658</v>
      </c>
      <c r="E4817" s="6">
        <v>58.53</v>
      </c>
      <c r="G4817" s="4"/>
      <c r="H4817" s="5"/>
    </row>
    <row r="4818" spans="4:8" x14ac:dyDescent="0.25">
      <c r="D4818" s="4">
        <v>38659</v>
      </c>
      <c r="E4818" s="6">
        <v>59.55</v>
      </c>
      <c r="G4818" s="4"/>
      <c r="H4818" s="5"/>
    </row>
    <row r="4819" spans="4:8" x14ac:dyDescent="0.25">
      <c r="D4819" s="4">
        <v>38660</v>
      </c>
      <c r="E4819" s="6">
        <v>60.48</v>
      </c>
      <c r="G4819" s="4"/>
      <c r="H4819" s="5"/>
    </row>
    <row r="4820" spans="4:8" x14ac:dyDescent="0.25">
      <c r="D4820" s="4">
        <v>38663</v>
      </c>
      <c r="E4820" s="6">
        <v>58.19</v>
      </c>
      <c r="G4820" s="4"/>
      <c r="H4820" s="5"/>
    </row>
    <row r="4821" spans="4:8" x14ac:dyDescent="0.25">
      <c r="D4821" s="4">
        <v>38664</v>
      </c>
      <c r="E4821" s="6">
        <v>57.89</v>
      </c>
      <c r="G4821" s="4"/>
      <c r="H4821" s="5"/>
    </row>
    <row r="4822" spans="4:8" x14ac:dyDescent="0.25">
      <c r="D4822" s="4">
        <v>38665</v>
      </c>
      <c r="E4822" s="6">
        <v>57.71</v>
      </c>
      <c r="G4822" s="4"/>
      <c r="H4822" s="5"/>
    </row>
    <row r="4823" spans="4:8" x14ac:dyDescent="0.25">
      <c r="D4823" s="4">
        <v>38666</v>
      </c>
      <c r="E4823" s="6">
        <v>55.85</v>
      </c>
      <c r="G4823" s="4"/>
      <c r="H4823" s="5"/>
    </row>
    <row r="4824" spans="4:8" x14ac:dyDescent="0.25">
      <c r="D4824" s="4">
        <v>38667</v>
      </c>
      <c r="E4824" s="6">
        <v>54.3</v>
      </c>
      <c r="G4824" s="4"/>
      <c r="H4824" s="5"/>
    </row>
    <row r="4825" spans="4:8" x14ac:dyDescent="0.25">
      <c r="D4825" s="4">
        <v>38670</v>
      </c>
      <c r="E4825" s="6">
        <v>54.1</v>
      </c>
      <c r="G4825" s="4"/>
      <c r="H4825" s="5"/>
    </row>
    <row r="4826" spans="4:8" x14ac:dyDescent="0.25">
      <c r="D4826" s="4">
        <v>38671</v>
      </c>
      <c r="E4826" s="6">
        <v>54.45</v>
      </c>
      <c r="G4826" s="4"/>
      <c r="H4826" s="5"/>
    </row>
    <row r="4827" spans="4:8" x14ac:dyDescent="0.25">
      <c r="D4827" s="4">
        <v>38672</v>
      </c>
      <c r="E4827" s="6">
        <v>53.68</v>
      </c>
      <c r="G4827" s="4"/>
      <c r="H4827" s="5"/>
    </row>
    <row r="4828" spans="4:8" x14ac:dyDescent="0.25">
      <c r="D4828" s="4">
        <v>38673</v>
      </c>
      <c r="E4828" s="6">
        <v>53.8</v>
      </c>
      <c r="G4828" s="4"/>
      <c r="H4828" s="5"/>
    </row>
    <row r="4829" spans="4:8" x14ac:dyDescent="0.25">
      <c r="D4829" s="4">
        <v>38674</v>
      </c>
      <c r="E4829" s="6">
        <v>52.84</v>
      </c>
      <c r="G4829" s="4"/>
      <c r="H4829" s="5"/>
    </row>
    <row r="4830" spans="4:8" x14ac:dyDescent="0.25">
      <c r="D4830" s="4">
        <v>38677</v>
      </c>
      <c r="E4830" s="6">
        <v>53.36</v>
      </c>
      <c r="G4830" s="4"/>
      <c r="H4830" s="5"/>
    </row>
    <row r="4831" spans="4:8" x14ac:dyDescent="0.25">
      <c r="D4831" s="4">
        <v>38678</v>
      </c>
      <c r="E4831" s="6">
        <v>54.21</v>
      </c>
      <c r="G4831" s="4"/>
      <c r="H4831" s="5"/>
    </row>
    <row r="4832" spans="4:8" x14ac:dyDescent="0.25">
      <c r="D4832" s="4">
        <v>38679</v>
      </c>
      <c r="E4832" s="6">
        <v>53.73</v>
      </c>
      <c r="G4832" s="4"/>
      <c r="H4832" s="5"/>
    </row>
    <row r="4833" spans="4:8" x14ac:dyDescent="0.25">
      <c r="D4833" s="4">
        <v>38680</v>
      </c>
      <c r="E4833" s="6">
        <v>53.41</v>
      </c>
      <c r="G4833" s="4"/>
      <c r="H4833" s="5"/>
    </row>
    <row r="4834" spans="4:8" x14ac:dyDescent="0.25">
      <c r="D4834" s="4">
        <v>38681</v>
      </c>
      <c r="E4834" s="6">
        <v>53.15</v>
      </c>
      <c r="G4834" s="4"/>
      <c r="H4834" s="5"/>
    </row>
    <row r="4835" spans="4:8" x14ac:dyDescent="0.25">
      <c r="D4835" s="4">
        <v>38684</v>
      </c>
      <c r="E4835" s="6">
        <v>52.91</v>
      </c>
      <c r="G4835" s="4"/>
      <c r="H4835" s="5"/>
    </row>
    <row r="4836" spans="4:8" x14ac:dyDescent="0.25">
      <c r="D4836" s="4">
        <v>38685</v>
      </c>
      <c r="E4836" s="6">
        <v>53.24</v>
      </c>
      <c r="G4836" s="4"/>
      <c r="H4836" s="5"/>
    </row>
    <row r="4837" spans="4:8" x14ac:dyDescent="0.25">
      <c r="D4837" s="4">
        <v>38686</v>
      </c>
      <c r="E4837" s="6">
        <v>53.25</v>
      </c>
      <c r="G4837" s="4"/>
      <c r="H4837" s="5"/>
    </row>
    <row r="4838" spans="4:8" x14ac:dyDescent="0.25">
      <c r="D4838" s="4">
        <v>38687</v>
      </c>
      <c r="E4838" s="6">
        <v>53.65</v>
      </c>
      <c r="G4838" s="4"/>
      <c r="H4838" s="5"/>
    </row>
    <row r="4839" spans="4:8" x14ac:dyDescent="0.25">
      <c r="D4839" s="4">
        <v>38688</v>
      </c>
      <c r="E4839" s="6">
        <v>54.91</v>
      </c>
      <c r="G4839" s="4"/>
      <c r="H4839" s="5"/>
    </row>
    <row r="4840" spans="4:8" x14ac:dyDescent="0.25">
      <c r="D4840" s="4">
        <v>38691</v>
      </c>
      <c r="E4840" s="6">
        <v>56.05</v>
      </c>
      <c r="G4840" s="4"/>
      <c r="H4840" s="5"/>
    </row>
    <row r="4841" spans="4:8" x14ac:dyDescent="0.25">
      <c r="D4841" s="4">
        <v>38692</v>
      </c>
      <c r="E4841" s="6">
        <v>55.68</v>
      </c>
      <c r="G4841" s="4"/>
      <c r="H4841" s="5"/>
    </row>
    <row r="4842" spans="4:8" x14ac:dyDescent="0.25">
      <c r="D4842" s="4">
        <v>38693</v>
      </c>
      <c r="E4842" s="6">
        <v>55.17</v>
      </c>
      <c r="G4842" s="4"/>
      <c r="H4842" s="5"/>
    </row>
    <row r="4843" spans="4:8" x14ac:dyDescent="0.25">
      <c r="D4843" s="4">
        <v>38694</v>
      </c>
      <c r="E4843" s="6">
        <v>56.26</v>
      </c>
      <c r="G4843" s="4"/>
      <c r="H4843" s="5"/>
    </row>
    <row r="4844" spans="4:8" x14ac:dyDescent="0.25">
      <c r="D4844" s="4">
        <v>38695</v>
      </c>
      <c r="E4844" s="6">
        <v>57.18</v>
      </c>
      <c r="G4844" s="4"/>
      <c r="H4844" s="5"/>
    </row>
    <row r="4845" spans="4:8" x14ac:dyDescent="0.25">
      <c r="D4845" s="4">
        <v>38698</v>
      </c>
      <c r="E4845" s="6">
        <v>57.23</v>
      </c>
      <c r="G4845" s="4"/>
      <c r="H4845" s="5"/>
    </row>
    <row r="4846" spans="4:8" x14ac:dyDescent="0.25">
      <c r="D4846" s="4">
        <v>38699</v>
      </c>
      <c r="E4846" s="6">
        <v>59.16</v>
      </c>
      <c r="G4846" s="4"/>
      <c r="H4846" s="5"/>
    </row>
    <row r="4847" spans="4:8" x14ac:dyDescent="0.25">
      <c r="D4847" s="4">
        <v>38700</v>
      </c>
      <c r="E4847" s="6">
        <v>59.59</v>
      </c>
      <c r="G4847" s="4"/>
      <c r="H4847" s="5"/>
    </row>
    <row r="4848" spans="4:8" x14ac:dyDescent="0.25">
      <c r="D4848" s="4">
        <v>38701</v>
      </c>
      <c r="E4848" s="6">
        <v>59.67</v>
      </c>
      <c r="G4848" s="4"/>
      <c r="H4848" s="5"/>
    </row>
    <row r="4849" spans="4:8" x14ac:dyDescent="0.25">
      <c r="D4849" s="4">
        <v>38702</v>
      </c>
      <c r="E4849" s="6">
        <v>58.11</v>
      </c>
      <c r="G4849" s="4"/>
      <c r="H4849" s="5"/>
    </row>
    <row r="4850" spans="4:8" x14ac:dyDescent="0.25">
      <c r="D4850" s="4">
        <v>38705</v>
      </c>
      <c r="E4850" s="6">
        <v>56.09</v>
      </c>
      <c r="G4850" s="4"/>
      <c r="H4850" s="5"/>
    </row>
    <row r="4851" spans="4:8" x14ac:dyDescent="0.25">
      <c r="D4851" s="4">
        <v>38706</v>
      </c>
      <c r="E4851" s="6">
        <v>56.08</v>
      </c>
      <c r="G4851" s="4"/>
      <c r="H4851" s="5"/>
    </row>
    <row r="4852" spans="4:8" x14ac:dyDescent="0.25">
      <c r="D4852" s="4">
        <v>38707</v>
      </c>
      <c r="E4852" s="6">
        <v>56.05</v>
      </c>
      <c r="G4852" s="4"/>
      <c r="H4852" s="5"/>
    </row>
    <row r="4853" spans="4:8" x14ac:dyDescent="0.25">
      <c r="D4853" s="4">
        <v>38708</v>
      </c>
      <c r="E4853" s="6">
        <v>57.3</v>
      </c>
      <c r="G4853" s="4"/>
      <c r="H4853" s="5"/>
    </row>
    <row r="4854" spans="4:8" x14ac:dyDescent="0.25">
      <c r="D4854" s="4">
        <v>38709</v>
      </c>
      <c r="E4854" s="6">
        <v>56.28</v>
      </c>
      <c r="G4854" s="4"/>
      <c r="H4854" s="5"/>
    </row>
    <row r="4855" spans="4:8" x14ac:dyDescent="0.25">
      <c r="D4855" s="4">
        <v>38712</v>
      </c>
      <c r="E4855" s="6">
        <v>56.54</v>
      </c>
      <c r="G4855" s="4"/>
      <c r="H4855" s="5"/>
    </row>
    <row r="4856" spans="4:8" x14ac:dyDescent="0.25">
      <c r="D4856" s="4">
        <v>38713</v>
      </c>
      <c r="E4856" s="5"/>
      <c r="G4856" s="4"/>
      <c r="H4856" s="5"/>
    </row>
    <row r="4857" spans="4:8" x14ac:dyDescent="0.25">
      <c r="D4857" s="4">
        <v>38714</v>
      </c>
      <c r="E4857" s="6">
        <v>56.91</v>
      </c>
      <c r="G4857" s="4"/>
      <c r="H4857" s="5"/>
    </row>
    <row r="4858" spans="4:8" x14ac:dyDescent="0.25">
      <c r="D4858" s="4">
        <v>38715</v>
      </c>
      <c r="E4858" s="6">
        <v>57.72</v>
      </c>
      <c r="G4858" s="4"/>
      <c r="H4858" s="5"/>
    </row>
    <row r="4859" spans="4:8" x14ac:dyDescent="0.25">
      <c r="D4859" s="4">
        <v>38716</v>
      </c>
      <c r="E4859" s="6">
        <v>58.34</v>
      </c>
      <c r="G4859" s="4"/>
      <c r="H4859" s="5"/>
    </row>
    <row r="4860" spans="4:8" x14ac:dyDescent="0.25">
      <c r="D4860" s="4">
        <v>38719</v>
      </c>
      <c r="E4860" s="5"/>
      <c r="G4860" s="4"/>
      <c r="H4860" s="5"/>
    </row>
    <row r="4861" spans="4:8" x14ac:dyDescent="0.25">
      <c r="D4861" s="4">
        <v>38720</v>
      </c>
      <c r="E4861" s="6">
        <v>61.51</v>
      </c>
      <c r="G4861" s="4"/>
      <c r="H4861" s="5"/>
    </row>
    <row r="4862" spans="4:8" x14ac:dyDescent="0.25">
      <c r="D4862" s="4">
        <v>38721</v>
      </c>
      <c r="E4862" s="6">
        <v>61.25</v>
      </c>
      <c r="G4862" s="4"/>
      <c r="H4862" s="5"/>
    </row>
    <row r="4863" spans="4:8" x14ac:dyDescent="0.25">
      <c r="D4863" s="4">
        <v>38722</v>
      </c>
      <c r="E4863" s="6">
        <v>61.68</v>
      </c>
      <c r="G4863" s="4"/>
      <c r="H4863" s="5"/>
    </row>
    <row r="4864" spans="4:8" x14ac:dyDescent="0.25">
      <c r="D4864" s="4">
        <v>38723</v>
      </c>
      <c r="E4864" s="6">
        <v>62.43</v>
      </c>
      <c r="G4864" s="4"/>
      <c r="H4864" s="5"/>
    </row>
    <row r="4865" spans="4:8" x14ac:dyDescent="0.25">
      <c r="D4865" s="4">
        <v>38726</v>
      </c>
      <c r="E4865" s="6">
        <v>62.51</v>
      </c>
      <c r="G4865" s="4"/>
      <c r="H4865" s="5"/>
    </row>
    <row r="4866" spans="4:8" x14ac:dyDescent="0.25">
      <c r="D4866" s="4">
        <v>38727</v>
      </c>
      <c r="E4866" s="6">
        <v>62.32</v>
      </c>
      <c r="G4866" s="4"/>
      <c r="H4866" s="5"/>
    </row>
    <row r="4867" spans="4:8" x14ac:dyDescent="0.25">
      <c r="D4867" s="4">
        <v>38728</v>
      </c>
      <c r="E4867" s="6">
        <v>61.54</v>
      </c>
      <c r="G4867" s="4"/>
      <c r="H4867" s="5"/>
    </row>
    <row r="4868" spans="4:8" x14ac:dyDescent="0.25">
      <c r="D4868" s="4">
        <v>38729</v>
      </c>
      <c r="E4868" s="6">
        <v>62.95</v>
      </c>
      <c r="G4868" s="4"/>
      <c r="H4868" s="5"/>
    </row>
    <row r="4869" spans="4:8" x14ac:dyDescent="0.25">
      <c r="D4869" s="4">
        <v>38730</v>
      </c>
      <c r="E4869" s="6">
        <v>61.58</v>
      </c>
      <c r="G4869" s="4"/>
      <c r="H4869" s="5"/>
    </row>
    <row r="4870" spans="4:8" x14ac:dyDescent="0.25">
      <c r="D4870" s="4">
        <v>38733</v>
      </c>
      <c r="E4870" s="6">
        <v>62.34</v>
      </c>
      <c r="G4870" s="4"/>
      <c r="H4870" s="5"/>
    </row>
    <row r="4871" spans="4:8" x14ac:dyDescent="0.25">
      <c r="D4871" s="4">
        <v>38734</v>
      </c>
      <c r="E4871" s="6">
        <v>63.22</v>
      </c>
      <c r="G4871" s="4"/>
      <c r="H4871" s="5"/>
    </row>
    <row r="4872" spans="4:8" x14ac:dyDescent="0.25">
      <c r="D4872" s="4">
        <v>38735</v>
      </c>
      <c r="E4872" s="6">
        <v>63.6</v>
      </c>
      <c r="G4872" s="4"/>
      <c r="H4872" s="5"/>
    </row>
    <row r="4873" spans="4:8" x14ac:dyDescent="0.25">
      <c r="D4873" s="4">
        <v>38736</v>
      </c>
      <c r="E4873" s="6">
        <v>63.64</v>
      </c>
      <c r="G4873" s="4"/>
      <c r="H4873" s="5"/>
    </row>
    <row r="4874" spans="4:8" x14ac:dyDescent="0.25">
      <c r="D4874" s="4">
        <v>38737</v>
      </c>
      <c r="E4874" s="6">
        <v>64.92</v>
      </c>
      <c r="G4874" s="4"/>
      <c r="H4874" s="5"/>
    </row>
    <row r="4875" spans="4:8" x14ac:dyDescent="0.25">
      <c r="D4875" s="4">
        <v>38740</v>
      </c>
      <c r="E4875" s="6">
        <v>64.56</v>
      </c>
      <c r="G4875" s="4"/>
      <c r="H4875" s="5"/>
    </row>
    <row r="4876" spans="4:8" x14ac:dyDescent="0.25">
      <c r="D4876" s="4">
        <v>38741</v>
      </c>
      <c r="E4876" s="6">
        <v>63.82</v>
      </c>
      <c r="G4876" s="4"/>
      <c r="H4876" s="5"/>
    </row>
    <row r="4877" spans="4:8" x14ac:dyDescent="0.25">
      <c r="D4877" s="4">
        <v>38742</v>
      </c>
      <c r="E4877" s="6">
        <v>62.61</v>
      </c>
      <c r="G4877" s="4"/>
      <c r="H4877" s="5"/>
    </row>
    <row r="4878" spans="4:8" x14ac:dyDescent="0.25">
      <c r="D4878" s="4">
        <v>38743</v>
      </c>
      <c r="E4878" s="6">
        <v>62.93</v>
      </c>
      <c r="G4878" s="4"/>
      <c r="H4878" s="5"/>
    </row>
    <row r="4879" spans="4:8" x14ac:dyDescent="0.25">
      <c r="D4879" s="4">
        <v>38744</v>
      </c>
      <c r="E4879" s="6">
        <v>64.95</v>
      </c>
      <c r="G4879" s="4"/>
      <c r="H4879" s="5"/>
    </row>
    <row r="4880" spans="4:8" x14ac:dyDescent="0.25">
      <c r="D4880" s="4">
        <v>38747</v>
      </c>
      <c r="E4880" s="6">
        <v>65.14</v>
      </c>
      <c r="G4880" s="4"/>
      <c r="H4880" s="5"/>
    </row>
    <row r="4881" spans="4:8" x14ac:dyDescent="0.25">
      <c r="D4881" s="4">
        <v>38748</v>
      </c>
      <c r="E4881" s="6">
        <v>63.19</v>
      </c>
      <c r="G4881" s="4"/>
      <c r="H4881" s="5"/>
    </row>
    <row r="4882" spans="4:8" x14ac:dyDescent="0.25">
      <c r="D4882" s="4">
        <v>38749</v>
      </c>
      <c r="E4882" s="6">
        <v>65.64</v>
      </c>
      <c r="G4882" s="4"/>
      <c r="H4882" s="5"/>
    </row>
    <row r="4883" spans="4:8" x14ac:dyDescent="0.25">
      <c r="D4883" s="4">
        <v>38750</v>
      </c>
      <c r="E4883" s="6">
        <v>63.49</v>
      </c>
      <c r="G4883" s="4"/>
      <c r="H4883" s="5"/>
    </row>
    <row r="4884" spans="4:8" x14ac:dyDescent="0.25">
      <c r="D4884" s="4">
        <v>38751</v>
      </c>
      <c r="E4884" s="6">
        <v>62.54</v>
      </c>
      <c r="G4884" s="4"/>
      <c r="H4884" s="5"/>
    </row>
    <row r="4885" spans="4:8" x14ac:dyDescent="0.25">
      <c r="D4885" s="4">
        <v>38754</v>
      </c>
      <c r="E4885" s="6">
        <v>63.32</v>
      </c>
      <c r="G4885" s="4"/>
      <c r="H4885" s="5"/>
    </row>
    <row r="4886" spans="4:8" x14ac:dyDescent="0.25">
      <c r="D4886" s="4">
        <v>38755</v>
      </c>
      <c r="E4886" s="6">
        <v>61.64</v>
      </c>
      <c r="G4886" s="4"/>
      <c r="H4886" s="5"/>
    </row>
    <row r="4887" spans="4:8" x14ac:dyDescent="0.25">
      <c r="D4887" s="4">
        <v>38756</v>
      </c>
      <c r="E4887" s="6">
        <v>60.82</v>
      </c>
      <c r="G4887" s="4"/>
      <c r="H4887" s="5"/>
    </row>
    <row r="4888" spans="4:8" x14ac:dyDescent="0.25">
      <c r="D4888" s="4">
        <v>38757</v>
      </c>
      <c r="E4888" s="6">
        <v>60.7</v>
      </c>
      <c r="G4888" s="4"/>
      <c r="H4888" s="5"/>
    </row>
    <row r="4889" spans="4:8" x14ac:dyDescent="0.25">
      <c r="D4889" s="4">
        <v>38758</v>
      </c>
      <c r="E4889" s="6">
        <v>59.66</v>
      </c>
      <c r="G4889" s="4"/>
      <c r="H4889" s="5"/>
    </row>
    <row r="4890" spans="4:8" x14ac:dyDescent="0.25">
      <c r="D4890" s="4">
        <v>38761</v>
      </c>
      <c r="E4890" s="6">
        <v>59.16</v>
      </c>
      <c r="G4890" s="4"/>
      <c r="H4890" s="5"/>
    </row>
    <row r="4891" spans="4:8" x14ac:dyDescent="0.25">
      <c r="D4891" s="4">
        <v>38762</v>
      </c>
      <c r="E4891" s="6">
        <v>58.27</v>
      </c>
      <c r="G4891" s="4"/>
      <c r="H4891" s="5"/>
    </row>
    <row r="4892" spans="4:8" x14ac:dyDescent="0.25">
      <c r="D4892" s="4">
        <v>38763</v>
      </c>
      <c r="E4892" s="6">
        <v>57.67</v>
      </c>
      <c r="G4892" s="4"/>
      <c r="H4892" s="5"/>
    </row>
    <row r="4893" spans="4:8" x14ac:dyDescent="0.25">
      <c r="D4893" s="4">
        <v>38764</v>
      </c>
      <c r="E4893" s="6">
        <v>56.78</v>
      </c>
      <c r="G4893" s="4"/>
      <c r="H4893" s="5"/>
    </row>
    <row r="4894" spans="4:8" x14ac:dyDescent="0.25">
      <c r="D4894" s="4">
        <v>38765</v>
      </c>
      <c r="E4894" s="6">
        <v>58.34</v>
      </c>
      <c r="G4894" s="4"/>
      <c r="H4894" s="5"/>
    </row>
    <row r="4895" spans="4:8" x14ac:dyDescent="0.25">
      <c r="D4895" s="4">
        <v>38768</v>
      </c>
      <c r="E4895" s="6">
        <v>60.05</v>
      </c>
      <c r="G4895" s="4"/>
      <c r="H4895" s="5"/>
    </row>
    <row r="4896" spans="4:8" x14ac:dyDescent="0.25">
      <c r="D4896" s="4">
        <v>38769</v>
      </c>
      <c r="E4896" s="6">
        <v>59.35</v>
      </c>
      <c r="G4896" s="4"/>
      <c r="H4896" s="5"/>
    </row>
    <row r="4897" spans="4:8" x14ac:dyDescent="0.25">
      <c r="D4897" s="4">
        <v>38770</v>
      </c>
      <c r="E4897" s="6">
        <v>58.71</v>
      </c>
      <c r="G4897" s="4"/>
      <c r="H4897" s="5"/>
    </row>
    <row r="4898" spans="4:8" x14ac:dyDescent="0.25">
      <c r="D4898" s="4">
        <v>38771</v>
      </c>
      <c r="E4898" s="6">
        <v>58.71</v>
      </c>
      <c r="G4898" s="4"/>
      <c r="H4898" s="5"/>
    </row>
    <row r="4899" spans="4:8" x14ac:dyDescent="0.25">
      <c r="D4899" s="4">
        <v>38772</v>
      </c>
      <c r="E4899" s="6">
        <v>60.13</v>
      </c>
      <c r="G4899" s="4"/>
      <c r="H4899" s="5"/>
    </row>
    <row r="4900" spans="4:8" x14ac:dyDescent="0.25">
      <c r="D4900" s="4">
        <v>38775</v>
      </c>
      <c r="E4900" s="6">
        <v>59.44</v>
      </c>
      <c r="G4900" s="4"/>
      <c r="H4900" s="5"/>
    </row>
    <row r="4901" spans="4:8" x14ac:dyDescent="0.25">
      <c r="D4901" s="4">
        <v>38776</v>
      </c>
      <c r="E4901" s="6">
        <v>59.78</v>
      </c>
      <c r="G4901" s="4"/>
      <c r="H4901" s="5"/>
    </row>
    <row r="4902" spans="4:8" x14ac:dyDescent="0.25">
      <c r="D4902" s="4">
        <v>38777</v>
      </c>
      <c r="E4902" s="6">
        <v>61.12</v>
      </c>
      <c r="G4902" s="4"/>
      <c r="H4902" s="5"/>
    </row>
    <row r="4903" spans="4:8" x14ac:dyDescent="0.25">
      <c r="D4903" s="4">
        <v>38778</v>
      </c>
      <c r="E4903" s="6">
        <v>62.27</v>
      </c>
      <c r="G4903" s="4"/>
      <c r="H4903" s="5"/>
    </row>
    <row r="4904" spans="4:8" x14ac:dyDescent="0.25">
      <c r="D4904" s="4">
        <v>38779</v>
      </c>
      <c r="E4904" s="6">
        <v>62.69</v>
      </c>
      <c r="G4904" s="4"/>
      <c r="H4904" s="5"/>
    </row>
    <row r="4905" spans="4:8" x14ac:dyDescent="0.25">
      <c r="D4905" s="4">
        <v>38782</v>
      </c>
      <c r="E4905" s="6">
        <v>61.41</v>
      </c>
      <c r="G4905" s="4"/>
      <c r="H4905" s="5"/>
    </row>
    <row r="4906" spans="4:8" x14ac:dyDescent="0.25">
      <c r="D4906" s="4">
        <v>38783</v>
      </c>
      <c r="E4906" s="6">
        <v>59.79</v>
      </c>
      <c r="G4906" s="4"/>
      <c r="H4906" s="5"/>
    </row>
    <row r="4907" spans="4:8" x14ac:dyDescent="0.25">
      <c r="D4907" s="4">
        <v>38784</v>
      </c>
      <c r="E4907" s="6">
        <v>58.42</v>
      </c>
      <c r="G4907" s="4"/>
      <c r="H4907" s="5"/>
    </row>
    <row r="4908" spans="4:8" x14ac:dyDescent="0.25">
      <c r="D4908" s="4">
        <v>38785</v>
      </c>
      <c r="E4908" s="6">
        <v>58.82</v>
      </c>
      <c r="G4908" s="4"/>
      <c r="H4908" s="5"/>
    </row>
    <row r="4909" spans="4:8" x14ac:dyDescent="0.25">
      <c r="D4909" s="4">
        <v>38786</v>
      </c>
      <c r="E4909" s="6">
        <v>59.04</v>
      </c>
      <c r="G4909" s="4"/>
      <c r="H4909" s="5"/>
    </row>
    <row r="4910" spans="4:8" x14ac:dyDescent="0.25">
      <c r="D4910" s="4">
        <v>38789</v>
      </c>
      <c r="E4910" s="6">
        <v>60.99</v>
      </c>
      <c r="G4910" s="4"/>
      <c r="H4910" s="5"/>
    </row>
    <row r="4911" spans="4:8" x14ac:dyDescent="0.25">
      <c r="D4911" s="4">
        <v>38790</v>
      </c>
      <c r="E4911" s="6">
        <v>62.39</v>
      </c>
      <c r="G4911" s="4"/>
      <c r="H4911" s="5"/>
    </row>
    <row r="4912" spans="4:8" x14ac:dyDescent="0.25">
      <c r="D4912" s="4">
        <v>38791</v>
      </c>
      <c r="E4912" s="6">
        <v>63.12</v>
      </c>
      <c r="G4912" s="4"/>
      <c r="H4912" s="5"/>
    </row>
    <row r="4913" spans="4:8" x14ac:dyDescent="0.25">
      <c r="D4913" s="4">
        <v>38792</v>
      </c>
      <c r="E4913" s="6">
        <v>62.07</v>
      </c>
      <c r="G4913" s="4"/>
      <c r="H4913" s="5"/>
    </row>
    <row r="4914" spans="4:8" x14ac:dyDescent="0.25">
      <c r="D4914" s="4">
        <v>38793</v>
      </c>
      <c r="E4914" s="6">
        <v>63.54</v>
      </c>
      <c r="G4914" s="4"/>
      <c r="H4914" s="5"/>
    </row>
    <row r="4915" spans="4:8" x14ac:dyDescent="0.25">
      <c r="D4915" s="4">
        <v>38796</v>
      </c>
      <c r="E4915" s="6">
        <v>62.3</v>
      </c>
      <c r="G4915" s="4"/>
      <c r="H4915" s="5"/>
    </row>
    <row r="4916" spans="4:8" x14ac:dyDescent="0.25">
      <c r="D4916" s="4">
        <v>38797</v>
      </c>
      <c r="E4916" s="6">
        <v>59.96</v>
      </c>
      <c r="G4916" s="4"/>
      <c r="H4916" s="5"/>
    </row>
    <row r="4917" spans="4:8" x14ac:dyDescent="0.25">
      <c r="D4917" s="4">
        <v>38798</v>
      </c>
      <c r="E4917" s="6">
        <v>61.23</v>
      </c>
      <c r="G4917" s="4"/>
      <c r="H4917" s="5"/>
    </row>
    <row r="4918" spans="4:8" x14ac:dyDescent="0.25">
      <c r="D4918" s="4">
        <v>38799</v>
      </c>
      <c r="E4918" s="6">
        <v>61.76</v>
      </c>
      <c r="G4918" s="4"/>
      <c r="H4918" s="5"/>
    </row>
    <row r="4919" spans="4:8" x14ac:dyDescent="0.25">
      <c r="D4919" s="4">
        <v>38800</v>
      </c>
      <c r="E4919" s="6">
        <v>62.78</v>
      </c>
      <c r="G4919" s="4"/>
      <c r="H4919" s="5"/>
    </row>
    <row r="4920" spans="4:8" x14ac:dyDescent="0.25">
      <c r="D4920" s="4">
        <v>38803</v>
      </c>
      <c r="E4920" s="6">
        <v>62.59</v>
      </c>
      <c r="G4920" s="4"/>
      <c r="H4920" s="5"/>
    </row>
    <row r="4921" spans="4:8" x14ac:dyDescent="0.25">
      <c r="D4921" s="4">
        <v>38804</v>
      </c>
      <c r="E4921" s="6">
        <v>64.31</v>
      </c>
      <c r="G4921" s="4"/>
      <c r="H4921" s="5"/>
    </row>
    <row r="4922" spans="4:8" x14ac:dyDescent="0.25">
      <c r="D4922" s="4">
        <v>38805</v>
      </c>
      <c r="E4922" s="6">
        <v>64.88</v>
      </c>
      <c r="G4922" s="4"/>
      <c r="H4922" s="5"/>
    </row>
    <row r="4923" spans="4:8" x14ac:dyDescent="0.25">
      <c r="D4923" s="4">
        <v>38806</v>
      </c>
      <c r="E4923" s="6">
        <v>65.95</v>
      </c>
      <c r="G4923" s="4"/>
      <c r="H4923" s="5"/>
    </row>
    <row r="4924" spans="4:8" x14ac:dyDescent="0.25">
      <c r="D4924" s="4">
        <v>38807</v>
      </c>
      <c r="E4924" s="6">
        <v>66.06</v>
      </c>
      <c r="G4924" s="4"/>
      <c r="H4924" s="5"/>
    </row>
    <row r="4925" spans="4:8" x14ac:dyDescent="0.25">
      <c r="D4925" s="4">
        <v>38810</v>
      </c>
      <c r="E4925" s="6">
        <v>67.28</v>
      </c>
      <c r="G4925" s="4"/>
      <c r="H4925" s="5"/>
    </row>
    <row r="4926" spans="4:8" x14ac:dyDescent="0.25">
      <c r="D4926" s="4">
        <v>38811</v>
      </c>
      <c r="E4926" s="6">
        <v>65.930000000000007</v>
      </c>
      <c r="G4926" s="4"/>
      <c r="H4926" s="5"/>
    </row>
    <row r="4927" spans="4:8" x14ac:dyDescent="0.25">
      <c r="D4927" s="4">
        <v>38812</v>
      </c>
      <c r="E4927" s="6">
        <v>66.739999999999995</v>
      </c>
      <c r="G4927" s="4"/>
      <c r="H4927" s="5"/>
    </row>
    <row r="4928" spans="4:8" x14ac:dyDescent="0.25">
      <c r="D4928" s="4">
        <v>38813</v>
      </c>
      <c r="E4928" s="6">
        <v>67.58</v>
      </c>
      <c r="G4928" s="4"/>
      <c r="H4928" s="5"/>
    </row>
    <row r="4929" spans="4:8" x14ac:dyDescent="0.25">
      <c r="D4929" s="4">
        <v>38814</v>
      </c>
      <c r="E4929" s="6">
        <v>67.11</v>
      </c>
      <c r="G4929" s="4"/>
      <c r="H4929" s="5"/>
    </row>
    <row r="4930" spans="4:8" x14ac:dyDescent="0.25">
      <c r="D4930" s="4">
        <v>38817</v>
      </c>
      <c r="E4930" s="6">
        <v>68.2</v>
      </c>
      <c r="G4930" s="4"/>
      <c r="H4930" s="5"/>
    </row>
    <row r="4931" spans="4:8" x14ac:dyDescent="0.25">
      <c r="D4931" s="4">
        <v>38818</v>
      </c>
      <c r="E4931" s="6">
        <v>68.52</v>
      </c>
      <c r="G4931" s="4"/>
      <c r="H4931" s="5"/>
    </row>
    <row r="4932" spans="4:8" x14ac:dyDescent="0.25">
      <c r="D4932" s="4">
        <v>38819</v>
      </c>
      <c r="E4932" s="6">
        <v>69.540000000000006</v>
      </c>
      <c r="G4932" s="4"/>
      <c r="H4932" s="5"/>
    </row>
    <row r="4933" spans="4:8" x14ac:dyDescent="0.25">
      <c r="D4933" s="4">
        <v>38820</v>
      </c>
      <c r="E4933" s="6">
        <v>69.39</v>
      </c>
      <c r="G4933" s="4"/>
      <c r="H4933" s="5"/>
    </row>
    <row r="4934" spans="4:8" x14ac:dyDescent="0.25">
      <c r="D4934" s="4">
        <v>38821</v>
      </c>
      <c r="E4934" s="5"/>
      <c r="G4934" s="4"/>
      <c r="H4934" s="5"/>
    </row>
    <row r="4935" spans="4:8" x14ac:dyDescent="0.25">
      <c r="D4935" s="4">
        <v>38824</v>
      </c>
      <c r="E4935" s="5"/>
      <c r="G4935" s="4"/>
      <c r="H4935" s="5"/>
    </row>
    <row r="4936" spans="4:8" x14ac:dyDescent="0.25">
      <c r="D4936" s="4">
        <v>38825</v>
      </c>
      <c r="E4936" s="6">
        <v>70.97</v>
      </c>
      <c r="G4936" s="4"/>
      <c r="H4936" s="5"/>
    </row>
    <row r="4937" spans="4:8" x14ac:dyDescent="0.25">
      <c r="D4937" s="4">
        <v>38826</v>
      </c>
      <c r="E4937" s="6">
        <v>72.69</v>
      </c>
      <c r="G4937" s="4"/>
      <c r="H4937" s="5"/>
    </row>
    <row r="4938" spans="4:8" x14ac:dyDescent="0.25">
      <c r="D4938" s="4">
        <v>38827</v>
      </c>
      <c r="E4938" s="6">
        <v>72.569999999999993</v>
      </c>
      <c r="G4938" s="4"/>
      <c r="H4938" s="5"/>
    </row>
    <row r="4939" spans="4:8" x14ac:dyDescent="0.25">
      <c r="D4939" s="4">
        <v>38828</v>
      </c>
      <c r="E4939" s="6">
        <v>73.94</v>
      </c>
      <c r="G4939" s="4"/>
      <c r="H4939" s="5"/>
    </row>
    <row r="4940" spans="4:8" x14ac:dyDescent="0.25">
      <c r="D4940" s="4">
        <v>38831</v>
      </c>
      <c r="E4940" s="6">
        <v>73.959999999999994</v>
      </c>
      <c r="G4940" s="4"/>
      <c r="H4940" s="5"/>
    </row>
    <row r="4941" spans="4:8" x14ac:dyDescent="0.25">
      <c r="D4941" s="4">
        <v>38832</v>
      </c>
      <c r="E4941" s="6">
        <v>72.86</v>
      </c>
      <c r="G4941" s="4"/>
      <c r="H4941" s="5"/>
    </row>
    <row r="4942" spans="4:8" x14ac:dyDescent="0.25">
      <c r="D4942" s="4">
        <v>38833</v>
      </c>
      <c r="E4942" s="6">
        <v>73.459999999999994</v>
      </c>
      <c r="G4942" s="4"/>
      <c r="H4942" s="5"/>
    </row>
    <row r="4943" spans="4:8" x14ac:dyDescent="0.25">
      <c r="D4943" s="4">
        <v>38834</v>
      </c>
      <c r="E4943" s="6">
        <v>71.790000000000006</v>
      </c>
      <c r="G4943" s="4"/>
      <c r="H4943" s="5"/>
    </row>
    <row r="4944" spans="4:8" x14ac:dyDescent="0.25">
      <c r="D4944" s="4">
        <v>38835</v>
      </c>
      <c r="E4944" s="6">
        <v>72.150000000000006</v>
      </c>
      <c r="G4944" s="4"/>
      <c r="H4944" s="5"/>
    </row>
    <row r="4945" spans="4:8" x14ac:dyDescent="0.25">
      <c r="D4945" s="4">
        <v>38838</v>
      </c>
      <c r="E4945" s="6">
        <v>73.37</v>
      </c>
      <c r="G4945" s="4"/>
      <c r="H4945" s="5"/>
    </row>
    <row r="4946" spans="4:8" x14ac:dyDescent="0.25">
      <c r="D4946" s="4">
        <v>38839</v>
      </c>
      <c r="E4946" s="6">
        <v>74.45</v>
      </c>
      <c r="G4946" s="4"/>
      <c r="H4946" s="5"/>
    </row>
    <row r="4947" spans="4:8" x14ac:dyDescent="0.25">
      <c r="D4947" s="4">
        <v>38840</v>
      </c>
      <c r="E4947" s="6">
        <v>73.73</v>
      </c>
      <c r="G4947" s="4"/>
      <c r="H4947" s="5"/>
    </row>
    <row r="4948" spans="4:8" x14ac:dyDescent="0.25">
      <c r="D4948" s="4">
        <v>38841</v>
      </c>
      <c r="E4948" s="6">
        <v>71.84</v>
      </c>
      <c r="G4948" s="4"/>
      <c r="H4948" s="5"/>
    </row>
    <row r="4949" spans="4:8" x14ac:dyDescent="0.25">
      <c r="D4949" s="4">
        <v>38842</v>
      </c>
      <c r="E4949" s="6">
        <v>71.22</v>
      </c>
      <c r="G4949" s="4"/>
      <c r="H4949" s="5"/>
    </row>
    <row r="4950" spans="4:8" x14ac:dyDescent="0.25">
      <c r="D4950" s="4">
        <v>38845</v>
      </c>
      <c r="E4950" s="6">
        <v>68.260000000000005</v>
      </c>
      <c r="G4950" s="4"/>
      <c r="H4950" s="5"/>
    </row>
    <row r="4951" spans="4:8" x14ac:dyDescent="0.25">
      <c r="D4951" s="4">
        <v>38846</v>
      </c>
      <c r="E4951" s="6">
        <v>70.599999999999994</v>
      </c>
      <c r="G4951" s="4"/>
      <c r="H4951" s="5"/>
    </row>
    <row r="4952" spans="4:8" x14ac:dyDescent="0.25">
      <c r="D4952" s="4">
        <v>38847</v>
      </c>
      <c r="E4952" s="6">
        <v>69.83</v>
      </c>
      <c r="G4952" s="4"/>
      <c r="H4952" s="5"/>
    </row>
    <row r="4953" spans="4:8" x14ac:dyDescent="0.25">
      <c r="D4953" s="4">
        <v>38848</v>
      </c>
      <c r="E4953" s="6">
        <v>72.2</v>
      </c>
      <c r="G4953" s="4"/>
      <c r="H4953" s="5"/>
    </row>
    <row r="4954" spans="4:8" x14ac:dyDescent="0.25">
      <c r="D4954" s="4">
        <v>38849</v>
      </c>
      <c r="E4954" s="6">
        <v>71.3</v>
      </c>
      <c r="G4954" s="4"/>
      <c r="H4954" s="5"/>
    </row>
    <row r="4955" spans="4:8" x14ac:dyDescent="0.25">
      <c r="D4955" s="4">
        <v>38852</v>
      </c>
      <c r="E4955" s="6">
        <v>68.69</v>
      </c>
      <c r="G4955" s="4"/>
      <c r="H4955" s="5"/>
    </row>
    <row r="4956" spans="4:8" x14ac:dyDescent="0.25">
      <c r="D4956" s="4">
        <v>38853</v>
      </c>
      <c r="E4956" s="6">
        <v>68.66</v>
      </c>
      <c r="G4956" s="4"/>
      <c r="H4956" s="5"/>
    </row>
    <row r="4957" spans="4:8" x14ac:dyDescent="0.25">
      <c r="D4957" s="4">
        <v>38854</v>
      </c>
      <c r="E4957" s="6">
        <v>67.52</v>
      </c>
      <c r="G4957" s="4"/>
      <c r="H4957" s="5"/>
    </row>
    <row r="4958" spans="4:8" x14ac:dyDescent="0.25">
      <c r="D4958" s="4">
        <v>38855</v>
      </c>
      <c r="E4958" s="6">
        <v>67.39</v>
      </c>
      <c r="G4958" s="4"/>
      <c r="H4958" s="5"/>
    </row>
    <row r="4959" spans="4:8" x14ac:dyDescent="0.25">
      <c r="D4959" s="4">
        <v>38856</v>
      </c>
      <c r="E4959" s="6">
        <v>66.930000000000007</v>
      </c>
      <c r="G4959" s="4"/>
      <c r="H4959" s="5"/>
    </row>
    <row r="4960" spans="4:8" x14ac:dyDescent="0.25">
      <c r="D4960" s="4">
        <v>38859</v>
      </c>
      <c r="E4960" s="6">
        <v>66.52</v>
      </c>
      <c r="G4960" s="4"/>
      <c r="H4960" s="5"/>
    </row>
    <row r="4961" spans="4:8" x14ac:dyDescent="0.25">
      <c r="D4961" s="4">
        <v>38860</v>
      </c>
      <c r="E4961" s="6">
        <v>68.97</v>
      </c>
      <c r="G4961" s="4"/>
      <c r="H4961" s="5"/>
    </row>
    <row r="4962" spans="4:8" x14ac:dyDescent="0.25">
      <c r="D4962" s="4">
        <v>38861</v>
      </c>
      <c r="E4962" s="6">
        <v>68.45</v>
      </c>
      <c r="G4962" s="4"/>
      <c r="H4962" s="5"/>
    </row>
    <row r="4963" spans="4:8" x14ac:dyDescent="0.25">
      <c r="D4963" s="4">
        <v>38862</v>
      </c>
      <c r="E4963" s="6">
        <v>68.510000000000005</v>
      </c>
      <c r="G4963" s="4"/>
      <c r="H4963" s="5"/>
    </row>
    <row r="4964" spans="4:8" x14ac:dyDescent="0.25">
      <c r="D4964" s="4">
        <v>38863</v>
      </c>
      <c r="E4964" s="6">
        <v>69.88</v>
      </c>
      <c r="G4964" s="4"/>
      <c r="H4964" s="5"/>
    </row>
    <row r="4965" spans="4:8" x14ac:dyDescent="0.25">
      <c r="D4965" s="4">
        <v>38866</v>
      </c>
      <c r="E4965" s="6">
        <v>69.16</v>
      </c>
      <c r="G4965" s="4"/>
      <c r="H4965" s="5"/>
    </row>
    <row r="4966" spans="4:8" x14ac:dyDescent="0.25">
      <c r="D4966" s="4">
        <v>38867</v>
      </c>
      <c r="E4966" s="6">
        <v>69.819999999999993</v>
      </c>
      <c r="G4966" s="4"/>
      <c r="H4966" s="5"/>
    </row>
    <row r="4967" spans="4:8" x14ac:dyDescent="0.25">
      <c r="D4967" s="4">
        <v>38868</v>
      </c>
      <c r="E4967" s="6">
        <v>67.569999999999993</v>
      </c>
      <c r="G4967" s="4"/>
      <c r="H4967" s="5"/>
    </row>
    <row r="4968" spans="4:8" x14ac:dyDescent="0.25">
      <c r="D4968" s="4">
        <v>38869</v>
      </c>
      <c r="E4968" s="6">
        <v>68.77</v>
      </c>
      <c r="G4968" s="4"/>
      <c r="H4968" s="5"/>
    </row>
    <row r="4969" spans="4:8" x14ac:dyDescent="0.25">
      <c r="D4969" s="4">
        <v>38870</v>
      </c>
      <c r="E4969" s="6">
        <v>68.42</v>
      </c>
      <c r="G4969" s="4"/>
      <c r="H4969" s="5"/>
    </row>
    <row r="4970" spans="4:8" x14ac:dyDescent="0.25">
      <c r="D4970" s="4">
        <v>38873</v>
      </c>
      <c r="E4970" s="6">
        <v>69.13</v>
      </c>
      <c r="G4970" s="4"/>
      <c r="H4970" s="5"/>
    </row>
    <row r="4971" spans="4:8" x14ac:dyDescent="0.25">
      <c r="D4971" s="4">
        <v>38874</v>
      </c>
      <c r="E4971" s="6">
        <v>68.25</v>
      </c>
      <c r="G4971" s="4"/>
      <c r="H4971" s="5"/>
    </row>
    <row r="4972" spans="4:8" x14ac:dyDescent="0.25">
      <c r="D4972" s="4">
        <v>38875</v>
      </c>
      <c r="E4972" s="6">
        <v>67.17</v>
      </c>
      <c r="G4972" s="4"/>
      <c r="H4972" s="5"/>
    </row>
    <row r="4973" spans="4:8" x14ac:dyDescent="0.25">
      <c r="D4973" s="4">
        <v>38876</v>
      </c>
      <c r="E4973" s="6">
        <v>65.760000000000005</v>
      </c>
      <c r="G4973" s="4"/>
      <c r="H4973" s="5"/>
    </row>
    <row r="4974" spans="4:8" x14ac:dyDescent="0.25">
      <c r="D4974" s="4">
        <v>38877</v>
      </c>
      <c r="E4974" s="6">
        <v>69.13</v>
      </c>
      <c r="G4974" s="4"/>
      <c r="H4974" s="5"/>
    </row>
    <row r="4975" spans="4:8" x14ac:dyDescent="0.25">
      <c r="D4975" s="4">
        <v>38880</v>
      </c>
      <c r="E4975" s="6">
        <v>68.62</v>
      </c>
      <c r="G4975" s="4"/>
      <c r="H4975" s="5"/>
    </row>
    <row r="4976" spans="4:8" x14ac:dyDescent="0.25">
      <c r="D4976" s="4">
        <v>38881</v>
      </c>
      <c r="E4976" s="6">
        <v>65.67</v>
      </c>
      <c r="G4976" s="4"/>
      <c r="H4976" s="5"/>
    </row>
    <row r="4977" spans="4:8" x14ac:dyDescent="0.25">
      <c r="D4977" s="4">
        <v>38882</v>
      </c>
      <c r="E4977" s="6">
        <v>65.52</v>
      </c>
      <c r="G4977" s="4"/>
      <c r="H4977" s="5"/>
    </row>
    <row r="4978" spans="4:8" x14ac:dyDescent="0.25">
      <c r="D4978" s="4">
        <v>38883</v>
      </c>
      <c r="E4978" s="6">
        <v>66.040000000000006</v>
      </c>
      <c r="G4978" s="4"/>
      <c r="H4978" s="5"/>
    </row>
    <row r="4979" spans="4:8" x14ac:dyDescent="0.25">
      <c r="D4979" s="4">
        <v>38884</v>
      </c>
      <c r="E4979" s="6">
        <v>65.010000000000005</v>
      </c>
      <c r="G4979" s="4"/>
      <c r="H4979" s="5"/>
    </row>
    <row r="4980" spans="4:8" x14ac:dyDescent="0.25">
      <c r="D4980" s="4">
        <v>38887</v>
      </c>
      <c r="E4980" s="6">
        <v>66.400000000000006</v>
      </c>
      <c r="G4980" s="4"/>
      <c r="H4980" s="5"/>
    </row>
    <row r="4981" spans="4:8" x14ac:dyDescent="0.25">
      <c r="D4981" s="4">
        <v>38888</v>
      </c>
      <c r="E4981" s="6">
        <v>67.569999999999993</v>
      </c>
      <c r="G4981" s="4"/>
      <c r="H4981" s="5"/>
    </row>
    <row r="4982" spans="4:8" x14ac:dyDescent="0.25">
      <c r="D4982" s="4">
        <v>38889</v>
      </c>
      <c r="E4982" s="6">
        <v>68.17</v>
      </c>
      <c r="G4982" s="4"/>
      <c r="H4982" s="5"/>
    </row>
    <row r="4983" spans="4:8" x14ac:dyDescent="0.25">
      <c r="D4983" s="4">
        <v>38890</v>
      </c>
      <c r="E4983" s="6">
        <v>69.599999999999994</v>
      </c>
      <c r="G4983" s="4"/>
      <c r="H4983" s="5"/>
    </row>
    <row r="4984" spans="4:8" x14ac:dyDescent="0.25">
      <c r="D4984" s="4">
        <v>38891</v>
      </c>
      <c r="E4984" s="6">
        <v>69.91</v>
      </c>
      <c r="G4984" s="4"/>
      <c r="H4984" s="5"/>
    </row>
    <row r="4985" spans="4:8" x14ac:dyDescent="0.25">
      <c r="D4985" s="4">
        <v>38894</v>
      </c>
      <c r="E4985" s="6">
        <v>69.849999999999994</v>
      </c>
      <c r="G4985" s="4"/>
      <c r="H4985" s="5"/>
    </row>
    <row r="4986" spans="4:8" x14ac:dyDescent="0.25">
      <c r="D4986" s="4">
        <v>38895</v>
      </c>
      <c r="E4986" s="6">
        <v>71.260000000000005</v>
      </c>
      <c r="G4986" s="4"/>
      <c r="H4986" s="5"/>
    </row>
    <row r="4987" spans="4:8" x14ac:dyDescent="0.25">
      <c r="D4987" s="4">
        <v>38896</v>
      </c>
      <c r="E4987" s="6">
        <v>71.760000000000005</v>
      </c>
      <c r="G4987" s="4"/>
      <c r="H4987" s="5"/>
    </row>
    <row r="4988" spans="4:8" x14ac:dyDescent="0.25">
      <c r="D4988" s="4">
        <v>38897</v>
      </c>
      <c r="E4988" s="6">
        <v>73.02</v>
      </c>
      <c r="G4988" s="4"/>
      <c r="H4988" s="5"/>
    </row>
    <row r="4989" spans="4:8" x14ac:dyDescent="0.25">
      <c r="D4989" s="4">
        <v>38898</v>
      </c>
      <c r="E4989" s="6">
        <v>73.2</v>
      </c>
      <c r="G4989" s="4"/>
      <c r="H4989" s="5"/>
    </row>
    <row r="4990" spans="4:8" x14ac:dyDescent="0.25">
      <c r="D4990" s="4">
        <v>38901</v>
      </c>
      <c r="E4990" s="6">
        <v>73.94</v>
      </c>
      <c r="G4990" s="4"/>
      <c r="H4990" s="5"/>
    </row>
    <row r="4991" spans="4:8" x14ac:dyDescent="0.25">
      <c r="D4991" s="4">
        <v>38902</v>
      </c>
      <c r="E4991" s="6">
        <v>73.17</v>
      </c>
      <c r="G4991" s="4"/>
      <c r="H4991" s="5"/>
    </row>
    <row r="4992" spans="4:8" x14ac:dyDescent="0.25">
      <c r="D4992" s="4">
        <v>38903</v>
      </c>
      <c r="E4992" s="6">
        <v>72.88</v>
      </c>
      <c r="G4992" s="4"/>
      <c r="H4992" s="5"/>
    </row>
    <row r="4993" spans="4:8" x14ac:dyDescent="0.25">
      <c r="D4993" s="4">
        <v>38904</v>
      </c>
      <c r="E4993" s="6">
        <v>73.12</v>
      </c>
      <c r="G4993" s="4"/>
      <c r="H4993" s="5"/>
    </row>
    <row r="4994" spans="4:8" x14ac:dyDescent="0.25">
      <c r="D4994" s="4">
        <v>38905</v>
      </c>
      <c r="E4994" s="6">
        <v>74.14</v>
      </c>
      <c r="G4994" s="4"/>
      <c r="H4994" s="5"/>
    </row>
    <row r="4995" spans="4:8" x14ac:dyDescent="0.25">
      <c r="D4995" s="4">
        <v>38908</v>
      </c>
      <c r="E4995" s="6">
        <v>72.39</v>
      </c>
      <c r="G4995" s="4"/>
      <c r="H4995" s="5"/>
    </row>
    <row r="4996" spans="4:8" x14ac:dyDescent="0.25">
      <c r="D4996" s="4">
        <v>38909</v>
      </c>
      <c r="E4996" s="6">
        <v>73.14</v>
      </c>
      <c r="G4996" s="4"/>
      <c r="H4996" s="5"/>
    </row>
    <row r="4997" spans="4:8" x14ac:dyDescent="0.25">
      <c r="D4997" s="4">
        <v>38910</v>
      </c>
      <c r="E4997" s="6">
        <v>73.040000000000006</v>
      </c>
      <c r="G4997" s="4"/>
      <c r="H4997" s="5"/>
    </row>
    <row r="4998" spans="4:8" x14ac:dyDescent="0.25">
      <c r="D4998" s="4">
        <v>38911</v>
      </c>
      <c r="E4998" s="6">
        <v>75.23</v>
      </c>
      <c r="G4998" s="4"/>
      <c r="H4998" s="5"/>
    </row>
    <row r="4999" spans="4:8" x14ac:dyDescent="0.25">
      <c r="D4999" s="4">
        <v>38912</v>
      </c>
      <c r="E4999" s="6">
        <v>76.13</v>
      </c>
      <c r="G4999" s="4"/>
      <c r="H4999" s="5"/>
    </row>
    <row r="5000" spans="4:8" x14ac:dyDescent="0.25">
      <c r="D5000" s="4">
        <v>38915</v>
      </c>
      <c r="E5000" s="6">
        <v>75.12</v>
      </c>
      <c r="G5000" s="4"/>
      <c r="H5000" s="5"/>
    </row>
    <row r="5001" spans="4:8" x14ac:dyDescent="0.25">
      <c r="D5001" s="4">
        <v>38916</v>
      </c>
      <c r="E5001" s="6">
        <v>75.319999999999993</v>
      </c>
      <c r="G5001" s="4"/>
      <c r="H5001" s="5"/>
    </row>
    <row r="5002" spans="4:8" x14ac:dyDescent="0.25">
      <c r="D5002" s="4">
        <v>38917</v>
      </c>
      <c r="E5002" s="6">
        <v>71.62</v>
      </c>
      <c r="G5002" s="4"/>
      <c r="H5002" s="5"/>
    </row>
    <row r="5003" spans="4:8" x14ac:dyDescent="0.25">
      <c r="D5003" s="4">
        <v>38918</v>
      </c>
      <c r="E5003" s="6">
        <v>72.56</v>
      </c>
      <c r="G5003" s="4"/>
      <c r="H5003" s="5"/>
    </row>
    <row r="5004" spans="4:8" x14ac:dyDescent="0.25">
      <c r="D5004" s="4">
        <v>38919</v>
      </c>
      <c r="E5004" s="6">
        <v>72.959999999999994</v>
      </c>
      <c r="G5004" s="4"/>
      <c r="H5004" s="5"/>
    </row>
    <row r="5005" spans="4:8" x14ac:dyDescent="0.25">
      <c r="D5005" s="4">
        <v>38922</v>
      </c>
      <c r="E5005" s="6">
        <v>72.09</v>
      </c>
      <c r="G5005" s="4"/>
      <c r="H5005" s="5"/>
    </row>
    <row r="5006" spans="4:8" x14ac:dyDescent="0.25">
      <c r="D5006" s="4">
        <v>38923</v>
      </c>
      <c r="E5006" s="6">
        <v>72.489999999999995</v>
      </c>
      <c r="G5006" s="4"/>
      <c r="H5006" s="5"/>
    </row>
    <row r="5007" spans="4:8" x14ac:dyDescent="0.25">
      <c r="D5007" s="4">
        <v>38924</v>
      </c>
      <c r="E5007" s="6">
        <v>73.760000000000005</v>
      </c>
      <c r="G5007" s="4"/>
      <c r="H5007" s="5"/>
    </row>
    <row r="5008" spans="4:8" x14ac:dyDescent="0.25">
      <c r="D5008" s="4">
        <v>38925</v>
      </c>
      <c r="E5008" s="6">
        <v>75.36</v>
      </c>
      <c r="G5008" s="4"/>
      <c r="H5008" s="5"/>
    </row>
    <row r="5009" spans="4:8" x14ac:dyDescent="0.25">
      <c r="D5009" s="4">
        <v>38926</v>
      </c>
      <c r="E5009" s="6">
        <v>73.95</v>
      </c>
      <c r="G5009" s="4"/>
      <c r="H5009" s="5"/>
    </row>
    <row r="5010" spans="4:8" x14ac:dyDescent="0.25">
      <c r="D5010" s="4">
        <v>38929</v>
      </c>
      <c r="E5010" s="6">
        <v>74.75</v>
      </c>
      <c r="G5010" s="4"/>
      <c r="H5010" s="5"/>
    </row>
    <row r="5011" spans="4:8" x14ac:dyDescent="0.25">
      <c r="D5011" s="4">
        <v>38930</v>
      </c>
      <c r="E5011" s="6">
        <v>76.39</v>
      </c>
      <c r="G5011" s="4"/>
      <c r="H5011" s="5"/>
    </row>
    <row r="5012" spans="4:8" x14ac:dyDescent="0.25">
      <c r="D5012" s="4">
        <v>38931</v>
      </c>
      <c r="E5012" s="6">
        <v>77.63</v>
      </c>
      <c r="G5012" s="4"/>
      <c r="H5012" s="5"/>
    </row>
    <row r="5013" spans="4:8" x14ac:dyDescent="0.25">
      <c r="D5013" s="4">
        <v>38932</v>
      </c>
      <c r="E5013" s="6">
        <v>76.28</v>
      </c>
      <c r="G5013" s="4"/>
      <c r="H5013" s="5"/>
    </row>
    <row r="5014" spans="4:8" x14ac:dyDescent="0.25">
      <c r="D5014" s="4">
        <v>38933</v>
      </c>
      <c r="E5014" s="6">
        <v>76.53</v>
      </c>
      <c r="G5014" s="4"/>
      <c r="H5014" s="5"/>
    </row>
    <row r="5015" spans="4:8" x14ac:dyDescent="0.25">
      <c r="D5015" s="4">
        <v>38936</v>
      </c>
      <c r="E5015" s="6">
        <v>77.819999999999993</v>
      </c>
      <c r="G5015" s="4"/>
      <c r="H5015" s="5"/>
    </row>
    <row r="5016" spans="4:8" x14ac:dyDescent="0.25">
      <c r="D5016" s="4">
        <v>38937</v>
      </c>
      <c r="E5016" s="6">
        <v>77.930000000000007</v>
      </c>
      <c r="G5016" s="4"/>
      <c r="H5016" s="5"/>
    </row>
    <row r="5017" spans="4:8" x14ac:dyDescent="0.25">
      <c r="D5017" s="4">
        <v>38938</v>
      </c>
      <c r="E5017" s="6">
        <v>78.260000000000005</v>
      </c>
      <c r="G5017" s="4"/>
      <c r="H5017" s="5"/>
    </row>
    <row r="5018" spans="4:8" x14ac:dyDescent="0.25">
      <c r="D5018" s="4">
        <v>38939</v>
      </c>
      <c r="E5018" s="6">
        <v>75.69</v>
      </c>
      <c r="G5018" s="4"/>
      <c r="H5018" s="5"/>
    </row>
    <row r="5019" spans="4:8" x14ac:dyDescent="0.25">
      <c r="D5019" s="4">
        <v>38940</v>
      </c>
      <c r="E5019" s="6">
        <v>75.19</v>
      </c>
      <c r="G5019" s="4"/>
      <c r="H5019" s="5"/>
    </row>
    <row r="5020" spans="4:8" x14ac:dyDescent="0.25">
      <c r="D5020" s="4">
        <v>38943</v>
      </c>
      <c r="E5020" s="6">
        <v>73.78</v>
      </c>
      <c r="G5020" s="4"/>
      <c r="H5020" s="5"/>
    </row>
    <row r="5021" spans="4:8" x14ac:dyDescent="0.25">
      <c r="D5021" s="4">
        <v>38944</v>
      </c>
      <c r="E5021" s="6">
        <v>73.569999999999993</v>
      </c>
      <c r="G5021" s="4"/>
      <c r="H5021" s="5"/>
    </row>
    <row r="5022" spans="4:8" x14ac:dyDescent="0.25">
      <c r="D5022" s="4">
        <v>38945</v>
      </c>
      <c r="E5022" s="6">
        <v>72.67</v>
      </c>
      <c r="G5022" s="4"/>
      <c r="H5022" s="5"/>
    </row>
    <row r="5023" spans="4:8" x14ac:dyDescent="0.25">
      <c r="D5023" s="4">
        <v>38946</v>
      </c>
      <c r="E5023" s="6">
        <v>70.42</v>
      </c>
      <c r="G5023" s="4"/>
      <c r="H5023" s="5"/>
    </row>
    <row r="5024" spans="4:8" x14ac:dyDescent="0.25">
      <c r="D5024" s="4">
        <v>38947</v>
      </c>
      <c r="E5024" s="6">
        <v>71.3</v>
      </c>
      <c r="G5024" s="4"/>
      <c r="H5024" s="5"/>
    </row>
    <row r="5025" spans="4:8" x14ac:dyDescent="0.25">
      <c r="D5025" s="4">
        <v>38950</v>
      </c>
      <c r="E5025" s="6">
        <v>72.42</v>
      </c>
      <c r="G5025" s="4"/>
      <c r="H5025" s="5"/>
    </row>
    <row r="5026" spans="4:8" x14ac:dyDescent="0.25">
      <c r="D5026" s="4">
        <v>38951</v>
      </c>
      <c r="E5026" s="6">
        <v>72.06</v>
      </c>
      <c r="G5026" s="4"/>
      <c r="H5026" s="5"/>
    </row>
    <row r="5027" spans="4:8" x14ac:dyDescent="0.25">
      <c r="D5027" s="4">
        <v>38952</v>
      </c>
      <c r="E5027" s="6">
        <v>71.12</v>
      </c>
      <c r="G5027" s="4"/>
      <c r="H5027" s="5"/>
    </row>
    <row r="5028" spans="4:8" x14ac:dyDescent="0.25">
      <c r="D5028" s="4">
        <v>38953</v>
      </c>
      <c r="E5028" s="6">
        <v>71.400000000000006</v>
      </c>
      <c r="G5028" s="4"/>
      <c r="H5028" s="5"/>
    </row>
    <row r="5029" spans="4:8" x14ac:dyDescent="0.25">
      <c r="D5029" s="4">
        <v>38954</v>
      </c>
      <c r="E5029" s="6">
        <v>72.58</v>
      </c>
      <c r="G5029" s="4"/>
      <c r="H5029" s="5"/>
    </row>
    <row r="5030" spans="4:8" x14ac:dyDescent="0.25">
      <c r="D5030" s="4">
        <v>38957</v>
      </c>
      <c r="E5030" s="6">
        <v>69.44</v>
      </c>
      <c r="G5030" s="4"/>
      <c r="H5030" s="5"/>
    </row>
    <row r="5031" spans="4:8" x14ac:dyDescent="0.25">
      <c r="D5031" s="4">
        <v>38958</v>
      </c>
      <c r="E5031" s="6">
        <v>67.010000000000005</v>
      </c>
      <c r="G5031" s="4"/>
      <c r="H5031" s="5"/>
    </row>
    <row r="5032" spans="4:8" x14ac:dyDescent="0.25">
      <c r="D5032" s="4">
        <v>38959</v>
      </c>
      <c r="E5032" s="6">
        <v>67.150000000000006</v>
      </c>
      <c r="G5032" s="4"/>
      <c r="H5032" s="5"/>
    </row>
    <row r="5033" spans="4:8" x14ac:dyDescent="0.25">
      <c r="D5033" s="4">
        <v>38960</v>
      </c>
      <c r="E5033" s="6">
        <v>67.66</v>
      </c>
      <c r="G5033" s="4"/>
      <c r="H5033" s="5"/>
    </row>
    <row r="5034" spans="4:8" x14ac:dyDescent="0.25">
      <c r="D5034" s="4">
        <v>38961</v>
      </c>
      <c r="E5034" s="6">
        <v>70.489999999999995</v>
      </c>
      <c r="G5034" s="4"/>
      <c r="H5034" s="5"/>
    </row>
    <row r="5035" spans="4:8" x14ac:dyDescent="0.25">
      <c r="D5035" s="4">
        <v>38964</v>
      </c>
      <c r="E5035" s="6">
        <v>68.62</v>
      </c>
      <c r="G5035" s="4"/>
      <c r="H5035" s="5"/>
    </row>
    <row r="5036" spans="4:8" x14ac:dyDescent="0.25">
      <c r="D5036" s="4">
        <v>38965</v>
      </c>
      <c r="E5036" s="6">
        <v>65.94</v>
      </c>
      <c r="G5036" s="4"/>
      <c r="H5036" s="5"/>
    </row>
    <row r="5037" spans="4:8" x14ac:dyDescent="0.25">
      <c r="D5037" s="4">
        <v>38966</v>
      </c>
      <c r="E5037" s="6">
        <v>65.41</v>
      </c>
      <c r="G5037" s="4"/>
      <c r="H5037" s="5"/>
    </row>
    <row r="5038" spans="4:8" x14ac:dyDescent="0.25">
      <c r="D5038" s="4">
        <v>38967</v>
      </c>
      <c r="E5038" s="6">
        <v>64.52</v>
      </c>
      <c r="G5038" s="4"/>
      <c r="H5038" s="5"/>
    </row>
    <row r="5039" spans="4:8" x14ac:dyDescent="0.25">
      <c r="D5039" s="4">
        <v>38968</v>
      </c>
      <c r="E5039" s="6">
        <v>64.3</v>
      </c>
      <c r="G5039" s="4"/>
      <c r="H5039" s="5"/>
    </row>
    <row r="5040" spans="4:8" x14ac:dyDescent="0.25">
      <c r="D5040" s="4">
        <v>38971</v>
      </c>
      <c r="E5040" s="6">
        <v>62.41</v>
      </c>
      <c r="G5040" s="4"/>
      <c r="H5040" s="5"/>
    </row>
    <row r="5041" spans="4:8" x14ac:dyDescent="0.25">
      <c r="D5041" s="4">
        <v>38972</v>
      </c>
      <c r="E5041" s="6">
        <v>62.23</v>
      </c>
      <c r="G5041" s="4"/>
      <c r="H5041" s="5"/>
    </row>
    <row r="5042" spans="4:8" x14ac:dyDescent="0.25">
      <c r="D5042" s="4">
        <v>38973</v>
      </c>
      <c r="E5042" s="6">
        <v>61.28</v>
      </c>
      <c r="G5042" s="4"/>
      <c r="H5042" s="5"/>
    </row>
    <row r="5043" spans="4:8" x14ac:dyDescent="0.25">
      <c r="D5043" s="4">
        <v>38974</v>
      </c>
      <c r="E5043" s="6">
        <v>60.75</v>
      </c>
      <c r="G5043" s="4"/>
      <c r="H5043" s="5"/>
    </row>
    <row r="5044" spans="4:8" x14ac:dyDescent="0.25">
      <c r="D5044" s="4">
        <v>38975</v>
      </c>
      <c r="E5044" s="6">
        <v>60.23</v>
      </c>
      <c r="G5044" s="4"/>
      <c r="H5044" s="5"/>
    </row>
    <row r="5045" spans="4:8" x14ac:dyDescent="0.25">
      <c r="D5045" s="4">
        <v>38978</v>
      </c>
      <c r="E5045" s="6">
        <v>61.47</v>
      </c>
      <c r="G5045" s="4"/>
      <c r="H5045" s="5"/>
    </row>
    <row r="5046" spans="4:8" x14ac:dyDescent="0.25">
      <c r="D5046" s="4">
        <v>38979</v>
      </c>
      <c r="E5046" s="6">
        <v>62.52</v>
      </c>
      <c r="G5046" s="4"/>
      <c r="H5046" s="5"/>
    </row>
    <row r="5047" spans="4:8" x14ac:dyDescent="0.25">
      <c r="D5047" s="4">
        <v>38980</v>
      </c>
      <c r="E5047" s="6">
        <v>59.09</v>
      </c>
      <c r="G5047" s="4"/>
      <c r="H5047" s="5"/>
    </row>
    <row r="5048" spans="4:8" x14ac:dyDescent="0.25">
      <c r="D5048" s="4">
        <v>38981</v>
      </c>
      <c r="E5048" s="6">
        <v>59.27</v>
      </c>
      <c r="G5048" s="4"/>
      <c r="H5048" s="5"/>
    </row>
    <row r="5049" spans="4:8" x14ac:dyDescent="0.25">
      <c r="D5049" s="4">
        <v>38982</v>
      </c>
      <c r="E5049" s="6">
        <v>58.81</v>
      </c>
      <c r="G5049" s="4"/>
      <c r="H5049" s="5"/>
    </row>
    <row r="5050" spans="4:8" x14ac:dyDescent="0.25">
      <c r="D5050" s="4">
        <v>38985</v>
      </c>
      <c r="E5050" s="6">
        <v>57.89</v>
      </c>
      <c r="G5050" s="4"/>
      <c r="H5050" s="5"/>
    </row>
    <row r="5051" spans="4:8" x14ac:dyDescent="0.25">
      <c r="D5051" s="4">
        <v>38986</v>
      </c>
      <c r="E5051" s="6">
        <v>58.53</v>
      </c>
      <c r="G5051" s="4"/>
      <c r="H5051" s="5"/>
    </row>
    <row r="5052" spans="4:8" x14ac:dyDescent="0.25">
      <c r="D5052" s="4">
        <v>38987</v>
      </c>
      <c r="E5052" s="6">
        <v>57.6</v>
      </c>
      <c r="G5052" s="4"/>
      <c r="H5052" s="5"/>
    </row>
    <row r="5053" spans="4:8" x14ac:dyDescent="0.25">
      <c r="D5053" s="4">
        <v>38988</v>
      </c>
      <c r="E5053" s="6">
        <v>60.68</v>
      </c>
      <c r="G5053" s="4"/>
      <c r="H5053" s="5"/>
    </row>
    <row r="5054" spans="4:8" x14ac:dyDescent="0.25">
      <c r="D5054" s="4">
        <v>38989</v>
      </c>
      <c r="E5054" s="6">
        <v>59.09</v>
      </c>
      <c r="G5054" s="4"/>
      <c r="H5054" s="5"/>
    </row>
    <row r="5055" spans="4:8" x14ac:dyDescent="0.25">
      <c r="D5055" s="4">
        <v>38992</v>
      </c>
      <c r="E5055" s="6">
        <v>58.8</v>
      </c>
      <c r="G5055" s="4"/>
      <c r="H5055" s="5"/>
    </row>
    <row r="5056" spans="4:8" x14ac:dyDescent="0.25">
      <c r="D5056" s="4">
        <v>38993</v>
      </c>
      <c r="E5056" s="6">
        <v>56.28</v>
      </c>
      <c r="G5056" s="4"/>
      <c r="H5056" s="5"/>
    </row>
    <row r="5057" spans="4:8" x14ac:dyDescent="0.25">
      <c r="D5057" s="4">
        <v>38994</v>
      </c>
      <c r="E5057" s="6">
        <v>55.82</v>
      </c>
      <c r="G5057" s="4"/>
      <c r="H5057" s="5"/>
    </row>
    <row r="5058" spans="4:8" x14ac:dyDescent="0.25">
      <c r="D5058" s="4">
        <v>38995</v>
      </c>
      <c r="E5058" s="6">
        <v>57.93</v>
      </c>
      <c r="G5058" s="4"/>
      <c r="H5058" s="5"/>
    </row>
    <row r="5059" spans="4:8" x14ac:dyDescent="0.25">
      <c r="D5059" s="4">
        <v>38996</v>
      </c>
      <c r="E5059" s="6">
        <v>56.9</v>
      </c>
      <c r="G5059" s="4"/>
      <c r="H5059" s="5"/>
    </row>
    <row r="5060" spans="4:8" x14ac:dyDescent="0.25">
      <c r="D5060" s="4">
        <v>38999</v>
      </c>
      <c r="E5060" s="6">
        <v>59.25</v>
      </c>
      <c r="G5060" s="4"/>
      <c r="H5060" s="5"/>
    </row>
    <row r="5061" spans="4:8" x14ac:dyDescent="0.25">
      <c r="D5061" s="4">
        <v>39000</v>
      </c>
      <c r="E5061" s="6">
        <v>57.8</v>
      </c>
      <c r="G5061" s="4"/>
      <c r="H5061" s="5"/>
    </row>
    <row r="5062" spans="4:8" x14ac:dyDescent="0.25">
      <c r="D5062" s="4">
        <v>39001</v>
      </c>
      <c r="E5062" s="6">
        <v>57.75</v>
      </c>
      <c r="G5062" s="4"/>
      <c r="H5062" s="5"/>
    </row>
    <row r="5063" spans="4:8" x14ac:dyDescent="0.25">
      <c r="D5063" s="4">
        <v>39002</v>
      </c>
      <c r="E5063" s="6">
        <v>57.87</v>
      </c>
      <c r="G5063" s="4"/>
      <c r="H5063" s="5"/>
    </row>
    <row r="5064" spans="4:8" x14ac:dyDescent="0.25">
      <c r="D5064" s="4">
        <v>39003</v>
      </c>
      <c r="E5064" s="6">
        <v>58.97</v>
      </c>
      <c r="G5064" s="4"/>
      <c r="H5064" s="5"/>
    </row>
    <row r="5065" spans="4:8" x14ac:dyDescent="0.25">
      <c r="D5065" s="4">
        <v>39006</v>
      </c>
      <c r="E5065" s="6">
        <v>58.22</v>
      </c>
      <c r="G5065" s="4"/>
      <c r="H5065" s="5"/>
    </row>
    <row r="5066" spans="4:8" x14ac:dyDescent="0.25">
      <c r="D5066" s="4">
        <v>39007</v>
      </c>
      <c r="E5066" s="6">
        <v>60.13</v>
      </c>
      <c r="G5066" s="4"/>
      <c r="H5066" s="5"/>
    </row>
    <row r="5067" spans="4:8" x14ac:dyDescent="0.25">
      <c r="D5067" s="4">
        <v>39008</v>
      </c>
      <c r="E5067" s="6">
        <v>58.51</v>
      </c>
      <c r="G5067" s="4"/>
      <c r="H5067" s="5"/>
    </row>
    <row r="5068" spans="4:8" x14ac:dyDescent="0.25">
      <c r="D5068" s="4">
        <v>39009</v>
      </c>
      <c r="E5068" s="6">
        <v>57.74</v>
      </c>
      <c r="G5068" s="4"/>
      <c r="H5068" s="5"/>
    </row>
    <row r="5069" spans="4:8" x14ac:dyDescent="0.25">
      <c r="D5069" s="4">
        <v>39010</v>
      </c>
      <c r="E5069" s="6">
        <v>57.94</v>
      </c>
      <c r="G5069" s="4"/>
      <c r="H5069" s="5"/>
    </row>
    <row r="5070" spans="4:8" x14ac:dyDescent="0.25">
      <c r="D5070" s="4">
        <v>39013</v>
      </c>
      <c r="E5070" s="6">
        <v>56.56</v>
      </c>
      <c r="G5070" s="4"/>
      <c r="H5070" s="5"/>
    </row>
    <row r="5071" spans="4:8" x14ac:dyDescent="0.25">
      <c r="D5071" s="4">
        <v>39014</v>
      </c>
      <c r="E5071" s="6">
        <v>56.56</v>
      </c>
      <c r="G5071" s="4"/>
      <c r="H5071" s="5"/>
    </row>
    <row r="5072" spans="4:8" x14ac:dyDescent="0.25">
      <c r="D5072" s="4">
        <v>39015</v>
      </c>
      <c r="E5072" s="6">
        <v>58.79</v>
      </c>
      <c r="G5072" s="4"/>
      <c r="H5072" s="5"/>
    </row>
    <row r="5073" spans="4:8" x14ac:dyDescent="0.25">
      <c r="D5073" s="4">
        <v>39016</v>
      </c>
      <c r="E5073" s="6">
        <v>58.76</v>
      </c>
      <c r="G5073" s="4"/>
      <c r="H5073" s="5"/>
    </row>
    <row r="5074" spans="4:8" x14ac:dyDescent="0.25">
      <c r="D5074" s="4">
        <v>39017</v>
      </c>
      <c r="E5074" s="6">
        <v>57.99</v>
      </c>
      <c r="G5074" s="4"/>
      <c r="H5074" s="5"/>
    </row>
    <row r="5075" spans="4:8" x14ac:dyDescent="0.25">
      <c r="D5075" s="4">
        <v>39020</v>
      </c>
      <c r="E5075" s="6">
        <v>57.08</v>
      </c>
      <c r="G5075" s="4"/>
      <c r="H5075" s="5"/>
    </row>
    <row r="5076" spans="4:8" x14ac:dyDescent="0.25">
      <c r="D5076" s="4">
        <v>39021</v>
      </c>
      <c r="E5076" s="6">
        <v>56.13</v>
      </c>
      <c r="G5076" s="4"/>
      <c r="H5076" s="5"/>
    </row>
    <row r="5077" spans="4:8" x14ac:dyDescent="0.25">
      <c r="D5077" s="4">
        <v>39022</v>
      </c>
      <c r="E5077" s="6">
        <v>56.37</v>
      </c>
      <c r="G5077" s="4"/>
      <c r="H5077" s="5"/>
    </row>
    <row r="5078" spans="4:8" x14ac:dyDescent="0.25">
      <c r="D5078" s="4">
        <v>39023</v>
      </c>
      <c r="E5078" s="6">
        <v>56.26</v>
      </c>
      <c r="G5078" s="4"/>
      <c r="H5078" s="5"/>
    </row>
    <row r="5079" spans="4:8" x14ac:dyDescent="0.25">
      <c r="D5079" s="4">
        <v>39024</v>
      </c>
      <c r="E5079" s="6">
        <v>56.55</v>
      </c>
      <c r="G5079" s="4"/>
      <c r="H5079" s="5"/>
    </row>
    <row r="5080" spans="4:8" x14ac:dyDescent="0.25">
      <c r="D5080" s="4">
        <v>39027</v>
      </c>
      <c r="E5080" s="6">
        <v>57.02</v>
      </c>
      <c r="G5080" s="4"/>
      <c r="H5080" s="5"/>
    </row>
    <row r="5081" spans="4:8" x14ac:dyDescent="0.25">
      <c r="D5081" s="4">
        <v>39028</v>
      </c>
      <c r="E5081" s="6">
        <v>56.99</v>
      </c>
      <c r="G5081" s="4"/>
      <c r="H5081" s="5"/>
    </row>
    <row r="5082" spans="4:8" x14ac:dyDescent="0.25">
      <c r="D5082" s="4">
        <v>39029</v>
      </c>
      <c r="E5082" s="6">
        <v>57.18</v>
      </c>
      <c r="G5082" s="4"/>
      <c r="H5082" s="5"/>
    </row>
    <row r="5083" spans="4:8" x14ac:dyDescent="0.25">
      <c r="D5083" s="4">
        <v>39030</v>
      </c>
      <c r="E5083" s="6">
        <v>59.72</v>
      </c>
      <c r="G5083" s="4"/>
      <c r="H5083" s="5"/>
    </row>
    <row r="5084" spans="4:8" x14ac:dyDescent="0.25">
      <c r="D5084" s="4">
        <v>39031</v>
      </c>
      <c r="E5084" s="6">
        <v>59.18</v>
      </c>
      <c r="G5084" s="4"/>
      <c r="H5084" s="5"/>
    </row>
    <row r="5085" spans="4:8" x14ac:dyDescent="0.25">
      <c r="D5085" s="4">
        <v>39034</v>
      </c>
      <c r="E5085" s="6">
        <v>56.88</v>
      </c>
      <c r="G5085" s="4"/>
      <c r="H5085" s="5"/>
    </row>
    <row r="5086" spans="4:8" x14ac:dyDescent="0.25">
      <c r="D5086" s="4">
        <v>39035</v>
      </c>
      <c r="E5086" s="6">
        <v>57.9</v>
      </c>
      <c r="G5086" s="4"/>
      <c r="H5086" s="5"/>
    </row>
    <row r="5087" spans="4:8" x14ac:dyDescent="0.25">
      <c r="D5087" s="4">
        <v>39036</v>
      </c>
      <c r="E5087" s="6">
        <v>57.97</v>
      </c>
      <c r="G5087" s="4"/>
      <c r="H5087" s="5"/>
    </row>
    <row r="5088" spans="4:8" x14ac:dyDescent="0.25">
      <c r="D5088" s="4">
        <v>39037</v>
      </c>
      <c r="E5088" s="6">
        <v>59.5</v>
      </c>
      <c r="G5088" s="4"/>
      <c r="H5088" s="5"/>
    </row>
    <row r="5089" spans="4:8" x14ac:dyDescent="0.25">
      <c r="D5089" s="4">
        <v>39038</v>
      </c>
      <c r="E5089" s="6">
        <v>57.01</v>
      </c>
      <c r="G5089" s="4"/>
      <c r="H5089" s="5"/>
    </row>
    <row r="5090" spans="4:8" x14ac:dyDescent="0.25">
      <c r="D5090" s="4">
        <v>39041</v>
      </c>
      <c r="E5090" s="6">
        <v>57.38</v>
      </c>
      <c r="G5090" s="4"/>
      <c r="H5090" s="5"/>
    </row>
    <row r="5091" spans="4:8" x14ac:dyDescent="0.25">
      <c r="D5091" s="4">
        <v>39042</v>
      </c>
      <c r="E5091" s="6">
        <v>59.53</v>
      </c>
      <c r="G5091" s="4"/>
      <c r="H5091" s="5"/>
    </row>
    <row r="5092" spans="4:8" x14ac:dyDescent="0.25">
      <c r="D5092" s="4">
        <v>39043</v>
      </c>
      <c r="E5092" s="6">
        <v>58.66</v>
      </c>
      <c r="G5092" s="4"/>
      <c r="H5092" s="5"/>
    </row>
    <row r="5093" spans="4:8" x14ac:dyDescent="0.25">
      <c r="D5093" s="4">
        <v>39044</v>
      </c>
      <c r="E5093" s="6">
        <v>59.7</v>
      </c>
      <c r="G5093" s="4"/>
      <c r="H5093" s="5"/>
    </row>
    <row r="5094" spans="4:8" x14ac:dyDescent="0.25">
      <c r="D5094" s="4">
        <v>39045</v>
      </c>
      <c r="E5094" s="6">
        <v>60.72</v>
      </c>
      <c r="G5094" s="4"/>
      <c r="H5094" s="5"/>
    </row>
    <row r="5095" spans="4:8" x14ac:dyDescent="0.25">
      <c r="D5095" s="4">
        <v>39048</v>
      </c>
      <c r="E5095" s="6">
        <v>60.52</v>
      </c>
      <c r="G5095" s="4"/>
      <c r="H5095" s="5"/>
    </row>
    <row r="5096" spans="4:8" x14ac:dyDescent="0.25">
      <c r="D5096" s="4">
        <v>39049</v>
      </c>
      <c r="E5096" s="6">
        <v>61.22</v>
      </c>
      <c r="G5096" s="4"/>
      <c r="H5096" s="5"/>
    </row>
    <row r="5097" spans="4:8" x14ac:dyDescent="0.25">
      <c r="D5097" s="4">
        <v>39050</v>
      </c>
      <c r="E5097" s="6">
        <v>62.13</v>
      </c>
      <c r="G5097" s="4"/>
      <c r="H5097" s="5"/>
    </row>
    <row r="5098" spans="4:8" x14ac:dyDescent="0.25">
      <c r="D5098" s="4">
        <v>39051</v>
      </c>
      <c r="E5098" s="6">
        <v>64.36</v>
      </c>
      <c r="G5098" s="4"/>
      <c r="H5098" s="5"/>
    </row>
    <row r="5099" spans="4:8" x14ac:dyDescent="0.25">
      <c r="D5099" s="4">
        <v>39052</v>
      </c>
      <c r="E5099" s="6">
        <v>64.739999999999995</v>
      </c>
      <c r="G5099" s="4"/>
      <c r="H5099" s="5"/>
    </row>
    <row r="5100" spans="4:8" x14ac:dyDescent="0.25">
      <c r="D5100" s="4">
        <v>39055</v>
      </c>
      <c r="E5100" s="6">
        <v>63.97</v>
      </c>
      <c r="G5100" s="4"/>
      <c r="H5100" s="5"/>
    </row>
    <row r="5101" spans="4:8" x14ac:dyDescent="0.25">
      <c r="D5101" s="4">
        <v>39056</v>
      </c>
      <c r="E5101" s="6">
        <v>63.65</v>
      </c>
      <c r="G5101" s="4"/>
      <c r="H5101" s="5"/>
    </row>
    <row r="5102" spans="4:8" x14ac:dyDescent="0.25">
      <c r="D5102" s="4">
        <v>39057</v>
      </c>
      <c r="E5102" s="6">
        <v>63.7</v>
      </c>
      <c r="G5102" s="4"/>
      <c r="H5102" s="5"/>
    </row>
    <row r="5103" spans="4:8" x14ac:dyDescent="0.25">
      <c r="D5103" s="4">
        <v>39058</v>
      </c>
      <c r="E5103" s="6">
        <v>63.17</v>
      </c>
      <c r="G5103" s="4"/>
      <c r="H5103" s="5"/>
    </row>
    <row r="5104" spans="4:8" x14ac:dyDescent="0.25">
      <c r="D5104" s="4">
        <v>39059</v>
      </c>
      <c r="E5104" s="6">
        <v>63.67</v>
      </c>
      <c r="G5104" s="4"/>
      <c r="H5104" s="5"/>
    </row>
    <row r="5105" spans="4:8" x14ac:dyDescent="0.25">
      <c r="D5105" s="4">
        <v>39062</v>
      </c>
      <c r="E5105" s="6">
        <v>62.59</v>
      </c>
      <c r="G5105" s="4"/>
      <c r="H5105" s="5"/>
    </row>
    <row r="5106" spans="4:8" x14ac:dyDescent="0.25">
      <c r="D5106" s="4">
        <v>39063</v>
      </c>
      <c r="E5106" s="6">
        <v>62.58</v>
      </c>
      <c r="G5106" s="4"/>
      <c r="H5106" s="5"/>
    </row>
    <row r="5107" spans="4:8" x14ac:dyDescent="0.25">
      <c r="D5107" s="4">
        <v>39064</v>
      </c>
      <c r="E5107" s="6">
        <v>61.89</v>
      </c>
      <c r="G5107" s="4"/>
      <c r="H5107" s="5"/>
    </row>
    <row r="5108" spans="4:8" x14ac:dyDescent="0.25">
      <c r="D5108" s="4">
        <v>39065</v>
      </c>
      <c r="E5108" s="6">
        <v>62.85</v>
      </c>
      <c r="G5108" s="4"/>
      <c r="H5108" s="5"/>
    </row>
    <row r="5109" spans="4:8" x14ac:dyDescent="0.25">
      <c r="D5109" s="4">
        <v>39066</v>
      </c>
      <c r="E5109" s="6">
        <v>62.91</v>
      </c>
      <c r="G5109" s="4"/>
      <c r="H5109" s="5"/>
    </row>
    <row r="5110" spans="4:8" x14ac:dyDescent="0.25">
      <c r="D5110" s="4">
        <v>39069</v>
      </c>
      <c r="E5110" s="6">
        <v>62.81</v>
      </c>
      <c r="G5110" s="4"/>
      <c r="H5110" s="5"/>
    </row>
    <row r="5111" spans="4:8" x14ac:dyDescent="0.25">
      <c r="D5111" s="4">
        <v>39070</v>
      </c>
      <c r="E5111" s="6">
        <v>62.19</v>
      </c>
      <c r="G5111" s="4"/>
      <c r="H5111" s="5"/>
    </row>
    <row r="5112" spans="4:8" x14ac:dyDescent="0.25">
      <c r="D5112" s="4">
        <v>39071</v>
      </c>
      <c r="E5112" s="6">
        <v>63.13</v>
      </c>
      <c r="G5112" s="4"/>
      <c r="H5112" s="5"/>
    </row>
    <row r="5113" spans="4:8" x14ac:dyDescent="0.25">
      <c r="D5113" s="4">
        <v>39072</v>
      </c>
      <c r="E5113" s="6">
        <v>62.13</v>
      </c>
      <c r="G5113" s="4"/>
      <c r="H5113" s="5"/>
    </row>
    <row r="5114" spans="4:8" x14ac:dyDescent="0.25">
      <c r="D5114" s="4">
        <v>39073</v>
      </c>
      <c r="E5114" s="6">
        <v>61.92</v>
      </c>
      <c r="G5114" s="4"/>
      <c r="H5114" s="5"/>
    </row>
    <row r="5115" spans="4:8" x14ac:dyDescent="0.25">
      <c r="D5115" s="4">
        <v>39076</v>
      </c>
      <c r="E5115" s="5"/>
      <c r="G5115" s="4"/>
      <c r="H5115" s="5"/>
    </row>
    <row r="5116" spans="4:8" x14ac:dyDescent="0.25">
      <c r="D5116" s="4">
        <v>39077</v>
      </c>
      <c r="E5116" s="5"/>
      <c r="G5116" s="4"/>
      <c r="H5116" s="5"/>
    </row>
    <row r="5117" spans="4:8" x14ac:dyDescent="0.25">
      <c r="D5117" s="4">
        <v>39078</v>
      </c>
      <c r="E5117" s="6">
        <v>60.7</v>
      </c>
      <c r="G5117" s="4"/>
      <c r="H5117" s="5"/>
    </row>
    <row r="5118" spans="4:8" x14ac:dyDescent="0.25">
      <c r="D5118" s="4">
        <v>39079</v>
      </c>
      <c r="E5118" s="6">
        <v>59.41</v>
      </c>
      <c r="G5118" s="4"/>
      <c r="H5118" s="5"/>
    </row>
    <row r="5119" spans="4:8" x14ac:dyDescent="0.25">
      <c r="D5119" s="4">
        <v>39080</v>
      </c>
      <c r="E5119" s="6">
        <v>58.96</v>
      </c>
      <c r="G5119" s="4"/>
      <c r="H5119" s="5"/>
    </row>
    <row r="5120" spans="4:8" x14ac:dyDescent="0.25">
      <c r="D5120" s="4">
        <v>39083</v>
      </c>
      <c r="E5120" s="5"/>
      <c r="G5120" s="4"/>
      <c r="H5120" s="5"/>
    </row>
    <row r="5121" spans="4:8" x14ac:dyDescent="0.25">
      <c r="D5121" s="4">
        <v>39084</v>
      </c>
      <c r="E5121" s="6">
        <v>58.49</v>
      </c>
      <c r="G5121" s="4"/>
      <c r="H5121" s="5"/>
    </row>
    <row r="5122" spans="4:8" x14ac:dyDescent="0.25">
      <c r="D5122" s="4">
        <v>39085</v>
      </c>
      <c r="E5122" s="6">
        <v>56.63</v>
      </c>
      <c r="G5122" s="4"/>
      <c r="H5122" s="5"/>
    </row>
    <row r="5123" spans="4:8" x14ac:dyDescent="0.25">
      <c r="D5123" s="4">
        <v>39086</v>
      </c>
      <c r="E5123" s="6">
        <v>54.58</v>
      </c>
      <c r="G5123" s="4"/>
      <c r="H5123" s="5"/>
    </row>
    <row r="5124" spans="4:8" x14ac:dyDescent="0.25">
      <c r="D5124" s="4">
        <v>39087</v>
      </c>
      <c r="E5124" s="6">
        <v>52.82</v>
      </c>
      <c r="G5124" s="4"/>
      <c r="H5124" s="5"/>
    </row>
    <row r="5125" spans="4:8" x14ac:dyDescent="0.25">
      <c r="D5125" s="4">
        <v>39090</v>
      </c>
      <c r="E5125" s="6">
        <v>52.82</v>
      </c>
      <c r="G5125" s="4"/>
      <c r="H5125" s="5"/>
    </row>
    <row r="5126" spans="4:8" x14ac:dyDescent="0.25">
      <c r="D5126" s="4">
        <v>39091</v>
      </c>
      <c r="E5126" s="6">
        <v>52.38</v>
      </c>
      <c r="G5126" s="4"/>
      <c r="H5126" s="5"/>
    </row>
    <row r="5127" spans="4:8" x14ac:dyDescent="0.25">
      <c r="D5127" s="4">
        <v>39092</v>
      </c>
      <c r="E5127" s="6">
        <v>52.11</v>
      </c>
      <c r="G5127" s="4"/>
      <c r="H5127" s="5"/>
    </row>
    <row r="5128" spans="4:8" x14ac:dyDescent="0.25">
      <c r="D5128" s="4">
        <v>39093</v>
      </c>
      <c r="E5128" s="6">
        <v>51.68</v>
      </c>
      <c r="G5128" s="4"/>
      <c r="H5128" s="5"/>
    </row>
    <row r="5129" spans="4:8" x14ac:dyDescent="0.25">
      <c r="D5129" s="4">
        <v>39094</v>
      </c>
      <c r="E5129" s="6">
        <v>49.95</v>
      </c>
      <c r="G5129" s="4"/>
      <c r="H5129" s="5"/>
    </row>
    <row r="5130" spans="4:8" x14ac:dyDescent="0.25">
      <c r="D5130" s="4">
        <v>39097</v>
      </c>
      <c r="E5130" s="5"/>
      <c r="G5130" s="4"/>
      <c r="H5130" s="5"/>
    </row>
    <row r="5131" spans="4:8" x14ac:dyDescent="0.25">
      <c r="D5131" s="4">
        <v>39098</v>
      </c>
      <c r="E5131" s="6">
        <v>51.28</v>
      </c>
      <c r="G5131" s="4"/>
      <c r="H5131" s="5"/>
    </row>
    <row r="5132" spans="4:8" x14ac:dyDescent="0.25">
      <c r="D5132" s="4">
        <v>39099</v>
      </c>
      <c r="E5132" s="6">
        <v>51.19</v>
      </c>
      <c r="G5132" s="4"/>
      <c r="H5132" s="5"/>
    </row>
    <row r="5133" spans="4:8" x14ac:dyDescent="0.25">
      <c r="D5133" s="4">
        <v>39100</v>
      </c>
      <c r="E5133" s="6">
        <v>50.83</v>
      </c>
      <c r="G5133" s="4"/>
      <c r="H5133" s="5"/>
    </row>
    <row r="5134" spans="4:8" x14ac:dyDescent="0.25">
      <c r="D5134" s="4">
        <v>39101</v>
      </c>
      <c r="E5134" s="6">
        <v>52.29</v>
      </c>
      <c r="G5134" s="4"/>
      <c r="H5134" s="5"/>
    </row>
    <row r="5135" spans="4:8" x14ac:dyDescent="0.25">
      <c r="D5135" s="4">
        <v>39104</v>
      </c>
      <c r="E5135" s="6">
        <v>54.34</v>
      </c>
      <c r="G5135" s="4"/>
      <c r="H5135" s="5"/>
    </row>
    <row r="5136" spans="4:8" x14ac:dyDescent="0.25">
      <c r="D5136" s="4">
        <v>39105</v>
      </c>
      <c r="E5136" s="6">
        <v>53.93</v>
      </c>
      <c r="G5136" s="4"/>
      <c r="H5136" s="5"/>
    </row>
    <row r="5137" spans="4:8" x14ac:dyDescent="0.25">
      <c r="D5137" s="4">
        <v>39106</v>
      </c>
      <c r="E5137" s="6">
        <v>55.11</v>
      </c>
      <c r="G5137" s="4"/>
      <c r="H5137" s="5"/>
    </row>
    <row r="5138" spans="4:8" x14ac:dyDescent="0.25">
      <c r="D5138" s="4">
        <v>39107</v>
      </c>
      <c r="E5138" s="6">
        <v>55.67</v>
      </c>
      <c r="G5138" s="4"/>
      <c r="H5138" s="5"/>
    </row>
    <row r="5139" spans="4:8" x14ac:dyDescent="0.25">
      <c r="D5139" s="4">
        <v>39108</v>
      </c>
      <c r="E5139" s="6">
        <v>55.29</v>
      </c>
      <c r="G5139" s="4"/>
      <c r="H5139" s="5"/>
    </row>
    <row r="5140" spans="4:8" x14ac:dyDescent="0.25">
      <c r="D5140" s="4">
        <v>39111</v>
      </c>
      <c r="E5140" s="6">
        <v>54.71</v>
      </c>
      <c r="G5140" s="4"/>
      <c r="H5140" s="5"/>
    </row>
    <row r="5141" spans="4:8" x14ac:dyDescent="0.25">
      <c r="D5141" s="4">
        <v>39112</v>
      </c>
      <c r="E5141" s="6">
        <v>54.69</v>
      </c>
      <c r="G5141" s="4"/>
      <c r="H5141" s="5"/>
    </row>
    <row r="5142" spans="4:8" x14ac:dyDescent="0.25">
      <c r="D5142" s="4">
        <v>39113</v>
      </c>
      <c r="E5142" s="6">
        <v>56.52</v>
      </c>
      <c r="G5142" s="4"/>
      <c r="H5142" s="5"/>
    </row>
    <row r="5143" spans="4:8" x14ac:dyDescent="0.25">
      <c r="D5143" s="4">
        <v>39114</v>
      </c>
      <c r="E5143" s="6">
        <v>56.74</v>
      </c>
      <c r="G5143" s="4"/>
      <c r="H5143" s="5"/>
    </row>
    <row r="5144" spans="4:8" x14ac:dyDescent="0.25">
      <c r="D5144" s="4">
        <v>39115</v>
      </c>
      <c r="E5144" s="6">
        <v>56.93</v>
      </c>
      <c r="G5144" s="4"/>
      <c r="H5144" s="5"/>
    </row>
    <row r="5145" spans="4:8" x14ac:dyDescent="0.25">
      <c r="D5145" s="4">
        <v>39118</v>
      </c>
      <c r="E5145" s="6">
        <v>58.67</v>
      </c>
      <c r="G5145" s="4"/>
      <c r="H5145" s="5"/>
    </row>
    <row r="5146" spans="4:8" x14ac:dyDescent="0.25">
      <c r="D5146" s="4">
        <v>39119</v>
      </c>
      <c r="E5146" s="6">
        <v>58.04</v>
      </c>
      <c r="G5146" s="4"/>
      <c r="H5146" s="5"/>
    </row>
    <row r="5147" spans="4:8" x14ac:dyDescent="0.25">
      <c r="D5147" s="4">
        <v>39120</v>
      </c>
      <c r="E5147" s="6">
        <v>58.35</v>
      </c>
      <c r="G5147" s="4"/>
      <c r="H5147" s="5"/>
    </row>
    <row r="5148" spans="4:8" x14ac:dyDescent="0.25">
      <c r="D5148" s="4">
        <v>39121</v>
      </c>
      <c r="E5148" s="6">
        <v>57.24</v>
      </c>
      <c r="G5148" s="4"/>
      <c r="H5148" s="5"/>
    </row>
    <row r="5149" spans="4:8" x14ac:dyDescent="0.25">
      <c r="D5149" s="4">
        <v>39122</v>
      </c>
      <c r="E5149" s="6">
        <v>57.21</v>
      </c>
      <c r="G5149" s="4"/>
      <c r="H5149" s="5"/>
    </row>
    <row r="5150" spans="4:8" x14ac:dyDescent="0.25">
      <c r="D5150" s="4">
        <v>39125</v>
      </c>
      <c r="E5150" s="6">
        <v>55.52</v>
      </c>
      <c r="G5150" s="4"/>
      <c r="H5150" s="5"/>
    </row>
    <row r="5151" spans="4:8" x14ac:dyDescent="0.25">
      <c r="D5151" s="4">
        <v>39126</v>
      </c>
      <c r="E5151" s="6">
        <v>56.12</v>
      </c>
      <c r="G5151" s="4"/>
      <c r="H5151" s="5"/>
    </row>
    <row r="5152" spans="4:8" x14ac:dyDescent="0.25">
      <c r="D5152" s="4">
        <v>39127</v>
      </c>
      <c r="E5152" s="6">
        <v>55.05</v>
      </c>
      <c r="G5152" s="4"/>
      <c r="H5152" s="5"/>
    </row>
    <row r="5153" spans="4:8" x14ac:dyDescent="0.25">
      <c r="D5153" s="4">
        <v>39128</v>
      </c>
      <c r="E5153" s="6">
        <v>54.25</v>
      </c>
      <c r="G5153" s="4"/>
      <c r="H5153" s="5"/>
    </row>
    <row r="5154" spans="4:8" x14ac:dyDescent="0.25">
      <c r="D5154" s="4">
        <v>39129</v>
      </c>
      <c r="E5154" s="6">
        <v>56.78</v>
      </c>
      <c r="G5154" s="4"/>
      <c r="H5154" s="5"/>
    </row>
    <row r="5155" spans="4:8" x14ac:dyDescent="0.25">
      <c r="D5155" s="4">
        <v>39132</v>
      </c>
      <c r="E5155" s="5"/>
      <c r="G5155" s="4"/>
      <c r="H5155" s="5"/>
    </row>
    <row r="5156" spans="4:8" x14ac:dyDescent="0.25">
      <c r="D5156" s="4">
        <v>39133</v>
      </c>
      <c r="E5156" s="6">
        <v>55.91</v>
      </c>
      <c r="G5156" s="4"/>
      <c r="H5156" s="5"/>
    </row>
    <row r="5157" spans="4:8" x14ac:dyDescent="0.25">
      <c r="D5157" s="4">
        <v>39134</v>
      </c>
      <c r="E5157" s="6">
        <v>57.74</v>
      </c>
      <c r="G5157" s="4"/>
      <c r="H5157" s="5"/>
    </row>
    <row r="5158" spans="4:8" x14ac:dyDescent="0.25">
      <c r="D5158" s="4">
        <v>39135</v>
      </c>
      <c r="E5158" s="6">
        <v>58.62</v>
      </c>
      <c r="G5158" s="4"/>
      <c r="H5158" s="5"/>
    </row>
    <row r="5159" spans="4:8" x14ac:dyDescent="0.25">
      <c r="D5159" s="4">
        <v>39136</v>
      </c>
      <c r="E5159" s="6">
        <v>60.38</v>
      </c>
      <c r="G5159" s="4"/>
      <c r="H5159" s="5"/>
    </row>
    <row r="5160" spans="4:8" x14ac:dyDescent="0.25">
      <c r="D5160" s="4">
        <v>39139</v>
      </c>
      <c r="E5160" s="6">
        <v>60.34</v>
      </c>
      <c r="G5160" s="4"/>
      <c r="H5160" s="5"/>
    </row>
    <row r="5161" spans="4:8" x14ac:dyDescent="0.25">
      <c r="D5161" s="4">
        <v>39140</v>
      </c>
      <c r="E5161" s="6">
        <v>60.28</v>
      </c>
      <c r="G5161" s="4"/>
      <c r="H5161" s="5"/>
    </row>
    <row r="5162" spans="4:8" x14ac:dyDescent="0.25">
      <c r="D5162" s="4">
        <v>39141</v>
      </c>
      <c r="E5162" s="6">
        <v>59.39</v>
      </c>
      <c r="G5162" s="4"/>
      <c r="H5162" s="5"/>
    </row>
    <row r="5163" spans="4:8" x14ac:dyDescent="0.25">
      <c r="D5163" s="4">
        <v>39142</v>
      </c>
      <c r="E5163" s="6">
        <v>61.18</v>
      </c>
      <c r="G5163" s="4"/>
      <c r="H5163" s="5"/>
    </row>
    <row r="5164" spans="4:8" x14ac:dyDescent="0.25">
      <c r="D5164" s="4">
        <v>39143</v>
      </c>
      <c r="E5164" s="6">
        <v>61.92</v>
      </c>
      <c r="G5164" s="4"/>
      <c r="H5164" s="5"/>
    </row>
    <row r="5165" spans="4:8" x14ac:dyDescent="0.25">
      <c r="D5165" s="4">
        <v>39146</v>
      </c>
      <c r="E5165" s="6">
        <v>59.78</v>
      </c>
      <c r="G5165" s="4"/>
      <c r="H5165" s="5"/>
    </row>
    <row r="5166" spans="4:8" x14ac:dyDescent="0.25">
      <c r="D5166" s="4">
        <v>39147</v>
      </c>
      <c r="E5166" s="6">
        <v>59.68</v>
      </c>
      <c r="G5166" s="4"/>
      <c r="H5166" s="5"/>
    </row>
    <row r="5167" spans="4:8" x14ac:dyDescent="0.25">
      <c r="D5167" s="4">
        <v>39148</v>
      </c>
      <c r="E5167" s="6">
        <v>61.13</v>
      </c>
      <c r="G5167" s="4"/>
      <c r="H5167" s="5"/>
    </row>
    <row r="5168" spans="4:8" x14ac:dyDescent="0.25">
      <c r="D5168" s="4">
        <v>39149</v>
      </c>
      <c r="E5168" s="6">
        <v>60.9</v>
      </c>
      <c r="G5168" s="4"/>
      <c r="H5168" s="5"/>
    </row>
    <row r="5169" spans="4:8" x14ac:dyDescent="0.25">
      <c r="D5169" s="4">
        <v>39150</v>
      </c>
      <c r="E5169" s="6">
        <v>60.25</v>
      </c>
      <c r="G5169" s="4"/>
      <c r="H5169" s="5"/>
    </row>
    <row r="5170" spans="4:8" x14ac:dyDescent="0.25">
      <c r="D5170" s="4">
        <v>39153</v>
      </c>
      <c r="E5170" s="6">
        <v>60.59</v>
      </c>
      <c r="G5170" s="4"/>
      <c r="H5170" s="5"/>
    </row>
    <row r="5171" spans="4:8" x14ac:dyDescent="0.25">
      <c r="D5171" s="4">
        <v>39154</v>
      </c>
      <c r="E5171" s="6">
        <v>61.52</v>
      </c>
      <c r="G5171" s="4"/>
      <c r="H5171" s="5"/>
    </row>
    <row r="5172" spans="4:8" x14ac:dyDescent="0.25">
      <c r="D5172" s="4">
        <v>39155</v>
      </c>
      <c r="E5172" s="6">
        <v>60.89</v>
      </c>
      <c r="G5172" s="4"/>
      <c r="H5172" s="5"/>
    </row>
    <row r="5173" spans="4:8" x14ac:dyDescent="0.25">
      <c r="D5173" s="4">
        <v>39156</v>
      </c>
      <c r="E5173" s="6">
        <v>60.4</v>
      </c>
      <c r="G5173" s="4"/>
      <c r="H5173" s="5"/>
    </row>
    <row r="5174" spans="4:8" x14ac:dyDescent="0.25">
      <c r="D5174" s="4">
        <v>39157</v>
      </c>
      <c r="E5174" s="6">
        <v>60.93</v>
      </c>
      <c r="G5174" s="4"/>
      <c r="H5174" s="5"/>
    </row>
    <row r="5175" spans="4:8" x14ac:dyDescent="0.25">
      <c r="D5175" s="4">
        <v>39160</v>
      </c>
      <c r="E5175" s="6">
        <v>60.49</v>
      </c>
      <c r="G5175" s="4"/>
      <c r="H5175" s="5"/>
    </row>
    <row r="5176" spans="4:8" x14ac:dyDescent="0.25">
      <c r="D5176" s="4">
        <v>39161</v>
      </c>
      <c r="E5176" s="6">
        <v>60.11</v>
      </c>
      <c r="G5176" s="4"/>
      <c r="H5176" s="5"/>
    </row>
    <row r="5177" spans="4:8" x14ac:dyDescent="0.25">
      <c r="D5177" s="4">
        <v>39162</v>
      </c>
      <c r="E5177" s="6">
        <v>60.18</v>
      </c>
      <c r="G5177" s="4"/>
      <c r="H5177" s="5"/>
    </row>
    <row r="5178" spans="4:8" x14ac:dyDescent="0.25">
      <c r="D5178" s="4">
        <v>39163</v>
      </c>
      <c r="E5178" s="6">
        <v>61.57</v>
      </c>
      <c r="G5178" s="4"/>
      <c r="H5178" s="5"/>
    </row>
    <row r="5179" spans="4:8" x14ac:dyDescent="0.25">
      <c r="D5179" s="4">
        <v>39164</v>
      </c>
      <c r="E5179" s="6">
        <v>63.1</v>
      </c>
      <c r="G5179" s="4"/>
      <c r="H5179" s="5"/>
    </row>
    <row r="5180" spans="4:8" x14ac:dyDescent="0.25">
      <c r="D5180" s="4">
        <v>39167</v>
      </c>
      <c r="E5180" s="6">
        <v>64.430000000000007</v>
      </c>
      <c r="G5180" s="4"/>
      <c r="H5180" s="5"/>
    </row>
    <row r="5181" spans="4:8" x14ac:dyDescent="0.25">
      <c r="D5181" s="4">
        <v>39168</v>
      </c>
      <c r="E5181" s="6">
        <v>64.25</v>
      </c>
      <c r="G5181" s="4"/>
      <c r="H5181" s="5"/>
    </row>
    <row r="5182" spans="4:8" x14ac:dyDescent="0.25">
      <c r="D5182" s="4">
        <v>39169</v>
      </c>
      <c r="E5182" s="6">
        <v>66.150000000000006</v>
      </c>
      <c r="G5182" s="4"/>
      <c r="H5182" s="5"/>
    </row>
    <row r="5183" spans="4:8" x14ac:dyDescent="0.25">
      <c r="D5183" s="4">
        <v>39170</v>
      </c>
      <c r="E5183" s="6">
        <v>67.19</v>
      </c>
      <c r="G5183" s="4"/>
      <c r="H5183" s="5"/>
    </row>
    <row r="5184" spans="4:8" x14ac:dyDescent="0.25">
      <c r="D5184" s="4">
        <v>39171</v>
      </c>
      <c r="E5184" s="6">
        <v>68.47</v>
      </c>
      <c r="G5184" s="4"/>
      <c r="H5184" s="5"/>
    </row>
    <row r="5185" spans="4:8" x14ac:dyDescent="0.25">
      <c r="D5185" s="4">
        <v>39174</v>
      </c>
      <c r="E5185" s="6">
        <v>68.94</v>
      </c>
      <c r="G5185" s="4"/>
      <c r="H5185" s="5"/>
    </row>
    <row r="5186" spans="4:8" x14ac:dyDescent="0.25">
      <c r="D5186" s="4">
        <v>39175</v>
      </c>
      <c r="E5186" s="6">
        <v>68</v>
      </c>
      <c r="G5186" s="4"/>
      <c r="H5186" s="5"/>
    </row>
    <row r="5187" spans="4:8" x14ac:dyDescent="0.25">
      <c r="D5187" s="4">
        <v>39176</v>
      </c>
      <c r="E5187" s="6">
        <v>68.09</v>
      </c>
      <c r="G5187" s="4"/>
      <c r="H5187" s="5"/>
    </row>
    <row r="5188" spans="4:8" x14ac:dyDescent="0.25">
      <c r="D5188" s="4">
        <v>39177</v>
      </c>
      <c r="E5188" s="6">
        <v>69.150000000000006</v>
      </c>
      <c r="G5188" s="4"/>
      <c r="H5188" s="5"/>
    </row>
    <row r="5189" spans="4:8" x14ac:dyDescent="0.25">
      <c r="D5189" s="4">
        <v>39178</v>
      </c>
      <c r="E5189" s="5"/>
      <c r="G5189" s="4"/>
      <c r="H5189" s="5"/>
    </row>
    <row r="5190" spans="4:8" x14ac:dyDescent="0.25">
      <c r="D5190" s="4">
        <v>39181</v>
      </c>
      <c r="E5190" s="5"/>
      <c r="G5190" s="4"/>
      <c r="H5190" s="5"/>
    </row>
    <row r="5191" spans="4:8" x14ac:dyDescent="0.25">
      <c r="D5191" s="4">
        <v>39182</v>
      </c>
      <c r="E5191" s="6">
        <v>67.64</v>
      </c>
      <c r="G5191" s="4"/>
      <c r="H5191" s="5"/>
    </row>
    <row r="5192" spans="4:8" x14ac:dyDescent="0.25">
      <c r="D5192" s="4">
        <v>39183</v>
      </c>
      <c r="E5192" s="6">
        <v>68.599999999999994</v>
      </c>
      <c r="G5192" s="4"/>
      <c r="H5192" s="5"/>
    </row>
    <row r="5193" spans="4:8" x14ac:dyDescent="0.25">
      <c r="D5193" s="4">
        <v>39184</v>
      </c>
      <c r="E5193" s="6">
        <v>67.790000000000006</v>
      </c>
      <c r="G5193" s="4"/>
      <c r="H5193" s="5"/>
    </row>
    <row r="5194" spans="4:8" x14ac:dyDescent="0.25">
      <c r="D5194" s="4">
        <v>39185</v>
      </c>
      <c r="E5194" s="6">
        <v>68.78</v>
      </c>
      <c r="G5194" s="4"/>
      <c r="H5194" s="5"/>
    </row>
    <row r="5195" spans="4:8" x14ac:dyDescent="0.25">
      <c r="D5195" s="4">
        <v>39188</v>
      </c>
      <c r="E5195" s="6">
        <v>67.099999999999994</v>
      </c>
      <c r="G5195" s="4"/>
      <c r="H5195" s="5"/>
    </row>
    <row r="5196" spans="4:8" x14ac:dyDescent="0.25">
      <c r="D5196" s="4">
        <v>39189</v>
      </c>
      <c r="E5196" s="6">
        <v>66.34</v>
      </c>
      <c r="G5196" s="4"/>
      <c r="H5196" s="5"/>
    </row>
    <row r="5197" spans="4:8" x14ac:dyDescent="0.25">
      <c r="D5197" s="4">
        <v>39190</v>
      </c>
      <c r="E5197" s="6">
        <v>65.09</v>
      </c>
      <c r="G5197" s="4"/>
      <c r="H5197" s="5"/>
    </row>
    <row r="5198" spans="4:8" x14ac:dyDescent="0.25">
      <c r="D5198" s="4">
        <v>39191</v>
      </c>
      <c r="E5198" s="6">
        <v>66.17</v>
      </c>
      <c r="G5198" s="4"/>
      <c r="H5198" s="5"/>
    </row>
    <row r="5199" spans="4:8" x14ac:dyDescent="0.25">
      <c r="D5199" s="4">
        <v>39192</v>
      </c>
      <c r="E5199" s="6">
        <v>66.34</v>
      </c>
      <c r="G5199" s="4"/>
      <c r="H5199" s="5"/>
    </row>
    <row r="5200" spans="4:8" x14ac:dyDescent="0.25">
      <c r="D5200" s="4">
        <v>39195</v>
      </c>
      <c r="E5200" s="6">
        <v>66.8</v>
      </c>
      <c r="G5200" s="4"/>
      <c r="H5200" s="5"/>
    </row>
    <row r="5201" spans="4:8" x14ac:dyDescent="0.25">
      <c r="D5201" s="4">
        <v>39196</v>
      </c>
      <c r="E5201" s="6">
        <v>67.94</v>
      </c>
      <c r="G5201" s="4"/>
      <c r="H5201" s="5"/>
    </row>
    <row r="5202" spans="4:8" x14ac:dyDescent="0.25">
      <c r="D5202" s="4">
        <v>39197</v>
      </c>
      <c r="E5202" s="6">
        <v>67.44</v>
      </c>
      <c r="G5202" s="4"/>
      <c r="H5202" s="5"/>
    </row>
    <row r="5203" spans="4:8" x14ac:dyDescent="0.25">
      <c r="D5203" s="4">
        <v>39198</v>
      </c>
      <c r="E5203" s="6">
        <v>67.510000000000005</v>
      </c>
      <c r="G5203" s="4"/>
      <c r="H5203" s="5"/>
    </row>
    <row r="5204" spans="4:8" x14ac:dyDescent="0.25">
      <c r="D5204" s="4">
        <v>39199</v>
      </c>
      <c r="E5204" s="6">
        <v>67.28</v>
      </c>
      <c r="G5204" s="4"/>
      <c r="H5204" s="5"/>
    </row>
    <row r="5205" spans="4:8" x14ac:dyDescent="0.25">
      <c r="D5205" s="4">
        <v>39202</v>
      </c>
      <c r="E5205" s="6">
        <v>67.23</v>
      </c>
      <c r="G5205" s="4"/>
      <c r="H5205" s="5"/>
    </row>
    <row r="5206" spans="4:8" x14ac:dyDescent="0.25">
      <c r="D5206" s="4">
        <v>39203</v>
      </c>
      <c r="E5206" s="6">
        <v>67.400000000000006</v>
      </c>
      <c r="G5206" s="4"/>
      <c r="H5206" s="5"/>
    </row>
    <row r="5207" spans="4:8" x14ac:dyDescent="0.25">
      <c r="D5207" s="4">
        <v>39204</v>
      </c>
      <c r="E5207" s="6">
        <v>65.569999999999993</v>
      </c>
      <c r="G5207" s="4"/>
      <c r="H5207" s="5"/>
    </row>
    <row r="5208" spans="4:8" x14ac:dyDescent="0.25">
      <c r="D5208" s="4">
        <v>39205</v>
      </c>
      <c r="E5208" s="6">
        <v>64.849999999999994</v>
      </c>
      <c r="G5208" s="4"/>
      <c r="H5208" s="5"/>
    </row>
    <row r="5209" spans="4:8" x14ac:dyDescent="0.25">
      <c r="D5209" s="4">
        <v>39206</v>
      </c>
      <c r="E5209" s="6">
        <v>65.14</v>
      </c>
      <c r="G5209" s="4"/>
      <c r="H5209" s="5"/>
    </row>
    <row r="5210" spans="4:8" x14ac:dyDescent="0.25">
      <c r="D5210" s="4">
        <v>39209</v>
      </c>
      <c r="E5210" s="6">
        <v>62.7</v>
      </c>
      <c r="G5210" s="4"/>
      <c r="H5210" s="5"/>
    </row>
    <row r="5211" spans="4:8" x14ac:dyDescent="0.25">
      <c r="D5211" s="4">
        <v>39210</v>
      </c>
      <c r="E5211" s="6">
        <v>63.55</v>
      </c>
      <c r="G5211" s="4"/>
      <c r="H5211" s="5"/>
    </row>
    <row r="5212" spans="4:8" x14ac:dyDescent="0.25">
      <c r="D5212" s="4">
        <v>39211</v>
      </c>
      <c r="E5212" s="6">
        <v>63.5</v>
      </c>
      <c r="G5212" s="4"/>
      <c r="H5212" s="5"/>
    </row>
    <row r="5213" spans="4:8" x14ac:dyDescent="0.25">
      <c r="D5213" s="4">
        <v>39212</v>
      </c>
      <c r="E5213" s="6">
        <v>64.63</v>
      </c>
      <c r="G5213" s="4"/>
      <c r="H5213" s="5"/>
    </row>
    <row r="5214" spans="4:8" x14ac:dyDescent="0.25">
      <c r="D5214" s="4">
        <v>39213</v>
      </c>
      <c r="E5214" s="6">
        <v>65.180000000000007</v>
      </c>
      <c r="G5214" s="4"/>
      <c r="H5214" s="5"/>
    </row>
    <row r="5215" spans="4:8" x14ac:dyDescent="0.25">
      <c r="D5215" s="4">
        <v>39216</v>
      </c>
      <c r="E5215" s="6">
        <v>65.86</v>
      </c>
      <c r="G5215" s="4"/>
      <c r="H5215" s="5"/>
    </row>
    <row r="5216" spans="4:8" x14ac:dyDescent="0.25">
      <c r="D5216" s="4">
        <v>39217</v>
      </c>
      <c r="E5216" s="6">
        <v>66.739999999999995</v>
      </c>
      <c r="G5216" s="4"/>
      <c r="H5216" s="5"/>
    </row>
    <row r="5217" spans="4:8" x14ac:dyDescent="0.25">
      <c r="D5217" s="4">
        <v>39218</v>
      </c>
      <c r="E5217" s="6">
        <v>66.83</v>
      </c>
      <c r="G5217" s="4"/>
      <c r="H5217" s="5"/>
    </row>
    <row r="5218" spans="4:8" x14ac:dyDescent="0.25">
      <c r="D5218" s="4">
        <v>39219</v>
      </c>
      <c r="E5218" s="6">
        <v>69.08</v>
      </c>
      <c r="G5218" s="4"/>
      <c r="H5218" s="5"/>
    </row>
    <row r="5219" spans="4:8" x14ac:dyDescent="0.25">
      <c r="D5219" s="4">
        <v>39220</v>
      </c>
      <c r="E5219" s="6">
        <v>69.260000000000005</v>
      </c>
      <c r="G5219" s="4"/>
      <c r="H5219" s="5"/>
    </row>
    <row r="5220" spans="4:8" x14ac:dyDescent="0.25">
      <c r="D5220" s="4">
        <v>39223</v>
      </c>
      <c r="E5220" s="6">
        <v>69.510000000000005</v>
      </c>
      <c r="G5220" s="4"/>
      <c r="H5220" s="5"/>
    </row>
    <row r="5221" spans="4:8" x14ac:dyDescent="0.25">
      <c r="D5221" s="4">
        <v>39224</v>
      </c>
      <c r="E5221" s="6">
        <v>70.05</v>
      </c>
      <c r="G5221" s="4"/>
      <c r="H5221" s="5"/>
    </row>
    <row r="5222" spans="4:8" x14ac:dyDescent="0.25">
      <c r="D5222" s="4">
        <v>39225</v>
      </c>
      <c r="E5222" s="6">
        <v>71.010000000000005</v>
      </c>
      <c r="G5222" s="4"/>
      <c r="H5222" s="5"/>
    </row>
    <row r="5223" spans="4:8" x14ac:dyDescent="0.25">
      <c r="D5223" s="4">
        <v>39226</v>
      </c>
      <c r="E5223" s="6">
        <v>71.959999999999994</v>
      </c>
      <c r="G5223" s="4"/>
      <c r="H5223" s="5"/>
    </row>
    <row r="5224" spans="4:8" x14ac:dyDescent="0.25">
      <c r="D5224" s="4">
        <v>39227</v>
      </c>
      <c r="E5224" s="6">
        <v>70.72</v>
      </c>
      <c r="G5224" s="4"/>
      <c r="H5224" s="5"/>
    </row>
    <row r="5225" spans="4:8" x14ac:dyDescent="0.25">
      <c r="D5225" s="4">
        <v>39230</v>
      </c>
      <c r="E5225" s="5"/>
      <c r="G5225" s="4"/>
      <c r="H5225" s="5"/>
    </row>
    <row r="5226" spans="4:8" x14ac:dyDescent="0.25">
      <c r="D5226" s="4">
        <v>39231</v>
      </c>
      <c r="E5226" s="6">
        <v>69.31</v>
      </c>
      <c r="G5226" s="4"/>
      <c r="H5226" s="5"/>
    </row>
    <row r="5227" spans="4:8" x14ac:dyDescent="0.25">
      <c r="D5227" s="4">
        <v>39232</v>
      </c>
      <c r="E5227" s="6">
        <v>67.64</v>
      </c>
      <c r="G5227" s="4"/>
      <c r="H5227" s="5"/>
    </row>
    <row r="5228" spans="4:8" x14ac:dyDescent="0.25">
      <c r="D5228" s="4">
        <v>39233</v>
      </c>
      <c r="E5228" s="6">
        <v>68.180000000000007</v>
      </c>
      <c r="G5228" s="4"/>
      <c r="H5228" s="5"/>
    </row>
    <row r="5229" spans="4:8" x14ac:dyDescent="0.25">
      <c r="D5229" s="4">
        <v>39234</v>
      </c>
      <c r="E5229" s="6">
        <v>68.650000000000006</v>
      </c>
      <c r="G5229" s="4"/>
      <c r="H5229" s="5"/>
    </row>
    <row r="5230" spans="4:8" x14ac:dyDescent="0.25">
      <c r="D5230" s="4">
        <v>39237</v>
      </c>
      <c r="E5230" s="6">
        <v>70.900000000000006</v>
      </c>
      <c r="G5230" s="4"/>
      <c r="H5230" s="5"/>
    </row>
    <row r="5231" spans="4:8" x14ac:dyDescent="0.25">
      <c r="D5231" s="4">
        <v>39238</v>
      </c>
      <c r="E5231" s="6">
        <v>71.36</v>
      </c>
      <c r="G5231" s="4"/>
      <c r="H5231" s="5"/>
    </row>
    <row r="5232" spans="4:8" x14ac:dyDescent="0.25">
      <c r="D5232" s="4">
        <v>39239</v>
      </c>
      <c r="E5232" s="6">
        <v>71.5</v>
      </c>
      <c r="G5232" s="4"/>
      <c r="H5232" s="5"/>
    </row>
    <row r="5233" spans="4:8" x14ac:dyDescent="0.25">
      <c r="D5233" s="4">
        <v>39240</v>
      </c>
      <c r="E5233" s="6">
        <v>72.36</v>
      </c>
      <c r="G5233" s="4"/>
      <c r="H5233" s="5"/>
    </row>
    <row r="5234" spans="4:8" x14ac:dyDescent="0.25">
      <c r="D5234" s="4">
        <v>39241</v>
      </c>
      <c r="E5234" s="6">
        <v>70.040000000000006</v>
      </c>
      <c r="G5234" s="4"/>
      <c r="H5234" s="5"/>
    </row>
    <row r="5235" spans="4:8" x14ac:dyDescent="0.25">
      <c r="D5235" s="4">
        <v>39244</v>
      </c>
      <c r="E5235" s="6">
        <v>68.849999999999994</v>
      </c>
      <c r="G5235" s="4"/>
      <c r="H5235" s="5"/>
    </row>
    <row r="5236" spans="4:8" x14ac:dyDescent="0.25">
      <c r="D5236" s="4">
        <v>39245</v>
      </c>
      <c r="E5236" s="6">
        <v>68.56</v>
      </c>
      <c r="G5236" s="4"/>
      <c r="H5236" s="5"/>
    </row>
    <row r="5237" spans="4:8" x14ac:dyDescent="0.25">
      <c r="D5237" s="4">
        <v>39246</v>
      </c>
      <c r="E5237" s="6">
        <v>69.239999999999995</v>
      </c>
      <c r="G5237" s="4"/>
      <c r="H5237" s="5"/>
    </row>
    <row r="5238" spans="4:8" x14ac:dyDescent="0.25">
      <c r="D5238" s="4">
        <v>39247</v>
      </c>
      <c r="E5238" s="6">
        <v>71.180000000000007</v>
      </c>
      <c r="G5238" s="4"/>
      <c r="H5238" s="5"/>
    </row>
    <row r="5239" spans="4:8" x14ac:dyDescent="0.25">
      <c r="D5239" s="4">
        <v>39248</v>
      </c>
      <c r="E5239" s="6">
        <v>71.63</v>
      </c>
      <c r="G5239" s="4"/>
      <c r="H5239" s="5"/>
    </row>
    <row r="5240" spans="4:8" x14ac:dyDescent="0.25">
      <c r="D5240" s="4">
        <v>39251</v>
      </c>
      <c r="E5240" s="6">
        <v>72.33</v>
      </c>
      <c r="G5240" s="4"/>
      <c r="H5240" s="5"/>
    </row>
    <row r="5241" spans="4:8" x14ac:dyDescent="0.25">
      <c r="D5241" s="4">
        <v>39252</v>
      </c>
      <c r="E5241" s="6">
        <v>72.17</v>
      </c>
      <c r="G5241" s="4"/>
      <c r="H5241" s="5"/>
    </row>
    <row r="5242" spans="4:8" x14ac:dyDescent="0.25">
      <c r="D5242" s="4">
        <v>39253</v>
      </c>
      <c r="E5242" s="6">
        <v>70.55</v>
      </c>
      <c r="G5242" s="4"/>
      <c r="H5242" s="5"/>
    </row>
    <row r="5243" spans="4:8" x14ac:dyDescent="0.25">
      <c r="D5243" s="4">
        <v>39254</v>
      </c>
      <c r="E5243" s="6">
        <v>71.81</v>
      </c>
      <c r="G5243" s="4"/>
      <c r="H5243" s="5"/>
    </row>
    <row r="5244" spans="4:8" x14ac:dyDescent="0.25">
      <c r="D5244" s="4">
        <v>39255</v>
      </c>
      <c r="E5244" s="6">
        <v>72.040000000000006</v>
      </c>
      <c r="G5244" s="4"/>
      <c r="H5244" s="5"/>
    </row>
    <row r="5245" spans="4:8" x14ac:dyDescent="0.25">
      <c r="D5245" s="4">
        <v>39258</v>
      </c>
      <c r="E5245" s="6">
        <v>71.36</v>
      </c>
      <c r="G5245" s="4"/>
      <c r="H5245" s="5"/>
    </row>
    <row r="5246" spans="4:8" x14ac:dyDescent="0.25">
      <c r="D5246" s="4">
        <v>39259</v>
      </c>
      <c r="E5246" s="6">
        <v>71.41</v>
      </c>
      <c r="G5246" s="4"/>
      <c r="H5246" s="5"/>
    </row>
    <row r="5247" spans="4:8" x14ac:dyDescent="0.25">
      <c r="D5247" s="4">
        <v>39260</v>
      </c>
      <c r="E5247" s="6">
        <v>71.84</v>
      </c>
      <c r="G5247" s="4"/>
      <c r="H5247" s="5"/>
    </row>
    <row r="5248" spans="4:8" x14ac:dyDescent="0.25">
      <c r="D5248" s="4">
        <v>39261</v>
      </c>
      <c r="E5248" s="6">
        <v>71.959999999999994</v>
      </c>
      <c r="G5248" s="4"/>
      <c r="H5248" s="5"/>
    </row>
    <row r="5249" spans="4:8" x14ac:dyDescent="0.25">
      <c r="D5249" s="4">
        <v>39262</v>
      </c>
      <c r="E5249" s="6">
        <v>72.22</v>
      </c>
      <c r="G5249" s="4"/>
      <c r="H5249" s="5"/>
    </row>
    <row r="5250" spans="4:8" x14ac:dyDescent="0.25">
      <c r="D5250" s="4">
        <v>39265</v>
      </c>
      <c r="E5250" s="6">
        <v>72.900000000000006</v>
      </c>
      <c r="G5250" s="4"/>
      <c r="H5250" s="5"/>
    </row>
    <row r="5251" spans="4:8" x14ac:dyDescent="0.25">
      <c r="D5251" s="4">
        <v>39266</v>
      </c>
      <c r="E5251" s="6">
        <v>74.260000000000005</v>
      </c>
      <c r="G5251" s="4"/>
      <c r="H5251" s="5"/>
    </row>
    <row r="5252" spans="4:8" x14ac:dyDescent="0.25">
      <c r="D5252" s="4">
        <v>39267</v>
      </c>
      <c r="E5252" s="5"/>
      <c r="G5252" s="4"/>
      <c r="H5252" s="5"/>
    </row>
    <row r="5253" spans="4:8" x14ac:dyDescent="0.25">
      <c r="D5253" s="4">
        <v>39268</v>
      </c>
      <c r="E5253" s="6">
        <v>75.400000000000006</v>
      </c>
      <c r="G5253" s="4"/>
      <c r="H5253" s="5"/>
    </row>
    <row r="5254" spans="4:8" x14ac:dyDescent="0.25">
      <c r="D5254" s="4">
        <v>39269</v>
      </c>
      <c r="E5254" s="6">
        <v>76.58</v>
      </c>
      <c r="G5254" s="4"/>
      <c r="H5254" s="5"/>
    </row>
    <row r="5255" spans="4:8" x14ac:dyDescent="0.25">
      <c r="D5255" s="4">
        <v>39272</v>
      </c>
      <c r="E5255" s="6">
        <v>77.099999999999994</v>
      </c>
      <c r="G5255" s="4"/>
      <c r="H5255" s="5"/>
    </row>
    <row r="5256" spans="4:8" x14ac:dyDescent="0.25">
      <c r="D5256" s="4">
        <v>39273</v>
      </c>
      <c r="E5256" s="6">
        <v>77.88</v>
      </c>
      <c r="G5256" s="4"/>
      <c r="H5256" s="5"/>
    </row>
    <row r="5257" spans="4:8" x14ac:dyDescent="0.25">
      <c r="D5257" s="4">
        <v>39274</v>
      </c>
      <c r="E5257" s="6">
        <v>77.44</v>
      </c>
      <c r="G5257" s="4"/>
      <c r="H5257" s="5"/>
    </row>
    <row r="5258" spans="4:8" x14ac:dyDescent="0.25">
      <c r="D5258" s="4">
        <v>39275</v>
      </c>
      <c r="E5258" s="6">
        <v>78.239999999999995</v>
      </c>
      <c r="G5258" s="4"/>
      <c r="H5258" s="5"/>
    </row>
    <row r="5259" spans="4:8" x14ac:dyDescent="0.25">
      <c r="D5259" s="4">
        <v>39276</v>
      </c>
      <c r="E5259" s="6">
        <v>78.12</v>
      </c>
      <c r="G5259" s="4"/>
      <c r="H5259" s="5"/>
    </row>
    <row r="5260" spans="4:8" x14ac:dyDescent="0.25">
      <c r="D5260" s="4">
        <v>39279</v>
      </c>
      <c r="E5260" s="6">
        <v>78.17</v>
      </c>
      <c r="G5260" s="4"/>
      <c r="H5260" s="5"/>
    </row>
    <row r="5261" spans="4:8" x14ac:dyDescent="0.25">
      <c r="D5261" s="4">
        <v>39280</v>
      </c>
      <c r="E5261" s="6">
        <v>77.59</v>
      </c>
      <c r="G5261" s="4"/>
      <c r="H5261" s="5"/>
    </row>
    <row r="5262" spans="4:8" x14ac:dyDescent="0.25">
      <c r="D5262" s="4">
        <v>39281</v>
      </c>
      <c r="E5262" s="6">
        <v>78</v>
      </c>
      <c r="G5262" s="4"/>
      <c r="H5262" s="5"/>
    </row>
    <row r="5263" spans="4:8" x14ac:dyDescent="0.25">
      <c r="D5263" s="4">
        <v>39282</v>
      </c>
      <c r="E5263" s="6">
        <v>78.37</v>
      </c>
      <c r="G5263" s="4"/>
      <c r="H5263" s="5"/>
    </row>
    <row r="5264" spans="4:8" x14ac:dyDescent="0.25">
      <c r="D5264" s="4">
        <v>39283</v>
      </c>
      <c r="E5264" s="6">
        <v>79.09</v>
      </c>
      <c r="G5264" s="4"/>
      <c r="H5264" s="5"/>
    </row>
    <row r="5265" spans="4:8" x14ac:dyDescent="0.25">
      <c r="D5265" s="4">
        <v>39286</v>
      </c>
      <c r="E5265" s="6">
        <v>78.36</v>
      </c>
      <c r="G5265" s="4"/>
      <c r="H5265" s="5"/>
    </row>
    <row r="5266" spans="4:8" x14ac:dyDescent="0.25">
      <c r="D5266" s="4">
        <v>39287</v>
      </c>
      <c r="E5266" s="6">
        <v>75.88</v>
      </c>
      <c r="G5266" s="4"/>
      <c r="H5266" s="5"/>
    </row>
    <row r="5267" spans="4:8" x14ac:dyDescent="0.25">
      <c r="D5267" s="4">
        <v>39288</v>
      </c>
      <c r="E5267" s="6">
        <v>75.209999999999994</v>
      </c>
      <c r="G5267" s="4"/>
      <c r="H5267" s="5"/>
    </row>
    <row r="5268" spans="4:8" x14ac:dyDescent="0.25">
      <c r="D5268" s="4">
        <v>39289</v>
      </c>
      <c r="E5268" s="6">
        <v>77.28</v>
      </c>
      <c r="G5268" s="4"/>
      <c r="H5268" s="5"/>
    </row>
    <row r="5269" spans="4:8" x14ac:dyDescent="0.25">
      <c r="D5269" s="4">
        <v>39290</v>
      </c>
      <c r="E5269" s="6">
        <v>76.58</v>
      </c>
      <c r="G5269" s="4"/>
      <c r="H5269" s="5"/>
    </row>
    <row r="5270" spans="4:8" x14ac:dyDescent="0.25">
      <c r="D5270" s="4">
        <v>39293</v>
      </c>
      <c r="E5270" s="6">
        <v>76.069999999999993</v>
      </c>
      <c r="G5270" s="4"/>
      <c r="H5270" s="5"/>
    </row>
    <row r="5271" spans="4:8" x14ac:dyDescent="0.25">
      <c r="D5271" s="4">
        <v>39294</v>
      </c>
      <c r="E5271" s="6">
        <v>77.010000000000005</v>
      </c>
      <c r="G5271" s="4"/>
      <c r="H5271" s="5"/>
    </row>
    <row r="5272" spans="4:8" x14ac:dyDescent="0.25">
      <c r="D5272" s="4">
        <v>39295</v>
      </c>
      <c r="E5272" s="6">
        <v>77.11</v>
      </c>
      <c r="G5272" s="4"/>
      <c r="H5272" s="5"/>
    </row>
    <row r="5273" spans="4:8" x14ac:dyDescent="0.25">
      <c r="D5273" s="4">
        <v>39296</v>
      </c>
      <c r="E5273" s="6">
        <v>76.14</v>
      </c>
      <c r="G5273" s="4"/>
      <c r="H5273" s="5"/>
    </row>
    <row r="5274" spans="4:8" x14ac:dyDescent="0.25">
      <c r="D5274" s="4">
        <v>39297</v>
      </c>
      <c r="E5274" s="6">
        <v>75.36</v>
      </c>
      <c r="G5274" s="4"/>
      <c r="H5274" s="5"/>
    </row>
    <row r="5275" spans="4:8" x14ac:dyDescent="0.25">
      <c r="D5275" s="4">
        <v>39300</v>
      </c>
      <c r="E5275" s="6">
        <v>72.69</v>
      </c>
      <c r="G5275" s="4"/>
      <c r="H5275" s="5"/>
    </row>
    <row r="5276" spans="4:8" x14ac:dyDescent="0.25">
      <c r="D5276" s="4">
        <v>39301</v>
      </c>
      <c r="E5276" s="6">
        <v>70.42</v>
      </c>
      <c r="G5276" s="4"/>
      <c r="H5276" s="5"/>
    </row>
    <row r="5277" spans="4:8" x14ac:dyDescent="0.25">
      <c r="D5277" s="4">
        <v>39302</v>
      </c>
      <c r="E5277" s="6">
        <v>70.73</v>
      </c>
      <c r="G5277" s="4"/>
      <c r="H5277" s="5"/>
    </row>
    <row r="5278" spans="4:8" x14ac:dyDescent="0.25">
      <c r="D5278" s="4">
        <v>39303</v>
      </c>
      <c r="E5278" s="6">
        <v>70.08</v>
      </c>
      <c r="G5278" s="4"/>
      <c r="H5278" s="5"/>
    </row>
    <row r="5279" spans="4:8" x14ac:dyDescent="0.25">
      <c r="D5279" s="4">
        <v>39304</v>
      </c>
      <c r="E5279" s="6">
        <v>69.569999999999993</v>
      </c>
      <c r="G5279" s="4"/>
      <c r="H5279" s="5"/>
    </row>
    <row r="5280" spans="4:8" x14ac:dyDescent="0.25">
      <c r="D5280" s="4">
        <v>39307</v>
      </c>
      <c r="E5280" s="6">
        <v>71.3</v>
      </c>
      <c r="G5280" s="4"/>
      <c r="H5280" s="5"/>
    </row>
    <row r="5281" spans="4:8" x14ac:dyDescent="0.25">
      <c r="D5281" s="4">
        <v>39308</v>
      </c>
      <c r="E5281" s="6">
        <v>69.290000000000006</v>
      </c>
      <c r="G5281" s="4"/>
      <c r="H5281" s="5"/>
    </row>
    <row r="5282" spans="4:8" x14ac:dyDescent="0.25">
      <c r="D5282" s="4">
        <v>39309</v>
      </c>
      <c r="E5282" s="6">
        <v>71.3</v>
      </c>
      <c r="G5282" s="4"/>
      <c r="H5282" s="5"/>
    </row>
    <row r="5283" spans="4:8" x14ac:dyDescent="0.25">
      <c r="D5283" s="4">
        <v>39310</v>
      </c>
      <c r="E5283" s="6">
        <v>68.77</v>
      </c>
      <c r="G5283" s="4"/>
      <c r="H5283" s="5"/>
    </row>
    <row r="5284" spans="4:8" x14ac:dyDescent="0.25">
      <c r="D5284" s="4">
        <v>39311</v>
      </c>
      <c r="E5284" s="6">
        <v>69.8</v>
      </c>
      <c r="G5284" s="4"/>
      <c r="H5284" s="5"/>
    </row>
    <row r="5285" spans="4:8" x14ac:dyDescent="0.25">
      <c r="D5285" s="4">
        <v>39314</v>
      </c>
      <c r="E5285" s="6">
        <v>68.37</v>
      </c>
      <c r="G5285" s="4"/>
      <c r="H5285" s="5"/>
    </row>
    <row r="5286" spans="4:8" x14ac:dyDescent="0.25">
      <c r="D5286" s="4">
        <v>39315</v>
      </c>
      <c r="E5286" s="6">
        <v>67.88</v>
      </c>
      <c r="G5286" s="4"/>
      <c r="H5286" s="5"/>
    </row>
    <row r="5287" spans="4:8" x14ac:dyDescent="0.25">
      <c r="D5287" s="4">
        <v>39316</v>
      </c>
      <c r="E5287" s="6">
        <v>67.73</v>
      </c>
      <c r="G5287" s="4"/>
      <c r="H5287" s="5"/>
    </row>
    <row r="5288" spans="4:8" x14ac:dyDescent="0.25">
      <c r="D5288" s="4">
        <v>39317</v>
      </c>
      <c r="E5288" s="6">
        <v>68.73</v>
      </c>
      <c r="G5288" s="4"/>
      <c r="H5288" s="5"/>
    </row>
    <row r="5289" spans="4:8" x14ac:dyDescent="0.25">
      <c r="D5289" s="4">
        <v>39318</v>
      </c>
      <c r="E5289" s="6">
        <v>69.489999999999995</v>
      </c>
      <c r="G5289" s="4"/>
      <c r="H5289" s="5"/>
    </row>
    <row r="5290" spans="4:8" x14ac:dyDescent="0.25">
      <c r="D5290" s="4">
        <v>39321</v>
      </c>
      <c r="E5290" s="6">
        <v>68.849999999999994</v>
      </c>
      <c r="G5290" s="4"/>
      <c r="H5290" s="5"/>
    </row>
    <row r="5291" spans="4:8" x14ac:dyDescent="0.25">
      <c r="D5291" s="4">
        <v>39322</v>
      </c>
      <c r="E5291" s="6">
        <v>69.66</v>
      </c>
      <c r="G5291" s="4"/>
      <c r="H5291" s="5"/>
    </row>
    <row r="5292" spans="4:8" x14ac:dyDescent="0.25">
      <c r="D5292" s="4">
        <v>39323</v>
      </c>
      <c r="E5292" s="6">
        <v>70.48</v>
      </c>
      <c r="G5292" s="4"/>
      <c r="H5292" s="5"/>
    </row>
    <row r="5293" spans="4:8" x14ac:dyDescent="0.25">
      <c r="D5293" s="4">
        <v>39324</v>
      </c>
      <c r="E5293" s="6">
        <v>71.459999999999994</v>
      </c>
      <c r="G5293" s="4"/>
      <c r="H5293" s="5"/>
    </row>
    <row r="5294" spans="4:8" x14ac:dyDescent="0.25">
      <c r="D5294" s="4">
        <v>39325</v>
      </c>
      <c r="E5294" s="6">
        <v>72.290000000000006</v>
      </c>
      <c r="G5294" s="4"/>
      <c r="H5294" s="5"/>
    </row>
    <row r="5295" spans="4:8" x14ac:dyDescent="0.25">
      <c r="D5295" s="4">
        <v>39328</v>
      </c>
      <c r="E5295" s="5"/>
      <c r="G5295" s="4"/>
      <c r="H5295" s="5"/>
    </row>
    <row r="5296" spans="4:8" x14ac:dyDescent="0.25">
      <c r="D5296" s="4">
        <v>39329</v>
      </c>
      <c r="E5296" s="6">
        <v>74.22</v>
      </c>
      <c r="G5296" s="4"/>
      <c r="H5296" s="5"/>
    </row>
    <row r="5297" spans="4:8" x14ac:dyDescent="0.25">
      <c r="D5297" s="4">
        <v>39330</v>
      </c>
      <c r="E5297" s="6">
        <v>74.72</v>
      </c>
      <c r="G5297" s="4"/>
      <c r="H5297" s="5"/>
    </row>
    <row r="5298" spans="4:8" x14ac:dyDescent="0.25">
      <c r="D5298" s="4">
        <v>39331</v>
      </c>
      <c r="E5298" s="6">
        <v>76.209999999999994</v>
      </c>
      <c r="G5298" s="4"/>
      <c r="H5298" s="5"/>
    </row>
    <row r="5299" spans="4:8" x14ac:dyDescent="0.25">
      <c r="D5299" s="4">
        <v>39332</v>
      </c>
      <c r="E5299" s="6">
        <v>75.08</v>
      </c>
      <c r="G5299" s="4"/>
      <c r="H5299" s="5"/>
    </row>
    <row r="5300" spans="4:8" x14ac:dyDescent="0.25">
      <c r="D5300" s="4">
        <v>39335</v>
      </c>
      <c r="E5300" s="6">
        <v>74.97</v>
      </c>
      <c r="G5300" s="4"/>
      <c r="H5300" s="5"/>
    </row>
    <row r="5301" spans="4:8" x14ac:dyDescent="0.25">
      <c r="D5301" s="4">
        <v>39336</v>
      </c>
      <c r="E5301" s="6">
        <v>76.23</v>
      </c>
      <c r="G5301" s="4"/>
      <c r="H5301" s="5"/>
    </row>
    <row r="5302" spans="4:8" x14ac:dyDescent="0.25">
      <c r="D5302" s="4">
        <v>39337</v>
      </c>
      <c r="E5302" s="6">
        <v>77.150000000000006</v>
      </c>
      <c r="G5302" s="4"/>
      <c r="H5302" s="5"/>
    </row>
    <row r="5303" spans="4:8" x14ac:dyDescent="0.25">
      <c r="D5303" s="4">
        <v>39338</v>
      </c>
      <c r="E5303" s="6">
        <v>77.84</v>
      </c>
      <c r="G5303" s="4"/>
      <c r="H5303" s="5"/>
    </row>
    <row r="5304" spans="4:8" x14ac:dyDescent="0.25">
      <c r="D5304" s="4">
        <v>39339</v>
      </c>
      <c r="E5304" s="6">
        <v>78.27</v>
      </c>
      <c r="G5304" s="4"/>
      <c r="H5304" s="5"/>
    </row>
    <row r="5305" spans="4:8" x14ac:dyDescent="0.25">
      <c r="D5305" s="4">
        <v>39342</v>
      </c>
      <c r="E5305" s="6">
        <v>77.989999999999995</v>
      </c>
      <c r="G5305" s="4"/>
      <c r="H5305" s="5"/>
    </row>
    <row r="5306" spans="4:8" x14ac:dyDescent="0.25">
      <c r="D5306" s="4">
        <v>39343</v>
      </c>
      <c r="E5306" s="6">
        <v>77</v>
      </c>
      <c r="G5306" s="4"/>
      <c r="H5306" s="5"/>
    </row>
    <row r="5307" spans="4:8" x14ac:dyDescent="0.25">
      <c r="D5307" s="4">
        <v>39344</v>
      </c>
      <c r="E5307" s="6">
        <v>78.47</v>
      </c>
      <c r="G5307" s="4"/>
      <c r="H5307" s="5"/>
    </row>
    <row r="5308" spans="4:8" x14ac:dyDescent="0.25">
      <c r="D5308" s="4">
        <v>39345</v>
      </c>
      <c r="E5308" s="6">
        <v>78.48</v>
      </c>
      <c r="G5308" s="4"/>
      <c r="H5308" s="5"/>
    </row>
    <row r="5309" spans="4:8" x14ac:dyDescent="0.25">
      <c r="D5309" s="4">
        <v>39346</v>
      </c>
      <c r="E5309" s="6">
        <v>78.91</v>
      </c>
      <c r="G5309" s="4"/>
      <c r="H5309" s="5"/>
    </row>
    <row r="5310" spans="4:8" x14ac:dyDescent="0.25">
      <c r="D5310" s="4">
        <v>39349</v>
      </c>
      <c r="E5310" s="6">
        <v>77.87</v>
      </c>
      <c r="G5310" s="4"/>
      <c r="H5310" s="5"/>
    </row>
    <row r="5311" spans="4:8" x14ac:dyDescent="0.25">
      <c r="D5311" s="4">
        <v>39350</v>
      </c>
      <c r="E5311" s="6">
        <v>76.819999999999993</v>
      </c>
      <c r="G5311" s="4"/>
      <c r="H5311" s="5"/>
    </row>
    <row r="5312" spans="4:8" x14ac:dyDescent="0.25">
      <c r="D5312" s="4">
        <v>39351</v>
      </c>
      <c r="E5312" s="6">
        <v>76.209999999999994</v>
      </c>
      <c r="G5312" s="4"/>
      <c r="H5312" s="5"/>
    </row>
    <row r="5313" spans="4:8" x14ac:dyDescent="0.25">
      <c r="D5313" s="4">
        <v>39352</v>
      </c>
      <c r="E5313" s="6">
        <v>78.88</v>
      </c>
      <c r="G5313" s="4"/>
      <c r="H5313" s="5"/>
    </row>
    <row r="5314" spans="4:8" x14ac:dyDescent="0.25">
      <c r="D5314" s="4">
        <v>39353</v>
      </c>
      <c r="E5314" s="6">
        <v>80.97</v>
      </c>
      <c r="G5314" s="4"/>
      <c r="H5314" s="5"/>
    </row>
    <row r="5315" spans="4:8" x14ac:dyDescent="0.25">
      <c r="D5315" s="4">
        <v>39356</v>
      </c>
      <c r="E5315" s="6">
        <v>78.33</v>
      </c>
      <c r="G5315" s="4"/>
      <c r="H5315" s="5"/>
    </row>
    <row r="5316" spans="4:8" x14ac:dyDescent="0.25">
      <c r="D5316" s="4">
        <v>39357</v>
      </c>
      <c r="E5316" s="6">
        <v>76.87</v>
      </c>
      <c r="G5316" s="4"/>
      <c r="H5316" s="5"/>
    </row>
    <row r="5317" spans="4:8" x14ac:dyDescent="0.25">
      <c r="D5317" s="4">
        <v>39358</v>
      </c>
      <c r="E5317" s="6">
        <v>77.8</v>
      </c>
      <c r="G5317" s="4"/>
      <c r="H5317" s="5"/>
    </row>
    <row r="5318" spans="4:8" x14ac:dyDescent="0.25">
      <c r="D5318" s="4">
        <v>39359</v>
      </c>
      <c r="E5318" s="6">
        <v>77.84</v>
      </c>
      <c r="G5318" s="4"/>
      <c r="H5318" s="5"/>
    </row>
    <row r="5319" spans="4:8" x14ac:dyDescent="0.25">
      <c r="D5319" s="4">
        <v>39360</v>
      </c>
      <c r="E5319" s="6">
        <v>79.05</v>
      </c>
      <c r="G5319" s="4"/>
      <c r="H5319" s="5"/>
    </row>
    <row r="5320" spans="4:8" x14ac:dyDescent="0.25">
      <c r="D5320" s="4">
        <v>39363</v>
      </c>
      <c r="E5320" s="6">
        <v>76.94</v>
      </c>
      <c r="G5320" s="4"/>
      <c r="H5320" s="5"/>
    </row>
    <row r="5321" spans="4:8" x14ac:dyDescent="0.25">
      <c r="D5321" s="4">
        <v>39364</v>
      </c>
      <c r="E5321" s="6">
        <v>77.819999999999993</v>
      </c>
      <c r="G5321" s="4"/>
      <c r="H5321" s="5"/>
    </row>
    <row r="5322" spans="4:8" x14ac:dyDescent="0.25">
      <c r="D5322" s="4">
        <v>39365</v>
      </c>
      <c r="E5322" s="6">
        <v>77.849999999999994</v>
      </c>
      <c r="G5322" s="4"/>
      <c r="H5322" s="5"/>
    </row>
    <row r="5323" spans="4:8" x14ac:dyDescent="0.25">
      <c r="D5323" s="4">
        <v>39366</v>
      </c>
      <c r="E5323" s="6">
        <v>80.83</v>
      </c>
      <c r="G5323" s="4"/>
      <c r="H5323" s="5"/>
    </row>
    <row r="5324" spans="4:8" x14ac:dyDescent="0.25">
      <c r="D5324" s="4">
        <v>39367</v>
      </c>
      <c r="E5324" s="6">
        <v>80.819999999999993</v>
      </c>
      <c r="G5324" s="4"/>
      <c r="H5324" s="5"/>
    </row>
    <row r="5325" spans="4:8" x14ac:dyDescent="0.25">
      <c r="D5325" s="4">
        <v>39370</v>
      </c>
      <c r="E5325" s="6">
        <v>82.5</v>
      </c>
      <c r="G5325" s="4"/>
      <c r="H5325" s="5"/>
    </row>
    <row r="5326" spans="4:8" x14ac:dyDescent="0.25">
      <c r="D5326" s="4">
        <v>39371</v>
      </c>
      <c r="E5326" s="6">
        <v>84.43</v>
      </c>
      <c r="G5326" s="4"/>
      <c r="H5326" s="5"/>
    </row>
    <row r="5327" spans="4:8" x14ac:dyDescent="0.25">
      <c r="D5327" s="4">
        <v>39372</v>
      </c>
      <c r="E5327" s="6">
        <v>85.24</v>
      </c>
      <c r="G5327" s="4"/>
      <c r="H5327" s="5"/>
    </row>
    <row r="5328" spans="4:8" x14ac:dyDescent="0.25">
      <c r="D5328" s="4">
        <v>39373</v>
      </c>
      <c r="E5328" s="6">
        <v>85.03</v>
      </c>
      <c r="G5328" s="4"/>
      <c r="H5328" s="5"/>
    </row>
    <row r="5329" spans="4:8" x14ac:dyDescent="0.25">
      <c r="D5329" s="4">
        <v>39374</v>
      </c>
      <c r="E5329" s="6">
        <v>84.25</v>
      </c>
      <c r="G5329" s="4"/>
      <c r="H5329" s="5"/>
    </row>
    <row r="5330" spans="4:8" x14ac:dyDescent="0.25">
      <c r="D5330" s="4">
        <v>39377</v>
      </c>
      <c r="E5330" s="6">
        <v>82.72</v>
      </c>
      <c r="G5330" s="4"/>
      <c r="H5330" s="5"/>
    </row>
    <row r="5331" spans="4:8" x14ac:dyDescent="0.25">
      <c r="D5331" s="4">
        <v>39378</v>
      </c>
      <c r="E5331" s="6">
        <v>82.31</v>
      </c>
      <c r="G5331" s="4"/>
      <c r="H5331" s="5"/>
    </row>
    <row r="5332" spans="4:8" x14ac:dyDescent="0.25">
      <c r="D5332" s="4">
        <v>39379</v>
      </c>
      <c r="E5332" s="6">
        <v>83.47</v>
      </c>
      <c r="G5332" s="4"/>
      <c r="H5332" s="5"/>
    </row>
    <row r="5333" spans="4:8" x14ac:dyDescent="0.25">
      <c r="D5333" s="4">
        <v>39380</v>
      </c>
      <c r="E5333" s="6">
        <v>85.4</v>
      </c>
      <c r="G5333" s="4"/>
      <c r="H5333" s="5"/>
    </row>
    <row r="5334" spans="4:8" x14ac:dyDescent="0.25">
      <c r="D5334" s="4">
        <v>39381</v>
      </c>
      <c r="E5334" s="6">
        <v>84.71</v>
      </c>
      <c r="G5334" s="4"/>
      <c r="H5334" s="5"/>
    </row>
    <row r="5335" spans="4:8" x14ac:dyDescent="0.25">
      <c r="D5335" s="4">
        <v>39384</v>
      </c>
      <c r="E5335" s="6">
        <v>89.87</v>
      </c>
      <c r="G5335" s="4"/>
      <c r="H5335" s="5"/>
    </row>
    <row r="5336" spans="4:8" x14ac:dyDescent="0.25">
      <c r="D5336" s="4">
        <v>39385</v>
      </c>
      <c r="E5336" s="6">
        <v>89.87</v>
      </c>
      <c r="G5336" s="4"/>
      <c r="H5336" s="5"/>
    </row>
    <row r="5337" spans="4:8" x14ac:dyDescent="0.25">
      <c r="D5337" s="4">
        <v>39386</v>
      </c>
      <c r="E5337" s="6">
        <v>89.87</v>
      </c>
      <c r="G5337" s="4"/>
      <c r="H5337" s="5"/>
    </row>
    <row r="5338" spans="4:8" x14ac:dyDescent="0.25">
      <c r="D5338" s="4">
        <v>39387</v>
      </c>
      <c r="E5338" s="6">
        <v>90.36</v>
      </c>
      <c r="G5338" s="4"/>
      <c r="H5338" s="5"/>
    </row>
    <row r="5339" spans="4:8" x14ac:dyDescent="0.25">
      <c r="D5339" s="4">
        <v>39388</v>
      </c>
      <c r="E5339" s="6">
        <v>92.11</v>
      </c>
      <c r="G5339" s="4"/>
      <c r="H5339" s="5"/>
    </row>
    <row r="5340" spans="4:8" x14ac:dyDescent="0.25">
      <c r="D5340" s="4">
        <v>39391</v>
      </c>
      <c r="E5340" s="6">
        <v>92.16</v>
      </c>
      <c r="G5340" s="4"/>
      <c r="H5340" s="5"/>
    </row>
    <row r="5341" spans="4:8" x14ac:dyDescent="0.25">
      <c r="D5341" s="4">
        <v>39392</v>
      </c>
      <c r="E5341" s="6">
        <v>93.99</v>
      </c>
      <c r="G5341" s="4"/>
      <c r="H5341" s="5"/>
    </row>
    <row r="5342" spans="4:8" x14ac:dyDescent="0.25">
      <c r="D5342" s="4">
        <v>39393</v>
      </c>
      <c r="E5342" s="6">
        <v>94.85</v>
      </c>
      <c r="G5342" s="4"/>
      <c r="H5342" s="5"/>
    </row>
    <row r="5343" spans="4:8" x14ac:dyDescent="0.25">
      <c r="D5343" s="4">
        <v>39394</v>
      </c>
      <c r="E5343" s="6">
        <v>94.4</v>
      </c>
      <c r="G5343" s="4"/>
      <c r="H5343" s="5"/>
    </row>
    <row r="5344" spans="4:8" x14ac:dyDescent="0.25">
      <c r="D5344" s="4">
        <v>39395</v>
      </c>
      <c r="E5344" s="6">
        <v>92.32</v>
      </c>
      <c r="G5344" s="4"/>
      <c r="H5344" s="5"/>
    </row>
    <row r="5345" spans="4:8" x14ac:dyDescent="0.25">
      <c r="D5345" s="4">
        <v>39398</v>
      </c>
      <c r="E5345" s="6">
        <v>91.56</v>
      </c>
      <c r="G5345" s="4"/>
      <c r="H5345" s="5"/>
    </row>
    <row r="5346" spans="4:8" x14ac:dyDescent="0.25">
      <c r="D5346" s="4">
        <v>39399</v>
      </c>
      <c r="E5346" s="6">
        <v>89.09</v>
      </c>
      <c r="G5346" s="4"/>
      <c r="H5346" s="5"/>
    </row>
    <row r="5347" spans="4:8" x14ac:dyDescent="0.25">
      <c r="D5347" s="4">
        <v>39400</v>
      </c>
      <c r="E5347" s="6">
        <v>90.73</v>
      </c>
      <c r="G5347" s="4"/>
      <c r="H5347" s="5"/>
    </row>
    <row r="5348" spans="4:8" x14ac:dyDescent="0.25">
      <c r="D5348" s="4">
        <v>39401</v>
      </c>
      <c r="E5348" s="6">
        <v>90.32</v>
      </c>
      <c r="G5348" s="4"/>
      <c r="H5348" s="5"/>
    </row>
    <row r="5349" spans="4:8" x14ac:dyDescent="0.25">
      <c r="D5349" s="4">
        <v>39402</v>
      </c>
      <c r="E5349" s="6">
        <v>91.99</v>
      </c>
      <c r="G5349" s="4"/>
      <c r="H5349" s="5"/>
    </row>
    <row r="5350" spans="4:8" x14ac:dyDescent="0.25">
      <c r="D5350" s="4">
        <v>39405</v>
      </c>
      <c r="E5350" s="6">
        <v>91.59</v>
      </c>
      <c r="G5350" s="4"/>
      <c r="H5350" s="5"/>
    </row>
    <row r="5351" spans="4:8" x14ac:dyDescent="0.25">
      <c r="D5351" s="4">
        <v>39406</v>
      </c>
      <c r="E5351" s="6">
        <v>94.13</v>
      </c>
      <c r="G5351" s="4"/>
      <c r="H5351" s="5"/>
    </row>
    <row r="5352" spans="4:8" x14ac:dyDescent="0.25">
      <c r="D5352" s="4">
        <v>39407</v>
      </c>
      <c r="E5352" s="6">
        <v>94.97</v>
      </c>
      <c r="G5352" s="4"/>
      <c r="H5352" s="5"/>
    </row>
    <row r="5353" spans="4:8" x14ac:dyDescent="0.25">
      <c r="D5353" s="4">
        <v>39408</v>
      </c>
      <c r="E5353" s="5"/>
      <c r="G5353" s="4"/>
      <c r="H5353" s="5"/>
    </row>
    <row r="5354" spans="4:8" x14ac:dyDescent="0.25">
      <c r="D5354" s="4">
        <v>39409</v>
      </c>
      <c r="E5354" s="6">
        <v>95.33</v>
      </c>
      <c r="G5354" s="4"/>
      <c r="H5354" s="5"/>
    </row>
    <row r="5355" spans="4:8" x14ac:dyDescent="0.25">
      <c r="D5355" s="4">
        <v>39412</v>
      </c>
      <c r="E5355" s="6">
        <v>94.88</v>
      </c>
      <c r="G5355" s="4"/>
      <c r="H5355" s="5"/>
    </row>
    <row r="5356" spans="4:8" x14ac:dyDescent="0.25">
      <c r="D5356" s="4">
        <v>39413</v>
      </c>
      <c r="E5356" s="6">
        <v>93.23</v>
      </c>
      <c r="G5356" s="4"/>
      <c r="H5356" s="5"/>
    </row>
    <row r="5357" spans="4:8" x14ac:dyDescent="0.25">
      <c r="D5357" s="4">
        <v>39414</v>
      </c>
      <c r="E5357" s="6">
        <v>91.64</v>
      </c>
      <c r="G5357" s="4"/>
      <c r="H5357" s="5"/>
    </row>
    <row r="5358" spans="4:8" x14ac:dyDescent="0.25">
      <c r="D5358" s="4">
        <v>39415</v>
      </c>
      <c r="E5358" s="6">
        <v>92.34</v>
      </c>
      <c r="G5358" s="4"/>
      <c r="H5358" s="5"/>
    </row>
    <row r="5359" spans="4:8" x14ac:dyDescent="0.25">
      <c r="D5359" s="4">
        <v>39416</v>
      </c>
      <c r="E5359" s="6">
        <v>88.71</v>
      </c>
      <c r="G5359" s="4"/>
      <c r="H5359" s="5"/>
    </row>
    <row r="5360" spans="4:8" x14ac:dyDescent="0.25">
      <c r="D5360" s="4">
        <v>39419</v>
      </c>
      <c r="E5360" s="6">
        <v>87.85</v>
      </c>
      <c r="G5360" s="4"/>
      <c r="H5360" s="5"/>
    </row>
    <row r="5361" spans="4:8" x14ac:dyDescent="0.25">
      <c r="D5361" s="4">
        <v>39420</v>
      </c>
      <c r="E5361" s="6">
        <v>89.97</v>
      </c>
      <c r="G5361" s="4"/>
      <c r="H5361" s="5"/>
    </row>
    <row r="5362" spans="4:8" x14ac:dyDescent="0.25">
      <c r="D5362" s="4">
        <v>39421</v>
      </c>
      <c r="E5362" s="6">
        <v>90.7</v>
      </c>
      <c r="G5362" s="4"/>
      <c r="H5362" s="5"/>
    </row>
    <row r="5363" spans="4:8" x14ac:dyDescent="0.25">
      <c r="D5363" s="4">
        <v>39422</v>
      </c>
      <c r="E5363" s="6">
        <v>88.46</v>
      </c>
      <c r="G5363" s="4"/>
      <c r="H5363" s="5"/>
    </row>
    <row r="5364" spans="4:8" x14ac:dyDescent="0.25">
      <c r="D5364" s="4">
        <v>39423</v>
      </c>
      <c r="E5364" s="6">
        <v>88.46</v>
      </c>
      <c r="G5364" s="4"/>
      <c r="H5364" s="5"/>
    </row>
    <row r="5365" spans="4:8" x14ac:dyDescent="0.25">
      <c r="D5365" s="4">
        <v>39426</v>
      </c>
      <c r="E5365" s="6">
        <v>87.33</v>
      </c>
      <c r="G5365" s="4"/>
      <c r="H5365" s="5"/>
    </row>
    <row r="5366" spans="4:8" x14ac:dyDescent="0.25">
      <c r="D5366" s="4">
        <v>39427</v>
      </c>
      <c r="E5366" s="6">
        <v>87.77</v>
      </c>
      <c r="G5366" s="4"/>
      <c r="H5366" s="5"/>
    </row>
    <row r="5367" spans="4:8" x14ac:dyDescent="0.25">
      <c r="D5367" s="4">
        <v>39428</v>
      </c>
      <c r="E5367" s="6">
        <v>91.69</v>
      </c>
      <c r="G5367" s="4"/>
      <c r="H5367" s="5"/>
    </row>
    <row r="5368" spans="4:8" x14ac:dyDescent="0.25">
      <c r="D5368" s="4">
        <v>39429</v>
      </c>
      <c r="E5368" s="6">
        <v>92.57</v>
      </c>
      <c r="G5368" s="4"/>
      <c r="H5368" s="5"/>
    </row>
    <row r="5369" spans="4:8" x14ac:dyDescent="0.25">
      <c r="D5369" s="4">
        <v>39430</v>
      </c>
      <c r="E5369" s="6">
        <v>91.86</v>
      </c>
      <c r="G5369" s="4"/>
      <c r="H5369" s="5"/>
    </row>
    <row r="5370" spans="4:8" x14ac:dyDescent="0.25">
      <c r="D5370" s="4">
        <v>39433</v>
      </c>
      <c r="E5370" s="6">
        <v>90.32</v>
      </c>
      <c r="G5370" s="4"/>
      <c r="H5370" s="5"/>
    </row>
    <row r="5371" spans="4:8" x14ac:dyDescent="0.25">
      <c r="D5371" s="4">
        <v>39434</v>
      </c>
      <c r="E5371" s="6">
        <v>90.71</v>
      </c>
      <c r="G5371" s="4"/>
      <c r="H5371" s="5"/>
    </row>
    <row r="5372" spans="4:8" x14ac:dyDescent="0.25">
      <c r="D5372" s="4">
        <v>39435</v>
      </c>
      <c r="E5372" s="6">
        <v>90.98</v>
      </c>
      <c r="G5372" s="4"/>
      <c r="H5372" s="5"/>
    </row>
    <row r="5373" spans="4:8" x14ac:dyDescent="0.25">
      <c r="D5373" s="4">
        <v>39436</v>
      </c>
      <c r="E5373" s="6">
        <v>91.06</v>
      </c>
      <c r="G5373" s="4"/>
      <c r="H5373" s="5"/>
    </row>
    <row r="5374" spans="4:8" x14ac:dyDescent="0.25">
      <c r="D5374" s="4">
        <v>39437</v>
      </c>
      <c r="E5374" s="6">
        <v>91.03</v>
      </c>
      <c r="G5374" s="4"/>
      <c r="H5374" s="5"/>
    </row>
    <row r="5375" spans="4:8" x14ac:dyDescent="0.25">
      <c r="D5375" s="4">
        <v>39440</v>
      </c>
      <c r="E5375" s="6">
        <v>91.59</v>
      </c>
      <c r="G5375" s="4"/>
      <c r="H5375" s="5"/>
    </row>
    <row r="5376" spans="4:8" x14ac:dyDescent="0.25">
      <c r="D5376" s="4">
        <v>39441</v>
      </c>
      <c r="E5376" s="5"/>
      <c r="G5376" s="4"/>
      <c r="H5376" s="5"/>
    </row>
    <row r="5377" spans="4:8" x14ac:dyDescent="0.25">
      <c r="D5377" s="4">
        <v>39442</v>
      </c>
      <c r="E5377" s="5"/>
      <c r="G5377" s="4"/>
      <c r="H5377" s="5"/>
    </row>
    <row r="5378" spans="4:8" x14ac:dyDescent="0.25">
      <c r="D5378" s="4">
        <v>39443</v>
      </c>
      <c r="E5378" s="6">
        <v>95.66</v>
      </c>
      <c r="G5378" s="4"/>
      <c r="H5378" s="5"/>
    </row>
    <row r="5379" spans="4:8" x14ac:dyDescent="0.25">
      <c r="D5379" s="4">
        <v>39444</v>
      </c>
      <c r="E5379" s="6">
        <v>95.92</v>
      </c>
      <c r="G5379" s="4"/>
      <c r="H5379" s="5"/>
    </row>
    <row r="5380" spans="4:8" x14ac:dyDescent="0.25">
      <c r="D5380" s="4">
        <v>39447</v>
      </c>
      <c r="E5380" s="6">
        <v>93.68</v>
      </c>
      <c r="G5380" s="4"/>
      <c r="H5380" s="5"/>
    </row>
    <row r="5381" spans="4:8" x14ac:dyDescent="0.25">
      <c r="D5381" s="4">
        <v>39448</v>
      </c>
      <c r="E5381" s="5"/>
      <c r="G5381" s="4"/>
      <c r="H5381" s="5"/>
    </row>
    <row r="5382" spans="4:8" x14ac:dyDescent="0.25">
      <c r="D5382" s="4">
        <v>39449</v>
      </c>
      <c r="E5382" s="6">
        <v>97.01</v>
      </c>
      <c r="G5382" s="4"/>
      <c r="H5382" s="5"/>
    </row>
    <row r="5383" spans="4:8" x14ac:dyDescent="0.25">
      <c r="D5383" s="4">
        <v>39450</v>
      </c>
      <c r="E5383" s="6">
        <v>98.45</v>
      </c>
      <c r="G5383" s="4"/>
      <c r="H5383" s="5"/>
    </row>
    <row r="5384" spans="4:8" x14ac:dyDescent="0.25">
      <c r="D5384" s="4">
        <v>39451</v>
      </c>
      <c r="E5384" s="6">
        <v>96.87</v>
      </c>
      <c r="G5384" s="4"/>
      <c r="H5384" s="5"/>
    </row>
    <row r="5385" spans="4:8" x14ac:dyDescent="0.25">
      <c r="D5385" s="4">
        <v>39454</v>
      </c>
      <c r="E5385" s="6">
        <v>94.19</v>
      </c>
      <c r="G5385" s="4"/>
      <c r="H5385" s="5"/>
    </row>
    <row r="5386" spans="4:8" x14ac:dyDescent="0.25">
      <c r="D5386" s="4">
        <v>39455</v>
      </c>
      <c r="E5386" s="6">
        <v>96.37</v>
      </c>
      <c r="G5386" s="4"/>
      <c r="H5386" s="5"/>
    </row>
    <row r="5387" spans="4:8" x14ac:dyDescent="0.25">
      <c r="D5387" s="4">
        <v>39456</v>
      </c>
      <c r="E5387" s="6">
        <v>96.76</v>
      </c>
      <c r="G5387" s="4"/>
      <c r="H5387" s="5"/>
    </row>
    <row r="5388" spans="4:8" x14ac:dyDescent="0.25">
      <c r="D5388" s="4">
        <v>39457</v>
      </c>
      <c r="E5388" s="6">
        <v>92.8</v>
      </c>
      <c r="G5388" s="4"/>
      <c r="H5388" s="5"/>
    </row>
    <row r="5389" spans="4:8" x14ac:dyDescent="0.25">
      <c r="D5389" s="4">
        <v>39458</v>
      </c>
      <c r="E5389" s="6">
        <v>91.86</v>
      </c>
      <c r="G5389" s="4"/>
      <c r="H5389" s="5"/>
    </row>
    <row r="5390" spans="4:8" x14ac:dyDescent="0.25">
      <c r="D5390" s="4">
        <v>39461</v>
      </c>
      <c r="E5390" s="6">
        <v>92.58</v>
      </c>
      <c r="G5390" s="4"/>
      <c r="H5390" s="5"/>
    </row>
    <row r="5391" spans="4:8" x14ac:dyDescent="0.25">
      <c r="D5391" s="4">
        <v>39462</v>
      </c>
      <c r="E5391" s="6">
        <v>90.87</v>
      </c>
      <c r="G5391" s="4"/>
      <c r="H5391" s="5"/>
    </row>
    <row r="5392" spans="4:8" x14ac:dyDescent="0.25">
      <c r="D5392" s="4">
        <v>39463</v>
      </c>
      <c r="E5392" s="6">
        <v>88.1</v>
      </c>
      <c r="G5392" s="4"/>
      <c r="H5392" s="5"/>
    </row>
    <row r="5393" spans="4:8" x14ac:dyDescent="0.25">
      <c r="D5393" s="4">
        <v>39464</v>
      </c>
      <c r="E5393" s="6">
        <v>88.96</v>
      </c>
      <c r="G5393" s="4"/>
      <c r="H5393" s="5"/>
    </row>
    <row r="5394" spans="4:8" x14ac:dyDescent="0.25">
      <c r="D5394" s="4">
        <v>39465</v>
      </c>
      <c r="E5394" s="6">
        <v>89.66</v>
      </c>
      <c r="G5394" s="4"/>
      <c r="H5394" s="5"/>
    </row>
    <row r="5395" spans="4:8" x14ac:dyDescent="0.25">
      <c r="D5395" s="4">
        <v>39468</v>
      </c>
      <c r="E5395" s="5"/>
      <c r="G5395" s="4"/>
      <c r="H5395" s="5"/>
    </row>
    <row r="5396" spans="4:8" x14ac:dyDescent="0.25">
      <c r="D5396" s="4">
        <v>39469</v>
      </c>
      <c r="E5396" s="6">
        <v>88.11</v>
      </c>
      <c r="G5396" s="4"/>
      <c r="H5396" s="5"/>
    </row>
    <row r="5397" spans="4:8" x14ac:dyDescent="0.25">
      <c r="D5397" s="4">
        <v>39470</v>
      </c>
      <c r="E5397" s="6">
        <v>87.06</v>
      </c>
      <c r="G5397" s="4"/>
      <c r="H5397" s="5"/>
    </row>
    <row r="5398" spans="4:8" x14ac:dyDescent="0.25">
      <c r="D5398" s="4">
        <v>39471</v>
      </c>
      <c r="E5398" s="6">
        <v>87.69</v>
      </c>
      <c r="G5398" s="4"/>
      <c r="H5398" s="5"/>
    </row>
    <row r="5399" spans="4:8" x14ac:dyDescent="0.25">
      <c r="D5399" s="4">
        <v>39472</v>
      </c>
      <c r="E5399" s="6">
        <v>90.96</v>
      </c>
      <c r="G5399" s="4"/>
      <c r="H5399" s="5"/>
    </row>
    <row r="5400" spans="4:8" x14ac:dyDescent="0.25">
      <c r="D5400" s="4">
        <v>39475</v>
      </c>
      <c r="E5400" s="6">
        <v>90.91</v>
      </c>
      <c r="G5400" s="4"/>
      <c r="H5400" s="5"/>
    </row>
    <row r="5401" spans="4:8" x14ac:dyDescent="0.25">
      <c r="D5401" s="4">
        <v>39476</v>
      </c>
      <c r="E5401" s="6">
        <v>92.49</v>
      </c>
      <c r="G5401" s="4"/>
      <c r="H5401" s="5"/>
    </row>
    <row r="5402" spans="4:8" x14ac:dyDescent="0.25">
      <c r="D5402" s="4">
        <v>39477</v>
      </c>
      <c r="E5402" s="6">
        <v>92.46</v>
      </c>
      <c r="G5402" s="4"/>
      <c r="H5402" s="5"/>
    </row>
    <row r="5403" spans="4:8" x14ac:dyDescent="0.25">
      <c r="D5403" s="4">
        <v>39478</v>
      </c>
      <c r="E5403" s="6">
        <v>91.58</v>
      </c>
      <c r="G5403" s="4"/>
      <c r="H5403" s="5"/>
    </row>
    <row r="5404" spans="4:8" x14ac:dyDescent="0.25">
      <c r="D5404" s="4">
        <v>39479</v>
      </c>
      <c r="E5404" s="6">
        <v>91.41</v>
      </c>
      <c r="G5404" s="4"/>
      <c r="H5404" s="5"/>
    </row>
    <row r="5405" spans="4:8" x14ac:dyDescent="0.25">
      <c r="D5405" s="4">
        <v>39482</v>
      </c>
      <c r="E5405" s="6">
        <v>91.09</v>
      </c>
      <c r="G5405" s="4"/>
      <c r="H5405" s="5"/>
    </row>
    <row r="5406" spans="4:8" x14ac:dyDescent="0.25">
      <c r="D5406" s="4">
        <v>39483</v>
      </c>
      <c r="E5406" s="6">
        <v>89.6</v>
      </c>
      <c r="G5406" s="4"/>
      <c r="H5406" s="5"/>
    </row>
    <row r="5407" spans="4:8" x14ac:dyDescent="0.25">
      <c r="D5407" s="4">
        <v>39484</v>
      </c>
      <c r="E5407" s="6">
        <v>88.73</v>
      </c>
      <c r="G5407" s="4"/>
      <c r="H5407" s="5"/>
    </row>
    <row r="5408" spans="4:8" x14ac:dyDescent="0.25">
      <c r="D5408" s="4">
        <v>39485</v>
      </c>
      <c r="E5408" s="6">
        <v>88.55</v>
      </c>
      <c r="G5408" s="4"/>
      <c r="H5408" s="5"/>
    </row>
    <row r="5409" spans="4:8" x14ac:dyDescent="0.25">
      <c r="D5409" s="4">
        <v>39486</v>
      </c>
      <c r="E5409" s="6">
        <v>91.45</v>
      </c>
      <c r="G5409" s="4"/>
      <c r="H5409" s="5"/>
    </row>
    <row r="5410" spans="4:8" x14ac:dyDescent="0.25">
      <c r="D5410" s="4">
        <v>39489</v>
      </c>
      <c r="E5410" s="6">
        <v>93.93</v>
      </c>
      <c r="G5410" s="4"/>
      <c r="H5410" s="5"/>
    </row>
    <row r="5411" spans="4:8" x14ac:dyDescent="0.25">
      <c r="D5411" s="4">
        <v>39490</v>
      </c>
      <c r="E5411" s="6">
        <v>94.28</v>
      </c>
      <c r="G5411" s="4"/>
      <c r="H5411" s="5"/>
    </row>
    <row r="5412" spans="4:8" x14ac:dyDescent="0.25">
      <c r="D5412" s="4">
        <v>39491</v>
      </c>
      <c r="E5412" s="6">
        <v>93.82</v>
      </c>
      <c r="G5412" s="4"/>
      <c r="H5412" s="5"/>
    </row>
    <row r="5413" spans="4:8" x14ac:dyDescent="0.25">
      <c r="D5413" s="4">
        <v>39492</v>
      </c>
      <c r="E5413" s="6">
        <v>95.92</v>
      </c>
      <c r="G5413" s="4"/>
      <c r="H5413" s="5"/>
    </row>
    <row r="5414" spans="4:8" x14ac:dyDescent="0.25">
      <c r="D5414" s="4">
        <v>39493</v>
      </c>
      <c r="E5414" s="6">
        <v>96.96</v>
      </c>
      <c r="G5414" s="4"/>
      <c r="H5414" s="5"/>
    </row>
    <row r="5415" spans="4:8" x14ac:dyDescent="0.25">
      <c r="D5415" s="4">
        <v>39496</v>
      </c>
      <c r="E5415" s="5"/>
      <c r="G5415" s="4"/>
      <c r="H5415" s="5"/>
    </row>
    <row r="5416" spans="4:8" x14ac:dyDescent="0.25">
      <c r="D5416" s="4">
        <v>39497</v>
      </c>
      <c r="E5416" s="6">
        <v>97.03</v>
      </c>
      <c r="G5416" s="4"/>
      <c r="H5416" s="5"/>
    </row>
    <row r="5417" spans="4:8" x14ac:dyDescent="0.25">
      <c r="D5417" s="4">
        <v>39498</v>
      </c>
      <c r="E5417" s="6">
        <v>97.88</v>
      </c>
      <c r="G5417" s="4"/>
      <c r="H5417" s="5"/>
    </row>
    <row r="5418" spans="4:8" x14ac:dyDescent="0.25">
      <c r="D5418" s="4">
        <v>39499</v>
      </c>
      <c r="E5418" s="6">
        <v>97.52</v>
      </c>
      <c r="G5418" s="4"/>
      <c r="H5418" s="5"/>
    </row>
    <row r="5419" spans="4:8" x14ac:dyDescent="0.25">
      <c r="D5419" s="4">
        <v>39500</v>
      </c>
      <c r="E5419" s="6">
        <v>96.07</v>
      </c>
      <c r="G5419" s="4"/>
      <c r="H5419" s="5"/>
    </row>
    <row r="5420" spans="4:8" x14ac:dyDescent="0.25">
      <c r="D5420" s="4">
        <v>39503</v>
      </c>
      <c r="E5420" s="6">
        <v>97.43</v>
      </c>
      <c r="G5420" s="4"/>
      <c r="H5420" s="5"/>
    </row>
    <row r="5421" spans="4:8" x14ac:dyDescent="0.25">
      <c r="D5421" s="4">
        <v>39504</v>
      </c>
      <c r="E5421" s="6">
        <v>99.05</v>
      </c>
      <c r="G5421" s="4"/>
      <c r="H5421" s="5"/>
    </row>
    <row r="5422" spans="4:8" x14ac:dyDescent="0.25">
      <c r="D5422" s="4">
        <v>39505</v>
      </c>
      <c r="E5422" s="6">
        <v>98.28</v>
      </c>
      <c r="G5422" s="4"/>
      <c r="H5422" s="5"/>
    </row>
    <row r="5423" spans="4:8" x14ac:dyDescent="0.25">
      <c r="D5423" s="4">
        <v>39506</v>
      </c>
      <c r="E5423" s="6">
        <v>99.83</v>
      </c>
      <c r="G5423" s="4"/>
      <c r="H5423" s="5"/>
    </row>
    <row r="5424" spans="4:8" x14ac:dyDescent="0.25">
      <c r="D5424" s="4">
        <v>39507</v>
      </c>
      <c r="E5424" s="6">
        <v>100.9</v>
      </c>
      <c r="G5424" s="4"/>
      <c r="H5424" s="5"/>
    </row>
    <row r="5425" spans="4:8" x14ac:dyDescent="0.25">
      <c r="D5425" s="4">
        <v>39510</v>
      </c>
      <c r="E5425" s="6">
        <v>101.83</v>
      </c>
      <c r="G5425" s="4"/>
      <c r="H5425" s="5"/>
    </row>
    <row r="5426" spans="4:8" x14ac:dyDescent="0.25">
      <c r="D5426" s="4">
        <v>39511</v>
      </c>
      <c r="E5426" s="6">
        <v>98.6</v>
      </c>
      <c r="G5426" s="4"/>
      <c r="H5426" s="5"/>
    </row>
    <row r="5427" spans="4:8" x14ac:dyDescent="0.25">
      <c r="D5427" s="4">
        <v>39512</v>
      </c>
      <c r="E5427" s="6">
        <v>100.95</v>
      </c>
      <c r="G5427" s="4"/>
      <c r="H5427" s="5"/>
    </row>
    <row r="5428" spans="4:8" x14ac:dyDescent="0.25">
      <c r="D5428" s="4">
        <v>39513</v>
      </c>
      <c r="E5428" s="6">
        <v>103.47</v>
      </c>
      <c r="G5428" s="4"/>
      <c r="H5428" s="5"/>
    </row>
    <row r="5429" spans="4:8" x14ac:dyDescent="0.25">
      <c r="D5429" s="4">
        <v>39514</v>
      </c>
      <c r="E5429" s="6">
        <v>104.66</v>
      </c>
      <c r="G5429" s="4"/>
      <c r="H5429" s="5"/>
    </row>
    <row r="5430" spans="4:8" x14ac:dyDescent="0.25">
      <c r="D5430" s="4">
        <v>39517</v>
      </c>
      <c r="E5430" s="6">
        <v>105.33</v>
      </c>
      <c r="G5430" s="4"/>
      <c r="H5430" s="5"/>
    </row>
    <row r="5431" spans="4:8" x14ac:dyDescent="0.25">
      <c r="D5431" s="4">
        <v>39518</v>
      </c>
      <c r="E5431" s="6">
        <v>106.78</v>
      </c>
      <c r="G5431" s="4"/>
      <c r="H5431" s="5"/>
    </row>
    <row r="5432" spans="4:8" x14ac:dyDescent="0.25">
      <c r="D5432" s="4">
        <v>39519</v>
      </c>
      <c r="E5432" s="6">
        <v>107.99</v>
      </c>
      <c r="G5432" s="4"/>
      <c r="H5432" s="5"/>
    </row>
    <row r="5433" spans="4:8" x14ac:dyDescent="0.25">
      <c r="D5433" s="4">
        <v>39520</v>
      </c>
      <c r="E5433" s="6">
        <v>109.18</v>
      </c>
      <c r="G5433" s="4"/>
      <c r="H5433" s="5"/>
    </row>
    <row r="5434" spans="4:8" x14ac:dyDescent="0.25">
      <c r="D5434" s="4">
        <v>39521</v>
      </c>
      <c r="E5434" s="6">
        <v>109.16</v>
      </c>
      <c r="G5434" s="4"/>
      <c r="H5434" s="5"/>
    </row>
    <row r="5435" spans="4:8" x14ac:dyDescent="0.25">
      <c r="D5435" s="4">
        <v>39524</v>
      </c>
      <c r="E5435" s="6">
        <v>104.41</v>
      </c>
      <c r="G5435" s="4"/>
      <c r="H5435" s="5"/>
    </row>
    <row r="5436" spans="4:8" x14ac:dyDescent="0.25">
      <c r="D5436" s="4">
        <v>39525</v>
      </c>
      <c r="E5436" s="6">
        <v>105.35</v>
      </c>
      <c r="G5436" s="4"/>
      <c r="H5436" s="5"/>
    </row>
    <row r="5437" spans="4:8" x14ac:dyDescent="0.25">
      <c r="D5437" s="4">
        <v>39526</v>
      </c>
      <c r="E5437" s="6">
        <v>102.65</v>
      </c>
      <c r="G5437" s="4"/>
      <c r="H5437" s="5"/>
    </row>
    <row r="5438" spans="4:8" x14ac:dyDescent="0.25">
      <c r="D5438" s="4">
        <v>39527</v>
      </c>
      <c r="E5438" s="6">
        <v>99.78</v>
      </c>
      <c r="G5438" s="4"/>
      <c r="H5438" s="5"/>
    </row>
    <row r="5439" spans="4:8" x14ac:dyDescent="0.25">
      <c r="D5439" s="4">
        <v>39528</v>
      </c>
      <c r="E5439" s="5"/>
      <c r="G5439" s="4"/>
      <c r="H5439" s="5"/>
    </row>
    <row r="5440" spans="4:8" x14ac:dyDescent="0.25">
      <c r="D5440" s="4">
        <v>39531</v>
      </c>
      <c r="E5440" s="6">
        <v>100.93</v>
      </c>
      <c r="G5440" s="4"/>
      <c r="H5440" s="5"/>
    </row>
    <row r="5441" spans="4:8" x14ac:dyDescent="0.25">
      <c r="D5441" s="4">
        <v>39532</v>
      </c>
      <c r="E5441" s="6">
        <v>99.91</v>
      </c>
      <c r="G5441" s="4"/>
      <c r="H5441" s="5"/>
    </row>
    <row r="5442" spans="4:8" x14ac:dyDescent="0.25">
      <c r="D5442" s="4">
        <v>39533</v>
      </c>
      <c r="E5442" s="6">
        <v>102.83</v>
      </c>
      <c r="G5442" s="4"/>
      <c r="H5442" s="5"/>
    </row>
    <row r="5443" spans="4:8" x14ac:dyDescent="0.25">
      <c r="D5443" s="4">
        <v>39534</v>
      </c>
      <c r="E5443" s="6">
        <v>103.89</v>
      </c>
      <c r="G5443" s="4"/>
      <c r="H5443" s="5"/>
    </row>
    <row r="5444" spans="4:8" x14ac:dyDescent="0.25">
      <c r="D5444" s="4">
        <v>39535</v>
      </c>
      <c r="E5444" s="6">
        <v>102.68</v>
      </c>
      <c r="G5444" s="4"/>
      <c r="H5444" s="5"/>
    </row>
    <row r="5445" spans="4:8" x14ac:dyDescent="0.25">
      <c r="D5445" s="4">
        <v>39538</v>
      </c>
      <c r="E5445" s="6">
        <v>102.33</v>
      </c>
      <c r="G5445" s="4"/>
      <c r="H5445" s="5"/>
    </row>
    <row r="5446" spans="4:8" x14ac:dyDescent="0.25">
      <c r="D5446" s="4">
        <v>39539</v>
      </c>
      <c r="E5446" s="6">
        <v>98.69</v>
      </c>
      <c r="G5446" s="4"/>
      <c r="H5446" s="5"/>
    </row>
    <row r="5447" spans="4:8" x14ac:dyDescent="0.25">
      <c r="D5447" s="4">
        <v>39540</v>
      </c>
      <c r="E5447" s="6">
        <v>98.85</v>
      </c>
      <c r="G5447" s="4"/>
      <c r="H5447" s="5"/>
    </row>
    <row r="5448" spans="4:8" x14ac:dyDescent="0.25">
      <c r="D5448" s="4">
        <v>39541</v>
      </c>
      <c r="E5448" s="6">
        <v>102.31</v>
      </c>
      <c r="G5448" s="4"/>
      <c r="H5448" s="5"/>
    </row>
    <row r="5449" spans="4:8" x14ac:dyDescent="0.25">
      <c r="D5449" s="4">
        <v>39542</v>
      </c>
      <c r="E5449" s="6">
        <v>102.21</v>
      </c>
      <c r="G5449" s="4"/>
      <c r="H5449" s="5"/>
    </row>
    <row r="5450" spans="4:8" x14ac:dyDescent="0.25">
      <c r="D5450" s="4">
        <v>39545</v>
      </c>
      <c r="E5450" s="6">
        <v>105.98</v>
      </c>
      <c r="G5450" s="4"/>
      <c r="H5450" s="5"/>
    </row>
    <row r="5451" spans="4:8" x14ac:dyDescent="0.25">
      <c r="D5451" s="4">
        <v>39546</v>
      </c>
      <c r="E5451" s="6">
        <v>105.05</v>
      </c>
      <c r="G5451" s="4"/>
      <c r="H5451" s="5"/>
    </row>
    <row r="5452" spans="4:8" x14ac:dyDescent="0.25">
      <c r="D5452" s="4">
        <v>39547</v>
      </c>
      <c r="E5452" s="6">
        <v>107.46</v>
      </c>
      <c r="G5452" s="4"/>
      <c r="H5452" s="5"/>
    </row>
    <row r="5453" spans="4:8" x14ac:dyDescent="0.25">
      <c r="D5453" s="4">
        <v>39548</v>
      </c>
      <c r="E5453" s="6">
        <v>107.37</v>
      </c>
      <c r="G5453" s="4"/>
      <c r="H5453" s="5"/>
    </row>
    <row r="5454" spans="4:8" x14ac:dyDescent="0.25">
      <c r="D5454" s="4">
        <v>39549</v>
      </c>
      <c r="E5454" s="6">
        <v>107.15</v>
      </c>
      <c r="G5454" s="4"/>
      <c r="H5454" s="5"/>
    </row>
    <row r="5455" spans="4:8" x14ac:dyDescent="0.25">
      <c r="D5455" s="4">
        <v>39552</v>
      </c>
      <c r="E5455" s="6">
        <v>108.32</v>
      </c>
      <c r="G5455" s="4"/>
      <c r="H5455" s="5"/>
    </row>
    <row r="5456" spans="4:8" x14ac:dyDescent="0.25">
      <c r="D5456" s="4">
        <v>39553</v>
      </c>
      <c r="E5456" s="6">
        <v>110.84</v>
      </c>
      <c r="G5456" s="4"/>
      <c r="H5456" s="5"/>
    </row>
    <row r="5457" spans="4:8" x14ac:dyDescent="0.25">
      <c r="D5457" s="4">
        <v>39554</v>
      </c>
      <c r="E5457" s="6">
        <v>110.95</v>
      </c>
      <c r="G5457" s="4"/>
      <c r="H5457" s="5"/>
    </row>
    <row r="5458" spans="4:8" x14ac:dyDescent="0.25">
      <c r="D5458" s="4">
        <v>39555</v>
      </c>
      <c r="E5458" s="6">
        <v>111.34</v>
      </c>
      <c r="G5458" s="4"/>
      <c r="H5458" s="5"/>
    </row>
    <row r="5459" spans="4:8" x14ac:dyDescent="0.25">
      <c r="D5459" s="4">
        <v>39556</v>
      </c>
      <c r="E5459" s="6">
        <v>110.67</v>
      </c>
      <c r="G5459" s="4"/>
      <c r="H5459" s="5"/>
    </row>
    <row r="5460" spans="4:8" x14ac:dyDescent="0.25">
      <c r="D5460" s="4">
        <v>39559</v>
      </c>
      <c r="E5460" s="6">
        <v>111.35</v>
      </c>
      <c r="G5460" s="4"/>
      <c r="H5460" s="5"/>
    </row>
    <row r="5461" spans="4:8" x14ac:dyDescent="0.25">
      <c r="D5461" s="4">
        <v>39560</v>
      </c>
      <c r="E5461" s="6">
        <v>113.54</v>
      </c>
      <c r="G5461" s="4"/>
      <c r="H5461" s="5"/>
    </row>
    <row r="5462" spans="4:8" x14ac:dyDescent="0.25">
      <c r="D5462" s="4">
        <v>39561</v>
      </c>
      <c r="E5462" s="6">
        <v>115.34</v>
      </c>
      <c r="G5462" s="4"/>
      <c r="H5462" s="5"/>
    </row>
    <row r="5463" spans="4:8" x14ac:dyDescent="0.25">
      <c r="D5463" s="4">
        <v>39562</v>
      </c>
      <c r="E5463" s="6">
        <v>114.85</v>
      </c>
      <c r="G5463" s="4"/>
      <c r="H5463" s="5"/>
    </row>
    <row r="5464" spans="4:8" x14ac:dyDescent="0.25">
      <c r="D5464" s="4">
        <v>39563</v>
      </c>
      <c r="E5464" s="6">
        <v>116.62</v>
      </c>
      <c r="G5464" s="4"/>
      <c r="H5464" s="5"/>
    </row>
    <row r="5465" spans="4:8" x14ac:dyDescent="0.25">
      <c r="D5465" s="4">
        <v>39566</v>
      </c>
      <c r="E5465" s="6">
        <v>115.7</v>
      </c>
      <c r="G5465" s="4"/>
      <c r="H5465" s="5"/>
    </row>
    <row r="5466" spans="4:8" x14ac:dyDescent="0.25">
      <c r="D5466" s="4">
        <v>39567</v>
      </c>
      <c r="E5466" s="6">
        <v>113.86</v>
      </c>
      <c r="G5466" s="4"/>
      <c r="H5466" s="5"/>
    </row>
    <row r="5467" spans="4:8" x14ac:dyDescent="0.25">
      <c r="D5467" s="4">
        <v>39568</v>
      </c>
      <c r="E5467" s="6">
        <v>111.12</v>
      </c>
      <c r="G5467" s="4"/>
      <c r="H5467" s="5"/>
    </row>
    <row r="5468" spans="4:8" x14ac:dyDescent="0.25">
      <c r="D5468" s="4">
        <v>39569</v>
      </c>
      <c r="E5468" s="6">
        <v>107.3</v>
      </c>
      <c r="G5468" s="4"/>
      <c r="H5468" s="5"/>
    </row>
    <row r="5469" spans="4:8" x14ac:dyDescent="0.25">
      <c r="D5469" s="4">
        <v>39570</v>
      </c>
      <c r="E5469" s="6">
        <v>111.92</v>
      </c>
      <c r="G5469" s="4"/>
      <c r="H5469" s="5"/>
    </row>
    <row r="5470" spans="4:8" x14ac:dyDescent="0.25">
      <c r="D5470" s="4">
        <v>39573</v>
      </c>
      <c r="E5470" s="6">
        <v>115.68</v>
      </c>
      <c r="G5470" s="4"/>
      <c r="H5470" s="5"/>
    </row>
    <row r="5471" spans="4:8" x14ac:dyDescent="0.25">
      <c r="D5471" s="4">
        <v>39574</v>
      </c>
      <c r="E5471" s="6">
        <v>119.88</v>
      </c>
      <c r="G5471" s="4"/>
      <c r="H5471" s="5"/>
    </row>
    <row r="5472" spans="4:8" x14ac:dyDescent="0.25">
      <c r="D5472" s="4">
        <v>39575</v>
      </c>
      <c r="E5472" s="6">
        <v>120.27</v>
      </c>
      <c r="G5472" s="4"/>
      <c r="H5472" s="5"/>
    </row>
    <row r="5473" spans="4:8" x14ac:dyDescent="0.25">
      <c r="D5473" s="4">
        <v>39576</v>
      </c>
      <c r="E5473" s="6">
        <v>119.85</v>
      </c>
      <c r="G5473" s="4"/>
      <c r="H5473" s="5"/>
    </row>
    <row r="5474" spans="4:8" x14ac:dyDescent="0.25">
      <c r="D5474" s="4">
        <v>39577</v>
      </c>
      <c r="E5474" s="6">
        <v>123.54</v>
      </c>
      <c r="G5474" s="4"/>
      <c r="H5474" s="5"/>
    </row>
    <row r="5475" spans="4:8" x14ac:dyDescent="0.25">
      <c r="D5475" s="4">
        <v>39580</v>
      </c>
      <c r="E5475" s="6">
        <v>122.89</v>
      </c>
      <c r="G5475" s="4"/>
      <c r="H5475" s="5"/>
    </row>
    <row r="5476" spans="4:8" x14ac:dyDescent="0.25">
      <c r="D5476" s="4">
        <v>39581</v>
      </c>
      <c r="E5476" s="6">
        <v>123.11</v>
      </c>
      <c r="G5476" s="4"/>
      <c r="H5476" s="5"/>
    </row>
    <row r="5477" spans="4:8" x14ac:dyDescent="0.25">
      <c r="D5477" s="4">
        <v>39582</v>
      </c>
      <c r="E5477" s="6">
        <v>121.18</v>
      </c>
      <c r="G5477" s="4"/>
      <c r="H5477" s="5"/>
    </row>
    <row r="5478" spans="4:8" x14ac:dyDescent="0.25">
      <c r="D5478" s="4">
        <v>39583</v>
      </c>
      <c r="E5478" s="6">
        <v>122.76</v>
      </c>
      <c r="G5478" s="4"/>
      <c r="H5478" s="5"/>
    </row>
    <row r="5479" spans="4:8" x14ac:dyDescent="0.25">
      <c r="D5479" s="4">
        <v>39584</v>
      </c>
      <c r="E5479" s="6">
        <v>122.98</v>
      </c>
      <c r="G5479" s="4"/>
      <c r="H5479" s="5"/>
    </row>
    <row r="5480" spans="4:8" x14ac:dyDescent="0.25">
      <c r="D5480" s="4">
        <v>39587</v>
      </c>
      <c r="E5480" s="6">
        <v>122.19</v>
      </c>
      <c r="G5480" s="4"/>
      <c r="H5480" s="5"/>
    </row>
    <row r="5481" spans="4:8" x14ac:dyDescent="0.25">
      <c r="D5481" s="4">
        <v>39588</v>
      </c>
      <c r="E5481" s="6">
        <v>124.12</v>
      </c>
      <c r="G5481" s="4"/>
      <c r="H5481" s="5"/>
    </row>
    <row r="5482" spans="4:8" x14ac:dyDescent="0.25">
      <c r="D5482" s="4">
        <v>39589</v>
      </c>
      <c r="E5482" s="6">
        <v>127.28</v>
      </c>
      <c r="G5482" s="4"/>
      <c r="H5482" s="5"/>
    </row>
    <row r="5483" spans="4:8" x14ac:dyDescent="0.25">
      <c r="D5483" s="4">
        <v>39590</v>
      </c>
      <c r="E5483" s="6">
        <v>129.04</v>
      </c>
      <c r="G5483" s="4"/>
      <c r="H5483" s="5"/>
    </row>
    <row r="5484" spans="4:8" x14ac:dyDescent="0.25">
      <c r="D5484" s="4">
        <v>39591</v>
      </c>
      <c r="E5484" s="6">
        <v>129.72</v>
      </c>
      <c r="G5484" s="4"/>
      <c r="H5484" s="5"/>
    </row>
    <row r="5485" spans="4:8" x14ac:dyDescent="0.25">
      <c r="D5485" s="4">
        <v>39594</v>
      </c>
      <c r="E5485" s="5"/>
      <c r="G5485" s="4"/>
      <c r="H5485" s="5"/>
    </row>
    <row r="5486" spans="4:8" x14ac:dyDescent="0.25">
      <c r="D5486" s="4">
        <v>39595</v>
      </c>
      <c r="E5486" s="6">
        <v>128.91999999999999</v>
      </c>
      <c r="G5486" s="4"/>
      <c r="H5486" s="5"/>
    </row>
    <row r="5487" spans="4:8" x14ac:dyDescent="0.25">
      <c r="D5487" s="4">
        <v>39596</v>
      </c>
      <c r="E5487" s="6">
        <v>128.93</v>
      </c>
      <c r="G5487" s="4"/>
      <c r="H5487" s="5"/>
    </row>
    <row r="5488" spans="4:8" x14ac:dyDescent="0.25">
      <c r="D5488" s="4">
        <v>39597</v>
      </c>
      <c r="E5488" s="6">
        <v>129.33000000000001</v>
      </c>
      <c r="G5488" s="4"/>
      <c r="H5488" s="5"/>
    </row>
    <row r="5489" spans="4:8" x14ac:dyDescent="0.25">
      <c r="D5489" s="4">
        <v>39598</v>
      </c>
      <c r="E5489" s="6">
        <v>127.85</v>
      </c>
      <c r="G5489" s="4"/>
      <c r="H5489" s="5"/>
    </row>
    <row r="5490" spans="4:8" x14ac:dyDescent="0.25">
      <c r="D5490" s="4">
        <v>39601</v>
      </c>
      <c r="E5490" s="6">
        <v>128.5</v>
      </c>
      <c r="G5490" s="4"/>
      <c r="H5490" s="5"/>
    </row>
    <row r="5491" spans="4:8" x14ac:dyDescent="0.25">
      <c r="D5491" s="4">
        <v>39602</v>
      </c>
      <c r="E5491" s="6">
        <v>126.28</v>
      </c>
      <c r="G5491" s="4"/>
      <c r="H5491" s="5"/>
    </row>
    <row r="5492" spans="4:8" x14ac:dyDescent="0.25">
      <c r="D5492" s="4">
        <v>39603</v>
      </c>
      <c r="E5492" s="6">
        <v>121.72</v>
      </c>
      <c r="G5492" s="4"/>
      <c r="H5492" s="5"/>
    </row>
    <row r="5493" spans="4:8" x14ac:dyDescent="0.25">
      <c r="D5493" s="4">
        <v>39604</v>
      </c>
      <c r="E5493" s="6">
        <v>122.36</v>
      </c>
      <c r="G5493" s="4"/>
      <c r="H5493" s="5"/>
    </row>
    <row r="5494" spans="4:8" x14ac:dyDescent="0.25">
      <c r="D5494" s="4">
        <v>39605</v>
      </c>
      <c r="E5494" s="6">
        <v>132.81</v>
      </c>
      <c r="G5494" s="4"/>
      <c r="H5494" s="5"/>
    </row>
    <row r="5495" spans="4:8" x14ac:dyDescent="0.25">
      <c r="D5495" s="4">
        <v>39608</v>
      </c>
      <c r="E5495" s="6">
        <v>134.43</v>
      </c>
      <c r="G5495" s="4"/>
      <c r="H5495" s="5"/>
    </row>
    <row r="5496" spans="4:8" x14ac:dyDescent="0.25">
      <c r="D5496" s="4">
        <v>39609</v>
      </c>
      <c r="E5496" s="6">
        <v>135.24</v>
      </c>
      <c r="G5496" s="4"/>
      <c r="H5496" s="5"/>
    </row>
    <row r="5497" spans="4:8" x14ac:dyDescent="0.25">
      <c r="D5497" s="4">
        <v>39610</v>
      </c>
      <c r="E5497" s="6">
        <v>134.52000000000001</v>
      </c>
      <c r="G5497" s="4"/>
      <c r="H5497" s="5"/>
    </row>
    <row r="5498" spans="4:8" x14ac:dyDescent="0.25">
      <c r="D5498" s="4">
        <v>39611</v>
      </c>
      <c r="E5498" s="6">
        <v>132.11000000000001</v>
      </c>
      <c r="G5498" s="4"/>
      <c r="H5498" s="5"/>
    </row>
    <row r="5499" spans="4:8" x14ac:dyDescent="0.25">
      <c r="D5499" s="4">
        <v>39612</v>
      </c>
      <c r="E5499" s="6">
        <v>134.29</v>
      </c>
      <c r="G5499" s="4"/>
      <c r="H5499" s="5"/>
    </row>
    <row r="5500" spans="4:8" x14ac:dyDescent="0.25">
      <c r="D5500" s="4">
        <v>39615</v>
      </c>
      <c r="E5500" s="6">
        <v>133.9</v>
      </c>
      <c r="G5500" s="4"/>
      <c r="H5500" s="5"/>
    </row>
    <row r="5501" spans="4:8" x14ac:dyDescent="0.25">
      <c r="D5501" s="4">
        <v>39616</v>
      </c>
      <c r="E5501" s="6">
        <v>131.27000000000001</v>
      </c>
      <c r="G5501" s="4"/>
      <c r="H5501" s="5"/>
    </row>
    <row r="5502" spans="4:8" x14ac:dyDescent="0.25">
      <c r="D5502" s="4">
        <v>39617</v>
      </c>
      <c r="E5502" s="6">
        <v>129.12</v>
      </c>
      <c r="G5502" s="4"/>
      <c r="H5502" s="5"/>
    </row>
    <row r="5503" spans="4:8" x14ac:dyDescent="0.25">
      <c r="D5503" s="4">
        <v>39618</v>
      </c>
      <c r="E5503" s="6">
        <v>131.84</v>
      </c>
      <c r="G5503" s="4"/>
      <c r="H5503" s="5"/>
    </row>
    <row r="5504" spans="4:8" x14ac:dyDescent="0.25">
      <c r="D5504" s="4">
        <v>39619</v>
      </c>
      <c r="E5504" s="6">
        <v>134.28</v>
      </c>
      <c r="G5504" s="4"/>
      <c r="H5504" s="5"/>
    </row>
    <row r="5505" spans="4:8" x14ac:dyDescent="0.25">
      <c r="D5505" s="4">
        <v>39622</v>
      </c>
      <c r="E5505" s="6">
        <v>134.54</v>
      </c>
      <c r="G5505" s="4"/>
      <c r="H5505" s="5"/>
    </row>
    <row r="5506" spans="4:8" x14ac:dyDescent="0.25">
      <c r="D5506" s="4">
        <v>39623</v>
      </c>
      <c r="E5506" s="6">
        <v>135.37</v>
      </c>
      <c r="G5506" s="4"/>
      <c r="H5506" s="5"/>
    </row>
    <row r="5507" spans="4:8" x14ac:dyDescent="0.25">
      <c r="D5507" s="4">
        <v>39624</v>
      </c>
      <c r="E5507" s="6">
        <v>131.59</v>
      </c>
      <c r="G5507" s="4"/>
      <c r="H5507" s="5"/>
    </row>
    <row r="5508" spans="4:8" x14ac:dyDescent="0.25">
      <c r="D5508" s="4">
        <v>39625</v>
      </c>
      <c r="E5508" s="6">
        <v>136.82</v>
      </c>
      <c r="G5508" s="4"/>
      <c r="H5508" s="5"/>
    </row>
    <row r="5509" spans="4:8" x14ac:dyDescent="0.25">
      <c r="D5509" s="4">
        <v>39626</v>
      </c>
      <c r="E5509" s="6">
        <v>139.38</v>
      </c>
      <c r="G5509" s="4"/>
      <c r="H5509" s="5"/>
    </row>
    <row r="5510" spans="4:8" x14ac:dyDescent="0.25">
      <c r="D5510" s="4">
        <v>39629</v>
      </c>
      <c r="E5510" s="6">
        <v>138.4</v>
      </c>
      <c r="G5510" s="4"/>
      <c r="H5510" s="5"/>
    </row>
    <row r="5511" spans="4:8" x14ac:dyDescent="0.25">
      <c r="D5511" s="4">
        <v>39630</v>
      </c>
      <c r="E5511" s="6">
        <v>140.66999999999999</v>
      </c>
      <c r="G5511" s="4"/>
      <c r="H5511" s="5"/>
    </row>
    <row r="5512" spans="4:8" x14ac:dyDescent="0.25">
      <c r="D5512" s="4">
        <v>39631</v>
      </c>
      <c r="E5512" s="6">
        <v>141.24</v>
      </c>
      <c r="G5512" s="4"/>
      <c r="H5512" s="5"/>
    </row>
    <row r="5513" spans="4:8" x14ac:dyDescent="0.25">
      <c r="D5513" s="4">
        <v>39632</v>
      </c>
      <c r="E5513" s="6">
        <v>143.94999999999999</v>
      </c>
      <c r="G5513" s="4"/>
      <c r="H5513" s="5"/>
    </row>
    <row r="5514" spans="4:8" x14ac:dyDescent="0.25">
      <c r="D5514" s="4">
        <v>39633</v>
      </c>
      <c r="E5514" s="5"/>
      <c r="G5514" s="4"/>
      <c r="H5514" s="5"/>
    </row>
    <row r="5515" spans="4:8" x14ac:dyDescent="0.25">
      <c r="D5515" s="4">
        <v>39636</v>
      </c>
      <c r="E5515" s="6">
        <v>139.62</v>
      </c>
      <c r="G5515" s="4"/>
      <c r="H5515" s="5"/>
    </row>
    <row r="5516" spans="4:8" x14ac:dyDescent="0.25">
      <c r="D5516" s="4">
        <v>39637</v>
      </c>
      <c r="E5516" s="6">
        <v>134.15</v>
      </c>
      <c r="G5516" s="4"/>
      <c r="H5516" s="5"/>
    </row>
    <row r="5517" spans="4:8" x14ac:dyDescent="0.25">
      <c r="D5517" s="4">
        <v>39638</v>
      </c>
      <c r="E5517" s="6">
        <v>133.91</v>
      </c>
      <c r="G5517" s="4"/>
      <c r="H5517" s="5"/>
    </row>
    <row r="5518" spans="4:8" x14ac:dyDescent="0.25">
      <c r="D5518" s="4">
        <v>39639</v>
      </c>
      <c r="E5518" s="6">
        <v>135.81</v>
      </c>
      <c r="G5518" s="4"/>
      <c r="H5518" s="5"/>
    </row>
    <row r="5519" spans="4:8" x14ac:dyDescent="0.25">
      <c r="D5519" s="4">
        <v>39640</v>
      </c>
      <c r="E5519" s="6">
        <v>143.68</v>
      </c>
      <c r="G5519" s="4"/>
      <c r="H5519" s="5"/>
    </row>
    <row r="5520" spans="4:8" x14ac:dyDescent="0.25">
      <c r="D5520" s="4">
        <v>39643</v>
      </c>
      <c r="E5520" s="6">
        <v>142.43</v>
      </c>
      <c r="G5520" s="4"/>
      <c r="H5520" s="5"/>
    </row>
    <row r="5521" spans="4:8" x14ac:dyDescent="0.25">
      <c r="D5521" s="4">
        <v>39644</v>
      </c>
      <c r="E5521" s="6">
        <v>136.02000000000001</v>
      </c>
      <c r="G5521" s="4"/>
      <c r="H5521" s="5"/>
    </row>
    <row r="5522" spans="4:8" x14ac:dyDescent="0.25">
      <c r="D5522" s="4">
        <v>39645</v>
      </c>
      <c r="E5522" s="6">
        <v>133.31</v>
      </c>
      <c r="G5522" s="4"/>
      <c r="H5522" s="5"/>
    </row>
    <row r="5523" spans="4:8" x14ac:dyDescent="0.25">
      <c r="D5523" s="4">
        <v>39646</v>
      </c>
      <c r="E5523" s="6">
        <v>134.16</v>
      </c>
      <c r="G5523" s="4"/>
      <c r="H5523" s="5"/>
    </row>
    <row r="5524" spans="4:8" x14ac:dyDescent="0.25">
      <c r="D5524" s="4">
        <v>39647</v>
      </c>
      <c r="E5524" s="6">
        <v>129.34</v>
      </c>
      <c r="G5524" s="4"/>
      <c r="H5524" s="5"/>
    </row>
    <row r="5525" spans="4:8" x14ac:dyDescent="0.25">
      <c r="D5525" s="4">
        <v>39650</v>
      </c>
      <c r="E5525" s="6">
        <v>129.34</v>
      </c>
      <c r="G5525" s="4"/>
      <c r="H5525" s="5"/>
    </row>
    <row r="5526" spans="4:8" x14ac:dyDescent="0.25">
      <c r="D5526" s="4">
        <v>39651</v>
      </c>
      <c r="E5526" s="6">
        <v>127.18</v>
      </c>
      <c r="G5526" s="4"/>
      <c r="H5526" s="5"/>
    </row>
    <row r="5527" spans="4:8" x14ac:dyDescent="0.25">
      <c r="D5527" s="4">
        <v>39652</v>
      </c>
      <c r="E5527" s="6">
        <v>126.86</v>
      </c>
      <c r="G5527" s="4"/>
      <c r="H5527" s="5"/>
    </row>
    <row r="5528" spans="4:8" x14ac:dyDescent="0.25">
      <c r="D5528" s="4">
        <v>39653</v>
      </c>
      <c r="E5528" s="6">
        <v>125.43</v>
      </c>
      <c r="G5528" s="4"/>
      <c r="H5528" s="5"/>
    </row>
    <row r="5529" spans="4:8" x14ac:dyDescent="0.25">
      <c r="D5529" s="4">
        <v>39654</v>
      </c>
      <c r="E5529" s="6">
        <v>124.7</v>
      </c>
      <c r="G5529" s="4"/>
      <c r="H5529" s="5"/>
    </row>
    <row r="5530" spans="4:8" x14ac:dyDescent="0.25">
      <c r="D5530" s="4">
        <v>39657</v>
      </c>
      <c r="E5530" s="6">
        <v>125.67</v>
      </c>
      <c r="G5530" s="4"/>
      <c r="H5530" s="5"/>
    </row>
    <row r="5531" spans="4:8" x14ac:dyDescent="0.25">
      <c r="D5531" s="4">
        <v>39658</v>
      </c>
      <c r="E5531" s="6">
        <v>125.77</v>
      </c>
      <c r="G5531" s="4"/>
      <c r="H5531" s="5"/>
    </row>
    <row r="5532" spans="4:8" x14ac:dyDescent="0.25">
      <c r="D5532" s="4">
        <v>39659</v>
      </c>
      <c r="E5532" s="6">
        <v>122.46</v>
      </c>
      <c r="G5532" s="4"/>
      <c r="H5532" s="5"/>
    </row>
    <row r="5533" spans="4:8" x14ac:dyDescent="0.25">
      <c r="D5533" s="4">
        <v>39660</v>
      </c>
      <c r="E5533" s="6">
        <v>124.1</v>
      </c>
      <c r="G5533" s="4"/>
      <c r="H5533" s="5"/>
    </row>
    <row r="5534" spans="4:8" x14ac:dyDescent="0.25">
      <c r="D5534" s="4">
        <v>39661</v>
      </c>
      <c r="E5534" s="6">
        <v>124.16</v>
      </c>
      <c r="G5534" s="4"/>
      <c r="H5534" s="5"/>
    </row>
    <row r="5535" spans="4:8" x14ac:dyDescent="0.25">
      <c r="D5535" s="4">
        <v>39664</v>
      </c>
      <c r="E5535" s="6">
        <v>121.87</v>
      </c>
      <c r="G5535" s="4"/>
      <c r="H5535" s="5"/>
    </row>
    <row r="5536" spans="4:8" x14ac:dyDescent="0.25">
      <c r="D5536" s="4">
        <v>39665</v>
      </c>
      <c r="E5536" s="6">
        <v>116.5</v>
      </c>
      <c r="G5536" s="4"/>
      <c r="H5536" s="5"/>
    </row>
    <row r="5537" spans="4:8" x14ac:dyDescent="0.25">
      <c r="D5537" s="4">
        <v>39666</v>
      </c>
      <c r="E5537" s="6">
        <v>114.47</v>
      </c>
      <c r="G5537" s="4"/>
      <c r="H5537" s="5"/>
    </row>
    <row r="5538" spans="4:8" x14ac:dyDescent="0.25">
      <c r="D5538" s="4">
        <v>39667</v>
      </c>
      <c r="E5538" s="6">
        <v>116.94</v>
      </c>
      <c r="G5538" s="4"/>
      <c r="H5538" s="5"/>
    </row>
    <row r="5539" spans="4:8" x14ac:dyDescent="0.25">
      <c r="D5539" s="4">
        <v>39668</v>
      </c>
      <c r="E5539" s="6">
        <v>113.03</v>
      </c>
      <c r="G5539" s="4"/>
      <c r="H5539" s="5"/>
    </row>
    <row r="5540" spans="4:8" x14ac:dyDescent="0.25">
      <c r="D5540" s="4">
        <v>39671</v>
      </c>
      <c r="E5540" s="6">
        <v>110.54</v>
      </c>
      <c r="G5540" s="4"/>
      <c r="H5540" s="5"/>
    </row>
    <row r="5541" spans="4:8" x14ac:dyDescent="0.25">
      <c r="D5541" s="4">
        <v>39672</v>
      </c>
      <c r="E5541" s="6">
        <v>108.98</v>
      </c>
      <c r="G5541" s="4"/>
      <c r="H5541" s="5"/>
    </row>
    <row r="5542" spans="4:8" x14ac:dyDescent="0.25">
      <c r="D5542" s="4">
        <v>39673</v>
      </c>
      <c r="E5542" s="6">
        <v>110.68</v>
      </c>
      <c r="G5542" s="4"/>
      <c r="H5542" s="5"/>
    </row>
    <row r="5543" spans="4:8" x14ac:dyDescent="0.25">
      <c r="D5543" s="4">
        <v>39674</v>
      </c>
      <c r="E5543" s="6">
        <v>111.82</v>
      </c>
      <c r="G5543" s="4"/>
      <c r="H5543" s="5"/>
    </row>
    <row r="5544" spans="4:8" x14ac:dyDescent="0.25">
      <c r="D5544" s="4">
        <v>39675</v>
      </c>
      <c r="E5544" s="6">
        <v>108.8</v>
      </c>
      <c r="G5544" s="4"/>
      <c r="H5544" s="5"/>
    </row>
    <row r="5545" spans="4:8" x14ac:dyDescent="0.25">
      <c r="D5545" s="4">
        <v>39678</v>
      </c>
      <c r="E5545" s="6">
        <v>109.33</v>
      </c>
      <c r="G5545" s="4"/>
      <c r="H5545" s="5"/>
    </row>
    <row r="5546" spans="4:8" x14ac:dyDescent="0.25">
      <c r="D5546" s="4">
        <v>39679</v>
      </c>
      <c r="E5546" s="6">
        <v>109.02</v>
      </c>
      <c r="G5546" s="4"/>
      <c r="H5546" s="5"/>
    </row>
    <row r="5547" spans="4:8" x14ac:dyDescent="0.25">
      <c r="D5547" s="4">
        <v>39680</v>
      </c>
      <c r="E5547" s="6">
        <v>108.72</v>
      </c>
      <c r="G5547" s="4"/>
      <c r="H5547" s="5"/>
    </row>
    <row r="5548" spans="4:8" x14ac:dyDescent="0.25">
      <c r="D5548" s="4">
        <v>39681</v>
      </c>
      <c r="E5548" s="6">
        <v>117.24</v>
      </c>
      <c r="G5548" s="4"/>
      <c r="H5548" s="5"/>
    </row>
    <row r="5549" spans="4:8" x14ac:dyDescent="0.25">
      <c r="D5549" s="4">
        <v>39682</v>
      </c>
      <c r="E5549" s="6">
        <v>113.99</v>
      </c>
      <c r="G5549" s="4"/>
      <c r="H5549" s="5"/>
    </row>
    <row r="5550" spans="4:8" x14ac:dyDescent="0.25">
      <c r="D5550" s="4">
        <v>39685</v>
      </c>
      <c r="E5550" s="6">
        <v>109.74</v>
      </c>
      <c r="G5550" s="4"/>
      <c r="H5550" s="5"/>
    </row>
    <row r="5551" spans="4:8" x14ac:dyDescent="0.25">
      <c r="D5551" s="4">
        <v>39686</v>
      </c>
      <c r="E5551" s="6">
        <v>112.2</v>
      </c>
      <c r="G5551" s="4"/>
      <c r="H5551" s="5"/>
    </row>
    <row r="5552" spans="4:8" x14ac:dyDescent="0.25">
      <c r="D5552" s="4">
        <v>39687</v>
      </c>
      <c r="E5552" s="6">
        <v>113.05</v>
      </c>
      <c r="G5552" s="4"/>
      <c r="H5552" s="5"/>
    </row>
    <row r="5553" spans="4:8" x14ac:dyDescent="0.25">
      <c r="D5553" s="4">
        <v>39688</v>
      </c>
      <c r="E5553" s="6">
        <v>113.54</v>
      </c>
      <c r="G5553" s="4"/>
      <c r="H5553" s="5"/>
    </row>
    <row r="5554" spans="4:8" x14ac:dyDescent="0.25">
      <c r="D5554" s="4">
        <v>39689</v>
      </c>
      <c r="E5554" s="6">
        <v>113.49</v>
      </c>
      <c r="G5554" s="4"/>
      <c r="H5554" s="5"/>
    </row>
    <row r="5555" spans="4:8" x14ac:dyDescent="0.25">
      <c r="D5555" s="4">
        <v>39692</v>
      </c>
      <c r="E5555" s="5"/>
      <c r="G5555" s="4"/>
      <c r="H5555" s="5"/>
    </row>
    <row r="5556" spans="4:8" x14ac:dyDescent="0.25">
      <c r="D5556" s="4">
        <v>39693</v>
      </c>
      <c r="E5556" s="6">
        <v>104.94</v>
      </c>
      <c r="G5556" s="4"/>
      <c r="H5556" s="5"/>
    </row>
    <row r="5557" spans="4:8" x14ac:dyDescent="0.25">
      <c r="D5557" s="4">
        <v>39694</v>
      </c>
      <c r="E5557" s="6">
        <v>103.88</v>
      </c>
      <c r="G5557" s="4"/>
      <c r="H5557" s="5"/>
    </row>
    <row r="5558" spans="4:8" x14ac:dyDescent="0.25">
      <c r="D5558" s="4">
        <v>39695</v>
      </c>
      <c r="E5558" s="6">
        <v>103.41</v>
      </c>
      <c r="G5558" s="4"/>
      <c r="H5558" s="5"/>
    </row>
    <row r="5559" spans="4:8" x14ac:dyDescent="0.25">
      <c r="D5559" s="4">
        <v>39696</v>
      </c>
      <c r="E5559" s="6">
        <v>102.51</v>
      </c>
      <c r="G5559" s="4"/>
      <c r="H5559" s="5"/>
    </row>
    <row r="5560" spans="4:8" x14ac:dyDescent="0.25">
      <c r="D5560" s="4">
        <v>39699</v>
      </c>
      <c r="E5560" s="6">
        <v>101.08</v>
      </c>
      <c r="G5560" s="4"/>
      <c r="H5560" s="5"/>
    </row>
    <row r="5561" spans="4:8" x14ac:dyDescent="0.25">
      <c r="D5561" s="4">
        <v>39700</v>
      </c>
      <c r="E5561" s="6">
        <v>98.94</v>
      </c>
      <c r="G5561" s="4"/>
      <c r="H5561" s="5"/>
    </row>
    <row r="5562" spans="4:8" x14ac:dyDescent="0.25">
      <c r="D5562" s="4">
        <v>39701</v>
      </c>
      <c r="E5562" s="6">
        <v>96</v>
      </c>
      <c r="G5562" s="4"/>
      <c r="H5562" s="5"/>
    </row>
    <row r="5563" spans="4:8" x14ac:dyDescent="0.25">
      <c r="D5563" s="4">
        <v>39702</v>
      </c>
      <c r="E5563" s="6">
        <v>96.01</v>
      </c>
      <c r="G5563" s="4"/>
      <c r="H5563" s="5"/>
    </row>
    <row r="5564" spans="4:8" x14ac:dyDescent="0.25">
      <c r="D5564" s="4">
        <v>39703</v>
      </c>
      <c r="E5564" s="6">
        <v>94.37</v>
      </c>
      <c r="G5564" s="4"/>
      <c r="H5564" s="5"/>
    </row>
    <row r="5565" spans="4:8" x14ac:dyDescent="0.25">
      <c r="D5565" s="4">
        <v>39706</v>
      </c>
      <c r="E5565" s="6">
        <v>90.45</v>
      </c>
      <c r="G5565" s="4"/>
      <c r="H5565" s="5"/>
    </row>
    <row r="5566" spans="4:8" x14ac:dyDescent="0.25">
      <c r="D5566" s="4">
        <v>39707</v>
      </c>
      <c r="E5566" s="6">
        <v>85.85</v>
      </c>
      <c r="G5566" s="4"/>
      <c r="H5566" s="5"/>
    </row>
    <row r="5567" spans="4:8" x14ac:dyDescent="0.25">
      <c r="D5567" s="4">
        <v>39708</v>
      </c>
      <c r="E5567" s="6">
        <v>86.09</v>
      </c>
      <c r="G5567" s="4"/>
      <c r="H5567" s="5"/>
    </row>
    <row r="5568" spans="4:8" x14ac:dyDescent="0.25">
      <c r="D5568" s="4">
        <v>39709</v>
      </c>
      <c r="E5568" s="6">
        <v>90.89</v>
      </c>
      <c r="G5568" s="4"/>
      <c r="H5568" s="5"/>
    </row>
    <row r="5569" spans="4:8" x14ac:dyDescent="0.25">
      <c r="D5569" s="4">
        <v>39710</v>
      </c>
      <c r="E5569" s="6">
        <v>93.46</v>
      </c>
      <c r="G5569" s="4"/>
      <c r="H5569" s="5"/>
    </row>
    <row r="5570" spans="4:8" x14ac:dyDescent="0.25">
      <c r="D5570" s="4">
        <v>39713</v>
      </c>
      <c r="E5570" s="6">
        <v>100.43</v>
      </c>
      <c r="G5570" s="4"/>
      <c r="H5570" s="5"/>
    </row>
    <row r="5571" spans="4:8" x14ac:dyDescent="0.25">
      <c r="D5571" s="4">
        <v>39714</v>
      </c>
      <c r="E5571" s="6">
        <v>100.72</v>
      </c>
      <c r="G5571" s="4"/>
      <c r="H5571" s="5"/>
    </row>
    <row r="5572" spans="4:8" x14ac:dyDescent="0.25">
      <c r="D5572" s="4">
        <v>39715</v>
      </c>
      <c r="E5572" s="6">
        <v>102.09</v>
      </c>
      <c r="G5572" s="4"/>
      <c r="H5572" s="5"/>
    </row>
    <row r="5573" spans="4:8" x14ac:dyDescent="0.25">
      <c r="D5573" s="4">
        <v>39716</v>
      </c>
      <c r="E5573" s="6">
        <v>100.45</v>
      </c>
      <c r="G5573" s="4"/>
      <c r="H5573" s="5"/>
    </row>
    <row r="5574" spans="4:8" x14ac:dyDescent="0.25">
      <c r="D5574" s="4">
        <v>39717</v>
      </c>
      <c r="E5574" s="6">
        <v>100.88</v>
      </c>
      <c r="G5574" s="4"/>
      <c r="H5574" s="5"/>
    </row>
    <row r="5575" spans="4:8" x14ac:dyDescent="0.25">
      <c r="D5575" s="4">
        <v>39720</v>
      </c>
      <c r="E5575" s="6">
        <v>95.96</v>
      </c>
      <c r="G5575" s="4"/>
      <c r="H5575" s="5"/>
    </row>
    <row r="5576" spans="4:8" x14ac:dyDescent="0.25">
      <c r="D5576" s="4">
        <v>39721</v>
      </c>
      <c r="E5576" s="6">
        <v>93.52</v>
      </c>
      <c r="G5576" s="4"/>
      <c r="H5576" s="5"/>
    </row>
    <row r="5577" spans="4:8" x14ac:dyDescent="0.25">
      <c r="D5577" s="4">
        <v>39722</v>
      </c>
      <c r="E5577" s="6">
        <v>92.19</v>
      </c>
      <c r="G5577" s="4"/>
      <c r="H5577" s="5"/>
    </row>
    <row r="5578" spans="4:8" x14ac:dyDescent="0.25">
      <c r="D5578" s="4">
        <v>39723</v>
      </c>
      <c r="E5578" s="6">
        <v>88.88</v>
      </c>
      <c r="G5578" s="4"/>
      <c r="H5578" s="5"/>
    </row>
    <row r="5579" spans="4:8" x14ac:dyDescent="0.25">
      <c r="D5579" s="4">
        <v>39724</v>
      </c>
      <c r="E5579" s="6">
        <v>88.95</v>
      </c>
      <c r="G5579" s="4"/>
      <c r="H5579" s="5"/>
    </row>
    <row r="5580" spans="4:8" x14ac:dyDescent="0.25">
      <c r="D5580" s="4">
        <v>39727</v>
      </c>
      <c r="E5580" s="6">
        <v>84.71</v>
      </c>
      <c r="G5580" s="4"/>
      <c r="H5580" s="5"/>
    </row>
    <row r="5581" spans="4:8" x14ac:dyDescent="0.25">
      <c r="D5581" s="4">
        <v>39728</v>
      </c>
      <c r="E5581" s="6">
        <v>83.17</v>
      </c>
      <c r="G5581" s="4"/>
      <c r="H5581" s="5"/>
    </row>
    <row r="5582" spans="4:8" x14ac:dyDescent="0.25">
      <c r="D5582" s="4">
        <v>39729</v>
      </c>
      <c r="E5582" s="6">
        <v>80.77</v>
      </c>
      <c r="G5582" s="4"/>
      <c r="H5582" s="5"/>
    </row>
    <row r="5583" spans="4:8" x14ac:dyDescent="0.25">
      <c r="D5583" s="4">
        <v>39730</v>
      </c>
      <c r="E5583" s="6">
        <v>81.650000000000006</v>
      </c>
      <c r="G5583" s="4"/>
      <c r="H5583" s="5"/>
    </row>
    <row r="5584" spans="4:8" x14ac:dyDescent="0.25">
      <c r="D5584" s="4">
        <v>39731</v>
      </c>
      <c r="E5584" s="6">
        <v>74.58</v>
      </c>
      <c r="G5584" s="4"/>
      <c r="H5584" s="5"/>
    </row>
    <row r="5585" spans="4:8" x14ac:dyDescent="0.25">
      <c r="D5585" s="4">
        <v>39734</v>
      </c>
      <c r="E5585" s="6">
        <v>74.37</v>
      </c>
      <c r="G5585" s="4"/>
      <c r="H5585" s="5"/>
    </row>
    <row r="5586" spans="4:8" x14ac:dyDescent="0.25">
      <c r="D5586" s="4">
        <v>39735</v>
      </c>
      <c r="E5586" s="6">
        <v>74.98</v>
      </c>
      <c r="G5586" s="4"/>
      <c r="H5586" s="5"/>
    </row>
    <row r="5587" spans="4:8" x14ac:dyDescent="0.25">
      <c r="D5587" s="4">
        <v>39736</v>
      </c>
      <c r="E5587" s="6">
        <v>66.86</v>
      </c>
      <c r="G5587" s="4"/>
      <c r="H5587" s="5"/>
    </row>
    <row r="5588" spans="4:8" x14ac:dyDescent="0.25">
      <c r="D5588" s="4">
        <v>39737</v>
      </c>
      <c r="E5588" s="6">
        <v>64.14</v>
      </c>
      <c r="G5588" s="4"/>
      <c r="H5588" s="5"/>
    </row>
    <row r="5589" spans="4:8" x14ac:dyDescent="0.25">
      <c r="D5589" s="4">
        <v>39738</v>
      </c>
      <c r="E5589" s="6">
        <v>66.05</v>
      </c>
      <c r="G5589" s="4"/>
      <c r="H5589" s="5"/>
    </row>
    <row r="5590" spans="4:8" x14ac:dyDescent="0.25">
      <c r="D5590" s="4">
        <v>39741</v>
      </c>
      <c r="E5590" s="6">
        <v>67.45</v>
      </c>
      <c r="G5590" s="4"/>
      <c r="H5590" s="5"/>
    </row>
    <row r="5591" spans="4:8" x14ac:dyDescent="0.25">
      <c r="D5591" s="4">
        <v>39742</v>
      </c>
      <c r="E5591" s="6">
        <v>65.989999999999995</v>
      </c>
      <c r="G5591" s="4"/>
      <c r="H5591" s="5"/>
    </row>
    <row r="5592" spans="4:8" x14ac:dyDescent="0.25">
      <c r="D5592" s="4">
        <v>39743</v>
      </c>
      <c r="E5592" s="6">
        <v>62.95</v>
      </c>
      <c r="G5592" s="4"/>
      <c r="H5592" s="5"/>
    </row>
    <row r="5593" spans="4:8" x14ac:dyDescent="0.25">
      <c r="D5593" s="4">
        <v>39744</v>
      </c>
      <c r="E5593" s="6">
        <v>65.06</v>
      </c>
      <c r="G5593" s="4"/>
      <c r="H5593" s="5"/>
    </row>
    <row r="5594" spans="4:8" x14ac:dyDescent="0.25">
      <c r="D5594" s="4">
        <v>39745</v>
      </c>
      <c r="E5594" s="6">
        <v>60.57</v>
      </c>
      <c r="G5594" s="4"/>
      <c r="H5594" s="5"/>
    </row>
    <row r="5595" spans="4:8" x14ac:dyDescent="0.25">
      <c r="D5595" s="4">
        <v>39748</v>
      </c>
      <c r="E5595" s="6">
        <v>59.34</v>
      </c>
      <c r="G5595" s="4"/>
      <c r="H5595" s="5"/>
    </row>
    <row r="5596" spans="4:8" x14ac:dyDescent="0.25">
      <c r="D5596" s="4">
        <v>39749</v>
      </c>
      <c r="E5596" s="6">
        <v>58.87</v>
      </c>
      <c r="G5596" s="4"/>
      <c r="H5596" s="5"/>
    </row>
    <row r="5597" spans="4:8" x14ac:dyDescent="0.25">
      <c r="D5597" s="4">
        <v>39750</v>
      </c>
      <c r="E5597" s="6">
        <v>64</v>
      </c>
      <c r="G5597" s="4"/>
      <c r="H5597" s="5"/>
    </row>
    <row r="5598" spans="4:8" x14ac:dyDescent="0.25">
      <c r="D5598" s="4">
        <v>39751</v>
      </c>
      <c r="E5598" s="6">
        <v>60.86</v>
      </c>
      <c r="G5598" s="4"/>
      <c r="H5598" s="5"/>
    </row>
    <row r="5599" spans="4:8" x14ac:dyDescent="0.25">
      <c r="D5599" s="4">
        <v>39752</v>
      </c>
      <c r="E5599" s="6">
        <v>60</v>
      </c>
      <c r="G5599" s="4"/>
      <c r="H5599" s="5"/>
    </row>
    <row r="5600" spans="4:8" x14ac:dyDescent="0.25">
      <c r="D5600" s="4">
        <v>39755</v>
      </c>
      <c r="E5600" s="6">
        <v>60.32</v>
      </c>
      <c r="G5600" s="4"/>
      <c r="H5600" s="5"/>
    </row>
    <row r="5601" spans="4:8" x14ac:dyDescent="0.25">
      <c r="D5601" s="4">
        <v>39756</v>
      </c>
      <c r="E5601" s="6">
        <v>62.78</v>
      </c>
      <c r="G5601" s="4"/>
      <c r="H5601" s="5"/>
    </row>
    <row r="5602" spans="4:8" x14ac:dyDescent="0.25">
      <c r="D5602" s="4">
        <v>39757</v>
      </c>
      <c r="E5602" s="6">
        <v>61.09</v>
      </c>
      <c r="G5602" s="4"/>
      <c r="H5602" s="5"/>
    </row>
    <row r="5603" spans="4:8" x14ac:dyDescent="0.25">
      <c r="D5603" s="4">
        <v>39758</v>
      </c>
      <c r="E5603" s="6">
        <v>56.14</v>
      </c>
      <c r="G5603" s="4"/>
      <c r="H5603" s="5"/>
    </row>
    <row r="5604" spans="4:8" x14ac:dyDescent="0.25">
      <c r="D5604" s="4">
        <v>39759</v>
      </c>
      <c r="E5604" s="6">
        <v>56.84</v>
      </c>
      <c r="G5604" s="4"/>
      <c r="H5604" s="5"/>
    </row>
    <row r="5605" spans="4:8" x14ac:dyDescent="0.25">
      <c r="D5605" s="4">
        <v>39762</v>
      </c>
      <c r="E5605" s="6">
        <v>57.08</v>
      </c>
      <c r="G5605" s="4"/>
      <c r="H5605" s="5"/>
    </row>
    <row r="5606" spans="4:8" x14ac:dyDescent="0.25">
      <c r="D5606" s="4">
        <v>39763</v>
      </c>
      <c r="E5606" s="6">
        <v>54.76</v>
      </c>
      <c r="G5606" s="4"/>
      <c r="H5606" s="5"/>
    </row>
    <row r="5607" spans="4:8" x14ac:dyDescent="0.25">
      <c r="D5607" s="4">
        <v>39764</v>
      </c>
      <c r="E5607" s="6">
        <v>52.47</v>
      </c>
      <c r="G5607" s="4"/>
      <c r="H5607" s="5"/>
    </row>
    <row r="5608" spans="4:8" x14ac:dyDescent="0.25">
      <c r="D5608" s="4">
        <v>39765</v>
      </c>
      <c r="E5608" s="6">
        <v>51.32</v>
      </c>
      <c r="G5608" s="4"/>
      <c r="H5608" s="5"/>
    </row>
    <row r="5609" spans="4:8" x14ac:dyDescent="0.25">
      <c r="D5609" s="4">
        <v>39766</v>
      </c>
      <c r="E5609" s="6">
        <v>50.7</v>
      </c>
      <c r="G5609" s="4"/>
      <c r="H5609" s="5"/>
    </row>
    <row r="5610" spans="4:8" x14ac:dyDescent="0.25">
      <c r="D5610" s="4">
        <v>39769</v>
      </c>
      <c r="E5610" s="6">
        <v>50.82</v>
      </c>
      <c r="G5610" s="4"/>
      <c r="H5610" s="5"/>
    </row>
    <row r="5611" spans="4:8" x14ac:dyDescent="0.25">
      <c r="D5611" s="4">
        <v>39770</v>
      </c>
      <c r="E5611" s="6">
        <v>49.1</v>
      </c>
      <c r="G5611" s="4"/>
      <c r="H5611" s="5"/>
    </row>
    <row r="5612" spans="4:8" x14ac:dyDescent="0.25">
      <c r="D5612" s="4">
        <v>39771</v>
      </c>
      <c r="E5612" s="6">
        <v>48.35</v>
      </c>
      <c r="G5612" s="4"/>
      <c r="H5612" s="5"/>
    </row>
    <row r="5613" spans="4:8" x14ac:dyDescent="0.25">
      <c r="D5613" s="4">
        <v>39772</v>
      </c>
      <c r="E5613" s="6">
        <v>45.79</v>
      </c>
      <c r="G5613" s="4"/>
      <c r="H5613" s="5"/>
    </row>
    <row r="5614" spans="4:8" x14ac:dyDescent="0.25">
      <c r="D5614" s="4">
        <v>39773</v>
      </c>
      <c r="E5614" s="6">
        <v>44.91</v>
      </c>
      <c r="G5614" s="4"/>
      <c r="H5614" s="5"/>
    </row>
    <row r="5615" spans="4:8" x14ac:dyDescent="0.25">
      <c r="D5615" s="4">
        <v>39776</v>
      </c>
      <c r="E5615" s="6">
        <v>49.51</v>
      </c>
      <c r="G5615" s="4"/>
      <c r="H5615" s="5"/>
    </row>
    <row r="5616" spans="4:8" x14ac:dyDescent="0.25">
      <c r="D5616" s="4">
        <v>39777</v>
      </c>
      <c r="E5616" s="6">
        <v>47.51</v>
      </c>
      <c r="G5616" s="4"/>
      <c r="H5616" s="5"/>
    </row>
    <row r="5617" spans="4:8" x14ac:dyDescent="0.25">
      <c r="D5617" s="4">
        <v>39778</v>
      </c>
      <c r="E5617" s="6">
        <v>49.39</v>
      </c>
      <c r="G5617" s="4"/>
      <c r="H5617" s="5"/>
    </row>
    <row r="5618" spans="4:8" x14ac:dyDescent="0.25">
      <c r="D5618" s="4">
        <v>39779</v>
      </c>
      <c r="E5618" s="5"/>
      <c r="G5618" s="4"/>
      <c r="H5618" s="5"/>
    </row>
    <row r="5619" spans="4:8" x14ac:dyDescent="0.25">
      <c r="D5619" s="4">
        <v>39780</v>
      </c>
      <c r="E5619" s="6">
        <v>47.72</v>
      </c>
      <c r="G5619" s="4"/>
      <c r="H5619" s="5"/>
    </row>
    <row r="5620" spans="4:8" x14ac:dyDescent="0.25">
      <c r="D5620" s="4">
        <v>39783</v>
      </c>
      <c r="E5620" s="6">
        <v>47.58</v>
      </c>
      <c r="G5620" s="4"/>
      <c r="H5620" s="5"/>
    </row>
    <row r="5621" spans="4:8" x14ac:dyDescent="0.25">
      <c r="D5621" s="4">
        <v>39784</v>
      </c>
      <c r="E5621" s="6">
        <v>45.64</v>
      </c>
      <c r="G5621" s="4"/>
      <c r="H5621" s="5"/>
    </row>
    <row r="5622" spans="4:8" x14ac:dyDescent="0.25">
      <c r="D5622" s="4">
        <v>39785</v>
      </c>
      <c r="E5622" s="6">
        <v>44.39</v>
      </c>
      <c r="G5622" s="4"/>
      <c r="H5622" s="5"/>
    </row>
    <row r="5623" spans="4:8" x14ac:dyDescent="0.25">
      <c r="D5623" s="4">
        <v>39786</v>
      </c>
      <c r="E5623" s="6">
        <v>43.83</v>
      </c>
      <c r="G5623" s="4"/>
      <c r="H5623" s="5"/>
    </row>
    <row r="5624" spans="4:8" x14ac:dyDescent="0.25">
      <c r="D5624" s="4">
        <v>39787</v>
      </c>
      <c r="E5624" s="6">
        <v>37.04</v>
      </c>
      <c r="G5624" s="4"/>
      <c r="H5624" s="5"/>
    </row>
    <row r="5625" spans="4:8" x14ac:dyDescent="0.25">
      <c r="D5625" s="4">
        <v>39790</v>
      </c>
      <c r="E5625" s="6">
        <v>40.020000000000003</v>
      </c>
      <c r="G5625" s="4"/>
      <c r="H5625" s="5"/>
    </row>
    <row r="5626" spans="4:8" x14ac:dyDescent="0.25">
      <c r="D5626" s="4">
        <v>39791</v>
      </c>
      <c r="E5626" s="6">
        <v>39.770000000000003</v>
      </c>
      <c r="G5626" s="4"/>
      <c r="H5626" s="5"/>
    </row>
    <row r="5627" spans="4:8" x14ac:dyDescent="0.25">
      <c r="D5627" s="4">
        <v>39792</v>
      </c>
      <c r="E5627" s="6">
        <v>39.340000000000003</v>
      </c>
      <c r="G5627" s="4"/>
      <c r="H5627" s="5"/>
    </row>
    <row r="5628" spans="4:8" x14ac:dyDescent="0.25">
      <c r="D5628" s="4">
        <v>39793</v>
      </c>
      <c r="E5628" s="6">
        <v>43.54</v>
      </c>
      <c r="G5628" s="4"/>
      <c r="H5628" s="5"/>
    </row>
    <row r="5629" spans="4:8" x14ac:dyDescent="0.25">
      <c r="D5629" s="4">
        <v>39794</v>
      </c>
      <c r="E5629" s="6">
        <v>42.38</v>
      </c>
      <c r="G5629" s="4"/>
      <c r="H5629" s="5"/>
    </row>
    <row r="5630" spans="4:8" x14ac:dyDescent="0.25">
      <c r="D5630" s="4">
        <v>39797</v>
      </c>
      <c r="E5630" s="6">
        <v>45.02</v>
      </c>
      <c r="G5630" s="4"/>
      <c r="H5630" s="5"/>
    </row>
    <row r="5631" spans="4:8" x14ac:dyDescent="0.25">
      <c r="D5631" s="4">
        <v>39798</v>
      </c>
      <c r="E5631" s="6">
        <v>42</v>
      </c>
      <c r="G5631" s="4"/>
      <c r="H5631" s="5"/>
    </row>
    <row r="5632" spans="4:8" x14ac:dyDescent="0.25">
      <c r="D5632" s="4">
        <v>39799</v>
      </c>
      <c r="E5632" s="6">
        <v>41.84</v>
      </c>
      <c r="G5632" s="4"/>
      <c r="H5632" s="5"/>
    </row>
    <row r="5633" spans="4:8" x14ac:dyDescent="0.25">
      <c r="D5633" s="4">
        <v>39800</v>
      </c>
      <c r="E5633" s="6">
        <v>40.19</v>
      </c>
      <c r="G5633" s="4"/>
      <c r="H5633" s="5"/>
    </row>
    <row r="5634" spans="4:8" x14ac:dyDescent="0.25">
      <c r="D5634" s="4">
        <v>39801</v>
      </c>
      <c r="E5634" s="6">
        <v>39.520000000000003</v>
      </c>
      <c r="G5634" s="4"/>
      <c r="H5634" s="5"/>
    </row>
    <row r="5635" spans="4:8" x14ac:dyDescent="0.25">
      <c r="D5635" s="4">
        <v>39804</v>
      </c>
      <c r="E5635" s="6">
        <v>38.08</v>
      </c>
      <c r="G5635" s="4"/>
      <c r="H5635" s="5"/>
    </row>
    <row r="5636" spans="4:8" x14ac:dyDescent="0.25">
      <c r="D5636" s="4">
        <v>39805</v>
      </c>
      <c r="E5636" s="6">
        <v>35.270000000000003</v>
      </c>
      <c r="G5636" s="4"/>
      <c r="H5636" s="5"/>
    </row>
    <row r="5637" spans="4:8" x14ac:dyDescent="0.25">
      <c r="D5637" s="4">
        <v>39806</v>
      </c>
      <c r="E5637" s="6">
        <v>34.450000000000003</v>
      </c>
      <c r="G5637" s="4"/>
      <c r="H5637" s="5"/>
    </row>
    <row r="5638" spans="4:8" x14ac:dyDescent="0.25">
      <c r="D5638" s="4">
        <v>39807</v>
      </c>
      <c r="E5638" s="5"/>
      <c r="G5638" s="4"/>
      <c r="H5638" s="5"/>
    </row>
    <row r="5639" spans="4:8" x14ac:dyDescent="0.25">
      <c r="D5639" s="4">
        <v>39808</v>
      </c>
      <c r="E5639" s="6">
        <v>33.729999999999997</v>
      </c>
      <c r="G5639" s="4"/>
      <c r="H5639" s="5"/>
    </row>
    <row r="5640" spans="4:8" x14ac:dyDescent="0.25">
      <c r="D5640" s="4">
        <v>39811</v>
      </c>
      <c r="E5640" s="6">
        <v>34.159999999999997</v>
      </c>
      <c r="G5640" s="4"/>
      <c r="H5640" s="5"/>
    </row>
    <row r="5641" spans="4:8" x14ac:dyDescent="0.25">
      <c r="D5641" s="4">
        <v>39812</v>
      </c>
      <c r="E5641" s="6">
        <v>35.22</v>
      </c>
      <c r="G5641" s="4"/>
      <c r="H5641" s="5"/>
    </row>
    <row r="5642" spans="4:8" x14ac:dyDescent="0.25">
      <c r="D5642" s="4">
        <v>39813</v>
      </c>
      <c r="E5642" s="6">
        <v>35.82</v>
      </c>
      <c r="G5642" s="4"/>
      <c r="H5642" s="5"/>
    </row>
    <row r="5643" spans="4:8" x14ac:dyDescent="0.25">
      <c r="D5643" s="4">
        <v>39814</v>
      </c>
      <c r="E5643" s="5"/>
      <c r="G5643" s="4"/>
      <c r="H5643" s="5"/>
    </row>
    <row r="5644" spans="4:8" x14ac:dyDescent="0.25">
      <c r="D5644" s="4">
        <v>39815</v>
      </c>
      <c r="E5644" s="6">
        <v>42.94</v>
      </c>
      <c r="G5644" s="4"/>
      <c r="H5644" s="5"/>
    </row>
    <row r="5645" spans="4:8" x14ac:dyDescent="0.25">
      <c r="D5645" s="4">
        <v>39818</v>
      </c>
      <c r="E5645" s="6">
        <v>45.84</v>
      </c>
      <c r="G5645" s="4"/>
      <c r="H5645" s="5"/>
    </row>
    <row r="5646" spans="4:8" x14ac:dyDescent="0.25">
      <c r="D5646" s="4">
        <v>39819</v>
      </c>
      <c r="E5646" s="6">
        <v>48.89</v>
      </c>
      <c r="G5646" s="4"/>
      <c r="H5646" s="5"/>
    </row>
    <row r="5647" spans="4:8" x14ac:dyDescent="0.25">
      <c r="D5647" s="4">
        <v>39820</v>
      </c>
      <c r="E5647" s="6">
        <v>46.23</v>
      </c>
      <c r="G5647" s="4"/>
      <c r="H5647" s="5"/>
    </row>
    <row r="5648" spans="4:8" x14ac:dyDescent="0.25">
      <c r="D5648" s="4">
        <v>39821</v>
      </c>
      <c r="E5648" s="6">
        <v>42.94</v>
      </c>
      <c r="G5648" s="4"/>
      <c r="H5648" s="5"/>
    </row>
    <row r="5649" spans="4:8" x14ac:dyDescent="0.25">
      <c r="D5649" s="4">
        <v>39822</v>
      </c>
      <c r="E5649" s="6">
        <v>42.34</v>
      </c>
      <c r="G5649" s="4"/>
      <c r="H5649" s="5"/>
    </row>
    <row r="5650" spans="4:8" x14ac:dyDescent="0.25">
      <c r="D5650" s="4">
        <v>39825</v>
      </c>
      <c r="E5650" s="6">
        <v>40.86</v>
      </c>
      <c r="G5650" s="4"/>
      <c r="H5650" s="5"/>
    </row>
    <row r="5651" spans="4:8" x14ac:dyDescent="0.25">
      <c r="D5651" s="4">
        <v>39826</v>
      </c>
      <c r="E5651" s="6">
        <v>43.05</v>
      </c>
      <c r="G5651" s="4"/>
      <c r="H5651" s="5"/>
    </row>
    <row r="5652" spans="4:8" x14ac:dyDescent="0.25">
      <c r="D5652" s="4">
        <v>39827</v>
      </c>
      <c r="E5652" s="6">
        <v>42.27</v>
      </c>
      <c r="G5652" s="4"/>
      <c r="H5652" s="5"/>
    </row>
    <row r="5653" spans="4:8" x14ac:dyDescent="0.25">
      <c r="D5653" s="4">
        <v>39828</v>
      </c>
      <c r="E5653" s="6">
        <v>42.32</v>
      </c>
      <c r="G5653" s="4"/>
      <c r="H5653" s="5"/>
    </row>
    <row r="5654" spans="4:8" x14ac:dyDescent="0.25">
      <c r="D5654" s="4">
        <v>39829</v>
      </c>
      <c r="E5654" s="6">
        <v>43.42</v>
      </c>
      <c r="G5654" s="4"/>
      <c r="H5654" s="5"/>
    </row>
    <row r="5655" spans="4:8" x14ac:dyDescent="0.25">
      <c r="D5655" s="4">
        <v>39832</v>
      </c>
      <c r="E5655" s="5"/>
      <c r="G5655" s="4"/>
      <c r="H5655" s="5"/>
    </row>
    <row r="5656" spans="4:8" x14ac:dyDescent="0.25">
      <c r="D5656" s="4">
        <v>39833</v>
      </c>
      <c r="E5656" s="6">
        <v>41.22</v>
      </c>
      <c r="G5656" s="4"/>
      <c r="H5656" s="5"/>
    </row>
    <row r="5657" spans="4:8" x14ac:dyDescent="0.25">
      <c r="D5657" s="4">
        <v>39834</v>
      </c>
      <c r="E5657" s="6">
        <v>39.9</v>
      </c>
      <c r="G5657" s="4"/>
      <c r="H5657" s="5"/>
    </row>
    <row r="5658" spans="4:8" x14ac:dyDescent="0.25">
      <c r="D5658" s="4">
        <v>39835</v>
      </c>
      <c r="E5658" s="6">
        <v>42.42</v>
      </c>
      <c r="G5658" s="4"/>
      <c r="H5658" s="5"/>
    </row>
    <row r="5659" spans="4:8" x14ac:dyDescent="0.25">
      <c r="D5659" s="4">
        <v>39836</v>
      </c>
      <c r="E5659" s="6">
        <v>43.13</v>
      </c>
      <c r="G5659" s="4"/>
      <c r="H5659" s="5"/>
    </row>
    <row r="5660" spans="4:8" x14ac:dyDescent="0.25">
      <c r="D5660" s="4">
        <v>39839</v>
      </c>
      <c r="E5660" s="6">
        <v>48</v>
      </c>
      <c r="G5660" s="4"/>
      <c r="H5660" s="5"/>
    </row>
    <row r="5661" spans="4:8" x14ac:dyDescent="0.25">
      <c r="D5661" s="4">
        <v>39840</v>
      </c>
      <c r="E5661" s="6">
        <v>42.86</v>
      </c>
      <c r="G5661" s="4"/>
      <c r="H5661" s="5"/>
    </row>
    <row r="5662" spans="4:8" x14ac:dyDescent="0.25">
      <c r="D5662" s="4">
        <v>39841</v>
      </c>
      <c r="E5662" s="6">
        <v>42.86</v>
      </c>
      <c r="G5662" s="4"/>
      <c r="H5662" s="5"/>
    </row>
    <row r="5663" spans="4:8" x14ac:dyDescent="0.25">
      <c r="D5663" s="4">
        <v>39842</v>
      </c>
      <c r="E5663" s="6">
        <v>43.13</v>
      </c>
      <c r="G5663" s="4"/>
      <c r="H5663" s="5"/>
    </row>
    <row r="5664" spans="4:8" x14ac:dyDescent="0.25">
      <c r="D5664" s="4">
        <v>39843</v>
      </c>
      <c r="E5664" s="6">
        <v>44.17</v>
      </c>
      <c r="G5664" s="4"/>
      <c r="H5664" s="5"/>
    </row>
    <row r="5665" spans="4:8" x14ac:dyDescent="0.25">
      <c r="D5665" s="4">
        <v>39846</v>
      </c>
      <c r="E5665" s="6">
        <v>42.96</v>
      </c>
      <c r="G5665" s="4"/>
      <c r="H5665" s="5"/>
    </row>
    <row r="5666" spans="4:8" x14ac:dyDescent="0.25">
      <c r="D5666" s="4">
        <v>39847</v>
      </c>
      <c r="E5666" s="6">
        <v>43.15</v>
      </c>
      <c r="G5666" s="4"/>
      <c r="H5666" s="5"/>
    </row>
    <row r="5667" spans="4:8" x14ac:dyDescent="0.25">
      <c r="D5667" s="4">
        <v>39848</v>
      </c>
      <c r="E5667" s="6">
        <v>43.68</v>
      </c>
      <c r="G5667" s="4"/>
      <c r="H5667" s="5"/>
    </row>
    <row r="5668" spans="4:8" x14ac:dyDescent="0.25">
      <c r="D5668" s="4">
        <v>39849</v>
      </c>
      <c r="E5668" s="6">
        <v>43.92</v>
      </c>
      <c r="G5668" s="4"/>
      <c r="H5668" s="5"/>
    </row>
    <row r="5669" spans="4:8" x14ac:dyDescent="0.25">
      <c r="D5669" s="4">
        <v>39850</v>
      </c>
      <c r="E5669" s="6">
        <v>44.49</v>
      </c>
      <c r="G5669" s="4"/>
      <c r="H5669" s="5"/>
    </row>
    <row r="5670" spans="4:8" x14ac:dyDescent="0.25">
      <c r="D5670" s="4">
        <v>39853</v>
      </c>
      <c r="E5670" s="6">
        <v>47.23</v>
      </c>
      <c r="G5670" s="4"/>
      <c r="H5670" s="5"/>
    </row>
    <row r="5671" spans="4:8" x14ac:dyDescent="0.25">
      <c r="D5671" s="4">
        <v>39854</v>
      </c>
      <c r="E5671" s="6">
        <v>45.88</v>
      </c>
      <c r="G5671" s="4"/>
      <c r="H5671" s="5"/>
    </row>
    <row r="5672" spans="4:8" x14ac:dyDescent="0.25">
      <c r="D5672" s="4">
        <v>39855</v>
      </c>
      <c r="E5672" s="6">
        <v>44.24</v>
      </c>
      <c r="G5672" s="4"/>
      <c r="H5672" s="5"/>
    </row>
    <row r="5673" spans="4:8" x14ac:dyDescent="0.25">
      <c r="D5673" s="4">
        <v>39856</v>
      </c>
      <c r="E5673" s="6">
        <v>47.23</v>
      </c>
      <c r="G5673" s="4"/>
      <c r="H5673" s="5"/>
    </row>
    <row r="5674" spans="4:8" x14ac:dyDescent="0.25">
      <c r="D5674" s="4">
        <v>39857</v>
      </c>
      <c r="E5674" s="6">
        <v>43.36</v>
      </c>
      <c r="G5674" s="4"/>
      <c r="H5674" s="5"/>
    </row>
    <row r="5675" spans="4:8" x14ac:dyDescent="0.25">
      <c r="D5675" s="4">
        <v>39860</v>
      </c>
      <c r="E5675" s="5"/>
      <c r="G5675" s="4"/>
      <c r="H5675" s="5"/>
    </row>
    <row r="5676" spans="4:8" x14ac:dyDescent="0.25">
      <c r="D5676" s="4">
        <v>39861</v>
      </c>
      <c r="E5676" s="6">
        <v>39.69</v>
      </c>
      <c r="G5676" s="4"/>
      <c r="H5676" s="5"/>
    </row>
    <row r="5677" spans="4:8" x14ac:dyDescent="0.25">
      <c r="D5677" s="4">
        <v>39862</v>
      </c>
      <c r="E5677" s="6">
        <v>39.409999999999997</v>
      </c>
      <c r="G5677" s="4"/>
      <c r="H5677" s="5"/>
    </row>
    <row r="5678" spans="4:8" x14ac:dyDescent="0.25">
      <c r="D5678" s="4">
        <v>39863</v>
      </c>
      <c r="E5678" s="6">
        <v>42.36</v>
      </c>
      <c r="G5678" s="4"/>
      <c r="H5678" s="5"/>
    </row>
    <row r="5679" spans="4:8" x14ac:dyDescent="0.25">
      <c r="D5679" s="4">
        <v>39864</v>
      </c>
      <c r="E5679" s="6">
        <v>42.19</v>
      </c>
      <c r="G5679" s="4"/>
      <c r="H5679" s="5"/>
    </row>
    <row r="5680" spans="4:8" x14ac:dyDescent="0.25">
      <c r="D5680" s="4">
        <v>39867</v>
      </c>
      <c r="E5680" s="6">
        <v>41.27</v>
      </c>
      <c r="G5680" s="4"/>
      <c r="H5680" s="5"/>
    </row>
    <row r="5681" spans="4:8" x14ac:dyDescent="0.25">
      <c r="D5681" s="4">
        <v>39868</v>
      </c>
      <c r="E5681" s="6">
        <v>40.18</v>
      </c>
      <c r="G5681" s="4"/>
      <c r="H5681" s="5"/>
    </row>
    <row r="5682" spans="4:8" x14ac:dyDescent="0.25">
      <c r="D5682" s="4">
        <v>39869</v>
      </c>
      <c r="E5682" s="6">
        <v>42.37</v>
      </c>
      <c r="G5682" s="4"/>
      <c r="H5682" s="5"/>
    </row>
    <row r="5683" spans="4:8" x14ac:dyDescent="0.25">
      <c r="D5683" s="4">
        <v>39870</v>
      </c>
      <c r="E5683" s="6">
        <v>45.15</v>
      </c>
      <c r="G5683" s="4"/>
      <c r="H5683" s="5"/>
    </row>
    <row r="5684" spans="4:8" x14ac:dyDescent="0.25">
      <c r="D5684" s="4">
        <v>39871</v>
      </c>
      <c r="E5684" s="6">
        <v>44.41</v>
      </c>
      <c r="G5684" s="4"/>
      <c r="H5684" s="5"/>
    </row>
    <row r="5685" spans="4:8" x14ac:dyDescent="0.25">
      <c r="D5685" s="4">
        <v>39874</v>
      </c>
      <c r="E5685" s="6">
        <v>42.6</v>
      </c>
      <c r="G5685" s="4"/>
      <c r="H5685" s="5"/>
    </row>
    <row r="5686" spans="4:8" x14ac:dyDescent="0.25">
      <c r="D5686" s="4">
        <v>39875</v>
      </c>
      <c r="E5686" s="6">
        <v>42.72</v>
      </c>
      <c r="G5686" s="4"/>
      <c r="H5686" s="5"/>
    </row>
    <row r="5687" spans="4:8" x14ac:dyDescent="0.25">
      <c r="D5687" s="4">
        <v>39876</v>
      </c>
      <c r="E5687" s="6">
        <v>46.07</v>
      </c>
      <c r="G5687" s="4"/>
      <c r="H5687" s="5"/>
    </row>
    <row r="5688" spans="4:8" x14ac:dyDescent="0.25">
      <c r="D5688" s="4">
        <v>39877</v>
      </c>
      <c r="E5688" s="6">
        <v>44.45</v>
      </c>
      <c r="G5688" s="4"/>
      <c r="H5688" s="5"/>
    </row>
    <row r="5689" spans="4:8" x14ac:dyDescent="0.25">
      <c r="D5689" s="4">
        <v>39878</v>
      </c>
      <c r="E5689" s="6">
        <v>43.48</v>
      </c>
      <c r="G5689" s="4"/>
      <c r="H5689" s="5"/>
    </row>
    <row r="5690" spans="4:8" x14ac:dyDescent="0.25">
      <c r="D5690" s="4">
        <v>39881</v>
      </c>
      <c r="E5690" s="6">
        <v>44.55</v>
      </c>
      <c r="G5690" s="4"/>
      <c r="H5690" s="5"/>
    </row>
    <row r="5691" spans="4:8" x14ac:dyDescent="0.25">
      <c r="D5691" s="4">
        <v>39882</v>
      </c>
      <c r="E5691" s="6">
        <v>44.99</v>
      </c>
      <c r="G5691" s="4"/>
      <c r="H5691" s="5"/>
    </row>
    <row r="5692" spans="4:8" x14ac:dyDescent="0.25">
      <c r="D5692" s="4">
        <v>39883</v>
      </c>
      <c r="E5692" s="6">
        <v>43.2</v>
      </c>
      <c r="G5692" s="4"/>
      <c r="H5692" s="5"/>
    </row>
    <row r="5693" spans="4:8" x14ac:dyDescent="0.25">
      <c r="D5693" s="4">
        <v>39884</v>
      </c>
      <c r="E5693" s="6">
        <v>42.19</v>
      </c>
      <c r="G5693" s="4"/>
      <c r="H5693" s="5"/>
    </row>
    <row r="5694" spans="4:8" x14ac:dyDescent="0.25">
      <c r="D5694" s="4">
        <v>39885</v>
      </c>
      <c r="E5694" s="6">
        <v>44.97</v>
      </c>
      <c r="G5694" s="4"/>
      <c r="H5694" s="5"/>
    </row>
    <row r="5695" spans="4:8" x14ac:dyDescent="0.25">
      <c r="D5695" s="4">
        <v>39888</v>
      </c>
      <c r="E5695" s="6">
        <v>44.12</v>
      </c>
      <c r="G5695" s="4"/>
      <c r="H5695" s="5"/>
    </row>
    <row r="5696" spans="4:8" x14ac:dyDescent="0.25">
      <c r="D5696" s="4">
        <v>39889</v>
      </c>
      <c r="E5696" s="6">
        <v>45.53</v>
      </c>
      <c r="G5696" s="4"/>
      <c r="H5696" s="5"/>
    </row>
    <row r="5697" spans="4:8" x14ac:dyDescent="0.25">
      <c r="D5697" s="4">
        <v>39890</v>
      </c>
      <c r="E5697" s="6">
        <v>45.22</v>
      </c>
      <c r="G5697" s="4"/>
      <c r="H5697" s="5"/>
    </row>
    <row r="5698" spans="4:8" x14ac:dyDescent="0.25">
      <c r="D5698" s="4">
        <v>39891</v>
      </c>
      <c r="E5698" s="6">
        <v>48.03</v>
      </c>
      <c r="G5698" s="4"/>
      <c r="H5698" s="5"/>
    </row>
    <row r="5699" spans="4:8" x14ac:dyDescent="0.25">
      <c r="D5699" s="4">
        <v>39892</v>
      </c>
      <c r="E5699" s="6">
        <v>49.27</v>
      </c>
      <c r="G5699" s="4"/>
      <c r="H5699" s="5"/>
    </row>
    <row r="5700" spans="4:8" x14ac:dyDescent="0.25">
      <c r="D5700" s="4">
        <v>39895</v>
      </c>
      <c r="E5700" s="6">
        <v>51.84</v>
      </c>
      <c r="G5700" s="4"/>
      <c r="H5700" s="5"/>
    </row>
    <row r="5701" spans="4:8" x14ac:dyDescent="0.25">
      <c r="D5701" s="4">
        <v>39896</v>
      </c>
      <c r="E5701" s="6">
        <v>51.32</v>
      </c>
      <c r="G5701" s="4"/>
      <c r="H5701" s="5"/>
    </row>
    <row r="5702" spans="4:8" x14ac:dyDescent="0.25">
      <c r="D5702" s="4">
        <v>39897</v>
      </c>
      <c r="E5702" s="6">
        <v>51.46</v>
      </c>
      <c r="G5702" s="4"/>
      <c r="H5702" s="5"/>
    </row>
    <row r="5703" spans="4:8" x14ac:dyDescent="0.25">
      <c r="D5703" s="4">
        <v>39898</v>
      </c>
      <c r="E5703" s="6">
        <v>51.89</v>
      </c>
      <c r="G5703" s="4"/>
      <c r="H5703" s="5"/>
    </row>
    <row r="5704" spans="4:8" x14ac:dyDescent="0.25">
      <c r="D5704" s="4">
        <v>39899</v>
      </c>
      <c r="E5704" s="6">
        <v>50.81</v>
      </c>
      <c r="G5704" s="4"/>
      <c r="H5704" s="5"/>
    </row>
    <row r="5705" spans="4:8" x14ac:dyDescent="0.25">
      <c r="D5705" s="4">
        <v>39902</v>
      </c>
      <c r="E5705" s="6">
        <v>49.05</v>
      </c>
      <c r="G5705" s="4"/>
      <c r="H5705" s="5"/>
    </row>
    <row r="5706" spans="4:8" x14ac:dyDescent="0.25">
      <c r="D5706" s="4">
        <v>39903</v>
      </c>
      <c r="E5706" s="6">
        <v>46.13</v>
      </c>
      <c r="G5706" s="4"/>
      <c r="H5706" s="5"/>
    </row>
    <row r="5707" spans="4:8" x14ac:dyDescent="0.25">
      <c r="D5707" s="4">
        <v>39904</v>
      </c>
      <c r="E5707" s="6">
        <v>45.92</v>
      </c>
      <c r="G5707" s="4"/>
      <c r="H5707" s="5"/>
    </row>
    <row r="5708" spans="4:8" x14ac:dyDescent="0.25">
      <c r="D5708" s="4">
        <v>39905</v>
      </c>
      <c r="E5708" s="6">
        <v>50.89</v>
      </c>
      <c r="G5708" s="4"/>
      <c r="H5708" s="5"/>
    </row>
    <row r="5709" spans="4:8" x14ac:dyDescent="0.25">
      <c r="D5709" s="4">
        <v>39906</v>
      </c>
      <c r="E5709" s="6">
        <v>50.48</v>
      </c>
      <c r="G5709" s="4"/>
      <c r="H5709" s="5"/>
    </row>
    <row r="5710" spans="4:8" x14ac:dyDescent="0.25">
      <c r="D5710" s="4">
        <v>39909</v>
      </c>
      <c r="E5710" s="6">
        <v>50.91</v>
      </c>
      <c r="G5710" s="4"/>
      <c r="H5710" s="5"/>
    </row>
    <row r="5711" spans="4:8" x14ac:dyDescent="0.25">
      <c r="D5711" s="4">
        <v>39910</v>
      </c>
      <c r="E5711" s="6">
        <v>50.62</v>
      </c>
      <c r="G5711" s="4"/>
      <c r="H5711" s="5"/>
    </row>
    <row r="5712" spans="4:8" x14ac:dyDescent="0.25">
      <c r="D5712" s="4">
        <v>39911</v>
      </c>
      <c r="E5712" s="6">
        <v>52.06</v>
      </c>
      <c r="G5712" s="4"/>
      <c r="H5712" s="5"/>
    </row>
    <row r="5713" spans="4:8" x14ac:dyDescent="0.25">
      <c r="D5713" s="4">
        <v>39912</v>
      </c>
      <c r="E5713" s="6">
        <v>52.33</v>
      </c>
      <c r="G5713" s="4"/>
      <c r="H5713" s="5"/>
    </row>
    <row r="5714" spans="4:8" x14ac:dyDescent="0.25">
      <c r="D5714" s="4">
        <v>39913</v>
      </c>
      <c r="E5714" s="5"/>
      <c r="G5714" s="4"/>
      <c r="H5714" s="5"/>
    </row>
    <row r="5715" spans="4:8" x14ac:dyDescent="0.25">
      <c r="D5715" s="4">
        <v>39916</v>
      </c>
      <c r="E5715" s="6">
        <v>50.73</v>
      </c>
      <c r="G5715" s="4"/>
      <c r="H5715" s="5"/>
    </row>
    <row r="5716" spans="4:8" x14ac:dyDescent="0.25">
      <c r="D5716" s="4">
        <v>39917</v>
      </c>
      <c r="E5716" s="6">
        <v>52.06</v>
      </c>
      <c r="G5716" s="4"/>
      <c r="H5716" s="5"/>
    </row>
    <row r="5717" spans="4:8" x14ac:dyDescent="0.25">
      <c r="D5717" s="4">
        <v>39918</v>
      </c>
      <c r="E5717" s="6">
        <v>51.31</v>
      </c>
      <c r="G5717" s="4"/>
      <c r="H5717" s="5"/>
    </row>
    <row r="5718" spans="4:8" x14ac:dyDescent="0.25">
      <c r="D5718" s="4">
        <v>39919</v>
      </c>
      <c r="E5718" s="6">
        <v>51.83</v>
      </c>
      <c r="G5718" s="4"/>
      <c r="H5718" s="5"/>
    </row>
    <row r="5719" spans="4:8" x14ac:dyDescent="0.25">
      <c r="D5719" s="4">
        <v>39920</v>
      </c>
      <c r="E5719" s="6">
        <v>52.02</v>
      </c>
      <c r="G5719" s="4"/>
      <c r="H5719" s="5"/>
    </row>
    <row r="5720" spans="4:8" x14ac:dyDescent="0.25">
      <c r="D5720" s="4">
        <v>39923</v>
      </c>
      <c r="E5720" s="6">
        <v>49.06</v>
      </c>
      <c r="G5720" s="4"/>
      <c r="H5720" s="5"/>
    </row>
    <row r="5721" spans="4:8" x14ac:dyDescent="0.25">
      <c r="D5721" s="4">
        <v>39924</v>
      </c>
      <c r="E5721" s="6">
        <v>48.69</v>
      </c>
      <c r="G5721" s="4"/>
      <c r="H5721" s="5"/>
    </row>
    <row r="5722" spans="4:8" x14ac:dyDescent="0.25">
      <c r="D5722" s="4">
        <v>39925</v>
      </c>
      <c r="E5722" s="6">
        <v>48.5</v>
      </c>
      <c r="G5722" s="4"/>
      <c r="H5722" s="5"/>
    </row>
    <row r="5723" spans="4:8" x14ac:dyDescent="0.25">
      <c r="D5723" s="4">
        <v>39926</v>
      </c>
      <c r="E5723" s="6">
        <v>48.29</v>
      </c>
      <c r="G5723" s="4"/>
      <c r="H5723" s="5"/>
    </row>
    <row r="5724" spans="4:8" x14ac:dyDescent="0.25">
      <c r="D5724" s="4">
        <v>39927</v>
      </c>
      <c r="E5724" s="6">
        <v>50.29</v>
      </c>
      <c r="G5724" s="4"/>
      <c r="H5724" s="5"/>
    </row>
    <row r="5725" spans="4:8" x14ac:dyDescent="0.25">
      <c r="D5725" s="4">
        <v>39930</v>
      </c>
      <c r="E5725" s="6">
        <v>48.67</v>
      </c>
      <c r="G5725" s="4"/>
      <c r="H5725" s="5"/>
    </row>
    <row r="5726" spans="4:8" x14ac:dyDescent="0.25">
      <c r="D5726" s="4">
        <v>39931</v>
      </c>
      <c r="E5726" s="6">
        <v>48.64</v>
      </c>
      <c r="G5726" s="4"/>
      <c r="H5726" s="5"/>
    </row>
    <row r="5727" spans="4:8" x14ac:dyDescent="0.25">
      <c r="D5727" s="4">
        <v>39932</v>
      </c>
      <c r="E5727" s="6">
        <v>50.22</v>
      </c>
      <c r="G5727" s="4"/>
      <c r="H5727" s="5"/>
    </row>
    <row r="5728" spans="4:8" x14ac:dyDescent="0.25">
      <c r="D5728" s="4">
        <v>39933</v>
      </c>
      <c r="E5728" s="6">
        <v>50.3</v>
      </c>
      <c r="G5728" s="4"/>
      <c r="H5728" s="5"/>
    </row>
    <row r="5729" spans="4:8" x14ac:dyDescent="0.25">
      <c r="D5729" s="4">
        <v>39934</v>
      </c>
      <c r="E5729" s="6">
        <v>51.75</v>
      </c>
      <c r="G5729" s="4"/>
      <c r="H5729" s="5"/>
    </row>
    <row r="5730" spans="4:8" x14ac:dyDescent="0.25">
      <c r="D5730" s="4">
        <v>39937</v>
      </c>
      <c r="E5730" s="6">
        <v>53.26</v>
      </c>
      <c r="G5730" s="4"/>
      <c r="H5730" s="5"/>
    </row>
    <row r="5731" spans="4:8" x14ac:dyDescent="0.25">
      <c r="D5731" s="4">
        <v>39938</v>
      </c>
      <c r="E5731" s="6">
        <v>53.16</v>
      </c>
      <c r="G5731" s="4"/>
      <c r="H5731" s="5"/>
    </row>
    <row r="5732" spans="4:8" x14ac:dyDescent="0.25">
      <c r="D5732" s="4">
        <v>39939</v>
      </c>
      <c r="E5732" s="6">
        <v>55.07</v>
      </c>
      <c r="G5732" s="4"/>
      <c r="H5732" s="5"/>
    </row>
    <row r="5733" spans="4:8" x14ac:dyDescent="0.25">
      <c r="D5733" s="4">
        <v>39940</v>
      </c>
      <c r="E5733" s="6">
        <v>56.63</v>
      </c>
      <c r="G5733" s="4"/>
      <c r="H5733" s="5"/>
    </row>
    <row r="5734" spans="4:8" x14ac:dyDescent="0.25">
      <c r="D5734" s="4">
        <v>39941</v>
      </c>
      <c r="E5734" s="6">
        <v>56.02</v>
      </c>
      <c r="G5734" s="4"/>
      <c r="H5734" s="5"/>
    </row>
    <row r="5735" spans="4:8" x14ac:dyDescent="0.25">
      <c r="D5735" s="4">
        <v>39944</v>
      </c>
      <c r="E5735" s="6">
        <v>55.99</v>
      </c>
      <c r="G5735" s="4"/>
      <c r="H5735" s="5"/>
    </row>
    <row r="5736" spans="4:8" x14ac:dyDescent="0.25">
      <c r="D5736" s="4">
        <v>39945</v>
      </c>
      <c r="E5736" s="6">
        <v>56.52</v>
      </c>
      <c r="G5736" s="4"/>
      <c r="H5736" s="5"/>
    </row>
    <row r="5737" spans="4:8" x14ac:dyDescent="0.25">
      <c r="D5737" s="4">
        <v>39946</v>
      </c>
      <c r="E5737" s="6">
        <v>56.84</v>
      </c>
      <c r="G5737" s="4"/>
      <c r="H5737" s="5"/>
    </row>
    <row r="5738" spans="4:8" x14ac:dyDescent="0.25">
      <c r="D5738" s="4">
        <v>39947</v>
      </c>
      <c r="E5738" s="6">
        <v>56.25</v>
      </c>
      <c r="G5738" s="4"/>
      <c r="H5738" s="5"/>
    </row>
    <row r="5739" spans="4:8" x14ac:dyDescent="0.25">
      <c r="D5739" s="4">
        <v>39948</v>
      </c>
      <c r="E5739" s="6">
        <v>56.33</v>
      </c>
      <c r="G5739" s="4"/>
      <c r="H5739" s="5"/>
    </row>
    <row r="5740" spans="4:8" x14ac:dyDescent="0.25">
      <c r="D5740" s="4">
        <v>39951</v>
      </c>
      <c r="E5740" s="6">
        <v>56.51</v>
      </c>
      <c r="G5740" s="4"/>
      <c r="H5740" s="5"/>
    </row>
    <row r="5741" spans="4:8" x14ac:dyDescent="0.25">
      <c r="D5741" s="4">
        <v>39952</v>
      </c>
      <c r="E5741" s="6">
        <v>57.12</v>
      </c>
      <c r="G5741" s="4"/>
      <c r="H5741" s="5"/>
    </row>
    <row r="5742" spans="4:8" x14ac:dyDescent="0.25">
      <c r="D5742" s="4">
        <v>39953</v>
      </c>
      <c r="E5742" s="6">
        <v>59.1</v>
      </c>
      <c r="G5742" s="4"/>
      <c r="H5742" s="5"/>
    </row>
    <row r="5743" spans="4:8" x14ac:dyDescent="0.25">
      <c r="D5743" s="4">
        <v>39954</v>
      </c>
      <c r="E5743" s="6">
        <v>58.02</v>
      </c>
      <c r="G5743" s="4"/>
      <c r="H5743" s="5"/>
    </row>
    <row r="5744" spans="4:8" x14ac:dyDescent="0.25">
      <c r="D5744" s="4">
        <v>39955</v>
      </c>
      <c r="E5744" s="6">
        <v>58.7</v>
      </c>
      <c r="G5744" s="4"/>
      <c r="H5744" s="5"/>
    </row>
    <row r="5745" spans="4:8" x14ac:dyDescent="0.25">
      <c r="D5745" s="4">
        <v>39958</v>
      </c>
      <c r="E5745" s="5"/>
      <c r="G5745" s="4"/>
      <c r="H5745" s="5"/>
    </row>
    <row r="5746" spans="4:8" x14ac:dyDescent="0.25">
      <c r="D5746" s="4">
        <v>39959</v>
      </c>
      <c r="E5746" s="6">
        <v>59.05</v>
      </c>
      <c r="G5746" s="4"/>
      <c r="H5746" s="5"/>
    </row>
    <row r="5747" spans="4:8" x14ac:dyDescent="0.25">
      <c r="D5747" s="4">
        <v>39960</v>
      </c>
      <c r="E5747" s="6">
        <v>61.28</v>
      </c>
      <c r="G5747" s="4"/>
      <c r="H5747" s="5"/>
    </row>
    <row r="5748" spans="4:8" x14ac:dyDescent="0.25">
      <c r="D5748" s="4">
        <v>39961</v>
      </c>
      <c r="E5748" s="6">
        <v>63.47</v>
      </c>
      <c r="G5748" s="4"/>
      <c r="H5748" s="5"/>
    </row>
    <row r="5749" spans="4:8" x14ac:dyDescent="0.25">
      <c r="D5749" s="4">
        <v>39962</v>
      </c>
      <c r="E5749" s="6">
        <v>64.98</v>
      </c>
      <c r="G5749" s="4"/>
      <c r="H5749" s="5"/>
    </row>
    <row r="5750" spans="4:8" x14ac:dyDescent="0.25">
      <c r="D5750" s="4">
        <v>39965</v>
      </c>
      <c r="E5750" s="6">
        <v>66.599999999999994</v>
      </c>
      <c r="G5750" s="4"/>
      <c r="H5750" s="5"/>
    </row>
    <row r="5751" spans="4:8" x14ac:dyDescent="0.25">
      <c r="D5751" s="4">
        <v>39966</v>
      </c>
      <c r="E5751" s="6">
        <v>67.67</v>
      </c>
      <c r="G5751" s="4"/>
      <c r="H5751" s="5"/>
    </row>
    <row r="5752" spans="4:8" x14ac:dyDescent="0.25">
      <c r="D5752" s="4">
        <v>39967</v>
      </c>
      <c r="E5752" s="6">
        <v>66.150000000000006</v>
      </c>
      <c r="G5752" s="4"/>
      <c r="H5752" s="5"/>
    </row>
    <row r="5753" spans="4:8" x14ac:dyDescent="0.25">
      <c r="D5753" s="4">
        <v>39968</v>
      </c>
      <c r="E5753" s="6">
        <v>67.680000000000007</v>
      </c>
      <c r="G5753" s="4"/>
      <c r="H5753" s="5"/>
    </row>
    <row r="5754" spans="4:8" x14ac:dyDescent="0.25">
      <c r="D5754" s="4">
        <v>39969</v>
      </c>
      <c r="E5754" s="6">
        <v>67.77</v>
      </c>
      <c r="G5754" s="4"/>
      <c r="H5754" s="5"/>
    </row>
    <row r="5755" spans="4:8" x14ac:dyDescent="0.25">
      <c r="D5755" s="4">
        <v>39972</v>
      </c>
      <c r="E5755" s="6">
        <v>67.61</v>
      </c>
      <c r="G5755" s="4"/>
      <c r="H5755" s="5"/>
    </row>
    <row r="5756" spans="4:8" x14ac:dyDescent="0.25">
      <c r="D5756" s="4">
        <v>39973</v>
      </c>
      <c r="E5756" s="6">
        <v>68.94</v>
      </c>
      <c r="G5756" s="4"/>
      <c r="H5756" s="5"/>
    </row>
    <row r="5757" spans="4:8" x14ac:dyDescent="0.25">
      <c r="D5757" s="4">
        <v>39974</v>
      </c>
      <c r="E5757" s="6">
        <v>70.52</v>
      </c>
      <c r="G5757" s="4"/>
      <c r="H5757" s="5"/>
    </row>
    <row r="5758" spans="4:8" x14ac:dyDescent="0.25">
      <c r="D5758" s="4">
        <v>39975</v>
      </c>
      <c r="E5758" s="6">
        <v>71.709999999999994</v>
      </c>
      <c r="G5758" s="4"/>
      <c r="H5758" s="5"/>
    </row>
    <row r="5759" spans="4:8" x14ac:dyDescent="0.25">
      <c r="D5759" s="4">
        <v>39976</v>
      </c>
      <c r="E5759" s="6">
        <v>70.62</v>
      </c>
      <c r="G5759" s="4"/>
      <c r="H5759" s="5"/>
    </row>
    <row r="5760" spans="4:8" x14ac:dyDescent="0.25">
      <c r="D5760" s="4">
        <v>39979</v>
      </c>
      <c r="E5760" s="6">
        <v>68.489999999999995</v>
      </c>
      <c r="G5760" s="4"/>
      <c r="H5760" s="5"/>
    </row>
    <row r="5761" spans="4:8" x14ac:dyDescent="0.25">
      <c r="D5761" s="4">
        <v>39980</v>
      </c>
      <c r="E5761" s="6">
        <v>70.52</v>
      </c>
      <c r="G5761" s="4"/>
      <c r="H5761" s="5"/>
    </row>
    <row r="5762" spans="4:8" x14ac:dyDescent="0.25">
      <c r="D5762" s="4">
        <v>39981</v>
      </c>
      <c r="E5762" s="6">
        <v>68.95</v>
      </c>
      <c r="G5762" s="4"/>
      <c r="H5762" s="5"/>
    </row>
    <row r="5763" spans="4:8" x14ac:dyDescent="0.25">
      <c r="D5763" s="4">
        <v>39982</v>
      </c>
      <c r="E5763" s="6">
        <v>69.959999999999994</v>
      </c>
      <c r="G5763" s="4"/>
      <c r="H5763" s="5"/>
    </row>
    <row r="5764" spans="4:8" x14ac:dyDescent="0.25">
      <c r="D5764" s="4">
        <v>39983</v>
      </c>
      <c r="E5764" s="6">
        <v>70.48</v>
      </c>
      <c r="G5764" s="4"/>
      <c r="H5764" s="5"/>
    </row>
    <row r="5765" spans="4:8" x14ac:dyDescent="0.25">
      <c r="D5765" s="4">
        <v>39986</v>
      </c>
      <c r="E5765" s="6">
        <v>66.13</v>
      </c>
      <c r="G5765" s="4"/>
      <c r="H5765" s="5"/>
    </row>
    <row r="5766" spans="4:8" x14ac:dyDescent="0.25">
      <c r="D5766" s="4">
        <v>39987</v>
      </c>
      <c r="E5766" s="6">
        <v>66.36</v>
      </c>
      <c r="G5766" s="4"/>
      <c r="H5766" s="5"/>
    </row>
    <row r="5767" spans="4:8" x14ac:dyDescent="0.25">
      <c r="D5767" s="4">
        <v>39988</v>
      </c>
      <c r="E5767" s="6">
        <v>68.47</v>
      </c>
      <c r="G5767" s="4"/>
      <c r="H5767" s="5"/>
    </row>
    <row r="5768" spans="4:8" x14ac:dyDescent="0.25">
      <c r="D5768" s="4">
        <v>39989</v>
      </c>
      <c r="E5768" s="6">
        <v>68.819999999999993</v>
      </c>
      <c r="G5768" s="4"/>
      <c r="H5768" s="5"/>
    </row>
    <row r="5769" spans="4:8" x14ac:dyDescent="0.25">
      <c r="D5769" s="4">
        <v>39990</v>
      </c>
      <c r="E5769" s="6">
        <v>68.099999999999994</v>
      </c>
      <c r="G5769" s="4"/>
      <c r="H5769" s="5"/>
    </row>
    <row r="5770" spans="4:8" x14ac:dyDescent="0.25">
      <c r="D5770" s="4">
        <v>39993</v>
      </c>
      <c r="E5770" s="6">
        <v>69.75</v>
      </c>
      <c r="G5770" s="4"/>
      <c r="H5770" s="5"/>
    </row>
    <row r="5771" spans="4:8" x14ac:dyDescent="0.25">
      <c r="D5771" s="4">
        <v>39994</v>
      </c>
      <c r="E5771" s="6">
        <v>68.11</v>
      </c>
      <c r="G5771" s="4"/>
      <c r="H5771" s="5"/>
    </row>
    <row r="5772" spans="4:8" x14ac:dyDescent="0.25">
      <c r="D5772" s="4">
        <v>39995</v>
      </c>
      <c r="E5772" s="6">
        <v>68.52</v>
      </c>
      <c r="G5772" s="4"/>
      <c r="H5772" s="5"/>
    </row>
    <row r="5773" spans="4:8" x14ac:dyDescent="0.25">
      <c r="D5773" s="4">
        <v>39996</v>
      </c>
      <c r="E5773" s="6">
        <v>65.739999999999995</v>
      </c>
      <c r="G5773" s="4"/>
      <c r="H5773" s="5"/>
    </row>
    <row r="5774" spans="4:8" x14ac:dyDescent="0.25">
      <c r="D5774" s="4">
        <v>39997</v>
      </c>
      <c r="E5774" s="5"/>
      <c r="G5774" s="4"/>
      <c r="H5774" s="5"/>
    </row>
    <row r="5775" spans="4:8" x14ac:dyDescent="0.25">
      <c r="D5775" s="4">
        <v>40000</v>
      </c>
      <c r="E5775" s="6">
        <v>63.12</v>
      </c>
      <c r="G5775" s="4"/>
      <c r="H5775" s="5"/>
    </row>
    <row r="5776" spans="4:8" x14ac:dyDescent="0.25">
      <c r="D5776" s="4">
        <v>40001</v>
      </c>
      <c r="E5776" s="6">
        <v>61.54</v>
      </c>
      <c r="G5776" s="4"/>
      <c r="H5776" s="5"/>
    </row>
    <row r="5777" spans="4:8" x14ac:dyDescent="0.25">
      <c r="D5777" s="4">
        <v>40002</v>
      </c>
      <c r="E5777" s="6">
        <v>59.71</v>
      </c>
      <c r="G5777" s="4"/>
      <c r="H5777" s="5"/>
    </row>
    <row r="5778" spans="4:8" x14ac:dyDescent="0.25">
      <c r="D5778" s="4">
        <v>40003</v>
      </c>
      <c r="E5778" s="6">
        <v>59.17</v>
      </c>
      <c r="G5778" s="4"/>
      <c r="H5778" s="5"/>
    </row>
    <row r="5779" spans="4:8" x14ac:dyDescent="0.25">
      <c r="D5779" s="4">
        <v>40004</v>
      </c>
      <c r="E5779" s="6">
        <v>58.43</v>
      </c>
      <c r="G5779" s="4"/>
      <c r="H5779" s="5"/>
    </row>
    <row r="5780" spans="4:8" x14ac:dyDescent="0.25">
      <c r="D5780" s="4">
        <v>40007</v>
      </c>
      <c r="E5780" s="6">
        <v>58.25</v>
      </c>
      <c r="G5780" s="4"/>
      <c r="H5780" s="5"/>
    </row>
    <row r="5781" spans="4:8" x14ac:dyDescent="0.25">
      <c r="D5781" s="4">
        <v>40008</v>
      </c>
      <c r="E5781" s="6">
        <v>60.48</v>
      </c>
      <c r="G5781" s="4"/>
      <c r="H5781" s="5"/>
    </row>
    <row r="5782" spans="4:8" x14ac:dyDescent="0.25">
      <c r="D5782" s="4">
        <v>40009</v>
      </c>
      <c r="E5782" s="6">
        <v>61.25</v>
      </c>
      <c r="G5782" s="4"/>
      <c r="H5782" s="5"/>
    </row>
    <row r="5783" spans="4:8" x14ac:dyDescent="0.25">
      <c r="D5783" s="4">
        <v>40010</v>
      </c>
      <c r="E5783" s="6">
        <v>62.02</v>
      </c>
      <c r="G5783" s="4"/>
      <c r="H5783" s="5"/>
    </row>
    <row r="5784" spans="4:8" x14ac:dyDescent="0.25">
      <c r="D5784" s="4">
        <v>40011</v>
      </c>
      <c r="E5784" s="6">
        <v>63.54</v>
      </c>
      <c r="G5784" s="4"/>
      <c r="H5784" s="5"/>
    </row>
    <row r="5785" spans="4:8" x14ac:dyDescent="0.25">
      <c r="D5785" s="4">
        <v>40014</v>
      </c>
      <c r="E5785" s="6">
        <v>64.64</v>
      </c>
      <c r="G5785" s="4"/>
      <c r="H5785" s="5"/>
    </row>
    <row r="5786" spans="4:8" x14ac:dyDescent="0.25">
      <c r="D5786" s="4">
        <v>40015</v>
      </c>
      <c r="E5786" s="6">
        <v>65.930000000000007</v>
      </c>
      <c r="G5786" s="4"/>
      <c r="H5786" s="5"/>
    </row>
    <row r="5787" spans="4:8" x14ac:dyDescent="0.25">
      <c r="D5787" s="4">
        <v>40016</v>
      </c>
      <c r="E5787" s="6">
        <v>65.36</v>
      </c>
      <c r="G5787" s="4"/>
      <c r="H5787" s="5"/>
    </row>
    <row r="5788" spans="4:8" x14ac:dyDescent="0.25">
      <c r="D5788" s="4">
        <v>40017</v>
      </c>
      <c r="E5788" s="6">
        <v>68.06</v>
      </c>
      <c r="G5788" s="4"/>
      <c r="H5788" s="5"/>
    </row>
    <row r="5789" spans="4:8" x14ac:dyDescent="0.25">
      <c r="D5789" s="4">
        <v>40018</v>
      </c>
      <c r="E5789" s="6">
        <v>68.819999999999993</v>
      </c>
      <c r="G5789" s="4"/>
      <c r="H5789" s="5"/>
    </row>
    <row r="5790" spans="4:8" x14ac:dyDescent="0.25">
      <c r="D5790" s="4">
        <v>40021</v>
      </c>
      <c r="E5790" s="6">
        <v>69.78</v>
      </c>
      <c r="G5790" s="4"/>
      <c r="H5790" s="5"/>
    </row>
    <row r="5791" spans="4:8" x14ac:dyDescent="0.25">
      <c r="D5791" s="4">
        <v>40022</v>
      </c>
      <c r="E5791" s="6">
        <v>68.53</v>
      </c>
      <c r="G5791" s="4"/>
      <c r="H5791" s="5"/>
    </row>
    <row r="5792" spans="4:8" x14ac:dyDescent="0.25">
      <c r="D5792" s="4">
        <v>40023</v>
      </c>
      <c r="E5792" s="6">
        <v>65.790000000000006</v>
      </c>
      <c r="G5792" s="4"/>
      <c r="H5792" s="5"/>
    </row>
    <row r="5793" spans="4:8" x14ac:dyDescent="0.25">
      <c r="D5793" s="4">
        <v>40024</v>
      </c>
      <c r="E5793" s="6">
        <v>68.819999999999993</v>
      </c>
      <c r="G5793" s="4"/>
      <c r="H5793" s="5"/>
    </row>
    <row r="5794" spans="4:8" x14ac:dyDescent="0.25">
      <c r="D5794" s="4">
        <v>40025</v>
      </c>
      <c r="E5794" s="6">
        <v>70.08</v>
      </c>
      <c r="G5794" s="4"/>
      <c r="H5794" s="5"/>
    </row>
    <row r="5795" spans="4:8" x14ac:dyDescent="0.25">
      <c r="D5795" s="4">
        <v>40028</v>
      </c>
      <c r="E5795" s="6">
        <v>72.900000000000006</v>
      </c>
      <c r="G5795" s="4"/>
      <c r="H5795" s="5"/>
    </row>
    <row r="5796" spans="4:8" x14ac:dyDescent="0.25">
      <c r="D5796" s="4">
        <v>40029</v>
      </c>
      <c r="E5796" s="6">
        <v>73.819999999999993</v>
      </c>
      <c r="G5796" s="4"/>
      <c r="H5796" s="5"/>
    </row>
    <row r="5797" spans="4:8" x14ac:dyDescent="0.25">
      <c r="D5797" s="4">
        <v>40030</v>
      </c>
      <c r="E5797" s="6">
        <v>74.39</v>
      </c>
      <c r="G5797" s="4"/>
      <c r="H5797" s="5"/>
    </row>
    <row r="5798" spans="4:8" x14ac:dyDescent="0.25">
      <c r="D5798" s="4">
        <v>40031</v>
      </c>
      <c r="E5798" s="6">
        <v>74.61</v>
      </c>
      <c r="G5798" s="4"/>
      <c r="H5798" s="5"/>
    </row>
    <row r="5799" spans="4:8" x14ac:dyDescent="0.25">
      <c r="D5799" s="4">
        <v>40032</v>
      </c>
      <c r="E5799" s="6">
        <v>74.209999999999994</v>
      </c>
      <c r="G5799" s="4"/>
      <c r="H5799" s="5"/>
    </row>
    <row r="5800" spans="4:8" x14ac:dyDescent="0.25">
      <c r="D5800" s="4">
        <v>40035</v>
      </c>
      <c r="E5800" s="6">
        <v>73.790000000000006</v>
      </c>
      <c r="G5800" s="4"/>
      <c r="H5800" s="5"/>
    </row>
    <row r="5801" spans="4:8" x14ac:dyDescent="0.25">
      <c r="D5801" s="4">
        <v>40036</v>
      </c>
      <c r="E5801" s="6">
        <v>71.58</v>
      </c>
      <c r="G5801" s="4"/>
      <c r="H5801" s="5"/>
    </row>
    <row r="5802" spans="4:8" x14ac:dyDescent="0.25">
      <c r="D5802" s="4">
        <v>40037</v>
      </c>
      <c r="E5802" s="6">
        <v>74.03</v>
      </c>
      <c r="G5802" s="4"/>
      <c r="H5802" s="5"/>
    </row>
    <row r="5803" spans="4:8" x14ac:dyDescent="0.25">
      <c r="D5803" s="4">
        <v>40038</v>
      </c>
      <c r="E5803" s="6">
        <v>73.760000000000005</v>
      </c>
      <c r="G5803" s="4"/>
      <c r="H5803" s="5"/>
    </row>
    <row r="5804" spans="4:8" x14ac:dyDescent="0.25">
      <c r="D5804" s="4">
        <v>40039</v>
      </c>
      <c r="E5804" s="6">
        <v>71.33</v>
      </c>
      <c r="G5804" s="4"/>
      <c r="H5804" s="5"/>
    </row>
    <row r="5805" spans="4:8" x14ac:dyDescent="0.25">
      <c r="D5805" s="4">
        <v>40042</v>
      </c>
      <c r="E5805" s="6">
        <v>68.650000000000006</v>
      </c>
      <c r="G5805" s="4"/>
      <c r="H5805" s="5"/>
    </row>
    <row r="5806" spans="4:8" x14ac:dyDescent="0.25">
      <c r="D5806" s="4">
        <v>40043</v>
      </c>
      <c r="E5806" s="6">
        <v>68.66</v>
      </c>
      <c r="G5806" s="4"/>
      <c r="H5806" s="5"/>
    </row>
    <row r="5807" spans="4:8" x14ac:dyDescent="0.25">
      <c r="D5807" s="4">
        <v>40044</v>
      </c>
      <c r="E5807" s="6">
        <v>72.81</v>
      </c>
      <c r="G5807" s="4"/>
      <c r="H5807" s="5"/>
    </row>
    <row r="5808" spans="4:8" x14ac:dyDescent="0.25">
      <c r="D5808" s="4">
        <v>40045</v>
      </c>
      <c r="E5808" s="6">
        <v>73.75</v>
      </c>
      <c r="G5808" s="4"/>
      <c r="H5808" s="5"/>
    </row>
    <row r="5809" spans="4:8" x14ac:dyDescent="0.25">
      <c r="D5809" s="4">
        <v>40046</v>
      </c>
      <c r="E5809" s="6">
        <v>73.709999999999994</v>
      </c>
      <c r="G5809" s="4"/>
      <c r="H5809" s="5"/>
    </row>
    <row r="5810" spans="4:8" x14ac:dyDescent="0.25">
      <c r="D5810" s="4">
        <v>40049</v>
      </c>
      <c r="E5810" s="6">
        <v>74.34</v>
      </c>
      <c r="G5810" s="4"/>
      <c r="H5810" s="5"/>
    </row>
    <row r="5811" spans="4:8" x14ac:dyDescent="0.25">
      <c r="D5811" s="4">
        <v>40050</v>
      </c>
      <c r="E5811" s="6">
        <v>73.099999999999994</v>
      </c>
      <c r="G5811" s="4"/>
      <c r="H5811" s="5"/>
    </row>
    <row r="5812" spans="4:8" x14ac:dyDescent="0.25">
      <c r="D5812" s="4">
        <v>40051</v>
      </c>
      <c r="E5812" s="6">
        <v>70.739999999999995</v>
      </c>
      <c r="G5812" s="4"/>
      <c r="H5812" s="5"/>
    </row>
    <row r="5813" spans="4:8" x14ac:dyDescent="0.25">
      <c r="D5813" s="4">
        <v>40052</v>
      </c>
      <c r="E5813" s="6">
        <v>70.680000000000007</v>
      </c>
      <c r="G5813" s="4"/>
      <c r="H5813" s="5"/>
    </row>
    <row r="5814" spans="4:8" x14ac:dyDescent="0.25">
      <c r="D5814" s="4">
        <v>40053</v>
      </c>
      <c r="E5814" s="6">
        <v>72.8</v>
      </c>
      <c r="G5814" s="4"/>
      <c r="H5814" s="5"/>
    </row>
    <row r="5815" spans="4:8" x14ac:dyDescent="0.25">
      <c r="D5815" s="4">
        <v>40056</v>
      </c>
      <c r="E5815" s="6">
        <v>69.02</v>
      </c>
      <c r="G5815" s="4"/>
      <c r="H5815" s="5"/>
    </row>
    <row r="5816" spans="4:8" x14ac:dyDescent="0.25">
      <c r="D5816" s="4">
        <v>40057</v>
      </c>
      <c r="E5816" s="6">
        <v>68.78</v>
      </c>
      <c r="G5816" s="4"/>
      <c r="H5816" s="5"/>
    </row>
    <row r="5817" spans="4:8" x14ac:dyDescent="0.25">
      <c r="D5817" s="4">
        <v>40058</v>
      </c>
      <c r="E5817" s="6">
        <v>67.599999999999994</v>
      </c>
      <c r="G5817" s="4"/>
      <c r="H5817" s="5"/>
    </row>
    <row r="5818" spans="4:8" x14ac:dyDescent="0.25">
      <c r="D5818" s="4">
        <v>40059</v>
      </c>
      <c r="E5818" s="6">
        <v>66.78</v>
      </c>
      <c r="G5818" s="4"/>
      <c r="H5818" s="5"/>
    </row>
    <row r="5819" spans="4:8" x14ac:dyDescent="0.25">
      <c r="D5819" s="4">
        <v>40060</v>
      </c>
      <c r="E5819" s="6">
        <v>65.84</v>
      </c>
      <c r="G5819" s="4"/>
      <c r="H5819" s="5"/>
    </row>
    <row r="5820" spans="4:8" x14ac:dyDescent="0.25">
      <c r="D5820" s="4">
        <v>40063</v>
      </c>
      <c r="E5820" s="5"/>
      <c r="G5820" s="4"/>
      <c r="H5820" s="5"/>
    </row>
    <row r="5821" spans="4:8" x14ac:dyDescent="0.25">
      <c r="D5821" s="4">
        <v>40064</v>
      </c>
      <c r="E5821" s="6">
        <v>69.2</v>
      </c>
      <c r="G5821" s="4"/>
      <c r="H5821" s="5"/>
    </row>
    <row r="5822" spans="4:8" x14ac:dyDescent="0.25">
      <c r="D5822" s="4">
        <v>40065</v>
      </c>
      <c r="E5822" s="6">
        <v>69.760000000000005</v>
      </c>
      <c r="G5822" s="4"/>
      <c r="H5822" s="5"/>
    </row>
    <row r="5823" spans="4:8" x14ac:dyDescent="0.25">
      <c r="D5823" s="4">
        <v>40066</v>
      </c>
      <c r="E5823" s="6">
        <v>68.959999999999994</v>
      </c>
      <c r="G5823" s="4"/>
      <c r="H5823" s="5"/>
    </row>
    <row r="5824" spans="4:8" x14ac:dyDescent="0.25">
      <c r="D5824" s="4">
        <v>40067</v>
      </c>
      <c r="E5824" s="6">
        <v>68.760000000000005</v>
      </c>
      <c r="G5824" s="4"/>
      <c r="H5824" s="5"/>
    </row>
    <row r="5825" spans="4:8" x14ac:dyDescent="0.25">
      <c r="D5825" s="4">
        <v>40070</v>
      </c>
      <c r="E5825" s="6">
        <v>66.91</v>
      </c>
      <c r="G5825" s="4"/>
      <c r="H5825" s="5"/>
    </row>
    <row r="5826" spans="4:8" x14ac:dyDescent="0.25">
      <c r="D5826" s="4">
        <v>40071</v>
      </c>
      <c r="E5826" s="6">
        <v>66.53</v>
      </c>
      <c r="G5826" s="4"/>
      <c r="H5826" s="5"/>
    </row>
    <row r="5827" spans="4:8" x14ac:dyDescent="0.25">
      <c r="D5827" s="4">
        <v>40072</v>
      </c>
      <c r="E5827" s="6">
        <v>68.510000000000005</v>
      </c>
      <c r="G5827" s="4"/>
      <c r="H5827" s="5"/>
    </row>
    <row r="5828" spans="4:8" x14ac:dyDescent="0.25">
      <c r="D5828" s="4">
        <v>40073</v>
      </c>
      <c r="E5828" s="6">
        <v>71.56</v>
      </c>
      <c r="G5828" s="4"/>
      <c r="H5828" s="5"/>
    </row>
    <row r="5829" spans="4:8" x14ac:dyDescent="0.25">
      <c r="D5829" s="4">
        <v>40074</v>
      </c>
      <c r="E5829" s="6">
        <v>70.72</v>
      </c>
      <c r="G5829" s="4"/>
      <c r="H5829" s="5"/>
    </row>
    <row r="5830" spans="4:8" x14ac:dyDescent="0.25">
      <c r="D5830" s="4">
        <v>40077</v>
      </c>
      <c r="E5830" s="6">
        <v>68.11</v>
      </c>
      <c r="G5830" s="4"/>
      <c r="H5830" s="5"/>
    </row>
    <row r="5831" spans="4:8" x14ac:dyDescent="0.25">
      <c r="D5831" s="4">
        <v>40078</v>
      </c>
      <c r="E5831" s="6">
        <v>69.650000000000006</v>
      </c>
      <c r="G5831" s="4"/>
      <c r="H5831" s="5"/>
    </row>
    <row r="5832" spans="4:8" x14ac:dyDescent="0.25">
      <c r="D5832" s="4">
        <v>40079</v>
      </c>
      <c r="E5832" s="6">
        <v>67.430000000000007</v>
      </c>
      <c r="G5832" s="4"/>
      <c r="H5832" s="5"/>
    </row>
    <row r="5833" spans="4:8" x14ac:dyDescent="0.25">
      <c r="D5833" s="4">
        <v>40080</v>
      </c>
      <c r="E5833" s="6">
        <v>64.989999999999995</v>
      </c>
      <c r="G5833" s="4"/>
      <c r="H5833" s="5"/>
    </row>
    <row r="5834" spans="4:8" x14ac:dyDescent="0.25">
      <c r="D5834" s="4">
        <v>40081</v>
      </c>
      <c r="E5834" s="6">
        <v>64.599999999999994</v>
      </c>
      <c r="G5834" s="4"/>
      <c r="H5834" s="5"/>
    </row>
    <row r="5835" spans="4:8" x14ac:dyDescent="0.25">
      <c r="D5835" s="4">
        <v>40084</v>
      </c>
      <c r="E5835" s="6">
        <v>65.430000000000007</v>
      </c>
      <c r="G5835" s="4"/>
      <c r="H5835" s="5"/>
    </row>
    <row r="5836" spans="4:8" x14ac:dyDescent="0.25">
      <c r="D5836" s="4">
        <v>40085</v>
      </c>
      <c r="E5836" s="6">
        <v>64.63</v>
      </c>
      <c r="G5836" s="4"/>
      <c r="H5836" s="5"/>
    </row>
    <row r="5837" spans="4:8" x14ac:dyDescent="0.25">
      <c r="D5837" s="4">
        <v>40086</v>
      </c>
      <c r="E5837" s="6">
        <v>65.819999999999993</v>
      </c>
      <c r="G5837" s="4"/>
      <c r="H5837" s="5"/>
    </row>
    <row r="5838" spans="4:8" x14ac:dyDescent="0.25">
      <c r="D5838" s="4">
        <v>40087</v>
      </c>
      <c r="E5838" s="6">
        <v>67.12</v>
      </c>
      <c r="G5838" s="4"/>
      <c r="H5838" s="5"/>
    </row>
    <row r="5839" spans="4:8" x14ac:dyDescent="0.25">
      <c r="D5839" s="4">
        <v>40088</v>
      </c>
      <c r="E5839" s="6">
        <v>66.5</v>
      </c>
      <c r="G5839" s="4"/>
      <c r="H5839" s="5"/>
    </row>
    <row r="5840" spans="4:8" x14ac:dyDescent="0.25">
      <c r="D5840" s="4">
        <v>40091</v>
      </c>
      <c r="E5840" s="6">
        <v>65.260000000000005</v>
      </c>
      <c r="G5840" s="4"/>
      <c r="H5840" s="5"/>
    </row>
    <row r="5841" spans="4:8" x14ac:dyDescent="0.25">
      <c r="D5841" s="4">
        <v>40092</v>
      </c>
      <c r="E5841" s="6">
        <v>68.510000000000005</v>
      </c>
      <c r="G5841" s="4"/>
      <c r="H5841" s="5"/>
    </row>
    <row r="5842" spans="4:8" x14ac:dyDescent="0.25">
      <c r="D5842" s="4">
        <v>40093</v>
      </c>
      <c r="E5842" s="6">
        <v>67.650000000000006</v>
      </c>
      <c r="G5842" s="4"/>
      <c r="H5842" s="5"/>
    </row>
    <row r="5843" spans="4:8" x14ac:dyDescent="0.25">
      <c r="D5843" s="4">
        <v>40094</v>
      </c>
      <c r="E5843" s="6">
        <v>68.47</v>
      </c>
      <c r="G5843" s="4"/>
      <c r="H5843" s="5"/>
    </row>
    <row r="5844" spans="4:8" x14ac:dyDescent="0.25">
      <c r="D5844" s="4">
        <v>40095</v>
      </c>
      <c r="E5844" s="6">
        <v>69.45</v>
      </c>
      <c r="G5844" s="4"/>
      <c r="H5844" s="5"/>
    </row>
    <row r="5845" spans="4:8" x14ac:dyDescent="0.25">
      <c r="D5845" s="4">
        <v>40098</v>
      </c>
      <c r="E5845" s="6">
        <v>70.75</v>
      </c>
      <c r="G5845" s="4"/>
      <c r="H5845" s="5"/>
    </row>
    <row r="5846" spans="4:8" x14ac:dyDescent="0.25">
      <c r="D5846" s="4">
        <v>40099</v>
      </c>
      <c r="E5846" s="6">
        <v>70.81</v>
      </c>
      <c r="G5846" s="4"/>
      <c r="H5846" s="5"/>
    </row>
    <row r="5847" spans="4:8" x14ac:dyDescent="0.25">
      <c r="D5847" s="4">
        <v>40100</v>
      </c>
      <c r="E5847" s="6">
        <v>72.16</v>
      </c>
      <c r="G5847" s="4"/>
      <c r="H5847" s="5"/>
    </row>
    <row r="5848" spans="4:8" x14ac:dyDescent="0.25">
      <c r="D5848" s="4">
        <v>40101</v>
      </c>
      <c r="E5848" s="6">
        <v>73.14</v>
      </c>
      <c r="G5848" s="4"/>
      <c r="H5848" s="5"/>
    </row>
    <row r="5849" spans="4:8" x14ac:dyDescent="0.25">
      <c r="D5849" s="4">
        <v>40102</v>
      </c>
      <c r="E5849" s="6">
        <v>74.58</v>
      </c>
      <c r="G5849" s="4"/>
      <c r="H5849" s="5"/>
    </row>
    <row r="5850" spans="4:8" x14ac:dyDescent="0.25">
      <c r="D5850" s="4">
        <v>40105</v>
      </c>
      <c r="E5850" s="6">
        <v>75.86</v>
      </c>
      <c r="G5850" s="4"/>
      <c r="H5850" s="5"/>
    </row>
    <row r="5851" spans="4:8" x14ac:dyDescent="0.25">
      <c r="D5851" s="4">
        <v>40106</v>
      </c>
      <c r="E5851" s="6">
        <v>76.510000000000005</v>
      </c>
      <c r="G5851" s="4"/>
      <c r="H5851" s="5"/>
    </row>
    <row r="5852" spans="4:8" x14ac:dyDescent="0.25">
      <c r="D5852" s="4">
        <v>40107</v>
      </c>
      <c r="E5852" s="6">
        <v>77.739999999999995</v>
      </c>
      <c r="G5852" s="4"/>
      <c r="H5852" s="5"/>
    </row>
    <row r="5853" spans="4:8" x14ac:dyDescent="0.25">
      <c r="D5853" s="4">
        <v>40108</v>
      </c>
      <c r="E5853" s="6">
        <v>78.36</v>
      </c>
      <c r="G5853" s="4"/>
      <c r="H5853" s="5"/>
    </row>
    <row r="5854" spans="4:8" x14ac:dyDescent="0.25">
      <c r="D5854" s="4">
        <v>40109</v>
      </c>
      <c r="E5854" s="6">
        <v>77.72</v>
      </c>
      <c r="G5854" s="4"/>
      <c r="H5854" s="5"/>
    </row>
    <row r="5855" spans="4:8" x14ac:dyDescent="0.25">
      <c r="D5855" s="4">
        <v>40112</v>
      </c>
      <c r="E5855" s="6">
        <v>76.45</v>
      </c>
      <c r="G5855" s="4"/>
      <c r="H5855" s="5"/>
    </row>
    <row r="5856" spans="4:8" x14ac:dyDescent="0.25">
      <c r="D5856" s="4">
        <v>40113</v>
      </c>
      <c r="E5856" s="6">
        <v>76.69</v>
      </c>
      <c r="G5856" s="4"/>
      <c r="H5856" s="5"/>
    </row>
    <row r="5857" spans="4:8" x14ac:dyDescent="0.25">
      <c r="D5857" s="4">
        <v>40114</v>
      </c>
      <c r="E5857" s="6">
        <v>75.11</v>
      </c>
      <c r="G5857" s="4"/>
      <c r="H5857" s="5"/>
    </row>
    <row r="5858" spans="4:8" x14ac:dyDescent="0.25">
      <c r="D5858" s="4">
        <v>40115</v>
      </c>
      <c r="E5858" s="6">
        <v>77.180000000000007</v>
      </c>
      <c r="G5858" s="4"/>
      <c r="H5858" s="5"/>
    </row>
    <row r="5859" spans="4:8" x14ac:dyDescent="0.25">
      <c r="D5859" s="4">
        <v>40116</v>
      </c>
      <c r="E5859" s="6">
        <v>74.91</v>
      </c>
      <c r="G5859" s="4"/>
      <c r="H5859" s="5"/>
    </row>
    <row r="5860" spans="4:8" x14ac:dyDescent="0.25">
      <c r="D5860" s="4">
        <v>40119</v>
      </c>
      <c r="E5860" s="6">
        <v>75.56</v>
      </c>
      <c r="G5860" s="4"/>
      <c r="H5860" s="5"/>
    </row>
    <row r="5861" spans="4:8" x14ac:dyDescent="0.25">
      <c r="D5861" s="4">
        <v>40120</v>
      </c>
      <c r="E5861" s="6">
        <v>75.680000000000007</v>
      </c>
      <c r="G5861" s="4"/>
      <c r="H5861" s="5"/>
    </row>
    <row r="5862" spans="4:8" x14ac:dyDescent="0.25">
      <c r="D5862" s="4">
        <v>40121</v>
      </c>
      <c r="E5862" s="6">
        <v>78.209999999999994</v>
      </c>
      <c r="G5862" s="4"/>
      <c r="H5862" s="5"/>
    </row>
    <row r="5863" spans="4:8" x14ac:dyDescent="0.25">
      <c r="D5863" s="4">
        <v>40122</v>
      </c>
      <c r="E5863" s="6">
        <v>78.02</v>
      </c>
      <c r="G5863" s="4"/>
      <c r="H5863" s="5"/>
    </row>
    <row r="5864" spans="4:8" x14ac:dyDescent="0.25">
      <c r="D5864" s="4">
        <v>40123</v>
      </c>
      <c r="E5864" s="6">
        <v>75.510000000000005</v>
      </c>
      <c r="G5864" s="4"/>
      <c r="H5864" s="5"/>
    </row>
    <row r="5865" spans="4:8" x14ac:dyDescent="0.25">
      <c r="D5865" s="4">
        <v>40126</v>
      </c>
      <c r="E5865" s="6">
        <v>77.180000000000007</v>
      </c>
      <c r="G5865" s="4"/>
      <c r="H5865" s="5"/>
    </row>
    <row r="5866" spans="4:8" x14ac:dyDescent="0.25">
      <c r="D5866" s="4">
        <v>40127</v>
      </c>
      <c r="E5866" s="6">
        <v>77.069999999999993</v>
      </c>
      <c r="G5866" s="4"/>
      <c r="H5866" s="5"/>
    </row>
    <row r="5867" spans="4:8" x14ac:dyDescent="0.25">
      <c r="D5867" s="4">
        <v>40128</v>
      </c>
      <c r="E5867" s="6">
        <v>76.989999999999995</v>
      </c>
      <c r="G5867" s="4"/>
      <c r="H5867" s="5"/>
    </row>
    <row r="5868" spans="4:8" x14ac:dyDescent="0.25">
      <c r="D5868" s="4">
        <v>40129</v>
      </c>
      <c r="E5868" s="6">
        <v>75.180000000000007</v>
      </c>
      <c r="G5868" s="4"/>
      <c r="H5868" s="5"/>
    </row>
    <row r="5869" spans="4:8" x14ac:dyDescent="0.25">
      <c r="D5869" s="4">
        <v>40130</v>
      </c>
      <c r="E5869" s="6">
        <v>74.81</v>
      </c>
      <c r="G5869" s="4"/>
      <c r="H5869" s="5"/>
    </row>
    <row r="5870" spans="4:8" x14ac:dyDescent="0.25">
      <c r="D5870" s="4">
        <v>40133</v>
      </c>
      <c r="E5870" s="6">
        <v>77.14</v>
      </c>
      <c r="G5870" s="4"/>
      <c r="H5870" s="5"/>
    </row>
    <row r="5871" spans="4:8" x14ac:dyDescent="0.25">
      <c r="D5871" s="4">
        <v>40134</v>
      </c>
      <c r="E5871" s="6">
        <v>77.36</v>
      </c>
      <c r="G5871" s="4"/>
      <c r="H5871" s="5"/>
    </row>
    <row r="5872" spans="4:8" x14ac:dyDescent="0.25">
      <c r="D5872" s="4">
        <v>40135</v>
      </c>
      <c r="E5872" s="6">
        <v>78.64</v>
      </c>
      <c r="G5872" s="4"/>
      <c r="H5872" s="5"/>
    </row>
    <row r="5873" spans="4:8" x14ac:dyDescent="0.25">
      <c r="D5873" s="4">
        <v>40136</v>
      </c>
      <c r="E5873" s="6">
        <v>76.45</v>
      </c>
      <c r="G5873" s="4"/>
      <c r="H5873" s="5"/>
    </row>
    <row r="5874" spans="4:8" x14ac:dyDescent="0.25">
      <c r="D5874" s="4">
        <v>40137</v>
      </c>
      <c r="E5874" s="6">
        <v>75.61</v>
      </c>
      <c r="G5874" s="4"/>
      <c r="H5874" s="5"/>
    </row>
    <row r="5875" spans="4:8" x14ac:dyDescent="0.25">
      <c r="D5875" s="4">
        <v>40140</v>
      </c>
      <c r="E5875" s="6">
        <v>78.14</v>
      </c>
      <c r="G5875" s="4"/>
      <c r="H5875" s="5"/>
    </row>
    <row r="5876" spans="4:8" x14ac:dyDescent="0.25">
      <c r="D5876" s="4">
        <v>40141</v>
      </c>
      <c r="E5876" s="6">
        <v>75.349999999999994</v>
      </c>
      <c r="G5876" s="4"/>
      <c r="H5876" s="5"/>
    </row>
    <row r="5877" spans="4:8" x14ac:dyDescent="0.25">
      <c r="D5877" s="4">
        <v>40142</v>
      </c>
      <c r="E5877" s="6">
        <v>76.569999999999993</v>
      </c>
      <c r="G5877" s="4"/>
      <c r="H5877" s="5"/>
    </row>
    <row r="5878" spans="4:8" x14ac:dyDescent="0.25">
      <c r="D5878" s="4">
        <v>40143</v>
      </c>
      <c r="E5878" s="5"/>
      <c r="G5878" s="4"/>
      <c r="H5878" s="5"/>
    </row>
    <row r="5879" spans="4:8" x14ac:dyDescent="0.25">
      <c r="D5879" s="4">
        <v>40144</v>
      </c>
      <c r="E5879" s="6">
        <v>76</v>
      </c>
      <c r="G5879" s="4"/>
      <c r="H5879" s="5"/>
    </row>
    <row r="5880" spans="4:8" x14ac:dyDescent="0.25">
      <c r="D5880" s="4">
        <v>40147</v>
      </c>
      <c r="E5880" s="6">
        <v>77.77</v>
      </c>
      <c r="G5880" s="4"/>
      <c r="H5880" s="5"/>
    </row>
    <row r="5881" spans="4:8" x14ac:dyDescent="0.25">
      <c r="D5881" s="4">
        <v>40148</v>
      </c>
      <c r="E5881" s="6">
        <v>78.680000000000007</v>
      </c>
      <c r="G5881" s="4"/>
      <c r="H5881" s="5"/>
    </row>
    <row r="5882" spans="4:8" x14ac:dyDescent="0.25">
      <c r="D5882" s="4">
        <v>40149</v>
      </c>
      <c r="E5882" s="6">
        <v>76.959999999999994</v>
      </c>
      <c r="G5882" s="4"/>
      <c r="H5882" s="5"/>
    </row>
    <row r="5883" spans="4:8" x14ac:dyDescent="0.25">
      <c r="D5883" s="4">
        <v>40150</v>
      </c>
      <c r="E5883" s="6">
        <v>77.760000000000005</v>
      </c>
      <c r="G5883" s="4"/>
      <c r="H5883" s="5"/>
    </row>
    <row r="5884" spans="4:8" x14ac:dyDescent="0.25">
      <c r="D5884" s="4">
        <v>40151</v>
      </c>
      <c r="E5884" s="6">
        <v>77.739999999999995</v>
      </c>
      <c r="G5884" s="4"/>
      <c r="H5884" s="5"/>
    </row>
    <row r="5885" spans="4:8" x14ac:dyDescent="0.25">
      <c r="D5885" s="4">
        <v>40154</v>
      </c>
      <c r="E5885" s="6">
        <v>76.180000000000007</v>
      </c>
      <c r="G5885" s="4"/>
      <c r="H5885" s="5"/>
    </row>
    <row r="5886" spans="4:8" x14ac:dyDescent="0.25">
      <c r="D5886" s="4">
        <v>40155</v>
      </c>
      <c r="E5886" s="6">
        <v>74.930000000000007</v>
      </c>
      <c r="G5886" s="4"/>
      <c r="H5886" s="5"/>
    </row>
    <row r="5887" spans="4:8" x14ac:dyDescent="0.25">
      <c r="D5887" s="4">
        <v>40156</v>
      </c>
      <c r="E5887" s="6">
        <v>73.63</v>
      </c>
      <c r="G5887" s="4"/>
      <c r="H5887" s="5"/>
    </row>
    <row r="5888" spans="4:8" x14ac:dyDescent="0.25">
      <c r="D5888" s="4">
        <v>40157</v>
      </c>
      <c r="E5888" s="6">
        <v>70.91</v>
      </c>
      <c r="G5888" s="4"/>
      <c r="H5888" s="5"/>
    </row>
    <row r="5889" spans="4:8" x14ac:dyDescent="0.25">
      <c r="D5889" s="4">
        <v>40158</v>
      </c>
      <c r="E5889" s="6">
        <v>70.069999999999993</v>
      </c>
      <c r="G5889" s="4"/>
      <c r="H5889" s="5"/>
    </row>
    <row r="5890" spans="4:8" x14ac:dyDescent="0.25">
      <c r="D5890" s="4">
        <v>40161</v>
      </c>
      <c r="E5890" s="6">
        <v>71.19</v>
      </c>
      <c r="G5890" s="4"/>
      <c r="H5890" s="5"/>
    </row>
    <row r="5891" spans="4:8" x14ac:dyDescent="0.25">
      <c r="D5891" s="4">
        <v>40162</v>
      </c>
      <c r="E5891" s="6">
        <v>71.33</v>
      </c>
      <c r="G5891" s="4"/>
      <c r="H5891" s="5"/>
    </row>
    <row r="5892" spans="4:8" x14ac:dyDescent="0.25">
      <c r="D5892" s="4">
        <v>40163</v>
      </c>
      <c r="E5892" s="6">
        <v>73.34</v>
      </c>
      <c r="G5892" s="4"/>
      <c r="H5892" s="5"/>
    </row>
    <row r="5893" spans="4:8" x14ac:dyDescent="0.25">
      <c r="D5893" s="4">
        <v>40164</v>
      </c>
      <c r="E5893" s="6">
        <v>71.28</v>
      </c>
      <c r="G5893" s="4"/>
      <c r="H5893" s="5"/>
    </row>
    <row r="5894" spans="4:8" x14ac:dyDescent="0.25">
      <c r="D5894" s="4">
        <v>40165</v>
      </c>
      <c r="E5894" s="6">
        <v>71.87</v>
      </c>
      <c r="G5894" s="4"/>
      <c r="H5894" s="5"/>
    </row>
    <row r="5895" spans="4:8" x14ac:dyDescent="0.25">
      <c r="D5895" s="4">
        <v>40168</v>
      </c>
      <c r="E5895" s="6">
        <v>72.739999999999995</v>
      </c>
      <c r="G5895" s="4"/>
      <c r="H5895" s="5"/>
    </row>
    <row r="5896" spans="4:8" x14ac:dyDescent="0.25">
      <c r="D5896" s="4">
        <v>40169</v>
      </c>
      <c r="E5896" s="6">
        <v>71.64</v>
      </c>
      <c r="G5896" s="4"/>
      <c r="H5896" s="5"/>
    </row>
    <row r="5897" spans="4:8" x14ac:dyDescent="0.25">
      <c r="D5897" s="4">
        <v>40170</v>
      </c>
      <c r="E5897" s="6">
        <v>73.87</v>
      </c>
      <c r="G5897" s="4"/>
      <c r="H5897" s="5"/>
    </row>
    <row r="5898" spans="4:8" x14ac:dyDescent="0.25">
      <c r="D5898" s="4">
        <v>40171</v>
      </c>
      <c r="E5898" s="6">
        <v>75.150000000000006</v>
      </c>
      <c r="G5898" s="4"/>
      <c r="H5898" s="5"/>
    </row>
    <row r="5899" spans="4:8" x14ac:dyDescent="0.25">
      <c r="D5899" s="4">
        <v>40172</v>
      </c>
      <c r="E5899" s="5"/>
      <c r="G5899" s="4"/>
      <c r="H5899" s="5"/>
    </row>
    <row r="5900" spans="4:8" x14ac:dyDescent="0.25">
      <c r="D5900" s="4">
        <v>40175</v>
      </c>
      <c r="E5900" s="6">
        <v>76.59</v>
      </c>
      <c r="G5900" s="4"/>
      <c r="H5900" s="5"/>
    </row>
    <row r="5901" spans="4:8" x14ac:dyDescent="0.25">
      <c r="D5901" s="4">
        <v>40176</v>
      </c>
      <c r="E5901" s="6">
        <v>76.650000000000006</v>
      </c>
      <c r="G5901" s="4"/>
      <c r="H5901" s="5"/>
    </row>
    <row r="5902" spans="4:8" x14ac:dyDescent="0.25">
      <c r="D5902" s="4">
        <v>40177</v>
      </c>
      <c r="E5902" s="6">
        <v>77.62</v>
      </c>
      <c r="G5902" s="4"/>
      <c r="H5902" s="5"/>
    </row>
    <row r="5903" spans="4:8" x14ac:dyDescent="0.25">
      <c r="D5903" s="4">
        <v>40178</v>
      </c>
      <c r="E5903" s="6">
        <v>77.91</v>
      </c>
      <c r="G5903" s="4"/>
      <c r="H5903" s="5"/>
    </row>
    <row r="5904" spans="4:8" x14ac:dyDescent="0.25">
      <c r="D5904" s="4">
        <v>40179</v>
      </c>
      <c r="E5904" s="5"/>
      <c r="G5904" s="4"/>
      <c r="H5904" s="5"/>
    </row>
    <row r="5905" spans="4:8" x14ac:dyDescent="0.25">
      <c r="D5905" s="4">
        <v>40182</v>
      </c>
      <c r="E5905" s="6">
        <v>79.05</v>
      </c>
      <c r="G5905" s="4"/>
      <c r="H5905" s="5"/>
    </row>
    <row r="5906" spans="4:8" x14ac:dyDescent="0.25">
      <c r="D5906" s="4">
        <v>40183</v>
      </c>
      <c r="E5906" s="6">
        <v>79.27</v>
      </c>
      <c r="G5906" s="4"/>
      <c r="H5906" s="5"/>
    </row>
    <row r="5907" spans="4:8" x14ac:dyDescent="0.25">
      <c r="D5907" s="4">
        <v>40184</v>
      </c>
      <c r="E5907" s="6">
        <v>80.14</v>
      </c>
      <c r="G5907" s="4"/>
      <c r="H5907" s="5"/>
    </row>
    <row r="5908" spans="4:8" x14ac:dyDescent="0.25">
      <c r="D5908" s="4">
        <v>40185</v>
      </c>
      <c r="E5908" s="6">
        <v>80.569999999999993</v>
      </c>
      <c r="G5908" s="4"/>
      <c r="H5908" s="5"/>
    </row>
    <row r="5909" spans="4:8" x14ac:dyDescent="0.25">
      <c r="D5909" s="4">
        <v>40186</v>
      </c>
      <c r="E5909" s="6">
        <v>80.06</v>
      </c>
      <c r="G5909" s="4"/>
      <c r="H5909" s="5"/>
    </row>
    <row r="5910" spans="4:8" x14ac:dyDescent="0.25">
      <c r="D5910" s="4">
        <v>40189</v>
      </c>
      <c r="E5910" s="6">
        <v>80.14</v>
      </c>
      <c r="G5910" s="4"/>
      <c r="H5910" s="5"/>
    </row>
    <row r="5911" spans="4:8" x14ac:dyDescent="0.25">
      <c r="D5911" s="4">
        <v>40190</v>
      </c>
      <c r="E5911" s="6">
        <v>79.38</v>
      </c>
      <c r="G5911" s="4"/>
      <c r="H5911" s="5"/>
    </row>
    <row r="5912" spans="4:8" x14ac:dyDescent="0.25">
      <c r="D5912" s="4">
        <v>40191</v>
      </c>
      <c r="E5912" s="6">
        <v>77.569999999999993</v>
      </c>
      <c r="G5912" s="4"/>
      <c r="H5912" s="5"/>
    </row>
    <row r="5913" spans="4:8" x14ac:dyDescent="0.25">
      <c r="D5913" s="4">
        <v>40192</v>
      </c>
      <c r="E5913" s="6">
        <v>77.61</v>
      </c>
      <c r="G5913" s="4"/>
      <c r="H5913" s="5"/>
    </row>
    <row r="5914" spans="4:8" x14ac:dyDescent="0.25">
      <c r="D5914" s="4">
        <v>40193</v>
      </c>
      <c r="E5914" s="6">
        <v>76.849999999999994</v>
      </c>
      <c r="G5914" s="4"/>
      <c r="H5914" s="5"/>
    </row>
    <row r="5915" spans="4:8" x14ac:dyDescent="0.25">
      <c r="D5915" s="4">
        <v>40196</v>
      </c>
      <c r="E5915" s="5"/>
      <c r="G5915" s="4"/>
      <c r="H5915" s="5"/>
    </row>
    <row r="5916" spans="4:8" x14ac:dyDescent="0.25">
      <c r="D5916" s="4">
        <v>40197</v>
      </c>
      <c r="E5916" s="6">
        <v>75.180000000000007</v>
      </c>
      <c r="G5916" s="4"/>
      <c r="H5916" s="5"/>
    </row>
    <row r="5917" spans="4:8" x14ac:dyDescent="0.25">
      <c r="D5917" s="4">
        <v>40198</v>
      </c>
      <c r="E5917" s="6">
        <v>75.09</v>
      </c>
      <c r="G5917" s="4"/>
      <c r="H5917" s="5"/>
    </row>
    <row r="5918" spans="4:8" x14ac:dyDescent="0.25">
      <c r="D5918" s="4">
        <v>40199</v>
      </c>
      <c r="E5918" s="6">
        <v>74.13</v>
      </c>
      <c r="G5918" s="4"/>
      <c r="H5918" s="5"/>
    </row>
    <row r="5919" spans="4:8" x14ac:dyDescent="0.25">
      <c r="D5919" s="4">
        <v>40200</v>
      </c>
      <c r="E5919" s="6">
        <v>72.73</v>
      </c>
      <c r="G5919" s="4"/>
      <c r="H5919" s="5"/>
    </row>
    <row r="5920" spans="4:8" x14ac:dyDescent="0.25">
      <c r="D5920" s="4">
        <v>40203</v>
      </c>
      <c r="E5920" s="6">
        <v>72.180000000000007</v>
      </c>
      <c r="G5920" s="4"/>
      <c r="H5920" s="5"/>
    </row>
    <row r="5921" spans="4:8" x14ac:dyDescent="0.25">
      <c r="D5921" s="4">
        <v>40204</v>
      </c>
      <c r="E5921" s="6">
        <v>72.63</v>
      </c>
      <c r="G5921" s="4"/>
      <c r="H5921" s="5"/>
    </row>
    <row r="5922" spans="4:8" x14ac:dyDescent="0.25">
      <c r="D5922" s="4">
        <v>40205</v>
      </c>
      <c r="E5922" s="6">
        <v>72.75</v>
      </c>
      <c r="G5922" s="4"/>
      <c r="H5922" s="5"/>
    </row>
    <row r="5923" spans="4:8" x14ac:dyDescent="0.25">
      <c r="D5923" s="4">
        <v>40206</v>
      </c>
      <c r="E5923" s="6">
        <v>70.650000000000006</v>
      </c>
      <c r="G5923" s="4"/>
      <c r="H5923" s="5"/>
    </row>
    <row r="5924" spans="4:8" x14ac:dyDescent="0.25">
      <c r="D5924" s="4">
        <v>40207</v>
      </c>
      <c r="E5924" s="6">
        <v>71.2</v>
      </c>
      <c r="G5924" s="4"/>
      <c r="H5924" s="5"/>
    </row>
    <row r="5925" spans="4:8" x14ac:dyDescent="0.25">
      <c r="D5925" s="4">
        <v>40210</v>
      </c>
      <c r="E5925" s="6">
        <v>71.58</v>
      </c>
      <c r="G5925" s="4"/>
      <c r="H5925" s="5"/>
    </row>
    <row r="5926" spans="4:8" x14ac:dyDescent="0.25">
      <c r="D5926" s="4">
        <v>40211</v>
      </c>
      <c r="E5926" s="6">
        <v>73.94</v>
      </c>
      <c r="G5926" s="4"/>
      <c r="H5926" s="5"/>
    </row>
    <row r="5927" spans="4:8" x14ac:dyDescent="0.25">
      <c r="D5927" s="4">
        <v>40212</v>
      </c>
      <c r="E5927" s="6">
        <v>75.77</v>
      </c>
      <c r="G5927" s="4"/>
      <c r="H5927" s="5"/>
    </row>
    <row r="5928" spans="4:8" x14ac:dyDescent="0.25">
      <c r="D5928" s="4">
        <v>40213</v>
      </c>
      <c r="E5928" s="6">
        <v>71.3</v>
      </c>
      <c r="G5928" s="4"/>
      <c r="H5928" s="5"/>
    </row>
    <row r="5929" spans="4:8" x14ac:dyDescent="0.25">
      <c r="D5929" s="4">
        <v>40214</v>
      </c>
      <c r="E5929" s="6">
        <v>70.11</v>
      </c>
      <c r="G5929" s="4"/>
      <c r="H5929" s="5"/>
    </row>
    <row r="5930" spans="4:8" x14ac:dyDescent="0.25">
      <c r="D5930" s="4">
        <v>40217</v>
      </c>
      <c r="E5930" s="6">
        <v>69.62</v>
      </c>
      <c r="G5930" s="4"/>
      <c r="H5930" s="5"/>
    </row>
    <row r="5931" spans="4:8" x14ac:dyDescent="0.25">
      <c r="D5931" s="4">
        <v>40218</v>
      </c>
      <c r="E5931" s="6">
        <v>70.400000000000006</v>
      </c>
      <c r="G5931" s="4"/>
      <c r="H5931" s="5"/>
    </row>
    <row r="5932" spans="4:8" x14ac:dyDescent="0.25">
      <c r="D5932" s="4">
        <v>40219</v>
      </c>
      <c r="E5932" s="6">
        <v>70.400000000000006</v>
      </c>
      <c r="G5932" s="4"/>
      <c r="H5932" s="5"/>
    </row>
    <row r="5933" spans="4:8" x14ac:dyDescent="0.25">
      <c r="D5933" s="4">
        <v>40220</v>
      </c>
      <c r="E5933" s="6">
        <v>72.349999999999994</v>
      </c>
      <c r="G5933" s="4"/>
      <c r="H5933" s="5"/>
    </row>
    <row r="5934" spans="4:8" x14ac:dyDescent="0.25">
      <c r="D5934" s="4">
        <v>40221</v>
      </c>
      <c r="E5934" s="6">
        <v>71.489999999999995</v>
      </c>
      <c r="G5934" s="4"/>
      <c r="H5934" s="5"/>
    </row>
    <row r="5935" spans="4:8" x14ac:dyDescent="0.25">
      <c r="D5935" s="4">
        <v>40224</v>
      </c>
      <c r="E5935" s="5"/>
      <c r="G5935" s="4"/>
      <c r="H5935" s="5"/>
    </row>
    <row r="5936" spans="4:8" x14ac:dyDescent="0.25">
      <c r="D5936" s="4">
        <v>40225</v>
      </c>
      <c r="E5936" s="6">
        <v>74.819999999999993</v>
      </c>
      <c r="G5936" s="4"/>
      <c r="H5936" s="5"/>
    </row>
    <row r="5937" spans="4:8" x14ac:dyDescent="0.25">
      <c r="D5937" s="4">
        <v>40226</v>
      </c>
      <c r="E5937" s="6">
        <v>74.89</v>
      </c>
      <c r="G5937" s="4"/>
      <c r="H5937" s="5"/>
    </row>
    <row r="5938" spans="4:8" x14ac:dyDescent="0.25">
      <c r="D5938" s="4">
        <v>40227</v>
      </c>
      <c r="E5938" s="6">
        <v>76.61</v>
      </c>
      <c r="G5938" s="4"/>
      <c r="H5938" s="5"/>
    </row>
    <row r="5939" spans="4:8" x14ac:dyDescent="0.25">
      <c r="D5939" s="4">
        <v>40228</v>
      </c>
      <c r="E5939" s="6">
        <v>76.88</v>
      </c>
      <c r="G5939" s="4"/>
      <c r="H5939" s="5"/>
    </row>
    <row r="5940" spans="4:8" x14ac:dyDescent="0.25">
      <c r="D5940" s="4">
        <v>40231</v>
      </c>
      <c r="E5940" s="6">
        <v>76.95</v>
      </c>
      <c r="G5940" s="4"/>
      <c r="H5940" s="5"/>
    </row>
    <row r="5941" spans="4:8" x14ac:dyDescent="0.25">
      <c r="D5941" s="4">
        <v>40232</v>
      </c>
      <c r="E5941" s="6">
        <v>76.44</v>
      </c>
      <c r="G5941" s="4"/>
      <c r="H5941" s="5"/>
    </row>
    <row r="5942" spans="4:8" x14ac:dyDescent="0.25">
      <c r="D5942" s="4">
        <v>40233</v>
      </c>
      <c r="E5942" s="6">
        <v>77</v>
      </c>
      <c r="G5942" s="4"/>
      <c r="H5942" s="5"/>
    </row>
    <row r="5943" spans="4:8" x14ac:dyDescent="0.25">
      <c r="D5943" s="4">
        <v>40234</v>
      </c>
      <c r="E5943" s="6">
        <v>74.38</v>
      </c>
      <c r="G5943" s="4"/>
      <c r="H5943" s="5"/>
    </row>
    <row r="5944" spans="4:8" x14ac:dyDescent="0.25">
      <c r="D5944" s="4">
        <v>40235</v>
      </c>
      <c r="E5944" s="6">
        <v>76.36</v>
      </c>
      <c r="G5944" s="4"/>
      <c r="H5944" s="5"/>
    </row>
    <row r="5945" spans="4:8" x14ac:dyDescent="0.25">
      <c r="D5945" s="4">
        <v>40238</v>
      </c>
      <c r="E5945" s="6">
        <v>76.069999999999993</v>
      </c>
      <c r="G5945" s="4"/>
      <c r="H5945" s="5"/>
    </row>
    <row r="5946" spans="4:8" x14ac:dyDescent="0.25">
      <c r="D5946" s="4">
        <v>40239</v>
      </c>
      <c r="E5946" s="6">
        <v>77.5</v>
      </c>
      <c r="G5946" s="4"/>
      <c r="H5946" s="5"/>
    </row>
    <row r="5947" spans="4:8" x14ac:dyDescent="0.25">
      <c r="D5947" s="4">
        <v>40240</v>
      </c>
      <c r="E5947" s="6">
        <v>78.66</v>
      </c>
      <c r="G5947" s="4"/>
      <c r="H5947" s="5"/>
    </row>
    <row r="5948" spans="4:8" x14ac:dyDescent="0.25">
      <c r="D5948" s="4">
        <v>40241</v>
      </c>
      <c r="E5948" s="6">
        <v>77.88</v>
      </c>
      <c r="G5948" s="4"/>
      <c r="H5948" s="5"/>
    </row>
    <row r="5949" spans="4:8" x14ac:dyDescent="0.25">
      <c r="D5949" s="4">
        <v>40242</v>
      </c>
      <c r="E5949" s="6">
        <v>79.2</v>
      </c>
      <c r="G5949" s="4"/>
      <c r="H5949" s="5"/>
    </row>
    <row r="5950" spans="4:8" x14ac:dyDescent="0.25">
      <c r="D5950" s="4">
        <v>40245</v>
      </c>
      <c r="E5950" s="6">
        <v>78.94</v>
      </c>
      <c r="G5950" s="4"/>
      <c r="H5950" s="5"/>
    </row>
    <row r="5951" spans="4:8" x14ac:dyDescent="0.25">
      <c r="D5951" s="4">
        <v>40246</v>
      </c>
      <c r="E5951" s="6">
        <v>78.77</v>
      </c>
      <c r="G5951" s="4"/>
      <c r="H5951" s="5"/>
    </row>
    <row r="5952" spans="4:8" x14ac:dyDescent="0.25">
      <c r="D5952" s="4">
        <v>40247</v>
      </c>
      <c r="E5952" s="6">
        <v>80.290000000000006</v>
      </c>
      <c r="G5952" s="4"/>
      <c r="H5952" s="5"/>
    </row>
    <row r="5953" spans="4:8" x14ac:dyDescent="0.25">
      <c r="D5953" s="4">
        <v>40248</v>
      </c>
      <c r="E5953" s="6">
        <v>79.44</v>
      </c>
      <c r="G5953" s="4"/>
      <c r="H5953" s="5"/>
    </row>
    <row r="5954" spans="4:8" x14ac:dyDescent="0.25">
      <c r="D5954" s="4">
        <v>40249</v>
      </c>
      <c r="E5954" s="6">
        <v>79.38</v>
      </c>
      <c r="G5954" s="4"/>
      <c r="H5954" s="5"/>
    </row>
    <row r="5955" spans="4:8" x14ac:dyDescent="0.25">
      <c r="D5955" s="4">
        <v>40252</v>
      </c>
      <c r="E5955" s="6">
        <v>77.08</v>
      </c>
      <c r="G5955" s="4"/>
      <c r="H5955" s="5"/>
    </row>
    <row r="5956" spans="4:8" x14ac:dyDescent="0.25">
      <c r="D5956" s="4">
        <v>40253</v>
      </c>
      <c r="E5956" s="6">
        <v>79.45</v>
      </c>
      <c r="G5956" s="4"/>
      <c r="H5956" s="5"/>
    </row>
    <row r="5957" spans="4:8" x14ac:dyDescent="0.25">
      <c r="D5957" s="4">
        <v>40254</v>
      </c>
      <c r="E5957" s="6">
        <v>80.28</v>
      </c>
      <c r="G5957" s="4"/>
      <c r="H5957" s="5"/>
    </row>
    <row r="5958" spans="4:8" x14ac:dyDescent="0.25">
      <c r="D5958" s="4">
        <v>40255</v>
      </c>
      <c r="E5958" s="6">
        <v>80.09</v>
      </c>
      <c r="G5958" s="4"/>
      <c r="H5958" s="5"/>
    </row>
    <row r="5959" spans="4:8" x14ac:dyDescent="0.25">
      <c r="D5959" s="4">
        <v>40256</v>
      </c>
      <c r="E5959" s="6">
        <v>78.37</v>
      </c>
      <c r="G5959" s="4"/>
      <c r="H5959" s="5"/>
    </row>
    <row r="5960" spans="4:8" x14ac:dyDescent="0.25">
      <c r="D5960" s="4">
        <v>40259</v>
      </c>
      <c r="E5960" s="6">
        <v>78.09</v>
      </c>
      <c r="G5960" s="4"/>
      <c r="H5960" s="5"/>
    </row>
    <row r="5961" spans="4:8" x14ac:dyDescent="0.25">
      <c r="D5961" s="4">
        <v>40260</v>
      </c>
      <c r="E5961" s="6">
        <v>79.17</v>
      </c>
      <c r="G5961" s="4"/>
      <c r="H5961" s="5"/>
    </row>
    <row r="5962" spans="4:8" x14ac:dyDescent="0.25">
      <c r="D5962" s="4">
        <v>40261</v>
      </c>
      <c r="E5962" s="6">
        <v>78.03</v>
      </c>
      <c r="G5962" s="4"/>
      <c r="H5962" s="5"/>
    </row>
    <row r="5963" spans="4:8" x14ac:dyDescent="0.25">
      <c r="D5963" s="4">
        <v>40262</v>
      </c>
      <c r="E5963" s="6">
        <v>78.64</v>
      </c>
      <c r="G5963" s="4"/>
      <c r="H5963" s="5"/>
    </row>
    <row r="5964" spans="4:8" x14ac:dyDescent="0.25">
      <c r="D5964" s="4">
        <v>40263</v>
      </c>
      <c r="E5964" s="6">
        <v>77.98</v>
      </c>
      <c r="G5964" s="4"/>
      <c r="H5964" s="5"/>
    </row>
    <row r="5965" spans="4:8" x14ac:dyDescent="0.25">
      <c r="D5965" s="4">
        <v>40266</v>
      </c>
      <c r="E5965" s="6">
        <v>79.89</v>
      </c>
      <c r="G5965" s="4"/>
      <c r="H5965" s="5"/>
    </row>
    <row r="5966" spans="4:8" x14ac:dyDescent="0.25">
      <c r="D5966" s="4">
        <v>40267</v>
      </c>
      <c r="E5966" s="6">
        <v>79.459999999999994</v>
      </c>
      <c r="G5966" s="4"/>
      <c r="H5966" s="5"/>
    </row>
    <row r="5967" spans="4:8" x14ac:dyDescent="0.25">
      <c r="D5967" s="4">
        <v>40268</v>
      </c>
      <c r="E5967" s="6">
        <v>80.37</v>
      </c>
      <c r="G5967" s="4"/>
      <c r="H5967" s="5"/>
    </row>
    <row r="5968" spans="4:8" x14ac:dyDescent="0.25">
      <c r="D5968" s="4">
        <v>40269</v>
      </c>
      <c r="E5968" s="6">
        <v>82.63</v>
      </c>
      <c r="G5968" s="4"/>
      <c r="H5968" s="5"/>
    </row>
    <row r="5969" spans="4:8" x14ac:dyDescent="0.25">
      <c r="D5969" s="4">
        <v>40270</v>
      </c>
      <c r="E5969" s="5"/>
      <c r="G5969" s="4"/>
      <c r="H5969" s="5"/>
    </row>
    <row r="5970" spans="4:8" x14ac:dyDescent="0.25">
      <c r="D5970" s="4">
        <v>40273</v>
      </c>
      <c r="E5970" s="6">
        <v>84.48</v>
      </c>
      <c r="G5970" s="4"/>
      <c r="H5970" s="5"/>
    </row>
    <row r="5971" spans="4:8" x14ac:dyDescent="0.25">
      <c r="D5971" s="4">
        <v>40274</v>
      </c>
      <c r="E5971" s="6">
        <v>85.05</v>
      </c>
      <c r="G5971" s="4"/>
      <c r="H5971" s="5"/>
    </row>
    <row r="5972" spans="4:8" x14ac:dyDescent="0.25">
      <c r="D5972" s="4">
        <v>40275</v>
      </c>
      <c r="E5972" s="6">
        <v>84.49</v>
      </c>
      <c r="G5972" s="4"/>
      <c r="H5972" s="5"/>
    </row>
    <row r="5973" spans="4:8" x14ac:dyDescent="0.25">
      <c r="D5973" s="4">
        <v>40276</v>
      </c>
      <c r="E5973" s="6">
        <v>82.63</v>
      </c>
      <c r="G5973" s="4"/>
      <c r="H5973" s="5"/>
    </row>
    <row r="5974" spans="4:8" x14ac:dyDescent="0.25">
      <c r="D5974" s="4">
        <v>40277</v>
      </c>
      <c r="E5974" s="6">
        <v>82.77</v>
      </c>
      <c r="G5974" s="4"/>
      <c r="H5974" s="5"/>
    </row>
    <row r="5975" spans="4:8" x14ac:dyDescent="0.25">
      <c r="D5975" s="4">
        <v>40280</v>
      </c>
      <c r="E5975" s="6">
        <v>85.21</v>
      </c>
      <c r="G5975" s="4"/>
      <c r="H5975" s="5"/>
    </row>
    <row r="5976" spans="4:8" x14ac:dyDescent="0.25">
      <c r="D5976" s="4">
        <v>40281</v>
      </c>
      <c r="E5976" s="6">
        <v>83.44</v>
      </c>
      <c r="G5976" s="4"/>
      <c r="H5976" s="5"/>
    </row>
    <row r="5977" spans="4:8" x14ac:dyDescent="0.25">
      <c r="D5977" s="4">
        <v>40282</v>
      </c>
      <c r="E5977" s="6">
        <v>85.81</v>
      </c>
      <c r="G5977" s="4"/>
      <c r="H5977" s="5"/>
    </row>
    <row r="5978" spans="4:8" x14ac:dyDescent="0.25">
      <c r="D5978" s="4">
        <v>40283</v>
      </c>
      <c r="E5978" s="6">
        <v>86.9</v>
      </c>
      <c r="G5978" s="4"/>
      <c r="H5978" s="5"/>
    </row>
    <row r="5979" spans="4:8" x14ac:dyDescent="0.25">
      <c r="D5979" s="4">
        <v>40284</v>
      </c>
      <c r="E5979" s="6">
        <v>84.81</v>
      </c>
      <c r="G5979" s="4"/>
      <c r="H5979" s="5"/>
    </row>
    <row r="5980" spans="4:8" x14ac:dyDescent="0.25">
      <c r="D5980" s="4">
        <v>40287</v>
      </c>
      <c r="E5980" s="6">
        <v>83.09</v>
      </c>
      <c r="G5980" s="4"/>
      <c r="H5980" s="5"/>
    </row>
    <row r="5981" spans="4:8" x14ac:dyDescent="0.25">
      <c r="D5981" s="4">
        <v>40288</v>
      </c>
      <c r="E5981" s="6">
        <v>84.73</v>
      </c>
      <c r="G5981" s="4"/>
      <c r="H5981" s="5"/>
    </row>
    <row r="5982" spans="4:8" x14ac:dyDescent="0.25">
      <c r="D5982" s="4">
        <v>40289</v>
      </c>
      <c r="E5982" s="6">
        <v>84.55</v>
      </c>
      <c r="G5982" s="4"/>
      <c r="H5982" s="5"/>
    </row>
    <row r="5983" spans="4:8" x14ac:dyDescent="0.25">
      <c r="D5983" s="4">
        <v>40290</v>
      </c>
      <c r="E5983" s="6">
        <v>84.58</v>
      </c>
      <c r="G5983" s="4"/>
      <c r="H5983" s="5"/>
    </row>
    <row r="5984" spans="4:8" x14ac:dyDescent="0.25">
      <c r="D5984" s="4">
        <v>40291</v>
      </c>
      <c r="E5984" s="6">
        <v>86.09</v>
      </c>
      <c r="G5984" s="4"/>
      <c r="H5984" s="5"/>
    </row>
    <row r="5985" spans="4:8" x14ac:dyDescent="0.25">
      <c r="D5985" s="4">
        <v>40294</v>
      </c>
      <c r="E5985" s="6">
        <v>86.72</v>
      </c>
      <c r="G5985" s="4"/>
      <c r="H5985" s="5"/>
    </row>
    <row r="5986" spans="4:8" x14ac:dyDescent="0.25">
      <c r="D5986" s="4">
        <v>40295</v>
      </c>
      <c r="E5986" s="6">
        <v>85.59</v>
      </c>
      <c r="G5986" s="4"/>
      <c r="H5986" s="5"/>
    </row>
    <row r="5987" spans="4:8" x14ac:dyDescent="0.25">
      <c r="D5987" s="4">
        <v>40296</v>
      </c>
      <c r="E5987" s="6">
        <v>84.59</v>
      </c>
      <c r="G5987" s="4"/>
      <c r="H5987" s="5"/>
    </row>
    <row r="5988" spans="4:8" x14ac:dyDescent="0.25">
      <c r="D5988" s="4">
        <v>40297</v>
      </c>
      <c r="E5988" s="6">
        <v>86.82</v>
      </c>
      <c r="G5988" s="4"/>
      <c r="H5988" s="5"/>
    </row>
    <row r="5989" spans="4:8" x14ac:dyDescent="0.25">
      <c r="D5989" s="4">
        <v>40298</v>
      </c>
      <c r="E5989" s="6">
        <v>86.19</v>
      </c>
      <c r="G5989" s="4"/>
      <c r="H5989" s="5"/>
    </row>
    <row r="5990" spans="4:8" x14ac:dyDescent="0.25">
      <c r="D5990" s="4">
        <v>40301</v>
      </c>
      <c r="E5990" s="6">
        <v>88.09</v>
      </c>
      <c r="G5990" s="4"/>
      <c r="H5990" s="5"/>
    </row>
    <row r="5991" spans="4:8" x14ac:dyDescent="0.25">
      <c r="D5991" s="4">
        <v>40302</v>
      </c>
      <c r="E5991" s="6">
        <v>85.39</v>
      </c>
      <c r="G5991" s="4"/>
      <c r="H5991" s="5"/>
    </row>
    <row r="5992" spans="4:8" x14ac:dyDescent="0.25">
      <c r="D5992" s="4">
        <v>40303</v>
      </c>
      <c r="E5992" s="6">
        <v>82.31</v>
      </c>
      <c r="G5992" s="4"/>
      <c r="H5992" s="5"/>
    </row>
    <row r="5993" spans="4:8" x14ac:dyDescent="0.25">
      <c r="D5993" s="4">
        <v>40304</v>
      </c>
      <c r="E5993" s="6">
        <v>80.209999999999994</v>
      </c>
      <c r="G5993" s="4"/>
      <c r="H5993" s="5"/>
    </row>
    <row r="5994" spans="4:8" x14ac:dyDescent="0.25">
      <c r="D5994" s="4">
        <v>40305</v>
      </c>
      <c r="E5994" s="6">
        <v>76.48</v>
      </c>
      <c r="G5994" s="4"/>
      <c r="H5994" s="5"/>
    </row>
    <row r="5995" spans="4:8" x14ac:dyDescent="0.25">
      <c r="D5995" s="4">
        <v>40308</v>
      </c>
      <c r="E5995" s="6">
        <v>78.08</v>
      </c>
      <c r="G5995" s="4"/>
      <c r="H5995" s="5"/>
    </row>
    <row r="5996" spans="4:8" x14ac:dyDescent="0.25">
      <c r="D5996" s="4">
        <v>40309</v>
      </c>
      <c r="E5996" s="6">
        <v>79</v>
      </c>
      <c r="G5996" s="4"/>
      <c r="H5996" s="5"/>
    </row>
    <row r="5997" spans="4:8" x14ac:dyDescent="0.25">
      <c r="D5997" s="4">
        <v>40310</v>
      </c>
      <c r="E5997" s="6">
        <v>78.7</v>
      </c>
      <c r="G5997" s="4"/>
      <c r="H5997" s="5"/>
    </row>
    <row r="5998" spans="4:8" x14ac:dyDescent="0.25">
      <c r="D5998" s="4">
        <v>40311</v>
      </c>
      <c r="E5998" s="6">
        <v>79.41</v>
      </c>
      <c r="G5998" s="4"/>
      <c r="H5998" s="5"/>
    </row>
    <row r="5999" spans="4:8" x14ac:dyDescent="0.25">
      <c r="D5999" s="4">
        <v>40312</v>
      </c>
      <c r="E5999" s="6">
        <v>76.430000000000007</v>
      </c>
      <c r="G5999" s="4"/>
      <c r="H5999" s="5"/>
    </row>
    <row r="6000" spans="4:8" x14ac:dyDescent="0.25">
      <c r="D6000" s="4">
        <v>40315</v>
      </c>
      <c r="E6000" s="6">
        <v>73.87</v>
      </c>
      <c r="G6000" s="4"/>
      <c r="H6000" s="5"/>
    </row>
    <row r="6001" spans="4:8" x14ac:dyDescent="0.25">
      <c r="D6001" s="4">
        <v>40316</v>
      </c>
      <c r="E6001" s="6">
        <v>75.12</v>
      </c>
      <c r="G6001" s="4"/>
      <c r="H6001" s="5"/>
    </row>
    <row r="6002" spans="4:8" x14ac:dyDescent="0.25">
      <c r="D6002" s="4">
        <v>40317</v>
      </c>
      <c r="E6002" s="6">
        <v>71.86</v>
      </c>
      <c r="G6002" s="4"/>
      <c r="H6002" s="5"/>
    </row>
    <row r="6003" spans="4:8" x14ac:dyDescent="0.25">
      <c r="D6003" s="4">
        <v>40318</v>
      </c>
      <c r="E6003" s="6">
        <v>69.56</v>
      </c>
      <c r="G6003" s="4"/>
      <c r="H6003" s="5"/>
    </row>
    <row r="6004" spans="4:8" x14ac:dyDescent="0.25">
      <c r="D6004" s="4">
        <v>40319</v>
      </c>
      <c r="E6004" s="6">
        <v>70.45</v>
      </c>
      <c r="G6004" s="4"/>
      <c r="H6004" s="5"/>
    </row>
    <row r="6005" spans="4:8" x14ac:dyDescent="0.25">
      <c r="D6005" s="4">
        <v>40322</v>
      </c>
      <c r="E6005" s="6">
        <v>69.62</v>
      </c>
      <c r="G6005" s="4"/>
      <c r="H6005" s="5"/>
    </row>
    <row r="6006" spans="4:8" x14ac:dyDescent="0.25">
      <c r="D6006" s="4">
        <v>40323</v>
      </c>
      <c r="E6006" s="6">
        <v>67.180000000000007</v>
      </c>
      <c r="G6006" s="4"/>
      <c r="H6006" s="5"/>
    </row>
    <row r="6007" spans="4:8" x14ac:dyDescent="0.25">
      <c r="D6007" s="4">
        <v>40324</v>
      </c>
      <c r="E6007" s="6">
        <v>70.59</v>
      </c>
      <c r="G6007" s="4"/>
      <c r="H6007" s="5"/>
    </row>
    <row r="6008" spans="4:8" x14ac:dyDescent="0.25">
      <c r="D6008" s="4">
        <v>40325</v>
      </c>
      <c r="E6008" s="6">
        <v>73.56</v>
      </c>
      <c r="G6008" s="4"/>
      <c r="H6008" s="5"/>
    </row>
    <row r="6009" spans="4:8" x14ac:dyDescent="0.25">
      <c r="D6009" s="4">
        <v>40326</v>
      </c>
      <c r="E6009" s="6">
        <v>73</v>
      </c>
      <c r="G6009" s="4"/>
      <c r="H6009" s="5"/>
    </row>
    <row r="6010" spans="4:8" x14ac:dyDescent="0.25">
      <c r="D6010" s="4">
        <v>40329</v>
      </c>
      <c r="E6010" s="5"/>
      <c r="G6010" s="4"/>
      <c r="H6010" s="5"/>
    </row>
    <row r="6011" spans="4:8" x14ac:dyDescent="0.25">
      <c r="D6011" s="4">
        <v>40330</v>
      </c>
      <c r="E6011" s="6">
        <v>73.08</v>
      </c>
      <c r="G6011" s="4"/>
      <c r="H6011" s="5"/>
    </row>
    <row r="6012" spans="4:8" x14ac:dyDescent="0.25">
      <c r="D6012" s="4">
        <v>40331</v>
      </c>
      <c r="E6012" s="6">
        <v>72.78</v>
      </c>
      <c r="G6012" s="4"/>
      <c r="H6012" s="5"/>
    </row>
    <row r="6013" spans="4:8" x14ac:dyDescent="0.25">
      <c r="D6013" s="4">
        <v>40332</v>
      </c>
      <c r="E6013" s="6">
        <v>73.12</v>
      </c>
      <c r="G6013" s="4"/>
      <c r="H6013" s="5"/>
    </row>
    <row r="6014" spans="4:8" x14ac:dyDescent="0.25">
      <c r="D6014" s="4">
        <v>40333</v>
      </c>
      <c r="E6014" s="6">
        <v>71.84</v>
      </c>
      <c r="G6014" s="4"/>
      <c r="H6014" s="5"/>
    </row>
    <row r="6015" spans="4:8" x14ac:dyDescent="0.25">
      <c r="D6015" s="4">
        <v>40336</v>
      </c>
      <c r="E6015" s="6">
        <v>71.09</v>
      </c>
      <c r="G6015" s="4"/>
      <c r="H6015" s="5"/>
    </row>
    <row r="6016" spans="4:8" x14ac:dyDescent="0.25">
      <c r="D6016" s="4">
        <v>40337</v>
      </c>
      <c r="E6016" s="6">
        <v>71.430000000000007</v>
      </c>
      <c r="G6016" s="4"/>
      <c r="H6016" s="5"/>
    </row>
    <row r="6017" spans="4:8" x14ac:dyDescent="0.25">
      <c r="D6017" s="4">
        <v>40338</v>
      </c>
      <c r="E6017" s="6">
        <v>73.680000000000007</v>
      </c>
      <c r="G6017" s="4"/>
      <c r="H6017" s="5"/>
    </row>
    <row r="6018" spans="4:8" x14ac:dyDescent="0.25">
      <c r="D6018" s="4">
        <v>40339</v>
      </c>
      <c r="E6018" s="6">
        <v>74.33</v>
      </c>
      <c r="G6018" s="4"/>
      <c r="H6018" s="5"/>
    </row>
    <row r="6019" spans="4:8" x14ac:dyDescent="0.25">
      <c r="D6019" s="4">
        <v>40340</v>
      </c>
      <c r="E6019" s="6">
        <v>73.28</v>
      </c>
      <c r="G6019" s="4"/>
      <c r="H6019" s="5"/>
    </row>
    <row r="6020" spans="4:8" x14ac:dyDescent="0.25">
      <c r="D6020" s="4">
        <v>40343</v>
      </c>
      <c r="E6020" s="6">
        <v>75.11</v>
      </c>
      <c r="G6020" s="4"/>
      <c r="H6020" s="5"/>
    </row>
    <row r="6021" spans="4:8" x14ac:dyDescent="0.25">
      <c r="D6021" s="4">
        <v>40344</v>
      </c>
      <c r="E6021" s="6">
        <v>75.290000000000006</v>
      </c>
      <c r="G6021" s="4"/>
      <c r="H6021" s="5"/>
    </row>
    <row r="6022" spans="4:8" x14ac:dyDescent="0.25">
      <c r="D6022" s="4">
        <v>40345</v>
      </c>
      <c r="E6022" s="6">
        <v>76.12</v>
      </c>
      <c r="G6022" s="4"/>
      <c r="H6022" s="5"/>
    </row>
    <row r="6023" spans="4:8" x14ac:dyDescent="0.25">
      <c r="D6023" s="4">
        <v>40346</v>
      </c>
      <c r="E6023" s="6">
        <v>77.52</v>
      </c>
      <c r="G6023" s="4"/>
      <c r="H6023" s="5"/>
    </row>
    <row r="6024" spans="4:8" x14ac:dyDescent="0.25">
      <c r="D6024" s="4">
        <v>40347</v>
      </c>
      <c r="E6024" s="6">
        <v>77.05</v>
      </c>
      <c r="G6024" s="4"/>
      <c r="H6024" s="5"/>
    </row>
    <row r="6025" spans="4:8" x14ac:dyDescent="0.25">
      <c r="D6025" s="4">
        <v>40350</v>
      </c>
      <c r="E6025" s="6">
        <v>78.53</v>
      </c>
      <c r="G6025" s="4"/>
      <c r="H6025" s="5"/>
    </row>
    <row r="6026" spans="4:8" x14ac:dyDescent="0.25">
      <c r="D6026" s="4">
        <v>40351</v>
      </c>
      <c r="E6026" s="6">
        <v>78.08</v>
      </c>
      <c r="G6026" s="4"/>
      <c r="H6026" s="5"/>
    </row>
    <row r="6027" spans="4:8" x14ac:dyDescent="0.25">
      <c r="D6027" s="4">
        <v>40352</v>
      </c>
      <c r="E6027" s="6">
        <v>75.22</v>
      </c>
      <c r="G6027" s="4"/>
      <c r="H6027" s="5"/>
    </row>
    <row r="6028" spans="4:8" x14ac:dyDescent="0.25">
      <c r="D6028" s="4">
        <v>40353</v>
      </c>
      <c r="E6028" s="6">
        <v>75.17</v>
      </c>
      <c r="G6028" s="4"/>
      <c r="H6028" s="5"/>
    </row>
    <row r="6029" spans="4:8" x14ac:dyDescent="0.25">
      <c r="D6029" s="4">
        <v>40354</v>
      </c>
      <c r="E6029" s="6">
        <v>76.209999999999994</v>
      </c>
      <c r="G6029" s="4"/>
      <c r="H6029" s="5"/>
    </row>
    <row r="6030" spans="4:8" x14ac:dyDescent="0.25">
      <c r="D6030" s="4">
        <v>40357</v>
      </c>
      <c r="E6030" s="6">
        <v>76.66</v>
      </c>
      <c r="G6030" s="4"/>
      <c r="H6030" s="5"/>
    </row>
    <row r="6031" spans="4:8" x14ac:dyDescent="0.25">
      <c r="D6031" s="4">
        <v>40358</v>
      </c>
      <c r="E6031" s="6">
        <v>74.209999999999994</v>
      </c>
      <c r="G6031" s="4"/>
      <c r="H6031" s="5"/>
    </row>
    <row r="6032" spans="4:8" x14ac:dyDescent="0.25">
      <c r="D6032" s="4">
        <v>40359</v>
      </c>
      <c r="E6032" s="6">
        <v>74.94</v>
      </c>
      <c r="G6032" s="4"/>
      <c r="H6032" s="5"/>
    </row>
    <row r="6033" spans="4:8" x14ac:dyDescent="0.25">
      <c r="D6033" s="4">
        <v>40360</v>
      </c>
      <c r="E6033" s="6">
        <v>71.73</v>
      </c>
      <c r="G6033" s="4"/>
      <c r="H6033" s="5"/>
    </row>
    <row r="6034" spans="4:8" x14ac:dyDescent="0.25">
      <c r="D6034" s="4">
        <v>40361</v>
      </c>
      <c r="E6034" s="6">
        <v>71.75</v>
      </c>
      <c r="G6034" s="4"/>
      <c r="H6034" s="5"/>
    </row>
    <row r="6035" spans="4:8" x14ac:dyDescent="0.25">
      <c r="D6035" s="4">
        <v>40364</v>
      </c>
      <c r="E6035" s="5"/>
      <c r="G6035" s="4"/>
      <c r="H6035" s="5"/>
    </row>
    <row r="6036" spans="4:8" x14ac:dyDescent="0.25">
      <c r="D6036" s="4">
        <v>40365</v>
      </c>
      <c r="E6036" s="6">
        <v>73.08</v>
      </c>
      <c r="G6036" s="4"/>
      <c r="H6036" s="5"/>
    </row>
    <row r="6037" spans="4:8" x14ac:dyDescent="0.25">
      <c r="D6037" s="4">
        <v>40366</v>
      </c>
      <c r="E6037" s="6">
        <v>72.97</v>
      </c>
      <c r="G6037" s="4"/>
      <c r="H6037" s="5"/>
    </row>
    <row r="6038" spans="4:8" x14ac:dyDescent="0.25">
      <c r="D6038" s="4">
        <v>40367</v>
      </c>
      <c r="E6038" s="6">
        <v>74.56</v>
      </c>
      <c r="G6038" s="4"/>
      <c r="H6038" s="5"/>
    </row>
    <row r="6039" spans="4:8" x14ac:dyDescent="0.25">
      <c r="D6039" s="4">
        <v>40368</v>
      </c>
      <c r="E6039" s="6">
        <v>75.2</v>
      </c>
      <c r="G6039" s="4"/>
      <c r="H6039" s="5"/>
    </row>
    <row r="6040" spans="4:8" x14ac:dyDescent="0.25">
      <c r="D6040" s="4">
        <v>40371</v>
      </c>
      <c r="E6040" s="6">
        <v>74.349999999999994</v>
      </c>
      <c r="G6040" s="4"/>
      <c r="H6040" s="5"/>
    </row>
    <row r="6041" spans="4:8" x14ac:dyDescent="0.25">
      <c r="D6041" s="4">
        <v>40372</v>
      </c>
      <c r="E6041" s="6">
        <v>76.45</v>
      </c>
      <c r="G6041" s="4"/>
      <c r="H6041" s="5"/>
    </row>
    <row r="6042" spans="4:8" x14ac:dyDescent="0.25">
      <c r="D6042" s="4">
        <v>40373</v>
      </c>
      <c r="E6042" s="6">
        <v>76.63</v>
      </c>
      <c r="G6042" s="4"/>
      <c r="H6042" s="5"/>
    </row>
    <row r="6043" spans="4:8" x14ac:dyDescent="0.25">
      <c r="D6043" s="4">
        <v>40374</v>
      </c>
      <c r="E6043" s="6">
        <v>75.52</v>
      </c>
      <c r="G6043" s="4"/>
      <c r="H6043" s="5"/>
    </row>
    <row r="6044" spans="4:8" x14ac:dyDescent="0.25">
      <c r="D6044" s="4">
        <v>40375</v>
      </c>
      <c r="E6044" s="6">
        <v>75.55</v>
      </c>
      <c r="G6044" s="4"/>
      <c r="H6044" s="5"/>
    </row>
    <row r="6045" spans="4:8" x14ac:dyDescent="0.25">
      <c r="D6045" s="4">
        <v>40378</v>
      </c>
      <c r="E6045" s="6">
        <v>76.290000000000006</v>
      </c>
      <c r="G6045" s="4"/>
      <c r="H6045" s="5"/>
    </row>
    <row r="6046" spans="4:8" x14ac:dyDescent="0.25">
      <c r="D6046" s="4">
        <v>40379</v>
      </c>
      <c r="E6046" s="6">
        <v>76.31</v>
      </c>
      <c r="G6046" s="4"/>
      <c r="H6046" s="5"/>
    </row>
    <row r="6047" spans="4:8" x14ac:dyDescent="0.25">
      <c r="D6047" s="4">
        <v>40380</v>
      </c>
      <c r="E6047" s="6">
        <v>75.75</v>
      </c>
      <c r="G6047" s="4"/>
      <c r="H6047" s="5"/>
    </row>
    <row r="6048" spans="4:8" x14ac:dyDescent="0.25">
      <c r="D6048" s="4">
        <v>40381</v>
      </c>
      <c r="E6048" s="6">
        <v>77.59</v>
      </c>
      <c r="G6048" s="4"/>
      <c r="H6048" s="5"/>
    </row>
    <row r="6049" spans="4:8" x14ac:dyDescent="0.25">
      <c r="D6049" s="4">
        <v>40382</v>
      </c>
      <c r="E6049" s="6">
        <v>77.27</v>
      </c>
      <c r="G6049" s="4"/>
      <c r="H6049" s="5"/>
    </row>
    <row r="6050" spans="4:8" x14ac:dyDescent="0.25">
      <c r="D6050" s="4">
        <v>40385</v>
      </c>
      <c r="E6050" s="6">
        <v>77.900000000000006</v>
      </c>
      <c r="G6050" s="4"/>
      <c r="H6050" s="5"/>
    </row>
    <row r="6051" spans="4:8" x14ac:dyDescent="0.25">
      <c r="D6051" s="4">
        <v>40386</v>
      </c>
      <c r="E6051" s="6">
        <v>75.52</v>
      </c>
      <c r="G6051" s="4"/>
      <c r="H6051" s="5"/>
    </row>
    <row r="6052" spans="4:8" x14ac:dyDescent="0.25">
      <c r="D6052" s="4">
        <v>40387</v>
      </c>
      <c r="E6052" s="6">
        <v>76.66</v>
      </c>
      <c r="G6052" s="4"/>
      <c r="H6052" s="5"/>
    </row>
    <row r="6053" spans="4:8" x14ac:dyDescent="0.25">
      <c r="D6053" s="4">
        <v>40388</v>
      </c>
      <c r="E6053" s="6">
        <v>78.599999999999994</v>
      </c>
      <c r="G6053" s="4"/>
      <c r="H6053" s="5"/>
    </row>
    <row r="6054" spans="4:8" x14ac:dyDescent="0.25">
      <c r="D6054" s="4">
        <v>40389</v>
      </c>
      <c r="E6054" s="6">
        <v>77.5</v>
      </c>
      <c r="G6054" s="4"/>
      <c r="H6054" s="5"/>
    </row>
    <row r="6055" spans="4:8" x14ac:dyDescent="0.25">
      <c r="D6055" s="4">
        <v>40392</v>
      </c>
      <c r="E6055" s="6">
        <v>81.93</v>
      </c>
      <c r="G6055" s="4"/>
      <c r="H6055" s="5"/>
    </row>
    <row r="6056" spans="4:8" x14ac:dyDescent="0.25">
      <c r="D6056" s="4">
        <v>40393</v>
      </c>
      <c r="E6056" s="6">
        <v>83.6</v>
      </c>
      <c r="G6056" s="4"/>
      <c r="H6056" s="5"/>
    </row>
    <row r="6057" spans="4:8" x14ac:dyDescent="0.25">
      <c r="D6057" s="4">
        <v>40394</v>
      </c>
      <c r="E6057" s="6">
        <v>83.76</v>
      </c>
      <c r="G6057" s="4"/>
      <c r="H6057" s="5"/>
    </row>
    <row r="6058" spans="4:8" x14ac:dyDescent="0.25">
      <c r="D6058" s="4">
        <v>40395</v>
      </c>
      <c r="E6058" s="6">
        <v>82.9</v>
      </c>
      <c r="G6058" s="4"/>
      <c r="H6058" s="5"/>
    </row>
    <row r="6059" spans="4:8" x14ac:dyDescent="0.25">
      <c r="D6059" s="4">
        <v>40396</v>
      </c>
      <c r="E6059" s="6">
        <v>81.28</v>
      </c>
      <c r="G6059" s="4"/>
      <c r="H6059" s="5"/>
    </row>
    <row r="6060" spans="4:8" x14ac:dyDescent="0.25">
      <c r="D6060" s="4">
        <v>40399</v>
      </c>
      <c r="E6060" s="6">
        <v>81.540000000000006</v>
      </c>
      <c r="G6060" s="4"/>
      <c r="H6060" s="5"/>
    </row>
    <row r="6061" spans="4:8" x14ac:dyDescent="0.25">
      <c r="D6061" s="4">
        <v>40400</v>
      </c>
      <c r="E6061" s="6">
        <v>79.89</v>
      </c>
      <c r="G6061" s="4"/>
      <c r="H6061" s="5"/>
    </row>
    <row r="6062" spans="4:8" x14ac:dyDescent="0.25">
      <c r="D6062" s="4">
        <v>40401</v>
      </c>
      <c r="E6062" s="6">
        <v>77.83</v>
      </c>
      <c r="G6062" s="4"/>
      <c r="H6062" s="5"/>
    </row>
    <row r="6063" spans="4:8" x14ac:dyDescent="0.25">
      <c r="D6063" s="4">
        <v>40402</v>
      </c>
      <c r="E6063" s="6">
        <v>76.63</v>
      </c>
      <c r="G6063" s="4"/>
      <c r="H6063" s="5"/>
    </row>
    <row r="6064" spans="4:8" x14ac:dyDescent="0.25">
      <c r="D6064" s="4">
        <v>40403</v>
      </c>
      <c r="E6064" s="6">
        <v>75.14</v>
      </c>
      <c r="G6064" s="4"/>
      <c r="H6064" s="5"/>
    </row>
    <row r="6065" spans="4:8" x14ac:dyDescent="0.25">
      <c r="D6065" s="4">
        <v>40406</v>
      </c>
      <c r="E6065" s="6">
        <v>74.56</v>
      </c>
      <c r="G6065" s="4"/>
      <c r="H6065" s="5"/>
    </row>
    <row r="6066" spans="4:8" x14ac:dyDescent="0.25">
      <c r="D6066" s="4">
        <v>40407</v>
      </c>
      <c r="E6066" s="6">
        <v>76.739999999999995</v>
      </c>
      <c r="G6066" s="4"/>
      <c r="H6066" s="5"/>
    </row>
    <row r="6067" spans="4:8" x14ac:dyDescent="0.25">
      <c r="D6067" s="4">
        <v>40408</v>
      </c>
      <c r="E6067" s="6">
        <v>75.099999999999994</v>
      </c>
      <c r="G6067" s="4"/>
      <c r="H6067" s="5"/>
    </row>
    <row r="6068" spans="4:8" x14ac:dyDescent="0.25">
      <c r="D6068" s="4">
        <v>40409</v>
      </c>
      <c r="E6068" s="6">
        <v>74.84</v>
      </c>
      <c r="G6068" s="4"/>
      <c r="H6068" s="5"/>
    </row>
    <row r="6069" spans="4:8" x14ac:dyDescent="0.25">
      <c r="D6069" s="4">
        <v>40410</v>
      </c>
      <c r="E6069" s="6">
        <v>73.48</v>
      </c>
      <c r="G6069" s="4"/>
      <c r="H6069" s="5"/>
    </row>
    <row r="6070" spans="4:8" x14ac:dyDescent="0.25">
      <c r="D6070" s="4">
        <v>40413</v>
      </c>
      <c r="E6070" s="6">
        <v>73.08</v>
      </c>
      <c r="G6070" s="4"/>
      <c r="H6070" s="5"/>
    </row>
    <row r="6071" spans="4:8" x14ac:dyDescent="0.25">
      <c r="D6071" s="4">
        <v>40414</v>
      </c>
      <c r="E6071" s="6">
        <v>70.61</v>
      </c>
      <c r="G6071" s="4"/>
      <c r="H6071" s="5"/>
    </row>
    <row r="6072" spans="4:8" x14ac:dyDescent="0.25">
      <c r="D6072" s="4">
        <v>40415</v>
      </c>
      <c r="E6072" s="6">
        <v>70.739999999999995</v>
      </c>
      <c r="G6072" s="4"/>
      <c r="H6072" s="5"/>
    </row>
    <row r="6073" spans="4:8" x14ac:dyDescent="0.25">
      <c r="D6073" s="4">
        <v>40416</v>
      </c>
      <c r="E6073" s="6">
        <v>74.5</v>
      </c>
      <c r="G6073" s="4"/>
      <c r="H6073" s="5"/>
    </row>
    <row r="6074" spans="4:8" x14ac:dyDescent="0.25">
      <c r="D6074" s="4">
        <v>40417</v>
      </c>
      <c r="E6074" s="6">
        <v>75.16</v>
      </c>
      <c r="G6074" s="4"/>
      <c r="H6074" s="5"/>
    </row>
    <row r="6075" spans="4:8" x14ac:dyDescent="0.25">
      <c r="D6075" s="4">
        <v>40420</v>
      </c>
      <c r="E6075" s="6">
        <v>76.05</v>
      </c>
      <c r="G6075" s="4"/>
      <c r="H6075" s="5"/>
    </row>
    <row r="6076" spans="4:8" x14ac:dyDescent="0.25">
      <c r="D6076" s="4">
        <v>40421</v>
      </c>
      <c r="E6076" s="6">
        <v>75.510000000000005</v>
      </c>
      <c r="G6076" s="4"/>
      <c r="H6076" s="5"/>
    </row>
    <row r="6077" spans="4:8" x14ac:dyDescent="0.25">
      <c r="D6077" s="4">
        <v>40422</v>
      </c>
      <c r="E6077" s="6">
        <v>75.53</v>
      </c>
      <c r="G6077" s="4"/>
      <c r="H6077" s="5"/>
    </row>
    <row r="6078" spans="4:8" x14ac:dyDescent="0.25">
      <c r="D6078" s="4">
        <v>40423</v>
      </c>
      <c r="E6078" s="6">
        <v>74.930000000000007</v>
      </c>
      <c r="G6078" s="4"/>
      <c r="H6078" s="5"/>
    </row>
    <row r="6079" spans="4:8" x14ac:dyDescent="0.25">
      <c r="D6079" s="4">
        <v>40424</v>
      </c>
      <c r="E6079" s="6">
        <v>75.03</v>
      </c>
      <c r="G6079" s="4"/>
      <c r="H6079" s="5"/>
    </row>
    <row r="6080" spans="4:8" x14ac:dyDescent="0.25">
      <c r="D6080" s="4">
        <v>40427</v>
      </c>
      <c r="E6080" s="5"/>
      <c r="G6080" s="4"/>
      <c r="H6080" s="5"/>
    </row>
    <row r="6081" spans="4:8" x14ac:dyDescent="0.25">
      <c r="D6081" s="4">
        <v>40428</v>
      </c>
      <c r="E6081" s="6">
        <v>75.78</v>
      </c>
      <c r="G6081" s="4"/>
      <c r="H6081" s="5"/>
    </row>
    <row r="6082" spans="4:8" x14ac:dyDescent="0.25">
      <c r="D6082" s="4">
        <v>40429</v>
      </c>
      <c r="E6082" s="6">
        <v>77.48</v>
      </c>
      <c r="G6082" s="4"/>
      <c r="H6082" s="5"/>
    </row>
    <row r="6083" spans="4:8" x14ac:dyDescent="0.25">
      <c r="D6083" s="4">
        <v>40430</v>
      </c>
      <c r="E6083" s="6">
        <v>77.87</v>
      </c>
      <c r="G6083" s="4"/>
      <c r="H6083" s="5"/>
    </row>
    <row r="6084" spans="4:8" x14ac:dyDescent="0.25">
      <c r="D6084" s="4">
        <v>40431</v>
      </c>
      <c r="E6084" s="6">
        <v>77.540000000000006</v>
      </c>
      <c r="G6084" s="4"/>
      <c r="H6084" s="5"/>
    </row>
    <row r="6085" spans="4:8" x14ac:dyDescent="0.25">
      <c r="D6085" s="4">
        <v>40434</v>
      </c>
      <c r="E6085" s="6">
        <v>78.52</v>
      </c>
      <c r="G6085" s="4"/>
      <c r="H6085" s="5"/>
    </row>
    <row r="6086" spans="4:8" x14ac:dyDescent="0.25">
      <c r="D6086" s="4">
        <v>40435</v>
      </c>
      <c r="E6086" s="6">
        <v>78.89</v>
      </c>
      <c r="G6086" s="4"/>
      <c r="H6086" s="5"/>
    </row>
    <row r="6087" spans="4:8" x14ac:dyDescent="0.25">
      <c r="D6087" s="4">
        <v>40436</v>
      </c>
      <c r="E6087" s="6">
        <v>78.459999999999994</v>
      </c>
      <c r="G6087" s="4"/>
      <c r="H6087" s="5"/>
    </row>
    <row r="6088" spans="4:8" x14ac:dyDescent="0.25">
      <c r="D6088" s="4">
        <v>40437</v>
      </c>
      <c r="E6088" s="6">
        <v>78.89</v>
      </c>
      <c r="G6088" s="4"/>
      <c r="H6088" s="5"/>
    </row>
    <row r="6089" spans="4:8" x14ac:dyDescent="0.25">
      <c r="D6089" s="4">
        <v>40438</v>
      </c>
      <c r="E6089" s="6">
        <v>77.430000000000007</v>
      </c>
      <c r="G6089" s="4"/>
      <c r="H6089" s="5"/>
    </row>
    <row r="6090" spans="4:8" x14ac:dyDescent="0.25">
      <c r="D6090" s="4">
        <v>40441</v>
      </c>
      <c r="E6090" s="6">
        <v>79.42</v>
      </c>
      <c r="G6090" s="4"/>
      <c r="H6090" s="5"/>
    </row>
    <row r="6091" spans="4:8" x14ac:dyDescent="0.25">
      <c r="D6091" s="4">
        <v>40442</v>
      </c>
      <c r="E6091" s="6">
        <v>78.760000000000005</v>
      </c>
      <c r="G6091" s="4"/>
      <c r="H6091" s="5"/>
    </row>
    <row r="6092" spans="4:8" x14ac:dyDescent="0.25">
      <c r="D6092" s="4">
        <v>40443</v>
      </c>
      <c r="E6092" s="6">
        <v>77.290000000000006</v>
      </c>
      <c r="G6092" s="4"/>
      <c r="H6092" s="5"/>
    </row>
    <row r="6093" spans="4:8" x14ac:dyDescent="0.25">
      <c r="D6093" s="4">
        <v>40444</v>
      </c>
      <c r="E6093" s="6">
        <v>77.69</v>
      </c>
      <c r="G6093" s="4"/>
      <c r="H6093" s="5"/>
    </row>
    <row r="6094" spans="4:8" x14ac:dyDescent="0.25">
      <c r="D6094" s="4">
        <v>40445</v>
      </c>
      <c r="E6094" s="6">
        <v>78.73</v>
      </c>
      <c r="G6094" s="4"/>
      <c r="H6094" s="5"/>
    </row>
    <row r="6095" spans="4:8" x14ac:dyDescent="0.25">
      <c r="D6095" s="4">
        <v>40448</v>
      </c>
      <c r="E6095" s="6">
        <v>77.709999999999994</v>
      </c>
      <c r="G6095" s="4"/>
      <c r="H6095" s="5"/>
    </row>
    <row r="6096" spans="4:8" x14ac:dyDescent="0.25">
      <c r="D6096" s="4">
        <v>40449</v>
      </c>
      <c r="E6096" s="6">
        <v>79.14</v>
      </c>
      <c r="G6096" s="4"/>
      <c r="H6096" s="5"/>
    </row>
    <row r="6097" spans="4:8" x14ac:dyDescent="0.25">
      <c r="D6097" s="4">
        <v>40450</v>
      </c>
      <c r="E6097" s="6">
        <v>78.790000000000006</v>
      </c>
      <c r="G6097" s="4"/>
      <c r="H6097" s="5"/>
    </row>
    <row r="6098" spans="4:8" x14ac:dyDescent="0.25">
      <c r="D6098" s="4">
        <v>40451</v>
      </c>
      <c r="E6098" s="6">
        <v>80.77</v>
      </c>
      <c r="G6098" s="4"/>
      <c r="H6098" s="5"/>
    </row>
    <row r="6099" spans="4:8" x14ac:dyDescent="0.25">
      <c r="D6099" s="4">
        <v>40452</v>
      </c>
      <c r="E6099" s="6">
        <v>82.69</v>
      </c>
      <c r="G6099" s="4"/>
      <c r="H6099" s="5"/>
    </row>
    <row r="6100" spans="4:8" x14ac:dyDescent="0.25">
      <c r="D6100" s="4">
        <v>40455</v>
      </c>
      <c r="E6100" s="6">
        <v>83.42</v>
      </c>
      <c r="G6100" s="4"/>
      <c r="H6100" s="5"/>
    </row>
    <row r="6101" spans="4:8" x14ac:dyDescent="0.25">
      <c r="D6101" s="4">
        <v>40456</v>
      </c>
      <c r="E6101" s="6">
        <v>83.35</v>
      </c>
      <c r="G6101" s="4"/>
      <c r="H6101" s="5"/>
    </row>
    <row r="6102" spans="4:8" x14ac:dyDescent="0.25">
      <c r="D6102" s="4">
        <v>40457</v>
      </c>
      <c r="E6102" s="6">
        <v>85.01</v>
      </c>
      <c r="G6102" s="4"/>
      <c r="H6102" s="5"/>
    </row>
    <row r="6103" spans="4:8" x14ac:dyDescent="0.25">
      <c r="D6103" s="4">
        <v>40458</v>
      </c>
      <c r="E6103" s="6">
        <v>83.67</v>
      </c>
      <c r="G6103" s="4"/>
      <c r="H6103" s="5"/>
    </row>
    <row r="6104" spans="4:8" x14ac:dyDescent="0.25">
      <c r="D6104" s="4">
        <v>40459</v>
      </c>
      <c r="E6104" s="6">
        <v>83.88</v>
      </c>
      <c r="G6104" s="4"/>
      <c r="H6104" s="5"/>
    </row>
    <row r="6105" spans="4:8" x14ac:dyDescent="0.25">
      <c r="D6105" s="4">
        <v>40462</v>
      </c>
      <c r="E6105" s="6">
        <v>83.08</v>
      </c>
      <c r="G6105" s="4"/>
      <c r="H6105" s="5"/>
    </row>
    <row r="6106" spans="4:8" x14ac:dyDescent="0.25">
      <c r="D6106" s="4">
        <v>40463</v>
      </c>
      <c r="E6106" s="6">
        <v>82.99</v>
      </c>
      <c r="G6106" s="4"/>
      <c r="H6106" s="5"/>
    </row>
    <row r="6107" spans="4:8" x14ac:dyDescent="0.25">
      <c r="D6107" s="4">
        <v>40464</v>
      </c>
      <c r="E6107" s="6">
        <v>84.01</v>
      </c>
      <c r="G6107" s="4"/>
      <c r="H6107" s="5"/>
    </row>
    <row r="6108" spans="4:8" x14ac:dyDescent="0.25">
      <c r="D6108" s="4">
        <v>40465</v>
      </c>
      <c r="E6108" s="6">
        <v>83.55</v>
      </c>
      <c r="G6108" s="4"/>
      <c r="H6108" s="5"/>
    </row>
    <row r="6109" spans="4:8" x14ac:dyDescent="0.25">
      <c r="D6109" s="4">
        <v>40466</v>
      </c>
      <c r="E6109" s="6">
        <v>81.94</v>
      </c>
      <c r="G6109" s="4"/>
      <c r="H6109" s="5"/>
    </row>
    <row r="6110" spans="4:8" x14ac:dyDescent="0.25">
      <c r="D6110" s="4">
        <v>40469</v>
      </c>
      <c r="E6110" s="6">
        <v>82.3</v>
      </c>
      <c r="G6110" s="4"/>
      <c r="H6110" s="5"/>
    </row>
    <row r="6111" spans="4:8" x14ac:dyDescent="0.25">
      <c r="D6111" s="4">
        <v>40470</v>
      </c>
      <c r="E6111" s="6">
        <v>81.12</v>
      </c>
      <c r="G6111" s="4"/>
      <c r="H6111" s="5"/>
    </row>
    <row r="6112" spans="4:8" x14ac:dyDescent="0.25">
      <c r="D6112" s="4">
        <v>40471</v>
      </c>
      <c r="E6112" s="6">
        <v>81.680000000000007</v>
      </c>
      <c r="G6112" s="4"/>
      <c r="H6112" s="5"/>
    </row>
    <row r="6113" spans="4:8" x14ac:dyDescent="0.25">
      <c r="D6113" s="4">
        <v>40472</v>
      </c>
      <c r="E6113" s="6">
        <v>81.28</v>
      </c>
      <c r="G6113" s="4"/>
      <c r="H6113" s="5"/>
    </row>
    <row r="6114" spans="4:8" x14ac:dyDescent="0.25">
      <c r="D6114" s="4">
        <v>40473</v>
      </c>
      <c r="E6114" s="6">
        <v>80.75</v>
      </c>
      <c r="G6114" s="4"/>
      <c r="H6114" s="5"/>
    </row>
    <row r="6115" spans="4:8" x14ac:dyDescent="0.25">
      <c r="D6115" s="4">
        <v>40476</v>
      </c>
      <c r="E6115" s="6">
        <v>81.91</v>
      </c>
      <c r="G6115" s="4"/>
      <c r="H6115" s="5"/>
    </row>
    <row r="6116" spans="4:8" x14ac:dyDescent="0.25">
      <c r="D6116" s="4">
        <v>40477</v>
      </c>
      <c r="E6116" s="6">
        <v>82.62</v>
      </c>
      <c r="G6116" s="4"/>
      <c r="H6116" s="5"/>
    </row>
    <row r="6117" spans="4:8" x14ac:dyDescent="0.25">
      <c r="D6117" s="4">
        <v>40478</v>
      </c>
      <c r="E6117" s="6">
        <v>81.27</v>
      </c>
      <c r="G6117" s="4"/>
      <c r="H6117" s="5"/>
    </row>
    <row r="6118" spans="4:8" x14ac:dyDescent="0.25">
      <c r="D6118" s="4">
        <v>40479</v>
      </c>
      <c r="E6118" s="6">
        <v>82.97</v>
      </c>
      <c r="G6118" s="4"/>
      <c r="H6118" s="5"/>
    </row>
    <row r="6119" spans="4:8" x14ac:dyDescent="0.25">
      <c r="D6119" s="4">
        <v>40480</v>
      </c>
      <c r="E6119" s="6">
        <v>82.47</v>
      </c>
      <c r="G6119" s="4"/>
      <c r="H6119" s="5"/>
    </row>
    <row r="6120" spans="4:8" x14ac:dyDescent="0.25">
      <c r="D6120" s="4">
        <v>40483</v>
      </c>
      <c r="E6120" s="6">
        <v>84.06</v>
      </c>
      <c r="G6120" s="4"/>
      <c r="H6120" s="5"/>
    </row>
    <row r="6121" spans="4:8" x14ac:dyDescent="0.25">
      <c r="D6121" s="4">
        <v>40484</v>
      </c>
      <c r="E6121" s="6">
        <v>84.71</v>
      </c>
      <c r="G6121" s="4"/>
      <c r="H6121" s="5"/>
    </row>
    <row r="6122" spans="4:8" x14ac:dyDescent="0.25">
      <c r="D6122" s="4">
        <v>40485</v>
      </c>
      <c r="E6122" s="6">
        <v>85.33</v>
      </c>
      <c r="G6122" s="4"/>
      <c r="H6122" s="5"/>
    </row>
    <row r="6123" spans="4:8" x14ac:dyDescent="0.25">
      <c r="D6123" s="4">
        <v>40486</v>
      </c>
      <c r="E6123" s="6">
        <v>86.83</v>
      </c>
      <c r="G6123" s="4"/>
      <c r="H6123" s="5"/>
    </row>
    <row r="6124" spans="4:8" x14ac:dyDescent="0.25">
      <c r="D6124" s="4">
        <v>40487</v>
      </c>
      <c r="E6124" s="6">
        <v>87.05</v>
      </c>
      <c r="G6124" s="4"/>
      <c r="H6124" s="5"/>
    </row>
    <row r="6125" spans="4:8" x14ac:dyDescent="0.25">
      <c r="D6125" s="4">
        <v>40490</v>
      </c>
      <c r="E6125" s="6">
        <v>87.15</v>
      </c>
      <c r="G6125" s="4"/>
      <c r="H6125" s="5"/>
    </row>
    <row r="6126" spans="4:8" x14ac:dyDescent="0.25">
      <c r="D6126" s="4">
        <v>40491</v>
      </c>
      <c r="E6126" s="6">
        <v>87.93</v>
      </c>
      <c r="G6126" s="4"/>
      <c r="H6126" s="5"/>
    </row>
    <row r="6127" spans="4:8" x14ac:dyDescent="0.25">
      <c r="D6127" s="4">
        <v>40492</v>
      </c>
      <c r="E6127" s="6">
        <v>87.92</v>
      </c>
      <c r="G6127" s="4"/>
      <c r="H6127" s="5"/>
    </row>
    <row r="6128" spans="4:8" x14ac:dyDescent="0.25">
      <c r="D6128" s="4">
        <v>40493</v>
      </c>
      <c r="E6128" s="6">
        <v>88.08</v>
      </c>
      <c r="G6128" s="4"/>
      <c r="H6128" s="5"/>
    </row>
    <row r="6129" spans="4:8" x14ac:dyDescent="0.25">
      <c r="D6129" s="4">
        <v>40494</v>
      </c>
      <c r="E6129" s="6">
        <v>86.07</v>
      </c>
      <c r="G6129" s="4"/>
      <c r="H6129" s="5"/>
    </row>
    <row r="6130" spans="4:8" x14ac:dyDescent="0.25">
      <c r="D6130" s="4">
        <v>40497</v>
      </c>
      <c r="E6130" s="6">
        <v>85.49</v>
      </c>
      <c r="G6130" s="4"/>
      <c r="H6130" s="5"/>
    </row>
    <row r="6131" spans="4:8" x14ac:dyDescent="0.25">
      <c r="D6131" s="4">
        <v>40498</v>
      </c>
      <c r="E6131" s="6">
        <v>83.98</v>
      </c>
      <c r="G6131" s="4"/>
      <c r="H6131" s="5"/>
    </row>
    <row r="6132" spans="4:8" x14ac:dyDescent="0.25">
      <c r="D6132" s="4">
        <v>40499</v>
      </c>
      <c r="E6132" s="6">
        <v>83.36</v>
      </c>
      <c r="G6132" s="4"/>
      <c r="H6132" s="5"/>
    </row>
    <row r="6133" spans="4:8" x14ac:dyDescent="0.25">
      <c r="D6133" s="4">
        <v>40500</v>
      </c>
      <c r="E6133" s="6">
        <v>83.7</v>
      </c>
      <c r="G6133" s="4"/>
      <c r="H6133" s="5"/>
    </row>
    <row r="6134" spans="4:8" x14ac:dyDescent="0.25">
      <c r="D6134" s="4">
        <v>40501</v>
      </c>
      <c r="E6134" s="6">
        <v>83.17</v>
      </c>
      <c r="G6134" s="4"/>
      <c r="H6134" s="5"/>
    </row>
    <row r="6135" spans="4:8" x14ac:dyDescent="0.25">
      <c r="D6135" s="4">
        <v>40504</v>
      </c>
      <c r="E6135" s="6">
        <v>82.34</v>
      </c>
      <c r="G6135" s="4"/>
      <c r="H6135" s="5"/>
    </row>
    <row r="6136" spans="4:8" x14ac:dyDescent="0.25">
      <c r="D6136" s="4">
        <v>40505</v>
      </c>
      <c r="E6136" s="6">
        <v>82.37</v>
      </c>
      <c r="G6136" s="4"/>
      <c r="H6136" s="5"/>
    </row>
    <row r="6137" spans="4:8" x14ac:dyDescent="0.25">
      <c r="D6137" s="4">
        <v>40506</v>
      </c>
      <c r="E6137" s="6">
        <v>84.53</v>
      </c>
      <c r="G6137" s="4"/>
      <c r="H6137" s="5"/>
    </row>
    <row r="6138" spans="4:8" x14ac:dyDescent="0.25">
      <c r="D6138" s="4">
        <v>40507</v>
      </c>
      <c r="E6138" s="5"/>
      <c r="G6138" s="4"/>
      <c r="H6138" s="5"/>
    </row>
    <row r="6139" spans="4:8" x14ac:dyDescent="0.25">
      <c r="D6139" s="4">
        <v>40508</v>
      </c>
      <c r="E6139" s="6">
        <v>84.78</v>
      </c>
      <c r="G6139" s="4"/>
      <c r="H6139" s="5"/>
    </row>
    <row r="6140" spans="4:8" x14ac:dyDescent="0.25">
      <c r="D6140" s="4">
        <v>40511</v>
      </c>
      <c r="E6140" s="6">
        <v>85.9</v>
      </c>
      <c r="G6140" s="4"/>
      <c r="H6140" s="5"/>
    </row>
    <row r="6141" spans="4:8" x14ac:dyDescent="0.25">
      <c r="D6141" s="4">
        <v>40512</v>
      </c>
      <c r="E6141" s="6">
        <v>86.02</v>
      </c>
      <c r="G6141" s="4"/>
      <c r="H6141" s="5"/>
    </row>
    <row r="6142" spans="4:8" x14ac:dyDescent="0.25">
      <c r="D6142" s="4">
        <v>40513</v>
      </c>
      <c r="E6142" s="6">
        <v>88.56</v>
      </c>
      <c r="G6142" s="4"/>
      <c r="H6142" s="5"/>
    </row>
    <row r="6143" spans="4:8" x14ac:dyDescent="0.25">
      <c r="D6143" s="4">
        <v>40514</v>
      </c>
      <c r="E6143" s="6">
        <v>89.37</v>
      </c>
      <c r="G6143" s="4"/>
      <c r="H6143" s="5"/>
    </row>
    <row r="6144" spans="4:8" x14ac:dyDescent="0.25">
      <c r="D6144" s="4">
        <v>40515</v>
      </c>
      <c r="E6144" s="6">
        <v>90.65</v>
      </c>
      <c r="G6144" s="4"/>
      <c r="H6144" s="5"/>
    </row>
    <row r="6145" spans="4:8" x14ac:dyDescent="0.25">
      <c r="D6145" s="4">
        <v>40518</v>
      </c>
      <c r="E6145" s="6">
        <v>91.25</v>
      </c>
      <c r="G6145" s="4"/>
      <c r="H6145" s="5"/>
    </row>
    <row r="6146" spans="4:8" x14ac:dyDescent="0.25">
      <c r="D6146" s="4">
        <v>40519</v>
      </c>
      <c r="E6146" s="6">
        <v>90.78</v>
      </c>
      <c r="G6146" s="4"/>
      <c r="H6146" s="5"/>
    </row>
    <row r="6147" spans="4:8" x14ac:dyDescent="0.25">
      <c r="D6147" s="4">
        <v>40520</v>
      </c>
      <c r="E6147" s="6">
        <v>89.74</v>
      </c>
      <c r="G6147" s="4"/>
      <c r="H6147" s="5"/>
    </row>
    <row r="6148" spans="4:8" x14ac:dyDescent="0.25">
      <c r="D6148" s="4">
        <v>40521</v>
      </c>
      <c r="E6148" s="6">
        <v>89.93</v>
      </c>
      <c r="G6148" s="4"/>
      <c r="H6148" s="5"/>
    </row>
    <row r="6149" spans="4:8" x14ac:dyDescent="0.25">
      <c r="D6149" s="4">
        <v>40522</v>
      </c>
      <c r="E6149" s="6">
        <v>89.54</v>
      </c>
      <c r="G6149" s="4"/>
      <c r="H6149" s="5"/>
    </row>
    <row r="6150" spans="4:8" x14ac:dyDescent="0.25">
      <c r="D6150" s="4">
        <v>40525</v>
      </c>
      <c r="E6150" s="6">
        <v>90.4</v>
      </c>
      <c r="G6150" s="4"/>
      <c r="H6150" s="5"/>
    </row>
    <row r="6151" spans="4:8" x14ac:dyDescent="0.25">
      <c r="D6151" s="4">
        <v>40526</v>
      </c>
      <c r="E6151" s="6">
        <v>90.63</v>
      </c>
      <c r="G6151" s="4"/>
      <c r="H6151" s="5"/>
    </row>
    <row r="6152" spans="4:8" x14ac:dyDescent="0.25">
      <c r="D6152" s="4">
        <v>40527</v>
      </c>
      <c r="E6152" s="6">
        <v>91.33</v>
      </c>
      <c r="G6152" s="4"/>
      <c r="H6152" s="5"/>
    </row>
    <row r="6153" spans="4:8" x14ac:dyDescent="0.25">
      <c r="D6153" s="4">
        <v>40528</v>
      </c>
      <c r="E6153" s="6">
        <v>91.09</v>
      </c>
      <c r="G6153" s="4"/>
      <c r="H6153" s="5"/>
    </row>
    <row r="6154" spans="4:8" x14ac:dyDescent="0.25">
      <c r="D6154" s="4">
        <v>40529</v>
      </c>
      <c r="E6154" s="6">
        <v>91.11</v>
      </c>
      <c r="G6154" s="4"/>
      <c r="H6154" s="5"/>
    </row>
    <row r="6155" spans="4:8" x14ac:dyDescent="0.25">
      <c r="D6155" s="4">
        <v>40532</v>
      </c>
      <c r="E6155" s="6">
        <v>91.31</v>
      </c>
      <c r="G6155" s="4"/>
      <c r="H6155" s="5"/>
    </row>
    <row r="6156" spans="4:8" x14ac:dyDescent="0.25">
      <c r="D6156" s="4">
        <v>40533</v>
      </c>
      <c r="E6156" s="6">
        <v>93.11</v>
      </c>
      <c r="G6156" s="4"/>
      <c r="H6156" s="5"/>
    </row>
    <row r="6157" spans="4:8" x14ac:dyDescent="0.25">
      <c r="D6157" s="4">
        <v>40534</v>
      </c>
      <c r="E6157" s="6">
        <v>93.55</v>
      </c>
      <c r="G6157" s="4"/>
      <c r="H6157" s="5"/>
    </row>
    <row r="6158" spans="4:8" x14ac:dyDescent="0.25">
      <c r="D6158" s="4">
        <v>40535</v>
      </c>
      <c r="E6158" s="6">
        <v>93.63</v>
      </c>
      <c r="G6158" s="4"/>
      <c r="H6158" s="5"/>
    </row>
    <row r="6159" spans="4:8" x14ac:dyDescent="0.25">
      <c r="D6159" s="4">
        <v>40536</v>
      </c>
      <c r="E6159" s="5"/>
      <c r="G6159" s="4"/>
      <c r="H6159" s="5"/>
    </row>
    <row r="6160" spans="4:8" x14ac:dyDescent="0.25">
      <c r="D6160" s="4">
        <v>40539</v>
      </c>
      <c r="E6160" s="6">
        <v>93.08</v>
      </c>
      <c r="G6160" s="4"/>
      <c r="H6160" s="5"/>
    </row>
    <row r="6161" spans="4:8" x14ac:dyDescent="0.25">
      <c r="D6161" s="4">
        <v>40540</v>
      </c>
      <c r="E6161" s="6">
        <v>93.52</v>
      </c>
      <c r="G6161" s="4"/>
      <c r="H6161" s="5"/>
    </row>
    <row r="6162" spans="4:8" x14ac:dyDescent="0.25">
      <c r="D6162" s="4">
        <v>40541</v>
      </c>
      <c r="E6162" s="6">
        <v>93.52</v>
      </c>
      <c r="G6162" s="4"/>
      <c r="H6162" s="5"/>
    </row>
    <row r="6163" spans="4:8" x14ac:dyDescent="0.25">
      <c r="D6163" s="4">
        <v>40542</v>
      </c>
      <c r="E6163" s="6">
        <v>92.5</v>
      </c>
      <c r="G6163" s="4"/>
      <c r="H6163" s="5"/>
    </row>
    <row r="6164" spans="4:8" x14ac:dyDescent="0.25">
      <c r="D6164" s="4">
        <v>40543</v>
      </c>
      <c r="E6164" s="6">
        <v>93.23</v>
      </c>
      <c r="G6164" s="4"/>
      <c r="H6164" s="5"/>
    </row>
    <row r="6165" spans="4:8" x14ac:dyDescent="0.25">
      <c r="D6165" s="4">
        <v>40546</v>
      </c>
      <c r="E6165" s="6">
        <v>95.82</v>
      </c>
      <c r="G6165" s="4"/>
      <c r="H6165" s="5"/>
    </row>
    <row r="6166" spans="4:8" x14ac:dyDescent="0.25">
      <c r="D6166" s="4">
        <v>40547</v>
      </c>
      <c r="E6166" s="6">
        <v>93.52</v>
      </c>
      <c r="G6166" s="4"/>
      <c r="H6166" s="5"/>
    </row>
    <row r="6167" spans="4:8" x14ac:dyDescent="0.25">
      <c r="D6167" s="4">
        <v>40548</v>
      </c>
      <c r="E6167" s="6">
        <v>95.07</v>
      </c>
      <c r="G6167" s="4"/>
      <c r="H6167" s="5"/>
    </row>
    <row r="6168" spans="4:8" x14ac:dyDescent="0.25">
      <c r="D6168" s="4">
        <v>40549</v>
      </c>
      <c r="E6168" s="6">
        <v>94.95</v>
      </c>
      <c r="G6168" s="4"/>
      <c r="H6168" s="5"/>
    </row>
    <row r="6169" spans="4:8" x14ac:dyDescent="0.25">
      <c r="D6169" s="4">
        <v>40550</v>
      </c>
      <c r="E6169" s="6">
        <v>94.25</v>
      </c>
      <c r="G6169" s="4"/>
      <c r="H6169" s="5"/>
    </row>
    <row r="6170" spans="4:8" x14ac:dyDescent="0.25">
      <c r="D6170" s="4">
        <v>40553</v>
      </c>
      <c r="E6170" s="6">
        <v>95.05</v>
      </c>
      <c r="G6170" s="4"/>
      <c r="H6170" s="5"/>
    </row>
    <row r="6171" spans="4:8" x14ac:dyDescent="0.25">
      <c r="D6171" s="4">
        <v>40554</v>
      </c>
      <c r="E6171" s="6">
        <v>96.8</v>
      </c>
      <c r="G6171" s="4"/>
      <c r="H6171" s="5"/>
    </row>
    <row r="6172" spans="4:8" x14ac:dyDescent="0.25">
      <c r="D6172" s="4">
        <v>40555</v>
      </c>
      <c r="E6172" s="6">
        <v>97.86</v>
      </c>
      <c r="G6172" s="4"/>
      <c r="H6172" s="5"/>
    </row>
    <row r="6173" spans="4:8" x14ac:dyDescent="0.25">
      <c r="D6173" s="4">
        <v>40556</v>
      </c>
      <c r="E6173" s="6">
        <v>97.86</v>
      </c>
      <c r="G6173" s="4"/>
      <c r="H6173" s="5"/>
    </row>
    <row r="6174" spans="4:8" x14ac:dyDescent="0.25">
      <c r="D6174" s="4">
        <v>40557</v>
      </c>
      <c r="E6174" s="6">
        <v>97.86</v>
      </c>
      <c r="G6174" s="4"/>
      <c r="H6174" s="5"/>
    </row>
    <row r="6175" spans="4:8" x14ac:dyDescent="0.25">
      <c r="D6175" s="4">
        <v>40560</v>
      </c>
      <c r="E6175" s="5"/>
      <c r="G6175" s="4"/>
      <c r="H6175" s="5"/>
    </row>
    <row r="6176" spans="4:8" x14ac:dyDescent="0.25">
      <c r="D6176" s="4">
        <v>40561</v>
      </c>
      <c r="E6176" s="6">
        <v>97.83</v>
      </c>
      <c r="G6176" s="4"/>
      <c r="H6176" s="5"/>
    </row>
    <row r="6177" spans="4:8" x14ac:dyDescent="0.25">
      <c r="D6177" s="4">
        <v>40562</v>
      </c>
      <c r="E6177" s="6">
        <v>98.42</v>
      </c>
      <c r="G6177" s="4"/>
      <c r="H6177" s="5"/>
    </row>
    <row r="6178" spans="4:8" x14ac:dyDescent="0.25">
      <c r="D6178" s="4">
        <v>40563</v>
      </c>
      <c r="E6178" s="6">
        <v>96.27</v>
      </c>
      <c r="G6178" s="4"/>
      <c r="H6178" s="5"/>
    </row>
    <row r="6179" spans="4:8" x14ac:dyDescent="0.25">
      <c r="D6179" s="4">
        <v>40564</v>
      </c>
      <c r="E6179" s="6">
        <v>96.84</v>
      </c>
      <c r="G6179" s="4"/>
      <c r="H6179" s="5"/>
    </row>
    <row r="6180" spans="4:8" x14ac:dyDescent="0.25">
      <c r="D6180" s="4">
        <v>40567</v>
      </c>
      <c r="E6180" s="6">
        <v>96.76</v>
      </c>
      <c r="G6180" s="4"/>
      <c r="H6180" s="5"/>
    </row>
    <row r="6181" spans="4:8" x14ac:dyDescent="0.25">
      <c r="D6181" s="4">
        <v>40568</v>
      </c>
      <c r="E6181" s="6">
        <v>96.76</v>
      </c>
      <c r="G6181" s="4"/>
      <c r="H6181" s="5"/>
    </row>
    <row r="6182" spans="4:8" x14ac:dyDescent="0.25">
      <c r="D6182" s="4">
        <v>40569</v>
      </c>
      <c r="E6182" s="6">
        <v>96.04</v>
      </c>
      <c r="G6182" s="4"/>
      <c r="H6182" s="5"/>
    </row>
    <row r="6183" spans="4:8" x14ac:dyDescent="0.25">
      <c r="D6183" s="4">
        <v>40570</v>
      </c>
      <c r="E6183" s="6">
        <v>96.48</v>
      </c>
      <c r="G6183" s="4"/>
      <c r="H6183" s="5"/>
    </row>
    <row r="6184" spans="4:8" x14ac:dyDescent="0.25">
      <c r="D6184" s="4">
        <v>40571</v>
      </c>
      <c r="E6184" s="6">
        <v>97.06</v>
      </c>
      <c r="G6184" s="4"/>
      <c r="H6184" s="5"/>
    </row>
    <row r="6185" spans="4:8" x14ac:dyDescent="0.25">
      <c r="D6185" s="4">
        <v>40574</v>
      </c>
      <c r="E6185" s="6">
        <v>98.97</v>
      </c>
      <c r="G6185" s="4"/>
      <c r="H6185" s="5"/>
    </row>
    <row r="6186" spans="4:8" x14ac:dyDescent="0.25">
      <c r="D6186" s="4">
        <v>40575</v>
      </c>
      <c r="E6186" s="6">
        <v>100.4</v>
      </c>
      <c r="G6186" s="4"/>
      <c r="H6186" s="5"/>
    </row>
    <row r="6187" spans="4:8" x14ac:dyDescent="0.25">
      <c r="D6187" s="4">
        <v>40576</v>
      </c>
      <c r="E6187" s="6">
        <v>101.3</v>
      </c>
      <c r="G6187" s="4"/>
      <c r="H6187" s="5"/>
    </row>
    <row r="6188" spans="4:8" x14ac:dyDescent="0.25">
      <c r="D6188" s="4">
        <v>40577</v>
      </c>
      <c r="E6188" s="6">
        <v>101.69</v>
      </c>
      <c r="G6188" s="4"/>
      <c r="H6188" s="5"/>
    </row>
    <row r="6189" spans="4:8" x14ac:dyDescent="0.25">
      <c r="D6189" s="4">
        <v>40578</v>
      </c>
      <c r="E6189" s="6">
        <v>99.43</v>
      </c>
      <c r="G6189" s="4"/>
      <c r="H6189" s="5"/>
    </row>
    <row r="6190" spans="4:8" x14ac:dyDescent="0.25">
      <c r="D6190" s="4">
        <v>40581</v>
      </c>
      <c r="E6190" s="6">
        <v>99.44</v>
      </c>
      <c r="G6190" s="4"/>
      <c r="H6190" s="5"/>
    </row>
    <row r="6191" spans="4:8" x14ac:dyDescent="0.25">
      <c r="D6191" s="4">
        <v>40582</v>
      </c>
      <c r="E6191" s="6">
        <v>99.25</v>
      </c>
      <c r="G6191" s="4"/>
      <c r="H6191" s="5"/>
    </row>
    <row r="6192" spans="4:8" x14ac:dyDescent="0.25">
      <c r="D6192" s="4">
        <v>40583</v>
      </c>
      <c r="E6192" s="6">
        <v>100.16</v>
      </c>
      <c r="G6192" s="4"/>
      <c r="H6192" s="5"/>
    </row>
    <row r="6193" spans="4:8" x14ac:dyDescent="0.25">
      <c r="D6193" s="4">
        <v>40584</v>
      </c>
      <c r="E6193" s="6">
        <v>100.74</v>
      </c>
      <c r="G6193" s="4"/>
      <c r="H6193" s="5"/>
    </row>
    <row r="6194" spans="4:8" x14ac:dyDescent="0.25">
      <c r="D6194" s="4">
        <v>40585</v>
      </c>
      <c r="E6194" s="6">
        <v>99.93</v>
      </c>
      <c r="G6194" s="4"/>
      <c r="H6194" s="5"/>
    </row>
    <row r="6195" spans="4:8" x14ac:dyDescent="0.25">
      <c r="D6195" s="4">
        <v>40588</v>
      </c>
      <c r="E6195" s="6">
        <v>103.12</v>
      </c>
      <c r="G6195" s="4"/>
      <c r="H6195" s="5"/>
    </row>
    <row r="6196" spans="4:8" x14ac:dyDescent="0.25">
      <c r="D6196" s="4">
        <v>40589</v>
      </c>
      <c r="E6196" s="6">
        <v>102.48</v>
      </c>
      <c r="G6196" s="4"/>
      <c r="H6196" s="5"/>
    </row>
    <row r="6197" spans="4:8" x14ac:dyDescent="0.25">
      <c r="D6197" s="4">
        <v>40590</v>
      </c>
      <c r="E6197" s="6">
        <v>102.78</v>
      </c>
      <c r="G6197" s="4"/>
      <c r="H6197" s="5"/>
    </row>
    <row r="6198" spans="4:8" x14ac:dyDescent="0.25">
      <c r="D6198" s="4">
        <v>40591</v>
      </c>
      <c r="E6198" s="6">
        <v>103.45</v>
      </c>
      <c r="G6198" s="4"/>
      <c r="H6198" s="5"/>
    </row>
    <row r="6199" spans="4:8" x14ac:dyDescent="0.25">
      <c r="D6199" s="4">
        <v>40592</v>
      </c>
      <c r="E6199" s="6">
        <v>102.2</v>
      </c>
      <c r="G6199" s="4"/>
      <c r="H6199" s="5"/>
    </row>
    <row r="6200" spans="4:8" x14ac:dyDescent="0.25">
      <c r="D6200" s="4">
        <v>40595</v>
      </c>
      <c r="E6200" s="5"/>
      <c r="G6200" s="4"/>
      <c r="H6200" s="5"/>
    </row>
    <row r="6201" spans="4:8" x14ac:dyDescent="0.25">
      <c r="D6201" s="4">
        <v>40596</v>
      </c>
      <c r="E6201" s="6">
        <v>106.82</v>
      </c>
      <c r="G6201" s="4"/>
      <c r="H6201" s="5"/>
    </row>
    <row r="6202" spans="4:8" x14ac:dyDescent="0.25">
      <c r="D6202" s="4">
        <v>40597</v>
      </c>
      <c r="E6202" s="6">
        <v>109.77</v>
      </c>
      <c r="G6202" s="4"/>
      <c r="H6202" s="5"/>
    </row>
    <row r="6203" spans="4:8" x14ac:dyDescent="0.25">
      <c r="D6203" s="4">
        <v>40598</v>
      </c>
      <c r="E6203" s="6">
        <v>113.91</v>
      </c>
      <c r="G6203" s="4"/>
      <c r="H6203" s="5"/>
    </row>
    <row r="6204" spans="4:8" x14ac:dyDescent="0.25">
      <c r="D6204" s="4">
        <v>40599</v>
      </c>
      <c r="E6204" s="6">
        <v>111.47</v>
      </c>
      <c r="G6204" s="4"/>
      <c r="H6204" s="5"/>
    </row>
    <row r="6205" spans="4:8" x14ac:dyDescent="0.25">
      <c r="D6205" s="4">
        <v>40602</v>
      </c>
      <c r="E6205" s="6">
        <v>112.27</v>
      </c>
      <c r="G6205" s="4"/>
      <c r="H6205" s="5"/>
    </row>
    <row r="6206" spans="4:8" x14ac:dyDescent="0.25">
      <c r="D6206" s="4">
        <v>40603</v>
      </c>
      <c r="E6206" s="6">
        <v>113.34</v>
      </c>
      <c r="G6206" s="4"/>
      <c r="H6206" s="5"/>
    </row>
    <row r="6207" spans="4:8" x14ac:dyDescent="0.25">
      <c r="D6207" s="4">
        <v>40604</v>
      </c>
      <c r="E6207" s="6">
        <v>116.89</v>
      </c>
      <c r="G6207" s="4"/>
      <c r="H6207" s="5"/>
    </row>
    <row r="6208" spans="4:8" x14ac:dyDescent="0.25">
      <c r="D6208" s="4">
        <v>40605</v>
      </c>
      <c r="E6208" s="6">
        <v>114.42</v>
      </c>
      <c r="G6208" s="4"/>
      <c r="H6208" s="5"/>
    </row>
    <row r="6209" spans="4:8" x14ac:dyDescent="0.25">
      <c r="D6209" s="4">
        <v>40606</v>
      </c>
      <c r="E6209" s="6">
        <v>115.71</v>
      </c>
      <c r="G6209" s="4"/>
      <c r="H6209" s="5"/>
    </row>
    <row r="6210" spans="4:8" x14ac:dyDescent="0.25">
      <c r="D6210" s="4">
        <v>40609</v>
      </c>
      <c r="E6210" s="6">
        <v>116.58</v>
      </c>
      <c r="G6210" s="4"/>
      <c r="H6210" s="5"/>
    </row>
    <row r="6211" spans="4:8" x14ac:dyDescent="0.25">
      <c r="D6211" s="4">
        <v>40610</v>
      </c>
      <c r="E6211" s="6">
        <v>112.32</v>
      </c>
      <c r="G6211" s="4"/>
      <c r="H6211" s="5"/>
    </row>
    <row r="6212" spans="4:8" x14ac:dyDescent="0.25">
      <c r="D6212" s="4">
        <v>40611</v>
      </c>
      <c r="E6212" s="6">
        <v>115.19</v>
      </c>
      <c r="G6212" s="4"/>
      <c r="H6212" s="5"/>
    </row>
    <row r="6213" spans="4:8" x14ac:dyDescent="0.25">
      <c r="D6213" s="4">
        <v>40612</v>
      </c>
      <c r="E6213" s="6">
        <v>114.07</v>
      </c>
      <c r="G6213" s="4"/>
      <c r="H6213" s="5"/>
    </row>
    <row r="6214" spans="4:8" x14ac:dyDescent="0.25">
      <c r="D6214" s="4">
        <v>40613</v>
      </c>
      <c r="E6214" s="6">
        <v>114.07</v>
      </c>
      <c r="G6214" s="4"/>
      <c r="H6214" s="5"/>
    </row>
    <row r="6215" spans="4:8" x14ac:dyDescent="0.25">
      <c r="D6215" s="4">
        <v>40616</v>
      </c>
      <c r="E6215" s="6">
        <v>112.95</v>
      </c>
      <c r="G6215" s="4"/>
      <c r="H6215" s="5"/>
    </row>
    <row r="6216" spans="4:8" x14ac:dyDescent="0.25">
      <c r="D6216" s="4">
        <v>40617</v>
      </c>
      <c r="E6216" s="6">
        <v>111.11</v>
      </c>
      <c r="G6216" s="4"/>
      <c r="H6216" s="5"/>
    </row>
    <row r="6217" spans="4:8" x14ac:dyDescent="0.25">
      <c r="D6217" s="4">
        <v>40618</v>
      </c>
      <c r="E6217" s="6">
        <v>110.96</v>
      </c>
      <c r="G6217" s="4"/>
      <c r="H6217" s="5"/>
    </row>
    <row r="6218" spans="4:8" x14ac:dyDescent="0.25">
      <c r="D6218" s="4">
        <v>40619</v>
      </c>
      <c r="E6218" s="6">
        <v>114.18</v>
      </c>
      <c r="G6218" s="4"/>
      <c r="H6218" s="5"/>
    </row>
    <row r="6219" spans="4:8" x14ac:dyDescent="0.25">
      <c r="D6219" s="4">
        <v>40620</v>
      </c>
      <c r="E6219" s="6">
        <v>114.13</v>
      </c>
      <c r="G6219" s="4"/>
      <c r="H6219" s="5"/>
    </row>
    <row r="6220" spans="4:8" x14ac:dyDescent="0.25">
      <c r="D6220" s="4">
        <v>40623</v>
      </c>
      <c r="E6220" s="6">
        <v>114.92</v>
      </c>
      <c r="G6220" s="4"/>
      <c r="H6220" s="5"/>
    </row>
    <row r="6221" spans="4:8" x14ac:dyDescent="0.25">
      <c r="D6221" s="4">
        <v>40624</v>
      </c>
      <c r="E6221" s="6">
        <v>115.63</v>
      </c>
      <c r="G6221" s="4"/>
      <c r="H6221" s="5"/>
    </row>
    <row r="6222" spans="4:8" x14ac:dyDescent="0.25">
      <c r="D6222" s="4">
        <v>40625</v>
      </c>
      <c r="E6222" s="6">
        <v>115.65</v>
      </c>
      <c r="G6222" s="4"/>
      <c r="H6222" s="5"/>
    </row>
    <row r="6223" spans="4:8" x14ac:dyDescent="0.25">
      <c r="D6223" s="4">
        <v>40626</v>
      </c>
      <c r="E6223" s="6">
        <v>115.41</v>
      </c>
      <c r="G6223" s="4"/>
      <c r="H6223" s="5"/>
    </row>
    <row r="6224" spans="4:8" x14ac:dyDescent="0.25">
      <c r="D6224" s="4">
        <v>40627</v>
      </c>
      <c r="E6224" s="6">
        <v>115.45</v>
      </c>
      <c r="G6224" s="4"/>
      <c r="H6224" s="5"/>
    </row>
    <row r="6225" spans="4:8" x14ac:dyDescent="0.25">
      <c r="D6225" s="4">
        <v>40630</v>
      </c>
      <c r="E6225" s="6">
        <v>115.95</v>
      </c>
      <c r="G6225" s="4"/>
      <c r="H6225" s="5"/>
    </row>
    <row r="6226" spans="4:8" x14ac:dyDescent="0.25">
      <c r="D6226" s="4">
        <v>40631</v>
      </c>
      <c r="E6226" s="6">
        <v>115.58</v>
      </c>
      <c r="G6226" s="4"/>
      <c r="H6226" s="5"/>
    </row>
    <row r="6227" spans="4:8" x14ac:dyDescent="0.25">
      <c r="D6227" s="4">
        <v>40632</v>
      </c>
      <c r="E6227" s="6">
        <v>115.35</v>
      </c>
      <c r="G6227" s="4"/>
      <c r="H6227" s="5"/>
    </row>
    <row r="6228" spans="4:8" x14ac:dyDescent="0.25">
      <c r="D6228" s="4">
        <v>40633</v>
      </c>
      <c r="E6228" s="6">
        <v>116.94</v>
      </c>
      <c r="G6228" s="4"/>
      <c r="H6228" s="5"/>
    </row>
    <row r="6229" spans="4:8" x14ac:dyDescent="0.25">
      <c r="D6229" s="4">
        <v>40634</v>
      </c>
      <c r="E6229" s="6">
        <v>118.63</v>
      </c>
      <c r="G6229" s="4"/>
      <c r="H6229" s="5"/>
    </row>
    <row r="6230" spans="4:8" x14ac:dyDescent="0.25">
      <c r="D6230" s="4">
        <v>40637</v>
      </c>
      <c r="E6230" s="6">
        <v>120.07</v>
      </c>
      <c r="G6230" s="4"/>
      <c r="H6230" s="5"/>
    </row>
    <row r="6231" spans="4:8" x14ac:dyDescent="0.25">
      <c r="D6231" s="4">
        <v>40638</v>
      </c>
      <c r="E6231" s="6">
        <v>122.87</v>
      </c>
      <c r="G6231" s="4"/>
      <c r="H6231" s="5"/>
    </row>
    <row r="6232" spans="4:8" x14ac:dyDescent="0.25">
      <c r="D6232" s="4">
        <v>40639</v>
      </c>
      <c r="E6232" s="6">
        <v>123.01</v>
      </c>
      <c r="G6232" s="4"/>
      <c r="H6232" s="5"/>
    </row>
    <row r="6233" spans="4:8" x14ac:dyDescent="0.25">
      <c r="D6233" s="4">
        <v>40640</v>
      </c>
      <c r="E6233" s="6">
        <v>122.9</v>
      </c>
      <c r="G6233" s="4"/>
      <c r="H6233" s="5"/>
    </row>
    <row r="6234" spans="4:8" x14ac:dyDescent="0.25">
      <c r="D6234" s="4">
        <v>40641</v>
      </c>
      <c r="E6234" s="6">
        <v>126.3</v>
      </c>
      <c r="G6234" s="4"/>
      <c r="H6234" s="5"/>
    </row>
    <row r="6235" spans="4:8" x14ac:dyDescent="0.25">
      <c r="D6235" s="4">
        <v>40644</v>
      </c>
      <c r="E6235" s="6">
        <v>126.46</v>
      </c>
      <c r="G6235" s="4"/>
      <c r="H6235" s="5"/>
    </row>
    <row r="6236" spans="4:8" x14ac:dyDescent="0.25">
      <c r="D6236" s="4">
        <v>40645</v>
      </c>
      <c r="E6236" s="6">
        <v>121.33</v>
      </c>
      <c r="G6236" s="4"/>
      <c r="H6236" s="5"/>
    </row>
    <row r="6237" spans="4:8" x14ac:dyDescent="0.25">
      <c r="D6237" s="4">
        <v>40646</v>
      </c>
      <c r="E6237" s="6">
        <v>122.7</v>
      </c>
      <c r="G6237" s="4"/>
      <c r="H6237" s="5"/>
    </row>
    <row r="6238" spans="4:8" x14ac:dyDescent="0.25">
      <c r="D6238" s="4">
        <v>40647</v>
      </c>
      <c r="E6238" s="6">
        <v>122.74</v>
      </c>
      <c r="G6238" s="4"/>
      <c r="H6238" s="5"/>
    </row>
    <row r="6239" spans="4:8" x14ac:dyDescent="0.25">
      <c r="D6239" s="4">
        <v>40648</v>
      </c>
      <c r="E6239" s="6">
        <v>124.63</v>
      </c>
      <c r="G6239" s="4"/>
      <c r="H6239" s="5"/>
    </row>
    <row r="6240" spans="4:8" x14ac:dyDescent="0.25">
      <c r="D6240" s="4">
        <v>40651</v>
      </c>
      <c r="E6240" s="6">
        <v>121.69</v>
      </c>
      <c r="G6240" s="4"/>
      <c r="H6240" s="5"/>
    </row>
    <row r="6241" spans="4:8" x14ac:dyDescent="0.25">
      <c r="D6241" s="4">
        <v>40652</v>
      </c>
      <c r="E6241" s="6">
        <v>121.35</v>
      </c>
      <c r="G6241" s="4"/>
      <c r="H6241" s="5"/>
    </row>
    <row r="6242" spans="4:8" x14ac:dyDescent="0.25">
      <c r="D6242" s="4">
        <v>40653</v>
      </c>
      <c r="E6242" s="6">
        <v>124.26</v>
      </c>
      <c r="G6242" s="4"/>
      <c r="H6242" s="5"/>
    </row>
    <row r="6243" spans="4:8" x14ac:dyDescent="0.25">
      <c r="D6243" s="4">
        <v>40654</v>
      </c>
      <c r="E6243" s="6">
        <v>123.64</v>
      </c>
      <c r="G6243" s="4"/>
      <c r="H6243" s="5"/>
    </row>
    <row r="6244" spans="4:8" x14ac:dyDescent="0.25">
      <c r="D6244" s="4">
        <v>40655</v>
      </c>
      <c r="E6244" s="5"/>
      <c r="G6244" s="4"/>
      <c r="H6244" s="5"/>
    </row>
    <row r="6245" spans="4:8" x14ac:dyDescent="0.25">
      <c r="D6245" s="4">
        <v>40658</v>
      </c>
      <c r="E6245" s="5"/>
      <c r="G6245" s="4"/>
      <c r="H6245" s="5"/>
    </row>
    <row r="6246" spans="4:8" x14ac:dyDescent="0.25">
      <c r="D6246" s="4">
        <v>40659</v>
      </c>
      <c r="E6246" s="6">
        <v>124.55</v>
      </c>
      <c r="G6246" s="4"/>
      <c r="H6246" s="5"/>
    </row>
    <row r="6247" spans="4:8" x14ac:dyDescent="0.25">
      <c r="D6247" s="4">
        <v>40660</v>
      </c>
      <c r="E6247" s="6">
        <v>124.94</v>
      </c>
      <c r="G6247" s="4"/>
      <c r="H6247" s="5"/>
    </row>
    <row r="6248" spans="4:8" x14ac:dyDescent="0.25">
      <c r="D6248" s="4">
        <v>40661</v>
      </c>
      <c r="E6248" s="6">
        <v>126.59</v>
      </c>
      <c r="G6248" s="4"/>
      <c r="H6248" s="5"/>
    </row>
    <row r="6249" spans="4:8" x14ac:dyDescent="0.25">
      <c r="D6249" s="4">
        <v>40662</v>
      </c>
      <c r="E6249" s="5"/>
      <c r="G6249" s="4"/>
      <c r="H6249" s="5"/>
    </row>
    <row r="6250" spans="4:8" x14ac:dyDescent="0.25">
      <c r="D6250" s="4">
        <v>40665</v>
      </c>
      <c r="E6250" s="6">
        <v>126.64</v>
      </c>
      <c r="G6250" s="4"/>
      <c r="H6250" s="5"/>
    </row>
    <row r="6251" spans="4:8" x14ac:dyDescent="0.25">
      <c r="D6251" s="4">
        <v>40666</v>
      </c>
      <c r="E6251" s="6">
        <v>124.01</v>
      </c>
      <c r="G6251" s="4"/>
      <c r="H6251" s="5"/>
    </row>
    <row r="6252" spans="4:8" x14ac:dyDescent="0.25">
      <c r="D6252" s="4">
        <v>40667</v>
      </c>
      <c r="E6252" s="6">
        <v>121.55</v>
      </c>
      <c r="G6252" s="4"/>
      <c r="H6252" s="5"/>
    </row>
    <row r="6253" spans="4:8" x14ac:dyDescent="0.25">
      <c r="D6253" s="4">
        <v>40668</v>
      </c>
      <c r="E6253" s="6">
        <v>111.93</v>
      </c>
      <c r="G6253" s="4"/>
      <c r="H6253" s="5"/>
    </row>
    <row r="6254" spans="4:8" x14ac:dyDescent="0.25">
      <c r="D6254" s="4">
        <v>40669</v>
      </c>
      <c r="E6254" s="6">
        <v>113.69</v>
      </c>
      <c r="G6254" s="4"/>
      <c r="H6254" s="5"/>
    </row>
    <row r="6255" spans="4:8" x14ac:dyDescent="0.25">
      <c r="D6255" s="4">
        <v>40672</v>
      </c>
      <c r="E6255" s="6">
        <v>113.21</v>
      </c>
      <c r="G6255" s="4"/>
      <c r="H6255" s="5"/>
    </row>
    <row r="6256" spans="4:8" x14ac:dyDescent="0.25">
      <c r="D6256" s="4">
        <v>40673</v>
      </c>
      <c r="E6256" s="6">
        <v>117.82</v>
      </c>
      <c r="G6256" s="4"/>
      <c r="H6256" s="5"/>
    </row>
    <row r="6257" spans="4:8" x14ac:dyDescent="0.25">
      <c r="D6257" s="4">
        <v>40674</v>
      </c>
      <c r="E6257" s="6">
        <v>115.66</v>
      </c>
      <c r="G6257" s="4"/>
      <c r="H6257" s="5"/>
    </row>
    <row r="6258" spans="4:8" x14ac:dyDescent="0.25">
      <c r="D6258" s="4">
        <v>40675</v>
      </c>
      <c r="E6258" s="6">
        <v>112.87</v>
      </c>
      <c r="G6258" s="4"/>
      <c r="H6258" s="5"/>
    </row>
    <row r="6259" spans="4:8" x14ac:dyDescent="0.25">
      <c r="D6259" s="4">
        <v>40676</v>
      </c>
      <c r="E6259" s="6">
        <v>113.08</v>
      </c>
      <c r="G6259" s="4"/>
      <c r="H6259" s="5"/>
    </row>
    <row r="6260" spans="4:8" x14ac:dyDescent="0.25">
      <c r="D6260" s="4">
        <v>40679</v>
      </c>
      <c r="E6260" s="6">
        <v>113.72</v>
      </c>
      <c r="G6260" s="4"/>
      <c r="H6260" s="5"/>
    </row>
    <row r="6261" spans="4:8" x14ac:dyDescent="0.25">
      <c r="D6261" s="4">
        <v>40680</v>
      </c>
      <c r="E6261" s="6">
        <v>109.39</v>
      </c>
      <c r="G6261" s="4"/>
      <c r="H6261" s="5"/>
    </row>
    <row r="6262" spans="4:8" x14ac:dyDescent="0.25">
      <c r="D6262" s="4">
        <v>40681</v>
      </c>
      <c r="E6262" s="6">
        <v>112.54</v>
      </c>
      <c r="G6262" s="4"/>
      <c r="H6262" s="5"/>
    </row>
    <row r="6263" spans="4:8" x14ac:dyDescent="0.25">
      <c r="D6263" s="4">
        <v>40682</v>
      </c>
      <c r="E6263" s="6">
        <v>113.2</v>
      </c>
      <c r="G6263" s="4"/>
      <c r="H6263" s="5"/>
    </row>
    <row r="6264" spans="4:8" x14ac:dyDescent="0.25">
      <c r="D6264" s="4">
        <v>40683</v>
      </c>
      <c r="E6264" s="6">
        <v>111.25</v>
      </c>
      <c r="G6264" s="4"/>
      <c r="H6264" s="5"/>
    </row>
    <row r="6265" spans="4:8" x14ac:dyDescent="0.25">
      <c r="D6265" s="4">
        <v>40686</v>
      </c>
      <c r="E6265" s="6">
        <v>110.13</v>
      </c>
      <c r="G6265" s="4"/>
      <c r="H6265" s="5"/>
    </row>
    <row r="6266" spans="4:8" x14ac:dyDescent="0.25">
      <c r="D6266" s="4">
        <v>40687</v>
      </c>
      <c r="E6266" s="6">
        <v>112.52</v>
      </c>
      <c r="G6266" s="4"/>
      <c r="H6266" s="5"/>
    </row>
    <row r="6267" spans="4:8" x14ac:dyDescent="0.25">
      <c r="D6267" s="4">
        <v>40688</v>
      </c>
      <c r="E6267" s="6">
        <v>114.47</v>
      </c>
      <c r="G6267" s="4"/>
      <c r="H6267" s="5"/>
    </row>
    <row r="6268" spans="4:8" x14ac:dyDescent="0.25">
      <c r="D6268" s="4">
        <v>40689</v>
      </c>
      <c r="E6268" s="6">
        <v>115.06</v>
      </c>
      <c r="G6268" s="4"/>
      <c r="H6268" s="5"/>
    </row>
    <row r="6269" spans="4:8" x14ac:dyDescent="0.25">
      <c r="D6269" s="4">
        <v>40690</v>
      </c>
      <c r="E6269" s="6">
        <v>114.85</v>
      </c>
      <c r="G6269" s="4"/>
      <c r="H6269" s="5"/>
    </row>
    <row r="6270" spans="4:8" x14ac:dyDescent="0.25">
      <c r="D6270" s="4">
        <v>40693</v>
      </c>
      <c r="E6270" s="5"/>
      <c r="G6270" s="4"/>
      <c r="H6270" s="5"/>
    </row>
    <row r="6271" spans="4:8" x14ac:dyDescent="0.25">
      <c r="D6271" s="4">
        <v>40694</v>
      </c>
      <c r="E6271" s="6">
        <v>117.18</v>
      </c>
      <c r="G6271" s="4"/>
      <c r="H6271" s="5"/>
    </row>
    <row r="6272" spans="4:8" x14ac:dyDescent="0.25">
      <c r="D6272" s="4">
        <v>40695</v>
      </c>
      <c r="E6272" s="6">
        <v>116.15</v>
      </c>
      <c r="G6272" s="4"/>
      <c r="H6272" s="5"/>
    </row>
    <row r="6273" spans="4:8" x14ac:dyDescent="0.25">
      <c r="D6273" s="4">
        <v>40696</v>
      </c>
      <c r="E6273" s="6">
        <v>114.3</v>
      </c>
      <c r="G6273" s="4"/>
      <c r="H6273" s="5"/>
    </row>
    <row r="6274" spans="4:8" x14ac:dyDescent="0.25">
      <c r="D6274" s="4">
        <v>40697</v>
      </c>
      <c r="E6274" s="6">
        <v>115.09</v>
      </c>
      <c r="G6274" s="4"/>
      <c r="H6274" s="5"/>
    </row>
    <row r="6275" spans="4:8" x14ac:dyDescent="0.25">
      <c r="D6275" s="4">
        <v>40700</v>
      </c>
      <c r="E6275" s="6">
        <v>115.4</v>
      </c>
      <c r="G6275" s="4"/>
      <c r="H6275" s="5"/>
    </row>
    <row r="6276" spans="4:8" x14ac:dyDescent="0.25">
      <c r="D6276" s="4">
        <v>40701</v>
      </c>
      <c r="E6276" s="6">
        <v>116.14</v>
      </c>
      <c r="G6276" s="4"/>
      <c r="H6276" s="5"/>
    </row>
    <row r="6277" spans="4:8" x14ac:dyDescent="0.25">
      <c r="D6277" s="4">
        <v>40702</v>
      </c>
      <c r="E6277" s="6">
        <v>118.43</v>
      </c>
      <c r="G6277" s="4"/>
      <c r="H6277" s="5"/>
    </row>
    <row r="6278" spans="4:8" x14ac:dyDescent="0.25">
      <c r="D6278" s="4">
        <v>40703</v>
      </c>
      <c r="E6278" s="6">
        <v>119.95</v>
      </c>
      <c r="G6278" s="4"/>
      <c r="H6278" s="5"/>
    </row>
    <row r="6279" spans="4:8" x14ac:dyDescent="0.25">
      <c r="D6279" s="4">
        <v>40704</v>
      </c>
      <c r="E6279" s="6">
        <v>118.71</v>
      </c>
      <c r="G6279" s="4"/>
      <c r="H6279" s="5"/>
    </row>
    <row r="6280" spans="4:8" x14ac:dyDescent="0.25">
      <c r="D6280" s="4">
        <v>40707</v>
      </c>
      <c r="E6280" s="6">
        <v>120.49</v>
      </c>
      <c r="G6280" s="4"/>
      <c r="H6280" s="5"/>
    </row>
    <row r="6281" spans="4:8" x14ac:dyDescent="0.25">
      <c r="D6281" s="4">
        <v>40708</v>
      </c>
      <c r="E6281" s="6">
        <v>120.35</v>
      </c>
      <c r="G6281" s="4"/>
      <c r="H6281" s="5"/>
    </row>
    <row r="6282" spans="4:8" x14ac:dyDescent="0.25">
      <c r="D6282" s="4">
        <v>40709</v>
      </c>
      <c r="E6282" s="6">
        <v>114.67</v>
      </c>
      <c r="G6282" s="4"/>
      <c r="H6282" s="5"/>
    </row>
    <row r="6283" spans="4:8" x14ac:dyDescent="0.25">
      <c r="D6283" s="4">
        <v>40710</v>
      </c>
      <c r="E6283" s="6">
        <v>114.69</v>
      </c>
      <c r="G6283" s="4"/>
      <c r="H6283" s="5"/>
    </row>
    <row r="6284" spans="4:8" x14ac:dyDescent="0.25">
      <c r="D6284" s="4">
        <v>40711</v>
      </c>
      <c r="E6284" s="6">
        <v>113.74</v>
      </c>
      <c r="G6284" s="4"/>
      <c r="H6284" s="5"/>
    </row>
    <row r="6285" spans="4:8" x14ac:dyDescent="0.25">
      <c r="D6285" s="4">
        <v>40714</v>
      </c>
      <c r="E6285" s="6">
        <v>112.21</v>
      </c>
      <c r="G6285" s="4"/>
      <c r="H6285" s="5"/>
    </row>
    <row r="6286" spans="4:8" x14ac:dyDescent="0.25">
      <c r="D6286" s="4">
        <v>40715</v>
      </c>
      <c r="E6286" s="6">
        <v>112.02</v>
      </c>
      <c r="G6286" s="4"/>
      <c r="H6286" s="5"/>
    </row>
    <row r="6287" spans="4:8" x14ac:dyDescent="0.25">
      <c r="D6287" s="4">
        <v>40716</v>
      </c>
      <c r="E6287" s="6">
        <v>113.59</v>
      </c>
      <c r="G6287" s="4"/>
      <c r="H6287" s="5"/>
    </row>
    <row r="6288" spans="4:8" x14ac:dyDescent="0.25">
      <c r="D6288" s="4">
        <v>40717</v>
      </c>
      <c r="E6288" s="6">
        <v>108.27</v>
      </c>
      <c r="G6288" s="4"/>
      <c r="H6288" s="5"/>
    </row>
    <row r="6289" spans="4:8" x14ac:dyDescent="0.25">
      <c r="D6289" s="4">
        <v>40718</v>
      </c>
      <c r="E6289" s="6">
        <v>104.79</v>
      </c>
      <c r="G6289" s="4"/>
      <c r="H6289" s="5"/>
    </row>
    <row r="6290" spans="4:8" x14ac:dyDescent="0.25">
      <c r="D6290" s="4">
        <v>40721</v>
      </c>
      <c r="E6290" s="6">
        <v>104.57</v>
      </c>
      <c r="G6290" s="4"/>
      <c r="H6290" s="5"/>
    </row>
    <row r="6291" spans="4:8" x14ac:dyDescent="0.25">
      <c r="D6291" s="4">
        <v>40722</v>
      </c>
      <c r="E6291" s="6">
        <v>107.57</v>
      </c>
      <c r="G6291" s="4"/>
      <c r="H6291" s="5"/>
    </row>
    <row r="6292" spans="4:8" x14ac:dyDescent="0.25">
      <c r="D6292" s="4">
        <v>40723</v>
      </c>
      <c r="E6292" s="6">
        <v>111.49</v>
      </c>
      <c r="G6292" s="4"/>
      <c r="H6292" s="5"/>
    </row>
    <row r="6293" spans="4:8" x14ac:dyDescent="0.25">
      <c r="D6293" s="4">
        <v>40724</v>
      </c>
      <c r="E6293" s="6">
        <v>111.71</v>
      </c>
      <c r="G6293" s="4"/>
      <c r="H6293" s="5"/>
    </row>
    <row r="6294" spans="4:8" x14ac:dyDescent="0.25">
      <c r="D6294" s="4">
        <v>40725</v>
      </c>
      <c r="E6294" s="6">
        <v>109.82</v>
      </c>
      <c r="G6294" s="4"/>
      <c r="H6294" s="5"/>
    </row>
    <row r="6295" spans="4:8" x14ac:dyDescent="0.25">
      <c r="D6295" s="4">
        <v>40728</v>
      </c>
      <c r="E6295" s="5"/>
      <c r="G6295" s="4"/>
      <c r="H6295" s="5"/>
    </row>
    <row r="6296" spans="4:8" x14ac:dyDescent="0.25">
      <c r="D6296" s="4">
        <v>40729</v>
      </c>
      <c r="E6296" s="6">
        <v>113.21</v>
      </c>
      <c r="G6296" s="4"/>
      <c r="H6296" s="5"/>
    </row>
    <row r="6297" spans="4:8" x14ac:dyDescent="0.25">
      <c r="D6297" s="4">
        <v>40730</v>
      </c>
      <c r="E6297" s="6">
        <v>113.55</v>
      </c>
      <c r="G6297" s="4"/>
      <c r="H6297" s="5"/>
    </row>
    <row r="6298" spans="4:8" x14ac:dyDescent="0.25">
      <c r="D6298" s="4">
        <v>40731</v>
      </c>
      <c r="E6298" s="6">
        <v>117.4</v>
      </c>
      <c r="G6298" s="4"/>
      <c r="H6298" s="5"/>
    </row>
    <row r="6299" spans="4:8" x14ac:dyDescent="0.25">
      <c r="D6299" s="4">
        <v>40732</v>
      </c>
      <c r="E6299" s="6">
        <v>117.4</v>
      </c>
      <c r="G6299" s="4"/>
      <c r="H6299" s="5"/>
    </row>
    <row r="6300" spans="4:8" x14ac:dyDescent="0.25">
      <c r="D6300" s="4">
        <v>40735</v>
      </c>
      <c r="E6300" s="6">
        <v>117.35</v>
      </c>
      <c r="G6300" s="4"/>
      <c r="H6300" s="5"/>
    </row>
    <row r="6301" spans="4:8" x14ac:dyDescent="0.25">
      <c r="D6301" s="4">
        <v>40736</v>
      </c>
      <c r="E6301" s="6">
        <v>117.36</v>
      </c>
      <c r="G6301" s="4"/>
      <c r="H6301" s="5"/>
    </row>
    <row r="6302" spans="4:8" x14ac:dyDescent="0.25">
      <c r="D6302" s="4">
        <v>40737</v>
      </c>
      <c r="E6302" s="6">
        <v>118.46</v>
      </c>
      <c r="G6302" s="4"/>
      <c r="H6302" s="5"/>
    </row>
    <row r="6303" spans="4:8" x14ac:dyDescent="0.25">
      <c r="D6303" s="4">
        <v>40738</v>
      </c>
      <c r="E6303" s="6">
        <v>117.38</v>
      </c>
      <c r="G6303" s="4"/>
      <c r="H6303" s="5"/>
    </row>
    <row r="6304" spans="4:8" x14ac:dyDescent="0.25">
      <c r="D6304" s="4">
        <v>40739</v>
      </c>
      <c r="E6304" s="6">
        <v>118.06</v>
      </c>
      <c r="G6304" s="4"/>
      <c r="H6304" s="5"/>
    </row>
    <row r="6305" spans="4:8" x14ac:dyDescent="0.25">
      <c r="D6305" s="4">
        <v>40742</v>
      </c>
      <c r="E6305" s="6">
        <v>117.05</v>
      </c>
      <c r="G6305" s="4"/>
      <c r="H6305" s="5"/>
    </row>
    <row r="6306" spans="4:8" x14ac:dyDescent="0.25">
      <c r="D6306" s="4">
        <v>40743</v>
      </c>
      <c r="E6306" s="6">
        <v>118.18</v>
      </c>
      <c r="G6306" s="4"/>
      <c r="H6306" s="5"/>
    </row>
    <row r="6307" spans="4:8" x14ac:dyDescent="0.25">
      <c r="D6307" s="4">
        <v>40744</v>
      </c>
      <c r="E6307" s="6">
        <v>118.52</v>
      </c>
      <c r="G6307" s="4"/>
      <c r="H6307" s="5"/>
    </row>
    <row r="6308" spans="4:8" x14ac:dyDescent="0.25">
      <c r="D6308" s="4">
        <v>40745</v>
      </c>
      <c r="E6308" s="6">
        <v>118.25</v>
      </c>
      <c r="G6308" s="4"/>
      <c r="H6308" s="5"/>
    </row>
    <row r="6309" spans="4:8" x14ac:dyDescent="0.25">
      <c r="D6309" s="4">
        <v>40746</v>
      </c>
      <c r="E6309" s="6">
        <v>118.99</v>
      </c>
      <c r="G6309" s="4"/>
      <c r="H6309" s="5"/>
    </row>
    <row r="6310" spans="4:8" x14ac:dyDescent="0.25">
      <c r="D6310" s="4">
        <v>40749</v>
      </c>
      <c r="E6310" s="6">
        <v>118.27</v>
      </c>
      <c r="G6310" s="4"/>
      <c r="H6310" s="5"/>
    </row>
    <row r="6311" spans="4:8" x14ac:dyDescent="0.25">
      <c r="D6311" s="4">
        <v>40750</v>
      </c>
      <c r="E6311" s="6">
        <v>118.14</v>
      </c>
      <c r="G6311" s="4"/>
      <c r="H6311" s="5"/>
    </row>
    <row r="6312" spans="4:8" x14ac:dyDescent="0.25">
      <c r="D6312" s="4">
        <v>40751</v>
      </c>
      <c r="E6312" s="6">
        <v>117.99</v>
      </c>
      <c r="G6312" s="4"/>
      <c r="H6312" s="5"/>
    </row>
    <row r="6313" spans="4:8" x14ac:dyDescent="0.25">
      <c r="D6313" s="4">
        <v>40752</v>
      </c>
      <c r="E6313" s="6">
        <v>118.16</v>
      </c>
      <c r="G6313" s="4"/>
      <c r="H6313" s="5"/>
    </row>
    <row r="6314" spans="4:8" x14ac:dyDescent="0.25">
      <c r="D6314" s="4">
        <v>40753</v>
      </c>
      <c r="E6314" s="6">
        <v>115.93</v>
      </c>
      <c r="G6314" s="4"/>
      <c r="H6314" s="5"/>
    </row>
    <row r="6315" spans="4:8" x14ac:dyDescent="0.25">
      <c r="D6315" s="4">
        <v>40756</v>
      </c>
      <c r="E6315" s="6">
        <v>116.37</v>
      </c>
      <c r="G6315" s="4"/>
      <c r="H6315" s="5"/>
    </row>
    <row r="6316" spans="4:8" x14ac:dyDescent="0.25">
      <c r="D6316" s="4">
        <v>40757</v>
      </c>
      <c r="E6316" s="6">
        <v>116.02</v>
      </c>
      <c r="G6316" s="4"/>
      <c r="H6316" s="5"/>
    </row>
    <row r="6317" spans="4:8" x14ac:dyDescent="0.25">
      <c r="D6317" s="4">
        <v>40758</v>
      </c>
      <c r="E6317" s="6">
        <v>113.74</v>
      </c>
      <c r="G6317" s="4"/>
      <c r="H6317" s="5"/>
    </row>
    <row r="6318" spans="4:8" x14ac:dyDescent="0.25">
      <c r="D6318" s="4">
        <v>40759</v>
      </c>
      <c r="E6318" s="6">
        <v>110.22</v>
      </c>
      <c r="G6318" s="4"/>
      <c r="H6318" s="5"/>
    </row>
    <row r="6319" spans="4:8" x14ac:dyDescent="0.25">
      <c r="D6319" s="4">
        <v>40760</v>
      </c>
      <c r="E6319" s="6">
        <v>106.92</v>
      </c>
      <c r="G6319" s="4"/>
      <c r="H6319" s="5"/>
    </row>
    <row r="6320" spans="4:8" x14ac:dyDescent="0.25">
      <c r="D6320" s="4">
        <v>40763</v>
      </c>
      <c r="E6320" s="6">
        <v>103.06</v>
      </c>
      <c r="G6320" s="4"/>
      <c r="H6320" s="5"/>
    </row>
    <row r="6321" spans="4:8" x14ac:dyDescent="0.25">
      <c r="D6321" s="4">
        <v>40764</v>
      </c>
      <c r="E6321" s="6">
        <v>103.63</v>
      </c>
      <c r="G6321" s="4"/>
      <c r="H6321" s="5"/>
    </row>
    <row r="6322" spans="4:8" x14ac:dyDescent="0.25">
      <c r="D6322" s="4">
        <v>40765</v>
      </c>
      <c r="E6322" s="6">
        <v>103.84</v>
      </c>
      <c r="G6322" s="4"/>
      <c r="H6322" s="5"/>
    </row>
    <row r="6323" spans="4:8" x14ac:dyDescent="0.25">
      <c r="D6323" s="4">
        <v>40766</v>
      </c>
      <c r="E6323" s="6">
        <v>107.82</v>
      </c>
      <c r="G6323" s="4"/>
      <c r="H6323" s="5"/>
    </row>
    <row r="6324" spans="4:8" x14ac:dyDescent="0.25">
      <c r="D6324" s="4">
        <v>40767</v>
      </c>
      <c r="E6324" s="6">
        <v>108.17</v>
      </c>
      <c r="G6324" s="4"/>
      <c r="H6324" s="5"/>
    </row>
    <row r="6325" spans="4:8" x14ac:dyDescent="0.25">
      <c r="D6325" s="4">
        <v>40770</v>
      </c>
      <c r="E6325" s="6">
        <v>108.89</v>
      </c>
      <c r="G6325" s="4"/>
      <c r="H6325" s="5"/>
    </row>
    <row r="6326" spans="4:8" x14ac:dyDescent="0.25">
      <c r="D6326" s="4">
        <v>40771</v>
      </c>
      <c r="E6326" s="6">
        <v>109.69</v>
      </c>
      <c r="G6326" s="4"/>
      <c r="H6326" s="5"/>
    </row>
    <row r="6327" spans="4:8" x14ac:dyDescent="0.25">
      <c r="D6327" s="4">
        <v>40772</v>
      </c>
      <c r="E6327" s="6">
        <v>111.37</v>
      </c>
      <c r="G6327" s="4"/>
      <c r="H6327" s="5"/>
    </row>
    <row r="6328" spans="4:8" x14ac:dyDescent="0.25">
      <c r="D6328" s="4">
        <v>40773</v>
      </c>
      <c r="E6328" s="6">
        <v>108.36</v>
      </c>
      <c r="G6328" s="4"/>
      <c r="H6328" s="5"/>
    </row>
    <row r="6329" spans="4:8" x14ac:dyDescent="0.25">
      <c r="D6329" s="4">
        <v>40774</v>
      </c>
      <c r="E6329" s="6">
        <v>109.37</v>
      </c>
      <c r="G6329" s="4"/>
      <c r="H6329" s="5"/>
    </row>
    <row r="6330" spans="4:8" x14ac:dyDescent="0.25">
      <c r="D6330" s="4">
        <v>40777</v>
      </c>
      <c r="E6330" s="6">
        <v>108.83</v>
      </c>
      <c r="G6330" s="4"/>
      <c r="H6330" s="5"/>
    </row>
    <row r="6331" spans="4:8" x14ac:dyDescent="0.25">
      <c r="D6331" s="4">
        <v>40778</v>
      </c>
      <c r="E6331" s="6">
        <v>110.35</v>
      </c>
      <c r="G6331" s="4"/>
      <c r="H6331" s="5"/>
    </row>
    <row r="6332" spans="4:8" x14ac:dyDescent="0.25">
      <c r="D6332" s="4">
        <v>40779</v>
      </c>
      <c r="E6332" s="6">
        <v>111.91</v>
      </c>
      <c r="G6332" s="4"/>
      <c r="H6332" s="5"/>
    </row>
    <row r="6333" spans="4:8" x14ac:dyDescent="0.25">
      <c r="D6333" s="4">
        <v>40780</v>
      </c>
      <c r="E6333" s="6">
        <v>111.91</v>
      </c>
      <c r="G6333" s="4"/>
      <c r="H6333" s="5"/>
    </row>
    <row r="6334" spans="4:8" x14ac:dyDescent="0.25">
      <c r="D6334" s="4">
        <v>40781</v>
      </c>
      <c r="E6334" s="6">
        <v>112.29</v>
      </c>
      <c r="G6334" s="4"/>
      <c r="H6334" s="5"/>
    </row>
    <row r="6335" spans="4:8" x14ac:dyDescent="0.25">
      <c r="D6335" s="4">
        <v>40784</v>
      </c>
      <c r="E6335" s="5"/>
      <c r="G6335" s="4"/>
      <c r="H6335" s="5"/>
    </row>
    <row r="6336" spans="4:8" x14ac:dyDescent="0.25">
      <c r="D6336" s="4">
        <v>40785</v>
      </c>
      <c r="E6336" s="6">
        <v>115.59</v>
      </c>
      <c r="G6336" s="4"/>
      <c r="H6336" s="5"/>
    </row>
    <row r="6337" spans="4:8" x14ac:dyDescent="0.25">
      <c r="D6337" s="4">
        <v>40786</v>
      </c>
      <c r="E6337" s="6">
        <v>116.48</v>
      </c>
      <c r="G6337" s="4"/>
      <c r="H6337" s="5"/>
    </row>
    <row r="6338" spans="4:8" x14ac:dyDescent="0.25">
      <c r="D6338" s="4">
        <v>40787</v>
      </c>
      <c r="E6338" s="6">
        <v>116.43</v>
      </c>
      <c r="G6338" s="4"/>
      <c r="H6338" s="5"/>
    </row>
    <row r="6339" spans="4:8" x14ac:dyDescent="0.25">
      <c r="D6339" s="4">
        <v>40788</v>
      </c>
      <c r="E6339" s="6">
        <v>115.92</v>
      </c>
      <c r="G6339" s="4"/>
      <c r="H6339" s="5"/>
    </row>
    <row r="6340" spans="4:8" x14ac:dyDescent="0.25">
      <c r="D6340" s="4">
        <v>40791</v>
      </c>
      <c r="E6340" s="5"/>
      <c r="G6340" s="4"/>
      <c r="H6340" s="5"/>
    </row>
    <row r="6341" spans="4:8" x14ac:dyDescent="0.25">
      <c r="D6341" s="4">
        <v>40792</v>
      </c>
      <c r="E6341" s="6">
        <v>113.29</v>
      </c>
      <c r="G6341" s="4"/>
      <c r="H6341" s="5"/>
    </row>
    <row r="6342" spans="4:8" x14ac:dyDescent="0.25">
      <c r="D6342" s="4">
        <v>40793</v>
      </c>
      <c r="E6342" s="6">
        <v>117.5</v>
      </c>
      <c r="G6342" s="4"/>
      <c r="H6342" s="5"/>
    </row>
    <row r="6343" spans="4:8" x14ac:dyDescent="0.25">
      <c r="D6343" s="4">
        <v>40794</v>
      </c>
      <c r="E6343" s="6">
        <v>117.99</v>
      </c>
      <c r="G6343" s="4"/>
      <c r="H6343" s="5"/>
    </row>
    <row r="6344" spans="4:8" x14ac:dyDescent="0.25">
      <c r="D6344" s="4">
        <v>40795</v>
      </c>
      <c r="E6344" s="6">
        <v>115.1</v>
      </c>
      <c r="G6344" s="4"/>
      <c r="H6344" s="5"/>
    </row>
    <row r="6345" spans="4:8" x14ac:dyDescent="0.25">
      <c r="D6345" s="4">
        <v>40798</v>
      </c>
      <c r="E6345" s="6">
        <v>114.75</v>
      </c>
      <c r="G6345" s="4"/>
      <c r="H6345" s="5"/>
    </row>
    <row r="6346" spans="4:8" x14ac:dyDescent="0.25">
      <c r="D6346" s="4">
        <v>40799</v>
      </c>
      <c r="E6346" s="6">
        <v>114.08</v>
      </c>
      <c r="G6346" s="4"/>
      <c r="H6346" s="5"/>
    </row>
    <row r="6347" spans="4:8" x14ac:dyDescent="0.25">
      <c r="D6347" s="4">
        <v>40800</v>
      </c>
      <c r="E6347" s="6">
        <v>113.1</v>
      </c>
      <c r="G6347" s="4"/>
      <c r="H6347" s="5"/>
    </row>
    <row r="6348" spans="4:8" x14ac:dyDescent="0.25">
      <c r="D6348" s="4">
        <v>40801</v>
      </c>
      <c r="E6348" s="6">
        <v>116.71</v>
      </c>
      <c r="G6348" s="4"/>
      <c r="H6348" s="5"/>
    </row>
    <row r="6349" spans="4:8" x14ac:dyDescent="0.25">
      <c r="D6349" s="4">
        <v>40802</v>
      </c>
      <c r="E6349" s="6">
        <v>116.26</v>
      </c>
      <c r="G6349" s="4"/>
      <c r="H6349" s="5"/>
    </row>
    <row r="6350" spans="4:8" x14ac:dyDescent="0.25">
      <c r="D6350" s="4">
        <v>40805</v>
      </c>
      <c r="E6350" s="6">
        <v>112.89</v>
      </c>
      <c r="G6350" s="4"/>
      <c r="H6350" s="5"/>
    </row>
    <row r="6351" spans="4:8" x14ac:dyDescent="0.25">
      <c r="D6351" s="4">
        <v>40806</v>
      </c>
      <c r="E6351" s="6">
        <v>114.39</v>
      </c>
      <c r="G6351" s="4"/>
      <c r="H6351" s="5"/>
    </row>
    <row r="6352" spans="4:8" x14ac:dyDescent="0.25">
      <c r="D6352" s="4">
        <v>40807</v>
      </c>
      <c r="E6352" s="6">
        <v>114.26</v>
      </c>
      <c r="G6352" s="4"/>
      <c r="H6352" s="5"/>
    </row>
    <row r="6353" spans="4:8" x14ac:dyDescent="0.25">
      <c r="D6353" s="4">
        <v>40808</v>
      </c>
      <c r="E6353" s="6">
        <v>109.21</v>
      </c>
      <c r="G6353" s="4"/>
      <c r="H6353" s="5"/>
    </row>
    <row r="6354" spans="4:8" x14ac:dyDescent="0.25">
      <c r="D6354" s="4">
        <v>40809</v>
      </c>
      <c r="E6354" s="6">
        <v>109.17</v>
      </c>
      <c r="G6354" s="4"/>
      <c r="H6354" s="5"/>
    </row>
    <row r="6355" spans="4:8" x14ac:dyDescent="0.25">
      <c r="D6355" s="4">
        <v>40812</v>
      </c>
      <c r="E6355" s="6">
        <v>107.9</v>
      </c>
      <c r="G6355" s="4"/>
      <c r="H6355" s="5"/>
    </row>
    <row r="6356" spans="4:8" x14ac:dyDescent="0.25">
      <c r="D6356" s="4">
        <v>40813</v>
      </c>
      <c r="E6356" s="6">
        <v>109.54</v>
      </c>
      <c r="G6356" s="4"/>
      <c r="H6356" s="5"/>
    </row>
    <row r="6357" spans="4:8" x14ac:dyDescent="0.25">
      <c r="D6357" s="4">
        <v>40814</v>
      </c>
      <c r="E6357" s="6">
        <v>108.52</v>
      </c>
      <c r="G6357" s="4"/>
      <c r="H6357" s="5"/>
    </row>
    <row r="6358" spans="4:8" x14ac:dyDescent="0.25">
      <c r="D6358" s="4">
        <v>40815</v>
      </c>
      <c r="E6358" s="6">
        <v>107.08</v>
      </c>
      <c r="G6358" s="4"/>
      <c r="H6358" s="5"/>
    </row>
    <row r="6359" spans="4:8" x14ac:dyDescent="0.25">
      <c r="D6359" s="4">
        <v>40816</v>
      </c>
      <c r="E6359" s="6">
        <v>105.42</v>
      </c>
      <c r="G6359" s="4"/>
      <c r="H6359" s="5"/>
    </row>
    <row r="6360" spans="4:8" x14ac:dyDescent="0.25">
      <c r="D6360" s="4">
        <v>40819</v>
      </c>
      <c r="E6360" s="6">
        <v>103.61</v>
      </c>
      <c r="G6360" s="4"/>
      <c r="H6360" s="5"/>
    </row>
    <row r="6361" spans="4:8" x14ac:dyDescent="0.25">
      <c r="D6361" s="4">
        <v>40820</v>
      </c>
      <c r="E6361" s="6">
        <v>101.84</v>
      </c>
      <c r="G6361" s="4"/>
      <c r="H6361" s="5"/>
    </row>
    <row r="6362" spans="4:8" x14ac:dyDescent="0.25">
      <c r="D6362" s="4">
        <v>40821</v>
      </c>
      <c r="E6362" s="6">
        <v>103.77</v>
      </c>
      <c r="G6362" s="4"/>
      <c r="H6362" s="5"/>
    </row>
    <row r="6363" spans="4:8" x14ac:dyDescent="0.25">
      <c r="D6363" s="4">
        <v>40822</v>
      </c>
      <c r="E6363" s="6">
        <v>104.38</v>
      </c>
      <c r="G6363" s="4"/>
      <c r="H6363" s="5"/>
    </row>
    <row r="6364" spans="4:8" x14ac:dyDescent="0.25">
      <c r="D6364" s="4">
        <v>40823</v>
      </c>
      <c r="E6364" s="6">
        <v>106.56</v>
      </c>
      <c r="G6364" s="4"/>
      <c r="H6364" s="5"/>
    </row>
    <row r="6365" spans="4:8" x14ac:dyDescent="0.25">
      <c r="D6365" s="4">
        <v>40826</v>
      </c>
      <c r="E6365" s="6">
        <v>109.49</v>
      </c>
      <c r="G6365" s="4"/>
      <c r="H6365" s="5"/>
    </row>
    <row r="6366" spans="4:8" x14ac:dyDescent="0.25">
      <c r="D6366" s="4">
        <v>40827</v>
      </c>
      <c r="E6366" s="6">
        <v>109.22</v>
      </c>
      <c r="G6366" s="4"/>
      <c r="H6366" s="5"/>
    </row>
    <row r="6367" spans="4:8" x14ac:dyDescent="0.25">
      <c r="D6367" s="4">
        <v>40828</v>
      </c>
      <c r="E6367" s="6">
        <v>112.44</v>
      </c>
      <c r="G6367" s="4"/>
      <c r="H6367" s="5"/>
    </row>
    <row r="6368" spans="4:8" x14ac:dyDescent="0.25">
      <c r="D6368" s="4">
        <v>40829</v>
      </c>
      <c r="E6368" s="6">
        <v>112.45</v>
      </c>
      <c r="G6368" s="4"/>
      <c r="H6368" s="5"/>
    </row>
    <row r="6369" spans="4:8" x14ac:dyDescent="0.25">
      <c r="D6369" s="4">
        <v>40830</v>
      </c>
      <c r="E6369" s="6">
        <v>114.33</v>
      </c>
      <c r="G6369" s="4"/>
      <c r="H6369" s="5"/>
    </row>
    <row r="6370" spans="4:8" x14ac:dyDescent="0.25">
      <c r="D6370" s="4">
        <v>40833</v>
      </c>
      <c r="E6370" s="6">
        <v>112.92</v>
      </c>
      <c r="G6370" s="4"/>
      <c r="H6370" s="5"/>
    </row>
    <row r="6371" spans="4:8" x14ac:dyDescent="0.25">
      <c r="D6371" s="4">
        <v>40834</v>
      </c>
      <c r="E6371" s="6">
        <v>112.08</v>
      </c>
      <c r="G6371" s="4"/>
      <c r="H6371" s="5"/>
    </row>
    <row r="6372" spans="4:8" x14ac:dyDescent="0.25">
      <c r="D6372" s="4">
        <v>40835</v>
      </c>
      <c r="E6372" s="6">
        <v>111.76</v>
      </c>
      <c r="G6372" s="4"/>
      <c r="H6372" s="5"/>
    </row>
    <row r="6373" spans="4:8" x14ac:dyDescent="0.25">
      <c r="D6373" s="4">
        <v>40836</v>
      </c>
      <c r="E6373" s="6">
        <v>109</v>
      </c>
      <c r="G6373" s="4"/>
      <c r="H6373" s="5"/>
    </row>
    <row r="6374" spans="4:8" x14ac:dyDescent="0.25">
      <c r="D6374" s="4">
        <v>40837</v>
      </c>
      <c r="E6374" s="6">
        <v>111.6</v>
      </c>
      <c r="G6374" s="4"/>
      <c r="H6374" s="5"/>
    </row>
    <row r="6375" spans="4:8" x14ac:dyDescent="0.25">
      <c r="D6375" s="4">
        <v>40840</v>
      </c>
      <c r="E6375" s="6">
        <v>111.67</v>
      </c>
      <c r="G6375" s="4"/>
      <c r="H6375" s="5"/>
    </row>
    <row r="6376" spans="4:8" x14ac:dyDescent="0.25">
      <c r="D6376" s="4">
        <v>40841</v>
      </c>
      <c r="E6376" s="6">
        <v>112.11</v>
      </c>
      <c r="G6376" s="4"/>
      <c r="H6376" s="5"/>
    </row>
    <row r="6377" spans="4:8" x14ac:dyDescent="0.25">
      <c r="D6377" s="4">
        <v>40842</v>
      </c>
      <c r="E6377" s="6">
        <v>110.43</v>
      </c>
      <c r="G6377" s="4"/>
      <c r="H6377" s="5"/>
    </row>
    <row r="6378" spans="4:8" x14ac:dyDescent="0.25">
      <c r="D6378" s="4">
        <v>40843</v>
      </c>
      <c r="E6378" s="6">
        <v>112.45</v>
      </c>
      <c r="G6378" s="4"/>
      <c r="H6378" s="5"/>
    </row>
    <row r="6379" spans="4:8" x14ac:dyDescent="0.25">
      <c r="D6379" s="4">
        <v>40844</v>
      </c>
      <c r="E6379" s="6">
        <v>110.01</v>
      </c>
      <c r="G6379" s="4"/>
      <c r="H6379" s="5"/>
    </row>
    <row r="6380" spans="4:8" x14ac:dyDescent="0.25">
      <c r="D6380" s="4">
        <v>40847</v>
      </c>
      <c r="E6380" s="6">
        <v>108.43</v>
      </c>
      <c r="G6380" s="4"/>
      <c r="H6380" s="5"/>
    </row>
    <row r="6381" spans="4:8" x14ac:dyDescent="0.25">
      <c r="D6381" s="4">
        <v>40848</v>
      </c>
      <c r="E6381" s="6">
        <v>106.97</v>
      </c>
      <c r="G6381" s="4"/>
      <c r="H6381" s="5"/>
    </row>
    <row r="6382" spans="4:8" x14ac:dyDescent="0.25">
      <c r="D6382" s="4">
        <v>40849</v>
      </c>
      <c r="E6382" s="6">
        <v>110.82</v>
      </c>
      <c r="G6382" s="4"/>
      <c r="H6382" s="5"/>
    </row>
    <row r="6383" spans="4:8" x14ac:dyDescent="0.25">
      <c r="D6383" s="4">
        <v>40850</v>
      </c>
      <c r="E6383" s="6">
        <v>110.76</v>
      </c>
      <c r="G6383" s="4"/>
      <c r="H6383" s="5"/>
    </row>
    <row r="6384" spans="4:8" x14ac:dyDescent="0.25">
      <c r="D6384" s="4">
        <v>40851</v>
      </c>
      <c r="E6384" s="6">
        <v>112.22</v>
      </c>
      <c r="G6384" s="4"/>
      <c r="H6384" s="5"/>
    </row>
    <row r="6385" spans="4:8" x14ac:dyDescent="0.25">
      <c r="D6385" s="4">
        <v>40854</v>
      </c>
      <c r="E6385" s="6">
        <v>114.75</v>
      </c>
      <c r="G6385" s="4"/>
      <c r="H6385" s="5"/>
    </row>
    <row r="6386" spans="4:8" x14ac:dyDescent="0.25">
      <c r="D6386" s="4">
        <v>40855</v>
      </c>
      <c r="E6386" s="6">
        <v>115.61</v>
      </c>
      <c r="G6386" s="4"/>
      <c r="H6386" s="5"/>
    </row>
    <row r="6387" spans="4:8" x14ac:dyDescent="0.25">
      <c r="D6387" s="4">
        <v>40856</v>
      </c>
      <c r="E6387" s="6">
        <v>115.29</v>
      </c>
      <c r="G6387" s="4"/>
      <c r="H6387" s="5"/>
    </row>
    <row r="6388" spans="4:8" x14ac:dyDescent="0.25">
      <c r="D6388" s="4">
        <v>40857</v>
      </c>
      <c r="E6388" s="6">
        <v>113.32</v>
      </c>
      <c r="G6388" s="4"/>
      <c r="H6388" s="5"/>
    </row>
    <row r="6389" spans="4:8" x14ac:dyDescent="0.25">
      <c r="D6389" s="4">
        <v>40858</v>
      </c>
      <c r="E6389" s="6">
        <v>114.43</v>
      </c>
      <c r="G6389" s="4"/>
      <c r="H6389" s="5"/>
    </row>
    <row r="6390" spans="4:8" x14ac:dyDescent="0.25">
      <c r="D6390" s="4">
        <v>40861</v>
      </c>
      <c r="E6390" s="6">
        <v>112.57</v>
      </c>
      <c r="G6390" s="4"/>
      <c r="H6390" s="5"/>
    </row>
    <row r="6391" spans="4:8" x14ac:dyDescent="0.25">
      <c r="D6391" s="4">
        <v>40862</v>
      </c>
      <c r="E6391" s="6">
        <v>111.9</v>
      </c>
      <c r="G6391" s="4"/>
      <c r="H6391" s="5"/>
    </row>
    <row r="6392" spans="4:8" x14ac:dyDescent="0.25">
      <c r="D6392" s="4">
        <v>40863</v>
      </c>
      <c r="E6392" s="6">
        <v>111.91</v>
      </c>
      <c r="G6392" s="4"/>
      <c r="H6392" s="5"/>
    </row>
    <row r="6393" spans="4:8" x14ac:dyDescent="0.25">
      <c r="D6393" s="4">
        <v>40864</v>
      </c>
      <c r="E6393" s="6">
        <v>109.25</v>
      </c>
      <c r="G6393" s="4"/>
      <c r="H6393" s="5"/>
    </row>
    <row r="6394" spans="4:8" x14ac:dyDescent="0.25">
      <c r="D6394" s="4">
        <v>40865</v>
      </c>
      <c r="E6394" s="6">
        <v>107.82</v>
      </c>
      <c r="G6394" s="4"/>
      <c r="H6394" s="5"/>
    </row>
    <row r="6395" spans="4:8" x14ac:dyDescent="0.25">
      <c r="D6395" s="4">
        <v>40868</v>
      </c>
      <c r="E6395" s="6">
        <v>105.98</v>
      </c>
      <c r="G6395" s="4"/>
      <c r="H6395" s="5"/>
    </row>
    <row r="6396" spans="4:8" x14ac:dyDescent="0.25">
      <c r="D6396" s="4">
        <v>40869</v>
      </c>
      <c r="E6396" s="6">
        <v>107.77</v>
      </c>
      <c r="G6396" s="4"/>
      <c r="H6396" s="5"/>
    </row>
    <row r="6397" spans="4:8" x14ac:dyDescent="0.25">
      <c r="D6397" s="4">
        <v>40870</v>
      </c>
      <c r="E6397" s="6">
        <v>106.83</v>
      </c>
      <c r="G6397" s="4"/>
      <c r="H6397" s="5"/>
    </row>
    <row r="6398" spans="4:8" x14ac:dyDescent="0.25">
      <c r="D6398" s="4">
        <v>40871</v>
      </c>
      <c r="E6398" s="5"/>
      <c r="G6398" s="4"/>
      <c r="H6398" s="5"/>
    </row>
    <row r="6399" spans="4:8" x14ac:dyDescent="0.25">
      <c r="D6399" s="4">
        <v>40872</v>
      </c>
      <c r="E6399" s="6">
        <v>106.08</v>
      </c>
      <c r="G6399" s="4"/>
      <c r="H6399" s="5"/>
    </row>
    <row r="6400" spans="4:8" x14ac:dyDescent="0.25">
      <c r="D6400" s="4">
        <v>40875</v>
      </c>
      <c r="E6400" s="6">
        <v>109.38</v>
      </c>
      <c r="G6400" s="4"/>
      <c r="H6400" s="5"/>
    </row>
    <row r="6401" spans="4:8" x14ac:dyDescent="0.25">
      <c r="D6401" s="4">
        <v>40876</v>
      </c>
      <c r="E6401" s="6">
        <v>111.25</v>
      </c>
      <c r="G6401" s="4"/>
      <c r="H6401" s="5"/>
    </row>
    <row r="6402" spans="4:8" x14ac:dyDescent="0.25">
      <c r="D6402" s="4">
        <v>40877</v>
      </c>
      <c r="E6402" s="6">
        <v>111.22</v>
      </c>
      <c r="G6402" s="4"/>
      <c r="H6402" s="5"/>
    </row>
    <row r="6403" spans="4:8" x14ac:dyDescent="0.25">
      <c r="D6403" s="4">
        <v>40878</v>
      </c>
      <c r="E6403" s="6">
        <v>108.83</v>
      </c>
      <c r="G6403" s="4"/>
      <c r="H6403" s="5"/>
    </row>
    <row r="6404" spans="4:8" x14ac:dyDescent="0.25">
      <c r="D6404" s="4">
        <v>40879</v>
      </c>
      <c r="E6404" s="6">
        <v>109.59</v>
      </c>
      <c r="G6404" s="4"/>
      <c r="H6404" s="5"/>
    </row>
    <row r="6405" spans="4:8" x14ac:dyDescent="0.25">
      <c r="D6405" s="4">
        <v>40882</v>
      </c>
      <c r="E6405" s="6">
        <v>110.18</v>
      </c>
      <c r="G6405" s="4"/>
      <c r="H6405" s="5"/>
    </row>
    <row r="6406" spans="4:8" x14ac:dyDescent="0.25">
      <c r="D6406" s="4">
        <v>40883</v>
      </c>
      <c r="E6406" s="6">
        <v>110.16</v>
      </c>
      <c r="G6406" s="4"/>
      <c r="H6406" s="5"/>
    </row>
    <row r="6407" spans="4:8" x14ac:dyDescent="0.25">
      <c r="D6407" s="4">
        <v>40884</v>
      </c>
      <c r="E6407" s="6">
        <v>110.07</v>
      </c>
      <c r="G6407" s="4"/>
      <c r="H6407" s="5"/>
    </row>
    <row r="6408" spans="4:8" x14ac:dyDescent="0.25">
      <c r="D6408" s="4">
        <v>40885</v>
      </c>
      <c r="E6408" s="6">
        <v>108.23</v>
      </c>
      <c r="G6408" s="4"/>
      <c r="H6408" s="5"/>
    </row>
    <row r="6409" spans="4:8" x14ac:dyDescent="0.25">
      <c r="D6409" s="4">
        <v>40886</v>
      </c>
      <c r="E6409" s="6">
        <v>107.91</v>
      </c>
      <c r="G6409" s="4"/>
      <c r="H6409" s="5"/>
    </row>
    <row r="6410" spans="4:8" x14ac:dyDescent="0.25">
      <c r="D6410" s="4">
        <v>40889</v>
      </c>
      <c r="E6410" s="6">
        <v>107.82</v>
      </c>
      <c r="G6410" s="4"/>
      <c r="H6410" s="5"/>
    </row>
    <row r="6411" spans="4:8" x14ac:dyDescent="0.25">
      <c r="D6411" s="4">
        <v>40890</v>
      </c>
      <c r="E6411" s="6">
        <v>109.25</v>
      </c>
      <c r="G6411" s="4"/>
      <c r="H6411" s="5"/>
    </row>
    <row r="6412" spans="4:8" x14ac:dyDescent="0.25">
      <c r="D6412" s="4">
        <v>40891</v>
      </c>
      <c r="E6412" s="6">
        <v>105.72</v>
      </c>
      <c r="G6412" s="4"/>
      <c r="H6412" s="5"/>
    </row>
    <row r="6413" spans="4:8" x14ac:dyDescent="0.25">
      <c r="D6413" s="4">
        <v>40892</v>
      </c>
      <c r="E6413" s="6">
        <v>104.52</v>
      </c>
      <c r="G6413" s="4"/>
      <c r="H6413" s="5"/>
    </row>
    <row r="6414" spans="4:8" x14ac:dyDescent="0.25">
      <c r="D6414" s="4">
        <v>40893</v>
      </c>
      <c r="E6414" s="6">
        <v>104</v>
      </c>
      <c r="G6414" s="4"/>
      <c r="H6414" s="5"/>
    </row>
    <row r="6415" spans="4:8" x14ac:dyDescent="0.25">
      <c r="D6415" s="4">
        <v>40896</v>
      </c>
      <c r="E6415" s="6">
        <v>104.55</v>
      </c>
      <c r="G6415" s="4"/>
      <c r="H6415" s="5"/>
    </row>
    <row r="6416" spans="4:8" x14ac:dyDescent="0.25">
      <c r="D6416" s="4">
        <v>40897</v>
      </c>
      <c r="E6416" s="6">
        <v>107.8</v>
      </c>
      <c r="G6416" s="4"/>
      <c r="H6416" s="5"/>
    </row>
    <row r="6417" spans="4:8" x14ac:dyDescent="0.25">
      <c r="D6417" s="4">
        <v>40898</v>
      </c>
      <c r="E6417" s="6">
        <v>108</v>
      </c>
      <c r="G6417" s="4"/>
      <c r="H6417" s="5"/>
    </row>
    <row r="6418" spans="4:8" x14ac:dyDescent="0.25">
      <c r="D6418" s="4">
        <v>40899</v>
      </c>
      <c r="E6418" s="6">
        <v>108.98</v>
      </c>
      <c r="G6418" s="4"/>
      <c r="H6418" s="5"/>
    </row>
    <row r="6419" spans="4:8" x14ac:dyDescent="0.25">
      <c r="D6419" s="4">
        <v>40900</v>
      </c>
      <c r="E6419" s="6">
        <v>109.28</v>
      </c>
      <c r="G6419" s="4"/>
      <c r="H6419" s="5"/>
    </row>
    <row r="6420" spans="4:8" x14ac:dyDescent="0.25">
      <c r="D6420" s="4">
        <v>40903</v>
      </c>
      <c r="E6420" s="5"/>
      <c r="G6420" s="4"/>
      <c r="H6420" s="5"/>
    </row>
    <row r="6421" spans="4:8" x14ac:dyDescent="0.25">
      <c r="D6421" s="4">
        <v>40904</v>
      </c>
      <c r="E6421" s="5"/>
      <c r="G6421" s="4"/>
      <c r="H6421" s="5"/>
    </row>
    <row r="6422" spans="4:8" x14ac:dyDescent="0.25">
      <c r="D6422" s="4">
        <v>40905</v>
      </c>
      <c r="E6422" s="6">
        <v>107.54</v>
      </c>
      <c r="G6422" s="4"/>
      <c r="H6422" s="5"/>
    </row>
    <row r="6423" spans="4:8" x14ac:dyDescent="0.25">
      <c r="D6423" s="4">
        <v>40906</v>
      </c>
      <c r="E6423" s="6">
        <v>106.89</v>
      </c>
      <c r="G6423" s="4"/>
      <c r="H6423" s="5"/>
    </row>
    <row r="6424" spans="4:8" x14ac:dyDescent="0.25">
      <c r="D6424" s="4">
        <v>40907</v>
      </c>
      <c r="E6424" s="6">
        <v>108.09</v>
      </c>
      <c r="G6424" s="4"/>
      <c r="H6424" s="5"/>
    </row>
    <row r="6425" spans="4:8" x14ac:dyDescent="0.25">
      <c r="D6425" s="4">
        <v>40910</v>
      </c>
      <c r="E6425" s="5"/>
      <c r="G6425" s="4"/>
      <c r="H6425" s="5"/>
    </row>
    <row r="6426" spans="4:8" x14ac:dyDescent="0.25">
      <c r="D6426" s="4">
        <v>40911</v>
      </c>
      <c r="E6426" s="6">
        <v>111.12</v>
      </c>
      <c r="G6426" s="4"/>
      <c r="H6426" s="5"/>
    </row>
    <row r="6427" spans="4:8" x14ac:dyDescent="0.25">
      <c r="D6427" s="4">
        <v>40912</v>
      </c>
      <c r="E6427" s="6">
        <v>113.37</v>
      </c>
      <c r="G6427" s="4"/>
      <c r="H6427" s="5"/>
    </row>
    <row r="6428" spans="4:8" x14ac:dyDescent="0.25">
      <c r="D6428" s="4">
        <v>40913</v>
      </c>
      <c r="E6428" s="6">
        <v>113.59</v>
      </c>
      <c r="G6428" s="4"/>
      <c r="H6428" s="5"/>
    </row>
    <row r="6429" spans="4:8" x14ac:dyDescent="0.25">
      <c r="D6429" s="4">
        <v>40914</v>
      </c>
      <c r="E6429" s="6">
        <v>111.96</v>
      </c>
      <c r="G6429" s="4"/>
      <c r="H6429" s="5"/>
    </row>
    <row r="6430" spans="4:8" x14ac:dyDescent="0.25">
      <c r="D6430" s="4">
        <v>40917</v>
      </c>
      <c r="E6430" s="6">
        <v>111.07</v>
      </c>
      <c r="G6430" s="4"/>
      <c r="H6430" s="5"/>
    </row>
    <row r="6431" spans="4:8" x14ac:dyDescent="0.25">
      <c r="D6431" s="4">
        <v>40918</v>
      </c>
      <c r="E6431" s="6">
        <v>113.3</v>
      </c>
      <c r="G6431" s="4"/>
      <c r="H6431" s="5"/>
    </row>
    <row r="6432" spans="4:8" x14ac:dyDescent="0.25">
      <c r="D6432" s="4">
        <v>40919</v>
      </c>
      <c r="E6432" s="6">
        <v>111.66</v>
      </c>
      <c r="G6432" s="4"/>
      <c r="H6432" s="5"/>
    </row>
    <row r="6433" spans="4:8" x14ac:dyDescent="0.25">
      <c r="D6433" s="4">
        <v>40920</v>
      </c>
      <c r="E6433" s="6">
        <v>112.97</v>
      </c>
      <c r="G6433" s="4"/>
      <c r="H6433" s="5"/>
    </row>
    <row r="6434" spans="4:8" x14ac:dyDescent="0.25">
      <c r="D6434" s="4">
        <v>40921</v>
      </c>
      <c r="E6434" s="6">
        <v>109.88</v>
      </c>
      <c r="G6434" s="4"/>
      <c r="H6434" s="5"/>
    </row>
    <row r="6435" spans="4:8" x14ac:dyDescent="0.25">
      <c r="D6435" s="4">
        <v>40924</v>
      </c>
      <c r="E6435" s="5"/>
      <c r="G6435" s="4"/>
      <c r="H6435" s="5"/>
    </row>
    <row r="6436" spans="4:8" x14ac:dyDescent="0.25">
      <c r="D6436" s="4">
        <v>40925</v>
      </c>
      <c r="E6436" s="6">
        <v>110.55</v>
      </c>
      <c r="G6436" s="4"/>
      <c r="H6436" s="5"/>
    </row>
    <row r="6437" spans="4:8" x14ac:dyDescent="0.25">
      <c r="D6437" s="4">
        <v>40926</v>
      </c>
      <c r="E6437" s="6">
        <v>109.81</v>
      </c>
      <c r="G6437" s="4"/>
      <c r="H6437" s="5"/>
    </row>
    <row r="6438" spans="4:8" x14ac:dyDescent="0.25">
      <c r="D6438" s="4">
        <v>40927</v>
      </c>
      <c r="E6438" s="6">
        <v>109.54</v>
      </c>
      <c r="G6438" s="4"/>
      <c r="H6438" s="5"/>
    </row>
    <row r="6439" spans="4:8" x14ac:dyDescent="0.25">
      <c r="D6439" s="4">
        <v>40928</v>
      </c>
      <c r="E6439" s="6">
        <v>108.5</v>
      </c>
      <c r="G6439" s="4"/>
      <c r="H6439" s="5"/>
    </row>
    <row r="6440" spans="4:8" x14ac:dyDescent="0.25">
      <c r="D6440" s="4">
        <v>40931</v>
      </c>
      <c r="E6440" s="6">
        <v>109.46</v>
      </c>
      <c r="G6440" s="4"/>
      <c r="H6440" s="5"/>
    </row>
    <row r="6441" spans="4:8" x14ac:dyDescent="0.25">
      <c r="D6441" s="4">
        <v>40932</v>
      </c>
      <c r="E6441" s="6">
        <v>108.38</v>
      </c>
      <c r="G6441" s="4"/>
      <c r="H6441" s="5"/>
    </row>
    <row r="6442" spans="4:8" x14ac:dyDescent="0.25">
      <c r="D6442" s="4">
        <v>40933</v>
      </c>
      <c r="E6442" s="6">
        <v>108.48</v>
      </c>
      <c r="G6442" s="4"/>
      <c r="H6442" s="5"/>
    </row>
    <row r="6443" spans="4:8" x14ac:dyDescent="0.25">
      <c r="D6443" s="4">
        <v>40934</v>
      </c>
      <c r="E6443" s="6">
        <v>109.08</v>
      </c>
      <c r="G6443" s="4"/>
      <c r="H6443" s="5"/>
    </row>
    <row r="6444" spans="4:8" x14ac:dyDescent="0.25">
      <c r="D6444" s="4">
        <v>40935</v>
      </c>
      <c r="E6444" s="6">
        <v>110.5</v>
      </c>
      <c r="G6444" s="4"/>
      <c r="H6444" s="5"/>
    </row>
    <row r="6445" spans="4:8" x14ac:dyDescent="0.25">
      <c r="D6445" s="4">
        <v>40938</v>
      </c>
      <c r="E6445" s="6">
        <v>110.24</v>
      </c>
      <c r="G6445" s="4"/>
      <c r="H6445" s="5"/>
    </row>
    <row r="6446" spans="4:8" x14ac:dyDescent="0.25">
      <c r="D6446" s="4">
        <v>40939</v>
      </c>
      <c r="E6446" s="6">
        <v>110.26</v>
      </c>
      <c r="G6446" s="4"/>
      <c r="H6446" s="5"/>
    </row>
    <row r="6447" spans="4:8" x14ac:dyDescent="0.25">
      <c r="D6447" s="4">
        <v>40940</v>
      </c>
      <c r="E6447" s="6">
        <v>111.96</v>
      </c>
      <c r="G6447" s="4"/>
      <c r="H6447" s="5"/>
    </row>
    <row r="6448" spans="4:8" x14ac:dyDescent="0.25">
      <c r="D6448" s="4">
        <v>40941</v>
      </c>
      <c r="E6448" s="6">
        <v>110.96</v>
      </c>
      <c r="G6448" s="4"/>
      <c r="H6448" s="5"/>
    </row>
    <row r="6449" spans="4:8" x14ac:dyDescent="0.25">
      <c r="D6449" s="4">
        <v>40942</v>
      </c>
      <c r="E6449" s="6">
        <v>112.56</v>
      </c>
      <c r="G6449" s="4"/>
      <c r="H6449" s="5"/>
    </row>
    <row r="6450" spans="4:8" x14ac:dyDescent="0.25">
      <c r="D6450" s="4">
        <v>40945</v>
      </c>
      <c r="E6450" s="6">
        <v>115.47</v>
      </c>
      <c r="G6450" s="4"/>
      <c r="H6450" s="5"/>
    </row>
    <row r="6451" spans="4:8" x14ac:dyDescent="0.25">
      <c r="D6451" s="4">
        <v>40946</v>
      </c>
      <c r="E6451" s="6">
        <v>116.86</v>
      </c>
      <c r="G6451" s="4"/>
      <c r="H6451" s="5"/>
    </row>
    <row r="6452" spans="4:8" x14ac:dyDescent="0.25">
      <c r="D6452" s="4">
        <v>40947</v>
      </c>
      <c r="E6452" s="6">
        <v>117.18</v>
      </c>
      <c r="G6452" s="4"/>
      <c r="H6452" s="5"/>
    </row>
    <row r="6453" spans="4:8" x14ac:dyDescent="0.25">
      <c r="D6453" s="4">
        <v>40948</v>
      </c>
      <c r="E6453" s="6">
        <v>118.4</v>
      </c>
      <c r="G6453" s="4"/>
      <c r="H6453" s="5"/>
    </row>
    <row r="6454" spans="4:8" x14ac:dyDescent="0.25">
      <c r="D6454" s="4">
        <v>40949</v>
      </c>
      <c r="E6454" s="6">
        <v>118.13</v>
      </c>
      <c r="G6454" s="4"/>
      <c r="H6454" s="5"/>
    </row>
    <row r="6455" spans="4:8" x14ac:dyDescent="0.25">
      <c r="D6455" s="4">
        <v>40952</v>
      </c>
      <c r="E6455" s="6">
        <v>118.73</v>
      </c>
      <c r="G6455" s="4"/>
      <c r="H6455" s="5"/>
    </row>
    <row r="6456" spans="4:8" x14ac:dyDescent="0.25">
      <c r="D6456" s="4">
        <v>40953</v>
      </c>
      <c r="E6456" s="6">
        <v>118.3</v>
      </c>
      <c r="G6456" s="4"/>
      <c r="H6456" s="5"/>
    </row>
    <row r="6457" spans="4:8" x14ac:dyDescent="0.25">
      <c r="D6457" s="4">
        <v>40954</v>
      </c>
      <c r="E6457" s="6">
        <v>120.25</v>
      </c>
      <c r="G6457" s="4"/>
      <c r="H6457" s="5"/>
    </row>
    <row r="6458" spans="4:8" x14ac:dyDescent="0.25">
      <c r="D6458" s="4">
        <v>40955</v>
      </c>
      <c r="E6458" s="6">
        <v>121</v>
      </c>
      <c r="G6458" s="4"/>
      <c r="H6458" s="5"/>
    </row>
    <row r="6459" spans="4:8" x14ac:dyDescent="0.25">
      <c r="D6459" s="4">
        <v>40956</v>
      </c>
      <c r="E6459" s="6">
        <v>120.69</v>
      </c>
      <c r="G6459" s="4"/>
      <c r="H6459" s="5"/>
    </row>
    <row r="6460" spans="4:8" x14ac:dyDescent="0.25">
      <c r="D6460" s="4">
        <v>40959</v>
      </c>
      <c r="E6460" s="5"/>
      <c r="G6460" s="4"/>
      <c r="H6460" s="5"/>
    </row>
    <row r="6461" spans="4:8" x14ac:dyDescent="0.25">
      <c r="D6461" s="4">
        <v>40960</v>
      </c>
      <c r="E6461" s="6">
        <v>120.85</v>
      </c>
      <c r="G6461" s="4"/>
      <c r="H6461" s="5"/>
    </row>
    <row r="6462" spans="4:8" x14ac:dyDescent="0.25">
      <c r="D6462" s="4">
        <v>40961</v>
      </c>
      <c r="E6462" s="6">
        <v>123.07</v>
      </c>
      <c r="G6462" s="4"/>
      <c r="H6462" s="5"/>
    </row>
    <row r="6463" spans="4:8" x14ac:dyDescent="0.25">
      <c r="D6463" s="4">
        <v>40962</v>
      </c>
      <c r="E6463" s="6">
        <v>124.53</v>
      </c>
      <c r="G6463" s="4"/>
      <c r="H6463" s="5"/>
    </row>
    <row r="6464" spans="4:8" x14ac:dyDescent="0.25">
      <c r="D6464" s="4">
        <v>40963</v>
      </c>
      <c r="E6464" s="6">
        <v>124.89</v>
      </c>
      <c r="G6464" s="4"/>
      <c r="H6464" s="5"/>
    </row>
    <row r="6465" spans="4:8" x14ac:dyDescent="0.25">
      <c r="D6465" s="4">
        <v>40966</v>
      </c>
      <c r="E6465" s="6">
        <v>126.46</v>
      </c>
      <c r="G6465" s="4"/>
      <c r="H6465" s="5"/>
    </row>
    <row r="6466" spans="4:8" x14ac:dyDescent="0.25">
      <c r="D6466" s="4">
        <v>40967</v>
      </c>
      <c r="E6466" s="6">
        <v>124.02</v>
      </c>
      <c r="G6466" s="4"/>
      <c r="H6466" s="5"/>
    </row>
    <row r="6467" spans="4:8" x14ac:dyDescent="0.25">
      <c r="D6467" s="4">
        <v>40968</v>
      </c>
      <c r="E6467" s="6">
        <v>122.23</v>
      </c>
      <c r="G6467" s="4"/>
      <c r="H6467" s="5"/>
    </row>
    <row r="6468" spans="4:8" x14ac:dyDescent="0.25">
      <c r="D6468" s="4">
        <v>40969</v>
      </c>
      <c r="E6468" s="6">
        <v>125.76</v>
      </c>
      <c r="G6468" s="4"/>
      <c r="H6468" s="5"/>
    </row>
    <row r="6469" spans="4:8" x14ac:dyDescent="0.25">
      <c r="D6469" s="4">
        <v>40970</v>
      </c>
      <c r="E6469" s="6">
        <v>125.93</v>
      </c>
      <c r="G6469" s="4"/>
      <c r="H6469" s="5"/>
    </row>
    <row r="6470" spans="4:8" x14ac:dyDescent="0.25">
      <c r="D6470" s="4">
        <v>40973</v>
      </c>
      <c r="E6470" s="6">
        <v>126.68</v>
      </c>
      <c r="G6470" s="4"/>
      <c r="H6470" s="5"/>
    </row>
    <row r="6471" spans="4:8" x14ac:dyDescent="0.25">
      <c r="D6471" s="4">
        <v>40974</v>
      </c>
      <c r="E6471" s="6">
        <v>125.03</v>
      </c>
      <c r="G6471" s="4"/>
      <c r="H6471" s="5"/>
    </row>
    <row r="6472" spans="4:8" x14ac:dyDescent="0.25">
      <c r="D6472" s="4">
        <v>40975</v>
      </c>
      <c r="E6472" s="6">
        <v>125.37</v>
      </c>
      <c r="G6472" s="4"/>
      <c r="H6472" s="5"/>
    </row>
    <row r="6473" spans="4:8" x14ac:dyDescent="0.25">
      <c r="D6473" s="4">
        <v>40976</v>
      </c>
      <c r="E6473" s="6">
        <v>127.96</v>
      </c>
      <c r="G6473" s="4"/>
      <c r="H6473" s="5"/>
    </row>
    <row r="6474" spans="4:8" x14ac:dyDescent="0.25">
      <c r="D6474" s="4">
        <v>40977</v>
      </c>
      <c r="E6474" s="6">
        <v>128.08000000000001</v>
      </c>
      <c r="G6474" s="4"/>
      <c r="H6474" s="5"/>
    </row>
    <row r="6475" spans="4:8" x14ac:dyDescent="0.25">
      <c r="D6475" s="4">
        <v>40980</v>
      </c>
      <c r="E6475" s="6">
        <v>127.27</v>
      </c>
      <c r="G6475" s="4"/>
      <c r="H6475" s="5"/>
    </row>
    <row r="6476" spans="4:8" x14ac:dyDescent="0.25">
      <c r="D6476" s="4">
        <v>40981</v>
      </c>
      <c r="E6476" s="6">
        <v>128.13999999999999</v>
      </c>
      <c r="G6476" s="4"/>
      <c r="H6476" s="5"/>
    </row>
    <row r="6477" spans="4:8" x14ac:dyDescent="0.25">
      <c r="D6477" s="4">
        <v>40982</v>
      </c>
      <c r="E6477" s="6">
        <v>126.98</v>
      </c>
      <c r="G6477" s="4"/>
      <c r="H6477" s="5"/>
    </row>
    <row r="6478" spans="4:8" x14ac:dyDescent="0.25">
      <c r="D6478" s="4">
        <v>40983</v>
      </c>
      <c r="E6478" s="6">
        <v>123.63</v>
      </c>
      <c r="G6478" s="4"/>
      <c r="H6478" s="5"/>
    </row>
    <row r="6479" spans="4:8" x14ac:dyDescent="0.25">
      <c r="D6479" s="4">
        <v>40984</v>
      </c>
      <c r="E6479" s="6">
        <v>125.09</v>
      </c>
      <c r="G6479" s="4"/>
      <c r="H6479" s="5"/>
    </row>
    <row r="6480" spans="4:8" x14ac:dyDescent="0.25">
      <c r="D6480" s="4">
        <v>40987</v>
      </c>
      <c r="E6480" s="6">
        <v>125.76</v>
      </c>
      <c r="G6480" s="4"/>
      <c r="H6480" s="5"/>
    </row>
    <row r="6481" spans="4:8" x14ac:dyDescent="0.25">
      <c r="D6481" s="4">
        <v>40988</v>
      </c>
      <c r="E6481" s="6">
        <v>124.38</v>
      </c>
      <c r="G6481" s="4"/>
      <c r="H6481" s="5"/>
    </row>
    <row r="6482" spans="4:8" x14ac:dyDescent="0.25">
      <c r="D6482" s="4">
        <v>40989</v>
      </c>
      <c r="E6482" s="6">
        <v>123.89</v>
      </c>
      <c r="G6482" s="4"/>
      <c r="H6482" s="5"/>
    </row>
    <row r="6483" spans="4:8" x14ac:dyDescent="0.25">
      <c r="D6483" s="4">
        <v>40990</v>
      </c>
      <c r="E6483" s="6">
        <v>122.49</v>
      </c>
      <c r="G6483" s="4"/>
      <c r="H6483" s="5"/>
    </row>
    <row r="6484" spans="4:8" x14ac:dyDescent="0.25">
      <c r="D6484" s="4">
        <v>40991</v>
      </c>
      <c r="E6484" s="6">
        <v>125.21</v>
      </c>
      <c r="G6484" s="4"/>
      <c r="H6484" s="5"/>
    </row>
    <row r="6485" spans="4:8" x14ac:dyDescent="0.25">
      <c r="D6485" s="4">
        <v>40994</v>
      </c>
      <c r="E6485" s="6">
        <v>125.85</v>
      </c>
      <c r="G6485" s="4"/>
      <c r="H6485" s="5"/>
    </row>
    <row r="6486" spans="4:8" x14ac:dyDescent="0.25">
      <c r="D6486" s="4">
        <v>40995</v>
      </c>
      <c r="E6486" s="6">
        <v>125.25</v>
      </c>
      <c r="G6486" s="4"/>
      <c r="H6486" s="5"/>
    </row>
    <row r="6487" spans="4:8" x14ac:dyDescent="0.25">
      <c r="D6487" s="4">
        <v>40996</v>
      </c>
      <c r="E6487" s="6">
        <v>124.41</v>
      </c>
      <c r="G6487" s="4"/>
      <c r="H6487" s="5"/>
    </row>
    <row r="6488" spans="4:8" x14ac:dyDescent="0.25">
      <c r="D6488" s="4">
        <v>40997</v>
      </c>
      <c r="E6488" s="6">
        <v>123.23</v>
      </c>
      <c r="G6488" s="4"/>
      <c r="H6488" s="5"/>
    </row>
    <row r="6489" spans="4:8" x14ac:dyDescent="0.25">
      <c r="D6489" s="4">
        <v>40998</v>
      </c>
      <c r="E6489" s="6">
        <v>123.41</v>
      </c>
      <c r="G6489" s="4"/>
      <c r="H6489" s="5"/>
    </row>
    <row r="6490" spans="4:8" x14ac:dyDescent="0.25">
      <c r="D6490" s="4">
        <v>41001</v>
      </c>
      <c r="E6490" s="6">
        <v>124.44</v>
      </c>
      <c r="G6490" s="4"/>
      <c r="H6490" s="5"/>
    </row>
    <row r="6491" spans="4:8" x14ac:dyDescent="0.25">
      <c r="D6491" s="4">
        <v>41002</v>
      </c>
      <c r="E6491" s="5"/>
      <c r="G6491" s="4"/>
      <c r="H6491" s="5"/>
    </row>
    <row r="6492" spans="4:8" x14ac:dyDescent="0.25">
      <c r="D6492" s="4">
        <v>41003</v>
      </c>
      <c r="E6492" s="6">
        <v>123.04</v>
      </c>
      <c r="G6492" s="4"/>
      <c r="H6492" s="5"/>
    </row>
    <row r="6493" spans="4:8" x14ac:dyDescent="0.25">
      <c r="D6493" s="4">
        <v>41004</v>
      </c>
      <c r="E6493" s="6">
        <v>123.58</v>
      </c>
      <c r="G6493" s="4"/>
      <c r="H6493" s="5"/>
    </row>
    <row r="6494" spans="4:8" x14ac:dyDescent="0.25">
      <c r="D6494" s="4">
        <v>41005</v>
      </c>
      <c r="E6494" s="5"/>
      <c r="G6494" s="4"/>
      <c r="H6494" s="5"/>
    </row>
    <row r="6495" spans="4:8" x14ac:dyDescent="0.25">
      <c r="D6495" s="4">
        <v>41008</v>
      </c>
      <c r="E6495" s="5"/>
      <c r="G6495" s="4"/>
      <c r="H6495" s="5"/>
    </row>
    <row r="6496" spans="4:8" x14ac:dyDescent="0.25">
      <c r="D6496" s="4">
        <v>41009</v>
      </c>
      <c r="E6496" s="6">
        <v>121.89</v>
      </c>
      <c r="G6496" s="4"/>
      <c r="H6496" s="5"/>
    </row>
    <row r="6497" spans="4:8" x14ac:dyDescent="0.25">
      <c r="D6497" s="4">
        <v>41010</v>
      </c>
      <c r="E6497" s="6">
        <v>120.41</v>
      </c>
      <c r="G6497" s="4"/>
      <c r="H6497" s="5"/>
    </row>
    <row r="6498" spans="4:8" x14ac:dyDescent="0.25">
      <c r="D6498" s="4">
        <v>41011</v>
      </c>
      <c r="E6498" s="6">
        <v>120.57</v>
      </c>
      <c r="G6498" s="4"/>
      <c r="H6498" s="5"/>
    </row>
    <row r="6499" spans="4:8" x14ac:dyDescent="0.25">
      <c r="D6499" s="4">
        <v>41012</v>
      </c>
      <c r="E6499" s="6">
        <v>120.62</v>
      </c>
      <c r="G6499" s="4"/>
      <c r="H6499" s="5"/>
    </row>
    <row r="6500" spans="4:8" x14ac:dyDescent="0.25">
      <c r="D6500" s="4">
        <v>41015</v>
      </c>
      <c r="E6500" s="6">
        <v>118.23</v>
      </c>
      <c r="G6500" s="4"/>
      <c r="H6500" s="5"/>
    </row>
    <row r="6501" spans="4:8" x14ac:dyDescent="0.25">
      <c r="D6501" s="4">
        <v>41016</v>
      </c>
      <c r="E6501" s="6">
        <v>117.41</v>
      </c>
      <c r="G6501" s="4"/>
      <c r="H6501" s="5"/>
    </row>
    <row r="6502" spans="4:8" x14ac:dyDescent="0.25">
      <c r="D6502" s="4">
        <v>41017</v>
      </c>
      <c r="E6502" s="6">
        <v>115.18</v>
      </c>
      <c r="G6502" s="4"/>
      <c r="H6502" s="5"/>
    </row>
    <row r="6503" spans="4:8" x14ac:dyDescent="0.25">
      <c r="D6503" s="4">
        <v>41018</v>
      </c>
      <c r="E6503" s="6">
        <v>117</v>
      </c>
      <c r="G6503" s="4"/>
      <c r="H6503" s="5"/>
    </row>
    <row r="6504" spans="4:8" x14ac:dyDescent="0.25">
      <c r="D6504" s="4">
        <v>41019</v>
      </c>
      <c r="E6504" s="6">
        <v>118.08</v>
      </c>
      <c r="G6504" s="4"/>
      <c r="H6504" s="5"/>
    </row>
    <row r="6505" spans="4:8" x14ac:dyDescent="0.25">
      <c r="D6505" s="4">
        <v>41022</v>
      </c>
      <c r="E6505" s="6">
        <v>116.66</v>
      </c>
      <c r="G6505" s="4"/>
      <c r="H6505" s="5"/>
    </row>
    <row r="6506" spans="4:8" x14ac:dyDescent="0.25">
      <c r="D6506" s="4">
        <v>41023</v>
      </c>
      <c r="E6506" s="6">
        <v>117.74</v>
      </c>
      <c r="G6506" s="4"/>
      <c r="H6506" s="5"/>
    </row>
    <row r="6507" spans="4:8" x14ac:dyDescent="0.25">
      <c r="D6507" s="4">
        <v>41024</v>
      </c>
      <c r="E6507" s="6">
        <v>117.45</v>
      </c>
      <c r="G6507" s="4"/>
      <c r="H6507" s="5"/>
    </row>
    <row r="6508" spans="4:8" x14ac:dyDescent="0.25">
      <c r="D6508" s="4">
        <v>41025</v>
      </c>
      <c r="E6508" s="6">
        <v>119.33</v>
      </c>
      <c r="G6508" s="4"/>
      <c r="H6508" s="5"/>
    </row>
    <row r="6509" spans="4:8" x14ac:dyDescent="0.25">
      <c r="D6509" s="4">
        <v>41026</v>
      </c>
      <c r="E6509" s="6">
        <v>119.3</v>
      </c>
      <c r="G6509" s="4"/>
      <c r="H6509" s="5"/>
    </row>
    <row r="6510" spans="4:8" x14ac:dyDescent="0.25">
      <c r="D6510" s="4">
        <v>41029</v>
      </c>
      <c r="E6510" s="6">
        <v>118.66</v>
      </c>
      <c r="G6510" s="4"/>
      <c r="H6510" s="5"/>
    </row>
    <row r="6511" spans="4:8" x14ac:dyDescent="0.25">
      <c r="D6511" s="4">
        <v>41030</v>
      </c>
      <c r="E6511" s="6">
        <v>119.57</v>
      </c>
      <c r="G6511" s="4"/>
      <c r="H6511" s="5"/>
    </row>
    <row r="6512" spans="4:8" x14ac:dyDescent="0.25">
      <c r="D6512" s="4">
        <v>41031</v>
      </c>
      <c r="E6512" s="6">
        <v>117.57</v>
      </c>
      <c r="G6512" s="4"/>
      <c r="H6512" s="5"/>
    </row>
    <row r="6513" spans="4:8" x14ac:dyDescent="0.25">
      <c r="D6513" s="4">
        <v>41032</v>
      </c>
      <c r="E6513" s="6">
        <v>115.91</v>
      </c>
      <c r="G6513" s="4"/>
      <c r="H6513" s="5"/>
    </row>
    <row r="6514" spans="4:8" x14ac:dyDescent="0.25">
      <c r="D6514" s="4">
        <v>41033</v>
      </c>
      <c r="E6514" s="6">
        <v>111.66</v>
      </c>
      <c r="G6514" s="4"/>
      <c r="H6514" s="5"/>
    </row>
    <row r="6515" spans="4:8" x14ac:dyDescent="0.25">
      <c r="D6515" s="4">
        <v>41036</v>
      </c>
      <c r="E6515" s="5"/>
      <c r="G6515" s="4"/>
      <c r="H6515" s="5"/>
    </row>
    <row r="6516" spans="4:8" x14ac:dyDescent="0.25">
      <c r="D6516" s="4">
        <v>41037</v>
      </c>
      <c r="E6516" s="6">
        <v>110.48</v>
      </c>
      <c r="G6516" s="4"/>
      <c r="H6516" s="5"/>
    </row>
    <row r="6517" spans="4:8" x14ac:dyDescent="0.25">
      <c r="D6517" s="4">
        <v>41038</v>
      </c>
      <c r="E6517" s="6">
        <v>111.89</v>
      </c>
      <c r="G6517" s="4"/>
      <c r="H6517" s="5"/>
    </row>
    <row r="6518" spans="4:8" x14ac:dyDescent="0.25">
      <c r="D6518" s="4">
        <v>41039</v>
      </c>
      <c r="E6518" s="6">
        <v>112.24</v>
      </c>
      <c r="G6518" s="4"/>
      <c r="H6518" s="5"/>
    </row>
    <row r="6519" spans="4:8" x14ac:dyDescent="0.25">
      <c r="D6519" s="4">
        <v>41040</v>
      </c>
      <c r="E6519" s="6">
        <v>112.5</v>
      </c>
      <c r="G6519" s="4"/>
      <c r="H6519" s="5"/>
    </row>
    <row r="6520" spans="4:8" x14ac:dyDescent="0.25">
      <c r="D6520" s="4">
        <v>41043</v>
      </c>
      <c r="E6520" s="6">
        <v>110.79</v>
      </c>
      <c r="G6520" s="4"/>
      <c r="H6520" s="5"/>
    </row>
    <row r="6521" spans="4:8" x14ac:dyDescent="0.25">
      <c r="D6521" s="4">
        <v>41044</v>
      </c>
      <c r="E6521" s="6">
        <v>111.4</v>
      </c>
      <c r="G6521" s="4"/>
      <c r="H6521" s="5"/>
    </row>
    <row r="6522" spans="4:8" x14ac:dyDescent="0.25">
      <c r="D6522" s="4">
        <v>41045</v>
      </c>
      <c r="E6522" s="6">
        <v>109.8</v>
      </c>
      <c r="G6522" s="4"/>
      <c r="H6522" s="5"/>
    </row>
    <row r="6523" spans="4:8" x14ac:dyDescent="0.25">
      <c r="D6523" s="4">
        <v>41046</v>
      </c>
      <c r="E6523" s="6">
        <v>109.31</v>
      </c>
      <c r="G6523" s="4"/>
      <c r="H6523" s="5"/>
    </row>
    <row r="6524" spans="4:8" x14ac:dyDescent="0.25">
      <c r="D6524" s="4">
        <v>41047</v>
      </c>
      <c r="E6524" s="6">
        <v>108.03</v>
      </c>
      <c r="G6524" s="4"/>
      <c r="H6524" s="5"/>
    </row>
    <row r="6525" spans="4:8" x14ac:dyDescent="0.25">
      <c r="D6525" s="4">
        <v>41050</v>
      </c>
      <c r="E6525" s="6">
        <v>109.02</v>
      </c>
      <c r="G6525" s="4"/>
      <c r="H6525" s="5"/>
    </row>
    <row r="6526" spans="4:8" x14ac:dyDescent="0.25">
      <c r="D6526" s="4">
        <v>41051</v>
      </c>
      <c r="E6526" s="6">
        <v>109.76</v>
      </c>
      <c r="G6526" s="4"/>
      <c r="H6526" s="5"/>
    </row>
    <row r="6527" spans="4:8" x14ac:dyDescent="0.25">
      <c r="D6527" s="4">
        <v>41052</v>
      </c>
      <c r="E6527" s="6">
        <v>106.88</v>
      </c>
      <c r="G6527" s="4"/>
      <c r="H6527" s="5"/>
    </row>
    <row r="6528" spans="4:8" x14ac:dyDescent="0.25">
      <c r="D6528" s="4">
        <v>41053</v>
      </c>
      <c r="E6528" s="6">
        <v>107.2</v>
      </c>
      <c r="G6528" s="4"/>
      <c r="H6528" s="5"/>
    </row>
    <row r="6529" spans="4:8" x14ac:dyDescent="0.25">
      <c r="D6529" s="4">
        <v>41054</v>
      </c>
      <c r="E6529" s="6">
        <v>107.86</v>
      </c>
      <c r="G6529" s="4"/>
      <c r="H6529" s="5"/>
    </row>
    <row r="6530" spans="4:8" x14ac:dyDescent="0.25">
      <c r="D6530" s="4">
        <v>41057</v>
      </c>
      <c r="E6530" s="5"/>
      <c r="G6530" s="4"/>
      <c r="H6530" s="5"/>
    </row>
    <row r="6531" spans="4:8" x14ac:dyDescent="0.25">
      <c r="D6531" s="4">
        <v>41058</v>
      </c>
      <c r="E6531" s="6">
        <v>107.55</v>
      </c>
      <c r="G6531" s="4"/>
      <c r="H6531" s="5"/>
    </row>
    <row r="6532" spans="4:8" x14ac:dyDescent="0.25">
      <c r="D6532" s="4">
        <v>41059</v>
      </c>
      <c r="E6532" s="6">
        <v>103.85</v>
      </c>
      <c r="G6532" s="4"/>
      <c r="H6532" s="5"/>
    </row>
    <row r="6533" spans="4:8" x14ac:dyDescent="0.25">
      <c r="D6533" s="4">
        <v>41060</v>
      </c>
      <c r="E6533" s="6">
        <v>103.86</v>
      </c>
      <c r="G6533" s="4"/>
      <c r="H6533" s="5"/>
    </row>
    <row r="6534" spans="4:8" x14ac:dyDescent="0.25">
      <c r="D6534" s="4">
        <v>41061</v>
      </c>
      <c r="E6534" s="6">
        <v>98.63</v>
      </c>
      <c r="G6534" s="4"/>
      <c r="H6534" s="5"/>
    </row>
    <row r="6535" spans="4:8" x14ac:dyDescent="0.25">
      <c r="D6535" s="4">
        <v>41064</v>
      </c>
      <c r="E6535" s="6">
        <v>97.74</v>
      </c>
      <c r="G6535" s="4"/>
      <c r="H6535" s="5"/>
    </row>
    <row r="6536" spans="4:8" x14ac:dyDescent="0.25">
      <c r="D6536" s="4">
        <v>41065</v>
      </c>
      <c r="E6536" s="6">
        <v>98.65</v>
      </c>
      <c r="G6536" s="4"/>
      <c r="H6536" s="5"/>
    </row>
    <row r="6537" spans="4:8" x14ac:dyDescent="0.25">
      <c r="D6537" s="4">
        <v>41066</v>
      </c>
      <c r="E6537" s="6">
        <v>101.14</v>
      </c>
      <c r="G6537" s="4"/>
      <c r="H6537" s="5"/>
    </row>
    <row r="6538" spans="4:8" x14ac:dyDescent="0.25">
      <c r="D6538" s="4">
        <v>41067</v>
      </c>
      <c r="E6538" s="6">
        <v>100.05</v>
      </c>
      <c r="G6538" s="4"/>
      <c r="H6538" s="5"/>
    </row>
    <row r="6539" spans="4:8" x14ac:dyDescent="0.25">
      <c r="D6539" s="4">
        <v>41068</v>
      </c>
      <c r="E6539" s="6">
        <v>97.57</v>
      </c>
      <c r="G6539" s="4"/>
      <c r="H6539" s="5"/>
    </row>
    <row r="6540" spans="4:8" x14ac:dyDescent="0.25">
      <c r="D6540" s="4">
        <v>41071</v>
      </c>
      <c r="E6540" s="6">
        <v>98.6</v>
      </c>
      <c r="G6540" s="4"/>
      <c r="H6540" s="5"/>
    </row>
    <row r="6541" spans="4:8" x14ac:dyDescent="0.25">
      <c r="D6541" s="4">
        <v>41072</v>
      </c>
      <c r="E6541" s="6">
        <v>96.59</v>
      </c>
      <c r="G6541" s="4"/>
      <c r="H6541" s="5"/>
    </row>
    <row r="6542" spans="4:8" x14ac:dyDescent="0.25">
      <c r="D6542" s="4">
        <v>41073</v>
      </c>
      <c r="E6542" s="6">
        <v>97.29</v>
      </c>
      <c r="G6542" s="4"/>
      <c r="H6542" s="5"/>
    </row>
    <row r="6543" spans="4:8" x14ac:dyDescent="0.25">
      <c r="D6543" s="4">
        <v>41074</v>
      </c>
      <c r="E6543" s="6">
        <v>96.46</v>
      </c>
      <c r="G6543" s="4"/>
      <c r="H6543" s="5"/>
    </row>
    <row r="6544" spans="4:8" x14ac:dyDescent="0.25">
      <c r="D6544" s="4">
        <v>41075</v>
      </c>
      <c r="E6544" s="6">
        <v>97.13</v>
      </c>
      <c r="G6544" s="4"/>
      <c r="H6544" s="5"/>
    </row>
    <row r="6545" spans="4:8" x14ac:dyDescent="0.25">
      <c r="D6545" s="4">
        <v>41078</v>
      </c>
      <c r="E6545" s="6">
        <v>95.21</v>
      </c>
      <c r="G6545" s="4"/>
      <c r="H6545" s="5"/>
    </row>
    <row r="6546" spans="4:8" x14ac:dyDescent="0.25">
      <c r="D6546" s="4">
        <v>41079</v>
      </c>
      <c r="E6546" s="6">
        <v>95.14</v>
      </c>
      <c r="G6546" s="4"/>
      <c r="H6546" s="5"/>
    </row>
    <row r="6547" spans="4:8" x14ac:dyDescent="0.25">
      <c r="D6547" s="4">
        <v>41080</v>
      </c>
      <c r="E6547" s="6">
        <v>93.5</v>
      </c>
      <c r="G6547" s="4"/>
      <c r="H6547" s="5"/>
    </row>
    <row r="6548" spans="4:8" x14ac:dyDescent="0.25">
      <c r="D6548" s="4">
        <v>41081</v>
      </c>
      <c r="E6548" s="6">
        <v>89.22</v>
      </c>
      <c r="G6548" s="4"/>
      <c r="H6548" s="5"/>
    </row>
    <row r="6549" spans="4:8" x14ac:dyDescent="0.25">
      <c r="D6549" s="4">
        <v>41082</v>
      </c>
      <c r="E6549" s="6">
        <v>89.22</v>
      </c>
      <c r="G6549" s="4"/>
      <c r="H6549" s="5"/>
    </row>
    <row r="6550" spans="4:8" x14ac:dyDescent="0.25">
      <c r="D6550" s="4">
        <v>41085</v>
      </c>
      <c r="E6550" s="6">
        <v>88.69</v>
      </c>
      <c r="G6550" s="4"/>
      <c r="H6550" s="5"/>
    </row>
    <row r="6551" spans="4:8" x14ac:dyDescent="0.25">
      <c r="D6551" s="4">
        <v>41086</v>
      </c>
      <c r="E6551" s="6">
        <v>90.19</v>
      </c>
      <c r="G6551" s="4"/>
      <c r="H6551" s="5"/>
    </row>
    <row r="6552" spans="4:8" x14ac:dyDescent="0.25">
      <c r="D6552" s="4">
        <v>41087</v>
      </c>
      <c r="E6552" s="6">
        <v>92.06</v>
      </c>
      <c r="G6552" s="4"/>
      <c r="H6552" s="5"/>
    </row>
    <row r="6553" spans="4:8" x14ac:dyDescent="0.25">
      <c r="D6553" s="4">
        <v>41088</v>
      </c>
      <c r="E6553" s="6">
        <v>91.02</v>
      </c>
      <c r="G6553" s="4"/>
      <c r="H6553" s="5"/>
    </row>
    <row r="6554" spans="4:8" x14ac:dyDescent="0.25">
      <c r="D6554" s="4">
        <v>41089</v>
      </c>
      <c r="E6554" s="6">
        <v>94.17</v>
      </c>
      <c r="G6554" s="4"/>
      <c r="H6554" s="5"/>
    </row>
    <row r="6555" spans="4:8" x14ac:dyDescent="0.25">
      <c r="D6555" s="4">
        <v>41092</v>
      </c>
      <c r="E6555" s="6">
        <v>95.28</v>
      </c>
      <c r="G6555" s="4"/>
      <c r="H6555" s="5"/>
    </row>
    <row r="6556" spans="4:8" x14ac:dyDescent="0.25">
      <c r="D6556" s="4">
        <v>41093</v>
      </c>
      <c r="E6556" s="6">
        <v>99.89</v>
      </c>
      <c r="G6556" s="4"/>
      <c r="H6556" s="5"/>
    </row>
    <row r="6557" spans="4:8" x14ac:dyDescent="0.25">
      <c r="D6557" s="4">
        <v>41094</v>
      </c>
      <c r="E6557" s="5"/>
      <c r="G6557" s="4"/>
      <c r="H6557" s="5"/>
    </row>
    <row r="6558" spans="4:8" x14ac:dyDescent="0.25">
      <c r="D6558" s="4">
        <v>41095</v>
      </c>
      <c r="E6558" s="6">
        <v>101.54</v>
      </c>
      <c r="G6558" s="4"/>
      <c r="H6558" s="5"/>
    </row>
    <row r="6559" spans="4:8" x14ac:dyDescent="0.25">
      <c r="D6559" s="4">
        <v>41096</v>
      </c>
      <c r="E6559" s="6">
        <v>98.5</v>
      </c>
      <c r="G6559" s="4"/>
      <c r="H6559" s="5"/>
    </row>
    <row r="6560" spans="4:8" x14ac:dyDescent="0.25">
      <c r="D6560" s="4">
        <v>41099</v>
      </c>
      <c r="E6560" s="6">
        <v>99.94</v>
      </c>
      <c r="G6560" s="4"/>
      <c r="H6560" s="5"/>
    </row>
    <row r="6561" spans="4:8" x14ac:dyDescent="0.25">
      <c r="D6561" s="4">
        <v>41100</v>
      </c>
      <c r="E6561" s="6">
        <v>99.15</v>
      </c>
      <c r="G6561" s="4"/>
      <c r="H6561" s="5"/>
    </row>
    <row r="6562" spans="4:8" x14ac:dyDescent="0.25">
      <c r="D6562" s="4">
        <v>41101</v>
      </c>
      <c r="E6562" s="6">
        <v>99.23</v>
      </c>
      <c r="G6562" s="4"/>
      <c r="H6562" s="5"/>
    </row>
    <row r="6563" spans="4:8" x14ac:dyDescent="0.25">
      <c r="D6563" s="4">
        <v>41102</v>
      </c>
      <c r="E6563" s="6">
        <v>99.18</v>
      </c>
      <c r="G6563" s="4"/>
      <c r="H6563" s="5"/>
    </row>
    <row r="6564" spans="4:8" x14ac:dyDescent="0.25">
      <c r="D6564" s="4">
        <v>41103</v>
      </c>
      <c r="E6564" s="6">
        <v>101.91</v>
      </c>
      <c r="G6564" s="4"/>
      <c r="H6564" s="5"/>
    </row>
    <row r="6565" spans="4:8" x14ac:dyDescent="0.25">
      <c r="D6565" s="4">
        <v>41106</v>
      </c>
      <c r="E6565" s="6">
        <v>102.1</v>
      </c>
      <c r="G6565" s="4"/>
      <c r="H6565" s="5"/>
    </row>
    <row r="6566" spans="4:8" x14ac:dyDescent="0.25">
      <c r="D6566" s="4">
        <v>41107</v>
      </c>
      <c r="E6566" s="6">
        <v>104.21</v>
      </c>
      <c r="G6566" s="4"/>
      <c r="H6566" s="5"/>
    </row>
    <row r="6567" spans="4:8" x14ac:dyDescent="0.25">
      <c r="D6567" s="4">
        <v>41108</v>
      </c>
      <c r="E6567" s="6">
        <v>105.92</v>
      </c>
      <c r="G6567" s="4"/>
      <c r="H6567" s="5"/>
    </row>
    <row r="6568" spans="4:8" x14ac:dyDescent="0.25">
      <c r="D6568" s="4">
        <v>41109</v>
      </c>
      <c r="E6568" s="6">
        <v>107.79</v>
      </c>
      <c r="G6568" s="4"/>
      <c r="H6568" s="5"/>
    </row>
    <row r="6569" spans="4:8" x14ac:dyDescent="0.25">
      <c r="D6569" s="4">
        <v>41110</v>
      </c>
      <c r="E6569" s="6">
        <v>106.98</v>
      </c>
      <c r="G6569" s="4"/>
      <c r="H6569" s="5"/>
    </row>
    <row r="6570" spans="4:8" x14ac:dyDescent="0.25">
      <c r="D6570" s="4">
        <v>41113</v>
      </c>
      <c r="E6570" s="6">
        <v>103.91</v>
      </c>
      <c r="G6570" s="4"/>
      <c r="H6570" s="5"/>
    </row>
    <row r="6571" spans="4:8" x14ac:dyDescent="0.25">
      <c r="D6571" s="4">
        <v>41114</v>
      </c>
      <c r="E6571" s="6">
        <v>103.57</v>
      </c>
      <c r="G6571" s="4"/>
      <c r="H6571" s="5"/>
    </row>
    <row r="6572" spans="4:8" x14ac:dyDescent="0.25">
      <c r="D6572" s="4">
        <v>41115</v>
      </c>
      <c r="E6572" s="6">
        <v>102.35</v>
      </c>
      <c r="G6572" s="4"/>
      <c r="H6572" s="5"/>
    </row>
    <row r="6573" spans="4:8" x14ac:dyDescent="0.25">
      <c r="D6573" s="4">
        <v>41116</v>
      </c>
      <c r="E6573" s="6">
        <v>104.77</v>
      </c>
      <c r="G6573" s="4"/>
      <c r="H6573" s="5"/>
    </row>
    <row r="6574" spans="4:8" x14ac:dyDescent="0.25">
      <c r="D6574" s="4">
        <v>41117</v>
      </c>
      <c r="E6574" s="6">
        <v>106.3</v>
      </c>
      <c r="G6574" s="4"/>
      <c r="H6574" s="5"/>
    </row>
    <row r="6575" spans="4:8" x14ac:dyDescent="0.25">
      <c r="D6575" s="4">
        <v>41120</v>
      </c>
      <c r="E6575" s="6">
        <v>106.54</v>
      </c>
      <c r="G6575" s="4"/>
      <c r="H6575" s="5"/>
    </row>
    <row r="6576" spans="4:8" x14ac:dyDescent="0.25">
      <c r="D6576" s="4">
        <v>41121</v>
      </c>
      <c r="E6576" s="6">
        <v>105.93</v>
      </c>
      <c r="G6576" s="4"/>
      <c r="H6576" s="5"/>
    </row>
    <row r="6577" spans="4:8" x14ac:dyDescent="0.25">
      <c r="D6577" s="4">
        <v>41122</v>
      </c>
      <c r="E6577" s="6">
        <v>106.78</v>
      </c>
      <c r="G6577" s="4"/>
      <c r="H6577" s="5"/>
    </row>
    <row r="6578" spans="4:8" x14ac:dyDescent="0.25">
      <c r="D6578" s="4">
        <v>41123</v>
      </c>
      <c r="E6578" s="6">
        <v>107.55</v>
      </c>
      <c r="G6578" s="4"/>
      <c r="H6578" s="5"/>
    </row>
    <row r="6579" spans="4:8" x14ac:dyDescent="0.25">
      <c r="D6579" s="4">
        <v>41124</v>
      </c>
      <c r="E6579" s="6">
        <v>109.57</v>
      </c>
      <c r="G6579" s="4"/>
      <c r="H6579" s="5"/>
    </row>
    <row r="6580" spans="4:8" x14ac:dyDescent="0.25">
      <c r="D6580" s="4">
        <v>41127</v>
      </c>
      <c r="E6580" s="6">
        <v>110.01</v>
      </c>
      <c r="G6580" s="4"/>
      <c r="H6580" s="5"/>
    </row>
    <row r="6581" spans="4:8" x14ac:dyDescent="0.25">
      <c r="D6581" s="4">
        <v>41128</v>
      </c>
      <c r="E6581" s="6">
        <v>112.39</v>
      </c>
      <c r="G6581" s="4"/>
      <c r="H6581" s="5"/>
    </row>
    <row r="6582" spans="4:8" x14ac:dyDescent="0.25">
      <c r="D6582" s="4">
        <v>41129</v>
      </c>
      <c r="E6582" s="6">
        <v>113.42</v>
      </c>
      <c r="G6582" s="4"/>
      <c r="H6582" s="5"/>
    </row>
    <row r="6583" spans="4:8" x14ac:dyDescent="0.25">
      <c r="D6583" s="4">
        <v>41130</v>
      </c>
      <c r="E6583" s="6">
        <v>113.52</v>
      </c>
      <c r="G6583" s="4"/>
      <c r="H6583" s="5"/>
    </row>
    <row r="6584" spans="4:8" x14ac:dyDescent="0.25">
      <c r="D6584" s="4">
        <v>41131</v>
      </c>
      <c r="E6584" s="6">
        <v>113.13</v>
      </c>
      <c r="G6584" s="4"/>
      <c r="H6584" s="5"/>
    </row>
    <row r="6585" spans="4:8" x14ac:dyDescent="0.25">
      <c r="D6585" s="4">
        <v>41134</v>
      </c>
      <c r="E6585" s="6">
        <v>114.48</v>
      </c>
      <c r="G6585" s="4"/>
      <c r="H6585" s="5"/>
    </row>
    <row r="6586" spans="4:8" x14ac:dyDescent="0.25">
      <c r="D6586" s="4">
        <v>41135</v>
      </c>
      <c r="E6586" s="6">
        <v>113.9</v>
      </c>
      <c r="G6586" s="4"/>
      <c r="H6586" s="5"/>
    </row>
    <row r="6587" spans="4:8" x14ac:dyDescent="0.25">
      <c r="D6587" s="4">
        <v>41136</v>
      </c>
      <c r="E6587" s="6">
        <v>115.51</v>
      </c>
      <c r="G6587" s="4"/>
      <c r="H6587" s="5"/>
    </row>
    <row r="6588" spans="4:8" x14ac:dyDescent="0.25">
      <c r="D6588" s="4">
        <v>41137</v>
      </c>
      <c r="E6588" s="6">
        <v>116.12</v>
      </c>
      <c r="G6588" s="4"/>
      <c r="H6588" s="5"/>
    </row>
    <row r="6589" spans="4:8" x14ac:dyDescent="0.25">
      <c r="D6589" s="4">
        <v>41138</v>
      </c>
      <c r="E6589" s="6">
        <v>115.2</v>
      </c>
      <c r="G6589" s="4"/>
      <c r="H6589" s="5"/>
    </row>
    <row r="6590" spans="4:8" x14ac:dyDescent="0.25">
      <c r="D6590" s="4">
        <v>41141</v>
      </c>
      <c r="E6590" s="6">
        <v>115.5</v>
      </c>
      <c r="G6590" s="4"/>
      <c r="H6590" s="5"/>
    </row>
    <row r="6591" spans="4:8" x14ac:dyDescent="0.25">
      <c r="D6591" s="4">
        <v>41142</v>
      </c>
      <c r="E6591" s="6">
        <v>116.03</v>
      </c>
      <c r="G6591" s="4"/>
      <c r="H6591" s="5"/>
    </row>
    <row r="6592" spans="4:8" x14ac:dyDescent="0.25">
      <c r="D6592" s="4">
        <v>41143</v>
      </c>
      <c r="E6592" s="6">
        <v>115.77</v>
      </c>
      <c r="G6592" s="4"/>
      <c r="H6592" s="5"/>
    </row>
    <row r="6593" spans="4:8" x14ac:dyDescent="0.25">
      <c r="D6593" s="4">
        <v>41144</v>
      </c>
      <c r="E6593" s="6">
        <v>117.45</v>
      </c>
      <c r="G6593" s="4"/>
      <c r="H6593" s="5"/>
    </row>
    <row r="6594" spans="4:8" x14ac:dyDescent="0.25">
      <c r="D6594" s="4">
        <v>41145</v>
      </c>
      <c r="E6594" s="6">
        <v>115.76</v>
      </c>
      <c r="G6594" s="4"/>
      <c r="H6594" s="5"/>
    </row>
    <row r="6595" spans="4:8" x14ac:dyDescent="0.25">
      <c r="D6595" s="4">
        <v>41148</v>
      </c>
      <c r="E6595" s="6">
        <v>113.74</v>
      </c>
      <c r="G6595" s="4"/>
      <c r="H6595" s="5"/>
    </row>
    <row r="6596" spans="4:8" x14ac:dyDescent="0.25">
      <c r="D6596" s="4">
        <v>41149</v>
      </c>
      <c r="E6596" s="6">
        <v>112.62</v>
      </c>
      <c r="G6596" s="4"/>
      <c r="H6596" s="5"/>
    </row>
    <row r="6597" spans="4:8" x14ac:dyDescent="0.25">
      <c r="D6597" s="4">
        <v>41150</v>
      </c>
      <c r="E6597" s="6">
        <v>112.53</v>
      </c>
      <c r="G6597" s="4"/>
      <c r="H6597" s="5"/>
    </row>
    <row r="6598" spans="4:8" x14ac:dyDescent="0.25">
      <c r="D6598" s="4">
        <v>41151</v>
      </c>
      <c r="E6598" s="6">
        <v>112.28</v>
      </c>
      <c r="G6598" s="4"/>
      <c r="H6598" s="5"/>
    </row>
    <row r="6599" spans="4:8" x14ac:dyDescent="0.25">
      <c r="D6599" s="4">
        <v>41152</v>
      </c>
      <c r="E6599" s="6">
        <v>113.93</v>
      </c>
      <c r="G6599" s="4"/>
      <c r="H6599" s="5"/>
    </row>
    <row r="6600" spans="4:8" x14ac:dyDescent="0.25">
      <c r="D6600" s="4">
        <v>41155</v>
      </c>
      <c r="E6600" s="5"/>
      <c r="G6600" s="4"/>
      <c r="H6600" s="5"/>
    </row>
    <row r="6601" spans="4:8" x14ac:dyDescent="0.25">
      <c r="D6601" s="4">
        <v>41156</v>
      </c>
      <c r="E6601" s="6">
        <v>114.98</v>
      </c>
      <c r="G6601" s="4"/>
      <c r="H6601" s="5"/>
    </row>
    <row r="6602" spans="4:8" x14ac:dyDescent="0.25">
      <c r="D6602" s="4">
        <v>41157</v>
      </c>
      <c r="E6602" s="6">
        <v>113.32</v>
      </c>
      <c r="G6602" s="4"/>
      <c r="H6602" s="5"/>
    </row>
    <row r="6603" spans="4:8" x14ac:dyDescent="0.25">
      <c r="D6603" s="4">
        <v>41158</v>
      </c>
      <c r="E6603" s="6">
        <v>114.5</v>
      </c>
      <c r="G6603" s="4"/>
      <c r="H6603" s="5"/>
    </row>
    <row r="6604" spans="4:8" x14ac:dyDescent="0.25">
      <c r="D6604" s="4">
        <v>41159</v>
      </c>
      <c r="E6604" s="6">
        <v>113.64</v>
      </c>
      <c r="G6604" s="4"/>
      <c r="H6604" s="5"/>
    </row>
    <row r="6605" spans="4:8" x14ac:dyDescent="0.25">
      <c r="D6605" s="4">
        <v>41162</v>
      </c>
      <c r="E6605" s="6">
        <v>113.84</v>
      </c>
      <c r="G6605" s="4"/>
      <c r="H6605" s="5"/>
    </row>
    <row r="6606" spans="4:8" x14ac:dyDescent="0.25">
      <c r="D6606" s="4">
        <v>41163</v>
      </c>
      <c r="E6606" s="6">
        <v>114.86</v>
      </c>
      <c r="G6606" s="4"/>
      <c r="H6606" s="5"/>
    </row>
    <row r="6607" spans="4:8" x14ac:dyDescent="0.25">
      <c r="D6607" s="4">
        <v>41164</v>
      </c>
      <c r="E6607" s="6">
        <v>114.86</v>
      </c>
      <c r="G6607" s="4"/>
      <c r="H6607" s="5"/>
    </row>
    <row r="6608" spans="4:8" x14ac:dyDescent="0.25">
      <c r="D6608" s="4">
        <v>41165</v>
      </c>
      <c r="E6608" s="6">
        <v>116</v>
      </c>
      <c r="G6608" s="4"/>
      <c r="H6608" s="5"/>
    </row>
    <row r="6609" spans="4:8" x14ac:dyDescent="0.25">
      <c r="D6609" s="4">
        <v>41166</v>
      </c>
      <c r="E6609" s="6">
        <v>117.48</v>
      </c>
      <c r="G6609" s="4"/>
      <c r="H6609" s="5"/>
    </row>
    <row r="6610" spans="4:8" x14ac:dyDescent="0.25">
      <c r="D6610" s="4">
        <v>41169</v>
      </c>
      <c r="E6610" s="6">
        <v>116.7</v>
      </c>
      <c r="G6610" s="4"/>
      <c r="H6610" s="5"/>
    </row>
    <row r="6611" spans="4:8" x14ac:dyDescent="0.25">
      <c r="D6611" s="4">
        <v>41170</v>
      </c>
      <c r="E6611" s="6">
        <v>113.29</v>
      </c>
      <c r="G6611" s="4"/>
      <c r="H6611" s="5"/>
    </row>
    <row r="6612" spans="4:8" x14ac:dyDescent="0.25">
      <c r="D6612" s="4">
        <v>41171</v>
      </c>
      <c r="E6612" s="6">
        <v>108.49</v>
      </c>
      <c r="G6612" s="4"/>
      <c r="H6612" s="5"/>
    </row>
    <row r="6613" spans="4:8" x14ac:dyDescent="0.25">
      <c r="D6613" s="4">
        <v>41172</v>
      </c>
      <c r="E6613" s="6">
        <v>109.41</v>
      </c>
      <c r="G6613" s="4"/>
      <c r="H6613" s="5"/>
    </row>
    <row r="6614" spans="4:8" x14ac:dyDescent="0.25">
      <c r="D6614" s="4">
        <v>41173</v>
      </c>
      <c r="E6614" s="6">
        <v>111.27</v>
      </c>
      <c r="G6614" s="4"/>
      <c r="H6614" s="5"/>
    </row>
    <row r="6615" spans="4:8" x14ac:dyDescent="0.25">
      <c r="D6615" s="4">
        <v>41176</v>
      </c>
      <c r="E6615" s="6">
        <v>109.2</v>
      </c>
      <c r="G6615" s="4"/>
      <c r="H6615" s="5"/>
    </row>
    <row r="6616" spans="4:8" x14ac:dyDescent="0.25">
      <c r="D6616" s="4">
        <v>41177</v>
      </c>
      <c r="E6616" s="6">
        <v>110.77</v>
      </c>
      <c r="G6616" s="4"/>
      <c r="H6616" s="5"/>
    </row>
    <row r="6617" spans="4:8" x14ac:dyDescent="0.25">
      <c r="D6617" s="4">
        <v>41178</v>
      </c>
      <c r="E6617" s="6">
        <v>108.99</v>
      </c>
      <c r="G6617" s="4"/>
      <c r="H6617" s="5"/>
    </row>
    <row r="6618" spans="4:8" x14ac:dyDescent="0.25">
      <c r="D6618" s="4">
        <v>41179</v>
      </c>
      <c r="E6618" s="6">
        <v>111.45</v>
      </c>
      <c r="G6618" s="4"/>
      <c r="H6618" s="5"/>
    </row>
    <row r="6619" spans="4:8" x14ac:dyDescent="0.25">
      <c r="D6619" s="4">
        <v>41180</v>
      </c>
      <c r="E6619" s="6">
        <v>111.36</v>
      </c>
      <c r="G6619" s="4"/>
      <c r="H6619" s="5"/>
    </row>
    <row r="6620" spans="4:8" x14ac:dyDescent="0.25">
      <c r="D6620" s="4">
        <v>41183</v>
      </c>
      <c r="E6620" s="6">
        <v>112.58</v>
      </c>
      <c r="G6620" s="4"/>
      <c r="H6620" s="5"/>
    </row>
    <row r="6621" spans="4:8" x14ac:dyDescent="0.25">
      <c r="D6621" s="4">
        <v>41184</v>
      </c>
      <c r="E6621" s="6">
        <v>112.49</v>
      </c>
      <c r="G6621" s="4"/>
      <c r="H6621" s="5"/>
    </row>
    <row r="6622" spans="4:8" x14ac:dyDescent="0.25">
      <c r="D6622" s="4">
        <v>41185</v>
      </c>
      <c r="E6622" s="6">
        <v>109.32</v>
      </c>
      <c r="G6622" s="4"/>
      <c r="H6622" s="5"/>
    </row>
    <row r="6623" spans="4:8" x14ac:dyDescent="0.25">
      <c r="D6623" s="4">
        <v>41186</v>
      </c>
      <c r="E6623" s="6">
        <v>110.48</v>
      </c>
      <c r="G6623" s="4"/>
      <c r="H6623" s="5"/>
    </row>
    <row r="6624" spans="4:8" x14ac:dyDescent="0.25">
      <c r="D6624" s="4">
        <v>41187</v>
      </c>
      <c r="E6624" s="6">
        <v>112.17</v>
      </c>
      <c r="G6624" s="4"/>
      <c r="H6624" s="5"/>
    </row>
    <row r="6625" spans="4:8" x14ac:dyDescent="0.25">
      <c r="D6625" s="4">
        <v>41190</v>
      </c>
      <c r="E6625" s="6">
        <v>112.6</v>
      </c>
      <c r="G6625" s="4"/>
      <c r="H6625" s="5"/>
    </row>
    <row r="6626" spans="4:8" x14ac:dyDescent="0.25">
      <c r="D6626" s="4">
        <v>41191</v>
      </c>
      <c r="E6626" s="6">
        <v>114.32</v>
      </c>
      <c r="G6626" s="4"/>
      <c r="H6626" s="5"/>
    </row>
    <row r="6627" spans="4:8" x14ac:dyDescent="0.25">
      <c r="D6627" s="4">
        <v>41192</v>
      </c>
      <c r="E6627" s="6">
        <v>116.11</v>
      </c>
      <c r="G6627" s="4"/>
      <c r="H6627" s="5"/>
    </row>
    <row r="6628" spans="4:8" x14ac:dyDescent="0.25">
      <c r="D6628" s="4">
        <v>41193</v>
      </c>
      <c r="E6628" s="6">
        <v>116.18</v>
      </c>
      <c r="G6628" s="4"/>
      <c r="H6628" s="5"/>
    </row>
    <row r="6629" spans="4:8" x14ac:dyDescent="0.25">
      <c r="D6629" s="4">
        <v>41194</v>
      </c>
      <c r="E6629" s="6">
        <v>115.17</v>
      </c>
      <c r="G6629" s="4"/>
      <c r="H6629" s="5"/>
    </row>
    <row r="6630" spans="4:8" x14ac:dyDescent="0.25">
      <c r="D6630" s="4">
        <v>41197</v>
      </c>
      <c r="E6630" s="6">
        <v>115</v>
      </c>
      <c r="G6630" s="4"/>
      <c r="H6630" s="5"/>
    </row>
    <row r="6631" spans="4:8" x14ac:dyDescent="0.25">
      <c r="D6631" s="4">
        <v>41198</v>
      </c>
      <c r="E6631" s="6">
        <v>115</v>
      </c>
      <c r="G6631" s="4"/>
      <c r="H6631" s="5"/>
    </row>
    <row r="6632" spans="4:8" x14ac:dyDescent="0.25">
      <c r="D6632" s="4">
        <v>41199</v>
      </c>
      <c r="E6632" s="6">
        <v>113.49</v>
      </c>
      <c r="G6632" s="4"/>
      <c r="H6632" s="5"/>
    </row>
    <row r="6633" spans="4:8" x14ac:dyDescent="0.25">
      <c r="D6633" s="4">
        <v>41200</v>
      </c>
      <c r="E6633" s="6">
        <v>112.58</v>
      </c>
      <c r="G6633" s="4"/>
      <c r="H6633" s="5"/>
    </row>
    <row r="6634" spans="4:8" x14ac:dyDescent="0.25">
      <c r="D6634" s="4">
        <v>41201</v>
      </c>
      <c r="E6634" s="6">
        <v>111.89</v>
      </c>
      <c r="G6634" s="4"/>
      <c r="H6634" s="5"/>
    </row>
    <row r="6635" spans="4:8" x14ac:dyDescent="0.25">
      <c r="D6635" s="4">
        <v>41204</v>
      </c>
      <c r="E6635" s="6">
        <v>109.62</v>
      </c>
      <c r="G6635" s="4"/>
      <c r="H6635" s="5"/>
    </row>
    <row r="6636" spans="4:8" x14ac:dyDescent="0.25">
      <c r="D6636" s="4">
        <v>41205</v>
      </c>
      <c r="E6636" s="6">
        <v>107.53</v>
      </c>
      <c r="G6636" s="4"/>
      <c r="H6636" s="5"/>
    </row>
    <row r="6637" spans="4:8" x14ac:dyDescent="0.25">
      <c r="D6637" s="4">
        <v>41206</v>
      </c>
      <c r="E6637" s="6">
        <v>107.66</v>
      </c>
      <c r="G6637" s="4"/>
      <c r="H6637" s="5"/>
    </row>
    <row r="6638" spans="4:8" x14ac:dyDescent="0.25">
      <c r="D6638" s="4">
        <v>41207</v>
      </c>
      <c r="E6638" s="6">
        <v>107.64</v>
      </c>
      <c r="G6638" s="4"/>
      <c r="H6638" s="5"/>
    </row>
    <row r="6639" spans="4:8" x14ac:dyDescent="0.25">
      <c r="D6639" s="4">
        <v>41208</v>
      </c>
      <c r="E6639" s="6">
        <v>108.9</v>
      </c>
      <c r="G6639" s="4"/>
      <c r="H6639" s="5"/>
    </row>
    <row r="6640" spans="4:8" x14ac:dyDescent="0.25">
      <c r="D6640" s="4">
        <v>41211</v>
      </c>
      <c r="E6640" s="6">
        <v>109.33</v>
      </c>
      <c r="G6640" s="4"/>
      <c r="H6640" s="5"/>
    </row>
    <row r="6641" spans="4:8" x14ac:dyDescent="0.25">
      <c r="D6641" s="4">
        <v>41212</v>
      </c>
      <c r="E6641" s="6">
        <v>109.4</v>
      </c>
      <c r="G6641" s="4"/>
      <c r="H6641" s="5"/>
    </row>
    <row r="6642" spans="4:8" x14ac:dyDescent="0.25">
      <c r="D6642" s="4">
        <v>41213</v>
      </c>
      <c r="E6642" s="6">
        <v>109.89</v>
      </c>
      <c r="G6642" s="4"/>
      <c r="H6642" s="5"/>
    </row>
    <row r="6643" spans="4:8" x14ac:dyDescent="0.25">
      <c r="D6643" s="4">
        <v>41214</v>
      </c>
      <c r="E6643" s="6">
        <v>108.84</v>
      </c>
      <c r="G6643" s="4"/>
      <c r="H6643" s="5"/>
    </row>
    <row r="6644" spans="4:8" x14ac:dyDescent="0.25">
      <c r="D6644" s="4">
        <v>41215</v>
      </c>
      <c r="E6644" s="6">
        <v>106.79</v>
      </c>
      <c r="G6644" s="4"/>
      <c r="H6644" s="5"/>
    </row>
    <row r="6645" spans="4:8" x14ac:dyDescent="0.25">
      <c r="D6645" s="4">
        <v>41218</v>
      </c>
      <c r="E6645" s="6">
        <v>105.59</v>
      </c>
      <c r="G6645" s="4"/>
      <c r="H6645" s="5"/>
    </row>
    <row r="6646" spans="4:8" x14ac:dyDescent="0.25">
      <c r="D6646" s="4">
        <v>41219</v>
      </c>
      <c r="E6646" s="6">
        <v>109.27</v>
      </c>
      <c r="G6646" s="4"/>
      <c r="H6646" s="5"/>
    </row>
    <row r="6647" spans="4:8" x14ac:dyDescent="0.25">
      <c r="D6647" s="4">
        <v>41220</v>
      </c>
      <c r="E6647" s="6">
        <v>108.21</v>
      </c>
      <c r="G6647" s="4"/>
      <c r="H6647" s="5"/>
    </row>
    <row r="6648" spans="4:8" x14ac:dyDescent="0.25">
      <c r="D6648" s="4">
        <v>41221</v>
      </c>
      <c r="E6648" s="6">
        <v>107.23</v>
      </c>
      <c r="G6648" s="4"/>
      <c r="H6648" s="5"/>
    </row>
    <row r="6649" spans="4:8" x14ac:dyDescent="0.25">
      <c r="D6649" s="4">
        <v>41222</v>
      </c>
      <c r="E6649" s="6">
        <v>108.61</v>
      </c>
      <c r="G6649" s="4"/>
      <c r="H6649" s="5"/>
    </row>
    <row r="6650" spans="4:8" x14ac:dyDescent="0.25">
      <c r="D6650" s="4">
        <v>41225</v>
      </c>
      <c r="E6650" s="6">
        <v>110.23</v>
      </c>
      <c r="G6650" s="4"/>
      <c r="H6650" s="5"/>
    </row>
    <row r="6651" spans="4:8" x14ac:dyDescent="0.25">
      <c r="D6651" s="4">
        <v>41226</v>
      </c>
      <c r="E6651" s="6">
        <v>108.82</v>
      </c>
      <c r="G6651" s="4"/>
      <c r="H6651" s="5"/>
    </row>
    <row r="6652" spans="4:8" x14ac:dyDescent="0.25">
      <c r="D6652" s="4">
        <v>41227</v>
      </c>
      <c r="E6652" s="6">
        <v>109.66</v>
      </c>
      <c r="G6652" s="4"/>
      <c r="H6652" s="5"/>
    </row>
    <row r="6653" spans="4:8" x14ac:dyDescent="0.25">
      <c r="D6653" s="4">
        <v>41228</v>
      </c>
      <c r="E6653" s="6">
        <v>110.07</v>
      </c>
      <c r="G6653" s="4"/>
      <c r="H6653" s="5"/>
    </row>
    <row r="6654" spans="4:8" x14ac:dyDescent="0.25">
      <c r="D6654" s="4">
        <v>41229</v>
      </c>
      <c r="E6654" s="6">
        <v>106.81</v>
      </c>
      <c r="G6654" s="4"/>
      <c r="H6654" s="5"/>
    </row>
    <row r="6655" spans="4:8" x14ac:dyDescent="0.25">
      <c r="D6655" s="4">
        <v>41232</v>
      </c>
      <c r="E6655" s="6">
        <v>110.06</v>
      </c>
      <c r="G6655" s="4"/>
      <c r="H6655" s="5"/>
    </row>
    <row r="6656" spans="4:8" x14ac:dyDescent="0.25">
      <c r="D6656" s="4">
        <v>41233</v>
      </c>
      <c r="E6656" s="6">
        <v>110.01</v>
      </c>
      <c r="G6656" s="4"/>
      <c r="H6656" s="5"/>
    </row>
    <row r="6657" spans="4:8" x14ac:dyDescent="0.25">
      <c r="D6657" s="4">
        <v>41234</v>
      </c>
      <c r="E6657" s="6">
        <v>110.81</v>
      </c>
      <c r="G6657" s="4"/>
      <c r="H6657" s="5"/>
    </row>
    <row r="6658" spans="4:8" x14ac:dyDescent="0.25">
      <c r="D6658" s="4">
        <v>41235</v>
      </c>
      <c r="E6658" s="5"/>
      <c r="G6658" s="4"/>
      <c r="H6658" s="5"/>
    </row>
    <row r="6659" spans="4:8" x14ac:dyDescent="0.25">
      <c r="D6659" s="4">
        <v>41236</v>
      </c>
      <c r="E6659" s="6">
        <v>110.14</v>
      </c>
      <c r="G6659" s="4"/>
      <c r="H6659" s="5"/>
    </row>
    <row r="6660" spans="4:8" x14ac:dyDescent="0.25">
      <c r="D6660" s="4">
        <v>41239</v>
      </c>
      <c r="E6660" s="6">
        <v>110.18</v>
      </c>
      <c r="G6660" s="4"/>
      <c r="H6660" s="5"/>
    </row>
    <row r="6661" spans="4:8" x14ac:dyDescent="0.25">
      <c r="D6661" s="4">
        <v>41240</v>
      </c>
      <c r="E6661" s="6">
        <v>109.33</v>
      </c>
      <c r="G6661" s="4"/>
      <c r="H6661" s="5"/>
    </row>
    <row r="6662" spans="4:8" x14ac:dyDescent="0.25">
      <c r="D6662" s="4">
        <v>41241</v>
      </c>
      <c r="E6662" s="6">
        <v>108.26</v>
      </c>
      <c r="G6662" s="4"/>
      <c r="H6662" s="5"/>
    </row>
    <row r="6663" spans="4:8" x14ac:dyDescent="0.25">
      <c r="D6663" s="4">
        <v>41242</v>
      </c>
      <c r="E6663" s="6">
        <v>110.47</v>
      </c>
      <c r="G6663" s="4"/>
      <c r="H6663" s="5"/>
    </row>
    <row r="6664" spans="4:8" x14ac:dyDescent="0.25">
      <c r="D6664" s="4">
        <v>41243</v>
      </c>
      <c r="E6664" s="6">
        <v>110.84</v>
      </c>
      <c r="G6664" s="4"/>
      <c r="H6664" s="5"/>
    </row>
    <row r="6665" spans="4:8" x14ac:dyDescent="0.25">
      <c r="D6665" s="4">
        <v>41246</v>
      </c>
      <c r="E6665" s="6">
        <v>111.27</v>
      </c>
      <c r="G6665" s="4"/>
      <c r="H6665" s="5"/>
    </row>
    <row r="6666" spans="4:8" x14ac:dyDescent="0.25">
      <c r="D6666" s="4">
        <v>41247</v>
      </c>
      <c r="E6666" s="6">
        <v>109.99</v>
      </c>
      <c r="G6666" s="4"/>
      <c r="H6666" s="5"/>
    </row>
    <row r="6667" spans="4:8" x14ac:dyDescent="0.25">
      <c r="D6667" s="4">
        <v>41248</v>
      </c>
      <c r="E6667" s="6">
        <v>108.96</v>
      </c>
      <c r="G6667" s="4"/>
      <c r="H6667" s="5"/>
    </row>
    <row r="6668" spans="4:8" x14ac:dyDescent="0.25">
      <c r="D6668" s="4">
        <v>41249</v>
      </c>
      <c r="E6668" s="6">
        <v>108.01</v>
      </c>
      <c r="G6668" s="4"/>
      <c r="H6668" s="5"/>
    </row>
    <row r="6669" spans="4:8" x14ac:dyDescent="0.25">
      <c r="D6669" s="4">
        <v>41250</v>
      </c>
      <c r="E6669" s="6">
        <v>107.16</v>
      </c>
      <c r="G6669" s="4"/>
      <c r="H6669" s="5"/>
    </row>
    <row r="6670" spans="4:8" x14ac:dyDescent="0.25">
      <c r="D6670" s="4">
        <v>41253</v>
      </c>
      <c r="E6670" s="6">
        <v>108.25</v>
      </c>
      <c r="G6670" s="4"/>
      <c r="H6670" s="5"/>
    </row>
    <row r="6671" spans="4:8" x14ac:dyDescent="0.25">
      <c r="D6671" s="4">
        <v>41254</v>
      </c>
      <c r="E6671" s="6">
        <v>107.6</v>
      </c>
      <c r="G6671" s="4"/>
      <c r="H6671" s="5"/>
    </row>
    <row r="6672" spans="4:8" x14ac:dyDescent="0.25">
      <c r="D6672" s="4">
        <v>41255</v>
      </c>
      <c r="E6672" s="6">
        <v>110.17</v>
      </c>
      <c r="G6672" s="4"/>
      <c r="H6672" s="5"/>
    </row>
    <row r="6673" spans="4:8" x14ac:dyDescent="0.25">
      <c r="D6673" s="4">
        <v>41256</v>
      </c>
      <c r="E6673" s="6">
        <v>110.18</v>
      </c>
      <c r="G6673" s="4"/>
      <c r="H6673" s="5"/>
    </row>
    <row r="6674" spans="4:8" x14ac:dyDescent="0.25">
      <c r="D6674" s="4">
        <v>41257</v>
      </c>
      <c r="E6674" s="6">
        <v>109.28</v>
      </c>
      <c r="G6674" s="4"/>
      <c r="H6674" s="5"/>
    </row>
    <row r="6675" spans="4:8" x14ac:dyDescent="0.25">
      <c r="D6675" s="4">
        <v>41260</v>
      </c>
      <c r="E6675" s="6">
        <v>109.35</v>
      </c>
      <c r="G6675" s="4"/>
      <c r="H6675" s="5"/>
    </row>
    <row r="6676" spans="4:8" x14ac:dyDescent="0.25">
      <c r="D6676" s="4">
        <v>41261</v>
      </c>
      <c r="E6676" s="6">
        <v>109.96</v>
      </c>
      <c r="G6676" s="4"/>
      <c r="H6676" s="5"/>
    </row>
    <row r="6677" spans="4:8" x14ac:dyDescent="0.25">
      <c r="D6677" s="4">
        <v>41262</v>
      </c>
      <c r="E6677" s="6">
        <v>109.95</v>
      </c>
      <c r="G6677" s="4"/>
      <c r="H6677" s="5"/>
    </row>
    <row r="6678" spans="4:8" x14ac:dyDescent="0.25">
      <c r="D6678" s="4">
        <v>41263</v>
      </c>
      <c r="E6678" s="6">
        <v>110.57</v>
      </c>
      <c r="G6678" s="4"/>
      <c r="H6678" s="5"/>
    </row>
    <row r="6679" spans="4:8" x14ac:dyDescent="0.25">
      <c r="D6679" s="4">
        <v>41264</v>
      </c>
      <c r="E6679" s="6">
        <v>109.13</v>
      </c>
      <c r="G6679" s="4"/>
      <c r="H6679" s="5"/>
    </row>
    <row r="6680" spans="4:8" x14ac:dyDescent="0.25">
      <c r="D6680" s="4">
        <v>41267</v>
      </c>
      <c r="E6680" s="6">
        <v>108.44</v>
      </c>
      <c r="G6680" s="4"/>
      <c r="H6680" s="5"/>
    </row>
    <row r="6681" spans="4:8" x14ac:dyDescent="0.25">
      <c r="D6681" s="4">
        <v>41268</v>
      </c>
      <c r="E6681" s="5"/>
      <c r="G6681" s="4"/>
      <c r="H6681" s="5"/>
    </row>
    <row r="6682" spans="4:8" x14ac:dyDescent="0.25">
      <c r="D6682" s="4">
        <v>41269</v>
      </c>
      <c r="E6682" s="6">
        <v>110.72</v>
      </c>
      <c r="G6682" s="4"/>
      <c r="H6682" s="5"/>
    </row>
    <row r="6683" spans="4:8" x14ac:dyDescent="0.25">
      <c r="D6683" s="4">
        <v>41270</v>
      </c>
      <c r="E6683" s="6">
        <v>110.04</v>
      </c>
      <c r="G6683" s="4"/>
      <c r="H6683" s="5"/>
    </row>
    <row r="6684" spans="4:8" x14ac:dyDescent="0.25">
      <c r="D6684" s="4">
        <v>41271</v>
      </c>
      <c r="E6684" s="6">
        <v>110.05</v>
      </c>
      <c r="G6684" s="4"/>
      <c r="H6684" s="5"/>
    </row>
    <row r="6685" spans="4:8" x14ac:dyDescent="0.25">
      <c r="D6685" s="4">
        <v>41274</v>
      </c>
      <c r="E6685" s="6">
        <v>110.8</v>
      </c>
      <c r="G6685" s="4"/>
      <c r="H6685" s="5"/>
    </row>
    <row r="6686" spans="4:8" x14ac:dyDescent="0.25">
      <c r="D6686" s="4">
        <v>41275</v>
      </c>
      <c r="E6686" s="5"/>
      <c r="G6686" s="4"/>
      <c r="H6686" s="5"/>
    </row>
    <row r="6687" spans="4:8" x14ac:dyDescent="0.25">
      <c r="D6687" s="4">
        <v>41276</v>
      </c>
      <c r="E6687" s="6">
        <v>112.98</v>
      </c>
      <c r="G6687" s="4"/>
      <c r="H6687" s="5"/>
    </row>
    <row r="6688" spans="4:8" x14ac:dyDescent="0.25">
      <c r="D6688" s="4">
        <v>41277</v>
      </c>
      <c r="E6688" s="6">
        <v>113.03</v>
      </c>
      <c r="G6688" s="4"/>
      <c r="H6688" s="5"/>
    </row>
    <row r="6689" spans="4:8" x14ac:dyDescent="0.25">
      <c r="D6689" s="4">
        <v>41278</v>
      </c>
      <c r="E6689" s="6">
        <v>112.58</v>
      </c>
      <c r="G6689" s="4"/>
      <c r="H6689" s="5"/>
    </row>
    <row r="6690" spans="4:8" x14ac:dyDescent="0.25">
      <c r="D6690" s="4">
        <v>41281</v>
      </c>
      <c r="E6690" s="6">
        <v>112.49</v>
      </c>
      <c r="G6690" s="4"/>
      <c r="H6690" s="5"/>
    </row>
    <row r="6691" spans="4:8" x14ac:dyDescent="0.25">
      <c r="D6691" s="4">
        <v>41282</v>
      </c>
      <c r="E6691" s="6">
        <v>113.03</v>
      </c>
      <c r="G6691" s="4"/>
      <c r="H6691" s="5"/>
    </row>
    <row r="6692" spans="4:8" x14ac:dyDescent="0.25">
      <c r="D6692" s="4">
        <v>41283</v>
      </c>
      <c r="E6692" s="6">
        <v>113.07</v>
      </c>
      <c r="G6692" s="4"/>
      <c r="H6692" s="5"/>
    </row>
    <row r="6693" spans="4:8" x14ac:dyDescent="0.25">
      <c r="D6693" s="4">
        <v>41284</v>
      </c>
      <c r="E6693" s="6">
        <v>112.97</v>
      </c>
      <c r="G6693" s="4"/>
      <c r="H6693" s="5"/>
    </row>
    <row r="6694" spans="4:8" x14ac:dyDescent="0.25">
      <c r="D6694" s="4">
        <v>41285</v>
      </c>
      <c r="E6694" s="6">
        <v>110.3</v>
      </c>
      <c r="G6694" s="4"/>
      <c r="H6694" s="5"/>
    </row>
    <row r="6695" spans="4:8" x14ac:dyDescent="0.25">
      <c r="D6695" s="4">
        <v>41288</v>
      </c>
      <c r="E6695" s="6">
        <v>111.32</v>
      </c>
      <c r="G6695" s="4"/>
      <c r="H6695" s="5"/>
    </row>
    <row r="6696" spans="4:8" x14ac:dyDescent="0.25">
      <c r="D6696" s="4">
        <v>41289</v>
      </c>
      <c r="E6696" s="6">
        <v>111.72</v>
      </c>
      <c r="G6696" s="4"/>
      <c r="H6696" s="5"/>
    </row>
    <row r="6697" spans="4:8" x14ac:dyDescent="0.25">
      <c r="D6697" s="4">
        <v>41290</v>
      </c>
      <c r="E6697" s="6">
        <v>110.97</v>
      </c>
      <c r="G6697" s="4"/>
      <c r="H6697" s="5"/>
    </row>
    <row r="6698" spans="4:8" x14ac:dyDescent="0.25">
      <c r="D6698" s="4">
        <v>41291</v>
      </c>
      <c r="E6698" s="6">
        <v>111.01</v>
      </c>
      <c r="G6698" s="4"/>
      <c r="H6698" s="5"/>
    </row>
    <row r="6699" spans="4:8" x14ac:dyDescent="0.25">
      <c r="D6699" s="4">
        <v>41292</v>
      </c>
      <c r="E6699" s="6">
        <v>111.71</v>
      </c>
      <c r="G6699" s="4"/>
      <c r="H6699" s="5"/>
    </row>
    <row r="6700" spans="4:8" x14ac:dyDescent="0.25">
      <c r="D6700" s="4">
        <v>41295</v>
      </c>
      <c r="E6700" s="5"/>
      <c r="G6700" s="4"/>
      <c r="H6700" s="5"/>
    </row>
    <row r="6701" spans="4:8" x14ac:dyDescent="0.25">
      <c r="D6701" s="4">
        <v>41296</v>
      </c>
      <c r="E6701" s="6">
        <v>112.72</v>
      </c>
      <c r="G6701" s="4"/>
      <c r="H6701" s="5"/>
    </row>
    <row r="6702" spans="4:8" x14ac:dyDescent="0.25">
      <c r="D6702" s="4">
        <v>41297</v>
      </c>
      <c r="E6702" s="6">
        <v>113.68</v>
      </c>
      <c r="G6702" s="4"/>
      <c r="H6702" s="5"/>
    </row>
    <row r="6703" spans="4:8" x14ac:dyDescent="0.25">
      <c r="D6703" s="4">
        <v>41298</v>
      </c>
      <c r="E6703" s="6">
        <v>114.59</v>
      </c>
      <c r="G6703" s="4"/>
      <c r="H6703" s="5"/>
    </row>
    <row r="6704" spans="4:8" x14ac:dyDescent="0.25">
      <c r="D6704" s="4">
        <v>41299</v>
      </c>
      <c r="E6704" s="6">
        <v>113.88</v>
      </c>
      <c r="G6704" s="4"/>
      <c r="H6704" s="5"/>
    </row>
    <row r="6705" spans="4:8" x14ac:dyDescent="0.25">
      <c r="D6705" s="4">
        <v>41302</v>
      </c>
      <c r="E6705" s="6">
        <v>113.92</v>
      </c>
      <c r="G6705" s="4"/>
      <c r="H6705" s="5"/>
    </row>
    <row r="6706" spans="4:8" x14ac:dyDescent="0.25">
      <c r="D6706" s="4">
        <v>41303</v>
      </c>
      <c r="E6706" s="6">
        <v>115.22</v>
      </c>
      <c r="G6706" s="4"/>
      <c r="H6706" s="5"/>
    </row>
    <row r="6707" spans="4:8" x14ac:dyDescent="0.25">
      <c r="D6707" s="4">
        <v>41304</v>
      </c>
      <c r="E6707" s="6">
        <v>115.42</v>
      </c>
      <c r="G6707" s="4"/>
      <c r="H6707" s="5"/>
    </row>
    <row r="6708" spans="4:8" x14ac:dyDescent="0.25">
      <c r="D6708" s="4">
        <v>41305</v>
      </c>
      <c r="E6708" s="6">
        <v>115.55</v>
      </c>
      <c r="G6708" s="4"/>
      <c r="H6708" s="5"/>
    </row>
    <row r="6709" spans="4:8" x14ac:dyDescent="0.25">
      <c r="D6709" s="4">
        <v>41306</v>
      </c>
      <c r="E6709" s="6">
        <v>115.55</v>
      </c>
      <c r="G6709" s="4"/>
      <c r="H6709" s="5"/>
    </row>
    <row r="6710" spans="4:8" x14ac:dyDescent="0.25">
      <c r="D6710" s="4">
        <v>41309</v>
      </c>
      <c r="E6710" s="6">
        <v>116.06</v>
      </c>
      <c r="G6710" s="4"/>
      <c r="H6710" s="5"/>
    </row>
    <row r="6711" spans="4:8" x14ac:dyDescent="0.25">
      <c r="D6711" s="4">
        <v>41310</v>
      </c>
      <c r="E6711" s="6">
        <v>117.03</v>
      </c>
      <c r="G6711" s="4"/>
      <c r="H6711" s="5"/>
    </row>
    <row r="6712" spans="4:8" x14ac:dyDescent="0.25">
      <c r="D6712" s="4">
        <v>41311</v>
      </c>
      <c r="E6712" s="6">
        <v>116.61</v>
      </c>
      <c r="G6712" s="4"/>
      <c r="H6712" s="5"/>
    </row>
    <row r="6713" spans="4:8" x14ac:dyDescent="0.25">
      <c r="D6713" s="4">
        <v>41312</v>
      </c>
      <c r="E6713" s="6">
        <v>117.17</v>
      </c>
      <c r="G6713" s="4"/>
      <c r="H6713" s="5"/>
    </row>
    <row r="6714" spans="4:8" x14ac:dyDescent="0.25">
      <c r="D6714" s="4">
        <v>41313</v>
      </c>
      <c r="E6714" s="6">
        <v>118.9</v>
      </c>
      <c r="G6714" s="4"/>
      <c r="H6714" s="5"/>
    </row>
    <row r="6715" spans="4:8" x14ac:dyDescent="0.25">
      <c r="D6715" s="4">
        <v>41316</v>
      </c>
      <c r="E6715" s="6">
        <v>118.29</v>
      </c>
      <c r="G6715" s="4"/>
      <c r="H6715" s="5"/>
    </row>
    <row r="6716" spans="4:8" x14ac:dyDescent="0.25">
      <c r="D6716" s="4">
        <v>41317</v>
      </c>
      <c r="E6716" s="6">
        <v>117.89</v>
      </c>
      <c r="G6716" s="4"/>
      <c r="H6716" s="5"/>
    </row>
    <row r="6717" spans="4:8" x14ac:dyDescent="0.25">
      <c r="D6717" s="4">
        <v>41318</v>
      </c>
      <c r="E6717" s="6">
        <v>118.43</v>
      </c>
      <c r="G6717" s="4"/>
      <c r="H6717" s="5"/>
    </row>
    <row r="6718" spans="4:8" x14ac:dyDescent="0.25">
      <c r="D6718" s="4">
        <v>41319</v>
      </c>
      <c r="E6718" s="6">
        <v>118.48</v>
      </c>
      <c r="G6718" s="4"/>
      <c r="H6718" s="5"/>
    </row>
    <row r="6719" spans="4:8" x14ac:dyDescent="0.25">
      <c r="D6719" s="4">
        <v>41320</v>
      </c>
      <c r="E6719" s="6">
        <v>117.4</v>
      </c>
      <c r="G6719" s="4"/>
      <c r="H6719" s="5"/>
    </row>
    <row r="6720" spans="4:8" x14ac:dyDescent="0.25">
      <c r="D6720" s="4">
        <v>41323</v>
      </c>
      <c r="E6720" s="5"/>
      <c r="G6720" s="4"/>
      <c r="H6720" s="5"/>
    </row>
    <row r="6721" spans="4:8" x14ac:dyDescent="0.25">
      <c r="D6721" s="4">
        <v>41324</v>
      </c>
      <c r="E6721" s="6">
        <v>117.04</v>
      </c>
      <c r="G6721" s="4"/>
      <c r="H6721" s="5"/>
    </row>
    <row r="6722" spans="4:8" x14ac:dyDescent="0.25">
      <c r="D6722" s="4">
        <v>41325</v>
      </c>
      <c r="E6722" s="6">
        <v>116.23</v>
      </c>
      <c r="G6722" s="4"/>
      <c r="H6722" s="5"/>
    </row>
    <row r="6723" spans="4:8" x14ac:dyDescent="0.25">
      <c r="D6723" s="4">
        <v>41326</v>
      </c>
      <c r="E6723" s="6">
        <v>114.19</v>
      </c>
      <c r="G6723" s="4"/>
      <c r="H6723" s="5"/>
    </row>
    <row r="6724" spans="4:8" x14ac:dyDescent="0.25">
      <c r="D6724" s="4">
        <v>41327</v>
      </c>
      <c r="E6724" s="6">
        <v>113.74</v>
      </c>
      <c r="G6724" s="4"/>
      <c r="H6724" s="5"/>
    </row>
    <row r="6725" spans="4:8" x14ac:dyDescent="0.25">
      <c r="D6725" s="4">
        <v>41330</v>
      </c>
      <c r="E6725" s="6">
        <v>114.55</v>
      </c>
      <c r="G6725" s="4"/>
      <c r="H6725" s="5"/>
    </row>
    <row r="6726" spans="4:8" x14ac:dyDescent="0.25">
      <c r="D6726" s="4">
        <v>41331</v>
      </c>
      <c r="E6726" s="6">
        <v>112.96</v>
      </c>
      <c r="G6726" s="4"/>
      <c r="H6726" s="5"/>
    </row>
    <row r="6727" spans="4:8" x14ac:dyDescent="0.25">
      <c r="D6727" s="4">
        <v>41332</v>
      </c>
      <c r="E6727" s="6">
        <v>112.24</v>
      </c>
      <c r="G6727" s="4"/>
      <c r="H6727" s="5"/>
    </row>
    <row r="6728" spans="4:8" x14ac:dyDescent="0.25">
      <c r="D6728" s="4">
        <v>41333</v>
      </c>
      <c r="E6728" s="6">
        <v>112.2</v>
      </c>
      <c r="G6728" s="4"/>
      <c r="H6728" s="5"/>
    </row>
    <row r="6729" spans="4:8" x14ac:dyDescent="0.25">
      <c r="D6729" s="4">
        <v>41334</v>
      </c>
      <c r="E6729" s="6">
        <v>110.14</v>
      </c>
      <c r="G6729" s="4"/>
      <c r="H6729" s="5"/>
    </row>
    <row r="6730" spans="4:8" x14ac:dyDescent="0.25">
      <c r="D6730" s="4">
        <v>41337</v>
      </c>
      <c r="E6730" s="6">
        <v>109.9</v>
      </c>
      <c r="G6730" s="4"/>
      <c r="H6730" s="5"/>
    </row>
    <row r="6731" spans="4:8" x14ac:dyDescent="0.25">
      <c r="D6731" s="4">
        <v>41338</v>
      </c>
      <c r="E6731" s="6">
        <v>110.42</v>
      </c>
      <c r="G6731" s="4"/>
      <c r="H6731" s="5"/>
    </row>
    <row r="6732" spans="4:8" x14ac:dyDescent="0.25">
      <c r="D6732" s="4">
        <v>41339</v>
      </c>
      <c r="E6732" s="6">
        <v>110.27</v>
      </c>
      <c r="G6732" s="4"/>
      <c r="H6732" s="5"/>
    </row>
    <row r="6733" spans="4:8" x14ac:dyDescent="0.25">
      <c r="D6733" s="4">
        <v>41340</v>
      </c>
      <c r="E6733" s="6">
        <v>110.42</v>
      </c>
      <c r="G6733" s="4"/>
      <c r="H6733" s="5"/>
    </row>
    <row r="6734" spans="4:8" x14ac:dyDescent="0.25">
      <c r="D6734" s="4">
        <v>41341</v>
      </c>
      <c r="E6734" s="6">
        <v>108.91</v>
      </c>
      <c r="G6734" s="4"/>
      <c r="H6734" s="5"/>
    </row>
    <row r="6735" spans="4:8" x14ac:dyDescent="0.25">
      <c r="D6735" s="4">
        <v>41344</v>
      </c>
      <c r="E6735" s="6">
        <v>108.64</v>
      </c>
      <c r="G6735" s="4"/>
      <c r="H6735" s="5"/>
    </row>
    <row r="6736" spans="4:8" x14ac:dyDescent="0.25">
      <c r="D6736" s="4">
        <v>41345</v>
      </c>
      <c r="E6736" s="6">
        <v>108.48</v>
      </c>
      <c r="G6736" s="4"/>
      <c r="H6736" s="5"/>
    </row>
    <row r="6737" spans="4:8" x14ac:dyDescent="0.25">
      <c r="D6737" s="4">
        <v>41346</v>
      </c>
      <c r="E6737" s="6">
        <v>107.51</v>
      </c>
      <c r="G6737" s="4"/>
      <c r="H6737" s="5"/>
    </row>
    <row r="6738" spans="4:8" x14ac:dyDescent="0.25">
      <c r="D6738" s="4">
        <v>41347</v>
      </c>
      <c r="E6738" s="6">
        <v>108.1</v>
      </c>
      <c r="G6738" s="4"/>
      <c r="H6738" s="5"/>
    </row>
    <row r="6739" spans="4:8" x14ac:dyDescent="0.25">
      <c r="D6739" s="4">
        <v>41348</v>
      </c>
      <c r="E6739" s="6">
        <v>109.32</v>
      </c>
      <c r="G6739" s="4"/>
      <c r="H6739" s="5"/>
    </row>
    <row r="6740" spans="4:8" x14ac:dyDescent="0.25">
      <c r="D6740" s="4">
        <v>41351</v>
      </c>
      <c r="E6740" s="6">
        <v>108.54</v>
      </c>
      <c r="G6740" s="4"/>
      <c r="H6740" s="5"/>
    </row>
    <row r="6741" spans="4:8" x14ac:dyDescent="0.25">
      <c r="D6741" s="4">
        <v>41352</v>
      </c>
      <c r="E6741" s="6">
        <v>106.91</v>
      </c>
      <c r="G6741" s="4"/>
      <c r="H6741" s="5"/>
    </row>
    <row r="6742" spans="4:8" x14ac:dyDescent="0.25">
      <c r="D6742" s="4">
        <v>41353</v>
      </c>
      <c r="E6742" s="6">
        <v>108.27</v>
      </c>
      <c r="G6742" s="4"/>
      <c r="H6742" s="5"/>
    </row>
    <row r="6743" spans="4:8" x14ac:dyDescent="0.25">
      <c r="D6743" s="4">
        <v>41354</v>
      </c>
      <c r="E6743" s="6">
        <v>106.41</v>
      </c>
      <c r="G6743" s="4"/>
      <c r="H6743" s="5"/>
    </row>
    <row r="6744" spans="4:8" x14ac:dyDescent="0.25">
      <c r="D6744" s="4">
        <v>41355</v>
      </c>
      <c r="E6744" s="6">
        <v>106.51</v>
      </c>
      <c r="G6744" s="4"/>
      <c r="H6744" s="5"/>
    </row>
    <row r="6745" spans="4:8" x14ac:dyDescent="0.25">
      <c r="D6745" s="4">
        <v>41358</v>
      </c>
      <c r="E6745" s="6">
        <v>106.66</v>
      </c>
      <c r="G6745" s="4"/>
      <c r="H6745" s="5"/>
    </row>
    <row r="6746" spans="4:8" x14ac:dyDescent="0.25">
      <c r="D6746" s="4">
        <v>41359</v>
      </c>
      <c r="E6746" s="6">
        <v>107.1</v>
      </c>
      <c r="G6746" s="4"/>
      <c r="H6746" s="5"/>
    </row>
    <row r="6747" spans="4:8" x14ac:dyDescent="0.25">
      <c r="D6747" s="4">
        <v>41360</v>
      </c>
      <c r="E6747" s="6">
        <v>108.51</v>
      </c>
      <c r="G6747" s="4"/>
      <c r="H6747" s="5"/>
    </row>
    <row r="6748" spans="4:8" x14ac:dyDescent="0.25">
      <c r="D6748" s="4">
        <v>41361</v>
      </c>
      <c r="E6748" s="6">
        <v>108.46</v>
      </c>
      <c r="G6748" s="4"/>
      <c r="H6748" s="5"/>
    </row>
    <row r="6749" spans="4:8" x14ac:dyDescent="0.25">
      <c r="D6749" s="4">
        <v>41362</v>
      </c>
      <c r="E6749" s="5"/>
      <c r="G6749" s="4"/>
      <c r="H6749" s="5"/>
    </row>
    <row r="6750" spans="4:8" x14ac:dyDescent="0.25">
      <c r="D6750" s="4">
        <v>41365</v>
      </c>
      <c r="E6750" s="6">
        <v>108.76</v>
      </c>
      <c r="G6750" s="4"/>
      <c r="H6750" s="5"/>
    </row>
    <row r="6751" spans="4:8" x14ac:dyDescent="0.25">
      <c r="D6751" s="4">
        <v>41366</v>
      </c>
      <c r="E6751" s="6">
        <v>109.66</v>
      </c>
      <c r="G6751" s="4"/>
      <c r="H6751" s="5"/>
    </row>
    <row r="6752" spans="4:8" x14ac:dyDescent="0.25">
      <c r="D6752" s="4">
        <v>41367</v>
      </c>
      <c r="E6752" s="6">
        <v>107.82</v>
      </c>
      <c r="G6752" s="4"/>
      <c r="H6752" s="5"/>
    </row>
    <row r="6753" spans="4:8" x14ac:dyDescent="0.25">
      <c r="D6753" s="4">
        <v>41368</v>
      </c>
      <c r="E6753" s="6">
        <v>105.09</v>
      </c>
      <c r="G6753" s="4"/>
      <c r="H6753" s="5"/>
    </row>
    <row r="6754" spans="4:8" x14ac:dyDescent="0.25">
      <c r="D6754" s="4">
        <v>41369</v>
      </c>
      <c r="E6754" s="6">
        <v>103.98</v>
      </c>
      <c r="G6754" s="4"/>
      <c r="H6754" s="5"/>
    </row>
    <row r="6755" spans="4:8" x14ac:dyDescent="0.25">
      <c r="D6755" s="4">
        <v>41372</v>
      </c>
      <c r="E6755" s="6">
        <v>103.16</v>
      </c>
      <c r="G6755" s="4"/>
      <c r="H6755" s="5"/>
    </row>
    <row r="6756" spans="4:8" x14ac:dyDescent="0.25">
      <c r="D6756" s="4">
        <v>41373</v>
      </c>
      <c r="E6756" s="6">
        <v>104.08</v>
      </c>
      <c r="G6756" s="4"/>
      <c r="H6756" s="5"/>
    </row>
    <row r="6757" spans="4:8" x14ac:dyDescent="0.25">
      <c r="D6757" s="4">
        <v>41374</v>
      </c>
      <c r="E6757" s="6">
        <v>104.8</v>
      </c>
      <c r="G6757" s="4"/>
      <c r="H6757" s="5"/>
    </row>
    <row r="6758" spans="4:8" x14ac:dyDescent="0.25">
      <c r="D6758" s="4">
        <v>41375</v>
      </c>
      <c r="E6758" s="6">
        <v>103.62</v>
      </c>
      <c r="G6758" s="4"/>
      <c r="H6758" s="5"/>
    </row>
    <row r="6759" spans="4:8" x14ac:dyDescent="0.25">
      <c r="D6759" s="4">
        <v>41376</v>
      </c>
      <c r="E6759" s="6">
        <v>100.58</v>
      </c>
      <c r="G6759" s="4"/>
      <c r="H6759" s="5"/>
    </row>
    <row r="6760" spans="4:8" x14ac:dyDescent="0.25">
      <c r="D6760" s="4">
        <v>41379</v>
      </c>
      <c r="E6760" s="6">
        <v>99.32</v>
      </c>
      <c r="G6760" s="4"/>
      <c r="H6760" s="5"/>
    </row>
    <row r="6761" spans="4:8" x14ac:dyDescent="0.25">
      <c r="D6761" s="4">
        <v>41380</v>
      </c>
      <c r="E6761" s="6">
        <v>97.88</v>
      </c>
      <c r="G6761" s="4"/>
      <c r="H6761" s="5"/>
    </row>
    <row r="6762" spans="4:8" x14ac:dyDescent="0.25">
      <c r="D6762" s="4">
        <v>41381</v>
      </c>
      <c r="E6762" s="6">
        <v>96.84</v>
      </c>
      <c r="G6762" s="4"/>
      <c r="H6762" s="5"/>
    </row>
    <row r="6763" spans="4:8" x14ac:dyDescent="0.25">
      <c r="D6763" s="4">
        <v>41382</v>
      </c>
      <c r="E6763" s="6">
        <v>97.48</v>
      </c>
      <c r="G6763" s="4"/>
      <c r="H6763" s="5"/>
    </row>
    <row r="6764" spans="4:8" x14ac:dyDescent="0.25">
      <c r="D6764" s="4">
        <v>41383</v>
      </c>
      <c r="E6764" s="6">
        <v>98.94</v>
      </c>
      <c r="G6764" s="4"/>
      <c r="H6764" s="5"/>
    </row>
    <row r="6765" spans="4:8" x14ac:dyDescent="0.25">
      <c r="D6765" s="4">
        <v>41386</v>
      </c>
      <c r="E6765" s="6">
        <v>99.07</v>
      </c>
      <c r="G6765" s="4"/>
      <c r="H6765" s="5"/>
    </row>
    <row r="6766" spans="4:8" x14ac:dyDescent="0.25">
      <c r="D6766" s="4">
        <v>41387</v>
      </c>
      <c r="E6766" s="6">
        <v>99.25</v>
      </c>
      <c r="G6766" s="4"/>
      <c r="H6766" s="5"/>
    </row>
    <row r="6767" spans="4:8" x14ac:dyDescent="0.25">
      <c r="D6767" s="4">
        <v>41388</v>
      </c>
      <c r="E6767" s="6">
        <v>100.71</v>
      </c>
      <c r="G6767" s="4"/>
      <c r="H6767" s="5"/>
    </row>
    <row r="6768" spans="4:8" x14ac:dyDescent="0.25">
      <c r="D6768" s="4">
        <v>41389</v>
      </c>
      <c r="E6768" s="6">
        <v>101.62</v>
      </c>
      <c r="G6768" s="4"/>
      <c r="H6768" s="5"/>
    </row>
    <row r="6769" spans="4:8" x14ac:dyDescent="0.25">
      <c r="D6769" s="4">
        <v>41390</v>
      </c>
      <c r="E6769" s="6">
        <v>102.39</v>
      </c>
      <c r="G6769" s="4"/>
      <c r="H6769" s="5"/>
    </row>
    <row r="6770" spans="4:8" x14ac:dyDescent="0.25">
      <c r="D6770" s="4">
        <v>41393</v>
      </c>
      <c r="E6770" s="6">
        <v>102.88</v>
      </c>
      <c r="G6770" s="4"/>
      <c r="H6770" s="5"/>
    </row>
    <row r="6771" spans="4:8" x14ac:dyDescent="0.25">
      <c r="D6771" s="4">
        <v>41394</v>
      </c>
      <c r="E6771" s="6">
        <v>101.53</v>
      </c>
      <c r="G6771" s="4"/>
      <c r="H6771" s="5"/>
    </row>
    <row r="6772" spans="4:8" x14ac:dyDescent="0.25">
      <c r="D6772" s="4">
        <v>41395</v>
      </c>
      <c r="E6772" s="6">
        <v>98.34</v>
      </c>
      <c r="G6772" s="4"/>
      <c r="H6772" s="5"/>
    </row>
    <row r="6773" spans="4:8" x14ac:dyDescent="0.25">
      <c r="D6773" s="4">
        <v>41396</v>
      </c>
      <c r="E6773" s="6">
        <v>100.32</v>
      </c>
      <c r="G6773" s="4"/>
      <c r="H6773" s="5"/>
    </row>
    <row r="6774" spans="4:8" x14ac:dyDescent="0.25">
      <c r="D6774" s="4">
        <v>41397</v>
      </c>
      <c r="E6774" s="6">
        <v>104.6</v>
      </c>
      <c r="G6774" s="4"/>
      <c r="H6774" s="5"/>
    </row>
    <row r="6775" spans="4:8" x14ac:dyDescent="0.25">
      <c r="D6775" s="4">
        <v>41400</v>
      </c>
      <c r="E6775" s="6">
        <v>105</v>
      </c>
      <c r="G6775" s="4"/>
      <c r="H6775" s="5"/>
    </row>
    <row r="6776" spans="4:8" x14ac:dyDescent="0.25">
      <c r="D6776" s="4">
        <v>41401</v>
      </c>
      <c r="E6776" s="6">
        <v>105.18</v>
      </c>
      <c r="G6776" s="4"/>
      <c r="H6776" s="5"/>
    </row>
    <row r="6777" spans="4:8" x14ac:dyDescent="0.25">
      <c r="D6777" s="4">
        <v>41402</v>
      </c>
      <c r="E6777" s="6">
        <v>103.79</v>
      </c>
      <c r="G6777" s="4"/>
      <c r="H6777" s="5"/>
    </row>
    <row r="6778" spans="4:8" x14ac:dyDescent="0.25">
      <c r="D6778" s="4">
        <v>41403</v>
      </c>
      <c r="E6778" s="6">
        <v>103.59</v>
      </c>
      <c r="G6778" s="4"/>
      <c r="H6778" s="5"/>
    </row>
    <row r="6779" spans="4:8" x14ac:dyDescent="0.25">
      <c r="D6779" s="4">
        <v>41404</v>
      </c>
      <c r="E6779" s="6">
        <v>101.31</v>
      </c>
      <c r="G6779" s="4"/>
      <c r="H6779" s="5"/>
    </row>
    <row r="6780" spans="4:8" x14ac:dyDescent="0.25">
      <c r="D6780" s="4">
        <v>41407</v>
      </c>
      <c r="E6780" s="6">
        <v>102.17</v>
      </c>
      <c r="G6780" s="4"/>
      <c r="H6780" s="5"/>
    </row>
    <row r="6781" spans="4:8" x14ac:dyDescent="0.25">
      <c r="D6781" s="4">
        <v>41408</v>
      </c>
      <c r="E6781" s="6">
        <v>102.7</v>
      </c>
      <c r="G6781" s="4"/>
      <c r="H6781" s="5"/>
    </row>
    <row r="6782" spans="4:8" x14ac:dyDescent="0.25">
      <c r="D6782" s="4">
        <v>41409</v>
      </c>
      <c r="E6782" s="6">
        <v>101.57</v>
      </c>
      <c r="G6782" s="4"/>
      <c r="H6782" s="5"/>
    </row>
    <row r="6783" spans="4:8" x14ac:dyDescent="0.25">
      <c r="D6783" s="4">
        <v>41410</v>
      </c>
      <c r="E6783" s="6">
        <v>104.27</v>
      </c>
      <c r="G6783" s="4"/>
      <c r="H6783" s="5"/>
    </row>
    <row r="6784" spans="4:8" x14ac:dyDescent="0.25">
      <c r="D6784" s="4">
        <v>41411</v>
      </c>
      <c r="E6784" s="6">
        <v>103.83</v>
      </c>
      <c r="G6784" s="4"/>
      <c r="H6784" s="5"/>
    </row>
    <row r="6785" spans="4:8" x14ac:dyDescent="0.25">
      <c r="D6785" s="4">
        <v>41414</v>
      </c>
      <c r="E6785" s="6">
        <v>104.55</v>
      </c>
      <c r="G6785" s="4"/>
      <c r="H6785" s="5"/>
    </row>
    <row r="6786" spans="4:8" x14ac:dyDescent="0.25">
      <c r="D6786" s="4">
        <v>41415</v>
      </c>
      <c r="E6786" s="6">
        <v>103.1</v>
      </c>
      <c r="G6786" s="4"/>
      <c r="H6786" s="5"/>
    </row>
    <row r="6787" spans="4:8" x14ac:dyDescent="0.25">
      <c r="D6787" s="4">
        <v>41416</v>
      </c>
      <c r="E6787" s="6">
        <v>102.14</v>
      </c>
      <c r="G6787" s="4"/>
      <c r="H6787" s="5"/>
    </row>
    <row r="6788" spans="4:8" x14ac:dyDescent="0.25">
      <c r="D6788" s="4">
        <v>41417</v>
      </c>
      <c r="E6788" s="6">
        <v>100.46</v>
      </c>
      <c r="G6788" s="4"/>
      <c r="H6788" s="5"/>
    </row>
    <row r="6789" spans="4:8" x14ac:dyDescent="0.25">
      <c r="D6789" s="4">
        <v>41418</v>
      </c>
      <c r="E6789" s="6">
        <v>101.24</v>
      </c>
      <c r="G6789" s="4"/>
      <c r="H6789" s="5"/>
    </row>
    <row r="6790" spans="4:8" x14ac:dyDescent="0.25">
      <c r="D6790" s="4">
        <v>41421</v>
      </c>
      <c r="E6790" s="5"/>
      <c r="G6790" s="4"/>
      <c r="H6790" s="5"/>
    </row>
    <row r="6791" spans="4:8" x14ac:dyDescent="0.25">
      <c r="D6791" s="4">
        <v>41422</v>
      </c>
      <c r="E6791" s="6">
        <v>103.77</v>
      </c>
      <c r="G6791" s="4"/>
      <c r="H6791" s="5"/>
    </row>
    <row r="6792" spans="4:8" x14ac:dyDescent="0.25">
      <c r="D6792" s="4">
        <v>41423</v>
      </c>
      <c r="E6792" s="6">
        <v>102.14</v>
      </c>
      <c r="G6792" s="4"/>
      <c r="H6792" s="5"/>
    </row>
    <row r="6793" spans="4:8" x14ac:dyDescent="0.25">
      <c r="D6793" s="4">
        <v>41424</v>
      </c>
      <c r="E6793" s="6">
        <v>101.79</v>
      </c>
      <c r="G6793" s="4"/>
      <c r="H6793" s="5"/>
    </row>
    <row r="6794" spans="4:8" x14ac:dyDescent="0.25">
      <c r="D6794" s="4">
        <v>41425</v>
      </c>
      <c r="E6794" s="6">
        <v>100.43</v>
      </c>
      <c r="G6794" s="4"/>
      <c r="H6794" s="5"/>
    </row>
    <row r="6795" spans="4:8" x14ac:dyDescent="0.25">
      <c r="D6795" s="4">
        <v>41428</v>
      </c>
      <c r="E6795" s="6">
        <v>101.63</v>
      </c>
      <c r="G6795" s="4"/>
      <c r="H6795" s="5"/>
    </row>
    <row r="6796" spans="4:8" x14ac:dyDescent="0.25">
      <c r="D6796" s="4">
        <v>41429</v>
      </c>
      <c r="E6796" s="6">
        <v>102.04</v>
      </c>
      <c r="G6796" s="4"/>
      <c r="H6796" s="5"/>
    </row>
    <row r="6797" spans="4:8" x14ac:dyDescent="0.25">
      <c r="D6797" s="4">
        <v>41430</v>
      </c>
      <c r="E6797" s="6">
        <v>103.51</v>
      </c>
      <c r="G6797" s="4"/>
      <c r="H6797" s="5"/>
    </row>
    <row r="6798" spans="4:8" x14ac:dyDescent="0.25">
      <c r="D6798" s="4">
        <v>41431</v>
      </c>
      <c r="E6798" s="6">
        <v>103.37</v>
      </c>
      <c r="G6798" s="4"/>
      <c r="H6798" s="5"/>
    </row>
    <row r="6799" spans="4:8" x14ac:dyDescent="0.25">
      <c r="D6799" s="4">
        <v>41432</v>
      </c>
      <c r="E6799" s="6">
        <v>104.07</v>
      </c>
      <c r="G6799" s="4"/>
      <c r="H6799" s="5"/>
    </row>
    <row r="6800" spans="4:8" x14ac:dyDescent="0.25">
      <c r="D6800" s="4">
        <v>41435</v>
      </c>
      <c r="E6800" s="6">
        <v>103.87</v>
      </c>
      <c r="G6800" s="4"/>
      <c r="H6800" s="5"/>
    </row>
    <row r="6801" spans="4:8" x14ac:dyDescent="0.25">
      <c r="D6801" s="4">
        <v>41436</v>
      </c>
      <c r="E6801" s="6">
        <v>101.5</v>
      </c>
      <c r="G6801" s="4"/>
      <c r="H6801" s="5"/>
    </row>
    <row r="6802" spans="4:8" x14ac:dyDescent="0.25">
      <c r="D6802" s="4">
        <v>41437</v>
      </c>
      <c r="E6802" s="6">
        <v>103.11</v>
      </c>
      <c r="G6802" s="4"/>
      <c r="H6802" s="5"/>
    </row>
    <row r="6803" spans="4:8" x14ac:dyDescent="0.25">
      <c r="D6803" s="4">
        <v>41438</v>
      </c>
      <c r="E6803" s="6">
        <v>103.38</v>
      </c>
      <c r="G6803" s="4"/>
      <c r="H6803" s="5"/>
    </row>
    <row r="6804" spans="4:8" x14ac:dyDescent="0.25">
      <c r="D6804" s="4">
        <v>41439</v>
      </c>
      <c r="E6804" s="6">
        <v>105.1</v>
      </c>
      <c r="G6804" s="4"/>
      <c r="H6804" s="5"/>
    </row>
    <row r="6805" spans="4:8" x14ac:dyDescent="0.25">
      <c r="D6805" s="4">
        <v>41442</v>
      </c>
      <c r="E6805" s="6">
        <v>105.8</v>
      </c>
      <c r="G6805" s="4"/>
      <c r="H6805" s="5"/>
    </row>
    <row r="6806" spans="4:8" x14ac:dyDescent="0.25">
      <c r="D6806" s="4">
        <v>41443</v>
      </c>
      <c r="E6806" s="6">
        <v>105.21</v>
      </c>
      <c r="G6806" s="4"/>
      <c r="H6806" s="5"/>
    </row>
    <row r="6807" spans="4:8" x14ac:dyDescent="0.25">
      <c r="D6807" s="4">
        <v>41444</v>
      </c>
      <c r="E6807" s="6">
        <v>105.56</v>
      </c>
      <c r="G6807" s="4"/>
      <c r="H6807" s="5"/>
    </row>
    <row r="6808" spans="4:8" x14ac:dyDescent="0.25">
      <c r="D6808" s="4">
        <v>41445</v>
      </c>
      <c r="E6808" s="6">
        <v>102.72</v>
      </c>
      <c r="G6808" s="4"/>
      <c r="H6808" s="5"/>
    </row>
    <row r="6809" spans="4:8" x14ac:dyDescent="0.25">
      <c r="D6809" s="4">
        <v>41446</v>
      </c>
      <c r="E6809" s="6">
        <v>100.36</v>
      </c>
      <c r="G6809" s="4"/>
      <c r="H6809" s="5"/>
    </row>
    <row r="6810" spans="4:8" x14ac:dyDescent="0.25">
      <c r="D6810" s="4">
        <v>41449</v>
      </c>
      <c r="E6810" s="6">
        <v>99.8</v>
      </c>
      <c r="G6810" s="4"/>
      <c r="H6810" s="5"/>
    </row>
    <row r="6811" spans="4:8" x14ac:dyDescent="0.25">
      <c r="D6811" s="4">
        <v>41450</v>
      </c>
      <c r="E6811" s="6">
        <v>101.51</v>
      </c>
      <c r="G6811" s="4"/>
      <c r="H6811" s="5"/>
    </row>
    <row r="6812" spans="4:8" x14ac:dyDescent="0.25">
      <c r="D6812" s="4">
        <v>41451</v>
      </c>
      <c r="E6812" s="6">
        <v>100.62</v>
      </c>
      <c r="G6812" s="4"/>
      <c r="H6812" s="5"/>
    </row>
    <row r="6813" spans="4:8" x14ac:dyDescent="0.25">
      <c r="D6813" s="4">
        <v>41452</v>
      </c>
      <c r="E6813" s="6">
        <v>102.74</v>
      </c>
      <c r="G6813" s="4"/>
      <c r="H6813" s="5"/>
    </row>
    <row r="6814" spans="4:8" x14ac:dyDescent="0.25">
      <c r="D6814" s="4">
        <v>41453</v>
      </c>
      <c r="E6814" s="6">
        <v>102.49</v>
      </c>
      <c r="G6814" s="4"/>
      <c r="H6814" s="5"/>
    </row>
    <row r="6815" spans="4:8" x14ac:dyDescent="0.25">
      <c r="D6815" s="4">
        <v>41456</v>
      </c>
      <c r="E6815" s="6">
        <v>103.19</v>
      </c>
      <c r="G6815" s="4"/>
      <c r="H6815" s="5"/>
    </row>
    <row r="6816" spans="4:8" x14ac:dyDescent="0.25">
      <c r="D6816" s="4">
        <v>41457</v>
      </c>
      <c r="E6816" s="6">
        <v>103.96</v>
      </c>
      <c r="G6816" s="4"/>
      <c r="H6816" s="5"/>
    </row>
    <row r="6817" spans="4:8" x14ac:dyDescent="0.25">
      <c r="D6817" s="4">
        <v>41458</v>
      </c>
      <c r="E6817" s="6">
        <v>106.12</v>
      </c>
      <c r="G6817" s="4"/>
      <c r="H6817" s="5"/>
    </row>
    <row r="6818" spans="4:8" x14ac:dyDescent="0.25">
      <c r="D6818" s="4">
        <v>41459</v>
      </c>
      <c r="E6818" s="5"/>
      <c r="G6818" s="4"/>
      <c r="H6818" s="5"/>
    </row>
    <row r="6819" spans="4:8" x14ac:dyDescent="0.25">
      <c r="D6819" s="4">
        <v>41460</v>
      </c>
      <c r="E6819" s="6">
        <v>107.46</v>
      </c>
      <c r="G6819" s="4"/>
      <c r="H6819" s="5"/>
    </row>
    <row r="6820" spans="4:8" x14ac:dyDescent="0.25">
      <c r="D6820" s="4">
        <v>41463</v>
      </c>
      <c r="E6820" s="6">
        <v>107.75</v>
      </c>
      <c r="G6820" s="4"/>
      <c r="H6820" s="5"/>
    </row>
    <row r="6821" spans="4:8" x14ac:dyDescent="0.25">
      <c r="D6821" s="4">
        <v>41464</v>
      </c>
      <c r="E6821" s="6">
        <v>107.9</v>
      </c>
      <c r="G6821" s="4"/>
      <c r="H6821" s="5"/>
    </row>
    <row r="6822" spans="4:8" x14ac:dyDescent="0.25">
      <c r="D6822" s="4">
        <v>41465</v>
      </c>
      <c r="E6822" s="6">
        <v>108.43</v>
      </c>
      <c r="G6822" s="4"/>
      <c r="H6822" s="5"/>
    </row>
    <row r="6823" spans="4:8" x14ac:dyDescent="0.25">
      <c r="D6823" s="4">
        <v>41466</v>
      </c>
      <c r="E6823" s="6">
        <v>108.18</v>
      </c>
      <c r="G6823" s="4"/>
      <c r="H6823" s="5"/>
    </row>
    <row r="6824" spans="4:8" x14ac:dyDescent="0.25">
      <c r="D6824" s="4">
        <v>41467</v>
      </c>
      <c r="E6824" s="6">
        <v>109.03</v>
      </c>
      <c r="G6824" s="4"/>
      <c r="H6824" s="5"/>
    </row>
    <row r="6825" spans="4:8" x14ac:dyDescent="0.25">
      <c r="D6825" s="4">
        <v>41470</v>
      </c>
      <c r="E6825" s="6">
        <v>109.05</v>
      </c>
      <c r="G6825" s="4"/>
      <c r="H6825" s="5"/>
    </row>
    <row r="6826" spans="4:8" x14ac:dyDescent="0.25">
      <c r="D6826" s="4">
        <v>41471</v>
      </c>
      <c r="E6826" s="6">
        <v>109.29</v>
      </c>
      <c r="G6826" s="4"/>
      <c r="H6826" s="5"/>
    </row>
    <row r="6827" spans="4:8" x14ac:dyDescent="0.25">
      <c r="D6827" s="4">
        <v>41472</v>
      </c>
      <c r="E6827" s="6">
        <v>109.67</v>
      </c>
      <c r="G6827" s="4"/>
      <c r="H6827" s="5"/>
    </row>
    <row r="6828" spans="4:8" x14ac:dyDescent="0.25">
      <c r="D6828" s="4">
        <v>41473</v>
      </c>
      <c r="E6828" s="6">
        <v>109.71</v>
      </c>
      <c r="G6828" s="4"/>
      <c r="H6828" s="5"/>
    </row>
    <row r="6829" spans="4:8" x14ac:dyDescent="0.25">
      <c r="D6829" s="4">
        <v>41474</v>
      </c>
      <c r="E6829" s="6">
        <v>109.34</v>
      </c>
      <c r="G6829" s="4"/>
      <c r="H6829" s="5"/>
    </row>
    <row r="6830" spans="4:8" x14ac:dyDescent="0.25">
      <c r="D6830" s="4">
        <v>41477</v>
      </c>
      <c r="E6830" s="6">
        <v>108.82</v>
      </c>
      <c r="G6830" s="4"/>
      <c r="H6830" s="5"/>
    </row>
    <row r="6831" spans="4:8" x14ac:dyDescent="0.25">
      <c r="D6831" s="4">
        <v>41478</v>
      </c>
      <c r="E6831" s="6">
        <v>109.27</v>
      </c>
      <c r="G6831" s="4"/>
      <c r="H6831" s="5"/>
    </row>
    <row r="6832" spans="4:8" x14ac:dyDescent="0.25">
      <c r="D6832" s="4">
        <v>41479</v>
      </c>
      <c r="E6832" s="6">
        <v>108.23</v>
      </c>
      <c r="G6832" s="4"/>
      <c r="H6832" s="5"/>
    </row>
    <row r="6833" spans="4:8" x14ac:dyDescent="0.25">
      <c r="D6833" s="4">
        <v>41480</v>
      </c>
      <c r="E6833" s="6">
        <v>108.1</v>
      </c>
      <c r="G6833" s="4"/>
      <c r="H6833" s="5"/>
    </row>
    <row r="6834" spans="4:8" x14ac:dyDescent="0.25">
      <c r="D6834" s="4">
        <v>41481</v>
      </c>
      <c r="E6834" s="6">
        <v>107.57</v>
      </c>
      <c r="G6834" s="4"/>
      <c r="H6834" s="5"/>
    </row>
    <row r="6835" spans="4:8" x14ac:dyDescent="0.25">
      <c r="D6835" s="4">
        <v>41484</v>
      </c>
      <c r="E6835" s="6">
        <v>108.1</v>
      </c>
      <c r="G6835" s="4"/>
      <c r="H6835" s="5"/>
    </row>
    <row r="6836" spans="4:8" x14ac:dyDescent="0.25">
      <c r="D6836" s="4">
        <v>41485</v>
      </c>
      <c r="E6836" s="6">
        <v>107.47</v>
      </c>
      <c r="G6836" s="4"/>
      <c r="H6836" s="5"/>
    </row>
    <row r="6837" spans="4:8" x14ac:dyDescent="0.25">
      <c r="D6837" s="4">
        <v>41486</v>
      </c>
      <c r="E6837" s="6">
        <v>107.89</v>
      </c>
      <c r="G6837" s="4"/>
      <c r="H6837" s="5"/>
    </row>
    <row r="6838" spans="4:8" x14ac:dyDescent="0.25">
      <c r="D6838" s="4">
        <v>41487</v>
      </c>
      <c r="E6838" s="6">
        <v>109.94</v>
      </c>
      <c r="G6838" s="4"/>
      <c r="H6838" s="5"/>
    </row>
    <row r="6839" spans="4:8" x14ac:dyDescent="0.25">
      <c r="D6839" s="4">
        <v>41488</v>
      </c>
      <c r="E6839" s="6">
        <v>109.63</v>
      </c>
      <c r="G6839" s="4"/>
      <c r="H6839" s="5"/>
    </row>
    <row r="6840" spans="4:8" x14ac:dyDescent="0.25">
      <c r="D6840" s="4">
        <v>41491</v>
      </c>
      <c r="E6840" s="6">
        <v>109.81</v>
      </c>
      <c r="G6840" s="4"/>
      <c r="H6840" s="5"/>
    </row>
    <row r="6841" spans="4:8" x14ac:dyDescent="0.25">
      <c r="D6841" s="4">
        <v>41492</v>
      </c>
      <c r="E6841" s="6">
        <v>108.77</v>
      </c>
      <c r="G6841" s="4"/>
      <c r="H6841" s="5"/>
    </row>
    <row r="6842" spans="4:8" x14ac:dyDescent="0.25">
      <c r="D6842" s="4">
        <v>41493</v>
      </c>
      <c r="E6842" s="6">
        <v>108.39</v>
      </c>
      <c r="G6842" s="4"/>
      <c r="H6842" s="5"/>
    </row>
    <row r="6843" spans="4:8" x14ac:dyDescent="0.25">
      <c r="D6843" s="4">
        <v>41494</v>
      </c>
      <c r="E6843" s="6">
        <v>107.32</v>
      </c>
      <c r="G6843" s="4"/>
      <c r="H6843" s="5"/>
    </row>
    <row r="6844" spans="4:8" x14ac:dyDescent="0.25">
      <c r="D6844" s="4">
        <v>41495</v>
      </c>
      <c r="E6844" s="6">
        <v>108.49</v>
      </c>
      <c r="G6844" s="4"/>
      <c r="H6844" s="5"/>
    </row>
    <row r="6845" spans="4:8" x14ac:dyDescent="0.25">
      <c r="D6845" s="4">
        <v>41498</v>
      </c>
      <c r="E6845" s="6">
        <v>109.28</v>
      </c>
      <c r="G6845" s="4"/>
      <c r="H6845" s="5"/>
    </row>
    <row r="6846" spans="4:8" x14ac:dyDescent="0.25">
      <c r="D6846" s="4">
        <v>41499</v>
      </c>
      <c r="E6846" s="6">
        <v>110.69</v>
      </c>
      <c r="G6846" s="4"/>
      <c r="H6846" s="5"/>
    </row>
    <row r="6847" spans="4:8" x14ac:dyDescent="0.25">
      <c r="D6847" s="4">
        <v>41500</v>
      </c>
      <c r="E6847" s="6">
        <v>110.26</v>
      </c>
      <c r="G6847" s="4"/>
      <c r="H6847" s="5"/>
    </row>
    <row r="6848" spans="4:8" x14ac:dyDescent="0.25">
      <c r="D6848" s="4">
        <v>41501</v>
      </c>
      <c r="E6848" s="6">
        <v>111.58</v>
      </c>
      <c r="G6848" s="4"/>
      <c r="H6848" s="5"/>
    </row>
    <row r="6849" spans="4:8" x14ac:dyDescent="0.25">
      <c r="D6849" s="4">
        <v>41502</v>
      </c>
      <c r="E6849" s="6">
        <v>111.82</v>
      </c>
      <c r="G6849" s="4"/>
      <c r="H6849" s="5"/>
    </row>
    <row r="6850" spans="4:8" x14ac:dyDescent="0.25">
      <c r="D6850" s="4">
        <v>41505</v>
      </c>
      <c r="E6850" s="6">
        <v>111.41</v>
      </c>
      <c r="G6850" s="4"/>
      <c r="H6850" s="5"/>
    </row>
    <row r="6851" spans="4:8" x14ac:dyDescent="0.25">
      <c r="D6851" s="4">
        <v>41506</v>
      </c>
      <c r="E6851" s="6">
        <v>110.74</v>
      </c>
      <c r="G6851" s="4"/>
      <c r="H6851" s="5"/>
    </row>
    <row r="6852" spans="4:8" x14ac:dyDescent="0.25">
      <c r="D6852" s="4">
        <v>41507</v>
      </c>
      <c r="E6852" s="6">
        <v>110.82</v>
      </c>
      <c r="G6852" s="4"/>
      <c r="H6852" s="5"/>
    </row>
    <row r="6853" spans="4:8" x14ac:dyDescent="0.25">
      <c r="D6853" s="4">
        <v>41508</v>
      </c>
      <c r="E6853" s="6">
        <v>110.51</v>
      </c>
      <c r="G6853" s="4"/>
      <c r="H6853" s="5"/>
    </row>
    <row r="6854" spans="4:8" x14ac:dyDescent="0.25">
      <c r="D6854" s="4">
        <v>41509</v>
      </c>
      <c r="E6854" s="6">
        <v>112.12</v>
      </c>
      <c r="G6854" s="4"/>
      <c r="H6854" s="5"/>
    </row>
    <row r="6855" spans="4:8" x14ac:dyDescent="0.25">
      <c r="D6855" s="4">
        <v>41512</v>
      </c>
      <c r="E6855" s="6">
        <v>112.23</v>
      </c>
      <c r="G6855" s="4"/>
      <c r="H6855" s="5"/>
    </row>
    <row r="6856" spans="4:8" x14ac:dyDescent="0.25">
      <c r="D6856" s="4">
        <v>41513</v>
      </c>
      <c r="E6856" s="6">
        <v>115.21</v>
      </c>
      <c r="G6856" s="4"/>
      <c r="H6856" s="5"/>
    </row>
    <row r="6857" spans="4:8" x14ac:dyDescent="0.25">
      <c r="D6857" s="4">
        <v>41514</v>
      </c>
      <c r="E6857" s="6">
        <v>116.27</v>
      </c>
      <c r="G6857" s="4"/>
      <c r="H6857" s="5"/>
    </row>
    <row r="6858" spans="4:8" x14ac:dyDescent="0.25">
      <c r="D6858" s="4">
        <v>41515</v>
      </c>
      <c r="E6858" s="6">
        <v>116.91</v>
      </c>
      <c r="G6858" s="4"/>
      <c r="H6858" s="5"/>
    </row>
    <row r="6859" spans="4:8" x14ac:dyDescent="0.25">
      <c r="D6859" s="4">
        <v>41516</v>
      </c>
      <c r="E6859" s="6">
        <v>115.97</v>
      </c>
      <c r="G6859" s="4"/>
      <c r="H6859" s="5"/>
    </row>
    <row r="6860" spans="4:8" x14ac:dyDescent="0.25">
      <c r="D6860" s="4">
        <v>41519</v>
      </c>
      <c r="E6860" s="5"/>
      <c r="G6860" s="4"/>
      <c r="H6860" s="5"/>
    </row>
    <row r="6861" spans="4:8" x14ac:dyDescent="0.25">
      <c r="D6861" s="4">
        <v>41520</v>
      </c>
      <c r="E6861" s="6">
        <v>115.49</v>
      </c>
      <c r="G6861" s="4"/>
      <c r="H6861" s="5"/>
    </row>
    <row r="6862" spans="4:8" x14ac:dyDescent="0.25">
      <c r="D6862" s="4">
        <v>41521</v>
      </c>
      <c r="E6862" s="6">
        <v>115.65</v>
      </c>
      <c r="G6862" s="4"/>
      <c r="H6862" s="5"/>
    </row>
    <row r="6863" spans="4:8" x14ac:dyDescent="0.25">
      <c r="D6863" s="4">
        <v>41522</v>
      </c>
      <c r="E6863" s="6">
        <v>115.81</v>
      </c>
      <c r="G6863" s="4"/>
      <c r="H6863" s="5"/>
    </row>
    <row r="6864" spans="4:8" x14ac:dyDescent="0.25">
      <c r="D6864" s="4">
        <v>41523</v>
      </c>
      <c r="E6864" s="6">
        <v>117.15</v>
      </c>
      <c r="G6864" s="4"/>
      <c r="H6864" s="5"/>
    </row>
    <row r="6865" spans="4:8" x14ac:dyDescent="0.25">
      <c r="D6865" s="4">
        <v>41526</v>
      </c>
      <c r="E6865" s="6">
        <v>115.2</v>
      </c>
      <c r="G6865" s="4"/>
      <c r="H6865" s="5"/>
    </row>
    <row r="6866" spans="4:8" x14ac:dyDescent="0.25">
      <c r="D6866" s="4">
        <v>41527</v>
      </c>
      <c r="E6866" s="6">
        <v>112.1</v>
      </c>
      <c r="G6866" s="4"/>
      <c r="H6866" s="5"/>
    </row>
    <row r="6867" spans="4:8" x14ac:dyDescent="0.25">
      <c r="D6867" s="4">
        <v>41528</v>
      </c>
      <c r="E6867" s="6">
        <v>112.37</v>
      </c>
      <c r="G6867" s="4"/>
      <c r="H6867" s="5"/>
    </row>
    <row r="6868" spans="4:8" x14ac:dyDescent="0.25">
      <c r="D6868" s="4">
        <v>41529</v>
      </c>
      <c r="E6868" s="6">
        <v>113.11</v>
      </c>
      <c r="G6868" s="4"/>
      <c r="H6868" s="5"/>
    </row>
    <row r="6869" spans="4:8" x14ac:dyDescent="0.25">
      <c r="D6869" s="4">
        <v>41530</v>
      </c>
      <c r="E6869" s="6">
        <v>113.31</v>
      </c>
      <c r="G6869" s="4"/>
      <c r="H6869" s="5"/>
    </row>
    <row r="6870" spans="4:8" x14ac:dyDescent="0.25">
      <c r="D6870" s="4">
        <v>41533</v>
      </c>
      <c r="E6870" s="6">
        <v>110.86</v>
      </c>
      <c r="G6870" s="4"/>
      <c r="H6870" s="5"/>
    </row>
    <row r="6871" spans="4:8" x14ac:dyDescent="0.25">
      <c r="D6871" s="4">
        <v>41534</v>
      </c>
      <c r="E6871" s="6">
        <v>109.05</v>
      </c>
      <c r="G6871" s="4"/>
      <c r="H6871" s="5"/>
    </row>
    <row r="6872" spans="4:8" x14ac:dyDescent="0.25">
      <c r="D6872" s="4">
        <v>41535</v>
      </c>
      <c r="E6872" s="6">
        <v>109.09</v>
      </c>
      <c r="G6872" s="4"/>
      <c r="H6872" s="5"/>
    </row>
    <row r="6873" spans="4:8" x14ac:dyDescent="0.25">
      <c r="D6873" s="4">
        <v>41536</v>
      </c>
      <c r="E6873" s="6">
        <v>110.66</v>
      </c>
      <c r="G6873" s="4"/>
      <c r="H6873" s="5"/>
    </row>
    <row r="6874" spans="4:8" x14ac:dyDescent="0.25">
      <c r="D6874" s="4">
        <v>41537</v>
      </c>
      <c r="E6874" s="6">
        <v>110.22</v>
      </c>
      <c r="G6874" s="4"/>
      <c r="H6874" s="5"/>
    </row>
    <row r="6875" spans="4:8" x14ac:dyDescent="0.25">
      <c r="D6875" s="4">
        <v>41540</v>
      </c>
      <c r="E6875" s="6">
        <v>108.56</v>
      </c>
      <c r="G6875" s="4"/>
      <c r="H6875" s="5"/>
    </row>
    <row r="6876" spans="4:8" x14ac:dyDescent="0.25">
      <c r="D6876" s="4">
        <v>41541</v>
      </c>
      <c r="E6876" s="6">
        <v>107.68</v>
      </c>
      <c r="G6876" s="4"/>
      <c r="H6876" s="5"/>
    </row>
    <row r="6877" spans="4:8" x14ac:dyDescent="0.25">
      <c r="D6877" s="4">
        <v>41542</v>
      </c>
      <c r="E6877" s="6">
        <v>109.46</v>
      </c>
      <c r="G6877" s="4"/>
      <c r="H6877" s="5"/>
    </row>
    <row r="6878" spans="4:8" x14ac:dyDescent="0.25">
      <c r="D6878" s="4">
        <v>41543</v>
      </c>
      <c r="E6878" s="6">
        <v>108.86</v>
      </c>
      <c r="G6878" s="4"/>
      <c r="H6878" s="5"/>
    </row>
    <row r="6879" spans="4:8" x14ac:dyDescent="0.25">
      <c r="D6879" s="4">
        <v>41544</v>
      </c>
      <c r="E6879" s="6">
        <v>109.45</v>
      </c>
      <c r="G6879" s="4"/>
      <c r="H6879" s="5"/>
    </row>
    <row r="6880" spans="4:8" x14ac:dyDescent="0.25">
      <c r="D6880" s="4">
        <v>41547</v>
      </c>
      <c r="E6880" s="6">
        <v>107.85</v>
      </c>
      <c r="G6880" s="4"/>
      <c r="H6880" s="5"/>
    </row>
    <row r="6881" spans="4:8" x14ac:dyDescent="0.25">
      <c r="D6881" s="4">
        <v>41548</v>
      </c>
      <c r="E6881" s="6">
        <v>107.32</v>
      </c>
      <c r="G6881" s="4"/>
      <c r="H6881" s="5"/>
    </row>
    <row r="6882" spans="4:8" x14ac:dyDescent="0.25">
      <c r="D6882" s="4">
        <v>41549</v>
      </c>
      <c r="E6882" s="6">
        <v>109.09</v>
      </c>
      <c r="G6882" s="4"/>
      <c r="H6882" s="5"/>
    </row>
    <row r="6883" spans="4:8" x14ac:dyDescent="0.25">
      <c r="D6883" s="4">
        <v>41550</v>
      </c>
      <c r="E6883" s="6">
        <v>109.49</v>
      </c>
      <c r="G6883" s="4"/>
      <c r="H6883" s="5"/>
    </row>
    <row r="6884" spans="4:8" x14ac:dyDescent="0.25">
      <c r="D6884" s="4">
        <v>41551</v>
      </c>
      <c r="E6884" s="6">
        <v>109.42</v>
      </c>
      <c r="G6884" s="4"/>
      <c r="H6884" s="5"/>
    </row>
    <row r="6885" spans="4:8" x14ac:dyDescent="0.25">
      <c r="D6885" s="4">
        <v>41554</v>
      </c>
      <c r="E6885" s="6">
        <v>109.66</v>
      </c>
      <c r="G6885" s="4"/>
      <c r="H6885" s="5"/>
    </row>
    <row r="6886" spans="4:8" x14ac:dyDescent="0.25">
      <c r="D6886" s="4">
        <v>41555</v>
      </c>
      <c r="E6886" s="6">
        <v>110.56</v>
      </c>
      <c r="G6886" s="4"/>
      <c r="H6886" s="5"/>
    </row>
    <row r="6887" spans="4:8" x14ac:dyDescent="0.25">
      <c r="D6887" s="4">
        <v>41556</v>
      </c>
      <c r="E6887" s="6">
        <v>109.02</v>
      </c>
      <c r="G6887" s="4"/>
      <c r="H6887" s="5"/>
    </row>
    <row r="6888" spans="4:8" x14ac:dyDescent="0.25">
      <c r="D6888" s="4">
        <v>41557</v>
      </c>
      <c r="E6888" s="6">
        <v>111.63</v>
      </c>
      <c r="G6888" s="4"/>
      <c r="H6888" s="5"/>
    </row>
    <row r="6889" spans="4:8" x14ac:dyDescent="0.25">
      <c r="D6889" s="4">
        <v>41558</v>
      </c>
      <c r="E6889" s="6">
        <v>110.65</v>
      </c>
      <c r="G6889" s="4"/>
      <c r="H6889" s="5"/>
    </row>
    <row r="6890" spans="4:8" x14ac:dyDescent="0.25">
      <c r="D6890" s="4">
        <v>41561</v>
      </c>
      <c r="E6890" s="6">
        <v>110.13</v>
      </c>
      <c r="G6890" s="4"/>
      <c r="H6890" s="5"/>
    </row>
    <row r="6891" spans="4:8" x14ac:dyDescent="0.25">
      <c r="D6891" s="4">
        <v>41562</v>
      </c>
      <c r="E6891" s="6">
        <v>110.67</v>
      </c>
      <c r="G6891" s="4"/>
      <c r="H6891" s="5"/>
    </row>
    <row r="6892" spans="4:8" x14ac:dyDescent="0.25">
      <c r="D6892" s="4">
        <v>41563</v>
      </c>
      <c r="E6892" s="6">
        <v>110.79</v>
      </c>
      <c r="G6892" s="4"/>
      <c r="H6892" s="5"/>
    </row>
    <row r="6893" spans="4:8" x14ac:dyDescent="0.25">
      <c r="D6893" s="4">
        <v>41564</v>
      </c>
      <c r="E6893" s="6">
        <v>109.55</v>
      </c>
      <c r="G6893" s="4"/>
      <c r="H6893" s="5"/>
    </row>
    <row r="6894" spans="4:8" x14ac:dyDescent="0.25">
      <c r="D6894" s="4">
        <v>41565</v>
      </c>
      <c r="E6894" s="6">
        <v>109.4</v>
      </c>
      <c r="G6894" s="4"/>
      <c r="H6894" s="5"/>
    </row>
    <row r="6895" spans="4:8" x14ac:dyDescent="0.25">
      <c r="D6895" s="4">
        <v>41568</v>
      </c>
      <c r="E6895" s="6">
        <v>109.47</v>
      </c>
      <c r="G6895" s="4"/>
      <c r="H6895" s="5"/>
    </row>
    <row r="6896" spans="4:8" x14ac:dyDescent="0.25">
      <c r="D6896" s="4">
        <v>41569</v>
      </c>
      <c r="E6896" s="6">
        <v>109.57</v>
      </c>
      <c r="G6896" s="4"/>
      <c r="H6896" s="5"/>
    </row>
    <row r="6897" spans="4:8" x14ac:dyDescent="0.25">
      <c r="D6897" s="4">
        <v>41570</v>
      </c>
      <c r="E6897" s="6">
        <v>107.74</v>
      </c>
      <c r="G6897" s="4"/>
      <c r="H6897" s="5"/>
    </row>
    <row r="6898" spans="4:8" x14ac:dyDescent="0.25">
      <c r="D6898" s="4">
        <v>41571</v>
      </c>
      <c r="E6898" s="6">
        <v>106.63</v>
      </c>
      <c r="G6898" s="4"/>
      <c r="H6898" s="5"/>
    </row>
    <row r="6899" spans="4:8" x14ac:dyDescent="0.25">
      <c r="D6899" s="4">
        <v>41572</v>
      </c>
      <c r="E6899" s="6">
        <v>105.7</v>
      </c>
      <c r="G6899" s="4"/>
      <c r="H6899" s="5"/>
    </row>
    <row r="6900" spans="4:8" x14ac:dyDescent="0.25">
      <c r="D6900" s="4">
        <v>41575</v>
      </c>
      <c r="E6900" s="6">
        <v>108.29</v>
      </c>
      <c r="G6900" s="4"/>
      <c r="H6900" s="5"/>
    </row>
    <row r="6901" spans="4:8" x14ac:dyDescent="0.25">
      <c r="D6901" s="4">
        <v>41576</v>
      </c>
      <c r="E6901" s="6">
        <v>108.04</v>
      </c>
      <c r="G6901" s="4"/>
      <c r="H6901" s="5"/>
    </row>
    <row r="6902" spans="4:8" x14ac:dyDescent="0.25">
      <c r="D6902" s="4">
        <v>41577</v>
      </c>
      <c r="E6902" s="6">
        <v>108.41</v>
      </c>
      <c r="G6902" s="4"/>
      <c r="H6902" s="5"/>
    </row>
    <row r="6903" spans="4:8" x14ac:dyDescent="0.25">
      <c r="D6903" s="4">
        <v>41578</v>
      </c>
      <c r="E6903" s="6">
        <v>107.53</v>
      </c>
      <c r="G6903" s="4"/>
      <c r="H6903" s="5"/>
    </row>
    <row r="6904" spans="4:8" x14ac:dyDescent="0.25">
      <c r="D6904" s="4">
        <v>41579</v>
      </c>
      <c r="E6904" s="6">
        <v>105.78</v>
      </c>
      <c r="G6904" s="4"/>
      <c r="H6904" s="5"/>
    </row>
    <row r="6905" spans="4:8" x14ac:dyDescent="0.25">
      <c r="D6905" s="4">
        <v>41582</v>
      </c>
      <c r="E6905" s="6">
        <v>104.85</v>
      </c>
      <c r="G6905" s="4"/>
      <c r="H6905" s="5"/>
    </row>
    <row r="6906" spans="4:8" x14ac:dyDescent="0.25">
      <c r="D6906" s="4">
        <v>41583</v>
      </c>
      <c r="E6906" s="6">
        <v>105.01</v>
      </c>
      <c r="G6906" s="4"/>
      <c r="H6906" s="5"/>
    </row>
    <row r="6907" spans="4:8" x14ac:dyDescent="0.25">
      <c r="D6907" s="4">
        <v>41584</v>
      </c>
      <c r="E6907" s="6">
        <v>105.46</v>
      </c>
      <c r="G6907" s="4"/>
      <c r="H6907" s="5"/>
    </row>
    <row r="6908" spans="4:8" x14ac:dyDescent="0.25">
      <c r="D6908" s="4">
        <v>41585</v>
      </c>
      <c r="E6908" s="6">
        <v>103.08</v>
      </c>
      <c r="G6908" s="4"/>
      <c r="H6908" s="5"/>
    </row>
    <row r="6909" spans="4:8" x14ac:dyDescent="0.25">
      <c r="D6909" s="4">
        <v>41586</v>
      </c>
      <c r="E6909" s="6">
        <v>104.29</v>
      </c>
      <c r="G6909" s="4"/>
      <c r="H6909" s="5"/>
    </row>
    <row r="6910" spans="4:8" x14ac:dyDescent="0.25">
      <c r="D6910" s="4">
        <v>41589</v>
      </c>
      <c r="E6910" s="6">
        <v>105.76</v>
      </c>
      <c r="G6910" s="4"/>
      <c r="H6910" s="5"/>
    </row>
    <row r="6911" spans="4:8" x14ac:dyDescent="0.25">
      <c r="D6911" s="4">
        <v>41590</v>
      </c>
      <c r="E6911" s="6">
        <v>106.29</v>
      </c>
      <c r="G6911" s="4"/>
      <c r="H6911" s="5"/>
    </row>
    <row r="6912" spans="4:8" x14ac:dyDescent="0.25">
      <c r="D6912" s="4">
        <v>41591</v>
      </c>
      <c r="E6912" s="6">
        <v>106.9</v>
      </c>
      <c r="G6912" s="4"/>
      <c r="H6912" s="5"/>
    </row>
    <row r="6913" spans="4:8" x14ac:dyDescent="0.25">
      <c r="D6913" s="4">
        <v>41592</v>
      </c>
      <c r="E6913" s="6">
        <v>108.29</v>
      </c>
      <c r="G6913" s="4"/>
      <c r="H6913" s="5"/>
    </row>
    <row r="6914" spans="4:8" x14ac:dyDescent="0.25">
      <c r="D6914" s="4">
        <v>41593</v>
      </c>
      <c r="E6914" s="6">
        <v>108.25</v>
      </c>
      <c r="G6914" s="4"/>
      <c r="H6914" s="5"/>
    </row>
    <row r="6915" spans="4:8" x14ac:dyDescent="0.25">
      <c r="D6915" s="4">
        <v>41596</v>
      </c>
      <c r="E6915" s="6">
        <v>108.8</v>
      </c>
      <c r="G6915" s="4"/>
      <c r="H6915" s="5"/>
    </row>
    <row r="6916" spans="4:8" x14ac:dyDescent="0.25">
      <c r="D6916" s="4">
        <v>41597</v>
      </c>
      <c r="E6916" s="6">
        <v>108.29</v>
      </c>
      <c r="G6916" s="4"/>
      <c r="H6916" s="5"/>
    </row>
    <row r="6917" spans="4:8" x14ac:dyDescent="0.25">
      <c r="D6917" s="4">
        <v>41598</v>
      </c>
      <c r="E6917" s="6">
        <v>108.27</v>
      </c>
      <c r="G6917" s="4"/>
      <c r="H6917" s="5"/>
    </row>
    <row r="6918" spans="4:8" x14ac:dyDescent="0.25">
      <c r="D6918" s="4">
        <v>41599</v>
      </c>
      <c r="E6918" s="6">
        <v>109.9</v>
      </c>
      <c r="G6918" s="4"/>
      <c r="H6918" s="5"/>
    </row>
    <row r="6919" spans="4:8" x14ac:dyDescent="0.25">
      <c r="D6919" s="4">
        <v>41600</v>
      </c>
      <c r="E6919" s="6">
        <v>111.36</v>
      </c>
      <c r="G6919" s="4"/>
      <c r="H6919" s="5"/>
    </row>
    <row r="6920" spans="4:8" x14ac:dyDescent="0.25">
      <c r="D6920" s="4">
        <v>41603</v>
      </c>
      <c r="E6920" s="6">
        <v>110.83</v>
      </c>
      <c r="G6920" s="4"/>
      <c r="H6920" s="5"/>
    </row>
    <row r="6921" spans="4:8" x14ac:dyDescent="0.25">
      <c r="D6921" s="4">
        <v>41604</v>
      </c>
      <c r="E6921" s="6">
        <v>112.04</v>
      </c>
      <c r="G6921" s="4"/>
      <c r="H6921" s="5"/>
    </row>
    <row r="6922" spans="4:8" x14ac:dyDescent="0.25">
      <c r="D6922" s="4">
        <v>41605</v>
      </c>
      <c r="E6922" s="6">
        <v>111.32</v>
      </c>
      <c r="G6922" s="4"/>
      <c r="H6922" s="5"/>
    </row>
    <row r="6923" spans="4:8" x14ac:dyDescent="0.25">
      <c r="D6923" s="4">
        <v>41606</v>
      </c>
      <c r="E6923" s="5"/>
      <c r="G6923" s="4"/>
      <c r="H6923" s="5"/>
    </row>
    <row r="6924" spans="4:8" x14ac:dyDescent="0.25">
      <c r="D6924" s="4">
        <v>41607</v>
      </c>
      <c r="E6924" s="6">
        <v>111.07</v>
      </c>
      <c r="G6924" s="4"/>
      <c r="H6924" s="5"/>
    </row>
    <row r="6925" spans="4:8" x14ac:dyDescent="0.25">
      <c r="D6925" s="4">
        <v>41610</v>
      </c>
      <c r="E6925" s="6">
        <v>111.49</v>
      </c>
      <c r="G6925" s="4"/>
      <c r="H6925" s="5"/>
    </row>
    <row r="6926" spans="4:8" x14ac:dyDescent="0.25">
      <c r="D6926" s="4">
        <v>41611</v>
      </c>
      <c r="E6926" s="6">
        <v>113.06</v>
      </c>
      <c r="G6926" s="4"/>
      <c r="H6926" s="5"/>
    </row>
    <row r="6927" spans="4:8" x14ac:dyDescent="0.25">
      <c r="D6927" s="4">
        <v>41612</v>
      </c>
      <c r="E6927" s="6">
        <v>113.27</v>
      </c>
      <c r="G6927" s="4"/>
      <c r="H6927" s="5"/>
    </row>
    <row r="6928" spans="4:8" x14ac:dyDescent="0.25">
      <c r="D6928" s="4">
        <v>41613</v>
      </c>
      <c r="E6928" s="6">
        <v>112.07</v>
      </c>
      <c r="G6928" s="4"/>
      <c r="H6928" s="5"/>
    </row>
    <row r="6929" spans="4:8" x14ac:dyDescent="0.25">
      <c r="D6929" s="4">
        <v>41614</v>
      </c>
      <c r="E6929" s="6">
        <v>111.5</v>
      </c>
      <c r="G6929" s="4"/>
      <c r="H6929" s="5"/>
    </row>
    <row r="6930" spans="4:8" x14ac:dyDescent="0.25">
      <c r="D6930" s="4">
        <v>41617</v>
      </c>
      <c r="E6930" s="6">
        <v>110.07</v>
      </c>
      <c r="G6930" s="4"/>
      <c r="H6930" s="5"/>
    </row>
    <row r="6931" spans="4:8" x14ac:dyDescent="0.25">
      <c r="D6931" s="4">
        <v>41618</v>
      </c>
      <c r="E6931" s="6">
        <v>108.91</v>
      </c>
      <c r="G6931" s="4"/>
      <c r="H6931" s="5"/>
    </row>
    <row r="6932" spans="4:8" x14ac:dyDescent="0.25">
      <c r="D6932" s="4">
        <v>41619</v>
      </c>
      <c r="E6932" s="6">
        <v>109.47</v>
      </c>
      <c r="G6932" s="4"/>
      <c r="H6932" s="5"/>
    </row>
    <row r="6933" spans="4:8" x14ac:dyDescent="0.25">
      <c r="D6933" s="4">
        <v>41620</v>
      </c>
      <c r="E6933" s="6">
        <v>108.99</v>
      </c>
      <c r="G6933" s="4"/>
      <c r="H6933" s="5"/>
    </row>
    <row r="6934" spans="4:8" x14ac:dyDescent="0.25">
      <c r="D6934" s="4">
        <v>41621</v>
      </c>
      <c r="E6934" s="6">
        <v>108.08</v>
      </c>
      <c r="G6934" s="4"/>
      <c r="H6934" s="5"/>
    </row>
    <row r="6935" spans="4:8" x14ac:dyDescent="0.25">
      <c r="D6935" s="4">
        <v>41624</v>
      </c>
      <c r="E6935" s="6">
        <v>110.3</v>
      </c>
      <c r="G6935" s="4"/>
      <c r="H6935" s="5"/>
    </row>
    <row r="6936" spans="4:8" x14ac:dyDescent="0.25">
      <c r="D6936" s="4">
        <v>41625</v>
      </c>
      <c r="E6936" s="6">
        <v>108.91</v>
      </c>
      <c r="G6936" s="4"/>
      <c r="H6936" s="5"/>
    </row>
    <row r="6937" spans="4:8" x14ac:dyDescent="0.25">
      <c r="D6937" s="4">
        <v>41626</v>
      </c>
      <c r="E6937" s="6">
        <v>109.56</v>
      </c>
      <c r="G6937" s="4"/>
      <c r="H6937" s="5"/>
    </row>
    <row r="6938" spans="4:8" x14ac:dyDescent="0.25">
      <c r="D6938" s="4">
        <v>41627</v>
      </c>
      <c r="E6938" s="6">
        <v>110.78</v>
      </c>
      <c r="G6938" s="4"/>
      <c r="H6938" s="5"/>
    </row>
    <row r="6939" spans="4:8" x14ac:dyDescent="0.25">
      <c r="D6939" s="4">
        <v>41628</v>
      </c>
      <c r="E6939" s="6">
        <v>112.15</v>
      </c>
      <c r="G6939" s="4"/>
      <c r="H6939" s="5"/>
    </row>
    <row r="6940" spans="4:8" x14ac:dyDescent="0.25">
      <c r="D6940" s="4">
        <v>41631</v>
      </c>
      <c r="E6940" s="6">
        <v>111.58</v>
      </c>
      <c r="G6940" s="4"/>
      <c r="H6940" s="5"/>
    </row>
    <row r="6941" spans="4:8" x14ac:dyDescent="0.25">
      <c r="D6941" s="4">
        <v>41632</v>
      </c>
      <c r="E6941" s="6">
        <v>111.57</v>
      </c>
      <c r="G6941" s="4"/>
      <c r="H6941" s="5"/>
    </row>
    <row r="6942" spans="4:8" x14ac:dyDescent="0.25">
      <c r="D6942" s="4">
        <v>41633</v>
      </c>
      <c r="E6942" s="5"/>
      <c r="G6942" s="4"/>
      <c r="H6942" s="5"/>
    </row>
    <row r="6943" spans="4:8" x14ac:dyDescent="0.25">
      <c r="D6943" s="4">
        <v>41634</v>
      </c>
      <c r="E6943" s="6">
        <v>111.65</v>
      </c>
      <c r="G6943" s="4"/>
      <c r="H6943" s="5"/>
    </row>
    <row r="6944" spans="4:8" x14ac:dyDescent="0.25">
      <c r="D6944" s="4">
        <v>41635</v>
      </c>
      <c r="E6944" s="6">
        <v>112.06</v>
      </c>
      <c r="G6944" s="4"/>
      <c r="H6944" s="5"/>
    </row>
    <row r="6945" spans="4:8" x14ac:dyDescent="0.25">
      <c r="D6945" s="4">
        <v>41638</v>
      </c>
      <c r="E6945" s="6">
        <v>110.47</v>
      </c>
      <c r="G6945" s="4"/>
      <c r="H6945" s="5"/>
    </row>
    <row r="6946" spans="4:8" x14ac:dyDescent="0.25">
      <c r="D6946" s="4">
        <v>41639</v>
      </c>
      <c r="E6946" s="6">
        <v>109.95</v>
      </c>
      <c r="G6946" s="4"/>
      <c r="H6946" s="5"/>
    </row>
    <row r="6947" spans="4:8" x14ac:dyDescent="0.25">
      <c r="D6947" s="4">
        <v>41640</v>
      </c>
      <c r="E6947" s="5"/>
      <c r="G6947" s="4"/>
      <c r="H6947" s="5"/>
    </row>
    <row r="6948" spans="4:8" x14ac:dyDescent="0.25">
      <c r="D6948" s="4">
        <v>41641</v>
      </c>
      <c r="E6948" s="6">
        <v>107.94</v>
      </c>
      <c r="G6948" s="4"/>
      <c r="H6948" s="5"/>
    </row>
    <row r="6949" spans="4:8" x14ac:dyDescent="0.25">
      <c r="D6949" s="4">
        <v>41642</v>
      </c>
      <c r="E6949" s="6">
        <v>106.57</v>
      </c>
      <c r="G6949" s="4"/>
      <c r="H6949" s="5"/>
    </row>
    <row r="6950" spans="4:8" x14ac:dyDescent="0.25">
      <c r="D6950" s="4">
        <v>41645</v>
      </c>
      <c r="E6950" s="6">
        <v>106.71</v>
      </c>
      <c r="G6950" s="4"/>
      <c r="H6950" s="5"/>
    </row>
    <row r="6951" spans="4:8" x14ac:dyDescent="0.25">
      <c r="D6951" s="4">
        <v>41646</v>
      </c>
      <c r="E6951" s="6">
        <v>107.01</v>
      </c>
      <c r="G6951" s="4"/>
      <c r="H6951" s="5"/>
    </row>
    <row r="6952" spans="4:8" x14ac:dyDescent="0.25">
      <c r="D6952" s="4">
        <v>41647</v>
      </c>
      <c r="E6952" s="6">
        <v>107.42</v>
      </c>
      <c r="G6952" s="4"/>
      <c r="H6952" s="5"/>
    </row>
    <row r="6953" spans="4:8" x14ac:dyDescent="0.25">
      <c r="D6953" s="4">
        <v>41648</v>
      </c>
      <c r="E6953" s="6">
        <v>107.49</v>
      </c>
      <c r="G6953" s="4"/>
      <c r="H6953" s="5"/>
    </row>
    <row r="6954" spans="4:8" x14ac:dyDescent="0.25">
      <c r="D6954" s="4">
        <v>41649</v>
      </c>
      <c r="E6954" s="6">
        <v>106.44</v>
      </c>
      <c r="G6954" s="4"/>
      <c r="H6954" s="5"/>
    </row>
    <row r="6955" spans="4:8" x14ac:dyDescent="0.25">
      <c r="D6955" s="4">
        <v>41652</v>
      </c>
      <c r="E6955" s="6">
        <v>108.02</v>
      </c>
      <c r="G6955" s="4"/>
      <c r="H6955" s="5"/>
    </row>
    <row r="6956" spans="4:8" x14ac:dyDescent="0.25">
      <c r="D6956" s="4">
        <v>41653</v>
      </c>
      <c r="E6956" s="6">
        <v>107.12</v>
      </c>
      <c r="G6956" s="4"/>
      <c r="H6956" s="5"/>
    </row>
    <row r="6957" spans="4:8" x14ac:dyDescent="0.25">
      <c r="D6957" s="4">
        <v>41654</v>
      </c>
      <c r="E6957" s="6">
        <v>108.09</v>
      </c>
      <c r="G6957" s="4"/>
      <c r="H6957" s="5"/>
    </row>
    <row r="6958" spans="4:8" x14ac:dyDescent="0.25">
      <c r="D6958" s="4">
        <v>41655</v>
      </c>
      <c r="E6958" s="6">
        <v>107.46</v>
      </c>
      <c r="G6958" s="4"/>
      <c r="H6958" s="5"/>
    </row>
    <row r="6959" spans="4:8" x14ac:dyDescent="0.25">
      <c r="D6959" s="4">
        <v>41656</v>
      </c>
      <c r="E6959" s="6">
        <v>108.45</v>
      </c>
      <c r="G6959" s="4"/>
      <c r="H6959" s="5"/>
    </row>
    <row r="6960" spans="4:8" x14ac:dyDescent="0.25">
      <c r="D6960" s="4">
        <v>41659</v>
      </c>
      <c r="E6960" s="6">
        <v>108.01</v>
      </c>
      <c r="G6960" s="4"/>
      <c r="H6960" s="5"/>
    </row>
    <row r="6961" spans="4:8" x14ac:dyDescent="0.25">
      <c r="D6961" s="4">
        <v>41660</v>
      </c>
      <c r="E6961" s="6">
        <v>109.17</v>
      </c>
      <c r="G6961" s="4"/>
      <c r="H6961" s="5"/>
    </row>
    <row r="6962" spans="4:8" x14ac:dyDescent="0.25">
      <c r="D6962" s="4">
        <v>41661</v>
      </c>
      <c r="E6962" s="6">
        <v>109.69</v>
      </c>
      <c r="G6962" s="4"/>
      <c r="H6962" s="5"/>
    </row>
    <row r="6963" spans="4:8" x14ac:dyDescent="0.25">
      <c r="D6963" s="4">
        <v>41662</v>
      </c>
      <c r="E6963" s="6">
        <v>109.69</v>
      </c>
      <c r="G6963" s="4"/>
      <c r="H6963" s="5"/>
    </row>
    <row r="6964" spans="4:8" x14ac:dyDescent="0.25">
      <c r="D6964" s="4">
        <v>41663</v>
      </c>
      <c r="E6964" s="6">
        <v>109.14</v>
      </c>
      <c r="G6964" s="4"/>
      <c r="H6964" s="5"/>
    </row>
    <row r="6965" spans="4:8" x14ac:dyDescent="0.25">
      <c r="D6965" s="4">
        <v>41666</v>
      </c>
      <c r="E6965" s="6">
        <v>108.72</v>
      </c>
      <c r="G6965" s="4"/>
      <c r="H6965" s="5"/>
    </row>
    <row r="6966" spans="4:8" x14ac:dyDescent="0.25">
      <c r="D6966" s="4">
        <v>41667</v>
      </c>
      <c r="E6966" s="6">
        <v>109.1</v>
      </c>
      <c r="G6966" s="4"/>
      <c r="H6966" s="5"/>
    </row>
    <row r="6967" spans="4:8" x14ac:dyDescent="0.25">
      <c r="D6967" s="4">
        <v>41668</v>
      </c>
      <c r="E6967" s="6">
        <v>108.83</v>
      </c>
      <c r="G6967" s="4"/>
      <c r="H6967" s="5"/>
    </row>
    <row r="6968" spans="4:8" x14ac:dyDescent="0.25">
      <c r="D6968" s="4">
        <v>41669</v>
      </c>
      <c r="E6968" s="6">
        <v>109.36</v>
      </c>
      <c r="G6968" s="4"/>
      <c r="H6968" s="5"/>
    </row>
    <row r="6969" spans="4:8" x14ac:dyDescent="0.25">
      <c r="D6969" s="4">
        <v>41670</v>
      </c>
      <c r="E6969" s="6">
        <v>108.16</v>
      </c>
      <c r="G6969" s="4"/>
      <c r="H6969" s="5"/>
    </row>
    <row r="6970" spans="4:8" x14ac:dyDescent="0.25">
      <c r="D6970" s="4">
        <v>41673</v>
      </c>
      <c r="E6970" s="6">
        <v>106.55</v>
      </c>
      <c r="G6970" s="4"/>
      <c r="H6970" s="5"/>
    </row>
    <row r="6971" spans="4:8" x14ac:dyDescent="0.25">
      <c r="D6971" s="4">
        <v>41674</v>
      </c>
      <c r="E6971" s="6">
        <v>107.04</v>
      </c>
      <c r="G6971" s="4"/>
      <c r="H6971" s="5"/>
    </row>
    <row r="6972" spans="4:8" x14ac:dyDescent="0.25">
      <c r="D6972" s="4">
        <v>41675</v>
      </c>
      <c r="E6972" s="6">
        <v>106.81</v>
      </c>
      <c r="G6972" s="4"/>
      <c r="H6972" s="5"/>
    </row>
    <row r="6973" spans="4:8" x14ac:dyDescent="0.25">
      <c r="D6973" s="4">
        <v>41676</v>
      </c>
      <c r="E6973" s="6">
        <v>108.15</v>
      </c>
      <c r="G6973" s="4"/>
      <c r="H6973" s="5"/>
    </row>
    <row r="6974" spans="4:8" x14ac:dyDescent="0.25">
      <c r="D6974" s="4">
        <v>41677</v>
      </c>
      <c r="E6974" s="6">
        <v>110.12</v>
      </c>
      <c r="G6974" s="4"/>
      <c r="H6974" s="5"/>
    </row>
    <row r="6975" spans="4:8" x14ac:dyDescent="0.25">
      <c r="D6975" s="4">
        <v>41680</v>
      </c>
      <c r="E6975" s="6">
        <v>110.18</v>
      </c>
      <c r="G6975" s="4"/>
      <c r="H6975" s="5"/>
    </row>
    <row r="6976" spans="4:8" x14ac:dyDescent="0.25">
      <c r="D6976" s="4">
        <v>41681</v>
      </c>
      <c r="E6976" s="6">
        <v>109.21</v>
      </c>
      <c r="G6976" s="4"/>
      <c r="H6976" s="5"/>
    </row>
    <row r="6977" spans="4:8" x14ac:dyDescent="0.25">
      <c r="D6977" s="4">
        <v>41682</v>
      </c>
      <c r="E6977" s="6">
        <v>108.62</v>
      </c>
      <c r="G6977" s="4"/>
      <c r="H6977" s="5"/>
    </row>
    <row r="6978" spans="4:8" x14ac:dyDescent="0.25">
      <c r="D6978" s="4">
        <v>41683</v>
      </c>
      <c r="E6978" s="6">
        <v>108.98</v>
      </c>
      <c r="G6978" s="4"/>
      <c r="H6978" s="5"/>
    </row>
    <row r="6979" spans="4:8" x14ac:dyDescent="0.25">
      <c r="D6979" s="4">
        <v>41684</v>
      </c>
      <c r="E6979" s="6">
        <v>108.63</v>
      </c>
      <c r="G6979" s="4"/>
      <c r="H6979" s="5"/>
    </row>
    <row r="6980" spans="4:8" x14ac:dyDescent="0.25">
      <c r="D6980" s="4">
        <v>41687</v>
      </c>
      <c r="E6980" s="5"/>
      <c r="G6980" s="4"/>
      <c r="H6980" s="5"/>
    </row>
    <row r="6981" spans="4:8" x14ac:dyDescent="0.25">
      <c r="D6981" s="4">
        <v>41688</v>
      </c>
      <c r="E6981" s="6">
        <v>110.14</v>
      </c>
      <c r="G6981" s="4"/>
      <c r="H6981" s="5"/>
    </row>
    <row r="6982" spans="4:8" x14ac:dyDescent="0.25">
      <c r="D6982" s="4">
        <v>41689</v>
      </c>
      <c r="E6982" s="6">
        <v>110.37</v>
      </c>
      <c r="G6982" s="4"/>
      <c r="H6982" s="5"/>
    </row>
    <row r="6983" spans="4:8" x14ac:dyDescent="0.25">
      <c r="D6983" s="4">
        <v>41690</v>
      </c>
      <c r="E6983" s="6">
        <v>109.42</v>
      </c>
      <c r="G6983" s="4"/>
      <c r="H6983" s="5"/>
    </row>
    <row r="6984" spans="4:8" x14ac:dyDescent="0.25">
      <c r="D6984" s="4">
        <v>41691</v>
      </c>
      <c r="E6984" s="6">
        <v>109.03</v>
      </c>
      <c r="G6984" s="4"/>
      <c r="H6984" s="5"/>
    </row>
    <row r="6985" spans="4:8" x14ac:dyDescent="0.25">
      <c r="D6985" s="4">
        <v>41694</v>
      </c>
      <c r="E6985" s="6">
        <v>109.76</v>
      </c>
      <c r="G6985" s="4"/>
      <c r="H6985" s="5"/>
    </row>
    <row r="6986" spans="4:8" x14ac:dyDescent="0.25">
      <c r="D6986" s="4">
        <v>41695</v>
      </c>
      <c r="E6986" s="6">
        <v>109.19</v>
      </c>
      <c r="G6986" s="4"/>
      <c r="H6986" s="5"/>
    </row>
    <row r="6987" spans="4:8" x14ac:dyDescent="0.25">
      <c r="D6987" s="4">
        <v>41696</v>
      </c>
      <c r="E6987" s="6">
        <v>109.39</v>
      </c>
      <c r="G6987" s="4"/>
      <c r="H6987" s="5"/>
    </row>
    <row r="6988" spans="4:8" x14ac:dyDescent="0.25">
      <c r="D6988" s="4">
        <v>41697</v>
      </c>
      <c r="E6988" s="6">
        <v>108.54</v>
      </c>
      <c r="G6988" s="4"/>
      <c r="H6988" s="5"/>
    </row>
    <row r="6989" spans="4:8" x14ac:dyDescent="0.25">
      <c r="D6989" s="4">
        <v>41698</v>
      </c>
      <c r="E6989" s="6">
        <v>108.98</v>
      </c>
      <c r="G6989" s="4"/>
      <c r="H6989" s="5"/>
    </row>
    <row r="6990" spans="4:8" x14ac:dyDescent="0.25">
      <c r="D6990" s="4">
        <v>41701</v>
      </c>
      <c r="E6990" s="6">
        <v>111.26</v>
      </c>
      <c r="G6990" s="4"/>
      <c r="H6990" s="5"/>
    </row>
    <row r="6991" spans="4:8" x14ac:dyDescent="0.25">
      <c r="D6991" s="4">
        <v>41702</v>
      </c>
      <c r="E6991" s="6">
        <v>109.17</v>
      </c>
      <c r="G6991" s="4"/>
      <c r="H6991" s="5"/>
    </row>
    <row r="6992" spans="4:8" x14ac:dyDescent="0.25">
      <c r="D6992" s="4">
        <v>41703</v>
      </c>
      <c r="E6992" s="6">
        <v>108.15</v>
      </c>
      <c r="G6992" s="4"/>
      <c r="H6992" s="5"/>
    </row>
    <row r="6993" spans="4:8" x14ac:dyDescent="0.25">
      <c r="D6993" s="4">
        <v>41704</v>
      </c>
      <c r="E6993" s="6">
        <v>107.99</v>
      </c>
      <c r="G6993" s="4"/>
      <c r="H6993" s="5"/>
    </row>
    <row r="6994" spans="4:8" x14ac:dyDescent="0.25">
      <c r="D6994" s="4">
        <v>41705</v>
      </c>
      <c r="E6994" s="6">
        <v>109.14</v>
      </c>
      <c r="G6994" s="4"/>
      <c r="H6994" s="5"/>
    </row>
    <row r="6995" spans="4:8" x14ac:dyDescent="0.25">
      <c r="D6995" s="4">
        <v>41708</v>
      </c>
      <c r="E6995" s="6">
        <v>108.27</v>
      </c>
      <c r="G6995" s="4"/>
      <c r="H6995" s="5"/>
    </row>
    <row r="6996" spans="4:8" x14ac:dyDescent="0.25">
      <c r="D6996" s="4">
        <v>41709</v>
      </c>
      <c r="E6996" s="6">
        <v>108.35</v>
      </c>
      <c r="G6996" s="4"/>
      <c r="H6996" s="5"/>
    </row>
    <row r="6997" spans="4:8" x14ac:dyDescent="0.25">
      <c r="D6997" s="4">
        <v>41710</v>
      </c>
      <c r="E6997" s="6">
        <v>107.88</v>
      </c>
      <c r="G6997" s="4"/>
      <c r="H6997" s="5"/>
    </row>
    <row r="6998" spans="4:8" x14ac:dyDescent="0.25">
      <c r="D6998" s="4">
        <v>41711</v>
      </c>
      <c r="E6998" s="6">
        <v>107.48</v>
      </c>
      <c r="G6998" s="4"/>
      <c r="H6998" s="5"/>
    </row>
    <row r="6999" spans="4:8" x14ac:dyDescent="0.25">
      <c r="D6999" s="4">
        <v>41712</v>
      </c>
      <c r="E6999" s="6">
        <v>108.08</v>
      </c>
      <c r="G6999" s="4"/>
      <c r="H6999" s="5"/>
    </row>
    <row r="7000" spans="4:8" x14ac:dyDescent="0.25">
      <c r="D7000" s="4">
        <v>41715</v>
      </c>
      <c r="E7000" s="6">
        <v>106.99</v>
      </c>
      <c r="G7000" s="4"/>
      <c r="H7000" s="5"/>
    </row>
    <row r="7001" spans="4:8" x14ac:dyDescent="0.25">
      <c r="D7001" s="4">
        <v>41716</v>
      </c>
      <c r="E7001" s="6">
        <v>106.79</v>
      </c>
      <c r="G7001" s="4"/>
      <c r="H7001" s="5"/>
    </row>
    <row r="7002" spans="4:8" x14ac:dyDescent="0.25">
      <c r="D7002" s="4">
        <v>41717</v>
      </c>
      <c r="E7002" s="6">
        <v>105.95</v>
      </c>
      <c r="G7002" s="4"/>
      <c r="H7002" s="5"/>
    </row>
    <row r="7003" spans="4:8" x14ac:dyDescent="0.25">
      <c r="D7003" s="4">
        <v>41718</v>
      </c>
      <c r="E7003" s="6">
        <v>105.73</v>
      </c>
      <c r="G7003" s="4"/>
      <c r="H7003" s="5"/>
    </row>
    <row r="7004" spans="4:8" x14ac:dyDescent="0.25">
      <c r="D7004" s="4">
        <v>41719</v>
      </c>
      <c r="E7004" s="6">
        <v>107.2</v>
      </c>
      <c r="G7004" s="4"/>
      <c r="H7004" s="5"/>
    </row>
    <row r="7005" spans="4:8" x14ac:dyDescent="0.25">
      <c r="D7005" s="4">
        <v>41722</v>
      </c>
      <c r="E7005" s="6">
        <v>106.59</v>
      </c>
      <c r="G7005" s="4"/>
      <c r="H7005" s="5"/>
    </row>
    <row r="7006" spans="4:8" x14ac:dyDescent="0.25">
      <c r="D7006" s="4">
        <v>41723</v>
      </c>
      <c r="E7006" s="6">
        <v>107.01</v>
      </c>
      <c r="G7006" s="4"/>
      <c r="H7006" s="5"/>
    </row>
    <row r="7007" spans="4:8" x14ac:dyDescent="0.25">
      <c r="D7007" s="4">
        <v>41724</v>
      </c>
      <c r="E7007" s="6">
        <v>105.9</v>
      </c>
      <c r="G7007" s="4"/>
      <c r="H7007" s="5"/>
    </row>
    <row r="7008" spans="4:8" x14ac:dyDescent="0.25">
      <c r="D7008" s="4">
        <v>41725</v>
      </c>
      <c r="E7008" s="6">
        <v>106.58</v>
      </c>
      <c r="G7008" s="4"/>
      <c r="H7008" s="5"/>
    </row>
    <row r="7009" spans="4:8" x14ac:dyDescent="0.25">
      <c r="D7009" s="4">
        <v>41726</v>
      </c>
      <c r="E7009" s="6">
        <v>106.64</v>
      </c>
      <c r="G7009" s="4"/>
      <c r="H7009" s="5"/>
    </row>
    <row r="7010" spans="4:8" x14ac:dyDescent="0.25">
      <c r="D7010" s="4">
        <v>41729</v>
      </c>
      <c r="E7010" s="6">
        <v>105.95</v>
      </c>
      <c r="G7010" s="4"/>
      <c r="H7010" s="5"/>
    </row>
    <row r="7011" spans="4:8" x14ac:dyDescent="0.25">
      <c r="D7011" s="4">
        <v>41730</v>
      </c>
      <c r="E7011" s="6">
        <v>105.7</v>
      </c>
      <c r="G7011" s="4"/>
      <c r="H7011" s="5"/>
    </row>
    <row r="7012" spans="4:8" x14ac:dyDescent="0.25">
      <c r="D7012" s="4">
        <v>41731</v>
      </c>
      <c r="E7012" s="6">
        <v>103.37</v>
      </c>
      <c r="G7012" s="4"/>
      <c r="H7012" s="5"/>
    </row>
    <row r="7013" spans="4:8" x14ac:dyDescent="0.25">
      <c r="D7013" s="4">
        <v>41732</v>
      </c>
      <c r="E7013" s="6">
        <v>104.88</v>
      </c>
      <c r="G7013" s="4"/>
      <c r="H7013" s="5"/>
    </row>
    <row r="7014" spans="4:8" x14ac:dyDescent="0.25">
      <c r="D7014" s="4">
        <v>41733</v>
      </c>
      <c r="E7014" s="6">
        <v>106.41</v>
      </c>
      <c r="G7014" s="4"/>
      <c r="H7014" s="5"/>
    </row>
    <row r="7015" spans="4:8" x14ac:dyDescent="0.25">
      <c r="D7015" s="4">
        <v>41736</v>
      </c>
      <c r="E7015" s="6">
        <v>104.89</v>
      </c>
      <c r="G7015" s="4"/>
      <c r="H7015" s="5"/>
    </row>
    <row r="7016" spans="4:8" x14ac:dyDescent="0.25">
      <c r="D7016" s="4">
        <v>41737</v>
      </c>
      <c r="E7016" s="6">
        <v>105.83</v>
      </c>
      <c r="G7016" s="4"/>
      <c r="H7016" s="5"/>
    </row>
    <row r="7017" spans="4:8" x14ac:dyDescent="0.25">
      <c r="D7017" s="4">
        <v>41738</v>
      </c>
      <c r="E7017" s="6">
        <v>107.39</v>
      </c>
      <c r="G7017" s="4"/>
      <c r="H7017" s="5"/>
    </row>
    <row r="7018" spans="4:8" x14ac:dyDescent="0.25">
      <c r="D7018" s="4">
        <v>41739</v>
      </c>
      <c r="E7018" s="6">
        <v>107.1</v>
      </c>
      <c r="G7018" s="4"/>
      <c r="H7018" s="5"/>
    </row>
    <row r="7019" spans="4:8" x14ac:dyDescent="0.25">
      <c r="D7019" s="4">
        <v>41740</v>
      </c>
      <c r="E7019" s="6">
        <v>107.34</v>
      </c>
      <c r="G7019" s="4"/>
      <c r="H7019" s="5"/>
    </row>
    <row r="7020" spans="4:8" x14ac:dyDescent="0.25">
      <c r="D7020" s="4">
        <v>41743</v>
      </c>
      <c r="E7020" s="6">
        <v>107.68</v>
      </c>
      <c r="G7020" s="4"/>
      <c r="H7020" s="5"/>
    </row>
    <row r="7021" spans="4:8" x14ac:dyDescent="0.25">
      <c r="D7021" s="4">
        <v>41744</v>
      </c>
      <c r="E7021" s="6">
        <v>109.1</v>
      </c>
      <c r="G7021" s="4"/>
      <c r="H7021" s="5"/>
    </row>
    <row r="7022" spans="4:8" x14ac:dyDescent="0.25">
      <c r="D7022" s="4">
        <v>41745</v>
      </c>
      <c r="E7022" s="6">
        <v>109.71</v>
      </c>
      <c r="G7022" s="4"/>
      <c r="H7022" s="5"/>
    </row>
    <row r="7023" spans="4:8" x14ac:dyDescent="0.25">
      <c r="D7023" s="4">
        <v>41746</v>
      </c>
      <c r="E7023" s="6">
        <v>109.79</v>
      </c>
      <c r="G7023" s="4"/>
      <c r="H7023" s="5"/>
    </row>
    <row r="7024" spans="4:8" x14ac:dyDescent="0.25">
      <c r="D7024" s="4">
        <v>41747</v>
      </c>
      <c r="E7024" s="5"/>
      <c r="G7024" s="4"/>
      <c r="H7024" s="5"/>
    </row>
    <row r="7025" spans="4:8" x14ac:dyDescent="0.25">
      <c r="D7025" s="4">
        <v>41750</v>
      </c>
      <c r="E7025" s="6">
        <v>109.69</v>
      </c>
      <c r="G7025" s="4"/>
      <c r="H7025" s="5"/>
    </row>
    <row r="7026" spans="4:8" x14ac:dyDescent="0.25">
      <c r="D7026" s="4">
        <v>41751</v>
      </c>
      <c r="E7026" s="6">
        <v>108.54</v>
      </c>
      <c r="G7026" s="4"/>
      <c r="H7026" s="5"/>
    </row>
    <row r="7027" spans="4:8" x14ac:dyDescent="0.25">
      <c r="D7027" s="4">
        <v>41752</v>
      </c>
      <c r="E7027" s="6">
        <v>108.48</v>
      </c>
      <c r="G7027" s="4"/>
      <c r="H7027" s="5"/>
    </row>
    <row r="7028" spans="4:8" x14ac:dyDescent="0.25">
      <c r="D7028" s="4">
        <v>41753</v>
      </c>
      <c r="E7028" s="6">
        <v>109.79</v>
      </c>
      <c r="G7028" s="4"/>
      <c r="H7028" s="5"/>
    </row>
    <row r="7029" spans="4:8" x14ac:dyDescent="0.25">
      <c r="D7029" s="4">
        <v>41754</v>
      </c>
      <c r="E7029" s="6">
        <v>109.53</v>
      </c>
      <c r="G7029" s="4"/>
      <c r="H7029" s="5"/>
    </row>
    <row r="7030" spans="4:8" x14ac:dyDescent="0.25">
      <c r="D7030" s="4">
        <v>41757</v>
      </c>
      <c r="E7030" s="6">
        <v>109.12</v>
      </c>
      <c r="G7030" s="4"/>
      <c r="H7030" s="5"/>
    </row>
    <row r="7031" spans="4:8" x14ac:dyDescent="0.25">
      <c r="D7031" s="4">
        <v>41758</v>
      </c>
      <c r="E7031" s="6">
        <v>109.89</v>
      </c>
      <c r="G7031" s="4"/>
      <c r="H7031" s="5"/>
    </row>
    <row r="7032" spans="4:8" x14ac:dyDescent="0.25">
      <c r="D7032" s="4">
        <v>41759</v>
      </c>
      <c r="E7032" s="6">
        <v>108.63</v>
      </c>
      <c r="G7032" s="4"/>
      <c r="H7032" s="5"/>
    </row>
    <row r="7033" spans="4:8" x14ac:dyDescent="0.25">
      <c r="D7033" s="4">
        <v>41760</v>
      </c>
      <c r="E7033" s="6">
        <v>108.63</v>
      </c>
      <c r="G7033" s="4"/>
      <c r="H7033" s="5"/>
    </row>
    <row r="7034" spans="4:8" x14ac:dyDescent="0.25">
      <c r="D7034" s="4">
        <v>41761</v>
      </c>
      <c r="E7034" s="6">
        <v>109.48</v>
      </c>
      <c r="G7034" s="4"/>
      <c r="H7034" s="5"/>
    </row>
    <row r="7035" spans="4:8" x14ac:dyDescent="0.25">
      <c r="D7035" s="4">
        <v>41764</v>
      </c>
      <c r="E7035" s="6">
        <v>109.48</v>
      </c>
      <c r="G7035" s="4"/>
      <c r="H7035" s="5"/>
    </row>
    <row r="7036" spans="4:8" x14ac:dyDescent="0.25">
      <c r="D7036" s="4">
        <v>41765</v>
      </c>
      <c r="E7036" s="6">
        <v>108.3</v>
      </c>
      <c r="G7036" s="4"/>
      <c r="H7036" s="5"/>
    </row>
    <row r="7037" spans="4:8" x14ac:dyDescent="0.25">
      <c r="D7037" s="4">
        <v>41766</v>
      </c>
      <c r="E7037" s="6">
        <v>108.17</v>
      </c>
      <c r="G7037" s="4"/>
      <c r="H7037" s="5"/>
    </row>
    <row r="7038" spans="4:8" x14ac:dyDescent="0.25">
      <c r="D7038" s="4">
        <v>41767</v>
      </c>
      <c r="E7038" s="6">
        <v>108.19</v>
      </c>
      <c r="G7038" s="4"/>
      <c r="H7038" s="5"/>
    </row>
    <row r="7039" spans="4:8" x14ac:dyDescent="0.25">
      <c r="D7039" s="4">
        <v>41768</v>
      </c>
      <c r="E7039" s="6">
        <v>108.26</v>
      </c>
      <c r="G7039" s="4"/>
      <c r="H7039" s="5"/>
    </row>
    <row r="7040" spans="4:8" x14ac:dyDescent="0.25">
      <c r="D7040" s="4">
        <v>41771</v>
      </c>
      <c r="E7040" s="6">
        <v>108.37</v>
      </c>
      <c r="G7040" s="4"/>
      <c r="H7040" s="5"/>
    </row>
    <row r="7041" spans="4:8" x14ac:dyDescent="0.25">
      <c r="D7041" s="4">
        <v>41772</v>
      </c>
      <c r="E7041" s="6">
        <v>108.78</v>
      </c>
      <c r="G7041" s="4"/>
      <c r="H7041" s="5"/>
    </row>
    <row r="7042" spans="4:8" x14ac:dyDescent="0.25">
      <c r="D7042" s="4">
        <v>41773</v>
      </c>
      <c r="E7042" s="6">
        <v>109.87</v>
      </c>
      <c r="G7042" s="4"/>
      <c r="H7042" s="5"/>
    </row>
    <row r="7043" spans="4:8" x14ac:dyDescent="0.25">
      <c r="D7043" s="4">
        <v>41774</v>
      </c>
      <c r="E7043" s="6">
        <v>109.74</v>
      </c>
      <c r="G7043" s="4"/>
      <c r="H7043" s="5"/>
    </row>
    <row r="7044" spans="4:8" x14ac:dyDescent="0.25">
      <c r="D7044" s="4">
        <v>41775</v>
      </c>
      <c r="E7044" s="6">
        <v>110.9</v>
      </c>
      <c r="G7044" s="4"/>
      <c r="H7044" s="5"/>
    </row>
    <row r="7045" spans="4:8" x14ac:dyDescent="0.25">
      <c r="D7045" s="4">
        <v>41778</v>
      </c>
      <c r="E7045" s="6">
        <v>110.84</v>
      </c>
      <c r="G7045" s="4"/>
      <c r="H7045" s="5"/>
    </row>
    <row r="7046" spans="4:8" x14ac:dyDescent="0.25">
      <c r="D7046" s="4">
        <v>41779</v>
      </c>
      <c r="E7046" s="6">
        <v>110.35</v>
      </c>
      <c r="G7046" s="4"/>
      <c r="H7046" s="5"/>
    </row>
    <row r="7047" spans="4:8" x14ac:dyDescent="0.25">
      <c r="D7047" s="4">
        <v>41780</v>
      </c>
      <c r="E7047" s="6">
        <v>111.32</v>
      </c>
      <c r="G7047" s="4"/>
      <c r="H7047" s="5"/>
    </row>
    <row r="7048" spans="4:8" x14ac:dyDescent="0.25">
      <c r="D7048" s="4">
        <v>41781</v>
      </c>
      <c r="E7048" s="6">
        <v>110.89</v>
      </c>
      <c r="G7048" s="4"/>
      <c r="H7048" s="5"/>
    </row>
    <row r="7049" spans="4:8" x14ac:dyDescent="0.25">
      <c r="D7049" s="4">
        <v>41782</v>
      </c>
      <c r="E7049" s="6">
        <v>110.19</v>
      </c>
      <c r="G7049" s="4"/>
      <c r="H7049" s="5"/>
    </row>
    <row r="7050" spans="4:8" x14ac:dyDescent="0.25">
      <c r="D7050" s="4">
        <v>41785</v>
      </c>
      <c r="E7050" s="6">
        <v>110.01</v>
      </c>
      <c r="G7050" s="4"/>
      <c r="H7050" s="5"/>
    </row>
    <row r="7051" spans="4:8" x14ac:dyDescent="0.25">
      <c r="D7051" s="4">
        <v>41786</v>
      </c>
      <c r="E7051" s="6">
        <v>109.81</v>
      </c>
      <c r="G7051" s="4"/>
      <c r="H7051" s="5"/>
    </row>
    <row r="7052" spans="4:8" x14ac:dyDescent="0.25">
      <c r="D7052" s="4">
        <v>41787</v>
      </c>
      <c r="E7052" s="6">
        <v>109.09</v>
      </c>
      <c r="G7052" s="4"/>
      <c r="H7052" s="5"/>
    </row>
    <row r="7053" spans="4:8" x14ac:dyDescent="0.25">
      <c r="D7053" s="4">
        <v>41788</v>
      </c>
      <c r="E7053" s="6">
        <v>109.98</v>
      </c>
      <c r="G7053" s="4"/>
      <c r="H7053" s="5"/>
    </row>
    <row r="7054" spans="4:8" x14ac:dyDescent="0.25">
      <c r="D7054" s="4">
        <v>41789</v>
      </c>
      <c r="E7054" s="6">
        <v>109.21</v>
      </c>
      <c r="G7054" s="4"/>
      <c r="H7054" s="5"/>
    </row>
    <row r="7055" spans="4:8" x14ac:dyDescent="0.25">
      <c r="D7055" s="4">
        <v>41792</v>
      </c>
      <c r="E7055" s="6">
        <v>109.34</v>
      </c>
      <c r="G7055" s="4"/>
      <c r="H7055" s="5"/>
    </row>
    <row r="7056" spans="4:8" x14ac:dyDescent="0.25">
      <c r="D7056" s="4">
        <v>41793</v>
      </c>
      <c r="E7056" s="6">
        <v>108.87</v>
      </c>
      <c r="G7056" s="4"/>
      <c r="H7056" s="5"/>
    </row>
    <row r="7057" spans="4:8" x14ac:dyDescent="0.25">
      <c r="D7057" s="4">
        <v>41794</v>
      </c>
      <c r="E7057" s="6">
        <v>109.07</v>
      </c>
      <c r="G7057" s="4"/>
      <c r="H7057" s="5"/>
    </row>
    <row r="7058" spans="4:8" x14ac:dyDescent="0.25">
      <c r="D7058" s="4">
        <v>41795</v>
      </c>
      <c r="E7058" s="6">
        <v>108.43</v>
      </c>
      <c r="G7058" s="4"/>
      <c r="H7058" s="5"/>
    </row>
    <row r="7059" spans="4:8" x14ac:dyDescent="0.25">
      <c r="D7059" s="4">
        <v>41796</v>
      </c>
      <c r="E7059" s="6">
        <v>109.21</v>
      </c>
      <c r="G7059" s="4"/>
      <c r="H7059" s="5"/>
    </row>
    <row r="7060" spans="4:8" x14ac:dyDescent="0.25">
      <c r="D7060" s="4">
        <v>41799</v>
      </c>
      <c r="E7060" s="6">
        <v>110.55</v>
      </c>
      <c r="G7060" s="4"/>
      <c r="H7060" s="5"/>
    </row>
    <row r="7061" spans="4:8" x14ac:dyDescent="0.25">
      <c r="D7061" s="4">
        <v>41800</v>
      </c>
      <c r="E7061" s="6">
        <v>109.18</v>
      </c>
      <c r="G7061" s="4"/>
      <c r="H7061" s="5"/>
    </row>
    <row r="7062" spans="4:8" x14ac:dyDescent="0.25">
      <c r="D7062" s="4">
        <v>41801</v>
      </c>
      <c r="E7062" s="6">
        <v>109.83</v>
      </c>
      <c r="G7062" s="4"/>
      <c r="H7062" s="5"/>
    </row>
    <row r="7063" spans="4:8" x14ac:dyDescent="0.25">
      <c r="D7063" s="4">
        <v>41802</v>
      </c>
      <c r="E7063" s="6">
        <v>112.18</v>
      </c>
      <c r="G7063" s="4"/>
      <c r="H7063" s="5"/>
    </row>
    <row r="7064" spans="4:8" x14ac:dyDescent="0.25">
      <c r="D7064" s="4">
        <v>41803</v>
      </c>
      <c r="E7064" s="6">
        <v>113.15</v>
      </c>
      <c r="G7064" s="4"/>
      <c r="H7064" s="5"/>
    </row>
    <row r="7065" spans="4:8" x14ac:dyDescent="0.25">
      <c r="D7065" s="4">
        <v>41806</v>
      </c>
      <c r="E7065" s="6">
        <v>113.42</v>
      </c>
      <c r="G7065" s="4"/>
      <c r="H7065" s="5"/>
    </row>
    <row r="7066" spans="4:8" x14ac:dyDescent="0.25">
      <c r="D7066" s="4">
        <v>41807</v>
      </c>
      <c r="E7066" s="6">
        <v>114.02</v>
      </c>
      <c r="G7066" s="4"/>
      <c r="H7066" s="5"/>
    </row>
    <row r="7067" spans="4:8" x14ac:dyDescent="0.25">
      <c r="D7067" s="4">
        <v>41808</v>
      </c>
      <c r="E7067" s="6">
        <v>114.25</v>
      </c>
      <c r="G7067" s="4"/>
      <c r="H7067" s="5"/>
    </row>
    <row r="7068" spans="4:8" x14ac:dyDescent="0.25">
      <c r="D7068" s="4">
        <v>41809</v>
      </c>
      <c r="E7068" s="6">
        <v>115.19</v>
      </c>
      <c r="G7068" s="4"/>
      <c r="H7068" s="5"/>
    </row>
    <row r="7069" spans="4:8" x14ac:dyDescent="0.25">
      <c r="D7069" s="4">
        <v>41810</v>
      </c>
      <c r="E7069" s="6">
        <v>114.55</v>
      </c>
      <c r="G7069" s="4"/>
      <c r="H7069" s="5"/>
    </row>
    <row r="7070" spans="4:8" x14ac:dyDescent="0.25">
      <c r="D7070" s="4">
        <v>41813</v>
      </c>
      <c r="E7070" s="6">
        <v>113.62</v>
      </c>
      <c r="G7070" s="4"/>
      <c r="H7070" s="5"/>
    </row>
    <row r="7071" spans="4:8" x14ac:dyDescent="0.25">
      <c r="D7071" s="4">
        <v>41814</v>
      </c>
      <c r="E7071" s="6">
        <v>113.74</v>
      </c>
      <c r="G7071" s="4"/>
      <c r="H7071" s="5"/>
    </row>
    <row r="7072" spans="4:8" x14ac:dyDescent="0.25">
      <c r="D7072" s="4">
        <v>41815</v>
      </c>
      <c r="E7072" s="6">
        <v>112.84</v>
      </c>
      <c r="G7072" s="4"/>
      <c r="H7072" s="5"/>
    </row>
    <row r="7073" spans="4:8" x14ac:dyDescent="0.25">
      <c r="D7073" s="4">
        <v>41816</v>
      </c>
      <c r="E7073" s="6">
        <v>112.61</v>
      </c>
      <c r="G7073" s="4"/>
      <c r="H7073" s="5"/>
    </row>
    <row r="7074" spans="4:8" x14ac:dyDescent="0.25">
      <c r="D7074" s="4">
        <v>41817</v>
      </c>
      <c r="E7074" s="6">
        <v>112.62</v>
      </c>
      <c r="G7074" s="4"/>
      <c r="H7074" s="5"/>
    </row>
    <row r="7075" spans="4:8" x14ac:dyDescent="0.25">
      <c r="D7075" s="4">
        <v>41820</v>
      </c>
      <c r="E7075" s="6">
        <v>111.03</v>
      </c>
      <c r="G7075" s="4"/>
      <c r="H7075" s="5"/>
    </row>
    <row r="7076" spans="4:8" x14ac:dyDescent="0.25">
      <c r="D7076" s="4">
        <v>41821</v>
      </c>
      <c r="E7076" s="6">
        <v>110.84</v>
      </c>
      <c r="G7076" s="4"/>
      <c r="H7076" s="5"/>
    </row>
    <row r="7077" spans="4:8" x14ac:dyDescent="0.25">
      <c r="D7077" s="4">
        <v>41822</v>
      </c>
      <c r="E7077" s="6">
        <v>110.18</v>
      </c>
      <c r="G7077" s="4"/>
      <c r="H7077" s="5"/>
    </row>
    <row r="7078" spans="4:8" x14ac:dyDescent="0.25">
      <c r="D7078" s="4">
        <v>41823</v>
      </c>
      <c r="E7078" s="6">
        <v>108.98</v>
      </c>
      <c r="G7078" s="4"/>
      <c r="H7078" s="5"/>
    </row>
    <row r="7079" spans="4:8" x14ac:dyDescent="0.25">
      <c r="D7079" s="4">
        <v>41824</v>
      </c>
      <c r="E7079" s="5"/>
      <c r="G7079" s="4"/>
      <c r="H7079" s="5"/>
    </row>
    <row r="7080" spans="4:8" x14ac:dyDescent="0.25">
      <c r="D7080" s="4">
        <v>41827</v>
      </c>
      <c r="E7080" s="6">
        <v>108.7</v>
      </c>
      <c r="G7080" s="4"/>
      <c r="H7080" s="5"/>
    </row>
    <row r="7081" spans="4:8" x14ac:dyDescent="0.25">
      <c r="D7081" s="4">
        <v>41828</v>
      </c>
      <c r="E7081" s="6">
        <v>107.65</v>
      </c>
      <c r="G7081" s="4"/>
      <c r="H7081" s="5"/>
    </row>
    <row r="7082" spans="4:8" x14ac:dyDescent="0.25">
      <c r="D7082" s="4">
        <v>41829</v>
      </c>
      <c r="E7082" s="6">
        <v>106.84</v>
      </c>
      <c r="G7082" s="4"/>
      <c r="H7082" s="5"/>
    </row>
    <row r="7083" spans="4:8" x14ac:dyDescent="0.25">
      <c r="D7083" s="4">
        <v>41830</v>
      </c>
      <c r="E7083" s="6">
        <v>106.2</v>
      </c>
      <c r="G7083" s="4"/>
      <c r="H7083" s="5"/>
    </row>
    <row r="7084" spans="4:8" x14ac:dyDescent="0.25">
      <c r="D7084" s="4">
        <v>41831</v>
      </c>
      <c r="E7084" s="6">
        <v>105.77</v>
      </c>
      <c r="G7084" s="4"/>
      <c r="H7084" s="5"/>
    </row>
    <row r="7085" spans="4:8" x14ac:dyDescent="0.25">
      <c r="D7085" s="4">
        <v>41834</v>
      </c>
      <c r="E7085" s="6">
        <v>104.73</v>
      </c>
      <c r="G7085" s="4"/>
      <c r="H7085" s="5"/>
    </row>
    <row r="7086" spans="4:8" x14ac:dyDescent="0.25">
      <c r="D7086" s="4">
        <v>41835</v>
      </c>
      <c r="E7086" s="6">
        <v>104.73</v>
      </c>
      <c r="G7086" s="4"/>
      <c r="H7086" s="5"/>
    </row>
    <row r="7087" spans="4:8" x14ac:dyDescent="0.25">
      <c r="D7087" s="4">
        <v>41836</v>
      </c>
      <c r="E7087" s="6">
        <v>105.41</v>
      </c>
      <c r="G7087" s="4"/>
      <c r="H7087" s="5"/>
    </row>
    <row r="7088" spans="4:8" x14ac:dyDescent="0.25">
      <c r="D7088" s="4">
        <v>41837</v>
      </c>
      <c r="E7088" s="6">
        <v>106.04</v>
      </c>
      <c r="G7088" s="4"/>
      <c r="H7088" s="5"/>
    </row>
    <row r="7089" spans="4:8" x14ac:dyDescent="0.25">
      <c r="D7089" s="4">
        <v>41838</v>
      </c>
      <c r="E7089" s="6">
        <v>106.03</v>
      </c>
      <c r="G7089" s="4"/>
      <c r="H7089" s="5"/>
    </row>
    <row r="7090" spans="4:8" x14ac:dyDescent="0.25">
      <c r="D7090" s="4">
        <v>41841</v>
      </c>
      <c r="E7090" s="6">
        <v>105.71</v>
      </c>
      <c r="G7090" s="4"/>
      <c r="H7090" s="5"/>
    </row>
    <row r="7091" spans="4:8" x14ac:dyDescent="0.25">
      <c r="D7091" s="4">
        <v>41842</v>
      </c>
      <c r="E7091" s="6">
        <v>106.48</v>
      </c>
      <c r="G7091" s="4"/>
      <c r="H7091" s="5"/>
    </row>
    <row r="7092" spans="4:8" x14ac:dyDescent="0.25">
      <c r="D7092" s="4">
        <v>41843</v>
      </c>
      <c r="E7092" s="6">
        <v>106.85</v>
      </c>
      <c r="G7092" s="4"/>
      <c r="H7092" s="5"/>
    </row>
    <row r="7093" spans="4:8" x14ac:dyDescent="0.25">
      <c r="D7093" s="4">
        <v>41844</v>
      </c>
      <c r="E7093" s="6">
        <v>105.78</v>
      </c>
      <c r="G7093" s="4"/>
      <c r="H7093" s="5"/>
    </row>
    <row r="7094" spans="4:8" x14ac:dyDescent="0.25">
      <c r="D7094" s="4">
        <v>41845</v>
      </c>
      <c r="E7094" s="6">
        <v>106.89</v>
      </c>
      <c r="G7094" s="4"/>
      <c r="H7094" s="5"/>
    </row>
    <row r="7095" spans="4:8" x14ac:dyDescent="0.25">
      <c r="D7095" s="4">
        <v>41848</v>
      </c>
      <c r="E7095" s="6">
        <v>106.7</v>
      </c>
      <c r="G7095" s="4"/>
      <c r="H7095" s="5"/>
    </row>
    <row r="7096" spans="4:8" x14ac:dyDescent="0.25">
      <c r="D7096" s="4">
        <v>41849</v>
      </c>
      <c r="E7096" s="6">
        <v>106.98</v>
      </c>
      <c r="G7096" s="4"/>
      <c r="H7096" s="5"/>
    </row>
    <row r="7097" spans="4:8" x14ac:dyDescent="0.25">
      <c r="D7097" s="4">
        <v>41850</v>
      </c>
      <c r="E7097" s="6">
        <v>106.47</v>
      </c>
      <c r="G7097" s="4"/>
      <c r="H7097" s="5"/>
    </row>
    <row r="7098" spans="4:8" x14ac:dyDescent="0.25">
      <c r="D7098" s="4">
        <v>41851</v>
      </c>
      <c r="E7098" s="6">
        <v>104.94</v>
      </c>
      <c r="G7098" s="4"/>
      <c r="H7098" s="5"/>
    </row>
    <row r="7099" spans="4:8" x14ac:dyDescent="0.25">
      <c r="D7099" s="4">
        <v>41852</v>
      </c>
      <c r="E7099" s="6">
        <v>103.45</v>
      </c>
      <c r="G7099" s="4"/>
      <c r="H7099" s="5"/>
    </row>
    <row r="7100" spans="4:8" x14ac:dyDescent="0.25">
      <c r="D7100" s="4">
        <v>41855</v>
      </c>
      <c r="E7100" s="6">
        <v>103.63</v>
      </c>
      <c r="G7100" s="4"/>
      <c r="H7100" s="5"/>
    </row>
    <row r="7101" spans="4:8" x14ac:dyDescent="0.25">
      <c r="D7101" s="4">
        <v>41856</v>
      </c>
      <c r="E7101" s="6">
        <v>102.82</v>
      </c>
      <c r="G7101" s="4"/>
      <c r="H7101" s="5"/>
    </row>
    <row r="7102" spans="4:8" x14ac:dyDescent="0.25">
      <c r="D7102" s="4">
        <v>41857</v>
      </c>
      <c r="E7102" s="6">
        <v>104.17</v>
      </c>
      <c r="G7102" s="4"/>
      <c r="H7102" s="5"/>
    </row>
    <row r="7103" spans="4:8" x14ac:dyDescent="0.25">
      <c r="D7103" s="4">
        <v>41858</v>
      </c>
      <c r="E7103" s="6">
        <v>104.02</v>
      </c>
      <c r="G7103" s="4"/>
      <c r="H7103" s="5"/>
    </row>
    <row r="7104" spans="4:8" x14ac:dyDescent="0.25">
      <c r="D7104" s="4">
        <v>41859</v>
      </c>
      <c r="E7104" s="6">
        <v>103.36</v>
      </c>
      <c r="G7104" s="4"/>
      <c r="H7104" s="5"/>
    </row>
    <row r="7105" spans="4:8" x14ac:dyDescent="0.25">
      <c r="D7105" s="4">
        <v>41862</v>
      </c>
      <c r="E7105" s="6">
        <v>103.47</v>
      </c>
      <c r="G7105" s="4"/>
      <c r="H7105" s="5"/>
    </row>
    <row r="7106" spans="4:8" x14ac:dyDescent="0.25">
      <c r="D7106" s="4">
        <v>41863</v>
      </c>
      <c r="E7106" s="6">
        <v>101.68</v>
      </c>
      <c r="G7106" s="4"/>
      <c r="H7106" s="5"/>
    </row>
    <row r="7107" spans="4:8" x14ac:dyDescent="0.25">
      <c r="D7107" s="4">
        <v>41864</v>
      </c>
      <c r="E7107" s="6">
        <v>102.27</v>
      </c>
      <c r="G7107" s="4"/>
      <c r="H7107" s="5"/>
    </row>
    <row r="7108" spans="4:8" x14ac:dyDescent="0.25">
      <c r="D7108" s="4">
        <v>41865</v>
      </c>
      <c r="E7108" s="6">
        <v>101.15</v>
      </c>
      <c r="G7108" s="4"/>
      <c r="H7108" s="5"/>
    </row>
    <row r="7109" spans="4:8" x14ac:dyDescent="0.25">
      <c r="D7109" s="4">
        <v>41866</v>
      </c>
      <c r="E7109" s="6">
        <v>101.13</v>
      </c>
      <c r="G7109" s="4"/>
      <c r="H7109" s="5"/>
    </row>
    <row r="7110" spans="4:8" x14ac:dyDescent="0.25">
      <c r="D7110" s="4">
        <v>41869</v>
      </c>
      <c r="E7110" s="6">
        <v>99.37</v>
      </c>
      <c r="G7110" s="4"/>
      <c r="H7110" s="5"/>
    </row>
    <row r="7111" spans="4:8" x14ac:dyDescent="0.25">
      <c r="D7111" s="4">
        <v>41870</v>
      </c>
      <c r="E7111" s="6">
        <v>99.74</v>
      </c>
      <c r="G7111" s="4"/>
      <c r="H7111" s="5"/>
    </row>
    <row r="7112" spans="4:8" x14ac:dyDescent="0.25">
      <c r="D7112" s="4">
        <v>41871</v>
      </c>
      <c r="E7112" s="6">
        <v>99.92</v>
      </c>
      <c r="G7112" s="4"/>
      <c r="H7112" s="5"/>
    </row>
    <row r="7113" spans="4:8" x14ac:dyDescent="0.25">
      <c r="D7113" s="4">
        <v>41872</v>
      </c>
      <c r="E7113" s="6">
        <v>100.28</v>
      </c>
      <c r="G7113" s="4"/>
      <c r="H7113" s="5"/>
    </row>
    <row r="7114" spans="4:8" x14ac:dyDescent="0.25">
      <c r="D7114" s="4">
        <v>41873</v>
      </c>
      <c r="E7114" s="6">
        <v>100.09</v>
      </c>
      <c r="G7114" s="4"/>
      <c r="H7114" s="5"/>
    </row>
    <row r="7115" spans="4:8" x14ac:dyDescent="0.25">
      <c r="D7115" s="4">
        <v>41876</v>
      </c>
      <c r="E7115" s="6">
        <v>100.49</v>
      </c>
      <c r="G7115" s="4"/>
      <c r="H7115" s="5"/>
    </row>
    <row r="7116" spans="4:8" x14ac:dyDescent="0.25">
      <c r="D7116" s="4">
        <v>41877</v>
      </c>
      <c r="E7116" s="6">
        <v>100.5</v>
      </c>
      <c r="G7116" s="4"/>
      <c r="H7116" s="5"/>
    </row>
    <row r="7117" spans="4:8" x14ac:dyDescent="0.25">
      <c r="D7117" s="4">
        <v>41878</v>
      </c>
      <c r="E7117" s="6">
        <v>100.4</v>
      </c>
      <c r="G7117" s="4"/>
      <c r="H7117" s="5"/>
    </row>
    <row r="7118" spans="4:8" x14ac:dyDescent="0.25">
      <c r="D7118" s="4">
        <v>41879</v>
      </c>
      <c r="E7118" s="6">
        <v>100.71</v>
      </c>
      <c r="G7118" s="4"/>
      <c r="H7118" s="5"/>
    </row>
    <row r="7119" spans="4:8" x14ac:dyDescent="0.25">
      <c r="D7119" s="4">
        <v>41880</v>
      </c>
      <c r="E7119" s="6">
        <v>101.12</v>
      </c>
      <c r="G7119" s="4"/>
      <c r="H7119" s="5"/>
    </row>
    <row r="7120" spans="4:8" x14ac:dyDescent="0.25">
      <c r="D7120" s="4">
        <v>41883</v>
      </c>
      <c r="E7120" s="5"/>
      <c r="G7120" s="4"/>
      <c r="H7120" s="5"/>
    </row>
    <row r="7121" spans="4:8" x14ac:dyDescent="0.25">
      <c r="D7121" s="4">
        <v>41884</v>
      </c>
      <c r="E7121" s="6">
        <v>100.21</v>
      </c>
      <c r="G7121" s="4"/>
      <c r="H7121" s="5"/>
    </row>
    <row r="7122" spans="4:8" x14ac:dyDescent="0.25">
      <c r="D7122" s="4">
        <v>41885</v>
      </c>
      <c r="E7122" s="6">
        <v>100.88</v>
      </c>
      <c r="G7122" s="4"/>
      <c r="H7122" s="5"/>
    </row>
    <row r="7123" spans="4:8" x14ac:dyDescent="0.25">
      <c r="D7123" s="4">
        <v>41886</v>
      </c>
      <c r="E7123" s="6">
        <v>101.21</v>
      </c>
      <c r="G7123" s="4"/>
      <c r="H7123" s="5"/>
    </row>
    <row r="7124" spans="4:8" x14ac:dyDescent="0.25">
      <c r="D7124" s="4">
        <v>41887</v>
      </c>
      <c r="E7124" s="6">
        <v>99.51</v>
      </c>
      <c r="G7124" s="4"/>
      <c r="H7124" s="5"/>
    </row>
    <row r="7125" spans="4:8" x14ac:dyDescent="0.25">
      <c r="D7125" s="4">
        <v>41890</v>
      </c>
      <c r="E7125" s="6">
        <v>99.53</v>
      </c>
      <c r="G7125" s="4"/>
      <c r="H7125" s="5"/>
    </row>
    <row r="7126" spans="4:8" x14ac:dyDescent="0.25">
      <c r="D7126" s="4">
        <v>41891</v>
      </c>
      <c r="E7126" s="6">
        <v>98.08</v>
      </c>
      <c r="G7126" s="4"/>
      <c r="H7126" s="5"/>
    </row>
    <row r="7127" spans="4:8" x14ac:dyDescent="0.25">
      <c r="D7127" s="4">
        <v>41892</v>
      </c>
      <c r="E7127" s="6">
        <v>96.26</v>
      </c>
      <c r="G7127" s="4"/>
      <c r="H7127" s="5"/>
    </row>
    <row r="7128" spans="4:8" x14ac:dyDescent="0.25">
      <c r="D7128" s="4">
        <v>41893</v>
      </c>
      <c r="E7128" s="6">
        <v>96.42</v>
      </c>
      <c r="G7128" s="4"/>
      <c r="H7128" s="5"/>
    </row>
    <row r="7129" spans="4:8" x14ac:dyDescent="0.25">
      <c r="D7129" s="4">
        <v>41894</v>
      </c>
      <c r="E7129" s="6">
        <v>96.31</v>
      </c>
      <c r="G7129" s="4"/>
      <c r="H7129" s="5"/>
    </row>
    <row r="7130" spans="4:8" x14ac:dyDescent="0.25">
      <c r="D7130" s="4">
        <v>41897</v>
      </c>
      <c r="E7130" s="6">
        <v>96.43</v>
      </c>
      <c r="G7130" s="4"/>
      <c r="H7130" s="5"/>
    </row>
    <row r="7131" spans="4:8" x14ac:dyDescent="0.25">
      <c r="D7131" s="4">
        <v>41898</v>
      </c>
      <c r="E7131" s="6">
        <v>97.39</v>
      </c>
      <c r="G7131" s="4"/>
      <c r="H7131" s="5"/>
    </row>
    <row r="7132" spans="4:8" x14ac:dyDescent="0.25">
      <c r="D7132" s="4">
        <v>41899</v>
      </c>
      <c r="E7132" s="6">
        <v>97.7</v>
      </c>
      <c r="G7132" s="4"/>
      <c r="H7132" s="5"/>
    </row>
    <row r="7133" spans="4:8" x14ac:dyDescent="0.25">
      <c r="D7133" s="4">
        <v>41900</v>
      </c>
      <c r="E7133" s="6">
        <v>96.82</v>
      </c>
      <c r="G7133" s="4"/>
      <c r="H7133" s="5"/>
    </row>
    <row r="7134" spans="4:8" x14ac:dyDescent="0.25">
      <c r="D7134" s="4">
        <v>41901</v>
      </c>
      <c r="E7134" s="6">
        <v>96.75</v>
      </c>
      <c r="G7134" s="4"/>
      <c r="H7134" s="5"/>
    </row>
    <row r="7135" spans="4:8" x14ac:dyDescent="0.25">
      <c r="D7135" s="4">
        <v>41904</v>
      </c>
      <c r="E7135" s="6">
        <v>95.37</v>
      </c>
      <c r="G7135" s="4"/>
      <c r="H7135" s="5"/>
    </row>
    <row r="7136" spans="4:8" x14ac:dyDescent="0.25">
      <c r="D7136" s="4">
        <v>41905</v>
      </c>
      <c r="E7136" s="6">
        <v>94.87</v>
      </c>
      <c r="G7136" s="4"/>
      <c r="H7136" s="5"/>
    </row>
    <row r="7137" spans="4:8" x14ac:dyDescent="0.25">
      <c r="D7137" s="4">
        <v>41906</v>
      </c>
      <c r="E7137" s="6">
        <v>94.53</v>
      </c>
      <c r="G7137" s="4"/>
      <c r="H7137" s="5"/>
    </row>
    <row r="7138" spans="4:8" x14ac:dyDescent="0.25">
      <c r="D7138" s="4">
        <v>41907</v>
      </c>
      <c r="E7138" s="6">
        <v>95.2</v>
      </c>
      <c r="G7138" s="4"/>
      <c r="H7138" s="5"/>
    </row>
    <row r="7139" spans="4:8" x14ac:dyDescent="0.25">
      <c r="D7139" s="4">
        <v>41908</v>
      </c>
      <c r="E7139" s="6">
        <v>95.08</v>
      </c>
      <c r="G7139" s="4"/>
      <c r="H7139" s="5"/>
    </row>
    <row r="7140" spans="4:8" x14ac:dyDescent="0.25">
      <c r="D7140" s="4">
        <v>41911</v>
      </c>
      <c r="E7140" s="6">
        <v>95.7</v>
      </c>
      <c r="G7140" s="4"/>
      <c r="H7140" s="5"/>
    </row>
    <row r="7141" spans="4:8" x14ac:dyDescent="0.25">
      <c r="D7141" s="4">
        <v>41912</v>
      </c>
      <c r="E7141" s="6">
        <v>94.67</v>
      </c>
      <c r="G7141" s="4"/>
      <c r="H7141" s="5"/>
    </row>
    <row r="7142" spans="4:8" x14ac:dyDescent="0.25">
      <c r="D7142" s="4">
        <v>41913</v>
      </c>
      <c r="E7142" s="6">
        <v>94.57</v>
      </c>
      <c r="G7142" s="4"/>
      <c r="H7142" s="5"/>
    </row>
    <row r="7143" spans="4:8" x14ac:dyDescent="0.25">
      <c r="D7143" s="4">
        <v>41914</v>
      </c>
      <c r="E7143" s="6">
        <v>91.29</v>
      </c>
      <c r="G7143" s="4"/>
      <c r="H7143" s="5"/>
    </row>
    <row r="7144" spans="4:8" x14ac:dyDescent="0.25">
      <c r="D7144" s="4">
        <v>41915</v>
      </c>
      <c r="E7144" s="6">
        <v>90.8</v>
      </c>
      <c r="G7144" s="4"/>
      <c r="H7144" s="5"/>
    </row>
    <row r="7145" spans="4:8" x14ac:dyDescent="0.25">
      <c r="D7145" s="4">
        <v>41918</v>
      </c>
      <c r="E7145" s="6">
        <v>90.65</v>
      </c>
      <c r="G7145" s="4"/>
      <c r="H7145" s="5"/>
    </row>
    <row r="7146" spans="4:8" x14ac:dyDescent="0.25">
      <c r="D7146" s="4">
        <v>41919</v>
      </c>
      <c r="E7146" s="6">
        <v>90.9</v>
      </c>
      <c r="G7146" s="4"/>
      <c r="H7146" s="5"/>
    </row>
    <row r="7147" spans="4:8" x14ac:dyDescent="0.25">
      <c r="D7147" s="4">
        <v>41920</v>
      </c>
      <c r="E7147" s="6">
        <v>90.25</v>
      </c>
      <c r="G7147" s="4"/>
      <c r="H7147" s="5"/>
    </row>
    <row r="7148" spans="4:8" x14ac:dyDescent="0.25">
      <c r="D7148" s="4">
        <v>41921</v>
      </c>
      <c r="E7148" s="6">
        <v>90.47</v>
      </c>
      <c r="G7148" s="4"/>
      <c r="H7148" s="5"/>
    </row>
    <row r="7149" spans="4:8" x14ac:dyDescent="0.25">
      <c r="D7149" s="4">
        <v>41922</v>
      </c>
      <c r="E7149" s="6">
        <v>88.66</v>
      </c>
      <c r="G7149" s="4"/>
      <c r="H7149" s="5"/>
    </row>
    <row r="7150" spans="4:8" x14ac:dyDescent="0.25">
      <c r="D7150" s="4">
        <v>41925</v>
      </c>
      <c r="E7150" s="6">
        <v>87.82</v>
      </c>
      <c r="G7150" s="4"/>
      <c r="H7150" s="5"/>
    </row>
    <row r="7151" spans="4:8" x14ac:dyDescent="0.25">
      <c r="D7151" s="4">
        <v>41926</v>
      </c>
      <c r="E7151" s="6">
        <v>86.36</v>
      </c>
      <c r="G7151" s="4"/>
      <c r="H7151" s="5"/>
    </row>
    <row r="7152" spans="4:8" x14ac:dyDescent="0.25">
      <c r="D7152" s="4">
        <v>41927</v>
      </c>
      <c r="E7152" s="6">
        <v>84.02</v>
      </c>
      <c r="G7152" s="4"/>
      <c r="H7152" s="5"/>
    </row>
    <row r="7153" spans="4:8" x14ac:dyDescent="0.25">
      <c r="D7153" s="4">
        <v>41928</v>
      </c>
      <c r="E7153" s="6">
        <v>84.02</v>
      </c>
      <c r="G7153" s="4"/>
      <c r="H7153" s="5"/>
    </row>
    <row r="7154" spans="4:8" x14ac:dyDescent="0.25">
      <c r="D7154" s="4">
        <v>41929</v>
      </c>
      <c r="E7154" s="6">
        <v>85.27</v>
      </c>
      <c r="G7154" s="4"/>
      <c r="H7154" s="5"/>
    </row>
    <row r="7155" spans="4:8" x14ac:dyDescent="0.25">
      <c r="D7155" s="4">
        <v>41932</v>
      </c>
      <c r="E7155" s="6">
        <v>84.42</v>
      </c>
      <c r="G7155" s="4"/>
      <c r="H7155" s="5"/>
    </row>
    <row r="7156" spans="4:8" x14ac:dyDescent="0.25">
      <c r="D7156" s="4">
        <v>41933</v>
      </c>
      <c r="E7156" s="6">
        <v>85.17</v>
      </c>
      <c r="G7156" s="4"/>
      <c r="H7156" s="5"/>
    </row>
    <row r="7157" spans="4:8" x14ac:dyDescent="0.25">
      <c r="D7157" s="4">
        <v>41934</v>
      </c>
      <c r="E7157" s="6">
        <v>86.38</v>
      </c>
      <c r="G7157" s="4"/>
      <c r="H7157" s="5"/>
    </row>
    <row r="7158" spans="4:8" x14ac:dyDescent="0.25">
      <c r="D7158" s="4">
        <v>41935</v>
      </c>
      <c r="E7158" s="6">
        <v>85.94</v>
      </c>
      <c r="G7158" s="4"/>
      <c r="H7158" s="5"/>
    </row>
    <row r="7159" spans="4:8" x14ac:dyDescent="0.25">
      <c r="D7159" s="4">
        <v>41936</v>
      </c>
      <c r="E7159" s="6">
        <v>86</v>
      </c>
      <c r="G7159" s="4"/>
      <c r="H7159" s="5"/>
    </row>
    <row r="7160" spans="4:8" x14ac:dyDescent="0.25">
      <c r="D7160" s="4">
        <v>41939</v>
      </c>
      <c r="E7160" s="6">
        <v>85.64</v>
      </c>
      <c r="G7160" s="4"/>
      <c r="H7160" s="5"/>
    </row>
    <row r="7161" spans="4:8" x14ac:dyDescent="0.25">
      <c r="D7161" s="4">
        <v>41940</v>
      </c>
      <c r="E7161" s="6">
        <v>85.57</v>
      </c>
      <c r="G7161" s="4"/>
      <c r="H7161" s="5"/>
    </row>
    <row r="7162" spans="4:8" x14ac:dyDescent="0.25">
      <c r="D7162" s="4">
        <v>41941</v>
      </c>
      <c r="E7162" s="6">
        <v>86.91</v>
      </c>
      <c r="G7162" s="4"/>
      <c r="H7162" s="5"/>
    </row>
    <row r="7163" spans="4:8" x14ac:dyDescent="0.25">
      <c r="D7163" s="4">
        <v>41942</v>
      </c>
      <c r="E7163" s="6">
        <v>85.5</v>
      </c>
      <c r="G7163" s="4"/>
      <c r="H7163" s="5"/>
    </row>
    <row r="7164" spans="4:8" x14ac:dyDescent="0.25">
      <c r="D7164" s="4">
        <v>41943</v>
      </c>
      <c r="E7164" s="6">
        <v>84.17</v>
      </c>
      <c r="G7164" s="4"/>
      <c r="H7164" s="5"/>
    </row>
    <row r="7165" spans="4:8" x14ac:dyDescent="0.25">
      <c r="D7165" s="4">
        <v>41946</v>
      </c>
      <c r="E7165" s="6">
        <v>84.9</v>
      </c>
      <c r="G7165" s="4"/>
      <c r="H7165" s="5"/>
    </row>
    <row r="7166" spans="4:8" x14ac:dyDescent="0.25">
      <c r="D7166" s="4">
        <v>41947</v>
      </c>
      <c r="E7166" s="6">
        <v>82.12</v>
      </c>
      <c r="G7166" s="4"/>
      <c r="H7166" s="5"/>
    </row>
    <row r="7167" spans="4:8" x14ac:dyDescent="0.25">
      <c r="D7167" s="4">
        <v>41948</v>
      </c>
      <c r="E7167" s="6">
        <v>82.88</v>
      </c>
      <c r="G7167" s="4"/>
      <c r="H7167" s="5"/>
    </row>
    <row r="7168" spans="4:8" x14ac:dyDescent="0.25">
      <c r="D7168" s="4">
        <v>41949</v>
      </c>
      <c r="E7168" s="6">
        <v>82.08</v>
      </c>
      <c r="G7168" s="4"/>
      <c r="H7168" s="5"/>
    </row>
    <row r="7169" spans="4:8" x14ac:dyDescent="0.25">
      <c r="D7169" s="4">
        <v>41950</v>
      </c>
      <c r="E7169" s="6">
        <v>83.2</v>
      </c>
      <c r="G7169" s="4"/>
      <c r="H7169" s="5"/>
    </row>
    <row r="7170" spans="4:8" x14ac:dyDescent="0.25">
      <c r="D7170" s="4">
        <v>41953</v>
      </c>
      <c r="E7170" s="6">
        <v>82.9</v>
      </c>
      <c r="G7170" s="4"/>
      <c r="H7170" s="5"/>
    </row>
    <row r="7171" spans="4:8" x14ac:dyDescent="0.25">
      <c r="D7171" s="4">
        <v>41954</v>
      </c>
      <c r="E7171" s="6">
        <v>80.94</v>
      </c>
      <c r="G7171" s="4"/>
      <c r="H7171" s="5"/>
    </row>
    <row r="7172" spans="4:8" x14ac:dyDescent="0.25">
      <c r="D7172" s="4">
        <v>41955</v>
      </c>
      <c r="E7172" s="6">
        <v>80.42</v>
      </c>
      <c r="G7172" s="4"/>
      <c r="H7172" s="5"/>
    </row>
    <row r="7173" spans="4:8" x14ac:dyDescent="0.25">
      <c r="D7173" s="4">
        <v>41956</v>
      </c>
      <c r="E7173" s="6">
        <v>77.739999999999995</v>
      </c>
      <c r="G7173" s="4"/>
      <c r="H7173" s="5"/>
    </row>
    <row r="7174" spans="4:8" x14ac:dyDescent="0.25">
      <c r="D7174" s="4">
        <v>41957</v>
      </c>
      <c r="E7174" s="6">
        <v>77.510000000000005</v>
      </c>
      <c r="G7174" s="4"/>
      <c r="H7174" s="5"/>
    </row>
    <row r="7175" spans="4:8" x14ac:dyDescent="0.25">
      <c r="D7175" s="4">
        <v>41960</v>
      </c>
      <c r="E7175" s="6">
        <v>76.86</v>
      </c>
      <c r="G7175" s="4"/>
      <c r="H7175" s="5"/>
    </row>
    <row r="7176" spans="4:8" x14ac:dyDescent="0.25">
      <c r="D7176" s="4">
        <v>41961</v>
      </c>
      <c r="E7176" s="6">
        <v>77.23</v>
      </c>
      <c r="G7176" s="4"/>
      <c r="H7176" s="5"/>
    </row>
    <row r="7177" spans="4:8" x14ac:dyDescent="0.25">
      <c r="D7177" s="4">
        <v>41962</v>
      </c>
      <c r="E7177" s="6">
        <v>77.209999999999994</v>
      </c>
      <c r="G7177" s="4"/>
      <c r="H7177" s="5"/>
    </row>
    <row r="7178" spans="4:8" x14ac:dyDescent="0.25">
      <c r="D7178" s="4">
        <v>41963</v>
      </c>
      <c r="E7178" s="6">
        <v>77.61</v>
      </c>
      <c r="G7178" s="4"/>
      <c r="H7178" s="5"/>
    </row>
    <row r="7179" spans="4:8" x14ac:dyDescent="0.25">
      <c r="D7179" s="4">
        <v>41964</v>
      </c>
      <c r="E7179" s="6">
        <v>79.2</v>
      </c>
      <c r="G7179" s="4"/>
      <c r="H7179" s="5"/>
    </row>
    <row r="7180" spans="4:8" x14ac:dyDescent="0.25">
      <c r="D7180" s="4">
        <v>41967</v>
      </c>
      <c r="E7180" s="6">
        <v>79.62</v>
      </c>
      <c r="G7180" s="4"/>
      <c r="H7180" s="5"/>
    </row>
    <row r="7181" spans="4:8" x14ac:dyDescent="0.25">
      <c r="D7181" s="4">
        <v>41968</v>
      </c>
      <c r="E7181" s="6">
        <v>77.62</v>
      </c>
      <c r="G7181" s="4"/>
      <c r="H7181" s="5"/>
    </row>
    <row r="7182" spans="4:8" x14ac:dyDescent="0.25">
      <c r="D7182" s="4">
        <v>41969</v>
      </c>
      <c r="E7182" s="6">
        <v>77.39</v>
      </c>
      <c r="G7182" s="4"/>
      <c r="H7182" s="5"/>
    </row>
    <row r="7183" spans="4:8" x14ac:dyDescent="0.25">
      <c r="D7183" s="4">
        <v>41970</v>
      </c>
      <c r="E7183" s="5"/>
      <c r="G7183" s="4"/>
      <c r="H7183" s="5"/>
    </row>
    <row r="7184" spans="4:8" x14ac:dyDescent="0.25">
      <c r="D7184" s="4">
        <v>41971</v>
      </c>
      <c r="E7184" s="6">
        <v>71.89</v>
      </c>
      <c r="G7184" s="4"/>
      <c r="H7184" s="5"/>
    </row>
    <row r="7185" spans="4:8" x14ac:dyDescent="0.25">
      <c r="D7185" s="4">
        <v>41974</v>
      </c>
      <c r="E7185" s="6">
        <v>70.87</v>
      </c>
      <c r="G7185" s="4"/>
      <c r="H7185" s="5"/>
    </row>
    <row r="7186" spans="4:8" x14ac:dyDescent="0.25">
      <c r="D7186" s="4">
        <v>41975</v>
      </c>
      <c r="E7186" s="6">
        <v>71.13</v>
      </c>
      <c r="G7186" s="4"/>
      <c r="H7186" s="5"/>
    </row>
    <row r="7187" spans="4:8" x14ac:dyDescent="0.25">
      <c r="D7187" s="4">
        <v>41976</v>
      </c>
      <c r="E7187" s="6">
        <v>70.13</v>
      </c>
      <c r="G7187" s="4"/>
      <c r="H7187" s="5"/>
    </row>
    <row r="7188" spans="4:8" x14ac:dyDescent="0.25">
      <c r="D7188" s="4">
        <v>41977</v>
      </c>
      <c r="E7188" s="6">
        <v>68.48</v>
      </c>
      <c r="G7188" s="4"/>
      <c r="H7188" s="5"/>
    </row>
    <row r="7189" spans="4:8" x14ac:dyDescent="0.25">
      <c r="D7189" s="4">
        <v>41978</v>
      </c>
      <c r="E7189" s="6">
        <v>68</v>
      </c>
      <c r="G7189" s="4"/>
      <c r="H7189" s="5"/>
    </row>
    <row r="7190" spans="4:8" x14ac:dyDescent="0.25">
      <c r="D7190" s="4">
        <v>41981</v>
      </c>
      <c r="E7190" s="6">
        <v>65.64</v>
      </c>
      <c r="G7190" s="4"/>
      <c r="H7190" s="5"/>
    </row>
    <row r="7191" spans="4:8" x14ac:dyDescent="0.25">
      <c r="D7191" s="4">
        <v>41982</v>
      </c>
      <c r="E7191" s="6">
        <v>66.11</v>
      </c>
      <c r="G7191" s="4"/>
      <c r="H7191" s="5"/>
    </row>
    <row r="7192" spans="4:8" x14ac:dyDescent="0.25">
      <c r="D7192" s="4">
        <v>41983</v>
      </c>
      <c r="E7192" s="6">
        <v>63.32</v>
      </c>
      <c r="G7192" s="4"/>
      <c r="H7192" s="5"/>
    </row>
    <row r="7193" spans="4:8" x14ac:dyDescent="0.25">
      <c r="D7193" s="4">
        <v>41984</v>
      </c>
      <c r="E7193" s="6">
        <v>63.65</v>
      </c>
      <c r="G7193" s="4"/>
      <c r="H7193" s="5"/>
    </row>
    <row r="7194" spans="4:8" x14ac:dyDescent="0.25">
      <c r="D7194" s="4">
        <v>41985</v>
      </c>
      <c r="E7194" s="6">
        <v>61.67</v>
      </c>
      <c r="G7194" s="4"/>
      <c r="H7194" s="5"/>
    </row>
    <row r="7195" spans="4:8" x14ac:dyDescent="0.25">
      <c r="D7195" s="4">
        <v>41988</v>
      </c>
      <c r="E7195" s="6">
        <v>61.09</v>
      </c>
      <c r="G7195" s="4"/>
      <c r="H7195" s="5"/>
    </row>
    <row r="7196" spans="4:8" x14ac:dyDescent="0.25">
      <c r="D7196" s="4">
        <v>41989</v>
      </c>
      <c r="E7196" s="6">
        <v>60.26</v>
      </c>
      <c r="G7196" s="4"/>
      <c r="H7196" s="5"/>
    </row>
    <row r="7197" spans="4:8" x14ac:dyDescent="0.25">
      <c r="D7197" s="4">
        <v>41990</v>
      </c>
      <c r="E7197" s="6">
        <v>59.84</v>
      </c>
      <c r="G7197" s="4"/>
      <c r="H7197" s="5"/>
    </row>
    <row r="7198" spans="4:8" x14ac:dyDescent="0.25">
      <c r="D7198" s="4">
        <v>41991</v>
      </c>
      <c r="E7198" s="6">
        <v>58.81</v>
      </c>
      <c r="G7198" s="4"/>
      <c r="H7198" s="5"/>
    </row>
    <row r="7199" spans="4:8" x14ac:dyDescent="0.25">
      <c r="D7199" s="4">
        <v>41992</v>
      </c>
      <c r="E7199" s="6">
        <v>58.87</v>
      </c>
      <c r="G7199" s="4"/>
      <c r="H7199" s="5"/>
    </row>
    <row r="7200" spans="4:8" x14ac:dyDescent="0.25">
      <c r="D7200" s="4">
        <v>41995</v>
      </c>
      <c r="E7200" s="6">
        <v>58.31</v>
      </c>
      <c r="G7200" s="4"/>
      <c r="H7200" s="5"/>
    </row>
    <row r="7201" spans="4:8" x14ac:dyDescent="0.25">
      <c r="D7201" s="4">
        <v>41996</v>
      </c>
      <c r="E7201" s="6">
        <v>59.07</v>
      </c>
      <c r="G7201" s="4"/>
      <c r="H7201" s="5"/>
    </row>
    <row r="7202" spans="4:8" x14ac:dyDescent="0.25">
      <c r="D7202" s="4">
        <v>41997</v>
      </c>
      <c r="E7202" s="6">
        <v>58.67</v>
      </c>
      <c r="G7202" s="4"/>
      <c r="H7202" s="5"/>
    </row>
    <row r="7203" spans="4:8" x14ac:dyDescent="0.25">
      <c r="D7203" s="4">
        <v>41998</v>
      </c>
      <c r="E7203" s="5"/>
      <c r="G7203" s="4"/>
      <c r="H7203" s="5"/>
    </row>
    <row r="7204" spans="4:8" x14ac:dyDescent="0.25">
      <c r="D7204" s="4">
        <v>41999</v>
      </c>
      <c r="E7204" s="6">
        <v>58.72</v>
      </c>
      <c r="G7204" s="4"/>
      <c r="H7204" s="5"/>
    </row>
    <row r="7205" spans="4:8" x14ac:dyDescent="0.25">
      <c r="D7205" s="4">
        <v>42002</v>
      </c>
      <c r="E7205" s="6">
        <v>57.86</v>
      </c>
      <c r="G7205" s="4"/>
      <c r="H7205" s="5"/>
    </row>
    <row r="7206" spans="4:8" x14ac:dyDescent="0.25">
      <c r="D7206" s="4">
        <v>42003</v>
      </c>
      <c r="E7206" s="6">
        <v>55.6</v>
      </c>
      <c r="G7206" s="4"/>
      <c r="H7206" s="5"/>
    </row>
    <row r="7207" spans="4:8" x14ac:dyDescent="0.25">
      <c r="D7207" s="4">
        <v>42004</v>
      </c>
      <c r="E7207" s="6">
        <v>55.27</v>
      </c>
      <c r="G7207" s="4"/>
      <c r="H7207" s="5"/>
    </row>
    <row r="7208" spans="4:8" x14ac:dyDescent="0.25">
      <c r="D7208" s="4">
        <v>42005</v>
      </c>
      <c r="E7208" s="5"/>
      <c r="G7208" s="4"/>
      <c r="H7208" s="5"/>
    </row>
    <row r="7209" spans="4:8" x14ac:dyDescent="0.25">
      <c r="D7209" s="4">
        <v>42006</v>
      </c>
      <c r="E7209" s="6">
        <v>55.38</v>
      </c>
      <c r="G7209" s="4"/>
      <c r="H7209" s="5"/>
    </row>
    <row r="7210" spans="4:8" x14ac:dyDescent="0.25">
      <c r="D7210" s="4">
        <v>42009</v>
      </c>
      <c r="E7210" s="6">
        <v>51.08</v>
      </c>
      <c r="G7210" s="4"/>
      <c r="H7210" s="5"/>
    </row>
    <row r="7211" spans="4:8" x14ac:dyDescent="0.25">
      <c r="D7211" s="4">
        <v>42010</v>
      </c>
      <c r="E7211" s="6">
        <v>50.12</v>
      </c>
      <c r="G7211" s="4"/>
      <c r="H7211" s="5"/>
    </row>
    <row r="7212" spans="4:8" x14ac:dyDescent="0.25">
      <c r="D7212" s="4">
        <v>42011</v>
      </c>
      <c r="E7212" s="6">
        <v>49.06</v>
      </c>
      <c r="G7212" s="4"/>
      <c r="H7212" s="5"/>
    </row>
    <row r="7213" spans="4:8" x14ac:dyDescent="0.25">
      <c r="D7213" s="4">
        <v>42012</v>
      </c>
      <c r="E7213" s="6">
        <v>49.43</v>
      </c>
      <c r="G7213" s="4"/>
      <c r="H7213" s="5"/>
    </row>
    <row r="7214" spans="4:8" x14ac:dyDescent="0.25">
      <c r="D7214" s="4">
        <v>42013</v>
      </c>
      <c r="E7214" s="6">
        <v>47.64</v>
      </c>
      <c r="G7214" s="4"/>
      <c r="H7214" s="5"/>
    </row>
    <row r="7215" spans="4:8" x14ac:dyDescent="0.25">
      <c r="D7215" s="4">
        <v>42016</v>
      </c>
      <c r="E7215" s="6">
        <v>46.9</v>
      </c>
      <c r="G7215" s="4"/>
      <c r="H7215" s="5"/>
    </row>
    <row r="7216" spans="4:8" x14ac:dyDescent="0.25">
      <c r="D7216" s="4">
        <v>42017</v>
      </c>
      <c r="E7216" s="6">
        <v>45.13</v>
      </c>
      <c r="G7216" s="4"/>
      <c r="H7216" s="5"/>
    </row>
    <row r="7217" spans="4:8" x14ac:dyDescent="0.25">
      <c r="D7217" s="4">
        <v>42018</v>
      </c>
      <c r="E7217" s="6">
        <v>45.82</v>
      </c>
      <c r="G7217" s="4"/>
      <c r="H7217" s="5"/>
    </row>
    <row r="7218" spans="4:8" x14ac:dyDescent="0.25">
      <c r="D7218" s="4">
        <v>42019</v>
      </c>
      <c r="E7218" s="6">
        <v>47.66</v>
      </c>
      <c r="G7218" s="4"/>
      <c r="H7218" s="5"/>
    </row>
    <row r="7219" spans="4:8" x14ac:dyDescent="0.25">
      <c r="D7219" s="4">
        <v>42020</v>
      </c>
      <c r="E7219" s="6">
        <v>47.38</v>
      </c>
      <c r="G7219" s="4"/>
      <c r="H7219" s="5"/>
    </row>
    <row r="7220" spans="4:8" x14ac:dyDescent="0.25">
      <c r="D7220" s="4">
        <v>42023</v>
      </c>
      <c r="E7220" s="5"/>
      <c r="G7220" s="4"/>
      <c r="H7220" s="5"/>
    </row>
    <row r="7221" spans="4:8" x14ac:dyDescent="0.25">
      <c r="D7221" s="4">
        <v>42024</v>
      </c>
      <c r="E7221" s="6">
        <v>46.49</v>
      </c>
      <c r="G7221" s="4"/>
      <c r="H7221" s="5"/>
    </row>
    <row r="7222" spans="4:8" x14ac:dyDescent="0.25">
      <c r="D7222" s="4">
        <v>42025</v>
      </c>
      <c r="E7222" s="6">
        <v>46.5</v>
      </c>
      <c r="G7222" s="4"/>
      <c r="H7222" s="5"/>
    </row>
    <row r="7223" spans="4:8" x14ac:dyDescent="0.25">
      <c r="D7223" s="4">
        <v>42026</v>
      </c>
      <c r="E7223" s="6">
        <v>46.09</v>
      </c>
      <c r="G7223" s="4"/>
      <c r="H7223" s="5"/>
    </row>
    <row r="7224" spans="4:8" x14ac:dyDescent="0.25">
      <c r="D7224" s="4">
        <v>42027</v>
      </c>
      <c r="E7224" s="6">
        <v>46.69</v>
      </c>
      <c r="G7224" s="4"/>
      <c r="H7224" s="5"/>
    </row>
    <row r="7225" spans="4:8" x14ac:dyDescent="0.25">
      <c r="D7225" s="4">
        <v>42030</v>
      </c>
      <c r="E7225" s="6">
        <v>46.07</v>
      </c>
      <c r="G7225" s="4"/>
      <c r="H7225" s="5"/>
    </row>
    <row r="7226" spans="4:8" x14ac:dyDescent="0.25">
      <c r="D7226" s="4">
        <v>42031</v>
      </c>
      <c r="E7226" s="6">
        <v>46.55</v>
      </c>
      <c r="G7226" s="4"/>
      <c r="H7226" s="5"/>
    </row>
    <row r="7227" spans="4:8" x14ac:dyDescent="0.25">
      <c r="D7227" s="4">
        <v>42032</v>
      </c>
      <c r="E7227" s="6">
        <v>47.07</v>
      </c>
      <c r="G7227" s="4"/>
      <c r="H7227" s="5"/>
    </row>
    <row r="7228" spans="4:8" x14ac:dyDescent="0.25">
      <c r="D7228" s="4">
        <v>42033</v>
      </c>
      <c r="E7228" s="6">
        <v>46.61</v>
      </c>
      <c r="G7228" s="4"/>
      <c r="H7228" s="5"/>
    </row>
    <row r="7229" spans="4:8" x14ac:dyDescent="0.25">
      <c r="D7229" s="4">
        <v>42034</v>
      </c>
      <c r="E7229" s="6">
        <v>47.52</v>
      </c>
      <c r="G7229" s="4"/>
      <c r="H7229" s="5"/>
    </row>
    <row r="7230" spans="4:8" x14ac:dyDescent="0.25">
      <c r="D7230" s="4">
        <v>42037</v>
      </c>
      <c r="E7230" s="6">
        <v>51.74</v>
      </c>
      <c r="G7230" s="4"/>
      <c r="H7230" s="5"/>
    </row>
    <row r="7231" spans="4:8" x14ac:dyDescent="0.25">
      <c r="D7231" s="4">
        <v>42038</v>
      </c>
      <c r="E7231" s="6">
        <v>54.41</v>
      </c>
      <c r="G7231" s="4"/>
      <c r="H7231" s="5"/>
    </row>
    <row r="7232" spans="4:8" x14ac:dyDescent="0.25">
      <c r="D7232" s="4">
        <v>42039</v>
      </c>
      <c r="E7232" s="6">
        <v>55.07</v>
      </c>
      <c r="G7232" s="4"/>
      <c r="H7232" s="5"/>
    </row>
    <row r="7233" spans="4:8" x14ac:dyDescent="0.25">
      <c r="D7233" s="4">
        <v>42040</v>
      </c>
      <c r="E7233" s="6">
        <v>55.98</v>
      </c>
      <c r="G7233" s="4"/>
      <c r="H7233" s="5"/>
    </row>
    <row r="7234" spans="4:8" x14ac:dyDescent="0.25">
      <c r="D7234" s="4">
        <v>42041</v>
      </c>
      <c r="E7234" s="6">
        <v>55.88</v>
      </c>
      <c r="G7234" s="4"/>
      <c r="H7234" s="5"/>
    </row>
    <row r="7235" spans="4:8" x14ac:dyDescent="0.25">
      <c r="D7235" s="4">
        <v>42044</v>
      </c>
      <c r="E7235" s="6">
        <v>57</v>
      </c>
      <c r="G7235" s="4"/>
      <c r="H7235" s="5"/>
    </row>
    <row r="7236" spans="4:8" x14ac:dyDescent="0.25">
      <c r="D7236" s="4">
        <v>42045</v>
      </c>
      <c r="E7236" s="6">
        <v>55.79</v>
      </c>
      <c r="G7236" s="4"/>
      <c r="H7236" s="5"/>
    </row>
    <row r="7237" spans="4:8" x14ac:dyDescent="0.25">
      <c r="D7237" s="4">
        <v>42046</v>
      </c>
      <c r="E7237" s="6">
        <v>53.48</v>
      </c>
      <c r="G7237" s="4"/>
      <c r="H7237" s="5"/>
    </row>
    <row r="7238" spans="4:8" x14ac:dyDescent="0.25">
      <c r="D7238" s="4">
        <v>42047</v>
      </c>
      <c r="E7238" s="6">
        <v>56.23</v>
      </c>
      <c r="G7238" s="4"/>
      <c r="H7238" s="5"/>
    </row>
    <row r="7239" spans="4:8" x14ac:dyDescent="0.25">
      <c r="D7239" s="4">
        <v>42048</v>
      </c>
      <c r="E7239" s="6">
        <v>60.33</v>
      </c>
      <c r="G7239" s="4"/>
      <c r="H7239" s="5"/>
    </row>
    <row r="7240" spans="4:8" x14ac:dyDescent="0.25">
      <c r="D7240" s="4">
        <v>42051</v>
      </c>
      <c r="E7240" s="6">
        <v>61.57</v>
      </c>
      <c r="G7240" s="4"/>
      <c r="H7240" s="5"/>
    </row>
    <row r="7241" spans="4:8" x14ac:dyDescent="0.25">
      <c r="D7241" s="4">
        <v>42052</v>
      </c>
      <c r="E7241" s="6">
        <v>60.78</v>
      </c>
      <c r="G7241" s="4"/>
      <c r="H7241" s="5"/>
    </row>
    <row r="7242" spans="4:8" x14ac:dyDescent="0.25">
      <c r="D7242" s="4">
        <v>42053</v>
      </c>
      <c r="E7242" s="6">
        <v>60.72</v>
      </c>
      <c r="G7242" s="4"/>
      <c r="H7242" s="5"/>
    </row>
    <row r="7243" spans="4:8" x14ac:dyDescent="0.25">
      <c r="D7243" s="4">
        <v>42054</v>
      </c>
      <c r="E7243" s="6">
        <v>58.78</v>
      </c>
      <c r="G7243" s="4"/>
      <c r="H7243" s="5"/>
    </row>
    <row r="7244" spans="4:8" x14ac:dyDescent="0.25">
      <c r="D7244" s="4">
        <v>42055</v>
      </c>
      <c r="E7244" s="6">
        <v>60.99</v>
      </c>
      <c r="G7244" s="4"/>
      <c r="H7244" s="5"/>
    </row>
    <row r="7245" spans="4:8" x14ac:dyDescent="0.25">
      <c r="D7245" s="4">
        <v>42058</v>
      </c>
      <c r="E7245" s="6">
        <v>59.78</v>
      </c>
      <c r="G7245" s="4"/>
      <c r="H7245" s="5"/>
    </row>
    <row r="7246" spans="4:8" x14ac:dyDescent="0.25">
      <c r="D7246" s="4">
        <v>42059</v>
      </c>
      <c r="E7246" s="6">
        <v>60.33</v>
      </c>
      <c r="G7246" s="4"/>
      <c r="H7246" s="5"/>
    </row>
    <row r="7247" spans="4:8" x14ac:dyDescent="0.25">
      <c r="D7247" s="4">
        <v>42060</v>
      </c>
      <c r="E7247" s="6">
        <v>59.77</v>
      </c>
      <c r="G7247" s="4"/>
      <c r="H7247" s="5"/>
    </row>
    <row r="7248" spans="4:8" x14ac:dyDescent="0.25">
      <c r="D7248" s="4">
        <v>42061</v>
      </c>
      <c r="E7248" s="6">
        <v>61.39</v>
      </c>
      <c r="G7248" s="4"/>
      <c r="H7248" s="5"/>
    </row>
    <row r="7249" spans="4:8" x14ac:dyDescent="0.25">
      <c r="D7249" s="4">
        <v>42062</v>
      </c>
      <c r="E7249" s="6">
        <v>61.89</v>
      </c>
      <c r="G7249" s="4"/>
      <c r="H7249" s="5"/>
    </row>
    <row r="7250" spans="4:8" x14ac:dyDescent="0.25">
      <c r="D7250" s="4">
        <v>42065</v>
      </c>
      <c r="E7250" s="6">
        <v>60.75</v>
      </c>
      <c r="G7250" s="4"/>
      <c r="H7250" s="5"/>
    </row>
    <row r="7251" spans="4:8" x14ac:dyDescent="0.25">
      <c r="D7251" s="4">
        <v>42066</v>
      </c>
      <c r="E7251" s="6">
        <v>61.18</v>
      </c>
      <c r="G7251" s="4"/>
      <c r="H7251" s="5"/>
    </row>
    <row r="7252" spans="4:8" x14ac:dyDescent="0.25">
      <c r="D7252" s="4">
        <v>42067</v>
      </c>
      <c r="E7252" s="6">
        <v>59.18</v>
      </c>
      <c r="G7252" s="4"/>
      <c r="H7252" s="5"/>
    </row>
    <row r="7253" spans="4:8" x14ac:dyDescent="0.25">
      <c r="D7253" s="4">
        <v>42068</v>
      </c>
      <c r="E7253" s="6">
        <v>60.33</v>
      </c>
      <c r="G7253" s="4"/>
      <c r="H7253" s="5"/>
    </row>
    <row r="7254" spans="4:8" x14ac:dyDescent="0.25">
      <c r="D7254" s="4">
        <v>42069</v>
      </c>
      <c r="E7254" s="6">
        <v>59.15</v>
      </c>
    </row>
    <row r="7255" spans="4:8" x14ac:dyDescent="0.25">
      <c r="D7255" s="4">
        <v>42072</v>
      </c>
      <c r="E7255" s="6">
        <v>58.67</v>
      </c>
    </row>
    <row r="7256" spans="4:8" x14ac:dyDescent="0.25">
      <c r="D7256" s="4">
        <v>42073</v>
      </c>
      <c r="E7256" s="6">
        <v>55.95</v>
      </c>
    </row>
    <row r="7257" spans="4:8" x14ac:dyDescent="0.25">
      <c r="D7257" s="4">
        <v>42074</v>
      </c>
      <c r="E7257" s="6">
        <v>56.46</v>
      </c>
    </row>
    <row r="7258" spans="4:8" x14ac:dyDescent="0.25">
      <c r="D7258" s="4">
        <v>42075</v>
      </c>
      <c r="E7258" s="6">
        <v>56.66</v>
      </c>
    </row>
    <row r="7259" spans="4:8" x14ac:dyDescent="0.25">
      <c r="D7259" s="4">
        <v>42076</v>
      </c>
      <c r="E7259" s="6">
        <v>54.8</v>
      </c>
    </row>
    <row r="7260" spans="4:8" x14ac:dyDescent="0.25">
      <c r="D7260" s="4">
        <v>42079</v>
      </c>
      <c r="E7260" s="6">
        <v>52</v>
      </c>
    </row>
    <row r="7261" spans="4:8" x14ac:dyDescent="0.25">
      <c r="D7261" s="4">
        <v>42080</v>
      </c>
      <c r="E7261" s="6">
        <v>52.17</v>
      </c>
    </row>
    <row r="7262" spans="4:8" x14ac:dyDescent="0.25">
      <c r="D7262" s="4">
        <v>42081</v>
      </c>
      <c r="E7262" s="6">
        <v>52.59</v>
      </c>
    </row>
    <row r="7263" spans="4:8" x14ac:dyDescent="0.25">
      <c r="D7263" s="4">
        <v>42082</v>
      </c>
      <c r="E7263" s="6">
        <v>52.96</v>
      </c>
    </row>
    <row r="7264" spans="4:8" x14ac:dyDescent="0.25">
      <c r="D7264" s="4">
        <v>42083</v>
      </c>
      <c r="E7264" s="6">
        <v>53.88</v>
      </c>
    </row>
    <row r="7265" spans="4:5" x14ac:dyDescent="0.25">
      <c r="D7265" s="4">
        <v>42086</v>
      </c>
      <c r="E7265" s="6">
        <v>53.82</v>
      </c>
    </row>
    <row r="7266" spans="4:5" x14ac:dyDescent="0.25">
      <c r="D7266" s="4">
        <v>42087</v>
      </c>
      <c r="E7266" s="6">
        <v>53.61</v>
      </c>
    </row>
    <row r="7267" spans="4:5" x14ac:dyDescent="0.25">
      <c r="D7267" s="4">
        <v>42088</v>
      </c>
      <c r="E7267" s="6">
        <v>54.18</v>
      </c>
    </row>
    <row r="7268" spans="4:5" x14ac:dyDescent="0.25">
      <c r="D7268" s="4">
        <v>42089</v>
      </c>
      <c r="E7268" s="6">
        <v>57.02</v>
      </c>
    </row>
    <row r="7269" spans="4:5" x14ac:dyDescent="0.25">
      <c r="D7269" s="4">
        <v>42090</v>
      </c>
      <c r="E7269" s="6">
        <v>56.44</v>
      </c>
    </row>
    <row r="7270" spans="4:5" x14ac:dyDescent="0.25">
      <c r="D7270" s="4">
        <v>42093</v>
      </c>
      <c r="E7270" s="6">
        <v>53.99</v>
      </c>
    </row>
    <row r="7271" spans="4:5" x14ac:dyDescent="0.25">
      <c r="D7271" s="4">
        <v>42094</v>
      </c>
      <c r="E7271" s="6">
        <v>53.69</v>
      </c>
    </row>
    <row r="7272" spans="4:5" x14ac:dyDescent="0.25">
      <c r="D7272" s="4">
        <v>42095</v>
      </c>
      <c r="E7272" s="6">
        <v>55.73</v>
      </c>
    </row>
    <row r="7273" spans="4:5" x14ac:dyDescent="0.25">
      <c r="D7273" s="4">
        <v>42096</v>
      </c>
      <c r="E7273" s="6">
        <v>55.73</v>
      </c>
    </row>
    <row r="7274" spans="4:5" x14ac:dyDescent="0.25">
      <c r="D7274" s="4">
        <v>42097</v>
      </c>
      <c r="E7274" s="5"/>
    </row>
    <row r="7275" spans="4:5" x14ac:dyDescent="0.25">
      <c r="D7275" s="4">
        <v>42100</v>
      </c>
      <c r="E7275" s="6">
        <v>55.73</v>
      </c>
    </row>
    <row r="7276" spans="4:5" x14ac:dyDescent="0.25">
      <c r="D7276" s="4">
        <v>42101</v>
      </c>
      <c r="E7276" s="6">
        <v>57.55</v>
      </c>
    </row>
    <row r="7277" spans="4:5" x14ac:dyDescent="0.25">
      <c r="D7277" s="4">
        <v>42102</v>
      </c>
      <c r="E7277" s="6">
        <v>56.42</v>
      </c>
    </row>
    <row r="7278" spans="4:5" x14ac:dyDescent="0.25">
      <c r="D7278" s="4">
        <v>42103</v>
      </c>
      <c r="E7278" s="6">
        <v>56.04</v>
      </c>
    </row>
    <row r="7279" spans="4:5" x14ac:dyDescent="0.25">
      <c r="D7279" s="4">
        <v>42104</v>
      </c>
      <c r="E7279" s="6">
        <v>56.82</v>
      </c>
    </row>
    <row r="7280" spans="4:5" x14ac:dyDescent="0.25">
      <c r="D7280" s="4">
        <v>42107</v>
      </c>
      <c r="E7280" s="6">
        <v>57.14</v>
      </c>
    </row>
    <row r="7281" spans="4:5" x14ac:dyDescent="0.25">
      <c r="D7281" s="4">
        <v>42108</v>
      </c>
      <c r="E7281" s="6">
        <v>57.69</v>
      </c>
    </row>
    <row r="7282" spans="4:5" x14ac:dyDescent="0.25">
      <c r="D7282" s="4">
        <v>42109</v>
      </c>
      <c r="E7282" s="6">
        <v>59.32</v>
      </c>
    </row>
    <row r="7283" spans="4:5" x14ac:dyDescent="0.25">
      <c r="D7283" s="4">
        <v>42110</v>
      </c>
      <c r="E7283" s="6">
        <v>60.13</v>
      </c>
    </row>
    <row r="7284" spans="4:5" x14ac:dyDescent="0.25">
      <c r="D7284" s="4">
        <v>42111</v>
      </c>
      <c r="E7284" s="6">
        <v>61.31</v>
      </c>
    </row>
    <row r="7285" spans="4:5" x14ac:dyDescent="0.25">
      <c r="D7285" s="4">
        <v>42114</v>
      </c>
      <c r="E7285" s="6">
        <v>61.2</v>
      </c>
    </row>
    <row r="7286" spans="4:5" x14ac:dyDescent="0.25">
      <c r="D7286" s="4">
        <v>42115</v>
      </c>
      <c r="E7286" s="6">
        <v>60.12</v>
      </c>
    </row>
    <row r="7287" spans="4:5" x14ac:dyDescent="0.25">
      <c r="D7287" s="4">
        <v>42116</v>
      </c>
      <c r="E7287" s="6">
        <v>60.12</v>
      </c>
    </row>
    <row r="7288" spans="4:5" x14ac:dyDescent="0.25">
      <c r="D7288" s="4">
        <v>42117</v>
      </c>
      <c r="E7288" s="6">
        <v>62.66</v>
      </c>
    </row>
    <row r="7289" spans="4:5" x14ac:dyDescent="0.25">
      <c r="D7289" s="4">
        <v>42118</v>
      </c>
      <c r="E7289" s="6">
        <v>62.96</v>
      </c>
    </row>
    <row r="7290" spans="4:5" x14ac:dyDescent="0.25">
      <c r="D7290" s="4">
        <v>42121</v>
      </c>
      <c r="E7290" s="6">
        <v>62.86</v>
      </c>
    </row>
    <row r="7291" spans="4:5" x14ac:dyDescent="0.25">
      <c r="D7291" s="4">
        <v>42122</v>
      </c>
      <c r="E7291" s="6">
        <v>62.61</v>
      </c>
    </row>
    <row r="7292" spans="4:5" x14ac:dyDescent="0.25">
      <c r="D7292" s="4">
        <v>42123</v>
      </c>
      <c r="E7292" s="6">
        <v>63.97</v>
      </c>
    </row>
    <row r="7293" spans="4:5" x14ac:dyDescent="0.25">
      <c r="D7293" s="4">
        <v>42124</v>
      </c>
      <c r="E7293" s="6">
        <v>63.9</v>
      </c>
    </row>
    <row r="7294" spans="4:5" x14ac:dyDescent="0.25">
      <c r="D7294" s="4">
        <v>42125</v>
      </c>
      <c r="E7294" s="6">
        <v>64.13</v>
      </c>
    </row>
    <row r="7295" spans="4:5" x14ac:dyDescent="0.25">
      <c r="D7295" s="4">
        <v>42128</v>
      </c>
      <c r="E7295" s="6">
        <v>64.62</v>
      </c>
    </row>
    <row r="7296" spans="4:5" x14ac:dyDescent="0.25">
      <c r="D7296" s="4">
        <v>42129</v>
      </c>
      <c r="E7296" s="6">
        <v>65.44</v>
      </c>
    </row>
    <row r="7297" spans="4:5" x14ac:dyDescent="0.25">
      <c r="D7297" s="4">
        <v>42130</v>
      </c>
      <c r="E7297" s="6">
        <v>66.22</v>
      </c>
    </row>
    <row r="7298" spans="4:5" x14ac:dyDescent="0.25">
      <c r="D7298" s="4">
        <v>42131</v>
      </c>
      <c r="E7298" s="6">
        <v>64.930000000000007</v>
      </c>
    </row>
    <row r="7299" spans="4:5" x14ac:dyDescent="0.25">
      <c r="D7299" s="4">
        <v>42132</v>
      </c>
      <c r="E7299" s="6">
        <v>63.82</v>
      </c>
    </row>
    <row r="7300" spans="4:5" x14ac:dyDescent="0.25">
      <c r="D7300" s="4">
        <v>42135</v>
      </c>
      <c r="E7300" s="6">
        <v>62.82</v>
      </c>
    </row>
    <row r="7301" spans="4:5" x14ac:dyDescent="0.25">
      <c r="D7301" s="4">
        <v>42136</v>
      </c>
      <c r="E7301" s="6">
        <v>65.09</v>
      </c>
    </row>
    <row r="7302" spans="4:5" x14ac:dyDescent="0.25">
      <c r="D7302" s="4">
        <v>42137</v>
      </c>
      <c r="E7302" s="6">
        <v>66.33</v>
      </c>
    </row>
    <row r="7303" spans="4:5" x14ac:dyDescent="0.25">
      <c r="D7303" s="4">
        <v>42138</v>
      </c>
      <c r="E7303" s="6">
        <v>65.58</v>
      </c>
    </row>
    <row r="7304" spans="4:5" x14ac:dyDescent="0.25">
      <c r="D7304" s="4">
        <v>42139</v>
      </c>
      <c r="E7304" s="6">
        <v>64.69</v>
      </c>
    </row>
    <row r="7305" spans="4:5" x14ac:dyDescent="0.25">
      <c r="D7305" s="4">
        <v>42142</v>
      </c>
      <c r="E7305" s="6">
        <v>65.150000000000006</v>
      </c>
    </row>
    <row r="7306" spans="4:5" x14ac:dyDescent="0.25">
      <c r="D7306" s="4">
        <v>42143</v>
      </c>
      <c r="E7306" s="6">
        <v>63.48</v>
      </c>
    </row>
    <row r="7307" spans="4:5" x14ac:dyDescent="0.25">
      <c r="D7307" s="4">
        <v>42144</v>
      </c>
      <c r="E7307" s="6">
        <v>63.52</v>
      </c>
    </row>
    <row r="7308" spans="4:5" x14ac:dyDescent="0.25">
      <c r="D7308" s="4">
        <v>42145</v>
      </c>
      <c r="E7308" s="6">
        <v>64.7</v>
      </c>
    </row>
    <row r="7309" spans="4:5" x14ac:dyDescent="0.25">
      <c r="D7309" s="4">
        <v>42146</v>
      </c>
      <c r="E7309" s="6">
        <v>64.7</v>
      </c>
    </row>
    <row r="7310" spans="4:5" x14ac:dyDescent="0.25">
      <c r="D7310" s="4">
        <v>42149</v>
      </c>
      <c r="E7310" s="5"/>
    </row>
    <row r="7311" spans="4:5" x14ac:dyDescent="0.25">
      <c r="D7311" s="4">
        <v>42150</v>
      </c>
      <c r="E7311" s="6">
        <v>61.65</v>
      </c>
    </row>
    <row r="7312" spans="4:5" x14ac:dyDescent="0.25">
      <c r="D7312" s="4">
        <v>42151</v>
      </c>
      <c r="E7312" s="6">
        <v>61.35</v>
      </c>
    </row>
    <row r="7313" spans="4:5" x14ac:dyDescent="0.25">
      <c r="D7313" s="4">
        <v>42152</v>
      </c>
      <c r="E7313" s="6">
        <v>60.12</v>
      </c>
    </row>
    <row r="7314" spans="4:5" x14ac:dyDescent="0.25">
      <c r="D7314" s="4">
        <v>42153</v>
      </c>
      <c r="E7314" s="6">
        <v>63.16</v>
      </c>
    </row>
    <row r="7315" spans="4:5" x14ac:dyDescent="0.25">
      <c r="D7315" s="4">
        <v>42156</v>
      </c>
      <c r="E7315" s="6">
        <v>62.87</v>
      </c>
    </row>
    <row r="7316" spans="4:5" x14ac:dyDescent="0.25">
      <c r="D7316" s="4">
        <v>42157</v>
      </c>
      <c r="E7316" s="6">
        <v>63.14</v>
      </c>
    </row>
    <row r="7317" spans="4:5" x14ac:dyDescent="0.25">
      <c r="D7317" s="4">
        <v>42158</v>
      </c>
      <c r="E7317" s="6">
        <v>62.78</v>
      </c>
    </row>
    <row r="7318" spans="4:5" x14ac:dyDescent="0.25">
      <c r="D7318" s="4">
        <v>42159</v>
      </c>
      <c r="E7318" s="6">
        <v>60.34</v>
      </c>
    </row>
    <row r="7319" spans="4:5" x14ac:dyDescent="0.25">
      <c r="D7319" s="4">
        <v>42160</v>
      </c>
      <c r="E7319" s="6">
        <v>60.36</v>
      </c>
    </row>
    <row r="7320" spans="4:5" x14ac:dyDescent="0.25">
      <c r="D7320" s="4">
        <v>42163</v>
      </c>
      <c r="E7320" s="6">
        <v>61.33</v>
      </c>
    </row>
    <row r="7321" spans="4:5" x14ac:dyDescent="0.25">
      <c r="D7321" s="4">
        <v>42164</v>
      </c>
      <c r="E7321" s="6">
        <v>63.23</v>
      </c>
    </row>
    <row r="7322" spans="4:5" x14ac:dyDescent="0.25">
      <c r="D7322" s="4">
        <v>42165</v>
      </c>
      <c r="E7322" s="6">
        <v>64.680000000000007</v>
      </c>
    </row>
    <row r="7323" spans="4:5" x14ac:dyDescent="0.25">
      <c r="D7323" s="4">
        <v>42166</v>
      </c>
      <c r="E7323" s="6">
        <v>63.76</v>
      </c>
    </row>
    <row r="7324" spans="4:5" x14ac:dyDescent="0.25">
      <c r="D7324" s="4">
        <v>42167</v>
      </c>
      <c r="E7324" s="6">
        <v>63.19</v>
      </c>
    </row>
    <row r="7325" spans="4:5" x14ac:dyDescent="0.25">
      <c r="D7325" s="4">
        <v>42170</v>
      </c>
      <c r="E7325" s="6">
        <v>60.99</v>
      </c>
    </row>
    <row r="7326" spans="4:5" x14ac:dyDescent="0.25">
      <c r="D7326" s="4">
        <v>42171</v>
      </c>
      <c r="E7326" s="6">
        <v>60.75</v>
      </c>
    </row>
    <row r="7327" spans="4:5" x14ac:dyDescent="0.25">
      <c r="D7327" s="4">
        <v>42172</v>
      </c>
      <c r="E7327" s="6">
        <v>60.75</v>
      </c>
    </row>
    <row r="7328" spans="4:5" x14ac:dyDescent="0.25">
      <c r="D7328" s="4">
        <v>42173</v>
      </c>
      <c r="E7328" s="6">
        <v>61.37</v>
      </c>
    </row>
    <row r="7329" spans="4:5" x14ac:dyDescent="0.25">
      <c r="D7329" s="4">
        <v>42174</v>
      </c>
      <c r="E7329" s="6">
        <v>59.41</v>
      </c>
    </row>
    <row r="7330" spans="4:5" x14ac:dyDescent="0.25">
      <c r="D7330" s="4">
        <v>42177</v>
      </c>
      <c r="E7330" s="6">
        <v>60.54</v>
      </c>
    </row>
    <row r="7331" spans="4:5" x14ac:dyDescent="0.25">
      <c r="D7331" s="4">
        <v>42178</v>
      </c>
      <c r="E7331" s="6">
        <v>61.67</v>
      </c>
    </row>
    <row r="7332" spans="4:5" x14ac:dyDescent="0.25">
      <c r="D7332" s="4">
        <v>42179</v>
      </c>
      <c r="E7332" s="6">
        <v>61.63</v>
      </c>
    </row>
    <row r="7333" spans="4:5" x14ac:dyDescent="0.25">
      <c r="D7333" s="4">
        <v>42180</v>
      </c>
      <c r="E7333" s="6">
        <v>60.24</v>
      </c>
    </row>
    <row r="7334" spans="4:5" x14ac:dyDescent="0.25">
      <c r="D7334" s="4">
        <v>42181</v>
      </c>
      <c r="E7334" s="6">
        <v>60.14</v>
      </c>
    </row>
    <row r="7335" spans="4:5" x14ac:dyDescent="0.25">
      <c r="D7335" s="4">
        <v>42184</v>
      </c>
      <c r="E7335" s="6">
        <v>59.03</v>
      </c>
    </row>
    <row r="7336" spans="4:5" x14ac:dyDescent="0.25">
      <c r="D7336" s="4">
        <v>42185</v>
      </c>
      <c r="E7336" s="6">
        <v>60.31</v>
      </c>
    </row>
    <row r="7337" spans="4:5" x14ac:dyDescent="0.25">
      <c r="D7337" s="4">
        <v>42186</v>
      </c>
      <c r="E7337" s="6">
        <v>61.65</v>
      </c>
    </row>
    <row r="7338" spans="4:5" x14ac:dyDescent="0.25">
      <c r="D7338" s="4">
        <v>42187</v>
      </c>
      <c r="E7338" s="6">
        <v>61.73</v>
      </c>
    </row>
    <row r="7339" spans="4:5" x14ac:dyDescent="0.25">
      <c r="D7339" s="4">
        <v>42188</v>
      </c>
      <c r="E7339" s="6">
        <v>59.06</v>
      </c>
    </row>
    <row r="7340" spans="4:5" x14ac:dyDescent="0.25">
      <c r="D7340" s="4">
        <v>42191</v>
      </c>
      <c r="E7340" s="6">
        <v>57.19</v>
      </c>
    </row>
    <row r="7341" spans="4:5" x14ac:dyDescent="0.25">
      <c r="D7341" s="4">
        <v>42192</v>
      </c>
      <c r="E7341" s="6">
        <v>54.72</v>
      </c>
    </row>
    <row r="7342" spans="4:5" x14ac:dyDescent="0.25">
      <c r="D7342" s="4">
        <v>42193</v>
      </c>
      <c r="E7342" s="6">
        <v>55.7</v>
      </c>
    </row>
    <row r="7343" spans="4:5" x14ac:dyDescent="0.25">
      <c r="D7343" s="4">
        <v>42194</v>
      </c>
      <c r="E7343" s="6">
        <v>57.83</v>
      </c>
    </row>
    <row r="7344" spans="4:5" x14ac:dyDescent="0.25">
      <c r="D7344" s="4">
        <v>42195</v>
      </c>
      <c r="E7344" s="6">
        <v>57.72</v>
      </c>
    </row>
    <row r="7345" spans="4:5" x14ac:dyDescent="0.25">
      <c r="D7345" s="4">
        <v>42198</v>
      </c>
      <c r="E7345" s="6">
        <v>57.63</v>
      </c>
    </row>
    <row r="7346" spans="4:5" x14ac:dyDescent="0.25">
      <c r="D7346" s="4">
        <v>42199</v>
      </c>
      <c r="E7346" s="6">
        <v>57.2</v>
      </c>
    </row>
    <row r="7347" spans="4:5" x14ac:dyDescent="0.25">
      <c r="D7347" s="4">
        <v>42200</v>
      </c>
      <c r="E7347" s="6">
        <v>57.34</v>
      </c>
    </row>
    <row r="7348" spans="4:5" x14ac:dyDescent="0.25">
      <c r="D7348" s="4">
        <v>42201</v>
      </c>
      <c r="E7348" s="6">
        <v>57.31</v>
      </c>
    </row>
    <row r="7349" spans="4:5" x14ac:dyDescent="0.25">
      <c r="D7349" s="4">
        <v>42202</v>
      </c>
      <c r="E7349" s="6">
        <v>56.38</v>
      </c>
    </row>
    <row r="7350" spans="4:5" x14ac:dyDescent="0.25">
      <c r="D7350" s="4">
        <v>42205</v>
      </c>
      <c r="E7350" s="6">
        <v>56.42</v>
      </c>
    </row>
    <row r="7351" spans="4:5" x14ac:dyDescent="0.25">
      <c r="D7351" s="4">
        <v>42206</v>
      </c>
      <c r="E7351" s="6">
        <v>55.94</v>
      </c>
    </row>
    <row r="7352" spans="4:5" x14ac:dyDescent="0.25">
      <c r="D7352" s="4">
        <v>42207</v>
      </c>
      <c r="E7352" s="6">
        <v>56.36</v>
      </c>
    </row>
    <row r="7353" spans="4:5" x14ac:dyDescent="0.25">
      <c r="D7353" s="4">
        <v>42208</v>
      </c>
      <c r="E7353" s="6">
        <v>55.76</v>
      </c>
    </row>
    <row r="7354" spans="4:5" x14ac:dyDescent="0.25">
      <c r="D7354" s="4">
        <v>42209</v>
      </c>
      <c r="E7354" s="6">
        <v>54.29</v>
      </c>
    </row>
    <row r="7355" spans="4:5" x14ac:dyDescent="0.25">
      <c r="D7355" s="4">
        <v>42212</v>
      </c>
      <c r="E7355" s="6">
        <v>54.07</v>
      </c>
    </row>
    <row r="7356" spans="4:5" x14ac:dyDescent="0.25">
      <c r="D7356" s="4">
        <v>42213</v>
      </c>
      <c r="E7356" s="6">
        <v>54.3</v>
      </c>
    </row>
    <row r="7357" spans="4:5" x14ac:dyDescent="0.25">
      <c r="D7357" s="4">
        <v>42214</v>
      </c>
      <c r="E7357" s="6">
        <v>54.73</v>
      </c>
    </row>
    <row r="7358" spans="4:5" x14ac:dyDescent="0.25">
      <c r="D7358" s="4">
        <v>42215</v>
      </c>
      <c r="E7358" s="6">
        <v>54.29</v>
      </c>
    </row>
    <row r="7359" spans="4:5" x14ac:dyDescent="0.25">
      <c r="D7359" s="4">
        <v>42216</v>
      </c>
      <c r="E7359" s="6">
        <v>53.29</v>
      </c>
    </row>
    <row r="7360" spans="4:5" x14ac:dyDescent="0.25">
      <c r="D7360" s="4">
        <v>42219</v>
      </c>
      <c r="E7360" s="6">
        <v>49.49</v>
      </c>
    </row>
    <row r="7361" spans="4:5" x14ac:dyDescent="0.25">
      <c r="D7361" s="4">
        <v>42220</v>
      </c>
      <c r="E7361" s="6">
        <v>49.08</v>
      </c>
    </row>
    <row r="7362" spans="4:5" x14ac:dyDescent="0.25">
      <c r="D7362" s="4">
        <v>42221</v>
      </c>
      <c r="E7362" s="6">
        <v>49.04</v>
      </c>
    </row>
    <row r="7363" spans="4:5" x14ac:dyDescent="0.25">
      <c r="D7363" s="4">
        <v>42222</v>
      </c>
      <c r="E7363" s="6">
        <v>47.8</v>
      </c>
    </row>
    <row r="7364" spans="4:5" x14ac:dyDescent="0.25">
      <c r="D7364" s="4">
        <v>42223</v>
      </c>
      <c r="E7364" s="6">
        <v>47.54</v>
      </c>
    </row>
    <row r="7365" spans="4:5" x14ac:dyDescent="0.25">
      <c r="D7365" s="4">
        <v>42226</v>
      </c>
      <c r="E7365" s="6">
        <v>48.3</v>
      </c>
    </row>
    <row r="7366" spans="4:5" x14ac:dyDescent="0.25">
      <c r="D7366" s="4">
        <v>42227</v>
      </c>
      <c r="E7366" s="6">
        <v>47.33</v>
      </c>
    </row>
    <row r="7367" spans="4:5" x14ac:dyDescent="0.25">
      <c r="D7367" s="4">
        <v>42228</v>
      </c>
      <c r="E7367" s="6">
        <v>48.29</v>
      </c>
    </row>
    <row r="7368" spans="4:5" x14ac:dyDescent="0.25">
      <c r="D7368" s="4">
        <v>42229</v>
      </c>
      <c r="E7368" s="6">
        <v>48.01</v>
      </c>
    </row>
    <row r="7369" spans="4:5" x14ac:dyDescent="0.25">
      <c r="D7369" s="4">
        <v>42230</v>
      </c>
      <c r="E7369" s="6">
        <v>47.79</v>
      </c>
    </row>
    <row r="7370" spans="4:5" x14ac:dyDescent="0.25">
      <c r="D7370" s="4">
        <v>42233</v>
      </c>
      <c r="E7370" s="6">
        <v>47.77</v>
      </c>
    </row>
    <row r="7371" spans="4:5" x14ac:dyDescent="0.25">
      <c r="D7371" s="4">
        <v>42234</v>
      </c>
      <c r="E7371" s="6">
        <v>47</v>
      </c>
    </row>
    <row r="7372" spans="4:5" x14ac:dyDescent="0.25">
      <c r="D7372" s="4">
        <v>42235</v>
      </c>
      <c r="E7372" s="6">
        <v>45.75</v>
      </c>
    </row>
    <row r="7373" spans="4:5" x14ac:dyDescent="0.25">
      <c r="D7373" s="4">
        <v>42236</v>
      </c>
      <c r="E7373" s="6">
        <v>45.63</v>
      </c>
    </row>
    <row r="7374" spans="4:5" x14ac:dyDescent="0.25">
      <c r="D7374" s="4">
        <v>42237</v>
      </c>
      <c r="E7374" s="6">
        <v>43.84</v>
      </c>
    </row>
    <row r="7375" spans="4:5" x14ac:dyDescent="0.25">
      <c r="D7375" s="4">
        <v>42240</v>
      </c>
      <c r="E7375" s="6">
        <v>41.59</v>
      </c>
    </row>
    <row r="7376" spans="4:5" x14ac:dyDescent="0.25">
      <c r="D7376" s="4">
        <v>42241</v>
      </c>
      <c r="E7376" s="6">
        <v>41.86</v>
      </c>
    </row>
    <row r="7377" spans="4:5" x14ac:dyDescent="0.25">
      <c r="D7377" s="4">
        <v>42242</v>
      </c>
      <c r="E7377" s="6">
        <v>41.76</v>
      </c>
    </row>
    <row r="7378" spans="4:5" x14ac:dyDescent="0.25">
      <c r="D7378" s="4">
        <v>42243</v>
      </c>
      <c r="E7378" s="6">
        <v>44.46</v>
      </c>
    </row>
    <row r="7379" spans="4:5" x14ac:dyDescent="0.25">
      <c r="D7379" s="4">
        <v>42244</v>
      </c>
      <c r="E7379" s="6">
        <v>47.97</v>
      </c>
    </row>
    <row r="7380" spans="4:5" x14ac:dyDescent="0.25">
      <c r="D7380" s="4">
        <v>42247</v>
      </c>
      <c r="E7380" s="5"/>
    </row>
    <row r="7381" spans="4:5" x14ac:dyDescent="0.25">
      <c r="D7381" s="4">
        <v>42248</v>
      </c>
      <c r="E7381" s="6">
        <v>48.8</v>
      </c>
    </row>
    <row r="7382" spans="4:5" x14ac:dyDescent="0.25">
      <c r="D7382" s="4">
        <v>42249</v>
      </c>
      <c r="E7382" s="6">
        <v>47.67</v>
      </c>
    </row>
    <row r="7383" spans="4:5" x14ac:dyDescent="0.25">
      <c r="D7383" s="4">
        <v>42250</v>
      </c>
      <c r="E7383" s="6">
        <v>50.41</v>
      </c>
    </row>
    <row r="7384" spans="4:5" x14ac:dyDescent="0.25">
      <c r="D7384" s="4">
        <v>42251</v>
      </c>
      <c r="E7384" s="6">
        <v>48.59</v>
      </c>
    </row>
    <row r="7385" spans="4:5" x14ac:dyDescent="0.25">
      <c r="D7385" s="4">
        <v>42254</v>
      </c>
      <c r="E7385" s="6">
        <v>46.42</v>
      </c>
    </row>
    <row r="7386" spans="4:5" x14ac:dyDescent="0.25">
      <c r="D7386" s="4">
        <v>42255</v>
      </c>
      <c r="E7386" s="6">
        <v>48.88</v>
      </c>
    </row>
    <row r="7387" spans="4:5" x14ac:dyDescent="0.25">
      <c r="D7387" s="4">
        <v>42256</v>
      </c>
      <c r="E7387" s="6">
        <v>48.04</v>
      </c>
    </row>
    <row r="7388" spans="4:5" x14ac:dyDescent="0.25">
      <c r="D7388" s="4">
        <v>42257</v>
      </c>
      <c r="E7388" s="6">
        <v>47.77</v>
      </c>
    </row>
    <row r="7389" spans="4:5" x14ac:dyDescent="0.25">
      <c r="D7389" s="4">
        <v>42258</v>
      </c>
      <c r="E7389" s="6">
        <v>46.87</v>
      </c>
    </row>
    <row r="7390" spans="4:5" x14ac:dyDescent="0.25">
      <c r="D7390" s="4">
        <v>42261</v>
      </c>
      <c r="E7390" s="6">
        <v>45.87</v>
      </c>
    </row>
    <row r="7391" spans="4:5" x14ac:dyDescent="0.25">
      <c r="D7391" s="4">
        <v>42262</v>
      </c>
      <c r="E7391" s="6">
        <v>45.91</v>
      </c>
    </row>
    <row r="7392" spans="4:5" x14ac:dyDescent="0.25">
      <c r="D7392" s="4">
        <v>42263</v>
      </c>
      <c r="E7392" s="6">
        <v>49.35</v>
      </c>
    </row>
    <row r="7393" spans="4:5" x14ac:dyDescent="0.25">
      <c r="D7393" s="4">
        <v>42264</v>
      </c>
      <c r="E7393" s="6">
        <v>48.27</v>
      </c>
    </row>
    <row r="7394" spans="4:5" x14ac:dyDescent="0.25">
      <c r="D7394" s="4">
        <v>42265</v>
      </c>
      <c r="E7394" s="6">
        <v>47.28</v>
      </c>
    </row>
    <row r="7395" spans="4:5" x14ac:dyDescent="0.25">
      <c r="D7395" s="4">
        <v>42268</v>
      </c>
      <c r="E7395" s="6">
        <v>47.64</v>
      </c>
    </row>
    <row r="7396" spans="4:5" x14ac:dyDescent="0.25">
      <c r="D7396" s="4">
        <v>42269</v>
      </c>
      <c r="E7396" s="6">
        <v>46.69</v>
      </c>
    </row>
    <row r="7397" spans="4:5" x14ac:dyDescent="0.25">
      <c r="D7397" s="4">
        <v>42270</v>
      </c>
      <c r="E7397" s="6">
        <v>48</v>
      </c>
    </row>
    <row r="7398" spans="4:5" x14ac:dyDescent="0.25">
      <c r="D7398" s="4">
        <v>42271</v>
      </c>
      <c r="E7398" s="6">
        <v>47.06</v>
      </c>
    </row>
    <row r="7399" spans="4:5" x14ac:dyDescent="0.25">
      <c r="D7399" s="4">
        <v>42272</v>
      </c>
      <c r="E7399" s="6">
        <v>47.28</v>
      </c>
    </row>
    <row r="7400" spans="4:5" x14ac:dyDescent="0.25">
      <c r="D7400" s="4">
        <v>42275</v>
      </c>
      <c r="E7400" s="6">
        <v>46.04</v>
      </c>
    </row>
    <row r="7401" spans="4:5" x14ac:dyDescent="0.25">
      <c r="D7401" s="4">
        <v>42276</v>
      </c>
      <c r="E7401" s="6">
        <v>47.58</v>
      </c>
    </row>
    <row r="7402" spans="4:5" x14ac:dyDescent="0.25">
      <c r="D7402" s="4">
        <v>42277</v>
      </c>
      <c r="E7402" s="6">
        <v>47.29</v>
      </c>
    </row>
    <row r="7403" spans="4:5" x14ac:dyDescent="0.25">
      <c r="D7403" s="4">
        <v>42278</v>
      </c>
      <c r="E7403" s="6">
        <v>47.48</v>
      </c>
    </row>
    <row r="7404" spans="4:5" x14ac:dyDescent="0.25">
      <c r="D7404" s="4">
        <v>42279</v>
      </c>
      <c r="E7404" s="6">
        <v>46.55</v>
      </c>
    </row>
    <row r="7405" spans="4:5" x14ac:dyDescent="0.25">
      <c r="D7405" s="4">
        <v>42282</v>
      </c>
      <c r="E7405" s="6">
        <v>49.45</v>
      </c>
    </row>
    <row r="7406" spans="4:5" x14ac:dyDescent="0.25">
      <c r="D7406" s="4">
        <v>42283</v>
      </c>
      <c r="E7406" s="6">
        <v>51.34</v>
      </c>
    </row>
    <row r="7407" spans="4:5" x14ac:dyDescent="0.25">
      <c r="D7407" s="4">
        <v>42284</v>
      </c>
      <c r="E7407" s="6">
        <v>51.66</v>
      </c>
    </row>
    <row r="7408" spans="4:5" x14ac:dyDescent="0.25">
      <c r="D7408" s="4">
        <v>42285</v>
      </c>
      <c r="E7408" s="6">
        <v>52.13</v>
      </c>
    </row>
    <row r="7409" spans="4:5" x14ac:dyDescent="0.25">
      <c r="D7409" s="4">
        <v>42286</v>
      </c>
      <c r="E7409" s="6">
        <v>52.08</v>
      </c>
    </row>
    <row r="7410" spans="4:5" x14ac:dyDescent="0.25">
      <c r="D7410" s="4">
        <v>42289</v>
      </c>
      <c r="E7410" s="6">
        <v>50.95</v>
      </c>
    </row>
    <row r="7411" spans="4:5" x14ac:dyDescent="0.25">
      <c r="D7411" s="4">
        <v>42290</v>
      </c>
      <c r="E7411" s="6">
        <v>48.94</v>
      </c>
    </row>
    <row r="7412" spans="4:5" x14ac:dyDescent="0.25">
      <c r="D7412" s="4">
        <v>42291</v>
      </c>
      <c r="E7412" s="6">
        <v>48.25</v>
      </c>
    </row>
    <row r="7413" spans="4:5" x14ac:dyDescent="0.25">
      <c r="D7413" s="4">
        <v>42292</v>
      </c>
      <c r="E7413" s="6">
        <v>47.87</v>
      </c>
    </row>
    <row r="7414" spans="4:5" x14ac:dyDescent="0.25">
      <c r="D7414" s="4">
        <v>42293</v>
      </c>
      <c r="E7414" s="6">
        <v>48.96</v>
      </c>
    </row>
    <row r="7415" spans="4:5" x14ac:dyDescent="0.25">
      <c r="D7415" s="4">
        <v>42296</v>
      </c>
      <c r="E7415" s="6">
        <v>47.51</v>
      </c>
    </row>
    <row r="7416" spans="4:5" x14ac:dyDescent="0.25">
      <c r="D7416" s="4">
        <v>42297</v>
      </c>
      <c r="E7416" s="6">
        <v>46.93</v>
      </c>
    </row>
    <row r="7417" spans="4:5" x14ac:dyDescent="0.25">
      <c r="D7417" s="4">
        <v>42298</v>
      </c>
      <c r="E7417" s="6">
        <v>46.72</v>
      </c>
    </row>
    <row r="7418" spans="4:5" x14ac:dyDescent="0.25">
      <c r="D7418" s="4">
        <v>42299</v>
      </c>
      <c r="E7418" s="6">
        <v>46.59</v>
      </c>
    </row>
    <row r="7419" spans="4:5" x14ac:dyDescent="0.25">
      <c r="D7419" s="4">
        <v>42300</v>
      </c>
      <c r="E7419" s="6">
        <v>46.3</v>
      </c>
    </row>
    <row r="7420" spans="4:5" x14ac:dyDescent="0.25">
      <c r="D7420" s="4">
        <v>42303</v>
      </c>
      <c r="E7420" s="6">
        <v>46.57</v>
      </c>
    </row>
    <row r="7421" spans="4:5" x14ac:dyDescent="0.25">
      <c r="D7421" s="4">
        <v>42304</v>
      </c>
      <c r="E7421" s="6">
        <v>45.54</v>
      </c>
    </row>
    <row r="7422" spans="4:5" x14ac:dyDescent="0.25">
      <c r="D7422" s="4">
        <v>42305</v>
      </c>
      <c r="E7422" s="6">
        <v>47.6</v>
      </c>
    </row>
    <row r="7423" spans="4:5" x14ac:dyDescent="0.25">
      <c r="D7423" s="4">
        <v>42306</v>
      </c>
      <c r="E7423" s="6">
        <v>48.04</v>
      </c>
    </row>
    <row r="7424" spans="4:5" x14ac:dyDescent="0.25">
      <c r="D7424" s="4">
        <v>42307</v>
      </c>
      <c r="E7424" s="6">
        <v>48</v>
      </c>
    </row>
    <row r="7425" spans="4:5" x14ac:dyDescent="0.25">
      <c r="D7425" s="4">
        <v>42310</v>
      </c>
      <c r="E7425" s="6">
        <v>47.91</v>
      </c>
    </row>
    <row r="7426" spans="4:5" x14ac:dyDescent="0.25">
      <c r="D7426" s="4">
        <v>42311</v>
      </c>
      <c r="E7426" s="6">
        <v>48</v>
      </c>
    </row>
    <row r="7427" spans="4:5" x14ac:dyDescent="0.25">
      <c r="D7427" s="4">
        <v>42312</v>
      </c>
      <c r="E7427" s="6">
        <v>46.96</v>
      </c>
    </row>
    <row r="7428" spans="4:5" x14ac:dyDescent="0.25">
      <c r="D7428" s="4">
        <v>42313</v>
      </c>
      <c r="E7428" s="6">
        <v>47.19</v>
      </c>
    </row>
    <row r="7429" spans="4:5" x14ac:dyDescent="0.25">
      <c r="D7429" s="4">
        <v>42314</v>
      </c>
      <c r="E7429" s="6">
        <v>46.09</v>
      </c>
    </row>
    <row r="7430" spans="4:5" x14ac:dyDescent="0.25">
      <c r="D7430" s="4">
        <v>42317</v>
      </c>
      <c r="E7430" s="6">
        <v>45.38</v>
      </c>
    </row>
    <row r="7431" spans="4:5" x14ac:dyDescent="0.25">
      <c r="D7431" s="4">
        <v>42318</v>
      </c>
      <c r="E7431" s="6">
        <v>46.44</v>
      </c>
    </row>
    <row r="7432" spans="4:5" x14ac:dyDescent="0.25">
      <c r="D7432" s="4">
        <v>42319</v>
      </c>
      <c r="E7432" s="6">
        <v>44.98</v>
      </c>
    </row>
    <row r="7433" spans="4:5" x14ac:dyDescent="0.25">
      <c r="D7433" s="4">
        <v>42320</v>
      </c>
      <c r="E7433" s="6">
        <v>44.98</v>
      </c>
    </row>
    <row r="7434" spans="4:5" x14ac:dyDescent="0.25">
      <c r="D7434" s="4">
        <v>42321</v>
      </c>
      <c r="E7434" s="6">
        <v>41.98</v>
      </c>
    </row>
    <row r="7435" spans="4:5" x14ac:dyDescent="0.25">
      <c r="D7435" s="4">
        <v>42324</v>
      </c>
      <c r="E7435" s="6">
        <v>40.28</v>
      </c>
    </row>
    <row r="7436" spans="4:5" x14ac:dyDescent="0.25">
      <c r="D7436" s="4">
        <v>42325</v>
      </c>
      <c r="E7436" s="6">
        <v>41.28</v>
      </c>
    </row>
    <row r="7437" spans="4:5" x14ac:dyDescent="0.25">
      <c r="D7437" s="4">
        <v>42326</v>
      </c>
      <c r="E7437" s="6">
        <v>41.45</v>
      </c>
    </row>
    <row r="7438" spans="4:5" x14ac:dyDescent="0.25">
      <c r="D7438" s="4">
        <v>42327</v>
      </c>
      <c r="E7438" s="6">
        <v>42.22</v>
      </c>
    </row>
    <row r="7439" spans="4:5" x14ac:dyDescent="0.25">
      <c r="D7439" s="4">
        <v>42328</v>
      </c>
      <c r="E7439" s="6">
        <v>42.49</v>
      </c>
    </row>
    <row r="7440" spans="4:5" x14ac:dyDescent="0.25">
      <c r="D7440" s="4">
        <v>42331</v>
      </c>
      <c r="E7440" s="6">
        <v>43.7</v>
      </c>
    </row>
    <row r="7441" spans="4:5" x14ac:dyDescent="0.25">
      <c r="D7441" s="4">
        <v>42332</v>
      </c>
      <c r="E7441" s="6">
        <v>44.38</v>
      </c>
    </row>
    <row r="7442" spans="4:5" x14ac:dyDescent="0.25">
      <c r="D7442" s="4">
        <v>42333</v>
      </c>
      <c r="E7442" s="6">
        <v>43.56</v>
      </c>
    </row>
    <row r="7443" spans="4:5" x14ac:dyDescent="0.25">
      <c r="D7443" s="4">
        <v>42334</v>
      </c>
      <c r="E7443" s="6">
        <v>43.55</v>
      </c>
    </row>
    <row r="7444" spans="4:5" x14ac:dyDescent="0.25">
      <c r="D7444" s="4">
        <v>42335</v>
      </c>
      <c r="E7444" s="6">
        <v>43.07</v>
      </c>
    </row>
    <row r="7445" spans="4:5" x14ac:dyDescent="0.25">
      <c r="D7445" s="4">
        <v>42338</v>
      </c>
      <c r="E7445" s="6">
        <v>43.73</v>
      </c>
    </row>
    <row r="7446" spans="4:5" x14ac:dyDescent="0.25">
      <c r="D7446" s="4">
        <v>42339</v>
      </c>
      <c r="E7446" s="6">
        <v>42.97</v>
      </c>
    </row>
    <row r="7447" spans="4:5" x14ac:dyDescent="0.25">
      <c r="D7447" s="4">
        <v>42340</v>
      </c>
      <c r="E7447" s="6">
        <v>41.92</v>
      </c>
    </row>
    <row r="7448" spans="4:5" x14ac:dyDescent="0.25">
      <c r="D7448" s="4">
        <v>42341</v>
      </c>
      <c r="E7448" s="6">
        <v>42</v>
      </c>
    </row>
    <row r="7449" spans="4:5" x14ac:dyDescent="0.25">
      <c r="D7449" s="4">
        <v>42342</v>
      </c>
      <c r="E7449" s="6">
        <v>41.44</v>
      </c>
    </row>
    <row r="7450" spans="4:5" x14ac:dyDescent="0.25">
      <c r="D7450" s="4">
        <v>42345</v>
      </c>
      <c r="E7450" s="6">
        <v>39.69</v>
      </c>
    </row>
    <row r="7451" spans="4:5" x14ac:dyDescent="0.25">
      <c r="D7451" s="4">
        <v>42346</v>
      </c>
      <c r="E7451" s="6">
        <v>39.44</v>
      </c>
    </row>
    <row r="7452" spans="4:5" x14ac:dyDescent="0.25">
      <c r="D7452" s="4">
        <v>42347</v>
      </c>
      <c r="E7452" s="6">
        <v>39.04</v>
      </c>
    </row>
    <row r="7453" spans="4:5" x14ac:dyDescent="0.25">
      <c r="D7453" s="4">
        <v>42348</v>
      </c>
      <c r="E7453" s="6">
        <v>38.65</v>
      </c>
    </row>
    <row r="7454" spans="4:5" x14ac:dyDescent="0.25">
      <c r="D7454" s="4">
        <v>42349</v>
      </c>
      <c r="E7454" s="6">
        <v>36.99</v>
      </c>
    </row>
    <row r="7455" spans="4:5" x14ac:dyDescent="0.25">
      <c r="D7455" s="4">
        <v>42352</v>
      </c>
      <c r="E7455" s="6">
        <v>36.51</v>
      </c>
    </row>
    <row r="7456" spans="4:5" x14ac:dyDescent="0.25">
      <c r="D7456" s="4">
        <v>42353</v>
      </c>
      <c r="E7456" s="6">
        <v>37.659999999999997</v>
      </c>
    </row>
    <row r="7457" spans="4:5" x14ac:dyDescent="0.25">
      <c r="D7457" s="4">
        <v>42354</v>
      </c>
      <c r="E7457" s="6">
        <v>36.96</v>
      </c>
    </row>
    <row r="7458" spans="4:5" x14ac:dyDescent="0.25">
      <c r="D7458" s="4">
        <v>42355</v>
      </c>
      <c r="E7458" s="6">
        <v>36.29</v>
      </c>
    </row>
    <row r="7459" spans="4:5" x14ac:dyDescent="0.25">
      <c r="D7459" s="4">
        <v>42356</v>
      </c>
      <c r="E7459" s="6">
        <v>36.76</v>
      </c>
    </row>
    <row r="7460" spans="4:5" x14ac:dyDescent="0.25">
      <c r="D7460" s="4">
        <v>42359</v>
      </c>
      <c r="E7460" s="6">
        <v>35.340000000000003</v>
      </c>
    </row>
    <row r="7461" spans="4:5" x14ac:dyDescent="0.25">
      <c r="D7461" s="4">
        <v>42360</v>
      </c>
      <c r="E7461" s="6">
        <v>35.26</v>
      </c>
    </row>
    <row r="7462" spans="4:5" x14ac:dyDescent="0.25">
      <c r="D7462" s="4">
        <v>42361</v>
      </c>
      <c r="E7462" s="6">
        <v>35.79</v>
      </c>
    </row>
    <row r="7463" spans="4:5" x14ac:dyDescent="0.25">
      <c r="D7463" s="4">
        <v>42362</v>
      </c>
      <c r="E7463" s="6">
        <v>37.22</v>
      </c>
    </row>
    <row r="7464" spans="4:5" x14ac:dyDescent="0.25">
      <c r="D7464" s="4">
        <v>42363</v>
      </c>
      <c r="E7464" s="5"/>
    </row>
    <row r="7465" spans="4:5" x14ac:dyDescent="0.25">
      <c r="D7465" s="4">
        <v>42366</v>
      </c>
      <c r="E7465" s="6">
        <v>37.08</v>
      </c>
    </row>
    <row r="7466" spans="4:5" x14ac:dyDescent="0.25">
      <c r="D7466" s="4">
        <v>42367</v>
      </c>
      <c r="E7466" s="6">
        <v>36.85</v>
      </c>
    </row>
    <row r="7467" spans="4:5" x14ac:dyDescent="0.25">
      <c r="D7467" s="4">
        <v>42368</v>
      </c>
      <c r="E7467" s="6">
        <v>35.65</v>
      </c>
    </row>
    <row r="7468" spans="4:5" x14ac:dyDescent="0.25">
      <c r="D7468" s="4">
        <v>42369</v>
      </c>
      <c r="E7468" s="6">
        <v>36.61</v>
      </c>
    </row>
    <row r="7469" spans="4:5" x14ac:dyDescent="0.25">
      <c r="D7469" s="4">
        <v>42370</v>
      </c>
      <c r="E7469" s="5"/>
    </row>
    <row r="7470" spans="4:5" x14ac:dyDescent="0.25">
      <c r="D7470" s="4">
        <v>42373</v>
      </c>
      <c r="E7470" s="6">
        <v>36.28</v>
      </c>
    </row>
    <row r="7471" spans="4:5" x14ac:dyDescent="0.25">
      <c r="D7471" s="4">
        <v>42374</v>
      </c>
      <c r="E7471" s="6">
        <v>35.56</v>
      </c>
    </row>
    <row r="7472" spans="4:5" x14ac:dyDescent="0.25">
      <c r="D7472" s="4">
        <v>42375</v>
      </c>
      <c r="E7472" s="6">
        <v>33.89</v>
      </c>
    </row>
    <row r="7473" spans="4:5" x14ac:dyDescent="0.25">
      <c r="D7473" s="4">
        <v>42376</v>
      </c>
      <c r="E7473" s="6">
        <v>33.57</v>
      </c>
    </row>
    <row r="7474" spans="4:5" x14ac:dyDescent="0.25">
      <c r="D7474" s="4">
        <v>42377</v>
      </c>
      <c r="E7474" s="6">
        <v>31.67</v>
      </c>
    </row>
    <row r="7475" spans="4:5" x14ac:dyDescent="0.25">
      <c r="D7475" s="4">
        <v>42380</v>
      </c>
      <c r="E7475" s="6">
        <v>30.14</v>
      </c>
    </row>
    <row r="7476" spans="4:5" x14ac:dyDescent="0.25">
      <c r="D7476" s="4">
        <v>42381</v>
      </c>
      <c r="E7476" s="6">
        <v>29.14</v>
      </c>
    </row>
    <row r="7477" spans="4:5" x14ac:dyDescent="0.25">
      <c r="D7477" s="4">
        <v>42382</v>
      </c>
      <c r="E7477" s="6">
        <v>28.58</v>
      </c>
    </row>
    <row r="7478" spans="4:5" x14ac:dyDescent="0.25">
      <c r="D7478" s="4">
        <v>42383</v>
      </c>
      <c r="E7478" s="6">
        <v>28.84</v>
      </c>
    </row>
    <row r="7479" spans="4:5" x14ac:dyDescent="0.25">
      <c r="D7479" s="4">
        <v>42384</v>
      </c>
      <c r="E7479" s="6">
        <v>28.8</v>
      </c>
    </row>
    <row r="7480" spans="4:5" x14ac:dyDescent="0.25">
      <c r="D7480" s="4">
        <v>42387</v>
      </c>
      <c r="E7480" s="6">
        <v>27.36</v>
      </c>
    </row>
    <row r="7481" spans="4:5" x14ac:dyDescent="0.25">
      <c r="D7481" s="4">
        <v>42388</v>
      </c>
      <c r="E7481" s="6">
        <v>27.36</v>
      </c>
    </row>
    <row r="7482" spans="4:5" x14ac:dyDescent="0.25">
      <c r="D7482" s="4">
        <v>42389</v>
      </c>
      <c r="E7482" s="6">
        <v>26.01</v>
      </c>
    </row>
    <row r="7483" spans="4:5" x14ac:dyDescent="0.25">
      <c r="D7483" s="4">
        <v>42390</v>
      </c>
      <c r="E7483" s="6">
        <v>27.59</v>
      </c>
    </row>
    <row r="7484" spans="4:5" x14ac:dyDescent="0.25">
      <c r="D7484" s="4">
        <v>42391</v>
      </c>
      <c r="E7484" s="6">
        <v>30.46</v>
      </c>
    </row>
    <row r="7485" spans="4:5" x14ac:dyDescent="0.25">
      <c r="D7485" s="4">
        <v>42394</v>
      </c>
      <c r="E7485" s="6">
        <v>29.82</v>
      </c>
    </row>
    <row r="7486" spans="4:5" x14ac:dyDescent="0.25">
      <c r="D7486" s="4">
        <v>42395</v>
      </c>
      <c r="E7486" s="6">
        <v>30.94</v>
      </c>
    </row>
    <row r="7487" spans="4:5" x14ac:dyDescent="0.25">
      <c r="D7487" s="4">
        <v>42396</v>
      </c>
      <c r="E7487" s="6">
        <v>31.83</v>
      </c>
    </row>
    <row r="7488" spans="4:5" x14ac:dyDescent="0.25">
      <c r="D7488" s="4">
        <v>42397</v>
      </c>
      <c r="E7488" s="6">
        <v>33.01</v>
      </c>
    </row>
    <row r="7489" spans="4:5" x14ac:dyDescent="0.25">
      <c r="D7489" s="4">
        <v>42398</v>
      </c>
      <c r="E7489" s="6">
        <v>33.14</v>
      </c>
    </row>
    <row r="7490" spans="4:5" x14ac:dyDescent="0.25">
      <c r="D7490" s="4">
        <v>42401</v>
      </c>
      <c r="E7490" s="6">
        <v>32.450000000000003</v>
      </c>
    </row>
    <row r="7491" spans="4:5" x14ac:dyDescent="0.25">
      <c r="D7491" s="4">
        <v>42402</v>
      </c>
      <c r="E7491" s="6">
        <v>30.98</v>
      </c>
    </row>
    <row r="7492" spans="4:5" x14ac:dyDescent="0.25">
      <c r="D7492" s="4">
        <v>42403</v>
      </c>
      <c r="E7492" s="6">
        <v>32.380000000000003</v>
      </c>
    </row>
    <row r="7493" spans="4:5" x14ac:dyDescent="0.25">
      <c r="D7493" s="4">
        <v>42404</v>
      </c>
      <c r="E7493" s="6">
        <v>32.76</v>
      </c>
    </row>
    <row r="7494" spans="4:5" x14ac:dyDescent="0.25">
      <c r="D7494" s="4">
        <v>42405</v>
      </c>
      <c r="E7494" s="6">
        <v>32.35</v>
      </c>
    </row>
    <row r="7495" spans="4:5" x14ac:dyDescent="0.25">
      <c r="D7495" s="4">
        <v>42408</v>
      </c>
      <c r="E7495" s="6">
        <v>31.64</v>
      </c>
    </row>
    <row r="7496" spans="4:5" x14ac:dyDescent="0.25">
      <c r="D7496" s="4">
        <v>42409</v>
      </c>
      <c r="E7496" s="6">
        <v>30.15</v>
      </c>
    </row>
    <row r="7497" spans="4:5" x14ac:dyDescent="0.25">
      <c r="D7497" s="4">
        <v>42410</v>
      </c>
      <c r="E7497" s="6">
        <v>29.64</v>
      </c>
    </row>
    <row r="7498" spans="4:5" x14ac:dyDescent="0.25">
      <c r="D7498" s="4">
        <v>42411</v>
      </c>
      <c r="E7498" s="6">
        <v>28.82</v>
      </c>
    </row>
    <row r="7499" spans="4:5" x14ac:dyDescent="0.25">
      <c r="D7499" s="4">
        <v>42412</v>
      </c>
      <c r="E7499" s="6">
        <v>31.8</v>
      </c>
    </row>
    <row r="7500" spans="4:5" x14ac:dyDescent="0.25">
      <c r="D7500" s="4">
        <v>42415</v>
      </c>
      <c r="E7500" s="5"/>
    </row>
    <row r="7501" spans="4:5" x14ac:dyDescent="0.25">
      <c r="D7501" s="4">
        <v>42416</v>
      </c>
      <c r="E7501" s="6">
        <v>31.09</v>
      </c>
    </row>
    <row r="7502" spans="4:5" x14ac:dyDescent="0.25">
      <c r="D7502" s="4">
        <v>42417</v>
      </c>
      <c r="E7502" s="6">
        <v>33.21</v>
      </c>
    </row>
    <row r="7503" spans="4:5" x14ac:dyDescent="0.25">
      <c r="D7503" s="4">
        <v>42418</v>
      </c>
      <c r="E7503" s="6">
        <v>33.200000000000003</v>
      </c>
    </row>
    <row r="7504" spans="4:5" x14ac:dyDescent="0.25">
      <c r="D7504" s="4">
        <v>42419</v>
      </c>
      <c r="E7504" s="6">
        <v>31.66</v>
      </c>
    </row>
    <row r="7505" spans="4:5" x14ac:dyDescent="0.25">
      <c r="D7505" s="4">
        <v>42422</v>
      </c>
      <c r="E7505" s="6">
        <v>33.590000000000003</v>
      </c>
    </row>
    <row r="7506" spans="4:5" x14ac:dyDescent="0.25">
      <c r="D7506" s="4">
        <v>42423</v>
      </c>
      <c r="E7506" s="6">
        <v>31.9</v>
      </c>
    </row>
    <row r="7507" spans="4:5" x14ac:dyDescent="0.25">
      <c r="D7507" s="4">
        <v>42424</v>
      </c>
      <c r="E7507" s="6">
        <v>31.5</v>
      </c>
    </row>
    <row r="7508" spans="4:5" x14ac:dyDescent="0.25">
      <c r="D7508" s="4">
        <v>42425</v>
      </c>
      <c r="E7508" s="6">
        <v>32.83</v>
      </c>
    </row>
    <row r="7509" spans="4:5" x14ac:dyDescent="0.25">
      <c r="D7509" s="4">
        <v>42426</v>
      </c>
      <c r="E7509" s="6">
        <v>35.76</v>
      </c>
    </row>
    <row r="7510" spans="4:5" x14ac:dyDescent="0.25">
      <c r="D7510" s="4">
        <v>42429</v>
      </c>
      <c r="E7510" s="6">
        <v>35.92</v>
      </c>
    </row>
    <row r="7511" spans="4:5" x14ac:dyDescent="0.25">
      <c r="D7511" s="4">
        <v>42430</v>
      </c>
      <c r="E7511" s="6">
        <v>35.729999999999997</v>
      </c>
    </row>
    <row r="7512" spans="4:5" x14ac:dyDescent="0.25">
      <c r="D7512" s="4">
        <v>42431</v>
      </c>
      <c r="E7512" s="6">
        <v>36.380000000000003</v>
      </c>
    </row>
    <row r="7513" spans="4:5" x14ac:dyDescent="0.25">
      <c r="D7513" s="4">
        <v>42432</v>
      </c>
      <c r="E7513" s="6">
        <v>35.75</v>
      </c>
    </row>
    <row r="7514" spans="4:5" x14ac:dyDescent="0.25">
      <c r="D7514" s="4">
        <v>42433</v>
      </c>
      <c r="E7514" s="6">
        <v>37.61</v>
      </c>
    </row>
    <row r="7515" spans="4:5" x14ac:dyDescent="0.25">
      <c r="D7515" s="4">
        <v>42436</v>
      </c>
      <c r="E7515" s="6">
        <v>39.020000000000003</v>
      </c>
    </row>
    <row r="7516" spans="4:5" x14ac:dyDescent="0.25">
      <c r="D7516" s="4">
        <v>42437</v>
      </c>
      <c r="E7516" s="6">
        <v>39.159999999999997</v>
      </c>
    </row>
    <row r="7517" spans="4:5" x14ac:dyDescent="0.25">
      <c r="D7517" s="4">
        <v>42438</v>
      </c>
      <c r="E7517" s="6">
        <v>40.26</v>
      </c>
    </row>
    <row r="7518" spans="4:5" x14ac:dyDescent="0.25">
      <c r="D7518" s="4">
        <v>42439</v>
      </c>
      <c r="E7518" s="6">
        <v>38.630000000000003</v>
      </c>
    </row>
    <row r="7519" spans="4:5" x14ac:dyDescent="0.25">
      <c r="D7519" s="4">
        <v>42440</v>
      </c>
      <c r="E7519" s="6">
        <v>39.409999999999997</v>
      </c>
    </row>
    <row r="7520" spans="4:5" x14ac:dyDescent="0.25">
      <c r="D7520" s="4">
        <v>42443</v>
      </c>
      <c r="E7520" s="6">
        <v>38.06</v>
      </c>
    </row>
    <row r="7521" spans="4:5" x14ac:dyDescent="0.25">
      <c r="D7521" s="4">
        <v>42444</v>
      </c>
      <c r="E7521" s="6">
        <v>37.49</v>
      </c>
    </row>
    <row r="7522" spans="4:5" x14ac:dyDescent="0.25">
      <c r="D7522" s="4">
        <v>42445</v>
      </c>
      <c r="E7522" s="6">
        <v>38.380000000000003</v>
      </c>
    </row>
    <row r="7523" spans="4:5" x14ac:dyDescent="0.25">
      <c r="D7523" s="4">
        <v>42446</v>
      </c>
      <c r="E7523" s="6">
        <v>39.29</v>
      </c>
    </row>
    <row r="7524" spans="4:5" x14ac:dyDescent="0.25">
      <c r="D7524" s="4">
        <v>42447</v>
      </c>
      <c r="E7524" s="6">
        <v>39.26</v>
      </c>
    </row>
    <row r="7525" spans="4:5" x14ac:dyDescent="0.25">
      <c r="D7525" s="4">
        <v>42450</v>
      </c>
      <c r="E7525" s="6">
        <v>39.909999999999997</v>
      </c>
    </row>
    <row r="7526" spans="4:5" x14ac:dyDescent="0.25">
      <c r="D7526" s="4">
        <v>42451</v>
      </c>
      <c r="E7526" s="6">
        <v>40.54</v>
      </c>
    </row>
    <row r="7527" spans="4:5" x14ac:dyDescent="0.25">
      <c r="D7527" s="4">
        <v>42452</v>
      </c>
      <c r="E7527" s="6">
        <v>38.840000000000003</v>
      </c>
    </row>
    <row r="7528" spans="4:5" x14ac:dyDescent="0.25">
      <c r="D7528" s="4">
        <v>42453</v>
      </c>
      <c r="E7528" s="6">
        <v>38.33</v>
      </c>
    </row>
    <row r="7529" spans="4:5" x14ac:dyDescent="0.25">
      <c r="D7529" s="4">
        <v>42454</v>
      </c>
      <c r="E7529" s="5"/>
    </row>
    <row r="7530" spans="4:5" x14ac:dyDescent="0.25">
      <c r="D7530" s="4">
        <v>42457</v>
      </c>
      <c r="E7530" s="6">
        <v>38.33</v>
      </c>
    </row>
    <row r="7531" spans="4:5" x14ac:dyDescent="0.25">
      <c r="D7531" s="4">
        <v>42458</v>
      </c>
      <c r="E7531" s="6">
        <v>36.75</v>
      </c>
    </row>
    <row r="7532" spans="4:5" x14ac:dyDescent="0.25">
      <c r="D7532" s="4">
        <v>42459</v>
      </c>
      <c r="E7532" s="6">
        <v>36.75</v>
      </c>
    </row>
    <row r="7533" spans="4:5" x14ac:dyDescent="0.25">
      <c r="D7533" s="4">
        <v>42460</v>
      </c>
      <c r="E7533" s="6">
        <v>36.75</v>
      </c>
    </row>
    <row r="7534" spans="4:5" x14ac:dyDescent="0.25">
      <c r="D7534" s="4">
        <v>42461</v>
      </c>
      <c r="E7534" s="6">
        <v>36.42</v>
      </c>
    </row>
    <row r="7535" spans="4:5" x14ac:dyDescent="0.25">
      <c r="D7535" s="4">
        <v>42464</v>
      </c>
      <c r="E7535" s="6">
        <v>36.049999999999997</v>
      </c>
    </row>
    <row r="7536" spans="4:5" x14ac:dyDescent="0.25">
      <c r="D7536" s="4">
        <v>42465</v>
      </c>
      <c r="E7536" s="6">
        <v>35.880000000000003</v>
      </c>
    </row>
    <row r="7537" spans="4:5" x14ac:dyDescent="0.25">
      <c r="D7537" s="4">
        <v>42466</v>
      </c>
      <c r="E7537" s="6">
        <v>37.770000000000003</v>
      </c>
    </row>
    <row r="7538" spans="4:5" x14ac:dyDescent="0.25">
      <c r="D7538" s="4">
        <v>42467</v>
      </c>
      <c r="E7538" s="6">
        <v>37.15</v>
      </c>
    </row>
    <row r="7539" spans="4:5" x14ac:dyDescent="0.25">
      <c r="D7539" s="4">
        <v>42468</v>
      </c>
      <c r="E7539" s="6">
        <v>40.71</v>
      </c>
    </row>
    <row r="7540" spans="4:5" x14ac:dyDescent="0.25">
      <c r="D7540" s="4">
        <v>42471</v>
      </c>
      <c r="E7540" s="6">
        <v>41.58</v>
      </c>
    </row>
    <row r="7541" spans="4:5" x14ac:dyDescent="0.25">
      <c r="D7541" s="4">
        <v>42472</v>
      </c>
      <c r="E7541" s="6">
        <v>43.02</v>
      </c>
    </row>
    <row r="7542" spans="4:5" x14ac:dyDescent="0.25">
      <c r="D7542" s="4">
        <v>42473</v>
      </c>
      <c r="E7542" s="6">
        <v>42.81</v>
      </c>
    </row>
    <row r="7543" spans="4:5" x14ac:dyDescent="0.25">
      <c r="D7543" s="4">
        <v>42474</v>
      </c>
      <c r="E7543" s="6">
        <v>43.02</v>
      </c>
    </row>
    <row r="7544" spans="4:5" x14ac:dyDescent="0.25">
      <c r="D7544" s="4">
        <v>42475</v>
      </c>
      <c r="E7544" s="6">
        <v>41.32</v>
      </c>
    </row>
    <row r="7545" spans="4:5" x14ac:dyDescent="0.25">
      <c r="D7545" s="4">
        <v>42478</v>
      </c>
      <c r="E7545" s="6">
        <v>41.64</v>
      </c>
    </row>
    <row r="7546" spans="4:5" x14ac:dyDescent="0.25">
      <c r="D7546" s="4">
        <v>42479</v>
      </c>
      <c r="E7546" s="6">
        <v>43.02</v>
      </c>
    </row>
    <row r="7547" spans="4:5" x14ac:dyDescent="0.25">
      <c r="D7547" s="4">
        <v>42480</v>
      </c>
      <c r="E7547" s="6">
        <v>43.09</v>
      </c>
    </row>
    <row r="7548" spans="4:5" x14ac:dyDescent="0.25">
      <c r="D7548" s="4">
        <v>42481</v>
      </c>
      <c r="E7548" s="6">
        <v>43.48</v>
      </c>
    </row>
    <row r="7549" spans="4:5" x14ac:dyDescent="0.25">
      <c r="D7549" s="4">
        <v>42482</v>
      </c>
      <c r="E7549" s="6">
        <v>43.97</v>
      </c>
    </row>
    <row r="7550" spans="4:5" x14ac:dyDescent="0.25">
      <c r="D7550" s="4">
        <v>42485</v>
      </c>
      <c r="E7550" s="6">
        <v>42.97</v>
      </c>
    </row>
    <row r="7551" spans="4:5" x14ac:dyDescent="0.25">
      <c r="D7551" s="4">
        <v>42486</v>
      </c>
      <c r="E7551" s="6">
        <v>43.94</v>
      </c>
    </row>
    <row r="7552" spans="4:5" x14ac:dyDescent="0.25">
      <c r="D7552" s="4">
        <v>42487</v>
      </c>
      <c r="E7552" s="6">
        <v>44.17</v>
      </c>
    </row>
    <row r="7553" spans="4:5" x14ac:dyDescent="0.25">
      <c r="D7553" s="4">
        <v>42488</v>
      </c>
      <c r="E7553" s="6">
        <v>45.6</v>
      </c>
    </row>
    <row r="7554" spans="4:5" x14ac:dyDescent="0.25">
      <c r="D7554" s="4">
        <v>42489</v>
      </c>
      <c r="E7554" s="6">
        <v>45.64</v>
      </c>
    </row>
    <row r="7555" spans="4:5" x14ac:dyDescent="0.25">
      <c r="D7555" s="4">
        <v>42492</v>
      </c>
      <c r="E7555" s="6">
        <v>45.82</v>
      </c>
    </row>
    <row r="7556" spans="4:5" x14ac:dyDescent="0.25">
      <c r="D7556" s="4">
        <v>42493</v>
      </c>
      <c r="E7556" s="6">
        <v>43.09</v>
      </c>
    </row>
    <row r="7557" spans="4:5" x14ac:dyDescent="0.25">
      <c r="D7557" s="4">
        <v>42494</v>
      </c>
      <c r="E7557" s="6">
        <v>43.08</v>
      </c>
    </row>
    <row r="7558" spans="4:5" x14ac:dyDescent="0.25">
      <c r="D7558" s="4">
        <v>42495</v>
      </c>
      <c r="E7558" s="6">
        <v>44.39</v>
      </c>
    </row>
    <row r="7559" spans="4:5" x14ac:dyDescent="0.25">
      <c r="D7559" s="4">
        <v>42496</v>
      </c>
      <c r="E7559" s="6">
        <v>44.6</v>
      </c>
    </row>
    <row r="7560" spans="4:5" x14ac:dyDescent="0.25">
      <c r="D7560" s="4">
        <v>42499</v>
      </c>
      <c r="E7560" s="6">
        <v>42.43</v>
      </c>
    </row>
    <row r="7561" spans="4:5" x14ac:dyDescent="0.25">
      <c r="D7561" s="4">
        <v>42500</v>
      </c>
      <c r="E7561" s="6">
        <v>44.01</v>
      </c>
    </row>
    <row r="7562" spans="4:5" x14ac:dyDescent="0.25">
      <c r="D7562" s="4">
        <v>42501</v>
      </c>
      <c r="E7562" s="6">
        <v>46.08</v>
      </c>
    </row>
    <row r="7563" spans="4:5" x14ac:dyDescent="0.25">
      <c r="D7563" s="4">
        <v>42502</v>
      </c>
      <c r="E7563" s="6">
        <v>46.43</v>
      </c>
    </row>
    <row r="7564" spans="4:5" x14ac:dyDescent="0.25">
      <c r="D7564" s="4">
        <v>42503</v>
      </c>
      <c r="E7564" s="6">
        <v>47.05</v>
      </c>
    </row>
    <row r="7565" spans="4:5" x14ac:dyDescent="0.25">
      <c r="D7565" s="4">
        <v>42506</v>
      </c>
      <c r="E7565" s="6">
        <v>48.49</v>
      </c>
    </row>
    <row r="7566" spans="4:5" x14ac:dyDescent="0.25">
      <c r="D7566" s="4">
        <v>42507</v>
      </c>
      <c r="E7566" s="6">
        <v>48.71</v>
      </c>
    </row>
    <row r="7567" spans="4:5" x14ac:dyDescent="0.25">
      <c r="D7567" s="4">
        <v>42508</v>
      </c>
      <c r="E7567" s="6">
        <v>48.93</v>
      </c>
    </row>
    <row r="7568" spans="4:5" x14ac:dyDescent="0.25">
      <c r="D7568" s="4">
        <v>42509</v>
      </c>
      <c r="E7568" s="6">
        <v>47.01</v>
      </c>
    </row>
    <row r="7569" spans="4:5" x14ac:dyDescent="0.25">
      <c r="D7569" s="4">
        <v>42510</v>
      </c>
      <c r="E7569" s="6">
        <v>48.54</v>
      </c>
    </row>
    <row r="7570" spans="4:5" x14ac:dyDescent="0.25">
      <c r="D7570" s="4">
        <v>42513</v>
      </c>
      <c r="E7570" s="6">
        <v>47.77</v>
      </c>
    </row>
    <row r="7571" spans="4:5" x14ac:dyDescent="0.25">
      <c r="D7571" s="4">
        <v>42514</v>
      </c>
      <c r="E7571" s="6">
        <v>48.42</v>
      </c>
    </row>
    <row r="7572" spans="4:5" x14ac:dyDescent="0.25">
      <c r="D7572" s="4">
        <v>42515</v>
      </c>
      <c r="E7572" s="6">
        <v>48.87</v>
      </c>
    </row>
    <row r="7573" spans="4:5" x14ac:dyDescent="0.25">
      <c r="D7573" s="4">
        <v>42516</v>
      </c>
      <c r="E7573" s="6">
        <v>49.52</v>
      </c>
    </row>
    <row r="7574" spans="4:5" x14ac:dyDescent="0.25">
      <c r="D7574" s="4">
        <v>42517</v>
      </c>
      <c r="E7574" s="6">
        <v>49.09</v>
      </c>
    </row>
    <row r="7575" spans="4:5" x14ac:dyDescent="0.25">
      <c r="D7575" s="4">
        <v>42520</v>
      </c>
      <c r="E7575" s="5"/>
    </row>
    <row r="7576" spans="4:5" x14ac:dyDescent="0.25">
      <c r="D7576" s="4">
        <v>42521</v>
      </c>
      <c r="E7576" s="6">
        <v>49.26</v>
      </c>
    </row>
    <row r="7577" spans="4:5" x14ac:dyDescent="0.25">
      <c r="D7577" s="4">
        <v>42522</v>
      </c>
      <c r="E7577" s="6">
        <v>48.81</v>
      </c>
    </row>
    <row r="7578" spans="4:5" x14ac:dyDescent="0.25">
      <c r="D7578" s="4">
        <v>42523</v>
      </c>
      <c r="E7578" s="6">
        <v>49.05</v>
      </c>
    </row>
    <row r="7579" spans="4:5" x14ac:dyDescent="0.25">
      <c r="D7579" s="4">
        <v>42524</v>
      </c>
      <c r="E7579" s="6">
        <v>48.5</v>
      </c>
    </row>
    <row r="7580" spans="4:5" x14ac:dyDescent="0.25">
      <c r="D7580" s="4">
        <v>42527</v>
      </c>
      <c r="E7580" s="6">
        <v>48.94</v>
      </c>
    </row>
    <row r="7581" spans="4:5" x14ac:dyDescent="0.25">
      <c r="D7581" s="4">
        <v>42528</v>
      </c>
      <c r="E7581" s="6">
        <v>49.76</v>
      </c>
    </row>
    <row r="7582" spans="4:5" x14ac:dyDescent="0.25">
      <c r="D7582" s="4">
        <v>42529</v>
      </c>
      <c r="E7582" s="6">
        <v>50.73</v>
      </c>
    </row>
    <row r="7583" spans="4:5" x14ac:dyDescent="0.25">
      <c r="D7583" s="4">
        <v>42530</v>
      </c>
      <c r="E7583" s="6">
        <v>50.59</v>
      </c>
    </row>
    <row r="7584" spans="4:5" x14ac:dyDescent="0.25">
      <c r="D7584" s="4">
        <v>42531</v>
      </c>
      <c r="E7584" s="6">
        <v>49.7</v>
      </c>
    </row>
    <row r="7585" spans="4:5" x14ac:dyDescent="0.25">
      <c r="D7585" s="4">
        <v>42534</v>
      </c>
      <c r="E7585" s="6">
        <v>49.36</v>
      </c>
    </row>
    <row r="7586" spans="4:5" x14ac:dyDescent="0.25">
      <c r="D7586" s="4">
        <v>42535</v>
      </c>
      <c r="E7586" s="6">
        <v>47.88</v>
      </c>
    </row>
    <row r="7587" spans="4:5" x14ac:dyDescent="0.25">
      <c r="D7587" s="4">
        <v>42536</v>
      </c>
      <c r="E7587" s="6">
        <v>47.47</v>
      </c>
    </row>
    <row r="7588" spans="4:5" x14ac:dyDescent="0.25">
      <c r="D7588" s="4">
        <v>42537</v>
      </c>
      <c r="E7588" s="6">
        <v>45.66</v>
      </c>
    </row>
    <row r="7589" spans="4:5" x14ac:dyDescent="0.25">
      <c r="D7589" s="4">
        <v>42538</v>
      </c>
      <c r="E7589" s="6">
        <v>46.57</v>
      </c>
    </row>
    <row r="7590" spans="4:5" x14ac:dyDescent="0.25">
      <c r="D7590" s="4">
        <v>42541</v>
      </c>
      <c r="E7590" s="6">
        <v>48.68</v>
      </c>
    </row>
    <row r="7591" spans="4:5" x14ac:dyDescent="0.25">
      <c r="D7591" s="4">
        <v>42542</v>
      </c>
      <c r="E7591" s="6">
        <v>48.18</v>
      </c>
    </row>
    <row r="7592" spans="4:5" x14ac:dyDescent="0.25">
      <c r="D7592" s="4">
        <v>42543</v>
      </c>
      <c r="E7592" s="6">
        <v>48.43</v>
      </c>
    </row>
    <row r="7593" spans="4:5" x14ac:dyDescent="0.25">
      <c r="D7593" s="4">
        <v>42544</v>
      </c>
      <c r="E7593" s="6">
        <v>48.63</v>
      </c>
    </row>
    <row r="7594" spans="4:5" x14ac:dyDescent="0.25">
      <c r="D7594" s="4">
        <v>42545</v>
      </c>
      <c r="E7594" s="6">
        <v>46.69</v>
      </c>
    </row>
    <row r="7595" spans="4:5" x14ac:dyDescent="0.25">
      <c r="D7595" s="4">
        <v>42548</v>
      </c>
      <c r="E7595" s="6">
        <v>45.07</v>
      </c>
    </row>
    <row r="7596" spans="4:5" x14ac:dyDescent="0.25">
      <c r="D7596" s="4">
        <v>42549</v>
      </c>
      <c r="E7596" s="6">
        <v>46.29</v>
      </c>
    </row>
    <row r="7597" spans="4:5" x14ac:dyDescent="0.25">
      <c r="D7597" s="4">
        <v>42550</v>
      </c>
      <c r="E7597" s="6">
        <v>48.4</v>
      </c>
    </row>
    <row r="7598" spans="4:5" x14ac:dyDescent="0.25">
      <c r="D7598" s="4">
        <v>42551</v>
      </c>
      <c r="E7598" s="6">
        <v>48.05</v>
      </c>
    </row>
    <row r="7599" spans="4:5" x14ac:dyDescent="0.25">
      <c r="D7599" s="4">
        <v>42552</v>
      </c>
      <c r="E7599" s="6">
        <v>47.65</v>
      </c>
    </row>
    <row r="7600" spans="4:5" x14ac:dyDescent="0.25">
      <c r="D7600" s="4">
        <v>42555</v>
      </c>
      <c r="E7600" s="6">
        <v>48.02</v>
      </c>
    </row>
    <row r="7601" spans="4:5" x14ac:dyDescent="0.25">
      <c r="D7601" s="4">
        <v>42556</v>
      </c>
      <c r="E7601" s="6">
        <v>45.64</v>
      </c>
    </row>
    <row r="7602" spans="4:5" x14ac:dyDescent="0.25">
      <c r="D7602" s="4">
        <v>42557</v>
      </c>
      <c r="E7602" s="6">
        <v>45.7</v>
      </c>
    </row>
    <row r="7603" spans="4:5" x14ac:dyDescent="0.25">
      <c r="D7603" s="4">
        <v>42558</v>
      </c>
      <c r="E7603" s="6">
        <v>45.93</v>
      </c>
    </row>
    <row r="7604" spans="4:5" x14ac:dyDescent="0.25">
      <c r="D7604" s="4">
        <v>42559</v>
      </c>
      <c r="E7604" s="6">
        <v>44.53</v>
      </c>
    </row>
    <row r="7605" spans="4:5" x14ac:dyDescent="0.25">
      <c r="D7605" s="4">
        <v>42562</v>
      </c>
      <c r="E7605" s="6">
        <v>44.04</v>
      </c>
    </row>
    <row r="7606" spans="4:5" x14ac:dyDescent="0.25">
      <c r="D7606" s="4">
        <v>42563</v>
      </c>
      <c r="E7606" s="6">
        <v>46.72</v>
      </c>
    </row>
    <row r="7607" spans="4:5" x14ac:dyDescent="0.25">
      <c r="D7607" s="4">
        <v>42564</v>
      </c>
      <c r="E7607" s="6">
        <v>44.67</v>
      </c>
    </row>
    <row r="7608" spans="4:5" x14ac:dyDescent="0.25">
      <c r="D7608" s="4">
        <v>42565</v>
      </c>
      <c r="E7608" s="6">
        <v>46.01</v>
      </c>
    </row>
    <row r="7609" spans="4:5" x14ac:dyDescent="0.25">
      <c r="D7609" s="4">
        <v>42566</v>
      </c>
      <c r="E7609" s="6">
        <v>46.25</v>
      </c>
    </row>
    <row r="7610" spans="4:5" x14ac:dyDescent="0.25">
      <c r="D7610" s="4">
        <v>42569</v>
      </c>
      <c r="E7610" s="6">
        <v>45.35</v>
      </c>
    </row>
    <row r="7611" spans="4:5" x14ac:dyDescent="0.25">
      <c r="D7611" s="4">
        <v>42570</v>
      </c>
      <c r="E7611" s="6">
        <v>45.7</v>
      </c>
    </row>
    <row r="7612" spans="4:5" x14ac:dyDescent="0.25">
      <c r="D7612" s="4">
        <v>42571</v>
      </c>
      <c r="E7612" s="6">
        <v>45.82</v>
      </c>
    </row>
    <row r="7613" spans="4:5" x14ac:dyDescent="0.25">
      <c r="D7613" s="4">
        <v>42572</v>
      </c>
      <c r="E7613" s="6">
        <v>44.99</v>
      </c>
    </row>
    <row r="7614" spans="4:5" x14ac:dyDescent="0.25">
      <c r="D7614" s="4">
        <v>42573</v>
      </c>
      <c r="E7614" s="6">
        <v>44.24</v>
      </c>
    </row>
    <row r="7615" spans="4:5" x14ac:dyDescent="0.25">
      <c r="D7615" s="4">
        <v>42576</v>
      </c>
      <c r="E7615" s="6">
        <v>43.76</v>
      </c>
    </row>
    <row r="7616" spans="4:5" x14ac:dyDescent="0.25">
      <c r="D7616" s="4">
        <v>42577</v>
      </c>
      <c r="E7616" s="6">
        <v>43.56</v>
      </c>
    </row>
    <row r="7617" spans="4:5" x14ac:dyDescent="0.25">
      <c r="D7617" s="4">
        <v>42578</v>
      </c>
      <c r="E7617" s="6">
        <v>42.78</v>
      </c>
    </row>
    <row r="7618" spans="4:5" x14ac:dyDescent="0.25">
      <c r="D7618" s="4">
        <v>42579</v>
      </c>
      <c r="E7618" s="6">
        <v>41.87</v>
      </c>
    </row>
    <row r="7619" spans="4:5" x14ac:dyDescent="0.25">
      <c r="D7619" s="4">
        <v>42580</v>
      </c>
      <c r="E7619" s="6">
        <v>40.76</v>
      </c>
    </row>
    <row r="7620" spans="4:5" x14ac:dyDescent="0.25">
      <c r="D7620" s="4">
        <v>42583</v>
      </c>
      <c r="E7620" s="6">
        <v>40.17</v>
      </c>
    </row>
    <row r="7621" spans="4:5" x14ac:dyDescent="0.25">
      <c r="D7621" s="4">
        <v>42584</v>
      </c>
      <c r="E7621" s="6">
        <v>40</v>
      </c>
    </row>
    <row r="7622" spans="4:5" x14ac:dyDescent="0.25">
      <c r="D7622" s="4">
        <v>42585</v>
      </c>
      <c r="E7622" s="6">
        <v>40.450000000000003</v>
      </c>
    </row>
    <row r="7623" spans="4:5" x14ac:dyDescent="0.25">
      <c r="D7623" s="4">
        <v>42586</v>
      </c>
      <c r="E7623" s="6">
        <v>41.33</v>
      </c>
    </row>
    <row r="7624" spans="4:5" x14ac:dyDescent="0.25">
      <c r="D7624" s="4">
        <v>42587</v>
      </c>
      <c r="E7624" s="6">
        <v>42.47</v>
      </c>
    </row>
    <row r="7625" spans="4:5" x14ac:dyDescent="0.25">
      <c r="D7625" s="4">
        <v>42590</v>
      </c>
      <c r="E7625" s="6">
        <v>43.24</v>
      </c>
    </row>
    <row r="7626" spans="4:5" x14ac:dyDescent="0.25">
      <c r="D7626" s="4">
        <v>42591</v>
      </c>
      <c r="E7626" s="6">
        <v>43.37</v>
      </c>
    </row>
    <row r="7627" spans="4:5" x14ac:dyDescent="0.25">
      <c r="D7627" s="4">
        <v>42592</v>
      </c>
      <c r="E7627" s="6">
        <v>42.19</v>
      </c>
    </row>
    <row r="7628" spans="4:5" x14ac:dyDescent="0.25">
      <c r="D7628" s="4">
        <v>42593</v>
      </c>
      <c r="E7628" s="6">
        <v>44.23</v>
      </c>
    </row>
    <row r="7629" spans="4:5" x14ac:dyDescent="0.25">
      <c r="D7629" s="4">
        <v>42594</v>
      </c>
      <c r="E7629" s="6">
        <v>45.12</v>
      </c>
    </row>
    <row r="7630" spans="4:5" x14ac:dyDescent="0.25">
      <c r="D7630" s="4">
        <v>42597</v>
      </c>
      <c r="E7630" s="6">
        <v>47.31</v>
      </c>
    </row>
    <row r="7631" spans="4:5" x14ac:dyDescent="0.25">
      <c r="D7631" s="4">
        <v>42598</v>
      </c>
      <c r="E7631" s="6">
        <v>48.27</v>
      </c>
    </row>
    <row r="7632" spans="4:5" x14ac:dyDescent="0.25">
      <c r="D7632" s="4">
        <v>42599</v>
      </c>
      <c r="E7632" s="6">
        <v>48.58</v>
      </c>
    </row>
    <row r="7633" spans="4:5" x14ac:dyDescent="0.25">
      <c r="D7633" s="4">
        <v>42600</v>
      </c>
      <c r="E7633" s="6">
        <v>49.46</v>
      </c>
    </row>
    <row r="7634" spans="4:5" x14ac:dyDescent="0.25">
      <c r="D7634" s="4">
        <v>42601</v>
      </c>
      <c r="E7634" s="6">
        <v>49.39</v>
      </c>
    </row>
    <row r="7635" spans="4:5" x14ac:dyDescent="0.25">
      <c r="D7635" s="4">
        <v>42604</v>
      </c>
      <c r="E7635" s="6">
        <v>48.1</v>
      </c>
    </row>
    <row r="7636" spans="4:5" x14ac:dyDescent="0.25">
      <c r="D7636" s="4">
        <v>42605</v>
      </c>
      <c r="E7636" s="6">
        <v>48.7</v>
      </c>
    </row>
    <row r="7637" spans="4:5" x14ac:dyDescent="0.25">
      <c r="D7637" s="4">
        <v>42606</v>
      </c>
      <c r="E7637" s="6">
        <v>47.56</v>
      </c>
    </row>
    <row r="7638" spans="4:5" x14ac:dyDescent="0.25">
      <c r="D7638" s="4">
        <v>42607</v>
      </c>
      <c r="E7638" s="6">
        <v>49.25</v>
      </c>
    </row>
    <row r="7639" spans="4:5" x14ac:dyDescent="0.25">
      <c r="D7639" s="4">
        <v>42608</v>
      </c>
      <c r="E7639" s="6">
        <v>49.66</v>
      </c>
    </row>
    <row r="7640" spans="4:5" x14ac:dyDescent="0.25">
      <c r="D7640" s="4">
        <v>42611</v>
      </c>
      <c r="E7640" s="6">
        <v>49.66</v>
      </c>
    </row>
    <row r="7641" spans="4:5" x14ac:dyDescent="0.25">
      <c r="D7641" s="4">
        <v>42612</v>
      </c>
      <c r="E7641" s="6">
        <v>47.94</v>
      </c>
    </row>
    <row r="7642" spans="4:5" x14ac:dyDescent="0.25">
      <c r="D7642" s="4">
        <v>42613</v>
      </c>
      <c r="E7642" s="6">
        <v>47.94</v>
      </c>
    </row>
    <row r="7643" spans="4:5" x14ac:dyDescent="0.25">
      <c r="D7643" s="4">
        <v>42614</v>
      </c>
      <c r="E7643" s="6">
        <v>45.05</v>
      </c>
    </row>
    <row r="7644" spans="4:5" x14ac:dyDescent="0.25">
      <c r="D7644" s="4">
        <v>42615</v>
      </c>
      <c r="E7644" s="6">
        <v>45.96</v>
      </c>
    </row>
    <row r="7645" spans="4:5" x14ac:dyDescent="0.25">
      <c r="D7645" s="4">
        <v>42618</v>
      </c>
      <c r="E7645" s="6">
        <v>46.72</v>
      </c>
    </row>
    <row r="7646" spans="4:5" x14ac:dyDescent="0.25">
      <c r="D7646" s="4">
        <v>42619</v>
      </c>
      <c r="E7646" s="6">
        <v>46.21</v>
      </c>
    </row>
    <row r="7647" spans="4:5" x14ac:dyDescent="0.25">
      <c r="D7647" s="4">
        <v>42620</v>
      </c>
      <c r="E7647" s="6">
        <v>47</v>
      </c>
    </row>
    <row r="7648" spans="4:5" x14ac:dyDescent="0.25">
      <c r="D7648" s="4">
        <v>42621</v>
      </c>
      <c r="E7648" s="6">
        <v>49.23</v>
      </c>
    </row>
    <row r="7649" spans="4:5" x14ac:dyDescent="0.25">
      <c r="D7649" s="4">
        <v>42622</v>
      </c>
      <c r="E7649" s="6">
        <v>48.37</v>
      </c>
    </row>
    <row r="7650" spans="4:5" x14ac:dyDescent="0.25">
      <c r="D7650" s="4">
        <v>42625</v>
      </c>
      <c r="E7650" s="6">
        <v>47.82</v>
      </c>
    </row>
    <row r="7651" spans="4:5" x14ac:dyDescent="0.25">
      <c r="D7651" s="4">
        <v>42626</v>
      </c>
      <c r="E7651" s="6">
        <v>46.48</v>
      </c>
    </row>
    <row r="7652" spans="4:5" x14ac:dyDescent="0.25">
      <c r="D7652" s="4">
        <v>42627</v>
      </c>
      <c r="E7652" s="6">
        <v>45.65</v>
      </c>
    </row>
    <row r="7653" spans="4:5" x14ac:dyDescent="0.25">
      <c r="D7653" s="4">
        <v>42628</v>
      </c>
      <c r="E7653" s="6">
        <v>45.83</v>
      </c>
    </row>
    <row r="7654" spans="4:5" x14ac:dyDescent="0.25">
      <c r="D7654" s="4">
        <v>42629</v>
      </c>
      <c r="E7654" s="6">
        <v>45.26</v>
      </c>
    </row>
    <row r="7655" spans="4:5" x14ac:dyDescent="0.25">
      <c r="D7655" s="4">
        <v>42632</v>
      </c>
      <c r="E7655" s="6">
        <v>46.04</v>
      </c>
    </row>
    <row r="7656" spans="4:5" x14ac:dyDescent="0.25">
      <c r="D7656" s="4">
        <v>42633</v>
      </c>
      <c r="E7656" s="6">
        <v>45.24</v>
      </c>
    </row>
    <row r="7657" spans="4:5" x14ac:dyDescent="0.25">
      <c r="D7657" s="4">
        <v>42634</v>
      </c>
      <c r="E7657" s="6">
        <v>45.99</v>
      </c>
    </row>
    <row r="7658" spans="4:5" x14ac:dyDescent="0.25">
      <c r="D7658" s="4">
        <v>42635</v>
      </c>
      <c r="E7658" s="6">
        <v>47.21</v>
      </c>
    </row>
    <row r="7659" spans="4:5" x14ac:dyDescent="0.25">
      <c r="D7659" s="4">
        <v>42636</v>
      </c>
      <c r="E7659" s="6">
        <v>46.71</v>
      </c>
    </row>
    <row r="7660" spans="4:5" x14ac:dyDescent="0.25">
      <c r="D7660" s="4">
        <v>42639</v>
      </c>
      <c r="E7660" s="6">
        <v>46.61</v>
      </c>
    </row>
    <row r="7661" spans="4:5" x14ac:dyDescent="0.25">
      <c r="D7661" s="4">
        <v>42640</v>
      </c>
      <c r="E7661" s="6">
        <v>44.95</v>
      </c>
    </row>
    <row r="7662" spans="4:5" x14ac:dyDescent="0.25">
      <c r="D7662" s="4">
        <v>42641</v>
      </c>
      <c r="E7662" s="6">
        <v>45.49</v>
      </c>
    </row>
    <row r="7663" spans="4:5" x14ac:dyDescent="0.25">
      <c r="D7663" s="4">
        <v>42642</v>
      </c>
      <c r="E7663" s="6">
        <v>48.43</v>
      </c>
    </row>
    <row r="7664" spans="4:5" x14ac:dyDescent="0.25">
      <c r="D7664" s="4">
        <v>42643</v>
      </c>
      <c r="E7664" s="6">
        <v>48.24</v>
      </c>
    </row>
    <row r="7665" spans="4:5" x14ac:dyDescent="0.25">
      <c r="D7665" s="4">
        <v>42646</v>
      </c>
      <c r="E7665" s="6">
        <v>48.61</v>
      </c>
    </row>
    <row r="7666" spans="4:5" x14ac:dyDescent="0.25">
      <c r="D7666" s="4">
        <v>42647</v>
      </c>
      <c r="E7666" s="6">
        <v>48.81</v>
      </c>
    </row>
    <row r="7667" spans="4:5" x14ac:dyDescent="0.25">
      <c r="D7667" s="4">
        <v>42648</v>
      </c>
      <c r="E7667" s="6">
        <v>49.57</v>
      </c>
    </row>
    <row r="7668" spans="4:5" x14ac:dyDescent="0.25">
      <c r="D7668" s="4">
        <v>42649</v>
      </c>
      <c r="E7668" s="6">
        <v>50.14</v>
      </c>
    </row>
    <row r="7669" spans="4:5" x14ac:dyDescent="0.25">
      <c r="D7669" s="4">
        <v>42650</v>
      </c>
      <c r="E7669" s="6">
        <v>50.49</v>
      </c>
    </row>
    <row r="7670" spans="4:5" x14ac:dyDescent="0.25">
      <c r="D7670" s="4">
        <v>42653</v>
      </c>
      <c r="E7670" s="6">
        <v>51.54</v>
      </c>
    </row>
    <row r="7671" spans="4:5" x14ac:dyDescent="0.25">
      <c r="D7671" s="4">
        <v>42654</v>
      </c>
      <c r="E7671" s="6">
        <v>50.48</v>
      </c>
    </row>
    <row r="7672" spans="4:5" x14ac:dyDescent="0.25">
      <c r="D7672" s="4">
        <v>42655</v>
      </c>
      <c r="E7672" s="6">
        <v>49.53</v>
      </c>
    </row>
    <row r="7673" spans="4:5" x14ac:dyDescent="0.25">
      <c r="D7673" s="4">
        <v>42656</v>
      </c>
      <c r="E7673" s="6">
        <v>49.29</v>
      </c>
    </row>
    <row r="7674" spans="4:5" x14ac:dyDescent="0.25">
      <c r="D7674" s="4">
        <v>42657</v>
      </c>
      <c r="E7674" s="6">
        <v>48.87</v>
      </c>
    </row>
    <row r="7675" spans="4:5" x14ac:dyDescent="0.25">
      <c r="D7675" s="4">
        <v>42660</v>
      </c>
      <c r="E7675" s="6">
        <v>49.31</v>
      </c>
    </row>
    <row r="7676" spans="4:5" x14ac:dyDescent="0.25">
      <c r="D7676" s="4">
        <v>42661</v>
      </c>
      <c r="E7676" s="6">
        <v>49.81</v>
      </c>
    </row>
    <row r="7677" spans="4:5" x14ac:dyDescent="0.25">
      <c r="D7677" s="4">
        <v>42662</v>
      </c>
      <c r="E7677" s="6">
        <v>51.85</v>
      </c>
    </row>
    <row r="7678" spans="4:5" x14ac:dyDescent="0.25">
      <c r="D7678" s="4">
        <v>42663</v>
      </c>
      <c r="E7678" s="6">
        <v>50.42</v>
      </c>
    </row>
    <row r="7679" spans="4:5" x14ac:dyDescent="0.25">
      <c r="D7679" s="4">
        <v>42664</v>
      </c>
      <c r="E7679" s="6">
        <v>50.28</v>
      </c>
    </row>
    <row r="7680" spans="4:5" x14ac:dyDescent="0.25">
      <c r="D7680" s="4">
        <v>42667</v>
      </c>
      <c r="E7680" s="6">
        <v>49.8</v>
      </c>
    </row>
    <row r="7681" spans="4:5" x14ac:dyDescent="0.25">
      <c r="D7681" s="4">
        <v>42668</v>
      </c>
      <c r="E7681" s="6">
        <v>49.08</v>
      </c>
    </row>
    <row r="7682" spans="4:5" x14ac:dyDescent="0.25">
      <c r="D7682" s="4">
        <v>42669</v>
      </c>
      <c r="E7682" s="6">
        <v>48.98</v>
      </c>
    </row>
    <row r="7683" spans="4:5" x14ac:dyDescent="0.25">
      <c r="D7683" s="4">
        <v>42670</v>
      </c>
      <c r="E7683" s="6">
        <v>49.13</v>
      </c>
    </row>
    <row r="7684" spans="4:5" x14ac:dyDescent="0.25">
      <c r="D7684" s="4">
        <v>42671</v>
      </c>
      <c r="E7684" s="6">
        <v>47.78</v>
      </c>
    </row>
    <row r="7685" spans="4:5" x14ac:dyDescent="0.25">
      <c r="D7685" s="4">
        <v>42674</v>
      </c>
      <c r="E7685" s="6">
        <v>46.2</v>
      </c>
    </row>
    <row r="7686" spans="4:5" x14ac:dyDescent="0.25">
      <c r="D7686" s="4">
        <v>42675</v>
      </c>
      <c r="E7686" s="6">
        <v>45.77</v>
      </c>
    </row>
    <row r="7687" spans="4:5" x14ac:dyDescent="0.25">
      <c r="D7687" s="4">
        <v>42676</v>
      </c>
      <c r="E7687" s="6">
        <v>44.26</v>
      </c>
    </row>
    <row r="7688" spans="4:5" x14ac:dyDescent="0.25">
      <c r="D7688" s="4">
        <v>42677</v>
      </c>
      <c r="E7688" s="6">
        <v>43.84</v>
      </c>
    </row>
    <row r="7689" spans="4:5" x14ac:dyDescent="0.25">
      <c r="D7689" s="4">
        <v>42678</v>
      </c>
      <c r="E7689" s="6">
        <v>43.06</v>
      </c>
    </row>
    <row r="7690" spans="4:5" x14ac:dyDescent="0.25">
      <c r="D7690" s="4">
        <v>42681</v>
      </c>
      <c r="E7690" s="6">
        <v>42.83</v>
      </c>
    </row>
    <row r="7691" spans="4:5" x14ac:dyDescent="0.25">
      <c r="D7691" s="4">
        <v>42682</v>
      </c>
      <c r="E7691" s="6">
        <v>43.47</v>
      </c>
    </row>
    <row r="7692" spans="4:5" x14ac:dyDescent="0.25">
      <c r="D7692" s="4">
        <v>42683</v>
      </c>
      <c r="E7692" s="6">
        <v>43.88</v>
      </c>
    </row>
    <row r="7693" spans="4:5" x14ac:dyDescent="0.25">
      <c r="D7693" s="4">
        <v>42684</v>
      </c>
      <c r="E7693" s="6">
        <v>43.67</v>
      </c>
    </row>
    <row r="7694" spans="4:5" x14ac:dyDescent="0.25">
      <c r="D7694" s="4">
        <v>42685</v>
      </c>
      <c r="E7694" s="6">
        <v>41.61</v>
      </c>
    </row>
    <row r="7695" spans="4:5" x14ac:dyDescent="0.25">
      <c r="D7695" s="4">
        <v>42688</v>
      </c>
      <c r="E7695" s="6">
        <v>41.83</v>
      </c>
    </row>
    <row r="7696" spans="4:5" x14ac:dyDescent="0.25">
      <c r="D7696" s="4">
        <v>42689</v>
      </c>
      <c r="E7696" s="6">
        <v>44.15</v>
      </c>
    </row>
    <row r="7697" spans="4:5" x14ac:dyDescent="0.25">
      <c r="D7697" s="4">
        <v>42690</v>
      </c>
      <c r="E7697" s="6">
        <v>45.07</v>
      </c>
    </row>
    <row r="7698" spans="4:5" x14ac:dyDescent="0.25">
      <c r="D7698" s="4">
        <v>42691</v>
      </c>
      <c r="E7698" s="6">
        <v>44.57</v>
      </c>
    </row>
    <row r="7699" spans="4:5" x14ac:dyDescent="0.25">
      <c r="D7699" s="4">
        <v>42692</v>
      </c>
      <c r="E7699" s="6">
        <v>44.41</v>
      </c>
    </row>
    <row r="7700" spans="4:5" x14ac:dyDescent="0.25">
      <c r="D7700" s="4">
        <v>42695</v>
      </c>
      <c r="E7700" s="6">
        <v>45.96</v>
      </c>
    </row>
    <row r="7701" spans="4:5" x14ac:dyDescent="0.25">
      <c r="D7701" s="4">
        <v>42696</v>
      </c>
      <c r="E7701" s="6">
        <v>46.1</v>
      </c>
    </row>
    <row r="7702" spans="4:5" x14ac:dyDescent="0.25">
      <c r="D7702" s="4">
        <v>42697</v>
      </c>
      <c r="E7702" s="6">
        <v>46.54</v>
      </c>
    </row>
    <row r="7703" spans="4:5" x14ac:dyDescent="0.25">
      <c r="D7703" s="4">
        <v>42698</v>
      </c>
      <c r="E7703" s="6">
        <v>47.54</v>
      </c>
    </row>
    <row r="7704" spans="4:5" x14ac:dyDescent="0.25">
      <c r="D7704" s="4">
        <v>42699</v>
      </c>
      <c r="E7704" s="6">
        <v>46.32</v>
      </c>
    </row>
    <row r="7705" spans="4:5" x14ac:dyDescent="0.25">
      <c r="D7705" s="4">
        <v>42702</v>
      </c>
      <c r="E7705" s="6">
        <v>46.64</v>
      </c>
    </row>
    <row r="7706" spans="4:5" x14ac:dyDescent="0.25">
      <c r="D7706" s="4">
        <v>42703</v>
      </c>
      <c r="E7706" s="6">
        <v>44.68</v>
      </c>
    </row>
    <row r="7707" spans="4:5" x14ac:dyDescent="0.25">
      <c r="D7707" s="4">
        <v>42704</v>
      </c>
      <c r="E7707" s="6">
        <v>47.95</v>
      </c>
    </row>
    <row r="7708" spans="4:5" x14ac:dyDescent="0.25">
      <c r="D7708" s="4">
        <v>42705</v>
      </c>
      <c r="E7708" s="6">
        <v>52.28</v>
      </c>
    </row>
    <row r="7709" spans="4:5" x14ac:dyDescent="0.25">
      <c r="D7709" s="4">
        <v>42706</v>
      </c>
      <c r="E7709" s="6">
        <v>52.35</v>
      </c>
    </row>
    <row r="7710" spans="4:5" x14ac:dyDescent="0.25">
      <c r="D7710" s="4">
        <v>42709</v>
      </c>
      <c r="E7710" s="6">
        <v>53.3</v>
      </c>
    </row>
    <row r="7711" spans="4:5" x14ac:dyDescent="0.25">
      <c r="D7711" s="4">
        <v>42710</v>
      </c>
      <c r="E7711" s="6">
        <v>52.31</v>
      </c>
    </row>
    <row r="7712" spans="4:5" x14ac:dyDescent="0.25">
      <c r="D7712" s="4">
        <v>42711</v>
      </c>
      <c r="E7712" s="6">
        <v>51.9</v>
      </c>
    </row>
    <row r="7713" spans="4:5" x14ac:dyDescent="0.25">
      <c r="D7713" s="4">
        <v>42712</v>
      </c>
      <c r="E7713" s="6">
        <v>51.6</v>
      </c>
    </row>
    <row r="7714" spans="4:5" x14ac:dyDescent="0.25">
      <c r="D7714" s="4">
        <v>42713</v>
      </c>
      <c r="E7714" s="6">
        <v>52.19</v>
      </c>
    </row>
    <row r="7715" spans="4:5" x14ac:dyDescent="0.25">
      <c r="D7715" s="4">
        <v>42716</v>
      </c>
      <c r="E7715" s="6">
        <v>53.99</v>
      </c>
    </row>
    <row r="7716" spans="4:5" x14ac:dyDescent="0.25">
      <c r="D7716" s="4">
        <v>42717</v>
      </c>
      <c r="E7716" s="6">
        <v>53.28</v>
      </c>
    </row>
    <row r="7717" spans="4:5" x14ac:dyDescent="0.25">
      <c r="D7717" s="4">
        <v>42718</v>
      </c>
      <c r="E7717" s="6">
        <v>53.15</v>
      </c>
    </row>
    <row r="7718" spans="4:5" x14ac:dyDescent="0.25">
      <c r="D7718" s="4">
        <v>42719</v>
      </c>
      <c r="E7718" s="6">
        <v>51.72</v>
      </c>
    </row>
    <row r="7719" spans="4:5" x14ac:dyDescent="0.25">
      <c r="D7719" s="4">
        <v>42720</v>
      </c>
      <c r="E7719" s="6">
        <v>54.15</v>
      </c>
    </row>
    <row r="7720" spans="4:5" x14ac:dyDescent="0.25">
      <c r="D7720" s="4">
        <v>42723</v>
      </c>
      <c r="E7720" s="6">
        <v>53.53</v>
      </c>
    </row>
    <row r="7721" spans="4:5" x14ac:dyDescent="0.25">
      <c r="D7721" s="4">
        <v>42724</v>
      </c>
      <c r="E7721" s="6">
        <v>54.56</v>
      </c>
    </row>
    <row r="7722" spans="4:5" x14ac:dyDescent="0.25">
      <c r="D7722" s="4">
        <v>42725</v>
      </c>
      <c r="E7722" s="6">
        <v>53.01</v>
      </c>
    </row>
    <row r="7723" spans="4:5" x14ac:dyDescent="0.25">
      <c r="D7723" s="4">
        <v>42726</v>
      </c>
      <c r="E7723" s="6">
        <v>54.04</v>
      </c>
    </row>
    <row r="7724" spans="4:5" x14ac:dyDescent="0.25">
      <c r="D7724" s="4">
        <v>42727</v>
      </c>
      <c r="E7724" s="6">
        <v>53.93</v>
      </c>
    </row>
    <row r="7725" spans="4:5" x14ac:dyDescent="0.25">
      <c r="D7725" s="4">
        <v>42730</v>
      </c>
      <c r="E7725" s="5"/>
    </row>
    <row r="7726" spans="4:5" x14ac:dyDescent="0.25">
      <c r="D7726" s="4">
        <v>42731</v>
      </c>
      <c r="E7726" s="5"/>
    </row>
    <row r="7727" spans="4:5" x14ac:dyDescent="0.25">
      <c r="D7727" s="4">
        <v>42732</v>
      </c>
      <c r="E7727" s="6">
        <v>54.95</v>
      </c>
    </row>
    <row r="7728" spans="4:5" x14ac:dyDescent="0.25">
      <c r="D7728" s="4">
        <v>42733</v>
      </c>
      <c r="E7728" s="6">
        <v>54.97</v>
      </c>
    </row>
    <row r="7729" spans="4:5" x14ac:dyDescent="0.25">
      <c r="D7729" s="4">
        <v>42734</v>
      </c>
      <c r="E7729" s="6">
        <v>54.96</v>
      </c>
    </row>
    <row r="7730" spans="4:5" x14ac:dyDescent="0.25">
      <c r="D7730" s="4">
        <v>42737</v>
      </c>
      <c r="E7730" s="5"/>
    </row>
    <row r="7731" spans="4:5" x14ac:dyDescent="0.25">
      <c r="D7731" s="4">
        <v>42738</v>
      </c>
      <c r="E7731" s="6">
        <v>55.05</v>
      </c>
    </row>
    <row r="7732" spans="4:5" x14ac:dyDescent="0.25">
      <c r="D7732" s="4">
        <v>42739</v>
      </c>
      <c r="E7732" s="6">
        <v>54.57</v>
      </c>
    </row>
    <row r="7733" spans="4:5" x14ac:dyDescent="0.25">
      <c r="D7733" s="4">
        <v>42740</v>
      </c>
      <c r="E7733" s="6">
        <v>54.99</v>
      </c>
    </row>
    <row r="7734" spans="4:5" x14ac:dyDescent="0.25">
      <c r="D7734" s="4">
        <v>42741</v>
      </c>
      <c r="E7734" s="6">
        <v>55.9</v>
      </c>
    </row>
    <row r="7735" spans="4:5" x14ac:dyDescent="0.25">
      <c r="D7735" s="4">
        <v>42744</v>
      </c>
      <c r="E7735" s="6">
        <v>54.39</v>
      </c>
    </row>
    <row r="7736" spans="4:5" x14ac:dyDescent="0.25">
      <c r="D7736" s="4">
        <v>42745</v>
      </c>
      <c r="E7736" s="6">
        <v>53.2</v>
      </c>
    </row>
    <row r="7737" spans="4:5" x14ac:dyDescent="0.25">
      <c r="D7737" s="4">
        <v>42746</v>
      </c>
      <c r="E7737" s="6">
        <v>53.61</v>
      </c>
    </row>
    <row r="7738" spans="4:5" x14ac:dyDescent="0.25">
      <c r="D7738" s="4">
        <v>42747</v>
      </c>
      <c r="E7738" s="6">
        <v>54.51</v>
      </c>
    </row>
    <row r="7739" spans="4:5" x14ac:dyDescent="0.25">
      <c r="D7739" s="4">
        <v>42748</v>
      </c>
      <c r="E7739" s="6">
        <v>54.37</v>
      </c>
    </row>
    <row r="7740" spans="4:5" x14ac:dyDescent="0.25">
      <c r="D7740" s="4">
        <v>42751</v>
      </c>
      <c r="E7740" s="6">
        <v>54.3</v>
      </c>
    </row>
    <row r="7741" spans="4:5" x14ac:dyDescent="0.25">
      <c r="D7741" s="4">
        <v>42752</v>
      </c>
      <c r="E7741" s="6">
        <v>54.68</v>
      </c>
    </row>
    <row r="7742" spans="4:5" x14ac:dyDescent="0.25">
      <c r="D7742" s="4">
        <v>42753</v>
      </c>
      <c r="E7742" s="6">
        <v>53.77</v>
      </c>
    </row>
    <row r="7743" spans="4:5" x14ac:dyDescent="0.25">
      <c r="D7743" s="4">
        <v>42754</v>
      </c>
      <c r="E7743" s="6">
        <v>53.18</v>
      </c>
    </row>
    <row r="7744" spans="4:5" x14ac:dyDescent="0.25">
      <c r="D7744" s="4">
        <v>42755</v>
      </c>
      <c r="E7744" s="6">
        <v>55.04</v>
      </c>
    </row>
    <row r="7745" spans="4:5" x14ac:dyDescent="0.25">
      <c r="D7745" s="4">
        <v>42758</v>
      </c>
      <c r="E7745" s="6">
        <v>54.8</v>
      </c>
    </row>
    <row r="7746" spans="4:5" x14ac:dyDescent="0.25">
      <c r="D7746" s="4">
        <v>42759</v>
      </c>
      <c r="E7746" s="6">
        <v>54.7</v>
      </c>
    </row>
    <row r="7747" spans="4:5" x14ac:dyDescent="0.25">
      <c r="D7747" s="4">
        <v>42760</v>
      </c>
      <c r="E7747" s="6">
        <v>54.34</v>
      </c>
    </row>
    <row r="7748" spans="4:5" x14ac:dyDescent="0.25">
      <c r="D7748" s="4">
        <v>42761</v>
      </c>
      <c r="E7748" s="6">
        <v>55.89</v>
      </c>
    </row>
    <row r="7749" spans="4:5" x14ac:dyDescent="0.25">
      <c r="D7749" s="4">
        <v>42762</v>
      </c>
      <c r="E7749" s="6">
        <v>54.8</v>
      </c>
    </row>
    <row r="7750" spans="4:5" x14ac:dyDescent="0.25">
      <c r="D7750" s="4">
        <v>42765</v>
      </c>
      <c r="E7750" s="6">
        <v>54.77</v>
      </c>
    </row>
    <row r="7751" spans="4:5" x14ac:dyDescent="0.25">
      <c r="D7751" s="4">
        <v>42766</v>
      </c>
      <c r="E7751" s="6">
        <v>55.25</v>
      </c>
    </row>
    <row r="7752" spans="4:5" x14ac:dyDescent="0.25">
      <c r="D7752" s="4">
        <v>42767</v>
      </c>
      <c r="E7752" s="6">
        <v>55.79</v>
      </c>
    </row>
    <row r="7753" spans="4:5" x14ac:dyDescent="0.25">
      <c r="D7753" s="4">
        <v>42768</v>
      </c>
      <c r="E7753" s="6">
        <v>55.94</v>
      </c>
    </row>
    <row r="7754" spans="4:5" x14ac:dyDescent="0.25">
      <c r="D7754" s="4">
        <v>42769</v>
      </c>
      <c r="E7754" s="6">
        <v>55.92</v>
      </c>
    </row>
    <row r="7755" spans="4:5" x14ac:dyDescent="0.25">
      <c r="D7755" s="4">
        <v>42772</v>
      </c>
      <c r="E7755" s="6">
        <v>55.02</v>
      </c>
    </row>
    <row r="7756" spans="4:5" x14ac:dyDescent="0.25">
      <c r="D7756" s="4">
        <v>42773</v>
      </c>
      <c r="E7756" s="6">
        <v>53.79</v>
      </c>
    </row>
    <row r="7757" spans="4:5" x14ac:dyDescent="0.25">
      <c r="D7757" s="4">
        <v>42774</v>
      </c>
      <c r="E7757" s="6">
        <v>54.42</v>
      </c>
    </row>
    <row r="7758" spans="4:5" x14ac:dyDescent="0.25">
      <c r="D7758" s="4">
        <v>42775</v>
      </c>
      <c r="E7758" s="6">
        <v>53.98</v>
      </c>
    </row>
    <row r="7759" spans="4:5" x14ac:dyDescent="0.25">
      <c r="D7759" s="4">
        <v>42776</v>
      </c>
      <c r="E7759" s="6">
        <v>55.2</v>
      </c>
    </row>
    <row r="7760" spans="4:5" x14ac:dyDescent="0.25">
      <c r="D7760" s="4">
        <v>42779</v>
      </c>
      <c r="E7760" s="6">
        <v>54.15</v>
      </c>
    </row>
    <row r="7761" spans="4:5" x14ac:dyDescent="0.25">
      <c r="D7761" s="4">
        <v>42780</v>
      </c>
      <c r="E7761" s="6">
        <v>54.96</v>
      </c>
    </row>
    <row r="7762" spans="4:5" x14ac:dyDescent="0.25">
      <c r="D7762" s="4">
        <v>42781</v>
      </c>
      <c r="E7762" s="6">
        <v>54.57</v>
      </c>
    </row>
    <row r="7763" spans="4:5" x14ac:dyDescent="0.25">
      <c r="D7763" s="4">
        <v>42782</v>
      </c>
      <c r="E7763" s="6">
        <v>54.16</v>
      </c>
    </row>
    <row r="7764" spans="4:5" x14ac:dyDescent="0.25">
      <c r="D7764" s="4">
        <v>42783</v>
      </c>
      <c r="E7764" s="6">
        <v>54.48</v>
      </c>
    </row>
    <row r="7765" spans="4:5" x14ac:dyDescent="0.25">
      <c r="D7765" s="4">
        <v>42786</v>
      </c>
      <c r="E7765" s="6">
        <v>55.25</v>
      </c>
    </row>
    <row r="7766" spans="4:5" x14ac:dyDescent="0.25">
      <c r="D7766" s="4">
        <v>42787</v>
      </c>
      <c r="E7766" s="6">
        <v>56.34</v>
      </c>
    </row>
    <row r="7767" spans="4:5" x14ac:dyDescent="0.25">
      <c r="D7767" s="4">
        <v>42788</v>
      </c>
      <c r="E7767" s="6">
        <v>54.9</v>
      </c>
    </row>
    <row r="7768" spans="4:5" x14ac:dyDescent="0.25">
      <c r="D7768" s="4">
        <v>42789</v>
      </c>
      <c r="E7768" s="6">
        <v>55.82</v>
      </c>
    </row>
    <row r="7769" spans="4:5" x14ac:dyDescent="0.25">
      <c r="D7769" s="4">
        <v>42790</v>
      </c>
      <c r="E7769" s="6">
        <v>54.69</v>
      </c>
    </row>
    <row r="7770" spans="4:5" x14ac:dyDescent="0.25">
      <c r="D7770" s="4">
        <v>42793</v>
      </c>
      <c r="E7770" s="6">
        <v>54.65</v>
      </c>
    </row>
    <row r="7771" spans="4:5" x14ac:dyDescent="0.25">
      <c r="D7771" s="4">
        <v>42794</v>
      </c>
      <c r="E7771" s="6">
        <v>53.36</v>
      </c>
    </row>
    <row r="7772" spans="4:5" x14ac:dyDescent="0.25">
      <c r="D7772" s="4">
        <v>42795</v>
      </c>
      <c r="E7772" s="6">
        <v>55.72</v>
      </c>
    </row>
    <row r="7773" spans="4:5" x14ac:dyDescent="0.25">
      <c r="D7773" s="4">
        <v>42796</v>
      </c>
      <c r="E7773" s="6">
        <v>54.16</v>
      </c>
    </row>
    <row r="7774" spans="4:5" x14ac:dyDescent="0.25">
      <c r="D7774" s="4">
        <v>42797</v>
      </c>
      <c r="E7774" s="6">
        <v>54.12</v>
      </c>
    </row>
    <row r="7775" spans="4:5" x14ac:dyDescent="0.25">
      <c r="D7775" s="4">
        <v>42800</v>
      </c>
      <c r="E7775" s="6">
        <v>54.73</v>
      </c>
    </row>
    <row r="7776" spans="4:5" x14ac:dyDescent="0.25">
      <c r="D7776" s="4">
        <v>42801</v>
      </c>
      <c r="E7776" s="6">
        <v>54.61</v>
      </c>
    </row>
    <row r="7777" spans="4:5" x14ac:dyDescent="0.25">
      <c r="D7777" s="4">
        <v>42802</v>
      </c>
      <c r="E7777" s="6">
        <v>53.3</v>
      </c>
    </row>
    <row r="7778" spans="4:5" x14ac:dyDescent="0.25">
      <c r="D7778" s="4">
        <v>42803</v>
      </c>
      <c r="E7778" s="6">
        <v>50.65</v>
      </c>
    </row>
    <row r="7779" spans="4:5" x14ac:dyDescent="0.25">
      <c r="D7779" s="4">
        <v>42804</v>
      </c>
      <c r="E7779" s="6">
        <v>50.63</v>
      </c>
    </row>
    <row r="7780" spans="4:5" x14ac:dyDescent="0.25">
      <c r="D7780" s="4">
        <v>42807</v>
      </c>
      <c r="E7780" s="6">
        <v>50.1</v>
      </c>
    </row>
    <row r="7781" spans="4:5" x14ac:dyDescent="0.25">
      <c r="D7781" s="4">
        <v>42808</v>
      </c>
      <c r="E7781" s="6">
        <v>49.6</v>
      </c>
    </row>
    <row r="7782" spans="4:5" x14ac:dyDescent="0.25">
      <c r="D7782" s="4">
        <v>42809</v>
      </c>
      <c r="E7782" s="6">
        <v>50.63</v>
      </c>
    </row>
    <row r="7783" spans="4:5" x14ac:dyDescent="0.25">
      <c r="D7783" s="4">
        <v>42810</v>
      </c>
      <c r="E7783" s="6">
        <v>50.56</v>
      </c>
    </row>
    <row r="7784" spans="4:5" x14ac:dyDescent="0.25">
      <c r="D7784" s="4">
        <v>42811</v>
      </c>
      <c r="E7784" s="6">
        <v>50.58</v>
      </c>
    </row>
    <row r="7785" spans="4:5" x14ac:dyDescent="0.25">
      <c r="D7785" s="4">
        <v>42814</v>
      </c>
      <c r="E7785" s="6">
        <v>50.67</v>
      </c>
    </row>
    <row r="7786" spans="4:5" x14ac:dyDescent="0.25">
      <c r="D7786" s="4">
        <v>42815</v>
      </c>
      <c r="E7786" s="6">
        <v>50.14</v>
      </c>
    </row>
    <row r="7787" spans="4:5" x14ac:dyDescent="0.25">
      <c r="D7787" s="4">
        <v>42816</v>
      </c>
      <c r="E7787" s="6">
        <v>49.56</v>
      </c>
    </row>
    <row r="7788" spans="4:5" x14ac:dyDescent="0.25">
      <c r="D7788" s="4">
        <v>42817</v>
      </c>
      <c r="E7788" s="6">
        <v>50.17</v>
      </c>
    </row>
    <row r="7789" spans="4:5" x14ac:dyDescent="0.25">
      <c r="D7789" s="4">
        <v>42818</v>
      </c>
      <c r="E7789" s="6">
        <v>49.97</v>
      </c>
    </row>
    <row r="7790" spans="4:5" x14ac:dyDescent="0.25">
      <c r="D7790" s="4">
        <v>42821</v>
      </c>
      <c r="E7790" s="6">
        <v>50.12</v>
      </c>
    </row>
    <row r="7791" spans="4:5" x14ac:dyDescent="0.25">
      <c r="D7791" s="4">
        <v>42822</v>
      </c>
      <c r="E7791" s="6">
        <v>50.72</v>
      </c>
    </row>
    <row r="7792" spans="4:5" x14ac:dyDescent="0.25">
      <c r="D7792" s="4">
        <v>42823</v>
      </c>
      <c r="E7792" s="6">
        <v>51.36</v>
      </c>
    </row>
    <row r="7793" spans="4:5" x14ac:dyDescent="0.25">
      <c r="D7793" s="4">
        <v>42824</v>
      </c>
      <c r="E7793" s="6">
        <v>52.25</v>
      </c>
    </row>
    <row r="7794" spans="4:5" x14ac:dyDescent="0.25">
      <c r="D7794" s="4">
        <v>42825</v>
      </c>
      <c r="E7794" s="6">
        <v>52.2</v>
      </c>
    </row>
    <row r="7795" spans="4:5" x14ac:dyDescent="0.25">
      <c r="D7795" s="4">
        <v>42828</v>
      </c>
      <c r="E7795" s="6">
        <v>52.04</v>
      </c>
    </row>
    <row r="7796" spans="4:5" x14ac:dyDescent="0.25">
      <c r="D7796" s="4">
        <v>42829</v>
      </c>
      <c r="E7796" s="6">
        <v>53.08</v>
      </c>
    </row>
    <row r="7797" spans="4:5" x14ac:dyDescent="0.25">
      <c r="D7797" s="4">
        <v>42830</v>
      </c>
      <c r="E7797" s="6">
        <v>53.41</v>
      </c>
    </row>
    <row r="7798" spans="4:5" x14ac:dyDescent="0.25">
      <c r="D7798" s="4">
        <v>42831</v>
      </c>
      <c r="E7798" s="6">
        <v>53.62</v>
      </c>
    </row>
    <row r="7799" spans="4:5" x14ac:dyDescent="0.25">
      <c r="D7799" s="4">
        <v>42832</v>
      </c>
      <c r="E7799" s="6">
        <v>54.24</v>
      </c>
    </row>
    <row r="7800" spans="4:5" x14ac:dyDescent="0.25">
      <c r="D7800" s="4">
        <v>42835</v>
      </c>
      <c r="E7800" s="6">
        <v>54.79</v>
      </c>
    </row>
    <row r="7801" spans="4:5" x14ac:dyDescent="0.25">
      <c r="D7801" s="4">
        <v>42836</v>
      </c>
      <c r="E7801" s="6">
        <v>54.73</v>
      </c>
    </row>
    <row r="7802" spans="4:5" x14ac:dyDescent="0.25">
      <c r="D7802" s="4">
        <v>42837</v>
      </c>
      <c r="E7802" s="6">
        <v>54.75</v>
      </c>
    </row>
    <row r="7803" spans="4:5" x14ac:dyDescent="0.25">
      <c r="D7803" s="4">
        <v>42838</v>
      </c>
      <c r="E7803" s="6">
        <v>55.05</v>
      </c>
    </row>
    <row r="7804" spans="4:5" x14ac:dyDescent="0.25">
      <c r="D7804" s="4">
        <v>42839</v>
      </c>
      <c r="E7804" s="5"/>
    </row>
    <row r="7805" spans="4:5" x14ac:dyDescent="0.25">
      <c r="D7805" s="4">
        <v>42842</v>
      </c>
      <c r="E7805" s="6">
        <v>54.79</v>
      </c>
    </row>
    <row r="7806" spans="4:5" x14ac:dyDescent="0.25">
      <c r="D7806" s="4">
        <v>42843</v>
      </c>
      <c r="E7806" s="6">
        <v>52.6</v>
      </c>
    </row>
    <row r="7807" spans="4:5" x14ac:dyDescent="0.25">
      <c r="D7807" s="4">
        <v>42844</v>
      </c>
      <c r="E7807" s="6">
        <v>52.43</v>
      </c>
    </row>
    <row r="7808" spans="4:5" x14ac:dyDescent="0.25">
      <c r="D7808" s="4">
        <v>42845</v>
      </c>
      <c r="E7808" s="6">
        <v>50.66</v>
      </c>
    </row>
    <row r="7809" spans="4:5" x14ac:dyDescent="0.25">
      <c r="D7809" s="4">
        <v>42846</v>
      </c>
      <c r="E7809" s="6">
        <v>49.93</v>
      </c>
    </row>
    <row r="7810" spans="4:5" x14ac:dyDescent="0.25">
      <c r="D7810" s="4">
        <v>42849</v>
      </c>
      <c r="E7810" s="6">
        <v>49.45</v>
      </c>
    </row>
    <row r="7811" spans="4:5" x14ac:dyDescent="0.25">
      <c r="D7811" s="4">
        <v>42850</v>
      </c>
      <c r="E7811" s="6">
        <v>49.37</v>
      </c>
    </row>
    <row r="7812" spans="4:5" x14ac:dyDescent="0.25">
      <c r="D7812" s="4">
        <v>42851</v>
      </c>
      <c r="E7812" s="6">
        <v>49.99</v>
      </c>
    </row>
    <row r="7813" spans="4:5" x14ac:dyDescent="0.25">
      <c r="D7813" s="4">
        <v>42852</v>
      </c>
      <c r="E7813" s="6">
        <v>49.46</v>
      </c>
    </row>
    <row r="7814" spans="4:5" x14ac:dyDescent="0.25">
      <c r="D7814" s="4">
        <v>42853</v>
      </c>
      <c r="E7814" s="6">
        <v>49.46</v>
      </c>
    </row>
    <row r="7815" spans="4:5" x14ac:dyDescent="0.25">
      <c r="D7815" s="4">
        <v>42856</v>
      </c>
      <c r="E7815" s="6">
        <v>50.41</v>
      </c>
    </row>
    <row r="7816" spans="4:5" x14ac:dyDescent="0.25">
      <c r="D7816" s="4">
        <v>42857</v>
      </c>
      <c r="E7816" s="6">
        <v>49.31</v>
      </c>
    </row>
    <row r="7817" spans="4:5" x14ac:dyDescent="0.25">
      <c r="D7817" s="4">
        <v>42858</v>
      </c>
      <c r="E7817" s="6">
        <v>48.82</v>
      </c>
    </row>
    <row r="7818" spans="4:5" x14ac:dyDescent="0.25">
      <c r="D7818" s="4">
        <v>42859</v>
      </c>
      <c r="E7818" s="6">
        <v>47.53</v>
      </c>
    </row>
    <row r="7819" spans="4:5" x14ac:dyDescent="0.25">
      <c r="D7819" s="4">
        <v>42860</v>
      </c>
      <c r="E7819" s="6">
        <v>47.45</v>
      </c>
    </row>
    <row r="7820" spans="4:5" x14ac:dyDescent="0.25">
      <c r="D7820" s="4">
        <v>42863</v>
      </c>
      <c r="E7820" s="6">
        <v>46.61</v>
      </c>
    </row>
    <row r="7821" spans="4:5" x14ac:dyDescent="0.25">
      <c r="D7821" s="4">
        <v>42864</v>
      </c>
      <c r="E7821" s="6">
        <v>47.06</v>
      </c>
    </row>
    <row r="7822" spans="4:5" x14ac:dyDescent="0.25">
      <c r="D7822" s="4">
        <v>42865</v>
      </c>
      <c r="E7822" s="6">
        <v>48.09</v>
      </c>
    </row>
    <row r="7823" spans="4:5" x14ac:dyDescent="0.25">
      <c r="D7823" s="4">
        <v>42866</v>
      </c>
      <c r="E7823" s="6">
        <v>49.18</v>
      </c>
    </row>
    <row r="7824" spans="4:5" x14ac:dyDescent="0.25">
      <c r="D7824" s="4">
        <v>42867</v>
      </c>
      <c r="E7824" s="6">
        <v>49.08</v>
      </c>
    </row>
    <row r="7825" spans="4:5" x14ac:dyDescent="0.25">
      <c r="D7825" s="4">
        <v>42870</v>
      </c>
      <c r="E7825" s="6">
        <v>51.29</v>
      </c>
    </row>
    <row r="7826" spans="4:5" x14ac:dyDescent="0.25">
      <c r="D7826" s="4">
        <v>42871</v>
      </c>
      <c r="E7826" s="6">
        <v>51.21</v>
      </c>
    </row>
    <row r="7827" spans="4:5" x14ac:dyDescent="0.25">
      <c r="D7827" s="4">
        <v>42872</v>
      </c>
      <c r="E7827" s="6">
        <v>51.76</v>
      </c>
    </row>
    <row r="7828" spans="4:5" x14ac:dyDescent="0.25">
      <c r="D7828" s="4">
        <v>42873</v>
      </c>
      <c r="E7828" s="6">
        <v>51.71</v>
      </c>
    </row>
    <row r="7829" spans="4:5" x14ac:dyDescent="0.25">
      <c r="D7829" s="4">
        <v>42874</v>
      </c>
      <c r="E7829" s="6">
        <v>52.78</v>
      </c>
    </row>
    <row r="7830" spans="4:5" x14ac:dyDescent="0.25">
      <c r="D7830" s="4">
        <v>42877</v>
      </c>
      <c r="E7830" s="6">
        <v>53.35</v>
      </c>
    </row>
    <row r="7831" spans="4:5" x14ac:dyDescent="0.25">
      <c r="D7831" s="4">
        <v>42878</v>
      </c>
      <c r="E7831" s="6">
        <v>53.19</v>
      </c>
    </row>
    <row r="7832" spans="4:5" x14ac:dyDescent="0.25">
      <c r="D7832" s="4">
        <v>42879</v>
      </c>
      <c r="E7832" s="6">
        <v>53.29</v>
      </c>
    </row>
    <row r="7833" spans="4:5" x14ac:dyDescent="0.25">
      <c r="D7833" s="4">
        <v>42880</v>
      </c>
      <c r="E7833" s="6">
        <v>52.25</v>
      </c>
    </row>
    <row r="7834" spans="4:5" x14ac:dyDescent="0.25">
      <c r="D7834" s="4">
        <v>42881</v>
      </c>
      <c r="E7834" s="6">
        <v>50.84</v>
      </c>
    </row>
    <row r="7835" spans="4:5" x14ac:dyDescent="0.25">
      <c r="D7835" s="4">
        <v>42884</v>
      </c>
      <c r="E7835" s="6">
        <v>52.25</v>
      </c>
    </row>
    <row r="7836" spans="4:5" x14ac:dyDescent="0.25">
      <c r="D7836" s="4">
        <v>42885</v>
      </c>
      <c r="E7836" s="6">
        <v>50.65</v>
      </c>
    </row>
    <row r="7837" spans="4:5" x14ac:dyDescent="0.25">
      <c r="D7837" s="4">
        <v>42886</v>
      </c>
      <c r="E7837" s="6">
        <v>49.4</v>
      </c>
    </row>
    <row r="7838" spans="4:5" x14ac:dyDescent="0.25">
      <c r="D7838" s="4">
        <v>42887</v>
      </c>
      <c r="E7838" s="6">
        <v>50.41</v>
      </c>
    </row>
    <row r="7839" spans="4:5" x14ac:dyDescent="0.25">
      <c r="D7839" s="4">
        <v>42888</v>
      </c>
      <c r="E7839" s="6">
        <v>48.46</v>
      </c>
    </row>
    <row r="7840" spans="4:5" x14ac:dyDescent="0.25">
      <c r="D7840" s="4">
        <v>42891</v>
      </c>
      <c r="E7840" s="6">
        <v>48.25</v>
      </c>
    </row>
    <row r="7841" spans="4:5" x14ac:dyDescent="0.25">
      <c r="D7841" s="4">
        <v>42892</v>
      </c>
      <c r="E7841" s="6">
        <v>48.11</v>
      </c>
    </row>
    <row r="7842" spans="4:5" x14ac:dyDescent="0.25">
      <c r="D7842" s="4">
        <v>42893</v>
      </c>
      <c r="E7842" s="6">
        <v>47.08</v>
      </c>
    </row>
    <row r="7843" spans="4:5" x14ac:dyDescent="0.25">
      <c r="D7843" s="4">
        <v>42894</v>
      </c>
      <c r="E7843" s="6">
        <v>46.3</v>
      </c>
    </row>
    <row r="7844" spans="4:5" x14ac:dyDescent="0.25">
      <c r="D7844" s="4">
        <v>42895</v>
      </c>
      <c r="E7844" s="6">
        <v>46.64</v>
      </c>
    </row>
    <row r="7845" spans="4:5" x14ac:dyDescent="0.25">
      <c r="D7845" s="4">
        <v>42898</v>
      </c>
      <c r="E7845" s="6">
        <v>47.18</v>
      </c>
    </row>
    <row r="7846" spans="4:5" x14ac:dyDescent="0.25">
      <c r="D7846" s="4">
        <v>42899</v>
      </c>
      <c r="E7846" s="6">
        <v>46.95</v>
      </c>
    </row>
    <row r="7847" spans="4:5" x14ac:dyDescent="0.25">
      <c r="D7847" s="4">
        <v>42900</v>
      </c>
      <c r="E7847" s="6">
        <v>45.47</v>
      </c>
    </row>
    <row r="7848" spans="4:5" x14ac:dyDescent="0.25">
      <c r="D7848" s="4">
        <v>42901</v>
      </c>
      <c r="E7848" s="6">
        <v>45.61</v>
      </c>
    </row>
    <row r="7849" spans="4:5" x14ac:dyDescent="0.25">
      <c r="D7849" s="4">
        <v>42902</v>
      </c>
      <c r="E7849" s="6">
        <v>45.7</v>
      </c>
    </row>
    <row r="7850" spans="4:5" x14ac:dyDescent="0.25">
      <c r="D7850" s="4">
        <v>42905</v>
      </c>
      <c r="E7850" s="6">
        <v>45.93</v>
      </c>
    </row>
    <row r="7851" spans="4:5" x14ac:dyDescent="0.25">
      <c r="D7851" s="4">
        <v>42906</v>
      </c>
      <c r="E7851" s="6">
        <v>43.98</v>
      </c>
    </row>
    <row r="7852" spans="4:5" x14ac:dyDescent="0.25">
      <c r="D7852" s="4">
        <v>42907</v>
      </c>
      <c r="E7852" s="6">
        <v>44.62</v>
      </c>
    </row>
    <row r="7853" spans="4:5" x14ac:dyDescent="0.25">
      <c r="D7853" s="4">
        <v>42908</v>
      </c>
      <c r="E7853" s="6">
        <v>44.46</v>
      </c>
    </row>
    <row r="7854" spans="4:5" x14ac:dyDescent="0.25">
      <c r="D7854" s="4">
        <v>42909</v>
      </c>
      <c r="E7854" s="6">
        <v>44.14</v>
      </c>
    </row>
    <row r="7855" spans="4:5" x14ac:dyDescent="0.25">
      <c r="D7855" s="4">
        <v>42912</v>
      </c>
      <c r="E7855" s="6">
        <v>44.09</v>
      </c>
    </row>
    <row r="7856" spans="4:5" x14ac:dyDescent="0.25">
      <c r="D7856" s="4">
        <v>42913</v>
      </c>
      <c r="E7856" s="6">
        <v>46.17</v>
      </c>
    </row>
    <row r="7857" spans="4:5" x14ac:dyDescent="0.25">
      <c r="D7857" s="4">
        <v>42914</v>
      </c>
      <c r="E7857" s="6">
        <v>46.45</v>
      </c>
    </row>
    <row r="7858" spans="4:5" x14ac:dyDescent="0.25">
      <c r="D7858" s="4">
        <v>42915</v>
      </c>
      <c r="E7858" s="6">
        <v>47.02</v>
      </c>
    </row>
    <row r="7859" spans="4:5" x14ac:dyDescent="0.25">
      <c r="D7859" s="4">
        <v>42916</v>
      </c>
      <c r="E7859" s="6">
        <v>47.08</v>
      </c>
    </row>
    <row r="7860" spans="4:5" x14ac:dyDescent="0.25">
      <c r="D7860" s="4">
        <v>42919</v>
      </c>
      <c r="E7860" s="6">
        <v>49.13</v>
      </c>
    </row>
    <row r="7861" spans="4:5" x14ac:dyDescent="0.25">
      <c r="D7861" s="4">
        <v>42920</v>
      </c>
      <c r="E7861" s="6">
        <v>49.15</v>
      </c>
    </row>
    <row r="7862" spans="4:5" x14ac:dyDescent="0.25">
      <c r="D7862" s="4">
        <v>42921</v>
      </c>
      <c r="E7862" s="6">
        <v>47.58</v>
      </c>
    </row>
    <row r="7863" spans="4:5" x14ac:dyDescent="0.25">
      <c r="D7863" s="4">
        <v>42922</v>
      </c>
      <c r="E7863" s="6">
        <v>48.53</v>
      </c>
    </row>
    <row r="7864" spans="4:5" x14ac:dyDescent="0.25">
      <c r="D7864" s="4">
        <v>42923</v>
      </c>
      <c r="E7864" s="6">
        <v>46.47</v>
      </c>
    </row>
    <row r="7865" spans="4:5" x14ac:dyDescent="0.25">
      <c r="D7865" s="4">
        <v>42926</v>
      </c>
      <c r="E7865" s="6">
        <v>46.57</v>
      </c>
    </row>
    <row r="7866" spans="4:5" x14ac:dyDescent="0.25">
      <c r="D7866" s="4">
        <v>42927</v>
      </c>
      <c r="E7866" s="6">
        <v>46.68</v>
      </c>
    </row>
    <row r="7867" spans="4:5" x14ac:dyDescent="0.25">
      <c r="D7867" s="4">
        <v>42928</v>
      </c>
      <c r="E7867" s="6">
        <v>46.73</v>
      </c>
    </row>
    <row r="7868" spans="4:5" x14ac:dyDescent="0.25">
      <c r="D7868" s="4">
        <v>42929</v>
      </c>
      <c r="E7868" s="6">
        <v>47.65</v>
      </c>
    </row>
    <row r="7869" spans="4:5" x14ac:dyDescent="0.25">
      <c r="D7869" s="4">
        <v>42930</v>
      </c>
      <c r="E7869" s="6">
        <v>47.89</v>
      </c>
    </row>
    <row r="7870" spans="4:5" x14ac:dyDescent="0.25">
      <c r="D7870" s="4">
        <v>42933</v>
      </c>
      <c r="E7870" s="6">
        <v>47.66</v>
      </c>
    </row>
    <row r="7871" spans="4:5" x14ac:dyDescent="0.25">
      <c r="D7871" s="4">
        <v>42934</v>
      </c>
      <c r="E7871" s="6">
        <v>47.92</v>
      </c>
    </row>
    <row r="7872" spans="4:5" x14ac:dyDescent="0.25">
      <c r="D7872" s="4">
        <v>42935</v>
      </c>
      <c r="E7872" s="6">
        <v>48.34</v>
      </c>
    </row>
    <row r="7873" spans="4:5" x14ac:dyDescent="0.25">
      <c r="D7873" s="4">
        <v>42936</v>
      </c>
      <c r="E7873" s="6">
        <v>48.54</v>
      </c>
    </row>
    <row r="7874" spans="4:5" x14ac:dyDescent="0.25">
      <c r="D7874" s="4">
        <v>42937</v>
      </c>
      <c r="E7874" s="6">
        <v>47.47</v>
      </c>
    </row>
    <row r="7875" spans="4:5" x14ac:dyDescent="0.25">
      <c r="D7875" s="4">
        <v>42940</v>
      </c>
      <c r="E7875" s="6">
        <v>47.81</v>
      </c>
    </row>
    <row r="7876" spans="4:5" x14ac:dyDescent="0.25">
      <c r="D7876" s="4">
        <v>42941</v>
      </c>
      <c r="E7876" s="6">
        <v>49.19</v>
      </c>
    </row>
    <row r="7877" spans="4:5" x14ac:dyDescent="0.25">
      <c r="D7877" s="4">
        <v>42942</v>
      </c>
      <c r="E7877" s="6">
        <v>50.08</v>
      </c>
    </row>
    <row r="7878" spans="4:5" x14ac:dyDescent="0.25">
      <c r="D7878" s="4">
        <v>42943</v>
      </c>
      <c r="E7878" s="6">
        <v>50.67</v>
      </c>
    </row>
    <row r="7879" spans="4:5" x14ac:dyDescent="0.25">
      <c r="D7879" s="4">
        <v>42944</v>
      </c>
      <c r="E7879" s="6">
        <v>52</v>
      </c>
    </row>
    <row r="7880" spans="4:5" x14ac:dyDescent="0.25">
      <c r="D7880" s="4">
        <v>42947</v>
      </c>
      <c r="E7880" s="6">
        <v>51.99</v>
      </c>
    </row>
    <row r="7881" spans="4:5" x14ac:dyDescent="0.25">
      <c r="D7881" s="4">
        <v>42948</v>
      </c>
      <c r="E7881" s="6">
        <v>50.77</v>
      </c>
    </row>
    <row r="7882" spans="4:5" x14ac:dyDescent="0.25">
      <c r="D7882" s="4">
        <v>42949</v>
      </c>
      <c r="E7882" s="6">
        <v>52.09</v>
      </c>
    </row>
    <row r="7883" spans="4:5" x14ac:dyDescent="0.25">
      <c r="D7883" s="4">
        <v>42950</v>
      </c>
      <c r="E7883" s="6">
        <v>52.88</v>
      </c>
    </row>
    <row r="7884" spans="4:5" x14ac:dyDescent="0.25">
      <c r="D7884" s="4">
        <v>42951</v>
      </c>
      <c r="E7884" s="6">
        <v>52.48</v>
      </c>
    </row>
    <row r="7885" spans="4:5" x14ac:dyDescent="0.25">
      <c r="D7885" s="4">
        <v>42954</v>
      </c>
      <c r="E7885" s="6">
        <v>51.42</v>
      </c>
    </row>
    <row r="7886" spans="4:5" x14ac:dyDescent="0.25">
      <c r="D7886" s="4">
        <v>42955</v>
      </c>
      <c r="E7886" s="6">
        <v>52.18</v>
      </c>
    </row>
    <row r="7887" spans="4:5" x14ac:dyDescent="0.25">
      <c r="D7887" s="4">
        <v>42956</v>
      </c>
      <c r="E7887" s="6">
        <v>52.16</v>
      </c>
    </row>
    <row r="7888" spans="4:5" x14ac:dyDescent="0.25">
      <c r="D7888" s="4">
        <v>42957</v>
      </c>
      <c r="E7888" s="6">
        <v>52.59</v>
      </c>
    </row>
    <row r="7889" spans="4:5" x14ac:dyDescent="0.25">
      <c r="D7889" s="4">
        <v>42958</v>
      </c>
      <c r="E7889" s="6">
        <v>51.47</v>
      </c>
    </row>
    <row r="7890" spans="4:5" x14ac:dyDescent="0.25">
      <c r="D7890" s="4">
        <v>42961</v>
      </c>
      <c r="E7890" s="6">
        <v>51.29</v>
      </c>
    </row>
    <row r="7891" spans="4:5" x14ac:dyDescent="0.25">
      <c r="D7891" s="4">
        <v>42962</v>
      </c>
      <c r="E7891" s="6">
        <v>49.9</v>
      </c>
    </row>
    <row r="7892" spans="4:5" x14ac:dyDescent="0.25">
      <c r="D7892" s="4">
        <v>42963</v>
      </c>
      <c r="E7892" s="6">
        <v>50.39</v>
      </c>
    </row>
    <row r="7893" spans="4:5" x14ac:dyDescent="0.25">
      <c r="D7893" s="4">
        <v>42964</v>
      </c>
      <c r="E7893" s="6">
        <v>50.37</v>
      </c>
    </row>
    <row r="7894" spans="4:5" x14ac:dyDescent="0.25">
      <c r="D7894" s="4">
        <v>42965</v>
      </c>
      <c r="E7894" s="6">
        <v>50.96</v>
      </c>
    </row>
    <row r="7895" spans="4:5" x14ac:dyDescent="0.25">
      <c r="D7895" s="4">
        <v>42968</v>
      </c>
      <c r="E7895" s="6">
        <v>51.94</v>
      </c>
    </row>
    <row r="7896" spans="4:5" x14ac:dyDescent="0.25">
      <c r="D7896" s="4">
        <v>42969</v>
      </c>
      <c r="E7896" s="6">
        <v>52.29</v>
      </c>
    </row>
    <row r="7897" spans="4:5" x14ac:dyDescent="0.25">
      <c r="D7897" s="4">
        <v>42970</v>
      </c>
      <c r="E7897" s="6">
        <v>52.31</v>
      </c>
    </row>
    <row r="7898" spans="4:5" x14ac:dyDescent="0.25">
      <c r="D7898" s="4">
        <v>42971</v>
      </c>
      <c r="E7898" s="6">
        <v>51.73</v>
      </c>
    </row>
    <row r="7899" spans="4:5" x14ac:dyDescent="0.25">
      <c r="D7899" s="4">
        <v>42972</v>
      </c>
      <c r="E7899" s="6">
        <v>51.87</v>
      </c>
    </row>
    <row r="7900" spans="4:5" x14ac:dyDescent="0.25">
      <c r="D7900" s="4">
        <v>42975</v>
      </c>
      <c r="E7900" s="6">
        <v>51.87</v>
      </c>
    </row>
    <row r="7901" spans="4:5" x14ac:dyDescent="0.25">
      <c r="D7901" s="4">
        <v>42976</v>
      </c>
      <c r="E7901" s="6">
        <v>51.64</v>
      </c>
    </row>
    <row r="7902" spans="4:5" x14ac:dyDescent="0.25">
      <c r="D7902" s="4">
        <v>42977</v>
      </c>
      <c r="E7902" s="6">
        <v>51.91</v>
      </c>
    </row>
    <row r="7903" spans="4:5" x14ac:dyDescent="0.25">
      <c r="D7903" s="4">
        <v>42978</v>
      </c>
      <c r="E7903" s="6">
        <v>52.69</v>
      </c>
    </row>
    <row r="7904" spans="4:5" x14ac:dyDescent="0.25">
      <c r="D7904" s="4">
        <v>42979</v>
      </c>
      <c r="E7904" s="6">
        <v>53.15</v>
      </c>
    </row>
    <row r="7905" spans="4:5" x14ac:dyDescent="0.25">
      <c r="D7905" s="4">
        <v>42982</v>
      </c>
      <c r="E7905" s="6">
        <v>52.6</v>
      </c>
    </row>
    <row r="7906" spans="4:5" x14ac:dyDescent="0.25">
      <c r="D7906" s="4">
        <v>42983</v>
      </c>
      <c r="E7906" s="6">
        <v>53.63</v>
      </c>
    </row>
    <row r="7907" spans="4:5" x14ac:dyDescent="0.25">
      <c r="D7907" s="4">
        <v>42984</v>
      </c>
      <c r="E7907" s="6">
        <v>54.48</v>
      </c>
    </row>
    <row r="7908" spans="4:5" x14ac:dyDescent="0.25">
      <c r="D7908" s="4">
        <v>42985</v>
      </c>
      <c r="E7908" s="6">
        <v>54.16</v>
      </c>
    </row>
    <row r="7909" spans="4:5" x14ac:dyDescent="0.25">
      <c r="D7909" s="4">
        <v>42986</v>
      </c>
      <c r="E7909" s="6">
        <v>54.55</v>
      </c>
    </row>
    <row r="7910" spans="4:5" x14ac:dyDescent="0.25">
      <c r="D7910" s="4">
        <v>42989</v>
      </c>
      <c r="E7910" s="6">
        <v>54.2</v>
      </c>
    </row>
    <row r="7911" spans="4:5" x14ac:dyDescent="0.25">
      <c r="D7911" s="4">
        <v>42990</v>
      </c>
      <c r="E7911" s="6">
        <v>55.06</v>
      </c>
    </row>
    <row r="7912" spans="4:5" x14ac:dyDescent="0.25">
      <c r="D7912" s="4">
        <v>42991</v>
      </c>
      <c r="E7912" s="6">
        <v>55.52</v>
      </c>
    </row>
    <row r="7913" spans="4:5" x14ac:dyDescent="0.25">
      <c r="D7913" s="4">
        <v>42992</v>
      </c>
      <c r="E7913" s="6">
        <v>56.76</v>
      </c>
    </row>
    <row r="7914" spans="4:5" x14ac:dyDescent="0.25">
      <c r="D7914" s="4">
        <v>42993</v>
      </c>
      <c r="E7914" s="6">
        <v>56.18</v>
      </c>
    </row>
    <row r="7915" spans="4:5" x14ac:dyDescent="0.25">
      <c r="D7915" s="4">
        <v>42996</v>
      </c>
      <c r="E7915" s="6">
        <v>55.5</v>
      </c>
    </row>
    <row r="7916" spans="4:5" x14ac:dyDescent="0.25">
      <c r="D7916" s="4">
        <v>42997</v>
      </c>
      <c r="E7916" s="6">
        <v>56.58</v>
      </c>
    </row>
    <row r="7917" spans="4:5" x14ac:dyDescent="0.25">
      <c r="D7917" s="4">
        <v>42998</v>
      </c>
      <c r="E7917" s="6">
        <v>57.2</v>
      </c>
    </row>
    <row r="7918" spans="4:5" x14ac:dyDescent="0.25">
      <c r="D7918" s="4">
        <v>42999</v>
      </c>
      <c r="E7918" s="6">
        <v>57.73</v>
      </c>
    </row>
    <row r="7919" spans="4:5" x14ac:dyDescent="0.25">
      <c r="D7919" s="4">
        <v>43000</v>
      </c>
      <c r="E7919" s="6">
        <v>58.16</v>
      </c>
    </row>
    <row r="7920" spans="4:5" x14ac:dyDescent="0.25">
      <c r="D7920" s="4">
        <v>43003</v>
      </c>
      <c r="E7920" s="6">
        <v>59.42</v>
      </c>
    </row>
    <row r="7921" spans="4:5" x14ac:dyDescent="0.25">
      <c r="D7921" s="4">
        <v>43004</v>
      </c>
      <c r="E7921" s="6">
        <v>59.77</v>
      </c>
    </row>
    <row r="7922" spans="4:5" x14ac:dyDescent="0.25">
      <c r="D7922" s="4">
        <v>43005</v>
      </c>
      <c r="E7922" s="6">
        <v>58.74</v>
      </c>
    </row>
    <row r="7923" spans="4:5" x14ac:dyDescent="0.25">
      <c r="D7923" s="4">
        <v>43006</v>
      </c>
      <c r="E7923" s="6">
        <v>58.8</v>
      </c>
    </row>
    <row r="7924" spans="4:5" x14ac:dyDescent="0.25">
      <c r="D7924" s="4">
        <v>43007</v>
      </c>
      <c r="E7924" s="6">
        <v>57.02</v>
      </c>
    </row>
    <row r="7925" spans="4:5" x14ac:dyDescent="0.25">
      <c r="D7925" s="4">
        <v>43010</v>
      </c>
      <c r="E7925" s="6">
        <v>55.67</v>
      </c>
    </row>
    <row r="7926" spans="4:5" x14ac:dyDescent="0.25">
      <c r="D7926" s="4">
        <v>43011</v>
      </c>
      <c r="E7926" s="6">
        <v>56.12</v>
      </c>
    </row>
    <row r="7927" spans="4:5" x14ac:dyDescent="0.25">
      <c r="D7927" s="4">
        <v>43012</v>
      </c>
      <c r="E7927" s="6">
        <v>56</v>
      </c>
    </row>
    <row r="7928" spans="4:5" x14ac:dyDescent="0.25">
      <c r="D7928" s="4">
        <v>43013</v>
      </c>
      <c r="E7928" s="6">
        <v>57.09</v>
      </c>
    </row>
    <row r="7929" spans="4:5" x14ac:dyDescent="0.25">
      <c r="D7929" s="4">
        <v>43014</v>
      </c>
      <c r="E7929" s="6">
        <v>55.5</v>
      </c>
    </row>
    <row r="7930" spans="4:5" x14ac:dyDescent="0.25">
      <c r="D7930" s="4">
        <v>43017</v>
      </c>
      <c r="E7930" s="6">
        <v>55.29</v>
      </c>
    </row>
    <row r="7931" spans="4:5" x14ac:dyDescent="0.25">
      <c r="D7931" s="4">
        <v>43018</v>
      </c>
      <c r="E7931" s="6">
        <v>56.62</v>
      </c>
    </row>
    <row r="7932" spans="4:5" x14ac:dyDescent="0.25">
      <c r="D7932" s="4">
        <v>43019</v>
      </c>
      <c r="E7932" s="6">
        <v>56.13</v>
      </c>
    </row>
    <row r="7933" spans="4:5" x14ac:dyDescent="0.25">
      <c r="D7933" s="4">
        <v>43020</v>
      </c>
      <c r="E7933" s="6">
        <v>56.13</v>
      </c>
    </row>
    <row r="7934" spans="4:5" x14ac:dyDescent="0.25">
      <c r="D7934" s="4">
        <v>43021</v>
      </c>
      <c r="E7934" s="6">
        <v>56.86</v>
      </c>
    </row>
    <row r="7935" spans="4:5" x14ac:dyDescent="0.25">
      <c r="D7935" s="4">
        <v>43024</v>
      </c>
      <c r="E7935" s="6">
        <v>57.49</v>
      </c>
    </row>
    <row r="7936" spans="4:5" x14ac:dyDescent="0.25">
      <c r="D7936" s="4">
        <v>43025</v>
      </c>
      <c r="E7936" s="6">
        <v>57.63</v>
      </c>
    </row>
    <row r="7937" spans="4:5" x14ac:dyDescent="0.25">
      <c r="D7937" s="4">
        <v>43026</v>
      </c>
      <c r="E7937" s="6">
        <v>58.05</v>
      </c>
    </row>
    <row r="7938" spans="4:5" x14ac:dyDescent="0.25">
      <c r="D7938" s="4">
        <v>43027</v>
      </c>
      <c r="E7938" s="6">
        <v>57.82</v>
      </c>
    </row>
    <row r="7939" spans="4:5" x14ac:dyDescent="0.25">
      <c r="D7939" s="4">
        <v>43028</v>
      </c>
      <c r="E7939" s="6">
        <v>57.89</v>
      </c>
    </row>
    <row r="7940" spans="4:5" x14ac:dyDescent="0.25">
      <c r="D7940" s="4">
        <v>43031</v>
      </c>
      <c r="E7940" s="6">
        <v>57.69</v>
      </c>
    </row>
    <row r="7941" spans="4:5" x14ac:dyDescent="0.25">
      <c r="D7941" s="4">
        <v>43032</v>
      </c>
      <c r="E7941" s="6">
        <v>57.84</v>
      </c>
    </row>
    <row r="7942" spans="4:5" x14ac:dyDescent="0.25">
      <c r="D7942" s="4">
        <v>43033</v>
      </c>
      <c r="E7942" s="6">
        <v>58.45</v>
      </c>
    </row>
    <row r="7943" spans="4:5" x14ac:dyDescent="0.25">
      <c r="D7943" s="4">
        <v>43034</v>
      </c>
      <c r="E7943" s="6">
        <v>58.75</v>
      </c>
    </row>
    <row r="7944" spans="4:5" x14ac:dyDescent="0.25">
      <c r="D7944" s="4">
        <v>43035</v>
      </c>
      <c r="E7944" s="6">
        <v>60.15</v>
      </c>
    </row>
    <row r="7945" spans="4:5" x14ac:dyDescent="0.25">
      <c r="D7945" s="4">
        <v>43038</v>
      </c>
      <c r="E7945" s="6">
        <v>60.65</v>
      </c>
    </row>
    <row r="7946" spans="4:5" x14ac:dyDescent="0.25">
      <c r="D7946" s="4">
        <v>43039</v>
      </c>
      <c r="E7946" s="6">
        <v>61.35</v>
      </c>
    </row>
    <row r="7947" spans="4:5" x14ac:dyDescent="0.25">
      <c r="D7947" s="4">
        <v>43040</v>
      </c>
      <c r="E7947" s="6">
        <v>60.98</v>
      </c>
    </row>
    <row r="7948" spans="4:5" x14ac:dyDescent="0.25">
      <c r="D7948" s="4">
        <v>43041</v>
      </c>
      <c r="E7948" s="6">
        <v>60.79</v>
      </c>
    </row>
    <row r="7949" spans="4:5" x14ac:dyDescent="0.25">
      <c r="D7949" s="4">
        <v>43042</v>
      </c>
      <c r="E7949" s="6">
        <v>61.42</v>
      </c>
    </row>
    <row r="7950" spans="4:5" x14ac:dyDescent="0.25">
      <c r="D7950" s="4">
        <v>43045</v>
      </c>
      <c r="E7950" s="6">
        <v>64.27</v>
      </c>
    </row>
    <row r="7951" spans="4:5" x14ac:dyDescent="0.25">
      <c r="D7951" s="4">
        <v>43046</v>
      </c>
      <c r="E7951" s="6">
        <v>64.36</v>
      </c>
    </row>
    <row r="7952" spans="4:5" x14ac:dyDescent="0.25">
      <c r="D7952" s="4">
        <v>43047</v>
      </c>
      <c r="E7952" s="6">
        <v>63.96</v>
      </c>
    </row>
    <row r="7953" spans="4:5" x14ac:dyDescent="0.25">
      <c r="D7953" s="4">
        <v>43048</v>
      </c>
      <c r="E7953" s="6">
        <v>64.489999999999995</v>
      </c>
    </row>
    <row r="7954" spans="4:5" x14ac:dyDescent="0.25">
      <c r="D7954" s="4">
        <v>43049</v>
      </c>
      <c r="E7954" s="6">
        <v>64.349999999999994</v>
      </c>
    </row>
    <row r="7955" spans="4:5" x14ac:dyDescent="0.25">
      <c r="D7955" s="4">
        <v>43052</v>
      </c>
      <c r="E7955" s="6">
        <v>62.94</v>
      </c>
    </row>
    <row r="7956" spans="4:5" x14ac:dyDescent="0.25">
      <c r="D7956" s="4">
        <v>43053</v>
      </c>
      <c r="E7956" s="6">
        <v>60.91</v>
      </c>
    </row>
    <row r="7957" spans="4:5" x14ac:dyDescent="0.25">
      <c r="D7957" s="4">
        <v>43054</v>
      </c>
      <c r="E7957" s="6">
        <v>61.25</v>
      </c>
    </row>
    <row r="7958" spans="4:5" x14ac:dyDescent="0.25">
      <c r="D7958" s="4">
        <v>43055</v>
      </c>
      <c r="E7958" s="6">
        <v>61.18</v>
      </c>
    </row>
    <row r="7959" spans="4:5" x14ac:dyDescent="0.25">
      <c r="D7959" s="4">
        <v>43056</v>
      </c>
      <c r="E7959" s="6">
        <v>61.34</v>
      </c>
    </row>
    <row r="7960" spans="4:5" x14ac:dyDescent="0.25">
      <c r="D7960" s="4">
        <v>43059</v>
      </c>
      <c r="E7960" s="6">
        <v>61.34</v>
      </c>
    </row>
    <row r="7961" spans="4:5" x14ac:dyDescent="0.25">
      <c r="D7961" s="4">
        <v>43060</v>
      </c>
      <c r="E7961" s="6">
        <v>62.28</v>
      </c>
    </row>
    <row r="7962" spans="4:5" x14ac:dyDescent="0.25">
      <c r="D7962" s="4">
        <v>43061</v>
      </c>
      <c r="E7962" s="6">
        <v>62.92</v>
      </c>
    </row>
    <row r="7963" spans="4:5" x14ac:dyDescent="0.25">
      <c r="D7963" s="4">
        <v>43062</v>
      </c>
      <c r="E7963" s="6">
        <v>63.27</v>
      </c>
    </row>
    <row r="7964" spans="4:5" x14ac:dyDescent="0.25">
      <c r="D7964" s="4">
        <v>43063</v>
      </c>
      <c r="E7964" s="6">
        <v>63.58</v>
      </c>
    </row>
    <row r="7965" spans="4:5" x14ac:dyDescent="0.25">
      <c r="D7965" s="4">
        <v>43066</v>
      </c>
      <c r="E7965" s="6">
        <v>63.25</v>
      </c>
    </row>
    <row r="7966" spans="4:5" x14ac:dyDescent="0.25">
      <c r="D7966" s="4">
        <v>43067</v>
      </c>
      <c r="E7966" s="6">
        <v>63.56</v>
      </c>
    </row>
    <row r="7967" spans="4:5" x14ac:dyDescent="0.25">
      <c r="D7967" s="4">
        <v>43068</v>
      </c>
      <c r="E7967" s="6">
        <v>63.74</v>
      </c>
    </row>
    <row r="7968" spans="4:5" x14ac:dyDescent="0.25">
      <c r="D7968" s="4">
        <v>43069</v>
      </c>
      <c r="E7968" s="6">
        <v>63.53</v>
      </c>
    </row>
    <row r="7969" spans="4:5" x14ac:dyDescent="0.25">
      <c r="D7969" s="4">
        <v>43070</v>
      </c>
      <c r="E7969" s="6">
        <v>64.569999999999993</v>
      </c>
    </row>
    <row r="7970" spans="4:5" x14ac:dyDescent="0.25">
      <c r="D7970" s="4">
        <v>43073</v>
      </c>
      <c r="E7970" s="6">
        <v>63.45</v>
      </c>
    </row>
    <row r="7971" spans="4:5" x14ac:dyDescent="0.25">
      <c r="D7971" s="4">
        <v>43074</v>
      </c>
      <c r="E7971" s="6">
        <v>63.45</v>
      </c>
    </row>
    <row r="7972" spans="4:5" x14ac:dyDescent="0.25">
      <c r="D7972" s="4">
        <v>43075</v>
      </c>
      <c r="E7972" s="6">
        <v>62.25</v>
      </c>
    </row>
    <row r="7973" spans="4:5" x14ac:dyDescent="0.25">
      <c r="D7973" s="4">
        <v>43076</v>
      </c>
      <c r="E7973" s="6">
        <v>62.37</v>
      </c>
    </row>
    <row r="7974" spans="4:5" x14ac:dyDescent="0.25">
      <c r="D7974" s="4">
        <v>43077</v>
      </c>
      <c r="E7974" s="6">
        <v>63.86</v>
      </c>
    </row>
    <row r="7975" spans="4:5" x14ac:dyDescent="0.25">
      <c r="D7975" s="4">
        <v>43080</v>
      </c>
      <c r="E7975" s="6">
        <v>65.62</v>
      </c>
    </row>
    <row r="7976" spans="4:5" x14ac:dyDescent="0.25">
      <c r="D7976" s="4">
        <v>43081</v>
      </c>
      <c r="E7976" s="6">
        <v>64.959999999999994</v>
      </c>
    </row>
    <row r="7977" spans="4:5" x14ac:dyDescent="0.25">
      <c r="D7977" s="4">
        <v>43082</v>
      </c>
      <c r="E7977" s="6">
        <v>63.66</v>
      </c>
    </row>
    <row r="7978" spans="4:5" x14ac:dyDescent="0.25">
      <c r="D7978" s="4">
        <v>43083</v>
      </c>
      <c r="E7978" s="6">
        <v>63.72</v>
      </c>
    </row>
    <row r="7979" spans="4:5" x14ac:dyDescent="0.25">
      <c r="D7979" s="4">
        <v>43084</v>
      </c>
      <c r="E7979" s="6">
        <v>63.81</v>
      </c>
    </row>
    <row r="7980" spans="4:5" x14ac:dyDescent="0.25">
      <c r="D7980" s="4">
        <v>43087</v>
      </c>
      <c r="E7980" s="6">
        <v>64.45</v>
      </c>
    </row>
    <row r="7981" spans="4:5" x14ac:dyDescent="0.25">
      <c r="D7981" s="4">
        <v>43088</v>
      </c>
      <c r="E7981" s="6">
        <v>63.69</v>
      </c>
    </row>
    <row r="7982" spans="4:5" x14ac:dyDescent="0.25">
      <c r="D7982" s="4">
        <v>43089</v>
      </c>
      <c r="E7982" s="6">
        <v>64.430000000000007</v>
      </c>
    </row>
    <row r="7983" spans="4:5" x14ac:dyDescent="0.25">
      <c r="D7983" s="4">
        <v>43090</v>
      </c>
      <c r="E7983" s="6">
        <v>64.64</v>
      </c>
    </row>
    <row r="7984" spans="4:5" x14ac:dyDescent="0.25">
      <c r="D7984" s="4">
        <v>43091</v>
      </c>
      <c r="E7984" s="6">
        <v>64.61</v>
      </c>
    </row>
    <row r="7985" spans="4:5" x14ac:dyDescent="0.25">
      <c r="D7985" s="4">
        <v>43094</v>
      </c>
      <c r="E7985" s="5"/>
    </row>
    <row r="7986" spans="4:5" x14ac:dyDescent="0.25">
      <c r="D7986" s="4">
        <v>43095</v>
      </c>
      <c r="E7986" s="5"/>
    </row>
    <row r="7987" spans="4:5" x14ac:dyDescent="0.25">
      <c r="D7987" s="4">
        <v>43096</v>
      </c>
      <c r="E7987" s="6">
        <v>66.03</v>
      </c>
    </row>
    <row r="7988" spans="4:5" x14ac:dyDescent="0.25">
      <c r="D7988" s="4">
        <v>43097</v>
      </c>
      <c r="E7988" s="6">
        <v>66.8</v>
      </c>
    </row>
    <row r="7989" spans="4:5" x14ac:dyDescent="0.25">
      <c r="D7989" s="4">
        <v>43098</v>
      </c>
      <c r="E7989" s="6">
        <v>66.73</v>
      </c>
    </row>
    <row r="7990" spans="4:5" x14ac:dyDescent="0.25">
      <c r="D7990" s="4">
        <v>43101</v>
      </c>
      <c r="E7990" s="5"/>
    </row>
    <row r="7991" spans="4:5" x14ac:dyDescent="0.25">
      <c r="D7991" s="4">
        <v>43102</v>
      </c>
      <c r="E7991" s="6">
        <v>66.650000000000006</v>
      </c>
    </row>
    <row r="7992" spans="4:5" x14ac:dyDescent="0.25">
      <c r="D7992" s="4">
        <v>43103</v>
      </c>
      <c r="E7992" s="6">
        <v>67.849999999999994</v>
      </c>
    </row>
    <row r="7993" spans="4:5" x14ac:dyDescent="0.25">
      <c r="D7993" s="4">
        <v>43104</v>
      </c>
      <c r="E7993" s="6">
        <v>68.73</v>
      </c>
    </row>
    <row r="7994" spans="4:5" x14ac:dyDescent="0.25">
      <c r="D7994" s="4">
        <v>43105</v>
      </c>
      <c r="E7994" s="6">
        <v>68.010000000000005</v>
      </c>
    </row>
    <row r="7995" spans="4:5" x14ac:dyDescent="0.25">
      <c r="D7995" s="4">
        <v>43108</v>
      </c>
      <c r="E7995" s="6">
        <v>68.48</v>
      </c>
    </row>
    <row r="7996" spans="4:5" x14ac:dyDescent="0.25">
      <c r="D7996" s="4">
        <v>43109</v>
      </c>
      <c r="E7996" s="6">
        <v>69.08</v>
      </c>
    </row>
    <row r="7997" spans="4:5" x14ac:dyDescent="0.25">
      <c r="D7997" s="4">
        <v>43110</v>
      </c>
      <c r="E7997" s="6">
        <v>69.790000000000006</v>
      </c>
    </row>
    <row r="7998" spans="4:5" x14ac:dyDescent="0.25">
      <c r="D7998" s="4">
        <v>43111</v>
      </c>
      <c r="E7998" s="6">
        <v>70.36</v>
      </c>
    </row>
    <row r="7999" spans="4:5" x14ac:dyDescent="0.25">
      <c r="D7999" s="4">
        <v>43112</v>
      </c>
      <c r="E7999" s="6">
        <v>69.64</v>
      </c>
    </row>
    <row r="8000" spans="4:5" x14ac:dyDescent="0.25">
      <c r="D8000" s="4">
        <v>43115</v>
      </c>
      <c r="E8000" s="6">
        <v>70.31</v>
      </c>
    </row>
    <row r="8001" spans="4:5" x14ac:dyDescent="0.25">
      <c r="D8001" s="4">
        <v>43116</v>
      </c>
      <c r="E8001" s="6">
        <v>69.400000000000006</v>
      </c>
    </row>
    <row r="8002" spans="4:5" x14ac:dyDescent="0.25">
      <c r="D8002" s="4">
        <v>43117</v>
      </c>
      <c r="E8002" s="6">
        <v>69.19</v>
      </c>
    </row>
    <row r="8003" spans="4:5" x14ac:dyDescent="0.25">
      <c r="D8003" s="4">
        <v>43118</v>
      </c>
      <c r="E8003" s="6">
        <v>69.48</v>
      </c>
    </row>
    <row r="8004" spans="4:5" x14ac:dyDescent="0.25">
      <c r="D8004" s="4">
        <v>43119</v>
      </c>
      <c r="E8004" s="6">
        <v>68.56</v>
      </c>
    </row>
    <row r="8005" spans="4:5" x14ac:dyDescent="0.25">
      <c r="D8005" s="4">
        <v>43122</v>
      </c>
      <c r="E8005" s="6">
        <v>69.319999999999993</v>
      </c>
    </row>
    <row r="8006" spans="4:5" x14ac:dyDescent="0.25">
      <c r="D8006" s="4">
        <v>43123</v>
      </c>
      <c r="E8006" s="6">
        <v>69.81</v>
      </c>
    </row>
    <row r="8007" spans="4:5" x14ac:dyDescent="0.25">
      <c r="D8007" s="4">
        <v>43124</v>
      </c>
      <c r="E8007" s="6">
        <v>69.91</v>
      </c>
    </row>
    <row r="8008" spans="4:5" x14ac:dyDescent="0.25">
      <c r="D8008" s="4">
        <v>43125</v>
      </c>
      <c r="E8008" s="6">
        <v>71.08</v>
      </c>
    </row>
    <row r="8009" spans="4:5" x14ac:dyDescent="0.25">
      <c r="D8009" s="4">
        <v>43126</v>
      </c>
      <c r="E8009" s="6">
        <v>70.08</v>
      </c>
    </row>
    <row r="8010" spans="4:5" x14ac:dyDescent="0.25">
      <c r="D8010" s="4">
        <v>43129</v>
      </c>
      <c r="E8010" s="6">
        <v>68.41</v>
      </c>
    </row>
    <row r="8011" spans="4:5" x14ac:dyDescent="0.25">
      <c r="D8011" s="4">
        <v>43130</v>
      </c>
      <c r="E8011" s="6">
        <v>67.78</v>
      </c>
    </row>
    <row r="8012" spans="4:5" x14ac:dyDescent="0.25">
      <c r="D8012" s="4">
        <v>43131</v>
      </c>
      <c r="E8012" s="6">
        <v>67.78</v>
      </c>
    </row>
    <row r="8013" spans="4:5" x14ac:dyDescent="0.25">
      <c r="D8013" s="4">
        <v>43132</v>
      </c>
      <c r="E8013" s="6">
        <v>68.599999999999994</v>
      </c>
    </row>
    <row r="8014" spans="4:5" x14ac:dyDescent="0.25">
      <c r="D8014" s="4">
        <v>43133</v>
      </c>
      <c r="E8014" s="6">
        <v>67.45</v>
      </c>
    </row>
    <row r="8015" spans="4:5" x14ac:dyDescent="0.25">
      <c r="D8015" s="4">
        <v>43136</v>
      </c>
      <c r="E8015" s="6">
        <v>67.69</v>
      </c>
    </row>
    <row r="8016" spans="4:5" x14ac:dyDescent="0.25">
      <c r="D8016" s="4">
        <v>43137</v>
      </c>
      <c r="E8016" s="6">
        <v>66.75</v>
      </c>
    </row>
    <row r="8017" spans="4:5" x14ac:dyDescent="0.25">
      <c r="D8017" s="4">
        <v>43138</v>
      </c>
      <c r="E8017" s="6">
        <v>65.739999999999995</v>
      </c>
    </row>
    <row r="8018" spans="4:5" x14ac:dyDescent="0.25">
      <c r="D8018" s="4">
        <v>43139</v>
      </c>
      <c r="E8018" s="6">
        <v>64.260000000000005</v>
      </c>
    </row>
    <row r="8019" spans="4:5" x14ac:dyDescent="0.25">
      <c r="D8019" s="4">
        <v>43140</v>
      </c>
      <c r="E8019" s="6">
        <v>63.04</v>
      </c>
    </row>
    <row r="8020" spans="4:5" x14ac:dyDescent="0.25">
      <c r="D8020" s="4">
        <v>43143</v>
      </c>
      <c r="E8020" s="6">
        <v>62.2</v>
      </c>
    </row>
    <row r="8021" spans="4:5" x14ac:dyDescent="0.25">
      <c r="D8021" s="4">
        <v>43144</v>
      </c>
      <c r="E8021" s="6">
        <v>61.94</v>
      </c>
    </row>
    <row r="8022" spans="4:5" x14ac:dyDescent="0.25">
      <c r="D8022" s="4">
        <v>43145</v>
      </c>
      <c r="E8022" s="6">
        <v>62.29</v>
      </c>
    </row>
    <row r="8023" spans="4:5" x14ac:dyDescent="0.25">
      <c r="D8023" s="4">
        <v>43146</v>
      </c>
      <c r="E8023" s="6">
        <v>62.86</v>
      </c>
    </row>
    <row r="8024" spans="4:5" x14ac:dyDescent="0.25">
      <c r="D8024" s="4">
        <v>43147</v>
      </c>
      <c r="E8024" s="6">
        <v>64.3</v>
      </c>
    </row>
    <row r="8025" spans="4:5" x14ac:dyDescent="0.25">
      <c r="D8025" s="4">
        <v>43150</v>
      </c>
      <c r="E8025" s="6">
        <v>64.95</v>
      </c>
    </row>
    <row r="8026" spans="4:5" x14ac:dyDescent="0.25">
      <c r="D8026" s="4">
        <v>43151</v>
      </c>
      <c r="E8026" s="6">
        <v>64.680000000000007</v>
      </c>
    </row>
    <row r="8027" spans="4:5" x14ac:dyDescent="0.25">
      <c r="D8027" s="4">
        <v>43152</v>
      </c>
      <c r="E8027" s="6">
        <v>64.81</v>
      </c>
    </row>
    <row r="8028" spans="4:5" x14ac:dyDescent="0.25">
      <c r="D8028" s="4">
        <v>43153</v>
      </c>
      <c r="E8028" s="6">
        <v>66.12</v>
      </c>
    </row>
    <row r="8029" spans="4:5" x14ac:dyDescent="0.25">
      <c r="D8029" s="4">
        <v>43154</v>
      </c>
      <c r="E8029" s="6">
        <v>67.040000000000006</v>
      </c>
    </row>
    <row r="8030" spans="4:5" x14ac:dyDescent="0.25">
      <c r="D8030" s="4">
        <v>43157</v>
      </c>
      <c r="E8030" s="6">
        <v>67.959999999999994</v>
      </c>
    </row>
    <row r="8031" spans="4:5" x14ac:dyDescent="0.25">
      <c r="D8031" s="4">
        <v>43158</v>
      </c>
      <c r="E8031" s="6">
        <v>67.59</v>
      </c>
    </row>
    <row r="8032" spans="4:5" x14ac:dyDescent="0.25">
      <c r="D8032" s="4">
        <v>43159</v>
      </c>
      <c r="E8032" s="6">
        <v>66.08</v>
      </c>
    </row>
    <row r="8033" spans="4:5" x14ac:dyDescent="0.25">
      <c r="D8033" s="4">
        <v>43160</v>
      </c>
      <c r="E8033" s="6">
        <v>64.23</v>
      </c>
    </row>
    <row r="8034" spans="4:5" x14ac:dyDescent="0.25">
      <c r="D8034" s="4">
        <v>43161</v>
      </c>
      <c r="E8034" s="6">
        <v>64.260000000000005</v>
      </c>
    </row>
    <row r="8035" spans="4:5" x14ac:dyDescent="0.25">
      <c r="D8035" s="4">
        <v>43164</v>
      </c>
      <c r="E8035" s="6">
        <v>65.78</v>
      </c>
    </row>
    <row r="8036" spans="4:5" x14ac:dyDescent="0.25">
      <c r="D8036" s="4">
        <v>43165</v>
      </c>
      <c r="E8036" s="6">
        <v>65.67</v>
      </c>
    </row>
    <row r="8037" spans="4:5" x14ac:dyDescent="0.25">
      <c r="D8037" s="4">
        <v>43166</v>
      </c>
      <c r="E8037" s="6">
        <v>65.09</v>
      </c>
    </row>
    <row r="8038" spans="4:5" x14ac:dyDescent="0.25">
      <c r="D8038" s="4">
        <v>43167</v>
      </c>
      <c r="E8038" s="6">
        <v>63.87</v>
      </c>
    </row>
    <row r="8039" spans="4:5" x14ac:dyDescent="0.25">
      <c r="D8039" s="4">
        <v>43168</v>
      </c>
      <c r="E8039" s="6">
        <v>65.19</v>
      </c>
    </row>
    <row r="8040" spans="4:5" x14ac:dyDescent="0.25">
      <c r="D8040" s="4">
        <v>43171</v>
      </c>
      <c r="E8040" s="6">
        <v>64.53</v>
      </c>
    </row>
    <row r="8041" spans="4:5" x14ac:dyDescent="0.25">
      <c r="D8041" s="4">
        <v>43172</v>
      </c>
      <c r="E8041" s="6">
        <v>64.2</v>
      </c>
    </row>
    <row r="8042" spans="4:5" x14ac:dyDescent="0.25">
      <c r="D8042" s="4">
        <v>43173</v>
      </c>
      <c r="E8042" s="6">
        <v>63.61</v>
      </c>
    </row>
    <row r="8043" spans="4:5" x14ac:dyDescent="0.25">
      <c r="D8043" s="4">
        <v>43174</v>
      </c>
      <c r="E8043" s="6">
        <v>63.67</v>
      </c>
    </row>
    <row r="8044" spans="4:5" x14ac:dyDescent="0.25">
      <c r="D8044" s="4">
        <v>43175</v>
      </c>
      <c r="E8044" s="6">
        <v>64.680000000000007</v>
      </c>
    </row>
    <row r="8045" spans="4:5" x14ac:dyDescent="0.25">
      <c r="D8045" s="4">
        <v>43178</v>
      </c>
      <c r="E8045" s="6">
        <v>64.819999999999993</v>
      </c>
    </row>
    <row r="8046" spans="4:5" x14ac:dyDescent="0.25">
      <c r="D8046" s="4">
        <v>43179</v>
      </c>
      <c r="E8046" s="6">
        <v>66</v>
      </c>
    </row>
    <row r="8047" spans="4:5" x14ac:dyDescent="0.25">
      <c r="D8047" s="4">
        <v>43180</v>
      </c>
      <c r="E8047" s="6">
        <v>68.150000000000006</v>
      </c>
    </row>
    <row r="8048" spans="4:5" x14ac:dyDescent="0.25">
      <c r="D8048" s="4">
        <v>43181</v>
      </c>
      <c r="E8048" s="6">
        <v>68.98</v>
      </c>
    </row>
    <row r="8049" spans="4:5" x14ac:dyDescent="0.25">
      <c r="D8049" s="4">
        <v>43182</v>
      </c>
      <c r="E8049" s="6">
        <v>69.03</v>
      </c>
    </row>
    <row r="8050" spans="4:5" x14ac:dyDescent="0.25">
      <c r="D8050" s="4">
        <v>43185</v>
      </c>
      <c r="E8050" s="6">
        <v>68.81</v>
      </c>
    </row>
    <row r="8051" spans="4:5" x14ac:dyDescent="0.25">
      <c r="D8051" s="4">
        <v>43186</v>
      </c>
      <c r="E8051" s="6">
        <v>68.63</v>
      </c>
    </row>
    <row r="8052" spans="4:5" x14ac:dyDescent="0.25">
      <c r="D8052" s="4">
        <v>43187</v>
      </c>
      <c r="E8052" s="6">
        <v>68.13</v>
      </c>
    </row>
    <row r="8053" spans="4:5" x14ac:dyDescent="0.25">
      <c r="D8053" s="4">
        <v>43188</v>
      </c>
      <c r="E8053" s="6">
        <v>69.02</v>
      </c>
    </row>
    <row r="8054" spans="4:5" x14ac:dyDescent="0.25">
      <c r="D8054" s="4">
        <v>43189</v>
      </c>
      <c r="E8054" s="5"/>
    </row>
    <row r="8055" spans="4:5" x14ac:dyDescent="0.25">
      <c r="D8055" s="4">
        <v>43192</v>
      </c>
      <c r="E8055" s="5"/>
    </row>
    <row r="8056" spans="4:5" x14ac:dyDescent="0.25">
      <c r="D8056" s="4">
        <v>43193</v>
      </c>
      <c r="E8056" s="6">
        <v>69.02</v>
      </c>
    </row>
    <row r="8057" spans="4:5" x14ac:dyDescent="0.25">
      <c r="D8057" s="4">
        <v>43194</v>
      </c>
      <c r="E8057" s="6">
        <v>66.040000000000006</v>
      </c>
    </row>
    <row r="8058" spans="4:5" x14ac:dyDescent="0.25">
      <c r="D8058" s="4">
        <v>43195</v>
      </c>
      <c r="E8058" s="6">
        <v>66.540000000000006</v>
      </c>
    </row>
    <row r="8059" spans="4:5" x14ac:dyDescent="0.25">
      <c r="D8059" s="4">
        <v>43196</v>
      </c>
      <c r="E8059" s="6">
        <v>66.510000000000005</v>
      </c>
    </row>
    <row r="8060" spans="4:5" x14ac:dyDescent="0.25">
      <c r="D8060" s="4">
        <v>43199</v>
      </c>
      <c r="E8060" s="6">
        <v>68.19</v>
      </c>
    </row>
    <row r="8061" spans="4:5" x14ac:dyDescent="0.25">
      <c r="D8061" s="4">
        <v>43200</v>
      </c>
      <c r="E8061" s="6">
        <v>70.67</v>
      </c>
    </row>
    <row r="8062" spans="4:5" x14ac:dyDescent="0.25">
      <c r="D8062" s="4">
        <v>43201</v>
      </c>
      <c r="E8062" s="6">
        <v>72.739999999999995</v>
      </c>
    </row>
    <row r="8063" spans="4:5" x14ac:dyDescent="0.25">
      <c r="D8063" s="4">
        <v>43202</v>
      </c>
      <c r="E8063" s="6">
        <v>71.44</v>
      </c>
    </row>
    <row r="8064" spans="4:5" x14ac:dyDescent="0.25">
      <c r="D8064" s="4">
        <v>43203</v>
      </c>
      <c r="E8064" s="6">
        <v>73.180000000000007</v>
      </c>
    </row>
    <row r="8065" spans="4:5" x14ac:dyDescent="0.25">
      <c r="D8065" s="4">
        <v>43206</v>
      </c>
      <c r="E8065" s="6">
        <v>72.05</v>
      </c>
    </row>
    <row r="8066" spans="4:5" x14ac:dyDescent="0.25">
      <c r="D8066" s="4">
        <v>43207</v>
      </c>
      <c r="E8066" s="6">
        <v>71.709999999999994</v>
      </c>
    </row>
    <row r="8067" spans="4:5" x14ac:dyDescent="0.25">
      <c r="D8067" s="4">
        <v>43208</v>
      </c>
      <c r="E8067" s="6">
        <v>73.73</v>
      </c>
    </row>
    <row r="8068" spans="4:5" x14ac:dyDescent="0.25">
      <c r="D8068" s="4">
        <v>43209</v>
      </c>
      <c r="E8068" s="6">
        <v>74.849999999999994</v>
      </c>
    </row>
    <row r="8069" spans="4:5" x14ac:dyDescent="0.25">
      <c r="D8069" s="4">
        <v>43210</v>
      </c>
      <c r="E8069" s="6">
        <v>74.62</v>
      </c>
    </row>
    <row r="8070" spans="4:5" x14ac:dyDescent="0.25">
      <c r="D8070" s="4">
        <v>43213</v>
      </c>
      <c r="E8070" s="6">
        <v>74.540000000000006</v>
      </c>
    </row>
    <row r="8071" spans="4:5" x14ac:dyDescent="0.25">
      <c r="D8071" s="4">
        <v>43214</v>
      </c>
      <c r="E8071" s="6">
        <v>75.86</v>
      </c>
    </row>
    <row r="8072" spans="4:5" x14ac:dyDescent="0.25">
      <c r="D8072" s="4">
        <v>43215</v>
      </c>
      <c r="E8072" s="6">
        <v>73.790000000000006</v>
      </c>
    </row>
    <row r="8073" spans="4:5" x14ac:dyDescent="0.25">
      <c r="D8073" s="4">
        <v>43216</v>
      </c>
      <c r="E8073" s="6">
        <v>75.39</v>
      </c>
    </row>
    <row r="8074" spans="4:5" x14ac:dyDescent="0.25">
      <c r="D8074" s="4">
        <v>43217</v>
      </c>
      <c r="E8074" s="6">
        <v>75.33</v>
      </c>
    </row>
    <row r="8075" spans="4:5" x14ac:dyDescent="0.25">
      <c r="D8075" s="4">
        <v>43220</v>
      </c>
      <c r="E8075" s="6">
        <v>75.92</v>
      </c>
    </row>
    <row r="8076" spans="4:5" x14ac:dyDescent="0.25">
      <c r="D8076" s="4">
        <v>43221</v>
      </c>
      <c r="E8076" s="6">
        <v>74.849999999999994</v>
      </c>
    </row>
    <row r="8077" spans="4:5" x14ac:dyDescent="0.25">
      <c r="D8077" s="4">
        <v>43222</v>
      </c>
      <c r="E8077" s="6">
        <v>73.14</v>
      </c>
    </row>
    <row r="8078" spans="4:5" x14ac:dyDescent="0.25">
      <c r="D8078" s="4">
        <v>43223</v>
      </c>
      <c r="E8078" s="6">
        <v>73.45</v>
      </c>
    </row>
    <row r="8079" spans="4:5" x14ac:dyDescent="0.25">
      <c r="D8079" s="4">
        <v>43224</v>
      </c>
      <c r="E8079" s="6">
        <v>74.75</v>
      </c>
    </row>
    <row r="8080" spans="4:5" x14ac:dyDescent="0.25">
      <c r="D8080" s="4">
        <v>43227</v>
      </c>
      <c r="E8080" s="5"/>
    </row>
    <row r="8081" spans="4:5" x14ac:dyDescent="0.25">
      <c r="D8081" s="4">
        <v>43228</v>
      </c>
      <c r="E8081" s="6">
        <v>74.16</v>
      </c>
    </row>
    <row r="8082" spans="4:5" x14ac:dyDescent="0.25">
      <c r="D8082" s="4">
        <v>43229</v>
      </c>
      <c r="E8082" s="6">
        <v>77.599999999999994</v>
      </c>
    </row>
    <row r="8083" spans="4:5" x14ac:dyDescent="0.25">
      <c r="D8083" s="4">
        <v>43230</v>
      </c>
      <c r="E8083" s="6">
        <v>77.59</v>
      </c>
    </row>
    <row r="8084" spans="4:5" x14ac:dyDescent="0.25">
      <c r="D8084" s="4">
        <v>43231</v>
      </c>
      <c r="E8084" s="6">
        <v>77.37</v>
      </c>
    </row>
    <row r="8085" spans="4:5" x14ac:dyDescent="0.25">
      <c r="D8085" s="4">
        <v>43234</v>
      </c>
      <c r="E8085" s="6">
        <v>78.17</v>
      </c>
    </row>
    <row r="8086" spans="4:5" x14ac:dyDescent="0.25">
      <c r="D8086" s="4">
        <v>43235</v>
      </c>
      <c r="E8086" s="6">
        <v>78.94</v>
      </c>
    </row>
    <row r="8087" spans="4:5" x14ac:dyDescent="0.25">
      <c r="D8087" s="4">
        <v>43236</v>
      </c>
      <c r="E8087" s="6">
        <v>78.19</v>
      </c>
    </row>
    <row r="8088" spans="4:5" x14ac:dyDescent="0.25">
      <c r="D8088" s="4">
        <v>43237</v>
      </c>
      <c r="E8088" s="6">
        <v>80.09</v>
      </c>
    </row>
    <row r="8089" spans="4:5" x14ac:dyDescent="0.25">
      <c r="D8089" s="4">
        <v>43238</v>
      </c>
      <c r="E8089" s="6">
        <v>78.38</v>
      </c>
    </row>
    <row r="8090" spans="4:5" x14ac:dyDescent="0.25">
      <c r="D8090" s="4">
        <v>43241</v>
      </c>
      <c r="E8090" s="6">
        <v>78.34</v>
      </c>
    </row>
    <row r="8091" spans="4:5" x14ac:dyDescent="0.25">
      <c r="D8091" s="4">
        <v>43242</v>
      </c>
      <c r="E8091" s="6">
        <v>80.42</v>
      </c>
    </row>
    <row r="8092" spans="4:5" x14ac:dyDescent="0.25">
      <c r="D8092" s="4">
        <v>43243</v>
      </c>
      <c r="E8092" s="6">
        <v>78.69</v>
      </c>
    </row>
    <row r="8093" spans="4:5" x14ac:dyDescent="0.25">
      <c r="D8093" s="4">
        <v>43244</v>
      </c>
      <c r="E8093" s="6">
        <v>78.900000000000006</v>
      </c>
    </row>
    <row r="8094" spans="4:5" x14ac:dyDescent="0.25">
      <c r="D8094" s="4">
        <v>43245</v>
      </c>
      <c r="E8094" s="6">
        <v>76.599999999999994</v>
      </c>
    </row>
    <row r="8095" spans="4:5" x14ac:dyDescent="0.25">
      <c r="D8095" s="4">
        <v>43248</v>
      </c>
      <c r="E8095" s="5"/>
    </row>
    <row r="8096" spans="4:5" x14ac:dyDescent="0.25">
      <c r="D8096" s="4">
        <v>43249</v>
      </c>
      <c r="E8096" s="6">
        <v>74.510000000000005</v>
      </c>
    </row>
    <row r="8097" spans="4:5" x14ac:dyDescent="0.25">
      <c r="D8097" s="4">
        <v>43250</v>
      </c>
      <c r="E8097" s="6">
        <v>75.89</v>
      </c>
    </row>
    <row r="8098" spans="4:5" x14ac:dyDescent="0.25">
      <c r="D8098" s="4">
        <v>43251</v>
      </c>
      <c r="E8098" s="6">
        <v>76.45</v>
      </c>
    </row>
    <row r="8099" spans="4:5" x14ac:dyDescent="0.25">
      <c r="D8099" s="4">
        <v>43252</v>
      </c>
      <c r="E8099" s="6">
        <v>74.540000000000006</v>
      </c>
    </row>
    <row r="8100" spans="4:5" x14ac:dyDescent="0.25">
      <c r="D8100" s="4">
        <v>43255</v>
      </c>
      <c r="E8100" s="6">
        <v>73.41</v>
      </c>
    </row>
    <row r="8101" spans="4:5" x14ac:dyDescent="0.25">
      <c r="D8101" s="4">
        <v>43256</v>
      </c>
      <c r="E8101" s="6">
        <v>72.91</v>
      </c>
    </row>
    <row r="8102" spans="4:5" x14ac:dyDescent="0.25">
      <c r="D8102" s="4">
        <v>43257</v>
      </c>
      <c r="E8102" s="6">
        <v>73.23</v>
      </c>
    </row>
    <row r="8103" spans="4:5" x14ac:dyDescent="0.25">
      <c r="D8103" s="4">
        <v>43258</v>
      </c>
      <c r="E8103" s="6">
        <v>75.23</v>
      </c>
    </row>
    <row r="8104" spans="4:5" x14ac:dyDescent="0.25">
      <c r="D8104" s="4">
        <v>43259</v>
      </c>
      <c r="E8104" s="6">
        <v>75.11</v>
      </c>
    </row>
    <row r="8105" spans="4:5" x14ac:dyDescent="0.25">
      <c r="D8105" s="4">
        <v>43262</v>
      </c>
      <c r="E8105" s="6">
        <v>74.58</v>
      </c>
    </row>
    <row r="8106" spans="4:5" x14ac:dyDescent="0.25">
      <c r="D8106" s="4">
        <v>43263</v>
      </c>
      <c r="E8106" s="6">
        <v>74.86</v>
      </c>
    </row>
    <row r="8107" spans="4:5" x14ac:dyDescent="0.25">
      <c r="D8107" s="4">
        <v>43264</v>
      </c>
      <c r="E8107" s="6">
        <v>75.069999999999993</v>
      </c>
    </row>
    <row r="8108" spans="4:5" x14ac:dyDescent="0.25">
      <c r="D8108" s="4">
        <v>43265</v>
      </c>
      <c r="E8108" s="6">
        <v>74.77</v>
      </c>
    </row>
    <row r="8109" spans="4:5" x14ac:dyDescent="0.25">
      <c r="D8109" s="4">
        <v>43266</v>
      </c>
      <c r="E8109" s="6">
        <v>72.02</v>
      </c>
    </row>
    <row r="8110" spans="4:5" x14ac:dyDescent="0.25">
      <c r="D8110" s="4">
        <v>43269</v>
      </c>
      <c r="E8110" s="6">
        <v>74.87</v>
      </c>
    </row>
    <row r="8111" spans="4:5" x14ac:dyDescent="0.25">
      <c r="D8111" s="4">
        <v>43270</v>
      </c>
      <c r="E8111" s="6">
        <v>74.92</v>
      </c>
    </row>
    <row r="8112" spans="4:5" x14ac:dyDescent="0.25">
      <c r="D8112" s="4">
        <v>43271</v>
      </c>
      <c r="E8112" s="6">
        <v>74.25</v>
      </c>
    </row>
    <row r="8113" spans="4:5" x14ac:dyDescent="0.25">
      <c r="D8113" s="4">
        <v>43272</v>
      </c>
      <c r="E8113" s="6">
        <v>72.87</v>
      </c>
    </row>
    <row r="8114" spans="4:5" x14ac:dyDescent="0.25">
      <c r="D8114" s="4">
        <v>43273</v>
      </c>
      <c r="E8114" s="6">
        <v>73.67</v>
      </c>
    </row>
    <row r="8115" spans="4:5" x14ac:dyDescent="0.25">
      <c r="D8115" s="4">
        <v>43276</v>
      </c>
      <c r="E8115" s="6">
        <v>72.819999999999993</v>
      </c>
    </row>
    <row r="8116" spans="4:5" x14ac:dyDescent="0.25">
      <c r="D8116" s="4">
        <v>43277</v>
      </c>
      <c r="E8116" s="6">
        <v>73.58</v>
      </c>
    </row>
    <row r="8117" spans="4:5" x14ac:dyDescent="0.25">
      <c r="D8117" s="4">
        <v>43278</v>
      </c>
      <c r="E8117" s="6">
        <v>76.09</v>
      </c>
    </row>
    <row r="8118" spans="4:5" x14ac:dyDescent="0.25">
      <c r="D8118" s="4">
        <v>43279</v>
      </c>
      <c r="E8118" s="6">
        <v>76.260000000000005</v>
      </c>
    </row>
    <row r="8119" spans="4:5" x14ac:dyDescent="0.25">
      <c r="D8119" s="4">
        <v>43280</v>
      </c>
      <c r="E8119" s="6">
        <v>77.44</v>
      </c>
    </row>
    <row r="8120" spans="4:5" x14ac:dyDescent="0.25">
      <c r="D8120" s="4">
        <v>43283</v>
      </c>
      <c r="E8120" s="6">
        <v>76.709999999999994</v>
      </c>
    </row>
    <row r="8121" spans="4:5" x14ac:dyDescent="0.25">
      <c r="D8121" s="4">
        <v>43284</v>
      </c>
      <c r="E8121" s="6">
        <v>75.87</v>
      </c>
    </row>
    <row r="8122" spans="4:5" x14ac:dyDescent="0.25">
      <c r="D8122" s="4">
        <v>43285</v>
      </c>
      <c r="E8122" s="6">
        <v>76.989999999999995</v>
      </c>
    </row>
    <row r="8123" spans="4:5" x14ac:dyDescent="0.25">
      <c r="D8123" s="4">
        <v>43286</v>
      </c>
      <c r="E8123" s="6">
        <v>77.09</v>
      </c>
    </row>
    <row r="8124" spans="4:5" x14ac:dyDescent="0.25">
      <c r="D8124" s="4">
        <v>43287</v>
      </c>
      <c r="E8124" s="6">
        <v>74.98</v>
      </c>
    </row>
    <row r="8125" spans="4:5" x14ac:dyDescent="0.25">
      <c r="D8125" s="4">
        <v>43290</v>
      </c>
      <c r="E8125" s="6">
        <v>77.08</v>
      </c>
    </row>
    <row r="8126" spans="4:5" x14ac:dyDescent="0.25">
      <c r="D8126" s="4">
        <v>43291</v>
      </c>
      <c r="E8126" s="6">
        <v>77.8</v>
      </c>
    </row>
    <row r="8127" spans="4:5" x14ac:dyDescent="0.25">
      <c r="D8127" s="4">
        <v>43292</v>
      </c>
      <c r="E8127" s="6">
        <v>75.349999999999994</v>
      </c>
    </row>
    <row r="8128" spans="4:5" x14ac:dyDescent="0.25">
      <c r="D8128" s="4">
        <v>43293</v>
      </c>
      <c r="E8128" s="6">
        <v>72.11</v>
      </c>
    </row>
    <row r="8129" spans="4:5" x14ac:dyDescent="0.25">
      <c r="D8129" s="4">
        <v>43294</v>
      </c>
      <c r="E8129" s="6">
        <v>74.11</v>
      </c>
    </row>
    <row r="8130" spans="4:5" x14ac:dyDescent="0.25">
      <c r="D8130" s="4">
        <v>43297</v>
      </c>
      <c r="E8130" s="6">
        <v>71.03</v>
      </c>
    </row>
    <row r="8131" spans="4:5" x14ac:dyDescent="0.25">
      <c r="D8131" s="4">
        <v>43298</v>
      </c>
      <c r="E8131" s="6">
        <v>70.87</v>
      </c>
    </row>
    <row r="8132" spans="4:5" x14ac:dyDescent="0.25">
      <c r="D8132" s="4">
        <v>43299</v>
      </c>
      <c r="E8132" s="6">
        <v>70.52</v>
      </c>
    </row>
    <row r="8133" spans="4:5" x14ac:dyDescent="0.25">
      <c r="D8133" s="4">
        <v>43300</v>
      </c>
      <c r="E8133" s="6">
        <v>71.94</v>
      </c>
    </row>
    <row r="8134" spans="4:5" x14ac:dyDescent="0.25">
      <c r="D8134" s="4">
        <v>43301</v>
      </c>
      <c r="E8134" s="6">
        <v>71.989999999999995</v>
      </c>
    </row>
    <row r="8135" spans="4:5" x14ac:dyDescent="0.25">
      <c r="D8135" s="4">
        <v>43304</v>
      </c>
      <c r="E8135" s="6">
        <v>73.45</v>
      </c>
    </row>
    <row r="8136" spans="4:5" x14ac:dyDescent="0.25">
      <c r="D8136" s="4">
        <v>43305</v>
      </c>
      <c r="E8136" s="6">
        <v>73.53</v>
      </c>
    </row>
    <row r="8137" spans="4:5" x14ac:dyDescent="0.25">
      <c r="D8137" s="4">
        <v>43306</v>
      </c>
      <c r="E8137" s="6">
        <v>73.67</v>
      </c>
    </row>
    <row r="8138" spans="4:5" x14ac:dyDescent="0.25">
      <c r="D8138" s="4">
        <v>43307</v>
      </c>
      <c r="E8138" s="6">
        <v>74.510000000000005</v>
      </c>
    </row>
    <row r="8139" spans="4:5" x14ac:dyDescent="0.25">
      <c r="D8139" s="4">
        <v>43308</v>
      </c>
      <c r="E8139" s="6">
        <v>74.84</v>
      </c>
    </row>
    <row r="8140" spans="4:5" x14ac:dyDescent="0.25">
      <c r="D8140" s="4">
        <v>43311</v>
      </c>
      <c r="E8140" s="6">
        <v>74.989999999999995</v>
      </c>
    </row>
    <row r="8141" spans="4:5" x14ac:dyDescent="0.25">
      <c r="D8141" s="4">
        <v>43312</v>
      </c>
      <c r="E8141" s="6">
        <v>74.16</v>
      </c>
    </row>
    <row r="8142" spans="4:5" x14ac:dyDescent="0.25">
      <c r="D8142" s="4">
        <v>43313</v>
      </c>
      <c r="E8142" s="6">
        <v>72.28</v>
      </c>
    </row>
    <row r="8143" spans="4:5" x14ac:dyDescent="0.25">
      <c r="D8143" s="4">
        <v>43314</v>
      </c>
      <c r="E8143" s="6">
        <v>72.95</v>
      </c>
    </row>
    <row r="8144" spans="4:5" x14ac:dyDescent="0.25">
      <c r="D8144" s="4">
        <v>43315</v>
      </c>
      <c r="E8144" s="6">
        <v>72.48</v>
      </c>
    </row>
    <row r="8145" spans="4:5" x14ac:dyDescent="0.25">
      <c r="D8145" s="4">
        <v>43318</v>
      </c>
      <c r="E8145" s="6">
        <v>72.510000000000005</v>
      </c>
    </row>
    <row r="8146" spans="4:5" x14ac:dyDescent="0.25">
      <c r="D8146" s="4">
        <v>43319</v>
      </c>
      <c r="E8146" s="6">
        <v>72.31</v>
      </c>
    </row>
    <row r="8147" spans="4:5" x14ac:dyDescent="0.25">
      <c r="D8147" s="4">
        <v>43320</v>
      </c>
      <c r="E8147" s="6">
        <v>70.709999999999994</v>
      </c>
    </row>
    <row r="8148" spans="4:5" x14ac:dyDescent="0.25">
      <c r="D8148" s="4">
        <v>43321</v>
      </c>
      <c r="E8148" s="6">
        <v>70.55</v>
      </c>
    </row>
    <row r="8149" spans="4:5" x14ac:dyDescent="0.25">
      <c r="D8149" s="4">
        <v>43322</v>
      </c>
      <c r="E8149" s="6">
        <v>71</v>
      </c>
    </row>
    <row r="8150" spans="4:5" x14ac:dyDescent="0.25">
      <c r="D8150" s="4">
        <v>43325</v>
      </c>
      <c r="E8150" s="6">
        <v>70.62</v>
      </c>
    </row>
    <row r="8151" spans="4:5" x14ac:dyDescent="0.25">
      <c r="D8151" s="4">
        <v>43326</v>
      </c>
      <c r="E8151" s="6">
        <v>70.77</v>
      </c>
    </row>
    <row r="8152" spans="4:5" x14ac:dyDescent="0.25">
      <c r="D8152" s="4">
        <v>43327</v>
      </c>
      <c r="E8152" s="6">
        <v>68.38</v>
      </c>
    </row>
    <row r="8153" spans="4:5" x14ac:dyDescent="0.25">
      <c r="D8153" s="4">
        <v>43328</v>
      </c>
      <c r="E8153" s="6">
        <v>69.209999999999994</v>
      </c>
    </row>
    <row r="8154" spans="4:5" x14ac:dyDescent="0.25">
      <c r="D8154" s="4">
        <v>43329</v>
      </c>
      <c r="E8154" s="6">
        <v>70.14</v>
      </c>
    </row>
    <row r="8155" spans="4:5" x14ac:dyDescent="0.25">
      <c r="D8155" s="4">
        <v>43332</v>
      </c>
      <c r="E8155" s="6">
        <v>71.11</v>
      </c>
    </row>
    <row r="8156" spans="4:5" x14ac:dyDescent="0.25">
      <c r="D8156" s="4">
        <v>43333</v>
      </c>
      <c r="E8156" s="6">
        <v>71.650000000000006</v>
      </c>
    </row>
    <row r="8157" spans="4:5" x14ac:dyDescent="0.25">
      <c r="D8157" s="4">
        <v>43334</v>
      </c>
      <c r="E8157" s="6">
        <v>72.959999999999994</v>
      </c>
    </row>
    <row r="8158" spans="4:5" x14ac:dyDescent="0.25">
      <c r="D8158" s="4">
        <v>43335</v>
      </c>
      <c r="E8158" s="6">
        <v>73.73</v>
      </c>
    </row>
    <row r="8159" spans="4:5" x14ac:dyDescent="0.25">
      <c r="D8159" s="4">
        <v>43336</v>
      </c>
      <c r="E8159" s="6">
        <v>74.41</v>
      </c>
    </row>
    <row r="8160" spans="4:5" x14ac:dyDescent="0.25">
      <c r="D8160" s="4">
        <v>43339</v>
      </c>
      <c r="E8160" s="6">
        <v>74.41</v>
      </c>
    </row>
    <row r="8161" spans="4:5" x14ac:dyDescent="0.25">
      <c r="D8161" s="4">
        <v>43340</v>
      </c>
      <c r="E8161" s="6">
        <v>75.91</v>
      </c>
    </row>
    <row r="8162" spans="4:5" x14ac:dyDescent="0.25">
      <c r="D8162" s="4">
        <v>43341</v>
      </c>
      <c r="E8162" s="6">
        <v>76.069999999999993</v>
      </c>
    </row>
    <row r="8163" spans="4:5" x14ac:dyDescent="0.25">
      <c r="D8163" s="4">
        <v>43342</v>
      </c>
      <c r="E8163" s="6">
        <v>77.05</v>
      </c>
    </row>
    <row r="8164" spans="4:5" x14ac:dyDescent="0.25">
      <c r="D8164" s="4">
        <v>43343</v>
      </c>
      <c r="E8164" s="6">
        <v>76.94</v>
      </c>
    </row>
    <row r="8165" spans="4:5" x14ac:dyDescent="0.25">
      <c r="D8165" s="4">
        <v>43346</v>
      </c>
      <c r="E8165" s="6">
        <v>77.81</v>
      </c>
    </row>
    <row r="8166" spans="4:5" x14ac:dyDescent="0.25">
      <c r="D8166" s="4">
        <v>43347</v>
      </c>
      <c r="E8166" s="6">
        <v>77.510000000000005</v>
      </c>
    </row>
    <row r="8167" spans="4:5" x14ac:dyDescent="0.25">
      <c r="D8167" s="4">
        <v>43348</v>
      </c>
      <c r="E8167" s="6">
        <v>76.680000000000007</v>
      </c>
    </row>
    <row r="8168" spans="4:5" x14ac:dyDescent="0.25">
      <c r="D8168" s="4">
        <v>43349</v>
      </c>
      <c r="E8168" s="6">
        <v>75.67</v>
      </c>
    </row>
    <row r="8169" spans="4:5" x14ac:dyDescent="0.25">
      <c r="D8169" s="4">
        <v>43350</v>
      </c>
      <c r="E8169" s="6">
        <v>75.55</v>
      </c>
    </row>
    <row r="8170" spans="4:5" x14ac:dyDescent="0.25">
      <c r="D8170" s="4">
        <v>43353</v>
      </c>
      <c r="E8170" s="6">
        <v>76.77</v>
      </c>
    </row>
    <row r="8171" spans="4:5" x14ac:dyDescent="0.25">
      <c r="D8171" s="4">
        <v>43354</v>
      </c>
      <c r="E8171" s="6">
        <v>78.22</v>
      </c>
    </row>
    <row r="8172" spans="4:5" x14ac:dyDescent="0.25">
      <c r="D8172" s="4">
        <v>43355</v>
      </c>
      <c r="E8172" s="6">
        <v>80.02</v>
      </c>
    </row>
    <row r="8173" spans="4:5" x14ac:dyDescent="0.25">
      <c r="D8173" s="4">
        <v>43356</v>
      </c>
      <c r="E8173" s="6">
        <v>77.66</v>
      </c>
    </row>
    <row r="8174" spans="4:5" x14ac:dyDescent="0.25">
      <c r="D8174" s="4">
        <v>43357</v>
      </c>
      <c r="E8174" s="6">
        <v>77.87</v>
      </c>
    </row>
    <row r="8175" spans="4:5" x14ac:dyDescent="0.25">
      <c r="D8175" s="4">
        <v>43360</v>
      </c>
      <c r="E8175" s="6">
        <v>78.22</v>
      </c>
    </row>
    <row r="8176" spans="4:5" x14ac:dyDescent="0.25">
      <c r="D8176" s="4">
        <v>43361</v>
      </c>
      <c r="E8176" s="6">
        <v>79.25</v>
      </c>
    </row>
    <row r="8177" spans="4:5" x14ac:dyDescent="0.25">
      <c r="D8177" s="4">
        <v>43362</v>
      </c>
      <c r="E8177" s="6">
        <v>79.430000000000007</v>
      </c>
    </row>
    <row r="8178" spans="4:5" x14ac:dyDescent="0.25">
      <c r="D8178" s="4">
        <v>43363</v>
      </c>
      <c r="E8178" s="6">
        <v>79.03</v>
      </c>
    </row>
    <row r="8179" spans="4:5" x14ac:dyDescent="0.25">
      <c r="D8179" s="4">
        <v>43364</v>
      </c>
      <c r="E8179" s="6">
        <v>78.900000000000006</v>
      </c>
    </row>
    <row r="8180" spans="4:5" x14ac:dyDescent="0.25">
      <c r="D8180" s="4">
        <v>43367</v>
      </c>
      <c r="E8180" s="6">
        <v>80.89</v>
      </c>
    </row>
    <row r="8181" spans="4:5" x14ac:dyDescent="0.25">
      <c r="D8181" s="4">
        <v>43368</v>
      </c>
      <c r="E8181" s="6">
        <v>82.21</v>
      </c>
    </row>
    <row r="8182" spans="4:5" x14ac:dyDescent="0.25">
      <c r="D8182" s="4">
        <v>43369</v>
      </c>
      <c r="E8182" s="6">
        <v>81.87</v>
      </c>
    </row>
    <row r="8183" spans="4:5" x14ac:dyDescent="0.25">
      <c r="D8183" s="4">
        <v>43370</v>
      </c>
      <c r="E8183" s="6">
        <v>81.540000000000006</v>
      </c>
    </row>
    <row r="8184" spans="4:5" x14ac:dyDescent="0.25">
      <c r="D8184" s="4">
        <v>43371</v>
      </c>
      <c r="E8184" s="6">
        <v>82.72</v>
      </c>
    </row>
    <row r="8185" spans="4:5" x14ac:dyDescent="0.25">
      <c r="D8185" s="4">
        <v>43374</v>
      </c>
      <c r="E8185" s="6">
        <v>84.94</v>
      </c>
    </row>
    <row r="8186" spans="4:5" x14ac:dyDescent="0.25">
      <c r="D8186" s="4">
        <v>43375</v>
      </c>
      <c r="E8186" s="6">
        <v>85.63</v>
      </c>
    </row>
    <row r="8187" spans="4:5" x14ac:dyDescent="0.25">
      <c r="D8187" s="4">
        <v>43376</v>
      </c>
      <c r="E8187" s="6">
        <v>85.45</v>
      </c>
    </row>
    <row r="8188" spans="4:5" x14ac:dyDescent="0.25">
      <c r="D8188" s="4">
        <v>43377</v>
      </c>
      <c r="E8188" s="6">
        <v>86.07</v>
      </c>
    </row>
    <row r="8189" spans="4:5" x14ac:dyDescent="0.25">
      <c r="D8189" s="4">
        <v>43378</v>
      </c>
      <c r="E8189" s="6">
        <v>85.12</v>
      </c>
    </row>
    <row r="8190" spans="4:5" x14ac:dyDescent="0.25">
      <c r="D8190" s="4">
        <v>43381</v>
      </c>
      <c r="E8190" s="6">
        <v>84.22</v>
      </c>
    </row>
    <row r="8191" spans="4:5" x14ac:dyDescent="0.25">
      <c r="D8191" s="4">
        <v>43382</v>
      </c>
      <c r="E8191" s="6">
        <v>85.16</v>
      </c>
    </row>
    <row r="8192" spans="4:5" x14ac:dyDescent="0.25">
      <c r="D8192" s="4">
        <v>43383</v>
      </c>
      <c r="E8192" s="6">
        <v>83.82</v>
      </c>
    </row>
    <row r="8193" spans="4:5" x14ac:dyDescent="0.25">
      <c r="D8193" s="4">
        <v>43384</v>
      </c>
      <c r="E8193" s="6">
        <v>81.349999999999994</v>
      </c>
    </row>
    <row r="8194" spans="4:5" x14ac:dyDescent="0.25">
      <c r="D8194" s="4">
        <v>43385</v>
      </c>
      <c r="E8194" s="6">
        <v>80.709999999999994</v>
      </c>
    </row>
    <row r="8195" spans="4:5" x14ac:dyDescent="0.25">
      <c r="D8195" s="4">
        <v>43388</v>
      </c>
      <c r="E8195" s="6">
        <v>80.91</v>
      </c>
    </row>
    <row r="8196" spans="4:5" x14ac:dyDescent="0.25">
      <c r="D8196" s="4">
        <v>43389</v>
      </c>
      <c r="E8196" s="6">
        <v>80.53</v>
      </c>
    </row>
    <row r="8197" spans="4:5" x14ac:dyDescent="0.25">
      <c r="D8197" s="4">
        <v>43390</v>
      </c>
      <c r="E8197" s="6">
        <v>79.91</v>
      </c>
    </row>
    <row r="8198" spans="4:5" x14ac:dyDescent="0.25">
      <c r="D8198" s="4">
        <v>43391</v>
      </c>
      <c r="E8198" s="6">
        <v>80.3</v>
      </c>
    </row>
    <row r="8199" spans="4:5" x14ac:dyDescent="0.25">
      <c r="D8199" s="4">
        <v>43392</v>
      </c>
      <c r="E8199" s="6">
        <v>80.38</v>
      </c>
    </row>
    <row r="8200" spans="4:5" x14ac:dyDescent="0.25">
      <c r="D8200" s="4">
        <v>43395</v>
      </c>
      <c r="E8200" s="6">
        <v>80.45</v>
      </c>
    </row>
    <row r="8201" spans="4:5" x14ac:dyDescent="0.25">
      <c r="D8201" s="4">
        <v>43396</v>
      </c>
      <c r="E8201" s="6">
        <v>78.67</v>
      </c>
    </row>
    <row r="8202" spans="4:5" x14ac:dyDescent="0.25">
      <c r="D8202" s="4">
        <v>43397</v>
      </c>
      <c r="E8202" s="6">
        <v>77.34</v>
      </c>
    </row>
    <row r="8203" spans="4:5" x14ac:dyDescent="0.25">
      <c r="D8203" s="4">
        <v>43398</v>
      </c>
      <c r="E8203" s="6">
        <v>77.3</v>
      </c>
    </row>
    <row r="8204" spans="4:5" x14ac:dyDescent="0.25">
      <c r="D8204" s="4">
        <v>43399</v>
      </c>
      <c r="E8204" s="6">
        <v>77.400000000000006</v>
      </c>
    </row>
    <row r="8205" spans="4:5" x14ac:dyDescent="0.25">
      <c r="D8205" s="4">
        <v>43402</v>
      </c>
      <c r="E8205" s="6">
        <v>77.56</v>
      </c>
    </row>
    <row r="8206" spans="4:5" x14ac:dyDescent="0.25">
      <c r="D8206" s="4">
        <v>43403</v>
      </c>
      <c r="E8206" s="6">
        <v>75.680000000000007</v>
      </c>
    </row>
    <row r="8207" spans="4:5" x14ac:dyDescent="0.25">
      <c r="D8207" s="4">
        <v>43404</v>
      </c>
      <c r="E8207" s="6">
        <v>74.84</v>
      </c>
    </row>
    <row r="8208" spans="4:5" x14ac:dyDescent="0.25">
      <c r="D8208" s="4">
        <v>43405</v>
      </c>
      <c r="E8208" s="6">
        <v>71.25</v>
      </c>
    </row>
    <row r="8209" spans="4:5" x14ac:dyDescent="0.25">
      <c r="D8209" s="4">
        <v>43406</v>
      </c>
      <c r="E8209" s="6">
        <v>71.11</v>
      </c>
    </row>
    <row r="8210" spans="4:5" x14ac:dyDescent="0.25">
      <c r="D8210" s="4">
        <v>43409</v>
      </c>
      <c r="E8210" s="6">
        <v>72.680000000000007</v>
      </c>
    </row>
    <row r="8211" spans="4:5" x14ac:dyDescent="0.25">
      <c r="D8211" s="4">
        <v>43410</v>
      </c>
      <c r="E8211" s="6">
        <v>70.64</v>
      </c>
    </row>
    <row r="8212" spans="4:5" x14ac:dyDescent="0.25">
      <c r="D8212" s="4">
        <v>43411</v>
      </c>
      <c r="E8212" s="6">
        <v>70.099999999999994</v>
      </c>
    </row>
    <row r="8213" spans="4:5" x14ac:dyDescent="0.25">
      <c r="D8213" s="4">
        <v>43412</v>
      </c>
      <c r="E8213" s="6">
        <v>69.290000000000006</v>
      </c>
    </row>
    <row r="8214" spans="4:5" x14ac:dyDescent="0.25">
      <c r="D8214" s="4">
        <v>43413</v>
      </c>
      <c r="E8214" s="6">
        <v>69.010000000000005</v>
      </c>
    </row>
    <row r="8215" spans="4:5" x14ac:dyDescent="0.25">
      <c r="D8215" s="4">
        <v>43416</v>
      </c>
      <c r="E8215" s="6">
        <v>69.81</v>
      </c>
    </row>
    <row r="8216" spans="4:5" x14ac:dyDescent="0.25">
      <c r="D8216" s="4">
        <v>43417</v>
      </c>
      <c r="E8216" s="6">
        <v>65.45</v>
      </c>
    </row>
    <row r="8217" spans="4:5" x14ac:dyDescent="0.25">
      <c r="D8217" s="4">
        <v>43418</v>
      </c>
      <c r="E8217" s="6">
        <v>64.88</v>
      </c>
    </row>
    <row r="8218" spans="4:5" x14ac:dyDescent="0.25">
      <c r="D8218" s="4">
        <v>43419</v>
      </c>
      <c r="E8218" s="6">
        <v>65.61</v>
      </c>
    </row>
    <row r="8219" spans="4:5" x14ac:dyDescent="0.25">
      <c r="D8219" s="4">
        <v>43420</v>
      </c>
      <c r="E8219" s="6">
        <v>65.290000000000006</v>
      </c>
    </row>
    <row r="8220" spans="4:5" x14ac:dyDescent="0.25">
      <c r="D8220" s="4">
        <v>43423</v>
      </c>
      <c r="E8220" s="6">
        <v>64.14</v>
      </c>
    </row>
    <row r="8221" spans="4:5" x14ac:dyDescent="0.25">
      <c r="D8221" s="4">
        <v>43424</v>
      </c>
      <c r="E8221" s="6">
        <v>61.5</v>
      </c>
    </row>
    <row r="8222" spans="4:5" x14ac:dyDescent="0.25">
      <c r="D8222" s="4">
        <v>43425</v>
      </c>
      <c r="E8222" s="6">
        <v>61.65</v>
      </c>
    </row>
    <row r="8223" spans="4:5" x14ac:dyDescent="0.25">
      <c r="D8223" s="4">
        <v>43426</v>
      </c>
      <c r="E8223" s="6">
        <v>61.11</v>
      </c>
    </row>
    <row r="8224" spans="4:5" x14ac:dyDescent="0.25">
      <c r="D8224" s="4">
        <v>43427</v>
      </c>
      <c r="E8224" s="6">
        <v>57.69</v>
      </c>
    </row>
    <row r="8225" spans="4:5" x14ac:dyDescent="0.25">
      <c r="D8225" s="4">
        <v>43430</v>
      </c>
      <c r="E8225" s="6">
        <v>59.7</v>
      </c>
    </row>
    <row r="8226" spans="4:5" x14ac:dyDescent="0.25">
      <c r="D8226" s="4">
        <v>43431</v>
      </c>
      <c r="E8226" s="6">
        <v>59.58</v>
      </c>
    </row>
    <row r="8227" spans="4:5" x14ac:dyDescent="0.25">
      <c r="D8227" s="4">
        <v>43432</v>
      </c>
      <c r="E8227" s="6">
        <v>57.97</v>
      </c>
    </row>
    <row r="8228" spans="4:5" x14ac:dyDescent="0.25">
      <c r="D8228" s="4">
        <v>43433</v>
      </c>
      <c r="E8228" s="6">
        <v>58.29</v>
      </c>
    </row>
    <row r="8229" spans="4:5" x14ac:dyDescent="0.25">
      <c r="D8229" s="4">
        <v>43434</v>
      </c>
      <c r="E8229" s="6">
        <v>57.71</v>
      </c>
    </row>
    <row r="8230" spans="4:5" x14ac:dyDescent="0.25">
      <c r="D8230" s="4">
        <v>43437</v>
      </c>
      <c r="E8230" s="6">
        <v>60.17</v>
      </c>
    </row>
    <row r="8231" spans="4:5" x14ac:dyDescent="0.25">
      <c r="D8231" s="4">
        <v>43438</v>
      </c>
      <c r="E8231" s="6">
        <v>61.22</v>
      </c>
    </row>
    <row r="8232" spans="4:5" x14ac:dyDescent="0.25">
      <c r="D8232" s="4">
        <v>43439</v>
      </c>
      <c r="E8232" s="6">
        <v>61.4</v>
      </c>
    </row>
    <row r="8233" spans="4:5" x14ac:dyDescent="0.25">
      <c r="D8233" s="4">
        <v>43440</v>
      </c>
      <c r="E8233" s="6">
        <v>57.83</v>
      </c>
    </row>
    <row r="8234" spans="4:5" x14ac:dyDescent="0.25">
      <c r="D8234" s="4">
        <v>43441</v>
      </c>
      <c r="E8234" s="6">
        <v>61.71</v>
      </c>
    </row>
    <row r="8235" spans="4:5" x14ac:dyDescent="0.25">
      <c r="D8235" s="4">
        <v>43444</v>
      </c>
      <c r="E8235" s="6">
        <v>60.29</v>
      </c>
    </row>
    <row r="8236" spans="4:5" x14ac:dyDescent="0.25">
      <c r="D8236" s="4">
        <v>43445</v>
      </c>
      <c r="E8236" s="6">
        <v>59.73</v>
      </c>
    </row>
    <row r="8237" spans="4:5" x14ac:dyDescent="0.25">
      <c r="D8237" s="4">
        <v>43446</v>
      </c>
      <c r="E8237" s="6">
        <v>59.94</v>
      </c>
    </row>
    <row r="8238" spans="4:5" x14ac:dyDescent="0.25">
      <c r="D8238" s="4">
        <v>43447</v>
      </c>
      <c r="E8238" s="6">
        <v>59.03</v>
      </c>
    </row>
    <row r="8239" spans="4:5" x14ac:dyDescent="0.25">
      <c r="D8239" s="4">
        <v>43448</v>
      </c>
      <c r="E8239" s="6">
        <v>58.56</v>
      </c>
    </row>
    <row r="8240" spans="4:5" x14ac:dyDescent="0.25">
      <c r="D8240" s="4">
        <v>43451</v>
      </c>
      <c r="E8240" s="6">
        <v>57.59</v>
      </c>
    </row>
    <row r="8241" spans="4:5" x14ac:dyDescent="0.25">
      <c r="D8241" s="4">
        <v>43452</v>
      </c>
      <c r="E8241" s="6">
        <v>55.26</v>
      </c>
    </row>
    <row r="8242" spans="4:5" x14ac:dyDescent="0.25">
      <c r="D8242" s="4">
        <v>43453</v>
      </c>
      <c r="E8242" s="6">
        <v>55.6</v>
      </c>
    </row>
    <row r="8243" spans="4:5" x14ac:dyDescent="0.25">
      <c r="D8243" s="4">
        <v>43454</v>
      </c>
      <c r="E8243" s="6">
        <v>52.84</v>
      </c>
    </row>
    <row r="8244" spans="4:5" x14ac:dyDescent="0.25">
      <c r="D8244" s="4">
        <v>43455</v>
      </c>
      <c r="E8244" s="6">
        <v>51.93</v>
      </c>
    </row>
    <row r="8245" spans="4:5" x14ac:dyDescent="0.25">
      <c r="D8245" s="4">
        <v>43458</v>
      </c>
      <c r="E8245" s="5"/>
    </row>
    <row r="8246" spans="4:5" x14ac:dyDescent="0.25">
      <c r="D8246" s="4">
        <v>43459</v>
      </c>
      <c r="E8246" s="5"/>
    </row>
    <row r="8247" spans="4:5" x14ac:dyDescent="0.25">
      <c r="D8247" s="4">
        <v>43460</v>
      </c>
      <c r="E8247" s="5"/>
    </row>
    <row r="8248" spans="4:5" x14ac:dyDescent="0.25">
      <c r="D8248" s="4">
        <v>43461</v>
      </c>
      <c r="E8248" s="6">
        <v>51.49</v>
      </c>
    </row>
    <row r="8249" spans="4:5" x14ac:dyDescent="0.25">
      <c r="D8249" s="4">
        <v>43462</v>
      </c>
      <c r="E8249" s="6">
        <v>50.57</v>
      </c>
    </row>
    <row r="8250" spans="4:5" x14ac:dyDescent="0.25">
      <c r="D8250" s="4">
        <v>43465</v>
      </c>
      <c r="E8250" s="5"/>
    </row>
    <row r="8251" spans="4:5" x14ac:dyDescent="0.25">
      <c r="D8251" s="4">
        <v>43466</v>
      </c>
      <c r="E8251" s="5"/>
    </row>
    <row r="8252" spans="4:5" x14ac:dyDescent="0.25">
      <c r="D8252" s="4">
        <v>43467</v>
      </c>
      <c r="E8252" s="6">
        <v>54.06</v>
      </c>
    </row>
    <row r="8253" spans="4:5" x14ac:dyDescent="0.25">
      <c r="D8253" s="4">
        <v>43468</v>
      </c>
      <c r="E8253" s="6">
        <v>53.23</v>
      </c>
    </row>
    <row r="8254" spans="4:5" x14ac:dyDescent="0.25">
      <c r="D8254" s="4">
        <v>43469</v>
      </c>
      <c r="E8254" s="6">
        <v>55.64</v>
      </c>
    </row>
    <row r="8255" spans="4:5" x14ac:dyDescent="0.25">
      <c r="D8255" s="4">
        <v>43472</v>
      </c>
      <c r="E8255" s="6">
        <v>57.1</v>
      </c>
    </row>
    <row r="8256" spans="4:5" x14ac:dyDescent="0.25">
      <c r="D8256" s="4">
        <v>43473</v>
      </c>
      <c r="E8256" s="6">
        <v>56.91</v>
      </c>
    </row>
    <row r="8257" spans="4:5" x14ac:dyDescent="0.25">
      <c r="D8257" s="4">
        <v>43474</v>
      </c>
      <c r="E8257" s="6">
        <v>59.46</v>
      </c>
    </row>
    <row r="8258" spans="4:5" x14ac:dyDescent="0.25">
      <c r="D8258" s="4">
        <v>43475</v>
      </c>
      <c r="E8258" s="6">
        <v>60.47</v>
      </c>
    </row>
    <row r="8259" spans="4:5" x14ac:dyDescent="0.25">
      <c r="D8259" s="4">
        <v>43476</v>
      </c>
      <c r="E8259" s="6">
        <v>59.24</v>
      </c>
    </row>
    <row r="8260" spans="4:5" x14ac:dyDescent="0.25">
      <c r="D8260" s="4">
        <v>43479</v>
      </c>
      <c r="E8260" s="6">
        <v>58.8</v>
      </c>
    </row>
    <row r="8261" spans="4:5" x14ac:dyDescent="0.25">
      <c r="D8261" s="4">
        <v>43480</v>
      </c>
      <c r="E8261" s="6">
        <v>58.65</v>
      </c>
    </row>
    <row r="8262" spans="4:5" x14ac:dyDescent="0.25">
      <c r="D8262" s="4">
        <v>43481</v>
      </c>
      <c r="E8262" s="6">
        <v>59.81</v>
      </c>
    </row>
    <row r="8263" spans="4:5" x14ac:dyDescent="0.25">
      <c r="D8263" s="4">
        <v>43482</v>
      </c>
      <c r="E8263" s="6">
        <v>59.85</v>
      </c>
    </row>
    <row r="8264" spans="4:5" x14ac:dyDescent="0.25">
      <c r="D8264" s="4">
        <v>43483</v>
      </c>
      <c r="E8264" s="6">
        <v>62.04</v>
      </c>
    </row>
    <row r="8265" spans="4:5" x14ac:dyDescent="0.25">
      <c r="D8265" s="4">
        <v>43486</v>
      </c>
      <c r="E8265" s="6">
        <v>62.18</v>
      </c>
    </row>
    <row r="8266" spans="4:5" x14ac:dyDescent="0.25">
      <c r="D8266" s="4">
        <v>43487</v>
      </c>
      <c r="E8266" s="6">
        <v>60.9</v>
      </c>
    </row>
    <row r="8267" spans="4:5" x14ac:dyDescent="0.25">
      <c r="D8267" s="4">
        <v>43488</v>
      </c>
      <c r="E8267" s="6">
        <v>61.05</v>
      </c>
    </row>
    <row r="8268" spans="4:5" x14ac:dyDescent="0.25">
      <c r="D8268" s="4">
        <v>43489</v>
      </c>
      <c r="E8268" s="6">
        <v>61.09</v>
      </c>
    </row>
    <row r="8269" spans="4:5" x14ac:dyDescent="0.25">
      <c r="D8269" s="4">
        <v>43490</v>
      </c>
      <c r="E8269" s="6">
        <v>61.49</v>
      </c>
    </row>
    <row r="8270" spans="4:5" x14ac:dyDescent="0.25">
      <c r="D8270" s="4">
        <v>43493</v>
      </c>
      <c r="E8270" s="6">
        <v>59.71</v>
      </c>
    </row>
    <row r="8271" spans="4:5" x14ac:dyDescent="0.25">
      <c r="D8271" s="4">
        <v>43494</v>
      </c>
      <c r="E8271" s="6">
        <v>60.98</v>
      </c>
    </row>
    <row r="8272" spans="4:5" x14ac:dyDescent="0.25">
      <c r="D8272" s="4">
        <v>43495</v>
      </c>
      <c r="E8272" s="6">
        <v>61.89</v>
      </c>
    </row>
    <row r="8273" spans="4:5" x14ac:dyDescent="0.25">
      <c r="D8273" s="4">
        <v>43496</v>
      </c>
      <c r="E8273" s="6">
        <v>62.46</v>
      </c>
    </row>
    <row r="8274" spans="4:5" x14ac:dyDescent="0.25">
      <c r="D8274" s="4">
        <v>43497</v>
      </c>
      <c r="E8274" s="6">
        <v>61.86</v>
      </c>
    </row>
    <row r="8275" spans="4:5" x14ac:dyDescent="0.25">
      <c r="D8275" s="4">
        <v>43500</v>
      </c>
      <c r="E8275" s="6">
        <v>62.26</v>
      </c>
    </row>
    <row r="8276" spans="4:5" x14ac:dyDescent="0.25">
      <c r="D8276" s="4">
        <v>43501</v>
      </c>
      <c r="E8276" s="6">
        <v>61.67</v>
      </c>
    </row>
    <row r="8277" spans="4:5" x14ac:dyDescent="0.25">
      <c r="D8277" s="4">
        <v>43502</v>
      </c>
      <c r="E8277" s="6">
        <v>62.22</v>
      </c>
    </row>
    <row r="8278" spans="4:5" x14ac:dyDescent="0.25">
      <c r="D8278" s="4">
        <v>43503</v>
      </c>
      <c r="E8278" s="6">
        <v>61.01</v>
      </c>
    </row>
    <row r="8279" spans="4:5" x14ac:dyDescent="0.25">
      <c r="D8279" s="4">
        <v>43504</v>
      </c>
      <c r="E8279" s="6">
        <v>61.37</v>
      </c>
    </row>
    <row r="8280" spans="4:5" x14ac:dyDescent="0.25">
      <c r="D8280" s="4">
        <v>43507</v>
      </c>
      <c r="E8280" s="6">
        <v>61.3</v>
      </c>
    </row>
    <row r="8281" spans="4:5" x14ac:dyDescent="0.25">
      <c r="D8281" s="4">
        <v>43508</v>
      </c>
      <c r="E8281" s="6">
        <v>62.58</v>
      </c>
    </row>
    <row r="8282" spans="4:5" x14ac:dyDescent="0.25">
      <c r="D8282" s="4">
        <v>43509</v>
      </c>
      <c r="E8282" s="6">
        <v>63.27</v>
      </c>
    </row>
    <row r="8283" spans="4:5" x14ac:dyDescent="0.25">
      <c r="D8283" s="4">
        <v>43510</v>
      </c>
      <c r="E8283" s="6">
        <v>64</v>
      </c>
    </row>
    <row r="8284" spans="4:5" x14ac:dyDescent="0.25">
      <c r="D8284" s="4">
        <v>43511</v>
      </c>
      <c r="E8284" s="6">
        <v>65.650000000000006</v>
      </c>
    </row>
    <row r="8285" spans="4:5" x14ac:dyDescent="0.25">
      <c r="D8285" s="4">
        <v>43514</v>
      </c>
      <c r="E8285" s="6">
        <v>66.41</v>
      </c>
    </row>
    <row r="8286" spans="4:5" x14ac:dyDescent="0.25">
      <c r="D8286" s="4">
        <v>43515</v>
      </c>
      <c r="E8286" s="6">
        <v>65.86</v>
      </c>
    </row>
    <row r="8287" spans="4:5" x14ac:dyDescent="0.25">
      <c r="D8287" s="4">
        <v>43516</v>
      </c>
      <c r="E8287" s="6">
        <v>66.819999999999993</v>
      </c>
    </row>
    <row r="8288" spans="4:5" x14ac:dyDescent="0.25">
      <c r="D8288" s="4">
        <v>43517</v>
      </c>
      <c r="E8288" s="6">
        <v>66.91</v>
      </c>
    </row>
    <row r="8289" spans="4:5" x14ac:dyDescent="0.25">
      <c r="D8289" s="4">
        <v>43518</v>
      </c>
      <c r="E8289" s="6">
        <v>66.91</v>
      </c>
    </row>
    <row r="8290" spans="4:5" x14ac:dyDescent="0.25">
      <c r="D8290" s="4">
        <v>43521</v>
      </c>
      <c r="E8290" s="6">
        <v>64.02</v>
      </c>
    </row>
    <row r="8291" spans="4:5" x14ac:dyDescent="0.25">
      <c r="D8291" s="4">
        <v>43522</v>
      </c>
      <c r="E8291" s="6">
        <v>64.510000000000005</v>
      </c>
    </row>
    <row r="8292" spans="4:5" x14ac:dyDescent="0.25">
      <c r="D8292" s="4">
        <v>43523</v>
      </c>
      <c r="E8292" s="6">
        <v>65.55</v>
      </c>
    </row>
    <row r="8293" spans="4:5" x14ac:dyDescent="0.25">
      <c r="D8293" s="4">
        <v>43524</v>
      </c>
      <c r="E8293" s="6">
        <v>65.03</v>
      </c>
    </row>
    <row r="8294" spans="4:5" x14ac:dyDescent="0.25">
      <c r="D8294" s="4">
        <v>43525</v>
      </c>
      <c r="E8294" s="6">
        <v>63.71</v>
      </c>
    </row>
    <row r="8295" spans="4:5" x14ac:dyDescent="0.25">
      <c r="D8295" s="4">
        <v>43528</v>
      </c>
      <c r="E8295" s="6">
        <v>64.44</v>
      </c>
    </row>
    <row r="8296" spans="4:5" x14ac:dyDescent="0.25">
      <c r="D8296" s="4">
        <v>43529</v>
      </c>
      <c r="E8296" s="6">
        <v>64.239999999999995</v>
      </c>
    </row>
    <row r="8297" spans="4:5" x14ac:dyDescent="0.25">
      <c r="D8297" s="4">
        <v>43530</v>
      </c>
      <c r="E8297" s="6">
        <v>64.510000000000005</v>
      </c>
    </row>
    <row r="8298" spans="4:5" x14ac:dyDescent="0.25">
      <c r="D8298" s="4">
        <v>43531</v>
      </c>
      <c r="E8298" s="6">
        <v>64.819999999999993</v>
      </c>
    </row>
    <row r="8299" spans="4:5" x14ac:dyDescent="0.25">
      <c r="D8299" s="4">
        <v>43532</v>
      </c>
      <c r="E8299" s="6">
        <v>65.66</v>
      </c>
    </row>
    <row r="8300" spans="4:5" x14ac:dyDescent="0.25">
      <c r="D8300" s="4">
        <v>43535</v>
      </c>
      <c r="E8300" s="6">
        <v>65.06</v>
      </c>
    </row>
    <row r="8301" spans="4:5" x14ac:dyDescent="0.25">
      <c r="D8301" s="4">
        <v>43536</v>
      </c>
      <c r="E8301" s="6">
        <v>65.33</v>
      </c>
    </row>
    <row r="8302" spans="4:5" x14ac:dyDescent="0.25">
      <c r="D8302" s="4">
        <v>43537</v>
      </c>
      <c r="E8302" s="6">
        <v>65.89</v>
      </c>
    </row>
    <row r="8303" spans="4:5" x14ac:dyDescent="0.25">
      <c r="D8303" s="4">
        <v>43538</v>
      </c>
      <c r="E8303" s="6">
        <v>66.180000000000007</v>
      </c>
    </row>
    <row r="8304" spans="4:5" x14ac:dyDescent="0.25">
      <c r="D8304" s="4">
        <v>43539</v>
      </c>
      <c r="E8304" s="6">
        <v>66.11</v>
      </c>
    </row>
    <row r="8305" spans="4:5" x14ac:dyDescent="0.25">
      <c r="D8305" s="4">
        <v>43542</v>
      </c>
      <c r="E8305" s="6">
        <v>66.650000000000006</v>
      </c>
    </row>
    <row r="8306" spans="4:5" x14ac:dyDescent="0.25">
      <c r="D8306" s="4">
        <v>43543</v>
      </c>
      <c r="E8306" s="6">
        <v>67.13</v>
      </c>
    </row>
    <row r="8307" spans="4:5" x14ac:dyDescent="0.25">
      <c r="D8307" s="4">
        <v>43544</v>
      </c>
      <c r="E8307" s="6">
        <v>68.349999999999994</v>
      </c>
    </row>
    <row r="8308" spans="4:5" x14ac:dyDescent="0.25">
      <c r="D8308" s="4">
        <v>43545</v>
      </c>
      <c r="E8308" s="6">
        <v>68.3</v>
      </c>
    </row>
    <row r="8309" spans="4:5" x14ac:dyDescent="0.25">
      <c r="D8309" s="4">
        <v>43546</v>
      </c>
      <c r="E8309" s="6">
        <v>66.290000000000006</v>
      </c>
    </row>
    <row r="8310" spans="4:5" x14ac:dyDescent="0.25">
      <c r="D8310" s="4">
        <v>43549</v>
      </c>
      <c r="E8310" s="6">
        <v>67.37</v>
      </c>
    </row>
    <row r="8311" spans="4:5" x14ac:dyDescent="0.25">
      <c r="D8311" s="4">
        <v>43550</v>
      </c>
      <c r="E8311" s="6">
        <v>67.510000000000005</v>
      </c>
    </row>
    <row r="8312" spans="4:5" x14ac:dyDescent="0.25">
      <c r="D8312" s="4">
        <v>43551</v>
      </c>
      <c r="E8312" s="6">
        <v>67.349999999999994</v>
      </c>
    </row>
    <row r="8313" spans="4:5" x14ac:dyDescent="0.25">
      <c r="D8313" s="4">
        <v>43552</v>
      </c>
      <c r="E8313" s="6">
        <v>66.08</v>
      </c>
    </row>
    <row r="8314" spans="4:5" x14ac:dyDescent="0.25">
      <c r="D8314" s="4">
        <v>43553</v>
      </c>
      <c r="E8314" s="6">
        <v>67.930000000000007</v>
      </c>
    </row>
    <row r="8315" spans="4:5" x14ac:dyDescent="0.25">
      <c r="D8315" s="4">
        <v>43556</v>
      </c>
      <c r="E8315" s="6">
        <v>69.08</v>
      </c>
    </row>
    <row r="8316" spans="4:5" x14ac:dyDescent="0.25">
      <c r="D8316" s="4">
        <v>43557</v>
      </c>
      <c r="E8316" s="6">
        <v>69.680000000000007</v>
      </c>
    </row>
    <row r="8317" spans="4:5" x14ac:dyDescent="0.25">
      <c r="D8317" s="4">
        <v>43558</v>
      </c>
      <c r="E8317" s="6">
        <v>69.209999999999994</v>
      </c>
    </row>
    <row r="8318" spans="4:5" x14ac:dyDescent="0.25">
      <c r="D8318" s="4">
        <v>43559</v>
      </c>
      <c r="E8318" s="6">
        <v>69.8</v>
      </c>
    </row>
    <row r="8319" spans="4:5" x14ac:dyDescent="0.25">
      <c r="D8319" s="4">
        <v>43560</v>
      </c>
      <c r="E8319" s="6">
        <v>69.930000000000007</v>
      </c>
    </row>
    <row r="8320" spans="4:5" x14ac:dyDescent="0.25">
      <c r="D8320" s="4">
        <v>43563</v>
      </c>
      <c r="E8320" s="6">
        <v>71.12</v>
      </c>
    </row>
    <row r="8321" spans="4:5" x14ac:dyDescent="0.25">
      <c r="D8321" s="4">
        <v>43564</v>
      </c>
      <c r="E8321" s="6">
        <v>71.02</v>
      </c>
    </row>
    <row r="8322" spans="4:5" x14ac:dyDescent="0.25">
      <c r="D8322" s="4">
        <v>43565</v>
      </c>
      <c r="E8322" s="6">
        <v>71.63</v>
      </c>
    </row>
    <row r="8323" spans="4:5" x14ac:dyDescent="0.25">
      <c r="D8323" s="4">
        <v>43566</v>
      </c>
      <c r="E8323" s="6">
        <v>71.3</v>
      </c>
    </row>
    <row r="8324" spans="4:5" x14ac:dyDescent="0.25">
      <c r="D8324" s="4">
        <v>43567</v>
      </c>
      <c r="E8324" s="6">
        <v>71.569999999999993</v>
      </c>
    </row>
    <row r="8325" spans="4:5" x14ac:dyDescent="0.25">
      <c r="D8325" s="4">
        <v>43570</v>
      </c>
      <c r="E8325" s="6">
        <v>70.900000000000006</v>
      </c>
    </row>
    <row r="8326" spans="4:5" x14ac:dyDescent="0.25">
      <c r="D8326" s="4">
        <v>43571</v>
      </c>
      <c r="E8326" s="6">
        <v>70.739999999999995</v>
      </c>
    </row>
    <row r="8327" spans="4:5" x14ac:dyDescent="0.25">
      <c r="D8327" s="4">
        <v>43572</v>
      </c>
      <c r="E8327" s="6">
        <v>71.14</v>
      </c>
    </row>
    <row r="8328" spans="4:5" x14ac:dyDescent="0.25">
      <c r="D8328" s="4">
        <v>43573</v>
      </c>
      <c r="E8328" s="6">
        <v>70.709999999999994</v>
      </c>
    </row>
    <row r="8329" spans="4:5" x14ac:dyDescent="0.25">
      <c r="D8329" s="4">
        <v>43574</v>
      </c>
      <c r="E8329" s="5"/>
    </row>
    <row r="8330" spans="4:5" x14ac:dyDescent="0.25">
      <c r="D8330" s="4">
        <v>43577</v>
      </c>
      <c r="E8330" s="6">
        <v>70.709999999999994</v>
      </c>
    </row>
    <row r="8331" spans="4:5" x14ac:dyDescent="0.25">
      <c r="D8331" s="4">
        <v>43578</v>
      </c>
      <c r="E8331" s="6">
        <v>74.39</v>
      </c>
    </row>
    <row r="8332" spans="4:5" x14ac:dyDescent="0.25">
      <c r="D8332" s="4">
        <v>43579</v>
      </c>
      <c r="E8332" s="6">
        <v>73.59</v>
      </c>
    </row>
    <row r="8333" spans="4:5" x14ac:dyDescent="0.25">
      <c r="D8333" s="4">
        <v>43580</v>
      </c>
      <c r="E8333" s="6">
        <v>74.94</v>
      </c>
    </row>
    <row r="8334" spans="4:5" x14ac:dyDescent="0.25">
      <c r="D8334" s="4">
        <v>43581</v>
      </c>
      <c r="E8334" s="6">
        <v>71.03</v>
      </c>
    </row>
    <row r="8335" spans="4:5" x14ac:dyDescent="0.25">
      <c r="D8335" s="4">
        <v>43584</v>
      </c>
      <c r="E8335" s="6">
        <v>71.22</v>
      </c>
    </row>
    <row r="8336" spans="4:5" x14ac:dyDescent="0.25">
      <c r="D8336" s="4">
        <v>43585</v>
      </c>
      <c r="E8336" s="6">
        <v>72.19</v>
      </c>
    </row>
    <row r="8337" spans="4:5" x14ac:dyDescent="0.25">
      <c r="D8337" s="4">
        <v>43586</v>
      </c>
      <c r="E8337" s="6">
        <v>72.010000000000005</v>
      </c>
    </row>
    <row r="8338" spans="4:5" x14ac:dyDescent="0.25">
      <c r="D8338" s="4">
        <v>43587</v>
      </c>
      <c r="E8338" s="6">
        <v>70.56</v>
      </c>
    </row>
    <row r="8339" spans="4:5" x14ac:dyDescent="0.25">
      <c r="D8339" s="4">
        <v>43588</v>
      </c>
      <c r="E8339" s="6">
        <v>71.95</v>
      </c>
    </row>
    <row r="8340" spans="4:5" x14ac:dyDescent="0.25">
      <c r="D8340" s="4">
        <v>43591</v>
      </c>
      <c r="E8340" s="6">
        <v>71.95</v>
      </c>
    </row>
    <row r="8341" spans="4:5" x14ac:dyDescent="0.25">
      <c r="D8341" s="4">
        <v>43592</v>
      </c>
      <c r="E8341" s="6">
        <v>70.98</v>
      </c>
    </row>
    <row r="8342" spans="4:5" x14ac:dyDescent="0.25">
      <c r="D8342" s="4">
        <v>43593</v>
      </c>
      <c r="E8342" s="6">
        <v>71.09</v>
      </c>
    </row>
    <row r="8343" spans="4:5" x14ac:dyDescent="0.25">
      <c r="D8343" s="4">
        <v>43594</v>
      </c>
      <c r="E8343" s="6">
        <v>70.61</v>
      </c>
    </row>
    <row r="8344" spans="4:5" x14ac:dyDescent="0.25">
      <c r="D8344" s="4">
        <v>43595</v>
      </c>
      <c r="E8344" s="6">
        <v>71.63</v>
      </c>
    </row>
    <row r="8345" spans="4:5" x14ac:dyDescent="0.25">
      <c r="D8345" s="4">
        <v>43598</v>
      </c>
      <c r="E8345" s="6">
        <v>72.349999999999994</v>
      </c>
    </row>
    <row r="8346" spans="4:5" x14ac:dyDescent="0.25">
      <c r="D8346" s="4">
        <v>43599</v>
      </c>
      <c r="E8346" s="6">
        <v>72.53</v>
      </c>
    </row>
    <row r="8347" spans="4:5" x14ac:dyDescent="0.25">
      <c r="D8347" s="4">
        <v>43600</v>
      </c>
      <c r="E8347" s="6">
        <v>73.09</v>
      </c>
    </row>
    <row r="8348" spans="4:5" x14ac:dyDescent="0.25">
      <c r="D8348" s="4">
        <v>43601</v>
      </c>
      <c r="E8348" s="6">
        <v>74.7</v>
      </c>
    </row>
    <row r="8349" spans="4:5" x14ac:dyDescent="0.25">
      <c r="D8349" s="4">
        <v>43602</v>
      </c>
      <c r="E8349" s="6">
        <v>73.94</v>
      </c>
    </row>
    <row r="8350" spans="4:5" x14ac:dyDescent="0.25">
      <c r="D8350" s="4">
        <v>43605</v>
      </c>
      <c r="E8350" s="6">
        <v>73.209999999999994</v>
      </c>
    </row>
    <row r="8351" spans="4:5" x14ac:dyDescent="0.25">
      <c r="D8351" s="4">
        <v>43606</v>
      </c>
      <c r="E8351" s="6">
        <v>72.94</v>
      </c>
    </row>
    <row r="8352" spans="4:5" x14ac:dyDescent="0.25">
      <c r="D8352" s="4">
        <v>43607</v>
      </c>
      <c r="E8352" s="6">
        <v>71.94</v>
      </c>
    </row>
    <row r="8353" spans="4:5" x14ac:dyDescent="0.25">
      <c r="D8353" s="4">
        <v>43608</v>
      </c>
      <c r="E8353" s="6">
        <v>68.37</v>
      </c>
    </row>
    <row r="8354" spans="4:5" x14ac:dyDescent="0.25">
      <c r="D8354" s="4">
        <v>43609</v>
      </c>
      <c r="E8354" s="6">
        <v>67.98</v>
      </c>
    </row>
    <row r="8355" spans="4:5" x14ac:dyDescent="0.25">
      <c r="D8355" s="4">
        <v>43612</v>
      </c>
      <c r="E8355" s="5"/>
    </row>
    <row r="8356" spans="4:5" x14ac:dyDescent="0.25">
      <c r="D8356" s="4">
        <v>43613</v>
      </c>
      <c r="E8356" s="6">
        <v>70.19</v>
      </c>
    </row>
    <row r="8357" spans="4:5" x14ac:dyDescent="0.25">
      <c r="D8357" s="4">
        <v>43614</v>
      </c>
      <c r="E8357" s="6">
        <v>70.64</v>
      </c>
    </row>
    <row r="8358" spans="4:5" x14ac:dyDescent="0.25">
      <c r="D8358" s="4">
        <v>43615</v>
      </c>
      <c r="E8358" s="6">
        <v>69.55</v>
      </c>
    </row>
    <row r="8359" spans="4:5" x14ac:dyDescent="0.25">
      <c r="D8359" s="4">
        <v>43616</v>
      </c>
      <c r="E8359" s="6">
        <v>66.78</v>
      </c>
    </row>
    <row r="8360" spans="4:5" x14ac:dyDescent="0.25">
      <c r="D8360" s="4">
        <v>43619</v>
      </c>
      <c r="E8360" s="6">
        <v>63.16</v>
      </c>
    </row>
    <row r="8361" spans="4:5" x14ac:dyDescent="0.25">
      <c r="D8361" s="4">
        <v>43620</v>
      </c>
      <c r="E8361" s="6">
        <v>63.56</v>
      </c>
    </row>
    <row r="8362" spans="4:5" x14ac:dyDescent="0.25">
      <c r="D8362" s="4">
        <v>43621</v>
      </c>
      <c r="E8362" s="6">
        <v>62.14</v>
      </c>
    </row>
    <row r="8363" spans="4:5" x14ac:dyDescent="0.25">
      <c r="D8363" s="4">
        <v>43622</v>
      </c>
      <c r="E8363" s="6">
        <v>62.77</v>
      </c>
    </row>
    <row r="8364" spans="4:5" x14ac:dyDescent="0.25">
      <c r="D8364" s="4">
        <v>43623</v>
      </c>
      <c r="E8364" s="6">
        <v>64.099999999999994</v>
      </c>
    </row>
    <row r="8365" spans="4:5" x14ac:dyDescent="0.25">
      <c r="D8365" s="4">
        <v>43626</v>
      </c>
      <c r="E8365" s="6">
        <v>64.31</v>
      </c>
    </row>
    <row r="8366" spans="4:5" x14ac:dyDescent="0.25">
      <c r="D8366" s="4">
        <v>43627</v>
      </c>
      <c r="E8366" s="6">
        <v>63.56</v>
      </c>
    </row>
    <row r="8367" spans="4:5" x14ac:dyDescent="0.25">
      <c r="D8367" s="4">
        <v>43628</v>
      </c>
      <c r="E8367" s="6">
        <v>61.66</v>
      </c>
    </row>
    <row r="8368" spans="4:5" x14ac:dyDescent="0.25">
      <c r="D8368" s="4">
        <v>43629</v>
      </c>
      <c r="E8368" s="6">
        <v>63.28</v>
      </c>
    </row>
    <row r="8369" spans="4:5" x14ac:dyDescent="0.25">
      <c r="D8369" s="4">
        <v>43630</v>
      </c>
      <c r="E8369" s="6">
        <v>63.13</v>
      </c>
    </row>
    <row r="8370" spans="4:5" x14ac:dyDescent="0.25">
      <c r="D8370" s="4">
        <v>43633</v>
      </c>
      <c r="E8370" s="6">
        <v>62.56</v>
      </c>
    </row>
    <row r="8371" spans="4:5" x14ac:dyDescent="0.25">
      <c r="D8371" s="4">
        <v>43634</v>
      </c>
      <c r="E8371" s="6">
        <v>63.35</v>
      </c>
    </row>
    <row r="8372" spans="4:5" x14ac:dyDescent="0.25">
      <c r="D8372" s="4">
        <v>43635</v>
      </c>
      <c r="E8372" s="6">
        <v>62.85</v>
      </c>
    </row>
    <row r="8373" spans="4:5" x14ac:dyDescent="0.25">
      <c r="D8373" s="4">
        <v>43636</v>
      </c>
      <c r="E8373" s="6">
        <v>65.44</v>
      </c>
    </row>
    <row r="8374" spans="4:5" x14ac:dyDescent="0.25">
      <c r="D8374" s="4">
        <v>43637</v>
      </c>
      <c r="E8374" s="6">
        <v>65.989999999999995</v>
      </c>
    </row>
    <row r="8375" spans="4:5" x14ac:dyDescent="0.25">
      <c r="D8375" s="4">
        <v>43640</v>
      </c>
      <c r="E8375" s="6">
        <v>65.16</v>
      </c>
    </row>
    <row r="8376" spans="4:5" x14ac:dyDescent="0.25">
      <c r="D8376" s="4">
        <v>43641</v>
      </c>
      <c r="E8376" s="6">
        <v>66.239999999999995</v>
      </c>
    </row>
    <row r="8377" spans="4:5" x14ac:dyDescent="0.25">
      <c r="D8377" s="4">
        <v>43642</v>
      </c>
      <c r="E8377" s="6">
        <v>66.849999999999994</v>
      </c>
    </row>
    <row r="8378" spans="4:5" x14ac:dyDescent="0.25">
      <c r="D8378" s="4">
        <v>43643</v>
      </c>
      <c r="E8378" s="6">
        <v>66.78</v>
      </c>
    </row>
    <row r="8379" spans="4:5" x14ac:dyDescent="0.25">
      <c r="D8379" s="4">
        <v>43644</v>
      </c>
      <c r="E8379" s="6">
        <v>67.52</v>
      </c>
    </row>
    <row r="8380" spans="4:5" x14ac:dyDescent="0.25">
      <c r="D8380" s="4">
        <v>43647</v>
      </c>
      <c r="E8380" s="6">
        <v>65.099999999999994</v>
      </c>
    </row>
    <row r="8381" spans="4:5" x14ac:dyDescent="0.25">
      <c r="D8381" s="4">
        <v>43648</v>
      </c>
      <c r="E8381" s="6">
        <v>62.72</v>
      </c>
    </row>
    <row r="8382" spans="4:5" x14ac:dyDescent="0.25">
      <c r="D8382" s="4">
        <v>43649</v>
      </c>
      <c r="E8382" s="6">
        <v>63.53</v>
      </c>
    </row>
    <row r="8383" spans="4:5" x14ac:dyDescent="0.25">
      <c r="D8383" s="4">
        <v>43650</v>
      </c>
      <c r="E8383" s="6">
        <v>63.62</v>
      </c>
    </row>
    <row r="8384" spans="4:5" x14ac:dyDescent="0.25">
      <c r="D8384" s="4">
        <v>43651</v>
      </c>
      <c r="E8384" s="6">
        <v>64.23</v>
      </c>
    </row>
    <row r="8385" spans="4:5" x14ac:dyDescent="0.25">
      <c r="D8385" s="4">
        <v>43654</v>
      </c>
      <c r="E8385" s="6">
        <v>64.89</v>
      </c>
    </row>
    <row r="8386" spans="4:5" x14ac:dyDescent="0.25">
      <c r="D8386" s="4">
        <v>43655</v>
      </c>
      <c r="E8386" s="6">
        <v>64.3</v>
      </c>
    </row>
    <row r="8387" spans="4:5" x14ac:dyDescent="0.25">
      <c r="D8387" s="4">
        <v>43656</v>
      </c>
      <c r="E8387" s="6">
        <v>66.41</v>
      </c>
    </row>
    <row r="8388" spans="4:5" x14ac:dyDescent="0.25">
      <c r="D8388" s="4">
        <v>43657</v>
      </c>
      <c r="E8388" s="6">
        <v>67.64</v>
      </c>
    </row>
    <row r="8389" spans="4:5" x14ac:dyDescent="0.25">
      <c r="D8389" s="4">
        <v>43658</v>
      </c>
      <c r="E8389" s="6">
        <v>66.650000000000006</v>
      </c>
    </row>
    <row r="8390" spans="4:5" x14ac:dyDescent="0.25">
      <c r="D8390" s="4">
        <v>43661</v>
      </c>
      <c r="E8390" s="6">
        <v>66.86</v>
      </c>
    </row>
    <row r="8391" spans="4:5" x14ac:dyDescent="0.25">
      <c r="D8391" s="4">
        <v>43662</v>
      </c>
      <c r="E8391" s="6">
        <v>65.87</v>
      </c>
    </row>
    <row r="8392" spans="4:5" x14ac:dyDescent="0.25">
      <c r="D8392" s="4">
        <v>43663</v>
      </c>
      <c r="E8392" s="6">
        <v>63.67</v>
      </c>
    </row>
    <row r="8393" spans="4:5" x14ac:dyDescent="0.25">
      <c r="D8393" s="4">
        <v>43664</v>
      </c>
      <c r="E8393" s="6">
        <v>60.7</v>
      </c>
    </row>
    <row r="8394" spans="4:5" x14ac:dyDescent="0.25">
      <c r="D8394" s="4">
        <v>43665</v>
      </c>
      <c r="E8394" s="6">
        <v>61.04</v>
      </c>
    </row>
    <row r="8395" spans="4:5" x14ac:dyDescent="0.25">
      <c r="D8395" s="4">
        <v>43668</v>
      </c>
      <c r="E8395" s="6">
        <v>61.96</v>
      </c>
    </row>
    <row r="8396" spans="4:5" x14ac:dyDescent="0.25">
      <c r="D8396" s="4">
        <v>43669</v>
      </c>
      <c r="E8396" s="6">
        <v>62.28</v>
      </c>
    </row>
    <row r="8397" spans="4:5" x14ac:dyDescent="0.25">
      <c r="D8397" s="4">
        <v>43670</v>
      </c>
      <c r="E8397" s="6">
        <v>63.83</v>
      </c>
    </row>
    <row r="8398" spans="4:5" x14ac:dyDescent="0.25">
      <c r="D8398" s="4">
        <v>43671</v>
      </c>
      <c r="E8398" s="6">
        <v>63.47</v>
      </c>
    </row>
    <row r="8399" spans="4:5" x14ac:dyDescent="0.25">
      <c r="D8399" s="4">
        <v>43672</v>
      </c>
      <c r="E8399" s="6">
        <v>62.46</v>
      </c>
    </row>
    <row r="8400" spans="4:5" x14ac:dyDescent="0.25">
      <c r="D8400" s="4">
        <v>43675</v>
      </c>
      <c r="E8400" s="6">
        <v>62.29</v>
      </c>
    </row>
    <row r="8401" spans="4:5" x14ac:dyDescent="0.25">
      <c r="D8401" s="4">
        <v>43676</v>
      </c>
      <c r="E8401" s="6">
        <v>62.55</v>
      </c>
    </row>
    <row r="8402" spans="4:5" x14ac:dyDescent="0.25">
      <c r="D8402" s="4">
        <v>43677</v>
      </c>
      <c r="E8402" s="6">
        <v>64.069999999999993</v>
      </c>
    </row>
    <row r="8403" spans="4:5" x14ac:dyDescent="0.25">
      <c r="D8403" s="4">
        <v>43678</v>
      </c>
      <c r="E8403" s="6">
        <v>62.9</v>
      </c>
    </row>
    <row r="8404" spans="4:5" x14ac:dyDescent="0.25">
      <c r="D8404" s="4">
        <v>43679</v>
      </c>
      <c r="E8404" s="6">
        <v>61.12</v>
      </c>
    </row>
    <row r="8405" spans="4:5" x14ac:dyDescent="0.25">
      <c r="D8405" s="4">
        <v>43682</v>
      </c>
      <c r="E8405" s="6">
        <v>59.32</v>
      </c>
    </row>
    <row r="8406" spans="4:5" x14ac:dyDescent="0.25">
      <c r="D8406" s="4">
        <v>43683</v>
      </c>
      <c r="E8406" s="6">
        <v>58.63</v>
      </c>
    </row>
    <row r="8407" spans="4:5" x14ac:dyDescent="0.25">
      <c r="D8407" s="4">
        <v>43684</v>
      </c>
      <c r="E8407" s="6">
        <v>55.03</v>
      </c>
    </row>
    <row r="8408" spans="4:5" x14ac:dyDescent="0.25">
      <c r="D8408" s="4">
        <v>43685</v>
      </c>
      <c r="E8408" s="6">
        <v>56.29</v>
      </c>
    </row>
    <row r="8409" spans="4:5" x14ac:dyDescent="0.25">
      <c r="D8409" s="4">
        <v>43686</v>
      </c>
      <c r="E8409" s="6">
        <v>57.37</v>
      </c>
    </row>
    <row r="8410" spans="4:5" x14ac:dyDescent="0.25">
      <c r="D8410" s="4">
        <v>43689</v>
      </c>
      <c r="E8410" s="6">
        <v>57.13</v>
      </c>
    </row>
    <row r="8411" spans="4:5" x14ac:dyDescent="0.25">
      <c r="D8411" s="4">
        <v>43690</v>
      </c>
      <c r="E8411" s="6">
        <v>59.9</v>
      </c>
    </row>
    <row r="8412" spans="4:5" x14ac:dyDescent="0.25">
      <c r="D8412" s="4">
        <v>43691</v>
      </c>
      <c r="E8412" s="6">
        <v>57.86</v>
      </c>
    </row>
    <row r="8413" spans="4:5" x14ac:dyDescent="0.25">
      <c r="D8413" s="4">
        <v>43692</v>
      </c>
      <c r="E8413" s="6">
        <v>57.37</v>
      </c>
    </row>
    <row r="8414" spans="4:5" x14ac:dyDescent="0.25">
      <c r="D8414" s="4">
        <v>43693</v>
      </c>
      <c r="E8414" s="6">
        <v>59</v>
      </c>
    </row>
    <row r="8415" spans="4:5" x14ac:dyDescent="0.25">
      <c r="D8415" s="4">
        <v>43696</v>
      </c>
      <c r="E8415" s="6">
        <v>59.79</v>
      </c>
    </row>
    <row r="8416" spans="4:5" x14ac:dyDescent="0.25">
      <c r="D8416" s="4">
        <v>43697</v>
      </c>
      <c r="E8416" s="6">
        <v>59.03</v>
      </c>
    </row>
    <row r="8417" spans="4:5" x14ac:dyDescent="0.25">
      <c r="D8417" s="4">
        <v>43698</v>
      </c>
      <c r="E8417" s="6">
        <v>60.6</v>
      </c>
    </row>
    <row r="8418" spans="4:5" x14ac:dyDescent="0.25">
      <c r="D8418" s="4">
        <v>43699</v>
      </c>
      <c r="E8418" s="6">
        <v>59.81</v>
      </c>
    </row>
    <row r="8419" spans="4:5" x14ac:dyDescent="0.25">
      <c r="D8419" s="4">
        <v>43700</v>
      </c>
      <c r="E8419" s="6">
        <v>58.64</v>
      </c>
    </row>
    <row r="8420" spans="4:5" x14ac:dyDescent="0.25">
      <c r="D8420" s="4">
        <v>43703</v>
      </c>
      <c r="E8420" s="6">
        <v>58.64</v>
      </c>
    </row>
    <row r="8421" spans="4:5" x14ac:dyDescent="0.25">
      <c r="D8421" s="4">
        <v>43704</v>
      </c>
      <c r="E8421" s="6">
        <v>58.44</v>
      </c>
    </row>
    <row r="8422" spans="4:5" x14ac:dyDescent="0.25">
      <c r="D8422" s="4">
        <v>43705</v>
      </c>
      <c r="E8422" s="6">
        <v>60.42</v>
      </c>
    </row>
    <row r="8423" spans="4:5" x14ac:dyDescent="0.25">
      <c r="D8423" s="4">
        <v>43706</v>
      </c>
      <c r="E8423" s="6">
        <v>60.59</v>
      </c>
    </row>
    <row r="8424" spans="4:5" x14ac:dyDescent="0.25">
      <c r="D8424" s="4">
        <v>43707</v>
      </c>
      <c r="E8424" s="6">
        <v>61.04</v>
      </c>
    </row>
    <row r="8425" spans="4:5" x14ac:dyDescent="0.25">
      <c r="D8425" s="4">
        <v>43710</v>
      </c>
      <c r="E8425" s="6">
        <v>58.55</v>
      </c>
    </row>
    <row r="8426" spans="4:5" x14ac:dyDescent="0.25">
      <c r="D8426" s="4">
        <v>43711</v>
      </c>
      <c r="E8426" s="6">
        <v>57.93</v>
      </c>
    </row>
    <row r="8427" spans="4:5" x14ac:dyDescent="0.25">
      <c r="D8427" s="4">
        <v>43712</v>
      </c>
      <c r="E8427" s="6">
        <v>60.68</v>
      </c>
    </row>
    <row r="8428" spans="4:5" x14ac:dyDescent="0.25">
      <c r="D8428" s="4">
        <v>43713</v>
      </c>
      <c r="E8428" s="6">
        <v>62.7</v>
      </c>
    </row>
    <row r="8429" spans="4:5" x14ac:dyDescent="0.25">
      <c r="D8429" s="4">
        <v>43714</v>
      </c>
      <c r="E8429" s="6">
        <v>61.28</v>
      </c>
    </row>
    <row r="8430" spans="4:5" x14ac:dyDescent="0.25">
      <c r="D8430" s="4">
        <v>43717</v>
      </c>
      <c r="E8430" s="6">
        <v>63.99</v>
      </c>
    </row>
    <row r="8431" spans="4:5" x14ac:dyDescent="0.25">
      <c r="D8431" s="4">
        <v>43718</v>
      </c>
      <c r="E8431" s="6">
        <v>64.67</v>
      </c>
    </row>
    <row r="8432" spans="4:5" x14ac:dyDescent="0.25">
      <c r="D8432" s="4">
        <v>43719</v>
      </c>
      <c r="E8432" s="6">
        <v>63.02</v>
      </c>
    </row>
    <row r="8433" spans="4:5" x14ac:dyDescent="0.25">
      <c r="D8433" s="4">
        <v>43720</v>
      </c>
      <c r="E8433" s="6">
        <v>60.76</v>
      </c>
    </row>
    <row r="8434" spans="4:5" x14ac:dyDescent="0.25">
      <c r="D8434" s="4">
        <v>43721</v>
      </c>
      <c r="E8434" s="6">
        <v>61.25</v>
      </c>
    </row>
    <row r="8435" spans="4:5" x14ac:dyDescent="0.25">
      <c r="D8435" s="4">
        <v>43724</v>
      </c>
      <c r="E8435" s="6">
        <v>68.42</v>
      </c>
    </row>
    <row r="8436" spans="4:5" x14ac:dyDescent="0.25">
      <c r="D8436" s="4">
        <v>43725</v>
      </c>
      <c r="E8436" s="6">
        <v>65.59</v>
      </c>
    </row>
    <row r="8437" spans="4:5" x14ac:dyDescent="0.25">
      <c r="D8437" s="4">
        <v>43726</v>
      </c>
      <c r="E8437" s="6">
        <v>64.290000000000006</v>
      </c>
    </row>
    <row r="8438" spans="4:5" x14ac:dyDescent="0.25">
      <c r="D8438" s="4">
        <v>43727</v>
      </c>
      <c r="E8438" s="6">
        <v>64.25</v>
      </c>
    </row>
    <row r="8439" spans="4:5" x14ac:dyDescent="0.25">
      <c r="D8439" s="4">
        <v>43728</v>
      </c>
      <c r="E8439" s="6">
        <v>65.23</v>
      </c>
    </row>
    <row r="8440" spans="4:5" x14ac:dyDescent="0.25">
      <c r="D8440" s="4">
        <v>43731</v>
      </c>
      <c r="E8440" s="6">
        <v>64.66</v>
      </c>
    </row>
    <row r="8441" spans="4:5" x14ac:dyDescent="0.25">
      <c r="D8441" s="4">
        <v>43732</v>
      </c>
      <c r="E8441" s="6">
        <v>64.13</v>
      </c>
    </row>
    <row r="8442" spans="4:5" x14ac:dyDescent="0.25">
      <c r="D8442" s="4">
        <v>43733</v>
      </c>
      <c r="E8442" s="6">
        <v>62.41</v>
      </c>
    </row>
    <row r="8443" spans="4:5" x14ac:dyDescent="0.25">
      <c r="D8443" s="4">
        <v>43734</v>
      </c>
      <c r="E8443" s="6">
        <v>62.08</v>
      </c>
    </row>
    <row r="8444" spans="4:5" x14ac:dyDescent="0.25">
      <c r="D8444" s="4">
        <v>43735</v>
      </c>
      <c r="E8444" s="6">
        <v>62.48</v>
      </c>
    </row>
    <row r="8445" spans="4:5" x14ac:dyDescent="0.25">
      <c r="D8445" s="4">
        <v>43738</v>
      </c>
      <c r="E8445" s="6">
        <v>60.99</v>
      </c>
    </row>
    <row r="8446" spans="4:5" x14ac:dyDescent="0.25">
      <c r="D8446" s="4">
        <v>43739</v>
      </c>
      <c r="E8446" s="6">
        <v>60.06</v>
      </c>
    </row>
    <row r="8447" spans="4:5" x14ac:dyDescent="0.25">
      <c r="D8447" s="4">
        <v>43740</v>
      </c>
      <c r="E8447" s="6">
        <v>57.92</v>
      </c>
    </row>
    <row r="8448" spans="4:5" x14ac:dyDescent="0.25">
      <c r="D8448" s="4">
        <v>43741</v>
      </c>
      <c r="E8448" s="6">
        <v>58.01</v>
      </c>
    </row>
    <row r="8449" spans="4:5" x14ac:dyDescent="0.25">
      <c r="D8449" s="4">
        <v>43742</v>
      </c>
      <c r="E8449" s="6">
        <v>59.13</v>
      </c>
    </row>
    <row r="8450" spans="4:5" x14ac:dyDescent="0.25">
      <c r="D8450" s="4">
        <v>43745</v>
      </c>
      <c r="E8450" s="6">
        <v>59.46</v>
      </c>
    </row>
    <row r="8451" spans="4:5" x14ac:dyDescent="0.25">
      <c r="D8451" s="4">
        <v>43746</v>
      </c>
      <c r="E8451" s="6">
        <v>58.14</v>
      </c>
    </row>
    <row r="8452" spans="4:5" x14ac:dyDescent="0.25">
      <c r="D8452" s="4">
        <v>43747</v>
      </c>
      <c r="E8452" s="6">
        <v>59.7</v>
      </c>
    </row>
    <row r="8453" spans="4:5" x14ac:dyDescent="0.25">
      <c r="D8453" s="4">
        <v>43748</v>
      </c>
      <c r="E8453" s="6">
        <v>59.08</v>
      </c>
    </row>
    <row r="8454" spans="4:5" x14ac:dyDescent="0.25">
      <c r="D8454" s="4">
        <v>43749</v>
      </c>
      <c r="E8454" s="6">
        <v>60.59</v>
      </c>
    </row>
    <row r="8455" spans="4:5" x14ac:dyDescent="0.25">
      <c r="D8455" s="4">
        <v>43752</v>
      </c>
      <c r="E8455" s="6">
        <v>58.81</v>
      </c>
    </row>
    <row r="8456" spans="4:5" x14ac:dyDescent="0.25">
      <c r="D8456" s="4">
        <v>43753</v>
      </c>
      <c r="E8456" s="6">
        <v>59.19</v>
      </c>
    </row>
    <row r="8457" spans="4:5" x14ac:dyDescent="0.25">
      <c r="D8457" s="4">
        <v>43754</v>
      </c>
      <c r="E8457" s="6">
        <v>59.3</v>
      </c>
    </row>
    <row r="8458" spans="4:5" x14ac:dyDescent="0.25">
      <c r="D8458" s="4">
        <v>43755</v>
      </c>
      <c r="E8458" s="6">
        <v>59.35</v>
      </c>
    </row>
    <row r="8459" spans="4:5" x14ac:dyDescent="0.25">
      <c r="D8459" s="4">
        <v>43756</v>
      </c>
      <c r="E8459" s="6">
        <v>59.96</v>
      </c>
    </row>
    <row r="8460" spans="4:5" x14ac:dyDescent="0.25">
      <c r="D8460" s="4">
        <v>43759</v>
      </c>
      <c r="E8460" s="6">
        <v>58.95</v>
      </c>
    </row>
    <row r="8461" spans="4:5" x14ac:dyDescent="0.25">
      <c r="D8461" s="4">
        <v>43760</v>
      </c>
      <c r="E8461" s="6">
        <v>60.5</v>
      </c>
    </row>
    <row r="8462" spans="4:5" x14ac:dyDescent="0.25">
      <c r="D8462" s="4">
        <v>43761</v>
      </c>
      <c r="E8462" s="6">
        <v>60.52</v>
      </c>
    </row>
    <row r="8463" spans="4:5" x14ac:dyDescent="0.25">
      <c r="D8463" s="4">
        <v>43762</v>
      </c>
      <c r="E8463" s="6">
        <v>61.71</v>
      </c>
    </row>
    <row r="8464" spans="4:5" x14ac:dyDescent="0.25">
      <c r="D8464" s="4">
        <v>43763</v>
      </c>
      <c r="E8464" s="6">
        <v>62.06</v>
      </c>
    </row>
    <row r="8465" spans="4:5" x14ac:dyDescent="0.25">
      <c r="D8465" s="4">
        <v>43766</v>
      </c>
      <c r="E8465" s="6">
        <v>60.39</v>
      </c>
    </row>
    <row r="8466" spans="4:5" x14ac:dyDescent="0.25">
      <c r="D8466" s="4">
        <v>43767</v>
      </c>
      <c r="E8466" s="6">
        <v>61.05</v>
      </c>
    </row>
    <row r="8467" spans="4:5" x14ac:dyDescent="0.25">
      <c r="D8467" s="4">
        <v>43768</v>
      </c>
      <c r="E8467" s="6">
        <v>60.22</v>
      </c>
    </row>
    <row r="8468" spans="4:5" x14ac:dyDescent="0.25">
      <c r="D8468" s="4">
        <v>43769</v>
      </c>
      <c r="E8468" s="6">
        <v>59.3</v>
      </c>
    </row>
    <row r="8469" spans="4:5" x14ac:dyDescent="0.25">
      <c r="D8469" s="4">
        <v>43770</v>
      </c>
      <c r="E8469" s="6">
        <v>60.17</v>
      </c>
    </row>
    <row r="8470" spans="4:5" x14ac:dyDescent="0.25">
      <c r="D8470" s="4">
        <v>43773</v>
      </c>
      <c r="E8470" s="6">
        <v>62.52</v>
      </c>
    </row>
    <row r="8471" spans="4:5" x14ac:dyDescent="0.25">
      <c r="D8471" s="4">
        <v>43774</v>
      </c>
      <c r="E8471" s="6">
        <v>62.72</v>
      </c>
    </row>
    <row r="8472" spans="4:5" x14ac:dyDescent="0.25">
      <c r="D8472" s="4">
        <v>43775</v>
      </c>
      <c r="E8472" s="6">
        <v>62.11</v>
      </c>
    </row>
    <row r="8473" spans="4:5" x14ac:dyDescent="0.25">
      <c r="D8473" s="4">
        <v>43776</v>
      </c>
      <c r="E8473" s="6">
        <v>62.6</v>
      </c>
    </row>
    <row r="8474" spans="4:5" x14ac:dyDescent="0.25">
      <c r="D8474" s="4">
        <v>43777</v>
      </c>
      <c r="E8474" s="6">
        <v>62</v>
      </c>
    </row>
    <row r="8475" spans="4:5" x14ac:dyDescent="0.25">
      <c r="D8475" s="4">
        <v>43780</v>
      </c>
      <c r="E8475" s="6">
        <v>62.58</v>
      </c>
    </row>
    <row r="8476" spans="4:5" x14ac:dyDescent="0.25">
      <c r="D8476" s="4">
        <v>43781</v>
      </c>
      <c r="E8476" s="6">
        <v>62.19</v>
      </c>
    </row>
    <row r="8477" spans="4:5" x14ac:dyDescent="0.25">
      <c r="D8477" s="4">
        <v>43782</v>
      </c>
      <c r="E8477" s="6">
        <v>62.27</v>
      </c>
    </row>
    <row r="8478" spans="4:5" x14ac:dyDescent="0.25">
      <c r="D8478" s="4">
        <v>43783</v>
      </c>
      <c r="E8478" s="6">
        <v>62.46</v>
      </c>
    </row>
    <row r="8479" spans="4:5" x14ac:dyDescent="0.25">
      <c r="D8479" s="4">
        <v>43784</v>
      </c>
      <c r="E8479" s="6">
        <v>63.32</v>
      </c>
    </row>
    <row r="8480" spans="4:5" x14ac:dyDescent="0.25">
      <c r="D8480" s="4">
        <v>43787</v>
      </c>
      <c r="E8480" s="6">
        <v>62.82</v>
      </c>
    </row>
    <row r="8481" spans="4:5" x14ac:dyDescent="0.25">
      <c r="D8481" s="4">
        <v>43788</v>
      </c>
      <c r="E8481" s="6">
        <v>62.37</v>
      </c>
    </row>
    <row r="8482" spans="4:5" x14ac:dyDescent="0.25">
      <c r="D8482" s="4">
        <v>43789</v>
      </c>
      <c r="E8482" s="6">
        <v>63.8</v>
      </c>
    </row>
    <row r="8483" spans="4:5" x14ac:dyDescent="0.25">
      <c r="D8483" s="4">
        <v>43790</v>
      </c>
      <c r="E8483" s="6">
        <v>64.989999999999995</v>
      </c>
    </row>
    <row r="8484" spans="4:5" x14ac:dyDescent="0.25">
      <c r="D8484" s="4">
        <v>43791</v>
      </c>
      <c r="E8484" s="6">
        <v>64.83</v>
      </c>
    </row>
    <row r="8485" spans="4:5" x14ac:dyDescent="0.25">
      <c r="D8485" s="4">
        <v>43794</v>
      </c>
      <c r="E8485" s="6">
        <v>64.67</v>
      </c>
    </row>
    <row r="8486" spans="4:5" x14ac:dyDescent="0.25">
      <c r="D8486" s="4">
        <v>43795</v>
      </c>
      <c r="E8486" s="6">
        <v>64.819999999999993</v>
      </c>
    </row>
    <row r="8487" spans="4:5" x14ac:dyDescent="0.25">
      <c r="D8487" s="4">
        <v>43796</v>
      </c>
      <c r="E8487" s="6">
        <v>65.03</v>
      </c>
    </row>
    <row r="8488" spans="4:5" x14ac:dyDescent="0.25">
      <c r="D8488" s="4">
        <v>43797</v>
      </c>
      <c r="E8488" s="6">
        <v>64.680000000000007</v>
      </c>
    </row>
    <row r="8489" spans="4:5" x14ac:dyDescent="0.25">
      <c r="D8489" s="4">
        <v>43798</v>
      </c>
      <c r="E8489" s="6">
        <v>64.5</v>
      </c>
    </row>
    <row r="8490" spans="4:5" x14ac:dyDescent="0.25">
      <c r="D8490" s="4">
        <v>43801</v>
      </c>
      <c r="E8490" s="6">
        <v>63.2</v>
      </c>
    </row>
    <row r="8491" spans="4:5" x14ac:dyDescent="0.25">
      <c r="D8491" s="4">
        <v>43802</v>
      </c>
      <c r="E8491" s="6">
        <v>62.95</v>
      </c>
    </row>
    <row r="8492" spans="4:5" x14ac:dyDescent="0.25">
      <c r="D8492" s="4">
        <v>43803</v>
      </c>
      <c r="E8492" s="6">
        <v>65.25</v>
      </c>
    </row>
    <row r="8493" spans="4:5" x14ac:dyDescent="0.25">
      <c r="D8493" s="4">
        <v>43804</v>
      </c>
      <c r="E8493" s="6">
        <v>65.67</v>
      </c>
    </row>
    <row r="8494" spans="4:5" x14ac:dyDescent="0.25">
      <c r="D8494" s="4">
        <v>43805</v>
      </c>
      <c r="E8494" s="6">
        <v>66.5</v>
      </c>
    </row>
    <row r="8495" spans="4:5" x14ac:dyDescent="0.25">
      <c r="D8495" s="4">
        <v>43808</v>
      </c>
      <c r="E8495" s="6">
        <v>66.44</v>
      </c>
    </row>
    <row r="8496" spans="4:5" x14ac:dyDescent="0.25">
      <c r="D8496" s="4">
        <v>43809</v>
      </c>
      <c r="E8496" s="6">
        <v>66.569999999999993</v>
      </c>
    </row>
    <row r="8497" spans="4:5" x14ac:dyDescent="0.25">
      <c r="D8497" s="4">
        <v>43810</v>
      </c>
      <c r="E8497" s="6">
        <v>65.37</v>
      </c>
    </row>
    <row r="8498" spans="4:5" x14ac:dyDescent="0.25">
      <c r="D8498" s="4">
        <v>43811</v>
      </c>
      <c r="E8498" s="6">
        <v>66.67</v>
      </c>
    </row>
    <row r="8499" spans="4:5" x14ac:dyDescent="0.25">
      <c r="D8499" s="4">
        <v>43812</v>
      </c>
      <c r="E8499" s="6">
        <v>67.44</v>
      </c>
    </row>
    <row r="8500" spans="4:5" x14ac:dyDescent="0.25">
      <c r="D8500" s="4">
        <v>43815</v>
      </c>
      <c r="E8500" s="6">
        <v>68.040000000000006</v>
      </c>
    </row>
    <row r="8501" spans="4:5" x14ac:dyDescent="0.25">
      <c r="D8501" s="4">
        <v>43816</v>
      </c>
      <c r="E8501" s="6">
        <v>68.989999999999995</v>
      </c>
    </row>
    <row r="8502" spans="4:5" x14ac:dyDescent="0.25">
      <c r="D8502" s="4">
        <v>43817</v>
      </c>
      <c r="E8502" s="6">
        <v>69.12</v>
      </c>
    </row>
    <row r="8503" spans="4:5" x14ac:dyDescent="0.25">
      <c r="D8503" s="4">
        <v>43818</v>
      </c>
      <c r="E8503" s="6">
        <v>69.7</v>
      </c>
    </row>
    <row r="8504" spans="4:5" x14ac:dyDescent="0.25">
      <c r="D8504" s="4">
        <v>43819</v>
      </c>
      <c r="E8504" s="6">
        <v>68.66</v>
      </c>
    </row>
    <row r="8505" spans="4:5" x14ac:dyDescent="0.25">
      <c r="D8505" s="4">
        <v>43822</v>
      </c>
      <c r="E8505" s="6">
        <v>67.489999999999995</v>
      </c>
    </row>
    <row r="8506" spans="4:5" x14ac:dyDescent="0.25">
      <c r="D8506" s="4">
        <v>43823</v>
      </c>
      <c r="E8506" s="6">
        <v>69.260000000000005</v>
      </c>
    </row>
    <row r="8507" spans="4:5" x14ac:dyDescent="0.25">
      <c r="D8507" s="4">
        <v>43824</v>
      </c>
      <c r="E8507" s="5"/>
    </row>
    <row r="8508" spans="4:5" x14ac:dyDescent="0.25">
      <c r="D8508" s="4">
        <v>43825</v>
      </c>
      <c r="E8508" s="6">
        <v>69.260000000000005</v>
      </c>
    </row>
    <row r="8509" spans="4:5" x14ac:dyDescent="0.25">
      <c r="D8509" s="4">
        <v>43826</v>
      </c>
      <c r="E8509" s="6">
        <v>68.91</v>
      </c>
    </row>
    <row r="8510" spans="4:5" x14ac:dyDescent="0.25">
      <c r="D8510" s="4">
        <v>43829</v>
      </c>
      <c r="E8510" s="6">
        <v>68.3</v>
      </c>
    </row>
    <row r="8511" spans="4:5" x14ac:dyDescent="0.25">
      <c r="D8511" s="4">
        <v>43830</v>
      </c>
      <c r="E8511" s="6">
        <v>67.77</v>
      </c>
    </row>
    <row r="8512" spans="4:5" x14ac:dyDescent="0.25">
      <c r="D8512" s="4">
        <v>43831</v>
      </c>
      <c r="E8512" s="5"/>
    </row>
    <row r="8513" spans="4:5" x14ac:dyDescent="0.25">
      <c r="D8513" s="4">
        <v>43832</v>
      </c>
      <c r="E8513" s="6">
        <v>67.05</v>
      </c>
    </row>
    <row r="8514" spans="4:5" x14ac:dyDescent="0.25">
      <c r="D8514" s="4">
        <v>43833</v>
      </c>
      <c r="E8514" s="6">
        <v>69.08</v>
      </c>
    </row>
    <row r="8515" spans="4:5" x14ac:dyDescent="0.25">
      <c r="D8515" s="4">
        <v>43836</v>
      </c>
      <c r="E8515" s="6">
        <v>70.25</v>
      </c>
    </row>
    <row r="8516" spans="4:5" x14ac:dyDescent="0.25">
      <c r="D8516" s="4">
        <v>43837</v>
      </c>
      <c r="E8516" s="6">
        <v>68.739999999999995</v>
      </c>
    </row>
    <row r="8517" spans="4:5" x14ac:dyDescent="0.25">
      <c r="D8517" s="4">
        <v>43838</v>
      </c>
      <c r="E8517" s="6">
        <v>67.31</v>
      </c>
    </row>
    <row r="8518" spans="4:5" x14ac:dyDescent="0.25">
      <c r="D8518" s="4">
        <v>43839</v>
      </c>
      <c r="E8518" s="6">
        <v>66.58</v>
      </c>
    </row>
    <row r="8519" spans="4:5" x14ac:dyDescent="0.25">
      <c r="D8519" s="4">
        <v>43840</v>
      </c>
      <c r="E8519" s="6">
        <v>66.77</v>
      </c>
    </row>
    <row r="8520" spans="4:5" x14ac:dyDescent="0.25">
      <c r="D8520" s="4">
        <v>43843</v>
      </c>
      <c r="E8520" s="6">
        <v>64.14</v>
      </c>
    </row>
    <row r="8521" spans="4:5" x14ac:dyDescent="0.25">
      <c r="D8521" s="4">
        <v>43844</v>
      </c>
      <c r="E8521" s="6">
        <v>64.45</v>
      </c>
    </row>
    <row r="8522" spans="4:5" x14ac:dyDescent="0.25">
      <c r="D8522" s="4">
        <v>43845</v>
      </c>
      <c r="E8522" s="6">
        <v>63.29</v>
      </c>
    </row>
    <row r="8523" spans="4:5" x14ac:dyDescent="0.25">
      <c r="D8523" s="4">
        <v>43846</v>
      </c>
      <c r="E8523" s="6">
        <v>64.63</v>
      </c>
    </row>
    <row r="8524" spans="4:5" x14ac:dyDescent="0.25">
      <c r="D8524" s="4">
        <v>43847</v>
      </c>
      <c r="E8524" s="6">
        <v>64.05</v>
      </c>
    </row>
    <row r="8525" spans="4:5" x14ac:dyDescent="0.25">
      <c r="D8525" s="4">
        <v>43850</v>
      </c>
      <c r="E8525" s="6">
        <v>64.63</v>
      </c>
    </row>
    <row r="8526" spans="4:5" x14ac:dyDescent="0.25">
      <c r="D8526" s="4">
        <v>43851</v>
      </c>
      <c r="E8526" s="6">
        <v>63.66</v>
      </c>
    </row>
    <row r="8527" spans="4:5" x14ac:dyDescent="0.25">
      <c r="D8527" s="4">
        <v>43852</v>
      </c>
      <c r="E8527" s="6">
        <v>62.11</v>
      </c>
    </row>
    <row r="8528" spans="4:5" x14ac:dyDescent="0.25">
      <c r="D8528" s="4">
        <v>43853</v>
      </c>
      <c r="E8528" s="6">
        <v>61.26</v>
      </c>
    </row>
    <row r="8529" spans="4:5" x14ac:dyDescent="0.25">
      <c r="D8529" s="4">
        <v>43854</v>
      </c>
      <c r="E8529" s="6">
        <v>59.34</v>
      </c>
    </row>
    <row r="8530" spans="4:5" x14ac:dyDescent="0.25">
      <c r="D8530" s="4">
        <v>43857</v>
      </c>
      <c r="E8530" s="6">
        <v>58.54</v>
      </c>
    </row>
    <row r="8531" spans="4:5" x14ac:dyDescent="0.25">
      <c r="D8531" s="4">
        <v>43858</v>
      </c>
      <c r="E8531" s="6">
        <v>59.37</v>
      </c>
    </row>
    <row r="8532" spans="4:5" x14ac:dyDescent="0.25">
      <c r="D8532" s="4">
        <v>43859</v>
      </c>
      <c r="E8532" s="6">
        <v>59.46</v>
      </c>
    </row>
    <row r="8533" spans="4:5" x14ac:dyDescent="0.25">
      <c r="D8533" s="4">
        <v>43860</v>
      </c>
      <c r="E8533" s="6">
        <v>57.72</v>
      </c>
    </row>
    <row r="8534" spans="4:5" x14ac:dyDescent="0.25">
      <c r="D8534" s="4">
        <v>43861</v>
      </c>
      <c r="E8534" s="6">
        <v>57.77</v>
      </c>
    </row>
    <row r="8535" spans="4:5" x14ac:dyDescent="0.25">
      <c r="D8535" s="4">
        <v>43864</v>
      </c>
      <c r="E8535" s="6">
        <v>54</v>
      </c>
    </row>
    <row r="8536" spans="4:5" x14ac:dyDescent="0.25">
      <c r="D8536" s="4">
        <v>43865</v>
      </c>
      <c r="E8536" s="6">
        <v>53.9</v>
      </c>
    </row>
    <row r="8537" spans="4:5" x14ac:dyDescent="0.25">
      <c r="D8537" s="4">
        <v>43866</v>
      </c>
      <c r="E8537" s="6">
        <v>55.36</v>
      </c>
    </row>
    <row r="8538" spans="4:5" x14ac:dyDescent="0.25">
      <c r="D8538" s="4">
        <v>43867</v>
      </c>
      <c r="E8538" s="6">
        <v>55.18</v>
      </c>
    </row>
    <row r="8539" spans="4:5" x14ac:dyDescent="0.25">
      <c r="D8539" s="4">
        <v>43868</v>
      </c>
      <c r="E8539" s="6">
        <v>54.53</v>
      </c>
    </row>
    <row r="8540" spans="4:5" x14ac:dyDescent="0.25">
      <c r="D8540" s="4">
        <v>43871</v>
      </c>
      <c r="E8540" s="6">
        <v>53.39</v>
      </c>
    </row>
    <row r="8541" spans="4:5" x14ac:dyDescent="0.25">
      <c r="D8541" s="4">
        <v>43872</v>
      </c>
      <c r="E8541" s="6">
        <v>54</v>
      </c>
    </row>
    <row r="8542" spans="4:5" x14ac:dyDescent="0.25">
      <c r="D8542" s="4">
        <v>43873</v>
      </c>
      <c r="E8542" s="6">
        <v>55.54</v>
      </c>
    </row>
    <row r="8543" spans="4:5" x14ac:dyDescent="0.25">
      <c r="D8543" s="4">
        <v>43874</v>
      </c>
      <c r="E8543" s="6">
        <v>56.34</v>
      </c>
    </row>
    <row r="8544" spans="4:5" x14ac:dyDescent="0.25">
      <c r="D8544" s="4">
        <v>43875</v>
      </c>
      <c r="E8544" s="6">
        <v>57.37</v>
      </c>
    </row>
    <row r="8545" spans="4:5" x14ac:dyDescent="0.25">
      <c r="D8545" s="4">
        <v>43878</v>
      </c>
      <c r="E8545" s="6">
        <v>57.83</v>
      </c>
    </row>
    <row r="8546" spans="4:5" x14ac:dyDescent="0.25">
      <c r="D8546" s="4">
        <v>43879</v>
      </c>
      <c r="E8546" s="6">
        <v>57.35</v>
      </c>
    </row>
    <row r="8547" spans="4:5" x14ac:dyDescent="0.25">
      <c r="D8547" s="4">
        <v>43880</v>
      </c>
      <c r="E8547" s="6">
        <v>59.72</v>
      </c>
    </row>
    <row r="8548" spans="4:5" x14ac:dyDescent="0.25">
      <c r="D8548" s="4">
        <v>43881</v>
      </c>
      <c r="E8548" s="6">
        <v>59.57</v>
      </c>
    </row>
    <row r="8549" spans="4:5" x14ac:dyDescent="0.25">
      <c r="D8549" s="4">
        <v>43882</v>
      </c>
      <c r="E8549" s="6">
        <v>58.6</v>
      </c>
    </row>
    <row r="8550" spans="4:5" x14ac:dyDescent="0.25">
      <c r="D8550" s="4">
        <v>43885</v>
      </c>
      <c r="E8550" s="6">
        <v>56.71</v>
      </c>
    </row>
    <row r="8551" spans="4:5" x14ac:dyDescent="0.25">
      <c r="D8551" s="4">
        <v>43886</v>
      </c>
      <c r="E8551" s="6">
        <v>55.29</v>
      </c>
    </row>
    <row r="8552" spans="4:5" x14ac:dyDescent="0.25">
      <c r="D8552" s="4">
        <v>43887</v>
      </c>
      <c r="E8552" s="6">
        <v>54.96</v>
      </c>
    </row>
    <row r="8553" spans="4:5" x14ac:dyDescent="0.25">
      <c r="D8553" s="4">
        <v>43888</v>
      </c>
      <c r="E8553" s="6">
        <v>52.19</v>
      </c>
    </row>
    <row r="8554" spans="4:5" x14ac:dyDescent="0.25">
      <c r="D8554" s="4">
        <v>43889</v>
      </c>
      <c r="E8554" s="6">
        <v>51.31</v>
      </c>
    </row>
    <row r="8555" spans="4:5" x14ac:dyDescent="0.25">
      <c r="D8555" s="4">
        <v>43892</v>
      </c>
      <c r="E8555" s="6">
        <v>52.52</v>
      </c>
    </row>
    <row r="8556" spans="4:5" x14ac:dyDescent="0.25">
      <c r="D8556" s="4">
        <v>43893</v>
      </c>
      <c r="E8556" s="6">
        <v>52.24</v>
      </c>
    </row>
    <row r="8557" spans="4:5" x14ac:dyDescent="0.25">
      <c r="D8557" s="4">
        <v>43894</v>
      </c>
      <c r="E8557" s="6">
        <v>51.86</v>
      </c>
    </row>
    <row r="8558" spans="4:5" x14ac:dyDescent="0.25">
      <c r="D8558" s="4">
        <v>43895</v>
      </c>
      <c r="E8558" s="6">
        <v>51.29</v>
      </c>
    </row>
    <row r="8559" spans="4:5" x14ac:dyDescent="0.25">
      <c r="D8559" s="4">
        <v>43896</v>
      </c>
      <c r="E8559" s="6">
        <v>45.6</v>
      </c>
    </row>
    <row r="8560" spans="4:5" x14ac:dyDescent="0.25">
      <c r="D8560" s="4">
        <v>43899</v>
      </c>
      <c r="E8560" s="6">
        <v>35.33</v>
      </c>
    </row>
    <row r="8561" spans="4:5" x14ac:dyDescent="0.25">
      <c r="D8561" s="4">
        <v>43900</v>
      </c>
      <c r="E8561" s="6">
        <v>35.57</v>
      </c>
    </row>
    <row r="8562" spans="4:5" x14ac:dyDescent="0.25">
      <c r="D8562" s="4">
        <v>43901</v>
      </c>
      <c r="E8562" s="6">
        <v>34.450000000000003</v>
      </c>
    </row>
    <row r="8563" spans="4:5" x14ac:dyDescent="0.25">
      <c r="D8563" s="4">
        <v>43902</v>
      </c>
      <c r="E8563" s="6">
        <v>31.02</v>
      </c>
    </row>
    <row r="8564" spans="4:5" x14ac:dyDescent="0.25">
      <c r="D8564" s="4">
        <v>43903</v>
      </c>
      <c r="E8564" s="6">
        <v>32.25</v>
      </c>
    </row>
    <row r="8565" spans="4:5" x14ac:dyDescent="0.25">
      <c r="D8565" s="4">
        <v>43906</v>
      </c>
      <c r="E8565" s="6">
        <v>27.98</v>
      </c>
    </row>
    <row r="8566" spans="4:5" x14ac:dyDescent="0.25">
      <c r="D8566" s="4">
        <v>43907</v>
      </c>
      <c r="E8566" s="6">
        <v>27.97</v>
      </c>
    </row>
    <row r="8567" spans="4:5" x14ac:dyDescent="0.25">
      <c r="D8567" s="4">
        <v>43908</v>
      </c>
      <c r="E8567" s="6">
        <v>22.79</v>
      </c>
    </row>
    <row r="8568" spans="4:5" x14ac:dyDescent="0.25">
      <c r="D8568" s="4">
        <v>43909</v>
      </c>
      <c r="E8568" s="6">
        <v>23.98</v>
      </c>
    </row>
    <row r="8569" spans="4:5" x14ac:dyDescent="0.25">
      <c r="D8569" s="4">
        <v>43910</v>
      </c>
      <c r="E8569" s="6">
        <v>25.55</v>
      </c>
    </row>
    <row r="8570" spans="4:5" x14ac:dyDescent="0.25">
      <c r="D8570" s="4">
        <v>43913</v>
      </c>
      <c r="E8570" s="6">
        <v>23.75</v>
      </c>
    </row>
    <row r="8571" spans="4:5" x14ac:dyDescent="0.25">
      <c r="D8571" s="4">
        <v>43914</v>
      </c>
      <c r="E8571" s="6">
        <v>24.5</v>
      </c>
    </row>
    <row r="8572" spans="4:5" x14ac:dyDescent="0.25">
      <c r="D8572" s="4">
        <v>43915</v>
      </c>
      <c r="E8572" s="6">
        <v>25.62</v>
      </c>
    </row>
    <row r="8573" spans="4:5" x14ac:dyDescent="0.25">
      <c r="D8573" s="4">
        <v>43916</v>
      </c>
      <c r="E8573" s="6">
        <v>23.55</v>
      </c>
    </row>
    <row r="8574" spans="4:5" x14ac:dyDescent="0.25">
      <c r="D8574" s="4">
        <v>43917</v>
      </c>
      <c r="E8574" s="6">
        <v>22.39</v>
      </c>
    </row>
    <row r="8575" spans="4:5" x14ac:dyDescent="0.25">
      <c r="D8575" s="4">
        <v>43920</v>
      </c>
      <c r="E8575" s="6">
        <v>19.190000000000001</v>
      </c>
    </row>
    <row r="8576" spans="4:5" x14ac:dyDescent="0.25">
      <c r="D8576" s="4">
        <v>43921</v>
      </c>
      <c r="E8576" s="6">
        <v>14.85</v>
      </c>
    </row>
    <row r="8577" spans="4:5" x14ac:dyDescent="0.25">
      <c r="D8577" s="4">
        <v>43922</v>
      </c>
      <c r="E8577" s="6">
        <v>14.97</v>
      </c>
    </row>
    <row r="8578" spans="4:5" x14ac:dyDescent="0.25">
      <c r="D8578" s="4">
        <v>43923</v>
      </c>
      <c r="E8578" s="6">
        <v>20.239999999999998</v>
      </c>
    </row>
    <row r="8579" spans="4:5" x14ac:dyDescent="0.25">
      <c r="D8579" s="4">
        <v>43924</v>
      </c>
      <c r="E8579" s="6">
        <v>24.33</v>
      </c>
    </row>
    <row r="8580" spans="4:5" x14ac:dyDescent="0.25">
      <c r="D8580" s="4">
        <v>43927</v>
      </c>
      <c r="E8580" s="6">
        <v>22.58</v>
      </c>
    </row>
    <row r="8581" spans="4:5" x14ac:dyDescent="0.25">
      <c r="D8581" s="4">
        <v>43928</v>
      </c>
      <c r="E8581" s="6">
        <v>22.1</v>
      </c>
    </row>
    <row r="8582" spans="4:5" x14ac:dyDescent="0.25">
      <c r="D8582" s="4">
        <v>43929</v>
      </c>
      <c r="E8582" s="6">
        <v>25.22</v>
      </c>
    </row>
    <row r="8583" spans="4:5" x14ac:dyDescent="0.25">
      <c r="D8583" s="4">
        <v>43930</v>
      </c>
      <c r="E8583" s="6">
        <v>20.23</v>
      </c>
    </row>
    <row r="8584" spans="4:5" x14ac:dyDescent="0.25">
      <c r="D8584" s="4">
        <v>43931</v>
      </c>
      <c r="E8584" s="5"/>
    </row>
    <row r="8585" spans="4:5" x14ac:dyDescent="0.25">
      <c r="D8585" s="4">
        <v>43934</v>
      </c>
      <c r="E8585" s="5"/>
    </row>
    <row r="8586" spans="4:5" x14ac:dyDescent="0.25">
      <c r="D8586" s="4">
        <v>43935</v>
      </c>
      <c r="E8586" s="6">
        <v>21.74</v>
      </c>
    </row>
    <row r="8587" spans="4:5" x14ac:dyDescent="0.25">
      <c r="D8587" s="4">
        <v>43936</v>
      </c>
      <c r="E8587" s="6">
        <v>19.8</v>
      </c>
    </row>
    <row r="8588" spans="4:5" x14ac:dyDescent="0.25">
      <c r="D8588" s="4">
        <v>43937</v>
      </c>
      <c r="E8588" s="6">
        <v>18.690000000000001</v>
      </c>
    </row>
    <row r="8589" spans="4:5" x14ac:dyDescent="0.25">
      <c r="D8589" s="4">
        <v>43938</v>
      </c>
      <c r="E8589" s="6">
        <v>19.75</v>
      </c>
    </row>
    <row r="8590" spans="4:5" x14ac:dyDescent="0.25">
      <c r="D8590" s="4">
        <v>43941</v>
      </c>
      <c r="E8590" s="6">
        <v>17.36</v>
      </c>
    </row>
    <row r="8591" spans="4:5" x14ac:dyDescent="0.25">
      <c r="D8591" s="4">
        <v>43942</v>
      </c>
      <c r="E8591" s="6">
        <v>9.1199999999999992</v>
      </c>
    </row>
    <row r="8592" spans="4:5" x14ac:dyDescent="0.25">
      <c r="D8592" s="4">
        <v>43943</v>
      </c>
      <c r="E8592" s="6">
        <v>13.77</v>
      </c>
    </row>
    <row r="8593" spans="4:5" x14ac:dyDescent="0.25">
      <c r="D8593" s="4">
        <v>43944</v>
      </c>
      <c r="E8593" s="6">
        <v>15.06</v>
      </c>
    </row>
    <row r="8594" spans="4:5" x14ac:dyDescent="0.25">
      <c r="D8594" s="4">
        <v>43945</v>
      </c>
      <c r="E8594" s="6">
        <v>15.87</v>
      </c>
    </row>
    <row r="8595" spans="4:5" x14ac:dyDescent="0.25">
      <c r="D8595" s="4">
        <v>43948</v>
      </c>
      <c r="E8595" s="6">
        <v>15.17</v>
      </c>
    </row>
    <row r="8596" spans="4:5" x14ac:dyDescent="0.25">
      <c r="D8596" s="4">
        <v>43949</v>
      </c>
      <c r="E8596" s="6">
        <v>15.6</v>
      </c>
    </row>
    <row r="8597" spans="4:5" x14ac:dyDescent="0.25">
      <c r="D8597" s="4">
        <v>43950</v>
      </c>
      <c r="E8597" s="6">
        <v>17.86</v>
      </c>
    </row>
    <row r="8598" spans="4:5" x14ac:dyDescent="0.25">
      <c r="D8598" s="4">
        <v>43951</v>
      </c>
      <c r="E8598" s="6">
        <v>18.11</v>
      </c>
    </row>
    <row r="8599" spans="4:5" x14ac:dyDescent="0.25">
      <c r="D8599" s="4">
        <v>43952</v>
      </c>
      <c r="E8599" s="6">
        <v>18.489999999999998</v>
      </c>
    </row>
    <row r="8600" spans="4:5" x14ac:dyDescent="0.25">
      <c r="D8600" s="4">
        <v>43955</v>
      </c>
      <c r="E8600" s="6">
        <v>20.399999999999999</v>
      </c>
    </row>
    <row r="8601" spans="4:5" x14ac:dyDescent="0.25">
      <c r="D8601" s="4">
        <v>43956</v>
      </c>
      <c r="E8601" s="6">
        <v>25.46</v>
      </c>
    </row>
    <row r="8602" spans="4:5" x14ac:dyDescent="0.25">
      <c r="D8602" s="4">
        <v>43957</v>
      </c>
      <c r="E8602" s="6">
        <v>24.2</v>
      </c>
    </row>
    <row r="8603" spans="4:5" x14ac:dyDescent="0.25">
      <c r="D8603" s="4">
        <v>43958</v>
      </c>
      <c r="E8603" s="6">
        <v>24.23</v>
      </c>
    </row>
    <row r="8604" spans="4:5" x14ac:dyDescent="0.25">
      <c r="D8604" s="4">
        <v>43959</v>
      </c>
      <c r="E8604" s="5"/>
    </row>
    <row r="8605" spans="4:5" x14ac:dyDescent="0.25">
      <c r="D8605" s="4">
        <v>43962</v>
      </c>
      <c r="E8605" s="6">
        <v>25.53</v>
      </c>
    </row>
    <row r="8606" spans="4:5" x14ac:dyDescent="0.25">
      <c r="D8606" s="4">
        <v>43963</v>
      </c>
      <c r="E8606" s="6">
        <v>26.67</v>
      </c>
    </row>
    <row r="8607" spans="4:5" x14ac:dyDescent="0.25">
      <c r="D8607" s="4">
        <v>43964</v>
      </c>
      <c r="E8607" s="6">
        <v>27.89</v>
      </c>
    </row>
    <row r="8608" spans="4:5" x14ac:dyDescent="0.25">
      <c r="D8608" s="4">
        <v>43965</v>
      </c>
      <c r="E8608" s="6">
        <v>29.87</v>
      </c>
    </row>
    <row r="8609" spans="4:5" x14ac:dyDescent="0.25">
      <c r="D8609" s="4">
        <v>43966</v>
      </c>
      <c r="E8609" s="6">
        <v>30.95</v>
      </c>
    </row>
    <row r="8610" spans="4:5" x14ac:dyDescent="0.25">
      <c r="D8610" s="4">
        <v>43969</v>
      </c>
      <c r="E8610" s="6">
        <v>33.299999999999997</v>
      </c>
    </row>
    <row r="8611" spans="4:5" x14ac:dyDescent="0.25">
      <c r="D8611" s="4">
        <v>43970</v>
      </c>
      <c r="E8611" s="6">
        <v>33.06</v>
      </c>
    </row>
    <row r="8612" spans="4:5" x14ac:dyDescent="0.25">
      <c r="D8612" s="4">
        <v>43971</v>
      </c>
      <c r="E8612" s="6">
        <v>34.76</v>
      </c>
    </row>
    <row r="8613" spans="4:5" x14ac:dyDescent="0.25">
      <c r="D8613" s="4">
        <v>43972</v>
      </c>
      <c r="E8613" s="6">
        <v>34.78</v>
      </c>
    </row>
    <row r="8614" spans="4:5" x14ac:dyDescent="0.25">
      <c r="D8614" s="4">
        <v>43973</v>
      </c>
      <c r="E8614" s="6">
        <v>33.799999999999997</v>
      </c>
    </row>
    <row r="8615" spans="4:5" x14ac:dyDescent="0.25">
      <c r="D8615" s="4">
        <v>43976</v>
      </c>
      <c r="E8615" s="5"/>
    </row>
    <row r="8616" spans="4:5" x14ac:dyDescent="0.25">
      <c r="D8616" s="4">
        <v>43977</v>
      </c>
      <c r="E8616" s="6">
        <v>33.950000000000003</v>
      </c>
    </row>
    <row r="8617" spans="4:5" x14ac:dyDescent="0.25">
      <c r="D8617" s="4">
        <v>43978</v>
      </c>
      <c r="E8617" s="6">
        <v>32.729999999999997</v>
      </c>
    </row>
    <row r="8618" spans="4:5" x14ac:dyDescent="0.25">
      <c r="D8618" s="4">
        <v>43979</v>
      </c>
      <c r="E8618" s="6">
        <v>33.979999999999997</v>
      </c>
    </row>
    <row r="8619" spans="4:5" x14ac:dyDescent="0.25">
      <c r="D8619" s="4">
        <v>43980</v>
      </c>
      <c r="E8619" s="6">
        <v>34.15</v>
      </c>
    </row>
    <row r="8620" spans="4:5" x14ac:dyDescent="0.25">
      <c r="D8620" s="4">
        <v>43983</v>
      </c>
      <c r="E8620" s="6">
        <v>36.74</v>
      </c>
    </row>
    <row r="8621" spans="4:5" x14ac:dyDescent="0.25">
      <c r="D8621" s="4">
        <v>43984</v>
      </c>
      <c r="E8621" s="6">
        <v>37.72</v>
      </c>
    </row>
    <row r="8622" spans="4:5" x14ac:dyDescent="0.25">
      <c r="D8622" s="4">
        <v>43985</v>
      </c>
      <c r="E8622" s="6">
        <v>37.979999999999997</v>
      </c>
    </row>
    <row r="8623" spans="4:5" x14ac:dyDescent="0.25">
      <c r="D8623" s="4">
        <v>43986</v>
      </c>
      <c r="E8623" s="6">
        <v>38.409999999999997</v>
      </c>
    </row>
    <row r="8624" spans="4:5" x14ac:dyDescent="0.25">
      <c r="D8624" s="4">
        <v>43987</v>
      </c>
      <c r="E8624" s="6">
        <v>41</v>
      </c>
    </row>
    <row r="8625" spans="4:5" x14ac:dyDescent="0.25">
      <c r="D8625" s="4">
        <v>43990</v>
      </c>
      <c r="E8625" s="6">
        <v>39.659999999999997</v>
      </c>
    </row>
    <row r="8626" spans="4:5" x14ac:dyDescent="0.25">
      <c r="D8626" s="4">
        <v>43991</v>
      </c>
      <c r="E8626" s="6">
        <v>40.450000000000003</v>
      </c>
    </row>
    <row r="8627" spans="4:5" x14ac:dyDescent="0.25">
      <c r="D8627" s="4">
        <v>43992</v>
      </c>
      <c r="E8627" s="6">
        <v>41.18</v>
      </c>
    </row>
    <row r="8628" spans="4:5" x14ac:dyDescent="0.25">
      <c r="D8628" s="4">
        <v>43993</v>
      </c>
      <c r="E8628" s="6">
        <v>37.76</v>
      </c>
    </row>
    <row r="8629" spans="4:5" x14ac:dyDescent="0.25">
      <c r="D8629" s="4">
        <v>43994</v>
      </c>
      <c r="E8629" s="6">
        <v>38.54</v>
      </c>
    </row>
    <row r="8630" spans="4:5" x14ac:dyDescent="0.25">
      <c r="D8630" s="4">
        <v>43997</v>
      </c>
      <c r="E8630" s="6">
        <v>39.44</v>
      </c>
    </row>
    <row r="8631" spans="4:5" x14ac:dyDescent="0.25">
      <c r="D8631" s="4">
        <v>43998</v>
      </c>
      <c r="E8631" s="6">
        <v>40.75</v>
      </c>
    </row>
    <row r="8632" spans="4:5" x14ac:dyDescent="0.25">
      <c r="D8632" s="4">
        <v>43999</v>
      </c>
      <c r="E8632" s="6">
        <v>40.47</v>
      </c>
    </row>
    <row r="8633" spans="4:5" x14ac:dyDescent="0.25">
      <c r="D8633" s="4">
        <v>44000</v>
      </c>
      <c r="E8633" s="6">
        <v>41.75</v>
      </c>
    </row>
    <row r="8634" spans="4:5" x14ac:dyDescent="0.25">
      <c r="D8634" s="4">
        <v>44001</v>
      </c>
      <c r="E8634" s="6">
        <v>42.33</v>
      </c>
    </row>
    <row r="8635" spans="4:5" x14ac:dyDescent="0.25">
      <c r="D8635" s="4">
        <v>44004</v>
      </c>
      <c r="E8635" s="6">
        <v>43.2</v>
      </c>
    </row>
    <row r="8636" spans="4:5" x14ac:dyDescent="0.25">
      <c r="D8636" s="4">
        <v>44005</v>
      </c>
      <c r="E8636" s="6">
        <v>42.72</v>
      </c>
    </row>
    <row r="8637" spans="4:5" x14ac:dyDescent="0.25">
      <c r="D8637" s="4">
        <v>44006</v>
      </c>
      <c r="E8637" s="6">
        <v>40.4</v>
      </c>
    </row>
    <row r="8638" spans="4:5" x14ac:dyDescent="0.25">
      <c r="D8638" s="4">
        <v>44007</v>
      </c>
      <c r="E8638" s="6">
        <v>41.18</v>
      </c>
    </row>
    <row r="8639" spans="4:5" x14ac:dyDescent="0.25">
      <c r="D8639" s="4">
        <v>44008</v>
      </c>
      <c r="E8639" s="6">
        <v>40.97</v>
      </c>
    </row>
    <row r="8640" spans="4:5" x14ac:dyDescent="0.25">
      <c r="D8640" s="4">
        <v>44011</v>
      </c>
      <c r="E8640" s="6">
        <v>41.58</v>
      </c>
    </row>
    <row r="8641" spans="4:5" x14ac:dyDescent="0.25">
      <c r="D8641" s="4">
        <v>44012</v>
      </c>
      <c r="E8641" s="6">
        <v>41.64</v>
      </c>
    </row>
    <row r="8642" spans="4:5" x14ac:dyDescent="0.25">
      <c r="D8642" s="4">
        <v>44013</v>
      </c>
      <c r="E8642" s="6">
        <v>42.18</v>
      </c>
    </row>
    <row r="8643" spans="4:5" x14ac:dyDescent="0.25">
      <c r="D8643" s="4">
        <v>44014</v>
      </c>
      <c r="E8643" s="6">
        <v>43.19</v>
      </c>
    </row>
    <row r="8644" spans="4:5" x14ac:dyDescent="0.25">
      <c r="D8644" s="4">
        <v>44015</v>
      </c>
      <c r="E8644" s="6">
        <v>42.92</v>
      </c>
    </row>
    <row r="8645" spans="4:5" x14ac:dyDescent="0.25">
      <c r="D8645" s="4">
        <v>44018</v>
      </c>
      <c r="E8645" s="6">
        <v>42.73</v>
      </c>
    </row>
    <row r="8646" spans="4:5" x14ac:dyDescent="0.25">
      <c r="D8646" s="4">
        <v>44019</v>
      </c>
      <c r="E8646" s="6">
        <v>43.28</v>
      </c>
    </row>
    <row r="8647" spans="4:5" x14ac:dyDescent="0.25">
      <c r="D8647" s="4">
        <v>44020</v>
      </c>
      <c r="E8647" s="6">
        <v>43.67</v>
      </c>
    </row>
    <row r="8648" spans="4:5" x14ac:dyDescent="0.25">
      <c r="D8648" s="4">
        <v>44021</v>
      </c>
      <c r="E8648" s="6">
        <v>42.35</v>
      </c>
    </row>
    <row r="8649" spans="4:5" x14ac:dyDescent="0.25">
      <c r="D8649" s="4">
        <v>44022</v>
      </c>
      <c r="E8649" s="6">
        <v>43.27</v>
      </c>
    </row>
    <row r="8650" spans="4:5" x14ac:dyDescent="0.25">
      <c r="D8650" s="4">
        <v>44025</v>
      </c>
      <c r="E8650" s="6">
        <v>42.85</v>
      </c>
    </row>
    <row r="8651" spans="4:5" x14ac:dyDescent="0.25">
      <c r="D8651" s="4">
        <v>44026</v>
      </c>
      <c r="E8651" s="6">
        <v>42.97</v>
      </c>
    </row>
    <row r="8652" spans="4:5" x14ac:dyDescent="0.25">
      <c r="D8652" s="4">
        <v>44027</v>
      </c>
      <c r="E8652" s="6">
        <v>43.96</v>
      </c>
    </row>
    <row r="8653" spans="4:5" x14ac:dyDescent="0.25">
      <c r="D8653" s="4">
        <v>44028</v>
      </c>
      <c r="E8653" s="6">
        <v>43.71</v>
      </c>
    </row>
    <row r="8654" spans="4:5" x14ac:dyDescent="0.25">
      <c r="D8654" s="4">
        <v>44029</v>
      </c>
      <c r="E8654" s="6">
        <v>43.53</v>
      </c>
    </row>
    <row r="8655" spans="4:5" x14ac:dyDescent="0.25">
      <c r="D8655" s="4">
        <v>44032</v>
      </c>
      <c r="E8655" s="6">
        <v>43.3</v>
      </c>
    </row>
    <row r="8656" spans="4:5" x14ac:dyDescent="0.25">
      <c r="D8656" s="4">
        <v>44033</v>
      </c>
      <c r="E8656" s="6">
        <v>44.31</v>
      </c>
    </row>
    <row r="8657" spans="4:5" x14ac:dyDescent="0.25">
      <c r="D8657" s="4">
        <v>44034</v>
      </c>
      <c r="E8657" s="6">
        <v>43.98</v>
      </c>
    </row>
    <row r="8658" spans="4:5" x14ac:dyDescent="0.25">
      <c r="D8658" s="4">
        <v>44035</v>
      </c>
      <c r="E8658" s="6">
        <v>42.96</v>
      </c>
    </row>
    <row r="8659" spans="4:5" x14ac:dyDescent="0.25">
      <c r="D8659" s="4">
        <v>44036</v>
      </c>
      <c r="E8659" s="6">
        <v>43.29</v>
      </c>
    </row>
    <row r="8660" spans="4:5" x14ac:dyDescent="0.25">
      <c r="D8660" s="4">
        <v>44039</v>
      </c>
      <c r="E8660" s="6">
        <v>43.39</v>
      </c>
    </row>
    <row r="8661" spans="4:5" x14ac:dyDescent="0.25">
      <c r="D8661" s="4">
        <v>44040</v>
      </c>
      <c r="E8661" s="6">
        <v>43.11</v>
      </c>
    </row>
    <row r="8662" spans="4:5" x14ac:dyDescent="0.25">
      <c r="D8662" s="4">
        <v>44041</v>
      </c>
      <c r="E8662" s="6">
        <v>43.51</v>
      </c>
    </row>
    <row r="8663" spans="4:5" x14ac:dyDescent="0.25">
      <c r="D8663" s="4">
        <v>44042</v>
      </c>
      <c r="E8663" s="6">
        <v>42.98</v>
      </c>
    </row>
    <row r="8664" spans="4:5" x14ac:dyDescent="0.25">
      <c r="D8664" s="4">
        <v>44043</v>
      </c>
      <c r="E8664" s="6">
        <v>43.13</v>
      </c>
    </row>
    <row r="8665" spans="4:5" x14ac:dyDescent="0.25">
      <c r="D8665" s="4">
        <v>44046</v>
      </c>
      <c r="E8665" s="6">
        <v>43.76</v>
      </c>
    </row>
    <row r="8666" spans="4:5" x14ac:dyDescent="0.25">
      <c r="D8666" s="4">
        <v>44047</v>
      </c>
      <c r="E8666" s="6">
        <v>43.99</v>
      </c>
    </row>
    <row r="8667" spans="4:5" x14ac:dyDescent="0.25">
      <c r="D8667" s="4">
        <v>44048</v>
      </c>
      <c r="E8667" s="6">
        <v>44.92</v>
      </c>
    </row>
    <row r="8668" spans="4:5" x14ac:dyDescent="0.25">
      <c r="D8668" s="4">
        <v>44049</v>
      </c>
      <c r="E8668" s="6">
        <v>45.04</v>
      </c>
    </row>
    <row r="8669" spans="4:5" x14ac:dyDescent="0.25">
      <c r="D8669" s="4">
        <v>44050</v>
      </c>
      <c r="E8669" s="6">
        <v>44.07</v>
      </c>
    </row>
    <row r="8670" spans="4:5" x14ac:dyDescent="0.25">
      <c r="D8670" s="4">
        <v>44053</v>
      </c>
      <c r="E8670" s="6">
        <v>44.19</v>
      </c>
    </row>
    <row r="8671" spans="4:5" x14ac:dyDescent="0.25">
      <c r="D8671" s="4">
        <v>44054</v>
      </c>
      <c r="E8671" s="6">
        <v>43.68</v>
      </c>
    </row>
    <row r="8672" spans="4:5" x14ac:dyDescent="0.25">
      <c r="D8672" s="4">
        <v>44055</v>
      </c>
      <c r="E8672" s="6">
        <v>45.09</v>
      </c>
    </row>
    <row r="8673" spans="4:5" x14ac:dyDescent="0.25">
      <c r="D8673" s="4">
        <v>44056</v>
      </c>
      <c r="E8673" s="6">
        <v>44.87</v>
      </c>
    </row>
    <row r="8674" spans="4:5" x14ac:dyDescent="0.25">
      <c r="D8674" s="4">
        <v>44057</v>
      </c>
      <c r="E8674" s="6">
        <v>44.86</v>
      </c>
    </row>
    <row r="8675" spans="4:5" x14ac:dyDescent="0.25">
      <c r="D8675" s="4">
        <v>44060</v>
      </c>
      <c r="E8675" s="6">
        <v>44.91</v>
      </c>
    </row>
    <row r="8676" spans="4:5" x14ac:dyDescent="0.25">
      <c r="D8676" s="4">
        <v>44061</v>
      </c>
      <c r="E8676" s="6">
        <v>45.34</v>
      </c>
    </row>
    <row r="8677" spans="4:5" x14ac:dyDescent="0.25">
      <c r="D8677" s="4">
        <v>44062</v>
      </c>
      <c r="E8677" s="6">
        <v>45.21</v>
      </c>
    </row>
    <row r="8678" spans="4:5" x14ac:dyDescent="0.25">
      <c r="D8678" s="4">
        <v>44063</v>
      </c>
      <c r="E8678" s="6">
        <v>44.56</v>
      </c>
    </row>
    <row r="8679" spans="4:5" x14ac:dyDescent="0.25">
      <c r="D8679" s="4">
        <v>44064</v>
      </c>
      <c r="E8679" s="6">
        <v>43.94</v>
      </c>
    </row>
    <row r="8680" spans="4:5" x14ac:dyDescent="0.25">
      <c r="D8680" s="4">
        <v>44067</v>
      </c>
      <c r="E8680" s="6">
        <v>44.43</v>
      </c>
    </row>
    <row r="8681" spans="4:5" x14ac:dyDescent="0.25">
      <c r="D8681" s="4">
        <v>44068</v>
      </c>
      <c r="E8681" s="6">
        <v>46.01</v>
      </c>
    </row>
    <row r="8682" spans="4:5" x14ac:dyDescent="0.25">
      <c r="D8682" s="4">
        <v>44069</v>
      </c>
      <c r="E8682" s="6">
        <v>45.79</v>
      </c>
    </row>
    <row r="8683" spans="4:5" x14ac:dyDescent="0.25">
      <c r="D8683" s="4">
        <v>44070</v>
      </c>
      <c r="E8683" s="6">
        <v>44.84</v>
      </c>
    </row>
    <row r="8684" spans="4:5" x14ac:dyDescent="0.25">
      <c r="D8684" s="4">
        <v>44071</v>
      </c>
      <c r="E8684" s="6">
        <v>45.22</v>
      </c>
    </row>
    <row r="8685" spans="4:5" x14ac:dyDescent="0.25">
      <c r="D8685" s="4">
        <v>44074</v>
      </c>
      <c r="E8685" s="5"/>
    </row>
    <row r="8686" spans="4:5" x14ac:dyDescent="0.25">
      <c r="D8686" s="4">
        <v>44075</v>
      </c>
      <c r="E8686" s="6">
        <v>45.72</v>
      </c>
    </row>
    <row r="8687" spans="4:5" x14ac:dyDescent="0.25">
      <c r="D8687" s="4">
        <v>44076</v>
      </c>
      <c r="E8687" s="6">
        <v>42.7</v>
      </c>
    </row>
    <row r="8688" spans="4:5" x14ac:dyDescent="0.25">
      <c r="D8688" s="4">
        <v>44077</v>
      </c>
      <c r="E8688" s="6">
        <v>42.72</v>
      </c>
    </row>
    <row r="8689" spans="4:5" x14ac:dyDescent="0.25">
      <c r="D8689" s="4">
        <v>44078</v>
      </c>
      <c r="E8689" s="6">
        <v>41.1</v>
      </c>
    </row>
    <row r="8690" spans="4:5" x14ac:dyDescent="0.25">
      <c r="D8690" s="4">
        <v>44081</v>
      </c>
      <c r="E8690" s="6">
        <v>40.67</v>
      </c>
    </row>
    <row r="8691" spans="4:5" x14ac:dyDescent="0.25">
      <c r="D8691" s="4">
        <v>44082</v>
      </c>
      <c r="E8691" s="6">
        <v>38.53</v>
      </c>
    </row>
    <row r="8692" spans="4:5" x14ac:dyDescent="0.25">
      <c r="D8692" s="4">
        <v>44083</v>
      </c>
      <c r="E8692" s="6">
        <v>39.979999999999997</v>
      </c>
    </row>
    <row r="8693" spans="4:5" x14ac:dyDescent="0.25">
      <c r="D8693" s="4">
        <v>44084</v>
      </c>
      <c r="E8693" s="6">
        <v>39.270000000000003</v>
      </c>
    </row>
    <row r="8694" spans="4:5" x14ac:dyDescent="0.25">
      <c r="D8694" s="4">
        <v>44085</v>
      </c>
      <c r="E8694" s="6">
        <v>38.799999999999997</v>
      </c>
    </row>
    <row r="8695" spans="4:5" x14ac:dyDescent="0.25">
      <c r="D8695" s="4">
        <v>44088</v>
      </c>
      <c r="E8695" s="6">
        <v>38.57</v>
      </c>
    </row>
    <row r="8696" spans="4:5" x14ac:dyDescent="0.25">
      <c r="D8696" s="4">
        <v>44089</v>
      </c>
      <c r="E8696" s="6">
        <v>39.54</v>
      </c>
    </row>
    <row r="8697" spans="4:5" x14ac:dyDescent="0.25">
      <c r="D8697" s="4">
        <v>44090</v>
      </c>
      <c r="E8697" s="6">
        <v>41.23</v>
      </c>
    </row>
    <row r="8698" spans="4:5" x14ac:dyDescent="0.25">
      <c r="D8698" s="4">
        <v>44091</v>
      </c>
      <c r="E8698" s="6">
        <v>42.35</v>
      </c>
    </row>
    <row r="8699" spans="4:5" x14ac:dyDescent="0.25">
      <c r="D8699" s="4">
        <v>44092</v>
      </c>
      <c r="E8699" s="6">
        <v>42.16</v>
      </c>
    </row>
    <row r="8700" spans="4:5" x14ac:dyDescent="0.25">
      <c r="D8700" s="4">
        <v>44095</v>
      </c>
      <c r="E8700" s="6">
        <v>40.369999999999997</v>
      </c>
    </row>
    <row r="8701" spans="4:5" x14ac:dyDescent="0.25">
      <c r="D8701" s="4">
        <v>44096</v>
      </c>
      <c r="E8701" s="6">
        <v>40.840000000000003</v>
      </c>
    </row>
    <row r="8702" spans="4:5" x14ac:dyDescent="0.25">
      <c r="D8702" s="4">
        <v>44097</v>
      </c>
      <c r="E8702" s="6">
        <v>41.09</v>
      </c>
    </row>
    <row r="8703" spans="4:5" x14ac:dyDescent="0.25">
      <c r="D8703" s="4">
        <v>44098</v>
      </c>
      <c r="E8703" s="6">
        <v>41.24</v>
      </c>
    </row>
    <row r="8704" spans="4:5" x14ac:dyDescent="0.25">
      <c r="D8704" s="4">
        <v>44099</v>
      </c>
      <c r="E8704" s="6">
        <v>40.909999999999997</v>
      </c>
    </row>
    <row r="8705" spans="4:5" x14ac:dyDescent="0.25">
      <c r="D8705" s="4">
        <v>44102</v>
      </c>
      <c r="E8705" s="6">
        <v>41.59</v>
      </c>
    </row>
    <row r="8706" spans="4:5" x14ac:dyDescent="0.25">
      <c r="D8706" s="4">
        <v>44103</v>
      </c>
      <c r="E8706" s="6">
        <v>40.33</v>
      </c>
    </row>
    <row r="8707" spans="4:5" x14ac:dyDescent="0.25">
      <c r="D8707" s="4">
        <v>44104</v>
      </c>
      <c r="E8707" s="6">
        <v>40.299999999999997</v>
      </c>
    </row>
    <row r="8708" spans="4:5" x14ac:dyDescent="0.25">
      <c r="D8708" s="4">
        <v>44105</v>
      </c>
      <c r="E8708" s="6">
        <v>39.75</v>
      </c>
    </row>
    <row r="8709" spans="4:5" x14ac:dyDescent="0.25">
      <c r="D8709" s="4">
        <v>44106</v>
      </c>
      <c r="E8709" s="6">
        <v>38</v>
      </c>
    </row>
    <row r="8710" spans="4:5" x14ac:dyDescent="0.25">
      <c r="D8710" s="4">
        <v>44109</v>
      </c>
      <c r="E8710" s="6">
        <v>39.78</v>
      </c>
    </row>
    <row r="8711" spans="4:5" x14ac:dyDescent="0.25">
      <c r="D8711" s="4">
        <v>44110</v>
      </c>
      <c r="E8711" s="6">
        <v>41.27</v>
      </c>
    </row>
    <row r="8712" spans="4:5" x14ac:dyDescent="0.25">
      <c r="D8712" s="4">
        <v>44111</v>
      </c>
      <c r="E8712" s="6">
        <v>40.619999999999997</v>
      </c>
    </row>
    <row r="8713" spans="4:5" x14ac:dyDescent="0.25">
      <c r="D8713" s="4">
        <v>44112</v>
      </c>
      <c r="E8713" s="6">
        <v>42</v>
      </c>
    </row>
    <row r="8714" spans="4:5" x14ac:dyDescent="0.25">
      <c r="D8714" s="4">
        <v>44113</v>
      </c>
      <c r="E8714" s="6">
        <v>41.63</v>
      </c>
    </row>
    <row r="8715" spans="4:5" x14ac:dyDescent="0.25">
      <c r="D8715" s="4">
        <v>44116</v>
      </c>
      <c r="E8715" s="6">
        <v>40.5</v>
      </c>
    </row>
    <row r="8716" spans="4:5" x14ac:dyDescent="0.25">
      <c r="D8716" s="4">
        <v>44117</v>
      </c>
      <c r="E8716" s="6">
        <v>41.34</v>
      </c>
    </row>
    <row r="8717" spans="4:5" x14ac:dyDescent="0.25">
      <c r="D8717" s="4">
        <v>44118</v>
      </c>
      <c r="E8717" s="6">
        <v>41.81</v>
      </c>
    </row>
    <row r="8718" spans="4:5" x14ac:dyDescent="0.25">
      <c r="D8718" s="4">
        <v>44119</v>
      </c>
      <c r="E8718" s="6">
        <v>41.61</v>
      </c>
    </row>
    <row r="8719" spans="4:5" x14ac:dyDescent="0.25">
      <c r="D8719" s="4">
        <v>44120</v>
      </c>
      <c r="E8719" s="6">
        <v>41.34</v>
      </c>
    </row>
    <row r="8720" spans="4:5" x14ac:dyDescent="0.25">
      <c r="D8720" s="4">
        <v>44123</v>
      </c>
      <c r="E8720" s="6">
        <v>41.29</v>
      </c>
    </row>
    <row r="8721" spans="4:5" x14ac:dyDescent="0.25">
      <c r="D8721" s="4">
        <v>44124</v>
      </c>
      <c r="E8721" s="6">
        <v>41.62</v>
      </c>
    </row>
    <row r="8722" spans="4:5" x14ac:dyDescent="0.25">
      <c r="D8722" s="4">
        <v>44125</v>
      </c>
      <c r="E8722" s="6">
        <v>40.090000000000003</v>
      </c>
    </row>
    <row r="8723" spans="4:5" x14ac:dyDescent="0.25">
      <c r="D8723" s="4">
        <v>44126</v>
      </c>
      <c r="E8723" s="6">
        <v>41.28</v>
      </c>
    </row>
    <row r="8724" spans="4:5" x14ac:dyDescent="0.25">
      <c r="D8724" s="4">
        <v>44127</v>
      </c>
      <c r="E8724" s="6">
        <v>40.71</v>
      </c>
    </row>
    <row r="8725" spans="4:5" x14ac:dyDescent="0.25">
      <c r="D8725" s="4">
        <v>44130</v>
      </c>
      <c r="E8725" s="6">
        <v>39.06</v>
      </c>
    </row>
    <row r="8726" spans="4:5" x14ac:dyDescent="0.25">
      <c r="D8726" s="4">
        <v>44131</v>
      </c>
      <c r="E8726" s="6">
        <v>39.72</v>
      </c>
    </row>
    <row r="8727" spans="4:5" x14ac:dyDescent="0.25">
      <c r="D8727" s="4">
        <v>44132</v>
      </c>
      <c r="E8727" s="6">
        <v>37.86</v>
      </c>
    </row>
    <row r="8728" spans="4:5" x14ac:dyDescent="0.25">
      <c r="D8728" s="4">
        <v>44133</v>
      </c>
      <c r="E8728" s="6">
        <v>36.56</v>
      </c>
    </row>
    <row r="8729" spans="4:5" x14ac:dyDescent="0.25">
      <c r="D8729" s="4">
        <v>44134</v>
      </c>
      <c r="E8729" s="6">
        <v>36.33</v>
      </c>
    </row>
    <row r="8730" spans="4:5" x14ac:dyDescent="0.25">
      <c r="D8730" s="4">
        <v>44137</v>
      </c>
      <c r="E8730" s="6">
        <v>37.78</v>
      </c>
    </row>
    <row r="8731" spans="4:5" x14ac:dyDescent="0.25">
      <c r="D8731" s="4">
        <v>44138</v>
      </c>
      <c r="E8731" s="6">
        <v>38.17</v>
      </c>
    </row>
    <row r="8732" spans="4:5" x14ac:dyDescent="0.25">
      <c r="D8732" s="4">
        <v>44139</v>
      </c>
      <c r="E8732" s="6">
        <v>39.68</v>
      </c>
    </row>
    <row r="8733" spans="4:5" x14ac:dyDescent="0.25">
      <c r="D8733" s="4">
        <v>44140</v>
      </c>
      <c r="E8733" s="6">
        <v>39.47</v>
      </c>
    </row>
    <row r="8734" spans="4:5" x14ac:dyDescent="0.25">
      <c r="D8734" s="4">
        <v>44141</v>
      </c>
      <c r="E8734" s="6">
        <v>38.08</v>
      </c>
    </row>
    <row r="8735" spans="4:5" x14ac:dyDescent="0.25">
      <c r="D8735" s="4">
        <v>44144</v>
      </c>
      <c r="E8735" s="6">
        <v>40.93</v>
      </c>
    </row>
    <row r="8736" spans="4:5" x14ac:dyDescent="0.25">
      <c r="D8736" s="4">
        <v>44145</v>
      </c>
      <c r="E8736" s="6">
        <v>42.25</v>
      </c>
    </row>
    <row r="8737" spans="4:5" x14ac:dyDescent="0.25">
      <c r="D8737" s="4">
        <v>44146</v>
      </c>
      <c r="E8737" s="6">
        <v>42.5</v>
      </c>
    </row>
    <row r="8738" spans="4:5" x14ac:dyDescent="0.25">
      <c r="D8738" s="4">
        <v>44147</v>
      </c>
      <c r="E8738" s="6">
        <v>42.16</v>
      </c>
    </row>
    <row r="8739" spans="4:5" x14ac:dyDescent="0.25">
      <c r="D8739" s="4">
        <v>44148</v>
      </c>
      <c r="E8739" s="6">
        <v>41.51</v>
      </c>
    </row>
    <row r="8740" spans="4:5" x14ac:dyDescent="0.25">
      <c r="D8740" s="4">
        <v>44151</v>
      </c>
      <c r="E8740" s="6">
        <v>42.71</v>
      </c>
    </row>
    <row r="8741" spans="4:5" x14ac:dyDescent="0.25">
      <c r="D8741" s="4">
        <v>44152</v>
      </c>
      <c r="E8741" s="6">
        <v>42.54</v>
      </c>
    </row>
    <row r="8742" spans="4:5" x14ac:dyDescent="0.25">
      <c r="D8742" s="4">
        <v>44153</v>
      </c>
      <c r="E8742" s="6">
        <v>42.91</v>
      </c>
    </row>
    <row r="8743" spans="4:5" x14ac:dyDescent="0.25">
      <c r="D8743" s="4">
        <v>44154</v>
      </c>
      <c r="E8743" s="6">
        <v>43.09</v>
      </c>
    </row>
    <row r="8744" spans="4:5" x14ac:dyDescent="0.25">
      <c r="D8744" s="4">
        <v>44155</v>
      </c>
      <c r="E8744" s="6">
        <v>43.79</v>
      </c>
    </row>
    <row r="8745" spans="4:5" x14ac:dyDescent="0.25">
      <c r="D8745" s="4">
        <v>44158</v>
      </c>
      <c r="E8745" s="6">
        <v>45</v>
      </c>
    </row>
    <row r="8746" spans="4:5" x14ac:dyDescent="0.25">
      <c r="D8746" s="4">
        <v>44159</v>
      </c>
      <c r="E8746" s="6">
        <v>46.63</v>
      </c>
    </row>
    <row r="8747" spans="4:5" x14ac:dyDescent="0.25">
      <c r="D8747" s="4">
        <v>44160</v>
      </c>
      <c r="E8747" s="6">
        <v>47.3</v>
      </c>
    </row>
    <row r="8748" spans="4:5" x14ac:dyDescent="0.25">
      <c r="D8748" s="4">
        <v>44161</v>
      </c>
      <c r="E8748" s="6">
        <v>46.32</v>
      </c>
    </row>
    <row r="8749" spans="4:5" x14ac:dyDescent="0.25">
      <c r="D8749" s="4">
        <v>44162</v>
      </c>
      <c r="E8749" s="6">
        <v>46.88</v>
      </c>
    </row>
    <row r="8750" spans="4:5" x14ac:dyDescent="0.25">
      <c r="D8750" s="4">
        <v>44165</v>
      </c>
      <c r="E8750" s="6">
        <v>46.84</v>
      </c>
    </row>
    <row r="8751" spans="4:5" x14ac:dyDescent="0.25">
      <c r="D8751" s="4">
        <v>44166</v>
      </c>
      <c r="E8751" s="6">
        <v>47.03</v>
      </c>
    </row>
    <row r="8752" spans="4:5" x14ac:dyDescent="0.25">
      <c r="D8752" s="4">
        <v>44167</v>
      </c>
      <c r="E8752" s="6">
        <v>47.8</v>
      </c>
    </row>
    <row r="8753" spans="4:5" x14ac:dyDescent="0.25">
      <c r="D8753" s="4">
        <v>44168</v>
      </c>
      <c r="E8753" s="6">
        <v>48.37</v>
      </c>
    </row>
    <row r="8754" spans="4:5" x14ac:dyDescent="0.25">
      <c r="D8754" s="4">
        <v>44169</v>
      </c>
      <c r="E8754" s="6">
        <v>49.1</v>
      </c>
    </row>
    <row r="8755" spans="4:5" x14ac:dyDescent="0.25">
      <c r="D8755" s="4">
        <v>44172</v>
      </c>
      <c r="E8755" s="6">
        <v>48.63</v>
      </c>
    </row>
    <row r="8756" spans="4:5" x14ac:dyDescent="0.25">
      <c r="D8756" s="4">
        <v>44173</v>
      </c>
      <c r="E8756" s="6">
        <v>48.84</v>
      </c>
    </row>
    <row r="8757" spans="4:5" x14ac:dyDescent="0.25">
      <c r="D8757" s="4">
        <v>44174</v>
      </c>
      <c r="E8757" s="6">
        <v>48.81</v>
      </c>
    </row>
    <row r="8758" spans="4:5" x14ac:dyDescent="0.25">
      <c r="D8758" s="4">
        <v>44175</v>
      </c>
      <c r="E8758" s="6">
        <v>50.33</v>
      </c>
    </row>
    <row r="8759" spans="4:5" x14ac:dyDescent="0.25">
      <c r="D8759" s="4">
        <v>44176</v>
      </c>
      <c r="E8759" s="6">
        <v>50.01</v>
      </c>
    </row>
    <row r="8760" spans="4:5" x14ac:dyDescent="0.25">
      <c r="D8760" s="4">
        <v>44179</v>
      </c>
      <c r="E8760" s="6">
        <v>50.27</v>
      </c>
    </row>
    <row r="8761" spans="4:5" x14ac:dyDescent="0.25">
      <c r="D8761" s="4">
        <v>44180</v>
      </c>
      <c r="E8761" s="6">
        <v>50.77</v>
      </c>
    </row>
    <row r="8762" spans="4:5" x14ac:dyDescent="0.25">
      <c r="D8762" s="4">
        <v>44181</v>
      </c>
      <c r="E8762" s="6">
        <v>50.83</v>
      </c>
    </row>
    <row r="8763" spans="4:5" x14ac:dyDescent="0.25">
      <c r="D8763" s="4">
        <v>44182</v>
      </c>
      <c r="E8763" s="6">
        <v>51.2</v>
      </c>
    </row>
    <row r="8764" spans="4:5" x14ac:dyDescent="0.25">
      <c r="D8764" s="4">
        <v>44183</v>
      </c>
      <c r="E8764" s="6">
        <v>52.17</v>
      </c>
    </row>
    <row r="8765" spans="4:5" x14ac:dyDescent="0.25">
      <c r="D8765" s="4">
        <v>44186</v>
      </c>
      <c r="E8765" s="6">
        <v>50.61</v>
      </c>
    </row>
    <row r="8766" spans="4:5" x14ac:dyDescent="0.25">
      <c r="D8766" s="4">
        <v>44187</v>
      </c>
      <c r="E8766" s="6">
        <v>49.88</v>
      </c>
    </row>
    <row r="8767" spans="4:5" x14ac:dyDescent="0.25">
      <c r="D8767" s="4">
        <v>44188</v>
      </c>
      <c r="E8767" s="6">
        <v>51.05</v>
      </c>
    </row>
    <row r="8768" spans="4:5" x14ac:dyDescent="0.25">
      <c r="D8768" s="4">
        <v>44189</v>
      </c>
      <c r="E8768" s="6">
        <v>50.88</v>
      </c>
    </row>
    <row r="8769" spans="4:5" x14ac:dyDescent="0.25">
      <c r="D8769" s="4">
        <v>44190</v>
      </c>
      <c r="E8769" s="5"/>
    </row>
    <row r="8770" spans="4:5" x14ac:dyDescent="0.25">
      <c r="D8770" s="4">
        <v>44193</v>
      </c>
      <c r="E8770" s="6">
        <v>50.88</v>
      </c>
    </row>
    <row r="8771" spans="4:5" x14ac:dyDescent="0.25">
      <c r="D8771" s="4">
        <v>44194</v>
      </c>
      <c r="E8771" s="6">
        <v>50.44</v>
      </c>
    </row>
    <row r="8772" spans="4:5" x14ac:dyDescent="0.25">
      <c r="D8772" s="4">
        <v>44195</v>
      </c>
      <c r="E8772" s="6">
        <v>50.74</v>
      </c>
    </row>
    <row r="8773" spans="4:5" x14ac:dyDescent="0.25">
      <c r="D8773" s="4">
        <v>44196</v>
      </c>
      <c r="E8773" s="6">
        <v>51.22</v>
      </c>
    </row>
    <row r="8774" spans="4:5" x14ac:dyDescent="0.25">
      <c r="D8774" s="4">
        <v>44197</v>
      </c>
      <c r="E8774" s="5"/>
    </row>
    <row r="8775" spans="4:5" x14ac:dyDescent="0.25">
      <c r="D8775" s="4">
        <v>44200</v>
      </c>
      <c r="E8775" s="6">
        <v>50.37</v>
      </c>
    </row>
    <row r="8776" spans="4:5" x14ac:dyDescent="0.25">
      <c r="D8776" s="4">
        <v>44201</v>
      </c>
      <c r="E8776" s="6">
        <v>53.16</v>
      </c>
    </row>
    <row r="8777" spans="4:5" x14ac:dyDescent="0.25">
      <c r="D8777" s="4">
        <v>44202</v>
      </c>
      <c r="E8777" s="6">
        <v>53.8</v>
      </c>
    </row>
    <row r="8778" spans="4:5" x14ac:dyDescent="0.25">
      <c r="D8778" s="4">
        <v>44203</v>
      </c>
      <c r="E8778" s="6">
        <v>53.7</v>
      </c>
    </row>
    <row r="8779" spans="4:5" x14ac:dyDescent="0.25">
      <c r="D8779" s="4">
        <v>44204</v>
      </c>
      <c r="E8779" s="6">
        <v>55.51</v>
      </c>
    </row>
    <row r="8780" spans="4:5" x14ac:dyDescent="0.25">
      <c r="D8780" s="4">
        <v>44207</v>
      </c>
      <c r="E8780" s="6">
        <v>54.84</v>
      </c>
    </row>
    <row r="8781" spans="4:5" x14ac:dyDescent="0.25">
      <c r="D8781" s="4">
        <v>44208</v>
      </c>
      <c r="E8781" s="6">
        <v>55.98</v>
      </c>
    </row>
    <row r="8782" spans="4:5" x14ac:dyDescent="0.25">
      <c r="D8782" s="4">
        <v>44209</v>
      </c>
      <c r="E8782" s="6">
        <v>55.52</v>
      </c>
    </row>
    <row r="8783" spans="4:5" x14ac:dyDescent="0.25">
      <c r="D8783" s="4">
        <v>44210</v>
      </c>
      <c r="E8783" s="6">
        <v>55.76</v>
      </c>
    </row>
    <row r="8784" spans="4:5" x14ac:dyDescent="0.25">
      <c r="D8784" s="4">
        <v>44211</v>
      </c>
      <c r="E8784" s="6">
        <v>54.8</v>
      </c>
    </row>
    <row r="8785" spans="4:5" x14ac:dyDescent="0.25">
      <c r="D8785" s="4">
        <v>44214</v>
      </c>
      <c r="E8785" s="6">
        <v>54.21</v>
      </c>
    </row>
    <row r="8786" spans="4:5" x14ac:dyDescent="0.25">
      <c r="D8786" s="4">
        <v>44215</v>
      </c>
      <c r="E8786" s="6">
        <v>55.38</v>
      </c>
    </row>
    <row r="8787" spans="4:5" x14ac:dyDescent="0.25">
      <c r="D8787" s="4">
        <v>44216</v>
      </c>
      <c r="E8787" s="6">
        <v>55.66</v>
      </c>
    </row>
    <row r="8788" spans="4:5" x14ac:dyDescent="0.25">
      <c r="D8788" s="4">
        <v>44217</v>
      </c>
      <c r="E8788" s="6">
        <v>55.68</v>
      </c>
    </row>
    <row r="8789" spans="4:5" x14ac:dyDescent="0.25">
      <c r="D8789" s="4">
        <v>44218</v>
      </c>
      <c r="E8789" s="6">
        <v>55.22</v>
      </c>
    </row>
    <row r="8790" spans="4:5" x14ac:dyDescent="0.25">
      <c r="D8790" s="4">
        <v>44221</v>
      </c>
      <c r="E8790" s="6">
        <v>55.44</v>
      </c>
    </row>
    <row r="8791" spans="4:5" x14ac:dyDescent="0.25">
      <c r="D8791" s="4">
        <v>44222</v>
      </c>
      <c r="E8791" s="6">
        <v>55.26</v>
      </c>
    </row>
    <row r="8792" spans="4:5" x14ac:dyDescent="0.25">
      <c r="D8792" s="4">
        <v>44223</v>
      </c>
      <c r="E8792" s="6">
        <v>55.07</v>
      </c>
    </row>
    <row r="8793" spans="4:5" x14ac:dyDescent="0.25">
      <c r="D8793" s="4">
        <v>44224</v>
      </c>
      <c r="E8793" s="6">
        <v>54.87</v>
      </c>
    </row>
    <row r="8794" spans="4:5" x14ac:dyDescent="0.25">
      <c r="D8794" s="4">
        <v>44225</v>
      </c>
      <c r="E8794" s="6">
        <v>55.25</v>
      </c>
    </row>
    <row r="8795" spans="4:5" x14ac:dyDescent="0.25">
      <c r="D8795" s="4">
        <v>44228</v>
      </c>
      <c r="E8795" s="6">
        <v>56.42</v>
      </c>
    </row>
    <row r="8796" spans="4:5" x14ac:dyDescent="0.25">
      <c r="D8796" s="4">
        <v>44229</v>
      </c>
      <c r="E8796" s="6">
        <v>57.62</v>
      </c>
    </row>
    <row r="8797" spans="4:5" x14ac:dyDescent="0.25">
      <c r="D8797" s="4">
        <v>44230</v>
      </c>
      <c r="E8797" s="6">
        <v>58.61</v>
      </c>
    </row>
    <row r="8798" spans="4:5" x14ac:dyDescent="0.25">
      <c r="D8798" s="4">
        <v>44231</v>
      </c>
      <c r="E8798" s="6">
        <v>58.98</v>
      </c>
    </row>
    <row r="8799" spans="4:5" x14ac:dyDescent="0.25">
      <c r="D8799" s="4">
        <v>44232</v>
      </c>
      <c r="E8799" s="6">
        <v>59.48</v>
      </c>
    </row>
    <row r="8800" spans="4:5" x14ac:dyDescent="0.25">
      <c r="D8800" s="4">
        <v>44235</v>
      </c>
      <c r="E8800" s="6">
        <v>60.17</v>
      </c>
    </row>
    <row r="8801" spans="4:5" x14ac:dyDescent="0.25">
      <c r="D8801" s="4">
        <v>44236</v>
      </c>
      <c r="E8801" s="6">
        <v>60.74</v>
      </c>
    </row>
    <row r="8802" spans="4:5" x14ac:dyDescent="0.25">
      <c r="D8802" s="4">
        <v>44237</v>
      </c>
      <c r="E8802" s="6">
        <v>61.17</v>
      </c>
    </row>
    <row r="8803" spans="4:5" x14ac:dyDescent="0.25">
      <c r="D8803" s="4">
        <v>44238</v>
      </c>
      <c r="E8803" s="6">
        <v>61.09</v>
      </c>
    </row>
    <row r="8804" spans="4:5" x14ac:dyDescent="0.25">
      <c r="D8804" s="4">
        <v>44239</v>
      </c>
      <c r="E8804" s="6">
        <v>62.47</v>
      </c>
    </row>
    <row r="8805" spans="4:5" x14ac:dyDescent="0.25">
      <c r="D8805" s="4">
        <v>44242</v>
      </c>
      <c r="E8805" s="6">
        <v>63.58</v>
      </c>
    </row>
    <row r="8806" spans="4:5" x14ac:dyDescent="0.25">
      <c r="D8806" s="4">
        <v>44243</v>
      </c>
      <c r="E8806" s="6">
        <v>63.96</v>
      </c>
    </row>
    <row r="8807" spans="4:5" x14ac:dyDescent="0.25">
      <c r="D8807" s="4">
        <v>44244</v>
      </c>
      <c r="E8807" s="6">
        <v>65.02</v>
      </c>
    </row>
    <row r="8808" spans="4:5" x14ac:dyDescent="0.25">
      <c r="D8808" s="4">
        <v>44245</v>
      </c>
      <c r="E8808" s="6">
        <v>64.09</v>
      </c>
    </row>
    <row r="8809" spans="4:5" x14ac:dyDescent="0.25">
      <c r="D8809" s="4">
        <v>44246</v>
      </c>
      <c r="E8809" s="6">
        <v>62.84</v>
      </c>
    </row>
    <row r="8810" spans="4:5" x14ac:dyDescent="0.25">
      <c r="D8810" s="4">
        <v>44249</v>
      </c>
      <c r="E8810" s="6">
        <v>64.73</v>
      </c>
    </row>
    <row r="8811" spans="4:5" x14ac:dyDescent="0.25">
      <c r="D8811" s="4">
        <v>44250</v>
      </c>
      <c r="E8811" s="6">
        <v>65.16</v>
      </c>
    </row>
    <row r="8812" spans="4:5" x14ac:dyDescent="0.25">
      <c r="D8812" s="4">
        <v>44251</v>
      </c>
      <c r="E8812" s="6">
        <v>66.849999999999994</v>
      </c>
    </row>
    <row r="8813" spans="4:5" x14ac:dyDescent="0.25">
      <c r="D8813" s="4">
        <v>44252</v>
      </c>
      <c r="E8813" s="6">
        <v>66.69</v>
      </c>
    </row>
    <row r="8814" spans="4:5" x14ac:dyDescent="0.25">
      <c r="D8814" s="4">
        <v>44253</v>
      </c>
      <c r="E8814" s="6">
        <v>65.86</v>
      </c>
    </row>
    <row r="8815" spans="4:5" x14ac:dyDescent="0.25">
      <c r="D8815" s="4">
        <v>44256</v>
      </c>
      <c r="E8815" s="6">
        <v>64.56</v>
      </c>
    </row>
    <row r="8816" spans="4:5" x14ac:dyDescent="0.25">
      <c r="D8816" s="4">
        <v>44257</v>
      </c>
      <c r="E8816" s="6">
        <v>63.17</v>
      </c>
    </row>
    <row r="8817" spans="4:5" x14ac:dyDescent="0.25">
      <c r="D8817" s="4">
        <v>44258</v>
      </c>
      <c r="E8817" s="6">
        <v>64.7</v>
      </c>
    </row>
    <row r="8818" spans="4:5" x14ac:dyDescent="0.25">
      <c r="D8818" s="4">
        <v>44259</v>
      </c>
      <c r="E8818" s="6">
        <v>67.319999999999993</v>
      </c>
    </row>
    <row r="8819" spans="4:5" x14ac:dyDescent="0.25">
      <c r="D8819" s="4">
        <v>44260</v>
      </c>
      <c r="E8819" s="6">
        <v>69.95</v>
      </c>
    </row>
    <row r="8820" spans="4:5" x14ac:dyDescent="0.25">
      <c r="D8820" s="4">
        <v>44263</v>
      </c>
      <c r="E8820" s="6">
        <v>68</v>
      </c>
    </row>
    <row r="8821" spans="4:5" x14ac:dyDescent="0.25">
      <c r="D8821" s="4">
        <v>44264</v>
      </c>
      <c r="E8821" s="6">
        <v>67.03</v>
      </c>
    </row>
    <row r="8822" spans="4:5" x14ac:dyDescent="0.25">
      <c r="D8822" s="4">
        <v>44265</v>
      </c>
      <c r="E8822" s="6">
        <v>67.53</v>
      </c>
    </row>
    <row r="8823" spans="4:5" x14ac:dyDescent="0.25">
      <c r="D8823" s="4">
        <v>44266</v>
      </c>
      <c r="E8823" s="6">
        <v>69.34</v>
      </c>
    </row>
    <row r="8824" spans="4:5" x14ac:dyDescent="0.25">
      <c r="D8824" s="4">
        <v>44267</v>
      </c>
      <c r="E8824" s="6">
        <v>68.87</v>
      </c>
    </row>
    <row r="8825" spans="4:5" x14ac:dyDescent="0.25">
      <c r="D8825" s="4">
        <v>44270</v>
      </c>
      <c r="E8825" s="6">
        <v>68.78</v>
      </c>
    </row>
    <row r="8826" spans="4:5" x14ac:dyDescent="0.25">
      <c r="D8826" s="4">
        <v>44271</v>
      </c>
      <c r="E8826" s="6">
        <v>67.95</v>
      </c>
    </row>
    <row r="8827" spans="4:5" x14ac:dyDescent="0.25">
      <c r="D8827" s="4">
        <v>44272</v>
      </c>
      <c r="E8827" s="6">
        <v>67.73</v>
      </c>
    </row>
    <row r="8828" spans="4:5" x14ac:dyDescent="0.25">
      <c r="D8828" s="4">
        <v>44273</v>
      </c>
      <c r="E8828" s="6">
        <v>62.11</v>
      </c>
    </row>
    <row r="8829" spans="4:5" x14ac:dyDescent="0.25">
      <c r="D8829" s="4">
        <v>44274</v>
      </c>
      <c r="E8829" s="6">
        <v>64</v>
      </c>
    </row>
    <row r="8830" spans="4:5" x14ac:dyDescent="0.25">
      <c r="D8830" s="4">
        <v>44277</v>
      </c>
      <c r="E8830" s="6">
        <v>63.89</v>
      </c>
    </row>
    <row r="8831" spans="4:5" x14ac:dyDescent="0.25">
      <c r="D8831" s="4">
        <v>44278</v>
      </c>
      <c r="E8831" s="6">
        <v>59.96</v>
      </c>
    </row>
    <row r="8832" spans="4:5" x14ac:dyDescent="0.25">
      <c r="D8832" s="4">
        <v>44279</v>
      </c>
      <c r="E8832" s="6">
        <v>63.7</v>
      </c>
    </row>
    <row r="8833" spans="4:5" x14ac:dyDescent="0.25">
      <c r="D8833" s="4">
        <v>44280</v>
      </c>
      <c r="E8833" s="6">
        <v>61.21</v>
      </c>
    </row>
    <row r="8834" spans="4:5" x14ac:dyDescent="0.25">
      <c r="D8834" s="4">
        <v>44281</v>
      </c>
      <c r="E8834" s="6">
        <v>63.77</v>
      </c>
    </row>
    <row r="8835" spans="4:5" x14ac:dyDescent="0.25">
      <c r="D8835" s="4">
        <v>44284</v>
      </c>
      <c r="E8835" s="6">
        <v>64.06</v>
      </c>
    </row>
    <row r="8836" spans="4:5" x14ac:dyDescent="0.25">
      <c r="D8836" s="4">
        <v>44285</v>
      </c>
      <c r="E8836" s="6">
        <v>63.28</v>
      </c>
    </row>
    <row r="8837" spans="4:5" x14ac:dyDescent="0.25">
      <c r="D8837" s="4">
        <v>44286</v>
      </c>
      <c r="E8837" s="6">
        <v>63.52</v>
      </c>
    </row>
    <row r="8838" spans="4:5" x14ac:dyDescent="0.25">
      <c r="D8838" s="4">
        <v>44287</v>
      </c>
      <c r="E8838" s="6">
        <v>63.85</v>
      </c>
    </row>
    <row r="8839" spans="4:5" x14ac:dyDescent="0.25">
      <c r="D8839" s="4">
        <v>44288</v>
      </c>
      <c r="E8839" s="5"/>
    </row>
    <row r="8840" spans="4:5" x14ac:dyDescent="0.25">
      <c r="D8840" s="4">
        <v>44291</v>
      </c>
      <c r="E8840" s="5"/>
    </row>
    <row r="8841" spans="4:5" x14ac:dyDescent="0.25">
      <c r="D8841" s="4">
        <v>44292</v>
      </c>
      <c r="E8841" s="6">
        <v>61.47</v>
      </c>
    </row>
    <row r="8842" spans="4:5" x14ac:dyDescent="0.25">
      <c r="D8842" s="4">
        <v>44293</v>
      </c>
      <c r="E8842" s="6">
        <v>61.86</v>
      </c>
    </row>
    <row r="8843" spans="4:5" x14ac:dyDescent="0.25">
      <c r="D8843" s="4">
        <v>44294</v>
      </c>
      <c r="E8843" s="6">
        <v>62.09</v>
      </c>
    </row>
    <row r="8844" spans="4:5" x14ac:dyDescent="0.25">
      <c r="D8844" s="4">
        <v>44295</v>
      </c>
      <c r="E8844" s="6">
        <v>61.89</v>
      </c>
    </row>
    <row r="8845" spans="4:5" x14ac:dyDescent="0.25">
      <c r="D8845" s="4">
        <v>44298</v>
      </c>
      <c r="E8845" s="6">
        <v>62.38</v>
      </c>
    </row>
    <row r="8846" spans="4:5" x14ac:dyDescent="0.25">
      <c r="D8846" s="4">
        <v>44299</v>
      </c>
      <c r="E8846" s="6">
        <v>62.83</v>
      </c>
    </row>
    <row r="8847" spans="4:5" x14ac:dyDescent="0.25">
      <c r="D8847" s="4">
        <v>44300</v>
      </c>
      <c r="E8847" s="6">
        <v>66.11</v>
      </c>
    </row>
    <row r="8848" spans="4:5" x14ac:dyDescent="0.25">
      <c r="D8848" s="4">
        <v>44301</v>
      </c>
      <c r="E8848" s="6">
        <v>66.13</v>
      </c>
    </row>
    <row r="8849" spans="4:5" x14ac:dyDescent="0.25">
      <c r="D8849" s="4">
        <v>44302</v>
      </c>
      <c r="E8849" s="6">
        <v>65.98</v>
      </c>
    </row>
    <row r="8850" spans="4:5" x14ac:dyDescent="0.25">
      <c r="D8850" s="4">
        <v>44305</v>
      </c>
      <c r="E8850" s="6">
        <v>66.540000000000006</v>
      </c>
    </row>
    <row r="8851" spans="4:5" x14ac:dyDescent="0.25">
      <c r="D8851" s="4">
        <v>44306</v>
      </c>
      <c r="E8851" s="6">
        <v>65.34</v>
      </c>
    </row>
    <row r="8852" spans="4:5" x14ac:dyDescent="0.25">
      <c r="D8852" s="4">
        <v>44307</v>
      </c>
      <c r="E8852" s="6">
        <v>64.02</v>
      </c>
    </row>
    <row r="8853" spans="4:5" x14ac:dyDescent="0.25">
      <c r="D8853" s="4">
        <v>44308</v>
      </c>
      <c r="E8853" s="6">
        <v>65.069999999999993</v>
      </c>
    </row>
    <row r="8854" spans="4:5" x14ac:dyDescent="0.25">
      <c r="D8854" s="4">
        <v>44309</v>
      </c>
      <c r="E8854" s="6">
        <v>65.75</v>
      </c>
    </row>
    <row r="8855" spans="4:5" x14ac:dyDescent="0.25">
      <c r="D8855" s="4">
        <v>44312</v>
      </c>
      <c r="E8855" s="6">
        <v>65.5</v>
      </c>
    </row>
    <row r="8856" spans="4:5" x14ac:dyDescent="0.25">
      <c r="D8856" s="4">
        <v>44313</v>
      </c>
      <c r="E8856" s="6">
        <v>66.25</v>
      </c>
    </row>
    <row r="8857" spans="4:5" x14ac:dyDescent="0.25">
      <c r="D8857" s="4">
        <v>44314</v>
      </c>
      <c r="E8857" s="6">
        <v>67.08</v>
      </c>
    </row>
    <row r="8858" spans="4:5" x14ac:dyDescent="0.25">
      <c r="D8858" s="4">
        <v>44315</v>
      </c>
      <c r="E8858" s="6">
        <v>68.260000000000005</v>
      </c>
    </row>
    <row r="8859" spans="4:5" x14ac:dyDescent="0.25">
      <c r="D8859" s="4">
        <v>44316</v>
      </c>
      <c r="E8859" s="6">
        <v>67.73</v>
      </c>
    </row>
    <row r="8860" spans="4:5" x14ac:dyDescent="0.25">
      <c r="D8860" s="4">
        <v>44319</v>
      </c>
      <c r="E8860" s="5"/>
    </row>
    <row r="8861" spans="4:5" x14ac:dyDescent="0.25">
      <c r="D8861" s="4">
        <v>44320</v>
      </c>
      <c r="E8861" s="6">
        <v>68.91</v>
      </c>
    </row>
    <row r="8862" spans="4:5" x14ac:dyDescent="0.25">
      <c r="D8862" s="4">
        <v>44321</v>
      </c>
      <c r="E8862" s="6">
        <v>69.709999999999994</v>
      </c>
    </row>
    <row r="8863" spans="4:5" x14ac:dyDescent="0.25">
      <c r="D8863" s="4">
        <v>44322</v>
      </c>
      <c r="E8863" s="6">
        <v>68.62</v>
      </c>
    </row>
    <row r="8864" spans="4:5" x14ac:dyDescent="0.25">
      <c r="D8864" s="4">
        <v>44323</v>
      </c>
      <c r="E8864" s="6">
        <v>68.73</v>
      </c>
    </row>
    <row r="8865" spans="4:5" x14ac:dyDescent="0.25">
      <c r="D8865" s="4">
        <v>44326</v>
      </c>
      <c r="E8865" s="6">
        <v>68.61</v>
      </c>
    </row>
    <row r="8866" spans="4:5" x14ac:dyDescent="0.25">
      <c r="D8866" s="4">
        <v>44327</v>
      </c>
      <c r="E8866" s="6">
        <v>68.83</v>
      </c>
    </row>
    <row r="8867" spans="4:5" x14ac:dyDescent="0.25">
      <c r="D8867" s="4">
        <v>44328</v>
      </c>
      <c r="E8867" s="6">
        <v>69.62</v>
      </c>
    </row>
    <row r="8868" spans="4:5" x14ac:dyDescent="0.25">
      <c r="D8868" s="4">
        <v>44329</v>
      </c>
      <c r="E8868" s="6">
        <v>67.36</v>
      </c>
    </row>
    <row r="8869" spans="4:5" x14ac:dyDescent="0.25">
      <c r="D8869" s="4">
        <v>44330</v>
      </c>
      <c r="E8869" s="6">
        <v>69.239999999999995</v>
      </c>
    </row>
    <row r="8870" spans="4:5" x14ac:dyDescent="0.25">
      <c r="D8870" s="4">
        <v>44333</v>
      </c>
      <c r="E8870" s="6">
        <v>69.62</v>
      </c>
    </row>
    <row r="8871" spans="4:5" x14ac:dyDescent="0.25">
      <c r="D8871" s="4">
        <v>44334</v>
      </c>
      <c r="E8871" s="6">
        <v>69.010000000000005</v>
      </c>
    </row>
    <row r="8872" spans="4:5" x14ac:dyDescent="0.25">
      <c r="D8872" s="4">
        <v>44335</v>
      </c>
      <c r="E8872" s="6">
        <v>66.88</v>
      </c>
    </row>
    <row r="8873" spans="4:5" x14ac:dyDescent="0.25">
      <c r="D8873" s="4">
        <v>44336</v>
      </c>
      <c r="E8873" s="6">
        <v>65.180000000000007</v>
      </c>
    </row>
    <row r="8874" spans="4:5" x14ac:dyDescent="0.25">
      <c r="D8874" s="4">
        <v>44337</v>
      </c>
      <c r="E8874" s="6">
        <v>66.72</v>
      </c>
    </row>
    <row r="8875" spans="4:5" x14ac:dyDescent="0.25">
      <c r="D8875" s="4">
        <v>44340</v>
      </c>
      <c r="E8875" s="6">
        <v>68.59</v>
      </c>
    </row>
    <row r="8876" spans="4:5" x14ac:dyDescent="0.25">
      <c r="D8876" s="4">
        <v>44341</v>
      </c>
      <c r="E8876" s="6">
        <v>68.8</v>
      </c>
    </row>
    <row r="8877" spans="4:5" x14ac:dyDescent="0.25">
      <c r="D8877" s="4">
        <v>44342</v>
      </c>
      <c r="E8877" s="6">
        <v>68.930000000000007</v>
      </c>
    </row>
    <row r="8878" spans="4:5" x14ac:dyDescent="0.25">
      <c r="D8878" s="4">
        <v>44343</v>
      </c>
      <c r="E8878" s="6">
        <v>69.430000000000007</v>
      </c>
    </row>
    <row r="8879" spans="4:5" x14ac:dyDescent="0.25">
      <c r="D8879" s="4">
        <v>44344</v>
      </c>
      <c r="E8879" s="6">
        <v>69.36</v>
      </c>
    </row>
    <row r="8880" spans="4:5" x14ac:dyDescent="0.25">
      <c r="D8880" s="4">
        <v>44347</v>
      </c>
      <c r="E8880" s="5"/>
    </row>
    <row r="8881" spans="4:5" x14ac:dyDescent="0.25">
      <c r="D8881" s="4">
        <v>44348</v>
      </c>
      <c r="E8881" s="6">
        <v>70.03</v>
      </c>
    </row>
    <row r="8882" spans="4:5" x14ac:dyDescent="0.25">
      <c r="D8882" s="4">
        <v>44349</v>
      </c>
      <c r="E8882" s="6">
        <v>70.599999999999994</v>
      </c>
    </row>
    <row r="8883" spans="4:5" x14ac:dyDescent="0.25">
      <c r="D8883" s="4">
        <v>44350</v>
      </c>
      <c r="E8883" s="6">
        <v>70.709999999999994</v>
      </c>
    </row>
    <row r="8884" spans="4:5" x14ac:dyDescent="0.25">
      <c r="D8884" s="4">
        <v>44351</v>
      </c>
      <c r="E8884" s="6">
        <v>71.3</v>
      </c>
    </row>
    <row r="8885" spans="4:5" x14ac:dyDescent="0.25">
      <c r="D8885" s="4">
        <v>44354</v>
      </c>
      <c r="E8885" s="6">
        <v>70.89</v>
      </c>
    </row>
    <row r="8886" spans="4:5" x14ac:dyDescent="0.25">
      <c r="D8886" s="4">
        <v>44355</v>
      </c>
      <c r="E8886" s="6">
        <v>71.39</v>
      </c>
    </row>
    <row r="8887" spans="4:5" x14ac:dyDescent="0.25">
      <c r="D8887" s="4">
        <v>44356</v>
      </c>
      <c r="E8887" s="6">
        <v>71.31</v>
      </c>
    </row>
    <row r="8888" spans="4:5" x14ac:dyDescent="0.25">
      <c r="D8888" s="4">
        <v>44357</v>
      </c>
      <c r="E8888" s="6">
        <v>71.650000000000006</v>
      </c>
    </row>
    <row r="8889" spans="4:5" x14ac:dyDescent="0.25">
      <c r="D8889" s="4">
        <v>44358</v>
      </c>
      <c r="E8889" s="6">
        <v>72.05</v>
      </c>
    </row>
    <row r="8890" spans="4:5" x14ac:dyDescent="0.25">
      <c r="D8890" s="4">
        <v>44361</v>
      </c>
      <c r="E8890" s="6">
        <v>72.27</v>
      </c>
    </row>
    <row r="8891" spans="4:5" x14ac:dyDescent="0.25">
      <c r="D8891" s="4">
        <v>44362</v>
      </c>
      <c r="E8891" s="6">
        <v>73.38</v>
      </c>
    </row>
    <row r="8892" spans="4:5" x14ac:dyDescent="0.25">
      <c r="D8892" s="4">
        <v>44363</v>
      </c>
      <c r="E8892" s="6">
        <v>73.88</v>
      </c>
    </row>
    <row r="8893" spans="4:5" x14ac:dyDescent="0.25">
      <c r="D8893" s="4">
        <v>44364</v>
      </c>
      <c r="E8893" s="6">
        <v>72.92</v>
      </c>
    </row>
    <row r="8894" spans="4:5" x14ac:dyDescent="0.25">
      <c r="D8894" s="4">
        <v>44365</v>
      </c>
      <c r="E8894" s="6">
        <v>73.099999999999994</v>
      </c>
    </row>
    <row r="8895" spans="4:5" x14ac:dyDescent="0.25">
      <c r="D8895" s="4">
        <v>44368</v>
      </c>
      <c r="E8895" s="6">
        <v>74.489999999999995</v>
      </c>
    </row>
    <row r="8896" spans="4:5" x14ac:dyDescent="0.25">
      <c r="D8896" s="4">
        <v>44369</v>
      </c>
      <c r="E8896" s="6">
        <v>74.92</v>
      </c>
    </row>
    <row r="8897" spans="4:5" x14ac:dyDescent="0.25">
      <c r="D8897" s="4">
        <v>44370</v>
      </c>
      <c r="E8897" s="6">
        <v>75.22</v>
      </c>
    </row>
    <row r="8898" spans="4:5" x14ac:dyDescent="0.25">
      <c r="D8898" s="4">
        <v>44371</v>
      </c>
      <c r="E8898" s="6">
        <v>75.95</v>
      </c>
    </row>
    <row r="8899" spans="4:5" x14ac:dyDescent="0.25">
      <c r="D8899" s="4">
        <v>44372</v>
      </c>
      <c r="E8899" s="6">
        <v>76.45</v>
      </c>
    </row>
    <row r="8900" spans="4:5" x14ac:dyDescent="0.25">
      <c r="D8900" s="4">
        <v>44375</v>
      </c>
      <c r="E8900" s="6">
        <v>74.78</v>
      </c>
    </row>
    <row r="8901" spans="4:5" x14ac:dyDescent="0.25">
      <c r="D8901" s="4">
        <v>44376</v>
      </c>
      <c r="E8901" s="6">
        <v>75.38</v>
      </c>
    </row>
    <row r="8902" spans="4:5" x14ac:dyDescent="0.25">
      <c r="D8902" s="4">
        <v>44377</v>
      </c>
      <c r="E8902" s="6">
        <v>76.94</v>
      </c>
    </row>
    <row r="8903" spans="4:5" x14ac:dyDescent="0.25">
      <c r="D8903" s="4">
        <v>44378</v>
      </c>
      <c r="E8903" s="6">
        <v>76.69</v>
      </c>
    </row>
    <row r="8904" spans="4:5" x14ac:dyDescent="0.25">
      <c r="D8904" s="4">
        <v>44379</v>
      </c>
      <c r="E8904" s="6">
        <v>77.510000000000005</v>
      </c>
    </row>
    <row r="8905" spans="4:5" x14ac:dyDescent="0.25">
      <c r="D8905" s="4">
        <v>44382</v>
      </c>
      <c r="E8905" s="6">
        <v>78.34</v>
      </c>
    </row>
    <row r="8906" spans="4:5" x14ac:dyDescent="0.25">
      <c r="D8906" s="4">
        <v>44383</v>
      </c>
      <c r="E8906" s="6">
        <v>75.81</v>
      </c>
    </row>
    <row r="8907" spans="4:5" x14ac:dyDescent="0.25">
      <c r="D8907" s="4">
        <v>44384</v>
      </c>
      <c r="E8907" s="6">
        <v>74.31</v>
      </c>
    </row>
    <row r="8908" spans="4:5" x14ac:dyDescent="0.25">
      <c r="D8908" s="4">
        <v>44385</v>
      </c>
      <c r="E8908" s="6">
        <v>75.069999999999993</v>
      </c>
    </row>
    <row r="8909" spans="4:5" x14ac:dyDescent="0.25">
      <c r="D8909" s="4">
        <v>44386</v>
      </c>
      <c r="E8909" s="6">
        <v>77.14</v>
      </c>
    </row>
    <row r="8910" spans="4:5" x14ac:dyDescent="0.25">
      <c r="D8910" s="4">
        <v>44389</v>
      </c>
      <c r="E8910" s="6">
        <v>76.77</v>
      </c>
    </row>
    <row r="8911" spans="4:5" x14ac:dyDescent="0.25">
      <c r="D8911" s="4">
        <v>44390</v>
      </c>
      <c r="E8911" s="6">
        <v>77.5</v>
      </c>
    </row>
    <row r="8912" spans="4:5" x14ac:dyDescent="0.25">
      <c r="D8912" s="4">
        <v>44391</v>
      </c>
      <c r="E8912" s="6">
        <v>75.739999999999995</v>
      </c>
    </row>
    <row r="8913" spans="4:5" x14ac:dyDescent="0.25">
      <c r="D8913" s="4">
        <v>44392</v>
      </c>
      <c r="E8913" s="6">
        <v>74.53</v>
      </c>
    </row>
    <row r="8914" spans="4:5" x14ac:dyDescent="0.25">
      <c r="D8914" s="4">
        <v>44393</v>
      </c>
      <c r="E8914" s="6">
        <v>74.459999999999994</v>
      </c>
    </row>
    <row r="8915" spans="4:5" x14ac:dyDescent="0.25">
      <c r="D8915" s="4">
        <v>44396</v>
      </c>
      <c r="E8915" s="6">
        <v>69.33</v>
      </c>
    </row>
    <row r="8916" spans="4:5" x14ac:dyDescent="0.25">
      <c r="D8916" s="4">
        <v>44397</v>
      </c>
      <c r="E8916" s="6">
        <v>70.03</v>
      </c>
    </row>
    <row r="8917" spans="4:5" x14ac:dyDescent="0.25">
      <c r="D8917" s="4">
        <v>44398</v>
      </c>
      <c r="E8917" s="6">
        <v>72.540000000000006</v>
      </c>
    </row>
    <row r="8918" spans="4:5" x14ac:dyDescent="0.25">
      <c r="D8918" s="4">
        <v>44399</v>
      </c>
      <c r="E8918" s="6">
        <v>74.25</v>
      </c>
    </row>
    <row r="8919" spans="4:5" x14ac:dyDescent="0.25">
      <c r="D8919" s="4">
        <v>44400</v>
      </c>
      <c r="E8919" s="6">
        <v>74.86</v>
      </c>
    </row>
    <row r="8920" spans="4:5" x14ac:dyDescent="0.25">
      <c r="D8920" s="4">
        <v>44403</v>
      </c>
      <c r="E8920" s="6">
        <v>74.790000000000006</v>
      </c>
    </row>
    <row r="8921" spans="4:5" x14ac:dyDescent="0.25">
      <c r="D8921" s="4">
        <v>44404</v>
      </c>
      <c r="E8921" s="6">
        <v>74.87</v>
      </c>
    </row>
    <row r="8922" spans="4:5" x14ac:dyDescent="0.25">
      <c r="D8922" s="4">
        <v>44405</v>
      </c>
      <c r="E8922" s="6">
        <v>75.09</v>
      </c>
    </row>
    <row r="8923" spans="4:5" x14ac:dyDescent="0.25">
      <c r="D8923" s="4">
        <v>44406</v>
      </c>
      <c r="E8923" s="6">
        <v>76.3</v>
      </c>
    </row>
    <row r="8924" spans="4:5" x14ac:dyDescent="0.25">
      <c r="D8924" s="4">
        <v>44407</v>
      </c>
      <c r="E8924" s="6">
        <v>77.72</v>
      </c>
    </row>
    <row r="8925" spans="4:5" x14ac:dyDescent="0.25">
      <c r="D8925" s="4">
        <v>44410</v>
      </c>
      <c r="E8925" s="6">
        <v>73.91</v>
      </c>
    </row>
    <row r="8926" spans="4:5" x14ac:dyDescent="0.25">
      <c r="D8926" s="4">
        <v>44411</v>
      </c>
      <c r="E8926" s="6">
        <v>73.239999999999995</v>
      </c>
    </row>
    <row r="8927" spans="4:5" x14ac:dyDescent="0.25">
      <c r="D8927" s="4">
        <v>44412</v>
      </c>
      <c r="E8927" s="6">
        <v>70.989999999999995</v>
      </c>
    </row>
    <row r="8928" spans="4:5" x14ac:dyDescent="0.25">
      <c r="D8928" s="4">
        <v>44413</v>
      </c>
      <c r="E8928" s="6">
        <v>72.14</v>
      </c>
    </row>
    <row r="8929" spans="4:5" x14ac:dyDescent="0.25">
      <c r="D8929" s="4">
        <v>44414</v>
      </c>
      <c r="E8929" s="6">
        <v>71.02</v>
      </c>
    </row>
    <row r="8930" spans="4:5" x14ac:dyDescent="0.25">
      <c r="D8930" s="4">
        <v>44417</v>
      </c>
      <c r="E8930" s="6">
        <v>69.650000000000006</v>
      </c>
    </row>
    <row r="8931" spans="4:5" x14ac:dyDescent="0.25">
      <c r="D8931" s="4">
        <v>44418</v>
      </c>
      <c r="E8931" s="6">
        <v>71.14</v>
      </c>
    </row>
    <row r="8932" spans="4:5" x14ac:dyDescent="0.25">
      <c r="D8932" s="4">
        <v>44419</v>
      </c>
      <c r="E8932" s="6">
        <v>71.989999999999995</v>
      </c>
    </row>
    <row r="8933" spans="4:5" x14ac:dyDescent="0.25">
      <c r="D8933" s="4">
        <v>44420</v>
      </c>
      <c r="E8933" s="6">
        <v>71.790000000000006</v>
      </c>
    </row>
    <row r="8934" spans="4:5" x14ac:dyDescent="0.25">
      <c r="D8934" s="4">
        <v>44421</v>
      </c>
      <c r="E8934" s="6">
        <v>70.900000000000006</v>
      </c>
    </row>
    <row r="8935" spans="4:5" x14ac:dyDescent="0.25">
      <c r="D8935" s="4">
        <v>44424</v>
      </c>
      <c r="E8935" s="6">
        <v>70.069999999999993</v>
      </c>
    </row>
    <row r="8936" spans="4:5" x14ac:dyDescent="0.25">
      <c r="D8936" s="4">
        <v>44425</v>
      </c>
      <c r="E8936" s="6">
        <v>69.400000000000006</v>
      </c>
    </row>
    <row r="8937" spans="4:5" x14ac:dyDescent="0.25">
      <c r="D8937" s="4">
        <v>44426</v>
      </c>
      <c r="E8937" s="6">
        <v>68.61</v>
      </c>
    </row>
    <row r="8938" spans="4:5" x14ac:dyDescent="0.25">
      <c r="D8938" s="4">
        <v>44427</v>
      </c>
      <c r="E8938" s="6">
        <v>66.8</v>
      </c>
    </row>
    <row r="8939" spans="4:5" x14ac:dyDescent="0.25">
      <c r="D8939" s="4">
        <v>44428</v>
      </c>
      <c r="E8939" s="6">
        <v>65.510000000000005</v>
      </c>
    </row>
    <row r="8940" spans="4:5" x14ac:dyDescent="0.25">
      <c r="D8940" s="4">
        <v>44431</v>
      </c>
      <c r="E8940" s="6">
        <v>69.069999999999993</v>
      </c>
    </row>
    <row r="8941" spans="4:5" x14ac:dyDescent="0.25">
      <c r="D8941" s="4">
        <v>44432</v>
      </c>
      <c r="E8941" s="6">
        <v>71.209999999999994</v>
      </c>
    </row>
    <row r="8942" spans="4:5" x14ac:dyDescent="0.25">
      <c r="D8942" s="4">
        <v>44433</v>
      </c>
      <c r="E8942" s="6">
        <v>72.12</v>
      </c>
    </row>
    <row r="8943" spans="4:5" x14ac:dyDescent="0.25">
      <c r="D8943" s="4">
        <v>44434</v>
      </c>
      <c r="E8943" s="6">
        <v>70.42</v>
      </c>
    </row>
    <row r="8944" spans="4:5" x14ac:dyDescent="0.25">
      <c r="D8944" s="4">
        <v>44435</v>
      </c>
      <c r="E8944" s="6">
        <v>72.260000000000005</v>
      </c>
    </row>
    <row r="8945" spans="4:5" x14ac:dyDescent="0.25">
      <c r="D8945" s="4">
        <v>44438</v>
      </c>
      <c r="E8945" s="5"/>
    </row>
    <row r="8946" spans="4:5" x14ac:dyDescent="0.25">
      <c r="D8946" s="4">
        <v>44439</v>
      </c>
      <c r="E8946" s="6">
        <v>73.45</v>
      </c>
    </row>
    <row r="8947" spans="4:5" x14ac:dyDescent="0.25">
      <c r="D8947" s="4">
        <v>44440</v>
      </c>
      <c r="E8947" s="6">
        <v>71.989999999999995</v>
      </c>
    </row>
    <row r="8948" spans="4:5" x14ac:dyDescent="0.25">
      <c r="D8948" s="4">
        <v>44441</v>
      </c>
      <c r="E8948" s="6">
        <v>73.56</v>
      </c>
    </row>
    <row r="8949" spans="4:5" x14ac:dyDescent="0.25">
      <c r="D8949" s="4">
        <v>44442</v>
      </c>
      <c r="E8949" s="6">
        <v>73.069999999999993</v>
      </c>
    </row>
    <row r="8950" spans="4:5" x14ac:dyDescent="0.25">
      <c r="D8950" s="4">
        <v>44445</v>
      </c>
      <c r="E8950" s="6">
        <v>72.430000000000007</v>
      </c>
    </row>
    <row r="8951" spans="4:5" x14ac:dyDescent="0.25">
      <c r="D8951" s="4">
        <v>44446</v>
      </c>
      <c r="E8951" s="6">
        <v>71.52</v>
      </c>
    </row>
    <row r="8952" spans="4:5" x14ac:dyDescent="0.25">
      <c r="D8952" s="4">
        <v>44447</v>
      </c>
      <c r="E8952" s="6">
        <v>72.36</v>
      </c>
    </row>
    <row r="8953" spans="4:5" x14ac:dyDescent="0.25">
      <c r="D8953" s="4">
        <v>44448</v>
      </c>
      <c r="E8953" s="6">
        <v>71.319999999999993</v>
      </c>
    </row>
    <row r="8954" spans="4:5" x14ac:dyDescent="0.25">
      <c r="D8954" s="4">
        <v>44449</v>
      </c>
      <c r="E8954" s="6">
        <v>72.44</v>
      </c>
    </row>
    <row r="8955" spans="4:5" x14ac:dyDescent="0.25">
      <c r="D8955" s="4">
        <v>44452</v>
      </c>
      <c r="E8955" s="6">
        <v>72.97</v>
      </c>
    </row>
    <row r="8956" spans="4:5" x14ac:dyDescent="0.25">
      <c r="D8956" s="4">
        <v>44453</v>
      </c>
      <c r="E8956" s="6">
        <v>73.05</v>
      </c>
    </row>
    <row r="8957" spans="4:5" x14ac:dyDescent="0.25">
      <c r="D8957" s="4">
        <v>44454</v>
      </c>
      <c r="E8957" s="6">
        <v>74.84</v>
      </c>
    </row>
    <row r="8958" spans="4:5" x14ac:dyDescent="0.25">
      <c r="D8958" s="4">
        <v>44455</v>
      </c>
      <c r="E8958" s="6">
        <v>75.14</v>
      </c>
    </row>
    <row r="8959" spans="4:5" x14ac:dyDescent="0.25">
      <c r="D8959" s="4">
        <v>44456</v>
      </c>
      <c r="E8959" s="6">
        <v>74.64</v>
      </c>
    </row>
    <row r="8960" spans="4:5" x14ac:dyDescent="0.25">
      <c r="D8960" s="4">
        <v>44459</v>
      </c>
      <c r="E8960" s="6">
        <v>73.59</v>
      </c>
    </row>
    <row r="8961" spans="4:5" x14ac:dyDescent="0.25">
      <c r="D8961" s="4">
        <v>44460</v>
      </c>
      <c r="E8961" s="6">
        <v>73.650000000000006</v>
      </c>
    </row>
    <row r="8962" spans="4:5" x14ac:dyDescent="0.25">
      <c r="D8962" s="4">
        <v>44461</v>
      </c>
      <c r="E8962" s="6">
        <v>75.5</v>
      </c>
    </row>
    <row r="8963" spans="4:5" x14ac:dyDescent="0.25">
      <c r="D8963" s="4">
        <v>44462</v>
      </c>
      <c r="E8963" s="6">
        <v>76.44</v>
      </c>
    </row>
    <row r="8964" spans="4:5" x14ac:dyDescent="0.25">
      <c r="D8964" s="4">
        <v>44463</v>
      </c>
      <c r="E8964" s="6">
        <v>77.42</v>
      </c>
    </row>
    <row r="8965" spans="4:5" x14ac:dyDescent="0.25">
      <c r="D8965" s="4">
        <v>44466</v>
      </c>
      <c r="E8965" s="6">
        <v>78.849999999999994</v>
      </c>
    </row>
    <row r="8966" spans="4:5" x14ac:dyDescent="0.25">
      <c r="D8966" s="4">
        <v>44467</v>
      </c>
      <c r="E8966" s="6">
        <v>78.3</v>
      </c>
    </row>
    <row r="8967" spans="4:5" x14ac:dyDescent="0.25">
      <c r="D8967" s="4">
        <v>44468</v>
      </c>
      <c r="E8967" s="6">
        <v>77.86</v>
      </c>
    </row>
    <row r="8968" spans="4:5" x14ac:dyDescent="0.25">
      <c r="D8968" s="4">
        <v>44469</v>
      </c>
      <c r="E8968" s="6">
        <v>77.81</v>
      </c>
    </row>
    <row r="8969" spans="4:5" x14ac:dyDescent="0.25">
      <c r="D8969" s="4">
        <v>44470</v>
      </c>
      <c r="E8969" s="6">
        <v>79.400000000000006</v>
      </c>
    </row>
    <row r="8970" spans="4:5" x14ac:dyDescent="0.25">
      <c r="D8970" s="4">
        <v>44473</v>
      </c>
      <c r="E8970" s="6">
        <v>81.44</v>
      </c>
    </row>
    <row r="8971" spans="4:5" x14ac:dyDescent="0.25">
      <c r="D8971" s="4">
        <v>44474</v>
      </c>
      <c r="E8971" s="6">
        <v>82.72</v>
      </c>
    </row>
    <row r="8972" spans="4:5" x14ac:dyDescent="0.25">
      <c r="D8972" s="4">
        <v>44475</v>
      </c>
      <c r="E8972" s="6">
        <v>81.39</v>
      </c>
    </row>
    <row r="8973" spans="4:5" x14ac:dyDescent="0.25">
      <c r="D8973" s="4">
        <v>44476</v>
      </c>
      <c r="E8973" s="6">
        <v>82.34</v>
      </c>
    </row>
    <row r="8974" spans="4:5" x14ac:dyDescent="0.25">
      <c r="D8974" s="4">
        <v>44477</v>
      </c>
      <c r="E8974" s="6">
        <v>82.17</v>
      </c>
    </row>
    <row r="8975" spans="4:5" x14ac:dyDescent="0.25">
      <c r="D8975" s="4">
        <v>44480</v>
      </c>
      <c r="E8975" s="6">
        <v>83.75</v>
      </c>
    </row>
    <row r="8976" spans="4:5" x14ac:dyDescent="0.25">
      <c r="D8976" s="4">
        <v>44481</v>
      </c>
      <c r="E8976" s="6">
        <v>83.53</v>
      </c>
    </row>
    <row r="8977" spans="4:5" x14ac:dyDescent="0.25">
      <c r="D8977" s="4">
        <v>44482</v>
      </c>
      <c r="E8977" s="6">
        <v>83.53</v>
      </c>
    </row>
    <row r="8978" spans="4:5" x14ac:dyDescent="0.25">
      <c r="D8978" s="4">
        <v>44483</v>
      </c>
      <c r="E8978" s="6">
        <v>83.86</v>
      </c>
    </row>
    <row r="8979" spans="4:5" x14ac:dyDescent="0.25">
      <c r="D8979" s="4">
        <v>44484</v>
      </c>
      <c r="E8979" s="6">
        <v>84.67</v>
      </c>
    </row>
    <row r="8980" spans="4:5" x14ac:dyDescent="0.25">
      <c r="D8980" s="4">
        <v>44487</v>
      </c>
      <c r="E8980" s="6">
        <v>84.13</v>
      </c>
    </row>
    <row r="8981" spans="4:5" x14ac:dyDescent="0.25">
      <c r="D8981" s="4">
        <v>44488</v>
      </c>
      <c r="E8981" s="6">
        <v>85.02</v>
      </c>
    </row>
    <row r="8982" spans="4:5" x14ac:dyDescent="0.25">
      <c r="D8982" s="4">
        <v>44489</v>
      </c>
      <c r="E8982" s="6">
        <v>85.76</v>
      </c>
    </row>
    <row r="8983" spans="4:5" x14ac:dyDescent="0.25">
      <c r="D8983" s="4">
        <v>44490</v>
      </c>
      <c r="E8983" s="6">
        <v>84.58</v>
      </c>
    </row>
    <row r="8984" spans="4:5" x14ac:dyDescent="0.25">
      <c r="D8984" s="4">
        <v>44491</v>
      </c>
      <c r="E8984" s="6">
        <v>85.43</v>
      </c>
    </row>
    <row r="8985" spans="4:5" x14ac:dyDescent="0.25">
      <c r="D8985" s="4">
        <v>44494</v>
      </c>
      <c r="E8985" s="6">
        <v>84.85</v>
      </c>
    </row>
    <row r="8986" spans="4:5" x14ac:dyDescent="0.25">
      <c r="D8986" s="4">
        <v>44495</v>
      </c>
      <c r="E8986" s="6">
        <v>85.11</v>
      </c>
    </row>
    <row r="8987" spans="4:5" x14ac:dyDescent="0.25">
      <c r="D8987" s="4">
        <v>44496</v>
      </c>
      <c r="E8987" s="6">
        <v>84.12</v>
      </c>
    </row>
    <row r="8988" spans="4:5" x14ac:dyDescent="0.25">
      <c r="D8988" s="4">
        <v>44497</v>
      </c>
      <c r="E8988" s="6">
        <v>83.4</v>
      </c>
    </row>
    <row r="8989" spans="4:5" x14ac:dyDescent="0.25">
      <c r="D8989" s="4">
        <v>44498</v>
      </c>
      <c r="E8989" s="6">
        <v>83.1</v>
      </c>
    </row>
    <row r="8990" spans="4:5" x14ac:dyDescent="0.25">
      <c r="D8990" s="4">
        <v>44501</v>
      </c>
      <c r="E8990" s="6">
        <v>84.51</v>
      </c>
    </row>
    <row r="8991" spans="4:5" x14ac:dyDescent="0.25">
      <c r="D8991" s="4">
        <v>44502</v>
      </c>
      <c r="E8991" s="6">
        <v>84.42</v>
      </c>
    </row>
    <row r="8992" spans="4:5" x14ac:dyDescent="0.25">
      <c r="D8992" s="4">
        <v>44503</v>
      </c>
      <c r="E8992" s="6">
        <v>81.099999999999994</v>
      </c>
    </row>
    <row r="8993" spans="4:5" x14ac:dyDescent="0.25">
      <c r="D8993" s="4">
        <v>44504</v>
      </c>
      <c r="E8993" s="6">
        <v>80.150000000000006</v>
      </c>
    </row>
    <row r="8994" spans="4:5" x14ac:dyDescent="0.25">
      <c r="D8994" s="4">
        <v>44505</v>
      </c>
      <c r="E8994" s="6">
        <v>82.43</v>
      </c>
    </row>
    <row r="8995" spans="4:5" x14ac:dyDescent="0.25">
      <c r="D8995" s="4">
        <v>44508</v>
      </c>
      <c r="E8995" s="6">
        <v>83.22</v>
      </c>
    </row>
    <row r="8996" spans="4:5" x14ac:dyDescent="0.25">
      <c r="D8996" s="4">
        <v>44509</v>
      </c>
      <c r="E8996" s="6">
        <v>84.52</v>
      </c>
    </row>
    <row r="8997" spans="4:5" x14ac:dyDescent="0.25">
      <c r="D8997" s="4">
        <v>44510</v>
      </c>
      <c r="E8997" s="6">
        <v>82.91</v>
      </c>
    </row>
    <row r="8998" spans="4:5" x14ac:dyDescent="0.25">
      <c r="D8998" s="4">
        <v>44511</v>
      </c>
      <c r="E8998" s="6">
        <v>83.4</v>
      </c>
    </row>
    <row r="8999" spans="4:5" x14ac:dyDescent="0.25">
      <c r="D8999" s="4">
        <v>44512</v>
      </c>
      <c r="E8999" s="6">
        <v>82.9</v>
      </c>
    </row>
    <row r="9000" spans="4:5" x14ac:dyDescent="0.25">
      <c r="D9000" s="4">
        <v>44515</v>
      </c>
      <c r="E9000" s="6">
        <v>81.94</v>
      </c>
    </row>
    <row r="9001" spans="4:5" x14ac:dyDescent="0.25">
      <c r="D9001" s="4">
        <v>44516</v>
      </c>
      <c r="E9001" s="6">
        <v>82.85</v>
      </c>
    </row>
    <row r="9002" spans="4:5" x14ac:dyDescent="0.25">
      <c r="D9002" s="4">
        <v>44517</v>
      </c>
      <c r="E9002" s="6">
        <v>80.67</v>
      </c>
    </row>
    <row r="9003" spans="4:5" x14ac:dyDescent="0.25">
      <c r="D9003" s="4">
        <v>44518</v>
      </c>
      <c r="E9003" s="6">
        <v>82.45</v>
      </c>
    </row>
    <row r="9004" spans="4:5" x14ac:dyDescent="0.25">
      <c r="D9004" s="4">
        <v>44519</v>
      </c>
      <c r="E9004" s="6">
        <v>80.239999999999995</v>
      </c>
    </row>
    <row r="9005" spans="4:5" x14ac:dyDescent="0.25">
      <c r="D9005" s="4">
        <v>44522</v>
      </c>
      <c r="E9005" s="6">
        <v>80.97</v>
      </c>
    </row>
    <row r="9006" spans="4:5" x14ac:dyDescent="0.25">
      <c r="D9006" s="4">
        <v>44523</v>
      </c>
      <c r="E9006" s="6">
        <v>83.43</v>
      </c>
    </row>
    <row r="9007" spans="4:5" x14ac:dyDescent="0.25">
      <c r="D9007" s="4">
        <v>44524</v>
      </c>
      <c r="E9007" s="6">
        <v>82.37</v>
      </c>
    </row>
    <row r="9008" spans="4:5" x14ac:dyDescent="0.25">
      <c r="D9008" s="4">
        <v>44525</v>
      </c>
      <c r="E9008" s="6">
        <v>82.05</v>
      </c>
    </row>
    <row r="9009" spans="4:5" x14ac:dyDescent="0.25">
      <c r="D9009" s="4">
        <v>44526</v>
      </c>
      <c r="E9009" s="6">
        <v>72.37</v>
      </c>
    </row>
    <row r="9010" spans="4:5" x14ac:dyDescent="0.25">
      <c r="D9010" s="4">
        <v>44529</v>
      </c>
      <c r="E9010" s="6">
        <v>73.34</v>
      </c>
    </row>
    <row r="9011" spans="4:5" x14ac:dyDescent="0.25">
      <c r="D9011" s="4">
        <v>44530</v>
      </c>
      <c r="E9011" s="6">
        <v>70.86</v>
      </c>
    </row>
    <row r="9012" spans="4:5" x14ac:dyDescent="0.25">
      <c r="D9012" s="4">
        <v>44531</v>
      </c>
      <c r="E9012" s="6">
        <v>69.53</v>
      </c>
    </row>
    <row r="9013" spans="4:5" x14ac:dyDescent="0.25">
      <c r="D9013" s="4">
        <v>44532</v>
      </c>
      <c r="E9013" s="6">
        <v>70.56</v>
      </c>
    </row>
    <row r="9014" spans="4:5" x14ac:dyDescent="0.25">
      <c r="D9014" s="4">
        <v>44533</v>
      </c>
      <c r="E9014" s="6">
        <v>70.709999999999994</v>
      </c>
    </row>
    <row r="9015" spans="4:5" x14ac:dyDescent="0.25">
      <c r="D9015" s="4">
        <v>44536</v>
      </c>
      <c r="E9015" s="6">
        <v>73.38</v>
      </c>
    </row>
    <row r="9016" spans="4:5" x14ac:dyDescent="0.25">
      <c r="D9016" s="4">
        <v>44537</v>
      </c>
      <c r="E9016" s="6">
        <v>75.540000000000006</v>
      </c>
    </row>
    <row r="9017" spans="4:5" x14ac:dyDescent="0.25">
      <c r="D9017" s="4">
        <v>44538</v>
      </c>
      <c r="E9017" s="6">
        <v>75.94</v>
      </c>
    </row>
    <row r="9018" spans="4:5" x14ac:dyDescent="0.25">
      <c r="D9018" s="4">
        <v>44539</v>
      </c>
      <c r="E9018" s="6">
        <v>74.099999999999994</v>
      </c>
    </row>
    <row r="9019" spans="4:5" x14ac:dyDescent="0.25">
      <c r="D9019" s="4">
        <v>44540</v>
      </c>
      <c r="E9019" s="6">
        <v>74.98</v>
      </c>
    </row>
    <row r="9020" spans="4:5" x14ac:dyDescent="0.25">
      <c r="D9020" s="4">
        <v>44543</v>
      </c>
      <c r="E9020" s="6">
        <v>74.12</v>
      </c>
    </row>
    <row r="9021" spans="4:5" x14ac:dyDescent="0.25">
      <c r="D9021" s="4">
        <v>44544</v>
      </c>
      <c r="E9021" s="6">
        <v>73.37</v>
      </c>
    </row>
    <row r="9022" spans="4:5" x14ac:dyDescent="0.25">
      <c r="D9022" s="4">
        <v>44545</v>
      </c>
      <c r="E9022" s="6">
        <v>73.709999999999994</v>
      </c>
    </row>
    <row r="9023" spans="4:5" x14ac:dyDescent="0.25">
      <c r="D9023" s="4">
        <v>44546</v>
      </c>
      <c r="E9023" s="6">
        <v>74.64</v>
      </c>
    </row>
    <row r="9024" spans="4:5" x14ac:dyDescent="0.25">
      <c r="D9024" s="4">
        <v>44547</v>
      </c>
      <c r="E9024" s="6">
        <v>72.97</v>
      </c>
    </row>
    <row r="9025" spans="4:5" x14ac:dyDescent="0.25">
      <c r="D9025" s="4">
        <v>44550</v>
      </c>
      <c r="E9025" s="6">
        <v>70.510000000000005</v>
      </c>
    </row>
    <row r="9026" spans="4:5" x14ac:dyDescent="0.25">
      <c r="D9026" s="4">
        <v>44551</v>
      </c>
      <c r="E9026" s="6">
        <v>72.849999999999994</v>
      </c>
    </row>
    <row r="9027" spans="4:5" x14ac:dyDescent="0.25">
      <c r="D9027" s="4">
        <v>44552</v>
      </c>
      <c r="E9027" s="6">
        <v>74.69</v>
      </c>
    </row>
    <row r="9028" spans="4:5" x14ac:dyDescent="0.25">
      <c r="D9028" s="4">
        <v>44553</v>
      </c>
      <c r="E9028" s="6">
        <v>76.260000000000005</v>
      </c>
    </row>
    <row r="9029" spans="4:5" x14ac:dyDescent="0.25">
      <c r="D9029" s="4">
        <v>44554</v>
      </c>
      <c r="E9029" s="6">
        <v>75.239999999999995</v>
      </c>
    </row>
    <row r="9030" spans="4:5" x14ac:dyDescent="0.25">
      <c r="D9030" s="4">
        <v>44557</v>
      </c>
      <c r="E9030" s="5"/>
    </row>
    <row r="9031" spans="4:5" x14ac:dyDescent="0.25">
      <c r="D9031" s="4">
        <v>44558</v>
      </c>
      <c r="E9031" s="5"/>
    </row>
    <row r="9032" spans="4:5" x14ac:dyDescent="0.25">
      <c r="D9032" s="4">
        <v>44559</v>
      </c>
      <c r="E9032" s="6">
        <v>78.63</v>
      </c>
    </row>
    <row r="9033" spans="4:5" x14ac:dyDescent="0.25">
      <c r="D9033" s="4">
        <v>44560</v>
      </c>
      <c r="E9033" s="6">
        <v>78.61</v>
      </c>
    </row>
    <row r="9034" spans="4:5" x14ac:dyDescent="0.25">
      <c r="D9034" s="4">
        <v>44561</v>
      </c>
      <c r="E9034" s="6">
        <v>77.239999999999995</v>
      </c>
    </row>
    <row r="9035" spans="4:5" x14ac:dyDescent="0.25">
      <c r="D9035" s="4">
        <v>44564</v>
      </c>
      <c r="E9035" s="6">
        <v>78.25</v>
      </c>
    </row>
    <row r="9036" spans="4:5" x14ac:dyDescent="0.25">
      <c r="D9036" s="4">
        <v>44565</v>
      </c>
      <c r="E9036" s="6">
        <v>79.39</v>
      </c>
    </row>
    <row r="9037" spans="4:5" x14ac:dyDescent="0.25">
      <c r="D9037" s="4">
        <v>44566</v>
      </c>
      <c r="E9037" s="6">
        <v>80.599999999999994</v>
      </c>
    </row>
    <row r="9038" spans="4:5" x14ac:dyDescent="0.25">
      <c r="D9038" s="4">
        <v>44567</v>
      </c>
      <c r="E9038" s="6">
        <v>81.99</v>
      </c>
    </row>
    <row r="9039" spans="4:5" x14ac:dyDescent="0.25">
      <c r="D9039" s="4">
        <v>44568</v>
      </c>
      <c r="E9039" s="6">
        <v>82.28</v>
      </c>
    </row>
    <row r="9040" spans="4:5" x14ac:dyDescent="0.25">
      <c r="D9040" s="4">
        <v>44571</v>
      </c>
      <c r="E9040" s="6">
        <v>81.56</v>
      </c>
    </row>
    <row r="9041" spans="4:5" x14ac:dyDescent="0.25">
      <c r="D9041" s="4">
        <v>44572</v>
      </c>
      <c r="E9041" s="6">
        <v>84.98</v>
      </c>
    </row>
    <row r="9042" spans="4:5" x14ac:dyDescent="0.25">
      <c r="D9042" s="4">
        <v>44573</v>
      </c>
      <c r="E9042" s="6">
        <v>85.83</v>
      </c>
    </row>
    <row r="9043" spans="4:5" x14ac:dyDescent="0.25">
      <c r="D9043" s="4">
        <v>44574</v>
      </c>
      <c r="E9043" s="6">
        <v>85.8</v>
      </c>
    </row>
    <row r="9044" spans="4:5" x14ac:dyDescent="0.25">
      <c r="D9044" s="4">
        <v>44575</v>
      </c>
      <c r="E9044" s="6">
        <v>87.17</v>
      </c>
    </row>
    <row r="9045" spans="4:5" x14ac:dyDescent="0.25">
      <c r="D9045" s="4">
        <v>44578</v>
      </c>
      <c r="E9045" s="6">
        <v>87.82</v>
      </c>
    </row>
    <row r="9046" spans="4:5" x14ac:dyDescent="0.25">
      <c r="D9046" s="4">
        <v>44579</v>
      </c>
      <c r="E9046" s="6">
        <v>88.83</v>
      </c>
    </row>
    <row r="9047" spans="4:5" x14ac:dyDescent="0.25">
      <c r="D9047" s="4">
        <v>44580</v>
      </c>
      <c r="E9047" s="6">
        <v>89.64</v>
      </c>
    </row>
    <row r="9048" spans="4:5" x14ac:dyDescent="0.25">
      <c r="D9048" s="4">
        <v>44581</v>
      </c>
      <c r="E9048" s="6">
        <v>89.75</v>
      </c>
    </row>
    <row r="9049" spans="4:5" x14ac:dyDescent="0.25">
      <c r="D9049" s="4">
        <v>44582</v>
      </c>
      <c r="E9049" s="6">
        <v>89.75</v>
      </c>
    </row>
    <row r="9050" spans="4:5" x14ac:dyDescent="0.25">
      <c r="D9050" s="4">
        <v>44585</v>
      </c>
      <c r="E9050" s="6">
        <v>87.74</v>
      </c>
    </row>
    <row r="9051" spans="4:5" x14ac:dyDescent="0.25">
      <c r="D9051" s="4">
        <v>44586</v>
      </c>
      <c r="E9051" s="6">
        <v>89.49</v>
      </c>
    </row>
    <row r="9052" spans="4:5" x14ac:dyDescent="0.25">
      <c r="D9052" s="4">
        <v>44587</v>
      </c>
      <c r="E9052" s="6">
        <v>91.22</v>
      </c>
    </row>
    <row r="9053" spans="4:5" x14ac:dyDescent="0.25">
      <c r="D9053" s="4">
        <v>44588</v>
      </c>
      <c r="E9053" s="6">
        <v>90.7</v>
      </c>
    </row>
    <row r="9054" spans="4:5" x14ac:dyDescent="0.25">
      <c r="D9054" s="4">
        <v>44589</v>
      </c>
      <c r="E9054" s="6">
        <v>91.47</v>
      </c>
    </row>
    <row r="9055" spans="4:5" x14ac:dyDescent="0.25">
      <c r="D9055" s="4">
        <v>44592</v>
      </c>
      <c r="E9055" s="6">
        <v>92.35</v>
      </c>
    </row>
    <row r="9056" spans="4:5" x14ac:dyDescent="0.25">
      <c r="D9056" s="4">
        <v>44593</v>
      </c>
      <c r="E9056" s="6">
        <v>90.24</v>
      </c>
    </row>
    <row r="9057" spans="4:5" x14ac:dyDescent="0.25">
      <c r="D9057" s="4">
        <v>44594</v>
      </c>
      <c r="E9057" s="6">
        <v>91.43</v>
      </c>
    </row>
    <row r="9058" spans="4:5" x14ac:dyDescent="0.25">
      <c r="D9058" s="4">
        <v>44595</v>
      </c>
      <c r="E9058" s="6">
        <v>92.99</v>
      </c>
    </row>
    <row r="9059" spans="4:5" x14ac:dyDescent="0.25">
      <c r="D9059" s="4">
        <v>44596</v>
      </c>
      <c r="E9059" s="6">
        <v>96.86</v>
      </c>
    </row>
    <row r="9060" spans="4:5" x14ac:dyDescent="0.25">
      <c r="D9060" s="4">
        <v>44599</v>
      </c>
      <c r="E9060" s="6">
        <v>97.28</v>
      </c>
    </row>
    <row r="9061" spans="4:5" x14ac:dyDescent="0.25">
      <c r="D9061" s="4">
        <v>44600</v>
      </c>
      <c r="E9061" s="6">
        <v>96.07</v>
      </c>
    </row>
    <row r="9062" spans="4:5" x14ac:dyDescent="0.25">
      <c r="D9062" s="4">
        <v>44601</v>
      </c>
      <c r="E9062" s="6">
        <v>94.95</v>
      </c>
    </row>
    <row r="9063" spans="4:5" x14ac:dyDescent="0.25">
      <c r="D9063" s="4">
        <v>44602</v>
      </c>
      <c r="E9063" s="6">
        <v>96.37</v>
      </c>
    </row>
    <row r="9064" spans="4:5" x14ac:dyDescent="0.25">
      <c r="D9064" s="4">
        <v>44603</v>
      </c>
      <c r="E9064" s="6">
        <v>97.5</v>
      </c>
    </row>
    <row r="9065" spans="4:5" x14ac:dyDescent="0.25">
      <c r="D9065" s="4">
        <v>44606</v>
      </c>
      <c r="E9065" s="6">
        <v>101.66</v>
      </c>
    </row>
    <row r="9066" spans="4:5" x14ac:dyDescent="0.25">
      <c r="D9066" s="4">
        <v>44607</v>
      </c>
      <c r="E9066" s="6">
        <v>98.43</v>
      </c>
    </row>
    <row r="9067" spans="4:5" x14ac:dyDescent="0.25">
      <c r="D9067" s="4">
        <v>44608</v>
      </c>
      <c r="E9067" s="6">
        <v>97.44</v>
      </c>
    </row>
    <row r="9068" spans="4:5" x14ac:dyDescent="0.25">
      <c r="D9068" s="4">
        <v>44609</v>
      </c>
      <c r="E9068" s="6">
        <v>95.28</v>
      </c>
    </row>
    <row r="9069" spans="4:5" x14ac:dyDescent="0.25">
      <c r="D9069" s="4">
        <v>44610</v>
      </c>
      <c r="E9069" s="6">
        <v>96.18</v>
      </c>
    </row>
    <row r="9070" spans="4:5" x14ac:dyDescent="0.25">
      <c r="D9070" s="4">
        <v>44613</v>
      </c>
      <c r="E9070" s="6">
        <v>98.95</v>
      </c>
    </row>
    <row r="9071" spans="4:5" x14ac:dyDescent="0.25">
      <c r="D9071" s="4">
        <v>44614</v>
      </c>
      <c r="E9071" s="6">
        <v>98.73</v>
      </c>
    </row>
    <row r="9072" spans="4:5" x14ac:dyDescent="0.25">
      <c r="D9072" s="4">
        <v>44615</v>
      </c>
      <c r="E9072" s="6">
        <v>99.29</v>
      </c>
    </row>
    <row r="9073" spans="4:5" x14ac:dyDescent="0.25">
      <c r="D9073" s="4">
        <v>44616</v>
      </c>
      <c r="E9073" s="6">
        <v>101.29</v>
      </c>
    </row>
    <row r="9074" spans="4:5" x14ac:dyDescent="0.25">
      <c r="D9074" s="4">
        <v>44617</v>
      </c>
      <c r="E9074" s="6">
        <v>98.56</v>
      </c>
    </row>
    <row r="9075" spans="4:5" x14ac:dyDescent="0.25">
      <c r="D9075" s="4">
        <v>44620</v>
      </c>
      <c r="E9075" s="6">
        <v>103.08</v>
      </c>
    </row>
    <row r="9076" spans="4:5" x14ac:dyDescent="0.25">
      <c r="D9076" s="4">
        <v>44621</v>
      </c>
      <c r="E9076" s="6">
        <v>110.93</v>
      </c>
    </row>
    <row r="9077" spans="4:5" x14ac:dyDescent="0.25">
      <c r="D9077" s="4">
        <v>44622</v>
      </c>
      <c r="E9077" s="6">
        <v>118.94</v>
      </c>
    </row>
    <row r="9078" spans="4:5" x14ac:dyDescent="0.25">
      <c r="D9078" s="4">
        <v>44623</v>
      </c>
      <c r="E9078" s="6">
        <v>115.36</v>
      </c>
    </row>
    <row r="9079" spans="4:5" x14ac:dyDescent="0.25">
      <c r="D9079" s="4">
        <v>44624</v>
      </c>
      <c r="E9079" s="6">
        <v>123.86</v>
      </c>
    </row>
    <row r="9080" spans="4:5" x14ac:dyDescent="0.25">
      <c r="D9080" s="4">
        <v>44627</v>
      </c>
      <c r="E9080" s="6">
        <v>129.02000000000001</v>
      </c>
    </row>
    <row r="9081" spans="4:5" x14ac:dyDescent="0.25">
      <c r="D9081" s="4">
        <v>44628</v>
      </c>
      <c r="E9081" s="6">
        <v>133.18</v>
      </c>
    </row>
    <row r="9082" spans="4:5" x14ac:dyDescent="0.25">
      <c r="D9082" s="4">
        <v>44629</v>
      </c>
      <c r="E9082" s="6">
        <v>116.58</v>
      </c>
    </row>
    <row r="9083" spans="4:5" x14ac:dyDescent="0.25">
      <c r="D9083" s="4">
        <v>44630</v>
      </c>
      <c r="E9083" s="6">
        <v>114.54</v>
      </c>
    </row>
    <row r="9084" spans="4:5" x14ac:dyDescent="0.25">
      <c r="D9084" s="4">
        <v>44631</v>
      </c>
      <c r="E9084" s="6">
        <v>118.11</v>
      </c>
    </row>
    <row r="9085" spans="4:5" x14ac:dyDescent="0.25">
      <c r="D9085" s="4">
        <v>44634</v>
      </c>
      <c r="E9085" s="6">
        <v>110.39</v>
      </c>
    </row>
    <row r="9086" spans="4:5" x14ac:dyDescent="0.25">
      <c r="D9086" s="4">
        <v>44635</v>
      </c>
      <c r="E9086" s="6">
        <v>105.14</v>
      </c>
    </row>
    <row r="9087" spans="4:5" x14ac:dyDescent="0.25">
      <c r="D9087" s="4">
        <v>44636</v>
      </c>
      <c r="E9087" s="6">
        <v>104.61</v>
      </c>
    </row>
    <row r="9088" spans="4:5" x14ac:dyDescent="0.25">
      <c r="D9088" s="4">
        <v>44637</v>
      </c>
      <c r="E9088" s="6">
        <v>113.5</v>
      </c>
    </row>
    <row r="9089" spans="4:5" x14ac:dyDescent="0.25">
      <c r="D9089" s="4">
        <v>44638</v>
      </c>
      <c r="E9089" s="6">
        <v>114.32</v>
      </c>
    </row>
    <row r="9090" spans="4:5" x14ac:dyDescent="0.25">
      <c r="D9090" s="4">
        <v>44641</v>
      </c>
      <c r="E9090" s="6">
        <v>122.29</v>
      </c>
    </row>
    <row r="9091" spans="4:5" x14ac:dyDescent="0.25">
      <c r="D9091" s="4">
        <v>44642</v>
      </c>
      <c r="E9091" s="6">
        <v>121.53</v>
      </c>
    </row>
    <row r="9092" spans="4:5" x14ac:dyDescent="0.25">
      <c r="D9092" s="4">
        <v>44643</v>
      </c>
      <c r="E9092" s="6">
        <v>127.52</v>
      </c>
    </row>
    <row r="9093" spans="4:5" x14ac:dyDescent="0.25">
      <c r="D9093" s="4">
        <v>44644</v>
      </c>
      <c r="E9093" s="6">
        <v>123.98</v>
      </c>
    </row>
    <row r="9094" spans="4:5" x14ac:dyDescent="0.25">
      <c r="D9094" s="4">
        <v>44645</v>
      </c>
      <c r="E9094" s="6">
        <v>122.67</v>
      </c>
    </row>
    <row r="9095" spans="4:5" x14ac:dyDescent="0.25">
      <c r="D9095" s="4">
        <v>44648</v>
      </c>
      <c r="E9095" s="6">
        <v>114.5</v>
      </c>
    </row>
    <row r="9096" spans="4:5" x14ac:dyDescent="0.25">
      <c r="D9096" s="4">
        <v>44649</v>
      </c>
      <c r="E9096" s="6">
        <v>112.79</v>
      </c>
    </row>
    <row r="9097" spans="4:5" x14ac:dyDescent="0.25">
      <c r="D9097" s="4">
        <v>44650</v>
      </c>
      <c r="E9097" s="6">
        <v>115.59</v>
      </c>
    </row>
    <row r="9098" spans="4:5" x14ac:dyDescent="0.25">
      <c r="D9098" s="4">
        <v>44651</v>
      </c>
      <c r="E9098" s="6">
        <v>107.29</v>
      </c>
    </row>
    <row r="9099" spans="4:5" x14ac:dyDescent="0.25">
      <c r="D9099" s="4">
        <v>44652</v>
      </c>
      <c r="E9099" s="6">
        <v>106.13</v>
      </c>
    </row>
    <row r="9100" spans="4:5" x14ac:dyDescent="0.25">
      <c r="D9100" s="4">
        <v>44655</v>
      </c>
      <c r="E9100" s="6">
        <v>108.15</v>
      </c>
    </row>
    <row r="9101" spans="4:5" x14ac:dyDescent="0.25">
      <c r="D9101" s="4">
        <v>44656</v>
      </c>
      <c r="E9101" s="6">
        <v>106.6</v>
      </c>
    </row>
    <row r="9102" spans="4:5" x14ac:dyDescent="0.25">
      <c r="D9102" s="4">
        <v>44657</v>
      </c>
      <c r="E9102" s="6">
        <v>100.81</v>
      </c>
    </row>
    <row r="9103" spans="4:5" x14ac:dyDescent="0.25">
      <c r="D9103" s="4">
        <v>44658</v>
      </c>
      <c r="E9103" s="6">
        <v>99.83</v>
      </c>
    </row>
    <row r="9104" spans="4:5" x14ac:dyDescent="0.25">
      <c r="D9104" s="4">
        <v>44659</v>
      </c>
      <c r="E9104" s="6">
        <v>101.26</v>
      </c>
    </row>
    <row r="9105" spans="4:5" x14ac:dyDescent="0.25">
      <c r="D9105" s="4">
        <v>44662</v>
      </c>
      <c r="E9105" s="6">
        <v>97.92</v>
      </c>
    </row>
    <row r="9106" spans="4:5" x14ac:dyDescent="0.25">
      <c r="D9106" s="4">
        <v>44663</v>
      </c>
      <c r="E9106" s="6">
        <v>104.42</v>
      </c>
    </row>
    <row r="9107" spans="4:5" x14ac:dyDescent="0.25">
      <c r="D9107" s="4">
        <v>44664</v>
      </c>
      <c r="E9107" s="6">
        <v>108.49</v>
      </c>
    </row>
    <row r="9108" spans="4:5" x14ac:dyDescent="0.25">
      <c r="D9108" s="4">
        <v>44665</v>
      </c>
      <c r="E9108" s="6">
        <v>110.83</v>
      </c>
    </row>
    <row r="9109" spans="4:5" x14ac:dyDescent="0.25">
      <c r="D9109" s="4">
        <v>44666</v>
      </c>
      <c r="E9109" s="5"/>
    </row>
    <row r="9110" spans="4:5" x14ac:dyDescent="0.25">
      <c r="D9110" s="4">
        <v>44669</v>
      </c>
      <c r="E9110" s="5"/>
    </row>
    <row r="9111" spans="4:5" x14ac:dyDescent="0.25">
      <c r="D9111" s="4">
        <v>44670</v>
      </c>
      <c r="E9111" s="6">
        <v>105.49</v>
      </c>
    </row>
    <row r="9112" spans="4:5" x14ac:dyDescent="0.25">
      <c r="D9112" s="4">
        <v>44671</v>
      </c>
      <c r="E9112" s="6">
        <v>105.05</v>
      </c>
    </row>
    <row r="9113" spans="4:5" x14ac:dyDescent="0.25">
      <c r="D9113" s="4">
        <v>44672</v>
      </c>
      <c r="E9113" s="6">
        <v>107.2</v>
      </c>
    </row>
    <row r="9114" spans="4:5" x14ac:dyDescent="0.25">
      <c r="D9114" s="4">
        <v>44673</v>
      </c>
      <c r="E9114" s="6">
        <v>105.15</v>
      </c>
    </row>
    <row r="9115" spans="4:5" x14ac:dyDescent="0.25">
      <c r="D9115" s="4">
        <v>44676</v>
      </c>
      <c r="E9115" s="6">
        <v>99.27</v>
      </c>
    </row>
    <row r="9116" spans="4:5" x14ac:dyDescent="0.25">
      <c r="D9116" s="4">
        <v>44677</v>
      </c>
      <c r="E9116" s="6">
        <v>102.89</v>
      </c>
    </row>
    <row r="9117" spans="4:5" x14ac:dyDescent="0.25">
      <c r="D9117" s="4">
        <v>44678</v>
      </c>
      <c r="E9117" s="6">
        <v>103.3</v>
      </c>
    </row>
    <row r="9118" spans="4:5" x14ac:dyDescent="0.25">
      <c r="D9118" s="4">
        <v>44679</v>
      </c>
      <c r="E9118" s="6">
        <v>105.78</v>
      </c>
    </row>
    <row r="9119" spans="4:5" x14ac:dyDescent="0.25">
      <c r="D9119" s="4">
        <v>44680</v>
      </c>
      <c r="E9119" s="6">
        <v>108.36</v>
      </c>
    </row>
    <row r="9120" spans="4:5" x14ac:dyDescent="0.25">
      <c r="D9120" s="4">
        <v>44683</v>
      </c>
      <c r="E9120" s="5"/>
    </row>
    <row r="9121" spans="4:5" x14ac:dyDescent="0.25">
      <c r="D9121" s="4">
        <v>44684</v>
      </c>
      <c r="E9121" s="6">
        <v>104.94</v>
      </c>
    </row>
    <row r="9122" spans="4:5" x14ac:dyDescent="0.25">
      <c r="D9122" s="4">
        <v>44685</v>
      </c>
      <c r="E9122" s="6">
        <v>110.53</v>
      </c>
    </row>
    <row r="9123" spans="4:5" x14ac:dyDescent="0.25">
      <c r="D9123" s="4">
        <v>44686</v>
      </c>
      <c r="E9123" s="6">
        <v>112.11</v>
      </c>
    </row>
    <row r="9124" spans="4:5" x14ac:dyDescent="0.25">
      <c r="D9124" s="4">
        <v>44687</v>
      </c>
      <c r="E9124" s="6">
        <v>113.86</v>
      </c>
    </row>
    <row r="9125" spans="4:5" x14ac:dyDescent="0.25">
      <c r="D9125" s="4">
        <v>44690</v>
      </c>
      <c r="E9125" s="6">
        <v>106.67</v>
      </c>
    </row>
    <row r="9126" spans="4:5" x14ac:dyDescent="0.25">
      <c r="D9126" s="4">
        <v>44691</v>
      </c>
      <c r="E9126" s="6">
        <v>102.61</v>
      </c>
    </row>
    <row r="9127" spans="4:5" x14ac:dyDescent="0.25">
      <c r="D9127" s="4">
        <v>44692</v>
      </c>
      <c r="E9127" s="6">
        <v>107.7</v>
      </c>
    </row>
    <row r="9128" spans="4:5" x14ac:dyDescent="0.25">
      <c r="D9128" s="4">
        <v>44693</v>
      </c>
      <c r="E9128" s="6">
        <v>108.06</v>
      </c>
    </row>
    <row r="9129" spans="4:5" x14ac:dyDescent="0.25">
      <c r="D9129" s="4">
        <v>44694</v>
      </c>
      <c r="E9129" s="6">
        <v>112.12</v>
      </c>
    </row>
    <row r="9130" spans="4:5" x14ac:dyDescent="0.25">
      <c r="D9130" s="4">
        <v>44697</v>
      </c>
      <c r="E9130" s="6">
        <v>114.86</v>
      </c>
    </row>
    <row r="9131" spans="4:5" x14ac:dyDescent="0.25">
      <c r="D9131" s="4">
        <v>44698</v>
      </c>
      <c r="E9131" s="6">
        <v>112.89</v>
      </c>
    </row>
    <row r="9132" spans="4:5" x14ac:dyDescent="0.25">
      <c r="D9132" s="4">
        <v>44699</v>
      </c>
      <c r="E9132" s="6">
        <v>110.04</v>
      </c>
    </row>
    <row r="9133" spans="4:5" x14ac:dyDescent="0.25">
      <c r="D9133" s="4">
        <v>44700</v>
      </c>
      <c r="E9133" s="6">
        <v>113.22</v>
      </c>
    </row>
    <row r="9134" spans="4:5" x14ac:dyDescent="0.25">
      <c r="D9134" s="4">
        <v>44701</v>
      </c>
      <c r="E9134" s="6">
        <v>113.63</v>
      </c>
    </row>
    <row r="9135" spans="4:5" x14ac:dyDescent="0.25">
      <c r="D9135" s="4">
        <v>44704</v>
      </c>
      <c r="E9135" s="6">
        <v>115.13</v>
      </c>
    </row>
    <row r="9136" spans="4:5" x14ac:dyDescent="0.25">
      <c r="D9136" s="4">
        <v>44705</v>
      </c>
      <c r="E9136" s="6">
        <v>115.77</v>
      </c>
    </row>
    <row r="9137" spans="4:5" x14ac:dyDescent="0.25">
      <c r="D9137" s="4">
        <v>44706</v>
      </c>
      <c r="E9137" s="6">
        <v>116.41</v>
      </c>
    </row>
    <row r="9138" spans="4:5" x14ac:dyDescent="0.25">
      <c r="D9138" s="4">
        <v>44707</v>
      </c>
      <c r="E9138" s="6">
        <v>119.81</v>
      </c>
    </row>
    <row r="9139" spans="4:5" x14ac:dyDescent="0.25">
      <c r="D9139" s="4">
        <v>44708</v>
      </c>
      <c r="E9139" s="6">
        <v>121.19</v>
      </c>
    </row>
    <row r="9140" spans="4:5" x14ac:dyDescent="0.25">
      <c r="D9140" s="4">
        <v>44711</v>
      </c>
      <c r="E9140" s="6">
        <v>123.01</v>
      </c>
    </row>
    <row r="9141" spans="4:5" x14ac:dyDescent="0.25">
      <c r="D9141" s="4">
        <v>44712</v>
      </c>
      <c r="E9141" s="6">
        <v>125.53</v>
      </c>
    </row>
    <row r="9142" spans="4:5" x14ac:dyDescent="0.25">
      <c r="D9142" s="4">
        <v>44713</v>
      </c>
      <c r="E9142" s="6">
        <v>122.2</v>
      </c>
    </row>
    <row r="9143" spans="4:5" x14ac:dyDescent="0.25">
      <c r="D9143" s="4">
        <v>44714</v>
      </c>
      <c r="E9143" s="5"/>
    </row>
    <row r="9144" spans="4:5" x14ac:dyDescent="0.25">
      <c r="D9144" s="4">
        <v>44715</v>
      </c>
      <c r="E9144" s="6">
        <v>125.68</v>
      </c>
    </row>
    <row r="9145" spans="4:5" x14ac:dyDescent="0.25">
      <c r="D9145" s="4">
        <v>44718</v>
      </c>
      <c r="E9145" s="6">
        <v>124.99</v>
      </c>
    </row>
    <row r="9146" spans="4:5" x14ac:dyDescent="0.25">
      <c r="D9146" s="4">
        <v>44719</v>
      </c>
      <c r="E9146" s="6">
        <v>126.89</v>
      </c>
    </row>
    <row r="9147" spans="4:5" x14ac:dyDescent="0.25">
      <c r="D9147" s="4">
        <v>44720</v>
      </c>
      <c r="E9147" s="6">
        <v>129.19999999999999</v>
      </c>
    </row>
    <row r="9148" spans="4:5" x14ac:dyDescent="0.25">
      <c r="D9148" s="4">
        <v>44721</v>
      </c>
      <c r="E9148" s="6">
        <v>128.47</v>
      </c>
    </row>
    <row r="9149" spans="4:5" x14ac:dyDescent="0.25">
      <c r="D9149" s="4">
        <v>44722</v>
      </c>
      <c r="E9149" s="6">
        <v>127.44</v>
      </c>
    </row>
    <row r="9150" spans="4:5" x14ac:dyDescent="0.25">
      <c r="D9150" s="4">
        <v>44725</v>
      </c>
      <c r="E9150" s="6">
        <v>128.44</v>
      </c>
    </row>
    <row r="9151" spans="4:5" x14ac:dyDescent="0.25">
      <c r="D9151" s="4">
        <v>44726</v>
      </c>
      <c r="E9151" s="6">
        <v>127.02</v>
      </c>
    </row>
    <row r="9152" spans="4:5" x14ac:dyDescent="0.25">
      <c r="D9152" s="4">
        <v>44727</v>
      </c>
      <c r="E9152" s="6">
        <v>124.96</v>
      </c>
    </row>
    <row r="9153" spans="4:5" x14ac:dyDescent="0.25">
      <c r="D9153" s="4">
        <v>44728</v>
      </c>
      <c r="E9153" s="6">
        <v>125.78</v>
      </c>
    </row>
    <row r="9154" spans="4:5" x14ac:dyDescent="0.25">
      <c r="D9154" s="4">
        <v>44729</v>
      </c>
      <c r="E9154" s="6">
        <v>119.22</v>
      </c>
    </row>
    <row r="9155" spans="4:5" x14ac:dyDescent="0.25">
      <c r="D9155" s="4">
        <v>44732</v>
      </c>
      <c r="E9155" s="6">
        <v>118.25</v>
      </c>
    </row>
    <row r="9156" spans="4:5" x14ac:dyDescent="0.25">
      <c r="D9156" s="4">
        <v>44733</v>
      </c>
      <c r="E9156" s="6">
        <v>118.51</v>
      </c>
    </row>
    <row r="9157" spans="4:5" x14ac:dyDescent="0.25">
      <c r="D9157" s="4">
        <v>44734</v>
      </c>
      <c r="E9157" s="6">
        <v>115.54</v>
      </c>
    </row>
    <row r="9158" spans="4:5" x14ac:dyDescent="0.25">
      <c r="D9158" s="4">
        <v>44735</v>
      </c>
      <c r="E9158" s="6">
        <v>114.5</v>
      </c>
    </row>
    <row r="9159" spans="4:5" x14ac:dyDescent="0.25">
      <c r="D9159" s="4">
        <v>44736</v>
      </c>
      <c r="E9159" s="6">
        <v>117.36</v>
      </c>
    </row>
    <row r="9160" spans="4:5" x14ac:dyDescent="0.25">
      <c r="D9160" s="4">
        <v>44739</v>
      </c>
      <c r="E9160" s="6">
        <v>119.69</v>
      </c>
    </row>
    <row r="9161" spans="4:5" x14ac:dyDescent="0.25">
      <c r="D9161" s="4">
        <v>44740</v>
      </c>
      <c r="E9161" s="6">
        <v>122.21</v>
      </c>
    </row>
    <row r="9162" spans="4:5" x14ac:dyDescent="0.25">
      <c r="D9162" s="4">
        <v>44741</v>
      </c>
      <c r="E9162" s="6">
        <v>120.8</v>
      </c>
    </row>
    <row r="9163" spans="4:5" x14ac:dyDescent="0.25">
      <c r="D9163" s="4">
        <v>44742</v>
      </c>
      <c r="E9163" s="6">
        <v>119.78</v>
      </c>
    </row>
    <row r="9164" spans="4:5" x14ac:dyDescent="0.25">
      <c r="D9164" s="4">
        <v>44743</v>
      </c>
      <c r="E9164" s="6">
        <v>119.21</v>
      </c>
    </row>
    <row r="9165" spans="4:5" x14ac:dyDescent="0.25">
      <c r="D9165" s="4">
        <v>44746</v>
      </c>
      <c r="E9165" s="6">
        <v>121.8</v>
      </c>
    </row>
    <row r="9166" spans="4:5" x14ac:dyDescent="0.25">
      <c r="D9166" s="4">
        <v>44747</v>
      </c>
      <c r="E9166" s="6">
        <v>110.49</v>
      </c>
    </row>
    <row r="9167" spans="4:5" x14ac:dyDescent="0.25">
      <c r="D9167" s="4">
        <v>44748</v>
      </c>
      <c r="E9167" s="6">
        <v>108.54</v>
      </c>
    </row>
    <row r="9168" spans="4:5" x14ac:dyDescent="0.25">
      <c r="D9168" s="4">
        <v>44749</v>
      </c>
      <c r="E9168" s="6">
        <v>113.4</v>
      </c>
    </row>
    <row r="9169" spans="4:5" x14ac:dyDescent="0.25">
      <c r="D9169" s="4">
        <v>44750</v>
      </c>
      <c r="E9169" s="6">
        <v>113.95</v>
      </c>
    </row>
    <row r="9170" spans="4:5" x14ac:dyDescent="0.25">
      <c r="D9170" s="4">
        <v>44753</v>
      </c>
      <c r="E9170" s="6">
        <v>114.85</v>
      </c>
    </row>
    <row r="9171" spans="4:5" x14ac:dyDescent="0.25">
      <c r="D9171" s="4">
        <v>44754</v>
      </c>
      <c r="E9171" s="6">
        <v>106.98</v>
      </c>
    </row>
    <row r="9172" spans="4:5" x14ac:dyDescent="0.25">
      <c r="D9172" s="4">
        <v>44755</v>
      </c>
      <c r="E9172" s="6">
        <v>107.17</v>
      </c>
    </row>
    <row r="9173" spans="4:5" x14ac:dyDescent="0.25">
      <c r="D9173" s="4">
        <v>44756</v>
      </c>
      <c r="E9173" s="6">
        <v>107.74</v>
      </c>
    </row>
    <row r="9174" spans="4:5" x14ac:dyDescent="0.25">
      <c r="D9174" s="4">
        <v>44757</v>
      </c>
      <c r="E9174" s="6">
        <v>112.26</v>
      </c>
    </row>
    <row r="9175" spans="4:5" x14ac:dyDescent="0.25">
      <c r="D9175" s="4">
        <v>44760</v>
      </c>
      <c r="E9175" s="6">
        <v>117.27</v>
      </c>
    </row>
    <row r="9176" spans="4:5" x14ac:dyDescent="0.25">
      <c r="D9176" s="4">
        <v>44761</v>
      </c>
      <c r="E9176" s="6">
        <v>114.96</v>
      </c>
    </row>
    <row r="9177" spans="4:5" x14ac:dyDescent="0.25">
      <c r="D9177" s="4">
        <v>44762</v>
      </c>
      <c r="E9177" s="6">
        <v>115.86</v>
      </c>
    </row>
    <row r="9178" spans="4:5" x14ac:dyDescent="0.25">
      <c r="D9178" s="4">
        <v>44763</v>
      </c>
      <c r="E9178" s="6">
        <v>112.81</v>
      </c>
    </row>
    <row r="9179" spans="4:5" x14ac:dyDescent="0.25">
      <c r="D9179" s="4">
        <v>44764</v>
      </c>
      <c r="E9179" s="6">
        <v>106.77</v>
      </c>
    </row>
    <row r="9180" spans="4:5" x14ac:dyDescent="0.25">
      <c r="D9180" s="4">
        <v>44767</v>
      </c>
      <c r="E9180" s="6">
        <v>108.23</v>
      </c>
    </row>
    <row r="9181" spans="4:5" x14ac:dyDescent="0.25">
      <c r="D9181" s="4">
        <v>44768</v>
      </c>
      <c r="E9181" s="6">
        <v>107.32</v>
      </c>
    </row>
    <row r="9182" spans="4:5" x14ac:dyDescent="0.25">
      <c r="D9182" s="4">
        <v>44769</v>
      </c>
      <c r="E9182" s="6">
        <v>109.64</v>
      </c>
    </row>
    <row r="9183" spans="4:5" x14ac:dyDescent="0.25">
      <c r="D9183" s="4">
        <v>44770</v>
      </c>
      <c r="E9183" s="6">
        <v>109.68</v>
      </c>
    </row>
    <row r="9184" spans="4:5" x14ac:dyDescent="0.25">
      <c r="D9184" s="4">
        <v>44771</v>
      </c>
      <c r="E9184" s="6">
        <v>111.51</v>
      </c>
    </row>
    <row r="9185" spans="4:5" x14ac:dyDescent="0.25">
      <c r="D9185" s="4">
        <v>44774</v>
      </c>
      <c r="E9185" s="6">
        <v>106.09</v>
      </c>
    </row>
    <row r="9186" spans="4:5" x14ac:dyDescent="0.25">
      <c r="D9186" s="4">
        <v>44775</v>
      </c>
      <c r="E9186" s="6">
        <v>106.51</v>
      </c>
    </row>
    <row r="9187" spans="4:5" x14ac:dyDescent="0.25">
      <c r="D9187" s="4">
        <v>44776</v>
      </c>
      <c r="E9187" s="6">
        <v>101.82</v>
      </c>
    </row>
    <row r="9188" spans="4:5" x14ac:dyDescent="0.25">
      <c r="D9188" s="4">
        <v>44777</v>
      </c>
      <c r="E9188" s="6">
        <v>97.99</v>
      </c>
    </row>
    <row r="9189" spans="4:5" x14ac:dyDescent="0.25">
      <c r="D9189" s="4">
        <v>44778</v>
      </c>
      <c r="E9189" s="6">
        <v>100.31</v>
      </c>
    </row>
    <row r="9190" spans="4:5" x14ac:dyDescent="0.25">
      <c r="D9190" s="4">
        <v>44781</v>
      </c>
      <c r="E9190" s="6">
        <v>103.46</v>
      </c>
    </row>
    <row r="9191" spans="4:5" x14ac:dyDescent="0.25">
      <c r="D9191" s="4">
        <v>44782</v>
      </c>
      <c r="E9191" s="6">
        <v>103.81</v>
      </c>
    </row>
    <row r="9192" spans="4:5" x14ac:dyDescent="0.25">
      <c r="D9192" s="4">
        <v>44783</v>
      </c>
      <c r="E9192" s="6">
        <v>105.06</v>
      </c>
    </row>
    <row r="9193" spans="4:5" x14ac:dyDescent="0.25">
      <c r="D9193" s="4">
        <v>44784</v>
      </c>
      <c r="E9193" s="6">
        <v>107.19</v>
      </c>
    </row>
    <row r="9194" spans="4:5" x14ac:dyDescent="0.25">
      <c r="D9194" s="4">
        <v>44785</v>
      </c>
      <c r="E9194" s="6">
        <v>103.7</v>
      </c>
    </row>
    <row r="9195" spans="4:5" x14ac:dyDescent="0.25">
      <c r="D9195" s="4">
        <v>44788</v>
      </c>
      <c r="E9195" s="6">
        <v>98.25</v>
      </c>
    </row>
    <row r="9196" spans="4:5" x14ac:dyDescent="0.25">
      <c r="D9196" s="4">
        <v>44789</v>
      </c>
      <c r="E9196" s="6">
        <v>95.36</v>
      </c>
    </row>
    <row r="9197" spans="4:5" x14ac:dyDescent="0.25">
      <c r="D9197" s="4">
        <v>44790</v>
      </c>
      <c r="E9197" s="6">
        <v>97.22</v>
      </c>
    </row>
    <row r="9198" spans="4:5" x14ac:dyDescent="0.25">
      <c r="D9198" s="4">
        <v>44791</v>
      </c>
      <c r="E9198" s="6">
        <v>96.35</v>
      </c>
    </row>
    <row r="9199" spans="4:5" x14ac:dyDescent="0.25">
      <c r="D9199" s="4">
        <v>44792</v>
      </c>
      <c r="E9199" s="6">
        <v>96.45</v>
      </c>
    </row>
    <row r="9200" spans="4:5" x14ac:dyDescent="0.25">
      <c r="D9200" s="4">
        <v>44795</v>
      </c>
      <c r="E9200" s="6">
        <v>95.06</v>
      </c>
    </row>
    <row r="9201" spans="4:5" x14ac:dyDescent="0.25">
      <c r="D9201" s="4">
        <v>44796</v>
      </c>
      <c r="E9201" s="6">
        <v>99.49</v>
      </c>
    </row>
    <row r="9202" spans="4:5" x14ac:dyDescent="0.25">
      <c r="D9202" s="4">
        <v>44797</v>
      </c>
      <c r="E9202" s="6">
        <v>99.87</v>
      </c>
    </row>
    <row r="9203" spans="4:5" x14ac:dyDescent="0.25">
      <c r="D9203" s="4">
        <v>44798</v>
      </c>
      <c r="E9203" s="6">
        <v>98.81</v>
      </c>
    </row>
    <row r="9204" spans="4:5" x14ac:dyDescent="0.25">
      <c r="D9204" s="4">
        <v>44799</v>
      </c>
      <c r="E9204" s="6">
        <v>101.13</v>
      </c>
    </row>
    <row r="9205" spans="4:5" x14ac:dyDescent="0.25">
      <c r="D9205" s="4">
        <v>44802</v>
      </c>
      <c r="E9205" s="5"/>
    </row>
    <row r="9206" spans="4:5" x14ac:dyDescent="0.25">
      <c r="D9206" s="4">
        <v>44803</v>
      </c>
      <c r="E9206" s="6">
        <v>99.34</v>
      </c>
    </row>
    <row r="9207" spans="4:5" x14ac:dyDescent="0.25">
      <c r="D9207" s="4">
        <v>44804</v>
      </c>
      <c r="E9207" s="6">
        <v>96.55</v>
      </c>
    </row>
    <row r="9208" spans="4:5" x14ac:dyDescent="0.25">
      <c r="D9208" s="4">
        <v>44805</v>
      </c>
      <c r="E9208" s="6">
        <v>92.24</v>
      </c>
    </row>
    <row r="9209" spans="4:5" x14ac:dyDescent="0.25">
      <c r="D9209" s="4">
        <v>44806</v>
      </c>
      <c r="E9209" s="6">
        <v>93.09</v>
      </c>
    </row>
    <row r="9210" spans="4:5" x14ac:dyDescent="0.25">
      <c r="D9210" s="4">
        <v>44809</v>
      </c>
      <c r="E9210" s="6">
        <v>94.22</v>
      </c>
    </row>
    <row r="9211" spans="4:5" x14ac:dyDescent="0.25">
      <c r="D9211" s="4">
        <v>44810</v>
      </c>
      <c r="E9211" s="6">
        <v>91.43</v>
      </c>
    </row>
    <row r="9212" spans="4:5" x14ac:dyDescent="0.25">
      <c r="D9212" s="4">
        <v>44811</v>
      </c>
      <c r="E9212" s="6">
        <v>86.83</v>
      </c>
    </row>
    <row r="9213" spans="4:5" x14ac:dyDescent="0.25">
      <c r="D9213" s="4">
        <v>44812</v>
      </c>
      <c r="E9213" s="6">
        <v>87.99</v>
      </c>
    </row>
    <row r="9214" spans="4:5" x14ac:dyDescent="0.25">
      <c r="D9214" s="4">
        <v>44813</v>
      </c>
      <c r="E9214" s="6">
        <v>91.68</v>
      </c>
    </row>
    <row r="9215" spans="4:5" x14ac:dyDescent="0.25">
      <c r="D9215" s="4">
        <v>44816</v>
      </c>
      <c r="E9215" s="6">
        <v>93.45</v>
      </c>
    </row>
    <row r="9216" spans="4:5" x14ac:dyDescent="0.25">
      <c r="D9216" s="4">
        <v>44817</v>
      </c>
      <c r="E9216" s="6">
        <v>92.04</v>
      </c>
    </row>
    <row r="9217" spans="4:5" x14ac:dyDescent="0.25">
      <c r="D9217" s="4">
        <v>44818</v>
      </c>
      <c r="E9217" s="6">
        <v>92.83</v>
      </c>
    </row>
    <row r="9218" spans="4:5" x14ac:dyDescent="0.25">
      <c r="D9218" s="4">
        <v>44819</v>
      </c>
      <c r="E9218" s="6">
        <v>89.28</v>
      </c>
    </row>
    <row r="9219" spans="4:5" x14ac:dyDescent="0.25">
      <c r="D9219" s="4">
        <v>44820</v>
      </c>
      <c r="E9219" s="6">
        <v>89.43</v>
      </c>
    </row>
    <row r="9220" spans="4:5" x14ac:dyDescent="0.25">
      <c r="D9220" s="4">
        <v>44823</v>
      </c>
      <c r="E9220" s="5"/>
    </row>
    <row r="9221" spans="4:5" x14ac:dyDescent="0.25">
      <c r="D9221" s="4">
        <v>44824</v>
      </c>
      <c r="E9221" s="6">
        <v>89.62</v>
      </c>
    </row>
    <row r="9222" spans="4:5" x14ac:dyDescent="0.25">
      <c r="D9222" s="4">
        <v>44825</v>
      </c>
      <c r="E9222" s="6">
        <v>89.86</v>
      </c>
    </row>
    <row r="9223" spans="4:5" x14ac:dyDescent="0.25">
      <c r="D9223" s="4">
        <v>44826</v>
      </c>
      <c r="E9223" s="6">
        <v>90.4</v>
      </c>
    </row>
    <row r="9224" spans="4:5" x14ac:dyDescent="0.25">
      <c r="D9224" s="4">
        <v>44827</v>
      </c>
      <c r="E9224" s="6">
        <v>84.29</v>
      </c>
    </row>
    <row r="9225" spans="4:5" x14ac:dyDescent="0.25">
      <c r="D9225" s="4">
        <v>44830</v>
      </c>
      <c r="E9225" s="6">
        <v>82.55</v>
      </c>
    </row>
    <row r="9226" spans="4:5" x14ac:dyDescent="0.25">
      <c r="D9226" s="4">
        <v>44831</v>
      </c>
      <c r="E9226" s="6">
        <v>85.97</v>
      </c>
    </row>
    <row r="9227" spans="4:5" x14ac:dyDescent="0.25">
      <c r="D9227" s="4">
        <v>44832</v>
      </c>
      <c r="E9227" s="6">
        <v>89.55</v>
      </c>
    </row>
    <row r="9228" spans="4:5" x14ac:dyDescent="0.25">
      <c r="D9228" s="4">
        <v>44833</v>
      </c>
      <c r="E9228" s="6">
        <v>89.41</v>
      </c>
    </row>
    <row r="9229" spans="4:5" x14ac:dyDescent="0.25">
      <c r="D9229" s="4">
        <v>44834</v>
      </c>
      <c r="E9229" s="6">
        <v>88.9</v>
      </c>
    </row>
    <row r="9230" spans="4:5" x14ac:dyDescent="0.25">
      <c r="D9230" s="4">
        <v>44837</v>
      </c>
      <c r="E9230" s="6">
        <v>90.68</v>
      </c>
    </row>
    <row r="9231" spans="4:5" x14ac:dyDescent="0.25">
      <c r="D9231" s="4">
        <v>44838</v>
      </c>
      <c r="E9231" s="6">
        <v>93.74</v>
      </c>
    </row>
    <row r="9232" spans="4:5" x14ac:dyDescent="0.25">
      <c r="D9232" s="4">
        <v>44839</v>
      </c>
      <c r="E9232" s="6">
        <v>94.35</v>
      </c>
    </row>
    <row r="9233" spans="4:5" x14ac:dyDescent="0.25">
      <c r="D9233" s="4">
        <v>44840</v>
      </c>
      <c r="E9233" s="6">
        <v>95.65</v>
      </c>
    </row>
    <row r="9234" spans="4:5" x14ac:dyDescent="0.25">
      <c r="D9234" s="4">
        <v>44841</v>
      </c>
      <c r="E9234" s="6">
        <v>98.88</v>
      </c>
    </row>
    <row r="9235" spans="4:5" x14ac:dyDescent="0.25">
      <c r="D9235" s="4">
        <v>44844</v>
      </c>
      <c r="E9235" s="6">
        <v>97.13</v>
      </c>
    </row>
    <row r="9236" spans="4:5" x14ac:dyDescent="0.25">
      <c r="D9236" s="4">
        <v>44845</v>
      </c>
      <c r="E9236" s="6">
        <v>95.17</v>
      </c>
    </row>
    <row r="9237" spans="4:5" x14ac:dyDescent="0.25">
      <c r="D9237" s="4">
        <v>44846</v>
      </c>
      <c r="E9237" s="6">
        <v>93.44</v>
      </c>
    </row>
    <row r="9238" spans="4:5" x14ac:dyDescent="0.25">
      <c r="D9238" s="4">
        <v>44847</v>
      </c>
      <c r="E9238" s="6">
        <v>95.16</v>
      </c>
    </row>
    <row r="9239" spans="4:5" x14ac:dyDescent="0.25">
      <c r="D9239" s="4">
        <v>44848</v>
      </c>
      <c r="E9239" s="6">
        <v>92.22</v>
      </c>
    </row>
    <row r="9240" spans="4:5" x14ac:dyDescent="0.25">
      <c r="D9240" s="4">
        <v>44851</v>
      </c>
      <c r="E9240" s="6">
        <v>91.04</v>
      </c>
    </row>
    <row r="9241" spans="4:5" x14ac:dyDescent="0.25">
      <c r="D9241" s="4">
        <v>44852</v>
      </c>
      <c r="E9241" s="6">
        <v>89.46</v>
      </c>
    </row>
    <row r="9242" spans="4:5" x14ac:dyDescent="0.25">
      <c r="D9242" s="4">
        <v>44853</v>
      </c>
      <c r="E9242" s="6">
        <v>91.34</v>
      </c>
    </row>
    <row r="9243" spans="4:5" x14ac:dyDescent="0.25">
      <c r="D9243" s="4">
        <v>44854</v>
      </c>
      <c r="E9243" s="6">
        <v>91.52</v>
      </c>
    </row>
    <row r="9244" spans="4:5" x14ac:dyDescent="0.25">
      <c r="D9244" s="4">
        <v>44855</v>
      </c>
      <c r="E9244" s="6">
        <v>91.82</v>
      </c>
    </row>
    <row r="9245" spans="4:5" x14ac:dyDescent="0.25">
      <c r="D9245" s="4">
        <v>44858</v>
      </c>
      <c r="E9245" s="6">
        <v>91.57</v>
      </c>
    </row>
    <row r="9246" spans="4:5" x14ac:dyDescent="0.25">
      <c r="D9246" s="4">
        <v>44859</v>
      </c>
      <c r="E9246" s="6">
        <v>91.76</v>
      </c>
    </row>
    <row r="9247" spans="4:5" x14ac:dyDescent="0.25">
      <c r="D9247" s="4">
        <v>44860</v>
      </c>
      <c r="E9247" s="6">
        <v>92.93</v>
      </c>
    </row>
    <row r="9248" spans="4:5" x14ac:dyDescent="0.25">
      <c r="D9248" s="4">
        <v>44861</v>
      </c>
      <c r="E9248" s="6">
        <v>94.17</v>
      </c>
    </row>
    <row r="9249" spans="4:5" x14ac:dyDescent="0.25">
      <c r="D9249" s="4">
        <v>44862</v>
      </c>
      <c r="E9249" s="6">
        <v>94.64</v>
      </c>
    </row>
    <row r="9250" spans="4:5" x14ac:dyDescent="0.25">
      <c r="D9250" s="4">
        <v>44865</v>
      </c>
      <c r="E9250" s="6">
        <v>93.3</v>
      </c>
    </row>
    <row r="9251" spans="4:5" x14ac:dyDescent="0.25">
      <c r="D9251" s="4">
        <v>44866</v>
      </c>
      <c r="E9251" s="6">
        <v>95.12</v>
      </c>
    </row>
    <row r="9252" spans="4:5" x14ac:dyDescent="0.25">
      <c r="D9252" s="4">
        <v>44867</v>
      </c>
      <c r="E9252" s="6">
        <v>96.07</v>
      </c>
    </row>
    <row r="9253" spans="4:5" x14ac:dyDescent="0.25">
      <c r="D9253" s="4">
        <v>44868</v>
      </c>
      <c r="E9253" s="6">
        <v>95.29</v>
      </c>
    </row>
    <row r="9254" spans="4:5" x14ac:dyDescent="0.25">
      <c r="D9254" s="4">
        <v>44869</v>
      </c>
      <c r="E9254" s="6">
        <v>99.53</v>
      </c>
    </row>
    <row r="9255" spans="4:5" x14ac:dyDescent="0.25">
      <c r="D9255" s="4">
        <v>44872</v>
      </c>
      <c r="E9255" s="6">
        <v>99.87</v>
      </c>
    </row>
    <row r="9256" spans="4:5" x14ac:dyDescent="0.25">
      <c r="D9256" s="4">
        <v>44873</v>
      </c>
      <c r="E9256" s="6">
        <v>96.85</v>
      </c>
    </row>
    <row r="9257" spans="4:5" x14ac:dyDescent="0.25">
      <c r="D9257" s="4">
        <v>44874</v>
      </c>
      <c r="E9257" s="6">
        <v>93.05</v>
      </c>
    </row>
    <row r="9258" spans="4:5" x14ac:dyDescent="0.25">
      <c r="D9258" s="4">
        <v>44875</v>
      </c>
      <c r="E9258" s="6">
        <v>94.25</v>
      </c>
    </row>
    <row r="9259" spans="4:5" x14ac:dyDescent="0.25">
      <c r="D9259" s="4">
        <v>44876</v>
      </c>
      <c r="E9259" s="6">
        <v>96.37</v>
      </c>
    </row>
    <row r="9260" spans="4:5" x14ac:dyDescent="0.25">
      <c r="D9260" s="4">
        <v>44879</v>
      </c>
      <c r="E9260" s="6">
        <v>93.59</v>
      </c>
    </row>
    <row r="9261" spans="4:5" x14ac:dyDescent="0.25">
      <c r="D9261" s="4">
        <v>44880</v>
      </c>
      <c r="E9261" s="6">
        <v>94.3</v>
      </c>
    </row>
    <row r="9262" spans="4:5" x14ac:dyDescent="0.25">
      <c r="D9262" s="4">
        <v>44881</v>
      </c>
      <c r="E9262" s="6">
        <v>92.61</v>
      </c>
    </row>
    <row r="9263" spans="4:5" x14ac:dyDescent="0.25">
      <c r="D9263" s="4">
        <v>44882</v>
      </c>
      <c r="E9263" s="6">
        <v>91</v>
      </c>
    </row>
    <row r="9264" spans="4:5" x14ac:dyDescent="0.25">
      <c r="D9264" s="4">
        <v>44883</v>
      </c>
      <c r="E9264" s="6">
        <v>88.93</v>
      </c>
    </row>
    <row r="9265" spans="4:5" x14ac:dyDescent="0.25">
      <c r="D9265" s="4">
        <v>44886</v>
      </c>
      <c r="E9265" s="6">
        <v>88.44</v>
      </c>
    </row>
    <row r="9266" spans="4:5" x14ac:dyDescent="0.25">
      <c r="D9266" s="4">
        <v>44887</v>
      </c>
      <c r="E9266" s="6">
        <v>88.65</v>
      </c>
    </row>
    <row r="9267" spans="4:5" x14ac:dyDescent="0.25">
      <c r="D9267" s="4">
        <v>44888</v>
      </c>
      <c r="E9267" s="6">
        <v>85.9</v>
      </c>
    </row>
    <row r="9268" spans="4:5" x14ac:dyDescent="0.25">
      <c r="D9268" s="4">
        <v>44889</v>
      </c>
      <c r="E9268" s="6">
        <v>85.59</v>
      </c>
    </row>
    <row r="9269" spans="4:5" x14ac:dyDescent="0.25">
      <c r="D9269" s="4">
        <v>44890</v>
      </c>
      <c r="E9269" s="6">
        <v>83.4</v>
      </c>
    </row>
    <row r="9270" spans="4:5" x14ac:dyDescent="0.25">
      <c r="D9270" s="4">
        <v>44893</v>
      </c>
      <c r="E9270" s="6">
        <v>83.5</v>
      </c>
    </row>
    <row r="9271" spans="4:5" x14ac:dyDescent="0.25">
      <c r="D9271" s="4">
        <v>44894</v>
      </c>
      <c r="E9271" s="6">
        <v>83.22</v>
      </c>
    </row>
    <row r="9272" spans="4:5" x14ac:dyDescent="0.25">
      <c r="D9272" s="4">
        <v>44895</v>
      </c>
      <c r="E9272" s="6">
        <v>85.61</v>
      </c>
    </row>
    <row r="9273" spans="4:5" x14ac:dyDescent="0.25">
      <c r="D9273" s="4">
        <v>44896</v>
      </c>
      <c r="E9273" s="6">
        <v>86.28</v>
      </c>
    </row>
    <row r="9274" spans="4:5" x14ac:dyDescent="0.25">
      <c r="D9274" s="4">
        <v>44897</v>
      </c>
      <c r="E9274" s="6">
        <v>86.54</v>
      </c>
    </row>
    <row r="9275" spans="4:5" x14ac:dyDescent="0.25">
      <c r="D9275" s="4">
        <v>44900</v>
      </c>
      <c r="E9275" s="6">
        <v>83.36</v>
      </c>
    </row>
    <row r="9276" spans="4:5" x14ac:dyDescent="0.25">
      <c r="D9276" s="4">
        <v>44901</v>
      </c>
      <c r="E9276" s="6">
        <v>79.92</v>
      </c>
    </row>
    <row r="9277" spans="4:5" x14ac:dyDescent="0.25">
      <c r="D9277" s="4">
        <v>44902</v>
      </c>
      <c r="E9277" s="6">
        <v>77.11</v>
      </c>
    </row>
    <row r="9278" spans="4:5" x14ac:dyDescent="0.25">
      <c r="D9278" s="4">
        <v>44903</v>
      </c>
      <c r="E9278" s="6">
        <v>76.02</v>
      </c>
    </row>
    <row r="9279" spans="4:5" x14ac:dyDescent="0.25">
      <c r="D9279" s="4">
        <v>44904</v>
      </c>
      <c r="E9279" s="6">
        <v>76.37</v>
      </c>
    </row>
    <row r="9280" spans="4:5" x14ac:dyDescent="0.25">
      <c r="D9280" s="4">
        <v>44907</v>
      </c>
      <c r="E9280" s="6">
        <v>78</v>
      </c>
    </row>
    <row r="9281" spans="4:5" x14ac:dyDescent="0.25">
      <c r="D9281" s="4">
        <v>44908</v>
      </c>
      <c r="E9281" s="6">
        <v>80.14</v>
      </c>
    </row>
    <row r="9282" spans="4:5" x14ac:dyDescent="0.25">
      <c r="D9282" s="4">
        <v>44909</v>
      </c>
      <c r="E9282" s="6">
        <v>83.33</v>
      </c>
    </row>
    <row r="9283" spans="4:5" x14ac:dyDescent="0.25">
      <c r="D9283" s="4">
        <v>44910</v>
      </c>
      <c r="E9283" s="6">
        <v>82.34</v>
      </c>
    </row>
    <row r="9284" spans="4:5" x14ac:dyDescent="0.25">
      <c r="D9284" s="4">
        <v>44911</v>
      </c>
      <c r="E9284" s="6">
        <v>80.2</v>
      </c>
    </row>
    <row r="9285" spans="4:5" x14ac:dyDescent="0.25">
      <c r="D9285" s="4">
        <v>44914</v>
      </c>
      <c r="E9285" s="6">
        <v>81.66</v>
      </c>
    </row>
    <row r="9286" spans="4:5" x14ac:dyDescent="0.25">
      <c r="D9286" s="4">
        <v>44915</v>
      </c>
      <c r="E9286" s="6">
        <v>79.45</v>
      </c>
    </row>
    <row r="9287" spans="4:5" x14ac:dyDescent="0.25">
      <c r="D9287" s="4">
        <v>44916</v>
      </c>
      <c r="E9287" s="6">
        <v>80.25</v>
      </c>
    </row>
    <row r="9288" spans="4:5" x14ac:dyDescent="0.25">
      <c r="D9288" s="4">
        <v>44917</v>
      </c>
      <c r="E9288" s="6">
        <v>79.58</v>
      </c>
    </row>
    <row r="9289" spans="4:5" x14ac:dyDescent="0.25">
      <c r="D9289" s="4">
        <v>44918</v>
      </c>
      <c r="E9289" s="6">
        <v>82.45</v>
      </c>
    </row>
    <row r="9290" spans="4:5" x14ac:dyDescent="0.25">
      <c r="D9290" s="4">
        <v>44921</v>
      </c>
      <c r="E9290" s="5"/>
    </row>
    <row r="9291" spans="4:5" x14ac:dyDescent="0.25">
      <c r="D9291" s="4">
        <v>44922</v>
      </c>
      <c r="E9291" s="5"/>
    </row>
    <row r="9292" spans="4:5" x14ac:dyDescent="0.25">
      <c r="D9292" s="4">
        <v>44923</v>
      </c>
      <c r="E9292" s="6">
        <v>81.7</v>
      </c>
    </row>
    <row r="9293" spans="4:5" x14ac:dyDescent="0.25">
      <c r="D9293" s="4">
        <v>44924</v>
      </c>
      <c r="E9293" s="6">
        <v>80.959999999999994</v>
      </c>
    </row>
    <row r="9294" spans="4:5" x14ac:dyDescent="0.25">
      <c r="D9294" s="4">
        <v>44925</v>
      </c>
      <c r="E9294" s="6">
        <v>82.82</v>
      </c>
    </row>
    <row r="9295" spans="4:5" x14ac:dyDescent="0.25">
      <c r="D9295" s="4">
        <v>44928</v>
      </c>
      <c r="E9295" s="5"/>
    </row>
    <row r="9296" spans="4:5" x14ac:dyDescent="0.25">
      <c r="D9296" s="4">
        <v>44929</v>
      </c>
      <c r="E9296" s="6">
        <v>80.36</v>
      </c>
    </row>
    <row r="9297" spans="4:5" x14ac:dyDescent="0.25">
      <c r="D9297" s="4">
        <v>44930</v>
      </c>
      <c r="E9297" s="6">
        <v>75.31</v>
      </c>
    </row>
    <row r="9298" spans="4:5" x14ac:dyDescent="0.25">
      <c r="D9298" s="4">
        <v>44931</v>
      </c>
      <c r="E9298" s="6">
        <v>76.73</v>
      </c>
    </row>
    <row r="9299" spans="4:5" x14ac:dyDescent="0.25">
      <c r="D9299" s="4">
        <v>44932</v>
      </c>
      <c r="E9299" s="6">
        <v>76.41</v>
      </c>
    </row>
    <row r="9300" spans="4:5" x14ac:dyDescent="0.25">
      <c r="D9300" s="4">
        <v>44935</v>
      </c>
      <c r="E9300" s="6">
        <v>77.5</v>
      </c>
    </row>
    <row r="9301" spans="4:5" x14ac:dyDescent="0.25">
      <c r="D9301" s="4">
        <v>44936</v>
      </c>
      <c r="E9301" s="6">
        <v>78.400000000000006</v>
      </c>
    </row>
    <row r="9302" spans="4:5" x14ac:dyDescent="0.25">
      <c r="D9302" s="4">
        <v>44937</v>
      </c>
      <c r="E9302" s="6">
        <v>81.11</v>
      </c>
    </row>
    <row r="9303" spans="4:5" x14ac:dyDescent="0.25">
      <c r="D9303" s="4">
        <v>44938</v>
      </c>
      <c r="E9303" s="6">
        <v>82.59</v>
      </c>
    </row>
    <row r="9304" spans="4:5" x14ac:dyDescent="0.25">
      <c r="D9304" s="4">
        <v>44939</v>
      </c>
      <c r="E9304" s="6">
        <v>83.43</v>
      </c>
    </row>
    <row r="9305" spans="4:5" x14ac:dyDescent="0.25">
      <c r="D9305" s="4">
        <v>44942</v>
      </c>
      <c r="E9305" s="6">
        <v>82.65</v>
      </c>
    </row>
    <row r="9306" spans="4:5" x14ac:dyDescent="0.25">
      <c r="D9306" s="4">
        <v>44943</v>
      </c>
      <c r="E9306" s="6">
        <v>84.38</v>
      </c>
    </row>
    <row r="9307" spans="4:5" x14ac:dyDescent="0.25">
      <c r="D9307" s="4">
        <v>44944</v>
      </c>
      <c r="E9307" s="6">
        <v>83.78</v>
      </c>
    </row>
    <row r="9308" spans="4:5" x14ac:dyDescent="0.25">
      <c r="D9308" s="4">
        <v>44945</v>
      </c>
      <c r="E9308" s="6">
        <v>85.08</v>
      </c>
    </row>
    <row r="9309" spans="4:5" x14ac:dyDescent="0.25">
      <c r="D9309" s="4">
        <v>44946</v>
      </c>
      <c r="E9309" s="6">
        <v>86.96</v>
      </c>
    </row>
    <row r="9310" spans="4:5" x14ac:dyDescent="0.25">
      <c r="D9310" s="4">
        <v>44949</v>
      </c>
      <c r="E9310" s="6">
        <v>87.54</v>
      </c>
    </row>
    <row r="9311" spans="4:5" x14ac:dyDescent="0.25">
      <c r="D9311" s="4">
        <v>44950</v>
      </c>
      <c r="E9311" s="6">
        <v>85.25</v>
      </c>
    </row>
    <row r="9312" spans="4:5" x14ac:dyDescent="0.25">
      <c r="D9312" s="4">
        <v>44951</v>
      </c>
      <c r="E9312" s="6">
        <v>85.08</v>
      </c>
    </row>
    <row r="9313" spans="4:5" x14ac:dyDescent="0.25">
      <c r="D9313" s="4">
        <v>44952</v>
      </c>
      <c r="E9313" s="6">
        <v>86.29</v>
      </c>
    </row>
    <row r="9314" spans="4:5" x14ac:dyDescent="0.25">
      <c r="D9314" s="4">
        <v>44953</v>
      </c>
      <c r="E9314" s="6">
        <v>85.36</v>
      </c>
    </row>
    <row r="9315" spans="4:5" x14ac:dyDescent="0.25">
      <c r="D9315" s="4">
        <v>44956</v>
      </c>
      <c r="E9315" s="6">
        <v>84.9</v>
      </c>
    </row>
    <row r="9316" spans="4:5" x14ac:dyDescent="0.25">
      <c r="D9316" s="4">
        <v>44957</v>
      </c>
      <c r="E9316" s="6">
        <v>83.42</v>
      </c>
    </row>
    <row r="9317" spans="4:5" x14ac:dyDescent="0.25">
      <c r="D9317" s="4">
        <v>44958</v>
      </c>
      <c r="E9317" s="6">
        <v>81.61</v>
      </c>
    </row>
    <row r="9318" spans="4:5" x14ac:dyDescent="0.25">
      <c r="D9318" s="4">
        <v>44959</v>
      </c>
      <c r="E9318" s="6">
        <v>80.569999999999993</v>
      </c>
    </row>
    <row r="9319" spans="4:5" x14ac:dyDescent="0.25">
      <c r="D9319" s="4">
        <v>44960</v>
      </c>
      <c r="E9319" s="6">
        <v>78.849999999999994</v>
      </c>
    </row>
    <row r="9320" spans="4:5" x14ac:dyDescent="0.25">
      <c r="D9320" s="4">
        <v>44963</v>
      </c>
      <c r="E9320" s="6">
        <v>80.48</v>
      </c>
    </row>
    <row r="9321" spans="4:5" x14ac:dyDescent="0.25">
      <c r="D9321" s="4">
        <v>44964</v>
      </c>
      <c r="E9321" s="6">
        <v>82.92</v>
      </c>
    </row>
    <row r="9322" spans="4:5" x14ac:dyDescent="0.25">
      <c r="D9322" s="4">
        <v>44965</v>
      </c>
      <c r="E9322" s="6">
        <v>84.17</v>
      </c>
    </row>
    <row r="9323" spans="4:5" x14ac:dyDescent="0.25">
      <c r="D9323" s="4">
        <v>44966</v>
      </c>
      <c r="E9323" s="6">
        <v>83.46</v>
      </c>
    </row>
    <row r="9324" spans="4:5" x14ac:dyDescent="0.25">
      <c r="D9324" s="4">
        <v>44967</v>
      </c>
      <c r="E9324" s="6">
        <v>85.46</v>
      </c>
    </row>
    <row r="9325" spans="4:5" x14ac:dyDescent="0.25">
      <c r="D9325" s="4">
        <v>44970</v>
      </c>
      <c r="E9325" s="6">
        <v>85.98</v>
      </c>
    </row>
    <row r="9326" spans="4:5" x14ac:dyDescent="0.25">
      <c r="D9326" s="4">
        <v>44971</v>
      </c>
      <c r="E9326" s="6">
        <v>84.96</v>
      </c>
    </row>
    <row r="9327" spans="4:5" x14ac:dyDescent="0.25">
      <c r="D9327" s="4">
        <v>44972</v>
      </c>
      <c r="E9327" s="6">
        <v>84.11</v>
      </c>
    </row>
    <row r="9328" spans="4:5" x14ac:dyDescent="0.25">
      <c r="D9328" s="4">
        <v>44973</v>
      </c>
      <c r="E9328" s="6">
        <v>83.84</v>
      </c>
    </row>
    <row r="9329" spans="4:5" x14ac:dyDescent="0.25">
      <c r="D9329" s="4">
        <v>44974</v>
      </c>
      <c r="E9329" s="6">
        <v>81.97</v>
      </c>
    </row>
    <row r="9330" spans="4:5" x14ac:dyDescent="0.25">
      <c r="D9330" s="4">
        <v>44977</v>
      </c>
      <c r="E9330" s="6">
        <v>82.79</v>
      </c>
    </row>
    <row r="9331" spans="4:5" x14ac:dyDescent="0.25">
      <c r="D9331" s="4">
        <v>44978</v>
      </c>
      <c r="E9331" s="6">
        <v>82.14</v>
      </c>
    </row>
    <row r="9332" spans="4:5" x14ac:dyDescent="0.25">
      <c r="D9332" s="4">
        <v>44979</v>
      </c>
      <c r="E9332" s="6">
        <v>79.55</v>
      </c>
    </row>
    <row r="9333" spans="4:5" x14ac:dyDescent="0.25">
      <c r="D9333" s="4">
        <v>44980</v>
      </c>
      <c r="E9333" s="6">
        <v>82.08</v>
      </c>
    </row>
    <row r="9334" spans="4:5" x14ac:dyDescent="0.25">
      <c r="D9334" s="4">
        <v>44981</v>
      </c>
      <c r="E9334" s="6">
        <v>82.31</v>
      </c>
    </row>
    <row r="9335" spans="4:5" x14ac:dyDescent="0.25">
      <c r="D9335" s="4">
        <v>44984</v>
      </c>
      <c r="E9335" s="6">
        <v>81.239999999999995</v>
      </c>
    </row>
    <row r="9336" spans="4:5" x14ac:dyDescent="0.25">
      <c r="D9336" s="4">
        <v>44985</v>
      </c>
      <c r="E9336" s="6">
        <v>83.21</v>
      </c>
    </row>
    <row r="9337" spans="4:5" x14ac:dyDescent="0.25">
      <c r="D9337" s="4">
        <v>44986</v>
      </c>
      <c r="E9337" s="6">
        <v>83.68</v>
      </c>
    </row>
    <row r="9338" spans="4:5" x14ac:dyDescent="0.25">
      <c r="D9338" s="4">
        <v>44987</v>
      </c>
      <c r="E9338" s="6">
        <v>84.15</v>
      </c>
    </row>
    <row r="9339" spans="4:5" x14ac:dyDescent="0.25">
      <c r="D9339" s="4">
        <v>44988</v>
      </c>
      <c r="E9339" s="6">
        <v>85.74</v>
      </c>
    </row>
    <row r="9340" spans="4:5" x14ac:dyDescent="0.25">
      <c r="D9340" s="4">
        <v>44991</v>
      </c>
      <c r="E9340" s="6">
        <v>85.86</v>
      </c>
    </row>
    <row r="9341" spans="4:5" x14ac:dyDescent="0.25">
      <c r="D9341" s="4">
        <v>44992</v>
      </c>
      <c r="E9341" s="6">
        <v>83.03</v>
      </c>
    </row>
    <row r="9342" spans="4:5" x14ac:dyDescent="0.25">
      <c r="D9342" s="4">
        <v>44993</v>
      </c>
      <c r="E9342" s="6">
        <v>82.1</v>
      </c>
    </row>
    <row r="9343" spans="4:5" x14ac:dyDescent="0.25">
      <c r="D9343" s="4">
        <v>44994</v>
      </c>
      <c r="E9343" s="6">
        <v>81</v>
      </c>
    </row>
    <row r="9344" spans="4:5" x14ac:dyDescent="0.25">
      <c r="D9344" s="4">
        <v>44995</v>
      </c>
      <c r="E9344" s="6">
        <v>82.3</v>
      </c>
    </row>
    <row r="9345" spans="4:5" x14ac:dyDescent="0.25">
      <c r="D9345" s="4">
        <v>44998</v>
      </c>
      <c r="E9345" s="6">
        <v>79.67</v>
      </c>
    </row>
    <row r="9346" spans="4:5" x14ac:dyDescent="0.25">
      <c r="D9346" s="4">
        <v>44999</v>
      </c>
      <c r="E9346" s="6">
        <v>76.77</v>
      </c>
    </row>
    <row r="9347" spans="4:5" x14ac:dyDescent="0.25">
      <c r="D9347" s="4">
        <v>45000</v>
      </c>
      <c r="E9347" s="6">
        <v>74.3</v>
      </c>
    </row>
    <row r="9348" spans="4:5" x14ac:dyDescent="0.25">
      <c r="D9348" s="4">
        <v>45001</v>
      </c>
      <c r="E9348" s="6">
        <v>73.12</v>
      </c>
    </row>
    <row r="9349" spans="4:5" x14ac:dyDescent="0.25">
      <c r="D9349" s="4">
        <v>45002</v>
      </c>
      <c r="E9349" s="6">
        <v>71.03</v>
      </c>
    </row>
    <row r="9350" spans="4:5" x14ac:dyDescent="0.25">
      <c r="D9350" s="4">
        <v>45005</v>
      </c>
      <c r="E9350" s="6">
        <v>72.42</v>
      </c>
    </row>
    <row r="9351" spans="4:5" x14ac:dyDescent="0.25">
      <c r="D9351" s="4">
        <v>45006</v>
      </c>
      <c r="E9351" s="6">
        <v>74.78</v>
      </c>
    </row>
    <row r="9352" spans="4:5" x14ac:dyDescent="0.25">
      <c r="D9352" s="4">
        <v>45007</v>
      </c>
      <c r="E9352" s="6">
        <v>76.08</v>
      </c>
    </row>
    <row r="9353" spans="4:5" x14ac:dyDescent="0.25">
      <c r="D9353" s="4">
        <v>45008</v>
      </c>
      <c r="E9353" s="6">
        <v>74.31</v>
      </c>
    </row>
    <row r="9354" spans="4:5" x14ac:dyDescent="0.25">
      <c r="D9354" s="4">
        <v>45009</v>
      </c>
      <c r="E9354" s="6">
        <v>73.63</v>
      </c>
    </row>
    <row r="9355" spans="4:5" x14ac:dyDescent="0.25">
      <c r="D9355" s="4">
        <v>45012</v>
      </c>
      <c r="E9355" s="6">
        <v>76.8</v>
      </c>
    </row>
    <row r="9356" spans="4:5" x14ac:dyDescent="0.25">
      <c r="D9356" s="4">
        <v>45013</v>
      </c>
      <c r="E9356" s="6">
        <v>78.069999999999993</v>
      </c>
    </row>
    <row r="9357" spans="4:5" x14ac:dyDescent="0.25">
      <c r="D9357" s="4">
        <v>45014</v>
      </c>
      <c r="E9357" s="6">
        <v>77.510000000000005</v>
      </c>
    </row>
    <row r="9358" spans="4:5" x14ac:dyDescent="0.25">
      <c r="D9358" s="4">
        <v>45015</v>
      </c>
      <c r="E9358" s="6">
        <v>78.45</v>
      </c>
    </row>
    <row r="9359" spans="4:5" x14ac:dyDescent="0.25">
      <c r="D9359" s="4">
        <v>45016</v>
      </c>
      <c r="E9359" s="6">
        <v>79.19</v>
      </c>
    </row>
    <row r="9360" spans="4:5" x14ac:dyDescent="0.25">
      <c r="D9360" s="4">
        <v>45019</v>
      </c>
      <c r="E9360" s="6">
        <v>85.81</v>
      </c>
    </row>
    <row r="9361" spans="4:5" x14ac:dyDescent="0.25">
      <c r="D9361" s="4">
        <v>45020</v>
      </c>
      <c r="E9361" s="6">
        <v>85.7</v>
      </c>
    </row>
    <row r="9362" spans="4:5" x14ac:dyDescent="0.25">
      <c r="D9362" s="4">
        <v>45021</v>
      </c>
      <c r="E9362" s="6">
        <v>85.89</v>
      </c>
    </row>
    <row r="9363" spans="4:5" x14ac:dyDescent="0.25">
      <c r="D9363" s="4">
        <v>45022</v>
      </c>
      <c r="E9363" s="6">
        <v>86.56</v>
      </c>
    </row>
    <row r="9364" spans="4:5" x14ac:dyDescent="0.25">
      <c r="D9364" s="4">
        <v>45023</v>
      </c>
      <c r="E9364" s="5"/>
    </row>
    <row r="9365" spans="4:5" x14ac:dyDescent="0.25">
      <c r="D9365" s="4">
        <v>45026</v>
      </c>
      <c r="E9365" s="5"/>
    </row>
    <row r="9366" spans="4:5" x14ac:dyDescent="0.25">
      <c r="D9366" s="4">
        <v>45027</v>
      </c>
      <c r="E9366" s="6">
        <v>87.32</v>
      </c>
    </row>
    <row r="9367" spans="4:5" x14ac:dyDescent="0.25">
      <c r="D9367" s="4">
        <v>45028</v>
      </c>
      <c r="E9367" s="6">
        <v>88.31</v>
      </c>
    </row>
    <row r="9368" spans="4:5" x14ac:dyDescent="0.25">
      <c r="D9368" s="4">
        <v>45029</v>
      </c>
      <c r="E9368" s="6">
        <v>86.51</v>
      </c>
    </row>
    <row r="9369" spans="4:5" x14ac:dyDescent="0.25">
      <c r="D9369" s="4">
        <v>45030</v>
      </c>
      <c r="E9369" s="6">
        <v>87.31</v>
      </c>
    </row>
    <row r="9370" spans="4:5" x14ac:dyDescent="0.25">
      <c r="D9370" s="4">
        <v>45033</v>
      </c>
      <c r="E9370" s="6">
        <v>85.63</v>
      </c>
    </row>
    <row r="9371" spans="4:5" x14ac:dyDescent="0.25">
      <c r="D9371" s="4">
        <v>45034</v>
      </c>
      <c r="E9371" s="6">
        <v>85.48</v>
      </c>
    </row>
    <row r="9372" spans="4:5" x14ac:dyDescent="0.25">
      <c r="D9372" s="4">
        <v>45035</v>
      </c>
      <c r="E9372" s="6">
        <v>85.34</v>
      </c>
    </row>
    <row r="9373" spans="4:5" x14ac:dyDescent="0.25">
      <c r="D9373" s="4">
        <v>45036</v>
      </c>
      <c r="E9373" s="6">
        <v>83.29</v>
      </c>
    </row>
    <row r="9374" spans="4:5" x14ac:dyDescent="0.25">
      <c r="D9374" s="4">
        <v>45037</v>
      </c>
      <c r="E9374" s="6">
        <v>83.36</v>
      </c>
    </row>
    <row r="9375" spans="4:5" x14ac:dyDescent="0.25">
      <c r="D9375" s="4">
        <v>45040</v>
      </c>
      <c r="E9375" s="6">
        <v>84.23</v>
      </c>
    </row>
    <row r="9376" spans="4:5" x14ac:dyDescent="0.25">
      <c r="D9376" s="4">
        <v>45041</v>
      </c>
      <c r="E9376" s="6">
        <v>82.13</v>
      </c>
    </row>
    <row r="9377" spans="4:5" x14ac:dyDescent="0.25">
      <c r="D9377" s="4">
        <v>45042</v>
      </c>
      <c r="E9377" s="6">
        <v>79.19</v>
      </c>
    </row>
    <row r="9378" spans="4:5" x14ac:dyDescent="0.25">
      <c r="D9378" s="4">
        <v>45043</v>
      </c>
      <c r="E9378" s="6">
        <v>80.11</v>
      </c>
    </row>
    <row r="9379" spans="4:5" x14ac:dyDescent="0.25">
      <c r="D9379" s="4">
        <v>45044</v>
      </c>
      <c r="E9379" s="6">
        <v>81.319999999999993</v>
      </c>
    </row>
    <row r="9380" spans="4:5" x14ac:dyDescent="0.25">
      <c r="D9380" s="4">
        <v>45047</v>
      </c>
      <c r="E9380" s="5"/>
    </row>
    <row r="9381" spans="4:5" x14ac:dyDescent="0.25">
      <c r="D9381" s="4">
        <v>45048</v>
      </c>
      <c r="E9381" s="6">
        <v>76.709999999999994</v>
      </c>
    </row>
    <row r="9382" spans="4:5" x14ac:dyDescent="0.25">
      <c r="D9382" s="4">
        <v>45049</v>
      </c>
      <c r="E9382" s="6">
        <v>72.91</v>
      </c>
    </row>
    <row r="9383" spans="4:5" x14ac:dyDescent="0.25">
      <c r="D9383" s="4">
        <v>45050</v>
      </c>
      <c r="E9383" s="6">
        <v>73</v>
      </c>
    </row>
    <row r="9384" spans="4:5" x14ac:dyDescent="0.25">
      <c r="D9384" s="4">
        <v>45051</v>
      </c>
      <c r="E9384" s="6">
        <v>75.849999999999994</v>
      </c>
    </row>
    <row r="9385" spans="4:5" x14ac:dyDescent="0.25">
      <c r="D9385" s="4">
        <v>45054</v>
      </c>
      <c r="E9385" s="5"/>
    </row>
    <row r="9386" spans="4:5" x14ac:dyDescent="0.25">
      <c r="D9386" s="4">
        <v>45055</v>
      </c>
      <c r="E9386" s="6">
        <v>77.760000000000005</v>
      </c>
    </row>
    <row r="9387" spans="4:5" x14ac:dyDescent="0.25">
      <c r="D9387" s="4">
        <v>45056</v>
      </c>
      <c r="E9387" s="6">
        <v>76.7</v>
      </c>
    </row>
    <row r="9388" spans="4:5" x14ac:dyDescent="0.25">
      <c r="D9388" s="4">
        <v>45057</v>
      </c>
      <c r="E9388" s="6">
        <v>75.319999999999993</v>
      </c>
    </row>
    <row r="9389" spans="4:5" x14ac:dyDescent="0.25">
      <c r="D9389" s="4">
        <v>45058</v>
      </c>
      <c r="E9389" s="6">
        <v>74.540000000000006</v>
      </c>
    </row>
    <row r="9390" spans="4:5" x14ac:dyDescent="0.25">
      <c r="D9390" s="4">
        <v>45061</v>
      </c>
      <c r="E9390" s="6">
        <v>75.459999999999994</v>
      </c>
    </row>
    <row r="9391" spans="4:5" x14ac:dyDescent="0.25">
      <c r="D9391" s="4">
        <v>45062</v>
      </c>
      <c r="E9391" s="6">
        <v>75.150000000000006</v>
      </c>
    </row>
    <row r="9392" spans="4:5" x14ac:dyDescent="0.25">
      <c r="D9392" s="4">
        <v>45063</v>
      </c>
      <c r="E9392" s="6">
        <v>76.98</v>
      </c>
    </row>
    <row r="9393" spans="4:5" x14ac:dyDescent="0.25">
      <c r="D9393" s="4">
        <v>45064</v>
      </c>
      <c r="E9393" s="6">
        <v>75.75</v>
      </c>
    </row>
    <row r="9394" spans="4:5" x14ac:dyDescent="0.25">
      <c r="D9394" s="4">
        <v>45065</v>
      </c>
      <c r="E9394" s="6">
        <v>75.42</v>
      </c>
    </row>
    <row r="9395" spans="4:5" x14ac:dyDescent="0.25">
      <c r="D9395" s="4">
        <v>45068</v>
      </c>
      <c r="E9395" s="6">
        <v>75.77</v>
      </c>
    </row>
    <row r="9396" spans="4:5" x14ac:dyDescent="0.25">
      <c r="D9396" s="4">
        <v>45069</v>
      </c>
      <c r="E9396" s="6">
        <v>76.66</v>
      </c>
    </row>
    <row r="9397" spans="4:5" x14ac:dyDescent="0.25">
      <c r="D9397" s="4">
        <v>45070</v>
      </c>
      <c r="E9397" s="6">
        <v>77.989999999999995</v>
      </c>
    </row>
    <row r="9398" spans="4:5" x14ac:dyDescent="0.25">
      <c r="D9398" s="4">
        <v>45071</v>
      </c>
      <c r="E9398" s="6">
        <v>75.66</v>
      </c>
    </row>
    <row r="9399" spans="4:5" x14ac:dyDescent="0.25">
      <c r="D9399" s="4">
        <v>45072</v>
      </c>
      <c r="E9399" s="6">
        <v>76.33</v>
      </c>
    </row>
    <row r="9400" spans="4:5" x14ac:dyDescent="0.25">
      <c r="D9400" s="4">
        <v>45075</v>
      </c>
      <c r="E9400" s="5"/>
    </row>
    <row r="9401" spans="4:5" x14ac:dyDescent="0.25">
      <c r="D9401" s="4">
        <v>45076</v>
      </c>
      <c r="E9401" s="6">
        <v>73.38</v>
      </c>
    </row>
    <row r="9402" spans="4:5" x14ac:dyDescent="0.25">
      <c r="D9402" s="4">
        <v>45077</v>
      </c>
      <c r="E9402" s="6">
        <v>71.98</v>
      </c>
    </row>
    <row r="9403" spans="4:5" x14ac:dyDescent="0.25">
      <c r="D9403" s="4">
        <v>45078</v>
      </c>
      <c r="E9403" s="6">
        <v>74.180000000000007</v>
      </c>
    </row>
    <row r="9404" spans="4:5" x14ac:dyDescent="0.25">
      <c r="D9404" s="4">
        <v>45079</v>
      </c>
      <c r="E9404" s="6">
        <v>76</v>
      </c>
    </row>
    <row r="9405" spans="4:5" x14ac:dyDescent="0.25">
      <c r="D9405" s="4">
        <v>45082</v>
      </c>
      <c r="E9405" s="6">
        <v>76.61</v>
      </c>
    </row>
    <row r="9406" spans="4:5" x14ac:dyDescent="0.25">
      <c r="D9406" s="4">
        <v>45083</v>
      </c>
      <c r="E9406" s="6">
        <v>76.22</v>
      </c>
    </row>
    <row r="9407" spans="4:5" x14ac:dyDescent="0.25">
      <c r="D9407" s="4">
        <v>45084</v>
      </c>
      <c r="E9407" s="6">
        <v>76.849999999999994</v>
      </c>
    </row>
    <row r="9408" spans="4:5" x14ac:dyDescent="0.25">
      <c r="D9408" s="4">
        <v>45085</v>
      </c>
      <c r="E9408" s="6">
        <v>75.88</v>
      </c>
    </row>
    <row r="9409" spans="4:5" x14ac:dyDescent="0.25">
      <c r="D9409" s="4">
        <v>45086</v>
      </c>
      <c r="E9409" s="6">
        <v>74.739999999999995</v>
      </c>
    </row>
    <row r="9410" spans="4:5" x14ac:dyDescent="0.25">
      <c r="D9410" s="4">
        <v>45089</v>
      </c>
      <c r="E9410" s="6">
        <v>71.8</v>
      </c>
    </row>
    <row r="9411" spans="4:5" x14ac:dyDescent="0.25">
      <c r="D9411" s="4">
        <v>45090</v>
      </c>
      <c r="E9411" s="6">
        <v>74.239999999999995</v>
      </c>
    </row>
    <row r="9412" spans="4:5" x14ac:dyDescent="0.25">
      <c r="D9412" s="4">
        <v>45091</v>
      </c>
      <c r="E9412" s="6">
        <v>73.39</v>
      </c>
    </row>
    <row r="9413" spans="4:5" x14ac:dyDescent="0.25">
      <c r="D9413" s="4">
        <v>45092</v>
      </c>
      <c r="E9413" s="6">
        <v>75.75</v>
      </c>
    </row>
    <row r="9414" spans="4:5" x14ac:dyDescent="0.25">
      <c r="D9414" s="4">
        <v>45093</v>
      </c>
      <c r="E9414" s="6">
        <v>76.760000000000005</v>
      </c>
    </row>
    <row r="9415" spans="4:5" x14ac:dyDescent="0.25">
      <c r="D9415" s="4">
        <v>45096</v>
      </c>
      <c r="E9415" s="6">
        <v>76.09</v>
      </c>
    </row>
    <row r="9416" spans="4:5" x14ac:dyDescent="0.25">
      <c r="D9416" s="4">
        <v>45097</v>
      </c>
      <c r="E9416" s="6">
        <v>75.790000000000006</v>
      </c>
    </row>
    <row r="9417" spans="4:5" x14ac:dyDescent="0.25">
      <c r="D9417" s="4">
        <v>45098</v>
      </c>
      <c r="E9417" s="6">
        <v>76.92</v>
      </c>
    </row>
    <row r="9418" spans="4:5" x14ac:dyDescent="0.25">
      <c r="D9418" s="4">
        <v>45099</v>
      </c>
      <c r="E9418" s="6">
        <v>73.930000000000007</v>
      </c>
    </row>
    <row r="9419" spans="4:5" x14ac:dyDescent="0.25">
      <c r="D9419" s="4">
        <v>45100</v>
      </c>
      <c r="E9419" s="6">
        <v>73.56</v>
      </c>
    </row>
    <row r="9420" spans="4:5" x14ac:dyDescent="0.25">
      <c r="D9420" s="4">
        <v>45103</v>
      </c>
      <c r="E9420" s="6">
        <v>73.86</v>
      </c>
    </row>
    <row r="9421" spans="4:5" x14ac:dyDescent="0.25">
      <c r="D9421" s="4">
        <v>45104</v>
      </c>
      <c r="E9421" s="6">
        <v>71.88</v>
      </c>
    </row>
    <row r="9422" spans="4:5" x14ac:dyDescent="0.25">
      <c r="D9422" s="4">
        <v>45105</v>
      </c>
      <c r="E9422" s="6">
        <v>73.64</v>
      </c>
    </row>
    <row r="9423" spans="4:5" x14ac:dyDescent="0.25">
      <c r="D9423" s="4">
        <v>45106</v>
      </c>
      <c r="E9423" s="6">
        <v>73.86</v>
      </c>
    </row>
    <row r="9424" spans="4:5" x14ac:dyDescent="0.25">
      <c r="D9424" s="4">
        <v>45107</v>
      </c>
      <c r="E9424" s="6">
        <v>74.510000000000005</v>
      </c>
    </row>
    <row r="9425" spans="4:5" x14ac:dyDescent="0.25">
      <c r="D9425" s="4">
        <v>45110</v>
      </c>
      <c r="E9425" s="6">
        <v>74.52</v>
      </c>
    </row>
    <row r="9426" spans="4:5" x14ac:dyDescent="0.25">
      <c r="D9426" s="4">
        <v>45111</v>
      </c>
      <c r="E9426" s="6">
        <v>76.23</v>
      </c>
    </row>
    <row r="9427" spans="4:5" x14ac:dyDescent="0.25">
      <c r="D9427" s="4">
        <v>45112</v>
      </c>
      <c r="E9427" s="6">
        <v>76.739999999999995</v>
      </c>
    </row>
    <row r="9428" spans="4:5" x14ac:dyDescent="0.25">
      <c r="D9428" s="4">
        <v>45113</v>
      </c>
      <c r="E9428" s="6">
        <v>76.72</v>
      </c>
    </row>
    <row r="9429" spans="4:5" x14ac:dyDescent="0.25">
      <c r="D9429" s="4">
        <v>45114</v>
      </c>
      <c r="E9429" s="6">
        <v>78.77</v>
      </c>
    </row>
    <row r="9430" spans="4:5" x14ac:dyDescent="0.25">
      <c r="D9430" s="4">
        <v>45117</v>
      </c>
      <c r="E9430" s="6">
        <v>77.83</v>
      </c>
    </row>
    <row r="9431" spans="4:5" x14ac:dyDescent="0.25">
      <c r="D9431" s="4">
        <v>45118</v>
      </c>
      <c r="E9431" s="6">
        <v>79.540000000000006</v>
      </c>
    </row>
    <row r="9432" spans="4:5" x14ac:dyDescent="0.25">
      <c r="D9432" s="4">
        <v>45119</v>
      </c>
      <c r="E9432" s="6">
        <v>80.349999999999994</v>
      </c>
    </row>
    <row r="9433" spans="4:5" x14ac:dyDescent="0.25">
      <c r="D9433" s="4">
        <v>45120</v>
      </c>
      <c r="E9433" s="6">
        <v>81.31</v>
      </c>
    </row>
    <row r="9434" spans="4:5" x14ac:dyDescent="0.25">
      <c r="D9434" s="4">
        <v>45121</v>
      </c>
      <c r="E9434" s="6">
        <v>79.900000000000006</v>
      </c>
    </row>
    <row r="9435" spans="4:5" x14ac:dyDescent="0.25">
      <c r="D9435" s="4">
        <v>45124</v>
      </c>
      <c r="E9435" s="6">
        <v>77.8</v>
      </c>
    </row>
    <row r="9436" spans="4:5" x14ac:dyDescent="0.25">
      <c r="D9436" s="4">
        <v>45125</v>
      </c>
      <c r="E9436" s="6">
        <v>79.540000000000006</v>
      </c>
    </row>
    <row r="9437" spans="4:5" x14ac:dyDescent="0.25">
      <c r="D9437" s="4">
        <v>45126</v>
      </c>
      <c r="E9437" s="6">
        <v>79.38</v>
      </c>
    </row>
    <row r="9438" spans="4:5" x14ac:dyDescent="0.25">
      <c r="D9438" s="4">
        <v>45127</v>
      </c>
      <c r="E9438" s="6">
        <v>79.62</v>
      </c>
    </row>
    <row r="9439" spans="4:5" x14ac:dyDescent="0.25">
      <c r="D9439" s="4">
        <v>45128</v>
      </c>
      <c r="E9439" s="6">
        <v>81.06</v>
      </c>
    </row>
    <row r="9440" spans="4:5" x14ac:dyDescent="0.25">
      <c r="D9440" s="4">
        <v>45131</v>
      </c>
      <c r="E9440" s="6">
        <v>82.53</v>
      </c>
    </row>
    <row r="9441" spans="4:5" x14ac:dyDescent="0.25">
      <c r="D9441" s="4">
        <v>45132</v>
      </c>
      <c r="E9441" s="6">
        <v>83.46</v>
      </c>
    </row>
    <row r="9442" spans="4:5" x14ac:dyDescent="0.25">
      <c r="D9442" s="4">
        <v>45133</v>
      </c>
      <c r="E9442" s="6">
        <v>82.98</v>
      </c>
    </row>
    <row r="9443" spans="4:5" x14ac:dyDescent="0.25">
      <c r="D9443" s="4">
        <v>45134</v>
      </c>
      <c r="E9443" s="6">
        <v>84.28</v>
      </c>
    </row>
    <row r="9444" spans="4:5" x14ac:dyDescent="0.25">
      <c r="D9444" s="4">
        <v>45135</v>
      </c>
      <c r="E9444" s="6">
        <v>84.49</v>
      </c>
    </row>
    <row r="9445" spans="4:5" x14ac:dyDescent="0.25">
      <c r="D9445" s="4">
        <v>45138</v>
      </c>
      <c r="E9445" s="6">
        <v>85.22</v>
      </c>
    </row>
    <row r="9446" spans="4:5" x14ac:dyDescent="0.25">
      <c r="D9446" s="4">
        <v>45139</v>
      </c>
      <c r="E9446" s="6">
        <v>85.34</v>
      </c>
    </row>
    <row r="9447" spans="4:5" x14ac:dyDescent="0.25">
      <c r="D9447" s="4">
        <v>45140</v>
      </c>
      <c r="E9447" s="6">
        <v>84.01</v>
      </c>
    </row>
    <row r="9448" spans="4:5" x14ac:dyDescent="0.25">
      <c r="D9448" s="4">
        <v>45141</v>
      </c>
      <c r="E9448" s="6">
        <v>86.19</v>
      </c>
    </row>
    <row r="9449" spans="4:5" x14ac:dyDescent="0.25">
      <c r="D9449" s="4">
        <v>45142</v>
      </c>
      <c r="E9449" s="6">
        <v>87.38</v>
      </c>
    </row>
    <row r="9450" spans="4:5" x14ac:dyDescent="0.25">
      <c r="D9450" s="4">
        <v>45145</v>
      </c>
      <c r="E9450" s="6">
        <v>86.47</v>
      </c>
    </row>
    <row r="9451" spans="4:5" x14ac:dyDescent="0.25">
      <c r="D9451" s="4">
        <v>45146</v>
      </c>
      <c r="E9451" s="6">
        <v>88</v>
      </c>
    </row>
    <row r="9452" spans="4:5" x14ac:dyDescent="0.25">
      <c r="D9452" s="4">
        <v>45147</v>
      </c>
      <c r="E9452" s="6">
        <v>89.31</v>
      </c>
    </row>
    <row r="9453" spans="4:5" x14ac:dyDescent="0.25">
      <c r="D9453" s="4">
        <v>45148</v>
      </c>
      <c r="E9453" s="6">
        <v>87.44</v>
      </c>
    </row>
    <row r="9454" spans="4:5" x14ac:dyDescent="0.25">
      <c r="D9454" s="4">
        <v>45149</v>
      </c>
      <c r="E9454" s="6">
        <v>87.93</v>
      </c>
    </row>
    <row r="9455" spans="4:5" x14ac:dyDescent="0.25">
      <c r="D9455" s="4">
        <v>45152</v>
      </c>
      <c r="E9455" s="6">
        <v>87.4</v>
      </c>
    </row>
    <row r="9456" spans="4:5" x14ac:dyDescent="0.25">
      <c r="D9456" s="4">
        <v>45153</v>
      </c>
      <c r="E9456" s="6">
        <v>86.28</v>
      </c>
    </row>
    <row r="9457" spans="4:5" x14ac:dyDescent="0.25">
      <c r="D9457" s="4">
        <v>45154</v>
      </c>
      <c r="E9457" s="6">
        <v>84.49</v>
      </c>
    </row>
    <row r="9458" spans="4:5" x14ac:dyDescent="0.25">
      <c r="D9458" s="4">
        <v>45155</v>
      </c>
      <c r="E9458" s="6">
        <v>85.24</v>
      </c>
    </row>
    <row r="9459" spans="4:5" x14ac:dyDescent="0.25">
      <c r="D9459" s="4">
        <v>45156</v>
      </c>
      <c r="E9459" s="6">
        <v>85.92</v>
      </c>
    </row>
    <row r="9460" spans="4:5" x14ac:dyDescent="0.25">
      <c r="D9460" s="4">
        <v>45159</v>
      </c>
      <c r="E9460" s="6">
        <v>85.44</v>
      </c>
    </row>
    <row r="9461" spans="4:5" x14ac:dyDescent="0.25">
      <c r="D9461" s="4">
        <v>45160</v>
      </c>
      <c r="E9461" s="6">
        <v>84.7</v>
      </c>
    </row>
    <row r="9462" spans="4:5" x14ac:dyDescent="0.25">
      <c r="D9462" s="4">
        <v>45161</v>
      </c>
      <c r="E9462" s="6">
        <v>83.94</v>
      </c>
    </row>
    <row r="9463" spans="4:5" x14ac:dyDescent="0.25">
      <c r="D9463" s="4">
        <v>45162</v>
      </c>
      <c r="E9463" s="6">
        <v>84.07</v>
      </c>
    </row>
    <row r="9464" spans="4:5" x14ac:dyDescent="0.25">
      <c r="D9464" s="4">
        <v>45163</v>
      </c>
      <c r="E9464" s="6">
        <v>85.42</v>
      </c>
    </row>
    <row r="9465" spans="4:5" x14ac:dyDescent="0.25">
      <c r="D9465" s="4">
        <v>45166</v>
      </c>
      <c r="E9465" s="5"/>
    </row>
    <row r="9466" spans="4:5" x14ac:dyDescent="0.25">
      <c r="D9466" s="4">
        <v>45167</v>
      </c>
      <c r="E9466" s="6">
        <v>86.37</v>
      </c>
    </row>
    <row r="9467" spans="4:5" x14ac:dyDescent="0.25">
      <c r="D9467" s="4">
        <v>45168</v>
      </c>
      <c r="E9467" s="6">
        <v>86.62</v>
      </c>
    </row>
    <row r="9468" spans="4:5" x14ac:dyDescent="0.25">
      <c r="D9468" s="4">
        <v>45169</v>
      </c>
      <c r="E9468" s="6">
        <v>87.29</v>
      </c>
    </row>
    <row r="9469" spans="4:5" x14ac:dyDescent="0.25">
      <c r="D9469" s="4">
        <v>45170</v>
      </c>
      <c r="E9469" s="6">
        <v>89.98</v>
      </c>
    </row>
    <row r="9470" spans="4:5" x14ac:dyDescent="0.25">
      <c r="D9470" s="4">
        <v>45173</v>
      </c>
      <c r="E9470" s="6">
        <v>90.42</v>
      </c>
    </row>
    <row r="9471" spans="4:5" x14ac:dyDescent="0.25">
      <c r="D9471" s="4">
        <v>45174</v>
      </c>
      <c r="E9471" s="6">
        <v>91.25</v>
      </c>
    </row>
    <row r="9472" spans="4:5" x14ac:dyDescent="0.25">
      <c r="D9472" s="4">
        <v>45175</v>
      </c>
      <c r="E9472" s="6">
        <v>91.79</v>
      </c>
    </row>
    <row r="9473" spans="4:5" x14ac:dyDescent="0.25">
      <c r="D9473" s="4">
        <v>45176</v>
      </c>
      <c r="E9473" s="6">
        <v>91.16</v>
      </c>
    </row>
    <row r="9474" spans="4:5" x14ac:dyDescent="0.25">
      <c r="D9474" s="4">
        <v>45177</v>
      </c>
      <c r="E9474" s="6">
        <v>91.85</v>
      </c>
    </row>
    <row r="9475" spans="4:5" x14ac:dyDescent="0.25">
      <c r="D9475" s="4">
        <v>45180</v>
      </c>
      <c r="E9475" s="6">
        <v>91.97</v>
      </c>
    </row>
    <row r="9476" spans="4:5" x14ac:dyDescent="0.25">
      <c r="D9476" s="4">
        <v>45181</v>
      </c>
      <c r="E9476" s="6">
        <v>93.58</v>
      </c>
    </row>
    <row r="9477" spans="4:5" x14ac:dyDescent="0.25">
      <c r="D9477" s="4">
        <v>45182</v>
      </c>
      <c r="E9477" s="6">
        <v>93.04</v>
      </c>
    </row>
    <row r="9478" spans="4:5" x14ac:dyDescent="0.25">
      <c r="D9478" s="4">
        <v>45183</v>
      </c>
      <c r="E9478" s="6">
        <v>95.2</v>
      </c>
    </row>
    <row r="9479" spans="4:5" x14ac:dyDescent="0.25">
      <c r="D9479" s="4">
        <v>45184</v>
      </c>
      <c r="E9479" s="6">
        <v>95.55</v>
      </c>
    </row>
    <row r="9480" spans="4:5" x14ac:dyDescent="0.25">
      <c r="D9480" s="4">
        <v>45187</v>
      </c>
      <c r="E9480" s="6">
        <v>95.95</v>
      </c>
    </row>
    <row r="9481" spans="4:5" x14ac:dyDescent="0.25">
      <c r="D9481" s="4">
        <v>45188</v>
      </c>
      <c r="E9481" s="6">
        <v>96.11</v>
      </c>
    </row>
    <row r="9482" spans="4:5" x14ac:dyDescent="0.25">
      <c r="D9482" s="4">
        <v>45189</v>
      </c>
      <c r="E9482" s="6">
        <v>94.56</v>
      </c>
    </row>
    <row r="9483" spans="4:5" x14ac:dyDescent="0.25">
      <c r="D9483" s="4">
        <v>45190</v>
      </c>
      <c r="E9483" s="6">
        <v>93.7</v>
      </c>
    </row>
    <row r="9484" spans="4:5" x14ac:dyDescent="0.25">
      <c r="D9484" s="4">
        <v>45191</v>
      </c>
      <c r="E9484" s="6">
        <v>93.99</v>
      </c>
    </row>
    <row r="9485" spans="4:5" x14ac:dyDescent="0.25">
      <c r="D9485" s="4">
        <v>45194</v>
      </c>
      <c r="E9485" s="6">
        <v>94.01</v>
      </c>
    </row>
    <row r="9486" spans="4:5" x14ac:dyDescent="0.25">
      <c r="D9486" s="4">
        <v>45195</v>
      </c>
      <c r="E9486" s="6">
        <v>94.46</v>
      </c>
    </row>
    <row r="9487" spans="4:5" x14ac:dyDescent="0.25">
      <c r="D9487" s="4">
        <v>45196</v>
      </c>
      <c r="E9487" s="6">
        <v>97.1</v>
      </c>
    </row>
    <row r="9488" spans="4:5" x14ac:dyDescent="0.25">
      <c r="D9488" s="4">
        <v>45197</v>
      </c>
      <c r="E9488" s="6">
        <v>96.64</v>
      </c>
    </row>
    <row r="9489" spans="4:5" x14ac:dyDescent="0.25">
      <c r="D9489" s="4">
        <v>45198</v>
      </c>
      <c r="E9489" s="6">
        <v>95.86</v>
      </c>
    </row>
    <row r="9490" spans="4:5" x14ac:dyDescent="0.25">
      <c r="D9490" s="4">
        <v>45201</v>
      </c>
      <c r="E9490" s="6">
        <v>91.21</v>
      </c>
    </row>
    <row r="9491" spans="4:5" x14ac:dyDescent="0.25">
      <c r="D9491" s="4">
        <v>45202</v>
      </c>
      <c r="E9491" s="6">
        <v>94.46</v>
      </c>
    </row>
    <row r="9492" spans="4:5" x14ac:dyDescent="0.25">
      <c r="D9492" s="4">
        <v>45203</v>
      </c>
      <c r="E9492" s="6">
        <v>89.83</v>
      </c>
    </row>
    <row r="9493" spans="4:5" x14ac:dyDescent="0.25">
      <c r="D9493" s="4">
        <v>45204</v>
      </c>
      <c r="E9493" s="6">
        <v>88.28</v>
      </c>
    </row>
    <row r="9494" spans="4:5" x14ac:dyDescent="0.25">
      <c r="D9494" s="4">
        <v>45205</v>
      </c>
      <c r="E9494" s="6">
        <v>87.86</v>
      </c>
    </row>
    <row r="9495" spans="4:5" x14ac:dyDescent="0.25">
      <c r="D9495" s="4">
        <v>45208</v>
      </c>
      <c r="E9495" s="6">
        <v>91.37</v>
      </c>
    </row>
    <row r="9496" spans="4:5" x14ac:dyDescent="0.25">
      <c r="D9496" s="4">
        <v>45209</v>
      </c>
      <c r="E9496" s="6">
        <v>90.7</v>
      </c>
    </row>
    <row r="9497" spans="4:5" x14ac:dyDescent="0.25">
      <c r="D9497" s="4">
        <v>45210</v>
      </c>
      <c r="E9497" s="6">
        <v>87.58</v>
      </c>
    </row>
    <row r="9498" spans="4:5" x14ac:dyDescent="0.25">
      <c r="D9498" s="4">
        <v>45211</v>
      </c>
      <c r="E9498" s="6">
        <v>88.4</v>
      </c>
    </row>
    <row r="9499" spans="4:5" x14ac:dyDescent="0.25">
      <c r="D9499" s="4">
        <v>45212</v>
      </c>
      <c r="E9499" s="6">
        <v>94.33</v>
      </c>
    </row>
    <row r="9500" spans="4:5" x14ac:dyDescent="0.25">
      <c r="D9500" s="4">
        <v>45215</v>
      </c>
      <c r="E9500" s="6">
        <v>90.99</v>
      </c>
    </row>
    <row r="9501" spans="4:5" x14ac:dyDescent="0.25">
      <c r="D9501" s="4">
        <v>45216</v>
      </c>
      <c r="E9501" s="6">
        <v>92.52</v>
      </c>
    </row>
    <row r="9502" spans="4:5" x14ac:dyDescent="0.25">
      <c r="D9502" s="4">
        <v>45217</v>
      </c>
      <c r="E9502" s="6">
        <v>91.99</v>
      </c>
    </row>
    <row r="9503" spans="4:5" x14ac:dyDescent="0.25">
      <c r="D9503" s="4">
        <v>45218</v>
      </c>
      <c r="E9503" s="6">
        <v>93.12</v>
      </c>
    </row>
    <row r="9504" spans="4:5" x14ac:dyDescent="0.25">
      <c r="D9504" s="4">
        <v>45219</v>
      </c>
      <c r="E9504" s="6">
        <v>93.72</v>
      </c>
    </row>
    <row r="9505" spans="4:5" x14ac:dyDescent="0.25">
      <c r="D9505" s="4">
        <v>45222</v>
      </c>
      <c r="E9505" s="6">
        <v>91.88</v>
      </c>
    </row>
    <row r="9506" spans="4:5" x14ac:dyDescent="0.25">
      <c r="D9506" s="4">
        <v>45223</v>
      </c>
      <c r="E9506" s="6">
        <v>88</v>
      </c>
    </row>
    <row r="9507" spans="4:5" x14ac:dyDescent="0.25">
      <c r="D9507" s="4">
        <v>45224</v>
      </c>
      <c r="E9507" s="6">
        <v>90.14</v>
      </c>
    </row>
    <row r="9508" spans="4:5" x14ac:dyDescent="0.25">
      <c r="D9508" s="4">
        <v>45225</v>
      </c>
      <c r="E9508" s="6">
        <v>88.45</v>
      </c>
    </row>
    <row r="9509" spans="4:5" x14ac:dyDescent="0.25">
      <c r="D9509" s="4">
        <v>45226</v>
      </c>
      <c r="E9509" s="6">
        <v>90.73</v>
      </c>
    </row>
    <row r="9510" spans="4:5" x14ac:dyDescent="0.25">
      <c r="D9510" s="4">
        <v>45229</v>
      </c>
      <c r="E9510" s="6">
        <v>90.73</v>
      </c>
    </row>
    <row r="9511" spans="4:5" x14ac:dyDescent="0.25">
      <c r="D9511" s="4">
        <v>45230</v>
      </c>
      <c r="E9511" s="6">
        <v>86.82</v>
      </c>
    </row>
    <row r="9512" spans="4:5" x14ac:dyDescent="0.25">
      <c r="D9512" s="4">
        <v>45231</v>
      </c>
      <c r="E9512" s="6">
        <v>86.92</v>
      </c>
    </row>
    <row r="9513" spans="4:5" x14ac:dyDescent="0.25">
      <c r="D9513" s="4">
        <v>45232</v>
      </c>
      <c r="E9513" s="6">
        <v>89.02</v>
      </c>
    </row>
    <row r="9514" spans="4:5" x14ac:dyDescent="0.25">
      <c r="D9514" s="4">
        <v>45233</v>
      </c>
      <c r="E9514" s="6">
        <v>87.55</v>
      </c>
    </row>
    <row r="9515" spans="4:5" x14ac:dyDescent="0.25">
      <c r="D9515" s="4">
        <v>45236</v>
      </c>
      <c r="E9515" s="6">
        <v>87.31</v>
      </c>
    </row>
    <row r="9516" spans="4:5" x14ac:dyDescent="0.25">
      <c r="D9516" s="4">
        <v>45237</v>
      </c>
      <c r="E9516" s="6">
        <v>83.43</v>
      </c>
    </row>
    <row r="9517" spans="4:5" x14ac:dyDescent="0.25">
      <c r="D9517" s="4">
        <v>45238</v>
      </c>
      <c r="E9517" s="6">
        <v>81.459999999999994</v>
      </c>
    </row>
    <row r="9518" spans="4:5" x14ac:dyDescent="0.25">
      <c r="D9518" s="4">
        <v>45239</v>
      </c>
      <c r="E9518" s="6">
        <v>81.739999999999995</v>
      </c>
    </row>
    <row r="9519" spans="4:5" x14ac:dyDescent="0.25">
      <c r="D9519" s="4">
        <v>45240</v>
      </c>
      <c r="E9519" s="6">
        <v>83.66</v>
      </c>
    </row>
    <row r="9520" spans="4:5" x14ac:dyDescent="0.25">
      <c r="D9520" s="4">
        <v>45243</v>
      </c>
      <c r="E9520" s="6">
        <v>84.09</v>
      </c>
    </row>
    <row r="9521" spans="4:5" x14ac:dyDescent="0.25">
      <c r="D9521" s="4">
        <v>45244</v>
      </c>
      <c r="E9521" s="6">
        <v>84.2</v>
      </c>
    </row>
    <row r="9522" spans="4:5" x14ac:dyDescent="0.25">
      <c r="D9522" s="4">
        <v>45245</v>
      </c>
      <c r="E9522" s="6">
        <v>82.4</v>
      </c>
    </row>
    <row r="9523" spans="4:5" x14ac:dyDescent="0.25">
      <c r="D9523" s="4">
        <v>45246</v>
      </c>
      <c r="E9523" s="6">
        <v>77.73</v>
      </c>
    </row>
    <row r="9524" spans="4:5" x14ac:dyDescent="0.25">
      <c r="D9524" s="4">
        <v>45247</v>
      </c>
      <c r="E9524" s="6">
        <v>81.22</v>
      </c>
    </row>
    <row r="9525" spans="4:5" x14ac:dyDescent="0.25">
      <c r="D9525" s="4">
        <v>45250</v>
      </c>
      <c r="E9525" s="6">
        <v>83.25</v>
      </c>
    </row>
    <row r="9526" spans="4:5" x14ac:dyDescent="0.25">
      <c r="D9526" s="4">
        <v>45251</v>
      </c>
      <c r="E9526" s="6">
        <v>82.42</v>
      </c>
    </row>
    <row r="9527" spans="4:5" x14ac:dyDescent="0.25">
      <c r="D9527" s="4">
        <v>45252</v>
      </c>
      <c r="E9527" s="6">
        <v>81.760000000000005</v>
      </c>
    </row>
    <row r="9528" spans="4:5" x14ac:dyDescent="0.25">
      <c r="D9528" s="4">
        <v>45253</v>
      </c>
      <c r="E9528" s="6">
        <v>80.849999999999994</v>
      </c>
    </row>
    <row r="9529" spans="4:5" x14ac:dyDescent="0.25">
      <c r="D9529" s="4">
        <v>45254</v>
      </c>
      <c r="E9529" s="6">
        <v>79.819999999999993</v>
      </c>
    </row>
    <row r="9530" spans="4:5" x14ac:dyDescent="0.25">
      <c r="D9530" s="4">
        <v>45257</v>
      </c>
      <c r="E9530" s="6">
        <v>79.489999999999995</v>
      </c>
    </row>
    <row r="9531" spans="4:5" x14ac:dyDescent="0.25">
      <c r="D9531" s="4">
        <v>45258</v>
      </c>
      <c r="E9531" s="6">
        <v>81.66</v>
      </c>
    </row>
    <row r="9532" spans="4:5" x14ac:dyDescent="0.25">
      <c r="D9532" s="4">
        <v>45259</v>
      </c>
      <c r="E9532" s="6">
        <v>82.98</v>
      </c>
    </row>
    <row r="9533" spans="4:5" x14ac:dyDescent="0.25">
      <c r="D9533" s="4">
        <v>45260</v>
      </c>
      <c r="E9533" s="6">
        <v>81.72</v>
      </c>
    </row>
    <row r="9534" spans="4:5" x14ac:dyDescent="0.25">
      <c r="D9534" s="4">
        <v>45261</v>
      </c>
      <c r="E9534" s="6">
        <v>78.72</v>
      </c>
    </row>
    <row r="9535" spans="4:5" x14ac:dyDescent="0.25">
      <c r="D9535" s="4">
        <v>45264</v>
      </c>
      <c r="E9535" s="6">
        <v>78.16</v>
      </c>
    </row>
    <row r="9536" spans="4:5" x14ac:dyDescent="0.25">
      <c r="D9536" s="4">
        <v>45265</v>
      </c>
      <c r="E9536" s="6">
        <v>77.27</v>
      </c>
    </row>
    <row r="9537" spans="4:5" x14ac:dyDescent="0.25">
      <c r="D9537" s="4">
        <v>45266</v>
      </c>
      <c r="E9537" s="6">
        <v>74.33</v>
      </c>
    </row>
    <row r="9538" spans="4:5" x14ac:dyDescent="0.25">
      <c r="D9538" s="4">
        <v>45267</v>
      </c>
      <c r="E9538" s="6">
        <v>74.209999999999994</v>
      </c>
    </row>
    <row r="9539" spans="4:5" x14ac:dyDescent="0.25">
      <c r="D9539" s="4">
        <v>45268</v>
      </c>
      <c r="E9539" s="6">
        <v>75.94</v>
      </c>
    </row>
    <row r="9540" spans="4:5" x14ac:dyDescent="0.25">
      <c r="D9540" s="4">
        <v>45271</v>
      </c>
      <c r="E9540" s="6">
        <v>75.75</v>
      </c>
    </row>
    <row r="9541" spans="4:5" x14ac:dyDescent="0.25">
      <c r="D9541" s="4">
        <v>45272</v>
      </c>
      <c r="E9541" s="6">
        <v>74.11</v>
      </c>
    </row>
    <row r="9542" spans="4:5" x14ac:dyDescent="0.25">
      <c r="D9542" s="4">
        <v>45273</v>
      </c>
      <c r="E9542" s="6">
        <v>74.14</v>
      </c>
    </row>
    <row r="9543" spans="4:5" x14ac:dyDescent="0.25">
      <c r="D9543" s="4">
        <v>45274</v>
      </c>
      <c r="E9543" s="6">
        <v>77.05</v>
      </c>
    </row>
    <row r="9544" spans="4:5" x14ac:dyDescent="0.25">
      <c r="D9544" s="4">
        <v>45275</v>
      </c>
      <c r="E9544" s="6">
        <v>76.84</v>
      </c>
    </row>
    <row r="9545" spans="4:5" x14ac:dyDescent="0.25">
      <c r="D9545" s="4">
        <v>45278</v>
      </c>
      <c r="E9545" s="6">
        <v>78.89</v>
      </c>
    </row>
    <row r="9546" spans="4:5" x14ac:dyDescent="0.25">
      <c r="D9546" s="4">
        <v>45279</v>
      </c>
      <c r="E9546" s="6">
        <v>79.819999999999993</v>
      </c>
    </row>
    <row r="9547" spans="4:5" x14ac:dyDescent="0.25">
      <c r="D9547" s="4">
        <v>45280</v>
      </c>
      <c r="E9547" s="6">
        <v>81.099999999999994</v>
      </c>
    </row>
    <row r="9548" spans="4:5" x14ac:dyDescent="0.25">
      <c r="D9548" s="4">
        <v>45281</v>
      </c>
      <c r="E9548" s="6">
        <v>80.73</v>
      </c>
    </row>
    <row r="9549" spans="4:5" x14ac:dyDescent="0.25">
      <c r="D9549" s="4">
        <v>45282</v>
      </c>
      <c r="E9549" s="6">
        <v>80.23</v>
      </c>
    </row>
    <row r="9550" spans="4:5" x14ac:dyDescent="0.25">
      <c r="D9550" s="4">
        <v>45285</v>
      </c>
      <c r="E9550" s="5"/>
    </row>
    <row r="9551" spans="4:5" x14ac:dyDescent="0.25">
      <c r="D9551" s="4">
        <v>45286</v>
      </c>
      <c r="E9551" s="5"/>
    </row>
    <row r="9552" spans="4:5" x14ac:dyDescent="0.25">
      <c r="D9552" s="4">
        <v>45287</v>
      </c>
      <c r="E9552" s="6">
        <v>80.97</v>
      </c>
    </row>
    <row r="9553" spans="4:5" x14ac:dyDescent="0.25">
      <c r="D9553" s="4">
        <v>45288</v>
      </c>
      <c r="E9553" s="6">
        <v>79.040000000000006</v>
      </c>
    </row>
    <row r="9554" spans="4:5" x14ac:dyDescent="0.25">
      <c r="D9554" s="4">
        <v>45289</v>
      </c>
      <c r="E9554" s="6">
        <v>77.69</v>
      </c>
    </row>
    <row r="9555" spans="4:5" x14ac:dyDescent="0.25">
      <c r="D9555" s="4">
        <v>45292</v>
      </c>
      <c r="E9555" s="5"/>
    </row>
    <row r="9556" spans="4:5" x14ac:dyDescent="0.25">
      <c r="D9556" s="4">
        <v>45293</v>
      </c>
      <c r="E9556" s="6">
        <v>76.239999999999995</v>
      </c>
    </row>
    <row r="9557" spans="4:5" x14ac:dyDescent="0.25">
      <c r="D9557" s="4">
        <v>45294</v>
      </c>
      <c r="E9557" s="6">
        <v>77.180000000000007</v>
      </c>
    </row>
    <row r="9558" spans="4:5" x14ac:dyDescent="0.25">
      <c r="D9558" s="4">
        <v>45295</v>
      </c>
      <c r="E9558" s="6">
        <v>75.790000000000006</v>
      </c>
    </row>
    <row r="9559" spans="4:5" x14ac:dyDescent="0.25">
      <c r="D9559" s="4">
        <v>45296</v>
      </c>
      <c r="E9559" s="6">
        <v>78.31</v>
      </c>
    </row>
    <row r="9560" spans="4:5" x14ac:dyDescent="0.25">
      <c r="D9560" s="4">
        <v>45299</v>
      </c>
      <c r="E9560" s="6">
        <v>75.47</v>
      </c>
    </row>
    <row r="9561" spans="4:5" x14ac:dyDescent="0.25">
      <c r="D9561" s="4">
        <v>45300</v>
      </c>
      <c r="E9561" s="6">
        <v>77.97</v>
      </c>
    </row>
    <row r="9562" spans="4:5" x14ac:dyDescent="0.25">
      <c r="D9562" s="4">
        <v>45301</v>
      </c>
      <c r="E9562" s="6">
        <v>78.459999999999994</v>
      </c>
    </row>
    <row r="9563" spans="4:5" x14ac:dyDescent="0.25">
      <c r="D9563" s="4">
        <v>45302</v>
      </c>
      <c r="E9563" s="6">
        <v>80.209999999999994</v>
      </c>
    </row>
    <row r="9564" spans="4:5" x14ac:dyDescent="0.25">
      <c r="D9564" s="4">
        <v>45303</v>
      </c>
      <c r="E9564" s="6">
        <v>79.89</v>
      </c>
    </row>
    <row r="9565" spans="4:5" x14ac:dyDescent="0.25">
      <c r="D9565" s="4">
        <v>45306</v>
      </c>
      <c r="E9565" s="6">
        <v>79.760000000000005</v>
      </c>
    </row>
    <row r="9566" spans="4:5" x14ac:dyDescent="0.25">
      <c r="D9566" s="4">
        <v>45307</v>
      </c>
      <c r="E9566" s="6">
        <v>80.150000000000006</v>
      </c>
    </row>
    <row r="9567" spans="4:5" x14ac:dyDescent="0.25">
      <c r="D9567" s="4">
        <v>45308</v>
      </c>
      <c r="E9567" s="6">
        <v>78.88</v>
      </c>
    </row>
    <row r="9568" spans="4:5" x14ac:dyDescent="0.25">
      <c r="D9568" s="4">
        <v>45309</v>
      </c>
      <c r="E9568" s="6">
        <v>81.040000000000006</v>
      </c>
    </row>
    <row r="9569" spans="4:5" x14ac:dyDescent="0.25">
      <c r="D9569" s="4">
        <v>45310</v>
      </c>
      <c r="E9569" s="6">
        <v>80.709999999999994</v>
      </c>
    </row>
    <row r="9570" spans="4:5" x14ac:dyDescent="0.25">
      <c r="D9570" s="4">
        <v>45313</v>
      </c>
      <c r="E9570" s="6">
        <v>81.7</v>
      </c>
    </row>
    <row r="9571" spans="4:5" x14ac:dyDescent="0.25">
      <c r="D9571" s="4">
        <v>45314</v>
      </c>
      <c r="E9571" s="6">
        <v>82.04</v>
      </c>
    </row>
    <row r="9572" spans="4:5" x14ac:dyDescent="0.25">
      <c r="D9572" s="4">
        <v>45315</v>
      </c>
      <c r="E9572" s="6">
        <v>82.15</v>
      </c>
    </row>
    <row r="9573" spans="4:5" x14ac:dyDescent="0.25">
      <c r="D9573" s="4">
        <v>45316</v>
      </c>
      <c r="E9573" s="6">
        <v>82.33</v>
      </c>
    </row>
    <row r="9574" spans="4:5" x14ac:dyDescent="0.25">
      <c r="D9574" s="4">
        <v>45317</v>
      </c>
      <c r="E9574" s="6">
        <v>83.34</v>
      </c>
    </row>
    <row r="9575" spans="4:5" x14ac:dyDescent="0.25">
      <c r="D9575" s="4">
        <v>45320</v>
      </c>
      <c r="E9575" s="6">
        <v>83.99</v>
      </c>
    </row>
    <row r="9576" spans="4:5" x14ac:dyDescent="0.25">
      <c r="D9576" s="4">
        <v>45321</v>
      </c>
      <c r="E9576" s="6">
        <v>84.14</v>
      </c>
    </row>
    <row r="9577" spans="4:5" x14ac:dyDescent="0.25">
      <c r="D9577" s="4">
        <v>45322</v>
      </c>
      <c r="E9577" s="6">
        <v>82.98</v>
      </c>
    </row>
    <row r="9578" spans="4:5" x14ac:dyDescent="0.25">
      <c r="D9578" s="4">
        <v>45323</v>
      </c>
      <c r="E9578" s="6">
        <v>82.2</v>
      </c>
    </row>
    <row r="9579" spans="4:5" x14ac:dyDescent="0.25">
      <c r="D9579" s="4">
        <v>45324</v>
      </c>
      <c r="E9579" s="6">
        <v>79.540000000000006</v>
      </c>
    </row>
    <row r="9580" spans="4:5" x14ac:dyDescent="0.25">
      <c r="D9580" s="4">
        <v>45327</v>
      </c>
      <c r="E9580" s="6">
        <v>79.3</v>
      </c>
    </row>
    <row r="9581" spans="4:5" x14ac:dyDescent="0.25">
      <c r="D9581" s="4">
        <v>45328</v>
      </c>
      <c r="E9581" s="6">
        <v>80.459999999999994</v>
      </c>
    </row>
    <row r="9582" spans="4:5" x14ac:dyDescent="0.25">
      <c r="D9582" s="4">
        <v>45329</v>
      </c>
      <c r="E9582" s="6">
        <v>81.180000000000007</v>
      </c>
    </row>
    <row r="9583" spans="4:5" x14ac:dyDescent="0.25">
      <c r="D9583" s="4">
        <v>45330</v>
      </c>
      <c r="E9583" s="6">
        <v>83.01</v>
      </c>
    </row>
    <row r="9584" spans="4:5" x14ac:dyDescent="0.25">
      <c r="D9584" s="4">
        <v>45331</v>
      </c>
      <c r="E9584" s="6">
        <v>83.58</v>
      </c>
    </row>
    <row r="9585" spans="4:5" x14ac:dyDescent="0.25">
      <c r="D9585" s="4">
        <v>45334</v>
      </c>
      <c r="E9585" s="6">
        <v>83.88</v>
      </c>
    </row>
    <row r="9586" spans="4:5" x14ac:dyDescent="0.25">
      <c r="D9586" s="4">
        <v>45335</v>
      </c>
      <c r="E9586" s="6">
        <v>84.72</v>
      </c>
    </row>
    <row r="9587" spans="4:5" x14ac:dyDescent="0.25">
      <c r="D9587" s="4">
        <v>45336</v>
      </c>
      <c r="E9587" s="6">
        <v>84.41</v>
      </c>
    </row>
    <row r="9588" spans="4:5" x14ac:dyDescent="0.25">
      <c r="D9588" s="4">
        <v>45337</v>
      </c>
      <c r="E9588" s="6">
        <v>84.33</v>
      </c>
    </row>
    <row r="9589" spans="4:5" x14ac:dyDescent="0.25">
      <c r="D9589" s="4">
        <v>45338</v>
      </c>
      <c r="E9589" s="6">
        <v>84.88</v>
      </c>
    </row>
    <row r="9590" spans="4:5" x14ac:dyDescent="0.25">
      <c r="D9590" s="4">
        <v>45341</v>
      </c>
      <c r="E9590" s="6">
        <v>85.52</v>
      </c>
    </row>
    <row r="9591" spans="4:5" x14ac:dyDescent="0.25">
      <c r="D9591" s="4">
        <v>45342</v>
      </c>
      <c r="E9591" s="6">
        <v>84.78</v>
      </c>
    </row>
    <row r="9592" spans="4:5" x14ac:dyDescent="0.25">
      <c r="D9592" s="4">
        <v>45343</v>
      </c>
      <c r="E9592" s="6">
        <v>84.77</v>
      </c>
    </row>
    <row r="9593" spans="4:5" x14ac:dyDescent="0.25">
      <c r="D9593" s="4">
        <v>45344</v>
      </c>
      <c r="E9593" s="6">
        <v>85.84</v>
      </c>
    </row>
    <row r="9594" spans="4:5" x14ac:dyDescent="0.25">
      <c r="D9594" s="4">
        <v>45345</v>
      </c>
      <c r="E9594" s="6">
        <v>84.18</v>
      </c>
    </row>
    <row r="9595" spans="4:5" x14ac:dyDescent="0.25">
      <c r="D9595" s="4">
        <v>45348</v>
      </c>
      <c r="E9595" s="6">
        <v>84.01</v>
      </c>
    </row>
    <row r="9596" spans="4:5" x14ac:dyDescent="0.25">
      <c r="D9596" s="4">
        <v>45349</v>
      </c>
      <c r="E9596" s="6">
        <v>83.8</v>
      </c>
    </row>
    <row r="9597" spans="4:5" x14ac:dyDescent="0.25">
      <c r="D9597" s="4">
        <v>45350</v>
      </c>
      <c r="E9597" s="6">
        <v>84.08</v>
      </c>
    </row>
    <row r="9598" spans="4:5" x14ac:dyDescent="0.25">
      <c r="D9598" s="4">
        <v>45351</v>
      </c>
      <c r="E9598" s="6">
        <v>84.57</v>
      </c>
    </row>
    <row r="9599" spans="4:5" x14ac:dyDescent="0.25">
      <c r="D9599" s="4">
        <v>45352</v>
      </c>
      <c r="E9599" s="6">
        <v>84.82</v>
      </c>
    </row>
    <row r="9600" spans="4:5" x14ac:dyDescent="0.25">
      <c r="D9600" s="4">
        <v>45355</v>
      </c>
      <c r="E9600" s="6">
        <v>86.58</v>
      </c>
    </row>
    <row r="9601" spans="4:5" x14ac:dyDescent="0.25">
      <c r="D9601" s="4">
        <v>45356</v>
      </c>
      <c r="E9601" s="6">
        <v>85.82</v>
      </c>
    </row>
    <row r="9602" spans="4:5" x14ac:dyDescent="0.25">
      <c r="D9602" s="4">
        <v>45357</v>
      </c>
      <c r="E9602" s="6">
        <v>86.59</v>
      </c>
    </row>
    <row r="9603" spans="4:5" x14ac:dyDescent="0.25">
      <c r="D9603" s="4">
        <v>45358</v>
      </c>
      <c r="E9603" s="6">
        <v>84.88</v>
      </c>
    </row>
    <row r="9604" spans="4:5" x14ac:dyDescent="0.25">
      <c r="D9604" s="4">
        <v>45359</v>
      </c>
      <c r="E9604" s="6">
        <v>84.29</v>
      </c>
    </row>
    <row r="9605" spans="4:5" x14ac:dyDescent="0.25">
      <c r="D9605" s="4">
        <v>45362</v>
      </c>
      <c r="E9605" s="6">
        <v>83.44</v>
      </c>
    </row>
    <row r="9606" spans="4:5" x14ac:dyDescent="0.25">
      <c r="D9606" s="4">
        <v>45363</v>
      </c>
      <c r="E9606" s="6">
        <v>83.66</v>
      </c>
    </row>
    <row r="9607" spans="4:5" x14ac:dyDescent="0.25">
      <c r="D9607" s="4">
        <v>45364</v>
      </c>
      <c r="E9607" s="6">
        <v>83.95</v>
      </c>
    </row>
    <row r="9608" spans="4:5" x14ac:dyDescent="0.25">
      <c r="D9608" s="4">
        <v>45365</v>
      </c>
      <c r="E9608" s="6">
        <v>86.16</v>
      </c>
    </row>
    <row r="9609" spans="4:5" x14ac:dyDescent="0.25">
      <c r="D9609" s="4">
        <v>45366</v>
      </c>
      <c r="E9609" s="6">
        <v>85.39</v>
      </c>
    </row>
    <row r="9610" spans="4:5" x14ac:dyDescent="0.25">
      <c r="D9610" s="4">
        <v>45369</v>
      </c>
      <c r="E9610" s="6">
        <v>86.47</v>
      </c>
    </row>
    <row r="9611" spans="4:5" x14ac:dyDescent="0.25">
      <c r="D9611" s="4">
        <v>45370</v>
      </c>
      <c r="E9611" s="6">
        <v>87.36</v>
      </c>
    </row>
    <row r="9612" spans="4:5" x14ac:dyDescent="0.25">
      <c r="D9612" s="4">
        <v>45371</v>
      </c>
      <c r="E9612" s="6">
        <v>85.77</v>
      </c>
    </row>
    <row r="9613" spans="4:5" x14ac:dyDescent="0.25">
      <c r="D9613" s="4">
        <v>45372</v>
      </c>
      <c r="E9613" s="6">
        <v>84.92</v>
      </c>
    </row>
    <row r="9614" spans="4:5" x14ac:dyDescent="0.25">
      <c r="D9614" s="4">
        <v>45373</v>
      </c>
      <c r="E9614" s="6">
        <v>84.87</v>
      </c>
    </row>
    <row r="9615" spans="4:5" x14ac:dyDescent="0.25">
      <c r="D9615" s="4">
        <v>45376</v>
      </c>
      <c r="E9615" s="6">
        <v>86.18</v>
      </c>
    </row>
    <row r="9616" spans="4:5" x14ac:dyDescent="0.25">
      <c r="D9616" s="4">
        <v>45377</v>
      </c>
      <c r="E9616" s="6">
        <v>85.91</v>
      </c>
    </row>
    <row r="9617" spans="4:5" x14ac:dyDescent="0.25">
      <c r="D9617" s="4">
        <v>45378</v>
      </c>
      <c r="E9617" s="6">
        <v>84.94</v>
      </c>
    </row>
    <row r="9618" spans="4:5" x14ac:dyDescent="0.25">
      <c r="D9618" s="4">
        <v>45379</v>
      </c>
      <c r="E9618" s="6">
        <v>86.17</v>
      </c>
    </row>
    <row r="9619" spans="4:5" x14ac:dyDescent="0.25">
      <c r="D9619" s="4">
        <v>45380</v>
      </c>
      <c r="E9619" s="5"/>
    </row>
    <row r="9620" spans="4:5" x14ac:dyDescent="0.25">
      <c r="D9620" s="4">
        <v>45383</v>
      </c>
      <c r="E9620" s="5"/>
    </row>
    <row r="9621" spans="4:5" x14ac:dyDescent="0.25">
      <c r="D9621" s="4">
        <v>45384</v>
      </c>
      <c r="E9621" s="6">
        <v>87.63</v>
      </c>
    </row>
    <row r="9622" spans="4:5" x14ac:dyDescent="0.25">
      <c r="D9622" s="4">
        <v>45385</v>
      </c>
      <c r="E9622" s="6">
        <v>90.6</v>
      </c>
    </row>
    <row r="9623" spans="4:5" x14ac:dyDescent="0.25">
      <c r="D9623" s="4">
        <v>45386</v>
      </c>
      <c r="E9623" s="6">
        <v>90.32</v>
      </c>
    </row>
    <row r="9624" spans="4:5" x14ac:dyDescent="0.25">
      <c r="D9624" s="4">
        <v>45387</v>
      </c>
      <c r="E9624" s="6">
        <v>92.81</v>
      </c>
    </row>
    <row r="9625" spans="4:5" x14ac:dyDescent="0.25">
      <c r="D9625" s="4">
        <v>45390</v>
      </c>
      <c r="E9625" s="6">
        <v>91.73</v>
      </c>
    </row>
    <row r="9626" spans="4:5" x14ac:dyDescent="0.25">
      <c r="D9626" s="4">
        <v>45391</v>
      </c>
      <c r="E9626" s="6">
        <v>92.13</v>
      </c>
    </row>
    <row r="9627" spans="4:5" x14ac:dyDescent="0.25">
      <c r="D9627" s="4">
        <v>45392</v>
      </c>
      <c r="E9627" s="6">
        <v>91.57</v>
      </c>
    </row>
    <row r="9628" spans="4:5" x14ac:dyDescent="0.25">
      <c r="D9628" s="4">
        <v>45393</v>
      </c>
      <c r="E9628" s="6">
        <v>91.49</v>
      </c>
    </row>
    <row r="9629" spans="4:5" x14ac:dyDescent="0.25">
      <c r="D9629" s="4">
        <v>45394</v>
      </c>
      <c r="E9629" s="6">
        <v>93.12</v>
      </c>
    </row>
    <row r="9630" spans="4:5" x14ac:dyDescent="0.25">
      <c r="D9630" s="4">
        <v>45397</v>
      </c>
      <c r="E9630" s="6">
        <v>90.84</v>
      </c>
    </row>
    <row r="9631" spans="4:5" x14ac:dyDescent="0.25">
      <c r="D9631" s="4">
        <v>45398</v>
      </c>
      <c r="E9631" s="6">
        <v>91.29</v>
      </c>
    </row>
    <row r="9632" spans="4:5" x14ac:dyDescent="0.25">
      <c r="D9632" s="4">
        <v>45399</v>
      </c>
      <c r="E9632" s="6">
        <v>89.54</v>
      </c>
    </row>
    <row r="9633" spans="4:5" x14ac:dyDescent="0.25">
      <c r="D9633" s="4">
        <v>45400</v>
      </c>
      <c r="E9633" s="6">
        <v>88.34</v>
      </c>
    </row>
    <row r="9634" spans="4:5" x14ac:dyDescent="0.25">
      <c r="D9634" s="4">
        <v>45401</v>
      </c>
      <c r="E9634" s="6">
        <v>87.96</v>
      </c>
    </row>
    <row r="9635" spans="4:5" x14ac:dyDescent="0.25">
      <c r="D9635" s="4">
        <v>45404</v>
      </c>
      <c r="E9635" s="6">
        <v>87.3</v>
      </c>
    </row>
    <row r="9636" spans="4:5" x14ac:dyDescent="0.25">
      <c r="D9636" s="4">
        <v>45405</v>
      </c>
      <c r="E9636" s="6">
        <v>88.29</v>
      </c>
    </row>
    <row r="9637" spans="4:5" x14ac:dyDescent="0.25">
      <c r="D9637" s="4">
        <v>45406</v>
      </c>
      <c r="E9637" s="6">
        <v>89.02</v>
      </c>
    </row>
    <row r="9638" spans="4:5" x14ac:dyDescent="0.25">
      <c r="D9638" s="4">
        <v>45407</v>
      </c>
      <c r="E9638" s="6">
        <v>88.1</v>
      </c>
    </row>
    <row r="9639" spans="4:5" x14ac:dyDescent="0.25">
      <c r="D9639" s="4">
        <v>45408</v>
      </c>
      <c r="E9639" s="6">
        <v>89.95</v>
      </c>
    </row>
    <row r="9640" spans="4:5" x14ac:dyDescent="0.25">
      <c r="D9640" s="4">
        <v>45411</v>
      </c>
      <c r="E9640" s="6">
        <v>88.44</v>
      </c>
    </row>
    <row r="9641" spans="4:5" x14ac:dyDescent="0.25">
      <c r="D9641" s="4">
        <v>45412</v>
      </c>
      <c r="E9641" s="6">
        <v>88.23</v>
      </c>
    </row>
    <row r="9642" spans="4:5" x14ac:dyDescent="0.25">
      <c r="D9642" s="4">
        <v>45413</v>
      </c>
      <c r="E9642" s="6">
        <v>83.55</v>
      </c>
    </row>
    <row r="9643" spans="4:5" x14ac:dyDescent="0.25">
      <c r="D9643" s="4">
        <v>45414</v>
      </c>
      <c r="E9643" s="6">
        <v>84.81</v>
      </c>
    </row>
    <row r="9644" spans="4:5" x14ac:dyDescent="0.25">
      <c r="D9644" s="4">
        <v>45415</v>
      </c>
      <c r="E9644" s="6">
        <v>83.6</v>
      </c>
    </row>
    <row r="9645" spans="4:5" x14ac:dyDescent="0.25">
      <c r="D9645" s="4">
        <v>45418</v>
      </c>
      <c r="E9645" s="5"/>
    </row>
    <row r="9646" spans="4:5" x14ac:dyDescent="0.25">
      <c r="D9646" s="4">
        <v>45419</v>
      </c>
      <c r="E9646" s="6">
        <v>82.69</v>
      </c>
    </row>
    <row r="9647" spans="4:5" x14ac:dyDescent="0.25">
      <c r="D9647" s="4">
        <v>45420</v>
      </c>
      <c r="E9647" s="6">
        <v>82.44</v>
      </c>
    </row>
    <row r="9648" spans="4:5" x14ac:dyDescent="0.25">
      <c r="D9648" s="4">
        <v>45421</v>
      </c>
      <c r="E9648" s="6">
        <v>83.27</v>
      </c>
    </row>
    <row r="9649" spans="4:5" x14ac:dyDescent="0.25">
      <c r="D9649" s="4">
        <v>45422</v>
      </c>
      <c r="E9649" s="6">
        <v>83.39</v>
      </c>
    </row>
    <row r="9650" spans="4:5" x14ac:dyDescent="0.25">
      <c r="D9650" s="4">
        <v>45425</v>
      </c>
      <c r="E9650" s="6">
        <v>83.18</v>
      </c>
    </row>
    <row r="9651" spans="4:5" x14ac:dyDescent="0.25">
      <c r="D9651" s="4">
        <v>45426</v>
      </c>
      <c r="E9651" s="6">
        <v>81</v>
      </c>
    </row>
    <row r="9652" spans="4:5" x14ac:dyDescent="0.25">
      <c r="D9652" s="4">
        <v>45427</v>
      </c>
      <c r="E9652" s="6">
        <v>79.98</v>
      </c>
    </row>
    <row r="9653" spans="4:5" x14ac:dyDescent="0.25">
      <c r="D9653" s="4">
        <v>45428</v>
      </c>
      <c r="E9653" s="6">
        <v>81.650000000000006</v>
      </c>
    </row>
    <row r="9654" spans="4:5" x14ac:dyDescent="0.25">
      <c r="D9654" s="4">
        <v>45429</v>
      </c>
      <c r="E9654" s="6">
        <v>82.24</v>
      </c>
    </row>
    <row r="9655" spans="4:5" x14ac:dyDescent="0.25">
      <c r="D9655" s="4">
        <v>45432</v>
      </c>
      <c r="E9655" s="6">
        <v>81.91</v>
      </c>
    </row>
    <row r="9656" spans="4:5" x14ac:dyDescent="0.25">
      <c r="D9656" s="4">
        <v>45433</v>
      </c>
      <c r="E9656" s="6">
        <v>81.22</v>
      </c>
    </row>
    <row r="9657" spans="4:5" x14ac:dyDescent="0.25">
      <c r="D9657" s="4">
        <v>45434</v>
      </c>
      <c r="E9657" s="6">
        <v>79.900000000000006</v>
      </c>
    </row>
    <row r="9658" spans="4:5" x14ac:dyDescent="0.25">
      <c r="D9658" s="4">
        <v>45435</v>
      </c>
      <c r="E9658" s="6">
        <v>79.25</v>
      </c>
    </row>
    <row r="9659" spans="4:5" x14ac:dyDescent="0.25">
      <c r="D9659" s="4">
        <v>45436</v>
      </c>
      <c r="E9659" s="6">
        <v>78.92</v>
      </c>
    </row>
    <row r="9660" spans="4:5" x14ac:dyDescent="0.25">
      <c r="D9660" s="4">
        <v>45439</v>
      </c>
      <c r="E9660" s="5"/>
    </row>
    <row r="9661" spans="4:5" x14ac:dyDescent="0.25">
      <c r="D9661" s="4">
        <v>45440</v>
      </c>
      <c r="E9661" s="6">
        <v>81.34</v>
      </c>
    </row>
    <row r="9662" spans="4:5" x14ac:dyDescent="0.25">
      <c r="D9662" s="4">
        <v>45441</v>
      </c>
      <c r="E9662" s="6">
        <v>81.5</v>
      </c>
    </row>
    <row r="9663" spans="4:5" x14ac:dyDescent="0.25">
      <c r="D9663" s="4">
        <v>45442</v>
      </c>
      <c r="E9663" s="6">
        <v>81.42</v>
      </c>
    </row>
    <row r="9664" spans="4:5" x14ac:dyDescent="0.25">
      <c r="D9664" s="4">
        <v>45443</v>
      </c>
      <c r="E9664" s="6">
        <v>79.41</v>
      </c>
    </row>
    <row r="9665" spans="4:5" x14ac:dyDescent="0.25">
      <c r="D9665" s="4">
        <v>45446</v>
      </c>
      <c r="E9665" s="6">
        <v>76.45</v>
      </c>
    </row>
    <row r="9666" spans="4:5" x14ac:dyDescent="0.25">
      <c r="D9666" s="4">
        <v>45447</v>
      </c>
      <c r="E9666" s="6">
        <v>75.33</v>
      </c>
    </row>
    <row r="9667" spans="4:5" x14ac:dyDescent="0.25">
      <c r="D9667" s="4">
        <v>45448</v>
      </c>
      <c r="E9667" s="6">
        <v>75.41</v>
      </c>
    </row>
    <row r="9668" spans="4:5" x14ac:dyDescent="0.25">
      <c r="D9668" s="4">
        <v>45449</v>
      </c>
      <c r="E9668" s="6">
        <v>77.62</v>
      </c>
    </row>
    <row r="9669" spans="4:5" x14ac:dyDescent="0.25">
      <c r="D9669" s="4">
        <v>45450</v>
      </c>
      <c r="E9669" s="6">
        <v>78.12</v>
      </c>
    </row>
    <row r="9670" spans="4:5" x14ac:dyDescent="0.25">
      <c r="D9670" s="4">
        <v>45453</v>
      </c>
      <c r="E9670" s="6">
        <v>79.59</v>
      </c>
    </row>
    <row r="9671" spans="4:5" x14ac:dyDescent="0.25">
      <c r="D9671" s="4">
        <v>45454</v>
      </c>
      <c r="E9671" s="6">
        <v>80.150000000000006</v>
      </c>
    </row>
    <row r="9672" spans="4:5" x14ac:dyDescent="0.25">
      <c r="D9672" s="4">
        <v>45455</v>
      </c>
      <c r="E9672" s="6">
        <v>80.52</v>
      </c>
    </row>
    <row r="9673" spans="4:5" x14ac:dyDescent="0.25">
      <c r="D9673" s="4">
        <v>45456</v>
      </c>
      <c r="E9673" s="6">
        <v>81.44</v>
      </c>
    </row>
    <row r="9674" spans="4:5" x14ac:dyDescent="0.25">
      <c r="D9674" s="4">
        <v>45457</v>
      </c>
      <c r="E9674" s="6">
        <v>81.489999999999995</v>
      </c>
    </row>
    <row r="9675" spans="4:5" x14ac:dyDescent="0.25">
      <c r="D9675" s="4">
        <v>45460</v>
      </c>
      <c r="E9675" s="6">
        <v>82.45</v>
      </c>
    </row>
    <row r="9676" spans="4:5" x14ac:dyDescent="0.25">
      <c r="D9676" s="4">
        <v>45461</v>
      </c>
      <c r="E9676" s="6">
        <v>84.79</v>
      </c>
    </row>
    <row r="9677" spans="4:5" x14ac:dyDescent="0.25">
      <c r="D9677" s="4">
        <v>45462</v>
      </c>
      <c r="E9677" s="6">
        <v>85.64</v>
      </c>
    </row>
    <row r="9678" spans="4:5" x14ac:dyDescent="0.25">
      <c r="D9678" s="4">
        <v>45463</v>
      </c>
      <c r="E9678" s="6">
        <v>85.92</v>
      </c>
    </row>
    <row r="9679" spans="4:5" x14ac:dyDescent="0.25">
      <c r="D9679" s="4">
        <v>45464</v>
      </c>
      <c r="E9679" s="6">
        <v>86.42</v>
      </c>
    </row>
    <row r="9680" spans="4:5" x14ac:dyDescent="0.25">
      <c r="D9680" s="4">
        <v>45467</v>
      </c>
      <c r="E9680" s="6">
        <v>86.75</v>
      </c>
    </row>
    <row r="9681" spans="4:5" x14ac:dyDescent="0.25">
      <c r="D9681" s="4">
        <v>45468</v>
      </c>
      <c r="E9681" s="6">
        <v>86.81</v>
      </c>
    </row>
    <row r="9682" spans="4:5" x14ac:dyDescent="0.25">
      <c r="D9682" s="4">
        <v>45469</v>
      </c>
      <c r="E9682" s="6">
        <v>85.76</v>
      </c>
    </row>
    <row r="9683" spans="4:5" x14ac:dyDescent="0.25">
      <c r="D9683" s="4">
        <v>45470</v>
      </c>
      <c r="E9683" s="6">
        <v>87</v>
      </c>
    </row>
    <row r="9684" spans="4:5" x14ac:dyDescent="0.25">
      <c r="D9684" s="4">
        <v>45471</v>
      </c>
      <c r="E9684" s="6">
        <v>87.26</v>
      </c>
    </row>
    <row r="9685" spans="4:5" x14ac:dyDescent="0.25">
      <c r="D9685" s="4">
        <v>45474</v>
      </c>
      <c r="E9685" s="6">
        <v>86.57</v>
      </c>
    </row>
    <row r="9686" spans="4:5" x14ac:dyDescent="0.25">
      <c r="D9686" s="4">
        <v>45475</v>
      </c>
      <c r="E9686" s="6">
        <v>88.28</v>
      </c>
    </row>
    <row r="9687" spans="4:5" x14ac:dyDescent="0.25">
      <c r="D9687" s="4">
        <v>45476</v>
      </c>
      <c r="E9687" s="6">
        <v>88.25</v>
      </c>
    </row>
    <row r="9688" spans="4:5" x14ac:dyDescent="0.25">
      <c r="D9688" s="4">
        <v>45477</v>
      </c>
      <c r="E9688" s="6">
        <v>88.34</v>
      </c>
    </row>
    <row r="9689" spans="4:5" x14ac:dyDescent="0.25">
      <c r="D9689" s="4">
        <v>45478</v>
      </c>
      <c r="E9689" s="6">
        <v>88.66</v>
      </c>
    </row>
    <row r="9690" spans="4:5" x14ac:dyDescent="0.25">
      <c r="D9690" s="4">
        <v>45481</v>
      </c>
      <c r="E9690" s="6">
        <v>87.15</v>
      </c>
    </row>
    <row r="9691" spans="4:5" x14ac:dyDescent="0.25">
      <c r="D9691" s="4">
        <v>45482</v>
      </c>
      <c r="E9691" s="6">
        <v>86.48</v>
      </c>
    </row>
    <row r="9692" spans="4:5" x14ac:dyDescent="0.25">
      <c r="D9692" s="4">
        <v>45483</v>
      </c>
      <c r="E9692" s="6">
        <v>86.55</v>
      </c>
    </row>
    <row r="9693" spans="4:5" x14ac:dyDescent="0.25">
      <c r="D9693" s="4">
        <v>45484</v>
      </c>
      <c r="E9693" s="6">
        <v>86.49</v>
      </c>
    </row>
    <row r="9694" spans="4:5" x14ac:dyDescent="0.25">
      <c r="D9694" s="4">
        <v>45485</v>
      </c>
      <c r="E9694" s="6">
        <v>87.35</v>
      </c>
    </row>
    <row r="9695" spans="4:5" x14ac:dyDescent="0.25">
      <c r="D9695" s="4">
        <v>45488</v>
      </c>
      <c r="E9695" s="6">
        <v>86.42</v>
      </c>
    </row>
    <row r="9696" spans="4:5" x14ac:dyDescent="0.25">
      <c r="D9696" s="4">
        <v>45489</v>
      </c>
      <c r="E9696" s="6">
        <v>86.6</v>
      </c>
    </row>
    <row r="9697" spans="4:5" x14ac:dyDescent="0.25">
      <c r="D9697" s="4">
        <v>45490</v>
      </c>
      <c r="E9697" s="6">
        <v>85.76</v>
      </c>
    </row>
    <row r="9698" spans="4:5" x14ac:dyDescent="0.25">
      <c r="D9698" s="4">
        <v>45491</v>
      </c>
      <c r="E9698" s="6">
        <v>86.26</v>
      </c>
    </row>
    <row r="9699" spans="4:5" x14ac:dyDescent="0.25">
      <c r="D9699" s="4">
        <v>45492</v>
      </c>
      <c r="E9699" s="6">
        <v>85.19</v>
      </c>
    </row>
    <row r="9700" spans="4:5" x14ac:dyDescent="0.25">
      <c r="D9700" s="4">
        <v>45495</v>
      </c>
      <c r="E9700" s="6">
        <v>83.44</v>
      </c>
    </row>
    <row r="9701" spans="4:5" x14ac:dyDescent="0.25">
      <c r="D9701" s="4">
        <v>45496</v>
      </c>
      <c r="E9701" s="6">
        <v>82.2</v>
      </c>
    </row>
    <row r="9702" spans="4:5" x14ac:dyDescent="0.25">
      <c r="D9702" s="4">
        <v>45497</v>
      </c>
      <c r="E9702" s="6">
        <v>83.01</v>
      </c>
    </row>
    <row r="9703" spans="4:5" x14ac:dyDescent="0.25">
      <c r="D9703" s="4">
        <v>45498</v>
      </c>
      <c r="E9703" s="6">
        <v>82.58</v>
      </c>
    </row>
    <row r="9704" spans="4:5" x14ac:dyDescent="0.25">
      <c r="D9704" s="4">
        <v>45499</v>
      </c>
      <c r="E9704" s="6">
        <v>81.349999999999994</v>
      </c>
    </row>
    <row r="9705" spans="4:5" x14ac:dyDescent="0.25">
      <c r="D9705" s="4">
        <v>45502</v>
      </c>
      <c r="E9705" s="6">
        <v>80.94</v>
      </c>
    </row>
    <row r="9706" spans="4:5" x14ac:dyDescent="0.25">
      <c r="D9706" s="4">
        <v>45503</v>
      </c>
      <c r="E9706" s="6">
        <v>79.260000000000005</v>
      </c>
    </row>
    <row r="9707" spans="4:5" x14ac:dyDescent="0.25">
      <c r="D9707" s="4">
        <v>45504</v>
      </c>
      <c r="E9707" s="6">
        <v>81.39</v>
      </c>
    </row>
    <row r="9708" spans="4:5" x14ac:dyDescent="0.25">
      <c r="D9708" s="4">
        <v>45505</v>
      </c>
      <c r="E9708" s="6">
        <v>81.37</v>
      </c>
    </row>
    <row r="9709" spans="4:5" x14ac:dyDescent="0.25">
      <c r="D9709" s="4">
        <v>45506</v>
      </c>
      <c r="E9709" s="6">
        <v>78.349999999999994</v>
      </c>
    </row>
    <row r="9710" spans="4:5" x14ac:dyDescent="0.25">
      <c r="D9710" s="4">
        <v>45509</v>
      </c>
      <c r="E9710" s="6">
        <v>77.510000000000005</v>
      </c>
    </row>
    <row r="9711" spans="4:5" x14ac:dyDescent="0.25">
      <c r="D9711" s="4">
        <v>45510</v>
      </c>
      <c r="E9711" s="6">
        <v>76.62</v>
      </c>
    </row>
    <row r="9712" spans="4:5" x14ac:dyDescent="0.25">
      <c r="D9712" s="4">
        <v>45511</v>
      </c>
      <c r="E9712" s="6">
        <v>78.260000000000005</v>
      </c>
    </row>
    <row r="9713" spans="4:5" x14ac:dyDescent="0.25">
      <c r="D9713" s="4">
        <v>45512</v>
      </c>
      <c r="E9713" s="6">
        <v>80.760000000000005</v>
      </c>
    </row>
    <row r="9714" spans="4:5" x14ac:dyDescent="0.25">
      <c r="D9714" s="4">
        <v>45513</v>
      </c>
      <c r="E9714" s="6">
        <v>81.069999999999993</v>
      </c>
    </row>
    <row r="9715" spans="4:5" x14ac:dyDescent="0.25">
      <c r="D9715" s="4">
        <v>45516</v>
      </c>
      <c r="E9715" s="6">
        <v>83.06</v>
      </c>
    </row>
    <row r="9716" spans="4:5" x14ac:dyDescent="0.25">
      <c r="D9716" s="4">
        <v>45517</v>
      </c>
      <c r="E9716" s="6">
        <v>82.51</v>
      </c>
    </row>
    <row r="9717" spans="4:5" x14ac:dyDescent="0.25">
      <c r="D9717" s="4">
        <v>45518</v>
      </c>
      <c r="E9717" s="6">
        <v>82.15</v>
      </c>
    </row>
    <row r="9718" spans="4:5" x14ac:dyDescent="0.25">
      <c r="D9718" s="4">
        <v>45519</v>
      </c>
      <c r="E9718" s="6">
        <v>83.09</v>
      </c>
    </row>
    <row r="9719" spans="4:5" x14ac:dyDescent="0.25">
      <c r="D9719" s="4">
        <v>45520</v>
      </c>
      <c r="E9719" s="6">
        <v>81.56</v>
      </c>
    </row>
    <row r="9720" spans="4:5" x14ac:dyDescent="0.25">
      <c r="D9720" s="4">
        <v>45523</v>
      </c>
      <c r="E9720" s="6">
        <v>81.09</v>
      </c>
    </row>
    <row r="9721" spans="4:5" x14ac:dyDescent="0.25">
      <c r="D9721" s="4">
        <v>45524</v>
      </c>
      <c r="E9721" s="6">
        <v>78.849999999999994</v>
      </c>
    </row>
    <row r="9722" spans="4:5" x14ac:dyDescent="0.25">
      <c r="D9722" s="4">
        <v>45525</v>
      </c>
      <c r="E9722" s="6">
        <v>78.77</v>
      </c>
    </row>
    <row r="9723" spans="4:5" x14ac:dyDescent="0.25">
      <c r="D9723" s="4">
        <v>45526</v>
      </c>
      <c r="E9723" s="6">
        <v>78.8</v>
      </c>
    </row>
    <row r="9724" spans="4:5" x14ac:dyDescent="0.25">
      <c r="D9724" s="4">
        <v>45527</v>
      </c>
      <c r="E9724" s="6">
        <v>80.34</v>
      </c>
    </row>
    <row r="9725" spans="4:5" x14ac:dyDescent="0.25">
      <c r="D9725" s="4">
        <v>45530</v>
      </c>
      <c r="E9725" s="5"/>
    </row>
    <row r="9726" spans="4:5" x14ac:dyDescent="0.25">
      <c r="D9726" s="4">
        <v>45531</v>
      </c>
      <c r="E9726" s="6">
        <v>81.510000000000005</v>
      </c>
    </row>
    <row r="9727" spans="4:5" x14ac:dyDescent="0.25">
      <c r="D9727" s="4">
        <v>45532</v>
      </c>
      <c r="E9727" s="6">
        <v>80.040000000000006</v>
      </c>
    </row>
    <row r="9728" spans="4:5" x14ac:dyDescent="0.25">
      <c r="D9728" s="4">
        <v>45533</v>
      </c>
      <c r="E9728" s="6">
        <v>81.55</v>
      </c>
    </row>
    <row r="9729" spans="4:5" x14ac:dyDescent="0.25">
      <c r="D9729" s="4">
        <v>45534</v>
      </c>
      <c r="E9729" s="6">
        <v>80.2</v>
      </c>
    </row>
    <row r="9730" spans="4:5" x14ac:dyDescent="0.25">
      <c r="D9730" s="4">
        <v>45537</v>
      </c>
      <c r="E9730" s="6">
        <v>77.819999999999993</v>
      </c>
    </row>
    <row r="9731" spans="4:5" x14ac:dyDescent="0.25">
      <c r="D9731" s="4">
        <v>45538</v>
      </c>
      <c r="E9731" s="6">
        <v>76.459999999999994</v>
      </c>
    </row>
    <row r="9732" spans="4:5" x14ac:dyDescent="0.25">
      <c r="D9732" s="4">
        <v>45539</v>
      </c>
      <c r="E9732" s="6">
        <v>74.67</v>
      </c>
    </row>
    <row r="9733" spans="4:5" x14ac:dyDescent="0.25">
      <c r="D9733" s="4">
        <v>45540</v>
      </c>
      <c r="E9733" s="6">
        <v>74.47</v>
      </c>
    </row>
    <row r="9734" spans="4:5" x14ac:dyDescent="0.25">
      <c r="D9734" s="4">
        <v>45541</v>
      </c>
      <c r="E9734" s="6">
        <v>72.819999999999993</v>
      </c>
    </row>
    <row r="9735" spans="4:5" x14ac:dyDescent="0.25">
      <c r="D9735" s="4">
        <v>45544</v>
      </c>
      <c r="E9735" s="6">
        <v>72.37</v>
      </c>
    </row>
    <row r="9736" spans="4:5" x14ac:dyDescent="0.25">
      <c r="D9736" s="4">
        <v>45545</v>
      </c>
      <c r="E9736" s="6">
        <v>70.34</v>
      </c>
    </row>
    <row r="9737" spans="4:5" x14ac:dyDescent="0.25">
      <c r="D9737" s="4">
        <v>45546</v>
      </c>
      <c r="E9737" s="6">
        <v>70.31</v>
      </c>
    </row>
    <row r="9738" spans="4:5" x14ac:dyDescent="0.25">
      <c r="D9738" s="4">
        <v>45547</v>
      </c>
      <c r="E9738" s="6">
        <v>73.81</v>
      </c>
    </row>
    <row r="9739" spans="4:5" x14ac:dyDescent="0.25">
      <c r="D9739" s="4">
        <v>45548</v>
      </c>
      <c r="E9739" s="6">
        <v>73.680000000000007</v>
      </c>
    </row>
    <row r="9740" spans="4:5" x14ac:dyDescent="0.25">
      <c r="D9740" s="4">
        <v>45551</v>
      </c>
      <c r="E9740" s="6">
        <v>73.959999999999994</v>
      </c>
    </row>
    <row r="9741" spans="4:5" x14ac:dyDescent="0.25">
      <c r="D9741" s="4">
        <v>45552</v>
      </c>
      <c r="E9741" s="6">
        <v>74.55</v>
      </c>
    </row>
    <row r="9742" spans="4:5" x14ac:dyDescent="0.25">
      <c r="D9742" s="4">
        <v>45553</v>
      </c>
      <c r="E9742" s="6">
        <v>74.52</v>
      </c>
    </row>
    <row r="9743" spans="4:5" x14ac:dyDescent="0.25">
      <c r="D9743" s="4">
        <v>45554</v>
      </c>
      <c r="E9743" s="6">
        <v>75.930000000000007</v>
      </c>
    </row>
    <row r="9744" spans="4:5" x14ac:dyDescent="0.25">
      <c r="D9744" s="4">
        <v>45555</v>
      </c>
      <c r="E9744" s="6">
        <v>75.959999999999994</v>
      </c>
    </row>
    <row r="9745" spans="4:5" x14ac:dyDescent="0.25">
      <c r="D9745" s="4">
        <v>45558</v>
      </c>
      <c r="E9745" s="6">
        <v>74.95</v>
      </c>
    </row>
    <row r="9746" spans="4:5" x14ac:dyDescent="0.25">
      <c r="D9746" s="4">
        <v>45559</v>
      </c>
      <c r="E9746" s="6">
        <v>75.290000000000006</v>
      </c>
    </row>
    <row r="9747" spans="4:5" x14ac:dyDescent="0.25">
      <c r="D9747" s="4">
        <v>45560</v>
      </c>
      <c r="E9747" s="6">
        <v>75.400000000000006</v>
      </c>
    </row>
    <row r="9748" spans="4:5" x14ac:dyDescent="0.25">
      <c r="D9748" s="4">
        <v>45561</v>
      </c>
      <c r="E9748" s="6">
        <v>73.06</v>
      </c>
    </row>
    <row r="9749" spans="4:5" x14ac:dyDescent="0.25">
      <c r="D9749" s="4">
        <v>45562</v>
      </c>
      <c r="E9749" s="6">
        <v>71.63</v>
      </c>
    </row>
    <row r="9750" spans="4:5" x14ac:dyDescent="0.25">
      <c r="D9750" s="4">
        <v>45565</v>
      </c>
      <c r="E9750" s="6">
        <v>72.349999999999994</v>
      </c>
    </row>
    <row r="9751" spans="4:5" x14ac:dyDescent="0.25">
      <c r="D9751" s="4">
        <v>45566</v>
      </c>
      <c r="E9751" s="6">
        <v>75.3</v>
      </c>
    </row>
    <row r="9752" spans="4:5" x14ac:dyDescent="0.25">
      <c r="D9752" s="4">
        <v>45567</v>
      </c>
      <c r="E9752" s="6">
        <v>74.86</v>
      </c>
    </row>
    <row r="9753" spans="4:5" x14ac:dyDescent="0.25">
      <c r="D9753" s="4">
        <v>45568</v>
      </c>
      <c r="E9753" s="6">
        <v>77.569999999999993</v>
      </c>
    </row>
    <row r="9754" spans="4:5" x14ac:dyDescent="0.25">
      <c r="D9754" s="4">
        <v>45569</v>
      </c>
      <c r="E9754" s="6">
        <v>79.319999999999993</v>
      </c>
    </row>
    <row r="9755" spans="4:5" x14ac:dyDescent="0.25">
      <c r="D9755" s="4">
        <v>45572</v>
      </c>
      <c r="E9755" s="6">
        <v>81.739999999999995</v>
      </c>
    </row>
    <row r="9756" spans="4:5" x14ac:dyDescent="0.25">
      <c r="D9756" s="4">
        <v>45573</v>
      </c>
      <c r="E9756" s="6">
        <v>78.19</v>
      </c>
    </row>
    <row r="9757" spans="4:5" x14ac:dyDescent="0.25">
      <c r="D9757" s="4">
        <v>45574</v>
      </c>
      <c r="E9757" s="6">
        <v>77.06</v>
      </c>
    </row>
    <row r="9758" spans="4:5" x14ac:dyDescent="0.25">
      <c r="D9758" s="4">
        <v>45575</v>
      </c>
      <c r="E9758" s="6">
        <v>79.45</v>
      </c>
    </row>
    <row r="9759" spans="4:5" x14ac:dyDescent="0.25">
      <c r="D9759" s="4">
        <v>45576</v>
      </c>
      <c r="E9759" s="6">
        <v>80.27</v>
      </c>
    </row>
    <row r="9760" spans="4:5" x14ac:dyDescent="0.25">
      <c r="D9760" s="4">
        <v>45579</v>
      </c>
      <c r="E9760" s="6">
        <v>78.47</v>
      </c>
    </row>
    <row r="9761" spans="4:5" x14ac:dyDescent="0.25">
      <c r="D9761" s="4">
        <v>45580</v>
      </c>
      <c r="E9761" s="6">
        <v>73.680000000000007</v>
      </c>
    </row>
    <row r="9762" spans="4:5" x14ac:dyDescent="0.25">
      <c r="D9762" s="4">
        <v>45581</v>
      </c>
      <c r="E9762" s="6">
        <v>73.650000000000006</v>
      </c>
    </row>
    <row r="9763" spans="4:5" x14ac:dyDescent="0.25">
      <c r="D9763" s="4">
        <v>45582</v>
      </c>
      <c r="E9763" s="6">
        <v>74.37</v>
      </c>
    </row>
    <row r="9764" spans="4:5" x14ac:dyDescent="0.25">
      <c r="D9764" s="4">
        <v>45583</v>
      </c>
      <c r="E9764" s="6">
        <v>72.75</v>
      </c>
    </row>
    <row r="9765" spans="4:5" x14ac:dyDescent="0.25">
      <c r="D9765" s="4">
        <v>45586</v>
      </c>
      <c r="E9765" s="6">
        <v>73.290000000000006</v>
      </c>
    </row>
    <row r="9766" spans="4:5" x14ac:dyDescent="0.25">
      <c r="D9766" s="4">
        <v>45587</v>
      </c>
      <c r="E9766" s="6">
        <v>75.59</v>
      </c>
    </row>
    <row r="9767" spans="4:5" x14ac:dyDescent="0.25">
      <c r="D9767" s="4">
        <v>45588</v>
      </c>
      <c r="E9767" s="6">
        <v>74.680000000000007</v>
      </c>
    </row>
    <row r="9768" spans="4:5" x14ac:dyDescent="0.25">
      <c r="D9768" s="4">
        <v>45589</v>
      </c>
      <c r="E9768" s="6">
        <v>74.27</v>
      </c>
    </row>
    <row r="9769" spans="4:5" x14ac:dyDescent="0.25">
      <c r="D9769" s="4">
        <v>45590</v>
      </c>
      <c r="E9769" s="6">
        <v>75.62</v>
      </c>
    </row>
    <row r="9770" spans="4:5" x14ac:dyDescent="0.25">
      <c r="D9770" s="4">
        <v>45593</v>
      </c>
      <c r="E9770" s="6">
        <v>71.87</v>
      </c>
    </row>
    <row r="9771" spans="4:5" x14ac:dyDescent="0.25">
      <c r="D9771" s="4">
        <v>45594</v>
      </c>
      <c r="E9771" s="6">
        <v>71.09</v>
      </c>
    </row>
    <row r="9772" spans="4:5" x14ac:dyDescent="0.25">
      <c r="D9772" s="4">
        <v>45595</v>
      </c>
      <c r="E9772" s="6">
        <v>73.209999999999994</v>
      </c>
    </row>
    <row r="9773" spans="4:5" x14ac:dyDescent="0.25">
      <c r="D9773" s="4">
        <v>45596</v>
      </c>
      <c r="E9773" s="6">
        <v>73.25</v>
      </c>
    </row>
    <row r="9774" spans="4:5" x14ac:dyDescent="0.25">
      <c r="D9774" s="4">
        <v>45597</v>
      </c>
      <c r="E9774" s="6">
        <v>73.63</v>
      </c>
    </row>
    <row r="9775" spans="4:5" x14ac:dyDescent="0.25">
      <c r="D9775" s="4">
        <v>45600</v>
      </c>
      <c r="E9775" s="6">
        <v>74.89</v>
      </c>
    </row>
    <row r="9776" spans="4:5" x14ac:dyDescent="0.25">
      <c r="D9776" s="4">
        <v>45601</v>
      </c>
      <c r="E9776" s="6">
        <v>76.98</v>
      </c>
    </row>
    <row r="9777" spans="4:5" x14ac:dyDescent="0.25">
      <c r="D9777" s="4">
        <v>45602</v>
      </c>
      <c r="E9777" s="6">
        <v>76.52</v>
      </c>
    </row>
    <row r="9778" spans="4:5" x14ac:dyDescent="0.25">
      <c r="D9778" s="4">
        <v>45603</v>
      </c>
      <c r="E9778" s="6">
        <v>75.73</v>
      </c>
    </row>
    <row r="9779" spans="4:5" x14ac:dyDescent="0.25">
      <c r="D9779" s="4">
        <v>45604</v>
      </c>
      <c r="E9779" s="6">
        <v>74.040000000000006</v>
      </c>
    </row>
    <row r="9780" spans="4:5" x14ac:dyDescent="0.25">
      <c r="D9780" s="4">
        <v>45607</v>
      </c>
      <c r="E9780" s="6">
        <v>72.19</v>
      </c>
    </row>
    <row r="9781" spans="4:5" x14ac:dyDescent="0.25">
      <c r="D9781" s="4">
        <v>45608</v>
      </c>
      <c r="E9781" s="6">
        <v>72.56</v>
      </c>
    </row>
    <row r="9782" spans="4:5" x14ac:dyDescent="0.25">
      <c r="D9782" s="4">
        <v>45609</v>
      </c>
      <c r="E9782" s="6">
        <v>72.86</v>
      </c>
    </row>
    <row r="9783" spans="4:5" x14ac:dyDescent="0.25">
      <c r="D9783" s="4">
        <v>45610</v>
      </c>
      <c r="E9783" s="6">
        <v>73.39</v>
      </c>
    </row>
    <row r="9784" spans="4:5" x14ac:dyDescent="0.25">
      <c r="D9784" s="4">
        <v>45611</v>
      </c>
      <c r="E9784" s="6">
        <v>73.45</v>
      </c>
    </row>
    <row r="9785" spans="4:5" x14ac:dyDescent="0.25">
      <c r="D9785" s="4">
        <v>45614</v>
      </c>
      <c r="E9785" s="6">
        <v>74.349999999999994</v>
      </c>
    </row>
    <row r="9786" spans="4:5" x14ac:dyDescent="0.25">
      <c r="D9786" s="4">
        <v>45615</v>
      </c>
      <c r="E9786" s="6">
        <v>74.319999999999993</v>
      </c>
    </row>
    <row r="9787" spans="4:5" x14ac:dyDescent="0.25">
      <c r="D9787" s="4">
        <v>45616</v>
      </c>
      <c r="E9787" s="6">
        <v>74.33</v>
      </c>
    </row>
    <row r="9788" spans="4:5" x14ac:dyDescent="0.25">
      <c r="D9788" s="4">
        <v>45617</v>
      </c>
      <c r="E9788" s="6">
        <v>75.09</v>
      </c>
    </row>
    <row r="9789" spans="4:5" x14ac:dyDescent="0.25">
      <c r="D9789" s="4">
        <v>45618</v>
      </c>
      <c r="E9789" s="6">
        <v>76.099999999999994</v>
      </c>
    </row>
    <row r="9790" spans="4:5" x14ac:dyDescent="0.25">
      <c r="D9790" s="4">
        <v>45621</v>
      </c>
      <c r="E9790" s="6">
        <v>74.27</v>
      </c>
    </row>
    <row r="9791" spans="4:5" x14ac:dyDescent="0.25">
      <c r="D9791" s="4">
        <v>45622</v>
      </c>
      <c r="E9791" s="6">
        <v>74.56</v>
      </c>
    </row>
    <row r="9792" spans="4:5" x14ac:dyDescent="0.25">
      <c r="D9792" s="4">
        <v>45623</v>
      </c>
      <c r="E9792" s="6">
        <v>73.91</v>
      </c>
    </row>
    <row r="9793" spans="4:5" x14ac:dyDescent="0.25">
      <c r="D9793" s="4">
        <v>45624</v>
      </c>
      <c r="E9793" s="6">
        <v>73.92</v>
      </c>
    </row>
    <row r="9794" spans="4:5" x14ac:dyDescent="0.25">
      <c r="D9794" s="4">
        <v>45625</v>
      </c>
      <c r="E9794" s="6">
        <v>74.16</v>
      </c>
    </row>
    <row r="9795" spans="4:5" x14ac:dyDescent="0.25">
      <c r="D9795" s="4">
        <v>45628</v>
      </c>
      <c r="E9795" s="6">
        <v>72.81</v>
      </c>
    </row>
    <row r="9796" spans="4:5" x14ac:dyDescent="0.25">
      <c r="D9796" s="4">
        <v>45629</v>
      </c>
      <c r="E9796" s="6">
        <v>74.8</v>
      </c>
    </row>
    <row r="9797" spans="4:5" x14ac:dyDescent="0.25">
      <c r="D9797" s="4">
        <v>45630</v>
      </c>
      <c r="E9797" s="6">
        <v>74.680000000000007</v>
      </c>
    </row>
    <row r="9798" spans="4:5" x14ac:dyDescent="0.25">
      <c r="D9798" s="4">
        <v>45631</v>
      </c>
      <c r="E9798" s="6">
        <v>73.78</v>
      </c>
    </row>
    <row r="9799" spans="4:5" x14ac:dyDescent="0.25">
      <c r="D9799" s="4">
        <v>45632</v>
      </c>
      <c r="E9799" s="6">
        <v>73.78</v>
      </c>
    </row>
    <row r="9800" spans="4:5" x14ac:dyDescent="0.25">
      <c r="D9800" s="4">
        <v>45635</v>
      </c>
      <c r="E9800" s="6">
        <v>73.73</v>
      </c>
    </row>
    <row r="9801" spans="4:5" x14ac:dyDescent="0.25">
      <c r="D9801" s="4">
        <v>45636</v>
      </c>
      <c r="E9801" s="6">
        <v>73.64</v>
      </c>
    </row>
    <row r="9802" spans="4:5" x14ac:dyDescent="0.25">
      <c r="D9802" s="4">
        <v>45637</v>
      </c>
      <c r="E9802" s="6">
        <v>74.38</v>
      </c>
    </row>
    <row r="9803" spans="4:5" x14ac:dyDescent="0.25">
      <c r="D9803" s="4">
        <v>45638</v>
      </c>
      <c r="E9803" s="6">
        <v>73.52</v>
      </c>
    </row>
    <row r="9804" spans="4:5" x14ac:dyDescent="0.25">
      <c r="D9804" s="4">
        <v>45639</v>
      </c>
      <c r="E9804" s="6">
        <v>74.89</v>
      </c>
    </row>
    <row r="9805" spans="4:5" x14ac:dyDescent="0.25">
      <c r="D9805" s="4">
        <v>45642</v>
      </c>
      <c r="E9805" s="6">
        <v>74.3</v>
      </c>
    </row>
    <row r="9806" spans="4:5" x14ac:dyDescent="0.25">
      <c r="D9806" s="4">
        <v>45643</v>
      </c>
      <c r="E9806" s="6">
        <v>73.16</v>
      </c>
    </row>
    <row r="9807" spans="4:5" x14ac:dyDescent="0.25">
      <c r="D9807" s="4">
        <v>45644</v>
      </c>
      <c r="E9807" s="6">
        <v>74.569999999999993</v>
      </c>
    </row>
    <row r="9808" spans="4:5" x14ac:dyDescent="0.25">
      <c r="D9808" s="4">
        <v>45645</v>
      </c>
      <c r="E9808" s="6">
        <v>73.75</v>
      </c>
    </row>
    <row r="9809" spans="4:5" x14ac:dyDescent="0.25">
      <c r="D9809" s="4">
        <v>45646</v>
      </c>
      <c r="E9809" s="6">
        <v>73.19</v>
      </c>
    </row>
    <row r="9810" spans="4:5" x14ac:dyDescent="0.25">
      <c r="D9810" s="4">
        <v>45649</v>
      </c>
      <c r="E9810" s="6">
        <v>72.12</v>
      </c>
    </row>
    <row r="9811" spans="4:5" x14ac:dyDescent="0.25">
      <c r="D9811" s="4">
        <v>45650</v>
      </c>
      <c r="E9811" s="6">
        <v>73.5</v>
      </c>
    </row>
    <row r="9812" spans="4:5" x14ac:dyDescent="0.25">
      <c r="D9812" s="4">
        <v>45651</v>
      </c>
      <c r="E9812" s="5"/>
    </row>
    <row r="9813" spans="4:5" x14ac:dyDescent="0.25">
      <c r="D9813" s="4">
        <v>45652</v>
      </c>
      <c r="E9813" s="5"/>
    </row>
    <row r="9814" spans="4:5" x14ac:dyDescent="0.25">
      <c r="D9814" s="4">
        <v>45653</v>
      </c>
      <c r="E9814" s="6">
        <v>73.77</v>
      </c>
    </row>
    <row r="9815" spans="4:5" x14ac:dyDescent="0.25">
      <c r="D9815" s="4">
        <v>45656</v>
      </c>
      <c r="E9815" s="6">
        <v>74.239999999999995</v>
      </c>
    </row>
    <row r="9816" spans="4:5" x14ac:dyDescent="0.25">
      <c r="D9816" s="4">
        <v>45657</v>
      </c>
      <c r="E9816" s="6">
        <v>74.58</v>
      </c>
    </row>
    <row r="9817" spans="4:5" x14ac:dyDescent="0.25">
      <c r="D9817" s="4">
        <v>45658</v>
      </c>
      <c r="E9817" s="5"/>
    </row>
    <row r="9818" spans="4:5" x14ac:dyDescent="0.25">
      <c r="D9818" s="4">
        <v>45659</v>
      </c>
      <c r="E9818" s="6">
        <v>76.14</v>
      </c>
    </row>
    <row r="9819" spans="4:5" x14ac:dyDescent="0.25">
      <c r="D9819" s="4">
        <v>45660</v>
      </c>
      <c r="E9819" s="6">
        <v>76.72</v>
      </c>
    </row>
    <row r="9820" spans="4:5" x14ac:dyDescent="0.25">
      <c r="D9820" s="4">
        <v>45663</v>
      </c>
      <c r="E9820" s="6">
        <v>77.27</v>
      </c>
    </row>
    <row r="9821" spans="4:5" x14ac:dyDescent="0.25">
      <c r="D9821" s="4">
        <v>45664</v>
      </c>
      <c r="E9821" s="6">
        <v>77.84</v>
      </c>
    </row>
    <row r="9822" spans="4:5" x14ac:dyDescent="0.25">
      <c r="D9822" s="4">
        <v>45665</v>
      </c>
      <c r="E9822" s="6">
        <v>77.37</v>
      </c>
    </row>
    <row r="9823" spans="4:5" x14ac:dyDescent="0.25">
      <c r="D9823" s="4">
        <v>45666</v>
      </c>
      <c r="E9823" s="6">
        <v>78.44</v>
      </c>
    </row>
    <row r="9824" spans="4:5" x14ac:dyDescent="0.25">
      <c r="D9824" s="4">
        <v>45667</v>
      </c>
      <c r="E9824" s="6">
        <v>79.760000000000005</v>
      </c>
    </row>
    <row r="9825" spans="4:5" x14ac:dyDescent="0.25">
      <c r="D9825" s="4">
        <v>45670</v>
      </c>
      <c r="E9825" s="6">
        <v>82.69</v>
      </c>
    </row>
    <row r="9826" spans="4:5" x14ac:dyDescent="0.25">
      <c r="D9826" s="4">
        <v>45671</v>
      </c>
      <c r="E9826" s="6">
        <v>82.39</v>
      </c>
    </row>
    <row r="9827" spans="4:5" x14ac:dyDescent="0.25">
      <c r="D9827" s="4">
        <v>45672</v>
      </c>
      <c r="E9827" s="6">
        <v>83.48</v>
      </c>
    </row>
    <row r="9828" spans="4:5" x14ac:dyDescent="0.25">
      <c r="D9828" s="4">
        <v>45673</v>
      </c>
      <c r="E9828" s="6">
        <v>82.39</v>
      </c>
    </row>
    <row r="9829" spans="4:5" x14ac:dyDescent="0.25">
      <c r="D9829" s="4">
        <v>45674</v>
      </c>
      <c r="E9829" s="6">
        <v>83.02</v>
      </c>
    </row>
    <row r="9830" spans="4:5" x14ac:dyDescent="0.25">
      <c r="D9830" s="4">
        <v>45677</v>
      </c>
      <c r="E9830" s="6">
        <v>81.680000000000007</v>
      </c>
    </row>
    <row r="9831" spans="4:5" x14ac:dyDescent="0.25">
      <c r="D9831" s="4">
        <v>45678</v>
      </c>
      <c r="E9831" s="6">
        <v>80.569999999999993</v>
      </c>
    </row>
    <row r="9832" spans="4:5" x14ac:dyDescent="0.25">
      <c r="D9832" s="4">
        <v>45679</v>
      </c>
      <c r="E9832" s="6">
        <v>80</v>
      </c>
    </row>
    <row r="9833" spans="4:5" x14ac:dyDescent="0.25">
      <c r="D9833" s="4">
        <v>45680</v>
      </c>
      <c r="E9833" s="6">
        <v>78.62</v>
      </c>
    </row>
    <row r="9834" spans="4:5" x14ac:dyDescent="0.25">
      <c r="D9834" s="4">
        <v>45681</v>
      </c>
      <c r="E9834" s="6">
        <v>78.709999999999994</v>
      </c>
    </row>
    <row r="9835" spans="4:5" x14ac:dyDescent="0.25">
      <c r="D9835" s="4">
        <v>45684</v>
      </c>
      <c r="E9835" s="6">
        <v>77.3</v>
      </c>
    </row>
    <row r="9836" spans="4:5" x14ac:dyDescent="0.25">
      <c r="D9836" s="4">
        <v>45685</v>
      </c>
      <c r="E9836" s="6">
        <v>78.010000000000005</v>
      </c>
    </row>
    <row r="9837" spans="4:5" x14ac:dyDescent="0.25">
      <c r="D9837" s="4">
        <v>45686</v>
      </c>
      <c r="E9837" s="6">
        <v>77.02</v>
      </c>
    </row>
    <row r="9838" spans="4:5" x14ac:dyDescent="0.25">
      <c r="D9838" s="4">
        <v>45687</v>
      </c>
      <c r="E9838" s="6">
        <v>77.42</v>
      </c>
    </row>
    <row r="9839" spans="4:5" x14ac:dyDescent="0.25">
      <c r="D9839" s="4">
        <v>45688</v>
      </c>
      <c r="E9839" s="6">
        <v>77.11</v>
      </c>
    </row>
    <row r="9840" spans="4:5" x14ac:dyDescent="0.25">
      <c r="D9840" s="4">
        <v>45691</v>
      </c>
      <c r="E9840" s="6">
        <v>76.489999999999995</v>
      </c>
    </row>
    <row r="9841" spans="4:5" x14ac:dyDescent="0.25">
      <c r="D9841" s="4">
        <v>45692</v>
      </c>
      <c r="E9841" s="6">
        <v>76.58</v>
      </c>
    </row>
    <row r="9842" spans="4:5" x14ac:dyDescent="0.25">
      <c r="D9842" s="4">
        <v>45693</v>
      </c>
      <c r="E9842" s="6">
        <v>74.709999999999994</v>
      </c>
    </row>
    <row r="9843" spans="4:5" x14ac:dyDescent="0.25">
      <c r="D9843" s="4">
        <v>45694</v>
      </c>
      <c r="E9843" s="6">
        <v>74.540000000000006</v>
      </c>
    </row>
    <row r="9844" spans="4:5" x14ac:dyDescent="0.25">
      <c r="D9844" s="4">
        <v>45695</v>
      </c>
      <c r="E9844" s="6">
        <v>74.680000000000007</v>
      </c>
    </row>
    <row r="9845" spans="4:5" x14ac:dyDescent="0.25">
      <c r="D9845" s="4">
        <v>45698</v>
      </c>
      <c r="E9845" s="6">
        <v>76.23</v>
      </c>
    </row>
    <row r="9846" spans="4:5" x14ac:dyDescent="0.25">
      <c r="D9846" s="4">
        <v>45699</v>
      </c>
      <c r="E9846" s="6">
        <v>77.650000000000006</v>
      </c>
    </row>
    <row r="9847" spans="4:5" x14ac:dyDescent="0.25">
      <c r="D9847" s="4">
        <v>45700</v>
      </c>
      <c r="E9847" s="6">
        <v>75.38</v>
      </c>
    </row>
    <row r="9848" spans="4:5" x14ac:dyDescent="0.25">
      <c r="D9848" s="4">
        <v>45701</v>
      </c>
      <c r="E9848" s="6">
        <v>75.61</v>
      </c>
    </row>
    <row r="9849" spans="4:5" x14ac:dyDescent="0.25">
      <c r="D9849" s="4">
        <v>45702</v>
      </c>
      <c r="E9849" s="6">
        <v>75.19</v>
      </c>
    </row>
    <row r="9850" spans="4:5" x14ac:dyDescent="0.25">
      <c r="D9850" s="4">
        <v>45705</v>
      </c>
      <c r="E9850" s="6">
        <v>75.81</v>
      </c>
    </row>
    <row r="9851" spans="4:5" x14ac:dyDescent="0.25">
      <c r="D9851" s="4">
        <v>45706</v>
      </c>
      <c r="E9851" s="6">
        <v>76.459999999999994</v>
      </c>
    </row>
    <row r="9852" spans="4:5" x14ac:dyDescent="0.25">
      <c r="D9852" s="4">
        <v>45707</v>
      </c>
      <c r="E9852" s="6">
        <v>76.34</v>
      </c>
    </row>
    <row r="9853" spans="4:5" x14ac:dyDescent="0.25">
      <c r="D9853" s="4">
        <v>45708</v>
      </c>
      <c r="E9853" s="6">
        <v>76.95</v>
      </c>
    </row>
    <row r="9854" spans="4:5" x14ac:dyDescent="0.25">
      <c r="D9854" s="4">
        <v>45709</v>
      </c>
      <c r="E9854" s="6">
        <v>74.88</v>
      </c>
    </row>
    <row r="9855" spans="4:5" x14ac:dyDescent="0.25">
      <c r="D9855" s="4">
        <v>45712</v>
      </c>
      <c r="E9855" s="6">
        <v>74.89</v>
      </c>
    </row>
    <row r="9856" spans="4:5" x14ac:dyDescent="0.25">
      <c r="D9856" s="4">
        <v>45713</v>
      </c>
      <c r="E9856" s="6">
        <v>73.11</v>
      </c>
    </row>
    <row r="9857" spans="4:5" x14ac:dyDescent="0.25">
      <c r="D9857" s="4">
        <v>45714</v>
      </c>
      <c r="E9857" s="6">
        <v>73.489999999999995</v>
      </c>
    </row>
    <row r="9858" spans="4:5" x14ac:dyDescent="0.25">
      <c r="D9858" s="4">
        <v>45715</v>
      </c>
      <c r="E9858" s="6">
        <v>75.010000000000005</v>
      </c>
    </row>
    <row r="9859" spans="4:5" x14ac:dyDescent="0.25">
      <c r="D9859" s="4">
        <v>45716</v>
      </c>
      <c r="E9859" s="6">
        <v>74.760000000000005</v>
      </c>
    </row>
    <row r="9860" spans="4:5" x14ac:dyDescent="0.25">
      <c r="D9860" s="4">
        <v>45719</v>
      </c>
      <c r="E9860" s="6">
        <v>72.849999999999994</v>
      </c>
    </row>
    <row r="9861" spans="4:5" x14ac:dyDescent="0.25">
      <c r="D9861" s="4">
        <v>45720</v>
      </c>
      <c r="E9861" s="6">
        <v>72.31</v>
      </c>
    </row>
    <row r="9862" spans="4:5" x14ac:dyDescent="0.25">
      <c r="D9862" s="4">
        <v>45721</v>
      </c>
      <c r="E9862" s="6">
        <v>70.92</v>
      </c>
    </row>
    <row r="9863" spans="4:5" x14ac:dyDescent="0.25">
      <c r="D9863" s="4">
        <v>45722</v>
      </c>
      <c r="E9863" s="6">
        <v>71.08</v>
      </c>
    </row>
    <row r="9864" spans="4:5" x14ac:dyDescent="0.25">
      <c r="D9864" s="4">
        <v>45723</v>
      </c>
      <c r="E9864" s="6">
        <v>72.489999999999995</v>
      </c>
    </row>
    <row r="9865" spans="4:5" x14ac:dyDescent="0.25">
      <c r="D9865" s="4">
        <v>45726</v>
      </c>
      <c r="E9865" s="6">
        <v>71.08</v>
      </c>
    </row>
    <row r="9866" spans="4:5" x14ac:dyDescent="0.25">
      <c r="D9866" s="4">
        <v>45727</v>
      </c>
      <c r="E9866" s="6">
        <v>71.510000000000005</v>
      </c>
    </row>
    <row r="9867" spans="4:5" x14ac:dyDescent="0.25">
      <c r="D9867" s="4">
        <v>45728</v>
      </c>
      <c r="E9867" s="6">
        <v>72.36</v>
      </c>
    </row>
    <row r="9868" spans="4:5" x14ac:dyDescent="0.25">
      <c r="D9868" s="4">
        <v>45729</v>
      </c>
      <c r="E9868" s="6">
        <v>70.819999999999993</v>
      </c>
    </row>
    <row r="9869" spans="4:5" x14ac:dyDescent="0.25">
      <c r="D9869" s="4">
        <v>45730</v>
      </c>
      <c r="E9869" s="6">
        <v>71.94</v>
      </c>
    </row>
    <row r="9870" spans="4:5" x14ac:dyDescent="0.25">
      <c r="D9870" s="4">
        <v>45733</v>
      </c>
      <c r="E9870" s="6">
        <v>71.930000000000007</v>
      </c>
    </row>
    <row r="9871" spans="4:5" x14ac:dyDescent="0.25">
      <c r="D9871" s="4">
        <v>45734</v>
      </c>
      <c r="E9871" s="6">
        <v>71.930000000000007</v>
      </c>
    </row>
    <row r="9872" spans="4:5" x14ac:dyDescent="0.25">
      <c r="D9872" s="4">
        <v>45735</v>
      </c>
      <c r="E9872" s="6">
        <v>71.94</v>
      </c>
    </row>
    <row r="9873" spans="4:5" x14ac:dyDescent="0.25">
      <c r="D9873" s="4">
        <v>45736</v>
      </c>
      <c r="E9873" s="6">
        <v>72.61</v>
      </c>
    </row>
    <row r="9874" spans="4:5" x14ac:dyDescent="0.25">
      <c r="D9874" s="4">
        <v>45737</v>
      </c>
      <c r="E9874" s="6">
        <v>72.64</v>
      </c>
    </row>
    <row r="9875" spans="4:5" x14ac:dyDescent="0.25">
      <c r="D9875" s="4">
        <v>45740</v>
      </c>
      <c r="E9875" s="6">
        <v>73.959999999999994</v>
      </c>
    </row>
    <row r="9876" spans="4:5" x14ac:dyDescent="0.25">
      <c r="D9876" s="4">
        <v>45741</v>
      </c>
      <c r="E9876" s="6">
        <v>73.78</v>
      </c>
    </row>
    <row r="9877" spans="4:5" x14ac:dyDescent="0.25">
      <c r="D9877" s="4">
        <v>45742</v>
      </c>
      <c r="E9877" s="6">
        <v>74.599999999999994</v>
      </c>
    </row>
    <row r="9878" spans="4:5" x14ac:dyDescent="0.25">
      <c r="D9878" s="4">
        <v>45743</v>
      </c>
      <c r="E9878" s="6">
        <v>74.72</v>
      </c>
    </row>
    <row r="9879" spans="4:5" x14ac:dyDescent="0.25">
      <c r="D9879" s="4">
        <v>45744</v>
      </c>
      <c r="E9879" s="6">
        <v>74.69</v>
      </c>
    </row>
    <row r="9880" spans="4:5" x14ac:dyDescent="0.25">
      <c r="D9880" s="4">
        <v>45747</v>
      </c>
      <c r="E9880" s="6">
        <v>77.23</v>
      </c>
    </row>
    <row r="9881" spans="4:5" x14ac:dyDescent="0.25">
      <c r="D9881" s="4">
        <v>45748</v>
      </c>
      <c r="E9881" s="6">
        <v>77.78</v>
      </c>
    </row>
    <row r="9882" spans="4:5" x14ac:dyDescent="0.25">
      <c r="D9882" s="4">
        <v>45749</v>
      </c>
      <c r="E9882" s="6">
        <v>77.27</v>
      </c>
    </row>
    <row r="9883" spans="4:5" x14ac:dyDescent="0.25">
      <c r="D9883" s="4">
        <v>45750</v>
      </c>
      <c r="E9883" s="6">
        <v>72.540000000000006</v>
      </c>
    </row>
    <row r="9884" spans="4:5" x14ac:dyDescent="0.25">
      <c r="D9884" s="4">
        <v>45751</v>
      </c>
      <c r="E9884" s="6">
        <v>68.36</v>
      </c>
    </row>
    <row r="9885" spans="4:5" x14ac:dyDescent="0.25">
      <c r="D9885" s="4">
        <v>45754</v>
      </c>
      <c r="E9885" s="6">
        <v>66.13</v>
      </c>
    </row>
    <row r="9886" spans="4:5" x14ac:dyDescent="0.25">
      <c r="D9886" s="4">
        <v>45755</v>
      </c>
      <c r="E9886" s="6">
        <v>64.86</v>
      </c>
    </row>
    <row r="9887" spans="4:5" x14ac:dyDescent="0.25">
      <c r="D9887" s="4">
        <v>45756</v>
      </c>
      <c r="E9887" s="6">
        <v>67.3</v>
      </c>
    </row>
    <row r="9888" spans="4:5" x14ac:dyDescent="0.25">
      <c r="D9888" s="4">
        <v>45757</v>
      </c>
      <c r="E9888" s="6">
        <v>65.37</v>
      </c>
    </row>
    <row r="9889" spans="4:5" x14ac:dyDescent="0.25">
      <c r="D9889" s="4">
        <v>45758</v>
      </c>
      <c r="E9889" s="6">
        <v>66.83</v>
      </c>
    </row>
    <row r="9890" spans="4:5" x14ac:dyDescent="0.25">
      <c r="D9890" s="4">
        <v>45761</v>
      </c>
      <c r="E9890" s="6">
        <v>67.180000000000007</v>
      </c>
    </row>
    <row r="9891" spans="4:5" x14ac:dyDescent="0.25">
      <c r="D9891" s="4">
        <v>45762</v>
      </c>
      <c r="E9891" s="6">
        <v>66.58</v>
      </c>
    </row>
    <row r="9892" spans="4:5" x14ac:dyDescent="0.25">
      <c r="D9892" s="4">
        <v>45763</v>
      </c>
      <c r="E9892" s="6">
        <v>67.94</v>
      </c>
    </row>
    <row r="9893" spans="4:5" x14ac:dyDescent="0.25">
      <c r="D9893" s="4">
        <v>45764</v>
      </c>
      <c r="E9893" s="6">
        <v>69.33</v>
      </c>
    </row>
    <row r="9894" spans="4:5" x14ac:dyDescent="0.25">
      <c r="D9894" s="4">
        <v>45765</v>
      </c>
      <c r="E9894" s="5"/>
    </row>
    <row r="9895" spans="4:5" x14ac:dyDescent="0.25">
      <c r="D9895" s="4">
        <v>45768</v>
      </c>
      <c r="E9895" s="5"/>
    </row>
    <row r="9896" spans="4:5" x14ac:dyDescent="0.25">
      <c r="D9896" s="4">
        <v>45769</v>
      </c>
      <c r="E9896" s="6">
        <v>68.930000000000007</v>
      </c>
    </row>
    <row r="9897" spans="4:5" x14ac:dyDescent="0.25">
      <c r="D9897" s="4">
        <v>45770</v>
      </c>
      <c r="E9897" s="6">
        <v>68.260000000000005</v>
      </c>
    </row>
    <row r="9898" spans="4:5" x14ac:dyDescent="0.25">
      <c r="D9898" s="4">
        <v>45771</v>
      </c>
      <c r="E9898" s="6">
        <v>67.5</v>
      </c>
    </row>
    <row r="9899" spans="4:5" x14ac:dyDescent="0.25">
      <c r="D9899" s="4">
        <v>45772</v>
      </c>
      <c r="E9899" s="6">
        <v>66.989999999999995</v>
      </c>
    </row>
    <row r="9900" spans="4:5" x14ac:dyDescent="0.25">
      <c r="D9900" s="4">
        <v>45775</v>
      </c>
      <c r="E9900" s="6">
        <v>66.13</v>
      </c>
    </row>
    <row r="9901" spans="4:5" x14ac:dyDescent="0.25">
      <c r="D9901" s="4">
        <v>45776</v>
      </c>
      <c r="E9901" s="6">
        <v>64.040000000000006</v>
      </c>
    </row>
    <row r="9902" spans="4:5" x14ac:dyDescent="0.25">
      <c r="D9902" s="4">
        <v>45777</v>
      </c>
      <c r="E9902" s="6">
        <v>63.37</v>
      </c>
    </row>
    <row r="9903" spans="4:5" x14ac:dyDescent="0.25">
      <c r="D9903" s="4">
        <v>45778</v>
      </c>
      <c r="E9903" s="6">
        <v>62.37</v>
      </c>
    </row>
    <row r="9904" spans="4:5" x14ac:dyDescent="0.25">
      <c r="D9904" s="4">
        <v>45779</v>
      </c>
      <c r="E9904" s="6">
        <v>61.57</v>
      </c>
    </row>
    <row r="9905" spans="4:5" x14ac:dyDescent="0.25">
      <c r="D9905" s="4">
        <v>45782</v>
      </c>
      <c r="E9905" s="5"/>
    </row>
    <row r="9906" spans="4:5" x14ac:dyDescent="0.25">
      <c r="D9906" s="4">
        <v>45783</v>
      </c>
      <c r="E9906" s="6">
        <v>62.37</v>
      </c>
    </row>
    <row r="9907" spans="4:5" x14ac:dyDescent="0.25">
      <c r="D9907" s="4">
        <v>45784</v>
      </c>
      <c r="E9907" s="6">
        <v>60.31</v>
      </c>
    </row>
    <row r="9908" spans="4:5" x14ac:dyDescent="0.25">
      <c r="D9908" s="4">
        <v>45785</v>
      </c>
      <c r="E9908" s="6">
        <v>62.22</v>
      </c>
    </row>
    <row r="9909" spans="4:5" x14ac:dyDescent="0.25">
      <c r="D9909" s="4">
        <v>45786</v>
      </c>
      <c r="E9909" s="6">
        <v>64.260000000000005</v>
      </c>
    </row>
    <row r="9910" spans="4:5" x14ac:dyDescent="0.25">
      <c r="D9910" s="4">
        <v>45789</v>
      </c>
      <c r="E9910" s="6">
        <v>65.28</v>
      </c>
    </row>
    <row r="9911" spans="4:5" x14ac:dyDescent="0.25">
      <c r="D9911" s="4">
        <v>45790</v>
      </c>
      <c r="E9911" s="6">
        <v>66.930000000000007</v>
      </c>
    </row>
    <row r="9912" spans="4:5" x14ac:dyDescent="0.25">
      <c r="D9912" s="4">
        <v>45791</v>
      </c>
      <c r="E9912" s="6">
        <v>65.91</v>
      </c>
    </row>
    <row r="9913" spans="4:5" x14ac:dyDescent="0.25">
      <c r="D9913" s="4">
        <v>45792</v>
      </c>
      <c r="E9913" s="6">
        <v>64.36</v>
      </c>
    </row>
    <row r="9914" spans="4:5" x14ac:dyDescent="0.25">
      <c r="D9914" s="4">
        <v>45793</v>
      </c>
      <c r="E9914" s="6">
        <v>65.2</v>
      </c>
    </row>
    <row r="9915" spans="4:5" x14ac:dyDescent="0.25">
      <c r="D9915" s="4">
        <v>45796</v>
      </c>
      <c r="E9915" s="6">
        <v>66.25</v>
      </c>
    </row>
    <row r="9916" spans="4:5" x14ac:dyDescent="0.25">
      <c r="D9916" s="4">
        <v>45797</v>
      </c>
      <c r="E9916" s="6">
        <v>66.930000000000007</v>
      </c>
    </row>
    <row r="9917" spans="4:5" x14ac:dyDescent="0.25">
      <c r="D9917" s="4">
        <v>45798</v>
      </c>
      <c r="E9917" s="6">
        <v>65.86</v>
      </c>
    </row>
    <row r="9918" spans="4:5" x14ac:dyDescent="0.25">
      <c r="D9918" s="4">
        <v>45799</v>
      </c>
      <c r="E9918" s="6">
        <v>64.87</v>
      </c>
    </row>
    <row r="9919" spans="4:5" x14ac:dyDescent="0.25">
      <c r="D9919" s="4">
        <v>45800</v>
      </c>
      <c r="E9919" s="6">
        <v>65.41</v>
      </c>
    </row>
    <row r="9920" spans="4:5" x14ac:dyDescent="0.25">
      <c r="D9920" s="4">
        <v>45803</v>
      </c>
      <c r="E9920" s="5"/>
    </row>
    <row r="9921" spans="4:5" x14ac:dyDescent="0.25">
      <c r="D9921" s="4">
        <v>45804</v>
      </c>
      <c r="E9921" s="6">
        <v>64.319999999999993</v>
      </c>
    </row>
    <row r="9922" spans="4:5" x14ac:dyDescent="0.25">
      <c r="D9922" s="4">
        <v>45805</v>
      </c>
      <c r="E9922" s="6">
        <v>65.72</v>
      </c>
    </row>
    <row r="9923" spans="4:5" x14ac:dyDescent="0.25">
      <c r="D9923" s="4">
        <v>45806</v>
      </c>
      <c r="E9923" s="6">
        <v>64.599999999999994</v>
      </c>
    </row>
    <row r="9924" spans="4:5" x14ac:dyDescent="0.25">
      <c r="D9924" s="4">
        <v>45807</v>
      </c>
      <c r="E9924" s="6">
        <v>64.319999999999993</v>
      </c>
    </row>
    <row r="9925" spans="4:5" x14ac:dyDescent="0.25">
      <c r="D9925" s="4">
        <v>45810</v>
      </c>
      <c r="E9925" s="6">
        <v>66.55</v>
      </c>
    </row>
    <row r="9926" spans="4:5" x14ac:dyDescent="0.25">
      <c r="D9926" s="4">
        <v>45811</v>
      </c>
      <c r="E9926" s="6">
        <v>67.48</v>
      </c>
    </row>
    <row r="9927" spans="4:5" x14ac:dyDescent="0.25">
      <c r="D9927" s="4">
        <v>45812</v>
      </c>
      <c r="E9927" s="6">
        <v>66.69</v>
      </c>
    </row>
    <row r="9928" spans="4:5" x14ac:dyDescent="0.25">
      <c r="D9928" s="4">
        <v>45813</v>
      </c>
      <c r="E9928" s="6">
        <v>67.14</v>
      </c>
    </row>
    <row r="9929" spans="4:5" x14ac:dyDescent="0.25">
      <c r="D9929" s="4">
        <v>45814</v>
      </c>
      <c r="E9929" s="6">
        <v>68.02</v>
      </c>
    </row>
    <row r="9930" spans="4:5" x14ac:dyDescent="0.25">
      <c r="D9930" s="4">
        <v>45817</v>
      </c>
      <c r="E9930" s="6">
        <v>68.73</v>
      </c>
    </row>
    <row r="9931" spans="4:5" x14ac:dyDescent="0.25">
      <c r="D9931" s="4">
        <v>45818</v>
      </c>
      <c r="E9931" s="6">
        <v>68.41</v>
      </c>
    </row>
    <row r="9932" spans="4:5" x14ac:dyDescent="0.25">
      <c r="D9932" s="4">
        <v>45819</v>
      </c>
      <c r="E9932" s="6">
        <v>71.290000000000006</v>
      </c>
    </row>
    <row r="9933" spans="4:5" x14ac:dyDescent="0.25">
      <c r="D9933" s="4">
        <v>45820</v>
      </c>
      <c r="E9933" s="6">
        <v>70.84</v>
      </c>
    </row>
    <row r="9934" spans="4:5" x14ac:dyDescent="0.25">
      <c r="D9934" s="4">
        <v>45821</v>
      </c>
      <c r="E9934" s="6">
        <v>76</v>
      </c>
    </row>
    <row r="9935" spans="4:5" x14ac:dyDescent="0.25">
      <c r="D9935" s="4">
        <v>45824</v>
      </c>
      <c r="E9935" s="6">
        <v>75.05</v>
      </c>
    </row>
    <row r="9936" spans="4:5" x14ac:dyDescent="0.25">
      <c r="D9936" s="4">
        <v>45825</v>
      </c>
      <c r="E9936" s="6">
        <v>78.7</v>
      </c>
    </row>
    <row r="9937" spans="4:5" x14ac:dyDescent="0.25">
      <c r="D9937" s="4">
        <v>45826</v>
      </c>
      <c r="E9937" s="6">
        <v>78.38</v>
      </c>
    </row>
    <row r="9938" spans="4:5" x14ac:dyDescent="0.25">
      <c r="D9938" s="4">
        <v>45827</v>
      </c>
      <c r="E9938" s="6">
        <v>80.37</v>
      </c>
    </row>
    <row r="9939" spans="4:5" x14ac:dyDescent="0.25">
      <c r="D9939" s="4">
        <v>45828</v>
      </c>
      <c r="E9939" s="6">
        <v>78.73</v>
      </c>
    </row>
    <row r="9940" spans="4:5" x14ac:dyDescent="0.25">
      <c r="D9940" s="4">
        <v>45831</v>
      </c>
      <c r="E9940" s="6">
        <v>74.34</v>
      </c>
    </row>
    <row r="9941" spans="4:5" x14ac:dyDescent="0.25">
      <c r="D9941" s="4">
        <v>45832</v>
      </c>
      <c r="E9941" s="6">
        <v>69.13</v>
      </c>
    </row>
    <row r="9942" spans="4:5" x14ac:dyDescent="0.25">
      <c r="D9942" s="4">
        <v>45833</v>
      </c>
      <c r="E9942" s="6">
        <v>68.400000000000006</v>
      </c>
    </row>
    <row r="9943" spans="4:5" x14ac:dyDescent="0.25">
      <c r="D9943" s="4">
        <v>45834</v>
      </c>
      <c r="E9943" s="6">
        <v>68.569999999999993</v>
      </c>
    </row>
    <row r="9944" spans="4:5" x14ac:dyDescent="0.25">
      <c r="D9944" s="4">
        <v>45835</v>
      </c>
      <c r="E9944" s="6">
        <v>69.37</v>
      </c>
    </row>
    <row r="9945" spans="4:5" x14ac:dyDescent="0.25">
      <c r="D9945" s="4">
        <v>45838</v>
      </c>
      <c r="E9945" s="6">
        <v>68.150000000000006</v>
      </c>
    </row>
    <row r="9946" spans="4:5" x14ac:dyDescent="0.25">
      <c r="D9946" s="4">
        <v>45839</v>
      </c>
      <c r="E9946" s="6">
        <v>67.63</v>
      </c>
    </row>
    <row r="9947" spans="4:5" x14ac:dyDescent="0.25">
      <c r="D9947" s="4">
        <v>45840</v>
      </c>
      <c r="E9947" s="6">
        <v>70.8</v>
      </c>
    </row>
    <row r="9948" spans="4:5" x14ac:dyDescent="0.25">
      <c r="D9948" s="4">
        <v>45841</v>
      </c>
      <c r="E9948" s="6">
        <v>70.42</v>
      </c>
    </row>
    <row r="9949" spans="4:5" x14ac:dyDescent="0.25">
      <c r="D9949" s="4">
        <v>45842</v>
      </c>
      <c r="E9949" s="6">
        <v>71.03</v>
      </c>
    </row>
    <row r="9950" spans="4:5" x14ac:dyDescent="0.25">
      <c r="D9950" s="4">
        <v>45845</v>
      </c>
      <c r="E9950" s="6">
        <v>71.95</v>
      </c>
    </row>
    <row r="9951" spans="4:5" x14ac:dyDescent="0.25">
      <c r="D9951" s="4">
        <v>45846</v>
      </c>
      <c r="E9951" s="6">
        <v>72.5</v>
      </c>
    </row>
    <row r="9952" spans="4:5" x14ac:dyDescent="0.25">
      <c r="D9952" s="4">
        <v>45847</v>
      </c>
      <c r="E9952" s="6">
        <v>71.98</v>
      </c>
    </row>
    <row r="9953" spans="4:5" x14ac:dyDescent="0.25">
      <c r="D9953" s="4">
        <v>45848</v>
      </c>
      <c r="E9953" s="6">
        <v>70.38</v>
      </c>
    </row>
    <row r="9954" spans="4:5" x14ac:dyDescent="0.25">
      <c r="D9954" s="4">
        <v>45849</v>
      </c>
      <c r="E9954" s="6">
        <v>72.06</v>
      </c>
    </row>
    <row r="9955" spans="4:5" x14ac:dyDescent="0.25">
      <c r="D9955" s="4">
        <v>45852</v>
      </c>
      <c r="E9955" s="6">
        <v>70.959999999999994</v>
      </c>
    </row>
    <row r="9956" spans="4:5" x14ac:dyDescent="0.25">
      <c r="D9956" s="4">
        <v>45853</v>
      </c>
      <c r="E9956" s="6">
        <v>70.27</v>
      </c>
    </row>
    <row r="9957" spans="4:5" x14ac:dyDescent="0.25">
      <c r="D9957" s="4">
        <v>45854</v>
      </c>
      <c r="E9957" s="6">
        <v>69.67</v>
      </c>
    </row>
    <row r="9958" spans="4:5" x14ac:dyDescent="0.25">
      <c r="D9958" s="4">
        <v>45855</v>
      </c>
      <c r="E9958" s="6">
        <v>71.319999999999993</v>
      </c>
    </row>
    <row r="9959" spans="4:5" x14ac:dyDescent="0.25">
      <c r="D9959" s="4">
        <v>45856</v>
      </c>
      <c r="E9959" s="6">
        <v>71.06</v>
      </c>
    </row>
    <row r="9960" spans="4:5" x14ac:dyDescent="0.25">
      <c r="D9960" s="4">
        <v>45859</v>
      </c>
      <c r="E9960" s="6">
        <v>71.92</v>
      </c>
    </row>
    <row r="9961" spans="4:5" x14ac:dyDescent="0.25">
      <c r="D9961" s="4">
        <v>45860</v>
      </c>
      <c r="E9961" s="6">
        <v>69.69</v>
      </c>
    </row>
    <row r="9962" spans="4:5" x14ac:dyDescent="0.25">
      <c r="D9962" s="4">
        <v>45861</v>
      </c>
      <c r="E9962" s="6">
        <v>69.17</v>
      </c>
    </row>
    <row r="9963" spans="4:5" x14ac:dyDescent="0.25">
      <c r="D9963" s="4">
        <v>45862</v>
      </c>
      <c r="E9963" s="6">
        <v>70.42</v>
      </c>
    </row>
    <row r="9964" spans="4:5" x14ac:dyDescent="0.25">
      <c r="D9964" s="4">
        <v>45863</v>
      </c>
      <c r="E9964" s="6">
        <v>69.23</v>
      </c>
    </row>
    <row r="9965" spans="4:5" x14ac:dyDescent="0.25">
      <c r="D9965" s="4">
        <v>45866</v>
      </c>
      <c r="E9965" s="6">
        <v>70.87</v>
      </c>
    </row>
    <row r="9966" spans="4:5" x14ac:dyDescent="0.25">
      <c r="D9966" s="4">
        <v>45867</v>
      </c>
      <c r="E9966" s="6">
        <v>73.209999999999994</v>
      </c>
    </row>
    <row r="9967" spans="4:5" x14ac:dyDescent="0.25">
      <c r="D9967" s="4">
        <v>45868</v>
      </c>
      <c r="E9967" s="6">
        <v>73.98</v>
      </c>
    </row>
    <row r="9968" spans="4:5" x14ac:dyDescent="0.25">
      <c r="D9968" s="4">
        <v>45869</v>
      </c>
      <c r="E9968" s="6">
        <v>73.430000000000007</v>
      </c>
    </row>
    <row r="9969" spans="4:5" x14ac:dyDescent="0.25">
      <c r="D9969" s="4">
        <v>45870</v>
      </c>
      <c r="E9969" s="6">
        <v>70.55</v>
      </c>
    </row>
    <row r="9970" spans="4:5" x14ac:dyDescent="0.25">
      <c r="D9970" s="4">
        <v>45873</v>
      </c>
      <c r="E9970" s="6">
        <v>69.56</v>
      </c>
    </row>
    <row r="9971" spans="4:5" x14ac:dyDescent="0.25">
      <c r="D9971" s="4">
        <v>45874</v>
      </c>
      <c r="E9971" s="6">
        <v>69.14</v>
      </c>
    </row>
    <row r="9972" spans="4:5" x14ac:dyDescent="0.25">
      <c r="D9972" s="4">
        <v>45875</v>
      </c>
      <c r="E9972" s="6">
        <v>67.97</v>
      </c>
    </row>
    <row r="9973" spans="4:5" x14ac:dyDescent="0.25">
      <c r="D9973" s="4">
        <v>45876</v>
      </c>
      <c r="E9973" s="6">
        <v>66.989999999999995</v>
      </c>
    </row>
    <row r="9974" spans="4:5" x14ac:dyDescent="0.25">
      <c r="D9974" s="4">
        <v>45877</v>
      </c>
      <c r="E9974" s="6">
        <v>67.17</v>
      </c>
    </row>
    <row r="9975" spans="4:5" x14ac:dyDescent="0.25">
      <c r="D9975" s="4">
        <v>45880</v>
      </c>
      <c r="E9975" s="6">
        <v>67.36</v>
      </c>
    </row>
    <row r="9976" spans="4:5" x14ac:dyDescent="0.25">
      <c r="D9976" s="4">
        <v>45881</v>
      </c>
      <c r="E9976" s="6">
        <v>66.8</v>
      </c>
    </row>
    <row r="9977" spans="4:5" x14ac:dyDescent="0.25">
      <c r="D9977" s="4">
        <v>45882</v>
      </c>
      <c r="E9977" s="6">
        <v>66.25</v>
      </c>
    </row>
    <row r="9978" spans="4:5" x14ac:dyDescent="0.25">
      <c r="D9978" s="4">
        <v>45883</v>
      </c>
      <c r="E9978" s="6">
        <v>68.12</v>
      </c>
    </row>
    <row r="9979" spans="4:5" x14ac:dyDescent="0.25">
      <c r="D9979" s="4">
        <v>45884</v>
      </c>
      <c r="E9979" s="6">
        <v>67.3</v>
      </c>
    </row>
    <row r="9980" spans="4:5" x14ac:dyDescent="0.25">
      <c r="D9980" s="4">
        <v>45887</v>
      </c>
      <c r="E9980" s="6">
        <v>68.180000000000007</v>
      </c>
    </row>
    <row r="9981" spans="4:5" x14ac:dyDescent="0.25">
      <c r="D9981" s="4">
        <v>45888</v>
      </c>
      <c r="E9981" s="6">
        <v>66.62</v>
      </c>
    </row>
    <row r="9982" spans="4:5" x14ac:dyDescent="0.25">
      <c r="D9982" s="4">
        <v>45889</v>
      </c>
      <c r="E9982" s="6">
        <v>67.61</v>
      </c>
    </row>
    <row r="9983" spans="4:5" x14ac:dyDescent="0.25">
      <c r="D9983" s="4">
        <v>45890</v>
      </c>
      <c r="E9983" s="6">
        <v>68.41</v>
      </c>
    </row>
    <row r="9984" spans="4:5" x14ac:dyDescent="0.25">
      <c r="D9984" s="4">
        <v>45891</v>
      </c>
      <c r="E9984" s="6">
        <v>68.290000000000006</v>
      </c>
    </row>
    <row r="9985" spans="4:5" x14ac:dyDescent="0.25">
      <c r="D9985" s="4">
        <v>45894</v>
      </c>
      <c r="E9985" s="5"/>
    </row>
    <row r="9986" spans="4:5" x14ac:dyDescent="0.25">
      <c r="D9986" s="4">
        <v>45895</v>
      </c>
      <c r="E9986" s="6">
        <v>66.89</v>
      </c>
    </row>
    <row r="9987" spans="4:5" x14ac:dyDescent="0.25">
      <c r="D9987" s="4">
        <v>45896</v>
      </c>
      <c r="E9987" s="6">
        <v>67.75</v>
      </c>
    </row>
    <row r="9988" spans="4:5" x14ac:dyDescent="0.25">
      <c r="D9988" s="4">
        <v>45897</v>
      </c>
      <c r="E9988" s="6">
        <v>68.61</v>
      </c>
    </row>
    <row r="9989" spans="4:5" x14ac:dyDescent="0.25">
      <c r="D9989" s="4">
        <v>45898</v>
      </c>
      <c r="E9989" s="6">
        <v>67.83</v>
      </c>
    </row>
    <row r="9990" spans="4:5" x14ac:dyDescent="0.25">
      <c r="D9990" s="4">
        <v>45901</v>
      </c>
      <c r="E9990" s="6">
        <v>67.09</v>
      </c>
    </row>
    <row r="9991" spans="4:5" x14ac:dyDescent="0.25">
      <c r="D9991" s="4">
        <v>45902</v>
      </c>
      <c r="E9991" s="6">
        <v>68.09</v>
      </c>
    </row>
    <row r="9992" spans="4:5" x14ac:dyDescent="0.25">
      <c r="D9992" s="4">
        <v>45903</v>
      </c>
      <c r="E9992" s="6">
        <v>67.760000000000005</v>
      </c>
    </row>
    <row r="9993" spans="4:5" x14ac:dyDescent="0.25">
      <c r="D9993" s="4">
        <v>45904</v>
      </c>
      <c r="E9993" s="6">
        <v>66.41</v>
      </c>
    </row>
    <row r="9994" spans="4:5" x14ac:dyDescent="0.25">
      <c r="D9994" s="4">
        <v>45905</v>
      </c>
      <c r="E9994" s="6">
        <v>64.92</v>
      </c>
    </row>
    <row r="9995" spans="4:5" x14ac:dyDescent="0.25">
      <c r="D9995" s="4">
        <v>45908</v>
      </c>
      <c r="E9995" s="6">
        <v>65.44</v>
      </c>
    </row>
    <row r="9996" spans="4:5" x14ac:dyDescent="0.25">
      <c r="D9996" s="4">
        <v>45909</v>
      </c>
      <c r="E9996" s="6">
        <v>67.97</v>
      </c>
    </row>
    <row r="9997" spans="4:5" x14ac:dyDescent="0.25">
      <c r="D9997" s="4">
        <v>45910</v>
      </c>
      <c r="E9997" s="6">
        <v>67.62</v>
      </c>
    </row>
    <row r="9998" spans="4:5" x14ac:dyDescent="0.25">
      <c r="D9998" s="4">
        <v>45911</v>
      </c>
      <c r="E9998" s="6">
        <v>67.25</v>
      </c>
    </row>
    <row r="9999" spans="4:5" x14ac:dyDescent="0.25">
      <c r="D9999" s="4">
        <v>45912</v>
      </c>
      <c r="E9999" s="6">
        <v>67.87</v>
      </c>
    </row>
    <row r="10000" spans="4:5" x14ac:dyDescent="0.25">
      <c r="D10000" s="4">
        <v>45915</v>
      </c>
      <c r="E10000" s="6">
        <v>67.88</v>
      </c>
    </row>
    <row r="10001" spans="4:5" x14ac:dyDescent="0.25">
      <c r="D10001" s="4">
        <v>45916</v>
      </c>
      <c r="E10001" s="6">
        <v>69.69</v>
      </c>
    </row>
    <row r="10002" spans="4:5" x14ac:dyDescent="0.25">
      <c r="D10002" s="4">
        <v>45917</v>
      </c>
      <c r="E10002" s="6">
        <v>69.19</v>
      </c>
    </row>
    <row r="10003" spans="4:5" x14ac:dyDescent="0.25">
      <c r="D10003" s="4">
        <v>45918</v>
      </c>
      <c r="E10003" s="6">
        <v>67.83</v>
      </c>
    </row>
    <row r="10004" spans="4:5" x14ac:dyDescent="0.25">
      <c r="D10004" s="4">
        <v>45919</v>
      </c>
      <c r="E10004" s="6">
        <v>67.05</v>
      </c>
    </row>
    <row r="10005" spans="4:5" x14ac:dyDescent="0.25">
      <c r="D10005" s="4">
        <v>45922</v>
      </c>
      <c r="E10005" s="6">
        <v>66.87</v>
      </c>
    </row>
    <row r="10006" spans="4:5" x14ac:dyDescent="0.25">
      <c r="D10006" s="4">
        <v>45923</v>
      </c>
      <c r="E10006" s="6">
        <v>67.959999999999994</v>
      </c>
    </row>
    <row r="10007" spans="4:5" x14ac:dyDescent="0.25">
      <c r="D10007" s="4">
        <v>45924</v>
      </c>
      <c r="E10007" s="6">
        <v>69.64</v>
      </c>
    </row>
    <row r="10008" spans="4:5" x14ac:dyDescent="0.25">
      <c r="D10008" s="4">
        <v>45925</v>
      </c>
      <c r="E10008" s="6">
        <v>70.48</v>
      </c>
    </row>
    <row r="10009" spans="4:5" x14ac:dyDescent="0.25">
      <c r="D10009" s="4">
        <v>45926</v>
      </c>
      <c r="E10009" s="6">
        <v>71.150000000000006</v>
      </c>
    </row>
    <row r="10010" spans="4:5" x14ac:dyDescent="0.25">
      <c r="D10010" s="4">
        <v>45929</v>
      </c>
      <c r="E10010" s="6">
        <v>69</v>
      </c>
    </row>
    <row r="10011" spans="4:5" x14ac:dyDescent="0.25">
      <c r="D10011" s="4">
        <v>45930</v>
      </c>
      <c r="E10011" s="6">
        <v>68.52</v>
      </c>
    </row>
    <row r="10012" spans="4:5" x14ac:dyDescent="0.25">
      <c r="D10012" s="4">
        <v>45931</v>
      </c>
      <c r="E10012" s="6">
        <v>66.67</v>
      </c>
    </row>
    <row r="10013" spans="4:5" x14ac:dyDescent="0.25">
      <c r="D10013" s="4">
        <v>45932</v>
      </c>
      <c r="E10013" s="6">
        <v>65.44</v>
      </c>
    </row>
    <row r="10014" spans="4:5" x14ac:dyDescent="0.25">
      <c r="D10014" s="4">
        <v>45933</v>
      </c>
      <c r="E10014" s="6">
        <v>66.13</v>
      </c>
    </row>
    <row r="10015" spans="4:5" x14ac:dyDescent="0.25">
      <c r="D10015" s="4">
        <v>45936</v>
      </c>
      <c r="E10015" s="6">
        <v>67.09</v>
      </c>
    </row>
    <row r="10016" spans="4:5" x14ac:dyDescent="0.25">
      <c r="D10016" s="4">
        <v>45937</v>
      </c>
      <c r="E10016" s="6">
        <v>67.099999999999994</v>
      </c>
    </row>
    <row r="10017" spans="4:5" x14ac:dyDescent="0.25">
      <c r="D10017" s="4">
        <v>45938</v>
      </c>
      <c r="E10017" s="6">
        <v>67.42</v>
      </c>
    </row>
    <row r="10018" spans="4:5" x14ac:dyDescent="0.25">
      <c r="D10018" s="4">
        <v>45939</v>
      </c>
      <c r="E10018" s="6">
        <v>67.23</v>
      </c>
    </row>
    <row r="10019" spans="4:5" x14ac:dyDescent="0.25">
      <c r="D10019" s="4">
        <v>45940</v>
      </c>
      <c r="E10019" s="6">
        <v>64.41</v>
      </c>
    </row>
    <row r="10020" spans="4:5" x14ac:dyDescent="0.25">
      <c r="D10020" s="4">
        <v>45943</v>
      </c>
      <c r="E10020" s="6">
        <v>64.150000000000006</v>
      </c>
    </row>
    <row r="10021" spans="4:5" x14ac:dyDescent="0.25">
      <c r="D10021" s="4">
        <v>45944</v>
      </c>
      <c r="E10021" s="6">
        <v>63</v>
      </c>
    </row>
    <row r="10022" spans="4:5" x14ac:dyDescent="0.25">
      <c r="D10022" s="4">
        <v>45945</v>
      </c>
      <c r="E10022" s="6">
        <v>62.33</v>
      </c>
    </row>
    <row r="10023" spans="4:5" x14ac:dyDescent="0.25">
      <c r="D10023" s="4">
        <v>45946</v>
      </c>
      <c r="E10023" s="6">
        <v>61.08</v>
      </c>
    </row>
    <row r="10024" spans="4:5" x14ac:dyDescent="0.25">
      <c r="D10024" s="4">
        <v>45947</v>
      </c>
      <c r="E10024" s="6">
        <v>61.23</v>
      </c>
    </row>
    <row r="10025" spans="4:5" x14ac:dyDescent="0.25">
      <c r="D10025" s="4">
        <v>45950</v>
      </c>
      <c r="E10025" s="6">
        <v>60.71</v>
      </c>
    </row>
  </sheetData>
  <autoFilter ref="O1:Q1" xr:uid="{61C94810-3279-4BE0-A096-304C27BB0136}">
    <sortState xmlns:xlrd2="http://schemas.microsoft.com/office/spreadsheetml/2017/richdata2" ref="O2:Q463">
      <sortCondition ref="P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DB97F-5549-46BA-B32A-74249CFF50A1}">
  <dimension ref="A1:B10024"/>
  <sheetViews>
    <sheetView topLeftCell="A9989" workbookViewId="0"/>
  </sheetViews>
  <sheetFormatPr defaultRowHeight="15" x14ac:dyDescent="0.25"/>
  <cols>
    <col min="1" max="1" width="10.42578125" style="4" bestFit="1" customWidth="1"/>
  </cols>
  <sheetData>
    <row r="1" spans="1:2" x14ac:dyDescent="0.25">
      <c r="A1" s="4">
        <v>31917</v>
      </c>
      <c r="B1" s="6">
        <v>18.63</v>
      </c>
    </row>
    <row r="2" spans="1:2" x14ac:dyDescent="0.25">
      <c r="A2" s="4">
        <v>31918</v>
      </c>
      <c r="B2" s="6">
        <v>18.45</v>
      </c>
    </row>
    <row r="3" spans="1:2" x14ac:dyDescent="0.25">
      <c r="A3" s="4">
        <v>31919</v>
      </c>
      <c r="B3" s="6">
        <v>18.55</v>
      </c>
    </row>
    <row r="4" spans="1:2" x14ac:dyDescent="0.25">
      <c r="A4" s="4">
        <v>31922</v>
      </c>
      <c r="B4" s="6">
        <v>18.600000000000001</v>
      </c>
    </row>
    <row r="5" spans="1:2" x14ac:dyDescent="0.25">
      <c r="A5" s="4">
        <v>31923</v>
      </c>
      <c r="B5" s="6">
        <v>18.63</v>
      </c>
    </row>
    <row r="6" spans="1:2" x14ac:dyDescent="0.25">
      <c r="A6" s="4">
        <v>31924</v>
      </c>
      <c r="B6" s="6">
        <v>18.600000000000001</v>
      </c>
    </row>
    <row r="7" spans="1:2" x14ac:dyDescent="0.25">
      <c r="A7" s="4">
        <v>31925</v>
      </c>
      <c r="B7" s="6">
        <v>18.600000000000001</v>
      </c>
    </row>
    <row r="8" spans="1:2" x14ac:dyDescent="0.25">
      <c r="A8" s="4">
        <v>31926</v>
      </c>
      <c r="B8" s="6">
        <v>18.579999999999998</v>
      </c>
    </row>
    <row r="9" spans="1:2" x14ac:dyDescent="0.25">
      <c r="A9" s="4">
        <v>31929</v>
      </c>
      <c r="B9" s="6">
        <v>18.649999999999999</v>
      </c>
    </row>
    <row r="10" spans="1:2" x14ac:dyDescent="0.25">
      <c r="A10" s="4">
        <v>31930</v>
      </c>
      <c r="B10" s="6">
        <v>18.68</v>
      </c>
    </row>
    <row r="11" spans="1:2" x14ac:dyDescent="0.25">
      <c r="A11" s="4">
        <v>31931</v>
      </c>
      <c r="B11" s="6">
        <v>18.75</v>
      </c>
    </row>
    <row r="12" spans="1:2" x14ac:dyDescent="0.25">
      <c r="A12" s="4">
        <v>31932</v>
      </c>
      <c r="B12" s="6">
        <v>18.78</v>
      </c>
    </row>
    <row r="13" spans="1:2" x14ac:dyDescent="0.25">
      <c r="A13" s="4">
        <v>31933</v>
      </c>
      <c r="B13" s="6">
        <v>18.649999999999999</v>
      </c>
    </row>
    <row r="14" spans="1:2" x14ac:dyDescent="0.25">
      <c r="A14" s="4">
        <v>31936</v>
      </c>
      <c r="B14" s="6">
        <v>18.75</v>
      </c>
    </row>
    <row r="15" spans="1:2" x14ac:dyDescent="0.25">
      <c r="A15" s="4">
        <v>31937</v>
      </c>
      <c r="B15" s="6">
        <v>18.78</v>
      </c>
    </row>
    <row r="16" spans="1:2" x14ac:dyDescent="0.25">
      <c r="A16" s="4">
        <v>31938</v>
      </c>
      <c r="B16" s="6">
        <v>18.78</v>
      </c>
    </row>
    <row r="17" spans="1:2" x14ac:dyDescent="0.25">
      <c r="A17" s="4">
        <v>31939</v>
      </c>
      <c r="B17" s="6">
        <v>18.68</v>
      </c>
    </row>
    <row r="18" spans="1:2" x14ac:dyDescent="0.25">
      <c r="A18" s="4">
        <v>31940</v>
      </c>
      <c r="B18" s="6">
        <v>18.78</v>
      </c>
    </row>
    <row r="19" spans="1:2" x14ac:dyDescent="0.25">
      <c r="A19" s="4">
        <v>31943</v>
      </c>
      <c r="B19" s="5"/>
    </row>
    <row r="20" spans="1:2" x14ac:dyDescent="0.25">
      <c r="A20" s="4">
        <v>31944</v>
      </c>
      <c r="B20" s="6">
        <v>18.899999999999999</v>
      </c>
    </row>
    <row r="21" spans="1:2" x14ac:dyDescent="0.25">
      <c r="A21" s="4">
        <v>31945</v>
      </c>
      <c r="B21" s="6">
        <v>19.03</v>
      </c>
    </row>
    <row r="22" spans="1:2" x14ac:dyDescent="0.25">
      <c r="A22" s="4">
        <v>31946</v>
      </c>
      <c r="B22" s="6">
        <v>19.05</v>
      </c>
    </row>
    <row r="23" spans="1:2" x14ac:dyDescent="0.25">
      <c r="A23" s="4">
        <v>31947</v>
      </c>
      <c r="B23" s="6">
        <v>19.05</v>
      </c>
    </row>
    <row r="24" spans="1:2" x14ac:dyDescent="0.25">
      <c r="A24" s="4">
        <v>31950</v>
      </c>
      <c r="B24" s="6">
        <v>19.100000000000001</v>
      </c>
    </row>
    <row r="25" spans="1:2" x14ac:dyDescent="0.25">
      <c r="A25" s="4">
        <v>31951</v>
      </c>
      <c r="B25" s="6">
        <v>18.899999999999999</v>
      </c>
    </row>
    <row r="26" spans="1:2" x14ac:dyDescent="0.25">
      <c r="A26" s="4">
        <v>31952</v>
      </c>
      <c r="B26" s="6">
        <v>18.75</v>
      </c>
    </row>
    <row r="27" spans="1:2" x14ac:dyDescent="0.25">
      <c r="A27" s="4">
        <v>31953</v>
      </c>
      <c r="B27" s="6">
        <v>18.7</v>
      </c>
    </row>
    <row r="28" spans="1:2" x14ac:dyDescent="0.25">
      <c r="A28" s="4">
        <v>31954</v>
      </c>
      <c r="B28" s="6">
        <v>19.079999999999998</v>
      </c>
    </row>
    <row r="29" spans="1:2" x14ac:dyDescent="0.25">
      <c r="A29" s="4">
        <v>31957</v>
      </c>
      <c r="B29" s="6">
        <v>19.149999999999999</v>
      </c>
    </row>
    <row r="30" spans="1:2" x14ac:dyDescent="0.25">
      <c r="A30" s="4">
        <v>31958</v>
      </c>
      <c r="B30" s="6">
        <v>19.079999999999998</v>
      </c>
    </row>
    <row r="31" spans="1:2" x14ac:dyDescent="0.25">
      <c r="A31" s="4">
        <v>31959</v>
      </c>
      <c r="B31" s="6">
        <v>18.98</v>
      </c>
    </row>
    <row r="32" spans="1:2" x14ac:dyDescent="0.25">
      <c r="A32" s="4">
        <v>31960</v>
      </c>
      <c r="B32" s="6">
        <v>19.25</v>
      </c>
    </row>
    <row r="33" spans="1:2" x14ac:dyDescent="0.25">
      <c r="A33" s="4">
        <v>31961</v>
      </c>
      <c r="B33" s="6">
        <v>19.329999999999998</v>
      </c>
    </row>
    <row r="34" spans="1:2" x14ac:dyDescent="0.25">
      <c r="A34" s="4">
        <v>31964</v>
      </c>
      <c r="B34" s="6">
        <v>19.48</v>
      </c>
    </row>
    <row r="35" spans="1:2" x14ac:dyDescent="0.25">
      <c r="A35" s="4">
        <v>31965</v>
      </c>
      <c r="B35" s="6">
        <v>19.5</v>
      </c>
    </row>
    <row r="36" spans="1:2" x14ac:dyDescent="0.25">
      <c r="A36" s="4">
        <v>31966</v>
      </c>
      <c r="B36" s="6">
        <v>19.48</v>
      </c>
    </row>
    <row r="37" spans="1:2" x14ac:dyDescent="0.25">
      <c r="A37" s="4">
        <v>31967</v>
      </c>
      <c r="B37" s="6">
        <v>19.68</v>
      </c>
    </row>
    <row r="38" spans="1:2" x14ac:dyDescent="0.25">
      <c r="A38" s="4">
        <v>31968</v>
      </c>
      <c r="B38" s="6">
        <v>19.73</v>
      </c>
    </row>
    <row r="39" spans="1:2" x14ac:dyDescent="0.25">
      <c r="A39" s="4">
        <v>31971</v>
      </c>
      <c r="B39" s="6">
        <v>19.829999999999998</v>
      </c>
    </row>
    <row r="40" spans="1:2" x14ac:dyDescent="0.25">
      <c r="A40" s="4">
        <v>31972</v>
      </c>
      <c r="B40" s="6">
        <v>19.88</v>
      </c>
    </row>
    <row r="41" spans="1:2" x14ac:dyDescent="0.25">
      <c r="A41" s="4">
        <v>31973</v>
      </c>
      <c r="B41" s="6">
        <v>20.28</v>
      </c>
    </row>
    <row r="42" spans="1:2" x14ac:dyDescent="0.25">
      <c r="A42" s="4">
        <v>31974</v>
      </c>
      <c r="B42" s="6">
        <v>20.399999999999999</v>
      </c>
    </row>
    <row r="43" spans="1:2" x14ac:dyDescent="0.25">
      <c r="A43" s="4">
        <v>31975</v>
      </c>
      <c r="B43" s="6">
        <v>20.63</v>
      </c>
    </row>
    <row r="44" spans="1:2" x14ac:dyDescent="0.25">
      <c r="A44" s="4">
        <v>31978</v>
      </c>
      <c r="B44" s="6">
        <v>20.55</v>
      </c>
    </row>
    <row r="45" spans="1:2" x14ac:dyDescent="0.25">
      <c r="A45" s="4">
        <v>31979</v>
      </c>
      <c r="B45" s="6">
        <v>20.350000000000001</v>
      </c>
    </row>
    <row r="46" spans="1:2" x14ac:dyDescent="0.25">
      <c r="A46" s="4">
        <v>31980</v>
      </c>
      <c r="B46" s="6">
        <v>20.329999999999998</v>
      </c>
    </row>
    <row r="47" spans="1:2" x14ac:dyDescent="0.25">
      <c r="A47" s="4">
        <v>31981</v>
      </c>
      <c r="B47" s="6">
        <v>20.149999999999999</v>
      </c>
    </row>
    <row r="48" spans="1:2" x14ac:dyDescent="0.25">
      <c r="A48" s="4">
        <v>31982</v>
      </c>
      <c r="B48" s="6">
        <v>19.579999999999998</v>
      </c>
    </row>
    <row r="49" spans="1:2" x14ac:dyDescent="0.25">
      <c r="A49" s="4">
        <v>31985</v>
      </c>
      <c r="B49" s="6">
        <v>19.3</v>
      </c>
    </row>
    <row r="50" spans="1:2" x14ac:dyDescent="0.25">
      <c r="A50" s="4">
        <v>31986</v>
      </c>
      <c r="B50" s="6">
        <v>19.78</v>
      </c>
    </row>
    <row r="51" spans="1:2" x14ac:dyDescent="0.25">
      <c r="A51" s="4">
        <v>31987</v>
      </c>
      <c r="B51" s="6">
        <v>19.98</v>
      </c>
    </row>
    <row r="52" spans="1:2" x14ac:dyDescent="0.25">
      <c r="A52" s="4">
        <v>31988</v>
      </c>
      <c r="B52" s="6">
        <v>20.2</v>
      </c>
    </row>
    <row r="53" spans="1:2" x14ac:dyDescent="0.25">
      <c r="A53" s="4">
        <v>31989</v>
      </c>
      <c r="B53" s="6">
        <v>20.03</v>
      </c>
    </row>
    <row r="54" spans="1:2" x14ac:dyDescent="0.25">
      <c r="A54" s="4">
        <v>31992</v>
      </c>
      <c r="B54" s="6">
        <v>20.95</v>
      </c>
    </row>
    <row r="55" spans="1:2" x14ac:dyDescent="0.25">
      <c r="A55" s="4">
        <v>31993</v>
      </c>
      <c r="B55" s="6">
        <v>20.65</v>
      </c>
    </row>
    <row r="56" spans="1:2" x14ac:dyDescent="0.25">
      <c r="A56" s="4">
        <v>31994</v>
      </c>
      <c r="B56" s="6">
        <v>19.8</v>
      </c>
    </row>
    <row r="57" spans="1:2" x14ac:dyDescent="0.25">
      <c r="A57" s="4">
        <v>31995</v>
      </c>
      <c r="B57" s="6">
        <v>19.75</v>
      </c>
    </row>
    <row r="58" spans="1:2" x14ac:dyDescent="0.25">
      <c r="A58" s="4">
        <v>31996</v>
      </c>
      <c r="B58" s="6">
        <v>19.649999999999999</v>
      </c>
    </row>
    <row r="59" spans="1:2" x14ac:dyDescent="0.25">
      <c r="A59" s="4">
        <v>31999</v>
      </c>
      <c r="B59" s="6">
        <v>19.43</v>
      </c>
    </row>
    <row r="60" spans="1:2" x14ac:dyDescent="0.25">
      <c r="A60" s="4">
        <v>32000</v>
      </c>
      <c r="B60" s="6">
        <v>19.45</v>
      </c>
    </row>
    <row r="61" spans="1:2" x14ac:dyDescent="0.25">
      <c r="A61" s="4">
        <v>32001</v>
      </c>
      <c r="B61" s="6">
        <v>19.5</v>
      </c>
    </row>
    <row r="62" spans="1:2" x14ac:dyDescent="0.25">
      <c r="A62" s="4">
        <v>32002</v>
      </c>
      <c r="B62" s="6">
        <v>19.399999999999999</v>
      </c>
    </row>
    <row r="63" spans="1:2" x14ac:dyDescent="0.25">
      <c r="A63" s="4">
        <v>32003</v>
      </c>
      <c r="B63" s="6">
        <v>19.25</v>
      </c>
    </row>
    <row r="64" spans="1:2" x14ac:dyDescent="0.25">
      <c r="A64" s="4">
        <v>32006</v>
      </c>
      <c r="B64" s="6">
        <v>18.850000000000001</v>
      </c>
    </row>
    <row r="65" spans="1:2" x14ac:dyDescent="0.25">
      <c r="A65" s="4">
        <v>32007</v>
      </c>
      <c r="B65" s="6">
        <v>18.75</v>
      </c>
    </row>
    <row r="66" spans="1:2" x14ac:dyDescent="0.25">
      <c r="A66" s="4">
        <v>32008</v>
      </c>
      <c r="B66" s="6">
        <v>18.5</v>
      </c>
    </row>
    <row r="67" spans="1:2" x14ac:dyDescent="0.25">
      <c r="A67" s="4">
        <v>32009</v>
      </c>
      <c r="B67" s="6">
        <v>18.3</v>
      </c>
    </row>
    <row r="68" spans="1:2" x14ac:dyDescent="0.25">
      <c r="A68" s="4">
        <v>32010</v>
      </c>
      <c r="B68" s="6">
        <v>18.100000000000001</v>
      </c>
    </row>
    <row r="69" spans="1:2" x14ac:dyDescent="0.25">
      <c r="A69" s="4">
        <v>32013</v>
      </c>
      <c r="B69" s="6">
        <v>17.48</v>
      </c>
    </row>
    <row r="70" spans="1:2" x14ac:dyDescent="0.25">
      <c r="A70" s="4">
        <v>32014</v>
      </c>
      <c r="B70" s="6">
        <v>17.55</v>
      </c>
    </row>
    <row r="71" spans="1:2" x14ac:dyDescent="0.25">
      <c r="A71" s="4">
        <v>32015</v>
      </c>
      <c r="B71" s="6">
        <v>18.100000000000001</v>
      </c>
    </row>
    <row r="72" spans="1:2" x14ac:dyDescent="0.25">
      <c r="A72" s="4">
        <v>32016</v>
      </c>
      <c r="B72" s="6">
        <v>18.28</v>
      </c>
    </row>
    <row r="73" spans="1:2" x14ac:dyDescent="0.25">
      <c r="A73" s="4">
        <v>32017</v>
      </c>
      <c r="B73" s="6">
        <v>18.2</v>
      </c>
    </row>
    <row r="74" spans="1:2" x14ac:dyDescent="0.25">
      <c r="A74" s="4">
        <v>32020</v>
      </c>
      <c r="B74" s="6">
        <v>18.63</v>
      </c>
    </row>
    <row r="75" spans="1:2" x14ac:dyDescent="0.25">
      <c r="A75" s="4">
        <v>32021</v>
      </c>
      <c r="B75" s="6">
        <v>18.43</v>
      </c>
    </row>
    <row r="76" spans="1:2" x14ac:dyDescent="0.25">
      <c r="A76" s="4">
        <v>32022</v>
      </c>
      <c r="B76" s="6">
        <v>18.399999999999999</v>
      </c>
    </row>
    <row r="77" spans="1:2" x14ac:dyDescent="0.25">
      <c r="A77" s="4">
        <v>32023</v>
      </c>
      <c r="B77" s="6">
        <v>18.18</v>
      </c>
    </row>
    <row r="78" spans="1:2" x14ac:dyDescent="0.25">
      <c r="A78" s="4">
        <v>32024</v>
      </c>
      <c r="B78" s="6">
        <v>18.13</v>
      </c>
    </row>
    <row r="79" spans="1:2" x14ac:dyDescent="0.25">
      <c r="A79" s="4">
        <v>32027</v>
      </c>
      <c r="B79" s="6">
        <v>17.600000000000001</v>
      </c>
    </row>
    <row r="80" spans="1:2" x14ac:dyDescent="0.25">
      <c r="A80" s="4">
        <v>32028</v>
      </c>
      <c r="B80" s="6">
        <v>17.68</v>
      </c>
    </row>
    <row r="81" spans="1:2" x14ac:dyDescent="0.25">
      <c r="A81" s="4">
        <v>32029</v>
      </c>
      <c r="B81" s="6">
        <v>17.899999999999999</v>
      </c>
    </row>
    <row r="82" spans="1:2" x14ac:dyDescent="0.25">
      <c r="A82" s="4">
        <v>32030</v>
      </c>
      <c r="B82" s="6">
        <v>18.3</v>
      </c>
    </row>
    <row r="83" spans="1:2" x14ac:dyDescent="0.25">
      <c r="A83" s="4">
        <v>32031</v>
      </c>
      <c r="B83" s="6">
        <v>18.18</v>
      </c>
    </row>
    <row r="84" spans="1:2" x14ac:dyDescent="0.25">
      <c r="A84" s="4">
        <v>32034</v>
      </c>
      <c r="B84" s="6">
        <v>18.149999999999999</v>
      </c>
    </row>
    <row r="85" spans="1:2" x14ac:dyDescent="0.25">
      <c r="A85" s="4">
        <v>32035</v>
      </c>
      <c r="B85" s="6">
        <v>18.53</v>
      </c>
    </row>
    <row r="86" spans="1:2" x14ac:dyDescent="0.25">
      <c r="A86" s="4">
        <v>32036</v>
      </c>
      <c r="B86" s="6">
        <v>18.53</v>
      </c>
    </row>
    <row r="87" spans="1:2" x14ac:dyDescent="0.25">
      <c r="A87" s="4">
        <v>32037</v>
      </c>
      <c r="B87" s="6">
        <v>18.43</v>
      </c>
    </row>
    <row r="88" spans="1:2" x14ac:dyDescent="0.25">
      <c r="A88" s="4">
        <v>32038</v>
      </c>
      <c r="B88" s="6">
        <v>18.3</v>
      </c>
    </row>
    <row r="89" spans="1:2" x14ac:dyDescent="0.25">
      <c r="A89" s="4">
        <v>32041</v>
      </c>
      <c r="B89" s="6">
        <v>18.28</v>
      </c>
    </row>
    <row r="90" spans="1:2" x14ac:dyDescent="0.25">
      <c r="A90" s="4">
        <v>32042</v>
      </c>
      <c r="B90" s="6">
        <v>18.48</v>
      </c>
    </row>
    <row r="91" spans="1:2" x14ac:dyDescent="0.25">
      <c r="A91" s="4">
        <v>32043</v>
      </c>
      <c r="B91" s="6">
        <v>18.48</v>
      </c>
    </row>
    <row r="92" spans="1:2" x14ac:dyDescent="0.25">
      <c r="A92" s="4">
        <v>32044</v>
      </c>
      <c r="B92" s="6">
        <v>18.68</v>
      </c>
    </row>
    <row r="93" spans="1:2" x14ac:dyDescent="0.25">
      <c r="A93" s="4">
        <v>32045</v>
      </c>
      <c r="B93" s="6">
        <v>18.600000000000001</v>
      </c>
    </row>
    <row r="94" spans="1:2" x14ac:dyDescent="0.25">
      <c r="A94" s="4">
        <v>32048</v>
      </c>
      <c r="B94" s="6">
        <v>18.649999999999999</v>
      </c>
    </row>
    <row r="95" spans="1:2" x14ac:dyDescent="0.25">
      <c r="A95" s="4">
        <v>32049</v>
      </c>
      <c r="B95" s="6">
        <v>18.5</v>
      </c>
    </row>
    <row r="96" spans="1:2" x14ac:dyDescent="0.25">
      <c r="A96" s="4">
        <v>32050</v>
      </c>
      <c r="B96" s="6">
        <v>18.48</v>
      </c>
    </row>
    <row r="97" spans="1:2" x14ac:dyDescent="0.25">
      <c r="A97" s="4">
        <v>32051</v>
      </c>
      <c r="B97" s="6">
        <v>18.5</v>
      </c>
    </row>
    <row r="98" spans="1:2" x14ac:dyDescent="0.25">
      <c r="A98" s="4">
        <v>32052</v>
      </c>
      <c r="B98" s="6">
        <v>18.649999999999999</v>
      </c>
    </row>
    <row r="99" spans="1:2" x14ac:dyDescent="0.25">
      <c r="A99" s="4">
        <v>32055</v>
      </c>
      <c r="B99" s="6">
        <v>18.78</v>
      </c>
    </row>
    <row r="100" spans="1:2" x14ac:dyDescent="0.25">
      <c r="A100" s="4">
        <v>32056</v>
      </c>
      <c r="B100" s="6">
        <v>18.600000000000001</v>
      </c>
    </row>
    <row r="101" spans="1:2" x14ac:dyDescent="0.25">
      <c r="A101" s="4">
        <v>32057</v>
      </c>
      <c r="B101" s="6">
        <v>18.579999999999998</v>
      </c>
    </row>
    <row r="102" spans="1:2" x14ac:dyDescent="0.25">
      <c r="A102" s="4">
        <v>32058</v>
      </c>
      <c r="B102" s="6">
        <v>18.63</v>
      </c>
    </row>
    <row r="103" spans="1:2" x14ac:dyDescent="0.25">
      <c r="A103" s="4">
        <v>32059</v>
      </c>
      <c r="B103" s="6">
        <v>18.600000000000001</v>
      </c>
    </row>
    <row r="104" spans="1:2" x14ac:dyDescent="0.25">
      <c r="A104" s="4">
        <v>32062</v>
      </c>
      <c r="B104" s="6">
        <v>18.55</v>
      </c>
    </row>
    <row r="105" spans="1:2" x14ac:dyDescent="0.25">
      <c r="A105" s="4">
        <v>32063</v>
      </c>
      <c r="B105" s="6">
        <v>18.55</v>
      </c>
    </row>
    <row r="106" spans="1:2" x14ac:dyDescent="0.25">
      <c r="A106" s="4">
        <v>32064</v>
      </c>
      <c r="B106" s="6">
        <v>18.68</v>
      </c>
    </row>
    <row r="107" spans="1:2" x14ac:dyDescent="0.25">
      <c r="A107" s="4">
        <v>32065</v>
      </c>
      <c r="B107" s="6">
        <v>18.68</v>
      </c>
    </row>
    <row r="108" spans="1:2" x14ac:dyDescent="0.25">
      <c r="A108" s="4">
        <v>32066</v>
      </c>
      <c r="B108" s="6">
        <v>19</v>
      </c>
    </row>
    <row r="109" spans="1:2" x14ac:dyDescent="0.25">
      <c r="A109" s="4">
        <v>32069</v>
      </c>
      <c r="B109" s="6">
        <v>19.100000000000001</v>
      </c>
    </row>
    <row r="110" spans="1:2" x14ac:dyDescent="0.25">
      <c r="A110" s="4">
        <v>32070</v>
      </c>
      <c r="B110" s="6">
        <v>18.78</v>
      </c>
    </row>
    <row r="111" spans="1:2" x14ac:dyDescent="0.25">
      <c r="A111" s="4">
        <v>32071</v>
      </c>
      <c r="B111" s="6">
        <v>18.93</v>
      </c>
    </row>
    <row r="112" spans="1:2" x14ac:dyDescent="0.25">
      <c r="A112" s="4">
        <v>32072</v>
      </c>
      <c r="B112" s="6">
        <v>19.13</v>
      </c>
    </row>
    <row r="113" spans="1:2" x14ac:dyDescent="0.25">
      <c r="A113" s="4">
        <v>32073</v>
      </c>
      <c r="B113" s="6">
        <v>18.98</v>
      </c>
    </row>
    <row r="114" spans="1:2" x14ac:dyDescent="0.25">
      <c r="A114" s="4">
        <v>32076</v>
      </c>
      <c r="B114" s="6">
        <v>18.75</v>
      </c>
    </row>
    <row r="115" spans="1:2" x14ac:dyDescent="0.25">
      <c r="A115" s="4">
        <v>32077</v>
      </c>
      <c r="B115" s="6">
        <v>18.8</v>
      </c>
    </row>
    <row r="116" spans="1:2" x14ac:dyDescent="0.25">
      <c r="A116" s="4">
        <v>32078</v>
      </c>
      <c r="B116" s="6">
        <v>18.850000000000001</v>
      </c>
    </row>
    <row r="117" spans="1:2" x14ac:dyDescent="0.25">
      <c r="A117" s="4">
        <v>32079</v>
      </c>
      <c r="B117" s="6">
        <v>18.75</v>
      </c>
    </row>
    <row r="118" spans="1:2" x14ac:dyDescent="0.25">
      <c r="A118" s="4">
        <v>32080</v>
      </c>
      <c r="B118" s="6">
        <v>18.8</v>
      </c>
    </row>
    <row r="119" spans="1:2" x14ac:dyDescent="0.25">
      <c r="A119" s="4">
        <v>32083</v>
      </c>
      <c r="B119" s="6">
        <v>18.63</v>
      </c>
    </row>
    <row r="120" spans="1:2" x14ac:dyDescent="0.25">
      <c r="A120" s="4">
        <v>32084</v>
      </c>
      <c r="B120" s="6">
        <v>18.38</v>
      </c>
    </row>
    <row r="121" spans="1:2" x14ac:dyDescent="0.25">
      <c r="A121" s="4">
        <v>32085</v>
      </c>
      <c r="B121" s="6">
        <v>17.93</v>
      </c>
    </row>
    <row r="122" spans="1:2" x14ac:dyDescent="0.25">
      <c r="A122" s="4">
        <v>32086</v>
      </c>
      <c r="B122" s="6">
        <v>17.850000000000001</v>
      </c>
    </row>
    <row r="123" spans="1:2" x14ac:dyDescent="0.25">
      <c r="A123" s="4">
        <v>32087</v>
      </c>
      <c r="B123" s="6">
        <v>17.95</v>
      </c>
    </row>
    <row r="124" spans="1:2" x14ac:dyDescent="0.25">
      <c r="A124" s="4">
        <v>32090</v>
      </c>
      <c r="B124" s="6">
        <v>17.5</v>
      </c>
    </row>
    <row r="125" spans="1:2" x14ac:dyDescent="0.25">
      <c r="A125" s="4">
        <v>32091</v>
      </c>
      <c r="B125" s="6">
        <v>17.75</v>
      </c>
    </row>
    <row r="126" spans="1:2" x14ac:dyDescent="0.25">
      <c r="A126" s="4">
        <v>32092</v>
      </c>
      <c r="B126" s="6">
        <v>17.8</v>
      </c>
    </row>
    <row r="127" spans="1:2" x14ac:dyDescent="0.25">
      <c r="A127" s="4">
        <v>32093</v>
      </c>
      <c r="B127" s="6">
        <v>17.850000000000001</v>
      </c>
    </row>
    <row r="128" spans="1:2" x14ac:dyDescent="0.25">
      <c r="A128" s="4">
        <v>32094</v>
      </c>
      <c r="B128" s="6">
        <v>17.8</v>
      </c>
    </row>
    <row r="129" spans="1:2" x14ac:dyDescent="0.25">
      <c r="A129" s="4">
        <v>32097</v>
      </c>
      <c r="B129" s="6">
        <v>17.68</v>
      </c>
    </row>
    <row r="130" spans="1:2" x14ac:dyDescent="0.25">
      <c r="A130" s="4">
        <v>32098</v>
      </c>
      <c r="B130" s="6">
        <v>17.399999999999999</v>
      </c>
    </row>
    <row r="131" spans="1:2" x14ac:dyDescent="0.25">
      <c r="A131" s="4">
        <v>32099</v>
      </c>
      <c r="B131" s="6">
        <v>17.18</v>
      </c>
    </row>
    <row r="132" spans="1:2" x14ac:dyDescent="0.25">
      <c r="A132" s="4">
        <v>32100</v>
      </c>
      <c r="B132" s="6">
        <v>17.48</v>
      </c>
    </row>
    <row r="133" spans="1:2" x14ac:dyDescent="0.25">
      <c r="A133" s="4">
        <v>32101</v>
      </c>
      <c r="B133" s="6">
        <v>17.600000000000001</v>
      </c>
    </row>
    <row r="134" spans="1:2" x14ac:dyDescent="0.25">
      <c r="A134" s="4">
        <v>32104</v>
      </c>
      <c r="B134" s="6">
        <v>17.899999999999999</v>
      </c>
    </row>
    <row r="135" spans="1:2" x14ac:dyDescent="0.25">
      <c r="A135" s="4">
        <v>32105</v>
      </c>
      <c r="B135" s="6">
        <v>17.829999999999998</v>
      </c>
    </row>
    <row r="136" spans="1:2" x14ac:dyDescent="0.25">
      <c r="A136" s="4">
        <v>32106</v>
      </c>
      <c r="B136" s="6">
        <v>17.68</v>
      </c>
    </row>
    <row r="137" spans="1:2" x14ac:dyDescent="0.25">
      <c r="A137" s="4">
        <v>32107</v>
      </c>
      <c r="B137" s="6">
        <v>17.73</v>
      </c>
    </row>
    <row r="138" spans="1:2" x14ac:dyDescent="0.25">
      <c r="A138" s="4">
        <v>32108</v>
      </c>
      <c r="B138" s="6">
        <v>17.78</v>
      </c>
    </row>
    <row r="139" spans="1:2" x14ac:dyDescent="0.25">
      <c r="A139" s="4">
        <v>32111</v>
      </c>
      <c r="B139" s="6">
        <v>17.7</v>
      </c>
    </row>
    <row r="140" spans="1:2" x14ac:dyDescent="0.25">
      <c r="A140" s="4">
        <v>32112</v>
      </c>
      <c r="B140" s="6">
        <v>17.649999999999999</v>
      </c>
    </row>
    <row r="141" spans="1:2" x14ac:dyDescent="0.25">
      <c r="A141" s="4">
        <v>32113</v>
      </c>
      <c r="B141" s="6">
        <v>17.7</v>
      </c>
    </row>
    <row r="142" spans="1:2" x14ac:dyDescent="0.25">
      <c r="A142" s="4">
        <v>32114</v>
      </c>
      <c r="B142" s="6">
        <v>17.93</v>
      </c>
    </row>
    <row r="143" spans="1:2" x14ac:dyDescent="0.25">
      <c r="A143" s="4">
        <v>32115</v>
      </c>
      <c r="B143" s="6">
        <v>18</v>
      </c>
    </row>
    <row r="144" spans="1:2" x14ac:dyDescent="0.25">
      <c r="A144" s="4">
        <v>32118</v>
      </c>
      <c r="B144" s="6">
        <v>17.78</v>
      </c>
    </row>
    <row r="145" spans="1:2" x14ac:dyDescent="0.25">
      <c r="A145" s="4">
        <v>32119</v>
      </c>
      <c r="B145" s="6">
        <v>17.579999999999998</v>
      </c>
    </row>
    <row r="146" spans="1:2" x14ac:dyDescent="0.25">
      <c r="A146" s="4">
        <v>32120</v>
      </c>
      <c r="B146" s="6">
        <v>17.43</v>
      </c>
    </row>
    <row r="147" spans="1:2" x14ac:dyDescent="0.25">
      <c r="A147" s="4">
        <v>32121</v>
      </c>
      <c r="B147" s="6">
        <v>17.55</v>
      </c>
    </row>
    <row r="148" spans="1:2" x14ac:dyDescent="0.25">
      <c r="A148" s="4">
        <v>32122</v>
      </c>
      <c r="B148" s="6">
        <v>17.73</v>
      </c>
    </row>
    <row r="149" spans="1:2" x14ac:dyDescent="0.25">
      <c r="A149" s="4">
        <v>32125</v>
      </c>
      <c r="B149" s="6">
        <v>16.8</v>
      </c>
    </row>
    <row r="150" spans="1:2" x14ac:dyDescent="0.25">
      <c r="A150" s="4">
        <v>32126</v>
      </c>
      <c r="B150" s="6">
        <v>16.2</v>
      </c>
    </row>
    <row r="151" spans="1:2" x14ac:dyDescent="0.25">
      <c r="A151" s="4">
        <v>32127</v>
      </c>
      <c r="B151" s="6">
        <v>15.93</v>
      </c>
    </row>
    <row r="152" spans="1:2" x14ac:dyDescent="0.25">
      <c r="A152" s="4">
        <v>32128</v>
      </c>
      <c r="B152" s="6">
        <v>15.03</v>
      </c>
    </row>
    <row r="153" spans="1:2" x14ac:dyDescent="0.25">
      <c r="A153" s="4">
        <v>32129</v>
      </c>
      <c r="B153" s="6">
        <v>15.6</v>
      </c>
    </row>
    <row r="154" spans="1:2" x14ac:dyDescent="0.25">
      <c r="A154" s="4">
        <v>32132</v>
      </c>
      <c r="B154" s="6">
        <v>15.4</v>
      </c>
    </row>
    <row r="155" spans="1:2" x14ac:dyDescent="0.25">
      <c r="A155" s="4">
        <v>32133</v>
      </c>
      <c r="B155" s="6">
        <v>16.7</v>
      </c>
    </row>
    <row r="156" spans="1:2" x14ac:dyDescent="0.25">
      <c r="A156" s="4">
        <v>32134</v>
      </c>
      <c r="B156" s="6">
        <v>17.25</v>
      </c>
    </row>
    <row r="157" spans="1:2" x14ac:dyDescent="0.25">
      <c r="A157" s="4">
        <v>32135</v>
      </c>
      <c r="B157" s="6">
        <v>17.100000000000001</v>
      </c>
    </row>
    <row r="158" spans="1:2" x14ac:dyDescent="0.25">
      <c r="A158" s="4">
        <v>32136</v>
      </c>
      <c r="B158" s="5"/>
    </row>
    <row r="159" spans="1:2" x14ac:dyDescent="0.25">
      <c r="A159" s="4">
        <v>32139</v>
      </c>
      <c r="B159" s="6">
        <v>17</v>
      </c>
    </row>
    <row r="160" spans="1:2" x14ac:dyDescent="0.25">
      <c r="A160" s="4">
        <v>32140</v>
      </c>
      <c r="B160" s="6">
        <v>17.38</v>
      </c>
    </row>
    <row r="161" spans="1:2" x14ac:dyDescent="0.25">
      <c r="A161" s="4">
        <v>32141</v>
      </c>
      <c r="B161" s="6">
        <v>17.850000000000001</v>
      </c>
    </row>
    <row r="162" spans="1:2" x14ac:dyDescent="0.25">
      <c r="A162" s="4">
        <v>32142</v>
      </c>
      <c r="B162" s="6">
        <v>17.600000000000001</v>
      </c>
    </row>
    <row r="163" spans="1:2" x14ac:dyDescent="0.25">
      <c r="A163" s="4">
        <v>32143</v>
      </c>
      <c r="B163" s="5"/>
    </row>
    <row r="164" spans="1:2" x14ac:dyDescent="0.25">
      <c r="A164" s="4">
        <v>32146</v>
      </c>
      <c r="B164" s="6">
        <v>17.95</v>
      </c>
    </row>
    <row r="165" spans="1:2" x14ac:dyDescent="0.25">
      <c r="A165" s="4">
        <v>32147</v>
      </c>
      <c r="B165" s="6">
        <v>17.079999999999998</v>
      </c>
    </row>
    <row r="166" spans="1:2" x14ac:dyDescent="0.25">
      <c r="A166" s="4">
        <v>32148</v>
      </c>
      <c r="B166" s="6">
        <v>17.899999999999999</v>
      </c>
    </row>
    <row r="167" spans="1:2" x14ac:dyDescent="0.25">
      <c r="A167" s="4">
        <v>32149</v>
      </c>
      <c r="B167" s="5"/>
    </row>
    <row r="168" spans="1:2" x14ac:dyDescent="0.25">
      <c r="A168" s="4">
        <v>32150</v>
      </c>
      <c r="B168" s="6">
        <v>16.88</v>
      </c>
    </row>
    <row r="169" spans="1:2" x14ac:dyDescent="0.25">
      <c r="A169" s="4">
        <v>32153</v>
      </c>
      <c r="B169" s="6">
        <v>16.649999999999999</v>
      </c>
    </row>
    <row r="170" spans="1:2" x14ac:dyDescent="0.25">
      <c r="A170" s="4">
        <v>32154</v>
      </c>
      <c r="B170" s="6">
        <v>15.95</v>
      </c>
    </row>
    <row r="171" spans="1:2" x14ac:dyDescent="0.25">
      <c r="A171" s="4">
        <v>32155</v>
      </c>
      <c r="B171" s="6">
        <v>16.38</v>
      </c>
    </row>
    <row r="172" spans="1:2" x14ac:dyDescent="0.25">
      <c r="A172" s="4">
        <v>32156</v>
      </c>
      <c r="B172" s="6">
        <v>16.55</v>
      </c>
    </row>
    <row r="173" spans="1:2" x14ac:dyDescent="0.25">
      <c r="A173" s="4">
        <v>32157</v>
      </c>
      <c r="B173" s="6">
        <v>16.649999999999999</v>
      </c>
    </row>
    <row r="174" spans="1:2" x14ac:dyDescent="0.25">
      <c r="A174" s="4">
        <v>32160</v>
      </c>
      <c r="B174" s="6">
        <v>16.829999999999998</v>
      </c>
    </row>
    <row r="175" spans="1:2" x14ac:dyDescent="0.25">
      <c r="A175" s="4">
        <v>32161</v>
      </c>
      <c r="B175" s="6">
        <v>17.100000000000001</v>
      </c>
    </row>
    <row r="176" spans="1:2" x14ac:dyDescent="0.25">
      <c r="A176" s="4">
        <v>32162</v>
      </c>
      <c r="B176" s="6">
        <v>16.829999999999998</v>
      </c>
    </row>
    <row r="177" spans="1:2" x14ac:dyDescent="0.25">
      <c r="A177" s="4">
        <v>32163</v>
      </c>
      <c r="B177" s="6">
        <v>17.079999999999998</v>
      </c>
    </row>
    <row r="178" spans="1:2" x14ac:dyDescent="0.25">
      <c r="A178" s="4">
        <v>32164</v>
      </c>
      <c r="B178" s="6">
        <v>16.7</v>
      </c>
    </row>
    <row r="179" spans="1:2" x14ac:dyDescent="0.25">
      <c r="A179" s="4">
        <v>32167</v>
      </c>
      <c r="B179" s="6">
        <v>16.45</v>
      </c>
    </row>
    <row r="180" spans="1:2" x14ac:dyDescent="0.25">
      <c r="A180" s="4">
        <v>32168</v>
      </c>
      <c r="B180" s="5"/>
    </row>
    <row r="181" spans="1:2" x14ac:dyDescent="0.25">
      <c r="A181" s="4">
        <v>32169</v>
      </c>
      <c r="B181" s="6">
        <v>16.13</v>
      </c>
    </row>
    <row r="182" spans="1:2" x14ac:dyDescent="0.25">
      <c r="A182" s="4">
        <v>32170</v>
      </c>
      <c r="B182" s="6">
        <v>16.100000000000001</v>
      </c>
    </row>
    <row r="183" spans="1:2" x14ac:dyDescent="0.25">
      <c r="A183" s="4">
        <v>32171</v>
      </c>
      <c r="B183" s="6">
        <v>16.28</v>
      </c>
    </row>
    <row r="184" spans="1:2" x14ac:dyDescent="0.25">
      <c r="A184" s="4">
        <v>32174</v>
      </c>
      <c r="B184" s="6">
        <v>16.100000000000001</v>
      </c>
    </row>
    <row r="185" spans="1:2" x14ac:dyDescent="0.25">
      <c r="A185" s="4">
        <v>32175</v>
      </c>
      <c r="B185" s="6">
        <v>16.18</v>
      </c>
    </row>
    <row r="186" spans="1:2" x14ac:dyDescent="0.25">
      <c r="A186" s="4">
        <v>32176</v>
      </c>
      <c r="B186" s="6">
        <v>16.149999999999999</v>
      </c>
    </row>
    <row r="187" spans="1:2" x14ac:dyDescent="0.25">
      <c r="A187" s="4">
        <v>32177</v>
      </c>
      <c r="B187" s="6">
        <v>16.18</v>
      </c>
    </row>
    <row r="188" spans="1:2" x14ac:dyDescent="0.25">
      <c r="A188" s="4">
        <v>32178</v>
      </c>
      <c r="B188" s="6">
        <v>16.100000000000001</v>
      </c>
    </row>
    <row r="189" spans="1:2" x14ac:dyDescent="0.25">
      <c r="A189" s="4">
        <v>32181</v>
      </c>
      <c r="B189" s="6">
        <v>16.5</v>
      </c>
    </row>
    <row r="190" spans="1:2" x14ac:dyDescent="0.25">
      <c r="A190" s="4">
        <v>32182</v>
      </c>
      <c r="B190" s="6">
        <v>16.399999999999999</v>
      </c>
    </row>
    <row r="191" spans="1:2" x14ac:dyDescent="0.25">
      <c r="A191" s="4">
        <v>32183</v>
      </c>
      <c r="B191" s="6">
        <v>16.13</v>
      </c>
    </row>
    <row r="192" spans="1:2" x14ac:dyDescent="0.25">
      <c r="A192" s="4">
        <v>32184</v>
      </c>
      <c r="B192" s="6">
        <v>16.100000000000001</v>
      </c>
    </row>
    <row r="193" spans="1:2" x14ac:dyDescent="0.25">
      <c r="A193" s="4">
        <v>32185</v>
      </c>
      <c r="B193" s="6">
        <v>15.75</v>
      </c>
    </row>
    <row r="194" spans="1:2" x14ac:dyDescent="0.25">
      <c r="A194" s="4">
        <v>32188</v>
      </c>
      <c r="B194" s="6">
        <v>15.68</v>
      </c>
    </row>
    <row r="195" spans="1:2" x14ac:dyDescent="0.25">
      <c r="A195" s="4">
        <v>32189</v>
      </c>
      <c r="B195" s="6">
        <v>15.63</v>
      </c>
    </row>
    <row r="196" spans="1:2" x14ac:dyDescent="0.25">
      <c r="A196" s="4">
        <v>32190</v>
      </c>
      <c r="B196" s="6">
        <v>15.85</v>
      </c>
    </row>
    <row r="197" spans="1:2" x14ac:dyDescent="0.25">
      <c r="A197" s="4">
        <v>32191</v>
      </c>
      <c r="B197" s="6">
        <v>15.48</v>
      </c>
    </row>
    <row r="198" spans="1:2" x14ac:dyDescent="0.25">
      <c r="A198" s="4">
        <v>32192</v>
      </c>
      <c r="B198" s="6">
        <v>15.55</v>
      </c>
    </row>
    <row r="199" spans="1:2" x14ac:dyDescent="0.25">
      <c r="A199" s="4">
        <v>32195</v>
      </c>
      <c r="B199" s="6">
        <v>15.38</v>
      </c>
    </row>
    <row r="200" spans="1:2" x14ac:dyDescent="0.25">
      <c r="A200" s="4">
        <v>32196</v>
      </c>
      <c r="B200" s="6">
        <v>15.58</v>
      </c>
    </row>
    <row r="201" spans="1:2" x14ac:dyDescent="0.25">
      <c r="A201" s="4">
        <v>32197</v>
      </c>
      <c r="B201" s="6">
        <v>15.35</v>
      </c>
    </row>
    <row r="202" spans="1:2" x14ac:dyDescent="0.25">
      <c r="A202" s="4">
        <v>32198</v>
      </c>
      <c r="B202" s="6">
        <v>14.85</v>
      </c>
    </row>
    <row r="203" spans="1:2" x14ac:dyDescent="0.25">
      <c r="A203" s="4">
        <v>32199</v>
      </c>
      <c r="B203" s="6">
        <v>14.65</v>
      </c>
    </row>
    <row r="204" spans="1:2" x14ac:dyDescent="0.25">
      <c r="A204" s="4">
        <v>32202</v>
      </c>
      <c r="B204" s="6">
        <v>14.73</v>
      </c>
    </row>
    <row r="205" spans="1:2" x14ac:dyDescent="0.25">
      <c r="A205" s="4">
        <v>32203</v>
      </c>
      <c r="B205" s="6">
        <v>14.18</v>
      </c>
    </row>
    <row r="206" spans="1:2" x14ac:dyDescent="0.25">
      <c r="A206" s="4">
        <v>32204</v>
      </c>
      <c r="B206" s="6">
        <v>13.8</v>
      </c>
    </row>
    <row r="207" spans="1:2" x14ac:dyDescent="0.25">
      <c r="A207" s="4">
        <v>32205</v>
      </c>
      <c r="B207" s="6">
        <v>14</v>
      </c>
    </row>
    <row r="208" spans="1:2" x14ac:dyDescent="0.25">
      <c r="A208" s="4">
        <v>32206</v>
      </c>
      <c r="B208" s="6">
        <v>14</v>
      </c>
    </row>
    <row r="209" spans="1:2" x14ac:dyDescent="0.25">
      <c r="A209" s="4">
        <v>32209</v>
      </c>
      <c r="B209" s="6">
        <v>13.9</v>
      </c>
    </row>
    <row r="210" spans="1:2" x14ac:dyDescent="0.25">
      <c r="A210" s="4">
        <v>32210</v>
      </c>
      <c r="B210" s="6">
        <v>13.8</v>
      </c>
    </row>
    <row r="211" spans="1:2" x14ac:dyDescent="0.25">
      <c r="A211" s="4">
        <v>32211</v>
      </c>
      <c r="B211" s="6">
        <v>13.98</v>
      </c>
    </row>
    <row r="212" spans="1:2" x14ac:dyDescent="0.25">
      <c r="A212" s="4">
        <v>32212</v>
      </c>
      <c r="B212" s="6">
        <v>14.48</v>
      </c>
    </row>
    <row r="213" spans="1:2" x14ac:dyDescent="0.25">
      <c r="A213" s="4">
        <v>32213</v>
      </c>
      <c r="B213" s="6">
        <v>14.88</v>
      </c>
    </row>
    <row r="214" spans="1:2" x14ac:dyDescent="0.25">
      <c r="A214" s="4">
        <v>32216</v>
      </c>
      <c r="B214" s="6">
        <v>14.28</v>
      </c>
    </row>
    <row r="215" spans="1:2" x14ac:dyDescent="0.25">
      <c r="A215" s="4">
        <v>32217</v>
      </c>
      <c r="B215" s="6">
        <v>14.3</v>
      </c>
    </row>
    <row r="216" spans="1:2" x14ac:dyDescent="0.25">
      <c r="A216" s="4">
        <v>32218</v>
      </c>
      <c r="B216" s="6">
        <v>14.45</v>
      </c>
    </row>
    <row r="217" spans="1:2" x14ac:dyDescent="0.25">
      <c r="A217" s="4">
        <v>32219</v>
      </c>
      <c r="B217" s="6">
        <v>14.43</v>
      </c>
    </row>
    <row r="218" spans="1:2" x14ac:dyDescent="0.25">
      <c r="A218" s="4">
        <v>32220</v>
      </c>
      <c r="B218" s="6">
        <v>14.93</v>
      </c>
    </row>
    <row r="219" spans="1:2" x14ac:dyDescent="0.25">
      <c r="A219" s="4">
        <v>32223</v>
      </c>
      <c r="B219" s="6">
        <v>15.38</v>
      </c>
    </row>
    <row r="220" spans="1:2" x14ac:dyDescent="0.25">
      <c r="A220" s="4">
        <v>32224</v>
      </c>
      <c r="B220" s="6">
        <v>15.03</v>
      </c>
    </row>
    <row r="221" spans="1:2" x14ac:dyDescent="0.25">
      <c r="A221" s="4">
        <v>32225</v>
      </c>
      <c r="B221" s="6">
        <v>15.4</v>
      </c>
    </row>
    <row r="222" spans="1:2" x14ac:dyDescent="0.25">
      <c r="A222" s="4">
        <v>32226</v>
      </c>
      <c r="B222" s="6">
        <v>15.65</v>
      </c>
    </row>
    <row r="223" spans="1:2" x14ac:dyDescent="0.25">
      <c r="A223" s="4">
        <v>32227</v>
      </c>
      <c r="B223" s="6">
        <v>15.45</v>
      </c>
    </row>
    <row r="224" spans="1:2" x14ac:dyDescent="0.25">
      <c r="A224" s="4">
        <v>32230</v>
      </c>
      <c r="B224" s="6">
        <v>15.55</v>
      </c>
    </row>
    <row r="225" spans="1:2" x14ac:dyDescent="0.25">
      <c r="A225" s="4">
        <v>32231</v>
      </c>
      <c r="B225" s="6">
        <v>15.6</v>
      </c>
    </row>
    <row r="226" spans="1:2" x14ac:dyDescent="0.25">
      <c r="A226" s="4">
        <v>32232</v>
      </c>
      <c r="B226" s="6">
        <v>15.7</v>
      </c>
    </row>
    <row r="227" spans="1:2" x14ac:dyDescent="0.25">
      <c r="A227" s="4">
        <v>32233</v>
      </c>
      <c r="B227" s="6">
        <v>15.65</v>
      </c>
    </row>
    <row r="228" spans="1:2" x14ac:dyDescent="0.25">
      <c r="A228" s="4">
        <v>32234</v>
      </c>
      <c r="B228" s="5"/>
    </row>
    <row r="229" spans="1:2" x14ac:dyDescent="0.25">
      <c r="A229" s="4">
        <v>32237</v>
      </c>
      <c r="B229" s="5"/>
    </row>
    <row r="230" spans="1:2" x14ac:dyDescent="0.25">
      <c r="A230" s="4">
        <v>32238</v>
      </c>
      <c r="B230" s="6">
        <v>15.5</v>
      </c>
    </row>
    <row r="231" spans="1:2" x14ac:dyDescent="0.25">
      <c r="A231" s="4">
        <v>32239</v>
      </c>
      <c r="B231" s="6">
        <v>15.38</v>
      </c>
    </row>
    <row r="232" spans="1:2" x14ac:dyDescent="0.25">
      <c r="A232" s="4">
        <v>32240</v>
      </c>
      <c r="B232" s="6">
        <v>15.53</v>
      </c>
    </row>
    <row r="233" spans="1:2" x14ac:dyDescent="0.25">
      <c r="A233" s="4">
        <v>32241</v>
      </c>
      <c r="B233" s="6">
        <v>15.55</v>
      </c>
    </row>
    <row r="234" spans="1:2" x14ac:dyDescent="0.25">
      <c r="A234" s="4">
        <v>32244</v>
      </c>
      <c r="B234" s="6">
        <v>16.2</v>
      </c>
    </row>
    <row r="235" spans="1:2" x14ac:dyDescent="0.25">
      <c r="A235" s="4">
        <v>32245</v>
      </c>
      <c r="B235" s="6">
        <v>16.48</v>
      </c>
    </row>
    <row r="236" spans="1:2" x14ac:dyDescent="0.25">
      <c r="A236" s="4">
        <v>32246</v>
      </c>
      <c r="B236" s="6">
        <v>16.55</v>
      </c>
    </row>
    <row r="237" spans="1:2" x14ac:dyDescent="0.25">
      <c r="A237" s="4">
        <v>32247</v>
      </c>
      <c r="B237" s="6">
        <v>16.649999999999999</v>
      </c>
    </row>
    <row r="238" spans="1:2" x14ac:dyDescent="0.25">
      <c r="A238" s="4">
        <v>32248</v>
      </c>
      <c r="B238" s="6">
        <v>16.850000000000001</v>
      </c>
    </row>
    <row r="239" spans="1:2" x14ac:dyDescent="0.25">
      <c r="A239" s="4">
        <v>32251</v>
      </c>
      <c r="B239" s="6">
        <v>17.45</v>
      </c>
    </row>
    <row r="240" spans="1:2" x14ac:dyDescent="0.25">
      <c r="A240" s="4">
        <v>32252</v>
      </c>
      <c r="B240" s="6">
        <v>17.05</v>
      </c>
    </row>
    <row r="241" spans="1:2" x14ac:dyDescent="0.25">
      <c r="A241" s="4">
        <v>32253</v>
      </c>
      <c r="B241" s="6">
        <v>16.78</v>
      </c>
    </row>
    <row r="242" spans="1:2" x14ac:dyDescent="0.25">
      <c r="A242" s="4">
        <v>32254</v>
      </c>
      <c r="B242" s="6">
        <v>17</v>
      </c>
    </row>
    <row r="243" spans="1:2" x14ac:dyDescent="0.25">
      <c r="A243" s="4">
        <v>32255</v>
      </c>
      <c r="B243" s="6">
        <v>17.149999999999999</v>
      </c>
    </row>
    <row r="244" spans="1:2" x14ac:dyDescent="0.25">
      <c r="A244" s="4">
        <v>32258</v>
      </c>
      <c r="B244" s="6">
        <v>17.13</v>
      </c>
    </row>
    <row r="245" spans="1:2" x14ac:dyDescent="0.25">
      <c r="A245" s="4">
        <v>32259</v>
      </c>
      <c r="B245" s="6">
        <v>17.18</v>
      </c>
    </row>
    <row r="246" spans="1:2" x14ac:dyDescent="0.25">
      <c r="A246" s="4">
        <v>32260</v>
      </c>
      <c r="B246" s="6">
        <v>17.399999999999999</v>
      </c>
    </row>
    <row r="247" spans="1:2" x14ac:dyDescent="0.25">
      <c r="A247" s="4">
        <v>32261</v>
      </c>
      <c r="B247" s="6">
        <v>16.88</v>
      </c>
    </row>
    <row r="248" spans="1:2" x14ac:dyDescent="0.25">
      <c r="A248" s="4">
        <v>32262</v>
      </c>
      <c r="B248" s="6">
        <v>16.600000000000001</v>
      </c>
    </row>
    <row r="249" spans="1:2" x14ac:dyDescent="0.25">
      <c r="A249" s="4">
        <v>32265</v>
      </c>
      <c r="B249" s="6">
        <v>15.95</v>
      </c>
    </row>
    <row r="250" spans="1:2" x14ac:dyDescent="0.25">
      <c r="A250" s="4">
        <v>32266</v>
      </c>
      <c r="B250" s="6">
        <v>16.079999999999998</v>
      </c>
    </row>
    <row r="251" spans="1:2" x14ac:dyDescent="0.25">
      <c r="A251" s="4">
        <v>32267</v>
      </c>
      <c r="B251" s="6">
        <v>16.149999999999999</v>
      </c>
    </row>
    <row r="252" spans="1:2" x14ac:dyDescent="0.25">
      <c r="A252" s="4">
        <v>32268</v>
      </c>
      <c r="B252" s="6">
        <v>16.149999999999999</v>
      </c>
    </row>
    <row r="253" spans="1:2" x14ac:dyDescent="0.25">
      <c r="A253" s="4">
        <v>32269</v>
      </c>
      <c r="B253" s="6">
        <v>16.45</v>
      </c>
    </row>
    <row r="254" spans="1:2" x14ac:dyDescent="0.25">
      <c r="A254" s="4">
        <v>32272</v>
      </c>
      <c r="B254" s="6">
        <v>16.5</v>
      </c>
    </row>
    <row r="255" spans="1:2" x14ac:dyDescent="0.25">
      <c r="A255" s="4">
        <v>32273</v>
      </c>
      <c r="B255" s="6">
        <v>16.38</v>
      </c>
    </row>
    <row r="256" spans="1:2" x14ac:dyDescent="0.25">
      <c r="A256" s="4">
        <v>32274</v>
      </c>
      <c r="B256" s="6">
        <v>16.48</v>
      </c>
    </row>
    <row r="257" spans="1:2" x14ac:dyDescent="0.25">
      <c r="A257" s="4">
        <v>32275</v>
      </c>
      <c r="B257" s="6">
        <v>16.399999999999999</v>
      </c>
    </row>
    <row r="258" spans="1:2" x14ac:dyDescent="0.25">
      <c r="A258" s="4">
        <v>32276</v>
      </c>
      <c r="B258" s="6">
        <v>16.5</v>
      </c>
    </row>
    <row r="259" spans="1:2" x14ac:dyDescent="0.25">
      <c r="A259" s="4">
        <v>32279</v>
      </c>
      <c r="B259" s="6">
        <v>16.600000000000001</v>
      </c>
    </row>
    <row r="260" spans="1:2" x14ac:dyDescent="0.25">
      <c r="A260" s="4">
        <v>32280</v>
      </c>
      <c r="B260" s="6">
        <v>16.600000000000001</v>
      </c>
    </row>
    <row r="261" spans="1:2" x14ac:dyDescent="0.25">
      <c r="A261" s="4">
        <v>32281</v>
      </c>
      <c r="B261" s="6">
        <v>16.399999999999999</v>
      </c>
    </row>
    <row r="262" spans="1:2" x14ac:dyDescent="0.25">
      <c r="A262" s="4">
        <v>32282</v>
      </c>
      <c r="B262" s="6">
        <v>16.25</v>
      </c>
    </row>
    <row r="263" spans="1:2" x14ac:dyDescent="0.25">
      <c r="A263" s="4">
        <v>32283</v>
      </c>
      <c r="B263" s="6">
        <v>16.45</v>
      </c>
    </row>
    <row r="264" spans="1:2" x14ac:dyDescent="0.25">
      <c r="A264" s="4">
        <v>32286</v>
      </c>
      <c r="B264" s="6">
        <v>16.23</v>
      </c>
    </row>
    <row r="265" spans="1:2" x14ac:dyDescent="0.25">
      <c r="A265" s="4">
        <v>32287</v>
      </c>
      <c r="B265" s="6">
        <v>16.3</v>
      </c>
    </row>
    <row r="266" spans="1:2" x14ac:dyDescent="0.25">
      <c r="A266" s="4">
        <v>32288</v>
      </c>
      <c r="B266" s="6">
        <v>16.18</v>
      </c>
    </row>
    <row r="267" spans="1:2" x14ac:dyDescent="0.25">
      <c r="A267" s="4">
        <v>32289</v>
      </c>
      <c r="B267" s="6">
        <v>16.18</v>
      </c>
    </row>
    <row r="268" spans="1:2" x14ac:dyDescent="0.25">
      <c r="A268" s="4">
        <v>32290</v>
      </c>
      <c r="B268" s="6">
        <v>16.25</v>
      </c>
    </row>
    <row r="269" spans="1:2" x14ac:dyDescent="0.25">
      <c r="A269" s="4">
        <v>32293</v>
      </c>
      <c r="B269" s="6">
        <v>16.23</v>
      </c>
    </row>
    <row r="270" spans="1:2" x14ac:dyDescent="0.25">
      <c r="A270" s="4">
        <v>32294</v>
      </c>
      <c r="B270" s="6">
        <v>16.2</v>
      </c>
    </row>
    <row r="271" spans="1:2" x14ac:dyDescent="0.25">
      <c r="A271" s="4">
        <v>32295</v>
      </c>
      <c r="B271" s="6">
        <v>16.329999999999998</v>
      </c>
    </row>
    <row r="272" spans="1:2" x14ac:dyDescent="0.25">
      <c r="A272" s="4">
        <v>32296</v>
      </c>
      <c r="B272" s="6">
        <v>16.329999999999998</v>
      </c>
    </row>
    <row r="273" spans="1:2" x14ac:dyDescent="0.25">
      <c r="A273" s="4">
        <v>32297</v>
      </c>
      <c r="B273" s="6">
        <v>16.45</v>
      </c>
    </row>
    <row r="274" spans="1:2" x14ac:dyDescent="0.25">
      <c r="A274" s="4">
        <v>32300</v>
      </c>
      <c r="B274" s="6">
        <v>16.25</v>
      </c>
    </row>
    <row r="275" spans="1:2" x14ac:dyDescent="0.25">
      <c r="A275" s="4">
        <v>32301</v>
      </c>
      <c r="B275" s="6">
        <v>16.23</v>
      </c>
    </row>
    <row r="276" spans="1:2" x14ac:dyDescent="0.25">
      <c r="A276" s="4">
        <v>32302</v>
      </c>
      <c r="B276" s="6">
        <v>16.28</v>
      </c>
    </row>
    <row r="277" spans="1:2" x14ac:dyDescent="0.25">
      <c r="A277" s="4">
        <v>32303</v>
      </c>
      <c r="B277" s="6">
        <v>16.3</v>
      </c>
    </row>
    <row r="278" spans="1:2" x14ac:dyDescent="0.25">
      <c r="A278" s="4">
        <v>32304</v>
      </c>
      <c r="B278" s="6">
        <v>15.85</v>
      </c>
    </row>
    <row r="279" spans="1:2" x14ac:dyDescent="0.25">
      <c r="A279" s="4">
        <v>32307</v>
      </c>
      <c r="B279" s="6">
        <v>15.53</v>
      </c>
    </row>
    <row r="280" spans="1:2" x14ac:dyDescent="0.25">
      <c r="A280" s="4">
        <v>32308</v>
      </c>
      <c r="B280" s="6">
        <v>15.85</v>
      </c>
    </row>
    <row r="281" spans="1:2" x14ac:dyDescent="0.25">
      <c r="A281" s="4">
        <v>32309</v>
      </c>
      <c r="B281" s="6">
        <v>15.7</v>
      </c>
    </row>
    <row r="282" spans="1:2" x14ac:dyDescent="0.25">
      <c r="A282" s="4">
        <v>32310</v>
      </c>
      <c r="B282" s="6">
        <v>15.43</v>
      </c>
    </row>
    <row r="283" spans="1:2" x14ac:dyDescent="0.25">
      <c r="A283" s="4">
        <v>32311</v>
      </c>
      <c r="B283" s="6">
        <v>15.48</v>
      </c>
    </row>
    <row r="284" spans="1:2" x14ac:dyDescent="0.25">
      <c r="A284" s="4">
        <v>32314</v>
      </c>
      <c r="B284" s="6">
        <v>15</v>
      </c>
    </row>
    <row r="285" spans="1:2" x14ac:dyDescent="0.25">
      <c r="A285" s="4">
        <v>32315</v>
      </c>
      <c r="B285" s="6">
        <v>15</v>
      </c>
    </row>
    <row r="286" spans="1:2" x14ac:dyDescent="0.25">
      <c r="A286" s="4">
        <v>32316</v>
      </c>
      <c r="B286" s="6">
        <v>15.13</v>
      </c>
    </row>
    <row r="287" spans="1:2" x14ac:dyDescent="0.25">
      <c r="A287" s="4">
        <v>32317</v>
      </c>
      <c r="B287" s="6">
        <v>15.18</v>
      </c>
    </row>
    <row r="288" spans="1:2" x14ac:dyDescent="0.25">
      <c r="A288" s="4">
        <v>32318</v>
      </c>
      <c r="B288" s="6">
        <v>15.15</v>
      </c>
    </row>
    <row r="289" spans="1:2" x14ac:dyDescent="0.25">
      <c r="A289" s="4">
        <v>32321</v>
      </c>
      <c r="B289" s="6">
        <v>14.93</v>
      </c>
    </row>
    <row r="290" spans="1:2" x14ac:dyDescent="0.25">
      <c r="A290" s="4">
        <v>32322</v>
      </c>
      <c r="B290" s="6">
        <v>14.83</v>
      </c>
    </row>
    <row r="291" spans="1:2" x14ac:dyDescent="0.25">
      <c r="A291" s="4">
        <v>32323</v>
      </c>
      <c r="B291" s="6">
        <v>14.55</v>
      </c>
    </row>
    <row r="292" spans="1:2" x14ac:dyDescent="0.25">
      <c r="A292" s="4">
        <v>32324</v>
      </c>
      <c r="B292" s="6">
        <v>14.18</v>
      </c>
    </row>
    <row r="293" spans="1:2" x14ac:dyDescent="0.25">
      <c r="A293" s="4">
        <v>32325</v>
      </c>
      <c r="B293" s="6">
        <v>13.95</v>
      </c>
    </row>
    <row r="294" spans="1:2" x14ac:dyDescent="0.25">
      <c r="A294" s="4">
        <v>32328</v>
      </c>
      <c r="B294" s="6">
        <v>14.05</v>
      </c>
    </row>
    <row r="295" spans="1:2" x14ac:dyDescent="0.25">
      <c r="A295" s="4">
        <v>32329</v>
      </c>
      <c r="B295" s="6">
        <v>13.98</v>
      </c>
    </row>
    <row r="296" spans="1:2" x14ac:dyDescent="0.25">
      <c r="A296" s="4">
        <v>32330</v>
      </c>
      <c r="B296" s="6">
        <v>14.5</v>
      </c>
    </row>
    <row r="297" spans="1:2" x14ac:dyDescent="0.25">
      <c r="A297" s="4">
        <v>32331</v>
      </c>
      <c r="B297" s="6">
        <v>15.5</v>
      </c>
    </row>
    <row r="298" spans="1:2" x14ac:dyDescent="0.25">
      <c r="A298" s="4">
        <v>32332</v>
      </c>
      <c r="B298" s="6">
        <v>15.05</v>
      </c>
    </row>
    <row r="299" spans="1:2" x14ac:dyDescent="0.25">
      <c r="A299" s="4">
        <v>32335</v>
      </c>
      <c r="B299" s="6">
        <v>14.63</v>
      </c>
    </row>
    <row r="300" spans="1:2" x14ac:dyDescent="0.25">
      <c r="A300" s="4">
        <v>32336</v>
      </c>
      <c r="B300" s="6">
        <v>14</v>
      </c>
    </row>
    <row r="301" spans="1:2" x14ac:dyDescent="0.25">
      <c r="A301" s="4">
        <v>32337</v>
      </c>
      <c r="B301" s="6">
        <v>14.1</v>
      </c>
    </row>
    <row r="302" spans="1:2" x14ac:dyDescent="0.25">
      <c r="A302" s="4">
        <v>32338</v>
      </c>
      <c r="B302" s="6">
        <v>14.1</v>
      </c>
    </row>
    <row r="303" spans="1:2" x14ac:dyDescent="0.25">
      <c r="A303" s="4">
        <v>32339</v>
      </c>
      <c r="B303" s="6">
        <v>14.25</v>
      </c>
    </row>
    <row r="304" spans="1:2" x14ac:dyDescent="0.25">
      <c r="A304" s="4">
        <v>32342</v>
      </c>
      <c r="B304" s="6">
        <v>15</v>
      </c>
    </row>
    <row r="305" spans="1:2" x14ac:dyDescent="0.25">
      <c r="A305" s="4">
        <v>32343</v>
      </c>
      <c r="B305" s="6">
        <v>14.93</v>
      </c>
    </row>
    <row r="306" spans="1:2" x14ac:dyDescent="0.25">
      <c r="A306" s="4">
        <v>32344</v>
      </c>
      <c r="B306" s="6">
        <v>15.48</v>
      </c>
    </row>
    <row r="307" spans="1:2" x14ac:dyDescent="0.25">
      <c r="A307" s="4">
        <v>32345</v>
      </c>
      <c r="B307" s="6">
        <v>15.63</v>
      </c>
    </row>
    <row r="308" spans="1:2" x14ac:dyDescent="0.25">
      <c r="A308" s="4">
        <v>32346</v>
      </c>
      <c r="B308" s="6">
        <v>15.83</v>
      </c>
    </row>
    <row r="309" spans="1:2" x14ac:dyDescent="0.25">
      <c r="A309" s="4">
        <v>32349</v>
      </c>
      <c r="B309" s="6">
        <v>15.8</v>
      </c>
    </row>
    <row r="310" spans="1:2" x14ac:dyDescent="0.25">
      <c r="A310" s="4">
        <v>32350</v>
      </c>
      <c r="B310" s="6">
        <v>15.38</v>
      </c>
    </row>
    <row r="311" spans="1:2" x14ac:dyDescent="0.25">
      <c r="A311" s="4">
        <v>32351</v>
      </c>
      <c r="B311" s="6">
        <v>15.45</v>
      </c>
    </row>
    <row r="312" spans="1:2" x14ac:dyDescent="0.25">
      <c r="A312" s="4">
        <v>32352</v>
      </c>
      <c r="B312" s="6">
        <v>15.7</v>
      </c>
    </row>
    <row r="313" spans="1:2" x14ac:dyDescent="0.25">
      <c r="A313" s="4">
        <v>32353</v>
      </c>
      <c r="B313" s="6">
        <v>15.75</v>
      </c>
    </row>
    <row r="314" spans="1:2" x14ac:dyDescent="0.25">
      <c r="A314" s="4">
        <v>32356</v>
      </c>
      <c r="B314" s="6">
        <v>15.6</v>
      </c>
    </row>
    <row r="315" spans="1:2" x14ac:dyDescent="0.25">
      <c r="A315" s="4">
        <v>32357</v>
      </c>
      <c r="B315" s="6">
        <v>15.35</v>
      </c>
    </row>
    <row r="316" spans="1:2" x14ac:dyDescent="0.25">
      <c r="A316" s="4">
        <v>32358</v>
      </c>
      <c r="B316" s="6">
        <v>15</v>
      </c>
    </row>
    <row r="317" spans="1:2" x14ac:dyDescent="0.25">
      <c r="A317" s="4">
        <v>32359</v>
      </c>
      <c r="B317" s="6">
        <v>14.5</v>
      </c>
    </row>
    <row r="318" spans="1:2" x14ac:dyDescent="0.25">
      <c r="A318" s="4">
        <v>32360</v>
      </c>
      <c r="B318" s="6">
        <v>14.85</v>
      </c>
    </row>
    <row r="319" spans="1:2" x14ac:dyDescent="0.25">
      <c r="A319" s="4">
        <v>32363</v>
      </c>
      <c r="B319" s="6">
        <v>15.48</v>
      </c>
    </row>
    <row r="320" spans="1:2" x14ac:dyDescent="0.25">
      <c r="A320" s="4">
        <v>32364</v>
      </c>
      <c r="B320" s="6">
        <v>15.4</v>
      </c>
    </row>
    <row r="321" spans="1:2" x14ac:dyDescent="0.25">
      <c r="A321" s="4">
        <v>32365</v>
      </c>
      <c r="B321" s="6">
        <v>15.1</v>
      </c>
    </row>
    <row r="322" spans="1:2" x14ac:dyDescent="0.25">
      <c r="A322" s="4">
        <v>32366</v>
      </c>
      <c r="B322" s="6">
        <v>15.13</v>
      </c>
    </row>
    <row r="323" spans="1:2" x14ac:dyDescent="0.25">
      <c r="A323" s="4">
        <v>32367</v>
      </c>
      <c r="B323" s="6">
        <v>14.98</v>
      </c>
    </row>
    <row r="324" spans="1:2" x14ac:dyDescent="0.25">
      <c r="A324" s="4">
        <v>32370</v>
      </c>
      <c r="B324" s="6">
        <v>14.8</v>
      </c>
    </row>
    <row r="325" spans="1:2" x14ac:dyDescent="0.25">
      <c r="A325" s="4">
        <v>32371</v>
      </c>
      <c r="B325" s="6">
        <v>14.85</v>
      </c>
    </row>
    <row r="326" spans="1:2" x14ac:dyDescent="0.25">
      <c r="A326" s="4">
        <v>32372</v>
      </c>
      <c r="B326" s="6">
        <v>14.75</v>
      </c>
    </row>
    <row r="327" spans="1:2" x14ac:dyDescent="0.25">
      <c r="A327" s="4">
        <v>32373</v>
      </c>
      <c r="B327" s="6">
        <v>14.78</v>
      </c>
    </row>
    <row r="328" spans="1:2" x14ac:dyDescent="0.25">
      <c r="A328" s="4">
        <v>32374</v>
      </c>
      <c r="B328" s="6">
        <v>14.85</v>
      </c>
    </row>
    <row r="329" spans="1:2" x14ac:dyDescent="0.25">
      <c r="A329" s="4">
        <v>32377</v>
      </c>
      <c r="B329" s="6">
        <v>15.03</v>
      </c>
    </row>
    <row r="330" spans="1:2" x14ac:dyDescent="0.25">
      <c r="A330" s="4">
        <v>32378</v>
      </c>
      <c r="B330" s="6">
        <v>14.8</v>
      </c>
    </row>
    <row r="331" spans="1:2" x14ac:dyDescent="0.25">
      <c r="A331" s="4">
        <v>32379</v>
      </c>
      <c r="B331" s="6">
        <v>14.85</v>
      </c>
    </row>
    <row r="332" spans="1:2" x14ac:dyDescent="0.25">
      <c r="A332" s="4">
        <v>32380</v>
      </c>
      <c r="B332" s="6">
        <v>14.63</v>
      </c>
    </row>
    <row r="333" spans="1:2" x14ac:dyDescent="0.25">
      <c r="A333" s="4">
        <v>32381</v>
      </c>
      <c r="B333" s="6">
        <v>14.5</v>
      </c>
    </row>
    <row r="334" spans="1:2" x14ac:dyDescent="0.25">
      <c r="A334" s="4">
        <v>32384</v>
      </c>
      <c r="B334" s="6">
        <v>14.48</v>
      </c>
    </row>
    <row r="335" spans="1:2" x14ac:dyDescent="0.25">
      <c r="A335" s="4">
        <v>32385</v>
      </c>
      <c r="B335" s="6">
        <v>14.45</v>
      </c>
    </row>
    <row r="336" spans="1:2" x14ac:dyDescent="0.25">
      <c r="A336" s="4">
        <v>32386</v>
      </c>
      <c r="B336" s="6">
        <v>14.4</v>
      </c>
    </row>
    <row r="337" spans="1:2" x14ac:dyDescent="0.25">
      <c r="A337" s="4">
        <v>32387</v>
      </c>
      <c r="B337" s="6">
        <v>14.15</v>
      </c>
    </row>
    <row r="338" spans="1:2" x14ac:dyDescent="0.25">
      <c r="A338" s="4">
        <v>32388</v>
      </c>
      <c r="B338" s="6">
        <v>14</v>
      </c>
    </row>
    <row r="339" spans="1:2" x14ac:dyDescent="0.25">
      <c r="A339" s="4">
        <v>32391</v>
      </c>
      <c r="B339" s="6">
        <v>13.68</v>
      </c>
    </row>
    <row r="340" spans="1:2" x14ac:dyDescent="0.25">
      <c r="A340" s="4">
        <v>32392</v>
      </c>
      <c r="B340" s="6">
        <v>13.35</v>
      </c>
    </row>
    <row r="341" spans="1:2" x14ac:dyDescent="0.25">
      <c r="A341" s="4">
        <v>32393</v>
      </c>
      <c r="B341" s="6">
        <v>13.18</v>
      </c>
    </row>
    <row r="342" spans="1:2" x14ac:dyDescent="0.25">
      <c r="A342" s="4">
        <v>32394</v>
      </c>
      <c r="B342" s="6">
        <v>13.3</v>
      </c>
    </row>
    <row r="343" spans="1:2" x14ac:dyDescent="0.25">
      <c r="A343" s="4">
        <v>32395</v>
      </c>
      <c r="B343" s="6">
        <v>13.25</v>
      </c>
    </row>
    <row r="344" spans="1:2" x14ac:dyDescent="0.25">
      <c r="A344" s="4">
        <v>32398</v>
      </c>
      <c r="B344" s="6">
        <v>12.7</v>
      </c>
    </row>
    <row r="345" spans="1:2" x14ac:dyDescent="0.25">
      <c r="A345" s="4">
        <v>32399</v>
      </c>
      <c r="B345" s="6">
        <v>13.4</v>
      </c>
    </row>
    <row r="346" spans="1:2" x14ac:dyDescent="0.25">
      <c r="A346" s="4">
        <v>32400</v>
      </c>
      <c r="B346" s="6">
        <v>13.9</v>
      </c>
    </row>
    <row r="347" spans="1:2" x14ac:dyDescent="0.25">
      <c r="A347" s="4">
        <v>32401</v>
      </c>
      <c r="B347" s="6">
        <v>13.5</v>
      </c>
    </row>
    <row r="348" spans="1:2" x14ac:dyDescent="0.25">
      <c r="A348" s="4">
        <v>32402</v>
      </c>
      <c r="B348" s="6">
        <v>13.23</v>
      </c>
    </row>
    <row r="349" spans="1:2" x14ac:dyDescent="0.25">
      <c r="A349" s="4">
        <v>32405</v>
      </c>
      <c r="B349" s="6">
        <v>12.85</v>
      </c>
    </row>
    <row r="350" spans="1:2" x14ac:dyDescent="0.25">
      <c r="A350" s="4">
        <v>32406</v>
      </c>
      <c r="B350" s="6">
        <v>13.15</v>
      </c>
    </row>
    <row r="351" spans="1:2" x14ac:dyDescent="0.25">
      <c r="A351" s="4">
        <v>32407</v>
      </c>
      <c r="B351" s="6">
        <v>13.05</v>
      </c>
    </row>
    <row r="352" spans="1:2" x14ac:dyDescent="0.25">
      <c r="A352" s="4">
        <v>32408</v>
      </c>
      <c r="B352" s="6">
        <v>13.2</v>
      </c>
    </row>
    <row r="353" spans="1:2" x14ac:dyDescent="0.25">
      <c r="A353" s="4">
        <v>32409</v>
      </c>
      <c r="B353" s="6">
        <v>13.2</v>
      </c>
    </row>
    <row r="354" spans="1:2" x14ac:dyDescent="0.25">
      <c r="A354" s="4">
        <v>32412</v>
      </c>
      <c r="B354" s="6">
        <v>13.1</v>
      </c>
    </row>
    <row r="355" spans="1:2" x14ac:dyDescent="0.25">
      <c r="A355" s="4">
        <v>32413</v>
      </c>
      <c r="B355" s="6">
        <v>12.58</v>
      </c>
    </row>
    <row r="356" spans="1:2" x14ac:dyDescent="0.25">
      <c r="A356" s="4">
        <v>32414</v>
      </c>
      <c r="B356" s="6">
        <v>12.75</v>
      </c>
    </row>
    <row r="357" spans="1:2" x14ac:dyDescent="0.25">
      <c r="A357" s="4">
        <v>32415</v>
      </c>
      <c r="B357" s="6">
        <v>12.5</v>
      </c>
    </row>
    <row r="358" spans="1:2" x14ac:dyDescent="0.25">
      <c r="A358" s="4">
        <v>32416</v>
      </c>
      <c r="B358" s="6">
        <v>11.93</v>
      </c>
    </row>
    <row r="359" spans="1:2" x14ac:dyDescent="0.25">
      <c r="A359" s="4">
        <v>32419</v>
      </c>
      <c r="B359" s="6">
        <v>11.6</v>
      </c>
    </row>
    <row r="360" spans="1:2" x14ac:dyDescent="0.25">
      <c r="A360" s="4">
        <v>32420</v>
      </c>
      <c r="B360" s="6">
        <v>11.65</v>
      </c>
    </row>
    <row r="361" spans="1:2" x14ac:dyDescent="0.25">
      <c r="A361" s="4">
        <v>32421</v>
      </c>
      <c r="B361" s="6">
        <v>11.2</v>
      </c>
    </row>
    <row r="362" spans="1:2" x14ac:dyDescent="0.25">
      <c r="A362" s="4">
        <v>32422</v>
      </c>
      <c r="B362" s="6">
        <v>11.3</v>
      </c>
    </row>
    <row r="363" spans="1:2" x14ac:dyDescent="0.25">
      <c r="A363" s="4">
        <v>32423</v>
      </c>
      <c r="B363" s="6">
        <v>11.35</v>
      </c>
    </row>
    <row r="364" spans="1:2" x14ac:dyDescent="0.25">
      <c r="A364" s="4">
        <v>32426</v>
      </c>
      <c r="B364" s="6">
        <v>12.2</v>
      </c>
    </row>
    <row r="365" spans="1:2" x14ac:dyDescent="0.25">
      <c r="A365" s="4">
        <v>32427</v>
      </c>
      <c r="B365" s="6">
        <v>12.35</v>
      </c>
    </row>
    <row r="366" spans="1:2" x14ac:dyDescent="0.25">
      <c r="A366" s="4">
        <v>32428</v>
      </c>
      <c r="B366" s="6">
        <v>12.45</v>
      </c>
    </row>
    <row r="367" spans="1:2" x14ac:dyDescent="0.25">
      <c r="A367" s="4">
        <v>32429</v>
      </c>
      <c r="B367" s="6">
        <v>12.55</v>
      </c>
    </row>
    <row r="368" spans="1:2" x14ac:dyDescent="0.25">
      <c r="A368" s="4">
        <v>32430</v>
      </c>
      <c r="B368" s="6">
        <v>13.2</v>
      </c>
    </row>
    <row r="369" spans="1:2" x14ac:dyDescent="0.25">
      <c r="A369" s="4">
        <v>32433</v>
      </c>
      <c r="B369" s="6">
        <v>13.55</v>
      </c>
    </row>
    <row r="370" spans="1:2" x14ac:dyDescent="0.25">
      <c r="A370" s="4">
        <v>32434</v>
      </c>
      <c r="B370" s="6">
        <v>12.9</v>
      </c>
    </row>
    <row r="371" spans="1:2" x14ac:dyDescent="0.25">
      <c r="A371" s="4">
        <v>32435</v>
      </c>
      <c r="B371" s="6">
        <v>13.35</v>
      </c>
    </row>
    <row r="372" spans="1:2" x14ac:dyDescent="0.25">
      <c r="A372" s="4">
        <v>32436</v>
      </c>
      <c r="B372" s="6">
        <v>13.5</v>
      </c>
    </row>
    <row r="373" spans="1:2" x14ac:dyDescent="0.25">
      <c r="A373" s="4">
        <v>32437</v>
      </c>
      <c r="B373" s="6">
        <v>13.48</v>
      </c>
    </row>
    <row r="374" spans="1:2" x14ac:dyDescent="0.25">
      <c r="A374" s="4">
        <v>32440</v>
      </c>
      <c r="B374" s="6">
        <v>12.2</v>
      </c>
    </row>
    <row r="375" spans="1:2" x14ac:dyDescent="0.25">
      <c r="A375" s="4">
        <v>32441</v>
      </c>
      <c r="B375" s="6">
        <v>12.08</v>
      </c>
    </row>
    <row r="376" spans="1:2" x14ac:dyDescent="0.25">
      <c r="A376" s="4">
        <v>32442</v>
      </c>
      <c r="B376" s="6">
        <v>12.08</v>
      </c>
    </row>
    <row r="377" spans="1:2" x14ac:dyDescent="0.25">
      <c r="A377" s="4">
        <v>32443</v>
      </c>
      <c r="B377" s="6">
        <v>12.33</v>
      </c>
    </row>
    <row r="378" spans="1:2" x14ac:dyDescent="0.25">
      <c r="A378" s="4">
        <v>32444</v>
      </c>
      <c r="B378" s="6">
        <v>12.6</v>
      </c>
    </row>
    <row r="379" spans="1:2" x14ac:dyDescent="0.25">
      <c r="A379" s="4">
        <v>32447</v>
      </c>
      <c r="B379" s="6">
        <v>12.6</v>
      </c>
    </row>
    <row r="380" spans="1:2" x14ac:dyDescent="0.25">
      <c r="A380" s="4">
        <v>32448</v>
      </c>
      <c r="B380" s="6">
        <v>12.18</v>
      </c>
    </row>
    <row r="381" spans="1:2" x14ac:dyDescent="0.25">
      <c r="A381" s="4">
        <v>32449</v>
      </c>
      <c r="B381" s="6">
        <v>12.35</v>
      </c>
    </row>
    <row r="382" spans="1:2" x14ac:dyDescent="0.25">
      <c r="A382" s="4">
        <v>32450</v>
      </c>
      <c r="B382" s="6">
        <v>12.5</v>
      </c>
    </row>
    <row r="383" spans="1:2" x14ac:dyDescent="0.25">
      <c r="A383" s="4">
        <v>32451</v>
      </c>
      <c r="B383" s="6">
        <v>12.75</v>
      </c>
    </row>
    <row r="384" spans="1:2" x14ac:dyDescent="0.25">
      <c r="A384" s="4">
        <v>32454</v>
      </c>
      <c r="B384" s="6">
        <v>12.75</v>
      </c>
    </row>
    <row r="385" spans="1:2" x14ac:dyDescent="0.25">
      <c r="A385" s="4">
        <v>32455</v>
      </c>
      <c r="B385" s="6">
        <v>12.6</v>
      </c>
    </row>
    <row r="386" spans="1:2" x14ac:dyDescent="0.25">
      <c r="A386" s="4">
        <v>32456</v>
      </c>
      <c r="B386" s="6">
        <v>12.7</v>
      </c>
    </row>
    <row r="387" spans="1:2" x14ac:dyDescent="0.25">
      <c r="A387" s="4">
        <v>32457</v>
      </c>
      <c r="B387" s="6">
        <v>13.03</v>
      </c>
    </row>
    <row r="388" spans="1:2" x14ac:dyDescent="0.25">
      <c r="A388" s="4">
        <v>32458</v>
      </c>
      <c r="B388" s="6">
        <v>13.03</v>
      </c>
    </row>
    <row r="389" spans="1:2" x14ac:dyDescent="0.25">
      <c r="A389" s="4">
        <v>32461</v>
      </c>
      <c r="B389" s="6">
        <v>13</v>
      </c>
    </row>
    <row r="390" spans="1:2" x14ac:dyDescent="0.25">
      <c r="A390" s="4">
        <v>32462</v>
      </c>
      <c r="B390" s="6">
        <v>13</v>
      </c>
    </row>
    <row r="391" spans="1:2" x14ac:dyDescent="0.25">
      <c r="A391" s="4">
        <v>32463</v>
      </c>
      <c r="B391" s="6">
        <v>12.7</v>
      </c>
    </row>
    <row r="392" spans="1:2" x14ac:dyDescent="0.25">
      <c r="A392" s="4">
        <v>32464</v>
      </c>
      <c r="B392" s="6">
        <v>12.05</v>
      </c>
    </row>
    <row r="393" spans="1:2" x14ac:dyDescent="0.25">
      <c r="A393" s="4">
        <v>32465</v>
      </c>
      <c r="B393" s="6">
        <v>12.08</v>
      </c>
    </row>
    <row r="394" spans="1:2" x14ac:dyDescent="0.25">
      <c r="A394" s="4">
        <v>32468</v>
      </c>
      <c r="B394" s="6">
        <v>12.13</v>
      </c>
    </row>
    <row r="395" spans="1:2" x14ac:dyDescent="0.25">
      <c r="A395" s="4">
        <v>32469</v>
      </c>
      <c r="B395" s="6">
        <v>13.35</v>
      </c>
    </row>
    <row r="396" spans="1:2" x14ac:dyDescent="0.25">
      <c r="A396" s="4">
        <v>32470</v>
      </c>
      <c r="B396" s="6">
        <v>13.33</v>
      </c>
    </row>
    <row r="397" spans="1:2" x14ac:dyDescent="0.25">
      <c r="A397" s="4">
        <v>32471</v>
      </c>
      <c r="B397" s="6">
        <v>12.98</v>
      </c>
    </row>
    <row r="398" spans="1:2" x14ac:dyDescent="0.25">
      <c r="A398" s="4">
        <v>32472</v>
      </c>
      <c r="B398" s="6">
        <v>14.7</v>
      </c>
    </row>
    <row r="399" spans="1:2" x14ac:dyDescent="0.25">
      <c r="A399" s="4">
        <v>32475</v>
      </c>
      <c r="B399" s="6">
        <v>14.73</v>
      </c>
    </row>
    <row r="400" spans="1:2" x14ac:dyDescent="0.25">
      <c r="A400" s="4">
        <v>32476</v>
      </c>
      <c r="B400" s="6">
        <v>14.25</v>
      </c>
    </row>
    <row r="401" spans="1:2" x14ac:dyDescent="0.25">
      <c r="A401" s="4">
        <v>32477</v>
      </c>
      <c r="B401" s="6">
        <v>14.35</v>
      </c>
    </row>
    <row r="402" spans="1:2" x14ac:dyDescent="0.25">
      <c r="A402" s="4">
        <v>32478</v>
      </c>
      <c r="B402" s="6">
        <v>14.93</v>
      </c>
    </row>
    <row r="403" spans="1:2" x14ac:dyDescent="0.25">
      <c r="A403" s="4">
        <v>32479</v>
      </c>
      <c r="B403" s="6">
        <v>14.8</v>
      </c>
    </row>
    <row r="404" spans="1:2" x14ac:dyDescent="0.25">
      <c r="A404" s="4">
        <v>32482</v>
      </c>
      <c r="B404" s="6">
        <v>14.73</v>
      </c>
    </row>
    <row r="405" spans="1:2" x14ac:dyDescent="0.25">
      <c r="A405" s="4">
        <v>32483</v>
      </c>
      <c r="B405" s="6">
        <v>14.4</v>
      </c>
    </row>
    <row r="406" spans="1:2" x14ac:dyDescent="0.25">
      <c r="A406" s="4">
        <v>32484</v>
      </c>
      <c r="B406" s="6">
        <v>14.7</v>
      </c>
    </row>
    <row r="407" spans="1:2" x14ac:dyDescent="0.25">
      <c r="A407" s="4">
        <v>32485</v>
      </c>
      <c r="B407" s="6">
        <v>15.05</v>
      </c>
    </row>
    <row r="408" spans="1:2" x14ac:dyDescent="0.25">
      <c r="A408" s="4">
        <v>32486</v>
      </c>
      <c r="B408" s="6">
        <v>14.9</v>
      </c>
    </row>
    <row r="409" spans="1:2" x14ac:dyDescent="0.25">
      <c r="A409" s="4">
        <v>32489</v>
      </c>
      <c r="B409" s="6">
        <v>15.2</v>
      </c>
    </row>
    <row r="410" spans="1:2" x14ac:dyDescent="0.25">
      <c r="A410" s="4">
        <v>32490</v>
      </c>
      <c r="B410" s="6">
        <v>15.18</v>
      </c>
    </row>
    <row r="411" spans="1:2" x14ac:dyDescent="0.25">
      <c r="A411" s="4">
        <v>32491</v>
      </c>
      <c r="B411" s="6">
        <v>15.35</v>
      </c>
    </row>
    <row r="412" spans="1:2" x14ac:dyDescent="0.25">
      <c r="A412" s="4">
        <v>32492</v>
      </c>
      <c r="B412" s="6">
        <v>15.58</v>
      </c>
    </row>
    <row r="413" spans="1:2" x14ac:dyDescent="0.25">
      <c r="A413" s="4">
        <v>32493</v>
      </c>
      <c r="B413" s="6">
        <v>15.6</v>
      </c>
    </row>
    <row r="414" spans="1:2" x14ac:dyDescent="0.25">
      <c r="A414" s="4">
        <v>32496</v>
      </c>
      <c r="B414" s="6">
        <v>15.3</v>
      </c>
    </row>
    <row r="415" spans="1:2" x14ac:dyDescent="0.25">
      <c r="A415" s="4">
        <v>32497</v>
      </c>
      <c r="B415" s="6">
        <v>15.28</v>
      </c>
    </row>
    <row r="416" spans="1:2" x14ac:dyDescent="0.25">
      <c r="A416" s="4">
        <v>32498</v>
      </c>
      <c r="B416" s="6">
        <v>15.33</v>
      </c>
    </row>
    <row r="417" spans="1:2" x14ac:dyDescent="0.25">
      <c r="A417" s="4">
        <v>32499</v>
      </c>
      <c r="B417" s="6">
        <v>15.25</v>
      </c>
    </row>
    <row r="418" spans="1:2" x14ac:dyDescent="0.25">
      <c r="A418" s="4">
        <v>32500</v>
      </c>
      <c r="B418" s="6">
        <v>15.38</v>
      </c>
    </row>
    <row r="419" spans="1:2" x14ac:dyDescent="0.25">
      <c r="A419" s="4">
        <v>32503</v>
      </c>
      <c r="B419" s="5"/>
    </row>
    <row r="420" spans="1:2" x14ac:dyDescent="0.25">
      <c r="A420" s="4">
        <v>32504</v>
      </c>
      <c r="B420" s="6">
        <v>16.25</v>
      </c>
    </row>
    <row r="421" spans="1:2" x14ac:dyDescent="0.25">
      <c r="A421" s="4">
        <v>32505</v>
      </c>
      <c r="B421" s="6">
        <v>16.100000000000001</v>
      </c>
    </row>
    <row r="422" spans="1:2" x14ac:dyDescent="0.25">
      <c r="A422" s="4">
        <v>32506</v>
      </c>
      <c r="B422" s="6">
        <v>15.9</v>
      </c>
    </row>
    <row r="423" spans="1:2" x14ac:dyDescent="0.25">
      <c r="A423" s="4">
        <v>32507</v>
      </c>
      <c r="B423" s="6">
        <v>16.23</v>
      </c>
    </row>
    <row r="424" spans="1:2" x14ac:dyDescent="0.25">
      <c r="A424" s="4">
        <v>32510</v>
      </c>
      <c r="B424" s="5"/>
    </row>
    <row r="425" spans="1:2" x14ac:dyDescent="0.25">
      <c r="A425" s="4">
        <v>32511</v>
      </c>
      <c r="B425" s="6">
        <v>16.399999999999999</v>
      </c>
    </row>
    <row r="426" spans="1:2" x14ac:dyDescent="0.25">
      <c r="A426" s="4">
        <v>32512</v>
      </c>
      <c r="B426" s="6">
        <v>16.53</v>
      </c>
    </row>
    <row r="427" spans="1:2" x14ac:dyDescent="0.25">
      <c r="A427" s="4">
        <v>32513</v>
      </c>
      <c r="B427" s="6">
        <v>16.579999999999998</v>
      </c>
    </row>
    <row r="428" spans="1:2" x14ac:dyDescent="0.25">
      <c r="A428" s="4">
        <v>32514</v>
      </c>
      <c r="B428" s="6">
        <v>16.850000000000001</v>
      </c>
    </row>
    <row r="429" spans="1:2" x14ac:dyDescent="0.25">
      <c r="A429" s="4">
        <v>32517</v>
      </c>
      <c r="B429" s="6">
        <v>17</v>
      </c>
    </row>
    <row r="430" spans="1:2" x14ac:dyDescent="0.25">
      <c r="A430" s="4">
        <v>32518</v>
      </c>
      <c r="B430" s="6">
        <v>16.75</v>
      </c>
    </row>
    <row r="431" spans="1:2" x14ac:dyDescent="0.25">
      <c r="A431" s="4">
        <v>32519</v>
      </c>
      <c r="B431" s="6">
        <v>16.899999999999999</v>
      </c>
    </row>
    <row r="432" spans="1:2" x14ac:dyDescent="0.25">
      <c r="A432" s="4">
        <v>32520</v>
      </c>
      <c r="B432" s="6">
        <v>16.850000000000001</v>
      </c>
    </row>
    <row r="433" spans="1:2" x14ac:dyDescent="0.25">
      <c r="A433" s="4">
        <v>32521</v>
      </c>
      <c r="B433" s="6">
        <v>17.399999999999999</v>
      </c>
    </row>
    <row r="434" spans="1:2" x14ac:dyDescent="0.25">
      <c r="A434" s="4">
        <v>32524</v>
      </c>
      <c r="B434" s="6">
        <v>17.5</v>
      </c>
    </row>
    <row r="435" spans="1:2" x14ac:dyDescent="0.25">
      <c r="A435" s="4">
        <v>32525</v>
      </c>
      <c r="B435" s="6">
        <v>17.78</v>
      </c>
    </row>
    <row r="436" spans="1:2" x14ac:dyDescent="0.25">
      <c r="A436" s="4">
        <v>32526</v>
      </c>
      <c r="B436" s="6">
        <v>17.95</v>
      </c>
    </row>
    <row r="437" spans="1:2" x14ac:dyDescent="0.25">
      <c r="A437" s="4">
        <v>32527</v>
      </c>
      <c r="B437" s="6">
        <v>18.100000000000001</v>
      </c>
    </row>
    <row r="438" spans="1:2" x14ac:dyDescent="0.25">
      <c r="A438" s="4">
        <v>32528</v>
      </c>
      <c r="B438" s="6">
        <v>18.149999999999999</v>
      </c>
    </row>
    <row r="439" spans="1:2" x14ac:dyDescent="0.25">
      <c r="A439" s="4">
        <v>32531</v>
      </c>
      <c r="B439" s="6">
        <v>16.98</v>
      </c>
    </row>
    <row r="440" spans="1:2" x14ac:dyDescent="0.25">
      <c r="A440" s="4">
        <v>32532</v>
      </c>
      <c r="B440" s="6">
        <v>17.05</v>
      </c>
    </row>
    <row r="441" spans="1:2" x14ac:dyDescent="0.25">
      <c r="A441" s="4">
        <v>32533</v>
      </c>
      <c r="B441" s="6">
        <v>17.7</v>
      </c>
    </row>
    <row r="442" spans="1:2" x14ac:dyDescent="0.25">
      <c r="A442" s="4">
        <v>32534</v>
      </c>
      <c r="B442" s="6">
        <v>17.73</v>
      </c>
    </row>
    <row r="443" spans="1:2" x14ac:dyDescent="0.25">
      <c r="A443" s="4">
        <v>32535</v>
      </c>
      <c r="B443" s="6">
        <v>17.18</v>
      </c>
    </row>
    <row r="444" spans="1:2" x14ac:dyDescent="0.25">
      <c r="A444" s="4">
        <v>32538</v>
      </c>
      <c r="B444" s="6">
        <v>16.850000000000001</v>
      </c>
    </row>
    <row r="445" spans="1:2" x14ac:dyDescent="0.25">
      <c r="A445" s="4">
        <v>32539</v>
      </c>
      <c r="B445" s="6">
        <v>16.38</v>
      </c>
    </row>
    <row r="446" spans="1:2" x14ac:dyDescent="0.25">
      <c r="A446" s="4">
        <v>32540</v>
      </c>
      <c r="B446" s="6">
        <v>16.399999999999999</v>
      </c>
    </row>
    <row r="447" spans="1:2" x14ac:dyDescent="0.25">
      <c r="A447" s="4">
        <v>32541</v>
      </c>
      <c r="B447" s="6">
        <v>16.95</v>
      </c>
    </row>
    <row r="448" spans="1:2" x14ac:dyDescent="0.25">
      <c r="A448" s="4">
        <v>32542</v>
      </c>
      <c r="B448" s="6">
        <v>16.75</v>
      </c>
    </row>
    <row r="449" spans="1:2" x14ac:dyDescent="0.25">
      <c r="A449" s="4">
        <v>32545</v>
      </c>
      <c r="B449" s="6">
        <v>16.5</v>
      </c>
    </row>
    <row r="450" spans="1:2" x14ac:dyDescent="0.25">
      <c r="A450" s="4">
        <v>32546</v>
      </c>
      <c r="B450" s="6">
        <v>16.600000000000001</v>
      </c>
    </row>
    <row r="451" spans="1:2" x14ac:dyDescent="0.25">
      <c r="A451" s="4">
        <v>32547</v>
      </c>
      <c r="B451" s="6">
        <v>16.75</v>
      </c>
    </row>
    <row r="452" spans="1:2" x14ac:dyDescent="0.25">
      <c r="A452" s="4">
        <v>32548</v>
      </c>
      <c r="B452" s="6">
        <v>16.579999999999998</v>
      </c>
    </row>
    <row r="453" spans="1:2" x14ac:dyDescent="0.25">
      <c r="A453" s="4">
        <v>32549</v>
      </c>
      <c r="B453" s="6">
        <v>16.399999999999999</v>
      </c>
    </row>
    <row r="454" spans="1:2" x14ac:dyDescent="0.25">
      <c r="A454" s="4">
        <v>32552</v>
      </c>
      <c r="B454" s="6">
        <v>16.5</v>
      </c>
    </row>
    <row r="455" spans="1:2" x14ac:dyDescent="0.25">
      <c r="A455" s="4">
        <v>32553</v>
      </c>
      <c r="B455" s="6">
        <v>16.829999999999998</v>
      </c>
    </row>
    <row r="456" spans="1:2" x14ac:dyDescent="0.25">
      <c r="A456" s="4">
        <v>32554</v>
      </c>
      <c r="B456" s="6">
        <v>16.75</v>
      </c>
    </row>
    <row r="457" spans="1:2" x14ac:dyDescent="0.25">
      <c r="A457" s="4">
        <v>32555</v>
      </c>
      <c r="B457" s="6">
        <v>17.149999999999999</v>
      </c>
    </row>
    <row r="458" spans="1:2" x14ac:dyDescent="0.25">
      <c r="A458" s="4">
        <v>32556</v>
      </c>
      <c r="B458" s="6">
        <v>17.149999999999999</v>
      </c>
    </row>
    <row r="459" spans="1:2" x14ac:dyDescent="0.25">
      <c r="A459" s="4">
        <v>32559</v>
      </c>
      <c r="B459" s="6">
        <v>17.38</v>
      </c>
    </row>
    <row r="460" spans="1:2" x14ac:dyDescent="0.25">
      <c r="A460" s="4">
        <v>32560</v>
      </c>
      <c r="B460" s="6">
        <v>17.2</v>
      </c>
    </row>
    <row r="461" spans="1:2" x14ac:dyDescent="0.25">
      <c r="A461" s="4">
        <v>32561</v>
      </c>
      <c r="B461" s="6">
        <v>16.95</v>
      </c>
    </row>
    <row r="462" spans="1:2" x14ac:dyDescent="0.25">
      <c r="A462" s="4">
        <v>32562</v>
      </c>
      <c r="B462" s="6">
        <v>17.100000000000001</v>
      </c>
    </row>
    <row r="463" spans="1:2" x14ac:dyDescent="0.25">
      <c r="A463" s="4">
        <v>32563</v>
      </c>
      <c r="B463" s="6">
        <v>17.05</v>
      </c>
    </row>
    <row r="464" spans="1:2" x14ac:dyDescent="0.25">
      <c r="A464" s="4">
        <v>32566</v>
      </c>
      <c r="B464" s="6">
        <v>17.55</v>
      </c>
    </row>
    <row r="465" spans="1:2" x14ac:dyDescent="0.25">
      <c r="A465" s="4">
        <v>32567</v>
      </c>
      <c r="B465" s="6">
        <v>17.23</v>
      </c>
    </row>
    <row r="466" spans="1:2" x14ac:dyDescent="0.25">
      <c r="A466" s="4">
        <v>32568</v>
      </c>
      <c r="B466" s="6">
        <v>17.25</v>
      </c>
    </row>
    <row r="467" spans="1:2" x14ac:dyDescent="0.25">
      <c r="A467" s="4">
        <v>32569</v>
      </c>
      <c r="B467" s="6">
        <v>17.45</v>
      </c>
    </row>
    <row r="468" spans="1:2" x14ac:dyDescent="0.25">
      <c r="A468" s="4">
        <v>32570</v>
      </c>
      <c r="B468" s="6">
        <v>17.73</v>
      </c>
    </row>
    <row r="469" spans="1:2" x14ac:dyDescent="0.25">
      <c r="A469" s="4">
        <v>32573</v>
      </c>
      <c r="B469" s="6">
        <v>17.73</v>
      </c>
    </row>
    <row r="470" spans="1:2" x14ac:dyDescent="0.25">
      <c r="A470" s="4">
        <v>32574</v>
      </c>
      <c r="B470" s="6">
        <v>17.55</v>
      </c>
    </row>
    <row r="471" spans="1:2" x14ac:dyDescent="0.25">
      <c r="A471" s="4">
        <v>32575</v>
      </c>
      <c r="B471" s="6">
        <v>17.55</v>
      </c>
    </row>
    <row r="472" spans="1:2" x14ac:dyDescent="0.25">
      <c r="A472" s="4">
        <v>32576</v>
      </c>
      <c r="B472" s="6">
        <v>17.8</v>
      </c>
    </row>
    <row r="473" spans="1:2" x14ac:dyDescent="0.25">
      <c r="A473" s="4">
        <v>32577</v>
      </c>
      <c r="B473" s="6">
        <v>17.63</v>
      </c>
    </row>
    <row r="474" spans="1:2" x14ac:dyDescent="0.25">
      <c r="A474" s="4">
        <v>32580</v>
      </c>
      <c r="B474" s="6">
        <v>18.100000000000001</v>
      </c>
    </row>
    <row r="475" spans="1:2" x14ac:dyDescent="0.25">
      <c r="A475" s="4">
        <v>32581</v>
      </c>
      <c r="B475" s="6">
        <v>18.63</v>
      </c>
    </row>
    <row r="476" spans="1:2" x14ac:dyDescent="0.25">
      <c r="A476" s="4">
        <v>32582</v>
      </c>
      <c r="B476" s="6">
        <v>19.079999999999998</v>
      </c>
    </row>
    <row r="477" spans="1:2" x14ac:dyDescent="0.25">
      <c r="A477" s="4">
        <v>32583</v>
      </c>
      <c r="B477" s="6">
        <v>18.95</v>
      </c>
    </row>
    <row r="478" spans="1:2" x14ac:dyDescent="0.25">
      <c r="A478" s="4">
        <v>32584</v>
      </c>
      <c r="B478" s="6">
        <v>19.3</v>
      </c>
    </row>
    <row r="479" spans="1:2" x14ac:dyDescent="0.25">
      <c r="A479" s="4">
        <v>32587</v>
      </c>
      <c r="B479" s="6">
        <v>19.18</v>
      </c>
    </row>
    <row r="480" spans="1:2" x14ac:dyDescent="0.25">
      <c r="A480" s="4">
        <v>32588</v>
      </c>
      <c r="B480" s="6">
        <v>19.63</v>
      </c>
    </row>
    <row r="481" spans="1:2" x14ac:dyDescent="0.25">
      <c r="A481" s="4">
        <v>32589</v>
      </c>
      <c r="B481" s="6">
        <v>19.600000000000001</v>
      </c>
    </row>
    <row r="482" spans="1:2" x14ac:dyDescent="0.25">
      <c r="A482" s="4">
        <v>32590</v>
      </c>
      <c r="B482" s="6">
        <v>19.93</v>
      </c>
    </row>
    <row r="483" spans="1:2" x14ac:dyDescent="0.25">
      <c r="A483" s="4">
        <v>32591</v>
      </c>
      <c r="B483" s="5"/>
    </row>
    <row r="484" spans="1:2" x14ac:dyDescent="0.25">
      <c r="A484" s="4">
        <v>32594</v>
      </c>
      <c r="B484" s="5"/>
    </row>
    <row r="485" spans="1:2" x14ac:dyDescent="0.25">
      <c r="A485" s="4">
        <v>32595</v>
      </c>
      <c r="B485" s="6">
        <v>19.73</v>
      </c>
    </row>
    <row r="486" spans="1:2" x14ac:dyDescent="0.25">
      <c r="A486" s="4">
        <v>32596</v>
      </c>
      <c r="B486" s="6">
        <v>19.45</v>
      </c>
    </row>
    <row r="487" spans="1:2" x14ac:dyDescent="0.25">
      <c r="A487" s="4">
        <v>32597</v>
      </c>
      <c r="B487" s="6">
        <v>20</v>
      </c>
    </row>
    <row r="488" spans="1:2" x14ac:dyDescent="0.25">
      <c r="A488" s="4">
        <v>32598</v>
      </c>
      <c r="B488" s="6">
        <v>20.45</v>
      </c>
    </row>
    <row r="489" spans="1:2" x14ac:dyDescent="0.25">
      <c r="A489" s="4">
        <v>32601</v>
      </c>
      <c r="B489" s="6">
        <v>19.649999999999999</v>
      </c>
    </row>
    <row r="490" spans="1:2" x14ac:dyDescent="0.25">
      <c r="A490" s="4">
        <v>32602</v>
      </c>
      <c r="B490" s="6">
        <v>19.899999999999999</v>
      </c>
    </row>
    <row r="491" spans="1:2" x14ac:dyDescent="0.25">
      <c r="A491" s="4">
        <v>32603</v>
      </c>
      <c r="B491" s="6">
        <v>19.75</v>
      </c>
    </row>
    <row r="492" spans="1:2" x14ac:dyDescent="0.25">
      <c r="A492" s="4">
        <v>32604</v>
      </c>
      <c r="B492" s="6">
        <v>19.079999999999998</v>
      </c>
    </row>
    <row r="493" spans="1:2" x14ac:dyDescent="0.25">
      <c r="A493" s="4">
        <v>32605</v>
      </c>
      <c r="B493" s="6">
        <v>19.399999999999999</v>
      </c>
    </row>
    <row r="494" spans="1:2" x14ac:dyDescent="0.25">
      <c r="A494" s="4">
        <v>32608</v>
      </c>
      <c r="B494" s="6">
        <v>19.600000000000001</v>
      </c>
    </row>
    <row r="495" spans="1:2" x14ac:dyDescent="0.25">
      <c r="A495" s="4">
        <v>32609</v>
      </c>
      <c r="B495" s="6">
        <v>19.95</v>
      </c>
    </row>
    <row r="496" spans="1:2" x14ac:dyDescent="0.25">
      <c r="A496" s="4">
        <v>32610</v>
      </c>
      <c r="B496" s="6">
        <v>19.850000000000001</v>
      </c>
    </row>
    <row r="497" spans="1:2" x14ac:dyDescent="0.25">
      <c r="A497" s="4">
        <v>32611</v>
      </c>
      <c r="B497" s="6">
        <v>19.95</v>
      </c>
    </row>
    <row r="498" spans="1:2" x14ac:dyDescent="0.25">
      <c r="A498" s="4">
        <v>32612</v>
      </c>
      <c r="B498" s="6">
        <v>19.63</v>
      </c>
    </row>
    <row r="499" spans="1:2" x14ac:dyDescent="0.25">
      <c r="A499" s="4">
        <v>32615</v>
      </c>
      <c r="B499" s="6">
        <v>19.88</v>
      </c>
    </row>
    <row r="500" spans="1:2" x14ac:dyDescent="0.25">
      <c r="A500" s="4">
        <v>32616</v>
      </c>
      <c r="B500" s="6">
        <v>20.2</v>
      </c>
    </row>
    <row r="501" spans="1:2" x14ac:dyDescent="0.25">
      <c r="A501" s="4">
        <v>32617</v>
      </c>
      <c r="B501" s="6">
        <v>21.5</v>
      </c>
    </row>
    <row r="502" spans="1:2" x14ac:dyDescent="0.25">
      <c r="A502" s="4">
        <v>32618</v>
      </c>
      <c r="B502" s="6">
        <v>22.25</v>
      </c>
    </row>
    <row r="503" spans="1:2" x14ac:dyDescent="0.25">
      <c r="A503" s="4">
        <v>32619</v>
      </c>
      <c r="B503" s="6">
        <v>21.6</v>
      </c>
    </row>
    <row r="504" spans="1:2" x14ac:dyDescent="0.25">
      <c r="A504" s="4">
        <v>32622</v>
      </c>
      <c r="B504" s="6">
        <v>21.2</v>
      </c>
    </row>
    <row r="505" spans="1:2" x14ac:dyDescent="0.25">
      <c r="A505" s="4">
        <v>32623</v>
      </c>
      <c r="B505" s="6">
        <v>21.15</v>
      </c>
    </row>
    <row r="506" spans="1:2" x14ac:dyDescent="0.25">
      <c r="A506" s="4">
        <v>32624</v>
      </c>
      <c r="B506" s="6">
        <v>21.05</v>
      </c>
    </row>
    <row r="507" spans="1:2" x14ac:dyDescent="0.25">
      <c r="A507" s="4">
        <v>32625</v>
      </c>
      <c r="B507" s="6">
        <v>20.65</v>
      </c>
    </row>
    <row r="508" spans="1:2" x14ac:dyDescent="0.25">
      <c r="A508" s="4">
        <v>32626</v>
      </c>
      <c r="B508" s="6">
        <v>20.149999999999999</v>
      </c>
    </row>
    <row r="509" spans="1:2" x14ac:dyDescent="0.25">
      <c r="A509" s="4">
        <v>32629</v>
      </c>
      <c r="B509" s="5"/>
    </row>
    <row r="510" spans="1:2" x14ac:dyDescent="0.25">
      <c r="A510" s="4">
        <v>32630</v>
      </c>
      <c r="B510" s="6">
        <v>19.149999999999999</v>
      </c>
    </row>
    <row r="511" spans="1:2" x14ac:dyDescent="0.25">
      <c r="A511" s="4">
        <v>32631</v>
      </c>
      <c r="B511" s="6">
        <v>18.88</v>
      </c>
    </row>
    <row r="512" spans="1:2" x14ac:dyDescent="0.25">
      <c r="A512" s="4">
        <v>32632</v>
      </c>
      <c r="B512" s="6">
        <v>19.7</v>
      </c>
    </row>
    <row r="513" spans="1:2" x14ac:dyDescent="0.25">
      <c r="A513" s="4">
        <v>32633</v>
      </c>
      <c r="B513" s="6">
        <v>19.399999999999999</v>
      </c>
    </row>
    <row r="514" spans="1:2" x14ac:dyDescent="0.25">
      <c r="A514" s="4">
        <v>32636</v>
      </c>
      <c r="B514" s="6">
        <v>18.8</v>
      </c>
    </row>
    <row r="515" spans="1:2" x14ac:dyDescent="0.25">
      <c r="A515" s="4">
        <v>32637</v>
      </c>
      <c r="B515" s="6">
        <v>19.03</v>
      </c>
    </row>
    <row r="516" spans="1:2" x14ac:dyDescent="0.25">
      <c r="A516" s="4">
        <v>32638</v>
      </c>
      <c r="B516" s="6">
        <v>18.88</v>
      </c>
    </row>
    <row r="517" spans="1:2" x14ac:dyDescent="0.25">
      <c r="A517" s="4">
        <v>32639</v>
      </c>
      <c r="B517" s="6">
        <v>19.3</v>
      </c>
    </row>
    <row r="518" spans="1:2" x14ac:dyDescent="0.25">
      <c r="A518" s="4">
        <v>32640</v>
      </c>
      <c r="B518" s="6">
        <v>19.2</v>
      </c>
    </row>
    <row r="519" spans="1:2" x14ac:dyDescent="0.25">
      <c r="A519" s="4">
        <v>32643</v>
      </c>
      <c r="B519" s="6">
        <v>19.2</v>
      </c>
    </row>
    <row r="520" spans="1:2" x14ac:dyDescent="0.25">
      <c r="A520" s="4">
        <v>32644</v>
      </c>
      <c r="B520" s="6">
        <v>19.8</v>
      </c>
    </row>
    <row r="521" spans="1:2" x14ac:dyDescent="0.25">
      <c r="A521" s="4">
        <v>32645</v>
      </c>
      <c r="B521" s="6">
        <v>18.579999999999998</v>
      </c>
    </row>
    <row r="522" spans="1:2" x14ac:dyDescent="0.25">
      <c r="A522" s="4">
        <v>32646</v>
      </c>
      <c r="B522" s="6">
        <v>18.600000000000001</v>
      </c>
    </row>
    <row r="523" spans="1:2" x14ac:dyDescent="0.25">
      <c r="A523" s="4">
        <v>32647</v>
      </c>
      <c r="B523" s="6">
        <v>18.3</v>
      </c>
    </row>
    <row r="524" spans="1:2" x14ac:dyDescent="0.25">
      <c r="A524" s="4">
        <v>32650</v>
      </c>
      <c r="B524" s="6">
        <v>17.399999999999999</v>
      </c>
    </row>
    <row r="525" spans="1:2" x14ac:dyDescent="0.25">
      <c r="A525" s="4">
        <v>32651</v>
      </c>
      <c r="B525" s="6">
        <v>17.7</v>
      </c>
    </row>
    <row r="526" spans="1:2" x14ac:dyDescent="0.25">
      <c r="A526" s="4">
        <v>32652</v>
      </c>
      <c r="B526" s="6">
        <v>18.149999999999999</v>
      </c>
    </row>
    <row r="527" spans="1:2" x14ac:dyDescent="0.25">
      <c r="A527" s="4">
        <v>32653</v>
      </c>
      <c r="B527" s="6">
        <v>18.2</v>
      </c>
    </row>
    <row r="528" spans="1:2" x14ac:dyDescent="0.25">
      <c r="A528" s="4">
        <v>32654</v>
      </c>
      <c r="B528" s="6">
        <v>17.649999999999999</v>
      </c>
    </row>
    <row r="529" spans="1:2" x14ac:dyDescent="0.25">
      <c r="A529" s="4">
        <v>32657</v>
      </c>
      <c r="B529" s="6">
        <v>17.73</v>
      </c>
    </row>
    <row r="530" spans="1:2" x14ac:dyDescent="0.25">
      <c r="A530" s="4">
        <v>32658</v>
      </c>
      <c r="B530" s="6">
        <v>18.03</v>
      </c>
    </row>
    <row r="531" spans="1:2" x14ac:dyDescent="0.25">
      <c r="A531" s="4">
        <v>32659</v>
      </c>
      <c r="B531" s="6">
        <v>18.25</v>
      </c>
    </row>
    <row r="532" spans="1:2" x14ac:dyDescent="0.25">
      <c r="A532" s="4">
        <v>32660</v>
      </c>
      <c r="B532" s="6">
        <v>18.079999999999998</v>
      </c>
    </row>
    <row r="533" spans="1:2" x14ac:dyDescent="0.25">
      <c r="A533" s="4">
        <v>32661</v>
      </c>
      <c r="B533" s="6">
        <v>18.149999999999999</v>
      </c>
    </row>
    <row r="534" spans="1:2" x14ac:dyDescent="0.25">
      <c r="A534" s="4">
        <v>32664</v>
      </c>
      <c r="B534" s="6">
        <v>18.55</v>
      </c>
    </row>
    <row r="535" spans="1:2" x14ac:dyDescent="0.25">
      <c r="A535" s="4">
        <v>32665</v>
      </c>
      <c r="B535" s="6">
        <v>18.5</v>
      </c>
    </row>
    <row r="536" spans="1:2" x14ac:dyDescent="0.25">
      <c r="A536" s="4">
        <v>32666</v>
      </c>
      <c r="B536" s="6">
        <v>18.149999999999999</v>
      </c>
    </row>
    <row r="537" spans="1:2" x14ac:dyDescent="0.25">
      <c r="A537" s="4">
        <v>32667</v>
      </c>
      <c r="B537" s="6">
        <v>17.8</v>
      </c>
    </row>
    <row r="538" spans="1:2" x14ac:dyDescent="0.25">
      <c r="A538" s="4">
        <v>32668</v>
      </c>
      <c r="B538" s="6">
        <v>17.95</v>
      </c>
    </row>
    <row r="539" spans="1:2" x14ac:dyDescent="0.25">
      <c r="A539" s="4">
        <v>32671</v>
      </c>
      <c r="B539" s="6">
        <v>17.18</v>
      </c>
    </row>
    <row r="540" spans="1:2" x14ac:dyDescent="0.25">
      <c r="A540" s="4">
        <v>32672</v>
      </c>
      <c r="B540" s="6">
        <v>16.8</v>
      </c>
    </row>
    <row r="541" spans="1:2" x14ac:dyDescent="0.25">
      <c r="A541" s="4">
        <v>32673</v>
      </c>
      <c r="B541" s="6">
        <v>16.899999999999999</v>
      </c>
    </row>
    <row r="542" spans="1:2" x14ac:dyDescent="0.25">
      <c r="A542" s="4">
        <v>32674</v>
      </c>
      <c r="B542" s="6">
        <v>16.95</v>
      </c>
    </row>
    <row r="543" spans="1:2" x14ac:dyDescent="0.25">
      <c r="A543" s="4">
        <v>32675</v>
      </c>
      <c r="B543" s="6">
        <v>16.649999999999999</v>
      </c>
    </row>
    <row r="544" spans="1:2" x14ac:dyDescent="0.25">
      <c r="A544" s="4">
        <v>32678</v>
      </c>
      <c r="B544" s="6">
        <v>16.850000000000001</v>
      </c>
    </row>
    <row r="545" spans="1:2" x14ac:dyDescent="0.25">
      <c r="A545" s="4">
        <v>32679</v>
      </c>
      <c r="B545" s="6">
        <v>16.88</v>
      </c>
    </row>
    <row r="546" spans="1:2" x14ac:dyDescent="0.25">
      <c r="A546" s="4">
        <v>32680</v>
      </c>
      <c r="B546" s="6">
        <v>17.13</v>
      </c>
    </row>
    <row r="547" spans="1:2" x14ac:dyDescent="0.25">
      <c r="A547" s="4">
        <v>32681</v>
      </c>
      <c r="B547" s="6">
        <v>17.3</v>
      </c>
    </row>
    <row r="548" spans="1:2" x14ac:dyDescent="0.25">
      <c r="A548" s="4">
        <v>32682</v>
      </c>
      <c r="B548" s="6">
        <v>18.03</v>
      </c>
    </row>
    <row r="549" spans="1:2" x14ac:dyDescent="0.25">
      <c r="A549" s="4">
        <v>32685</v>
      </c>
      <c r="B549" s="6">
        <v>18.23</v>
      </c>
    </row>
    <row r="550" spans="1:2" x14ac:dyDescent="0.25">
      <c r="A550" s="4">
        <v>32686</v>
      </c>
      <c r="B550" s="6">
        <v>18.2</v>
      </c>
    </row>
    <row r="551" spans="1:2" x14ac:dyDescent="0.25">
      <c r="A551" s="4">
        <v>32687</v>
      </c>
      <c r="B551" s="6">
        <v>18</v>
      </c>
    </row>
    <row r="552" spans="1:2" x14ac:dyDescent="0.25">
      <c r="A552" s="4">
        <v>32688</v>
      </c>
      <c r="B552" s="6">
        <v>18.2</v>
      </c>
    </row>
    <row r="553" spans="1:2" x14ac:dyDescent="0.25">
      <c r="A553" s="4">
        <v>32689</v>
      </c>
      <c r="B553" s="6">
        <v>18.28</v>
      </c>
    </row>
    <row r="554" spans="1:2" x14ac:dyDescent="0.25">
      <c r="A554" s="4">
        <v>32692</v>
      </c>
      <c r="B554" s="6">
        <v>18.399999999999999</v>
      </c>
    </row>
    <row r="555" spans="1:2" x14ac:dyDescent="0.25">
      <c r="A555" s="4">
        <v>32693</v>
      </c>
      <c r="B555" s="6">
        <v>18.600000000000001</v>
      </c>
    </row>
    <row r="556" spans="1:2" x14ac:dyDescent="0.25">
      <c r="A556" s="4">
        <v>32694</v>
      </c>
      <c r="B556" s="6">
        <v>18.75</v>
      </c>
    </row>
    <row r="557" spans="1:2" x14ac:dyDescent="0.25">
      <c r="A557" s="4">
        <v>32695</v>
      </c>
      <c r="B557" s="6">
        <v>18.3</v>
      </c>
    </row>
    <row r="558" spans="1:2" x14ac:dyDescent="0.25">
      <c r="A558" s="4">
        <v>32696</v>
      </c>
      <c r="B558" s="6">
        <v>17.850000000000001</v>
      </c>
    </row>
    <row r="559" spans="1:2" x14ac:dyDescent="0.25">
      <c r="A559" s="4">
        <v>32699</v>
      </c>
      <c r="B559" s="6">
        <v>17.829999999999998</v>
      </c>
    </row>
    <row r="560" spans="1:2" x14ac:dyDescent="0.25">
      <c r="A560" s="4">
        <v>32700</v>
      </c>
      <c r="B560" s="6">
        <v>17.63</v>
      </c>
    </row>
    <row r="561" spans="1:2" x14ac:dyDescent="0.25">
      <c r="A561" s="4">
        <v>32701</v>
      </c>
      <c r="B561" s="6">
        <v>17.649999999999999</v>
      </c>
    </row>
    <row r="562" spans="1:2" x14ac:dyDescent="0.25">
      <c r="A562" s="4">
        <v>32702</v>
      </c>
      <c r="B562" s="6">
        <v>17.600000000000001</v>
      </c>
    </row>
    <row r="563" spans="1:2" x14ac:dyDescent="0.25">
      <c r="A563" s="4">
        <v>32703</v>
      </c>
      <c r="B563" s="6">
        <v>17.899999999999999</v>
      </c>
    </row>
    <row r="564" spans="1:2" x14ac:dyDescent="0.25">
      <c r="A564" s="4">
        <v>32706</v>
      </c>
      <c r="B564" s="6">
        <v>18.05</v>
      </c>
    </row>
    <row r="565" spans="1:2" x14ac:dyDescent="0.25">
      <c r="A565" s="4">
        <v>32707</v>
      </c>
      <c r="B565" s="6">
        <v>18.05</v>
      </c>
    </row>
    <row r="566" spans="1:2" x14ac:dyDescent="0.25">
      <c r="A566" s="4">
        <v>32708</v>
      </c>
      <c r="B566" s="6">
        <v>17.850000000000001</v>
      </c>
    </row>
    <row r="567" spans="1:2" x14ac:dyDescent="0.25">
      <c r="A567" s="4">
        <v>32709</v>
      </c>
      <c r="B567" s="6">
        <v>17.98</v>
      </c>
    </row>
    <row r="568" spans="1:2" x14ac:dyDescent="0.25">
      <c r="A568" s="4">
        <v>32710</v>
      </c>
      <c r="B568" s="6">
        <v>17.829999999999998</v>
      </c>
    </row>
    <row r="569" spans="1:2" x14ac:dyDescent="0.25">
      <c r="A569" s="4">
        <v>32713</v>
      </c>
      <c r="B569" s="6">
        <v>17.3</v>
      </c>
    </row>
    <row r="570" spans="1:2" x14ac:dyDescent="0.25">
      <c r="A570" s="4">
        <v>32714</v>
      </c>
      <c r="B570" s="6">
        <v>17.05</v>
      </c>
    </row>
    <row r="571" spans="1:2" x14ac:dyDescent="0.25">
      <c r="A571" s="4">
        <v>32715</v>
      </c>
      <c r="B571" s="6">
        <v>16.5</v>
      </c>
    </row>
    <row r="572" spans="1:2" x14ac:dyDescent="0.25">
      <c r="A572" s="4">
        <v>32716</v>
      </c>
      <c r="B572" s="6">
        <v>16.28</v>
      </c>
    </row>
    <row r="573" spans="1:2" x14ac:dyDescent="0.25">
      <c r="A573" s="4">
        <v>32717</v>
      </c>
      <c r="B573" s="6">
        <v>16.38</v>
      </c>
    </row>
    <row r="574" spans="1:2" x14ac:dyDescent="0.25">
      <c r="A574" s="4">
        <v>32720</v>
      </c>
      <c r="B574" s="6">
        <v>16.3</v>
      </c>
    </row>
    <row r="575" spans="1:2" x14ac:dyDescent="0.25">
      <c r="A575" s="4">
        <v>32721</v>
      </c>
      <c r="B575" s="6">
        <v>16.23</v>
      </c>
    </row>
    <row r="576" spans="1:2" x14ac:dyDescent="0.25">
      <c r="A576" s="4">
        <v>32722</v>
      </c>
      <c r="B576" s="6">
        <v>16.100000000000001</v>
      </c>
    </row>
    <row r="577" spans="1:2" x14ac:dyDescent="0.25">
      <c r="A577" s="4">
        <v>32723</v>
      </c>
      <c r="B577" s="6">
        <v>16.399999999999999</v>
      </c>
    </row>
    <row r="578" spans="1:2" x14ac:dyDescent="0.25">
      <c r="A578" s="4">
        <v>32724</v>
      </c>
      <c r="B578" s="6">
        <v>16.149999999999999</v>
      </c>
    </row>
    <row r="579" spans="1:2" x14ac:dyDescent="0.25">
      <c r="A579" s="4">
        <v>32727</v>
      </c>
      <c r="B579" s="6">
        <v>16.05</v>
      </c>
    </row>
    <row r="580" spans="1:2" x14ac:dyDescent="0.25">
      <c r="A580" s="4">
        <v>32728</v>
      </c>
      <c r="B580" s="6">
        <v>16.28</v>
      </c>
    </row>
    <row r="581" spans="1:2" x14ac:dyDescent="0.25">
      <c r="A581" s="4">
        <v>32729</v>
      </c>
      <c r="B581" s="6">
        <v>16.45</v>
      </c>
    </row>
    <row r="582" spans="1:2" x14ac:dyDescent="0.25">
      <c r="A582" s="4">
        <v>32730</v>
      </c>
      <c r="B582" s="6">
        <v>16.93</v>
      </c>
    </row>
    <row r="583" spans="1:2" x14ac:dyDescent="0.25">
      <c r="A583" s="4">
        <v>32731</v>
      </c>
      <c r="B583" s="6">
        <v>17</v>
      </c>
    </row>
    <row r="584" spans="1:2" x14ac:dyDescent="0.25">
      <c r="A584" s="4">
        <v>32734</v>
      </c>
      <c r="B584" s="6">
        <v>16.850000000000001</v>
      </c>
    </row>
    <row r="585" spans="1:2" x14ac:dyDescent="0.25">
      <c r="A585" s="4">
        <v>32735</v>
      </c>
      <c r="B585" s="6">
        <v>17</v>
      </c>
    </row>
    <row r="586" spans="1:2" x14ac:dyDescent="0.25">
      <c r="A586" s="4">
        <v>32736</v>
      </c>
      <c r="B586" s="6">
        <v>17</v>
      </c>
    </row>
    <row r="587" spans="1:2" x14ac:dyDescent="0.25">
      <c r="A587" s="4">
        <v>32737</v>
      </c>
      <c r="B587" s="6">
        <v>16.95</v>
      </c>
    </row>
    <row r="588" spans="1:2" x14ac:dyDescent="0.25">
      <c r="A588" s="4">
        <v>32738</v>
      </c>
      <c r="B588" s="6">
        <v>16.829999999999998</v>
      </c>
    </row>
    <row r="589" spans="1:2" x14ac:dyDescent="0.25">
      <c r="A589" s="4">
        <v>32741</v>
      </c>
      <c r="B589" s="6">
        <v>16.899999999999999</v>
      </c>
    </row>
    <row r="590" spans="1:2" x14ac:dyDescent="0.25">
      <c r="A590" s="4">
        <v>32742</v>
      </c>
      <c r="B590" s="6">
        <v>17.100000000000001</v>
      </c>
    </row>
    <row r="591" spans="1:2" x14ac:dyDescent="0.25">
      <c r="A591" s="4">
        <v>32743</v>
      </c>
      <c r="B591" s="6">
        <v>17.079999999999998</v>
      </c>
    </row>
    <row r="592" spans="1:2" x14ac:dyDescent="0.25">
      <c r="A592" s="4">
        <v>32744</v>
      </c>
      <c r="B592" s="6">
        <v>17.05</v>
      </c>
    </row>
    <row r="593" spans="1:2" x14ac:dyDescent="0.25">
      <c r="A593" s="4">
        <v>32745</v>
      </c>
      <c r="B593" s="6">
        <v>16.95</v>
      </c>
    </row>
    <row r="594" spans="1:2" x14ac:dyDescent="0.25">
      <c r="A594" s="4">
        <v>32748</v>
      </c>
      <c r="B594" s="6">
        <v>16.98</v>
      </c>
    </row>
    <row r="595" spans="1:2" x14ac:dyDescent="0.25">
      <c r="A595" s="4">
        <v>32749</v>
      </c>
      <c r="B595" s="6">
        <v>17.100000000000001</v>
      </c>
    </row>
    <row r="596" spans="1:2" x14ac:dyDescent="0.25">
      <c r="A596" s="4">
        <v>32750</v>
      </c>
      <c r="B596" s="6">
        <v>17.13</v>
      </c>
    </row>
    <row r="597" spans="1:2" x14ac:dyDescent="0.25">
      <c r="A597" s="4">
        <v>32751</v>
      </c>
      <c r="B597" s="6">
        <v>17.2</v>
      </c>
    </row>
    <row r="598" spans="1:2" x14ac:dyDescent="0.25">
      <c r="A598" s="4">
        <v>32752</v>
      </c>
      <c r="B598" s="6">
        <v>17.329999999999998</v>
      </c>
    </row>
    <row r="599" spans="1:2" x14ac:dyDescent="0.25">
      <c r="A599" s="4">
        <v>32755</v>
      </c>
      <c r="B599" s="6">
        <v>17.43</v>
      </c>
    </row>
    <row r="600" spans="1:2" x14ac:dyDescent="0.25">
      <c r="A600" s="4">
        <v>32756</v>
      </c>
      <c r="B600" s="6">
        <v>17.45</v>
      </c>
    </row>
    <row r="601" spans="1:2" x14ac:dyDescent="0.25">
      <c r="A601" s="4">
        <v>32757</v>
      </c>
      <c r="B601" s="6">
        <v>17.8</v>
      </c>
    </row>
    <row r="602" spans="1:2" x14ac:dyDescent="0.25">
      <c r="A602" s="4">
        <v>32758</v>
      </c>
      <c r="B602" s="6">
        <v>17.8</v>
      </c>
    </row>
    <row r="603" spans="1:2" x14ac:dyDescent="0.25">
      <c r="A603" s="4">
        <v>32759</v>
      </c>
      <c r="B603" s="6">
        <v>17.829999999999998</v>
      </c>
    </row>
    <row r="604" spans="1:2" x14ac:dyDescent="0.25">
      <c r="A604" s="4">
        <v>32762</v>
      </c>
      <c r="B604" s="6">
        <v>17.98</v>
      </c>
    </row>
    <row r="605" spans="1:2" x14ac:dyDescent="0.25">
      <c r="A605" s="4">
        <v>32763</v>
      </c>
      <c r="B605" s="6">
        <v>17.899999999999999</v>
      </c>
    </row>
    <row r="606" spans="1:2" x14ac:dyDescent="0.25">
      <c r="A606" s="4">
        <v>32764</v>
      </c>
      <c r="B606" s="6">
        <v>18.05</v>
      </c>
    </row>
    <row r="607" spans="1:2" x14ac:dyDescent="0.25">
      <c r="A607" s="4">
        <v>32765</v>
      </c>
      <c r="B607" s="6">
        <v>17.899999999999999</v>
      </c>
    </row>
    <row r="608" spans="1:2" x14ac:dyDescent="0.25">
      <c r="A608" s="4">
        <v>32766</v>
      </c>
      <c r="B608" s="6">
        <v>17.88</v>
      </c>
    </row>
    <row r="609" spans="1:2" x14ac:dyDescent="0.25">
      <c r="A609" s="4">
        <v>32769</v>
      </c>
      <c r="B609" s="6">
        <v>18.05</v>
      </c>
    </row>
    <row r="610" spans="1:2" x14ac:dyDescent="0.25">
      <c r="A610" s="4">
        <v>32770</v>
      </c>
      <c r="B610" s="6">
        <v>17.899999999999999</v>
      </c>
    </row>
    <row r="611" spans="1:2" x14ac:dyDescent="0.25">
      <c r="A611" s="4">
        <v>32771</v>
      </c>
      <c r="B611" s="6">
        <v>17.8</v>
      </c>
    </row>
    <row r="612" spans="1:2" x14ac:dyDescent="0.25">
      <c r="A612" s="4">
        <v>32772</v>
      </c>
      <c r="B612" s="6">
        <v>17.850000000000001</v>
      </c>
    </row>
    <row r="613" spans="1:2" x14ac:dyDescent="0.25">
      <c r="A613" s="4">
        <v>32773</v>
      </c>
      <c r="B613" s="6">
        <v>17.53</v>
      </c>
    </row>
    <row r="614" spans="1:2" x14ac:dyDescent="0.25">
      <c r="A614" s="4">
        <v>32776</v>
      </c>
      <c r="B614" s="6">
        <v>17.45</v>
      </c>
    </row>
    <row r="615" spans="1:2" x14ac:dyDescent="0.25">
      <c r="A615" s="4">
        <v>32777</v>
      </c>
      <c r="B615" s="6">
        <v>17.45</v>
      </c>
    </row>
    <row r="616" spans="1:2" x14ac:dyDescent="0.25">
      <c r="A616" s="4">
        <v>32778</v>
      </c>
      <c r="B616" s="6">
        <v>17.55</v>
      </c>
    </row>
    <row r="617" spans="1:2" x14ac:dyDescent="0.25">
      <c r="A617" s="4">
        <v>32779</v>
      </c>
      <c r="B617" s="6">
        <v>17.93</v>
      </c>
    </row>
    <row r="618" spans="1:2" x14ac:dyDescent="0.25">
      <c r="A618" s="4">
        <v>32780</v>
      </c>
      <c r="B618" s="6">
        <v>18.23</v>
      </c>
    </row>
    <row r="619" spans="1:2" x14ac:dyDescent="0.25">
      <c r="A619" s="4">
        <v>32783</v>
      </c>
      <c r="B619" s="6">
        <v>18.579999999999998</v>
      </c>
    </row>
    <row r="620" spans="1:2" x14ac:dyDescent="0.25">
      <c r="A620" s="4">
        <v>32784</v>
      </c>
      <c r="B620" s="6">
        <v>18.73</v>
      </c>
    </row>
    <row r="621" spans="1:2" x14ac:dyDescent="0.25">
      <c r="A621" s="4">
        <v>32785</v>
      </c>
      <c r="B621" s="6">
        <v>18.78</v>
      </c>
    </row>
    <row r="622" spans="1:2" x14ac:dyDescent="0.25">
      <c r="A622" s="4">
        <v>32786</v>
      </c>
      <c r="B622" s="6">
        <v>18.43</v>
      </c>
    </row>
    <row r="623" spans="1:2" x14ac:dyDescent="0.25">
      <c r="A623" s="4">
        <v>32787</v>
      </c>
      <c r="B623" s="6">
        <v>18.45</v>
      </c>
    </row>
    <row r="624" spans="1:2" x14ac:dyDescent="0.25">
      <c r="A624" s="4">
        <v>32790</v>
      </c>
      <c r="B624" s="6">
        <v>18.25</v>
      </c>
    </row>
    <row r="625" spans="1:2" x14ac:dyDescent="0.25">
      <c r="A625" s="4">
        <v>32791</v>
      </c>
      <c r="B625" s="6">
        <v>18.55</v>
      </c>
    </row>
    <row r="626" spans="1:2" x14ac:dyDescent="0.25">
      <c r="A626" s="4">
        <v>32792</v>
      </c>
      <c r="B626" s="6">
        <v>18.850000000000001</v>
      </c>
    </row>
    <row r="627" spans="1:2" x14ac:dyDescent="0.25">
      <c r="A627" s="4">
        <v>32793</v>
      </c>
      <c r="B627" s="6">
        <v>19.23</v>
      </c>
    </row>
    <row r="628" spans="1:2" x14ac:dyDescent="0.25">
      <c r="A628" s="4">
        <v>32794</v>
      </c>
      <c r="B628" s="6">
        <v>19.600000000000001</v>
      </c>
    </row>
    <row r="629" spans="1:2" x14ac:dyDescent="0.25">
      <c r="A629" s="4">
        <v>32797</v>
      </c>
      <c r="B629" s="6">
        <v>19.38</v>
      </c>
    </row>
    <row r="630" spans="1:2" x14ac:dyDescent="0.25">
      <c r="A630" s="4">
        <v>32798</v>
      </c>
      <c r="B630" s="6">
        <v>19.53</v>
      </c>
    </row>
    <row r="631" spans="1:2" x14ac:dyDescent="0.25">
      <c r="A631" s="4">
        <v>32799</v>
      </c>
      <c r="B631" s="6">
        <v>19.43</v>
      </c>
    </row>
    <row r="632" spans="1:2" x14ac:dyDescent="0.25">
      <c r="A632" s="4">
        <v>32800</v>
      </c>
      <c r="B632" s="6">
        <v>19.329999999999998</v>
      </c>
    </row>
    <row r="633" spans="1:2" x14ac:dyDescent="0.25">
      <c r="A633" s="4">
        <v>32801</v>
      </c>
      <c r="B633" s="6">
        <v>19.2</v>
      </c>
    </row>
    <row r="634" spans="1:2" x14ac:dyDescent="0.25">
      <c r="A634" s="4">
        <v>32804</v>
      </c>
      <c r="B634" s="6">
        <v>18.88</v>
      </c>
    </row>
    <row r="635" spans="1:2" x14ac:dyDescent="0.25">
      <c r="A635" s="4">
        <v>32805</v>
      </c>
      <c r="B635" s="6">
        <v>18.8</v>
      </c>
    </row>
    <row r="636" spans="1:2" x14ac:dyDescent="0.25">
      <c r="A636" s="4">
        <v>32806</v>
      </c>
      <c r="B636" s="6">
        <v>18.88</v>
      </c>
    </row>
    <row r="637" spans="1:2" x14ac:dyDescent="0.25">
      <c r="A637" s="4">
        <v>32807</v>
      </c>
      <c r="B637" s="6">
        <v>18.48</v>
      </c>
    </row>
    <row r="638" spans="1:2" x14ac:dyDescent="0.25">
      <c r="A638" s="4">
        <v>32808</v>
      </c>
      <c r="B638" s="6">
        <v>18.7</v>
      </c>
    </row>
    <row r="639" spans="1:2" x14ac:dyDescent="0.25">
      <c r="A639" s="4">
        <v>32811</v>
      </c>
      <c r="B639" s="6">
        <v>18.98</v>
      </c>
    </row>
    <row r="640" spans="1:2" x14ac:dyDescent="0.25">
      <c r="A640" s="4">
        <v>32812</v>
      </c>
      <c r="B640" s="6">
        <v>18.93</v>
      </c>
    </row>
    <row r="641" spans="1:2" x14ac:dyDescent="0.25">
      <c r="A641" s="4">
        <v>32813</v>
      </c>
      <c r="B641" s="6">
        <v>19.23</v>
      </c>
    </row>
    <row r="642" spans="1:2" x14ac:dyDescent="0.25">
      <c r="A642" s="4">
        <v>32814</v>
      </c>
      <c r="B642" s="6">
        <v>19.2</v>
      </c>
    </row>
    <row r="643" spans="1:2" x14ac:dyDescent="0.25">
      <c r="A643" s="4">
        <v>32815</v>
      </c>
      <c r="B643" s="6">
        <v>19</v>
      </c>
    </row>
    <row r="644" spans="1:2" x14ac:dyDescent="0.25">
      <c r="A644" s="4">
        <v>32818</v>
      </c>
      <c r="B644" s="6">
        <v>18.95</v>
      </c>
    </row>
    <row r="645" spans="1:2" x14ac:dyDescent="0.25">
      <c r="A645" s="4">
        <v>32819</v>
      </c>
      <c r="B645" s="6">
        <v>18.899999999999999</v>
      </c>
    </row>
    <row r="646" spans="1:2" x14ac:dyDescent="0.25">
      <c r="A646" s="4">
        <v>32820</v>
      </c>
      <c r="B646" s="6">
        <v>18.899999999999999</v>
      </c>
    </row>
    <row r="647" spans="1:2" x14ac:dyDescent="0.25">
      <c r="A647" s="4">
        <v>32821</v>
      </c>
      <c r="B647" s="6">
        <v>18.850000000000001</v>
      </c>
    </row>
    <row r="648" spans="1:2" x14ac:dyDescent="0.25">
      <c r="A648" s="4">
        <v>32822</v>
      </c>
      <c r="B648" s="6">
        <v>19.05</v>
      </c>
    </row>
    <row r="649" spans="1:2" x14ac:dyDescent="0.25">
      <c r="A649" s="4">
        <v>32825</v>
      </c>
      <c r="B649" s="6">
        <v>18.850000000000001</v>
      </c>
    </row>
    <row r="650" spans="1:2" x14ac:dyDescent="0.25">
      <c r="A650" s="4">
        <v>32826</v>
      </c>
      <c r="B650" s="6">
        <v>18.7</v>
      </c>
    </row>
    <row r="651" spans="1:2" x14ac:dyDescent="0.25">
      <c r="A651" s="4">
        <v>32827</v>
      </c>
      <c r="B651" s="6">
        <v>18.649999999999999</v>
      </c>
    </row>
    <row r="652" spans="1:2" x14ac:dyDescent="0.25">
      <c r="A652" s="4">
        <v>32828</v>
      </c>
      <c r="B652" s="6">
        <v>18.649999999999999</v>
      </c>
    </row>
    <row r="653" spans="1:2" x14ac:dyDescent="0.25">
      <c r="A653" s="4">
        <v>32829</v>
      </c>
      <c r="B653" s="6">
        <v>18.75</v>
      </c>
    </row>
    <row r="654" spans="1:2" x14ac:dyDescent="0.25">
      <c r="A654" s="4">
        <v>32832</v>
      </c>
      <c r="B654" s="6">
        <v>18.8</v>
      </c>
    </row>
    <row r="655" spans="1:2" x14ac:dyDescent="0.25">
      <c r="A655" s="4">
        <v>32833</v>
      </c>
      <c r="B655" s="6">
        <v>18.68</v>
      </c>
    </row>
    <row r="656" spans="1:2" x14ac:dyDescent="0.25">
      <c r="A656" s="4">
        <v>32834</v>
      </c>
      <c r="B656" s="6">
        <v>18.600000000000001</v>
      </c>
    </row>
    <row r="657" spans="1:2" x14ac:dyDescent="0.25">
      <c r="A657" s="4">
        <v>32835</v>
      </c>
      <c r="B657" s="6">
        <v>18.399999999999999</v>
      </c>
    </row>
    <row r="658" spans="1:2" x14ac:dyDescent="0.25">
      <c r="A658" s="4">
        <v>32836</v>
      </c>
      <c r="B658" s="6">
        <v>18.48</v>
      </c>
    </row>
    <row r="659" spans="1:2" x14ac:dyDescent="0.25">
      <c r="A659" s="4">
        <v>32839</v>
      </c>
      <c r="B659" s="6">
        <v>18.5</v>
      </c>
    </row>
    <row r="660" spans="1:2" x14ac:dyDescent="0.25">
      <c r="A660" s="4">
        <v>32840</v>
      </c>
      <c r="B660" s="6">
        <v>18.23</v>
      </c>
    </row>
    <row r="661" spans="1:2" x14ac:dyDescent="0.25">
      <c r="A661" s="4">
        <v>32841</v>
      </c>
      <c r="B661" s="6">
        <v>18.149999999999999</v>
      </c>
    </row>
    <row r="662" spans="1:2" x14ac:dyDescent="0.25">
      <c r="A662" s="4">
        <v>32842</v>
      </c>
      <c r="B662" s="6">
        <v>18.48</v>
      </c>
    </row>
    <row r="663" spans="1:2" x14ac:dyDescent="0.25">
      <c r="A663" s="4">
        <v>32843</v>
      </c>
      <c r="B663" s="6">
        <v>18.68</v>
      </c>
    </row>
    <row r="664" spans="1:2" x14ac:dyDescent="0.25">
      <c r="A664" s="4">
        <v>32846</v>
      </c>
      <c r="B664" s="6">
        <v>19.28</v>
      </c>
    </row>
    <row r="665" spans="1:2" x14ac:dyDescent="0.25">
      <c r="A665" s="4">
        <v>32847</v>
      </c>
      <c r="B665" s="6">
        <v>19.18</v>
      </c>
    </row>
    <row r="666" spans="1:2" x14ac:dyDescent="0.25">
      <c r="A666" s="4">
        <v>32848</v>
      </c>
      <c r="B666" s="6">
        <v>19.28</v>
      </c>
    </row>
    <row r="667" spans="1:2" x14ac:dyDescent="0.25">
      <c r="A667" s="4">
        <v>32849</v>
      </c>
      <c r="B667" s="6">
        <v>19.329999999999998</v>
      </c>
    </row>
    <row r="668" spans="1:2" x14ac:dyDescent="0.25">
      <c r="A668" s="4">
        <v>32850</v>
      </c>
      <c r="B668" s="6">
        <v>19.149999999999999</v>
      </c>
    </row>
    <row r="669" spans="1:2" x14ac:dyDescent="0.25">
      <c r="A669" s="4">
        <v>32853</v>
      </c>
      <c r="B669" s="6">
        <v>19.45</v>
      </c>
    </row>
    <row r="670" spans="1:2" x14ac:dyDescent="0.25">
      <c r="A670" s="4">
        <v>32854</v>
      </c>
      <c r="B670" s="6">
        <v>19.53</v>
      </c>
    </row>
    <row r="671" spans="1:2" x14ac:dyDescent="0.25">
      <c r="A671" s="4">
        <v>32855</v>
      </c>
      <c r="B671" s="6">
        <v>19.78</v>
      </c>
    </row>
    <row r="672" spans="1:2" x14ac:dyDescent="0.25">
      <c r="A672" s="4">
        <v>32856</v>
      </c>
      <c r="B672" s="6">
        <v>19.68</v>
      </c>
    </row>
    <row r="673" spans="1:2" x14ac:dyDescent="0.25">
      <c r="A673" s="4">
        <v>32857</v>
      </c>
      <c r="B673" s="6">
        <v>19.68</v>
      </c>
    </row>
    <row r="674" spans="1:2" x14ac:dyDescent="0.25">
      <c r="A674" s="4">
        <v>32860</v>
      </c>
      <c r="B674" s="6">
        <v>19.98</v>
      </c>
    </row>
    <row r="675" spans="1:2" x14ac:dyDescent="0.25">
      <c r="A675" s="4">
        <v>32861</v>
      </c>
      <c r="B675" s="6">
        <v>20.28</v>
      </c>
    </row>
    <row r="676" spans="1:2" x14ac:dyDescent="0.25">
      <c r="A676" s="4">
        <v>32862</v>
      </c>
      <c r="B676" s="6">
        <v>20.23</v>
      </c>
    </row>
    <row r="677" spans="1:2" x14ac:dyDescent="0.25">
      <c r="A677" s="4">
        <v>32863</v>
      </c>
      <c r="B677" s="6">
        <v>20.13</v>
      </c>
    </row>
    <row r="678" spans="1:2" x14ac:dyDescent="0.25">
      <c r="A678" s="4">
        <v>32864</v>
      </c>
      <c r="B678" s="6">
        <v>20.5</v>
      </c>
    </row>
    <row r="679" spans="1:2" x14ac:dyDescent="0.25">
      <c r="A679" s="4">
        <v>32867</v>
      </c>
      <c r="B679" s="5"/>
    </row>
    <row r="680" spans="1:2" x14ac:dyDescent="0.25">
      <c r="A680" s="4">
        <v>32868</v>
      </c>
      <c r="B680" s="5"/>
    </row>
    <row r="681" spans="1:2" x14ac:dyDescent="0.25">
      <c r="A681" s="4">
        <v>32869</v>
      </c>
      <c r="B681" s="6">
        <v>20.9</v>
      </c>
    </row>
    <row r="682" spans="1:2" x14ac:dyDescent="0.25">
      <c r="A682" s="4">
        <v>32870</v>
      </c>
      <c r="B682" s="6">
        <v>20.85</v>
      </c>
    </row>
    <row r="683" spans="1:2" x14ac:dyDescent="0.25">
      <c r="A683" s="4">
        <v>32871</v>
      </c>
      <c r="B683" s="6">
        <v>21.05</v>
      </c>
    </row>
    <row r="684" spans="1:2" x14ac:dyDescent="0.25">
      <c r="A684" s="4">
        <v>32874</v>
      </c>
      <c r="B684" s="5"/>
    </row>
    <row r="685" spans="1:2" x14ac:dyDescent="0.25">
      <c r="A685" s="4">
        <v>32875</v>
      </c>
      <c r="B685" s="6">
        <v>21.2</v>
      </c>
    </row>
    <row r="686" spans="1:2" x14ac:dyDescent="0.25">
      <c r="A686" s="4">
        <v>32876</v>
      </c>
      <c r="B686" s="6">
        <v>22.65</v>
      </c>
    </row>
    <row r="687" spans="1:2" x14ac:dyDescent="0.25">
      <c r="A687" s="4">
        <v>32877</v>
      </c>
      <c r="B687" s="6">
        <v>22.5</v>
      </c>
    </row>
    <row r="688" spans="1:2" x14ac:dyDescent="0.25">
      <c r="A688" s="4">
        <v>32878</v>
      </c>
      <c r="B688" s="6">
        <v>23.13</v>
      </c>
    </row>
    <row r="689" spans="1:2" x14ac:dyDescent="0.25">
      <c r="A689" s="4">
        <v>32881</v>
      </c>
      <c r="B689" s="6">
        <v>21.38</v>
      </c>
    </row>
    <row r="690" spans="1:2" x14ac:dyDescent="0.25">
      <c r="A690" s="4">
        <v>32882</v>
      </c>
      <c r="B690" s="6">
        <v>21.03</v>
      </c>
    </row>
    <row r="691" spans="1:2" x14ac:dyDescent="0.25">
      <c r="A691" s="4">
        <v>32883</v>
      </c>
      <c r="B691" s="6">
        <v>21.95</v>
      </c>
    </row>
    <row r="692" spans="1:2" x14ac:dyDescent="0.25">
      <c r="A692" s="4">
        <v>32884</v>
      </c>
      <c r="B692" s="6">
        <v>21.88</v>
      </c>
    </row>
    <row r="693" spans="1:2" x14ac:dyDescent="0.25">
      <c r="A693" s="4">
        <v>32885</v>
      </c>
      <c r="B693" s="6">
        <v>22.13</v>
      </c>
    </row>
    <row r="694" spans="1:2" x14ac:dyDescent="0.25">
      <c r="A694" s="4">
        <v>32888</v>
      </c>
      <c r="B694" s="6">
        <v>21.6</v>
      </c>
    </row>
    <row r="695" spans="1:2" x14ac:dyDescent="0.25">
      <c r="A695" s="4">
        <v>32889</v>
      </c>
      <c r="B695" s="6">
        <v>21.15</v>
      </c>
    </row>
    <row r="696" spans="1:2" x14ac:dyDescent="0.25">
      <c r="A696" s="4">
        <v>32890</v>
      </c>
      <c r="B696" s="6">
        <v>20.45</v>
      </c>
    </row>
    <row r="697" spans="1:2" x14ac:dyDescent="0.25">
      <c r="A697" s="4">
        <v>32891</v>
      </c>
      <c r="B697" s="6">
        <v>20.78</v>
      </c>
    </row>
    <row r="698" spans="1:2" x14ac:dyDescent="0.25">
      <c r="A698" s="4">
        <v>32892</v>
      </c>
      <c r="B698" s="6">
        <v>21.28</v>
      </c>
    </row>
    <row r="699" spans="1:2" x14ac:dyDescent="0.25">
      <c r="A699" s="4">
        <v>32895</v>
      </c>
      <c r="B699" s="6">
        <v>20.88</v>
      </c>
    </row>
    <row r="700" spans="1:2" x14ac:dyDescent="0.25">
      <c r="A700" s="4">
        <v>32896</v>
      </c>
      <c r="B700" s="6">
        <v>20.23</v>
      </c>
    </row>
    <row r="701" spans="1:2" x14ac:dyDescent="0.25">
      <c r="A701" s="4">
        <v>32897</v>
      </c>
      <c r="B701" s="6">
        <v>20.18</v>
      </c>
    </row>
    <row r="702" spans="1:2" x14ac:dyDescent="0.25">
      <c r="A702" s="4">
        <v>32898</v>
      </c>
      <c r="B702" s="6">
        <v>20.55</v>
      </c>
    </row>
    <row r="703" spans="1:2" x14ac:dyDescent="0.25">
      <c r="A703" s="4">
        <v>32899</v>
      </c>
      <c r="B703" s="6">
        <v>20.63</v>
      </c>
    </row>
    <row r="704" spans="1:2" x14ac:dyDescent="0.25">
      <c r="A704" s="4">
        <v>32902</v>
      </c>
      <c r="B704" s="6">
        <v>20.73</v>
      </c>
    </row>
    <row r="705" spans="1:2" x14ac:dyDescent="0.25">
      <c r="A705" s="4">
        <v>32903</v>
      </c>
      <c r="B705" s="6">
        <v>20.73</v>
      </c>
    </row>
    <row r="706" spans="1:2" x14ac:dyDescent="0.25">
      <c r="A706" s="4">
        <v>32904</v>
      </c>
      <c r="B706" s="6">
        <v>20.5</v>
      </c>
    </row>
    <row r="707" spans="1:2" x14ac:dyDescent="0.25">
      <c r="A707" s="4">
        <v>32905</v>
      </c>
      <c r="B707" s="6">
        <v>20.58</v>
      </c>
    </row>
    <row r="708" spans="1:2" x14ac:dyDescent="0.25">
      <c r="A708" s="4">
        <v>32906</v>
      </c>
      <c r="B708" s="6">
        <v>20.73</v>
      </c>
    </row>
    <row r="709" spans="1:2" x14ac:dyDescent="0.25">
      <c r="A709" s="4">
        <v>32909</v>
      </c>
      <c r="B709" s="6">
        <v>20.73</v>
      </c>
    </row>
    <row r="710" spans="1:2" x14ac:dyDescent="0.25">
      <c r="A710" s="4">
        <v>32910</v>
      </c>
      <c r="B710" s="6">
        <v>20.6</v>
      </c>
    </row>
    <row r="711" spans="1:2" x14ac:dyDescent="0.25">
      <c r="A711" s="4">
        <v>32911</v>
      </c>
      <c r="B711" s="6">
        <v>20.149999999999999</v>
      </c>
    </row>
    <row r="712" spans="1:2" x14ac:dyDescent="0.25">
      <c r="A712" s="4">
        <v>32912</v>
      </c>
      <c r="B712" s="6">
        <v>20.05</v>
      </c>
    </row>
    <row r="713" spans="1:2" x14ac:dyDescent="0.25">
      <c r="A713" s="4">
        <v>32913</v>
      </c>
      <c r="B713" s="6">
        <v>19.75</v>
      </c>
    </row>
    <row r="714" spans="1:2" x14ac:dyDescent="0.25">
      <c r="A714" s="4">
        <v>32916</v>
      </c>
      <c r="B714" s="6">
        <v>19.68</v>
      </c>
    </row>
    <row r="715" spans="1:2" x14ac:dyDescent="0.25">
      <c r="A715" s="4">
        <v>32917</v>
      </c>
      <c r="B715" s="6">
        <v>20.03</v>
      </c>
    </row>
    <row r="716" spans="1:2" x14ac:dyDescent="0.25">
      <c r="A716" s="4">
        <v>32918</v>
      </c>
      <c r="B716" s="6">
        <v>19.600000000000001</v>
      </c>
    </row>
    <row r="717" spans="1:2" x14ac:dyDescent="0.25">
      <c r="A717" s="4">
        <v>32919</v>
      </c>
      <c r="B717" s="6">
        <v>19.899999999999999</v>
      </c>
    </row>
    <row r="718" spans="1:2" x14ac:dyDescent="0.25">
      <c r="A718" s="4">
        <v>32920</v>
      </c>
      <c r="B718" s="6">
        <v>19.88</v>
      </c>
    </row>
    <row r="719" spans="1:2" x14ac:dyDescent="0.25">
      <c r="A719" s="4">
        <v>32923</v>
      </c>
      <c r="B719" s="6">
        <v>19.95</v>
      </c>
    </row>
    <row r="720" spans="1:2" x14ac:dyDescent="0.25">
      <c r="A720" s="4">
        <v>32924</v>
      </c>
      <c r="B720" s="6">
        <v>19.68</v>
      </c>
    </row>
    <row r="721" spans="1:2" x14ac:dyDescent="0.25">
      <c r="A721" s="4">
        <v>32925</v>
      </c>
      <c r="B721" s="6">
        <v>19.5</v>
      </c>
    </row>
    <row r="722" spans="1:2" x14ac:dyDescent="0.25">
      <c r="A722" s="4">
        <v>32926</v>
      </c>
      <c r="B722" s="6">
        <v>19.350000000000001</v>
      </c>
    </row>
    <row r="723" spans="1:2" x14ac:dyDescent="0.25">
      <c r="A723" s="4">
        <v>32927</v>
      </c>
      <c r="B723" s="6">
        <v>18.78</v>
      </c>
    </row>
    <row r="724" spans="1:2" x14ac:dyDescent="0.25">
      <c r="A724" s="4">
        <v>32930</v>
      </c>
      <c r="B724" s="6">
        <v>18.899999999999999</v>
      </c>
    </row>
    <row r="725" spans="1:2" x14ac:dyDescent="0.25">
      <c r="A725" s="4">
        <v>32931</v>
      </c>
      <c r="B725" s="6">
        <v>19.23</v>
      </c>
    </row>
    <row r="726" spans="1:2" x14ac:dyDescent="0.25">
      <c r="A726" s="4">
        <v>32932</v>
      </c>
      <c r="B726" s="6">
        <v>19.2</v>
      </c>
    </row>
    <row r="727" spans="1:2" x14ac:dyDescent="0.25">
      <c r="A727" s="4">
        <v>32933</v>
      </c>
      <c r="B727" s="6">
        <v>19.329999999999998</v>
      </c>
    </row>
    <row r="728" spans="1:2" x14ac:dyDescent="0.25">
      <c r="A728" s="4">
        <v>32934</v>
      </c>
      <c r="B728" s="6">
        <v>19.18</v>
      </c>
    </row>
    <row r="729" spans="1:2" x14ac:dyDescent="0.25">
      <c r="A729" s="4">
        <v>32937</v>
      </c>
      <c r="B729" s="6">
        <v>19.149999999999999</v>
      </c>
    </row>
    <row r="730" spans="1:2" x14ac:dyDescent="0.25">
      <c r="A730" s="4">
        <v>32938</v>
      </c>
      <c r="B730" s="6">
        <v>19.18</v>
      </c>
    </row>
    <row r="731" spans="1:2" x14ac:dyDescent="0.25">
      <c r="A731" s="4">
        <v>32939</v>
      </c>
      <c r="B731" s="6">
        <v>18.95</v>
      </c>
    </row>
    <row r="732" spans="1:2" x14ac:dyDescent="0.25">
      <c r="A732" s="4">
        <v>32940</v>
      </c>
      <c r="B732" s="6">
        <v>18.73</v>
      </c>
    </row>
    <row r="733" spans="1:2" x14ac:dyDescent="0.25">
      <c r="A733" s="4">
        <v>32941</v>
      </c>
      <c r="B733" s="6">
        <v>18.68</v>
      </c>
    </row>
    <row r="734" spans="1:2" x14ac:dyDescent="0.25">
      <c r="A734" s="4">
        <v>32944</v>
      </c>
      <c r="B734" s="6">
        <v>18.3</v>
      </c>
    </row>
    <row r="735" spans="1:2" x14ac:dyDescent="0.25">
      <c r="A735" s="4">
        <v>32945</v>
      </c>
      <c r="B735" s="6">
        <v>18.53</v>
      </c>
    </row>
    <row r="736" spans="1:2" x14ac:dyDescent="0.25">
      <c r="A736" s="4">
        <v>32946</v>
      </c>
      <c r="B736" s="6">
        <v>18.329999999999998</v>
      </c>
    </row>
    <row r="737" spans="1:2" x14ac:dyDescent="0.25">
      <c r="A737" s="4">
        <v>32947</v>
      </c>
      <c r="B737" s="6">
        <v>18.48</v>
      </c>
    </row>
    <row r="738" spans="1:2" x14ac:dyDescent="0.25">
      <c r="A738" s="4">
        <v>32948</v>
      </c>
      <c r="B738" s="6">
        <v>18.399999999999999</v>
      </c>
    </row>
    <row r="739" spans="1:2" x14ac:dyDescent="0.25">
      <c r="A739" s="4">
        <v>32951</v>
      </c>
      <c r="B739" s="6">
        <v>17.829999999999998</v>
      </c>
    </row>
    <row r="740" spans="1:2" x14ac:dyDescent="0.25">
      <c r="A740" s="4">
        <v>32952</v>
      </c>
      <c r="B740" s="6">
        <v>17.75</v>
      </c>
    </row>
    <row r="741" spans="1:2" x14ac:dyDescent="0.25">
      <c r="A741" s="4">
        <v>32953</v>
      </c>
      <c r="B741" s="6">
        <v>17.78</v>
      </c>
    </row>
    <row r="742" spans="1:2" x14ac:dyDescent="0.25">
      <c r="A742" s="4">
        <v>32954</v>
      </c>
      <c r="B742" s="6">
        <v>17.829999999999998</v>
      </c>
    </row>
    <row r="743" spans="1:2" x14ac:dyDescent="0.25">
      <c r="A743" s="4">
        <v>32955</v>
      </c>
      <c r="B743" s="6">
        <v>17.88</v>
      </c>
    </row>
    <row r="744" spans="1:2" x14ac:dyDescent="0.25">
      <c r="A744" s="4">
        <v>32958</v>
      </c>
      <c r="B744" s="6">
        <v>18.23</v>
      </c>
    </row>
    <row r="745" spans="1:2" x14ac:dyDescent="0.25">
      <c r="A745" s="4">
        <v>32959</v>
      </c>
      <c r="B745" s="6">
        <v>18.100000000000001</v>
      </c>
    </row>
    <row r="746" spans="1:2" x14ac:dyDescent="0.25">
      <c r="A746" s="4">
        <v>32960</v>
      </c>
      <c r="B746" s="6">
        <v>18.03</v>
      </c>
    </row>
    <row r="747" spans="1:2" x14ac:dyDescent="0.25">
      <c r="A747" s="4">
        <v>32961</v>
      </c>
      <c r="B747" s="6">
        <v>17.899999999999999</v>
      </c>
    </row>
    <row r="748" spans="1:2" x14ac:dyDescent="0.25">
      <c r="A748" s="4">
        <v>32962</v>
      </c>
      <c r="B748" s="6">
        <v>17.95</v>
      </c>
    </row>
    <row r="749" spans="1:2" x14ac:dyDescent="0.25">
      <c r="A749" s="4">
        <v>32965</v>
      </c>
      <c r="B749" s="6">
        <v>18.18</v>
      </c>
    </row>
    <row r="750" spans="1:2" x14ac:dyDescent="0.25">
      <c r="A750" s="4">
        <v>32966</v>
      </c>
      <c r="B750" s="6">
        <v>18.2</v>
      </c>
    </row>
    <row r="751" spans="1:2" x14ac:dyDescent="0.25">
      <c r="A751" s="4">
        <v>32967</v>
      </c>
      <c r="B751" s="6">
        <v>17.95</v>
      </c>
    </row>
    <row r="752" spans="1:2" x14ac:dyDescent="0.25">
      <c r="A752" s="4">
        <v>32968</v>
      </c>
      <c r="B752" s="6">
        <v>17.55</v>
      </c>
    </row>
    <row r="753" spans="1:2" x14ac:dyDescent="0.25">
      <c r="A753" s="4">
        <v>32969</v>
      </c>
      <c r="B753" s="6">
        <v>17.100000000000001</v>
      </c>
    </row>
    <row r="754" spans="1:2" x14ac:dyDescent="0.25">
      <c r="A754" s="4">
        <v>32972</v>
      </c>
      <c r="B754" s="6">
        <v>16.53</v>
      </c>
    </row>
    <row r="755" spans="1:2" x14ac:dyDescent="0.25">
      <c r="A755" s="4">
        <v>32973</v>
      </c>
      <c r="B755" s="6">
        <v>15.93</v>
      </c>
    </row>
    <row r="756" spans="1:2" x14ac:dyDescent="0.25">
      <c r="A756" s="4">
        <v>32974</v>
      </c>
      <c r="B756" s="6">
        <v>15.3</v>
      </c>
    </row>
    <row r="757" spans="1:2" x14ac:dyDescent="0.25">
      <c r="A757" s="4">
        <v>32975</v>
      </c>
      <c r="B757" s="6">
        <v>15.8</v>
      </c>
    </row>
    <row r="758" spans="1:2" x14ac:dyDescent="0.25">
      <c r="A758" s="4">
        <v>32976</v>
      </c>
      <c r="B758" s="5"/>
    </row>
    <row r="759" spans="1:2" x14ac:dyDescent="0.25">
      <c r="A759" s="4">
        <v>32979</v>
      </c>
      <c r="B759" s="5"/>
    </row>
    <row r="760" spans="1:2" x14ac:dyDescent="0.25">
      <c r="A760" s="4">
        <v>32980</v>
      </c>
      <c r="B760" s="6">
        <v>15.7</v>
      </c>
    </row>
    <row r="761" spans="1:2" x14ac:dyDescent="0.25">
      <c r="A761" s="4">
        <v>32981</v>
      </c>
      <c r="B761" s="6">
        <v>15.33</v>
      </c>
    </row>
    <row r="762" spans="1:2" x14ac:dyDescent="0.25">
      <c r="A762" s="4">
        <v>32982</v>
      </c>
      <c r="B762" s="6">
        <v>16.13</v>
      </c>
    </row>
    <row r="763" spans="1:2" x14ac:dyDescent="0.25">
      <c r="A763" s="4">
        <v>32983</v>
      </c>
      <c r="B763" s="6">
        <v>16.350000000000001</v>
      </c>
    </row>
    <row r="764" spans="1:2" x14ac:dyDescent="0.25">
      <c r="A764" s="4">
        <v>32986</v>
      </c>
      <c r="B764" s="6">
        <v>16.95</v>
      </c>
    </row>
    <row r="765" spans="1:2" x14ac:dyDescent="0.25">
      <c r="A765" s="4">
        <v>32987</v>
      </c>
      <c r="B765" s="6">
        <v>16.75</v>
      </c>
    </row>
    <row r="766" spans="1:2" x14ac:dyDescent="0.25">
      <c r="A766" s="4">
        <v>32988</v>
      </c>
      <c r="B766" s="6">
        <v>16.5</v>
      </c>
    </row>
    <row r="767" spans="1:2" x14ac:dyDescent="0.25">
      <c r="A767" s="4">
        <v>32989</v>
      </c>
      <c r="B767" s="6">
        <v>16.600000000000001</v>
      </c>
    </row>
    <row r="768" spans="1:2" x14ac:dyDescent="0.25">
      <c r="A768" s="4">
        <v>32990</v>
      </c>
      <c r="B768" s="6">
        <v>16.43</v>
      </c>
    </row>
    <row r="769" spans="1:2" x14ac:dyDescent="0.25">
      <c r="A769" s="4">
        <v>32993</v>
      </c>
      <c r="B769" s="6">
        <v>16.350000000000001</v>
      </c>
    </row>
    <row r="770" spans="1:2" x14ac:dyDescent="0.25">
      <c r="A770" s="4">
        <v>32994</v>
      </c>
      <c r="B770" s="6">
        <v>16.43</v>
      </c>
    </row>
    <row r="771" spans="1:2" x14ac:dyDescent="0.25">
      <c r="A771" s="4">
        <v>32995</v>
      </c>
      <c r="B771" s="6">
        <v>16.579999999999998</v>
      </c>
    </row>
    <row r="772" spans="1:2" x14ac:dyDescent="0.25">
      <c r="A772" s="4">
        <v>32996</v>
      </c>
      <c r="B772" s="6">
        <v>15.93</v>
      </c>
    </row>
    <row r="773" spans="1:2" x14ac:dyDescent="0.25">
      <c r="A773" s="4">
        <v>32997</v>
      </c>
      <c r="B773" s="6">
        <v>15.58</v>
      </c>
    </row>
    <row r="774" spans="1:2" x14ac:dyDescent="0.25">
      <c r="A774" s="4">
        <v>33000</v>
      </c>
      <c r="B774" s="6">
        <v>15.65</v>
      </c>
    </row>
    <row r="775" spans="1:2" x14ac:dyDescent="0.25">
      <c r="A775" s="4">
        <v>33001</v>
      </c>
      <c r="B775" s="6">
        <v>16.18</v>
      </c>
    </row>
    <row r="776" spans="1:2" x14ac:dyDescent="0.25">
      <c r="A776" s="4">
        <v>33002</v>
      </c>
      <c r="B776" s="6">
        <v>16.45</v>
      </c>
    </row>
    <row r="777" spans="1:2" x14ac:dyDescent="0.25">
      <c r="A777" s="4">
        <v>33003</v>
      </c>
      <c r="B777" s="6">
        <v>16.7</v>
      </c>
    </row>
    <row r="778" spans="1:2" x14ac:dyDescent="0.25">
      <c r="A778" s="4">
        <v>33004</v>
      </c>
      <c r="B778" s="6">
        <v>16.73</v>
      </c>
    </row>
    <row r="779" spans="1:2" x14ac:dyDescent="0.25">
      <c r="A779" s="4">
        <v>33007</v>
      </c>
      <c r="B779" s="6">
        <v>17.399999999999999</v>
      </c>
    </row>
    <row r="780" spans="1:2" x14ac:dyDescent="0.25">
      <c r="A780" s="4">
        <v>33008</v>
      </c>
      <c r="B780" s="6">
        <v>17.399999999999999</v>
      </c>
    </row>
    <row r="781" spans="1:2" x14ac:dyDescent="0.25">
      <c r="A781" s="4">
        <v>33009</v>
      </c>
      <c r="B781" s="6">
        <v>17.25</v>
      </c>
    </row>
    <row r="782" spans="1:2" x14ac:dyDescent="0.25">
      <c r="A782" s="4">
        <v>33010</v>
      </c>
      <c r="B782" s="6">
        <v>17.05</v>
      </c>
    </row>
    <row r="783" spans="1:2" x14ac:dyDescent="0.25">
      <c r="A783" s="4">
        <v>33011</v>
      </c>
      <c r="B783" s="6">
        <v>17.079999999999998</v>
      </c>
    </row>
    <row r="784" spans="1:2" x14ac:dyDescent="0.25">
      <c r="A784" s="4">
        <v>33014</v>
      </c>
      <c r="B784" s="6">
        <v>16.649999999999999</v>
      </c>
    </row>
    <row r="785" spans="1:2" x14ac:dyDescent="0.25">
      <c r="A785" s="4">
        <v>33015</v>
      </c>
      <c r="B785" s="6">
        <v>16.48</v>
      </c>
    </row>
    <row r="786" spans="1:2" x14ac:dyDescent="0.25">
      <c r="A786" s="4">
        <v>33016</v>
      </c>
      <c r="B786" s="6">
        <v>15.7</v>
      </c>
    </row>
    <row r="787" spans="1:2" x14ac:dyDescent="0.25">
      <c r="A787" s="4">
        <v>33017</v>
      </c>
      <c r="B787" s="6">
        <v>15.8</v>
      </c>
    </row>
    <row r="788" spans="1:2" x14ac:dyDescent="0.25">
      <c r="A788" s="4">
        <v>33018</v>
      </c>
      <c r="B788" s="6">
        <v>15.95</v>
      </c>
    </row>
    <row r="789" spans="1:2" x14ac:dyDescent="0.25">
      <c r="A789" s="4">
        <v>33021</v>
      </c>
      <c r="B789" s="5"/>
    </row>
    <row r="790" spans="1:2" x14ac:dyDescent="0.25">
      <c r="A790" s="4">
        <v>33022</v>
      </c>
      <c r="B790" s="6">
        <v>15.48</v>
      </c>
    </row>
    <row r="791" spans="1:2" x14ac:dyDescent="0.25">
      <c r="A791" s="4">
        <v>33023</v>
      </c>
      <c r="B791" s="6">
        <v>15.98</v>
      </c>
    </row>
    <row r="792" spans="1:2" x14ac:dyDescent="0.25">
      <c r="A792" s="4">
        <v>33024</v>
      </c>
      <c r="B792" s="6">
        <v>15.3</v>
      </c>
    </row>
    <row r="793" spans="1:2" x14ac:dyDescent="0.25">
      <c r="A793" s="4">
        <v>33025</v>
      </c>
      <c r="B793" s="6">
        <v>15.43</v>
      </c>
    </row>
    <row r="794" spans="1:2" x14ac:dyDescent="0.25">
      <c r="A794" s="4">
        <v>33028</v>
      </c>
      <c r="B794" s="6">
        <v>15.35</v>
      </c>
    </row>
    <row r="795" spans="1:2" x14ac:dyDescent="0.25">
      <c r="A795" s="4">
        <v>33029</v>
      </c>
      <c r="B795" s="6">
        <v>14.78</v>
      </c>
    </row>
    <row r="796" spans="1:2" x14ac:dyDescent="0.25">
      <c r="A796" s="4">
        <v>33030</v>
      </c>
      <c r="B796" s="6">
        <v>14.8</v>
      </c>
    </row>
    <row r="797" spans="1:2" x14ac:dyDescent="0.25">
      <c r="A797" s="4">
        <v>33031</v>
      </c>
      <c r="B797" s="6">
        <v>15.03</v>
      </c>
    </row>
    <row r="798" spans="1:2" x14ac:dyDescent="0.25">
      <c r="A798" s="4">
        <v>33032</v>
      </c>
      <c r="B798" s="6">
        <v>14.68</v>
      </c>
    </row>
    <row r="799" spans="1:2" x14ac:dyDescent="0.25">
      <c r="A799" s="4">
        <v>33035</v>
      </c>
      <c r="B799" s="6">
        <v>14.73</v>
      </c>
    </row>
    <row r="800" spans="1:2" x14ac:dyDescent="0.25">
      <c r="A800" s="4">
        <v>33036</v>
      </c>
      <c r="B800" s="6">
        <v>14.95</v>
      </c>
    </row>
    <row r="801" spans="1:2" x14ac:dyDescent="0.25">
      <c r="A801" s="4">
        <v>33037</v>
      </c>
      <c r="B801" s="6">
        <v>14.9</v>
      </c>
    </row>
    <row r="802" spans="1:2" x14ac:dyDescent="0.25">
      <c r="A802" s="4">
        <v>33038</v>
      </c>
      <c r="B802" s="6">
        <v>15.3</v>
      </c>
    </row>
    <row r="803" spans="1:2" x14ac:dyDescent="0.25">
      <c r="A803" s="4">
        <v>33039</v>
      </c>
      <c r="B803" s="6">
        <v>15.15</v>
      </c>
    </row>
    <row r="804" spans="1:2" x14ac:dyDescent="0.25">
      <c r="A804" s="4">
        <v>33042</v>
      </c>
      <c r="B804" s="6">
        <v>14.83</v>
      </c>
    </row>
    <row r="805" spans="1:2" x14ac:dyDescent="0.25">
      <c r="A805" s="4">
        <v>33043</v>
      </c>
      <c r="B805" s="6">
        <v>14.75</v>
      </c>
    </row>
    <row r="806" spans="1:2" x14ac:dyDescent="0.25">
      <c r="A806" s="4">
        <v>33044</v>
      </c>
      <c r="B806" s="6">
        <v>14.75</v>
      </c>
    </row>
    <row r="807" spans="1:2" x14ac:dyDescent="0.25">
      <c r="A807" s="4">
        <v>33045</v>
      </c>
      <c r="B807" s="6">
        <v>14.75</v>
      </c>
    </row>
    <row r="808" spans="1:2" x14ac:dyDescent="0.25">
      <c r="A808" s="4">
        <v>33046</v>
      </c>
      <c r="B808" s="6">
        <v>15.4</v>
      </c>
    </row>
    <row r="809" spans="1:2" x14ac:dyDescent="0.25">
      <c r="A809" s="4">
        <v>33049</v>
      </c>
      <c r="B809" s="6">
        <v>15.58</v>
      </c>
    </row>
    <row r="810" spans="1:2" x14ac:dyDescent="0.25">
      <c r="A810" s="4">
        <v>33050</v>
      </c>
      <c r="B810" s="6">
        <v>15.58</v>
      </c>
    </row>
    <row r="811" spans="1:2" x14ac:dyDescent="0.25">
      <c r="A811" s="4">
        <v>33051</v>
      </c>
      <c r="B811" s="6">
        <v>15.33</v>
      </c>
    </row>
    <row r="812" spans="1:2" x14ac:dyDescent="0.25">
      <c r="A812" s="4">
        <v>33052</v>
      </c>
      <c r="B812" s="6">
        <v>15.4</v>
      </c>
    </row>
    <row r="813" spans="1:2" x14ac:dyDescent="0.25">
      <c r="A813" s="4">
        <v>33053</v>
      </c>
      <c r="B813" s="6">
        <v>15.73</v>
      </c>
    </row>
    <row r="814" spans="1:2" x14ac:dyDescent="0.25">
      <c r="A814" s="4">
        <v>33056</v>
      </c>
      <c r="B814" s="6">
        <v>15.4</v>
      </c>
    </row>
    <row r="815" spans="1:2" x14ac:dyDescent="0.25">
      <c r="A815" s="4">
        <v>33057</v>
      </c>
      <c r="B815" s="6">
        <v>15.48</v>
      </c>
    </row>
    <row r="816" spans="1:2" x14ac:dyDescent="0.25">
      <c r="A816" s="4">
        <v>33058</v>
      </c>
      <c r="B816" s="6">
        <v>15.48</v>
      </c>
    </row>
    <row r="817" spans="1:2" x14ac:dyDescent="0.25">
      <c r="A817" s="4">
        <v>33059</v>
      </c>
      <c r="B817" s="6">
        <v>15.23</v>
      </c>
    </row>
    <row r="818" spans="1:2" x14ac:dyDescent="0.25">
      <c r="A818" s="4">
        <v>33060</v>
      </c>
      <c r="B818" s="6">
        <v>15.35</v>
      </c>
    </row>
    <row r="819" spans="1:2" x14ac:dyDescent="0.25">
      <c r="A819" s="4">
        <v>33063</v>
      </c>
      <c r="B819" s="6">
        <v>14.98</v>
      </c>
    </row>
    <row r="820" spans="1:2" x14ac:dyDescent="0.25">
      <c r="A820" s="4">
        <v>33064</v>
      </c>
      <c r="B820" s="6">
        <v>15.58</v>
      </c>
    </row>
    <row r="821" spans="1:2" x14ac:dyDescent="0.25">
      <c r="A821" s="4">
        <v>33065</v>
      </c>
      <c r="B821" s="6">
        <v>15.7</v>
      </c>
    </row>
    <row r="822" spans="1:2" x14ac:dyDescent="0.25">
      <c r="A822" s="4">
        <v>33066</v>
      </c>
      <c r="B822" s="6">
        <v>15.88</v>
      </c>
    </row>
    <row r="823" spans="1:2" x14ac:dyDescent="0.25">
      <c r="A823" s="4">
        <v>33067</v>
      </c>
      <c r="B823" s="6">
        <v>17.03</v>
      </c>
    </row>
    <row r="824" spans="1:2" x14ac:dyDescent="0.25">
      <c r="A824" s="4">
        <v>33070</v>
      </c>
      <c r="B824" s="6">
        <v>17.7</v>
      </c>
    </row>
    <row r="825" spans="1:2" x14ac:dyDescent="0.25">
      <c r="A825" s="4">
        <v>33071</v>
      </c>
      <c r="B825" s="6">
        <v>17.579999999999998</v>
      </c>
    </row>
    <row r="826" spans="1:2" x14ac:dyDescent="0.25">
      <c r="A826" s="4">
        <v>33072</v>
      </c>
      <c r="B826" s="6">
        <v>17.7</v>
      </c>
    </row>
    <row r="827" spans="1:2" x14ac:dyDescent="0.25">
      <c r="A827" s="4">
        <v>33073</v>
      </c>
      <c r="B827" s="6">
        <v>17.850000000000001</v>
      </c>
    </row>
    <row r="828" spans="1:2" x14ac:dyDescent="0.25">
      <c r="A828" s="4">
        <v>33074</v>
      </c>
      <c r="B828" s="6">
        <v>18</v>
      </c>
    </row>
    <row r="829" spans="1:2" x14ac:dyDescent="0.25">
      <c r="A829" s="4">
        <v>33077</v>
      </c>
      <c r="B829" s="6">
        <v>18.73</v>
      </c>
    </row>
    <row r="830" spans="1:2" x14ac:dyDescent="0.25">
      <c r="A830" s="4">
        <v>33078</v>
      </c>
      <c r="B830" s="6">
        <v>19.079999999999998</v>
      </c>
    </row>
    <row r="831" spans="1:2" x14ac:dyDescent="0.25">
      <c r="A831" s="4">
        <v>33079</v>
      </c>
      <c r="B831" s="6">
        <v>19</v>
      </c>
    </row>
    <row r="832" spans="1:2" x14ac:dyDescent="0.25">
      <c r="A832" s="4">
        <v>33080</v>
      </c>
      <c r="B832" s="6">
        <v>18.73</v>
      </c>
    </row>
    <row r="833" spans="1:2" x14ac:dyDescent="0.25">
      <c r="A833" s="4">
        <v>33081</v>
      </c>
      <c r="B833" s="6">
        <v>19.03</v>
      </c>
    </row>
    <row r="834" spans="1:2" x14ac:dyDescent="0.25">
      <c r="A834" s="4">
        <v>33084</v>
      </c>
      <c r="B834" s="6">
        <v>18.98</v>
      </c>
    </row>
    <row r="835" spans="1:2" x14ac:dyDescent="0.25">
      <c r="A835" s="4">
        <v>33085</v>
      </c>
      <c r="B835" s="6">
        <v>19.23</v>
      </c>
    </row>
    <row r="836" spans="1:2" x14ac:dyDescent="0.25">
      <c r="A836" s="4">
        <v>33086</v>
      </c>
      <c r="B836" s="6">
        <v>19.93</v>
      </c>
    </row>
    <row r="837" spans="1:2" x14ac:dyDescent="0.25">
      <c r="A837" s="4">
        <v>33087</v>
      </c>
      <c r="B837" s="6">
        <v>22.25</v>
      </c>
    </row>
    <row r="838" spans="1:2" x14ac:dyDescent="0.25">
      <c r="A838" s="4">
        <v>33088</v>
      </c>
      <c r="B838" s="6">
        <v>24.13</v>
      </c>
    </row>
    <row r="839" spans="1:2" x14ac:dyDescent="0.25">
      <c r="A839" s="4">
        <v>33091</v>
      </c>
      <c r="B839" s="6">
        <v>27.28</v>
      </c>
    </row>
    <row r="840" spans="1:2" x14ac:dyDescent="0.25">
      <c r="A840" s="4">
        <v>33092</v>
      </c>
      <c r="B840" s="6">
        <v>27.35</v>
      </c>
    </row>
    <row r="841" spans="1:2" x14ac:dyDescent="0.25">
      <c r="A841" s="4">
        <v>33093</v>
      </c>
      <c r="B841" s="6">
        <v>25.15</v>
      </c>
    </row>
    <row r="842" spans="1:2" x14ac:dyDescent="0.25">
      <c r="A842" s="4">
        <v>33094</v>
      </c>
      <c r="B842" s="6">
        <v>25.9</v>
      </c>
    </row>
    <row r="843" spans="1:2" x14ac:dyDescent="0.25">
      <c r="A843" s="4">
        <v>33095</v>
      </c>
      <c r="B843" s="6">
        <v>26.3</v>
      </c>
    </row>
    <row r="844" spans="1:2" x14ac:dyDescent="0.25">
      <c r="A844" s="4">
        <v>33098</v>
      </c>
      <c r="B844" s="6">
        <v>26.63</v>
      </c>
    </row>
    <row r="845" spans="1:2" x14ac:dyDescent="0.25">
      <c r="A845" s="4">
        <v>33099</v>
      </c>
      <c r="B845" s="6">
        <v>27.1</v>
      </c>
    </row>
    <row r="846" spans="1:2" x14ac:dyDescent="0.25">
      <c r="A846" s="4">
        <v>33100</v>
      </c>
      <c r="B846" s="6">
        <v>26.53</v>
      </c>
    </row>
    <row r="847" spans="1:2" x14ac:dyDescent="0.25">
      <c r="A847" s="4">
        <v>33101</v>
      </c>
      <c r="B847" s="6">
        <v>27.2</v>
      </c>
    </row>
    <row r="848" spans="1:2" x14ac:dyDescent="0.25">
      <c r="A848" s="4">
        <v>33102</v>
      </c>
      <c r="B848" s="6">
        <v>28.45</v>
      </c>
    </row>
    <row r="849" spans="1:2" x14ac:dyDescent="0.25">
      <c r="A849" s="4">
        <v>33105</v>
      </c>
      <c r="B849" s="6">
        <v>28.9</v>
      </c>
    </row>
    <row r="850" spans="1:2" x14ac:dyDescent="0.25">
      <c r="A850" s="4">
        <v>33106</v>
      </c>
      <c r="B850" s="6">
        <v>29.05</v>
      </c>
    </row>
    <row r="851" spans="1:2" x14ac:dyDescent="0.25">
      <c r="A851" s="4">
        <v>33107</v>
      </c>
      <c r="B851" s="6">
        <v>30.45</v>
      </c>
    </row>
    <row r="852" spans="1:2" x14ac:dyDescent="0.25">
      <c r="A852" s="4">
        <v>33108</v>
      </c>
      <c r="B852" s="6">
        <v>32.35</v>
      </c>
    </row>
    <row r="853" spans="1:2" x14ac:dyDescent="0.25">
      <c r="A853" s="4">
        <v>33109</v>
      </c>
      <c r="B853" s="6">
        <v>31.65</v>
      </c>
    </row>
    <row r="854" spans="1:2" x14ac:dyDescent="0.25">
      <c r="A854" s="4">
        <v>33112</v>
      </c>
      <c r="B854" s="6">
        <v>27.65</v>
      </c>
    </row>
    <row r="855" spans="1:2" x14ac:dyDescent="0.25">
      <c r="A855" s="4">
        <v>33113</v>
      </c>
      <c r="B855" s="6">
        <v>27.65</v>
      </c>
    </row>
    <row r="856" spans="1:2" x14ac:dyDescent="0.25">
      <c r="A856" s="4">
        <v>33114</v>
      </c>
      <c r="B856" s="6">
        <v>27.65</v>
      </c>
    </row>
    <row r="857" spans="1:2" x14ac:dyDescent="0.25">
      <c r="A857" s="4">
        <v>33115</v>
      </c>
      <c r="B857" s="6">
        <v>27.5</v>
      </c>
    </row>
    <row r="858" spans="1:2" x14ac:dyDescent="0.25">
      <c r="A858" s="4">
        <v>33116</v>
      </c>
      <c r="B858" s="6">
        <v>27.8</v>
      </c>
    </row>
    <row r="859" spans="1:2" x14ac:dyDescent="0.25">
      <c r="A859" s="4">
        <v>33119</v>
      </c>
      <c r="B859" s="6">
        <v>30.53</v>
      </c>
    </row>
    <row r="860" spans="1:2" x14ac:dyDescent="0.25">
      <c r="A860" s="4">
        <v>33120</v>
      </c>
      <c r="B860" s="6">
        <v>30.08</v>
      </c>
    </row>
    <row r="861" spans="1:2" x14ac:dyDescent="0.25">
      <c r="A861" s="4">
        <v>33121</v>
      </c>
      <c r="B861" s="6">
        <v>31.23</v>
      </c>
    </row>
    <row r="862" spans="1:2" x14ac:dyDescent="0.25">
      <c r="A862" s="4">
        <v>33122</v>
      </c>
      <c r="B862" s="6">
        <v>32.15</v>
      </c>
    </row>
    <row r="863" spans="1:2" x14ac:dyDescent="0.25">
      <c r="A863" s="4">
        <v>33123</v>
      </c>
      <c r="B863" s="6">
        <v>31.45</v>
      </c>
    </row>
    <row r="864" spans="1:2" x14ac:dyDescent="0.25">
      <c r="A864" s="4">
        <v>33126</v>
      </c>
      <c r="B864" s="6">
        <v>31.45</v>
      </c>
    </row>
    <row r="865" spans="1:2" x14ac:dyDescent="0.25">
      <c r="A865" s="4">
        <v>33127</v>
      </c>
      <c r="B865" s="6">
        <v>32.1</v>
      </c>
    </row>
    <row r="866" spans="1:2" x14ac:dyDescent="0.25">
      <c r="A866" s="4">
        <v>33128</v>
      </c>
      <c r="B866" s="6">
        <v>31.28</v>
      </c>
    </row>
    <row r="867" spans="1:2" x14ac:dyDescent="0.25">
      <c r="A867" s="4">
        <v>33129</v>
      </c>
      <c r="B867" s="6">
        <v>31.88</v>
      </c>
    </row>
    <row r="868" spans="1:2" x14ac:dyDescent="0.25">
      <c r="A868" s="4">
        <v>33130</v>
      </c>
      <c r="B868" s="6">
        <v>33.35</v>
      </c>
    </row>
    <row r="869" spans="1:2" x14ac:dyDescent="0.25">
      <c r="A869" s="4">
        <v>33133</v>
      </c>
      <c r="B869" s="6">
        <v>34.9</v>
      </c>
    </row>
    <row r="870" spans="1:2" x14ac:dyDescent="0.25">
      <c r="A870" s="4">
        <v>33134</v>
      </c>
      <c r="B870" s="6">
        <v>35.950000000000003</v>
      </c>
    </row>
    <row r="871" spans="1:2" x14ac:dyDescent="0.25">
      <c r="A871" s="4">
        <v>33135</v>
      </c>
      <c r="B871" s="6">
        <v>35.08</v>
      </c>
    </row>
    <row r="872" spans="1:2" x14ac:dyDescent="0.25">
      <c r="A872" s="4">
        <v>33136</v>
      </c>
      <c r="B872" s="6">
        <v>35.65</v>
      </c>
    </row>
    <row r="873" spans="1:2" x14ac:dyDescent="0.25">
      <c r="A873" s="4">
        <v>33137</v>
      </c>
      <c r="B873" s="6">
        <v>36.950000000000003</v>
      </c>
    </row>
    <row r="874" spans="1:2" x14ac:dyDescent="0.25">
      <c r="A874" s="4">
        <v>33140</v>
      </c>
      <c r="B874" s="6">
        <v>40.75</v>
      </c>
    </row>
    <row r="875" spans="1:2" x14ac:dyDescent="0.25">
      <c r="A875" s="4">
        <v>33141</v>
      </c>
      <c r="B875" s="6">
        <v>39.9</v>
      </c>
    </row>
    <row r="876" spans="1:2" x14ac:dyDescent="0.25">
      <c r="A876" s="4">
        <v>33142</v>
      </c>
      <c r="B876" s="6">
        <v>40.85</v>
      </c>
    </row>
    <row r="877" spans="1:2" x14ac:dyDescent="0.25">
      <c r="A877" s="4">
        <v>33143</v>
      </c>
      <c r="B877" s="6">
        <v>41.45</v>
      </c>
    </row>
    <row r="878" spans="1:2" x14ac:dyDescent="0.25">
      <c r="A878" s="4">
        <v>33144</v>
      </c>
      <c r="B878" s="6">
        <v>41</v>
      </c>
    </row>
    <row r="879" spans="1:2" x14ac:dyDescent="0.25">
      <c r="A879" s="4">
        <v>33147</v>
      </c>
      <c r="B879" s="6">
        <v>38.950000000000003</v>
      </c>
    </row>
    <row r="880" spans="1:2" x14ac:dyDescent="0.25">
      <c r="A880" s="4">
        <v>33148</v>
      </c>
      <c r="B880" s="6">
        <v>35.450000000000003</v>
      </c>
    </row>
    <row r="881" spans="1:2" x14ac:dyDescent="0.25">
      <c r="A881" s="4">
        <v>33149</v>
      </c>
      <c r="B881" s="6">
        <v>37.549999999999997</v>
      </c>
    </row>
    <row r="882" spans="1:2" x14ac:dyDescent="0.25">
      <c r="A882" s="4">
        <v>33150</v>
      </c>
      <c r="B882" s="6">
        <v>37.200000000000003</v>
      </c>
    </row>
    <row r="883" spans="1:2" x14ac:dyDescent="0.25">
      <c r="A883" s="4">
        <v>33151</v>
      </c>
      <c r="B883" s="6">
        <v>39.049999999999997</v>
      </c>
    </row>
    <row r="884" spans="1:2" x14ac:dyDescent="0.25">
      <c r="A884" s="4">
        <v>33154</v>
      </c>
      <c r="B884" s="6">
        <v>39.200000000000003</v>
      </c>
    </row>
    <row r="885" spans="1:2" x14ac:dyDescent="0.25">
      <c r="A885" s="4">
        <v>33155</v>
      </c>
      <c r="B885" s="6">
        <v>40.9</v>
      </c>
    </row>
    <row r="886" spans="1:2" x14ac:dyDescent="0.25">
      <c r="A886" s="4">
        <v>33156</v>
      </c>
      <c r="B886" s="6">
        <v>40.200000000000003</v>
      </c>
    </row>
    <row r="887" spans="1:2" x14ac:dyDescent="0.25">
      <c r="A887" s="4">
        <v>33157</v>
      </c>
      <c r="B887" s="6">
        <v>41.15</v>
      </c>
    </row>
    <row r="888" spans="1:2" x14ac:dyDescent="0.25">
      <c r="A888" s="4">
        <v>33158</v>
      </c>
      <c r="B888" s="6">
        <v>39.9</v>
      </c>
    </row>
    <row r="889" spans="1:2" x14ac:dyDescent="0.25">
      <c r="A889" s="4">
        <v>33161</v>
      </c>
      <c r="B889" s="6">
        <v>38.28</v>
      </c>
    </row>
    <row r="890" spans="1:2" x14ac:dyDescent="0.25">
      <c r="A890" s="4">
        <v>33162</v>
      </c>
      <c r="B890" s="6">
        <v>38.93</v>
      </c>
    </row>
    <row r="891" spans="1:2" x14ac:dyDescent="0.25">
      <c r="A891" s="4">
        <v>33163</v>
      </c>
      <c r="B891" s="6">
        <v>35.33</v>
      </c>
    </row>
    <row r="892" spans="1:2" x14ac:dyDescent="0.25">
      <c r="A892" s="4">
        <v>33164</v>
      </c>
      <c r="B892" s="6">
        <v>35.65</v>
      </c>
    </row>
    <row r="893" spans="1:2" x14ac:dyDescent="0.25">
      <c r="A893" s="4">
        <v>33165</v>
      </c>
      <c r="B893" s="6">
        <v>33.200000000000003</v>
      </c>
    </row>
    <row r="894" spans="1:2" x14ac:dyDescent="0.25">
      <c r="A894" s="4">
        <v>33168</v>
      </c>
      <c r="B894" s="6">
        <v>27.45</v>
      </c>
    </row>
    <row r="895" spans="1:2" x14ac:dyDescent="0.25">
      <c r="A895" s="4">
        <v>33169</v>
      </c>
      <c r="B895" s="6">
        <v>28.95</v>
      </c>
    </row>
    <row r="896" spans="1:2" x14ac:dyDescent="0.25">
      <c r="A896" s="4">
        <v>33170</v>
      </c>
      <c r="B896" s="6">
        <v>30.1</v>
      </c>
    </row>
    <row r="897" spans="1:2" x14ac:dyDescent="0.25">
      <c r="A897" s="4">
        <v>33171</v>
      </c>
      <c r="B897" s="6">
        <v>32.9</v>
      </c>
    </row>
    <row r="898" spans="1:2" x14ac:dyDescent="0.25">
      <c r="A898" s="4">
        <v>33172</v>
      </c>
      <c r="B898" s="6">
        <v>33.729999999999997</v>
      </c>
    </row>
    <row r="899" spans="1:2" x14ac:dyDescent="0.25">
      <c r="A899" s="4">
        <v>33175</v>
      </c>
      <c r="B899" s="6">
        <v>34.65</v>
      </c>
    </row>
    <row r="900" spans="1:2" x14ac:dyDescent="0.25">
      <c r="A900" s="4">
        <v>33176</v>
      </c>
      <c r="B900" s="6">
        <v>35.5</v>
      </c>
    </row>
    <row r="901" spans="1:2" x14ac:dyDescent="0.25">
      <c r="A901" s="4">
        <v>33177</v>
      </c>
      <c r="B901" s="6">
        <v>34.299999999999997</v>
      </c>
    </row>
    <row r="902" spans="1:2" x14ac:dyDescent="0.25">
      <c r="A902" s="4">
        <v>33178</v>
      </c>
      <c r="B902" s="6">
        <v>35.65</v>
      </c>
    </row>
    <row r="903" spans="1:2" x14ac:dyDescent="0.25">
      <c r="A903" s="4">
        <v>33179</v>
      </c>
      <c r="B903" s="6">
        <v>35.049999999999997</v>
      </c>
    </row>
    <row r="904" spans="1:2" x14ac:dyDescent="0.25">
      <c r="A904" s="4">
        <v>33182</v>
      </c>
      <c r="B904" s="6">
        <v>33.799999999999997</v>
      </c>
    </row>
    <row r="905" spans="1:2" x14ac:dyDescent="0.25">
      <c r="A905" s="4">
        <v>33183</v>
      </c>
      <c r="B905" s="6">
        <v>33.200000000000003</v>
      </c>
    </row>
    <row r="906" spans="1:2" x14ac:dyDescent="0.25">
      <c r="A906" s="4">
        <v>33184</v>
      </c>
      <c r="B906" s="6">
        <v>34.549999999999997</v>
      </c>
    </row>
    <row r="907" spans="1:2" x14ac:dyDescent="0.25">
      <c r="A907" s="4">
        <v>33185</v>
      </c>
      <c r="B907" s="6">
        <v>34.85</v>
      </c>
    </row>
    <row r="908" spans="1:2" x14ac:dyDescent="0.25">
      <c r="A908" s="4">
        <v>33186</v>
      </c>
      <c r="B908" s="6">
        <v>34.25</v>
      </c>
    </row>
    <row r="909" spans="1:2" x14ac:dyDescent="0.25">
      <c r="A909" s="4">
        <v>33189</v>
      </c>
      <c r="B909" s="6">
        <v>32.85</v>
      </c>
    </row>
    <row r="910" spans="1:2" x14ac:dyDescent="0.25">
      <c r="A910" s="4">
        <v>33190</v>
      </c>
      <c r="B910" s="6">
        <v>33.65</v>
      </c>
    </row>
    <row r="911" spans="1:2" x14ac:dyDescent="0.25">
      <c r="A911" s="4">
        <v>33191</v>
      </c>
      <c r="B911" s="6">
        <v>31.95</v>
      </c>
    </row>
    <row r="912" spans="1:2" x14ac:dyDescent="0.25">
      <c r="A912" s="4">
        <v>33192</v>
      </c>
      <c r="B912" s="6">
        <v>32.200000000000003</v>
      </c>
    </row>
    <row r="913" spans="1:2" x14ac:dyDescent="0.25">
      <c r="A913" s="4">
        <v>33193</v>
      </c>
      <c r="B913" s="6">
        <v>30.55</v>
      </c>
    </row>
    <row r="914" spans="1:2" x14ac:dyDescent="0.25">
      <c r="A914" s="4">
        <v>33196</v>
      </c>
      <c r="B914" s="6">
        <v>30.85</v>
      </c>
    </row>
    <row r="915" spans="1:2" x14ac:dyDescent="0.25">
      <c r="A915" s="4">
        <v>33197</v>
      </c>
      <c r="B915" s="6">
        <v>30.1</v>
      </c>
    </row>
    <row r="916" spans="1:2" x14ac:dyDescent="0.25">
      <c r="A916" s="4">
        <v>33198</v>
      </c>
      <c r="B916" s="6">
        <v>30.65</v>
      </c>
    </row>
    <row r="917" spans="1:2" x14ac:dyDescent="0.25">
      <c r="A917" s="4">
        <v>33199</v>
      </c>
      <c r="B917" s="6">
        <v>31.4</v>
      </c>
    </row>
    <row r="918" spans="1:2" x14ac:dyDescent="0.25">
      <c r="A918" s="4">
        <v>33200</v>
      </c>
      <c r="B918" s="6">
        <v>32.049999999999997</v>
      </c>
    </row>
    <row r="919" spans="1:2" x14ac:dyDescent="0.25">
      <c r="A919" s="4">
        <v>33203</v>
      </c>
      <c r="B919" s="6">
        <v>35.1</v>
      </c>
    </row>
    <row r="920" spans="1:2" x14ac:dyDescent="0.25">
      <c r="A920" s="4">
        <v>33204</v>
      </c>
      <c r="B920" s="6">
        <v>34.83</v>
      </c>
    </row>
    <row r="921" spans="1:2" x14ac:dyDescent="0.25">
      <c r="A921" s="4">
        <v>33205</v>
      </c>
      <c r="B921" s="6">
        <v>34.1</v>
      </c>
    </row>
    <row r="922" spans="1:2" x14ac:dyDescent="0.25">
      <c r="A922" s="4">
        <v>33206</v>
      </c>
      <c r="B922" s="6">
        <v>34.65</v>
      </c>
    </row>
    <row r="923" spans="1:2" x14ac:dyDescent="0.25">
      <c r="A923" s="4">
        <v>33207</v>
      </c>
      <c r="B923" s="6">
        <v>31.2</v>
      </c>
    </row>
    <row r="924" spans="1:2" x14ac:dyDescent="0.25">
      <c r="A924" s="4">
        <v>33210</v>
      </c>
      <c r="B924" s="6">
        <v>31.25</v>
      </c>
    </row>
    <row r="925" spans="1:2" x14ac:dyDescent="0.25">
      <c r="A925" s="4">
        <v>33211</v>
      </c>
      <c r="B925" s="6">
        <v>31.5</v>
      </c>
    </row>
    <row r="926" spans="1:2" x14ac:dyDescent="0.25">
      <c r="A926" s="4">
        <v>33212</v>
      </c>
      <c r="B926" s="6">
        <v>30.2</v>
      </c>
    </row>
    <row r="927" spans="1:2" x14ac:dyDescent="0.25">
      <c r="A927" s="4">
        <v>33213</v>
      </c>
      <c r="B927" s="6">
        <v>27.35</v>
      </c>
    </row>
    <row r="928" spans="1:2" x14ac:dyDescent="0.25">
      <c r="A928" s="4">
        <v>33214</v>
      </c>
      <c r="B928" s="6">
        <v>28.3</v>
      </c>
    </row>
    <row r="929" spans="1:2" x14ac:dyDescent="0.25">
      <c r="A929" s="4">
        <v>33217</v>
      </c>
      <c r="B929" s="6">
        <v>28.75</v>
      </c>
    </row>
    <row r="930" spans="1:2" x14ac:dyDescent="0.25">
      <c r="A930" s="4">
        <v>33218</v>
      </c>
      <c r="B930" s="6">
        <v>28.03</v>
      </c>
    </row>
    <row r="931" spans="1:2" x14ac:dyDescent="0.25">
      <c r="A931" s="4">
        <v>33219</v>
      </c>
      <c r="B931" s="6">
        <v>27.28</v>
      </c>
    </row>
    <row r="932" spans="1:2" x14ac:dyDescent="0.25">
      <c r="A932" s="4">
        <v>33220</v>
      </c>
      <c r="B932" s="6">
        <v>27.8</v>
      </c>
    </row>
    <row r="933" spans="1:2" x14ac:dyDescent="0.25">
      <c r="A933" s="4">
        <v>33221</v>
      </c>
      <c r="B933" s="6">
        <v>28.45</v>
      </c>
    </row>
    <row r="934" spans="1:2" x14ac:dyDescent="0.25">
      <c r="A934" s="4">
        <v>33224</v>
      </c>
      <c r="B934" s="6">
        <v>28.2</v>
      </c>
    </row>
    <row r="935" spans="1:2" x14ac:dyDescent="0.25">
      <c r="A935" s="4">
        <v>33225</v>
      </c>
      <c r="B935" s="6">
        <v>27.55</v>
      </c>
    </row>
    <row r="936" spans="1:2" x14ac:dyDescent="0.25">
      <c r="A936" s="4">
        <v>33226</v>
      </c>
      <c r="B936" s="6">
        <v>28.13</v>
      </c>
    </row>
    <row r="937" spans="1:2" x14ac:dyDescent="0.25">
      <c r="A937" s="4">
        <v>33227</v>
      </c>
      <c r="B937" s="6">
        <v>27.55</v>
      </c>
    </row>
    <row r="938" spans="1:2" x14ac:dyDescent="0.25">
      <c r="A938" s="4">
        <v>33228</v>
      </c>
      <c r="B938" s="6">
        <v>26.9</v>
      </c>
    </row>
    <row r="939" spans="1:2" x14ac:dyDescent="0.25">
      <c r="A939" s="4">
        <v>33231</v>
      </c>
      <c r="B939" s="6">
        <v>27.7</v>
      </c>
    </row>
    <row r="940" spans="1:2" x14ac:dyDescent="0.25">
      <c r="A940" s="4">
        <v>33232</v>
      </c>
      <c r="B940" s="5"/>
    </row>
    <row r="941" spans="1:2" x14ac:dyDescent="0.25">
      <c r="A941" s="4">
        <v>33233</v>
      </c>
      <c r="B941" s="6">
        <v>27.7</v>
      </c>
    </row>
    <row r="942" spans="1:2" x14ac:dyDescent="0.25">
      <c r="A942" s="4">
        <v>33234</v>
      </c>
      <c r="B942" s="6">
        <v>27.05</v>
      </c>
    </row>
    <row r="943" spans="1:2" x14ac:dyDescent="0.25">
      <c r="A943" s="4">
        <v>33235</v>
      </c>
      <c r="B943" s="6">
        <v>27.43</v>
      </c>
    </row>
    <row r="944" spans="1:2" x14ac:dyDescent="0.25">
      <c r="A944" s="4">
        <v>33238</v>
      </c>
      <c r="B944" s="6">
        <v>28.35</v>
      </c>
    </row>
    <row r="945" spans="1:2" x14ac:dyDescent="0.25">
      <c r="A945" s="4">
        <v>33239</v>
      </c>
      <c r="B945" s="5"/>
    </row>
    <row r="946" spans="1:2" x14ac:dyDescent="0.25">
      <c r="A946" s="4">
        <v>33240</v>
      </c>
      <c r="B946" s="6">
        <v>26.78</v>
      </c>
    </row>
    <row r="947" spans="1:2" x14ac:dyDescent="0.25">
      <c r="A947" s="4">
        <v>33241</v>
      </c>
      <c r="B947" s="6">
        <v>25.05</v>
      </c>
    </row>
    <row r="948" spans="1:2" x14ac:dyDescent="0.25">
      <c r="A948" s="4">
        <v>33242</v>
      </c>
      <c r="B948" s="6">
        <v>24.08</v>
      </c>
    </row>
    <row r="949" spans="1:2" x14ac:dyDescent="0.25">
      <c r="A949" s="4">
        <v>33245</v>
      </c>
      <c r="B949" s="6">
        <v>25.93</v>
      </c>
    </row>
    <row r="950" spans="1:2" x14ac:dyDescent="0.25">
      <c r="A950" s="4">
        <v>33246</v>
      </c>
      <c r="B950" s="6">
        <v>25.73</v>
      </c>
    </row>
    <row r="951" spans="1:2" x14ac:dyDescent="0.25">
      <c r="A951" s="4">
        <v>33247</v>
      </c>
      <c r="B951" s="6">
        <v>22.35</v>
      </c>
    </row>
    <row r="952" spans="1:2" x14ac:dyDescent="0.25">
      <c r="A952" s="4">
        <v>33248</v>
      </c>
      <c r="B952" s="6">
        <v>26.58</v>
      </c>
    </row>
    <row r="953" spans="1:2" x14ac:dyDescent="0.25">
      <c r="A953" s="4">
        <v>33249</v>
      </c>
      <c r="B953" s="6">
        <v>26.05</v>
      </c>
    </row>
    <row r="954" spans="1:2" x14ac:dyDescent="0.25">
      <c r="A954" s="4">
        <v>33252</v>
      </c>
      <c r="B954" s="6">
        <v>29.55</v>
      </c>
    </row>
    <row r="955" spans="1:2" x14ac:dyDescent="0.25">
      <c r="A955" s="4">
        <v>33253</v>
      </c>
      <c r="B955" s="6">
        <v>29.25</v>
      </c>
    </row>
    <row r="956" spans="1:2" x14ac:dyDescent="0.25">
      <c r="A956" s="4">
        <v>33254</v>
      </c>
      <c r="B956" s="6">
        <v>30.28</v>
      </c>
    </row>
    <row r="957" spans="1:2" x14ac:dyDescent="0.25">
      <c r="A957" s="4">
        <v>33255</v>
      </c>
      <c r="B957" s="6">
        <v>21.1</v>
      </c>
    </row>
    <row r="958" spans="1:2" x14ac:dyDescent="0.25">
      <c r="A958" s="4">
        <v>33256</v>
      </c>
      <c r="B958" s="6">
        <v>19.100000000000001</v>
      </c>
    </row>
    <row r="959" spans="1:2" x14ac:dyDescent="0.25">
      <c r="A959" s="4">
        <v>33259</v>
      </c>
      <c r="B959" s="6">
        <v>19.25</v>
      </c>
    </row>
    <row r="960" spans="1:2" x14ac:dyDescent="0.25">
      <c r="A960" s="4">
        <v>33260</v>
      </c>
      <c r="B960" s="6">
        <v>20.73</v>
      </c>
    </row>
    <row r="961" spans="1:2" x14ac:dyDescent="0.25">
      <c r="A961" s="4">
        <v>33261</v>
      </c>
      <c r="B961" s="6">
        <v>22.15</v>
      </c>
    </row>
    <row r="962" spans="1:2" x14ac:dyDescent="0.25">
      <c r="A962" s="4">
        <v>33262</v>
      </c>
      <c r="B962" s="6">
        <v>20.9</v>
      </c>
    </row>
    <row r="963" spans="1:2" x14ac:dyDescent="0.25">
      <c r="A963" s="4">
        <v>33263</v>
      </c>
      <c r="B963" s="6">
        <v>20.8</v>
      </c>
    </row>
    <row r="964" spans="1:2" x14ac:dyDescent="0.25">
      <c r="A964" s="4">
        <v>33266</v>
      </c>
      <c r="B964" s="6">
        <v>20.399999999999999</v>
      </c>
    </row>
    <row r="965" spans="1:2" x14ac:dyDescent="0.25">
      <c r="A965" s="4">
        <v>33267</v>
      </c>
      <c r="B965" s="6">
        <v>20.75</v>
      </c>
    </row>
    <row r="966" spans="1:2" x14ac:dyDescent="0.25">
      <c r="A966" s="4">
        <v>33268</v>
      </c>
      <c r="B966" s="6">
        <v>20.95</v>
      </c>
    </row>
    <row r="967" spans="1:2" x14ac:dyDescent="0.25">
      <c r="A967" s="4">
        <v>33269</v>
      </c>
      <c r="B967" s="6">
        <v>20.7</v>
      </c>
    </row>
    <row r="968" spans="1:2" x14ac:dyDescent="0.25">
      <c r="A968" s="4">
        <v>33270</v>
      </c>
      <c r="B968" s="6">
        <v>20.8</v>
      </c>
    </row>
    <row r="969" spans="1:2" x14ac:dyDescent="0.25">
      <c r="A969" s="4">
        <v>33273</v>
      </c>
      <c r="B969" s="6">
        <v>20.45</v>
      </c>
    </row>
    <row r="970" spans="1:2" x14ac:dyDescent="0.25">
      <c r="A970" s="4">
        <v>33274</v>
      </c>
      <c r="B970" s="6">
        <v>20.2</v>
      </c>
    </row>
    <row r="971" spans="1:2" x14ac:dyDescent="0.25">
      <c r="A971" s="4">
        <v>33275</v>
      </c>
      <c r="B971" s="6">
        <v>20.93</v>
      </c>
    </row>
    <row r="972" spans="1:2" x14ac:dyDescent="0.25">
      <c r="A972" s="4">
        <v>33276</v>
      </c>
      <c r="B972" s="6">
        <v>20.9</v>
      </c>
    </row>
    <row r="973" spans="1:2" x14ac:dyDescent="0.25">
      <c r="A973" s="4">
        <v>33277</v>
      </c>
      <c r="B973" s="6">
        <v>20.65</v>
      </c>
    </row>
    <row r="974" spans="1:2" x14ac:dyDescent="0.25">
      <c r="A974" s="4">
        <v>33280</v>
      </c>
      <c r="B974" s="6">
        <v>21.23</v>
      </c>
    </row>
    <row r="975" spans="1:2" x14ac:dyDescent="0.25">
      <c r="A975" s="4">
        <v>33281</v>
      </c>
      <c r="B975" s="6">
        <v>21.1</v>
      </c>
    </row>
    <row r="976" spans="1:2" x14ac:dyDescent="0.25">
      <c r="A976" s="4">
        <v>33282</v>
      </c>
      <c r="B976" s="6">
        <v>21</v>
      </c>
    </row>
    <row r="977" spans="1:2" x14ac:dyDescent="0.25">
      <c r="A977" s="4">
        <v>33283</v>
      </c>
      <c r="B977" s="6">
        <v>20.5</v>
      </c>
    </row>
    <row r="978" spans="1:2" x14ac:dyDescent="0.25">
      <c r="A978" s="4">
        <v>33284</v>
      </c>
      <c r="B978" s="6">
        <v>18.350000000000001</v>
      </c>
    </row>
    <row r="979" spans="1:2" x14ac:dyDescent="0.25">
      <c r="A979" s="4">
        <v>33287</v>
      </c>
      <c r="B979" s="6">
        <v>17.68</v>
      </c>
    </row>
    <row r="980" spans="1:2" x14ac:dyDescent="0.25">
      <c r="A980" s="4">
        <v>33288</v>
      </c>
      <c r="B980" s="6">
        <v>17.850000000000001</v>
      </c>
    </row>
    <row r="981" spans="1:2" x14ac:dyDescent="0.25">
      <c r="A981" s="4">
        <v>33289</v>
      </c>
      <c r="B981" s="6">
        <v>18.75</v>
      </c>
    </row>
    <row r="982" spans="1:2" x14ac:dyDescent="0.25">
      <c r="A982" s="4">
        <v>33290</v>
      </c>
      <c r="B982" s="6">
        <v>18.55</v>
      </c>
    </row>
    <row r="983" spans="1:2" x14ac:dyDescent="0.25">
      <c r="A983" s="4">
        <v>33291</v>
      </c>
      <c r="B983" s="6">
        <v>17.8</v>
      </c>
    </row>
    <row r="984" spans="1:2" x14ac:dyDescent="0.25">
      <c r="A984" s="4">
        <v>33294</v>
      </c>
      <c r="B984" s="6">
        <v>17.829999999999998</v>
      </c>
    </row>
    <row r="985" spans="1:2" x14ac:dyDescent="0.25">
      <c r="A985" s="4">
        <v>33295</v>
      </c>
      <c r="B985" s="6">
        <v>18</v>
      </c>
    </row>
    <row r="986" spans="1:2" x14ac:dyDescent="0.25">
      <c r="A986" s="4">
        <v>33296</v>
      </c>
      <c r="B986" s="6">
        <v>18.649999999999999</v>
      </c>
    </row>
    <row r="987" spans="1:2" x14ac:dyDescent="0.25">
      <c r="A987" s="4">
        <v>33297</v>
      </c>
      <c r="B987" s="6">
        <v>19.5</v>
      </c>
    </row>
    <row r="988" spans="1:2" x14ac:dyDescent="0.25">
      <c r="A988" s="4">
        <v>33298</v>
      </c>
      <c r="B988" s="6">
        <v>19.329999999999998</v>
      </c>
    </row>
    <row r="989" spans="1:2" x14ac:dyDescent="0.25">
      <c r="A989" s="4">
        <v>33301</v>
      </c>
      <c r="B989" s="6">
        <v>20.2</v>
      </c>
    </row>
    <row r="990" spans="1:2" x14ac:dyDescent="0.25">
      <c r="A990" s="4">
        <v>33302</v>
      </c>
      <c r="B990" s="6">
        <v>20.05</v>
      </c>
    </row>
    <row r="991" spans="1:2" x14ac:dyDescent="0.25">
      <c r="A991" s="4">
        <v>33303</v>
      </c>
      <c r="B991" s="6">
        <v>19.850000000000001</v>
      </c>
    </row>
    <row r="992" spans="1:2" x14ac:dyDescent="0.25">
      <c r="A992" s="4">
        <v>33304</v>
      </c>
      <c r="B992" s="6">
        <v>19.649999999999999</v>
      </c>
    </row>
    <row r="993" spans="1:2" x14ac:dyDescent="0.25">
      <c r="A993" s="4">
        <v>33305</v>
      </c>
      <c r="B993" s="6">
        <v>19.100000000000001</v>
      </c>
    </row>
    <row r="994" spans="1:2" x14ac:dyDescent="0.25">
      <c r="A994" s="4">
        <v>33308</v>
      </c>
      <c r="B994" s="6">
        <v>18.600000000000001</v>
      </c>
    </row>
    <row r="995" spans="1:2" x14ac:dyDescent="0.25">
      <c r="A995" s="4">
        <v>33309</v>
      </c>
      <c r="B995" s="6">
        <v>18.43</v>
      </c>
    </row>
    <row r="996" spans="1:2" x14ac:dyDescent="0.25">
      <c r="A996" s="4">
        <v>33310</v>
      </c>
      <c r="B996" s="6">
        <v>20.329999999999998</v>
      </c>
    </row>
    <row r="997" spans="1:2" x14ac:dyDescent="0.25">
      <c r="A997" s="4">
        <v>33311</v>
      </c>
      <c r="B997" s="6">
        <v>19.98</v>
      </c>
    </row>
    <row r="998" spans="1:2" x14ac:dyDescent="0.25">
      <c r="A998" s="4">
        <v>33312</v>
      </c>
      <c r="B998" s="6">
        <v>19.05</v>
      </c>
    </row>
    <row r="999" spans="1:2" x14ac:dyDescent="0.25">
      <c r="A999" s="4">
        <v>33315</v>
      </c>
      <c r="B999" s="6">
        <v>18.3</v>
      </c>
    </row>
    <row r="1000" spans="1:2" x14ac:dyDescent="0.25">
      <c r="A1000" s="4">
        <v>33316</v>
      </c>
      <c r="B1000" s="6">
        <v>18.95</v>
      </c>
    </row>
    <row r="1001" spans="1:2" x14ac:dyDescent="0.25">
      <c r="A1001" s="4">
        <v>33317</v>
      </c>
      <c r="B1001" s="6">
        <v>18.98</v>
      </c>
    </row>
    <row r="1002" spans="1:2" x14ac:dyDescent="0.25">
      <c r="A1002" s="4">
        <v>33318</v>
      </c>
      <c r="B1002" s="6">
        <v>18.8</v>
      </c>
    </row>
    <row r="1003" spans="1:2" x14ac:dyDescent="0.25">
      <c r="A1003" s="4">
        <v>33319</v>
      </c>
      <c r="B1003" s="6">
        <v>18.95</v>
      </c>
    </row>
    <row r="1004" spans="1:2" x14ac:dyDescent="0.25">
      <c r="A1004" s="4">
        <v>33322</v>
      </c>
      <c r="B1004" s="6">
        <v>18.600000000000001</v>
      </c>
    </row>
    <row r="1005" spans="1:2" x14ac:dyDescent="0.25">
      <c r="A1005" s="4">
        <v>33323</v>
      </c>
      <c r="B1005" s="6">
        <v>18.350000000000001</v>
      </c>
    </row>
    <row r="1006" spans="1:2" x14ac:dyDescent="0.25">
      <c r="A1006" s="4">
        <v>33324</v>
      </c>
      <c r="B1006" s="6">
        <v>18.149999999999999</v>
      </c>
    </row>
    <row r="1007" spans="1:2" x14ac:dyDescent="0.25">
      <c r="A1007" s="4">
        <v>33325</v>
      </c>
      <c r="B1007" s="6">
        <v>18</v>
      </c>
    </row>
    <row r="1008" spans="1:2" x14ac:dyDescent="0.25">
      <c r="A1008" s="4">
        <v>33326</v>
      </c>
      <c r="B1008" s="5"/>
    </row>
    <row r="1009" spans="1:2" x14ac:dyDescent="0.25">
      <c r="A1009" s="4">
        <v>33329</v>
      </c>
      <c r="B1009" s="6">
        <v>18</v>
      </c>
    </row>
    <row r="1010" spans="1:2" x14ac:dyDescent="0.25">
      <c r="A1010" s="4">
        <v>33330</v>
      </c>
      <c r="B1010" s="6">
        <v>17.63</v>
      </c>
    </row>
    <row r="1011" spans="1:2" x14ac:dyDescent="0.25">
      <c r="A1011" s="4">
        <v>33331</v>
      </c>
      <c r="B1011" s="6">
        <v>17.75</v>
      </c>
    </row>
    <row r="1012" spans="1:2" x14ac:dyDescent="0.25">
      <c r="A1012" s="4">
        <v>33332</v>
      </c>
      <c r="B1012" s="6">
        <v>18</v>
      </c>
    </row>
    <row r="1013" spans="1:2" x14ac:dyDescent="0.25">
      <c r="A1013" s="4">
        <v>33333</v>
      </c>
      <c r="B1013" s="6">
        <v>18.350000000000001</v>
      </c>
    </row>
    <row r="1014" spans="1:2" x14ac:dyDescent="0.25">
      <c r="A1014" s="4">
        <v>33336</v>
      </c>
      <c r="B1014" s="6">
        <v>18.579999999999998</v>
      </c>
    </row>
    <row r="1015" spans="1:2" x14ac:dyDescent="0.25">
      <c r="A1015" s="4">
        <v>33337</v>
      </c>
      <c r="B1015" s="6">
        <v>18.600000000000001</v>
      </c>
    </row>
    <row r="1016" spans="1:2" x14ac:dyDescent="0.25">
      <c r="A1016" s="4">
        <v>33338</v>
      </c>
      <c r="B1016" s="6">
        <v>19.25</v>
      </c>
    </row>
    <row r="1017" spans="1:2" x14ac:dyDescent="0.25">
      <c r="A1017" s="4">
        <v>33339</v>
      </c>
      <c r="B1017" s="6">
        <v>19.5</v>
      </c>
    </row>
    <row r="1018" spans="1:2" x14ac:dyDescent="0.25">
      <c r="A1018" s="4">
        <v>33340</v>
      </c>
      <c r="B1018" s="6">
        <v>19.93</v>
      </c>
    </row>
    <row r="1019" spans="1:2" x14ac:dyDescent="0.25">
      <c r="A1019" s="4">
        <v>33343</v>
      </c>
      <c r="B1019" s="6">
        <v>20.23</v>
      </c>
    </row>
    <row r="1020" spans="1:2" x14ac:dyDescent="0.25">
      <c r="A1020" s="4">
        <v>33344</v>
      </c>
      <c r="B1020" s="6">
        <v>19.899999999999999</v>
      </c>
    </row>
    <row r="1021" spans="1:2" x14ac:dyDescent="0.25">
      <c r="A1021" s="4">
        <v>33345</v>
      </c>
      <c r="B1021" s="6">
        <v>19.850000000000001</v>
      </c>
    </row>
    <row r="1022" spans="1:2" x14ac:dyDescent="0.25">
      <c r="A1022" s="4">
        <v>33346</v>
      </c>
      <c r="B1022" s="6">
        <v>19.399999999999999</v>
      </c>
    </row>
    <row r="1023" spans="1:2" x14ac:dyDescent="0.25">
      <c r="A1023" s="4">
        <v>33347</v>
      </c>
      <c r="B1023" s="6">
        <v>19.18</v>
      </c>
    </row>
    <row r="1024" spans="1:2" x14ac:dyDescent="0.25">
      <c r="A1024" s="4">
        <v>33350</v>
      </c>
      <c r="B1024" s="6">
        <v>19.78</v>
      </c>
    </row>
    <row r="1025" spans="1:2" x14ac:dyDescent="0.25">
      <c r="A1025" s="4">
        <v>33351</v>
      </c>
      <c r="B1025" s="6">
        <v>19.600000000000001</v>
      </c>
    </row>
    <row r="1026" spans="1:2" x14ac:dyDescent="0.25">
      <c r="A1026" s="4">
        <v>33352</v>
      </c>
      <c r="B1026" s="6">
        <v>19.55</v>
      </c>
    </row>
    <row r="1027" spans="1:2" x14ac:dyDescent="0.25">
      <c r="A1027" s="4">
        <v>33353</v>
      </c>
      <c r="B1027" s="6">
        <v>19.600000000000001</v>
      </c>
    </row>
    <row r="1028" spans="1:2" x14ac:dyDescent="0.25">
      <c r="A1028" s="4">
        <v>33354</v>
      </c>
      <c r="B1028" s="6">
        <v>19.63</v>
      </c>
    </row>
    <row r="1029" spans="1:2" x14ac:dyDescent="0.25">
      <c r="A1029" s="4">
        <v>33357</v>
      </c>
      <c r="B1029" s="6">
        <v>19.95</v>
      </c>
    </row>
    <row r="1030" spans="1:2" x14ac:dyDescent="0.25">
      <c r="A1030" s="4">
        <v>33358</v>
      </c>
      <c r="B1030" s="6">
        <v>19.7</v>
      </c>
    </row>
    <row r="1031" spans="1:2" x14ac:dyDescent="0.25">
      <c r="A1031" s="4">
        <v>33359</v>
      </c>
      <c r="B1031" s="6">
        <v>19.7</v>
      </c>
    </row>
    <row r="1032" spans="1:2" x14ac:dyDescent="0.25">
      <c r="A1032" s="4">
        <v>33360</v>
      </c>
      <c r="B1032" s="6">
        <v>19.7</v>
      </c>
    </row>
    <row r="1033" spans="1:2" x14ac:dyDescent="0.25">
      <c r="A1033" s="4">
        <v>33361</v>
      </c>
      <c r="B1033" s="6">
        <v>19.55</v>
      </c>
    </row>
    <row r="1034" spans="1:2" x14ac:dyDescent="0.25">
      <c r="A1034" s="4">
        <v>33364</v>
      </c>
      <c r="B1034" s="6">
        <v>19.8</v>
      </c>
    </row>
    <row r="1035" spans="1:2" x14ac:dyDescent="0.25">
      <c r="A1035" s="4">
        <v>33365</v>
      </c>
      <c r="B1035" s="6">
        <v>19.850000000000001</v>
      </c>
    </row>
    <row r="1036" spans="1:2" x14ac:dyDescent="0.25">
      <c r="A1036" s="4">
        <v>33366</v>
      </c>
      <c r="B1036" s="6">
        <v>19.8</v>
      </c>
    </row>
    <row r="1037" spans="1:2" x14ac:dyDescent="0.25">
      <c r="A1037" s="4">
        <v>33367</v>
      </c>
      <c r="B1037" s="6">
        <v>20.079999999999998</v>
      </c>
    </row>
    <row r="1038" spans="1:2" x14ac:dyDescent="0.25">
      <c r="A1038" s="4">
        <v>33368</v>
      </c>
      <c r="B1038" s="6">
        <v>19.53</v>
      </c>
    </row>
    <row r="1039" spans="1:2" x14ac:dyDescent="0.25">
      <c r="A1039" s="4">
        <v>33371</v>
      </c>
      <c r="B1039" s="6">
        <v>19.25</v>
      </c>
    </row>
    <row r="1040" spans="1:2" x14ac:dyDescent="0.25">
      <c r="A1040" s="4">
        <v>33372</v>
      </c>
      <c r="B1040" s="6">
        <v>18.95</v>
      </c>
    </row>
    <row r="1041" spans="1:2" x14ac:dyDescent="0.25">
      <c r="A1041" s="4">
        <v>33373</v>
      </c>
      <c r="B1041" s="6">
        <v>18.8</v>
      </c>
    </row>
    <row r="1042" spans="1:2" x14ac:dyDescent="0.25">
      <c r="A1042" s="4">
        <v>33374</v>
      </c>
      <c r="B1042" s="6">
        <v>18.75</v>
      </c>
    </row>
    <row r="1043" spans="1:2" x14ac:dyDescent="0.25">
      <c r="A1043" s="4">
        <v>33375</v>
      </c>
      <c r="B1043" s="6">
        <v>18.75</v>
      </c>
    </row>
    <row r="1044" spans="1:2" x14ac:dyDescent="0.25">
      <c r="A1044" s="4">
        <v>33378</v>
      </c>
      <c r="B1044" s="6">
        <v>18.899999999999999</v>
      </c>
    </row>
    <row r="1045" spans="1:2" x14ac:dyDescent="0.25">
      <c r="A1045" s="4">
        <v>33379</v>
      </c>
      <c r="B1045" s="6">
        <v>19.03</v>
      </c>
    </row>
    <row r="1046" spans="1:2" x14ac:dyDescent="0.25">
      <c r="A1046" s="4">
        <v>33380</v>
      </c>
      <c r="B1046" s="6">
        <v>18.579999999999998</v>
      </c>
    </row>
    <row r="1047" spans="1:2" x14ac:dyDescent="0.25">
      <c r="A1047" s="4">
        <v>33381</v>
      </c>
      <c r="B1047" s="6">
        <v>18.78</v>
      </c>
    </row>
    <row r="1048" spans="1:2" x14ac:dyDescent="0.25">
      <c r="A1048" s="4">
        <v>33382</v>
      </c>
      <c r="B1048" s="6">
        <v>18.829999999999998</v>
      </c>
    </row>
    <row r="1049" spans="1:2" x14ac:dyDescent="0.25">
      <c r="A1049" s="4">
        <v>33385</v>
      </c>
      <c r="B1049" s="5"/>
    </row>
    <row r="1050" spans="1:2" x14ac:dyDescent="0.25">
      <c r="A1050" s="4">
        <v>33386</v>
      </c>
      <c r="B1050" s="6">
        <v>19</v>
      </c>
    </row>
    <row r="1051" spans="1:2" x14ac:dyDescent="0.25">
      <c r="A1051" s="4">
        <v>33387</v>
      </c>
      <c r="B1051" s="6">
        <v>18.75</v>
      </c>
    </row>
    <row r="1052" spans="1:2" x14ac:dyDescent="0.25">
      <c r="A1052" s="4">
        <v>33388</v>
      </c>
      <c r="B1052" s="6">
        <v>18.73</v>
      </c>
    </row>
    <row r="1053" spans="1:2" x14ac:dyDescent="0.25">
      <c r="A1053" s="4">
        <v>33389</v>
      </c>
      <c r="B1053" s="6">
        <v>19</v>
      </c>
    </row>
    <row r="1054" spans="1:2" x14ac:dyDescent="0.25">
      <c r="A1054" s="4">
        <v>33392</v>
      </c>
      <c r="B1054" s="6">
        <v>19</v>
      </c>
    </row>
    <row r="1055" spans="1:2" x14ac:dyDescent="0.25">
      <c r="A1055" s="4">
        <v>33393</v>
      </c>
      <c r="B1055" s="6">
        <v>18.829999999999998</v>
      </c>
    </row>
    <row r="1056" spans="1:2" x14ac:dyDescent="0.25">
      <c r="A1056" s="4">
        <v>33394</v>
      </c>
      <c r="B1056" s="6">
        <v>18.63</v>
      </c>
    </row>
    <row r="1057" spans="1:2" x14ac:dyDescent="0.25">
      <c r="A1057" s="4">
        <v>33395</v>
      </c>
      <c r="B1057" s="6">
        <v>18.03</v>
      </c>
    </row>
    <row r="1058" spans="1:2" x14ac:dyDescent="0.25">
      <c r="A1058" s="4">
        <v>33396</v>
      </c>
      <c r="B1058" s="6">
        <v>18.28</v>
      </c>
    </row>
    <row r="1059" spans="1:2" x14ac:dyDescent="0.25">
      <c r="A1059" s="4">
        <v>33399</v>
      </c>
      <c r="B1059" s="6">
        <v>18</v>
      </c>
    </row>
    <row r="1060" spans="1:2" x14ac:dyDescent="0.25">
      <c r="A1060" s="4">
        <v>33400</v>
      </c>
      <c r="B1060" s="6">
        <v>17.850000000000001</v>
      </c>
    </row>
    <row r="1061" spans="1:2" x14ac:dyDescent="0.25">
      <c r="A1061" s="4">
        <v>33401</v>
      </c>
      <c r="B1061" s="6">
        <v>17.73</v>
      </c>
    </row>
    <row r="1062" spans="1:2" x14ac:dyDescent="0.25">
      <c r="A1062" s="4">
        <v>33402</v>
      </c>
      <c r="B1062" s="6">
        <v>18</v>
      </c>
    </row>
    <row r="1063" spans="1:2" x14ac:dyDescent="0.25">
      <c r="A1063" s="4">
        <v>33403</v>
      </c>
      <c r="B1063" s="6">
        <v>17.7</v>
      </c>
    </row>
    <row r="1064" spans="1:2" x14ac:dyDescent="0.25">
      <c r="A1064" s="4">
        <v>33406</v>
      </c>
      <c r="B1064" s="6">
        <v>17.850000000000001</v>
      </c>
    </row>
    <row r="1065" spans="1:2" x14ac:dyDescent="0.25">
      <c r="A1065" s="4">
        <v>33407</v>
      </c>
      <c r="B1065" s="6">
        <v>18</v>
      </c>
    </row>
    <row r="1066" spans="1:2" x14ac:dyDescent="0.25">
      <c r="A1066" s="4">
        <v>33408</v>
      </c>
      <c r="B1066" s="6">
        <v>17.88</v>
      </c>
    </row>
    <row r="1067" spans="1:2" x14ac:dyDescent="0.25">
      <c r="A1067" s="4">
        <v>33409</v>
      </c>
      <c r="B1067" s="6">
        <v>18.149999999999999</v>
      </c>
    </row>
    <row r="1068" spans="1:2" x14ac:dyDescent="0.25">
      <c r="A1068" s="4">
        <v>33410</v>
      </c>
      <c r="B1068" s="6">
        <v>18.43</v>
      </c>
    </row>
    <row r="1069" spans="1:2" x14ac:dyDescent="0.25">
      <c r="A1069" s="4">
        <v>33413</v>
      </c>
      <c r="B1069" s="6">
        <v>18.18</v>
      </c>
    </row>
    <row r="1070" spans="1:2" x14ac:dyDescent="0.25">
      <c r="A1070" s="4">
        <v>33414</v>
      </c>
      <c r="B1070" s="6">
        <v>18.149999999999999</v>
      </c>
    </row>
    <row r="1071" spans="1:2" x14ac:dyDescent="0.25">
      <c r="A1071" s="4">
        <v>33415</v>
      </c>
      <c r="B1071" s="6">
        <v>18.100000000000001</v>
      </c>
    </row>
    <row r="1072" spans="1:2" x14ac:dyDescent="0.25">
      <c r="A1072" s="4">
        <v>33416</v>
      </c>
      <c r="B1072" s="6">
        <v>18.079999999999998</v>
      </c>
    </row>
    <row r="1073" spans="1:2" x14ac:dyDescent="0.25">
      <c r="A1073" s="4">
        <v>33417</v>
      </c>
      <c r="B1073" s="6">
        <v>18.48</v>
      </c>
    </row>
    <row r="1074" spans="1:2" x14ac:dyDescent="0.25">
      <c r="A1074" s="4">
        <v>33420</v>
      </c>
      <c r="B1074" s="6">
        <v>18.53</v>
      </c>
    </row>
    <row r="1075" spans="1:2" x14ac:dyDescent="0.25">
      <c r="A1075" s="4">
        <v>33421</v>
      </c>
      <c r="B1075" s="6">
        <v>18.55</v>
      </c>
    </row>
    <row r="1076" spans="1:2" x14ac:dyDescent="0.25">
      <c r="A1076" s="4">
        <v>33422</v>
      </c>
      <c r="B1076" s="6">
        <v>18.5</v>
      </c>
    </row>
    <row r="1077" spans="1:2" x14ac:dyDescent="0.25">
      <c r="A1077" s="4">
        <v>33423</v>
      </c>
      <c r="B1077" s="6">
        <v>18.48</v>
      </c>
    </row>
    <row r="1078" spans="1:2" x14ac:dyDescent="0.25">
      <c r="A1078" s="4">
        <v>33424</v>
      </c>
      <c r="B1078" s="6">
        <v>18.7</v>
      </c>
    </row>
    <row r="1079" spans="1:2" x14ac:dyDescent="0.25">
      <c r="A1079" s="4">
        <v>33427</v>
      </c>
      <c r="B1079" s="6">
        <v>18.98</v>
      </c>
    </row>
    <row r="1080" spans="1:2" x14ac:dyDescent="0.25">
      <c r="A1080" s="4">
        <v>33428</v>
      </c>
      <c r="B1080" s="6">
        <v>19.03</v>
      </c>
    </row>
    <row r="1081" spans="1:2" x14ac:dyDescent="0.25">
      <c r="A1081" s="4">
        <v>33429</v>
      </c>
      <c r="B1081" s="6">
        <v>19.23</v>
      </c>
    </row>
    <row r="1082" spans="1:2" x14ac:dyDescent="0.25">
      <c r="A1082" s="4">
        <v>33430</v>
      </c>
      <c r="B1082" s="6">
        <v>19.2</v>
      </c>
    </row>
    <row r="1083" spans="1:2" x14ac:dyDescent="0.25">
      <c r="A1083" s="4">
        <v>33431</v>
      </c>
      <c r="B1083" s="6">
        <v>19.78</v>
      </c>
    </row>
    <row r="1084" spans="1:2" x14ac:dyDescent="0.25">
      <c r="A1084" s="4">
        <v>33434</v>
      </c>
      <c r="B1084" s="6">
        <v>19.600000000000001</v>
      </c>
    </row>
    <row r="1085" spans="1:2" x14ac:dyDescent="0.25">
      <c r="A1085" s="4">
        <v>33435</v>
      </c>
      <c r="B1085" s="6">
        <v>19.829999999999998</v>
      </c>
    </row>
    <row r="1086" spans="1:2" x14ac:dyDescent="0.25">
      <c r="A1086" s="4">
        <v>33436</v>
      </c>
      <c r="B1086" s="6">
        <v>20.13</v>
      </c>
    </row>
    <row r="1087" spans="1:2" x14ac:dyDescent="0.25">
      <c r="A1087" s="4">
        <v>33437</v>
      </c>
      <c r="B1087" s="6">
        <v>20.28</v>
      </c>
    </row>
    <row r="1088" spans="1:2" x14ac:dyDescent="0.25">
      <c r="A1088" s="4">
        <v>33438</v>
      </c>
      <c r="B1088" s="6">
        <v>20.28</v>
      </c>
    </row>
    <row r="1089" spans="1:2" x14ac:dyDescent="0.25">
      <c r="A1089" s="4">
        <v>33441</v>
      </c>
      <c r="B1089" s="6">
        <v>20.079999999999998</v>
      </c>
    </row>
    <row r="1090" spans="1:2" x14ac:dyDescent="0.25">
      <c r="A1090" s="4">
        <v>33442</v>
      </c>
      <c r="B1090" s="6">
        <v>19.579999999999998</v>
      </c>
    </row>
    <row r="1091" spans="1:2" x14ac:dyDescent="0.25">
      <c r="A1091" s="4">
        <v>33443</v>
      </c>
      <c r="B1091" s="6">
        <v>19.329999999999998</v>
      </c>
    </row>
    <row r="1092" spans="1:2" x14ac:dyDescent="0.25">
      <c r="A1092" s="4">
        <v>33444</v>
      </c>
      <c r="B1092" s="6">
        <v>19.600000000000001</v>
      </c>
    </row>
    <row r="1093" spans="1:2" x14ac:dyDescent="0.25">
      <c r="A1093" s="4">
        <v>33445</v>
      </c>
      <c r="B1093" s="6">
        <v>19.73</v>
      </c>
    </row>
    <row r="1094" spans="1:2" x14ac:dyDescent="0.25">
      <c r="A1094" s="4">
        <v>33448</v>
      </c>
      <c r="B1094" s="6">
        <v>19.579999999999998</v>
      </c>
    </row>
    <row r="1095" spans="1:2" x14ac:dyDescent="0.25">
      <c r="A1095" s="4">
        <v>33449</v>
      </c>
      <c r="B1095" s="6">
        <v>19.48</v>
      </c>
    </row>
    <row r="1096" spans="1:2" x14ac:dyDescent="0.25">
      <c r="A1096" s="4">
        <v>33450</v>
      </c>
      <c r="B1096" s="6">
        <v>19.649999999999999</v>
      </c>
    </row>
    <row r="1097" spans="1:2" x14ac:dyDescent="0.25">
      <c r="A1097" s="4">
        <v>33451</v>
      </c>
      <c r="B1097" s="6">
        <v>19.73</v>
      </c>
    </row>
    <row r="1098" spans="1:2" x14ac:dyDescent="0.25">
      <c r="A1098" s="4">
        <v>33452</v>
      </c>
      <c r="B1098" s="6">
        <v>19.399999999999999</v>
      </c>
    </row>
    <row r="1099" spans="1:2" x14ac:dyDescent="0.25">
      <c r="A1099" s="4">
        <v>33455</v>
      </c>
      <c r="B1099" s="6">
        <v>19.5</v>
      </c>
    </row>
    <row r="1100" spans="1:2" x14ac:dyDescent="0.25">
      <c r="A1100" s="4">
        <v>33456</v>
      </c>
      <c r="B1100" s="6">
        <v>19.45</v>
      </c>
    </row>
    <row r="1101" spans="1:2" x14ac:dyDescent="0.25">
      <c r="A1101" s="4">
        <v>33457</v>
      </c>
      <c r="B1101" s="6">
        <v>19.350000000000001</v>
      </c>
    </row>
    <row r="1102" spans="1:2" x14ac:dyDescent="0.25">
      <c r="A1102" s="4">
        <v>33458</v>
      </c>
      <c r="B1102" s="6">
        <v>19.7</v>
      </c>
    </row>
    <row r="1103" spans="1:2" x14ac:dyDescent="0.25">
      <c r="A1103" s="4">
        <v>33459</v>
      </c>
      <c r="B1103" s="6">
        <v>19.579999999999998</v>
      </c>
    </row>
    <row r="1104" spans="1:2" x14ac:dyDescent="0.25">
      <c r="A1104" s="4">
        <v>33462</v>
      </c>
      <c r="B1104" s="6">
        <v>19.63</v>
      </c>
    </row>
    <row r="1105" spans="1:2" x14ac:dyDescent="0.25">
      <c r="A1105" s="4">
        <v>33463</v>
      </c>
      <c r="B1105" s="6">
        <v>19.5</v>
      </c>
    </row>
    <row r="1106" spans="1:2" x14ac:dyDescent="0.25">
      <c r="A1106" s="4">
        <v>33464</v>
      </c>
      <c r="B1106" s="6">
        <v>19.23</v>
      </c>
    </row>
    <row r="1107" spans="1:2" x14ac:dyDescent="0.25">
      <c r="A1107" s="4">
        <v>33465</v>
      </c>
      <c r="B1107" s="6">
        <v>19.25</v>
      </c>
    </row>
    <row r="1108" spans="1:2" x14ac:dyDescent="0.25">
      <c r="A1108" s="4">
        <v>33466</v>
      </c>
      <c r="B1108" s="6">
        <v>19.350000000000001</v>
      </c>
    </row>
    <row r="1109" spans="1:2" x14ac:dyDescent="0.25">
      <c r="A1109" s="4">
        <v>33469</v>
      </c>
      <c r="B1109" s="6">
        <v>20.55</v>
      </c>
    </row>
    <row r="1110" spans="1:2" x14ac:dyDescent="0.25">
      <c r="A1110" s="4">
        <v>33470</v>
      </c>
      <c r="B1110" s="6">
        <v>20.98</v>
      </c>
    </row>
    <row r="1111" spans="1:2" x14ac:dyDescent="0.25">
      <c r="A1111" s="4">
        <v>33471</v>
      </c>
      <c r="B1111" s="6">
        <v>19.55</v>
      </c>
    </row>
    <row r="1112" spans="1:2" x14ac:dyDescent="0.25">
      <c r="A1112" s="4">
        <v>33472</v>
      </c>
      <c r="B1112" s="6">
        <v>19.53</v>
      </c>
    </row>
    <row r="1113" spans="1:2" x14ac:dyDescent="0.25">
      <c r="A1113" s="4">
        <v>33473</v>
      </c>
      <c r="B1113" s="6">
        <v>19.850000000000001</v>
      </c>
    </row>
    <row r="1114" spans="1:2" x14ac:dyDescent="0.25">
      <c r="A1114" s="4">
        <v>33476</v>
      </c>
      <c r="B1114" s="6">
        <v>20.03</v>
      </c>
    </row>
    <row r="1115" spans="1:2" x14ac:dyDescent="0.25">
      <c r="A1115" s="4">
        <v>33477</v>
      </c>
      <c r="B1115" s="6">
        <v>20.03</v>
      </c>
    </row>
    <row r="1116" spans="1:2" x14ac:dyDescent="0.25">
      <c r="A1116" s="4">
        <v>33478</v>
      </c>
      <c r="B1116" s="6">
        <v>19.98</v>
      </c>
    </row>
    <row r="1117" spans="1:2" x14ac:dyDescent="0.25">
      <c r="A1117" s="4">
        <v>33479</v>
      </c>
      <c r="B1117" s="6">
        <v>20.3</v>
      </c>
    </row>
    <row r="1118" spans="1:2" x14ac:dyDescent="0.25">
      <c r="A1118" s="4">
        <v>33480</v>
      </c>
      <c r="B1118" s="6">
        <v>20.53</v>
      </c>
    </row>
    <row r="1119" spans="1:2" x14ac:dyDescent="0.25">
      <c r="A1119" s="4">
        <v>33483</v>
      </c>
      <c r="B1119" s="6">
        <v>20.65</v>
      </c>
    </row>
    <row r="1120" spans="1:2" x14ac:dyDescent="0.25">
      <c r="A1120" s="4">
        <v>33484</v>
      </c>
      <c r="B1120" s="6">
        <v>20.55</v>
      </c>
    </row>
    <row r="1121" spans="1:2" x14ac:dyDescent="0.25">
      <c r="A1121" s="4">
        <v>33485</v>
      </c>
      <c r="B1121" s="6">
        <v>20.25</v>
      </c>
    </row>
    <row r="1122" spans="1:2" x14ac:dyDescent="0.25">
      <c r="A1122" s="4">
        <v>33486</v>
      </c>
      <c r="B1122" s="6">
        <v>20.100000000000001</v>
      </c>
    </row>
    <row r="1123" spans="1:2" x14ac:dyDescent="0.25">
      <c r="A1123" s="4">
        <v>33487</v>
      </c>
      <c r="B1123" s="6">
        <v>20.13</v>
      </c>
    </row>
    <row r="1124" spans="1:2" x14ac:dyDescent="0.25">
      <c r="A1124" s="4">
        <v>33490</v>
      </c>
      <c r="B1124" s="6">
        <v>19.850000000000001</v>
      </c>
    </row>
    <row r="1125" spans="1:2" x14ac:dyDescent="0.25">
      <c r="A1125" s="4">
        <v>33491</v>
      </c>
      <c r="B1125" s="6">
        <v>19.93</v>
      </c>
    </row>
    <row r="1126" spans="1:2" x14ac:dyDescent="0.25">
      <c r="A1126" s="4">
        <v>33492</v>
      </c>
      <c r="B1126" s="6">
        <v>20</v>
      </c>
    </row>
    <row r="1127" spans="1:2" x14ac:dyDescent="0.25">
      <c r="A1127" s="4">
        <v>33493</v>
      </c>
      <c r="B1127" s="6">
        <v>20.25</v>
      </c>
    </row>
    <row r="1128" spans="1:2" x14ac:dyDescent="0.25">
      <c r="A1128" s="4">
        <v>33494</v>
      </c>
      <c r="B1128" s="6">
        <v>20.350000000000001</v>
      </c>
    </row>
    <row r="1129" spans="1:2" x14ac:dyDescent="0.25">
      <c r="A1129" s="4">
        <v>33497</v>
      </c>
      <c r="B1129" s="6">
        <v>20.53</v>
      </c>
    </row>
    <row r="1130" spans="1:2" x14ac:dyDescent="0.25">
      <c r="A1130" s="4">
        <v>33498</v>
      </c>
      <c r="B1130" s="6">
        <v>20.3</v>
      </c>
    </row>
    <row r="1131" spans="1:2" x14ac:dyDescent="0.25">
      <c r="A1131" s="4">
        <v>33499</v>
      </c>
      <c r="B1131" s="6">
        <v>20.53</v>
      </c>
    </row>
    <row r="1132" spans="1:2" x14ac:dyDescent="0.25">
      <c r="A1132" s="4">
        <v>33500</v>
      </c>
      <c r="B1132" s="6">
        <v>20.43</v>
      </c>
    </row>
    <row r="1133" spans="1:2" x14ac:dyDescent="0.25">
      <c r="A1133" s="4">
        <v>33501</v>
      </c>
      <c r="B1133" s="6">
        <v>20.55</v>
      </c>
    </row>
    <row r="1134" spans="1:2" x14ac:dyDescent="0.25">
      <c r="A1134" s="4">
        <v>33504</v>
      </c>
      <c r="B1134" s="6">
        <v>20.83</v>
      </c>
    </row>
    <row r="1135" spans="1:2" x14ac:dyDescent="0.25">
      <c r="A1135" s="4">
        <v>33505</v>
      </c>
      <c r="B1135" s="6">
        <v>20.75</v>
      </c>
    </row>
    <row r="1136" spans="1:2" x14ac:dyDescent="0.25">
      <c r="A1136" s="4">
        <v>33506</v>
      </c>
      <c r="B1136" s="6">
        <v>20.65</v>
      </c>
    </row>
    <row r="1137" spans="1:2" x14ac:dyDescent="0.25">
      <c r="A1137" s="4">
        <v>33507</v>
      </c>
      <c r="B1137" s="6">
        <v>21</v>
      </c>
    </row>
    <row r="1138" spans="1:2" x14ac:dyDescent="0.25">
      <c r="A1138" s="4">
        <v>33508</v>
      </c>
      <c r="B1138" s="6">
        <v>21.48</v>
      </c>
    </row>
    <row r="1139" spans="1:2" x14ac:dyDescent="0.25">
      <c r="A1139" s="4">
        <v>33511</v>
      </c>
      <c r="B1139" s="6">
        <v>21.43</v>
      </c>
    </row>
    <row r="1140" spans="1:2" x14ac:dyDescent="0.25">
      <c r="A1140" s="4">
        <v>33512</v>
      </c>
      <c r="B1140" s="6">
        <v>21.15</v>
      </c>
    </row>
    <row r="1141" spans="1:2" x14ac:dyDescent="0.25">
      <c r="A1141" s="4">
        <v>33513</v>
      </c>
      <c r="B1141" s="6">
        <v>21.3</v>
      </c>
    </row>
    <row r="1142" spans="1:2" x14ac:dyDescent="0.25">
      <c r="A1142" s="4">
        <v>33514</v>
      </c>
      <c r="B1142" s="6">
        <v>21.75</v>
      </c>
    </row>
    <row r="1143" spans="1:2" x14ac:dyDescent="0.25">
      <c r="A1143" s="4">
        <v>33515</v>
      </c>
      <c r="B1143" s="6">
        <v>21.83</v>
      </c>
    </row>
    <row r="1144" spans="1:2" x14ac:dyDescent="0.25">
      <c r="A1144" s="4">
        <v>33518</v>
      </c>
      <c r="B1144" s="6">
        <v>21.98</v>
      </c>
    </row>
    <row r="1145" spans="1:2" x14ac:dyDescent="0.25">
      <c r="A1145" s="4">
        <v>33519</v>
      </c>
      <c r="B1145" s="6">
        <v>21.95</v>
      </c>
    </row>
    <row r="1146" spans="1:2" x14ac:dyDescent="0.25">
      <c r="A1146" s="4">
        <v>33520</v>
      </c>
      <c r="B1146" s="6">
        <v>22.43</v>
      </c>
    </row>
    <row r="1147" spans="1:2" x14ac:dyDescent="0.25">
      <c r="A1147" s="4">
        <v>33521</v>
      </c>
      <c r="B1147" s="6">
        <v>22.13</v>
      </c>
    </row>
    <row r="1148" spans="1:2" x14ac:dyDescent="0.25">
      <c r="A1148" s="4">
        <v>33522</v>
      </c>
      <c r="B1148" s="6">
        <v>22.08</v>
      </c>
    </row>
    <row r="1149" spans="1:2" x14ac:dyDescent="0.25">
      <c r="A1149" s="4">
        <v>33525</v>
      </c>
      <c r="B1149" s="6">
        <v>22.6</v>
      </c>
    </row>
    <row r="1150" spans="1:2" x14ac:dyDescent="0.25">
      <c r="A1150" s="4">
        <v>33526</v>
      </c>
      <c r="B1150" s="6">
        <v>22.83</v>
      </c>
    </row>
    <row r="1151" spans="1:2" x14ac:dyDescent="0.25">
      <c r="A1151" s="4">
        <v>33527</v>
      </c>
      <c r="B1151" s="6">
        <v>22.6</v>
      </c>
    </row>
    <row r="1152" spans="1:2" x14ac:dyDescent="0.25">
      <c r="A1152" s="4">
        <v>33528</v>
      </c>
      <c r="B1152" s="6">
        <v>22.73</v>
      </c>
    </row>
    <row r="1153" spans="1:2" x14ac:dyDescent="0.25">
      <c r="A1153" s="4">
        <v>33529</v>
      </c>
      <c r="B1153" s="6">
        <v>23</v>
      </c>
    </row>
    <row r="1154" spans="1:2" x14ac:dyDescent="0.25">
      <c r="A1154" s="4">
        <v>33532</v>
      </c>
      <c r="B1154" s="6">
        <v>22.95</v>
      </c>
    </row>
    <row r="1155" spans="1:2" x14ac:dyDescent="0.25">
      <c r="A1155" s="4">
        <v>33533</v>
      </c>
      <c r="B1155" s="6">
        <v>22.65</v>
      </c>
    </row>
    <row r="1156" spans="1:2" x14ac:dyDescent="0.25">
      <c r="A1156" s="4">
        <v>33534</v>
      </c>
      <c r="B1156" s="6">
        <v>22.48</v>
      </c>
    </row>
    <row r="1157" spans="1:2" x14ac:dyDescent="0.25">
      <c r="A1157" s="4">
        <v>33535</v>
      </c>
      <c r="B1157" s="6">
        <v>22.25</v>
      </c>
    </row>
    <row r="1158" spans="1:2" x14ac:dyDescent="0.25">
      <c r="A1158" s="4">
        <v>33536</v>
      </c>
      <c r="B1158" s="6">
        <v>22.35</v>
      </c>
    </row>
    <row r="1159" spans="1:2" x14ac:dyDescent="0.25">
      <c r="A1159" s="4">
        <v>33539</v>
      </c>
      <c r="B1159" s="6">
        <v>21.9</v>
      </c>
    </row>
    <row r="1160" spans="1:2" x14ac:dyDescent="0.25">
      <c r="A1160" s="4">
        <v>33540</v>
      </c>
      <c r="B1160" s="6">
        <v>21.85</v>
      </c>
    </row>
    <row r="1161" spans="1:2" x14ac:dyDescent="0.25">
      <c r="A1161" s="4">
        <v>33541</v>
      </c>
      <c r="B1161" s="6">
        <v>21.95</v>
      </c>
    </row>
    <row r="1162" spans="1:2" x14ac:dyDescent="0.25">
      <c r="A1162" s="4">
        <v>33542</v>
      </c>
      <c r="B1162" s="6">
        <v>22</v>
      </c>
    </row>
    <row r="1163" spans="1:2" x14ac:dyDescent="0.25">
      <c r="A1163" s="4">
        <v>33543</v>
      </c>
      <c r="B1163" s="6">
        <v>22.53</v>
      </c>
    </row>
    <row r="1164" spans="1:2" x14ac:dyDescent="0.25">
      <c r="A1164" s="4">
        <v>33546</v>
      </c>
      <c r="B1164" s="6">
        <v>22.73</v>
      </c>
    </row>
    <row r="1165" spans="1:2" x14ac:dyDescent="0.25">
      <c r="A1165" s="4">
        <v>33547</v>
      </c>
      <c r="B1165" s="6">
        <v>22.53</v>
      </c>
    </row>
    <row r="1166" spans="1:2" x14ac:dyDescent="0.25">
      <c r="A1166" s="4">
        <v>33548</v>
      </c>
      <c r="B1166" s="6">
        <v>22</v>
      </c>
    </row>
    <row r="1167" spans="1:2" x14ac:dyDescent="0.25">
      <c r="A1167" s="4">
        <v>33549</v>
      </c>
      <c r="B1167" s="6">
        <v>21.85</v>
      </c>
    </row>
    <row r="1168" spans="1:2" x14ac:dyDescent="0.25">
      <c r="A1168" s="4">
        <v>33550</v>
      </c>
      <c r="B1168" s="6">
        <v>21.8</v>
      </c>
    </row>
    <row r="1169" spans="1:2" x14ac:dyDescent="0.25">
      <c r="A1169" s="4">
        <v>33553</v>
      </c>
      <c r="B1169" s="6">
        <v>21.45</v>
      </c>
    </row>
    <row r="1170" spans="1:2" x14ac:dyDescent="0.25">
      <c r="A1170" s="4">
        <v>33554</v>
      </c>
      <c r="B1170" s="6">
        <v>21.2</v>
      </c>
    </row>
    <row r="1171" spans="1:2" x14ac:dyDescent="0.25">
      <c r="A1171" s="4">
        <v>33555</v>
      </c>
      <c r="B1171" s="6">
        <v>21.5</v>
      </c>
    </row>
    <row r="1172" spans="1:2" x14ac:dyDescent="0.25">
      <c r="A1172" s="4">
        <v>33556</v>
      </c>
      <c r="B1172" s="6">
        <v>21</v>
      </c>
    </row>
    <row r="1173" spans="1:2" x14ac:dyDescent="0.25">
      <c r="A1173" s="4">
        <v>33557</v>
      </c>
      <c r="B1173" s="6">
        <v>21.63</v>
      </c>
    </row>
    <row r="1174" spans="1:2" x14ac:dyDescent="0.25">
      <c r="A1174" s="4">
        <v>33560</v>
      </c>
      <c r="B1174" s="6">
        <v>21.35</v>
      </c>
    </row>
    <row r="1175" spans="1:2" x14ac:dyDescent="0.25">
      <c r="A1175" s="4">
        <v>33561</v>
      </c>
      <c r="B1175" s="6">
        <v>21.08</v>
      </c>
    </row>
    <row r="1176" spans="1:2" x14ac:dyDescent="0.25">
      <c r="A1176" s="4">
        <v>33562</v>
      </c>
      <c r="B1176" s="6">
        <v>20.48</v>
      </c>
    </row>
    <row r="1177" spans="1:2" x14ac:dyDescent="0.25">
      <c r="A1177" s="4">
        <v>33563</v>
      </c>
      <c r="B1177" s="6">
        <v>20.73</v>
      </c>
    </row>
    <row r="1178" spans="1:2" x14ac:dyDescent="0.25">
      <c r="A1178" s="4">
        <v>33564</v>
      </c>
      <c r="B1178" s="6">
        <v>20.149999999999999</v>
      </c>
    </row>
    <row r="1179" spans="1:2" x14ac:dyDescent="0.25">
      <c r="A1179" s="4">
        <v>33567</v>
      </c>
      <c r="B1179" s="6">
        <v>19.78</v>
      </c>
    </row>
    <row r="1180" spans="1:2" x14ac:dyDescent="0.25">
      <c r="A1180" s="4">
        <v>33568</v>
      </c>
      <c r="B1180" s="6">
        <v>19.78</v>
      </c>
    </row>
    <row r="1181" spans="1:2" x14ac:dyDescent="0.25">
      <c r="A1181" s="4">
        <v>33569</v>
      </c>
      <c r="B1181" s="6">
        <v>19.649999999999999</v>
      </c>
    </row>
    <row r="1182" spans="1:2" x14ac:dyDescent="0.25">
      <c r="A1182" s="4">
        <v>33570</v>
      </c>
      <c r="B1182" s="6">
        <v>19.98</v>
      </c>
    </row>
    <row r="1183" spans="1:2" x14ac:dyDescent="0.25">
      <c r="A1183" s="4">
        <v>33571</v>
      </c>
      <c r="B1183" s="6">
        <v>20.079999999999998</v>
      </c>
    </row>
    <row r="1184" spans="1:2" x14ac:dyDescent="0.25">
      <c r="A1184" s="4">
        <v>33574</v>
      </c>
      <c r="B1184" s="6">
        <v>19.600000000000001</v>
      </c>
    </row>
    <row r="1185" spans="1:2" x14ac:dyDescent="0.25">
      <c r="A1185" s="4">
        <v>33575</v>
      </c>
      <c r="B1185" s="6">
        <v>19.2</v>
      </c>
    </row>
    <row r="1186" spans="1:2" x14ac:dyDescent="0.25">
      <c r="A1186" s="4">
        <v>33576</v>
      </c>
      <c r="B1186" s="6">
        <v>19.18</v>
      </c>
    </row>
    <row r="1187" spans="1:2" x14ac:dyDescent="0.25">
      <c r="A1187" s="4">
        <v>33577</v>
      </c>
      <c r="B1187" s="6">
        <v>19.149999999999999</v>
      </c>
    </row>
    <row r="1188" spans="1:2" x14ac:dyDescent="0.25">
      <c r="A1188" s="4">
        <v>33578</v>
      </c>
      <c r="B1188" s="6">
        <v>19.05</v>
      </c>
    </row>
    <row r="1189" spans="1:2" x14ac:dyDescent="0.25">
      <c r="A1189" s="4">
        <v>33581</v>
      </c>
      <c r="B1189" s="6">
        <v>18.25</v>
      </c>
    </row>
    <row r="1190" spans="1:2" x14ac:dyDescent="0.25">
      <c r="A1190" s="4">
        <v>33582</v>
      </c>
      <c r="B1190" s="6">
        <v>18.100000000000001</v>
      </c>
    </row>
    <row r="1191" spans="1:2" x14ac:dyDescent="0.25">
      <c r="A1191" s="4">
        <v>33583</v>
      </c>
      <c r="B1191" s="6">
        <v>18.28</v>
      </c>
    </row>
    <row r="1192" spans="1:2" x14ac:dyDescent="0.25">
      <c r="A1192" s="4">
        <v>33584</v>
      </c>
      <c r="B1192" s="6">
        <v>18.579999999999998</v>
      </c>
    </row>
    <row r="1193" spans="1:2" x14ac:dyDescent="0.25">
      <c r="A1193" s="4">
        <v>33585</v>
      </c>
      <c r="B1193" s="6">
        <v>19.05</v>
      </c>
    </row>
    <row r="1194" spans="1:2" x14ac:dyDescent="0.25">
      <c r="A1194" s="4">
        <v>33588</v>
      </c>
      <c r="B1194" s="6">
        <v>18.55</v>
      </c>
    </row>
    <row r="1195" spans="1:2" x14ac:dyDescent="0.25">
      <c r="A1195" s="4">
        <v>33589</v>
      </c>
      <c r="B1195" s="6">
        <v>18.13</v>
      </c>
    </row>
    <row r="1196" spans="1:2" x14ac:dyDescent="0.25">
      <c r="A1196" s="4">
        <v>33590</v>
      </c>
      <c r="B1196" s="6">
        <v>18.149999999999999</v>
      </c>
    </row>
    <row r="1197" spans="1:2" x14ac:dyDescent="0.25">
      <c r="A1197" s="4">
        <v>33591</v>
      </c>
      <c r="B1197" s="6">
        <v>18.149999999999999</v>
      </c>
    </row>
    <row r="1198" spans="1:2" x14ac:dyDescent="0.25">
      <c r="A1198" s="4">
        <v>33592</v>
      </c>
      <c r="B1198" s="6">
        <v>18.55</v>
      </c>
    </row>
    <row r="1199" spans="1:2" x14ac:dyDescent="0.25">
      <c r="A1199" s="4">
        <v>33595</v>
      </c>
      <c r="B1199" s="6">
        <v>17.600000000000001</v>
      </c>
    </row>
    <row r="1200" spans="1:2" x14ac:dyDescent="0.25">
      <c r="A1200" s="4">
        <v>33596</v>
      </c>
      <c r="B1200" s="6">
        <v>17.78</v>
      </c>
    </row>
    <row r="1201" spans="1:2" x14ac:dyDescent="0.25">
      <c r="A1201" s="4">
        <v>33597</v>
      </c>
      <c r="B1201" s="5"/>
    </row>
    <row r="1202" spans="1:2" x14ac:dyDescent="0.25">
      <c r="A1202" s="4">
        <v>33598</v>
      </c>
      <c r="B1202" s="6">
        <v>17.78</v>
      </c>
    </row>
    <row r="1203" spans="1:2" x14ac:dyDescent="0.25">
      <c r="A1203" s="4">
        <v>33599</v>
      </c>
      <c r="B1203" s="6">
        <v>17.75</v>
      </c>
    </row>
    <row r="1204" spans="1:2" x14ac:dyDescent="0.25">
      <c r="A1204" s="4">
        <v>33602</v>
      </c>
      <c r="B1204" s="6">
        <v>18</v>
      </c>
    </row>
    <row r="1205" spans="1:2" x14ac:dyDescent="0.25">
      <c r="A1205" s="4">
        <v>33603</v>
      </c>
      <c r="B1205" s="6">
        <v>17.75</v>
      </c>
    </row>
    <row r="1206" spans="1:2" x14ac:dyDescent="0.25">
      <c r="A1206" s="4">
        <v>33604</v>
      </c>
      <c r="B1206" s="5"/>
    </row>
    <row r="1207" spans="1:2" x14ac:dyDescent="0.25">
      <c r="A1207" s="4">
        <v>33605</v>
      </c>
      <c r="B1207" s="6">
        <v>18.45</v>
      </c>
    </row>
    <row r="1208" spans="1:2" x14ac:dyDescent="0.25">
      <c r="A1208" s="4">
        <v>33606</v>
      </c>
      <c r="B1208" s="6">
        <v>18.5</v>
      </c>
    </row>
    <row r="1209" spans="1:2" x14ac:dyDescent="0.25">
      <c r="A1209" s="4">
        <v>33609</v>
      </c>
      <c r="B1209" s="6">
        <v>18.75</v>
      </c>
    </row>
    <row r="1210" spans="1:2" x14ac:dyDescent="0.25">
      <c r="A1210" s="4">
        <v>33610</v>
      </c>
      <c r="B1210" s="6">
        <v>18.399999999999999</v>
      </c>
    </row>
    <row r="1211" spans="1:2" x14ac:dyDescent="0.25">
      <c r="A1211" s="4">
        <v>33611</v>
      </c>
      <c r="B1211" s="6">
        <v>17.3</v>
      </c>
    </row>
    <row r="1212" spans="1:2" x14ac:dyDescent="0.25">
      <c r="A1212" s="4">
        <v>33612</v>
      </c>
      <c r="B1212" s="6">
        <v>17.18</v>
      </c>
    </row>
    <row r="1213" spans="1:2" x14ac:dyDescent="0.25">
      <c r="A1213" s="4">
        <v>33613</v>
      </c>
      <c r="B1213" s="6">
        <v>17.23</v>
      </c>
    </row>
    <row r="1214" spans="1:2" x14ac:dyDescent="0.25">
      <c r="A1214" s="4">
        <v>33616</v>
      </c>
      <c r="B1214" s="6">
        <v>18.079999999999998</v>
      </c>
    </row>
    <row r="1215" spans="1:2" x14ac:dyDescent="0.25">
      <c r="A1215" s="4">
        <v>33617</v>
      </c>
      <c r="B1215" s="6">
        <v>18.23</v>
      </c>
    </row>
    <row r="1216" spans="1:2" x14ac:dyDescent="0.25">
      <c r="A1216" s="4">
        <v>33618</v>
      </c>
      <c r="B1216" s="6">
        <v>18.38</v>
      </c>
    </row>
    <row r="1217" spans="1:2" x14ac:dyDescent="0.25">
      <c r="A1217" s="4">
        <v>33619</v>
      </c>
      <c r="B1217" s="6">
        <v>18.68</v>
      </c>
    </row>
    <row r="1218" spans="1:2" x14ac:dyDescent="0.25">
      <c r="A1218" s="4">
        <v>33620</v>
      </c>
      <c r="B1218" s="6">
        <v>18.48</v>
      </c>
    </row>
    <row r="1219" spans="1:2" x14ac:dyDescent="0.25">
      <c r="A1219" s="4">
        <v>33623</v>
      </c>
      <c r="B1219" s="6">
        <v>18.45</v>
      </c>
    </row>
    <row r="1220" spans="1:2" x14ac:dyDescent="0.25">
      <c r="A1220" s="4">
        <v>33624</v>
      </c>
      <c r="B1220" s="6">
        <v>17.850000000000001</v>
      </c>
    </row>
    <row r="1221" spans="1:2" x14ac:dyDescent="0.25">
      <c r="A1221" s="4">
        <v>33625</v>
      </c>
      <c r="B1221" s="6">
        <v>17.829999999999998</v>
      </c>
    </row>
    <row r="1222" spans="1:2" x14ac:dyDescent="0.25">
      <c r="A1222" s="4">
        <v>33626</v>
      </c>
      <c r="B1222" s="6">
        <v>18.100000000000001</v>
      </c>
    </row>
    <row r="1223" spans="1:2" x14ac:dyDescent="0.25">
      <c r="A1223" s="4">
        <v>33627</v>
      </c>
      <c r="B1223" s="6">
        <v>18.329999999999998</v>
      </c>
    </row>
    <row r="1224" spans="1:2" x14ac:dyDescent="0.25">
      <c r="A1224" s="4">
        <v>33630</v>
      </c>
      <c r="B1224" s="6">
        <v>18.55</v>
      </c>
    </row>
    <row r="1225" spans="1:2" x14ac:dyDescent="0.25">
      <c r="A1225" s="4">
        <v>33631</v>
      </c>
      <c r="B1225" s="6">
        <v>18.43</v>
      </c>
    </row>
    <row r="1226" spans="1:2" x14ac:dyDescent="0.25">
      <c r="A1226" s="4">
        <v>33632</v>
      </c>
      <c r="B1226" s="6">
        <v>18.149999999999999</v>
      </c>
    </row>
    <row r="1227" spans="1:2" x14ac:dyDescent="0.25">
      <c r="A1227" s="4">
        <v>33633</v>
      </c>
      <c r="B1227" s="6">
        <v>18.100000000000001</v>
      </c>
    </row>
    <row r="1228" spans="1:2" x14ac:dyDescent="0.25">
      <c r="A1228" s="4">
        <v>33634</v>
      </c>
      <c r="B1228" s="6">
        <v>18.149999999999999</v>
      </c>
    </row>
    <row r="1229" spans="1:2" x14ac:dyDescent="0.25">
      <c r="A1229" s="4">
        <v>33637</v>
      </c>
      <c r="B1229" s="6">
        <v>18.350000000000001</v>
      </c>
    </row>
    <row r="1230" spans="1:2" x14ac:dyDescent="0.25">
      <c r="A1230" s="4">
        <v>33638</v>
      </c>
      <c r="B1230" s="6">
        <v>18.399999999999999</v>
      </c>
    </row>
    <row r="1231" spans="1:2" x14ac:dyDescent="0.25">
      <c r="A1231" s="4">
        <v>33639</v>
      </c>
      <c r="B1231" s="6">
        <v>18.48</v>
      </c>
    </row>
    <row r="1232" spans="1:2" x14ac:dyDescent="0.25">
      <c r="A1232" s="4">
        <v>33640</v>
      </c>
      <c r="B1232" s="6">
        <v>18.53</v>
      </c>
    </row>
    <row r="1233" spans="1:2" x14ac:dyDescent="0.25">
      <c r="A1233" s="4">
        <v>33641</v>
      </c>
      <c r="B1233" s="6">
        <v>18.579999999999998</v>
      </c>
    </row>
    <row r="1234" spans="1:2" x14ac:dyDescent="0.25">
      <c r="A1234" s="4">
        <v>33644</v>
      </c>
      <c r="B1234" s="6">
        <v>18.95</v>
      </c>
    </row>
    <row r="1235" spans="1:2" x14ac:dyDescent="0.25">
      <c r="A1235" s="4">
        <v>33645</v>
      </c>
      <c r="B1235" s="6">
        <v>18.48</v>
      </c>
    </row>
    <row r="1236" spans="1:2" x14ac:dyDescent="0.25">
      <c r="A1236" s="4">
        <v>33646</v>
      </c>
      <c r="B1236" s="6">
        <v>18.329999999999998</v>
      </c>
    </row>
    <row r="1237" spans="1:2" x14ac:dyDescent="0.25">
      <c r="A1237" s="4">
        <v>33647</v>
      </c>
      <c r="B1237" s="6">
        <v>18.53</v>
      </c>
    </row>
    <row r="1238" spans="1:2" x14ac:dyDescent="0.25">
      <c r="A1238" s="4">
        <v>33648</v>
      </c>
      <c r="B1238" s="6">
        <v>18.63</v>
      </c>
    </row>
    <row r="1239" spans="1:2" x14ac:dyDescent="0.25">
      <c r="A1239" s="4">
        <v>33651</v>
      </c>
      <c r="B1239" s="6">
        <v>17.649999999999999</v>
      </c>
    </row>
    <row r="1240" spans="1:2" x14ac:dyDescent="0.25">
      <c r="A1240" s="4">
        <v>33652</v>
      </c>
      <c r="B1240" s="6">
        <v>17.7</v>
      </c>
    </row>
    <row r="1241" spans="1:2" x14ac:dyDescent="0.25">
      <c r="A1241" s="4">
        <v>33653</v>
      </c>
      <c r="B1241" s="6">
        <v>17.5</v>
      </c>
    </row>
    <row r="1242" spans="1:2" x14ac:dyDescent="0.25">
      <c r="A1242" s="4">
        <v>33654</v>
      </c>
      <c r="B1242" s="6">
        <v>17.850000000000001</v>
      </c>
    </row>
    <row r="1243" spans="1:2" x14ac:dyDescent="0.25">
      <c r="A1243" s="4">
        <v>33655</v>
      </c>
      <c r="B1243" s="6">
        <v>18</v>
      </c>
    </row>
    <row r="1244" spans="1:2" x14ac:dyDescent="0.25">
      <c r="A1244" s="4">
        <v>33658</v>
      </c>
      <c r="B1244" s="6">
        <v>17.399999999999999</v>
      </c>
    </row>
    <row r="1245" spans="1:2" x14ac:dyDescent="0.25">
      <c r="A1245" s="4">
        <v>33659</v>
      </c>
      <c r="B1245" s="6">
        <v>17.43</v>
      </c>
    </row>
    <row r="1246" spans="1:2" x14ac:dyDescent="0.25">
      <c r="A1246" s="4">
        <v>33660</v>
      </c>
      <c r="B1246" s="6">
        <v>17.28</v>
      </c>
    </row>
    <row r="1247" spans="1:2" x14ac:dyDescent="0.25">
      <c r="A1247" s="4">
        <v>33661</v>
      </c>
      <c r="B1247" s="6">
        <v>17.55</v>
      </c>
    </row>
    <row r="1248" spans="1:2" x14ac:dyDescent="0.25">
      <c r="A1248" s="4">
        <v>33662</v>
      </c>
      <c r="B1248" s="6">
        <v>17.45</v>
      </c>
    </row>
    <row r="1249" spans="1:2" x14ac:dyDescent="0.25">
      <c r="A1249" s="4">
        <v>33665</v>
      </c>
      <c r="B1249" s="6">
        <v>17.350000000000001</v>
      </c>
    </row>
    <row r="1250" spans="1:2" x14ac:dyDescent="0.25">
      <c r="A1250" s="4">
        <v>33666</v>
      </c>
      <c r="B1250" s="6">
        <v>17.05</v>
      </c>
    </row>
    <row r="1251" spans="1:2" x14ac:dyDescent="0.25">
      <c r="A1251" s="4">
        <v>33667</v>
      </c>
      <c r="B1251" s="6">
        <v>17.28</v>
      </c>
    </row>
    <row r="1252" spans="1:2" x14ac:dyDescent="0.25">
      <c r="A1252" s="4">
        <v>33668</v>
      </c>
      <c r="B1252" s="6">
        <v>17.43</v>
      </c>
    </row>
    <row r="1253" spans="1:2" x14ac:dyDescent="0.25">
      <c r="A1253" s="4">
        <v>33669</v>
      </c>
      <c r="B1253" s="6">
        <v>17.3</v>
      </c>
    </row>
    <row r="1254" spans="1:2" x14ac:dyDescent="0.25">
      <c r="A1254" s="4">
        <v>33672</v>
      </c>
      <c r="B1254" s="6">
        <v>17.350000000000001</v>
      </c>
    </row>
    <row r="1255" spans="1:2" x14ac:dyDescent="0.25">
      <c r="A1255" s="4">
        <v>33673</v>
      </c>
      <c r="B1255" s="6">
        <v>17.350000000000001</v>
      </c>
    </row>
    <row r="1256" spans="1:2" x14ac:dyDescent="0.25">
      <c r="A1256" s="4">
        <v>33674</v>
      </c>
      <c r="B1256" s="6">
        <v>17.2</v>
      </c>
    </row>
    <row r="1257" spans="1:2" x14ac:dyDescent="0.25">
      <c r="A1257" s="4">
        <v>33675</v>
      </c>
      <c r="B1257" s="6">
        <v>17.350000000000001</v>
      </c>
    </row>
    <row r="1258" spans="1:2" x14ac:dyDescent="0.25">
      <c r="A1258" s="4">
        <v>33676</v>
      </c>
      <c r="B1258" s="6">
        <v>17.73</v>
      </c>
    </row>
    <row r="1259" spans="1:2" x14ac:dyDescent="0.25">
      <c r="A1259" s="4">
        <v>33679</v>
      </c>
      <c r="B1259" s="6">
        <v>17.73</v>
      </c>
    </row>
    <row r="1260" spans="1:2" x14ac:dyDescent="0.25">
      <c r="A1260" s="4">
        <v>33680</v>
      </c>
      <c r="B1260" s="6">
        <v>17.88</v>
      </c>
    </row>
    <row r="1261" spans="1:2" x14ac:dyDescent="0.25">
      <c r="A1261" s="4">
        <v>33681</v>
      </c>
      <c r="B1261" s="6">
        <v>17.649999999999999</v>
      </c>
    </row>
    <row r="1262" spans="1:2" x14ac:dyDescent="0.25">
      <c r="A1262" s="4">
        <v>33682</v>
      </c>
      <c r="B1262" s="6">
        <v>17.649999999999999</v>
      </c>
    </row>
    <row r="1263" spans="1:2" x14ac:dyDescent="0.25">
      <c r="A1263" s="4">
        <v>33683</v>
      </c>
      <c r="B1263" s="6">
        <v>17.75</v>
      </c>
    </row>
    <row r="1264" spans="1:2" x14ac:dyDescent="0.25">
      <c r="A1264" s="4">
        <v>33686</v>
      </c>
      <c r="B1264" s="6">
        <v>17.579999999999998</v>
      </c>
    </row>
    <row r="1265" spans="1:2" x14ac:dyDescent="0.25">
      <c r="A1265" s="4">
        <v>33687</v>
      </c>
      <c r="B1265" s="6">
        <v>17.649999999999999</v>
      </c>
    </row>
    <row r="1266" spans="1:2" x14ac:dyDescent="0.25">
      <c r="A1266" s="4">
        <v>33688</v>
      </c>
      <c r="B1266" s="6">
        <v>17.7</v>
      </c>
    </row>
    <row r="1267" spans="1:2" x14ac:dyDescent="0.25">
      <c r="A1267" s="4">
        <v>33689</v>
      </c>
      <c r="B1267" s="6">
        <v>17.98</v>
      </c>
    </row>
    <row r="1268" spans="1:2" x14ac:dyDescent="0.25">
      <c r="A1268" s="4">
        <v>33690</v>
      </c>
      <c r="B1268" s="6">
        <v>17.850000000000001</v>
      </c>
    </row>
    <row r="1269" spans="1:2" x14ac:dyDescent="0.25">
      <c r="A1269" s="4">
        <v>33693</v>
      </c>
      <c r="B1269" s="6">
        <v>17.98</v>
      </c>
    </row>
    <row r="1270" spans="1:2" x14ac:dyDescent="0.25">
      <c r="A1270" s="4">
        <v>33694</v>
      </c>
      <c r="B1270" s="6">
        <v>19.09</v>
      </c>
    </row>
    <row r="1271" spans="1:2" x14ac:dyDescent="0.25">
      <c r="A1271" s="4">
        <v>33695</v>
      </c>
      <c r="B1271" s="6">
        <v>18.38</v>
      </c>
    </row>
    <row r="1272" spans="1:2" x14ac:dyDescent="0.25">
      <c r="A1272" s="4">
        <v>33696</v>
      </c>
      <c r="B1272" s="6">
        <v>18.53</v>
      </c>
    </row>
    <row r="1273" spans="1:2" x14ac:dyDescent="0.25">
      <c r="A1273" s="4">
        <v>33697</v>
      </c>
      <c r="B1273" s="6">
        <v>18.63</v>
      </c>
    </row>
    <row r="1274" spans="1:2" x14ac:dyDescent="0.25">
      <c r="A1274" s="4">
        <v>33700</v>
      </c>
      <c r="B1274" s="6">
        <v>18.93</v>
      </c>
    </row>
    <row r="1275" spans="1:2" x14ac:dyDescent="0.25">
      <c r="A1275" s="4">
        <v>33701</v>
      </c>
      <c r="B1275" s="6">
        <v>18.93</v>
      </c>
    </row>
    <row r="1276" spans="1:2" x14ac:dyDescent="0.25">
      <c r="A1276" s="4">
        <v>33702</v>
      </c>
      <c r="B1276" s="6">
        <v>19.18</v>
      </c>
    </row>
    <row r="1277" spans="1:2" x14ac:dyDescent="0.25">
      <c r="A1277" s="4">
        <v>33703</v>
      </c>
      <c r="B1277" s="6">
        <v>18.95</v>
      </c>
    </row>
    <row r="1278" spans="1:2" x14ac:dyDescent="0.25">
      <c r="A1278" s="4">
        <v>33704</v>
      </c>
      <c r="B1278" s="6">
        <v>19.05</v>
      </c>
    </row>
    <row r="1279" spans="1:2" x14ac:dyDescent="0.25">
      <c r="A1279" s="4">
        <v>33707</v>
      </c>
      <c r="B1279" s="6">
        <v>19.03</v>
      </c>
    </row>
    <row r="1280" spans="1:2" x14ac:dyDescent="0.25">
      <c r="A1280" s="4">
        <v>33708</v>
      </c>
      <c r="B1280" s="6">
        <v>18.850000000000001</v>
      </c>
    </row>
    <row r="1281" spans="1:2" x14ac:dyDescent="0.25">
      <c r="A1281" s="4">
        <v>33709</v>
      </c>
      <c r="B1281" s="6">
        <v>18.600000000000001</v>
      </c>
    </row>
    <row r="1282" spans="1:2" x14ac:dyDescent="0.25">
      <c r="A1282" s="4">
        <v>33710</v>
      </c>
      <c r="B1282" s="6">
        <v>18.95</v>
      </c>
    </row>
    <row r="1283" spans="1:2" x14ac:dyDescent="0.25">
      <c r="A1283" s="4">
        <v>33711</v>
      </c>
      <c r="B1283" s="5"/>
    </row>
    <row r="1284" spans="1:2" x14ac:dyDescent="0.25">
      <c r="A1284" s="4">
        <v>33714</v>
      </c>
      <c r="B1284" s="6">
        <v>18.95</v>
      </c>
    </row>
    <row r="1285" spans="1:2" x14ac:dyDescent="0.25">
      <c r="A1285" s="4">
        <v>33715</v>
      </c>
      <c r="B1285" s="6">
        <v>19</v>
      </c>
    </row>
    <row r="1286" spans="1:2" x14ac:dyDescent="0.25">
      <c r="A1286" s="4">
        <v>33716</v>
      </c>
      <c r="B1286" s="6">
        <v>18.73</v>
      </c>
    </row>
    <row r="1287" spans="1:2" x14ac:dyDescent="0.25">
      <c r="A1287" s="4">
        <v>33717</v>
      </c>
      <c r="B1287" s="6">
        <v>18.7</v>
      </c>
    </row>
    <row r="1288" spans="1:2" x14ac:dyDescent="0.25">
      <c r="A1288" s="4">
        <v>33718</v>
      </c>
      <c r="B1288" s="6">
        <v>18.899999999999999</v>
      </c>
    </row>
    <row r="1289" spans="1:2" x14ac:dyDescent="0.25">
      <c r="A1289" s="4">
        <v>33721</v>
      </c>
      <c r="B1289" s="6">
        <v>18.899999999999999</v>
      </c>
    </row>
    <row r="1290" spans="1:2" x14ac:dyDescent="0.25">
      <c r="A1290" s="4">
        <v>33722</v>
      </c>
      <c r="B1290" s="6">
        <v>19.18</v>
      </c>
    </row>
    <row r="1291" spans="1:2" x14ac:dyDescent="0.25">
      <c r="A1291" s="4">
        <v>33723</v>
      </c>
      <c r="B1291" s="6">
        <v>19.28</v>
      </c>
    </row>
    <row r="1292" spans="1:2" x14ac:dyDescent="0.25">
      <c r="A1292" s="4">
        <v>33724</v>
      </c>
      <c r="B1292" s="6">
        <v>19.649999999999999</v>
      </c>
    </row>
    <row r="1293" spans="1:2" x14ac:dyDescent="0.25">
      <c r="A1293" s="4">
        <v>33725</v>
      </c>
      <c r="B1293" s="6">
        <v>19.829999999999998</v>
      </c>
    </row>
    <row r="1294" spans="1:2" x14ac:dyDescent="0.25">
      <c r="A1294" s="4">
        <v>33728</v>
      </c>
      <c r="B1294" s="6">
        <v>19.88</v>
      </c>
    </row>
    <row r="1295" spans="1:2" x14ac:dyDescent="0.25">
      <c r="A1295" s="4">
        <v>33729</v>
      </c>
      <c r="B1295" s="6">
        <v>19.98</v>
      </c>
    </row>
    <row r="1296" spans="1:2" x14ac:dyDescent="0.25">
      <c r="A1296" s="4">
        <v>33730</v>
      </c>
      <c r="B1296" s="6">
        <v>19.68</v>
      </c>
    </row>
    <row r="1297" spans="1:2" x14ac:dyDescent="0.25">
      <c r="A1297" s="4">
        <v>33731</v>
      </c>
      <c r="B1297" s="6">
        <v>19.649999999999999</v>
      </c>
    </row>
    <row r="1298" spans="1:2" x14ac:dyDescent="0.25">
      <c r="A1298" s="4">
        <v>33732</v>
      </c>
      <c r="B1298" s="6">
        <v>19.63</v>
      </c>
    </row>
    <row r="1299" spans="1:2" x14ac:dyDescent="0.25">
      <c r="A1299" s="4">
        <v>33735</v>
      </c>
      <c r="B1299" s="6">
        <v>19.73</v>
      </c>
    </row>
    <row r="1300" spans="1:2" x14ac:dyDescent="0.25">
      <c r="A1300" s="4">
        <v>33736</v>
      </c>
      <c r="B1300" s="6">
        <v>19.8</v>
      </c>
    </row>
    <row r="1301" spans="1:2" x14ac:dyDescent="0.25">
      <c r="A1301" s="4">
        <v>33737</v>
      </c>
      <c r="B1301" s="6">
        <v>19.95</v>
      </c>
    </row>
    <row r="1302" spans="1:2" x14ac:dyDescent="0.25">
      <c r="A1302" s="4">
        <v>33738</v>
      </c>
      <c r="B1302" s="6">
        <v>19.75</v>
      </c>
    </row>
    <row r="1303" spans="1:2" x14ac:dyDescent="0.25">
      <c r="A1303" s="4">
        <v>33739</v>
      </c>
      <c r="B1303" s="6">
        <v>19.7</v>
      </c>
    </row>
    <row r="1304" spans="1:2" x14ac:dyDescent="0.25">
      <c r="A1304" s="4">
        <v>33742</v>
      </c>
      <c r="B1304" s="6">
        <v>19.7</v>
      </c>
    </row>
    <row r="1305" spans="1:2" x14ac:dyDescent="0.25">
      <c r="A1305" s="4">
        <v>33743</v>
      </c>
      <c r="B1305" s="6">
        <v>19.3</v>
      </c>
    </row>
    <row r="1306" spans="1:2" x14ac:dyDescent="0.25">
      <c r="A1306" s="4">
        <v>33744</v>
      </c>
      <c r="B1306" s="6">
        <v>19.28</v>
      </c>
    </row>
    <row r="1307" spans="1:2" x14ac:dyDescent="0.25">
      <c r="A1307" s="4">
        <v>33745</v>
      </c>
      <c r="B1307" s="6">
        <v>19.600000000000001</v>
      </c>
    </row>
    <row r="1308" spans="1:2" x14ac:dyDescent="0.25">
      <c r="A1308" s="4">
        <v>33746</v>
      </c>
      <c r="B1308" s="6">
        <v>19.579999999999998</v>
      </c>
    </row>
    <row r="1309" spans="1:2" x14ac:dyDescent="0.25">
      <c r="A1309" s="4">
        <v>33749</v>
      </c>
      <c r="B1309" s="5"/>
    </row>
    <row r="1310" spans="1:2" x14ac:dyDescent="0.25">
      <c r="A1310" s="4">
        <v>33750</v>
      </c>
      <c r="B1310" s="6">
        <v>20.5</v>
      </c>
    </row>
    <row r="1311" spans="1:2" x14ac:dyDescent="0.25">
      <c r="A1311" s="4">
        <v>33751</v>
      </c>
      <c r="B1311" s="6">
        <v>20.8</v>
      </c>
    </row>
    <row r="1312" spans="1:2" x14ac:dyDescent="0.25">
      <c r="A1312" s="4">
        <v>33752</v>
      </c>
      <c r="B1312" s="6">
        <v>20.73</v>
      </c>
    </row>
    <row r="1313" spans="1:2" x14ac:dyDescent="0.25">
      <c r="A1313" s="4">
        <v>33753</v>
      </c>
      <c r="B1313" s="6">
        <v>20.7</v>
      </c>
    </row>
    <row r="1314" spans="1:2" x14ac:dyDescent="0.25">
      <c r="A1314" s="4">
        <v>33756</v>
      </c>
      <c r="B1314" s="6">
        <v>20.9</v>
      </c>
    </row>
    <row r="1315" spans="1:2" x14ac:dyDescent="0.25">
      <c r="A1315" s="4">
        <v>33757</v>
      </c>
      <c r="B1315" s="6">
        <v>20.85</v>
      </c>
    </row>
    <row r="1316" spans="1:2" x14ac:dyDescent="0.25">
      <c r="A1316" s="4">
        <v>33758</v>
      </c>
      <c r="B1316" s="6">
        <v>21.23</v>
      </c>
    </row>
    <row r="1317" spans="1:2" x14ac:dyDescent="0.25">
      <c r="A1317" s="4">
        <v>33759</v>
      </c>
      <c r="B1317" s="6">
        <v>21.08</v>
      </c>
    </row>
    <row r="1318" spans="1:2" x14ac:dyDescent="0.25">
      <c r="A1318" s="4">
        <v>33760</v>
      </c>
      <c r="B1318" s="6">
        <v>21.35</v>
      </c>
    </row>
    <row r="1319" spans="1:2" x14ac:dyDescent="0.25">
      <c r="A1319" s="4">
        <v>33763</v>
      </c>
      <c r="B1319" s="6">
        <v>21.25</v>
      </c>
    </row>
    <row r="1320" spans="1:2" x14ac:dyDescent="0.25">
      <c r="A1320" s="4">
        <v>33764</v>
      </c>
      <c r="B1320" s="6">
        <v>21.13</v>
      </c>
    </row>
    <row r="1321" spans="1:2" x14ac:dyDescent="0.25">
      <c r="A1321" s="4">
        <v>33765</v>
      </c>
      <c r="B1321" s="6">
        <v>21.05</v>
      </c>
    </row>
    <row r="1322" spans="1:2" x14ac:dyDescent="0.25">
      <c r="A1322" s="4">
        <v>33766</v>
      </c>
      <c r="B1322" s="6">
        <v>21.33</v>
      </c>
    </row>
    <row r="1323" spans="1:2" x14ac:dyDescent="0.25">
      <c r="A1323" s="4">
        <v>33767</v>
      </c>
      <c r="B1323" s="6">
        <v>21.28</v>
      </c>
    </row>
    <row r="1324" spans="1:2" x14ac:dyDescent="0.25">
      <c r="A1324" s="4">
        <v>33770</v>
      </c>
      <c r="B1324" s="6">
        <v>21.3</v>
      </c>
    </row>
    <row r="1325" spans="1:2" x14ac:dyDescent="0.25">
      <c r="A1325" s="4">
        <v>33771</v>
      </c>
      <c r="B1325" s="6">
        <v>21.13</v>
      </c>
    </row>
    <row r="1326" spans="1:2" x14ac:dyDescent="0.25">
      <c r="A1326" s="4">
        <v>33772</v>
      </c>
      <c r="B1326" s="6">
        <v>21.03</v>
      </c>
    </row>
    <row r="1327" spans="1:2" x14ac:dyDescent="0.25">
      <c r="A1327" s="4">
        <v>33773</v>
      </c>
      <c r="B1327" s="6">
        <v>21.23</v>
      </c>
    </row>
    <row r="1328" spans="1:2" x14ac:dyDescent="0.25">
      <c r="A1328" s="4">
        <v>33774</v>
      </c>
      <c r="B1328" s="6">
        <v>21.13</v>
      </c>
    </row>
    <row r="1329" spans="1:2" x14ac:dyDescent="0.25">
      <c r="A1329" s="4">
        <v>33777</v>
      </c>
      <c r="B1329" s="6">
        <v>20.83</v>
      </c>
    </row>
    <row r="1330" spans="1:2" x14ac:dyDescent="0.25">
      <c r="A1330" s="4">
        <v>33778</v>
      </c>
      <c r="B1330" s="6">
        <v>21.35</v>
      </c>
    </row>
    <row r="1331" spans="1:2" x14ac:dyDescent="0.25">
      <c r="A1331" s="4">
        <v>33779</v>
      </c>
      <c r="B1331" s="6">
        <v>21.55</v>
      </c>
    </row>
    <row r="1332" spans="1:2" x14ac:dyDescent="0.25">
      <c r="A1332" s="4">
        <v>33780</v>
      </c>
      <c r="B1332" s="6">
        <v>21.5</v>
      </c>
    </row>
    <row r="1333" spans="1:2" x14ac:dyDescent="0.25">
      <c r="A1333" s="4">
        <v>33781</v>
      </c>
      <c r="B1333" s="6">
        <v>21.3</v>
      </c>
    </row>
    <row r="1334" spans="1:2" x14ac:dyDescent="0.25">
      <c r="A1334" s="4">
        <v>33784</v>
      </c>
      <c r="B1334" s="6">
        <v>21.08</v>
      </c>
    </row>
    <row r="1335" spans="1:2" x14ac:dyDescent="0.25">
      <c r="A1335" s="4">
        <v>33785</v>
      </c>
      <c r="B1335" s="6">
        <v>20.6</v>
      </c>
    </row>
    <row r="1336" spans="1:2" x14ac:dyDescent="0.25">
      <c r="A1336" s="4">
        <v>33786</v>
      </c>
      <c r="B1336" s="6">
        <v>20.25</v>
      </c>
    </row>
    <row r="1337" spans="1:2" x14ac:dyDescent="0.25">
      <c r="A1337" s="4">
        <v>33787</v>
      </c>
      <c r="B1337" s="6">
        <v>20.53</v>
      </c>
    </row>
    <row r="1338" spans="1:2" x14ac:dyDescent="0.25">
      <c r="A1338" s="4">
        <v>33788</v>
      </c>
      <c r="B1338" s="6">
        <v>20.65</v>
      </c>
    </row>
    <row r="1339" spans="1:2" x14ac:dyDescent="0.25">
      <c r="A1339" s="4">
        <v>33791</v>
      </c>
      <c r="B1339" s="6">
        <v>20.45</v>
      </c>
    </row>
    <row r="1340" spans="1:2" x14ac:dyDescent="0.25">
      <c r="A1340" s="4">
        <v>33792</v>
      </c>
      <c r="B1340" s="6">
        <v>19.8</v>
      </c>
    </row>
    <row r="1341" spans="1:2" x14ac:dyDescent="0.25">
      <c r="A1341" s="4">
        <v>33793</v>
      </c>
      <c r="B1341" s="6">
        <v>19.7</v>
      </c>
    </row>
    <row r="1342" spans="1:2" x14ac:dyDescent="0.25">
      <c r="A1342" s="4">
        <v>33794</v>
      </c>
      <c r="B1342" s="6">
        <v>19.78</v>
      </c>
    </row>
    <row r="1343" spans="1:2" x14ac:dyDescent="0.25">
      <c r="A1343" s="4">
        <v>33795</v>
      </c>
      <c r="B1343" s="6">
        <v>20</v>
      </c>
    </row>
    <row r="1344" spans="1:2" x14ac:dyDescent="0.25">
      <c r="A1344" s="4">
        <v>33798</v>
      </c>
      <c r="B1344" s="6">
        <v>19.829999999999998</v>
      </c>
    </row>
    <row r="1345" spans="1:2" x14ac:dyDescent="0.25">
      <c r="A1345" s="4">
        <v>33799</v>
      </c>
      <c r="B1345" s="6">
        <v>19.98</v>
      </c>
    </row>
    <row r="1346" spans="1:2" x14ac:dyDescent="0.25">
      <c r="A1346" s="4">
        <v>33800</v>
      </c>
      <c r="B1346" s="6">
        <v>19.850000000000001</v>
      </c>
    </row>
    <row r="1347" spans="1:2" x14ac:dyDescent="0.25">
      <c r="A1347" s="4">
        <v>33801</v>
      </c>
      <c r="B1347" s="6">
        <v>20.23</v>
      </c>
    </row>
    <row r="1348" spans="1:2" x14ac:dyDescent="0.25">
      <c r="A1348" s="4">
        <v>33802</v>
      </c>
      <c r="B1348" s="6">
        <v>20.2</v>
      </c>
    </row>
    <row r="1349" spans="1:2" x14ac:dyDescent="0.25">
      <c r="A1349" s="4">
        <v>33805</v>
      </c>
      <c r="B1349" s="6">
        <v>19.95</v>
      </c>
    </row>
    <row r="1350" spans="1:2" x14ac:dyDescent="0.25">
      <c r="A1350" s="4">
        <v>33806</v>
      </c>
      <c r="B1350" s="6">
        <v>20.03</v>
      </c>
    </row>
    <row r="1351" spans="1:2" x14ac:dyDescent="0.25">
      <c r="A1351" s="4">
        <v>33807</v>
      </c>
      <c r="B1351" s="6">
        <v>20.23</v>
      </c>
    </row>
    <row r="1352" spans="1:2" x14ac:dyDescent="0.25">
      <c r="A1352" s="4">
        <v>33808</v>
      </c>
      <c r="B1352" s="6">
        <v>20.48</v>
      </c>
    </row>
    <row r="1353" spans="1:2" x14ac:dyDescent="0.25">
      <c r="A1353" s="4">
        <v>33809</v>
      </c>
      <c r="B1353" s="6">
        <v>20.6</v>
      </c>
    </row>
    <row r="1354" spans="1:2" x14ac:dyDescent="0.25">
      <c r="A1354" s="4">
        <v>33812</v>
      </c>
      <c r="B1354" s="6">
        <v>20.58</v>
      </c>
    </row>
    <row r="1355" spans="1:2" x14ac:dyDescent="0.25">
      <c r="A1355" s="4">
        <v>33813</v>
      </c>
      <c r="B1355" s="6">
        <v>20.78</v>
      </c>
    </row>
    <row r="1356" spans="1:2" x14ac:dyDescent="0.25">
      <c r="A1356" s="4">
        <v>33814</v>
      </c>
      <c r="B1356" s="6">
        <v>20.68</v>
      </c>
    </row>
    <row r="1357" spans="1:2" x14ac:dyDescent="0.25">
      <c r="A1357" s="4">
        <v>33815</v>
      </c>
      <c r="B1357" s="6">
        <v>20.48</v>
      </c>
    </row>
    <row r="1358" spans="1:2" x14ac:dyDescent="0.25">
      <c r="A1358" s="4">
        <v>33816</v>
      </c>
      <c r="B1358" s="6">
        <v>20.38</v>
      </c>
    </row>
    <row r="1359" spans="1:2" x14ac:dyDescent="0.25">
      <c r="A1359" s="4">
        <v>33819</v>
      </c>
      <c r="B1359" s="6">
        <v>20.329999999999998</v>
      </c>
    </row>
    <row r="1360" spans="1:2" x14ac:dyDescent="0.25">
      <c r="A1360" s="4">
        <v>33820</v>
      </c>
      <c r="B1360" s="6">
        <v>19.850000000000001</v>
      </c>
    </row>
    <row r="1361" spans="1:2" x14ac:dyDescent="0.25">
      <c r="A1361" s="4">
        <v>33821</v>
      </c>
      <c r="B1361" s="6">
        <v>19.68</v>
      </c>
    </row>
    <row r="1362" spans="1:2" x14ac:dyDescent="0.25">
      <c r="A1362" s="4">
        <v>33822</v>
      </c>
      <c r="B1362" s="6">
        <v>19.78</v>
      </c>
    </row>
    <row r="1363" spans="1:2" x14ac:dyDescent="0.25">
      <c r="A1363" s="4">
        <v>33823</v>
      </c>
      <c r="B1363" s="6">
        <v>19.75</v>
      </c>
    </row>
    <row r="1364" spans="1:2" x14ac:dyDescent="0.25">
      <c r="A1364" s="4">
        <v>33826</v>
      </c>
      <c r="B1364" s="6">
        <v>19.55</v>
      </c>
    </row>
    <row r="1365" spans="1:2" x14ac:dyDescent="0.25">
      <c r="A1365" s="4">
        <v>33827</v>
      </c>
      <c r="B1365" s="6">
        <v>19.48</v>
      </c>
    </row>
    <row r="1366" spans="1:2" x14ac:dyDescent="0.25">
      <c r="A1366" s="4">
        <v>33828</v>
      </c>
      <c r="B1366" s="6">
        <v>19.649999999999999</v>
      </c>
    </row>
    <row r="1367" spans="1:2" x14ac:dyDescent="0.25">
      <c r="A1367" s="4">
        <v>33829</v>
      </c>
      <c r="B1367" s="6">
        <v>19.829999999999998</v>
      </c>
    </row>
    <row r="1368" spans="1:2" x14ac:dyDescent="0.25">
      <c r="A1368" s="4">
        <v>33830</v>
      </c>
      <c r="B1368" s="6">
        <v>19.88</v>
      </c>
    </row>
    <row r="1369" spans="1:2" x14ac:dyDescent="0.25">
      <c r="A1369" s="4">
        <v>33833</v>
      </c>
      <c r="B1369" s="6">
        <v>19.95</v>
      </c>
    </row>
    <row r="1370" spans="1:2" x14ac:dyDescent="0.25">
      <c r="A1370" s="4">
        <v>33834</v>
      </c>
      <c r="B1370" s="6">
        <v>19.899999999999999</v>
      </c>
    </row>
    <row r="1371" spans="1:2" x14ac:dyDescent="0.25">
      <c r="A1371" s="4">
        <v>33835</v>
      </c>
      <c r="B1371" s="6">
        <v>19.8</v>
      </c>
    </row>
    <row r="1372" spans="1:2" x14ac:dyDescent="0.25">
      <c r="A1372" s="4">
        <v>33836</v>
      </c>
      <c r="B1372" s="6">
        <v>19.63</v>
      </c>
    </row>
    <row r="1373" spans="1:2" x14ac:dyDescent="0.25">
      <c r="A1373" s="4">
        <v>33837</v>
      </c>
      <c r="B1373" s="6">
        <v>19.68</v>
      </c>
    </row>
    <row r="1374" spans="1:2" x14ac:dyDescent="0.25">
      <c r="A1374" s="4">
        <v>33840</v>
      </c>
      <c r="B1374" s="6">
        <v>19.649999999999999</v>
      </c>
    </row>
    <row r="1375" spans="1:2" x14ac:dyDescent="0.25">
      <c r="A1375" s="4">
        <v>33841</v>
      </c>
      <c r="B1375" s="6">
        <v>19.68</v>
      </c>
    </row>
    <row r="1376" spans="1:2" x14ac:dyDescent="0.25">
      <c r="A1376" s="4">
        <v>33842</v>
      </c>
      <c r="B1376" s="6">
        <v>19.63</v>
      </c>
    </row>
    <row r="1377" spans="1:2" x14ac:dyDescent="0.25">
      <c r="A1377" s="4">
        <v>33843</v>
      </c>
      <c r="B1377" s="6">
        <v>19.5</v>
      </c>
    </row>
    <row r="1378" spans="1:2" x14ac:dyDescent="0.25">
      <c r="A1378" s="4">
        <v>33844</v>
      </c>
      <c r="B1378" s="6">
        <v>19.649999999999999</v>
      </c>
    </row>
    <row r="1379" spans="1:2" x14ac:dyDescent="0.25">
      <c r="A1379" s="4">
        <v>33847</v>
      </c>
      <c r="B1379" s="6">
        <v>19.649999999999999</v>
      </c>
    </row>
    <row r="1380" spans="1:2" x14ac:dyDescent="0.25">
      <c r="A1380" s="4">
        <v>33848</v>
      </c>
      <c r="B1380" s="6">
        <v>19.88</v>
      </c>
    </row>
    <row r="1381" spans="1:2" x14ac:dyDescent="0.25">
      <c r="A1381" s="4">
        <v>33849</v>
      </c>
      <c r="B1381" s="6">
        <v>20</v>
      </c>
    </row>
    <row r="1382" spans="1:2" x14ac:dyDescent="0.25">
      <c r="A1382" s="4">
        <v>33850</v>
      </c>
      <c r="B1382" s="6">
        <v>19.95</v>
      </c>
    </row>
    <row r="1383" spans="1:2" x14ac:dyDescent="0.25">
      <c r="A1383" s="4">
        <v>33851</v>
      </c>
      <c r="B1383" s="6">
        <v>20.03</v>
      </c>
    </row>
    <row r="1384" spans="1:2" x14ac:dyDescent="0.25">
      <c r="A1384" s="4">
        <v>33854</v>
      </c>
      <c r="B1384" s="6">
        <v>20.13</v>
      </c>
    </row>
    <row r="1385" spans="1:2" x14ac:dyDescent="0.25">
      <c r="A1385" s="4">
        <v>33855</v>
      </c>
      <c r="B1385" s="6">
        <v>20.3</v>
      </c>
    </row>
    <row r="1386" spans="1:2" x14ac:dyDescent="0.25">
      <c r="A1386" s="4">
        <v>33856</v>
      </c>
      <c r="B1386" s="6">
        <v>20.329999999999998</v>
      </c>
    </row>
    <row r="1387" spans="1:2" x14ac:dyDescent="0.25">
      <c r="A1387" s="4">
        <v>33857</v>
      </c>
      <c r="B1387" s="6">
        <v>20.3</v>
      </c>
    </row>
    <row r="1388" spans="1:2" x14ac:dyDescent="0.25">
      <c r="A1388" s="4">
        <v>33858</v>
      </c>
      <c r="B1388" s="6">
        <v>20.350000000000001</v>
      </c>
    </row>
    <row r="1389" spans="1:2" x14ac:dyDescent="0.25">
      <c r="A1389" s="4">
        <v>33861</v>
      </c>
      <c r="B1389" s="6">
        <v>20.68</v>
      </c>
    </row>
    <row r="1390" spans="1:2" x14ac:dyDescent="0.25">
      <c r="A1390" s="4">
        <v>33862</v>
      </c>
      <c r="B1390" s="6">
        <v>20.5</v>
      </c>
    </row>
    <row r="1391" spans="1:2" x14ac:dyDescent="0.25">
      <c r="A1391" s="4">
        <v>33863</v>
      </c>
      <c r="B1391" s="6">
        <v>20.43</v>
      </c>
    </row>
    <row r="1392" spans="1:2" x14ac:dyDescent="0.25">
      <c r="A1392" s="4">
        <v>33864</v>
      </c>
      <c r="B1392" s="6">
        <v>20.350000000000001</v>
      </c>
    </row>
    <row r="1393" spans="1:2" x14ac:dyDescent="0.25">
      <c r="A1393" s="4">
        <v>33865</v>
      </c>
      <c r="B1393" s="6">
        <v>20.3</v>
      </c>
    </row>
    <row r="1394" spans="1:2" x14ac:dyDescent="0.25">
      <c r="A1394" s="4">
        <v>33868</v>
      </c>
      <c r="B1394" s="6">
        <v>20.149999999999999</v>
      </c>
    </row>
    <row r="1395" spans="1:2" x14ac:dyDescent="0.25">
      <c r="A1395" s="4">
        <v>33869</v>
      </c>
      <c r="B1395" s="6">
        <v>20.329999999999998</v>
      </c>
    </row>
    <row r="1396" spans="1:2" x14ac:dyDescent="0.25">
      <c r="A1396" s="4">
        <v>33870</v>
      </c>
      <c r="B1396" s="6">
        <v>20.53</v>
      </c>
    </row>
    <row r="1397" spans="1:2" x14ac:dyDescent="0.25">
      <c r="A1397" s="4">
        <v>33871</v>
      </c>
      <c r="B1397" s="6">
        <v>20.43</v>
      </c>
    </row>
    <row r="1398" spans="1:2" x14ac:dyDescent="0.25">
      <c r="A1398" s="4">
        <v>33872</v>
      </c>
      <c r="B1398" s="6">
        <v>20.329999999999998</v>
      </c>
    </row>
    <row r="1399" spans="1:2" x14ac:dyDescent="0.25">
      <c r="A1399" s="4">
        <v>33875</v>
      </c>
      <c r="B1399" s="6">
        <v>20.28</v>
      </c>
    </row>
    <row r="1400" spans="1:2" x14ac:dyDescent="0.25">
      <c r="A1400" s="4">
        <v>33876</v>
      </c>
      <c r="B1400" s="6">
        <v>20.18</v>
      </c>
    </row>
    <row r="1401" spans="1:2" x14ac:dyDescent="0.25">
      <c r="A1401" s="4">
        <v>33877</v>
      </c>
      <c r="B1401" s="6">
        <v>20.18</v>
      </c>
    </row>
    <row r="1402" spans="1:2" x14ac:dyDescent="0.25">
      <c r="A1402" s="4">
        <v>33878</v>
      </c>
      <c r="B1402" s="6">
        <v>20.28</v>
      </c>
    </row>
    <row r="1403" spans="1:2" x14ac:dyDescent="0.25">
      <c r="A1403" s="4">
        <v>33879</v>
      </c>
      <c r="B1403" s="6">
        <v>20.399999999999999</v>
      </c>
    </row>
    <row r="1404" spans="1:2" x14ac:dyDescent="0.25">
      <c r="A1404" s="4">
        <v>33882</v>
      </c>
      <c r="B1404" s="6">
        <v>20.2</v>
      </c>
    </row>
    <row r="1405" spans="1:2" x14ac:dyDescent="0.25">
      <c r="A1405" s="4">
        <v>33883</v>
      </c>
      <c r="B1405" s="6">
        <v>20.23</v>
      </c>
    </row>
    <row r="1406" spans="1:2" x14ac:dyDescent="0.25">
      <c r="A1406" s="4">
        <v>33884</v>
      </c>
      <c r="B1406" s="6">
        <v>20.28</v>
      </c>
    </row>
    <row r="1407" spans="1:2" x14ac:dyDescent="0.25">
      <c r="A1407" s="4">
        <v>33885</v>
      </c>
      <c r="B1407" s="6">
        <v>20.48</v>
      </c>
    </row>
    <row r="1408" spans="1:2" x14ac:dyDescent="0.25">
      <c r="A1408" s="4">
        <v>33886</v>
      </c>
      <c r="B1408" s="6">
        <v>20.48</v>
      </c>
    </row>
    <row r="1409" spans="1:2" x14ac:dyDescent="0.25">
      <c r="A1409" s="4">
        <v>33889</v>
      </c>
      <c r="B1409" s="6">
        <v>20.8</v>
      </c>
    </row>
    <row r="1410" spans="1:2" x14ac:dyDescent="0.25">
      <c r="A1410" s="4">
        <v>33890</v>
      </c>
      <c r="B1410" s="6">
        <v>20.83</v>
      </c>
    </row>
    <row r="1411" spans="1:2" x14ac:dyDescent="0.25">
      <c r="A1411" s="4">
        <v>33891</v>
      </c>
      <c r="B1411" s="6">
        <v>20.68</v>
      </c>
    </row>
    <row r="1412" spans="1:2" x14ac:dyDescent="0.25">
      <c r="A1412" s="4">
        <v>33892</v>
      </c>
      <c r="B1412" s="6">
        <v>20.73</v>
      </c>
    </row>
    <row r="1413" spans="1:2" x14ac:dyDescent="0.25">
      <c r="A1413" s="4">
        <v>33893</v>
      </c>
      <c r="B1413" s="6">
        <v>20.78</v>
      </c>
    </row>
    <row r="1414" spans="1:2" x14ac:dyDescent="0.25">
      <c r="A1414" s="4">
        <v>33896</v>
      </c>
      <c r="B1414" s="6">
        <v>20.73</v>
      </c>
    </row>
    <row r="1415" spans="1:2" x14ac:dyDescent="0.25">
      <c r="A1415" s="4">
        <v>33897</v>
      </c>
      <c r="B1415" s="6">
        <v>20.68</v>
      </c>
    </row>
    <row r="1416" spans="1:2" x14ac:dyDescent="0.25">
      <c r="A1416" s="4">
        <v>33898</v>
      </c>
      <c r="B1416" s="6">
        <v>20.28</v>
      </c>
    </row>
    <row r="1417" spans="1:2" x14ac:dyDescent="0.25">
      <c r="A1417" s="4">
        <v>33899</v>
      </c>
      <c r="B1417" s="6">
        <v>20.13</v>
      </c>
    </row>
    <row r="1418" spans="1:2" x14ac:dyDescent="0.25">
      <c r="A1418" s="4">
        <v>33900</v>
      </c>
      <c r="B1418" s="6">
        <v>20.03</v>
      </c>
    </row>
    <row r="1419" spans="1:2" x14ac:dyDescent="0.25">
      <c r="A1419" s="4">
        <v>33903</v>
      </c>
      <c r="B1419" s="6">
        <v>19.78</v>
      </c>
    </row>
    <row r="1420" spans="1:2" x14ac:dyDescent="0.25">
      <c r="A1420" s="4">
        <v>33904</v>
      </c>
      <c r="B1420" s="6">
        <v>19.78</v>
      </c>
    </row>
    <row r="1421" spans="1:2" x14ac:dyDescent="0.25">
      <c r="A1421" s="4">
        <v>33905</v>
      </c>
      <c r="B1421" s="6">
        <v>19.649999999999999</v>
      </c>
    </row>
    <row r="1422" spans="1:2" x14ac:dyDescent="0.25">
      <c r="A1422" s="4">
        <v>33906</v>
      </c>
      <c r="B1422" s="6">
        <v>19.399999999999999</v>
      </c>
    </row>
    <row r="1423" spans="1:2" x14ac:dyDescent="0.25">
      <c r="A1423" s="4">
        <v>33907</v>
      </c>
      <c r="B1423" s="6">
        <v>19.13</v>
      </c>
    </row>
    <row r="1424" spans="1:2" x14ac:dyDescent="0.25">
      <c r="A1424" s="4">
        <v>33910</v>
      </c>
      <c r="B1424" s="6">
        <v>19.25</v>
      </c>
    </row>
    <row r="1425" spans="1:2" x14ac:dyDescent="0.25">
      <c r="A1425" s="4">
        <v>33911</v>
      </c>
      <c r="B1425" s="6">
        <v>19.350000000000001</v>
      </c>
    </row>
    <row r="1426" spans="1:2" x14ac:dyDescent="0.25">
      <c r="A1426" s="4">
        <v>33912</v>
      </c>
      <c r="B1426" s="6">
        <v>19.03</v>
      </c>
    </row>
    <row r="1427" spans="1:2" x14ac:dyDescent="0.25">
      <c r="A1427" s="4">
        <v>33913</v>
      </c>
      <c r="B1427" s="6">
        <v>19.2</v>
      </c>
    </row>
    <row r="1428" spans="1:2" x14ac:dyDescent="0.25">
      <c r="A1428" s="4">
        <v>33914</v>
      </c>
      <c r="B1428" s="6">
        <v>19.13</v>
      </c>
    </row>
    <row r="1429" spans="1:2" x14ac:dyDescent="0.25">
      <c r="A1429" s="4">
        <v>33917</v>
      </c>
      <c r="B1429" s="6">
        <v>19.100000000000001</v>
      </c>
    </row>
    <row r="1430" spans="1:2" x14ac:dyDescent="0.25">
      <c r="A1430" s="4">
        <v>33918</v>
      </c>
      <c r="B1430" s="6">
        <v>19.53</v>
      </c>
    </row>
    <row r="1431" spans="1:2" x14ac:dyDescent="0.25">
      <c r="A1431" s="4">
        <v>33919</v>
      </c>
      <c r="B1431" s="6">
        <v>19.399999999999999</v>
      </c>
    </row>
    <row r="1432" spans="1:2" x14ac:dyDescent="0.25">
      <c r="A1432" s="4">
        <v>33920</v>
      </c>
      <c r="B1432" s="6">
        <v>19.18</v>
      </c>
    </row>
    <row r="1433" spans="1:2" x14ac:dyDescent="0.25">
      <c r="A1433" s="4">
        <v>33921</v>
      </c>
      <c r="B1433" s="6">
        <v>19.05</v>
      </c>
    </row>
    <row r="1434" spans="1:2" x14ac:dyDescent="0.25">
      <c r="A1434" s="4">
        <v>33924</v>
      </c>
      <c r="B1434" s="6">
        <v>19.2</v>
      </c>
    </row>
    <row r="1435" spans="1:2" x14ac:dyDescent="0.25">
      <c r="A1435" s="4">
        <v>33925</v>
      </c>
      <c r="B1435" s="6">
        <v>19.149999999999999</v>
      </c>
    </row>
    <row r="1436" spans="1:2" x14ac:dyDescent="0.25">
      <c r="A1436" s="4">
        <v>33926</v>
      </c>
      <c r="B1436" s="6">
        <v>19.100000000000001</v>
      </c>
    </row>
    <row r="1437" spans="1:2" x14ac:dyDescent="0.25">
      <c r="A1437" s="4">
        <v>33927</v>
      </c>
      <c r="B1437" s="6">
        <v>19.48</v>
      </c>
    </row>
    <row r="1438" spans="1:2" x14ac:dyDescent="0.25">
      <c r="A1438" s="4">
        <v>33928</v>
      </c>
      <c r="B1438" s="6">
        <v>19.48</v>
      </c>
    </row>
    <row r="1439" spans="1:2" x14ac:dyDescent="0.25">
      <c r="A1439" s="4">
        <v>33931</v>
      </c>
      <c r="B1439" s="6">
        <v>19.149999999999999</v>
      </c>
    </row>
    <row r="1440" spans="1:2" x14ac:dyDescent="0.25">
      <c r="A1440" s="4">
        <v>33932</v>
      </c>
      <c r="B1440" s="6">
        <v>19.18</v>
      </c>
    </row>
    <row r="1441" spans="1:2" x14ac:dyDescent="0.25">
      <c r="A1441" s="4">
        <v>33933</v>
      </c>
      <c r="B1441" s="6">
        <v>19.28</v>
      </c>
    </row>
    <row r="1442" spans="1:2" x14ac:dyDescent="0.25">
      <c r="A1442" s="4">
        <v>33934</v>
      </c>
      <c r="B1442" s="6">
        <v>18.93</v>
      </c>
    </row>
    <row r="1443" spans="1:2" x14ac:dyDescent="0.25">
      <c r="A1443" s="4">
        <v>33935</v>
      </c>
      <c r="B1443" s="6">
        <v>19.079999999999998</v>
      </c>
    </row>
    <row r="1444" spans="1:2" x14ac:dyDescent="0.25">
      <c r="A1444" s="4">
        <v>33938</v>
      </c>
      <c r="B1444" s="6">
        <v>19.25</v>
      </c>
    </row>
    <row r="1445" spans="1:2" x14ac:dyDescent="0.25">
      <c r="A1445" s="4">
        <v>33939</v>
      </c>
      <c r="B1445" s="6">
        <v>18.649999999999999</v>
      </c>
    </row>
    <row r="1446" spans="1:2" x14ac:dyDescent="0.25">
      <c r="A1446" s="4">
        <v>33940</v>
      </c>
      <c r="B1446" s="6">
        <v>18.38</v>
      </c>
    </row>
    <row r="1447" spans="1:2" x14ac:dyDescent="0.25">
      <c r="A1447" s="4">
        <v>33941</v>
      </c>
      <c r="B1447" s="6">
        <v>18.2</v>
      </c>
    </row>
    <row r="1448" spans="1:2" x14ac:dyDescent="0.25">
      <c r="A1448" s="4">
        <v>33942</v>
      </c>
      <c r="B1448" s="6">
        <v>18.350000000000001</v>
      </c>
    </row>
    <row r="1449" spans="1:2" x14ac:dyDescent="0.25">
      <c r="A1449" s="4">
        <v>33945</v>
      </c>
      <c r="B1449" s="6">
        <v>18.25</v>
      </c>
    </row>
    <row r="1450" spans="1:2" x14ac:dyDescent="0.25">
      <c r="A1450" s="4">
        <v>33946</v>
      </c>
      <c r="B1450" s="6">
        <v>18.079999999999998</v>
      </c>
    </row>
    <row r="1451" spans="1:2" x14ac:dyDescent="0.25">
      <c r="A1451" s="4">
        <v>33947</v>
      </c>
      <c r="B1451" s="6">
        <v>17.8</v>
      </c>
    </row>
    <row r="1452" spans="1:2" x14ac:dyDescent="0.25">
      <c r="A1452" s="4">
        <v>33948</v>
      </c>
      <c r="B1452" s="6">
        <v>18.28</v>
      </c>
    </row>
    <row r="1453" spans="1:2" x14ac:dyDescent="0.25">
      <c r="A1453" s="4">
        <v>33949</v>
      </c>
      <c r="B1453" s="6">
        <v>18.2</v>
      </c>
    </row>
    <row r="1454" spans="1:2" x14ac:dyDescent="0.25">
      <c r="A1454" s="4">
        <v>33952</v>
      </c>
      <c r="B1454" s="6">
        <v>18.03</v>
      </c>
    </row>
    <row r="1455" spans="1:2" x14ac:dyDescent="0.25">
      <c r="A1455" s="4">
        <v>33953</v>
      </c>
      <c r="B1455" s="6">
        <v>17.8</v>
      </c>
    </row>
    <row r="1456" spans="1:2" x14ac:dyDescent="0.25">
      <c r="A1456" s="4">
        <v>33954</v>
      </c>
      <c r="B1456" s="6">
        <v>17.899999999999999</v>
      </c>
    </row>
    <row r="1457" spans="1:2" x14ac:dyDescent="0.25">
      <c r="A1457" s="4">
        <v>33955</v>
      </c>
      <c r="B1457" s="6">
        <v>18.18</v>
      </c>
    </row>
    <row r="1458" spans="1:2" x14ac:dyDescent="0.25">
      <c r="A1458" s="4">
        <v>33956</v>
      </c>
      <c r="B1458" s="6">
        <v>18.3</v>
      </c>
    </row>
    <row r="1459" spans="1:2" x14ac:dyDescent="0.25">
      <c r="A1459" s="4">
        <v>33959</v>
      </c>
      <c r="B1459" s="6">
        <v>18.329999999999998</v>
      </c>
    </row>
    <row r="1460" spans="1:2" x14ac:dyDescent="0.25">
      <c r="A1460" s="4">
        <v>33960</v>
      </c>
      <c r="B1460" s="6">
        <v>18.079999999999998</v>
      </c>
    </row>
    <row r="1461" spans="1:2" x14ac:dyDescent="0.25">
      <c r="A1461" s="4">
        <v>33961</v>
      </c>
      <c r="B1461" s="6">
        <v>18.23</v>
      </c>
    </row>
    <row r="1462" spans="1:2" x14ac:dyDescent="0.25">
      <c r="A1462" s="4">
        <v>33962</v>
      </c>
      <c r="B1462" s="6">
        <v>18.28</v>
      </c>
    </row>
    <row r="1463" spans="1:2" x14ac:dyDescent="0.25">
      <c r="A1463" s="4">
        <v>33963</v>
      </c>
      <c r="B1463" s="5"/>
    </row>
    <row r="1464" spans="1:2" x14ac:dyDescent="0.25">
      <c r="A1464" s="4">
        <v>33966</v>
      </c>
      <c r="B1464" s="5"/>
    </row>
    <row r="1465" spans="1:2" x14ac:dyDescent="0.25">
      <c r="A1465" s="4">
        <v>33967</v>
      </c>
      <c r="B1465" s="6">
        <v>17.93</v>
      </c>
    </row>
    <row r="1466" spans="1:2" x14ac:dyDescent="0.25">
      <c r="A1466" s="4">
        <v>33968</v>
      </c>
      <c r="B1466" s="6">
        <v>17.829999999999998</v>
      </c>
    </row>
    <row r="1467" spans="1:2" x14ac:dyDescent="0.25">
      <c r="A1467" s="4">
        <v>33969</v>
      </c>
      <c r="B1467" s="6">
        <v>17.850000000000001</v>
      </c>
    </row>
    <row r="1468" spans="1:2" x14ac:dyDescent="0.25">
      <c r="A1468" s="4">
        <v>33970</v>
      </c>
      <c r="B1468" s="5"/>
    </row>
    <row r="1469" spans="1:2" x14ac:dyDescent="0.25">
      <c r="A1469" s="4">
        <v>33973</v>
      </c>
      <c r="B1469" s="6">
        <v>17.73</v>
      </c>
    </row>
    <row r="1470" spans="1:2" x14ac:dyDescent="0.25">
      <c r="A1470" s="4">
        <v>33974</v>
      </c>
      <c r="B1470" s="6">
        <v>17.48</v>
      </c>
    </row>
    <row r="1471" spans="1:2" x14ac:dyDescent="0.25">
      <c r="A1471" s="4">
        <v>33975</v>
      </c>
      <c r="B1471" s="6">
        <v>17.53</v>
      </c>
    </row>
    <row r="1472" spans="1:2" x14ac:dyDescent="0.25">
      <c r="A1472" s="4">
        <v>33976</v>
      </c>
      <c r="B1472" s="6">
        <v>17.579999999999998</v>
      </c>
    </row>
    <row r="1473" spans="1:2" x14ac:dyDescent="0.25">
      <c r="A1473" s="4">
        <v>33977</v>
      </c>
      <c r="B1473" s="6">
        <v>17.23</v>
      </c>
    </row>
    <row r="1474" spans="1:2" x14ac:dyDescent="0.25">
      <c r="A1474" s="4">
        <v>33980</v>
      </c>
      <c r="B1474" s="6">
        <v>17.28</v>
      </c>
    </row>
    <row r="1475" spans="1:2" x14ac:dyDescent="0.25">
      <c r="A1475" s="4">
        <v>33981</v>
      </c>
      <c r="B1475" s="6">
        <v>16.850000000000001</v>
      </c>
    </row>
    <row r="1476" spans="1:2" x14ac:dyDescent="0.25">
      <c r="A1476" s="4">
        <v>33982</v>
      </c>
      <c r="B1476" s="6">
        <v>16.850000000000001</v>
      </c>
    </row>
    <row r="1477" spans="1:2" x14ac:dyDescent="0.25">
      <c r="A1477" s="4">
        <v>33983</v>
      </c>
      <c r="B1477" s="6">
        <v>17</v>
      </c>
    </row>
    <row r="1478" spans="1:2" x14ac:dyDescent="0.25">
      <c r="A1478" s="4">
        <v>33984</v>
      </c>
      <c r="B1478" s="6">
        <v>17.28</v>
      </c>
    </row>
    <row r="1479" spans="1:2" x14ac:dyDescent="0.25">
      <c r="A1479" s="4">
        <v>33987</v>
      </c>
      <c r="B1479" s="6">
        <v>17.25</v>
      </c>
    </row>
    <row r="1480" spans="1:2" x14ac:dyDescent="0.25">
      <c r="A1480" s="4">
        <v>33988</v>
      </c>
      <c r="B1480" s="6">
        <v>16.98</v>
      </c>
    </row>
    <row r="1481" spans="1:2" x14ac:dyDescent="0.25">
      <c r="A1481" s="4">
        <v>33989</v>
      </c>
      <c r="B1481" s="6">
        <v>16.7</v>
      </c>
    </row>
    <row r="1482" spans="1:2" x14ac:dyDescent="0.25">
      <c r="A1482" s="4">
        <v>33990</v>
      </c>
      <c r="B1482" s="6">
        <v>16.88</v>
      </c>
    </row>
    <row r="1483" spans="1:2" x14ac:dyDescent="0.25">
      <c r="A1483" s="4">
        <v>33991</v>
      </c>
      <c r="B1483" s="6">
        <v>17.079999999999998</v>
      </c>
    </row>
    <row r="1484" spans="1:2" x14ac:dyDescent="0.25">
      <c r="A1484" s="4">
        <v>33994</v>
      </c>
      <c r="B1484" s="6">
        <v>17.579999999999998</v>
      </c>
    </row>
    <row r="1485" spans="1:2" x14ac:dyDescent="0.25">
      <c r="A1485" s="4">
        <v>33995</v>
      </c>
      <c r="B1485" s="6">
        <v>17.93</v>
      </c>
    </row>
    <row r="1486" spans="1:2" x14ac:dyDescent="0.25">
      <c r="A1486" s="4">
        <v>33996</v>
      </c>
      <c r="B1486" s="6">
        <v>17.88</v>
      </c>
    </row>
    <row r="1487" spans="1:2" x14ac:dyDescent="0.25">
      <c r="A1487" s="4">
        <v>33997</v>
      </c>
      <c r="B1487" s="6">
        <v>18.149999999999999</v>
      </c>
    </row>
    <row r="1488" spans="1:2" x14ac:dyDescent="0.25">
      <c r="A1488" s="4">
        <v>33998</v>
      </c>
      <c r="B1488" s="6">
        <v>18.48</v>
      </c>
    </row>
    <row r="1489" spans="1:2" x14ac:dyDescent="0.25">
      <c r="A1489" s="4">
        <v>34001</v>
      </c>
      <c r="B1489" s="6">
        <v>18.55</v>
      </c>
    </row>
    <row r="1490" spans="1:2" x14ac:dyDescent="0.25">
      <c r="A1490" s="4">
        <v>34002</v>
      </c>
      <c r="B1490" s="6">
        <v>18.399999999999999</v>
      </c>
    </row>
    <row r="1491" spans="1:2" x14ac:dyDescent="0.25">
      <c r="A1491" s="4">
        <v>34003</v>
      </c>
      <c r="B1491" s="5"/>
    </row>
    <row r="1492" spans="1:2" x14ac:dyDescent="0.25">
      <c r="A1492" s="4">
        <v>34004</v>
      </c>
      <c r="B1492" s="6">
        <v>18.649999999999999</v>
      </c>
    </row>
    <row r="1493" spans="1:2" x14ac:dyDescent="0.25">
      <c r="A1493" s="4">
        <v>34005</v>
      </c>
      <c r="B1493" s="6">
        <v>18.7</v>
      </c>
    </row>
    <row r="1494" spans="1:2" x14ac:dyDescent="0.25">
      <c r="A1494" s="4">
        <v>34008</v>
      </c>
      <c r="B1494" s="6">
        <v>18.55</v>
      </c>
    </row>
    <row r="1495" spans="1:2" x14ac:dyDescent="0.25">
      <c r="A1495" s="4">
        <v>34009</v>
      </c>
      <c r="B1495" s="6">
        <v>18.329999999999998</v>
      </c>
    </row>
    <row r="1496" spans="1:2" x14ac:dyDescent="0.25">
      <c r="A1496" s="4">
        <v>34010</v>
      </c>
      <c r="B1496" s="6">
        <v>18.48</v>
      </c>
    </row>
    <row r="1497" spans="1:2" x14ac:dyDescent="0.25">
      <c r="A1497" s="4">
        <v>34011</v>
      </c>
      <c r="B1497" s="6">
        <v>18.43</v>
      </c>
    </row>
    <row r="1498" spans="1:2" x14ac:dyDescent="0.25">
      <c r="A1498" s="4">
        <v>34012</v>
      </c>
      <c r="B1498" s="6">
        <v>18.48</v>
      </c>
    </row>
    <row r="1499" spans="1:2" x14ac:dyDescent="0.25">
      <c r="A1499" s="4">
        <v>34015</v>
      </c>
      <c r="B1499" s="6">
        <v>17.98</v>
      </c>
    </row>
    <row r="1500" spans="1:2" x14ac:dyDescent="0.25">
      <c r="A1500" s="4">
        <v>34016</v>
      </c>
      <c r="B1500" s="6">
        <v>18.2</v>
      </c>
    </row>
    <row r="1501" spans="1:2" x14ac:dyDescent="0.25">
      <c r="A1501" s="4">
        <v>34017</v>
      </c>
      <c r="B1501" s="6">
        <v>17.93</v>
      </c>
    </row>
    <row r="1502" spans="1:2" x14ac:dyDescent="0.25">
      <c r="A1502" s="4">
        <v>34018</v>
      </c>
      <c r="B1502" s="6">
        <v>17.829999999999998</v>
      </c>
    </row>
    <row r="1503" spans="1:2" x14ac:dyDescent="0.25">
      <c r="A1503" s="4">
        <v>34019</v>
      </c>
      <c r="B1503" s="6">
        <v>18.3</v>
      </c>
    </row>
    <row r="1504" spans="1:2" x14ac:dyDescent="0.25">
      <c r="A1504" s="4">
        <v>34022</v>
      </c>
      <c r="B1504" s="6">
        <v>18.63</v>
      </c>
    </row>
    <row r="1505" spans="1:2" x14ac:dyDescent="0.25">
      <c r="A1505" s="4">
        <v>34023</v>
      </c>
      <c r="B1505" s="6">
        <v>18.88</v>
      </c>
    </row>
    <row r="1506" spans="1:2" x14ac:dyDescent="0.25">
      <c r="A1506" s="4">
        <v>34024</v>
      </c>
      <c r="B1506" s="6">
        <v>18.88</v>
      </c>
    </row>
    <row r="1507" spans="1:2" x14ac:dyDescent="0.25">
      <c r="A1507" s="4">
        <v>34025</v>
      </c>
      <c r="B1507" s="6">
        <v>18.829999999999998</v>
      </c>
    </row>
    <row r="1508" spans="1:2" x14ac:dyDescent="0.25">
      <c r="A1508" s="4">
        <v>34026</v>
      </c>
      <c r="B1508" s="6">
        <v>18.829999999999998</v>
      </c>
    </row>
    <row r="1509" spans="1:2" x14ac:dyDescent="0.25">
      <c r="A1509" s="4">
        <v>34029</v>
      </c>
      <c r="B1509" s="6">
        <v>19.03</v>
      </c>
    </row>
    <row r="1510" spans="1:2" x14ac:dyDescent="0.25">
      <c r="A1510" s="4">
        <v>34030</v>
      </c>
      <c r="B1510" s="6">
        <v>18.829999999999998</v>
      </c>
    </row>
    <row r="1511" spans="1:2" x14ac:dyDescent="0.25">
      <c r="A1511" s="4">
        <v>34031</v>
      </c>
      <c r="B1511" s="6">
        <v>18.93</v>
      </c>
    </row>
    <row r="1512" spans="1:2" x14ac:dyDescent="0.25">
      <c r="A1512" s="4">
        <v>34032</v>
      </c>
      <c r="B1512" s="6">
        <v>19.350000000000001</v>
      </c>
    </row>
    <row r="1513" spans="1:2" x14ac:dyDescent="0.25">
      <c r="A1513" s="4">
        <v>34033</v>
      </c>
      <c r="B1513" s="6">
        <v>19.600000000000001</v>
      </c>
    </row>
    <row r="1514" spans="1:2" x14ac:dyDescent="0.25">
      <c r="A1514" s="4">
        <v>34036</v>
      </c>
      <c r="B1514" s="6">
        <v>19.28</v>
      </c>
    </row>
    <row r="1515" spans="1:2" x14ac:dyDescent="0.25">
      <c r="A1515" s="4">
        <v>34037</v>
      </c>
      <c r="B1515" s="6">
        <v>19.23</v>
      </c>
    </row>
    <row r="1516" spans="1:2" x14ac:dyDescent="0.25">
      <c r="A1516" s="4">
        <v>34038</v>
      </c>
      <c r="B1516" s="6">
        <v>19.079999999999998</v>
      </c>
    </row>
    <row r="1517" spans="1:2" x14ac:dyDescent="0.25">
      <c r="A1517" s="4">
        <v>34039</v>
      </c>
      <c r="B1517" s="6">
        <v>18.7</v>
      </c>
    </row>
    <row r="1518" spans="1:2" x14ac:dyDescent="0.25">
      <c r="A1518" s="4">
        <v>34040</v>
      </c>
      <c r="B1518" s="6">
        <v>18.829999999999998</v>
      </c>
    </row>
    <row r="1519" spans="1:2" x14ac:dyDescent="0.25">
      <c r="A1519" s="4">
        <v>34043</v>
      </c>
      <c r="B1519" s="6">
        <v>18.88</v>
      </c>
    </row>
    <row r="1520" spans="1:2" x14ac:dyDescent="0.25">
      <c r="A1520" s="4">
        <v>34044</v>
      </c>
      <c r="B1520" s="6">
        <v>18.55</v>
      </c>
    </row>
    <row r="1521" spans="1:2" x14ac:dyDescent="0.25">
      <c r="A1521" s="4">
        <v>34045</v>
      </c>
      <c r="B1521" s="6">
        <v>18.600000000000001</v>
      </c>
    </row>
    <row r="1522" spans="1:2" x14ac:dyDescent="0.25">
      <c r="A1522" s="4">
        <v>34046</v>
      </c>
      <c r="B1522" s="6">
        <v>18.7</v>
      </c>
    </row>
    <row r="1523" spans="1:2" x14ac:dyDescent="0.25">
      <c r="A1523" s="4">
        <v>34047</v>
      </c>
      <c r="B1523" s="6">
        <v>18.579999999999998</v>
      </c>
    </row>
    <row r="1524" spans="1:2" x14ac:dyDescent="0.25">
      <c r="A1524" s="4">
        <v>34050</v>
      </c>
      <c r="B1524" s="6">
        <v>18.18</v>
      </c>
    </row>
    <row r="1525" spans="1:2" x14ac:dyDescent="0.25">
      <c r="A1525" s="4">
        <v>34051</v>
      </c>
      <c r="B1525" s="6">
        <v>18.23</v>
      </c>
    </row>
    <row r="1526" spans="1:2" x14ac:dyDescent="0.25">
      <c r="A1526" s="4">
        <v>34052</v>
      </c>
      <c r="B1526" s="6">
        <v>18.53</v>
      </c>
    </row>
    <row r="1527" spans="1:2" x14ac:dyDescent="0.25">
      <c r="A1527" s="4">
        <v>34053</v>
      </c>
      <c r="B1527" s="6">
        <v>18.600000000000001</v>
      </c>
    </row>
    <row r="1528" spans="1:2" x14ac:dyDescent="0.25">
      <c r="A1528" s="4">
        <v>34054</v>
      </c>
      <c r="B1528" s="6">
        <v>18.55</v>
      </c>
    </row>
    <row r="1529" spans="1:2" x14ac:dyDescent="0.25">
      <c r="A1529" s="4">
        <v>34057</v>
      </c>
      <c r="B1529" s="6">
        <v>18.649999999999999</v>
      </c>
    </row>
    <row r="1530" spans="1:2" x14ac:dyDescent="0.25">
      <c r="A1530" s="4">
        <v>34058</v>
      </c>
      <c r="B1530" s="6">
        <v>18.45</v>
      </c>
    </row>
    <row r="1531" spans="1:2" x14ac:dyDescent="0.25">
      <c r="A1531" s="4">
        <v>34059</v>
      </c>
      <c r="B1531" s="6">
        <v>18.7</v>
      </c>
    </row>
    <row r="1532" spans="1:2" x14ac:dyDescent="0.25">
      <c r="A1532" s="4">
        <v>34060</v>
      </c>
      <c r="B1532" s="6">
        <v>18.98</v>
      </c>
    </row>
    <row r="1533" spans="1:2" x14ac:dyDescent="0.25">
      <c r="A1533" s="4">
        <v>34061</v>
      </c>
      <c r="B1533" s="6">
        <v>18.88</v>
      </c>
    </row>
    <row r="1534" spans="1:2" x14ac:dyDescent="0.25">
      <c r="A1534" s="4">
        <v>34064</v>
      </c>
      <c r="B1534" s="6">
        <v>18.95</v>
      </c>
    </row>
    <row r="1535" spans="1:2" x14ac:dyDescent="0.25">
      <c r="A1535" s="4">
        <v>34065</v>
      </c>
      <c r="B1535" s="6">
        <v>18.649999999999999</v>
      </c>
    </row>
    <row r="1536" spans="1:2" x14ac:dyDescent="0.25">
      <c r="A1536" s="4">
        <v>34066</v>
      </c>
      <c r="B1536" s="6">
        <v>18.7</v>
      </c>
    </row>
    <row r="1537" spans="1:2" x14ac:dyDescent="0.25">
      <c r="A1537" s="4">
        <v>34067</v>
      </c>
      <c r="B1537" s="6">
        <v>18.53</v>
      </c>
    </row>
    <row r="1538" spans="1:2" x14ac:dyDescent="0.25">
      <c r="A1538" s="4">
        <v>34068</v>
      </c>
      <c r="B1538" s="5"/>
    </row>
    <row r="1539" spans="1:2" x14ac:dyDescent="0.25">
      <c r="A1539" s="4">
        <v>34071</v>
      </c>
      <c r="B1539" s="5"/>
    </row>
    <row r="1540" spans="1:2" x14ac:dyDescent="0.25">
      <c r="A1540" s="4">
        <v>34072</v>
      </c>
      <c r="B1540" s="6">
        <v>18.8</v>
      </c>
    </row>
    <row r="1541" spans="1:2" x14ac:dyDescent="0.25">
      <c r="A1541" s="4">
        <v>34073</v>
      </c>
      <c r="B1541" s="6">
        <v>18.73</v>
      </c>
    </row>
    <row r="1542" spans="1:2" x14ac:dyDescent="0.25">
      <c r="A1542" s="4">
        <v>34074</v>
      </c>
      <c r="B1542" s="6">
        <v>18.63</v>
      </c>
    </row>
    <row r="1543" spans="1:2" x14ac:dyDescent="0.25">
      <c r="A1543" s="4">
        <v>34075</v>
      </c>
      <c r="B1543" s="6">
        <v>18.5</v>
      </c>
    </row>
    <row r="1544" spans="1:2" x14ac:dyDescent="0.25">
      <c r="A1544" s="4">
        <v>34078</v>
      </c>
      <c r="B1544" s="6">
        <v>18.48</v>
      </c>
    </row>
    <row r="1545" spans="1:2" x14ac:dyDescent="0.25">
      <c r="A1545" s="4">
        <v>34079</v>
      </c>
      <c r="B1545" s="6">
        <v>18.53</v>
      </c>
    </row>
    <row r="1546" spans="1:2" x14ac:dyDescent="0.25">
      <c r="A1546" s="4">
        <v>34080</v>
      </c>
      <c r="B1546" s="6">
        <v>18.68</v>
      </c>
    </row>
    <row r="1547" spans="1:2" x14ac:dyDescent="0.25">
      <c r="A1547" s="4">
        <v>34081</v>
      </c>
      <c r="B1547" s="6">
        <v>18.48</v>
      </c>
    </row>
    <row r="1548" spans="1:2" x14ac:dyDescent="0.25">
      <c r="A1548" s="4">
        <v>34082</v>
      </c>
      <c r="B1548" s="6">
        <v>18.63</v>
      </c>
    </row>
    <row r="1549" spans="1:2" x14ac:dyDescent="0.25">
      <c r="A1549" s="4">
        <v>34085</v>
      </c>
      <c r="B1549" s="6">
        <v>18.63</v>
      </c>
    </row>
    <row r="1550" spans="1:2" x14ac:dyDescent="0.25">
      <c r="A1550" s="4">
        <v>34086</v>
      </c>
      <c r="B1550" s="6">
        <v>18.579999999999998</v>
      </c>
    </row>
    <row r="1551" spans="1:2" x14ac:dyDescent="0.25">
      <c r="A1551" s="4">
        <v>34087</v>
      </c>
      <c r="B1551" s="6">
        <v>18.48</v>
      </c>
    </row>
    <row r="1552" spans="1:2" x14ac:dyDescent="0.25">
      <c r="A1552" s="4">
        <v>34088</v>
      </c>
      <c r="B1552" s="6">
        <v>18.8</v>
      </c>
    </row>
    <row r="1553" spans="1:2" x14ac:dyDescent="0.25">
      <c r="A1553" s="4">
        <v>34089</v>
      </c>
      <c r="B1553" s="6">
        <v>18.850000000000001</v>
      </c>
    </row>
    <row r="1554" spans="1:2" x14ac:dyDescent="0.25">
      <c r="A1554" s="4">
        <v>34092</v>
      </c>
      <c r="B1554" s="5"/>
    </row>
    <row r="1555" spans="1:2" x14ac:dyDescent="0.25">
      <c r="A1555" s="4">
        <v>34093</v>
      </c>
      <c r="B1555" s="6">
        <v>18.899999999999999</v>
      </c>
    </row>
    <row r="1556" spans="1:2" x14ac:dyDescent="0.25">
      <c r="A1556" s="4">
        <v>34094</v>
      </c>
      <c r="B1556" s="6">
        <v>18.850000000000001</v>
      </c>
    </row>
    <row r="1557" spans="1:2" x14ac:dyDescent="0.25">
      <c r="A1557" s="4">
        <v>34095</v>
      </c>
      <c r="B1557" s="6">
        <v>19.13</v>
      </c>
    </row>
    <row r="1558" spans="1:2" x14ac:dyDescent="0.25">
      <c r="A1558" s="4">
        <v>34096</v>
      </c>
      <c r="B1558" s="6">
        <v>18.98</v>
      </c>
    </row>
    <row r="1559" spans="1:2" x14ac:dyDescent="0.25">
      <c r="A1559" s="4">
        <v>34099</v>
      </c>
      <c r="B1559" s="6">
        <v>18.98</v>
      </c>
    </row>
    <row r="1560" spans="1:2" x14ac:dyDescent="0.25">
      <c r="A1560" s="4">
        <v>34100</v>
      </c>
      <c r="B1560" s="6">
        <v>18.829999999999998</v>
      </c>
    </row>
    <row r="1561" spans="1:2" x14ac:dyDescent="0.25">
      <c r="A1561" s="4">
        <v>34101</v>
      </c>
      <c r="B1561" s="6">
        <v>18.899999999999999</v>
      </c>
    </row>
    <row r="1562" spans="1:2" x14ac:dyDescent="0.25">
      <c r="A1562" s="4">
        <v>34102</v>
      </c>
      <c r="B1562" s="6">
        <v>18.7</v>
      </c>
    </row>
    <row r="1563" spans="1:2" x14ac:dyDescent="0.25">
      <c r="A1563" s="4">
        <v>34103</v>
      </c>
      <c r="B1563" s="6">
        <v>18.399999999999999</v>
      </c>
    </row>
    <row r="1564" spans="1:2" x14ac:dyDescent="0.25">
      <c r="A1564" s="4">
        <v>34106</v>
      </c>
      <c r="B1564" s="6">
        <v>18.28</v>
      </c>
    </row>
    <row r="1565" spans="1:2" x14ac:dyDescent="0.25">
      <c r="A1565" s="4">
        <v>34107</v>
      </c>
      <c r="B1565" s="6">
        <v>18.18</v>
      </c>
    </row>
    <row r="1566" spans="1:2" x14ac:dyDescent="0.25">
      <c r="A1566" s="4">
        <v>34108</v>
      </c>
      <c r="B1566" s="6">
        <v>18.13</v>
      </c>
    </row>
    <row r="1567" spans="1:2" x14ac:dyDescent="0.25">
      <c r="A1567" s="4">
        <v>34109</v>
      </c>
      <c r="B1567" s="6">
        <v>18.100000000000001</v>
      </c>
    </row>
    <row r="1568" spans="1:2" x14ac:dyDescent="0.25">
      <c r="A1568" s="4">
        <v>34110</v>
      </c>
      <c r="B1568" s="6">
        <v>18.05</v>
      </c>
    </row>
    <row r="1569" spans="1:2" x14ac:dyDescent="0.25">
      <c r="A1569" s="4">
        <v>34113</v>
      </c>
      <c r="B1569" s="6">
        <v>18.149999999999999</v>
      </c>
    </row>
    <row r="1570" spans="1:2" x14ac:dyDescent="0.25">
      <c r="A1570" s="4">
        <v>34114</v>
      </c>
      <c r="B1570" s="6">
        <v>18.149999999999999</v>
      </c>
    </row>
    <row r="1571" spans="1:2" x14ac:dyDescent="0.25">
      <c r="A1571" s="4">
        <v>34115</v>
      </c>
      <c r="B1571" s="6">
        <v>18.079999999999998</v>
      </c>
    </row>
    <row r="1572" spans="1:2" x14ac:dyDescent="0.25">
      <c r="A1572" s="4">
        <v>34116</v>
      </c>
      <c r="B1572" s="6">
        <v>18.43</v>
      </c>
    </row>
    <row r="1573" spans="1:2" x14ac:dyDescent="0.25">
      <c r="A1573" s="4">
        <v>34117</v>
      </c>
      <c r="B1573" s="6">
        <v>18.43</v>
      </c>
    </row>
    <row r="1574" spans="1:2" x14ac:dyDescent="0.25">
      <c r="A1574" s="4">
        <v>34120</v>
      </c>
      <c r="B1574" s="5"/>
    </row>
    <row r="1575" spans="1:2" x14ac:dyDescent="0.25">
      <c r="A1575" s="4">
        <v>34121</v>
      </c>
      <c r="B1575" s="6">
        <v>18.48</v>
      </c>
    </row>
    <row r="1576" spans="1:2" x14ac:dyDescent="0.25">
      <c r="A1576" s="4">
        <v>34122</v>
      </c>
      <c r="B1576" s="6">
        <v>18.48</v>
      </c>
    </row>
    <row r="1577" spans="1:2" x14ac:dyDescent="0.25">
      <c r="A1577" s="4">
        <v>34123</v>
      </c>
      <c r="B1577" s="6">
        <v>18.149999999999999</v>
      </c>
    </row>
    <row r="1578" spans="1:2" x14ac:dyDescent="0.25">
      <c r="A1578" s="4">
        <v>34124</v>
      </c>
      <c r="B1578" s="6">
        <v>18.25</v>
      </c>
    </row>
    <row r="1579" spans="1:2" x14ac:dyDescent="0.25">
      <c r="A1579" s="4">
        <v>34127</v>
      </c>
      <c r="B1579" s="6">
        <v>18</v>
      </c>
    </row>
    <row r="1580" spans="1:2" x14ac:dyDescent="0.25">
      <c r="A1580" s="4">
        <v>34128</v>
      </c>
      <c r="B1580" s="6">
        <v>18.23</v>
      </c>
    </row>
    <row r="1581" spans="1:2" x14ac:dyDescent="0.25">
      <c r="A1581" s="4">
        <v>34129</v>
      </c>
      <c r="B1581" s="6">
        <v>18.23</v>
      </c>
    </row>
    <row r="1582" spans="1:2" x14ac:dyDescent="0.25">
      <c r="A1582" s="4">
        <v>34130</v>
      </c>
      <c r="B1582" s="6">
        <v>18.2</v>
      </c>
    </row>
    <row r="1583" spans="1:2" x14ac:dyDescent="0.25">
      <c r="A1583" s="4">
        <v>34131</v>
      </c>
      <c r="B1583" s="6">
        <v>17.63</v>
      </c>
    </row>
    <row r="1584" spans="1:2" x14ac:dyDescent="0.25">
      <c r="A1584" s="4">
        <v>34134</v>
      </c>
      <c r="B1584" s="6">
        <v>17.579999999999998</v>
      </c>
    </row>
    <row r="1585" spans="1:2" x14ac:dyDescent="0.25">
      <c r="A1585" s="4">
        <v>34135</v>
      </c>
      <c r="B1585" s="6">
        <v>17.3</v>
      </c>
    </row>
    <row r="1586" spans="1:2" x14ac:dyDescent="0.25">
      <c r="A1586" s="4">
        <v>34136</v>
      </c>
      <c r="B1586" s="6">
        <v>17.329999999999998</v>
      </c>
    </row>
    <row r="1587" spans="1:2" x14ac:dyDescent="0.25">
      <c r="A1587" s="4">
        <v>34137</v>
      </c>
      <c r="B1587" s="6">
        <v>17.23</v>
      </c>
    </row>
    <row r="1588" spans="1:2" x14ac:dyDescent="0.25">
      <c r="A1588" s="4">
        <v>34138</v>
      </c>
      <c r="B1588" s="6">
        <v>17.13</v>
      </c>
    </row>
    <row r="1589" spans="1:2" x14ac:dyDescent="0.25">
      <c r="A1589" s="4">
        <v>34141</v>
      </c>
      <c r="B1589" s="6">
        <v>17.18</v>
      </c>
    </row>
    <row r="1590" spans="1:2" x14ac:dyDescent="0.25">
      <c r="A1590" s="4">
        <v>34142</v>
      </c>
      <c r="B1590" s="6">
        <v>17.18</v>
      </c>
    </row>
    <row r="1591" spans="1:2" x14ac:dyDescent="0.25">
      <c r="A1591" s="4">
        <v>34143</v>
      </c>
      <c r="B1591" s="6">
        <v>17.18</v>
      </c>
    </row>
    <row r="1592" spans="1:2" x14ac:dyDescent="0.25">
      <c r="A1592" s="4">
        <v>34144</v>
      </c>
      <c r="B1592" s="6">
        <v>17.23</v>
      </c>
    </row>
    <row r="1593" spans="1:2" x14ac:dyDescent="0.25">
      <c r="A1593" s="4">
        <v>34145</v>
      </c>
      <c r="B1593" s="6">
        <v>17.23</v>
      </c>
    </row>
    <row r="1594" spans="1:2" x14ac:dyDescent="0.25">
      <c r="A1594" s="4">
        <v>34148</v>
      </c>
      <c r="B1594" s="6">
        <v>17.23</v>
      </c>
    </row>
    <row r="1595" spans="1:2" x14ac:dyDescent="0.25">
      <c r="A1595" s="4">
        <v>34149</v>
      </c>
      <c r="B1595" s="6">
        <v>17.48</v>
      </c>
    </row>
    <row r="1596" spans="1:2" x14ac:dyDescent="0.25">
      <c r="A1596" s="4">
        <v>34150</v>
      </c>
      <c r="B1596" s="6">
        <v>17.43</v>
      </c>
    </row>
    <row r="1597" spans="1:2" x14ac:dyDescent="0.25">
      <c r="A1597" s="4">
        <v>34151</v>
      </c>
      <c r="B1597" s="6">
        <v>16.98</v>
      </c>
    </row>
    <row r="1598" spans="1:2" x14ac:dyDescent="0.25">
      <c r="A1598" s="4">
        <v>34152</v>
      </c>
      <c r="B1598" s="6">
        <v>16.63</v>
      </c>
    </row>
    <row r="1599" spans="1:2" x14ac:dyDescent="0.25">
      <c r="A1599" s="4">
        <v>34155</v>
      </c>
      <c r="B1599" s="6">
        <v>16.88</v>
      </c>
    </row>
    <row r="1600" spans="1:2" x14ac:dyDescent="0.25">
      <c r="A1600" s="4">
        <v>34156</v>
      </c>
      <c r="B1600" s="6">
        <v>17.13</v>
      </c>
    </row>
    <row r="1601" spans="1:2" x14ac:dyDescent="0.25">
      <c r="A1601" s="4">
        <v>34157</v>
      </c>
      <c r="B1601" s="6">
        <v>16.899999999999999</v>
      </c>
    </row>
    <row r="1602" spans="1:2" x14ac:dyDescent="0.25">
      <c r="A1602" s="4">
        <v>34158</v>
      </c>
      <c r="B1602" s="6">
        <v>16.55</v>
      </c>
    </row>
    <row r="1603" spans="1:2" x14ac:dyDescent="0.25">
      <c r="A1603" s="4">
        <v>34159</v>
      </c>
      <c r="B1603" s="6">
        <v>16.53</v>
      </c>
    </row>
    <row r="1604" spans="1:2" x14ac:dyDescent="0.25">
      <c r="A1604" s="4">
        <v>34162</v>
      </c>
      <c r="B1604" s="6">
        <v>16.78</v>
      </c>
    </row>
    <row r="1605" spans="1:2" x14ac:dyDescent="0.25">
      <c r="A1605" s="4">
        <v>34163</v>
      </c>
      <c r="B1605" s="6">
        <v>16.95</v>
      </c>
    </row>
    <row r="1606" spans="1:2" x14ac:dyDescent="0.25">
      <c r="A1606" s="4">
        <v>34164</v>
      </c>
      <c r="B1606" s="6">
        <v>16.5</v>
      </c>
    </row>
    <row r="1607" spans="1:2" x14ac:dyDescent="0.25">
      <c r="A1607" s="4">
        <v>34165</v>
      </c>
      <c r="B1607" s="6">
        <v>16.48</v>
      </c>
    </row>
    <row r="1608" spans="1:2" x14ac:dyDescent="0.25">
      <c r="A1608" s="4">
        <v>34166</v>
      </c>
      <c r="B1608" s="6">
        <v>16.600000000000001</v>
      </c>
    </row>
    <row r="1609" spans="1:2" x14ac:dyDescent="0.25">
      <c r="A1609" s="4">
        <v>34169</v>
      </c>
      <c r="B1609" s="6">
        <v>16.579999999999998</v>
      </c>
    </row>
    <row r="1610" spans="1:2" x14ac:dyDescent="0.25">
      <c r="A1610" s="4">
        <v>34170</v>
      </c>
      <c r="B1610" s="6">
        <v>16.579999999999998</v>
      </c>
    </row>
    <row r="1611" spans="1:2" x14ac:dyDescent="0.25">
      <c r="A1611" s="4">
        <v>34171</v>
      </c>
      <c r="B1611" s="6">
        <v>16.73</v>
      </c>
    </row>
    <row r="1612" spans="1:2" x14ac:dyDescent="0.25">
      <c r="A1612" s="4">
        <v>34172</v>
      </c>
      <c r="B1612" s="6">
        <v>16.649999999999999</v>
      </c>
    </row>
    <row r="1613" spans="1:2" x14ac:dyDescent="0.25">
      <c r="A1613" s="4">
        <v>34173</v>
      </c>
      <c r="B1613" s="6">
        <v>16.850000000000001</v>
      </c>
    </row>
    <row r="1614" spans="1:2" x14ac:dyDescent="0.25">
      <c r="A1614" s="4">
        <v>34176</v>
      </c>
      <c r="B1614" s="6">
        <v>16.850000000000001</v>
      </c>
    </row>
    <row r="1615" spans="1:2" x14ac:dyDescent="0.25">
      <c r="A1615" s="4">
        <v>34177</v>
      </c>
      <c r="B1615" s="6">
        <v>16.850000000000001</v>
      </c>
    </row>
    <row r="1616" spans="1:2" x14ac:dyDescent="0.25">
      <c r="A1616" s="4">
        <v>34178</v>
      </c>
      <c r="B1616" s="6">
        <v>17.13</v>
      </c>
    </row>
    <row r="1617" spans="1:2" x14ac:dyDescent="0.25">
      <c r="A1617" s="4">
        <v>34179</v>
      </c>
      <c r="B1617" s="6">
        <v>17.079999999999998</v>
      </c>
    </row>
    <row r="1618" spans="1:2" x14ac:dyDescent="0.25">
      <c r="A1618" s="4">
        <v>34180</v>
      </c>
      <c r="B1618" s="6">
        <v>16.850000000000001</v>
      </c>
    </row>
    <row r="1619" spans="1:2" x14ac:dyDescent="0.25">
      <c r="A1619" s="4">
        <v>34183</v>
      </c>
      <c r="B1619" s="6">
        <v>16.850000000000001</v>
      </c>
    </row>
    <row r="1620" spans="1:2" x14ac:dyDescent="0.25">
      <c r="A1620" s="4">
        <v>34184</v>
      </c>
      <c r="B1620" s="6">
        <v>16.53</v>
      </c>
    </row>
    <row r="1621" spans="1:2" x14ac:dyDescent="0.25">
      <c r="A1621" s="4">
        <v>34185</v>
      </c>
      <c r="B1621" s="6">
        <v>16.63</v>
      </c>
    </row>
    <row r="1622" spans="1:2" x14ac:dyDescent="0.25">
      <c r="A1622" s="4">
        <v>34186</v>
      </c>
      <c r="B1622" s="6">
        <v>16.600000000000001</v>
      </c>
    </row>
    <row r="1623" spans="1:2" x14ac:dyDescent="0.25">
      <c r="A1623" s="4">
        <v>34187</v>
      </c>
      <c r="B1623" s="6">
        <v>16.38</v>
      </c>
    </row>
    <row r="1624" spans="1:2" x14ac:dyDescent="0.25">
      <c r="A1624" s="4">
        <v>34190</v>
      </c>
      <c r="B1624" s="6">
        <v>16.45</v>
      </c>
    </row>
    <row r="1625" spans="1:2" x14ac:dyDescent="0.25">
      <c r="A1625" s="4">
        <v>34191</v>
      </c>
      <c r="B1625" s="6">
        <v>16.3</v>
      </c>
    </row>
    <row r="1626" spans="1:2" x14ac:dyDescent="0.25">
      <c r="A1626" s="4">
        <v>34192</v>
      </c>
      <c r="B1626" s="6">
        <v>16.579999999999998</v>
      </c>
    </row>
    <row r="1627" spans="1:2" x14ac:dyDescent="0.25">
      <c r="A1627" s="4">
        <v>34193</v>
      </c>
      <c r="B1627" s="6">
        <v>16.78</v>
      </c>
    </row>
    <row r="1628" spans="1:2" x14ac:dyDescent="0.25">
      <c r="A1628" s="4">
        <v>34194</v>
      </c>
      <c r="B1628" s="6">
        <v>16.93</v>
      </c>
    </row>
    <row r="1629" spans="1:2" x14ac:dyDescent="0.25">
      <c r="A1629" s="4">
        <v>34197</v>
      </c>
      <c r="B1629" s="6">
        <v>16.8</v>
      </c>
    </row>
    <row r="1630" spans="1:2" x14ac:dyDescent="0.25">
      <c r="A1630" s="4">
        <v>34198</v>
      </c>
      <c r="B1630" s="6">
        <v>16.88</v>
      </c>
    </row>
    <row r="1631" spans="1:2" x14ac:dyDescent="0.25">
      <c r="A1631" s="4">
        <v>34199</v>
      </c>
      <c r="B1631" s="6">
        <v>16.63</v>
      </c>
    </row>
    <row r="1632" spans="1:2" x14ac:dyDescent="0.25">
      <c r="A1632" s="4">
        <v>34200</v>
      </c>
      <c r="B1632" s="6">
        <v>16.63</v>
      </c>
    </row>
    <row r="1633" spans="1:2" x14ac:dyDescent="0.25">
      <c r="A1633" s="4">
        <v>34201</v>
      </c>
      <c r="B1633" s="6">
        <v>16.68</v>
      </c>
    </row>
    <row r="1634" spans="1:2" x14ac:dyDescent="0.25">
      <c r="A1634" s="4">
        <v>34204</v>
      </c>
      <c r="B1634" s="6">
        <v>16.829999999999998</v>
      </c>
    </row>
    <row r="1635" spans="1:2" x14ac:dyDescent="0.25">
      <c r="A1635" s="4">
        <v>34205</v>
      </c>
      <c r="B1635" s="6">
        <v>16.93</v>
      </c>
    </row>
    <row r="1636" spans="1:2" x14ac:dyDescent="0.25">
      <c r="A1636" s="4">
        <v>34206</v>
      </c>
      <c r="B1636" s="6">
        <v>16.68</v>
      </c>
    </row>
    <row r="1637" spans="1:2" x14ac:dyDescent="0.25">
      <c r="A1637" s="4">
        <v>34207</v>
      </c>
      <c r="B1637" s="6">
        <v>16.75</v>
      </c>
    </row>
    <row r="1638" spans="1:2" x14ac:dyDescent="0.25">
      <c r="A1638" s="4">
        <v>34208</v>
      </c>
      <c r="B1638" s="6">
        <v>17.05</v>
      </c>
    </row>
    <row r="1639" spans="1:2" x14ac:dyDescent="0.25">
      <c r="A1639" s="4">
        <v>34211</v>
      </c>
      <c r="B1639" s="5"/>
    </row>
    <row r="1640" spans="1:2" x14ac:dyDescent="0.25">
      <c r="A1640" s="4">
        <v>34212</v>
      </c>
      <c r="B1640" s="6">
        <v>16.73</v>
      </c>
    </row>
    <row r="1641" spans="1:2" x14ac:dyDescent="0.25">
      <c r="A1641" s="4">
        <v>34213</v>
      </c>
      <c r="B1641" s="6">
        <v>16.55</v>
      </c>
    </row>
    <row r="1642" spans="1:2" x14ac:dyDescent="0.25">
      <c r="A1642" s="4">
        <v>34214</v>
      </c>
      <c r="B1642" s="6">
        <v>16.5</v>
      </c>
    </row>
    <row r="1643" spans="1:2" x14ac:dyDescent="0.25">
      <c r="A1643" s="4">
        <v>34215</v>
      </c>
      <c r="B1643" s="6">
        <v>16.329999999999998</v>
      </c>
    </row>
    <row r="1644" spans="1:2" x14ac:dyDescent="0.25">
      <c r="A1644" s="4">
        <v>34218</v>
      </c>
      <c r="B1644" s="6">
        <v>16.23</v>
      </c>
    </row>
    <row r="1645" spans="1:2" x14ac:dyDescent="0.25">
      <c r="A1645" s="4">
        <v>34219</v>
      </c>
      <c r="B1645" s="6">
        <v>15.85</v>
      </c>
    </row>
    <row r="1646" spans="1:2" x14ac:dyDescent="0.25">
      <c r="A1646" s="4">
        <v>34220</v>
      </c>
      <c r="B1646" s="6">
        <v>15.65</v>
      </c>
    </row>
    <row r="1647" spans="1:2" x14ac:dyDescent="0.25">
      <c r="A1647" s="4">
        <v>34221</v>
      </c>
      <c r="B1647" s="6">
        <v>15.73</v>
      </c>
    </row>
    <row r="1648" spans="1:2" x14ac:dyDescent="0.25">
      <c r="A1648" s="4">
        <v>34222</v>
      </c>
      <c r="B1648" s="6">
        <v>15.43</v>
      </c>
    </row>
    <row r="1649" spans="1:2" x14ac:dyDescent="0.25">
      <c r="A1649" s="4">
        <v>34225</v>
      </c>
      <c r="B1649" s="6">
        <v>15.43</v>
      </c>
    </row>
    <row r="1650" spans="1:2" x14ac:dyDescent="0.25">
      <c r="A1650" s="4">
        <v>34226</v>
      </c>
      <c r="B1650" s="6">
        <v>15.58</v>
      </c>
    </row>
    <row r="1651" spans="1:2" x14ac:dyDescent="0.25">
      <c r="A1651" s="4">
        <v>34227</v>
      </c>
      <c r="B1651" s="6">
        <v>15.35</v>
      </c>
    </row>
    <row r="1652" spans="1:2" x14ac:dyDescent="0.25">
      <c r="A1652" s="4">
        <v>34228</v>
      </c>
      <c r="B1652" s="6">
        <v>15.43</v>
      </c>
    </row>
    <row r="1653" spans="1:2" x14ac:dyDescent="0.25">
      <c r="A1653" s="4">
        <v>34229</v>
      </c>
      <c r="B1653" s="6">
        <v>15.55</v>
      </c>
    </row>
    <row r="1654" spans="1:2" x14ac:dyDescent="0.25">
      <c r="A1654" s="4">
        <v>34232</v>
      </c>
      <c r="B1654" s="6">
        <v>16.03</v>
      </c>
    </row>
    <row r="1655" spans="1:2" x14ac:dyDescent="0.25">
      <c r="A1655" s="4">
        <v>34233</v>
      </c>
      <c r="B1655" s="6">
        <v>16.25</v>
      </c>
    </row>
    <row r="1656" spans="1:2" x14ac:dyDescent="0.25">
      <c r="A1656" s="4">
        <v>34234</v>
      </c>
      <c r="B1656" s="6">
        <v>15.88</v>
      </c>
    </row>
    <row r="1657" spans="1:2" x14ac:dyDescent="0.25">
      <c r="A1657" s="4">
        <v>34235</v>
      </c>
      <c r="B1657" s="6">
        <v>15.88</v>
      </c>
    </row>
    <row r="1658" spans="1:2" x14ac:dyDescent="0.25">
      <c r="A1658" s="4">
        <v>34236</v>
      </c>
      <c r="B1658" s="6">
        <v>16.100000000000001</v>
      </c>
    </row>
    <row r="1659" spans="1:2" x14ac:dyDescent="0.25">
      <c r="A1659" s="4">
        <v>34239</v>
      </c>
      <c r="B1659" s="6">
        <v>16.100000000000001</v>
      </c>
    </row>
    <row r="1660" spans="1:2" x14ac:dyDescent="0.25">
      <c r="A1660" s="4">
        <v>34240</v>
      </c>
      <c r="B1660" s="6">
        <v>16.399999999999999</v>
      </c>
    </row>
    <row r="1661" spans="1:2" x14ac:dyDescent="0.25">
      <c r="A1661" s="4">
        <v>34241</v>
      </c>
      <c r="B1661" s="6">
        <v>16.78</v>
      </c>
    </row>
    <row r="1662" spans="1:2" x14ac:dyDescent="0.25">
      <c r="A1662" s="4">
        <v>34242</v>
      </c>
      <c r="B1662" s="6">
        <v>17.23</v>
      </c>
    </row>
    <row r="1663" spans="1:2" x14ac:dyDescent="0.25">
      <c r="A1663" s="4">
        <v>34243</v>
      </c>
      <c r="B1663" s="6">
        <v>17.079999999999998</v>
      </c>
    </row>
    <row r="1664" spans="1:2" x14ac:dyDescent="0.25">
      <c r="A1664" s="4">
        <v>34246</v>
      </c>
      <c r="B1664" s="6">
        <v>16.899999999999999</v>
      </c>
    </row>
    <row r="1665" spans="1:2" x14ac:dyDescent="0.25">
      <c r="A1665" s="4">
        <v>34247</v>
      </c>
      <c r="B1665" s="6">
        <v>16.78</v>
      </c>
    </row>
    <row r="1666" spans="1:2" x14ac:dyDescent="0.25">
      <c r="A1666" s="4">
        <v>34248</v>
      </c>
      <c r="B1666" s="6">
        <v>16.98</v>
      </c>
    </row>
    <row r="1667" spans="1:2" x14ac:dyDescent="0.25">
      <c r="A1667" s="4">
        <v>34249</v>
      </c>
      <c r="B1667" s="6">
        <v>16.88</v>
      </c>
    </row>
    <row r="1668" spans="1:2" x14ac:dyDescent="0.25">
      <c r="A1668" s="4">
        <v>34250</v>
      </c>
      <c r="B1668" s="6">
        <v>16.98</v>
      </c>
    </row>
    <row r="1669" spans="1:2" x14ac:dyDescent="0.25">
      <c r="A1669" s="4">
        <v>34253</v>
      </c>
      <c r="B1669" s="6">
        <v>17.13</v>
      </c>
    </row>
    <row r="1670" spans="1:2" x14ac:dyDescent="0.25">
      <c r="A1670" s="4">
        <v>34254</v>
      </c>
      <c r="B1670" s="6">
        <v>17.149999999999999</v>
      </c>
    </row>
    <row r="1671" spans="1:2" x14ac:dyDescent="0.25">
      <c r="A1671" s="4">
        <v>34255</v>
      </c>
      <c r="B1671" s="6">
        <v>17</v>
      </c>
    </row>
    <row r="1672" spans="1:2" x14ac:dyDescent="0.25">
      <c r="A1672" s="4">
        <v>34256</v>
      </c>
      <c r="B1672" s="6">
        <v>16.8</v>
      </c>
    </row>
    <row r="1673" spans="1:2" x14ac:dyDescent="0.25">
      <c r="A1673" s="4">
        <v>34257</v>
      </c>
      <c r="B1673" s="6">
        <v>16.7</v>
      </c>
    </row>
    <row r="1674" spans="1:2" x14ac:dyDescent="0.25">
      <c r="A1674" s="4">
        <v>34260</v>
      </c>
      <c r="B1674" s="6">
        <v>16.5</v>
      </c>
    </row>
    <row r="1675" spans="1:2" x14ac:dyDescent="0.25">
      <c r="A1675" s="4">
        <v>34261</v>
      </c>
      <c r="B1675" s="6">
        <v>16.53</v>
      </c>
    </row>
    <row r="1676" spans="1:2" x14ac:dyDescent="0.25">
      <c r="A1676" s="4">
        <v>34262</v>
      </c>
      <c r="B1676" s="6">
        <v>16.68</v>
      </c>
    </row>
    <row r="1677" spans="1:2" x14ac:dyDescent="0.25">
      <c r="A1677" s="4">
        <v>34263</v>
      </c>
      <c r="B1677" s="6">
        <v>16.88</v>
      </c>
    </row>
    <row r="1678" spans="1:2" x14ac:dyDescent="0.25">
      <c r="A1678" s="4">
        <v>34264</v>
      </c>
      <c r="B1678" s="6">
        <v>16.48</v>
      </c>
    </row>
    <row r="1679" spans="1:2" x14ac:dyDescent="0.25">
      <c r="A1679" s="4">
        <v>34267</v>
      </c>
      <c r="B1679" s="6">
        <v>16.13</v>
      </c>
    </row>
    <row r="1680" spans="1:2" x14ac:dyDescent="0.25">
      <c r="A1680" s="4">
        <v>34268</v>
      </c>
      <c r="B1680" s="6">
        <v>15.95</v>
      </c>
    </row>
    <row r="1681" spans="1:2" x14ac:dyDescent="0.25">
      <c r="A1681" s="4">
        <v>34269</v>
      </c>
      <c r="B1681" s="6">
        <v>15.95</v>
      </c>
    </row>
    <row r="1682" spans="1:2" x14ac:dyDescent="0.25">
      <c r="A1682" s="4">
        <v>34270</v>
      </c>
      <c r="B1682" s="6">
        <v>15.83</v>
      </c>
    </row>
    <row r="1683" spans="1:2" x14ac:dyDescent="0.25">
      <c r="A1683" s="4">
        <v>34271</v>
      </c>
      <c r="B1683" s="6">
        <v>15.43</v>
      </c>
    </row>
    <row r="1684" spans="1:2" x14ac:dyDescent="0.25">
      <c r="A1684" s="4">
        <v>34274</v>
      </c>
      <c r="B1684" s="6">
        <v>15.83</v>
      </c>
    </row>
    <row r="1685" spans="1:2" x14ac:dyDescent="0.25">
      <c r="A1685" s="4">
        <v>34275</v>
      </c>
      <c r="B1685" s="6">
        <v>15.63</v>
      </c>
    </row>
    <row r="1686" spans="1:2" x14ac:dyDescent="0.25">
      <c r="A1686" s="4">
        <v>34276</v>
      </c>
      <c r="B1686" s="6">
        <v>15.83</v>
      </c>
    </row>
    <row r="1687" spans="1:2" x14ac:dyDescent="0.25">
      <c r="A1687" s="4">
        <v>34277</v>
      </c>
      <c r="B1687" s="6">
        <v>15.78</v>
      </c>
    </row>
    <row r="1688" spans="1:2" x14ac:dyDescent="0.25">
      <c r="A1688" s="4">
        <v>34278</v>
      </c>
      <c r="B1688" s="6">
        <v>15.73</v>
      </c>
    </row>
    <row r="1689" spans="1:2" x14ac:dyDescent="0.25">
      <c r="A1689" s="4">
        <v>34281</v>
      </c>
      <c r="B1689" s="6">
        <v>15.28</v>
      </c>
    </row>
    <row r="1690" spans="1:2" x14ac:dyDescent="0.25">
      <c r="A1690" s="4">
        <v>34282</v>
      </c>
      <c r="B1690" s="6">
        <v>15.33</v>
      </c>
    </row>
    <row r="1691" spans="1:2" x14ac:dyDescent="0.25">
      <c r="A1691" s="4">
        <v>34283</v>
      </c>
      <c r="B1691" s="6">
        <v>15.23</v>
      </c>
    </row>
    <row r="1692" spans="1:2" x14ac:dyDescent="0.25">
      <c r="A1692" s="4">
        <v>34284</v>
      </c>
      <c r="B1692" s="6">
        <v>15.18</v>
      </c>
    </row>
    <row r="1693" spans="1:2" x14ac:dyDescent="0.25">
      <c r="A1693" s="4">
        <v>34285</v>
      </c>
      <c r="B1693" s="6">
        <v>15.08</v>
      </c>
    </row>
    <row r="1694" spans="1:2" x14ac:dyDescent="0.25">
      <c r="A1694" s="4">
        <v>34288</v>
      </c>
      <c r="B1694" s="6">
        <v>15.25</v>
      </c>
    </row>
    <row r="1695" spans="1:2" x14ac:dyDescent="0.25">
      <c r="A1695" s="4">
        <v>34289</v>
      </c>
      <c r="B1695" s="6">
        <v>15.33</v>
      </c>
    </row>
    <row r="1696" spans="1:2" x14ac:dyDescent="0.25">
      <c r="A1696" s="4">
        <v>34290</v>
      </c>
      <c r="B1696" s="6">
        <v>15.55</v>
      </c>
    </row>
    <row r="1697" spans="1:2" x14ac:dyDescent="0.25">
      <c r="A1697" s="4">
        <v>34291</v>
      </c>
      <c r="B1697" s="6">
        <v>15.4</v>
      </c>
    </row>
    <row r="1698" spans="1:2" x14ac:dyDescent="0.25">
      <c r="A1698" s="4">
        <v>34292</v>
      </c>
      <c r="B1698" s="6">
        <v>15.25</v>
      </c>
    </row>
    <row r="1699" spans="1:2" x14ac:dyDescent="0.25">
      <c r="A1699" s="4">
        <v>34295</v>
      </c>
      <c r="B1699" s="6">
        <v>15.35</v>
      </c>
    </row>
    <row r="1700" spans="1:2" x14ac:dyDescent="0.25">
      <c r="A1700" s="4">
        <v>34296</v>
      </c>
      <c r="B1700" s="6">
        <v>15.25</v>
      </c>
    </row>
    <row r="1701" spans="1:2" x14ac:dyDescent="0.25">
      <c r="A1701" s="4">
        <v>34297</v>
      </c>
      <c r="B1701" s="6">
        <v>15.13</v>
      </c>
    </row>
    <row r="1702" spans="1:2" x14ac:dyDescent="0.25">
      <c r="A1702" s="4">
        <v>34298</v>
      </c>
      <c r="B1702" s="6">
        <v>14.35</v>
      </c>
    </row>
    <row r="1703" spans="1:2" x14ac:dyDescent="0.25">
      <c r="A1703" s="4">
        <v>34299</v>
      </c>
      <c r="B1703" s="6">
        <v>14.28</v>
      </c>
    </row>
    <row r="1704" spans="1:2" x14ac:dyDescent="0.25">
      <c r="A1704" s="4">
        <v>34302</v>
      </c>
      <c r="B1704" s="6">
        <v>14.05</v>
      </c>
    </row>
    <row r="1705" spans="1:2" x14ac:dyDescent="0.25">
      <c r="A1705" s="4">
        <v>34303</v>
      </c>
      <c r="B1705" s="6">
        <v>14.23</v>
      </c>
    </row>
    <row r="1706" spans="1:2" x14ac:dyDescent="0.25">
      <c r="A1706" s="4">
        <v>34304</v>
      </c>
      <c r="B1706" s="6">
        <v>14.43</v>
      </c>
    </row>
    <row r="1707" spans="1:2" x14ac:dyDescent="0.25">
      <c r="A1707" s="4">
        <v>34305</v>
      </c>
      <c r="B1707" s="6">
        <v>14.15</v>
      </c>
    </row>
    <row r="1708" spans="1:2" x14ac:dyDescent="0.25">
      <c r="A1708" s="4">
        <v>34306</v>
      </c>
      <c r="B1708" s="6">
        <v>13.95</v>
      </c>
    </row>
    <row r="1709" spans="1:2" x14ac:dyDescent="0.25">
      <c r="A1709" s="4">
        <v>34309</v>
      </c>
      <c r="B1709" s="6">
        <v>13.9</v>
      </c>
    </row>
    <row r="1710" spans="1:2" x14ac:dyDescent="0.25">
      <c r="A1710" s="4">
        <v>34310</v>
      </c>
      <c r="B1710" s="6">
        <v>13.88</v>
      </c>
    </row>
    <row r="1711" spans="1:2" x14ac:dyDescent="0.25">
      <c r="A1711" s="4">
        <v>34311</v>
      </c>
      <c r="B1711" s="6">
        <v>13.45</v>
      </c>
    </row>
    <row r="1712" spans="1:2" x14ac:dyDescent="0.25">
      <c r="A1712" s="4">
        <v>34312</v>
      </c>
      <c r="B1712" s="6">
        <v>13.6</v>
      </c>
    </row>
    <row r="1713" spans="1:2" x14ac:dyDescent="0.25">
      <c r="A1713" s="4">
        <v>34313</v>
      </c>
      <c r="B1713" s="6">
        <v>13.8</v>
      </c>
    </row>
    <row r="1714" spans="1:2" x14ac:dyDescent="0.25">
      <c r="A1714" s="4">
        <v>34316</v>
      </c>
      <c r="B1714" s="6">
        <v>13.9</v>
      </c>
    </row>
    <row r="1715" spans="1:2" x14ac:dyDescent="0.25">
      <c r="A1715" s="4">
        <v>34317</v>
      </c>
      <c r="B1715" s="6">
        <v>14.78</v>
      </c>
    </row>
    <row r="1716" spans="1:2" x14ac:dyDescent="0.25">
      <c r="A1716" s="4">
        <v>34318</v>
      </c>
      <c r="B1716" s="6">
        <v>13.8</v>
      </c>
    </row>
    <row r="1717" spans="1:2" x14ac:dyDescent="0.25">
      <c r="A1717" s="4">
        <v>34319</v>
      </c>
      <c r="B1717" s="6">
        <v>13.63</v>
      </c>
    </row>
    <row r="1718" spans="1:2" x14ac:dyDescent="0.25">
      <c r="A1718" s="4">
        <v>34320</v>
      </c>
      <c r="B1718" s="6">
        <v>13.85</v>
      </c>
    </row>
    <row r="1719" spans="1:2" x14ac:dyDescent="0.25">
      <c r="A1719" s="4">
        <v>34323</v>
      </c>
      <c r="B1719" s="6">
        <v>13.63</v>
      </c>
    </row>
    <row r="1720" spans="1:2" x14ac:dyDescent="0.25">
      <c r="A1720" s="4">
        <v>34324</v>
      </c>
      <c r="B1720" s="6">
        <v>13.45</v>
      </c>
    </row>
    <row r="1721" spans="1:2" x14ac:dyDescent="0.25">
      <c r="A1721" s="4">
        <v>34325</v>
      </c>
      <c r="B1721" s="6">
        <v>13.6</v>
      </c>
    </row>
    <row r="1722" spans="1:2" x14ac:dyDescent="0.25">
      <c r="A1722" s="4">
        <v>34326</v>
      </c>
      <c r="B1722" s="6">
        <v>13.55</v>
      </c>
    </row>
    <row r="1723" spans="1:2" x14ac:dyDescent="0.25">
      <c r="A1723" s="4">
        <v>34327</v>
      </c>
      <c r="B1723" s="6">
        <v>13.38</v>
      </c>
    </row>
    <row r="1724" spans="1:2" x14ac:dyDescent="0.25">
      <c r="A1724" s="4">
        <v>34330</v>
      </c>
      <c r="B1724" s="5"/>
    </row>
    <row r="1725" spans="1:2" x14ac:dyDescent="0.25">
      <c r="A1725" s="4">
        <v>34331</v>
      </c>
      <c r="B1725" s="5"/>
    </row>
    <row r="1726" spans="1:2" x14ac:dyDescent="0.25">
      <c r="A1726" s="4">
        <v>34332</v>
      </c>
      <c r="B1726" s="6">
        <v>13.13</v>
      </c>
    </row>
    <row r="1727" spans="1:2" x14ac:dyDescent="0.25">
      <c r="A1727" s="4">
        <v>34333</v>
      </c>
      <c r="B1727" s="6">
        <v>13.2</v>
      </c>
    </row>
    <row r="1728" spans="1:2" x14ac:dyDescent="0.25">
      <c r="A1728" s="4">
        <v>34334</v>
      </c>
      <c r="B1728" s="6">
        <v>13.18</v>
      </c>
    </row>
    <row r="1729" spans="1:2" x14ac:dyDescent="0.25">
      <c r="A1729" s="4">
        <v>34337</v>
      </c>
      <c r="B1729" s="5"/>
    </row>
    <row r="1730" spans="1:2" x14ac:dyDescent="0.25">
      <c r="A1730" s="4">
        <v>34338</v>
      </c>
      <c r="B1730" s="6">
        <v>13.43</v>
      </c>
    </row>
    <row r="1731" spans="1:2" x14ac:dyDescent="0.25">
      <c r="A1731" s="4">
        <v>34339</v>
      </c>
      <c r="B1731" s="6">
        <v>14.1</v>
      </c>
    </row>
    <row r="1732" spans="1:2" x14ac:dyDescent="0.25">
      <c r="A1732" s="4">
        <v>34340</v>
      </c>
      <c r="B1732" s="6">
        <v>14.55</v>
      </c>
    </row>
    <row r="1733" spans="1:2" x14ac:dyDescent="0.25">
      <c r="A1733" s="4">
        <v>34341</v>
      </c>
      <c r="B1733" s="6">
        <v>14.63</v>
      </c>
    </row>
    <row r="1734" spans="1:2" x14ac:dyDescent="0.25">
      <c r="A1734" s="4">
        <v>34344</v>
      </c>
      <c r="B1734" s="6">
        <v>14.15</v>
      </c>
    </row>
    <row r="1735" spans="1:2" x14ac:dyDescent="0.25">
      <c r="A1735" s="4">
        <v>34345</v>
      </c>
      <c r="B1735" s="6">
        <v>14.1</v>
      </c>
    </row>
    <row r="1736" spans="1:2" x14ac:dyDescent="0.25">
      <c r="A1736" s="4">
        <v>34346</v>
      </c>
      <c r="B1736" s="6">
        <v>13.9</v>
      </c>
    </row>
    <row r="1737" spans="1:2" x14ac:dyDescent="0.25">
      <c r="A1737" s="4">
        <v>34347</v>
      </c>
      <c r="B1737" s="6">
        <v>13.75</v>
      </c>
    </row>
    <row r="1738" spans="1:2" x14ac:dyDescent="0.25">
      <c r="A1738" s="4">
        <v>34348</v>
      </c>
      <c r="B1738" s="6">
        <v>14.1</v>
      </c>
    </row>
    <row r="1739" spans="1:2" x14ac:dyDescent="0.25">
      <c r="A1739" s="4">
        <v>34351</v>
      </c>
      <c r="B1739" s="6">
        <v>14.4</v>
      </c>
    </row>
    <row r="1740" spans="1:2" x14ac:dyDescent="0.25">
      <c r="A1740" s="4">
        <v>34352</v>
      </c>
      <c r="B1740" s="6">
        <v>14.1</v>
      </c>
    </row>
    <row r="1741" spans="1:2" x14ac:dyDescent="0.25">
      <c r="A1741" s="4">
        <v>34353</v>
      </c>
      <c r="B1741" s="6">
        <v>14.25</v>
      </c>
    </row>
    <row r="1742" spans="1:2" x14ac:dyDescent="0.25">
      <c r="A1742" s="4">
        <v>34354</v>
      </c>
      <c r="B1742" s="6">
        <v>14.1</v>
      </c>
    </row>
    <row r="1743" spans="1:2" x14ac:dyDescent="0.25">
      <c r="A1743" s="4">
        <v>34355</v>
      </c>
      <c r="B1743" s="6">
        <v>14.23</v>
      </c>
    </row>
    <row r="1744" spans="1:2" x14ac:dyDescent="0.25">
      <c r="A1744" s="4">
        <v>34358</v>
      </c>
      <c r="B1744" s="6">
        <v>14.35</v>
      </c>
    </row>
    <row r="1745" spans="1:2" x14ac:dyDescent="0.25">
      <c r="A1745" s="4">
        <v>34359</v>
      </c>
      <c r="B1745" s="6">
        <v>14.63</v>
      </c>
    </row>
    <row r="1746" spans="1:2" x14ac:dyDescent="0.25">
      <c r="A1746" s="4">
        <v>34360</v>
      </c>
      <c r="B1746" s="6">
        <v>14.8</v>
      </c>
    </row>
    <row r="1747" spans="1:2" x14ac:dyDescent="0.25">
      <c r="A1747" s="4">
        <v>34361</v>
      </c>
      <c r="B1747" s="6">
        <v>14.78</v>
      </c>
    </row>
    <row r="1748" spans="1:2" x14ac:dyDescent="0.25">
      <c r="A1748" s="4">
        <v>34362</v>
      </c>
      <c r="B1748" s="6">
        <v>14.65</v>
      </c>
    </row>
    <row r="1749" spans="1:2" x14ac:dyDescent="0.25">
      <c r="A1749" s="4">
        <v>34365</v>
      </c>
      <c r="B1749" s="6">
        <v>14.83</v>
      </c>
    </row>
    <row r="1750" spans="1:2" x14ac:dyDescent="0.25">
      <c r="A1750" s="4">
        <v>34366</v>
      </c>
      <c r="B1750" s="6">
        <v>15.03</v>
      </c>
    </row>
    <row r="1751" spans="1:2" x14ac:dyDescent="0.25">
      <c r="A1751" s="4">
        <v>34367</v>
      </c>
      <c r="B1751" s="6">
        <v>15.4</v>
      </c>
    </row>
    <row r="1752" spans="1:2" x14ac:dyDescent="0.25">
      <c r="A1752" s="4">
        <v>34368</v>
      </c>
      <c r="B1752" s="6">
        <v>15.48</v>
      </c>
    </row>
    <row r="1753" spans="1:2" x14ac:dyDescent="0.25">
      <c r="A1753" s="4">
        <v>34369</v>
      </c>
      <c r="B1753" s="6">
        <v>14.93</v>
      </c>
    </row>
    <row r="1754" spans="1:2" x14ac:dyDescent="0.25">
      <c r="A1754" s="4">
        <v>34372</v>
      </c>
      <c r="B1754" s="6">
        <v>14.6</v>
      </c>
    </row>
    <row r="1755" spans="1:2" x14ac:dyDescent="0.25">
      <c r="A1755" s="4">
        <v>34373</v>
      </c>
      <c r="B1755" s="6">
        <v>14.13</v>
      </c>
    </row>
    <row r="1756" spans="1:2" x14ac:dyDescent="0.25">
      <c r="A1756" s="4">
        <v>34374</v>
      </c>
      <c r="B1756" s="6">
        <v>13.53</v>
      </c>
    </row>
    <row r="1757" spans="1:2" x14ac:dyDescent="0.25">
      <c r="A1757" s="4">
        <v>34375</v>
      </c>
      <c r="B1757" s="6">
        <v>13.58</v>
      </c>
    </row>
    <row r="1758" spans="1:2" x14ac:dyDescent="0.25">
      <c r="A1758" s="4">
        <v>34376</v>
      </c>
      <c r="B1758" s="6">
        <v>13.7</v>
      </c>
    </row>
    <row r="1759" spans="1:2" x14ac:dyDescent="0.25">
      <c r="A1759" s="4">
        <v>34379</v>
      </c>
      <c r="B1759" s="6">
        <v>13.4</v>
      </c>
    </row>
    <row r="1760" spans="1:2" x14ac:dyDescent="0.25">
      <c r="A1760" s="4">
        <v>34380</v>
      </c>
      <c r="B1760" s="6">
        <v>13.13</v>
      </c>
    </row>
    <row r="1761" spans="1:2" x14ac:dyDescent="0.25">
      <c r="A1761" s="4">
        <v>34381</v>
      </c>
      <c r="B1761" s="6">
        <v>13.08</v>
      </c>
    </row>
    <row r="1762" spans="1:2" x14ac:dyDescent="0.25">
      <c r="A1762" s="4">
        <v>34382</v>
      </c>
      <c r="B1762" s="6">
        <v>13.28</v>
      </c>
    </row>
    <row r="1763" spans="1:2" x14ac:dyDescent="0.25">
      <c r="A1763" s="4">
        <v>34383</v>
      </c>
      <c r="B1763" s="6">
        <v>13</v>
      </c>
    </row>
    <row r="1764" spans="1:2" x14ac:dyDescent="0.25">
      <c r="A1764" s="4">
        <v>34386</v>
      </c>
      <c r="B1764" s="6">
        <v>13.05</v>
      </c>
    </row>
    <row r="1765" spans="1:2" x14ac:dyDescent="0.25">
      <c r="A1765" s="4">
        <v>34387</v>
      </c>
      <c r="B1765" s="6">
        <v>13.2</v>
      </c>
    </row>
    <row r="1766" spans="1:2" x14ac:dyDescent="0.25">
      <c r="A1766" s="4">
        <v>34388</v>
      </c>
      <c r="B1766" s="6">
        <v>13.2</v>
      </c>
    </row>
    <row r="1767" spans="1:2" x14ac:dyDescent="0.25">
      <c r="A1767" s="4">
        <v>34389</v>
      </c>
      <c r="B1767" s="6">
        <v>13.4</v>
      </c>
    </row>
    <row r="1768" spans="1:2" x14ac:dyDescent="0.25">
      <c r="A1768" s="4">
        <v>34390</v>
      </c>
      <c r="B1768" s="6">
        <v>13.33</v>
      </c>
    </row>
    <row r="1769" spans="1:2" x14ac:dyDescent="0.25">
      <c r="A1769" s="4">
        <v>34393</v>
      </c>
      <c r="B1769" s="6">
        <v>13.59</v>
      </c>
    </row>
    <row r="1770" spans="1:2" x14ac:dyDescent="0.25">
      <c r="A1770" s="4">
        <v>34394</v>
      </c>
      <c r="B1770" s="6">
        <v>13.45</v>
      </c>
    </row>
    <row r="1771" spans="1:2" x14ac:dyDescent="0.25">
      <c r="A1771" s="4">
        <v>34395</v>
      </c>
      <c r="B1771" s="6">
        <v>13.5</v>
      </c>
    </row>
    <row r="1772" spans="1:2" x14ac:dyDescent="0.25">
      <c r="A1772" s="4">
        <v>34396</v>
      </c>
      <c r="B1772" s="6">
        <v>13.55</v>
      </c>
    </row>
    <row r="1773" spans="1:2" x14ac:dyDescent="0.25">
      <c r="A1773" s="4">
        <v>34397</v>
      </c>
      <c r="B1773" s="6">
        <v>13.43</v>
      </c>
    </row>
    <row r="1774" spans="1:2" x14ac:dyDescent="0.25">
      <c r="A1774" s="4">
        <v>34400</v>
      </c>
      <c r="B1774" s="6">
        <v>13.13</v>
      </c>
    </row>
    <row r="1775" spans="1:2" x14ac:dyDescent="0.25">
      <c r="A1775" s="4">
        <v>34401</v>
      </c>
      <c r="B1775" s="6">
        <v>13.15</v>
      </c>
    </row>
    <row r="1776" spans="1:2" x14ac:dyDescent="0.25">
      <c r="A1776" s="4">
        <v>34402</v>
      </c>
      <c r="B1776" s="6">
        <v>13.3</v>
      </c>
    </row>
    <row r="1777" spans="1:2" x14ac:dyDescent="0.25">
      <c r="A1777" s="4">
        <v>34403</v>
      </c>
      <c r="B1777" s="6">
        <v>13.23</v>
      </c>
    </row>
    <row r="1778" spans="1:2" x14ac:dyDescent="0.25">
      <c r="A1778" s="4">
        <v>34404</v>
      </c>
      <c r="B1778" s="6">
        <v>13.7</v>
      </c>
    </row>
    <row r="1779" spans="1:2" x14ac:dyDescent="0.25">
      <c r="A1779" s="4">
        <v>34407</v>
      </c>
      <c r="B1779" s="6">
        <v>14.03</v>
      </c>
    </row>
    <row r="1780" spans="1:2" x14ac:dyDescent="0.25">
      <c r="A1780" s="4">
        <v>34408</v>
      </c>
      <c r="B1780" s="6">
        <v>14.28</v>
      </c>
    </row>
    <row r="1781" spans="1:2" x14ac:dyDescent="0.25">
      <c r="A1781" s="4">
        <v>34409</v>
      </c>
      <c r="B1781" s="6">
        <v>14.3</v>
      </c>
    </row>
    <row r="1782" spans="1:2" x14ac:dyDescent="0.25">
      <c r="A1782" s="4">
        <v>34410</v>
      </c>
      <c r="B1782" s="6">
        <v>14.25</v>
      </c>
    </row>
    <row r="1783" spans="1:2" x14ac:dyDescent="0.25">
      <c r="A1783" s="4">
        <v>34411</v>
      </c>
      <c r="B1783" s="6">
        <v>14.05</v>
      </c>
    </row>
    <row r="1784" spans="1:2" x14ac:dyDescent="0.25">
      <c r="A1784" s="4">
        <v>34414</v>
      </c>
      <c r="B1784" s="6">
        <v>14.55</v>
      </c>
    </row>
    <row r="1785" spans="1:2" x14ac:dyDescent="0.25">
      <c r="A1785" s="4">
        <v>34415</v>
      </c>
      <c r="B1785" s="6">
        <v>14.8</v>
      </c>
    </row>
    <row r="1786" spans="1:2" x14ac:dyDescent="0.25">
      <c r="A1786" s="4">
        <v>34416</v>
      </c>
      <c r="B1786" s="6">
        <v>14.5</v>
      </c>
    </row>
    <row r="1787" spans="1:2" x14ac:dyDescent="0.25">
      <c r="A1787" s="4">
        <v>34417</v>
      </c>
      <c r="B1787" s="6">
        <v>14.53</v>
      </c>
    </row>
    <row r="1788" spans="1:2" x14ac:dyDescent="0.25">
      <c r="A1788" s="4">
        <v>34418</v>
      </c>
      <c r="B1788" s="6">
        <v>14.58</v>
      </c>
    </row>
    <row r="1789" spans="1:2" x14ac:dyDescent="0.25">
      <c r="A1789" s="4">
        <v>34421</v>
      </c>
      <c r="B1789" s="6">
        <v>13.75</v>
      </c>
    </row>
    <row r="1790" spans="1:2" x14ac:dyDescent="0.25">
      <c r="A1790" s="4">
        <v>34422</v>
      </c>
      <c r="B1790" s="6">
        <v>13.38</v>
      </c>
    </row>
    <row r="1791" spans="1:2" x14ac:dyDescent="0.25">
      <c r="A1791" s="4">
        <v>34423</v>
      </c>
      <c r="B1791" s="6">
        <v>13.23</v>
      </c>
    </row>
    <row r="1792" spans="1:2" x14ac:dyDescent="0.25">
      <c r="A1792" s="4">
        <v>34424</v>
      </c>
      <c r="B1792" s="6">
        <v>13.25</v>
      </c>
    </row>
    <row r="1793" spans="1:2" x14ac:dyDescent="0.25">
      <c r="A1793" s="4">
        <v>34425</v>
      </c>
      <c r="B1793" s="5"/>
    </row>
    <row r="1794" spans="1:2" x14ac:dyDescent="0.25">
      <c r="A1794" s="4">
        <v>34428</v>
      </c>
      <c r="B1794" s="5"/>
    </row>
    <row r="1795" spans="1:2" x14ac:dyDescent="0.25">
      <c r="A1795" s="4">
        <v>34429</v>
      </c>
      <c r="B1795" s="6">
        <v>14.33</v>
      </c>
    </row>
    <row r="1796" spans="1:2" x14ac:dyDescent="0.25">
      <c r="A1796" s="4">
        <v>34430</v>
      </c>
      <c r="B1796" s="6">
        <v>14.33</v>
      </c>
    </row>
    <row r="1797" spans="1:2" x14ac:dyDescent="0.25">
      <c r="A1797" s="4">
        <v>34431</v>
      </c>
      <c r="B1797" s="6">
        <v>14.4</v>
      </c>
    </row>
    <row r="1798" spans="1:2" x14ac:dyDescent="0.25">
      <c r="A1798" s="4">
        <v>34432</v>
      </c>
      <c r="B1798" s="6">
        <v>14.3</v>
      </c>
    </row>
    <row r="1799" spans="1:2" x14ac:dyDescent="0.25">
      <c r="A1799" s="4">
        <v>34435</v>
      </c>
      <c r="B1799" s="6">
        <v>14.73</v>
      </c>
    </row>
    <row r="1800" spans="1:2" x14ac:dyDescent="0.25">
      <c r="A1800" s="4">
        <v>34436</v>
      </c>
      <c r="B1800" s="6">
        <v>14.8</v>
      </c>
    </row>
    <row r="1801" spans="1:2" x14ac:dyDescent="0.25">
      <c r="A1801" s="4">
        <v>34437</v>
      </c>
      <c r="B1801" s="6">
        <v>15</v>
      </c>
    </row>
    <row r="1802" spans="1:2" x14ac:dyDescent="0.25">
      <c r="A1802" s="4">
        <v>34438</v>
      </c>
      <c r="B1802" s="6">
        <v>15.28</v>
      </c>
    </row>
    <row r="1803" spans="1:2" x14ac:dyDescent="0.25">
      <c r="A1803" s="4">
        <v>34439</v>
      </c>
      <c r="B1803" s="6">
        <v>15.23</v>
      </c>
    </row>
    <row r="1804" spans="1:2" x14ac:dyDescent="0.25">
      <c r="A1804" s="4">
        <v>34442</v>
      </c>
      <c r="B1804" s="6">
        <v>15.48</v>
      </c>
    </row>
    <row r="1805" spans="1:2" x14ac:dyDescent="0.25">
      <c r="A1805" s="4">
        <v>34443</v>
      </c>
      <c r="B1805" s="6">
        <v>15.13</v>
      </c>
    </row>
    <row r="1806" spans="1:2" x14ac:dyDescent="0.25">
      <c r="A1806" s="4">
        <v>34444</v>
      </c>
      <c r="B1806" s="6">
        <v>15.3</v>
      </c>
    </row>
    <row r="1807" spans="1:2" x14ac:dyDescent="0.25">
      <c r="A1807" s="4">
        <v>34445</v>
      </c>
      <c r="B1807" s="6">
        <v>15.63</v>
      </c>
    </row>
    <row r="1808" spans="1:2" x14ac:dyDescent="0.25">
      <c r="A1808" s="4">
        <v>34446</v>
      </c>
      <c r="B1808" s="6">
        <v>16.28</v>
      </c>
    </row>
    <row r="1809" spans="1:2" x14ac:dyDescent="0.25">
      <c r="A1809" s="4">
        <v>34449</v>
      </c>
      <c r="B1809" s="6">
        <v>16.38</v>
      </c>
    </row>
    <row r="1810" spans="1:2" x14ac:dyDescent="0.25">
      <c r="A1810" s="4">
        <v>34450</v>
      </c>
      <c r="B1810" s="6">
        <v>16.05</v>
      </c>
    </row>
    <row r="1811" spans="1:2" x14ac:dyDescent="0.25">
      <c r="A1811" s="4">
        <v>34451</v>
      </c>
      <c r="B1811" s="6">
        <v>15.75</v>
      </c>
    </row>
    <row r="1812" spans="1:2" x14ac:dyDescent="0.25">
      <c r="A1812" s="4">
        <v>34452</v>
      </c>
      <c r="B1812" s="6">
        <v>15.65</v>
      </c>
    </row>
    <row r="1813" spans="1:2" x14ac:dyDescent="0.25">
      <c r="A1813" s="4">
        <v>34453</v>
      </c>
      <c r="B1813" s="6">
        <v>15.35</v>
      </c>
    </row>
    <row r="1814" spans="1:2" x14ac:dyDescent="0.25">
      <c r="A1814" s="4">
        <v>34456</v>
      </c>
      <c r="B1814" s="5"/>
    </row>
    <row r="1815" spans="1:2" x14ac:dyDescent="0.25">
      <c r="A1815" s="4">
        <v>34457</v>
      </c>
      <c r="B1815" s="6">
        <v>15.93</v>
      </c>
    </row>
    <row r="1816" spans="1:2" x14ac:dyDescent="0.25">
      <c r="A1816" s="4">
        <v>34458</v>
      </c>
      <c r="B1816" s="6">
        <v>15.95</v>
      </c>
    </row>
    <row r="1817" spans="1:2" x14ac:dyDescent="0.25">
      <c r="A1817" s="4">
        <v>34459</v>
      </c>
      <c r="B1817" s="6">
        <v>15.85</v>
      </c>
    </row>
    <row r="1818" spans="1:2" x14ac:dyDescent="0.25">
      <c r="A1818" s="4">
        <v>34460</v>
      </c>
      <c r="B1818" s="6">
        <v>16.25</v>
      </c>
    </row>
    <row r="1819" spans="1:2" x14ac:dyDescent="0.25">
      <c r="A1819" s="4">
        <v>34463</v>
      </c>
      <c r="B1819" s="6">
        <v>16.329999999999998</v>
      </c>
    </row>
    <row r="1820" spans="1:2" x14ac:dyDescent="0.25">
      <c r="A1820" s="4">
        <v>34464</v>
      </c>
      <c r="B1820" s="6">
        <v>16.25</v>
      </c>
    </row>
    <row r="1821" spans="1:2" x14ac:dyDescent="0.25">
      <c r="A1821" s="4">
        <v>34465</v>
      </c>
      <c r="B1821" s="6">
        <v>16.100000000000001</v>
      </c>
    </row>
    <row r="1822" spans="1:2" x14ac:dyDescent="0.25">
      <c r="A1822" s="4">
        <v>34466</v>
      </c>
      <c r="B1822" s="6">
        <v>16.25</v>
      </c>
    </row>
    <row r="1823" spans="1:2" x14ac:dyDescent="0.25">
      <c r="A1823" s="4">
        <v>34467</v>
      </c>
      <c r="B1823" s="6">
        <v>16.5</v>
      </c>
    </row>
    <row r="1824" spans="1:2" x14ac:dyDescent="0.25">
      <c r="A1824" s="4">
        <v>34470</v>
      </c>
      <c r="B1824" s="6">
        <v>16.23</v>
      </c>
    </row>
    <row r="1825" spans="1:2" x14ac:dyDescent="0.25">
      <c r="A1825" s="4">
        <v>34471</v>
      </c>
      <c r="B1825" s="6">
        <v>15.83</v>
      </c>
    </row>
    <row r="1826" spans="1:2" x14ac:dyDescent="0.25">
      <c r="A1826" s="4">
        <v>34472</v>
      </c>
      <c r="B1826" s="6">
        <v>15.98</v>
      </c>
    </row>
    <row r="1827" spans="1:2" x14ac:dyDescent="0.25">
      <c r="A1827" s="4">
        <v>34473</v>
      </c>
      <c r="B1827" s="6">
        <v>16.149999999999999</v>
      </c>
    </row>
    <row r="1828" spans="1:2" x14ac:dyDescent="0.25">
      <c r="A1828" s="4">
        <v>34474</v>
      </c>
      <c r="B1828" s="6">
        <v>16.23</v>
      </c>
    </row>
    <row r="1829" spans="1:2" x14ac:dyDescent="0.25">
      <c r="A1829" s="4">
        <v>34477</v>
      </c>
      <c r="B1829" s="6">
        <v>16.63</v>
      </c>
    </row>
    <row r="1830" spans="1:2" x14ac:dyDescent="0.25">
      <c r="A1830" s="4">
        <v>34478</v>
      </c>
      <c r="B1830" s="6">
        <v>16.63</v>
      </c>
    </row>
    <row r="1831" spans="1:2" x14ac:dyDescent="0.25">
      <c r="A1831" s="4">
        <v>34479</v>
      </c>
      <c r="B1831" s="6">
        <v>16.329999999999998</v>
      </c>
    </row>
    <row r="1832" spans="1:2" x14ac:dyDescent="0.25">
      <c r="A1832" s="4">
        <v>34480</v>
      </c>
      <c r="B1832" s="6">
        <v>16.079999999999998</v>
      </c>
    </row>
    <row r="1833" spans="1:2" x14ac:dyDescent="0.25">
      <c r="A1833" s="4">
        <v>34481</v>
      </c>
      <c r="B1833" s="6">
        <v>16.079999999999998</v>
      </c>
    </row>
    <row r="1834" spans="1:2" x14ac:dyDescent="0.25">
      <c r="A1834" s="4">
        <v>34484</v>
      </c>
      <c r="B1834" s="5"/>
    </row>
    <row r="1835" spans="1:2" x14ac:dyDescent="0.25">
      <c r="A1835" s="4">
        <v>34485</v>
      </c>
      <c r="B1835" s="6">
        <v>16.18</v>
      </c>
    </row>
    <row r="1836" spans="1:2" x14ac:dyDescent="0.25">
      <c r="A1836" s="4">
        <v>34486</v>
      </c>
      <c r="B1836" s="6">
        <v>16.399999999999999</v>
      </c>
    </row>
    <row r="1837" spans="1:2" x14ac:dyDescent="0.25">
      <c r="A1837" s="4">
        <v>34487</v>
      </c>
      <c r="B1837" s="6">
        <v>16.350000000000001</v>
      </c>
    </row>
    <row r="1838" spans="1:2" x14ac:dyDescent="0.25">
      <c r="A1838" s="4">
        <v>34488</v>
      </c>
      <c r="B1838" s="6">
        <v>16.13</v>
      </c>
    </row>
    <row r="1839" spans="1:2" x14ac:dyDescent="0.25">
      <c r="A1839" s="4">
        <v>34491</v>
      </c>
      <c r="B1839" s="6">
        <v>16.18</v>
      </c>
    </row>
    <row r="1840" spans="1:2" x14ac:dyDescent="0.25">
      <c r="A1840" s="4">
        <v>34492</v>
      </c>
      <c r="B1840" s="6">
        <v>15.95</v>
      </c>
    </row>
    <row r="1841" spans="1:2" x14ac:dyDescent="0.25">
      <c r="A1841" s="4">
        <v>34493</v>
      </c>
      <c r="B1841" s="6">
        <v>15.65</v>
      </c>
    </row>
    <row r="1842" spans="1:2" x14ac:dyDescent="0.25">
      <c r="A1842" s="4">
        <v>34494</v>
      </c>
      <c r="B1842" s="6">
        <v>16.13</v>
      </c>
    </row>
    <row r="1843" spans="1:2" x14ac:dyDescent="0.25">
      <c r="A1843" s="4">
        <v>34495</v>
      </c>
      <c r="B1843" s="6">
        <v>16.38</v>
      </c>
    </row>
    <row r="1844" spans="1:2" x14ac:dyDescent="0.25">
      <c r="A1844" s="4">
        <v>34498</v>
      </c>
      <c r="B1844" s="6">
        <v>16.23</v>
      </c>
    </row>
    <row r="1845" spans="1:2" x14ac:dyDescent="0.25">
      <c r="A1845" s="4">
        <v>34499</v>
      </c>
      <c r="B1845" s="6">
        <v>16.399999999999999</v>
      </c>
    </row>
    <row r="1846" spans="1:2" x14ac:dyDescent="0.25">
      <c r="A1846" s="4">
        <v>34500</v>
      </c>
      <c r="B1846" s="6">
        <v>16.73</v>
      </c>
    </row>
    <row r="1847" spans="1:2" x14ac:dyDescent="0.25">
      <c r="A1847" s="4">
        <v>34501</v>
      </c>
      <c r="B1847" s="6">
        <v>16.88</v>
      </c>
    </row>
    <row r="1848" spans="1:2" x14ac:dyDescent="0.25">
      <c r="A1848" s="4">
        <v>34502</v>
      </c>
      <c r="B1848" s="6">
        <v>17.13</v>
      </c>
    </row>
    <row r="1849" spans="1:2" x14ac:dyDescent="0.25">
      <c r="A1849" s="4">
        <v>34505</v>
      </c>
      <c r="B1849" s="6">
        <v>17.38</v>
      </c>
    </row>
    <row r="1850" spans="1:2" x14ac:dyDescent="0.25">
      <c r="A1850" s="4">
        <v>34506</v>
      </c>
      <c r="B1850" s="6">
        <v>17.63</v>
      </c>
    </row>
    <row r="1851" spans="1:2" x14ac:dyDescent="0.25">
      <c r="A1851" s="4">
        <v>34507</v>
      </c>
      <c r="B1851" s="6">
        <v>17.48</v>
      </c>
    </row>
    <row r="1852" spans="1:2" x14ac:dyDescent="0.25">
      <c r="A1852" s="4">
        <v>34508</v>
      </c>
      <c r="B1852" s="6">
        <v>17.3</v>
      </c>
    </row>
    <row r="1853" spans="1:2" x14ac:dyDescent="0.25">
      <c r="A1853" s="4">
        <v>34509</v>
      </c>
      <c r="B1853" s="6">
        <v>17.399999999999999</v>
      </c>
    </row>
    <row r="1854" spans="1:2" x14ac:dyDescent="0.25">
      <c r="A1854" s="4">
        <v>34512</v>
      </c>
      <c r="B1854" s="6">
        <v>17.399999999999999</v>
      </c>
    </row>
    <row r="1855" spans="1:2" x14ac:dyDescent="0.25">
      <c r="A1855" s="4">
        <v>34513</v>
      </c>
      <c r="B1855" s="6">
        <v>16.98</v>
      </c>
    </row>
    <row r="1856" spans="1:2" x14ac:dyDescent="0.25">
      <c r="A1856" s="4">
        <v>34514</v>
      </c>
      <c r="B1856" s="6">
        <v>17.23</v>
      </c>
    </row>
    <row r="1857" spans="1:2" x14ac:dyDescent="0.25">
      <c r="A1857" s="4">
        <v>34515</v>
      </c>
      <c r="B1857" s="6">
        <v>17.45</v>
      </c>
    </row>
    <row r="1858" spans="1:2" x14ac:dyDescent="0.25">
      <c r="A1858" s="4">
        <v>34516</v>
      </c>
      <c r="B1858" s="6">
        <v>17.649999999999999</v>
      </c>
    </row>
    <row r="1859" spans="1:2" x14ac:dyDescent="0.25">
      <c r="A1859" s="4">
        <v>34519</v>
      </c>
      <c r="B1859" s="6">
        <v>17.5</v>
      </c>
    </row>
    <row r="1860" spans="1:2" x14ac:dyDescent="0.25">
      <c r="A1860" s="4">
        <v>34520</v>
      </c>
      <c r="B1860" s="6">
        <v>17.13</v>
      </c>
    </row>
    <row r="1861" spans="1:2" x14ac:dyDescent="0.25">
      <c r="A1861" s="4">
        <v>34521</v>
      </c>
      <c r="B1861" s="6">
        <v>16.899999999999999</v>
      </c>
    </row>
    <row r="1862" spans="1:2" x14ac:dyDescent="0.25">
      <c r="A1862" s="4">
        <v>34522</v>
      </c>
      <c r="B1862" s="6">
        <v>16.78</v>
      </c>
    </row>
    <row r="1863" spans="1:2" x14ac:dyDescent="0.25">
      <c r="A1863" s="4">
        <v>34523</v>
      </c>
      <c r="B1863" s="6">
        <v>17</v>
      </c>
    </row>
    <row r="1864" spans="1:2" x14ac:dyDescent="0.25">
      <c r="A1864" s="4">
        <v>34526</v>
      </c>
      <c r="B1864" s="6">
        <v>17.48</v>
      </c>
    </row>
    <row r="1865" spans="1:2" x14ac:dyDescent="0.25">
      <c r="A1865" s="4">
        <v>34527</v>
      </c>
      <c r="B1865" s="6">
        <v>18.25</v>
      </c>
    </row>
    <row r="1866" spans="1:2" x14ac:dyDescent="0.25">
      <c r="A1866" s="4">
        <v>34528</v>
      </c>
      <c r="B1866" s="6">
        <v>18.25</v>
      </c>
    </row>
    <row r="1867" spans="1:2" x14ac:dyDescent="0.25">
      <c r="A1867" s="4">
        <v>34529</v>
      </c>
      <c r="B1867" s="6">
        <v>18.329999999999998</v>
      </c>
    </row>
    <row r="1868" spans="1:2" x14ac:dyDescent="0.25">
      <c r="A1868" s="4">
        <v>34530</v>
      </c>
      <c r="B1868" s="6">
        <v>18.149999999999999</v>
      </c>
    </row>
    <row r="1869" spans="1:2" x14ac:dyDescent="0.25">
      <c r="A1869" s="4">
        <v>34533</v>
      </c>
      <c r="B1869" s="6">
        <v>17.5</v>
      </c>
    </row>
    <row r="1870" spans="1:2" x14ac:dyDescent="0.25">
      <c r="A1870" s="4">
        <v>34534</v>
      </c>
      <c r="B1870" s="6">
        <v>17.2</v>
      </c>
    </row>
    <row r="1871" spans="1:2" x14ac:dyDescent="0.25">
      <c r="A1871" s="4">
        <v>34535</v>
      </c>
      <c r="B1871" s="6">
        <v>17.350000000000001</v>
      </c>
    </row>
    <row r="1872" spans="1:2" x14ac:dyDescent="0.25">
      <c r="A1872" s="4">
        <v>34536</v>
      </c>
      <c r="B1872" s="6">
        <v>17.45</v>
      </c>
    </row>
    <row r="1873" spans="1:2" x14ac:dyDescent="0.25">
      <c r="A1873" s="4">
        <v>34537</v>
      </c>
      <c r="B1873" s="6">
        <v>17.579999999999998</v>
      </c>
    </row>
    <row r="1874" spans="1:2" x14ac:dyDescent="0.25">
      <c r="A1874" s="4">
        <v>34540</v>
      </c>
      <c r="B1874" s="6">
        <v>17.350000000000001</v>
      </c>
    </row>
    <row r="1875" spans="1:2" x14ac:dyDescent="0.25">
      <c r="A1875" s="4">
        <v>34541</v>
      </c>
      <c r="B1875" s="6">
        <v>17.43</v>
      </c>
    </row>
    <row r="1876" spans="1:2" x14ac:dyDescent="0.25">
      <c r="A1876" s="4">
        <v>34542</v>
      </c>
      <c r="B1876" s="6">
        <v>17.829999999999998</v>
      </c>
    </row>
    <row r="1877" spans="1:2" x14ac:dyDescent="0.25">
      <c r="A1877" s="4">
        <v>34543</v>
      </c>
      <c r="B1877" s="6">
        <v>18</v>
      </c>
    </row>
    <row r="1878" spans="1:2" x14ac:dyDescent="0.25">
      <c r="A1878" s="4">
        <v>34544</v>
      </c>
      <c r="B1878" s="6">
        <v>18.48</v>
      </c>
    </row>
    <row r="1879" spans="1:2" x14ac:dyDescent="0.25">
      <c r="A1879" s="4">
        <v>34547</v>
      </c>
      <c r="B1879" s="6">
        <v>19.03</v>
      </c>
    </row>
    <row r="1880" spans="1:2" x14ac:dyDescent="0.25">
      <c r="A1880" s="4">
        <v>34548</v>
      </c>
      <c r="B1880" s="6">
        <v>18.48</v>
      </c>
    </row>
    <row r="1881" spans="1:2" x14ac:dyDescent="0.25">
      <c r="A1881" s="4">
        <v>34549</v>
      </c>
      <c r="B1881" s="6">
        <v>18.48</v>
      </c>
    </row>
    <row r="1882" spans="1:2" x14ac:dyDescent="0.25">
      <c r="A1882" s="4">
        <v>34550</v>
      </c>
      <c r="B1882" s="6">
        <v>18.43</v>
      </c>
    </row>
    <row r="1883" spans="1:2" x14ac:dyDescent="0.25">
      <c r="A1883" s="4">
        <v>34551</v>
      </c>
      <c r="B1883" s="6">
        <v>17.78</v>
      </c>
    </row>
    <row r="1884" spans="1:2" x14ac:dyDescent="0.25">
      <c r="A1884" s="4">
        <v>34554</v>
      </c>
      <c r="B1884" s="6">
        <v>17.93</v>
      </c>
    </row>
    <row r="1885" spans="1:2" x14ac:dyDescent="0.25">
      <c r="A1885" s="4">
        <v>34555</v>
      </c>
      <c r="B1885" s="6">
        <v>17.68</v>
      </c>
    </row>
    <row r="1886" spans="1:2" x14ac:dyDescent="0.25">
      <c r="A1886" s="4">
        <v>34556</v>
      </c>
      <c r="B1886" s="6">
        <v>17.329999999999998</v>
      </c>
    </row>
    <row r="1887" spans="1:2" x14ac:dyDescent="0.25">
      <c r="A1887" s="4">
        <v>34557</v>
      </c>
      <c r="B1887" s="6">
        <v>17.5</v>
      </c>
    </row>
    <row r="1888" spans="1:2" x14ac:dyDescent="0.25">
      <c r="A1888" s="4">
        <v>34558</v>
      </c>
      <c r="B1888" s="6">
        <v>17.100000000000001</v>
      </c>
    </row>
    <row r="1889" spans="1:2" x14ac:dyDescent="0.25">
      <c r="A1889" s="4">
        <v>34561</v>
      </c>
      <c r="B1889" s="6">
        <v>16.75</v>
      </c>
    </row>
    <row r="1890" spans="1:2" x14ac:dyDescent="0.25">
      <c r="A1890" s="4">
        <v>34562</v>
      </c>
      <c r="B1890" s="6">
        <v>16.68</v>
      </c>
    </row>
    <row r="1891" spans="1:2" x14ac:dyDescent="0.25">
      <c r="A1891" s="4">
        <v>34563</v>
      </c>
      <c r="B1891" s="6">
        <v>16.28</v>
      </c>
    </row>
    <row r="1892" spans="1:2" x14ac:dyDescent="0.25">
      <c r="A1892" s="4">
        <v>34564</v>
      </c>
      <c r="B1892" s="6">
        <v>16.3</v>
      </c>
    </row>
    <row r="1893" spans="1:2" x14ac:dyDescent="0.25">
      <c r="A1893" s="4">
        <v>34565</v>
      </c>
      <c r="B1893" s="6">
        <v>16.13</v>
      </c>
    </row>
    <row r="1894" spans="1:2" x14ac:dyDescent="0.25">
      <c r="A1894" s="4">
        <v>34568</v>
      </c>
      <c r="B1894" s="6">
        <v>15.25</v>
      </c>
    </row>
    <row r="1895" spans="1:2" x14ac:dyDescent="0.25">
      <c r="A1895" s="4">
        <v>34569</v>
      </c>
      <c r="B1895" s="6">
        <v>15.3</v>
      </c>
    </row>
    <row r="1896" spans="1:2" x14ac:dyDescent="0.25">
      <c r="A1896" s="4">
        <v>34570</v>
      </c>
      <c r="B1896" s="6">
        <v>15.8</v>
      </c>
    </row>
    <row r="1897" spans="1:2" x14ac:dyDescent="0.25">
      <c r="A1897" s="4">
        <v>34571</v>
      </c>
      <c r="B1897" s="6">
        <v>15.75</v>
      </c>
    </row>
    <row r="1898" spans="1:2" x14ac:dyDescent="0.25">
      <c r="A1898" s="4">
        <v>34572</v>
      </c>
      <c r="B1898" s="6">
        <v>15.85</v>
      </c>
    </row>
    <row r="1899" spans="1:2" x14ac:dyDescent="0.25">
      <c r="A1899" s="4">
        <v>34575</v>
      </c>
      <c r="B1899" s="5"/>
    </row>
    <row r="1900" spans="1:2" x14ac:dyDescent="0.25">
      <c r="A1900" s="4">
        <v>34576</v>
      </c>
      <c r="B1900" s="6">
        <v>15.78</v>
      </c>
    </row>
    <row r="1901" spans="1:2" x14ac:dyDescent="0.25">
      <c r="A1901" s="4">
        <v>34577</v>
      </c>
      <c r="B1901" s="6">
        <v>16.03</v>
      </c>
    </row>
    <row r="1902" spans="1:2" x14ac:dyDescent="0.25">
      <c r="A1902" s="4">
        <v>34578</v>
      </c>
      <c r="B1902" s="6">
        <v>16.03</v>
      </c>
    </row>
    <row r="1903" spans="1:2" x14ac:dyDescent="0.25">
      <c r="A1903" s="4">
        <v>34579</v>
      </c>
      <c r="B1903" s="6">
        <v>15.88</v>
      </c>
    </row>
    <row r="1904" spans="1:2" x14ac:dyDescent="0.25">
      <c r="A1904" s="4">
        <v>34582</v>
      </c>
      <c r="B1904" s="6">
        <v>15.6</v>
      </c>
    </row>
    <row r="1905" spans="1:2" x14ac:dyDescent="0.25">
      <c r="A1905" s="4">
        <v>34583</v>
      </c>
      <c r="B1905" s="6">
        <v>15.95</v>
      </c>
    </row>
    <row r="1906" spans="1:2" x14ac:dyDescent="0.25">
      <c r="A1906" s="4">
        <v>34584</v>
      </c>
      <c r="B1906" s="6">
        <v>16.03</v>
      </c>
    </row>
    <row r="1907" spans="1:2" x14ac:dyDescent="0.25">
      <c r="A1907" s="4">
        <v>34585</v>
      </c>
      <c r="B1907" s="6">
        <v>16.05</v>
      </c>
    </row>
    <row r="1908" spans="1:2" x14ac:dyDescent="0.25">
      <c r="A1908" s="4">
        <v>34586</v>
      </c>
      <c r="B1908" s="6">
        <v>15.93</v>
      </c>
    </row>
    <row r="1909" spans="1:2" x14ac:dyDescent="0.25">
      <c r="A1909" s="4">
        <v>34589</v>
      </c>
      <c r="B1909" s="6">
        <v>15.83</v>
      </c>
    </row>
    <row r="1910" spans="1:2" x14ac:dyDescent="0.25">
      <c r="A1910" s="4">
        <v>34590</v>
      </c>
      <c r="B1910" s="6">
        <v>15.48</v>
      </c>
    </row>
    <row r="1911" spans="1:2" x14ac:dyDescent="0.25">
      <c r="A1911" s="4">
        <v>34591</v>
      </c>
      <c r="B1911" s="6">
        <v>15.4</v>
      </c>
    </row>
    <row r="1912" spans="1:2" x14ac:dyDescent="0.25">
      <c r="A1912" s="4">
        <v>34592</v>
      </c>
      <c r="B1912" s="6">
        <v>15.25</v>
      </c>
    </row>
    <row r="1913" spans="1:2" x14ac:dyDescent="0.25">
      <c r="A1913" s="4">
        <v>34593</v>
      </c>
      <c r="B1913" s="6">
        <v>15.3</v>
      </c>
    </row>
    <row r="1914" spans="1:2" x14ac:dyDescent="0.25">
      <c r="A1914" s="4">
        <v>34596</v>
      </c>
      <c r="B1914" s="6">
        <v>15.45</v>
      </c>
    </row>
    <row r="1915" spans="1:2" x14ac:dyDescent="0.25">
      <c r="A1915" s="4">
        <v>34597</v>
      </c>
      <c r="B1915" s="6">
        <v>15.78</v>
      </c>
    </row>
    <row r="1916" spans="1:2" x14ac:dyDescent="0.25">
      <c r="A1916" s="4">
        <v>34598</v>
      </c>
      <c r="B1916" s="6">
        <v>15.8</v>
      </c>
    </row>
    <row r="1917" spans="1:2" x14ac:dyDescent="0.25">
      <c r="A1917" s="4">
        <v>34599</v>
      </c>
      <c r="B1917" s="6">
        <v>15.9</v>
      </c>
    </row>
    <row r="1918" spans="1:2" x14ac:dyDescent="0.25">
      <c r="A1918" s="4">
        <v>34600</v>
      </c>
      <c r="B1918" s="6">
        <v>16.3</v>
      </c>
    </row>
    <row r="1919" spans="1:2" x14ac:dyDescent="0.25">
      <c r="A1919" s="4">
        <v>34603</v>
      </c>
      <c r="B1919" s="6">
        <v>16.100000000000001</v>
      </c>
    </row>
    <row r="1920" spans="1:2" x14ac:dyDescent="0.25">
      <c r="A1920" s="4">
        <v>34604</v>
      </c>
      <c r="B1920" s="6">
        <v>16.100000000000001</v>
      </c>
    </row>
    <row r="1921" spans="1:2" x14ac:dyDescent="0.25">
      <c r="A1921" s="4">
        <v>34605</v>
      </c>
      <c r="B1921" s="6">
        <v>16.2</v>
      </c>
    </row>
    <row r="1922" spans="1:2" x14ac:dyDescent="0.25">
      <c r="A1922" s="4">
        <v>34606</v>
      </c>
      <c r="B1922" s="6">
        <v>16.600000000000001</v>
      </c>
    </row>
    <row r="1923" spans="1:2" x14ac:dyDescent="0.25">
      <c r="A1923" s="4">
        <v>34607</v>
      </c>
      <c r="B1923" s="6">
        <v>16.73</v>
      </c>
    </row>
    <row r="1924" spans="1:2" x14ac:dyDescent="0.25">
      <c r="A1924" s="4">
        <v>34610</v>
      </c>
      <c r="B1924" s="6">
        <v>16.850000000000001</v>
      </c>
    </row>
    <row r="1925" spans="1:2" x14ac:dyDescent="0.25">
      <c r="A1925" s="4">
        <v>34611</v>
      </c>
      <c r="B1925" s="6">
        <v>16.7</v>
      </c>
    </row>
    <row r="1926" spans="1:2" x14ac:dyDescent="0.25">
      <c r="A1926" s="4">
        <v>34612</v>
      </c>
      <c r="B1926" s="6">
        <v>16.5</v>
      </c>
    </row>
    <row r="1927" spans="1:2" x14ac:dyDescent="0.25">
      <c r="A1927" s="4">
        <v>34613</v>
      </c>
      <c r="B1927" s="6">
        <v>16.63</v>
      </c>
    </row>
    <row r="1928" spans="1:2" x14ac:dyDescent="0.25">
      <c r="A1928" s="4">
        <v>34614</v>
      </c>
      <c r="B1928" s="6">
        <v>16.93</v>
      </c>
    </row>
    <row r="1929" spans="1:2" x14ac:dyDescent="0.25">
      <c r="A1929" s="4">
        <v>34617</v>
      </c>
      <c r="B1929" s="6">
        <v>16.7</v>
      </c>
    </row>
    <row r="1930" spans="1:2" x14ac:dyDescent="0.25">
      <c r="A1930" s="4">
        <v>34618</v>
      </c>
      <c r="B1930" s="6">
        <v>16.38</v>
      </c>
    </row>
    <row r="1931" spans="1:2" x14ac:dyDescent="0.25">
      <c r="A1931" s="4">
        <v>34619</v>
      </c>
      <c r="B1931" s="6">
        <v>16.079999999999998</v>
      </c>
    </row>
    <row r="1932" spans="1:2" x14ac:dyDescent="0.25">
      <c r="A1932" s="4">
        <v>34620</v>
      </c>
      <c r="B1932" s="6">
        <v>15.63</v>
      </c>
    </row>
    <row r="1933" spans="1:2" x14ac:dyDescent="0.25">
      <c r="A1933" s="4">
        <v>34621</v>
      </c>
      <c r="B1933" s="6">
        <v>15.58</v>
      </c>
    </row>
    <row r="1934" spans="1:2" x14ac:dyDescent="0.25">
      <c r="A1934" s="4">
        <v>34624</v>
      </c>
      <c r="B1934" s="6">
        <v>15.75</v>
      </c>
    </row>
    <row r="1935" spans="1:2" x14ac:dyDescent="0.25">
      <c r="A1935" s="4">
        <v>34625</v>
      </c>
      <c r="B1935" s="6">
        <v>16.13</v>
      </c>
    </row>
    <row r="1936" spans="1:2" x14ac:dyDescent="0.25">
      <c r="A1936" s="4">
        <v>34626</v>
      </c>
      <c r="B1936" s="6">
        <v>16.28</v>
      </c>
    </row>
    <row r="1937" spans="1:2" x14ac:dyDescent="0.25">
      <c r="A1937" s="4">
        <v>34627</v>
      </c>
      <c r="B1937" s="6">
        <v>16.53</v>
      </c>
    </row>
    <row r="1938" spans="1:2" x14ac:dyDescent="0.25">
      <c r="A1938" s="4">
        <v>34628</v>
      </c>
      <c r="B1938" s="6">
        <v>16.350000000000001</v>
      </c>
    </row>
    <row r="1939" spans="1:2" x14ac:dyDescent="0.25">
      <c r="A1939" s="4">
        <v>34631</v>
      </c>
      <c r="B1939" s="6">
        <v>16.48</v>
      </c>
    </row>
    <row r="1940" spans="1:2" x14ac:dyDescent="0.25">
      <c r="A1940" s="4">
        <v>34632</v>
      </c>
      <c r="B1940" s="6">
        <v>16.48</v>
      </c>
    </row>
    <row r="1941" spans="1:2" x14ac:dyDescent="0.25">
      <c r="A1941" s="4">
        <v>34633</v>
      </c>
      <c r="B1941" s="6">
        <v>16.88</v>
      </c>
    </row>
    <row r="1942" spans="1:2" x14ac:dyDescent="0.25">
      <c r="A1942" s="4">
        <v>34634</v>
      </c>
      <c r="B1942" s="6">
        <v>17.079999999999998</v>
      </c>
    </row>
    <row r="1943" spans="1:2" x14ac:dyDescent="0.25">
      <c r="A1943" s="4">
        <v>34635</v>
      </c>
      <c r="B1943" s="6">
        <v>17.18</v>
      </c>
    </row>
    <row r="1944" spans="1:2" x14ac:dyDescent="0.25">
      <c r="A1944" s="4">
        <v>34638</v>
      </c>
      <c r="B1944" s="6">
        <v>17.18</v>
      </c>
    </row>
    <row r="1945" spans="1:2" x14ac:dyDescent="0.25">
      <c r="A1945" s="4">
        <v>34639</v>
      </c>
      <c r="B1945" s="6">
        <v>17.399999999999999</v>
      </c>
    </row>
    <row r="1946" spans="1:2" x14ac:dyDescent="0.25">
      <c r="A1946" s="4">
        <v>34640</v>
      </c>
      <c r="B1946" s="6">
        <v>17.579999999999998</v>
      </c>
    </row>
    <row r="1947" spans="1:2" x14ac:dyDescent="0.25">
      <c r="A1947" s="4">
        <v>34641</v>
      </c>
      <c r="B1947" s="6">
        <v>17.75</v>
      </c>
    </row>
    <row r="1948" spans="1:2" x14ac:dyDescent="0.25">
      <c r="A1948" s="4">
        <v>34642</v>
      </c>
      <c r="B1948" s="6">
        <v>18</v>
      </c>
    </row>
    <row r="1949" spans="1:2" x14ac:dyDescent="0.25">
      <c r="A1949" s="4">
        <v>34645</v>
      </c>
      <c r="B1949" s="6">
        <v>17.78</v>
      </c>
    </row>
    <row r="1950" spans="1:2" x14ac:dyDescent="0.25">
      <c r="A1950" s="4">
        <v>34646</v>
      </c>
      <c r="B1950" s="6">
        <v>17.38</v>
      </c>
    </row>
    <row r="1951" spans="1:2" x14ac:dyDescent="0.25">
      <c r="A1951" s="4">
        <v>34647</v>
      </c>
      <c r="B1951" s="6">
        <v>17.55</v>
      </c>
    </row>
    <row r="1952" spans="1:2" x14ac:dyDescent="0.25">
      <c r="A1952" s="4">
        <v>34648</v>
      </c>
      <c r="B1952" s="6">
        <v>17.2</v>
      </c>
    </row>
    <row r="1953" spans="1:2" x14ac:dyDescent="0.25">
      <c r="A1953" s="4">
        <v>34649</v>
      </c>
      <c r="B1953" s="6">
        <v>17.38</v>
      </c>
    </row>
    <row r="1954" spans="1:2" x14ac:dyDescent="0.25">
      <c r="A1954" s="4">
        <v>34652</v>
      </c>
      <c r="B1954" s="6">
        <v>17.25</v>
      </c>
    </row>
    <row r="1955" spans="1:2" x14ac:dyDescent="0.25">
      <c r="A1955" s="4">
        <v>34653</v>
      </c>
      <c r="B1955" s="6">
        <v>16.98</v>
      </c>
    </row>
    <row r="1956" spans="1:2" x14ac:dyDescent="0.25">
      <c r="A1956" s="4">
        <v>34654</v>
      </c>
      <c r="B1956" s="6">
        <v>16.8</v>
      </c>
    </row>
    <row r="1957" spans="1:2" x14ac:dyDescent="0.25">
      <c r="A1957" s="4">
        <v>34655</v>
      </c>
      <c r="B1957" s="6">
        <v>16.53</v>
      </c>
    </row>
    <row r="1958" spans="1:2" x14ac:dyDescent="0.25">
      <c r="A1958" s="4">
        <v>34656</v>
      </c>
      <c r="B1958" s="6">
        <v>16.45</v>
      </c>
    </row>
    <row r="1959" spans="1:2" x14ac:dyDescent="0.25">
      <c r="A1959" s="4">
        <v>34659</v>
      </c>
      <c r="B1959" s="6">
        <v>17.25</v>
      </c>
    </row>
    <row r="1960" spans="1:2" x14ac:dyDescent="0.25">
      <c r="A1960" s="4">
        <v>34660</v>
      </c>
      <c r="B1960" s="6">
        <v>17.2</v>
      </c>
    </row>
    <row r="1961" spans="1:2" x14ac:dyDescent="0.25">
      <c r="A1961" s="4">
        <v>34661</v>
      </c>
      <c r="B1961" s="6">
        <v>16.88</v>
      </c>
    </row>
    <row r="1962" spans="1:2" x14ac:dyDescent="0.25">
      <c r="A1962" s="4">
        <v>34662</v>
      </c>
      <c r="B1962" s="6">
        <v>16.95</v>
      </c>
    </row>
    <row r="1963" spans="1:2" x14ac:dyDescent="0.25">
      <c r="A1963" s="4">
        <v>34663</v>
      </c>
      <c r="B1963" s="6">
        <v>17</v>
      </c>
    </row>
    <row r="1964" spans="1:2" x14ac:dyDescent="0.25">
      <c r="A1964" s="4">
        <v>34666</v>
      </c>
      <c r="B1964" s="6">
        <v>16.95</v>
      </c>
    </row>
    <row r="1965" spans="1:2" x14ac:dyDescent="0.25">
      <c r="A1965" s="4">
        <v>34667</v>
      </c>
      <c r="B1965" s="6">
        <v>17</v>
      </c>
    </row>
    <row r="1966" spans="1:2" x14ac:dyDescent="0.25">
      <c r="A1966" s="4">
        <v>34668</v>
      </c>
      <c r="B1966" s="6">
        <v>16.95</v>
      </c>
    </row>
    <row r="1967" spans="1:2" x14ac:dyDescent="0.25">
      <c r="A1967" s="4">
        <v>34669</v>
      </c>
      <c r="B1967" s="6">
        <v>16.98</v>
      </c>
    </row>
    <row r="1968" spans="1:2" x14ac:dyDescent="0.25">
      <c r="A1968" s="4">
        <v>34670</v>
      </c>
      <c r="B1968" s="6">
        <v>16.350000000000001</v>
      </c>
    </row>
    <row r="1969" spans="1:2" x14ac:dyDescent="0.25">
      <c r="A1969" s="4">
        <v>34673</v>
      </c>
      <c r="B1969" s="6">
        <v>15.93</v>
      </c>
    </row>
    <row r="1970" spans="1:2" x14ac:dyDescent="0.25">
      <c r="A1970" s="4">
        <v>34674</v>
      </c>
      <c r="B1970" s="6">
        <v>16.05</v>
      </c>
    </row>
    <row r="1971" spans="1:2" x14ac:dyDescent="0.25">
      <c r="A1971" s="4">
        <v>34675</v>
      </c>
      <c r="B1971" s="6">
        <v>15.83</v>
      </c>
    </row>
    <row r="1972" spans="1:2" x14ac:dyDescent="0.25">
      <c r="A1972" s="4">
        <v>34676</v>
      </c>
      <c r="B1972" s="6">
        <v>16.13</v>
      </c>
    </row>
    <row r="1973" spans="1:2" x14ac:dyDescent="0.25">
      <c r="A1973" s="4">
        <v>34677</v>
      </c>
      <c r="B1973" s="6">
        <v>16.079999999999998</v>
      </c>
    </row>
    <row r="1974" spans="1:2" x14ac:dyDescent="0.25">
      <c r="A1974" s="4">
        <v>34680</v>
      </c>
      <c r="B1974" s="6">
        <v>15.98</v>
      </c>
    </row>
    <row r="1975" spans="1:2" x14ac:dyDescent="0.25">
      <c r="A1975" s="4">
        <v>34681</v>
      </c>
      <c r="B1975" s="6">
        <v>15.73</v>
      </c>
    </row>
    <row r="1976" spans="1:2" x14ac:dyDescent="0.25">
      <c r="A1976" s="4">
        <v>34682</v>
      </c>
      <c r="B1976" s="6">
        <v>15.83</v>
      </c>
    </row>
    <row r="1977" spans="1:2" x14ac:dyDescent="0.25">
      <c r="A1977" s="4">
        <v>34683</v>
      </c>
      <c r="B1977" s="6">
        <v>15.6</v>
      </c>
    </row>
    <row r="1978" spans="1:2" x14ac:dyDescent="0.25">
      <c r="A1978" s="4">
        <v>34684</v>
      </c>
      <c r="B1978" s="6">
        <v>15.48</v>
      </c>
    </row>
    <row r="1979" spans="1:2" x14ac:dyDescent="0.25">
      <c r="A1979" s="4">
        <v>34687</v>
      </c>
      <c r="B1979" s="6">
        <v>15.58</v>
      </c>
    </row>
    <row r="1980" spans="1:2" x14ac:dyDescent="0.25">
      <c r="A1980" s="4">
        <v>34688</v>
      </c>
      <c r="B1980" s="6">
        <v>15.73</v>
      </c>
    </row>
    <row r="1981" spans="1:2" x14ac:dyDescent="0.25">
      <c r="A1981" s="4">
        <v>34689</v>
      </c>
      <c r="B1981" s="6">
        <v>15.65</v>
      </c>
    </row>
    <row r="1982" spans="1:2" x14ac:dyDescent="0.25">
      <c r="A1982" s="4">
        <v>34690</v>
      </c>
      <c r="B1982" s="6">
        <v>15.6</v>
      </c>
    </row>
    <row r="1983" spans="1:2" x14ac:dyDescent="0.25">
      <c r="A1983" s="4">
        <v>34691</v>
      </c>
      <c r="B1983" s="6">
        <v>15.55</v>
      </c>
    </row>
    <row r="1984" spans="1:2" x14ac:dyDescent="0.25">
      <c r="A1984" s="4">
        <v>34694</v>
      </c>
      <c r="B1984" s="5"/>
    </row>
    <row r="1985" spans="1:2" x14ac:dyDescent="0.25">
      <c r="A1985" s="4">
        <v>34695</v>
      </c>
      <c r="B1985" s="5"/>
    </row>
    <row r="1986" spans="1:2" x14ac:dyDescent="0.25">
      <c r="A1986" s="4">
        <v>34696</v>
      </c>
      <c r="B1986" s="6">
        <v>16.079999999999998</v>
      </c>
    </row>
    <row r="1987" spans="1:2" x14ac:dyDescent="0.25">
      <c r="A1987" s="4">
        <v>34697</v>
      </c>
      <c r="B1987" s="6">
        <v>16.25</v>
      </c>
    </row>
    <row r="1988" spans="1:2" x14ac:dyDescent="0.25">
      <c r="A1988" s="4">
        <v>34698</v>
      </c>
      <c r="B1988" s="6">
        <v>16.23</v>
      </c>
    </row>
    <row r="1989" spans="1:2" x14ac:dyDescent="0.25">
      <c r="A1989" s="4">
        <v>34701</v>
      </c>
      <c r="B1989" s="5"/>
    </row>
    <row r="1990" spans="1:2" x14ac:dyDescent="0.25">
      <c r="A1990" s="4">
        <v>34702</v>
      </c>
      <c r="B1990" s="6">
        <v>15.88</v>
      </c>
    </row>
    <row r="1991" spans="1:2" x14ac:dyDescent="0.25">
      <c r="A1991" s="4">
        <v>34703</v>
      </c>
      <c r="B1991" s="6">
        <v>15.93</v>
      </c>
    </row>
    <row r="1992" spans="1:2" x14ac:dyDescent="0.25">
      <c r="A1992" s="4">
        <v>34704</v>
      </c>
      <c r="B1992" s="6">
        <v>16.13</v>
      </c>
    </row>
    <row r="1993" spans="1:2" x14ac:dyDescent="0.25">
      <c r="A1993" s="4">
        <v>34705</v>
      </c>
      <c r="B1993" s="6">
        <v>16.350000000000001</v>
      </c>
    </row>
    <row r="1994" spans="1:2" x14ac:dyDescent="0.25">
      <c r="A1994" s="4">
        <v>34708</v>
      </c>
      <c r="B1994" s="6">
        <v>16.079999999999998</v>
      </c>
    </row>
    <row r="1995" spans="1:2" x14ac:dyDescent="0.25">
      <c r="A1995" s="4">
        <v>34709</v>
      </c>
      <c r="B1995" s="6">
        <v>16</v>
      </c>
    </row>
    <row r="1996" spans="1:2" x14ac:dyDescent="0.25">
      <c r="A1996" s="4">
        <v>34710</v>
      </c>
      <c r="B1996" s="6">
        <v>16.399999999999999</v>
      </c>
    </row>
    <row r="1997" spans="1:2" x14ac:dyDescent="0.25">
      <c r="A1997" s="4">
        <v>34711</v>
      </c>
      <c r="B1997" s="6">
        <v>16.48</v>
      </c>
    </row>
    <row r="1998" spans="1:2" x14ac:dyDescent="0.25">
      <c r="A1998" s="4">
        <v>34712</v>
      </c>
      <c r="B1998" s="6">
        <v>16.2</v>
      </c>
    </row>
    <row r="1999" spans="1:2" x14ac:dyDescent="0.25">
      <c r="A1999" s="4">
        <v>34715</v>
      </c>
      <c r="B1999" s="6">
        <v>16.38</v>
      </c>
    </row>
    <row r="2000" spans="1:2" x14ac:dyDescent="0.25">
      <c r="A2000" s="4">
        <v>34716</v>
      </c>
      <c r="B2000" s="6">
        <v>16.78</v>
      </c>
    </row>
    <row r="2001" spans="1:2" x14ac:dyDescent="0.25">
      <c r="A2001" s="4">
        <v>34717</v>
      </c>
      <c r="B2001" s="6">
        <v>16.95</v>
      </c>
    </row>
    <row r="2002" spans="1:2" x14ac:dyDescent="0.25">
      <c r="A2002" s="4">
        <v>34718</v>
      </c>
      <c r="B2002" s="6">
        <v>17.079999999999998</v>
      </c>
    </row>
    <row r="2003" spans="1:2" x14ac:dyDescent="0.25">
      <c r="A2003" s="4">
        <v>34719</v>
      </c>
      <c r="B2003" s="6">
        <v>17.23</v>
      </c>
    </row>
    <row r="2004" spans="1:2" x14ac:dyDescent="0.25">
      <c r="A2004" s="4">
        <v>34722</v>
      </c>
      <c r="B2004" s="6">
        <v>17</v>
      </c>
    </row>
    <row r="2005" spans="1:2" x14ac:dyDescent="0.25">
      <c r="A2005" s="4">
        <v>34723</v>
      </c>
      <c r="B2005" s="6">
        <v>17.149999999999999</v>
      </c>
    </row>
    <row r="2006" spans="1:2" x14ac:dyDescent="0.25">
      <c r="A2006" s="4">
        <v>34724</v>
      </c>
      <c r="B2006" s="6">
        <v>16.98</v>
      </c>
    </row>
    <row r="2007" spans="1:2" x14ac:dyDescent="0.25">
      <c r="A2007" s="4">
        <v>34725</v>
      </c>
      <c r="B2007" s="6">
        <v>16.73</v>
      </c>
    </row>
    <row r="2008" spans="1:2" x14ac:dyDescent="0.25">
      <c r="A2008" s="4">
        <v>34726</v>
      </c>
      <c r="B2008" s="6">
        <v>16.38</v>
      </c>
    </row>
    <row r="2009" spans="1:2" x14ac:dyDescent="0.25">
      <c r="A2009" s="4">
        <v>34729</v>
      </c>
      <c r="B2009" s="6">
        <v>16.68</v>
      </c>
    </row>
    <row r="2010" spans="1:2" x14ac:dyDescent="0.25">
      <c r="A2010" s="4">
        <v>34730</v>
      </c>
      <c r="B2010" s="6">
        <v>16.8</v>
      </c>
    </row>
    <row r="2011" spans="1:2" x14ac:dyDescent="0.25">
      <c r="A2011" s="4">
        <v>34731</v>
      </c>
      <c r="B2011" s="6">
        <v>17.05</v>
      </c>
    </row>
    <row r="2012" spans="1:2" x14ac:dyDescent="0.25">
      <c r="A2012" s="4">
        <v>34732</v>
      </c>
      <c r="B2012" s="6">
        <v>17</v>
      </c>
    </row>
    <row r="2013" spans="1:2" x14ac:dyDescent="0.25">
      <c r="A2013" s="4">
        <v>34733</v>
      </c>
      <c r="B2013" s="6">
        <v>17.399999999999999</v>
      </c>
    </row>
    <row r="2014" spans="1:2" x14ac:dyDescent="0.25">
      <c r="A2014" s="4">
        <v>34736</v>
      </c>
      <c r="B2014" s="6">
        <v>17.079999999999998</v>
      </c>
    </row>
    <row r="2015" spans="1:2" x14ac:dyDescent="0.25">
      <c r="A2015" s="4">
        <v>34737</v>
      </c>
      <c r="B2015" s="6">
        <v>17.05</v>
      </c>
    </row>
    <row r="2016" spans="1:2" x14ac:dyDescent="0.25">
      <c r="A2016" s="4">
        <v>34738</v>
      </c>
      <c r="B2016" s="6">
        <v>17.03</v>
      </c>
    </row>
    <row r="2017" spans="1:2" x14ac:dyDescent="0.25">
      <c r="A2017" s="4">
        <v>34739</v>
      </c>
      <c r="B2017" s="6">
        <v>16.850000000000001</v>
      </c>
    </row>
    <row r="2018" spans="1:2" x14ac:dyDescent="0.25">
      <c r="A2018" s="4">
        <v>34740</v>
      </c>
      <c r="B2018" s="6">
        <v>16.850000000000001</v>
      </c>
    </row>
    <row r="2019" spans="1:2" x14ac:dyDescent="0.25">
      <c r="A2019" s="4">
        <v>34743</v>
      </c>
      <c r="B2019" s="6">
        <v>16.88</v>
      </c>
    </row>
    <row r="2020" spans="1:2" x14ac:dyDescent="0.25">
      <c r="A2020" s="4">
        <v>34744</v>
      </c>
      <c r="B2020" s="6">
        <v>17</v>
      </c>
    </row>
    <row r="2021" spans="1:2" x14ac:dyDescent="0.25">
      <c r="A2021" s="4">
        <v>34745</v>
      </c>
      <c r="B2021" s="6">
        <v>17.100000000000001</v>
      </c>
    </row>
    <row r="2022" spans="1:2" x14ac:dyDescent="0.25">
      <c r="A2022" s="4">
        <v>34746</v>
      </c>
      <c r="B2022" s="6">
        <v>17.13</v>
      </c>
    </row>
    <row r="2023" spans="1:2" x14ac:dyDescent="0.25">
      <c r="A2023" s="4">
        <v>34747</v>
      </c>
      <c r="B2023" s="6">
        <v>17.399999999999999</v>
      </c>
    </row>
    <row r="2024" spans="1:2" x14ac:dyDescent="0.25">
      <c r="A2024" s="4">
        <v>34750</v>
      </c>
      <c r="B2024" s="6">
        <v>17.43</v>
      </c>
    </row>
    <row r="2025" spans="1:2" x14ac:dyDescent="0.25">
      <c r="A2025" s="4">
        <v>34751</v>
      </c>
      <c r="B2025" s="6">
        <v>17.18</v>
      </c>
    </row>
    <row r="2026" spans="1:2" x14ac:dyDescent="0.25">
      <c r="A2026" s="4">
        <v>34752</v>
      </c>
      <c r="B2026" s="6">
        <v>17.079999999999998</v>
      </c>
    </row>
    <row r="2027" spans="1:2" x14ac:dyDescent="0.25">
      <c r="A2027" s="4">
        <v>34753</v>
      </c>
      <c r="B2027" s="6">
        <v>17.100000000000001</v>
      </c>
    </row>
    <row r="2028" spans="1:2" x14ac:dyDescent="0.25">
      <c r="A2028" s="4">
        <v>34754</v>
      </c>
      <c r="B2028" s="6">
        <v>17.100000000000001</v>
      </c>
    </row>
    <row r="2029" spans="1:2" x14ac:dyDescent="0.25">
      <c r="A2029" s="4">
        <v>34757</v>
      </c>
      <c r="B2029" s="6">
        <v>17.350000000000001</v>
      </c>
    </row>
    <row r="2030" spans="1:2" x14ac:dyDescent="0.25">
      <c r="A2030" s="4">
        <v>34758</v>
      </c>
      <c r="B2030" s="6">
        <v>17.23</v>
      </c>
    </row>
    <row r="2031" spans="1:2" x14ac:dyDescent="0.25">
      <c r="A2031" s="4">
        <v>34759</v>
      </c>
      <c r="B2031" s="6">
        <v>16.850000000000001</v>
      </c>
    </row>
    <row r="2032" spans="1:2" x14ac:dyDescent="0.25">
      <c r="A2032" s="4">
        <v>34760</v>
      </c>
      <c r="B2032" s="6">
        <v>16.55</v>
      </c>
    </row>
    <row r="2033" spans="1:2" x14ac:dyDescent="0.25">
      <c r="A2033" s="4">
        <v>34761</v>
      </c>
      <c r="B2033" s="6">
        <v>16.68</v>
      </c>
    </row>
    <row r="2034" spans="1:2" x14ac:dyDescent="0.25">
      <c r="A2034" s="4">
        <v>34764</v>
      </c>
      <c r="B2034" s="6">
        <v>16.75</v>
      </c>
    </row>
    <row r="2035" spans="1:2" x14ac:dyDescent="0.25">
      <c r="A2035" s="4">
        <v>34765</v>
      </c>
      <c r="B2035" s="6">
        <v>16.850000000000001</v>
      </c>
    </row>
    <row r="2036" spans="1:2" x14ac:dyDescent="0.25">
      <c r="A2036" s="4">
        <v>34766</v>
      </c>
      <c r="B2036" s="6">
        <v>16.73</v>
      </c>
    </row>
    <row r="2037" spans="1:2" x14ac:dyDescent="0.25">
      <c r="A2037" s="4">
        <v>34767</v>
      </c>
      <c r="B2037" s="6">
        <v>16.649999999999999</v>
      </c>
    </row>
    <row r="2038" spans="1:2" x14ac:dyDescent="0.25">
      <c r="A2038" s="4">
        <v>34768</v>
      </c>
      <c r="B2038" s="6">
        <v>16.5</v>
      </c>
    </row>
    <row r="2039" spans="1:2" x14ac:dyDescent="0.25">
      <c r="A2039" s="4">
        <v>34771</v>
      </c>
      <c r="B2039" s="6">
        <v>16.3</v>
      </c>
    </row>
    <row r="2040" spans="1:2" x14ac:dyDescent="0.25">
      <c r="A2040" s="4">
        <v>34772</v>
      </c>
      <c r="B2040" s="6">
        <v>16.329999999999998</v>
      </c>
    </row>
    <row r="2041" spans="1:2" x14ac:dyDescent="0.25">
      <c r="A2041" s="4">
        <v>34773</v>
      </c>
      <c r="B2041" s="6">
        <v>16.38</v>
      </c>
    </row>
    <row r="2042" spans="1:2" x14ac:dyDescent="0.25">
      <c r="A2042" s="4">
        <v>34774</v>
      </c>
      <c r="B2042" s="6">
        <v>16.5</v>
      </c>
    </row>
    <row r="2043" spans="1:2" x14ac:dyDescent="0.25">
      <c r="A2043" s="4">
        <v>34775</v>
      </c>
      <c r="B2043" s="6">
        <v>16.55</v>
      </c>
    </row>
    <row r="2044" spans="1:2" x14ac:dyDescent="0.25">
      <c r="A2044" s="4">
        <v>34778</v>
      </c>
      <c r="B2044" s="6">
        <v>16.829999999999998</v>
      </c>
    </row>
    <row r="2045" spans="1:2" x14ac:dyDescent="0.25">
      <c r="A2045" s="4">
        <v>34779</v>
      </c>
      <c r="B2045" s="6">
        <v>16.8</v>
      </c>
    </row>
    <row r="2046" spans="1:2" x14ac:dyDescent="0.25">
      <c r="A2046" s="4">
        <v>34780</v>
      </c>
      <c r="B2046" s="6">
        <v>17.079999999999998</v>
      </c>
    </row>
    <row r="2047" spans="1:2" x14ac:dyDescent="0.25">
      <c r="A2047" s="4">
        <v>34781</v>
      </c>
      <c r="B2047" s="6">
        <v>17.48</v>
      </c>
    </row>
    <row r="2048" spans="1:2" x14ac:dyDescent="0.25">
      <c r="A2048" s="4">
        <v>34782</v>
      </c>
      <c r="B2048" s="6">
        <v>17.649999999999999</v>
      </c>
    </row>
    <row r="2049" spans="1:2" x14ac:dyDescent="0.25">
      <c r="A2049" s="4">
        <v>34785</v>
      </c>
      <c r="B2049" s="6">
        <v>17.829999999999998</v>
      </c>
    </row>
    <row r="2050" spans="1:2" x14ac:dyDescent="0.25">
      <c r="A2050" s="4">
        <v>34786</v>
      </c>
      <c r="B2050" s="6">
        <v>17.850000000000001</v>
      </c>
    </row>
    <row r="2051" spans="1:2" x14ac:dyDescent="0.25">
      <c r="A2051" s="4">
        <v>34787</v>
      </c>
      <c r="B2051" s="6">
        <v>18.05</v>
      </c>
    </row>
    <row r="2052" spans="1:2" x14ac:dyDescent="0.25">
      <c r="A2052" s="4">
        <v>34788</v>
      </c>
      <c r="B2052" s="6">
        <v>17.98</v>
      </c>
    </row>
    <row r="2053" spans="1:2" x14ac:dyDescent="0.25">
      <c r="A2053" s="4">
        <v>34789</v>
      </c>
      <c r="B2053" s="6">
        <v>17.98</v>
      </c>
    </row>
    <row r="2054" spans="1:2" x14ac:dyDescent="0.25">
      <c r="A2054" s="4">
        <v>34792</v>
      </c>
      <c r="B2054" s="6">
        <v>17.88</v>
      </c>
    </row>
    <row r="2055" spans="1:2" x14ac:dyDescent="0.25">
      <c r="A2055" s="4">
        <v>34793</v>
      </c>
      <c r="B2055" s="6">
        <v>18.03</v>
      </c>
    </row>
    <row r="2056" spans="1:2" x14ac:dyDescent="0.25">
      <c r="A2056" s="4">
        <v>34794</v>
      </c>
      <c r="B2056" s="6">
        <v>18.350000000000001</v>
      </c>
    </row>
    <row r="2057" spans="1:2" x14ac:dyDescent="0.25">
      <c r="A2057" s="4">
        <v>34795</v>
      </c>
      <c r="B2057" s="6">
        <v>18.5</v>
      </c>
    </row>
    <row r="2058" spans="1:2" x14ac:dyDescent="0.25">
      <c r="A2058" s="4">
        <v>34796</v>
      </c>
      <c r="B2058" s="6">
        <v>18.45</v>
      </c>
    </row>
    <row r="2059" spans="1:2" x14ac:dyDescent="0.25">
      <c r="A2059" s="4">
        <v>34799</v>
      </c>
      <c r="B2059" s="6">
        <v>18.149999999999999</v>
      </c>
    </row>
    <row r="2060" spans="1:2" x14ac:dyDescent="0.25">
      <c r="A2060" s="4">
        <v>34800</v>
      </c>
      <c r="B2060" s="6">
        <v>18.63</v>
      </c>
    </row>
    <row r="2061" spans="1:2" x14ac:dyDescent="0.25">
      <c r="A2061" s="4">
        <v>34801</v>
      </c>
      <c r="B2061" s="6">
        <v>18.73</v>
      </c>
    </row>
    <row r="2062" spans="1:2" x14ac:dyDescent="0.25">
      <c r="A2062" s="4">
        <v>34802</v>
      </c>
      <c r="B2062" s="6">
        <v>17.98</v>
      </c>
    </row>
    <row r="2063" spans="1:2" x14ac:dyDescent="0.25">
      <c r="A2063" s="4">
        <v>34803</v>
      </c>
      <c r="B2063" s="5"/>
    </row>
    <row r="2064" spans="1:2" x14ac:dyDescent="0.25">
      <c r="A2064" s="4">
        <v>34806</v>
      </c>
      <c r="B2064" s="5"/>
    </row>
    <row r="2065" spans="1:2" x14ac:dyDescent="0.25">
      <c r="A2065" s="4">
        <v>34807</v>
      </c>
      <c r="B2065" s="6">
        <v>18.55</v>
      </c>
    </row>
    <row r="2066" spans="1:2" x14ac:dyDescent="0.25">
      <c r="A2066" s="4">
        <v>34808</v>
      </c>
      <c r="B2066" s="6">
        <v>18.73</v>
      </c>
    </row>
    <row r="2067" spans="1:2" x14ac:dyDescent="0.25">
      <c r="A2067" s="4">
        <v>34809</v>
      </c>
      <c r="B2067" s="6">
        <v>19.149999999999999</v>
      </c>
    </row>
    <row r="2068" spans="1:2" x14ac:dyDescent="0.25">
      <c r="A2068" s="4">
        <v>34810</v>
      </c>
      <c r="B2068" s="6">
        <v>19.18</v>
      </c>
    </row>
    <row r="2069" spans="1:2" x14ac:dyDescent="0.25">
      <c r="A2069" s="4">
        <v>34813</v>
      </c>
      <c r="B2069" s="6">
        <v>19.05</v>
      </c>
    </row>
    <row r="2070" spans="1:2" x14ac:dyDescent="0.25">
      <c r="A2070" s="4">
        <v>34814</v>
      </c>
      <c r="B2070" s="6">
        <v>19.350000000000001</v>
      </c>
    </row>
    <row r="2071" spans="1:2" x14ac:dyDescent="0.25">
      <c r="A2071" s="4">
        <v>34815</v>
      </c>
      <c r="B2071" s="6">
        <v>18.899999999999999</v>
      </c>
    </row>
    <row r="2072" spans="1:2" x14ac:dyDescent="0.25">
      <c r="A2072" s="4">
        <v>34816</v>
      </c>
      <c r="B2072" s="6">
        <v>19.079999999999998</v>
      </c>
    </row>
    <row r="2073" spans="1:2" x14ac:dyDescent="0.25">
      <c r="A2073" s="4">
        <v>34817</v>
      </c>
      <c r="B2073" s="6">
        <v>18.98</v>
      </c>
    </row>
    <row r="2074" spans="1:2" x14ac:dyDescent="0.25">
      <c r="A2074" s="4">
        <v>34820</v>
      </c>
      <c r="B2074" s="6">
        <v>19.38</v>
      </c>
    </row>
    <row r="2075" spans="1:2" x14ac:dyDescent="0.25">
      <c r="A2075" s="4">
        <v>34821</v>
      </c>
      <c r="B2075" s="6">
        <v>18.829999999999998</v>
      </c>
    </row>
    <row r="2076" spans="1:2" x14ac:dyDescent="0.25">
      <c r="A2076" s="4">
        <v>34822</v>
      </c>
      <c r="B2076" s="6">
        <v>18.329999999999998</v>
      </c>
    </row>
    <row r="2077" spans="1:2" x14ac:dyDescent="0.25">
      <c r="A2077" s="4">
        <v>34823</v>
      </c>
      <c r="B2077" s="6">
        <v>18.68</v>
      </c>
    </row>
    <row r="2078" spans="1:2" x14ac:dyDescent="0.25">
      <c r="A2078" s="4">
        <v>34824</v>
      </c>
      <c r="B2078" s="6">
        <v>18.850000000000001</v>
      </c>
    </row>
    <row r="2079" spans="1:2" x14ac:dyDescent="0.25">
      <c r="A2079" s="4">
        <v>34827</v>
      </c>
      <c r="B2079" s="6">
        <v>18.78</v>
      </c>
    </row>
    <row r="2080" spans="1:2" x14ac:dyDescent="0.25">
      <c r="A2080" s="4">
        <v>34828</v>
      </c>
      <c r="B2080" s="6">
        <v>18.12</v>
      </c>
    </row>
    <row r="2081" spans="1:2" x14ac:dyDescent="0.25">
      <c r="A2081" s="4">
        <v>34829</v>
      </c>
      <c r="B2081" s="6">
        <v>18.100000000000001</v>
      </c>
    </row>
    <row r="2082" spans="1:2" x14ac:dyDescent="0.25">
      <c r="A2082" s="4">
        <v>34830</v>
      </c>
      <c r="B2082" s="6">
        <v>18.079999999999998</v>
      </c>
    </row>
    <row r="2083" spans="1:2" x14ac:dyDescent="0.25">
      <c r="A2083" s="4">
        <v>34831</v>
      </c>
      <c r="B2083" s="6">
        <v>18.23</v>
      </c>
    </row>
    <row r="2084" spans="1:2" x14ac:dyDescent="0.25">
      <c r="A2084" s="4">
        <v>34834</v>
      </c>
      <c r="B2084" s="6">
        <v>18.43</v>
      </c>
    </row>
    <row r="2085" spans="1:2" x14ac:dyDescent="0.25">
      <c r="A2085" s="4">
        <v>34835</v>
      </c>
      <c r="B2085" s="6">
        <v>18.53</v>
      </c>
    </row>
    <row r="2086" spans="1:2" x14ac:dyDescent="0.25">
      <c r="A2086" s="4">
        <v>34836</v>
      </c>
      <c r="B2086" s="6">
        <v>18.5</v>
      </c>
    </row>
    <row r="2087" spans="1:2" x14ac:dyDescent="0.25">
      <c r="A2087" s="4">
        <v>34837</v>
      </c>
      <c r="B2087" s="6">
        <v>18.23</v>
      </c>
    </row>
    <row r="2088" spans="1:2" x14ac:dyDescent="0.25">
      <c r="A2088" s="4">
        <v>34838</v>
      </c>
      <c r="B2088" s="6">
        <v>18.43</v>
      </c>
    </row>
    <row r="2089" spans="1:2" x14ac:dyDescent="0.25">
      <c r="A2089" s="4">
        <v>34841</v>
      </c>
      <c r="B2089" s="6">
        <v>18.38</v>
      </c>
    </row>
    <row r="2090" spans="1:2" x14ac:dyDescent="0.25">
      <c r="A2090" s="4">
        <v>34842</v>
      </c>
      <c r="B2090" s="6">
        <v>18.48</v>
      </c>
    </row>
    <row r="2091" spans="1:2" x14ac:dyDescent="0.25">
      <c r="A2091" s="4">
        <v>34843</v>
      </c>
      <c r="B2091" s="6">
        <v>18.55</v>
      </c>
    </row>
    <row r="2092" spans="1:2" x14ac:dyDescent="0.25">
      <c r="A2092" s="4">
        <v>34844</v>
      </c>
      <c r="B2092" s="6">
        <v>18</v>
      </c>
    </row>
    <row r="2093" spans="1:2" x14ac:dyDescent="0.25">
      <c r="A2093" s="4">
        <v>34845</v>
      </c>
      <c r="B2093" s="6">
        <v>17.8</v>
      </c>
    </row>
    <row r="2094" spans="1:2" x14ac:dyDescent="0.25">
      <c r="A2094" s="4">
        <v>34848</v>
      </c>
      <c r="B2094" s="5"/>
    </row>
    <row r="2095" spans="1:2" x14ac:dyDescent="0.25">
      <c r="A2095" s="4">
        <v>34849</v>
      </c>
      <c r="B2095" s="6">
        <v>17.43</v>
      </c>
    </row>
    <row r="2096" spans="1:2" x14ac:dyDescent="0.25">
      <c r="A2096" s="4">
        <v>34850</v>
      </c>
      <c r="B2096" s="6">
        <v>17.579999999999998</v>
      </c>
    </row>
    <row r="2097" spans="1:2" x14ac:dyDescent="0.25">
      <c r="A2097" s="4">
        <v>34851</v>
      </c>
      <c r="B2097" s="6">
        <v>17.7</v>
      </c>
    </row>
    <row r="2098" spans="1:2" x14ac:dyDescent="0.25">
      <c r="A2098" s="4">
        <v>34852</v>
      </c>
      <c r="B2098" s="6">
        <v>17.899999999999999</v>
      </c>
    </row>
    <row r="2099" spans="1:2" x14ac:dyDescent="0.25">
      <c r="A2099" s="4">
        <v>34855</v>
      </c>
      <c r="B2099" s="6">
        <v>18.23</v>
      </c>
    </row>
    <row r="2100" spans="1:2" x14ac:dyDescent="0.25">
      <c r="A2100" s="4">
        <v>34856</v>
      </c>
      <c r="B2100" s="6">
        <v>17.95</v>
      </c>
    </row>
    <row r="2101" spans="1:2" x14ac:dyDescent="0.25">
      <c r="A2101" s="4">
        <v>34857</v>
      </c>
      <c r="B2101" s="6">
        <v>18.13</v>
      </c>
    </row>
    <row r="2102" spans="1:2" x14ac:dyDescent="0.25">
      <c r="A2102" s="4">
        <v>34858</v>
      </c>
      <c r="B2102" s="6">
        <v>17.93</v>
      </c>
    </row>
    <row r="2103" spans="1:2" x14ac:dyDescent="0.25">
      <c r="A2103" s="4">
        <v>34859</v>
      </c>
      <c r="B2103" s="6">
        <v>17.68</v>
      </c>
    </row>
    <row r="2104" spans="1:2" x14ac:dyDescent="0.25">
      <c r="A2104" s="4">
        <v>34862</v>
      </c>
      <c r="B2104" s="6">
        <v>17.63</v>
      </c>
    </row>
    <row r="2105" spans="1:2" x14ac:dyDescent="0.25">
      <c r="A2105" s="4">
        <v>34863</v>
      </c>
      <c r="B2105" s="6">
        <v>17.829999999999998</v>
      </c>
    </row>
    <row r="2106" spans="1:2" x14ac:dyDescent="0.25">
      <c r="A2106" s="4">
        <v>34864</v>
      </c>
      <c r="B2106" s="6">
        <v>17.63</v>
      </c>
    </row>
    <row r="2107" spans="1:2" x14ac:dyDescent="0.25">
      <c r="A2107" s="4">
        <v>34865</v>
      </c>
      <c r="B2107" s="6">
        <v>17.95</v>
      </c>
    </row>
    <row r="2108" spans="1:2" x14ac:dyDescent="0.25">
      <c r="A2108" s="4">
        <v>34866</v>
      </c>
      <c r="B2108" s="6">
        <v>17.75</v>
      </c>
    </row>
    <row r="2109" spans="1:2" x14ac:dyDescent="0.25">
      <c r="A2109" s="4">
        <v>34869</v>
      </c>
      <c r="B2109" s="6">
        <v>16.93</v>
      </c>
    </row>
    <row r="2110" spans="1:2" x14ac:dyDescent="0.25">
      <c r="A2110" s="4">
        <v>34870</v>
      </c>
      <c r="B2110" s="6">
        <v>16.98</v>
      </c>
    </row>
    <row r="2111" spans="1:2" x14ac:dyDescent="0.25">
      <c r="A2111" s="4">
        <v>34871</v>
      </c>
      <c r="B2111" s="6">
        <v>16.5</v>
      </c>
    </row>
    <row r="2112" spans="1:2" x14ac:dyDescent="0.25">
      <c r="A2112" s="4">
        <v>34872</v>
      </c>
      <c r="B2112" s="6">
        <v>16.55</v>
      </c>
    </row>
    <row r="2113" spans="1:2" x14ac:dyDescent="0.25">
      <c r="A2113" s="4">
        <v>34873</v>
      </c>
      <c r="B2113" s="6">
        <v>16.399999999999999</v>
      </c>
    </row>
    <row r="2114" spans="1:2" x14ac:dyDescent="0.25">
      <c r="A2114" s="4">
        <v>34876</v>
      </c>
      <c r="B2114" s="6">
        <v>16.55</v>
      </c>
    </row>
    <row r="2115" spans="1:2" x14ac:dyDescent="0.25">
      <c r="A2115" s="4">
        <v>34877</v>
      </c>
      <c r="B2115" s="6">
        <v>16.63</v>
      </c>
    </row>
    <row r="2116" spans="1:2" x14ac:dyDescent="0.25">
      <c r="A2116" s="4">
        <v>34878</v>
      </c>
      <c r="B2116" s="6">
        <v>16.95</v>
      </c>
    </row>
    <row r="2117" spans="1:2" x14ac:dyDescent="0.25">
      <c r="A2117" s="4">
        <v>34879</v>
      </c>
      <c r="B2117" s="6">
        <v>16.5</v>
      </c>
    </row>
    <row r="2118" spans="1:2" x14ac:dyDescent="0.25">
      <c r="A2118" s="4">
        <v>34880</v>
      </c>
      <c r="B2118" s="6">
        <v>16.579999999999998</v>
      </c>
    </row>
    <row r="2119" spans="1:2" x14ac:dyDescent="0.25">
      <c r="A2119" s="4">
        <v>34883</v>
      </c>
      <c r="B2119" s="6">
        <v>16.350000000000001</v>
      </c>
    </row>
    <row r="2120" spans="1:2" x14ac:dyDescent="0.25">
      <c r="A2120" s="4">
        <v>34884</v>
      </c>
      <c r="B2120" s="6">
        <v>15.93</v>
      </c>
    </row>
    <row r="2121" spans="1:2" x14ac:dyDescent="0.25">
      <c r="A2121" s="4">
        <v>34885</v>
      </c>
      <c r="B2121" s="6">
        <v>16</v>
      </c>
    </row>
    <row r="2122" spans="1:2" x14ac:dyDescent="0.25">
      <c r="A2122" s="4">
        <v>34886</v>
      </c>
      <c r="B2122" s="6">
        <v>16.149999999999999</v>
      </c>
    </row>
    <row r="2123" spans="1:2" x14ac:dyDescent="0.25">
      <c r="A2123" s="4">
        <v>34887</v>
      </c>
      <c r="B2123" s="6">
        <v>16.100000000000001</v>
      </c>
    </row>
    <row r="2124" spans="1:2" x14ac:dyDescent="0.25">
      <c r="A2124" s="4">
        <v>34890</v>
      </c>
      <c r="B2124" s="6">
        <v>15.88</v>
      </c>
    </row>
    <row r="2125" spans="1:2" x14ac:dyDescent="0.25">
      <c r="A2125" s="4">
        <v>34891</v>
      </c>
      <c r="B2125" s="6">
        <v>15.93</v>
      </c>
    </row>
    <row r="2126" spans="1:2" x14ac:dyDescent="0.25">
      <c r="A2126" s="4">
        <v>34892</v>
      </c>
      <c r="B2126" s="6">
        <v>16.03</v>
      </c>
    </row>
    <row r="2127" spans="1:2" x14ac:dyDescent="0.25">
      <c r="A2127" s="4">
        <v>34893</v>
      </c>
      <c r="B2127" s="6">
        <v>15.98</v>
      </c>
    </row>
    <row r="2128" spans="1:2" x14ac:dyDescent="0.25">
      <c r="A2128" s="4">
        <v>34894</v>
      </c>
      <c r="B2128" s="6">
        <v>15.8</v>
      </c>
    </row>
    <row r="2129" spans="1:2" x14ac:dyDescent="0.25">
      <c r="A2129" s="4">
        <v>34897</v>
      </c>
      <c r="B2129" s="6">
        <v>15.73</v>
      </c>
    </row>
    <row r="2130" spans="1:2" x14ac:dyDescent="0.25">
      <c r="A2130" s="4">
        <v>34898</v>
      </c>
      <c r="B2130" s="6">
        <v>15.68</v>
      </c>
    </row>
    <row r="2131" spans="1:2" x14ac:dyDescent="0.25">
      <c r="A2131" s="4">
        <v>34899</v>
      </c>
      <c r="B2131" s="6">
        <v>15.8</v>
      </c>
    </row>
    <row r="2132" spans="1:2" x14ac:dyDescent="0.25">
      <c r="A2132" s="4">
        <v>34900</v>
      </c>
      <c r="B2132" s="6">
        <v>15.68</v>
      </c>
    </row>
    <row r="2133" spans="1:2" x14ac:dyDescent="0.25">
      <c r="A2133" s="4">
        <v>34901</v>
      </c>
      <c r="B2133" s="6">
        <v>15.35</v>
      </c>
    </row>
    <row r="2134" spans="1:2" x14ac:dyDescent="0.25">
      <c r="A2134" s="4">
        <v>34904</v>
      </c>
      <c r="B2134" s="6">
        <v>15.38</v>
      </c>
    </row>
    <row r="2135" spans="1:2" x14ac:dyDescent="0.25">
      <c r="A2135" s="4">
        <v>34905</v>
      </c>
      <c r="B2135" s="6">
        <v>15.48</v>
      </c>
    </row>
    <row r="2136" spans="1:2" x14ac:dyDescent="0.25">
      <c r="A2136" s="4">
        <v>34906</v>
      </c>
      <c r="B2136" s="6">
        <v>16</v>
      </c>
    </row>
    <row r="2137" spans="1:2" x14ac:dyDescent="0.25">
      <c r="A2137" s="4">
        <v>34907</v>
      </c>
      <c r="B2137" s="6">
        <v>15.98</v>
      </c>
    </row>
    <row r="2138" spans="1:2" x14ac:dyDescent="0.25">
      <c r="A2138" s="4">
        <v>34908</v>
      </c>
      <c r="B2138" s="6">
        <v>15.93</v>
      </c>
    </row>
    <row r="2139" spans="1:2" x14ac:dyDescent="0.25">
      <c r="A2139" s="4">
        <v>34911</v>
      </c>
      <c r="B2139" s="6">
        <v>15.78</v>
      </c>
    </row>
    <row r="2140" spans="1:2" x14ac:dyDescent="0.25">
      <c r="A2140" s="4">
        <v>34912</v>
      </c>
      <c r="B2140" s="6">
        <v>16.100000000000001</v>
      </c>
    </row>
    <row r="2141" spans="1:2" x14ac:dyDescent="0.25">
      <c r="A2141" s="4">
        <v>34913</v>
      </c>
      <c r="B2141" s="6">
        <v>16.13</v>
      </c>
    </row>
    <row r="2142" spans="1:2" x14ac:dyDescent="0.25">
      <c r="A2142" s="4">
        <v>34914</v>
      </c>
      <c r="B2142" s="6">
        <v>15.99</v>
      </c>
    </row>
    <row r="2143" spans="1:2" x14ac:dyDescent="0.25">
      <c r="A2143" s="4">
        <v>34915</v>
      </c>
      <c r="B2143" s="6">
        <v>16.079999999999998</v>
      </c>
    </row>
    <row r="2144" spans="1:2" x14ac:dyDescent="0.25">
      <c r="A2144" s="4">
        <v>34918</v>
      </c>
      <c r="B2144" s="6">
        <v>15.9</v>
      </c>
    </row>
    <row r="2145" spans="1:2" x14ac:dyDescent="0.25">
      <c r="A2145" s="4">
        <v>34919</v>
      </c>
      <c r="B2145" s="6">
        <v>16</v>
      </c>
    </row>
    <row r="2146" spans="1:2" x14ac:dyDescent="0.25">
      <c r="A2146" s="4">
        <v>34920</v>
      </c>
      <c r="B2146" s="6">
        <v>16.13</v>
      </c>
    </row>
    <row r="2147" spans="1:2" x14ac:dyDescent="0.25">
      <c r="A2147" s="4">
        <v>34921</v>
      </c>
      <c r="B2147" s="6">
        <v>16.079999999999998</v>
      </c>
    </row>
    <row r="2148" spans="1:2" x14ac:dyDescent="0.25">
      <c r="A2148" s="4">
        <v>34922</v>
      </c>
      <c r="B2148" s="6">
        <v>16.23</v>
      </c>
    </row>
    <row r="2149" spans="1:2" x14ac:dyDescent="0.25">
      <c r="A2149" s="4">
        <v>34925</v>
      </c>
      <c r="B2149" s="6">
        <v>15.93</v>
      </c>
    </row>
    <row r="2150" spans="1:2" x14ac:dyDescent="0.25">
      <c r="A2150" s="4">
        <v>34926</v>
      </c>
      <c r="B2150" s="6">
        <v>15.85</v>
      </c>
    </row>
    <row r="2151" spans="1:2" x14ac:dyDescent="0.25">
      <c r="A2151" s="4">
        <v>34927</v>
      </c>
      <c r="B2151" s="6">
        <v>15.78</v>
      </c>
    </row>
    <row r="2152" spans="1:2" x14ac:dyDescent="0.25">
      <c r="A2152" s="4">
        <v>34928</v>
      </c>
      <c r="B2152" s="6">
        <v>15.85</v>
      </c>
    </row>
    <row r="2153" spans="1:2" x14ac:dyDescent="0.25">
      <c r="A2153" s="4">
        <v>34929</v>
      </c>
      <c r="B2153" s="6">
        <v>16.03</v>
      </c>
    </row>
    <row r="2154" spans="1:2" x14ac:dyDescent="0.25">
      <c r="A2154" s="4">
        <v>34932</v>
      </c>
      <c r="B2154" s="6">
        <v>16.25</v>
      </c>
    </row>
    <row r="2155" spans="1:2" x14ac:dyDescent="0.25">
      <c r="A2155" s="4">
        <v>34933</v>
      </c>
      <c r="B2155" s="6">
        <v>16.23</v>
      </c>
    </row>
    <row r="2156" spans="1:2" x14ac:dyDescent="0.25">
      <c r="A2156" s="4">
        <v>34934</v>
      </c>
      <c r="B2156" s="6">
        <v>16.5</v>
      </c>
    </row>
    <row r="2157" spans="1:2" x14ac:dyDescent="0.25">
      <c r="A2157" s="4">
        <v>34935</v>
      </c>
      <c r="B2157" s="6">
        <v>16.3</v>
      </c>
    </row>
    <row r="2158" spans="1:2" x14ac:dyDescent="0.25">
      <c r="A2158" s="4">
        <v>34936</v>
      </c>
      <c r="B2158" s="6">
        <v>16.149999999999999</v>
      </c>
    </row>
    <row r="2159" spans="1:2" x14ac:dyDescent="0.25">
      <c r="A2159" s="4">
        <v>34939</v>
      </c>
      <c r="B2159" s="5"/>
    </row>
    <row r="2160" spans="1:2" x14ac:dyDescent="0.25">
      <c r="A2160" s="4">
        <v>34940</v>
      </c>
      <c r="B2160" s="6">
        <v>16.23</v>
      </c>
    </row>
    <row r="2161" spans="1:2" x14ac:dyDescent="0.25">
      <c r="A2161" s="4">
        <v>34941</v>
      </c>
      <c r="B2161" s="6">
        <v>16.18</v>
      </c>
    </row>
    <row r="2162" spans="1:2" x14ac:dyDescent="0.25">
      <c r="A2162" s="4">
        <v>34942</v>
      </c>
      <c r="B2162" s="6">
        <v>16.2</v>
      </c>
    </row>
    <row r="2163" spans="1:2" x14ac:dyDescent="0.25">
      <c r="A2163" s="4">
        <v>34943</v>
      </c>
      <c r="B2163" s="6">
        <v>16.25</v>
      </c>
    </row>
    <row r="2164" spans="1:2" x14ac:dyDescent="0.25">
      <c r="A2164" s="4">
        <v>34946</v>
      </c>
      <c r="B2164" s="6">
        <v>16.62</v>
      </c>
    </row>
    <row r="2165" spans="1:2" x14ac:dyDescent="0.25">
      <c r="A2165" s="4">
        <v>34947</v>
      </c>
      <c r="B2165" s="6">
        <v>16.68</v>
      </c>
    </row>
    <row r="2166" spans="1:2" x14ac:dyDescent="0.25">
      <c r="A2166" s="4">
        <v>34948</v>
      </c>
      <c r="B2166" s="6">
        <v>16.63</v>
      </c>
    </row>
    <row r="2167" spans="1:2" x14ac:dyDescent="0.25">
      <c r="A2167" s="4">
        <v>34949</v>
      </c>
      <c r="B2167" s="6">
        <v>16.600000000000001</v>
      </c>
    </row>
    <row r="2168" spans="1:2" x14ac:dyDescent="0.25">
      <c r="A2168" s="4">
        <v>34950</v>
      </c>
      <c r="B2168" s="6">
        <v>16.93</v>
      </c>
    </row>
    <row r="2169" spans="1:2" x14ac:dyDescent="0.25">
      <c r="A2169" s="4">
        <v>34953</v>
      </c>
      <c r="B2169" s="6">
        <v>16.75</v>
      </c>
    </row>
    <row r="2170" spans="1:2" x14ac:dyDescent="0.25">
      <c r="A2170" s="4">
        <v>34954</v>
      </c>
      <c r="B2170" s="6">
        <v>16.899999999999999</v>
      </c>
    </row>
    <row r="2171" spans="1:2" x14ac:dyDescent="0.25">
      <c r="A2171" s="4">
        <v>34955</v>
      </c>
      <c r="B2171" s="6">
        <v>16.850000000000001</v>
      </c>
    </row>
    <row r="2172" spans="1:2" x14ac:dyDescent="0.25">
      <c r="A2172" s="4">
        <v>34956</v>
      </c>
      <c r="B2172" s="6">
        <v>17</v>
      </c>
    </row>
    <row r="2173" spans="1:2" x14ac:dyDescent="0.25">
      <c r="A2173" s="4">
        <v>34957</v>
      </c>
      <c r="B2173" s="6">
        <v>17.18</v>
      </c>
    </row>
    <row r="2174" spans="1:2" x14ac:dyDescent="0.25">
      <c r="A2174" s="4">
        <v>34960</v>
      </c>
      <c r="B2174" s="6">
        <v>17.23</v>
      </c>
    </row>
    <row r="2175" spans="1:2" x14ac:dyDescent="0.25">
      <c r="A2175" s="4">
        <v>34961</v>
      </c>
      <c r="B2175" s="6">
        <v>17.23</v>
      </c>
    </row>
    <row r="2176" spans="1:2" x14ac:dyDescent="0.25">
      <c r="A2176" s="4">
        <v>34962</v>
      </c>
      <c r="B2176" s="6">
        <v>17</v>
      </c>
    </row>
    <row r="2177" spans="1:2" x14ac:dyDescent="0.25">
      <c r="A2177" s="4">
        <v>34963</v>
      </c>
      <c r="B2177" s="6">
        <v>16.600000000000001</v>
      </c>
    </row>
    <row r="2178" spans="1:2" x14ac:dyDescent="0.25">
      <c r="A2178" s="4">
        <v>34964</v>
      </c>
      <c r="B2178" s="6">
        <v>16.399999999999999</v>
      </c>
    </row>
    <row r="2179" spans="1:2" x14ac:dyDescent="0.25">
      <c r="A2179" s="4">
        <v>34967</v>
      </c>
      <c r="B2179" s="6">
        <v>16.18</v>
      </c>
    </row>
    <row r="2180" spans="1:2" x14ac:dyDescent="0.25">
      <c r="A2180" s="4">
        <v>34968</v>
      </c>
      <c r="B2180" s="6">
        <v>16.149999999999999</v>
      </c>
    </row>
    <row r="2181" spans="1:2" x14ac:dyDescent="0.25">
      <c r="A2181" s="4">
        <v>34969</v>
      </c>
      <c r="B2181" s="6">
        <v>16.28</v>
      </c>
    </row>
    <row r="2182" spans="1:2" x14ac:dyDescent="0.25">
      <c r="A2182" s="4">
        <v>34970</v>
      </c>
      <c r="B2182" s="6">
        <v>16.649999999999999</v>
      </c>
    </row>
    <row r="2183" spans="1:2" x14ac:dyDescent="0.25">
      <c r="A2183" s="4">
        <v>34971</v>
      </c>
      <c r="B2183" s="6">
        <v>16.579999999999998</v>
      </c>
    </row>
    <row r="2184" spans="1:2" x14ac:dyDescent="0.25">
      <c r="A2184" s="4">
        <v>34974</v>
      </c>
      <c r="B2184" s="6">
        <v>16.55</v>
      </c>
    </row>
    <row r="2185" spans="1:2" x14ac:dyDescent="0.25">
      <c r="A2185" s="4">
        <v>34975</v>
      </c>
      <c r="B2185" s="6">
        <v>16.579999999999998</v>
      </c>
    </row>
    <row r="2186" spans="1:2" x14ac:dyDescent="0.25">
      <c r="A2186" s="4">
        <v>34976</v>
      </c>
      <c r="B2186" s="6">
        <v>16.399999999999999</v>
      </c>
    </row>
    <row r="2187" spans="1:2" x14ac:dyDescent="0.25">
      <c r="A2187" s="4">
        <v>34977</v>
      </c>
      <c r="B2187" s="6">
        <v>15.85</v>
      </c>
    </row>
    <row r="2188" spans="1:2" x14ac:dyDescent="0.25">
      <c r="A2188" s="4">
        <v>34978</v>
      </c>
      <c r="B2188" s="6">
        <v>15.75</v>
      </c>
    </row>
    <row r="2189" spans="1:2" x14ac:dyDescent="0.25">
      <c r="A2189" s="4">
        <v>34981</v>
      </c>
      <c r="B2189" s="6">
        <v>16</v>
      </c>
    </row>
    <row r="2190" spans="1:2" x14ac:dyDescent="0.25">
      <c r="A2190" s="4">
        <v>34982</v>
      </c>
      <c r="B2190" s="6">
        <v>15.95</v>
      </c>
    </row>
    <row r="2191" spans="1:2" x14ac:dyDescent="0.25">
      <c r="A2191" s="4">
        <v>34983</v>
      </c>
      <c r="B2191" s="6">
        <v>16.05</v>
      </c>
    </row>
    <row r="2192" spans="1:2" x14ac:dyDescent="0.25">
      <c r="A2192" s="4">
        <v>34984</v>
      </c>
      <c r="B2192" s="6">
        <v>15.9</v>
      </c>
    </row>
    <row r="2193" spans="1:2" x14ac:dyDescent="0.25">
      <c r="A2193" s="4">
        <v>34985</v>
      </c>
      <c r="B2193" s="6">
        <v>15.98</v>
      </c>
    </row>
    <row r="2194" spans="1:2" x14ac:dyDescent="0.25">
      <c r="A2194" s="4">
        <v>34988</v>
      </c>
      <c r="B2194" s="6">
        <v>16.149999999999999</v>
      </c>
    </row>
    <row r="2195" spans="1:2" x14ac:dyDescent="0.25">
      <c r="A2195" s="4">
        <v>34989</v>
      </c>
      <c r="B2195" s="6">
        <v>16.03</v>
      </c>
    </row>
    <row r="2196" spans="1:2" x14ac:dyDescent="0.25">
      <c r="A2196" s="4">
        <v>34990</v>
      </c>
      <c r="B2196" s="6">
        <v>15.98</v>
      </c>
    </row>
    <row r="2197" spans="1:2" x14ac:dyDescent="0.25">
      <c r="A2197" s="4">
        <v>34991</v>
      </c>
      <c r="B2197" s="6">
        <v>15.85</v>
      </c>
    </row>
    <row r="2198" spans="1:2" x14ac:dyDescent="0.25">
      <c r="A2198" s="4">
        <v>34992</v>
      </c>
      <c r="B2198" s="6">
        <v>15.8</v>
      </c>
    </row>
    <row r="2199" spans="1:2" x14ac:dyDescent="0.25">
      <c r="A2199" s="4">
        <v>34995</v>
      </c>
      <c r="B2199" s="6">
        <v>15.88</v>
      </c>
    </row>
    <row r="2200" spans="1:2" x14ac:dyDescent="0.25">
      <c r="A2200" s="4">
        <v>34996</v>
      </c>
      <c r="B2200" s="6">
        <v>16.079999999999998</v>
      </c>
    </row>
    <row r="2201" spans="1:2" x14ac:dyDescent="0.25">
      <c r="A2201" s="4">
        <v>34997</v>
      </c>
      <c r="B2201" s="6">
        <v>15.98</v>
      </c>
    </row>
    <row r="2202" spans="1:2" x14ac:dyDescent="0.25">
      <c r="A2202" s="4">
        <v>34998</v>
      </c>
      <c r="B2202" s="6">
        <v>16.3</v>
      </c>
    </row>
    <row r="2203" spans="1:2" x14ac:dyDescent="0.25">
      <c r="A2203" s="4">
        <v>34999</v>
      </c>
      <c r="B2203" s="6">
        <v>16.350000000000001</v>
      </c>
    </row>
    <row r="2204" spans="1:2" x14ac:dyDescent="0.25">
      <c r="A2204" s="4">
        <v>35002</v>
      </c>
      <c r="B2204" s="6">
        <v>16.45</v>
      </c>
    </row>
    <row r="2205" spans="1:2" x14ac:dyDescent="0.25">
      <c r="A2205" s="4">
        <v>35003</v>
      </c>
      <c r="B2205" s="6">
        <v>16.579999999999998</v>
      </c>
    </row>
    <row r="2206" spans="1:2" x14ac:dyDescent="0.25">
      <c r="A2206" s="4">
        <v>35004</v>
      </c>
      <c r="B2206" s="6">
        <v>16.53</v>
      </c>
    </row>
    <row r="2207" spans="1:2" x14ac:dyDescent="0.25">
      <c r="A2207" s="4">
        <v>35005</v>
      </c>
      <c r="B2207" s="6">
        <v>16.829999999999998</v>
      </c>
    </row>
    <row r="2208" spans="1:2" x14ac:dyDescent="0.25">
      <c r="A2208" s="4">
        <v>35006</v>
      </c>
      <c r="B2208" s="6">
        <v>16.88</v>
      </c>
    </row>
    <row r="2209" spans="1:2" x14ac:dyDescent="0.25">
      <c r="A2209" s="4">
        <v>35009</v>
      </c>
      <c r="B2209" s="6">
        <v>16.78</v>
      </c>
    </row>
    <row r="2210" spans="1:2" x14ac:dyDescent="0.25">
      <c r="A2210" s="4">
        <v>35010</v>
      </c>
      <c r="B2210" s="6">
        <v>16.7</v>
      </c>
    </row>
    <row r="2211" spans="1:2" x14ac:dyDescent="0.25">
      <c r="A2211" s="4">
        <v>35011</v>
      </c>
      <c r="B2211" s="6">
        <v>16.75</v>
      </c>
    </row>
    <row r="2212" spans="1:2" x14ac:dyDescent="0.25">
      <c r="A2212" s="4">
        <v>35012</v>
      </c>
      <c r="B2212" s="6">
        <v>16.899999999999999</v>
      </c>
    </row>
    <row r="2213" spans="1:2" x14ac:dyDescent="0.25">
      <c r="A2213" s="4">
        <v>35013</v>
      </c>
      <c r="B2213" s="6">
        <v>16.829999999999998</v>
      </c>
    </row>
    <row r="2214" spans="1:2" x14ac:dyDescent="0.25">
      <c r="A2214" s="4">
        <v>35016</v>
      </c>
      <c r="B2214" s="6">
        <v>16.63</v>
      </c>
    </row>
    <row r="2215" spans="1:2" x14ac:dyDescent="0.25">
      <c r="A2215" s="4">
        <v>35017</v>
      </c>
      <c r="B2215" s="6">
        <v>16.579999999999998</v>
      </c>
    </row>
    <row r="2216" spans="1:2" x14ac:dyDescent="0.25">
      <c r="A2216" s="4">
        <v>35018</v>
      </c>
      <c r="B2216" s="6">
        <v>16.73</v>
      </c>
    </row>
    <row r="2217" spans="1:2" x14ac:dyDescent="0.25">
      <c r="A2217" s="4">
        <v>35019</v>
      </c>
      <c r="B2217" s="6">
        <v>16.78</v>
      </c>
    </row>
    <row r="2218" spans="1:2" x14ac:dyDescent="0.25">
      <c r="A2218" s="4">
        <v>35020</v>
      </c>
      <c r="B2218" s="6">
        <v>17.03</v>
      </c>
    </row>
    <row r="2219" spans="1:2" x14ac:dyDescent="0.25">
      <c r="A2219" s="4">
        <v>35023</v>
      </c>
      <c r="B2219" s="6">
        <v>16.8</v>
      </c>
    </row>
    <row r="2220" spans="1:2" x14ac:dyDescent="0.25">
      <c r="A2220" s="4">
        <v>35024</v>
      </c>
      <c r="B2220" s="6">
        <v>16.600000000000001</v>
      </c>
    </row>
    <row r="2221" spans="1:2" x14ac:dyDescent="0.25">
      <c r="A2221" s="4">
        <v>35025</v>
      </c>
      <c r="B2221" s="6">
        <v>16.899999999999999</v>
      </c>
    </row>
    <row r="2222" spans="1:2" x14ac:dyDescent="0.25">
      <c r="A2222" s="4">
        <v>35026</v>
      </c>
      <c r="B2222" s="6">
        <v>16.88</v>
      </c>
    </row>
    <row r="2223" spans="1:2" x14ac:dyDescent="0.25">
      <c r="A2223" s="4">
        <v>35027</v>
      </c>
      <c r="B2223" s="6">
        <v>16.93</v>
      </c>
    </row>
    <row r="2224" spans="1:2" x14ac:dyDescent="0.25">
      <c r="A2224" s="4">
        <v>35030</v>
      </c>
      <c r="B2224" s="6">
        <v>17.2</v>
      </c>
    </row>
    <row r="2225" spans="1:2" x14ac:dyDescent="0.25">
      <c r="A2225" s="4">
        <v>35031</v>
      </c>
      <c r="B2225" s="6">
        <v>17.25</v>
      </c>
    </row>
    <row r="2226" spans="1:2" x14ac:dyDescent="0.25">
      <c r="A2226" s="4">
        <v>35032</v>
      </c>
      <c r="B2226" s="6">
        <v>17.3</v>
      </c>
    </row>
    <row r="2227" spans="1:2" x14ac:dyDescent="0.25">
      <c r="A2227" s="4">
        <v>35033</v>
      </c>
      <c r="B2227" s="6">
        <v>17.13</v>
      </c>
    </row>
    <row r="2228" spans="1:2" x14ac:dyDescent="0.25">
      <c r="A2228" s="4">
        <v>35034</v>
      </c>
      <c r="B2228" s="6">
        <v>17.18</v>
      </c>
    </row>
    <row r="2229" spans="1:2" x14ac:dyDescent="0.25">
      <c r="A2229" s="4">
        <v>35037</v>
      </c>
      <c r="B2229" s="6">
        <v>17.350000000000001</v>
      </c>
    </row>
    <row r="2230" spans="1:2" x14ac:dyDescent="0.25">
      <c r="A2230" s="4">
        <v>35038</v>
      </c>
      <c r="B2230" s="6">
        <v>17.53</v>
      </c>
    </row>
    <row r="2231" spans="1:2" x14ac:dyDescent="0.25">
      <c r="A2231" s="4">
        <v>35039</v>
      </c>
      <c r="B2231" s="6">
        <v>17.55</v>
      </c>
    </row>
    <row r="2232" spans="1:2" x14ac:dyDescent="0.25">
      <c r="A2232" s="4">
        <v>35040</v>
      </c>
      <c r="B2232" s="6">
        <v>17.48</v>
      </c>
    </row>
    <row r="2233" spans="1:2" x14ac:dyDescent="0.25">
      <c r="A2233" s="4">
        <v>35041</v>
      </c>
      <c r="B2233" s="6">
        <v>17.73</v>
      </c>
    </row>
    <row r="2234" spans="1:2" x14ac:dyDescent="0.25">
      <c r="A2234" s="4">
        <v>35044</v>
      </c>
      <c r="B2234" s="6">
        <v>17.68</v>
      </c>
    </row>
    <row r="2235" spans="1:2" x14ac:dyDescent="0.25">
      <c r="A2235" s="4">
        <v>35045</v>
      </c>
      <c r="B2235" s="6">
        <v>17.48</v>
      </c>
    </row>
    <row r="2236" spans="1:2" x14ac:dyDescent="0.25">
      <c r="A2236" s="4">
        <v>35046</v>
      </c>
      <c r="B2236" s="6">
        <v>17.7</v>
      </c>
    </row>
    <row r="2237" spans="1:2" x14ac:dyDescent="0.25">
      <c r="A2237" s="4">
        <v>35047</v>
      </c>
      <c r="B2237" s="6">
        <v>17.899999999999999</v>
      </c>
    </row>
    <row r="2238" spans="1:2" x14ac:dyDescent="0.25">
      <c r="A2238" s="4">
        <v>35048</v>
      </c>
      <c r="B2238" s="6">
        <v>18.149999999999999</v>
      </c>
    </row>
    <row r="2239" spans="1:2" x14ac:dyDescent="0.25">
      <c r="A2239" s="4">
        <v>35051</v>
      </c>
      <c r="B2239" s="6">
        <v>18.329999999999998</v>
      </c>
    </row>
    <row r="2240" spans="1:2" x14ac:dyDescent="0.25">
      <c r="A2240" s="4">
        <v>35052</v>
      </c>
      <c r="B2240" s="6">
        <v>18.03</v>
      </c>
    </row>
    <row r="2241" spans="1:2" x14ac:dyDescent="0.25">
      <c r="A2241" s="4">
        <v>35053</v>
      </c>
      <c r="B2241" s="6">
        <v>18.05</v>
      </c>
    </row>
    <row r="2242" spans="1:2" x14ac:dyDescent="0.25">
      <c r="A2242" s="4">
        <v>35054</v>
      </c>
      <c r="B2242" s="6">
        <v>18.100000000000001</v>
      </c>
    </row>
    <row r="2243" spans="1:2" x14ac:dyDescent="0.25">
      <c r="A2243" s="4">
        <v>35055</v>
      </c>
      <c r="B2243" s="6">
        <v>18.18</v>
      </c>
    </row>
    <row r="2244" spans="1:2" x14ac:dyDescent="0.25">
      <c r="A2244" s="4">
        <v>35058</v>
      </c>
      <c r="B2244" s="5"/>
    </row>
    <row r="2245" spans="1:2" x14ac:dyDescent="0.25">
      <c r="A2245" s="4">
        <v>35059</v>
      </c>
      <c r="B2245" s="5"/>
    </row>
    <row r="2246" spans="1:2" x14ac:dyDescent="0.25">
      <c r="A2246" s="4">
        <v>35060</v>
      </c>
      <c r="B2246" s="6">
        <v>18.73</v>
      </c>
    </row>
    <row r="2247" spans="1:2" x14ac:dyDescent="0.25">
      <c r="A2247" s="4">
        <v>35061</v>
      </c>
      <c r="B2247" s="6">
        <v>18.78</v>
      </c>
    </row>
    <row r="2248" spans="1:2" x14ac:dyDescent="0.25">
      <c r="A2248" s="4">
        <v>35062</v>
      </c>
      <c r="B2248" s="6">
        <v>18.649999999999999</v>
      </c>
    </row>
    <row r="2249" spans="1:2" x14ac:dyDescent="0.25">
      <c r="A2249" s="4">
        <v>35065</v>
      </c>
      <c r="B2249" s="5"/>
    </row>
    <row r="2250" spans="1:2" x14ac:dyDescent="0.25">
      <c r="A2250" s="4">
        <v>35066</v>
      </c>
      <c r="B2250" s="6">
        <v>18.95</v>
      </c>
    </row>
    <row r="2251" spans="1:2" x14ac:dyDescent="0.25">
      <c r="A2251" s="4">
        <v>35067</v>
      </c>
      <c r="B2251" s="6">
        <v>19.149999999999999</v>
      </c>
    </row>
    <row r="2252" spans="1:2" x14ac:dyDescent="0.25">
      <c r="A2252" s="4">
        <v>35068</v>
      </c>
      <c r="B2252" s="6">
        <v>19.13</v>
      </c>
    </row>
    <row r="2253" spans="1:2" x14ac:dyDescent="0.25">
      <c r="A2253" s="4">
        <v>35069</v>
      </c>
      <c r="B2253" s="6">
        <v>19.5</v>
      </c>
    </row>
    <row r="2254" spans="1:2" x14ac:dyDescent="0.25">
      <c r="A2254" s="4">
        <v>35072</v>
      </c>
      <c r="B2254" s="6">
        <v>19.68</v>
      </c>
    </row>
    <row r="2255" spans="1:2" x14ac:dyDescent="0.25">
      <c r="A2255" s="4">
        <v>35073</v>
      </c>
      <c r="B2255" s="6">
        <v>19.05</v>
      </c>
    </row>
    <row r="2256" spans="1:2" x14ac:dyDescent="0.25">
      <c r="A2256" s="4">
        <v>35074</v>
      </c>
      <c r="B2256" s="6">
        <v>18.48</v>
      </c>
    </row>
    <row r="2257" spans="1:2" x14ac:dyDescent="0.25">
      <c r="A2257" s="4">
        <v>35075</v>
      </c>
      <c r="B2257" s="6">
        <v>17.850000000000001</v>
      </c>
    </row>
    <row r="2258" spans="1:2" x14ac:dyDescent="0.25">
      <c r="A2258" s="4">
        <v>35076</v>
      </c>
      <c r="B2258" s="6">
        <v>17.579999999999998</v>
      </c>
    </row>
    <row r="2259" spans="1:2" x14ac:dyDescent="0.25">
      <c r="A2259" s="4">
        <v>35079</v>
      </c>
      <c r="B2259" s="6">
        <v>17.5</v>
      </c>
    </row>
    <row r="2260" spans="1:2" x14ac:dyDescent="0.25">
      <c r="A2260" s="4">
        <v>35080</v>
      </c>
      <c r="B2260" s="6">
        <v>17.73</v>
      </c>
    </row>
    <row r="2261" spans="1:2" x14ac:dyDescent="0.25">
      <c r="A2261" s="4">
        <v>35081</v>
      </c>
      <c r="B2261" s="6">
        <v>17.43</v>
      </c>
    </row>
    <row r="2262" spans="1:2" x14ac:dyDescent="0.25">
      <c r="A2262" s="4">
        <v>35082</v>
      </c>
      <c r="B2262" s="6">
        <v>17.88</v>
      </c>
    </row>
    <row r="2263" spans="1:2" x14ac:dyDescent="0.25">
      <c r="A2263" s="4">
        <v>35083</v>
      </c>
      <c r="B2263" s="6">
        <v>17.53</v>
      </c>
    </row>
    <row r="2264" spans="1:2" x14ac:dyDescent="0.25">
      <c r="A2264" s="4">
        <v>35086</v>
      </c>
      <c r="B2264" s="6">
        <v>17.53</v>
      </c>
    </row>
    <row r="2265" spans="1:2" x14ac:dyDescent="0.25">
      <c r="A2265" s="4">
        <v>35087</v>
      </c>
      <c r="B2265" s="6">
        <v>17.38</v>
      </c>
    </row>
    <row r="2266" spans="1:2" x14ac:dyDescent="0.25">
      <c r="A2266" s="4">
        <v>35088</v>
      </c>
      <c r="B2266" s="6">
        <v>17.329999999999998</v>
      </c>
    </row>
    <row r="2267" spans="1:2" x14ac:dyDescent="0.25">
      <c r="A2267" s="4">
        <v>35089</v>
      </c>
      <c r="B2267" s="6">
        <v>17</v>
      </c>
    </row>
    <row r="2268" spans="1:2" x14ac:dyDescent="0.25">
      <c r="A2268" s="4">
        <v>35090</v>
      </c>
      <c r="B2268" s="6">
        <v>16.7</v>
      </c>
    </row>
    <row r="2269" spans="1:2" x14ac:dyDescent="0.25">
      <c r="A2269" s="4">
        <v>35093</v>
      </c>
      <c r="B2269" s="6">
        <v>16.23</v>
      </c>
    </row>
    <row r="2270" spans="1:2" x14ac:dyDescent="0.25">
      <c r="A2270" s="4">
        <v>35094</v>
      </c>
      <c r="B2270" s="6">
        <v>16.53</v>
      </c>
    </row>
    <row r="2271" spans="1:2" x14ac:dyDescent="0.25">
      <c r="A2271" s="4">
        <v>35095</v>
      </c>
      <c r="B2271" s="6">
        <v>16.63</v>
      </c>
    </row>
    <row r="2272" spans="1:2" x14ac:dyDescent="0.25">
      <c r="A2272" s="4">
        <v>35096</v>
      </c>
      <c r="B2272" s="6">
        <v>16.78</v>
      </c>
    </row>
    <row r="2273" spans="1:2" x14ac:dyDescent="0.25">
      <c r="A2273" s="4">
        <v>35097</v>
      </c>
      <c r="B2273" s="6">
        <v>17.05</v>
      </c>
    </row>
    <row r="2274" spans="1:2" x14ac:dyDescent="0.25">
      <c r="A2274" s="4">
        <v>35100</v>
      </c>
      <c r="B2274" s="6">
        <v>16.93</v>
      </c>
    </row>
    <row r="2275" spans="1:2" x14ac:dyDescent="0.25">
      <c r="A2275" s="4">
        <v>35101</v>
      </c>
      <c r="B2275" s="6">
        <v>16.829999999999998</v>
      </c>
    </row>
    <row r="2276" spans="1:2" x14ac:dyDescent="0.25">
      <c r="A2276" s="4">
        <v>35102</v>
      </c>
      <c r="B2276" s="6">
        <v>16.93</v>
      </c>
    </row>
    <row r="2277" spans="1:2" x14ac:dyDescent="0.25">
      <c r="A2277" s="4">
        <v>35103</v>
      </c>
      <c r="B2277" s="6">
        <v>17.05</v>
      </c>
    </row>
    <row r="2278" spans="1:2" x14ac:dyDescent="0.25">
      <c r="A2278" s="4">
        <v>35104</v>
      </c>
      <c r="B2278" s="6">
        <v>17.23</v>
      </c>
    </row>
    <row r="2279" spans="1:2" x14ac:dyDescent="0.25">
      <c r="A2279" s="4">
        <v>35107</v>
      </c>
      <c r="B2279" s="6">
        <v>17.18</v>
      </c>
    </row>
    <row r="2280" spans="1:2" x14ac:dyDescent="0.25">
      <c r="A2280" s="4">
        <v>35108</v>
      </c>
      <c r="B2280" s="6">
        <v>18.079999999999998</v>
      </c>
    </row>
    <row r="2281" spans="1:2" x14ac:dyDescent="0.25">
      <c r="A2281" s="4">
        <v>35109</v>
      </c>
      <c r="B2281" s="6">
        <v>18.28</v>
      </c>
    </row>
    <row r="2282" spans="1:2" x14ac:dyDescent="0.25">
      <c r="A2282" s="4">
        <v>35110</v>
      </c>
      <c r="B2282" s="6">
        <v>18.18</v>
      </c>
    </row>
    <row r="2283" spans="1:2" x14ac:dyDescent="0.25">
      <c r="A2283" s="4">
        <v>35111</v>
      </c>
      <c r="B2283" s="6">
        <v>18.2</v>
      </c>
    </row>
    <row r="2284" spans="1:2" x14ac:dyDescent="0.25">
      <c r="A2284" s="4">
        <v>35114</v>
      </c>
      <c r="B2284" s="6">
        <v>18.2</v>
      </c>
    </row>
    <row r="2285" spans="1:2" x14ac:dyDescent="0.25">
      <c r="A2285" s="4">
        <v>35115</v>
      </c>
      <c r="B2285" s="6">
        <v>18.579999999999998</v>
      </c>
    </row>
    <row r="2286" spans="1:2" x14ac:dyDescent="0.25">
      <c r="A2286" s="4">
        <v>35116</v>
      </c>
      <c r="B2286" s="6">
        <v>19.05</v>
      </c>
    </row>
    <row r="2287" spans="1:2" x14ac:dyDescent="0.25">
      <c r="A2287" s="4">
        <v>35117</v>
      </c>
      <c r="B2287" s="6">
        <v>19.28</v>
      </c>
    </row>
    <row r="2288" spans="1:2" x14ac:dyDescent="0.25">
      <c r="A2288" s="4">
        <v>35118</v>
      </c>
      <c r="B2288" s="6">
        <v>18.850000000000001</v>
      </c>
    </row>
    <row r="2289" spans="1:2" x14ac:dyDescent="0.25">
      <c r="A2289" s="4">
        <v>35121</v>
      </c>
      <c r="B2289" s="6">
        <v>18.850000000000001</v>
      </c>
    </row>
    <row r="2290" spans="1:2" x14ac:dyDescent="0.25">
      <c r="A2290" s="4">
        <v>35122</v>
      </c>
      <c r="B2290" s="6">
        <v>19</v>
      </c>
    </row>
    <row r="2291" spans="1:2" x14ac:dyDescent="0.25">
      <c r="A2291" s="4">
        <v>35123</v>
      </c>
      <c r="B2291" s="6">
        <v>18.649999999999999</v>
      </c>
    </row>
    <row r="2292" spans="1:2" x14ac:dyDescent="0.25">
      <c r="A2292" s="4">
        <v>35124</v>
      </c>
      <c r="B2292" s="6">
        <v>18.8</v>
      </c>
    </row>
    <row r="2293" spans="1:2" x14ac:dyDescent="0.25">
      <c r="A2293" s="4">
        <v>35125</v>
      </c>
      <c r="B2293" s="6">
        <v>18.55</v>
      </c>
    </row>
    <row r="2294" spans="1:2" x14ac:dyDescent="0.25">
      <c r="A2294" s="4">
        <v>35128</v>
      </c>
      <c r="B2294" s="6">
        <v>18.399999999999999</v>
      </c>
    </row>
    <row r="2295" spans="1:2" x14ac:dyDescent="0.25">
      <c r="A2295" s="4">
        <v>35129</v>
      </c>
      <c r="B2295" s="6">
        <v>18.75</v>
      </c>
    </row>
    <row r="2296" spans="1:2" x14ac:dyDescent="0.25">
      <c r="A2296" s="4">
        <v>35130</v>
      </c>
      <c r="B2296" s="6">
        <v>19.18</v>
      </c>
    </row>
    <row r="2297" spans="1:2" x14ac:dyDescent="0.25">
      <c r="A2297" s="4">
        <v>35131</v>
      </c>
      <c r="B2297" s="6">
        <v>19.03</v>
      </c>
    </row>
    <row r="2298" spans="1:2" x14ac:dyDescent="0.25">
      <c r="A2298" s="4">
        <v>35132</v>
      </c>
      <c r="B2298" s="6">
        <v>18.850000000000001</v>
      </c>
    </row>
    <row r="2299" spans="1:2" x14ac:dyDescent="0.25">
      <c r="A2299" s="4">
        <v>35135</v>
      </c>
      <c r="B2299" s="6">
        <v>18.93</v>
      </c>
    </row>
    <row r="2300" spans="1:2" x14ac:dyDescent="0.25">
      <c r="A2300" s="4">
        <v>35136</v>
      </c>
      <c r="B2300" s="6">
        <v>19.3</v>
      </c>
    </row>
    <row r="2301" spans="1:2" x14ac:dyDescent="0.25">
      <c r="A2301" s="4">
        <v>35137</v>
      </c>
      <c r="B2301" s="6">
        <v>19.579999999999998</v>
      </c>
    </row>
    <row r="2302" spans="1:2" x14ac:dyDescent="0.25">
      <c r="A2302" s="4">
        <v>35138</v>
      </c>
      <c r="B2302" s="6">
        <v>19.399999999999999</v>
      </c>
    </row>
    <row r="2303" spans="1:2" x14ac:dyDescent="0.25">
      <c r="A2303" s="4">
        <v>35139</v>
      </c>
      <c r="B2303" s="6">
        <v>19.3</v>
      </c>
    </row>
    <row r="2304" spans="1:2" x14ac:dyDescent="0.25">
      <c r="A2304" s="4">
        <v>35142</v>
      </c>
      <c r="B2304" s="6">
        <v>20.5</v>
      </c>
    </row>
    <row r="2305" spans="1:2" x14ac:dyDescent="0.25">
      <c r="A2305" s="4">
        <v>35143</v>
      </c>
      <c r="B2305" s="6">
        <v>20.350000000000001</v>
      </c>
    </row>
    <row r="2306" spans="1:2" x14ac:dyDescent="0.25">
      <c r="A2306" s="4">
        <v>35144</v>
      </c>
      <c r="B2306" s="6">
        <v>20.38</v>
      </c>
    </row>
    <row r="2307" spans="1:2" x14ac:dyDescent="0.25">
      <c r="A2307" s="4">
        <v>35145</v>
      </c>
      <c r="B2307" s="6">
        <v>20.350000000000001</v>
      </c>
    </row>
    <row r="2308" spans="1:2" x14ac:dyDescent="0.25">
      <c r="A2308" s="4">
        <v>35146</v>
      </c>
      <c r="B2308" s="6">
        <v>21.15</v>
      </c>
    </row>
    <row r="2309" spans="1:2" x14ac:dyDescent="0.25">
      <c r="A2309" s="4">
        <v>35149</v>
      </c>
      <c r="B2309" s="6">
        <v>21.3</v>
      </c>
    </row>
    <row r="2310" spans="1:2" x14ac:dyDescent="0.25">
      <c r="A2310" s="4">
        <v>35150</v>
      </c>
      <c r="B2310" s="6">
        <v>21.68</v>
      </c>
    </row>
    <row r="2311" spans="1:2" x14ac:dyDescent="0.25">
      <c r="A2311" s="4">
        <v>35151</v>
      </c>
      <c r="B2311" s="6">
        <v>21.33</v>
      </c>
    </row>
    <row r="2312" spans="1:2" x14ac:dyDescent="0.25">
      <c r="A2312" s="4">
        <v>35152</v>
      </c>
      <c r="B2312" s="6">
        <v>20.25</v>
      </c>
    </row>
    <row r="2313" spans="1:2" x14ac:dyDescent="0.25">
      <c r="A2313" s="4">
        <v>35153</v>
      </c>
      <c r="B2313" s="6">
        <v>20.329999999999998</v>
      </c>
    </row>
    <row r="2314" spans="1:2" x14ac:dyDescent="0.25">
      <c r="A2314" s="4">
        <v>35156</v>
      </c>
      <c r="B2314" s="6">
        <v>20.8</v>
      </c>
    </row>
    <row r="2315" spans="1:2" x14ac:dyDescent="0.25">
      <c r="A2315" s="4">
        <v>35157</v>
      </c>
      <c r="B2315" s="6">
        <v>21.18</v>
      </c>
    </row>
    <row r="2316" spans="1:2" x14ac:dyDescent="0.25">
      <c r="A2316" s="4">
        <v>35158</v>
      </c>
      <c r="B2316" s="6">
        <v>20.93</v>
      </c>
    </row>
    <row r="2317" spans="1:2" x14ac:dyDescent="0.25">
      <c r="A2317" s="4">
        <v>35159</v>
      </c>
      <c r="B2317" s="6">
        <v>20.85</v>
      </c>
    </row>
    <row r="2318" spans="1:2" x14ac:dyDescent="0.25">
      <c r="A2318" s="4">
        <v>35160</v>
      </c>
      <c r="B2318" s="5"/>
    </row>
    <row r="2319" spans="1:2" x14ac:dyDescent="0.25">
      <c r="A2319" s="4">
        <v>35163</v>
      </c>
      <c r="B2319" s="5"/>
    </row>
    <row r="2320" spans="1:2" x14ac:dyDescent="0.25">
      <c r="A2320" s="4">
        <v>35164</v>
      </c>
      <c r="B2320" s="6">
        <v>21.43</v>
      </c>
    </row>
    <row r="2321" spans="1:2" x14ac:dyDescent="0.25">
      <c r="A2321" s="4">
        <v>35165</v>
      </c>
      <c r="B2321" s="6">
        <v>22.63</v>
      </c>
    </row>
    <row r="2322" spans="1:2" x14ac:dyDescent="0.25">
      <c r="A2322" s="4">
        <v>35166</v>
      </c>
      <c r="B2322" s="6">
        <v>23.9</v>
      </c>
    </row>
    <row r="2323" spans="1:2" x14ac:dyDescent="0.25">
      <c r="A2323" s="4">
        <v>35167</v>
      </c>
      <c r="B2323" s="6">
        <v>22.73</v>
      </c>
    </row>
    <row r="2324" spans="1:2" x14ac:dyDescent="0.25">
      <c r="A2324" s="4">
        <v>35170</v>
      </c>
      <c r="B2324" s="6">
        <v>22.68</v>
      </c>
    </row>
    <row r="2325" spans="1:2" x14ac:dyDescent="0.25">
      <c r="A2325" s="4">
        <v>35171</v>
      </c>
      <c r="B2325" s="6">
        <v>21.2</v>
      </c>
    </row>
    <row r="2326" spans="1:2" x14ac:dyDescent="0.25">
      <c r="A2326" s="4">
        <v>35172</v>
      </c>
      <c r="B2326" s="6">
        <v>19.88</v>
      </c>
    </row>
    <row r="2327" spans="1:2" x14ac:dyDescent="0.25">
      <c r="A2327" s="4">
        <v>35173</v>
      </c>
      <c r="B2327" s="6">
        <v>19.329999999999998</v>
      </c>
    </row>
    <row r="2328" spans="1:2" x14ac:dyDescent="0.25">
      <c r="A2328" s="4">
        <v>35174</v>
      </c>
      <c r="B2328" s="6">
        <v>19.53</v>
      </c>
    </row>
    <row r="2329" spans="1:2" x14ac:dyDescent="0.25">
      <c r="A2329" s="4">
        <v>35177</v>
      </c>
      <c r="B2329" s="6">
        <v>19.38</v>
      </c>
    </row>
    <row r="2330" spans="1:2" x14ac:dyDescent="0.25">
      <c r="A2330" s="4">
        <v>35178</v>
      </c>
      <c r="B2330" s="6">
        <v>20.88</v>
      </c>
    </row>
    <row r="2331" spans="1:2" x14ac:dyDescent="0.25">
      <c r="A2331" s="4">
        <v>35179</v>
      </c>
      <c r="B2331" s="6">
        <v>20.73</v>
      </c>
    </row>
    <row r="2332" spans="1:2" x14ac:dyDescent="0.25">
      <c r="A2332" s="4">
        <v>35180</v>
      </c>
      <c r="B2332" s="6">
        <v>20.350000000000001</v>
      </c>
    </row>
    <row r="2333" spans="1:2" x14ac:dyDescent="0.25">
      <c r="A2333" s="4">
        <v>35181</v>
      </c>
      <c r="B2333" s="6">
        <v>20.05</v>
      </c>
    </row>
    <row r="2334" spans="1:2" x14ac:dyDescent="0.25">
      <c r="A2334" s="4">
        <v>35184</v>
      </c>
      <c r="B2334" s="6">
        <v>20.05</v>
      </c>
    </row>
    <row r="2335" spans="1:2" x14ac:dyDescent="0.25">
      <c r="A2335" s="4">
        <v>35185</v>
      </c>
      <c r="B2335" s="6">
        <v>19.5</v>
      </c>
    </row>
    <row r="2336" spans="1:2" x14ac:dyDescent="0.25">
      <c r="A2336" s="4">
        <v>35186</v>
      </c>
      <c r="B2336" s="6">
        <v>18.95</v>
      </c>
    </row>
    <row r="2337" spans="1:2" x14ac:dyDescent="0.25">
      <c r="A2337" s="4">
        <v>35187</v>
      </c>
      <c r="B2337" s="6">
        <v>19.45</v>
      </c>
    </row>
    <row r="2338" spans="1:2" x14ac:dyDescent="0.25">
      <c r="A2338" s="4">
        <v>35188</v>
      </c>
      <c r="B2338" s="6">
        <v>19.38</v>
      </c>
    </row>
    <row r="2339" spans="1:2" x14ac:dyDescent="0.25">
      <c r="A2339" s="4">
        <v>35191</v>
      </c>
      <c r="B2339" s="5"/>
    </row>
    <row r="2340" spans="1:2" x14ac:dyDescent="0.25">
      <c r="A2340" s="4">
        <v>35192</v>
      </c>
      <c r="B2340" s="6">
        <v>20.079999999999998</v>
      </c>
    </row>
    <row r="2341" spans="1:2" x14ac:dyDescent="0.25">
      <c r="A2341" s="4">
        <v>35193</v>
      </c>
      <c r="B2341" s="6">
        <v>19.850000000000001</v>
      </c>
    </row>
    <row r="2342" spans="1:2" x14ac:dyDescent="0.25">
      <c r="A2342" s="4">
        <v>35194</v>
      </c>
      <c r="B2342" s="6">
        <v>19.350000000000001</v>
      </c>
    </row>
    <row r="2343" spans="1:2" x14ac:dyDescent="0.25">
      <c r="A2343" s="4">
        <v>35195</v>
      </c>
      <c r="B2343" s="6">
        <v>19.23</v>
      </c>
    </row>
    <row r="2344" spans="1:2" x14ac:dyDescent="0.25">
      <c r="A2344" s="4">
        <v>35198</v>
      </c>
      <c r="B2344" s="6">
        <v>19.48</v>
      </c>
    </row>
    <row r="2345" spans="1:2" x14ac:dyDescent="0.25">
      <c r="A2345" s="4">
        <v>35199</v>
      </c>
      <c r="B2345" s="6">
        <v>19.63</v>
      </c>
    </row>
    <row r="2346" spans="1:2" x14ac:dyDescent="0.25">
      <c r="A2346" s="4">
        <v>35200</v>
      </c>
      <c r="B2346" s="6">
        <v>19.5</v>
      </c>
    </row>
    <row r="2347" spans="1:2" x14ac:dyDescent="0.25">
      <c r="A2347" s="4">
        <v>35201</v>
      </c>
      <c r="B2347" s="6">
        <v>18.63</v>
      </c>
    </row>
    <row r="2348" spans="1:2" x14ac:dyDescent="0.25">
      <c r="A2348" s="4">
        <v>35202</v>
      </c>
      <c r="B2348" s="6">
        <v>18.05</v>
      </c>
    </row>
    <row r="2349" spans="1:2" x14ac:dyDescent="0.25">
      <c r="A2349" s="4">
        <v>35205</v>
      </c>
      <c r="B2349" s="6">
        <v>18.63</v>
      </c>
    </row>
    <row r="2350" spans="1:2" x14ac:dyDescent="0.25">
      <c r="A2350" s="4">
        <v>35206</v>
      </c>
      <c r="B2350" s="6">
        <v>18.7</v>
      </c>
    </row>
    <row r="2351" spans="1:2" x14ac:dyDescent="0.25">
      <c r="A2351" s="4">
        <v>35207</v>
      </c>
      <c r="B2351" s="6">
        <v>19.399999999999999</v>
      </c>
    </row>
    <row r="2352" spans="1:2" x14ac:dyDescent="0.25">
      <c r="A2352" s="4">
        <v>35208</v>
      </c>
      <c r="B2352" s="6">
        <v>19.53</v>
      </c>
    </row>
    <row r="2353" spans="1:2" x14ac:dyDescent="0.25">
      <c r="A2353" s="4">
        <v>35209</v>
      </c>
      <c r="B2353" s="6">
        <v>19.73</v>
      </c>
    </row>
    <row r="2354" spans="1:2" x14ac:dyDescent="0.25">
      <c r="A2354" s="4">
        <v>35212</v>
      </c>
      <c r="B2354" s="5"/>
    </row>
    <row r="2355" spans="1:2" x14ac:dyDescent="0.25">
      <c r="A2355" s="4">
        <v>35213</v>
      </c>
      <c r="B2355" s="6">
        <v>19.53</v>
      </c>
    </row>
    <row r="2356" spans="1:2" x14ac:dyDescent="0.25">
      <c r="A2356" s="4">
        <v>35214</v>
      </c>
      <c r="B2356" s="6">
        <v>18.95</v>
      </c>
    </row>
    <row r="2357" spans="1:2" x14ac:dyDescent="0.25">
      <c r="A2357" s="4">
        <v>35215</v>
      </c>
      <c r="B2357" s="6">
        <v>18.100000000000001</v>
      </c>
    </row>
    <row r="2358" spans="1:2" x14ac:dyDescent="0.25">
      <c r="A2358" s="4">
        <v>35216</v>
      </c>
      <c r="B2358" s="6">
        <v>18.100000000000001</v>
      </c>
    </row>
    <row r="2359" spans="1:2" x14ac:dyDescent="0.25">
      <c r="A2359" s="4">
        <v>35219</v>
      </c>
      <c r="B2359" s="6">
        <v>18.25</v>
      </c>
    </row>
    <row r="2360" spans="1:2" x14ac:dyDescent="0.25">
      <c r="A2360" s="4">
        <v>35220</v>
      </c>
      <c r="B2360" s="6">
        <v>18.5</v>
      </c>
    </row>
    <row r="2361" spans="1:2" x14ac:dyDescent="0.25">
      <c r="A2361" s="4">
        <v>35221</v>
      </c>
      <c r="B2361" s="6">
        <v>18.2</v>
      </c>
    </row>
    <row r="2362" spans="1:2" x14ac:dyDescent="0.25">
      <c r="A2362" s="4">
        <v>35222</v>
      </c>
      <c r="B2362" s="6">
        <v>18.18</v>
      </c>
    </row>
    <row r="2363" spans="1:2" x14ac:dyDescent="0.25">
      <c r="A2363" s="4">
        <v>35223</v>
      </c>
      <c r="B2363" s="6">
        <v>18.399999999999999</v>
      </c>
    </row>
    <row r="2364" spans="1:2" x14ac:dyDescent="0.25">
      <c r="A2364" s="4">
        <v>35226</v>
      </c>
      <c r="B2364" s="6">
        <v>18.48</v>
      </c>
    </row>
    <row r="2365" spans="1:2" x14ac:dyDescent="0.25">
      <c r="A2365" s="4">
        <v>35227</v>
      </c>
      <c r="B2365" s="6">
        <v>18.28</v>
      </c>
    </row>
    <row r="2366" spans="1:2" x14ac:dyDescent="0.25">
      <c r="A2366" s="4">
        <v>35228</v>
      </c>
      <c r="B2366" s="6">
        <v>18.23</v>
      </c>
    </row>
    <row r="2367" spans="1:2" x14ac:dyDescent="0.25">
      <c r="A2367" s="4">
        <v>35229</v>
      </c>
      <c r="B2367" s="6">
        <v>17.98</v>
      </c>
    </row>
    <row r="2368" spans="1:2" x14ac:dyDescent="0.25">
      <c r="A2368" s="4">
        <v>35230</v>
      </c>
      <c r="B2368" s="6">
        <v>17.829999999999998</v>
      </c>
    </row>
    <row r="2369" spans="1:2" x14ac:dyDescent="0.25">
      <c r="A2369" s="4">
        <v>35233</v>
      </c>
      <c r="B2369" s="6">
        <v>18.7</v>
      </c>
    </row>
    <row r="2370" spans="1:2" x14ac:dyDescent="0.25">
      <c r="A2370" s="4">
        <v>35234</v>
      </c>
      <c r="B2370" s="6">
        <v>18.8</v>
      </c>
    </row>
    <row r="2371" spans="1:2" x14ac:dyDescent="0.25">
      <c r="A2371" s="4">
        <v>35235</v>
      </c>
      <c r="B2371" s="6">
        <v>18.399999999999999</v>
      </c>
    </row>
    <row r="2372" spans="1:2" x14ac:dyDescent="0.25">
      <c r="A2372" s="4">
        <v>35236</v>
      </c>
      <c r="B2372" s="6">
        <v>18.43</v>
      </c>
    </row>
    <row r="2373" spans="1:2" x14ac:dyDescent="0.25">
      <c r="A2373" s="4">
        <v>35237</v>
      </c>
      <c r="B2373" s="6">
        <v>18.45</v>
      </c>
    </row>
    <row r="2374" spans="1:2" x14ac:dyDescent="0.25">
      <c r="A2374" s="4">
        <v>35240</v>
      </c>
      <c r="B2374" s="6">
        <v>18.38</v>
      </c>
    </row>
    <row r="2375" spans="1:2" x14ac:dyDescent="0.25">
      <c r="A2375" s="4">
        <v>35241</v>
      </c>
      <c r="B2375" s="6">
        <v>18.38</v>
      </c>
    </row>
    <row r="2376" spans="1:2" x14ac:dyDescent="0.25">
      <c r="A2376" s="4">
        <v>35242</v>
      </c>
      <c r="B2376" s="6">
        <v>18.600000000000001</v>
      </c>
    </row>
    <row r="2377" spans="1:2" x14ac:dyDescent="0.25">
      <c r="A2377" s="4">
        <v>35243</v>
      </c>
      <c r="B2377" s="6">
        <v>19.38</v>
      </c>
    </row>
    <row r="2378" spans="1:2" x14ac:dyDescent="0.25">
      <c r="A2378" s="4">
        <v>35244</v>
      </c>
      <c r="B2378" s="6">
        <v>19.28</v>
      </c>
    </row>
    <row r="2379" spans="1:2" x14ac:dyDescent="0.25">
      <c r="A2379" s="4">
        <v>35247</v>
      </c>
      <c r="B2379" s="6">
        <v>19.77</v>
      </c>
    </row>
    <row r="2380" spans="1:2" x14ac:dyDescent="0.25">
      <c r="A2380" s="4">
        <v>35248</v>
      </c>
      <c r="B2380" s="6">
        <v>19.43</v>
      </c>
    </row>
    <row r="2381" spans="1:2" x14ac:dyDescent="0.25">
      <c r="A2381" s="4">
        <v>35249</v>
      </c>
      <c r="B2381" s="6">
        <v>19.13</v>
      </c>
    </row>
    <row r="2382" spans="1:2" x14ac:dyDescent="0.25">
      <c r="A2382" s="4">
        <v>35250</v>
      </c>
      <c r="B2382" s="6">
        <v>19.77</v>
      </c>
    </row>
    <row r="2383" spans="1:2" x14ac:dyDescent="0.25">
      <c r="A2383" s="4">
        <v>35251</v>
      </c>
      <c r="B2383" s="6">
        <v>19.989999999999998</v>
      </c>
    </row>
    <row r="2384" spans="1:2" x14ac:dyDescent="0.25">
      <c r="A2384" s="4">
        <v>35254</v>
      </c>
      <c r="B2384" s="6">
        <v>19.62</v>
      </c>
    </row>
    <row r="2385" spans="1:2" x14ac:dyDescent="0.25">
      <c r="A2385" s="4">
        <v>35255</v>
      </c>
      <c r="B2385" s="6">
        <v>19.63</v>
      </c>
    </row>
    <row r="2386" spans="1:2" x14ac:dyDescent="0.25">
      <c r="A2386" s="4">
        <v>35256</v>
      </c>
      <c r="B2386" s="6">
        <v>19.8</v>
      </c>
    </row>
    <row r="2387" spans="1:2" x14ac:dyDescent="0.25">
      <c r="A2387" s="4">
        <v>35257</v>
      </c>
      <c r="B2387" s="6">
        <v>20.010000000000002</v>
      </c>
    </row>
    <row r="2388" spans="1:2" x14ac:dyDescent="0.25">
      <c r="A2388" s="4">
        <v>35258</v>
      </c>
      <c r="B2388" s="6">
        <v>19.93</v>
      </c>
    </row>
    <row r="2389" spans="1:2" x14ac:dyDescent="0.25">
      <c r="A2389" s="4">
        <v>35261</v>
      </c>
      <c r="B2389" s="6">
        <v>20.2</v>
      </c>
    </row>
    <row r="2390" spans="1:2" x14ac:dyDescent="0.25">
      <c r="A2390" s="4">
        <v>35262</v>
      </c>
      <c r="B2390" s="6">
        <v>20.3</v>
      </c>
    </row>
    <row r="2391" spans="1:2" x14ac:dyDescent="0.25">
      <c r="A2391" s="4">
        <v>35263</v>
      </c>
      <c r="B2391" s="6">
        <v>19.75</v>
      </c>
    </row>
    <row r="2392" spans="1:2" x14ac:dyDescent="0.25">
      <c r="A2392" s="4">
        <v>35264</v>
      </c>
      <c r="B2392" s="6">
        <v>19.95</v>
      </c>
    </row>
    <row r="2393" spans="1:2" x14ac:dyDescent="0.25">
      <c r="A2393" s="4">
        <v>35265</v>
      </c>
      <c r="B2393" s="6">
        <v>19.45</v>
      </c>
    </row>
    <row r="2394" spans="1:2" x14ac:dyDescent="0.25">
      <c r="A2394" s="4">
        <v>35268</v>
      </c>
      <c r="B2394" s="6">
        <v>19.23</v>
      </c>
    </row>
    <row r="2395" spans="1:2" x14ac:dyDescent="0.25">
      <c r="A2395" s="4">
        <v>35269</v>
      </c>
      <c r="B2395" s="6">
        <v>19.5</v>
      </c>
    </row>
    <row r="2396" spans="1:2" x14ac:dyDescent="0.25">
      <c r="A2396" s="4">
        <v>35270</v>
      </c>
      <c r="B2396" s="6">
        <v>19.36</v>
      </c>
    </row>
    <row r="2397" spans="1:2" x14ac:dyDescent="0.25">
      <c r="A2397" s="4">
        <v>35271</v>
      </c>
      <c r="B2397" s="6">
        <v>19.5</v>
      </c>
    </row>
    <row r="2398" spans="1:2" x14ac:dyDescent="0.25">
      <c r="A2398" s="4">
        <v>35272</v>
      </c>
      <c r="B2398" s="6">
        <v>18.920000000000002</v>
      </c>
    </row>
    <row r="2399" spans="1:2" x14ac:dyDescent="0.25">
      <c r="A2399" s="4">
        <v>35275</v>
      </c>
      <c r="B2399" s="6">
        <v>18.989999999999998</v>
      </c>
    </row>
    <row r="2400" spans="1:2" x14ac:dyDescent="0.25">
      <c r="A2400" s="4">
        <v>35276</v>
      </c>
      <c r="B2400" s="6">
        <v>18.899999999999999</v>
      </c>
    </row>
    <row r="2401" spans="1:2" x14ac:dyDescent="0.25">
      <c r="A2401" s="4">
        <v>35277</v>
      </c>
      <c r="B2401" s="6">
        <v>19</v>
      </c>
    </row>
    <row r="2402" spans="1:2" x14ac:dyDescent="0.25">
      <c r="A2402" s="4">
        <v>35278</v>
      </c>
      <c r="B2402" s="6">
        <v>18.84</v>
      </c>
    </row>
    <row r="2403" spans="1:2" x14ac:dyDescent="0.25">
      <c r="A2403" s="4">
        <v>35279</v>
      </c>
      <c r="B2403" s="6">
        <v>19.63</v>
      </c>
    </row>
    <row r="2404" spans="1:2" x14ac:dyDescent="0.25">
      <c r="A2404" s="4">
        <v>35282</v>
      </c>
      <c r="B2404" s="6">
        <v>19.649999999999999</v>
      </c>
    </row>
    <row r="2405" spans="1:2" x14ac:dyDescent="0.25">
      <c r="A2405" s="4">
        <v>35283</v>
      </c>
      <c r="B2405" s="6">
        <v>19.45</v>
      </c>
    </row>
    <row r="2406" spans="1:2" x14ac:dyDescent="0.25">
      <c r="A2406" s="4">
        <v>35284</v>
      </c>
      <c r="B2406" s="6">
        <v>19.48</v>
      </c>
    </row>
    <row r="2407" spans="1:2" x14ac:dyDescent="0.25">
      <c r="A2407" s="4">
        <v>35285</v>
      </c>
      <c r="B2407" s="6">
        <v>20.03</v>
      </c>
    </row>
    <row r="2408" spans="1:2" x14ac:dyDescent="0.25">
      <c r="A2408" s="4">
        <v>35286</v>
      </c>
      <c r="B2408" s="6">
        <v>20.05</v>
      </c>
    </row>
    <row r="2409" spans="1:2" x14ac:dyDescent="0.25">
      <c r="A2409" s="4">
        <v>35289</v>
      </c>
      <c r="B2409" s="6">
        <v>20.65</v>
      </c>
    </row>
    <row r="2410" spans="1:2" x14ac:dyDescent="0.25">
      <c r="A2410" s="4">
        <v>35290</v>
      </c>
      <c r="B2410" s="6">
        <v>21.03</v>
      </c>
    </row>
    <row r="2411" spans="1:2" x14ac:dyDescent="0.25">
      <c r="A2411" s="4">
        <v>35291</v>
      </c>
      <c r="B2411" s="6">
        <v>20.9</v>
      </c>
    </row>
    <row r="2412" spans="1:2" x14ac:dyDescent="0.25">
      <c r="A2412" s="4">
        <v>35292</v>
      </c>
      <c r="B2412" s="6">
        <v>20.88</v>
      </c>
    </row>
    <row r="2413" spans="1:2" x14ac:dyDescent="0.25">
      <c r="A2413" s="4">
        <v>35293</v>
      </c>
      <c r="B2413" s="6">
        <v>21.3</v>
      </c>
    </row>
    <row r="2414" spans="1:2" x14ac:dyDescent="0.25">
      <c r="A2414" s="4">
        <v>35296</v>
      </c>
      <c r="B2414" s="6">
        <v>21.58</v>
      </c>
    </row>
    <row r="2415" spans="1:2" x14ac:dyDescent="0.25">
      <c r="A2415" s="4">
        <v>35297</v>
      </c>
      <c r="B2415" s="6">
        <v>21.35</v>
      </c>
    </row>
    <row r="2416" spans="1:2" x14ac:dyDescent="0.25">
      <c r="A2416" s="4">
        <v>35298</v>
      </c>
      <c r="B2416" s="6">
        <v>20.8</v>
      </c>
    </row>
    <row r="2417" spans="1:2" x14ac:dyDescent="0.25">
      <c r="A2417" s="4">
        <v>35299</v>
      </c>
      <c r="B2417" s="6">
        <v>21.25</v>
      </c>
    </row>
    <row r="2418" spans="1:2" x14ac:dyDescent="0.25">
      <c r="A2418" s="4">
        <v>35300</v>
      </c>
      <c r="B2418" s="6">
        <v>20.78</v>
      </c>
    </row>
    <row r="2419" spans="1:2" x14ac:dyDescent="0.25">
      <c r="A2419" s="4">
        <v>35303</v>
      </c>
      <c r="B2419" s="5"/>
    </row>
    <row r="2420" spans="1:2" x14ac:dyDescent="0.25">
      <c r="A2420" s="4">
        <v>35304</v>
      </c>
      <c r="B2420" s="6">
        <v>20.45</v>
      </c>
    </row>
    <row r="2421" spans="1:2" x14ac:dyDescent="0.25">
      <c r="A2421" s="4">
        <v>35305</v>
      </c>
      <c r="B2421" s="6">
        <v>20.68</v>
      </c>
    </row>
    <row r="2422" spans="1:2" x14ac:dyDescent="0.25">
      <c r="A2422" s="4">
        <v>35306</v>
      </c>
      <c r="B2422" s="6">
        <v>21</v>
      </c>
    </row>
    <row r="2423" spans="1:2" x14ac:dyDescent="0.25">
      <c r="A2423" s="4">
        <v>35307</v>
      </c>
      <c r="B2423" s="6">
        <v>20.98</v>
      </c>
    </row>
    <row r="2424" spans="1:2" x14ac:dyDescent="0.25">
      <c r="A2424" s="4">
        <v>35310</v>
      </c>
      <c r="B2424" s="6">
        <v>22.23</v>
      </c>
    </row>
    <row r="2425" spans="1:2" x14ac:dyDescent="0.25">
      <c r="A2425" s="4">
        <v>35311</v>
      </c>
      <c r="B2425" s="6">
        <v>21.9</v>
      </c>
    </row>
    <row r="2426" spans="1:2" x14ac:dyDescent="0.25">
      <c r="A2426" s="4">
        <v>35312</v>
      </c>
      <c r="B2426" s="6">
        <v>22.2</v>
      </c>
    </row>
    <row r="2427" spans="1:2" x14ac:dyDescent="0.25">
      <c r="A2427" s="4">
        <v>35313</v>
      </c>
      <c r="B2427" s="6">
        <v>22.15</v>
      </c>
    </row>
    <row r="2428" spans="1:2" x14ac:dyDescent="0.25">
      <c r="A2428" s="4">
        <v>35314</v>
      </c>
      <c r="B2428" s="6">
        <v>22.43</v>
      </c>
    </row>
    <row r="2429" spans="1:2" x14ac:dyDescent="0.25">
      <c r="A2429" s="4">
        <v>35317</v>
      </c>
      <c r="B2429" s="6">
        <v>22.25</v>
      </c>
    </row>
    <row r="2430" spans="1:2" x14ac:dyDescent="0.25">
      <c r="A2430" s="4">
        <v>35318</v>
      </c>
      <c r="B2430" s="6">
        <v>22.68</v>
      </c>
    </row>
    <row r="2431" spans="1:2" x14ac:dyDescent="0.25">
      <c r="A2431" s="4">
        <v>35319</v>
      </c>
      <c r="B2431" s="6">
        <v>23.3</v>
      </c>
    </row>
    <row r="2432" spans="1:2" x14ac:dyDescent="0.25">
      <c r="A2432" s="4">
        <v>35320</v>
      </c>
      <c r="B2432" s="6">
        <v>23.35</v>
      </c>
    </row>
    <row r="2433" spans="1:2" x14ac:dyDescent="0.25">
      <c r="A2433" s="4">
        <v>35321</v>
      </c>
      <c r="B2433" s="6">
        <v>23.83</v>
      </c>
    </row>
    <row r="2434" spans="1:2" x14ac:dyDescent="0.25">
      <c r="A2434" s="4">
        <v>35324</v>
      </c>
      <c r="B2434" s="6">
        <v>22.6</v>
      </c>
    </row>
    <row r="2435" spans="1:2" x14ac:dyDescent="0.25">
      <c r="A2435" s="4">
        <v>35325</v>
      </c>
      <c r="B2435" s="6">
        <v>21.7</v>
      </c>
    </row>
    <row r="2436" spans="1:2" x14ac:dyDescent="0.25">
      <c r="A2436" s="4">
        <v>35326</v>
      </c>
      <c r="B2436" s="6">
        <v>22.38</v>
      </c>
    </row>
    <row r="2437" spans="1:2" x14ac:dyDescent="0.25">
      <c r="A2437" s="4">
        <v>35327</v>
      </c>
      <c r="B2437" s="6">
        <v>22.08</v>
      </c>
    </row>
    <row r="2438" spans="1:2" x14ac:dyDescent="0.25">
      <c r="A2438" s="4">
        <v>35328</v>
      </c>
      <c r="B2438" s="6">
        <v>21.78</v>
      </c>
    </row>
    <row r="2439" spans="1:2" x14ac:dyDescent="0.25">
      <c r="A2439" s="4">
        <v>35331</v>
      </c>
      <c r="B2439" s="6">
        <v>22.15</v>
      </c>
    </row>
    <row r="2440" spans="1:2" x14ac:dyDescent="0.25">
      <c r="A2440" s="4">
        <v>35332</v>
      </c>
      <c r="B2440" s="6">
        <v>22.78</v>
      </c>
    </row>
    <row r="2441" spans="1:2" x14ac:dyDescent="0.25">
      <c r="A2441" s="4">
        <v>35333</v>
      </c>
      <c r="B2441" s="6">
        <v>23.05</v>
      </c>
    </row>
    <row r="2442" spans="1:2" x14ac:dyDescent="0.25">
      <c r="A2442" s="4">
        <v>35334</v>
      </c>
      <c r="B2442" s="6">
        <v>23.35</v>
      </c>
    </row>
    <row r="2443" spans="1:2" x14ac:dyDescent="0.25">
      <c r="A2443" s="4">
        <v>35335</v>
      </c>
      <c r="B2443" s="6">
        <v>22.9</v>
      </c>
    </row>
    <row r="2444" spans="1:2" x14ac:dyDescent="0.25">
      <c r="A2444" s="4">
        <v>35338</v>
      </c>
      <c r="B2444" s="6">
        <v>24.15</v>
      </c>
    </row>
    <row r="2445" spans="1:2" x14ac:dyDescent="0.25">
      <c r="A2445" s="4">
        <v>35339</v>
      </c>
      <c r="B2445" s="6">
        <v>23.18</v>
      </c>
    </row>
    <row r="2446" spans="1:2" x14ac:dyDescent="0.25">
      <c r="A2446" s="4">
        <v>35340</v>
      </c>
      <c r="B2446" s="6">
        <v>23.13</v>
      </c>
    </row>
    <row r="2447" spans="1:2" x14ac:dyDescent="0.25">
      <c r="A2447" s="4">
        <v>35341</v>
      </c>
      <c r="B2447" s="6">
        <v>23.63</v>
      </c>
    </row>
    <row r="2448" spans="1:2" x14ac:dyDescent="0.25">
      <c r="A2448" s="4">
        <v>35342</v>
      </c>
      <c r="B2448" s="6">
        <v>23.88</v>
      </c>
    </row>
    <row r="2449" spans="1:2" x14ac:dyDescent="0.25">
      <c r="A2449" s="4">
        <v>35345</v>
      </c>
      <c r="B2449" s="6">
        <v>24.28</v>
      </c>
    </row>
    <row r="2450" spans="1:2" x14ac:dyDescent="0.25">
      <c r="A2450" s="4">
        <v>35346</v>
      </c>
      <c r="B2450" s="6">
        <v>24.55</v>
      </c>
    </row>
    <row r="2451" spans="1:2" x14ac:dyDescent="0.25">
      <c r="A2451" s="4">
        <v>35347</v>
      </c>
      <c r="B2451" s="6">
        <v>24.58</v>
      </c>
    </row>
    <row r="2452" spans="1:2" x14ac:dyDescent="0.25">
      <c r="A2452" s="4">
        <v>35348</v>
      </c>
      <c r="B2452" s="6">
        <v>23.63</v>
      </c>
    </row>
    <row r="2453" spans="1:2" x14ac:dyDescent="0.25">
      <c r="A2453" s="4">
        <v>35349</v>
      </c>
      <c r="B2453" s="6">
        <v>23.85</v>
      </c>
    </row>
    <row r="2454" spans="1:2" x14ac:dyDescent="0.25">
      <c r="A2454" s="4">
        <v>35352</v>
      </c>
      <c r="B2454" s="6">
        <v>24.75</v>
      </c>
    </row>
    <row r="2455" spans="1:2" x14ac:dyDescent="0.25">
      <c r="A2455" s="4">
        <v>35353</v>
      </c>
      <c r="B2455" s="6">
        <v>24.58</v>
      </c>
    </row>
    <row r="2456" spans="1:2" x14ac:dyDescent="0.25">
      <c r="A2456" s="4">
        <v>35354</v>
      </c>
      <c r="B2456" s="6">
        <v>24.5</v>
      </c>
    </row>
    <row r="2457" spans="1:2" x14ac:dyDescent="0.25">
      <c r="A2457" s="4">
        <v>35355</v>
      </c>
      <c r="B2457" s="6">
        <v>24.83</v>
      </c>
    </row>
    <row r="2458" spans="1:2" x14ac:dyDescent="0.25">
      <c r="A2458" s="4">
        <v>35356</v>
      </c>
      <c r="B2458" s="6">
        <v>25.18</v>
      </c>
    </row>
    <row r="2459" spans="1:2" x14ac:dyDescent="0.25">
      <c r="A2459" s="4">
        <v>35359</v>
      </c>
      <c r="B2459" s="6">
        <v>25.08</v>
      </c>
    </row>
    <row r="2460" spans="1:2" x14ac:dyDescent="0.25">
      <c r="A2460" s="4">
        <v>35360</v>
      </c>
      <c r="B2460" s="6">
        <v>25.4</v>
      </c>
    </row>
    <row r="2461" spans="1:2" x14ac:dyDescent="0.25">
      <c r="A2461" s="4">
        <v>35361</v>
      </c>
      <c r="B2461" s="6">
        <v>24.6</v>
      </c>
    </row>
    <row r="2462" spans="1:2" x14ac:dyDescent="0.25">
      <c r="A2462" s="4">
        <v>35362</v>
      </c>
      <c r="B2462" s="6">
        <v>24.28</v>
      </c>
    </row>
    <row r="2463" spans="1:2" x14ac:dyDescent="0.25">
      <c r="A2463" s="4">
        <v>35363</v>
      </c>
      <c r="B2463" s="6">
        <v>24.13</v>
      </c>
    </row>
    <row r="2464" spans="1:2" x14ac:dyDescent="0.25">
      <c r="A2464" s="4">
        <v>35366</v>
      </c>
      <c r="B2464" s="6">
        <v>24.45</v>
      </c>
    </row>
    <row r="2465" spans="1:2" x14ac:dyDescent="0.25">
      <c r="A2465" s="4">
        <v>35367</v>
      </c>
      <c r="B2465" s="6">
        <v>23.3</v>
      </c>
    </row>
    <row r="2466" spans="1:2" x14ac:dyDescent="0.25">
      <c r="A2466" s="4">
        <v>35368</v>
      </c>
      <c r="B2466" s="6">
        <v>23.15</v>
      </c>
    </row>
    <row r="2467" spans="1:2" x14ac:dyDescent="0.25">
      <c r="A2467" s="4">
        <v>35369</v>
      </c>
      <c r="B2467" s="6">
        <v>22.8</v>
      </c>
    </row>
    <row r="2468" spans="1:2" x14ac:dyDescent="0.25">
      <c r="A2468" s="4">
        <v>35370</v>
      </c>
      <c r="B2468" s="6">
        <v>22.3</v>
      </c>
    </row>
    <row r="2469" spans="1:2" x14ac:dyDescent="0.25">
      <c r="A2469" s="4">
        <v>35373</v>
      </c>
      <c r="B2469" s="6">
        <v>22.1</v>
      </c>
    </row>
    <row r="2470" spans="1:2" x14ac:dyDescent="0.25">
      <c r="A2470" s="4">
        <v>35374</v>
      </c>
      <c r="B2470" s="6">
        <v>21.85</v>
      </c>
    </row>
    <row r="2471" spans="1:2" x14ac:dyDescent="0.25">
      <c r="A2471" s="4">
        <v>35375</v>
      </c>
      <c r="B2471" s="6">
        <v>21.85</v>
      </c>
    </row>
    <row r="2472" spans="1:2" x14ac:dyDescent="0.25">
      <c r="A2472" s="4">
        <v>35376</v>
      </c>
      <c r="B2472" s="6">
        <v>21.75</v>
      </c>
    </row>
    <row r="2473" spans="1:2" x14ac:dyDescent="0.25">
      <c r="A2473" s="4">
        <v>35377</v>
      </c>
      <c r="B2473" s="6">
        <v>22.4</v>
      </c>
    </row>
    <row r="2474" spans="1:2" x14ac:dyDescent="0.25">
      <c r="A2474" s="4">
        <v>35380</v>
      </c>
      <c r="B2474" s="6">
        <v>22.7</v>
      </c>
    </row>
    <row r="2475" spans="1:2" x14ac:dyDescent="0.25">
      <c r="A2475" s="4">
        <v>35381</v>
      </c>
      <c r="B2475" s="6">
        <v>22.38</v>
      </c>
    </row>
    <row r="2476" spans="1:2" x14ac:dyDescent="0.25">
      <c r="A2476" s="4">
        <v>35382</v>
      </c>
      <c r="B2476" s="6">
        <v>22.88</v>
      </c>
    </row>
    <row r="2477" spans="1:2" x14ac:dyDescent="0.25">
      <c r="A2477" s="4">
        <v>35383</v>
      </c>
      <c r="B2477" s="6">
        <v>23.18</v>
      </c>
    </row>
    <row r="2478" spans="1:2" x14ac:dyDescent="0.25">
      <c r="A2478" s="4">
        <v>35384</v>
      </c>
      <c r="B2478" s="6">
        <v>23.28</v>
      </c>
    </row>
    <row r="2479" spans="1:2" x14ac:dyDescent="0.25">
      <c r="A2479" s="4">
        <v>35387</v>
      </c>
      <c r="B2479" s="6">
        <v>22.75</v>
      </c>
    </row>
    <row r="2480" spans="1:2" x14ac:dyDescent="0.25">
      <c r="A2480" s="4">
        <v>35388</v>
      </c>
      <c r="B2480" s="6">
        <v>23.13</v>
      </c>
    </row>
    <row r="2481" spans="1:2" x14ac:dyDescent="0.25">
      <c r="A2481" s="4">
        <v>35389</v>
      </c>
      <c r="B2481" s="6">
        <v>23.4</v>
      </c>
    </row>
    <row r="2482" spans="1:2" x14ac:dyDescent="0.25">
      <c r="A2482" s="4">
        <v>35390</v>
      </c>
      <c r="B2482" s="6">
        <v>22.9</v>
      </c>
    </row>
    <row r="2483" spans="1:2" x14ac:dyDescent="0.25">
      <c r="A2483" s="4">
        <v>35391</v>
      </c>
      <c r="B2483" s="6">
        <v>23.86</v>
      </c>
    </row>
    <row r="2484" spans="1:2" x14ac:dyDescent="0.25">
      <c r="A2484" s="4">
        <v>35394</v>
      </c>
      <c r="B2484" s="6">
        <v>23.22</v>
      </c>
    </row>
    <row r="2485" spans="1:2" x14ac:dyDescent="0.25">
      <c r="A2485" s="4">
        <v>35395</v>
      </c>
      <c r="B2485" s="6">
        <v>22.78</v>
      </c>
    </row>
    <row r="2486" spans="1:2" x14ac:dyDescent="0.25">
      <c r="A2486" s="4">
        <v>35396</v>
      </c>
      <c r="B2486" s="6">
        <v>23.07</v>
      </c>
    </row>
    <row r="2487" spans="1:2" x14ac:dyDescent="0.25">
      <c r="A2487" s="4">
        <v>35397</v>
      </c>
      <c r="B2487" s="6">
        <v>23</v>
      </c>
    </row>
    <row r="2488" spans="1:2" x14ac:dyDescent="0.25">
      <c r="A2488" s="4">
        <v>35398</v>
      </c>
      <c r="B2488" s="6">
        <v>23.17</v>
      </c>
    </row>
    <row r="2489" spans="1:2" x14ac:dyDescent="0.25">
      <c r="A2489" s="4">
        <v>35401</v>
      </c>
      <c r="B2489" s="6">
        <v>23.5</v>
      </c>
    </row>
    <row r="2490" spans="1:2" x14ac:dyDescent="0.25">
      <c r="A2490" s="4">
        <v>35402</v>
      </c>
      <c r="B2490" s="6">
        <v>24.12</v>
      </c>
    </row>
    <row r="2491" spans="1:2" x14ac:dyDescent="0.25">
      <c r="A2491" s="4">
        <v>35403</v>
      </c>
      <c r="B2491" s="6">
        <v>24.21</v>
      </c>
    </row>
    <row r="2492" spans="1:2" x14ac:dyDescent="0.25">
      <c r="A2492" s="4">
        <v>35404</v>
      </c>
      <c r="B2492" s="6">
        <v>24.49</v>
      </c>
    </row>
    <row r="2493" spans="1:2" x14ac:dyDescent="0.25">
      <c r="A2493" s="4">
        <v>35405</v>
      </c>
      <c r="B2493" s="6">
        <v>24.56</v>
      </c>
    </row>
    <row r="2494" spans="1:2" x14ac:dyDescent="0.25">
      <c r="A2494" s="4">
        <v>35408</v>
      </c>
      <c r="B2494" s="6">
        <v>24.18</v>
      </c>
    </row>
    <row r="2495" spans="1:2" x14ac:dyDescent="0.25">
      <c r="A2495" s="4">
        <v>35409</v>
      </c>
      <c r="B2495" s="6">
        <v>23.74</v>
      </c>
    </row>
    <row r="2496" spans="1:2" x14ac:dyDescent="0.25">
      <c r="A2496" s="4">
        <v>35410</v>
      </c>
      <c r="B2496" s="6">
        <v>22.95</v>
      </c>
    </row>
    <row r="2497" spans="1:2" x14ac:dyDescent="0.25">
      <c r="A2497" s="4">
        <v>35411</v>
      </c>
      <c r="B2497" s="6">
        <v>22.65</v>
      </c>
    </row>
    <row r="2498" spans="1:2" x14ac:dyDescent="0.25">
      <c r="A2498" s="4">
        <v>35412</v>
      </c>
      <c r="B2498" s="6">
        <v>22.83</v>
      </c>
    </row>
    <row r="2499" spans="1:2" x14ac:dyDescent="0.25">
      <c r="A2499" s="4">
        <v>35415</v>
      </c>
      <c r="B2499" s="6">
        <v>23.98</v>
      </c>
    </row>
    <row r="2500" spans="1:2" x14ac:dyDescent="0.25">
      <c r="A2500" s="4">
        <v>35416</v>
      </c>
      <c r="B2500" s="6">
        <v>24.05</v>
      </c>
    </row>
    <row r="2501" spans="1:2" x14ac:dyDescent="0.25">
      <c r="A2501" s="4">
        <v>35417</v>
      </c>
      <c r="B2501" s="6">
        <v>23.69</v>
      </c>
    </row>
    <row r="2502" spans="1:2" x14ac:dyDescent="0.25">
      <c r="A2502" s="4">
        <v>35418</v>
      </c>
      <c r="B2502" s="6">
        <v>24.18</v>
      </c>
    </row>
    <row r="2503" spans="1:2" x14ac:dyDescent="0.25">
      <c r="A2503" s="4">
        <v>35419</v>
      </c>
      <c r="B2503" s="6">
        <v>23.96</v>
      </c>
    </row>
    <row r="2504" spans="1:2" x14ac:dyDescent="0.25">
      <c r="A2504" s="4">
        <v>35422</v>
      </c>
      <c r="B2504" s="6">
        <v>23.51</v>
      </c>
    </row>
    <row r="2505" spans="1:2" x14ac:dyDescent="0.25">
      <c r="A2505" s="4">
        <v>35423</v>
      </c>
      <c r="B2505" s="6">
        <v>23.66</v>
      </c>
    </row>
    <row r="2506" spans="1:2" x14ac:dyDescent="0.25">
      <c r="A2506" s="4">
        <v>35424</v>
      </c>
      <c r="B2506" s="5"/>
    </row>
    <row r="2507" spans="1:2" x14ac:dyDescent="0.25">
      <c r="A2507" s="4">
        <v>35425</v>
      </c>
      <c r="B2507" s="5"/>
    </row>
    <row r="2508" spans="1:2" x14ac:dyDescent="0.25">
      <c r="A2508" s="4">
        <v>35426</v>
      </c>
      <c r="B2508" s="6">
        <v>23.55</v>
      </c>
    </row>
    <row r="2509" spans="1:2" x14ac:dyDescent="0.25">
      <c r="A2509" s="4">
        <v>35429</v>
      </c>
      <c r="B2509" s="6">
        <v>23.95</v>
      </c>
    </row>
    <row r="2510" spans="1:2" x14ac:dyDescent="0.25">
      <c r="A2510" s="4">
        <v>35430</v>
      </c>
      <c r="B2510" s="6">
        <v>23.9</v>
      </c>
    </row>
    <row r="2511" spans="1:2" x14ac:dyDescent="0.25">
      <c r="A2511" s="4">
        <v>35431</v>
      </c>
      <c r="B2511" s="5"/>
    </row>
    <row r="2512" spans="1:2" x14ac:dyDescent="0.25">
      <c r="A2512" s="4">
        <v>35432</v>
      </c>
      <c r="B2512" s="6">
        <v>24.45</v>
      </c>
    </row>
    <row r="2513" spans="1:2" x14ac:dyDescent="0.25">
      <c r="A2513" s="4">
        <v>35433</v>
      </c>
      <c r="B2513" s="6">
        <v>24.19</v>
      </c>
    </row>
    <row r="2514" spans="1:2" x14ac:dyDescent="0.25">
      <c r="A2514" s="4">
        <v>35436</v>
      </c>
      <c r="B2514" s="6">
        <v>24.76</v>
      </c>
    </row>
    <row r="2515" spans="1:2" x14ac:dyDescent="0.25">
      <c r="A2515" s="4">
        <v>35437</v>
      </c>
      <c r="B2515" s="6">
        <v>24.76</v>
      </c>
    </row>
    <row r="2516" spans="1:2" x14ac:dyDescent="0.25">
      <c r="A2516" s="4">
        <v>35438</v>
      </c>
      <c r="B2516" s="6">
        <v>24.78</v>
      </c>
    </row>
    <row r="2517" spans="1:2" x14ac:dyDescent="0.25">
      <c r="A2517" s="4">
        <v>35439</v>
      </c>
      <c r="B2517" s="6">
        <v>24.83</v>
      </c>
    </row>
    <row r="2518" spans="1:2" x14ac:dyDescent="0.25">
      <c r="A2518" s="4">
        <v>35440</v>
      </c>
      <c r="B2518" s="6">
        <v>24.22</v>
      </c>
    </row>
    <row r="2519" spans="1:2" x14ac:dyDescent="0.25">
      <c r="A2519" s="4">
        <v>35443</v>
      </c>
      <c r="B2519" s="6">
        <v>23.41</v>
      </c>
    </row>
    <row r="2520" spans="1:2" x14ac:dyDescent="0.25">
      <c r="A2520" s="4">
        <v>35444</v>
      </c>
      <c r="B2520" s="5"/>
    </row>
    <row r="2521" spans="1:2" x14ac:dyDescent="0.25">
      <c r="A2521" s="4">
        <v>35445</v>
      </c>
      <c r="B2521" s="6">
        <v>23.31</v>
      </c>
    </row>
    <row r="2522" spans="1:2" x14ac:dyDescent="0.25">
      <c r="A2522" s="4">
        <v>35446</v>
      </c>
      <c r="B2522" s="6">
        <v>23.31</v>
      </c>
    </row>
    <row r="2523" spans="1:2" x14ac:dyDescent="0.25">
      <c r="A2523" s="4">
        <v>35447</v>
      </c>
      <c r="B2523" s="6">
        <v>22.87</v>
      </c>
    </row>
    <row r="2524" spans="1:2" x14ac:dyDescent="0.25">
      <c r="A2524" s="4">
        <v>35450</v>
      </c>
      <c r="B2524" s="6">
        <v>22.86</v>
      </c>
    </row>
    <row r="2525" spans="1:2" x14ac:dyDescent="0.25">
      <c r="A2525" s="4">
        <v>35451</v>
      </c>
      <c r="B2525" s="6">
        <v>22.98</v>
      </c>
    </row>
    <row r="2526" spans="1:2" x14ac:dyDescent="0.25">
      <c r="A2526" s="4">
        <v>35452</v>
      </c>
      <c r="B2526" s="6">
        <v>22.93</v>
      </c>
    </row>
    <row r="2527" spans="1:2" x14ac:dyDescent="0.25">
      <c r="A2527" s="4">
        <v>35453</v>
      </c>
      <c r="B2527" s="6">
        <v>22.93</v>
      </c>
    </row>
    <row r="2528" spans="1:2" x14ac:dyDescent="0.25">
      <c r="A2528" s="4">
        <v>35454</v>
      </c>
      <c r="B2528" s="6">
        <v>22.8</v>
      </c>
    </row>
    <row r="2529" spans="1:2" x14ac:dyDescent="0.25">
      <c r="A2529" s="4">
        <v>35457</v>
      </c>
      <c r="B2529" s="6">
        <v>22.56</v>
      </c>
    </row>
    <row r="2530" spans="1:2" x14ac:dyDescent="0.25">
      <c r="A2530" s="4">
        <v>35458</v>
      </c>
      <c r="B2530" s="6">
        <v>22.62</v>
      </c>
    </row>
    <row r="2531" spans="1:2" x14ac:dyDescent="0.25">
      <c r="A2531" s="4">
        <v>35459</v>
      </c>
      <c r="B2531" s="6">
        <v>23.01</v>
      </c>
    </row>
    <row r="2532" spans="1:2" x14ac:dyDescent="0.25">
      <c r="A2532" s="4">
        <v>35460</v>
      </c>
      <c r="B2532" s="6">
        <v>23.43</v>
      </c>
    </row>
    <row r="2533" spans="1:2" x14ac:dyDescent="0.25">
      <c r="A2533" s="4">
        <v>35461</v>
      </c>
      <c r="B2533" s="6">
        <v>23.28</v>
      </c>
    </row>
    <row r="2534" spans="1:2" x14ac:dyDescent="0.25">
      <c r="A2534" s="4">
        <v>35464</v>
      </c>
      <c r="B2534" s="6">
        <v>22.91</v>
      </c>
    </row>
    <row r="2535" spans="1:2" x14ac:dyDescent="0.25">
      <c r="A2535" s="4">
        <v>35465</v>
      </c>
      <c r="B2535" s="6">
        <v>22.65</v>
      </c>
    </row>
    <row r="2536" spans="1:2" x14ac:dyDescent="0.25">
      <c r="A2536" s="4">
        <v>35466</v>
      </c>
      <c r="B2536" s="6">
        <v>22.69</v>
      </c>
    </row>
    <row r="2537" spans="1:2" x14ac:dyDescent="0.25">
      <c r="A2537" s="4">
        <v>35467</v>
      </c>
      <c r="B2537" s="6">
        <v>21.86</v>
      </c>
    </row>
    <row r="2538" spans="1:2" x14ac:dyDescent="0.25">
      <c r="A2538" s="4">
        <v>35468</v>
      </c>
      <c r="B2538" s="5"/>
    </row>
    <row r="2539" spans="1:2" x14ac:dyDescent="0.25">
      <c r="A2539" s="4">
        <v>35471</v>
      </c>
      <c r="B2539" s="6">
        <v>20.73</v>
      </c>
    </row>
    <row r="2540" spans="1:2" x14ac:dyDescent="0.25">
      <c r="A2540" s="4">
        <v>35472</v>
      </c>
      <c r="B2540" s="6">
        <v>21.25</v>
      </c>
    </row>
    <row r="2541" spans="1:2" x14ac:dyDescent="0.25">
      <c r="A2541" s="4">
        <v>35473</v>
      </c>
      <c r="B2541" s="6">
        <v>21.15</v>
      </c>
    </row>
    <row r="2542" spans="1:2" x14ac:dyDescent="0.25">
      <c r="A2542" s="4">
        <v>35474</v>
      </c>
      <c r="B2542" s="6">
        <v>20.47</v>
      </c>
    </row>
    <row r="2543" spans="1:2" x14ac:dyDescent="0.25">
      <c r="A2543" s="4">
        <v>35475</v>
      </c>
      <c r="B2543" s="6">
        <v>20.56</v>
      </c>
    </row>
    <row r="2544" spans="1:2" x14ac:dyDescent="0.25">
      <c r="A2544" s="4">
        <v>35478</v>
      </c>
      <c r="B2544" s="6">
        <v>20.48</v>
      </c>
    </row>
    <row r="2545" spans="1:2" x14ac:dyDescent="0.25">
      <c r="A2545" s="4">
        <v>35479</v>
      </c>
      <c r="B2545" s="6">
        <v>20.56</v>
      </c>
    </row>
    <row r="2546" spans="1:2" x14ac:dyDescent="0.25">
      <c r="A2546" s="4">
        <v>35480</v>
      </c>
      <c r="B2546" s="6">
        <v>20.98</v>
      </c>
    </row>
    <row r="2547" spans="1:2" x14ac:dyDescent="0.25">
      <c r="A2547" s="4">
        <v>35481</v>
      </c>
      <c r="B2547" s="6">
        <v>20.57</v>
      </c>
    </row>
    <row r="2548" spans="1:2" x14ac:dyDescent="0.25">
      <c r="A2548" s="4">
        <v>35482</v>
      </c>
      <c r="B2548" s="6">
        <v>20.13</v>
      </c>
    </row>
    <row r="2549" spans="1:2" x14ac:dyDescent="0.25">
      <c r="A2549" s="4">
        <v>35485</v>
      </c>
      <c r="B2549" s="6">
        <v>19.87</v>
      </c>
    </row>
    <row r="2550" spans="1:2" x14ac:dyDescent="0.25">
      <c r="A2550" s="4">
        <v>35486</v>
      </c>
      <c r="B2550" s="6">
        <v>20.079999999999998</v>
      </c>
    </row>
    <row r="2551" spans="1:2" x14ac:dyDescent="0.25">
      <c r="A2551" s="4">
        <v>35487</v>
      </c>
      <c r="B2551" s="6">
        <v>19.82</v>
      </c>
    </row>
    <row r="2552" spans="1:2" x14ac:dyDescent="0.25">
      <c r="A2552" s="4">
        <v>35488</v>
      </c>
      <c r="B2552" s="6">
        <v>19.96</v>
      </c>
    </row>
    <row r="2553" spans="1:2" x14ac:dyDescent="0.25">
      <c r="A2553" s="4">
        <v>35489</v>
      </c>
      <c r="B2553" s="6">
        <v>19.440000000000001</v>
      </c>
    </row>
    <row r="2554" spans="1:2" x14ac:dyDescent="0.25">
      <c r="A2554" s="4">
        <v>35492</v>
      </c>
      <c r="B2554" s="6">
        <v>19.100000000000001</v>
      </c>
    </row>
    <row r="2555" spans="1:2" x14ac:dyDescent="0.25">
      <c r="A2555" s="4">
        <v>35493</v>
      </c>
      <c r="B2555" s="6">
        <v>19.399999999999999</v>
      </c>
    </row>
    <row r="2556" spans="1:2" x14ac:dyDescent="0.25">
      <c r="A2556" s="4">
        <v>35494</v>
      </c>
      <c r="B2556" s="6">
        <v>19.38</v>
      </c>
    </row>
    <row r="2557" spans="1:2" x14ac:dyDescent="0.25">
      <c r="A2557" s="4">
        <v>35495</v>
      </c>
      <c r="B2557" s="6">
        <v>19.55</v>
      </c>
    </row>
    <row r="2558" spans="1:2" x14ac:dyDescent="0.25">
      <c r="A2558" s="4">
        <v>35496</v>
      </c>
      <c r="B2558" s="5"/>
    </row>
    <row r="2559" spans="1:2" x14ac:dyDescent="0.25">
      <c r="A2559" s="4">
        <v>35499</v>
      </c>
      <c r="B2559" s="6">
        <v>19.21</v>
      </c>
    </row>
    <row r="2560" spans="1:2" x14ac:dyDescent="0.25">
      <c r="A2560" s="4">
        <v>35500</v>
      </c>
      <c r="B2560" s="6">
        <v>18.57</v>
      </c>
    </row>
    <row r="2561" spans="1:2" x14ac:dyDescent="0.25">
      <c r="A2561" s="4">
        <v>35501</v>
      </c>
      <c r="B2561" s="6">
        <v>18.98</v>
      </c>
    </row>
    <row r="2562" spans="1:2" x14ac:dyDescent="0.25">
      <c r="A2562" s="4">
        <v>35502</v>
      </c>
      <c r="B2562" s="6">
        <v>19.3</v>
      </c>
    </row>
    <row r="2563" spans="1:2" x14ac:dyDescent="0.25">
      <c r="A2563" s="4">
        <v>35503</v>
      </c>
      <c r="B2563" s="6">
        <v>19.440000000000001</v>
      </c>
    </row>
    <row r="2564" spans="1:2" x14ac:dyDescent="0.25">
      <c r="A2564" s="4">
        <v>35506</v>
      </c>
      <c r="B2564" s="6">
        <v>18.98</v>
      </c>
    </row>
    <row r="2565" spans="1:2" x14ac:dyDescent="0.25">
      <c r="A2565" s="4">
        <v>35507</v>
      </c>
      <c r="B2565" s="6">
        <v>19.54</v>
      </c>
    </row>
    <row r="2566" spans="1:2" x14ac:dyDescent="0.25">
      <c r="A2566" s="4">
        <v>35508</v>
      </c>
      <c r="B2566" s="6">
        <v>20</v>
      </c>
    </row>
    <row r="2567" spans="1:2" x14ac:dyDescent="0.25">
      <c r="A2567" s="4">
        <v>35509</v>
      </c>
      <c r="B2567" s="6">
        <v>19.62</v>
      </c>
    </row>
    <row r="2568" spans="1:2" x14ac:dyDescent="0.25">
      <c r="A2568" s="4">
        <v>35510</v>
      </c>
      <c r="B2568" s="6">
        <v>19.39</v>
      </c>
    </row>
    <row r="2569" spans="1:2" x14ac:dyDescent="0.25">
      <c r="A2569" s="4">
        <v>35513</v>
      </c>
      <c r="B2569" s="6">
        <v>18.93</v>
      </c>
    </row>
    <row r="2570" spans="1:2" x14ac:dyDescent="0.25">
      <c r="A2570" s="4">
        <v>35514</v>
      </c>
      <c r="B2570" s="6">
        <v>18.77</v>
      </c>
    </row>
    <row r="2571" spans="1:2" x14ac:dyDescent="0.25">
      <c r="A2571" s="4">
        <v>35515</v>
      </c>
      <c r="B2571" s="6">
        <v>18.91</v>
      </c>
    </row>
    <row r="2572" spans="1:2" x14ac:dyDescent="0.25">
      <c r="A2572" s="4">
        <v>35516</v>
      </c>
      <c r="B2572" s="6">
        <v>18.53</v>
      </c>
    </row>
    <row r="2573" spans="1:2" x14ac:dyDescent="0.25">
      <c r="A2573" s="4">
        <v>35517</v>
      </c>
      <c r="B2573" s="6">
        <v>18.53</v>
      </c>
    </row>
    <row r="2574" spans="1:2" x14ac:dyDescent="0.25">
      <c r="A2574" s="4">
        <v>35520</v>
      </c>
      <c r="B2574" s="6">
        <v>18.53</v>
      </c>
    </row>
    <row r="2575" spans="1:2" x14ac:dyDescent="0.25">
      <c r="A2575" s="4">
        <v>35521</v>
      </c>
      <c r="B2575" s="6">
        <v>18.149999999999999</v>
      </c>
    </row>
    <row r="2576" spans="1:2" x14ac:dyDescent="0.25">
      <c r="A2576" s="4">
        <v>35522</v>
      </c>
      <c r="B2576" s="6">
        <v>17.97</v>
      </c>
    </row>
    <row r="2577" spans="1:2" x14ac:dyDescent="0.25">
      <c r="A2577" s="4">
        <v>35523</v>
      </c>
      <c r="B2577" s="6">
        <v>17.28</v>
      </c>
    </row>
    <row r="2578" spans="1:2" x14ac:dyDescent="0.25">
      <c r="A2578" s="4">
        <v>35524</v>
      </c>
      <c r="B2578" s="6">
        <v>17.25</v>
      </c>
    </row>
    <row r="2579" spans="1:2" x14ac:dyDescent="0.25">
      <c r="A2579" s="4">
        <v>35527</v>
      </c>
      <c r="B2579" s="6">
        <v>16.920000000000002</v>
      </c>
    </row>
    <row r="2580" spans="1:2" x14ac:dyDescent="0.25">
      <c r="A2580" s="4">
        <v>35528</v>
      </c>
      <c r="B2580" s="6">
        <v>16.98</v>
      </c>
    </row>
    <row r="2581" spans="1:2" x14ac:dyDescent="0.25">
      <c r="A2581" s="4">
        <v>35529</v>
      </c>
      <c r="B2581" s="6">
        <v>17.02</v>
      </c>
    </row>
    <row r="2582" spans="1:2" x14ac:dyDescent="0.25">
      <c r="A2582" s="4">
        <v>35530</v>
      </c>
      <c r="B2582" s="6">
        <v>17.25</v>
      </c>
    </row>
    <row r="2583" spans="1:2" x14ac:dyDescent="0.25">
      <c r="A2583" s="4">
        <v>35531</v>
      </c>
      <c r="B2583" s="6">
        <v>17.54</v>
      </c>
    </row>
    <row r="2584" spans="1:2" x14ac:dyDescent="0.25">
      <c r="A2584" s="4">
        <v>35534</v>
      </c>
      <c r="B2584" s="6">
        <v>17.61</v>
      </c>
    </row>
    <row r="2585" spans="1:2" x14ac:dyDescent="0.25">
      <c r="A2585" s="4">
        <v>35535</v>
      </c>
      <c r="B2585" s="6">
        <v>17.53</v>
      </c>
    </row>
    <row r="2586" spans="1:2" x14ac:dyDescent="0.25">
      <c r="A2586" s="4">
        <v>35536</v>
      </c>
      <c r="B2586" s="6">
        <v>17.239999999999998</v>
      </c>
    </row>
    <row r="2587" spans="1:2" x14ac:dyDescent="0.25">
      <c r="A2587" s="4">
        <v>35537</v>
      </c>
      <c r="B2587" s="6">
        <v>17</v>
      </c>
    </row>
    <row r="2588" spans="1:2" x14ac:dyDescent="0.25">
      <c r="A2588" s="4">
        <v>35538</v>
      </c>
      <c r="B2588" s="6">
        <v>17.260000000000002</v>
      </c>
    </row>
    <row r="2589" spans="1:2" x14ac:dyDescent="0.25">
      <c r="A2589" s="4">
        <v>35541</v>
      </c>
      <c r="B2589" s="6">
        <v>17.739999999999998</v>
      </c>
    </row>
    <row r="2590" spans="1:2" x14ac:dyDescent="0.25">
      <c r="A2590" s="4">
        <v>35542</v>
      </c>
      <c r="B2590" s="6">
        <v>17.72</v>
      </c>
    </row>
    <row r="2591" spans="1:2" x14ac:dyDescent="0.25">
      <c r="A2591" s="4">
        <v>35543</v>
      </c>
      <c r="B2591" s="6">
        <v>17.46</v>
      </c>
    </row>
    <row r="2592" spans="1:2" x14ac:dyDescent="0.25">
      <c r="A2592" s="4">
        <v>35544</v>
      </c>
      <c r="B2592" s="6">
        <v>17.8</v>
      </c>
    </row>
    <row r="2593" spans="1:2" x14ac:dyDescent="0.25">
      <c r="A2593" s="4">
        <v>35545</v>
      </c>
      <c r="B2593" s="6">
        <v>18.07</v>
      </c>
    </row>
    <row r="2594" spans="1:2" x14ac:dyDescent="0.25">
      <c r="A2594" s="4">
        <v>35548</v>
      </c>
      <c r="B2594" s="6">
        <v>17.920000000000002</v>
      </c>
    </row>
    <row r="2595" spans="1:2" x14ac:dyDescent="0.25">
      <c r="A2595" s="4">
        <v>35549</v>
      </c>
      <c r="B2595" s="6">
        <v>18.27</v>
      </c>
    </row>
    <row r="2596" spans="1:2" x14ac:dyDescent="0.25">
      <c r="A2596" s="4">
        <v>35550</v>
      </c>
      <c r="B2596" s="6">
        <v>18.25</v>
      </c>
    </row>
    <row r="2597" spans="1:2" x14ac:dyDescent="0.25">
      <c r="A2597" s="4">
        <v>35551</v>
      </c>
      <c r="B2597" s="6">
        <v>18.239999999999998</v>
      </c>
    </row>
    <row r="2598" spans="1:2" x14ac:dyDescent="0.25">
      <c r="A2598" s="4">
        <v>35552</v>
      </c>
      <c r="B2598" s="6">
        <v>17.7</v>
      </c>
    </row>
    <row r="2599" spans="1:2" x14ac:dyDescent="0.25">
      <c r="A2599" s="4">
        <v>35555</v>
      </c>
      <c r="B2599" s="6">
        <v>17.72</v>
      </c>
    </row>
    <row r="2600" spans="1:2" x14ac:dyDescent="0.25">
      <c r="A2600" s="4">
        <v>35556</v>
      </c>
      <c r="B2600" s="6">
        <v>17.82</v>
      </c>
    </row>
    <row r="2601" spans="1:2" x14ac:dyDescent="0.25">
      <c r="A2601" s="4">
        <v>35557</v>
      </c>
      <c r="B2601" s="6">
        <v>17.84</v>
      </c>
    </row>
    <row r="2602" spans="1:2" x14ac:dyDescent="0.25">
      <c r="A2602" s="4">
        <v>35558</v>
      </c>
      <c r="B2602" s="6">
        <v>18.32</v>
      </c>
    </row>
    <row r="2603" spans="1:2" x14ac:dyDescent="0.25">
      <c r="A2603" s="4">
        <v>35559</v>
      </c>
      <c r="B2603" s="6">
        <v>18.62</v>
      </c>
    </row>
    <row r="2604" spans="1:2" x14ac:dyDescent="0.25">
      <c r="A2604" s="4">
        <v>35562</v>
      </c>
      <c r="B2604" s="6">
        <v>19.420000000000002</v>
      </c>
    </row>
    <row r="2605" spans="1:2" x14ac:dyDescent="0.25">
      <c r="A2605" s="4">
        <v>35563</v>
      </c>
      <c r="B2605" s="6">
        <v>19.399999999999999</v>
      </c>
    </row>
    <row r="2606" spans="1:2" x14ac:dyDescent="0.25">
      <c r="A2606" s="4">
        <v>35564</v>
      </c>
      <c r="B2606" s="6">
        <v>19.100000000000001</v>
      </c>
    </row>
    <row r="2607" spans="1:2" x14ac:dyDescent="0.25">
      <c r="A2607" s="4">
        <v>35565</v>
      </c>
      <c r="B2607" s="6">
        <v>19.399999999999999</v>
      </c>
    </row>
    <row r="2608" spans="1:2" x14ac:dyDescent="0.25">
      <c r="A2608" s="4">
        <v>35566</v>
      </c>
      <c r="B2608" s="6">
        <v>19.77</v>
      </c>
    </row>
    <row r="2609" spans="1:2" x14ac:dyDescent="0.25">
      <c r="A2609" s="4">
        <v>35569</v>
      </c>
      <c r="B2609" s="6">
        <v>19.920000000000002</v>
      </c>
    </row>
    <row r="2610" spans="1:2" x14ac:dyDescent="0.25">
      <c r="A2610" s="4">
        <v>35570</v>
      </c>
      <c r="B2610" s="6">
        <v>19.75</v>
      </c>
    </row>
    <row r="2611" spans="1:2" x14ac:dyDescent="0.25">
      <c r="A2611" s="4">
        <v>35571</v>
      </c>
      <c r="B2611" s="6">
        <v>19.7</v>
      </c>
    </row>
    <row r="2612" spans="1:2" x14ac:dyDescent="0.25">
      <c r="A2612" s="4">
        <v>35572</v>
      </c>
      <c r="B2612" s="6">
        <v>20.03</v>
      </c>
    </row>
    <row r="2613" spans="1:2" x14ac:dyDescent="0.25">
      <c r="A2613" s="4">
        <v>35573</v>
      </c>
      <c r="B2613" s="6">
        <v>20.149999999999999</v>
      </c>
    </row>
    <row r="2614" spans="1:2" x14ac:dyDescent="0.25">
      <c r="A2614" s="4">
        <v>35576</v>
      </c>
      <c r="B2614" s="5"/>
    </row>
    <row r="2615" spans="1:2" x14ac:dyDescent="0.25">
      <c r="A2615" s="4">
        <v>35577</v>
      </c>
      <c r="B2615" s="6">
        <v>19.329999999999998</v>
      </c>
    </row>
    <row r="2616" spans="1:2" x14ac:dyDescent="0.25">
      <c r="A2616" s="4">
        <v>35578</v>
      </c>
      <c r="B2616" s="6">
        <v>18.88</v>
      </c>
    </row>
    <row r="2617" spans="1:2" x14ac:dyDescent="0.25">
      <c r="A2617" s="4">
        <v>35579</v>
      </c>
      <c r="B2617" s="6">
        <v>19.38</v>
      </c>
    </row>
    <row r="2618" spans="1:2" x14ac:dyDescent="0.25">
      <c r="A2618" s="4">
        <v>35580</v>
      </c>
      <c r="B2618" s="6">
        <v>18.989999999999998</v>
      </c>
    </row>
    <row r="2619" spans="1:2" x14ac:dyDescent="0.25">
      <c r="A2619" s="4">
        <v>35583</v>
      </c>
      <c r="B2619" s="6">
        <v>19.170000000000002</v>
      </c>
    </row>
    <row r="2620" spans="1:2" x14ac:dyDescent="0.25">
      <c r="A2620" s="4">
        <v>35584</v>
      </c>
      <c r="B2620" s="6">
        <v>18.59</v>
      </c>
    </row>
    <row r="2621" spans="1:2" x14ac:dyDescent="0.25">
      <c r="A2621" s="4">
        <v>35585</v>
      </c>
      <c r="B2621" s="6">
        <v>18.36</v>
      </c>
    </row>
    <row r="2622" spans="1:2" x14ac:dyDescent="0.25">
      <c r="A2622" s="4">
        <v>35586</v>
      </c>
      <c r="B2622" s="6">
        <v>17.96</v>
      </c>
    </row>
    <row r="2623" spans="1:2" x14ac:dyDescent="0.25">
      <c r="A2623" s="4">
        <v>35587</v>
      </c>
      <c r="B2623" s="6">
        <v>17.43</v>
      </c>
    </row>
    <row r="2624" spans="1:2" x14ac:dyDescent="0.25">
      <c r="A2624" s="4">
        <v>35590</v>
      </c>
      <c r="B2624" s="6">
        <v>17.079999999999998</v>
      </c>
    </row>
    <row r="2625" spans="1:2" x14ac:dyDescent="0.25">
      <c r="A2625" s="4">
        <v>35591</v>
      </c>
      <c r="B2625" s="6">
        <v>17.010000000000002</v>
      </c>
    </row>
    <row r="2626" spans="1:2" x14ac:dyDescent="0.25">
      <c r="A2626" s="4">
        <v>35592</v>
      </c>
      <c r="B2626" s="6">
        <v>16.690000000000001</v>
      </c>
    </row>
    <row r="2627" spans="1:2" x14ac:dyDescent="0.25">
      <c r="A2627" s="4">
        <v>35593</v>
      </c>
      <c r="B2627" s="6">
        <v>16.79</v>
      </c>
    </row>
    <row r="2628" spans="1:2" x14ac:dyDescent="0.25">
      <c r="A2628" s="4">
        <v>35594</v>
      </c>
      <c r="B2628" s="6">
        <v>16.829999999999998</v>
      </c>
    </row>
    <row r="2629" spans="1:2" x14ac:dyDescent="0.25">
      <c r="A2629" s="4">
        <v>35597</v>
      </c>
      <c r="B2629" s="6">
        <v>17.149999999999999</v>
      </c>
    </row>
    <row r="2630" spans="1:2" x14ac:dyDescent="0.25">
      <c r="A2630" s="4">
        <v>35598</v>
      </c>
      <c r="B2630" s="6">
        <v>17.55</v>
      </c>
    </row>
    <row r="2631" spans="1:2" x14ac:dyDescent="0.25">
      <c r="A2631" s="4">
        <v>35599</v>
      </c>
      <c r="B2631" s="6">
        <v>17.22</v>
      </c>
    </row>
    <row r="2632" spans="1:2" x14ac:dyDescent="0.25">
      <c r="A2632" s="4">
        <v>35600</v>
      </c>
      <c r="B2632" s="6">
        <v>17.34</v>
      </c>
    </row>
    <row r="2633" spans="1:2" x14ac:dyDescent="0.25">
      <c r="A2633" s="4">
        <v>35601</v>
      </c>
      <c r="B2633" s="6">
        <v>17.09</v>
      </c>
    </row>
    <row r="2634" spans="1:2" x14ac:dyDescent="0.25">
      <c r="A2634" s="4">
        <v>35604</v>
      </c>
      <c r="B2634" s="6">
        <v>17.8</v>
      </c>
    </row>
    <row r="2635" spans="1:2" x14ac:dyDescent="0.25">
      <c r="A2635" s="4">
        <v>35605</v>
      </c>
      <c r="B2635" s="6">
        <v>17.649999999999999</v>
      </c>
    </row>
    <row r="2636" spans="1:2" x14ac:dyDescent="0.25">
      <c r="A2636" s="4">
        <v>35606</v>
      </c>
      <c r="B2636" s="6">
        <v>17.649999999999999</v>
      </c>
    </row>
    <row r="2637" spans="1:2" x14ac:dyDescent="0.25">
      <c r="A2637" s="4">
        <v>35607</v>
      </c>
      <c r="B2637" s="6">
        <v>17.600000000000001</v>
      </c>
    </row>
    <row r="2638" spans="1:2" x14ac:dyDescent="0.25">
      <c r="A2638" s="4">
        <v>35608</v>
      </c>
      <c r="B2638" s="6">
        <v>18</v>
      </c>
    </row>
    <row r="2639" spans="1:2" x14ac:dyDescent="0.25">
      <c r="A2639" s="4">
        <v>35611</v>
      </c>
      <c r="B2639" s="6">
        <v>18.22</v>
      </c>
    </row>
    <row r="2640" spans="1:2" x14ac:dyDescent="0.25">
      <c r="A2640" s="4">
        <v>35612</v>
      </c>
      <c r="B2640" s="5"/>
    </row>
    <row r="2641" spans="1:2" x14ac:dyDescent="0.25">
      <c r="A2641" s="4">
        <v>35613</v>
      </c>
      <c r="B2641" s="6">
        <v>18.829999999999998</v>
      </c>
    </row>
    <row r="2642" spans="1:2" x14ac:dyDescent="0.25">
      <c r="A2642" s="4">
        <v>35614</v>
      </c>
      <c r="B2642" s="6">
        <v>18.18</v>
      </c>
    </row>
    <row r="2643" spans="1:2" x14ac:dyDescent="0.25">
      <c r="A2643" s="4">
        <v>35615</v>
      </c>
      <c r="B2643" s="5"/>
    </row>
    <row r="2644" spans="1:2" x14ac:dyDescent="0.25">
      <c r="A2644" s="4">
        <v>35618</v>
      </c>
      <c r="B2644" s="6">
        <v>18.28</v>
      </c>
    </row>
    <row r="2645" spans="1:2" x14ac:dyDescent="0.25">
      <c r="A2645" s="4">
        <v>35619</v>
      </c>
      <c r="B2645" s="5"/>
    </row>
    <row r="2646" spans="1:2" x14ac:dyDescent="0.25">
      <c r="A2646" s="4">
        <v>35620</v>
      </c>
      <c r="B2646" s="6">
        <v>18.25</v>
      </c>
    </row>
    <row r="2647" spans="1:2" x14ac:dyDescent="0.25">
      <c r="A2647" s="4">
        <v>35621</v>
      </c>
      <c r="B2647" s="6">
        <v>18.16</v>
      </c>
    </row>
    <row r="2648" spans="1:2" x14ac:dyDescent="0.25">
      <c r="A2648" s="4">
        <v>35622</v>
      </c>
      <c r="B2648" s="6">
        <v>18</v>
      </c>
    </row>
    <row r="2649" spans="1:2" x14ac:dyDescent="0.25">
      <c r="A2649" s="4">
        <v>35625</v>
      </c>
      <c r="B2649" s="6">
        <v>17.79</v>
      </c>
    </row>
    <row r="2650" spans="1:2" x14ac:dyDescent="0.25">
      <c r="A2650" s="4">
        <v>35626</v>
      </c>
      <c r="B2650" s="6">
        <v>18.190000000000001</v>
      </c>
    </row>
    <row r="2651" spans="1:2" x14ac:dyDescent="0.25">
      <c r="A2651" s="4">
        <v>35627</v>
      </c>
      <c r="B2651" s="6">
        <v>18.27</v>
      </c>
    </row>
    <row r="2652" spans="1:2" x14ac:dyDescent="0.25">
      <c r="A2652" s="4">
        <v>35628</v>
      </c>
      <c r="B2652" s="6">
        <v>18.829999999999998</v>
      </c>
    </row>
    <row r="2653" spans="1:2" x14ac:dyDescent="0.25">
      <c r="A2653" s="4">
        <v>35629</v>
      </c>
      <c r="B2653" s="6">
        <v>18.21</v>
      </c>
    </row>
    <row r="2654" spans="1:2" x14ac:dyDescent="0.25">
      <c r="A2654" s="4">
        <v>35632</v>
      </c>
      <c r="B2654" s="6">
        <v>18.23</v>
      </c>
    </row>
    <row r="2655" spans="1:2" x14ac:dyDescent="0.25">
      <c r="A2655" s="4">
        <v>35633</v>
      </c>
      <c r="B2655" s="6">
        <v>18.47</v>
      </c>
    </row>
    <row r="2656" spans="1:2" x14ac:dyDescent="0.25">
      <c r="A2656" s="4">
        <v>35634</v>
      </c>
      <c r="B2656" s="6">
        <v>18.71</v>
      </c>
    </row>
    <row r="2657" spans="1:2" x14ac:dyDescent="0.25">
      <c r="A2657" s="4">
        <v>35635</v>
      </c>
      <c r="B2657" s="6">
        <v>18.66</v>
      </c>
    </row>
    <row r="2658" spans="1:2" x14ac:dyDescent="0.25">
      <c r="A2658" s="4">
        <v>35636</v>
      </c>
      <c r="B2658" s="6">
        <v>18.77</v>
      </c>
    </row>
    <row r="2659" spans="1:2" x14ac:dyDescent="0.25">
      <c r="A2659" s="4">
        <v>35639</v>
      </c>
      <c r="B2659" s="6">
        <v>18.760000000000002</v>
      </c>
    </row>
    <row r="2660" spans="1:2" x14ac:dyDescent="0.25">
      <c r="A2660" s="4">
        <v>35640</v>
      </c>
      <c r="B2660" s="6">
        <v>18.739999999999998</v>
      </c>
    </row>
    <row r="2661" spans="1:2" x14ac:dyDescent="0.25">
      <c r="A2661" s="4">
        <v>35641</v>
      </c>
      <c r="B2661" s="6">
        <v>19.02</v>
      </c>
    </row>
    <row r="2662" spans="1:2" x14ac:dyDescent="0.25">
      <c r="A2662" s="4">
        <v>35642</v>
      </c>
      <c r="B2662" s="6">
        <v>18.940000000000001</v>
      </c>
    </row>
    <row r="2663" spans="1:2" x14ac:dyDescent="0.25">
      <c r="A2663" s="4">
        <v>35643</v>
      </c>
      <c r="B2663" s="6">
        <v>19.329999999999998</v>
      </c>
    </row>
    <row r="2664" spans="1:2" x14ac:dyDescent="0.25">
      <c r="A2664" s="4">
        <v>35646</v>
      </c>
      <c r="B2664" s="6">
        <v>19.64</v>
      </c>
    </row>
    <row r="2665" spans="1:2" x14ac:dyDescent="0.25">
      <c r="A2665" s="4">
        <v>35647</v>
      </c>
      <c r="B2665" s="6">
        <v>19.510000000000002</v>
      </c>
    </row>
    <row r="2666" spans="1:2" x14ac:dyDescent="0.25">
      <c r="A2666" s="4">
        <v>35648</v>
      </c>
      <c r="B2666" s="6">
        <v>19.21</v>
      </c>
    </row>
    <row r="2667" spans="1:2" x14ac:dyDescent="0.25">
      <c r="A2667" s="4">
        <v>35649</v>
      </c>
      <c r="B2667" s="6">
        <v>18.940000000000001</v>
      </c>
    </row>
    <row r="2668" spans="1:2" x14ac:dyDescent="0.25">
      <c r="A2668" s="4">
        <v>35650</v>
      </c>
      <c r="B2668" s="6">
        <v>18.559999999999999</v>
      </c>
    </row>
    <row r="2669" spans="1:2" x14ac:dyDescent="0.25">
      <c r="A2669" s="4">
        <v>35653</v>
      </c>
      <c r="B2669" s="6">
        <v>18.21</v>
      </c>
    </row>
    <row r="2670" spans="1:2" x14ac:dyDescent="0.25">
      <c r="A2670" s="4">
        <v>35654</v>
      </c>
      <c r="B2670" s="6">
        <v>18.559999999999999</v>
      </c>
    </row>
    <row r="2671" spans="1:2" x14ac:dyDescent="0.25">
      <c r="A2671" s="4">
        <v>35655</v>
      </c>
      <c r="B2671" s="6">
        <v>18.63</v>
      </c>
    </row>
    <row r="2672" spans="1:2" x14ac:dyDescent="0.25">
      <c r="A2672" s="4">
        <v>35656</v>
      </c>
      <c r="B2672" s="6">
        <v>19</v>
      </c>
    </row>
    <row r="2673" spans="1:2" x14ac:dyDescent="0.25">
      <c r="A2673" s="4">
        <v>35657</v>
      </c>
      <c r="B2673" s="6">
        <v>18.77</v>
      </c>
    </row>
    <row r="2674" spans="1:2" x14ac:dyDescent="0.25">
      <c r="A2674" s="4">
        <v>35660</v>
      </c>
      <c r="B2674" s="6">
        <v>18.41</v>
      </c>
    </row>
    <row r="2675" spans="1:2" x14ac:dyDescent="0.25">
      <c r="A2675" s="4">
        <v>35661</v>
      </c>
      <c r="B2675" s="6">
        <v>18.88</v>
      </c>
    </row>
    <row r="2676" spans="1:2" x14ac:dyDescent="0.25">
      <c r="A2676" s="4">
        <v>35662</v>
      </c>
      <c r="B2676" s="6">
        <v>18.829999999999998</v>
      </c>
    </row>
    <row r="2677" spans="1:2" x14ac:dyDescent="0.25">
      <c r="A2677" s="4">
        <v>35663</v>
      </c>
      <c r="B2677" s="6">
        <v>18.260000000000002</v>
      </c>
    </row>
    <row r="2678" spans="1:2" x14ac:dyDescent="0.25">
      <c r="A2678" s="4">
        <v>35664</v>
      </c>
      <c r="B2678" s="5"/>
    </row>
    <row r="2679" spans="1:2" x14ac:dyDescent="0.25">
      <c r="A2679" s="4">
        <v>35667</v>
      </c>
      <c r="B2679" s="6">
        <v>17.87</v>
      </c>
    </row>
    <row r="2680" spans="1:2" x14ac:dyDescent="0.25">
      <c r="A2680" s="4">
        <v>35668</v>
      </c>
      <c r="B2680" s="6">
        <v>17.579999999999998</v>
      </c>
    </row>
    <row r="2681" spans="1:2" x14ac:dyDescent="0.25">
      <c r="A2681" s="4">
        <v>35669</v>
      </c>
      <c r="B2681" s="6">
        <v>17.829999999999998</v>
      </c>
    </row>
    <row r="2682" spans="1:2" x14ac:dyDescent="0.25">
      <c r="A2682" s="4">
        <v>35670</v>
      </c>
      <c r="B2682" s="6">
        <v>17.91</v>
      </c>
    </row>
    <row r="2683" spans="1:2" x14ac:dyDescent="0.25">
      <c r="A2683" s="4">
        <v>35671</v>
      </c>
      <c r="B2683" s="6">
        <v>17.98</v>
      </c>
    </row>
    <row r="2684" spans="1:2" x14ac:dyDescent="0.25">
      <c r="A2684" s="4">
        <v>35674</v>
      </c>
      <c r="B2684" s="5"/>
    </row>
    <row r="2685" spans="1:2" x14ac:dyDescent="0.25">
      <c r="A2685" s="4">
        <v>35675</v>
      </c>
      <c r="B2685" s="6">
        <v>18.22</v>
      </c>
    </row>
    <row r="2686" spans="1:2" x14ac:dyDescent="0.25">
      <c r="A2686" s="4">
        <v>35676</v>
      </c>
      <c r="B2686" s="6">
        <v>18.12</v>
      </c>
    </row>
    <row r="2687" spans="1:2" x14ac:dyDescent="0.25">
      <c r="A2687" s="4">
        <v>35677</v>
      </c>
      <c r="B2687" s="6">
        <v>17.920000000000002</v>
      </c>
    </row>
    <row r="2688" spans="1:2" x14ac:dyDescent="0.25">
      <c r="A2688" s="4">
        <v>35678</v>
      </c>
      <c r="B2688" s="6">
        <v>18.149999999999999</v>
      </c>
    </row>
    <row r="2689" spans="1:2" x14ac:dyDescent="0.25">
      <c r="A2689" s="4">
        <v>35681</v>
      </c>
      <c r="B2689" s="6">
        <v>18.03</v>
      </c>
    </row>
    <row r="2690" spans="1:2" x14ac:dyDescent="0.25">
      <c r="A2690" s="4">
        <v>35682</v>
      </c>
      <c r="B2690" s="6">
        <v>18.18</v>
      </c>
    </row>
    <row r="2691" spans="1:2" x14ac:dyDescent="0.25">
      <c r="A2691" s="4">
        <v>35683</v>
      </c>
      <c r="B2691" s="6">
        <v>18.079999999999998</v>
      </c>
    </row>
    <row r="2692" spans="1:2" x14ac:dyDescent="0.25">
      <c r="A2692" s="4">
        <v>35684</v>
      </c>
      <c r="B2692" s="6">
        <v>18.21</v>
      </c>
    </row>
    <row r="2693" spans="1:2" x14ac:dyDescent="0.25">
      <c r="A2693" s="4">
        <v>35685</v>
      </c>
      <c r="B2693" s="6">
        <v>18.059999999999999</v>
      </c>
    </row>
    <row r="2694" spans="1:2" x14ac:dyDescent="0.25">
      <c r="A2694" s="4">
        <v>35688</v>
      </c>
      <c r="B2694" s="6">
        <v>18.05</v>
      </c>
    </row>
    <row r="2695" spans="1:2" x14ac:dyDescent="0.25">
      <c r="A2695" s="4">
        <v>35689</v>
      </c>
      <c r="B2695" s="6">
        <v>18.399999999999999</v>
      </c>
    </row>
    <row r="2696" spans="1:2" x14ac:dyDescent="0.25">
      <c r="A2696" s="4">
        <v>35690</v>
      </c>
      <c r="B2696" s="6">
        <v>18.21</v>
      </c>
    </row>
    <row r="2697" spans="1:2" x14ac:dyDescent="0.25">
      <c r="A2697" s="4">
        <v>35691</v>
      </c>
      <c r="B2697" s="6">
        <v>18.14</v>
      </c>
    </row>
    <row r="2698" spans="1:2" x14ac:dyDescent="0.25">
      <c r="A2698" s="4">
        <v>35692</v>
      </c>
      <c r="B2698" s="6">
        <v>18.32</v>
      </c>
    </row>
    <row r="2699" spans="1:2" x14ac:dyDescent="0.25">
      <c r="A2699" s="4">
        <v>35695</v>
      </c>
      <c r="B2699" s="6">
        <v>18.649999999999999</v>
      </c>
    </row>
    <row r="2700" spans="1:2" x14ac:dyDescent="0.25">
      <c r="A2700" s="4">
        <v>35696</v>
      </c>
      <c r="B2700" s="6">
        <v>18.57</v>
      </c>
    </row>
    <row r="2701" spans="1:2" x14ac:dyDescent="0.25">
      <c r="A2701" s="4">
        <v>35697</v>
      </c>
      <c r="B2701" s="6">
        <v>18.52</v>
      </c>
    </row>
    <row r="2702" spans="1:2" x14ac:dyDescent="0.25">
      <c r="A2702" s="4">
        <v>35698</v>
      </c>
      <c r="B2702" s="6">
        <v>19.05</v>
      </c>
    </row>
    <row r="2703" spans="1:2" x14ac:dyDescent="0.25">
      <c r="A2703" s="4">
        <v>35699</v>
      </c>
      <c r="B2703" s="6">
        <v>19.36</v>
      </c>
    </row>
    <row r="2704" spans="1:2" x14ac:dyDescent="0.25">
      <c r="A2704" s="4">
        <v>35702</v>
      </c>
      <c r="B2704" s="6">
        <v>19.48</v>
      </c>
    </row>
    <row r="2705" spans="1:2" x14ac:dyDescent="0.25">
      <c r="A2705" s="4">
        <v>35703</v>
      </c>
      <c r="B2705" s="6">
        <v>19.96</v>
      </c>
    </row>
    <row r="2706" spans="1:2" x14ac:dyDescent="0.25">
      <c r="A2706" s="4">
        <v>35704</v>
      </c>
      <c r="B2706" s="6">
        <v>19.87</v>
      </c>
    </row>
    <row r="2707" spans="1:2" x14ac:dyDescent="0.25">
      <c r="A2707" s="4">
        <v>35705</v>
      </c>
      <c r="B2707" s="6">
        <v>20.079999999999998</v>
      </c>
    </row>
    <row r="2708" spans="1:2" x14ac:dyDescent="0.25">
      <c r="A2708" s="4">
        <v>35706</v>
      </c>
      <c r="B2708" s="6">
        <v>21.29</v>
      </c>
    </row>
    <row r="2709" spans="1:2" x14ac:dyDescent="0.25">
      <c r="A2709" s="4">
        <v>35709</v>
      </c>
      <c r="B2709" s="6">
        <v>20.94</v>
      </c>
    </row>
    <row r="2710" spans="1:2" x14ac:dyDescent="0.25">
      <c r="A2710" s="4">
        <v>35710</v>
      </c>
      <c r="B2710" s="6">
        <v>20.71</v>
      </c>
    </row>
    <row r="2711" spans="1:2" x14ac:dyDescent="0.25">
      <c r="A2711" s="4">
        <v>35711</v>
      </c>
      <c r="B2711" s="6">
        <v>20.79</v>
      </c>
    </row>
    <row r="2712" spans="1:2" x14ac:dyDescent="0.25">
      <c r="A2712" s="4">
        <v>35712</v>
      </c>
      <c r="B2712" s="6">
        <v>20.6</v>
      </c>
    </row>
    <row r="2713" spans="1:2" x14ac:dyDescent="0.25">
      <c r="A2713" s="4">
        <v>35713</v>
      </c>
      <c r="B2713" s="6">
        <v>20.73</v>
      </c>
    </row>
    <row r="2714" spans="1:2" x14ac:dyDescent="0.25">
      <c r="A2714" s="4">
        <v>35716</v>
      </c>
      <c r="B2714" s="6">
        <v>20.079999999999998</v>
      </c>
    </row>
    <row r="2715" spans="1:2" x14ac:dyDescent="0.25">
      <c r="A2715" s="4">
        <v>35717</v>
      </c>
      <c r="B2715" s="6">
        <v>19.399999999999999</v>
      </c>
    </row>
    <row r="2716" spans="1:2" x14ac:dyDescent="0.25">
      <c r="A2716" s="4">
        <v>35718</v>
      </c>
      <c r="B2716" s="6">
        <v>19.27</v>
      </c>
    </row>
    <row r="2717" spans="1:2" x14ac:dyDescent="0.25">
      <c r="A2717" s="4">
        <v>35719</v>
      </c>
      <c r="B2717" s="6">
        <v>19.559999999999999</v>
      </c>
    </row>
    <row r="2718" spans="1:2" x14ac:dyDescent="0.25">
      <c r="A2718" s="4">
        <v>35720</v>
      </c>
      <c r="B2718" s="6">
        <v>19.43</v>
      </c>
    </row>
    <row r="2719" spans="1:2" x14ac:dyDescent="0.25">
      <c r="A2719" s="4">
        <v>35723</v>
      </c>
      <c r="B2719" s="6">
        <v>19.29</v>
      </c>
    </row>
    <row r="2720" spans="1:2" x14ac:dyDescent="0.25">
      <c r="A2720" s="4">
        <v>35724</v>
      </c>
      <c r="B2720" s="6">
        <v>19.3</v>
      </c>
    </row>
    <row r="2721" spans="1:2" x14ac:dyDescent="0.25">
      <c r="A2721" s="4">
        <v>35725</v>
      </c>
      <c r="B2721" s="6">
        <v>19.86</v>
      </c>
    </row>
    <row r="2722" spans="1:2" x14ac:dyDescent="0.25">
      <c r="A2722" s="4">
        <v>35726</v>
      </c>
      <c r="B2722" s="6">
        <v>19.89</v>
      </c>
    </row>
    <row r="2723" spans="1:2" x14ac:dyDescent="0.25">
      <c r="A2723" s="4">
        <v>35727</v>
      </c>
      <c r="B2723" s="6">
        <v>19.45</v>
      </c>
    </row>
    <row r="2724" spans="1:2" x14ac:dyDescent="0.25">
      <c r="A2724" s="4">
        <v>35730</v>
      </c>
      <c r="B2724" s="6">
        <v>19.63</v>
      </c>
    </row>
    <row r="2725" spans="1:2" x14ac:dyDescent="0.25">
      <c r="A2725" s="4">
        <v>35731</v>
      </c>
      <c r="B2725" s="6">
        <v>18.86</v>
      </c>
    </row>
    <row r="2726" spans="1:2" x14ac:dyDescent="0.25">
      <c r="A2726" s="4">
        <v>35732</v>
      </c>
      <c r="B2726" s="6">
        <v>19</v>
      </c>
    </row>
    <row r="2727" spans="1:2" x14ac:dyDescent="0.25">
      <c r="A2727" s="4">
        <v>35733</v>
      </c>
      <c r="B2727" s="6">
        <v>19.45</v>
      </c>
    </row>
    <row r="2728" spans="1:2" x14ac:dyDescent="0.25">
      <c r="A2728" s="4">
        <v>35734</v>
      </c>
      <c r="B2728" s="6">
        <v>19.420000000000002</v>
      </c>
    </row>
    <row r="2729" spans="1:2" x14ac:dyDescent="0.25">
      <c r="A2729" s="4">
        <v>35737</v>
      </c>
      <c r="B2729" s="6">
        <v>19.48</v>
      </c>
    </row>
    <row r="2730" spans="1:2" x14ac:dyDescent="0.25">
      <c r="A2730" s="4">
        <v>35738</v>
      </c>
      <c r="B2730" s="6">
        <v>19.100000000000001</v>
      </c>
    </row>
    <row r="2731" spans="1:2" x14ac:dyDescent="0.25">
      <c r="A2731" s="4">
        <v>35739</v>
      </c>
      <c r="B2731" s="6">
        <v>18.93</v>
      </c>
    </row>
    <row r="2732" spans="1:2" x14ac:dyDescent="0.25">
      <c r="A2732" s="4">
        <v>35740</v>
      </c>
      <c r="B2732" s="6">
        <v>18.97</v>
      </c>
    </row>
    <row r="2733" spans="1:2" x14ac:dyDescent="0.25">
      <c r="A2733" s="4">
        <v>35741</v>
      </c>
      <c r="B2733" s="6">
        <v>19.239999999999998</v>
      </c>
    </row>
    <row r="2734" spans="1:2" x14ac:dyDescent="0.25">
      <c r="A2734" s="4">
        <v>35744</v>
      </c>
      <c r="B2734" s="6">
        <v>19.14</v>
      </c>
    </row>
    <row r="2735" spans="1:2" x14ac:dyDescent="0.25">
      <c r="A2735" s="4">
        <v>35745</v>
      </c>
      <c r="B2735" s="5"/>
    </row>
    <row r="2736" spans="1:2" x14ac:dyDescent="0.25">
      <c r="A2736" s="4">
        <v>35746</v>
      </c>
      <c r="B2736" s="6">
        <v>19.260000000000002</v>
      </c>
    </row>
    <row r="2737" spans="1:2" x14ac:dyDescent="0.25">
      <c r="A2737" s="4">
        <v>35747</v>
      </c>
      <c r="B2737" s="6">
        <v>19.71</v>
      </c>
    </row>
    <row r="2738" spans="1:2" x14ac:dyDescent="0.25">
      <c r="A2738" s="4">
        <v>35748</v>
      </c>
      <c r="B2738" s="6">
        <v>20.239999999999998</v>
      </c>
    </row>
    <row r="2739" spans="1:2" x14ac:dyDescent="0.25">
      <c r="A2739" s="4">
        <v>35751</v>
      </c>
      <c r="B2739" s="6">
        <v>19.54</v>
      </c>
    </row>
    <row r="2740" spans="1:2" x14ac:dyDescent="0.25">
      <c r="A2740" s="4">
        <v>35752</v>
      </c>
      <c r="B2740" s="6">
        <v>19.39</v>
      </c>
    </row>
    <row r="2741" spans="1:2" x14ac:dyDescent="0.25">
      <c r="A2741" s="4">
        <v>35753</v>
      </c>
      <c r="B2741" s="6">
        <v>19.41</v>
      </c>
    </row>
    <row r="2742" spans="1:2" x14ac:dyDescent="0.25">
      <c r="A2742" s="4">
        <v>35754</v>
      </c>
      <c r="B2742" s="6">
        <v>18.82</v>
      </c>
    </row>
    <row r="2743" spans="1:2" x14ac:dyDescent="0.25">
      <c r="A2743" s="4">
        <v>35755</v>
      </c>
      <c r="B2743" s="6">
        <v>18.829999999999998</v>
      </c>
    </row>
    <row r="2744" spans="1:2" x14ac:dyDescent="0.25">
      <c r="A2744" s="4">
        <v>35758</v>
      </c>
      <c r="B2744" s="6">
        <v>19.010000000000002</v>
      </c>
    </row>
    <row r="2745" spans="1:2" x14ac:dyDescent="0.25">
      <c r="A2745" s="4">
        <v>35759</v>
      </c>
      <c r="B2745" s="6">
        <v>19.14</v>
      </c>
    </row>
    <row r="2746" spans="1:2" x14ac:dyDescent="0.25">
      <c r="A2746" s="4">
        <v>35760</v>
      </c>
      <c r="B2746" s="6">
        <v>18.5</v>
      </c>
    </row>
    <row r="2747" spans="1:2" x14ac:dyDescent="0.25">
      <c r="A2747" s="4">
        <v>35761</v>
      </c>
      <c r="B2747" s="6">
        <v>18.64</v>
      </c>
    </row>
    <row r="2748" spans="1:2" x14ac:dyDescent="0.25">
      <c r="A2748" s="4">
        <v>35762</v>
      </c>
      <c r="B2748" s="6">
        <v>18.96</v>
      </c>
    </row>
    <row r="2749" spans="1:2" x14ac:dyDescent="0.25">
      <c r="A2749" s="4">
        <v>35765</v>
      </c>
      <c r="B2749" s="6">
        <v>18.010000000000002</v>
      </c>
    </row>
    <row r="2750" spans="1:2" x14ac:dyDescent="0.25">
      <c r="A2750" s="4">
        <v>35766</v>
      </c>
      <c r="B2750" s="6">
        <v>18.04</v>
      </c>
    </row>
    <row r="2751" spans="1:2" x14ac:dyDescent="0.25">
      <c r="A2751" s="4">
        <v>35767</v>
      </c>
      <c r="B2751" s="6">
        <v>17.940000000000001</v>
      </c>
    </row>
    <row r="2752" spans="1:2" x14ac:dyDescent="0.25">
      <c r="A2752" s="4">
        <v>35768</v>
      </c>
      <c r="B2752" s="6">
        <v>17.7</v>
      </c>
    </row>
    <row r="2753" spans="1:2" x14ac:dyDescent="0.25">
      <c r="A2753" s="4">
        <v>35769</v>
      </c>
      <c r="B2753" s="6">
        <v>17.91</v>
      </c>
    </row>
    <row r="2754" spans="1:2" x14ac:dyDescent="0.25">
      <c r="A2754" s="4">
        <v>35772</v>
      </c>
      <c r="B2754" s="6">
        <v>17.87</v>
      </c>
    </row>
    <row r="2755" spans="1:2" x14ac:dyDescent="0.25">
      <c r="A2755" s="4">
        <v>35773</v>
      </c>
      <c r="B2755" s="6">
        <v>17.57</v>
      </c>
    </row>
    <row r="2756" spans="1:2" x14ac:dyDescent="0.25">
      <c r="A2756" s="4">
        <v>35774</v>
      </c>
      <c r="B2756" s="6">
        <v>17.079999999999998</v>
      </c>
    </row>
    <row r="2757" spans="1:2" x14ac:dyDescent="0.25">
      <c r="A2757" s="4">
        <v>35775</v>
      </c>
      <c r="B2757" s="6">
        <v>16.98</v>
      </c>
    </row>
    <row r="2758" spans="1:2" x14ac:dyDescent="0.25">
      <c r="A2758" s="4">
        <v>35776</v>
      </c>
      <c r="B2758" s="6">
        <v>17.12</v>
      </c>
    </row>
    <row r="2759" spans="1:2" x14ac:dyDescent="0.25">
      <c r="A2759" s="4">
        <v>35779</v>
      </c>
      <c r="B2759" s="6">
        <v>16.89</v>
      </c>
    </row>
    <row r="2760" spans="1:2" x14ac:dyDescent="0.25">
      <c r="A2760" s="4">
        <v>35780</v>
      </c>
      <c r="B2760" s="6">
        <v>16.8</v>
      </c>
    </row>
    <row r="2761" spans="1:2" x14ac:dyDescent="0.25">
      <c r="A2761" s="4">
        <v>35781</v>
      </c>
      <c r="B2761" s="6">
        <v>16.98</v>
      </c>
    </row>
    <row r="2762" spans="1:2" x14ac:dyDescent="0.25">
      <c r="A2762" s="4">
        <v>35782</v>
      </c>
      <c r="B2762" s="6">
        <v>17.34</v>
      </c>
    </row>
    <row r="2763" spans="1:2" x14ac:dyDescent="0.25">
      <c r="A2763" s="4">
        <v>35783</v>
      </c>
      <c r="B2763" s="6">
        <v>17.2</v>
      </c>
    </row>
    <row r="2764" spans="1:2" x14ac:dyDescent="0.25">
      <c r="A2764" s="4">
        <v>35786</v>
      </c>
      <c r="B2764" s="6">
        <v>17.04</v>
      </c>
    </row>
    <row r="2765" spans="1:2" x14ac:dyDescent="0.25">
      <c r="A2765" s="4">
        <v>35787</v>
      </c>
      <c r="B2765" s="6">
        <v>17.09</v>
      </c>
    </row>
    <row r="2766" spans="1:2" x14ac:dyDescent="0.25">
      <c r="A2766" s="4">
        <v>35788</v>
      </c>
      <c r="B2766" s="6">
        <v>17.04</v>
      </c>
    </row>
    <row r="2767" spans="1:2" x14ac:dyDescent="0.25">
      <c r="A2767" s="4">
        <v>35789</v>
      </c>
      <c r="B2767" s="5"/>
    </row>
    <row r="2768" spans="1:2" x14ac:dyDescent="0.25">
      <c r="A2768" s="4">
        <v>35790</v>
      </c>
      <c r="B2768" s="5"/>
    </row>
    <row r="2769" spans="1:2" x14ac:dyDescent="0.25">
      <c r="A2769" s="4">
        <v>35793</v>
      </c>
      <c r="B2769" s="6">
        <v>16.350000000000001</v>
      </c>
    </row>
    <row r="2770" spans="1:2" x14ac:dyDescent="0.25">
      <c r="A2770" s="4">
        <v>35794</v>
      </c>
      <c r="B2770" s="6">
        <v>16.010000000000002</v>
      </c>
    </row>
    <row r="2771" spans="1:2" x14ac:dyDescent="0.25">
      <c r="A2771" s="4">
        <v>35795</v>
      </c>
      <c r="B2771" s="6">
        <v>15.86</v>
      </c>
    </row>
    <row r="2772" spans="1:2" x14ac:dyDescent="0.25">
      <c r="A2772" s="4">
        <v>35796</v>
      </c>
      <c r="B2772" s="5"/>
    </row>
    <row r="2773" spans="1:2" x14ac:dyDescent="0.25">
      <c r="A2773" s="4">
        <v>35797</v>
      </c>
      <c r="B2773" s="6">
        <v>15.77</v>
      </c>
    </row>
    <row r="2774" spans="1:2" x14ac:dyDescent="0.25">
      <c r="A2774" s="4">
        <v>35800</v>
      </c>
      <c r="B2774" s="6">
        <v>15.29</v>
      </c>
    </row>
    <row r="2775" spans="1:2" x14ac:dyDescent="0.25">
      <c r="A2775" s="4">
        <v>35801</v>
      </c>
      <c r="B2775" s="6">
        <v>15.48</v>
      </c>
    </row>
    <row r="2776" spans="1:2" x14ac:dyDescent="0.25">
      <c r="A2776" s="4">
        <v>35802</v>
      </c>
      <c r="B2776" s="6">
        <v>15.33</v>
      </c>
    </row>
    <row r="2777" spans="1:2" x14ac:dyDescent="0.25">
      <c r="A2777" s="4">
        <v>35803</v>
      </c>
      <c r="B2777" s="6">
        <v>15.47</v>
      </c>
    </row>
    <row r="2778" spans="1:2" x14ac:dyDescent="0.25">
      <c r="A2778" s="4">
        <v>35804</v>
      </c>
      <c r="B2778" s="6">
        <v>15.33</v>
      </c>
    </row>
    <row r="2779" spans="1:2" x14ac:dyDescent="0.25">
      <c r="A2779" s="4">
        <v>35807</v>
      </c>
      <c r="B2779" s="6">
        <v>15.07</v>
      </c>
    </row>
    <row r="2780" spans="1:2" x14ac:dyDescent="0.25">
      <c r="A2780" s="4">
        <v>35808</v>
      </c>
      <c r="B2780" s="6">
        <v>15.08</v>
      </c>
    </row>
    <row r="2781" spans="1:2" x14ac:dyDescent="0.25">
      <c r="A2781" s="4">
        <v>35809</v>
      </c>
      <c r="B2781" s="6">
        <v>14.81</v>
      </c>
    </row>
    <row r="2782" spans="1:2" x14ac:dyDescent="0.25">
      <c r="A2782" s="4">
        <v>35810</v>
      </c>
      <c r="B2782" s="6">
        <v>14.75</v>
      </c>
    </row>
    <row r="2783" spans="1:2" x14ac:dyDescent="0.25">
      <c r="A2783" s="4">
        <v>35811</v>
      </c>
      <c r="B2783" s="6">
        <v>14.89</v>
      </c>
    </row>
    <row r="2784" spans="1:2" x14ac:dyDescent="0.25">
      <c r="A2784" s="4">
        <v>35814</v>
      </c>
      <c r="B2784" s="6">
        <v>15.38</v>
      </c>
    </row>
    <row r="2785" spans="1:2" x14ac:dyDescent="0.25">
      <c r="A2785" s="4">
        <v>35815</v>
      </c>
      <c r="B2785" s="6">
        <v>14.95</v>
      </c>
    </row>
    <row r="2786" spans="1:2" x14ac:dyDescent="0.25">
      <c r="A2786" s="4">
        <v>35816</v>
      </c>
      <c r="B2786" s="6">
        <v>14.67</v>
      </c>
    </row>
    <row r="2787" spans="1:2" x14ac:dyDescent="0.25">
      <c r="A2787" s="4">
        <v>35817</v>
      </c>
      <c r="B2787" s="6">
        <v>14.35</v>
      </c>
    </row>
    <row r="2788" spans="1:2" x14ac:dyDescent="0.25">
      <c r="A2788" s="4">
        <v>35818</v>
      </c>
      <c r="B2788" s="6">
        <v>14.26</v>
      </c>
    </row>
    <row r="2789" spans="1:2" x14ac:dyDescent="0.25">
      <c r="A2789" s="4">
        <v>35821</v>
      </c>
      <c r="B2789" s="6">
        <v>14.79</v>
      </c>
    </row>
    <row r="2790" spans="1:2" x14ac:dyDescent="0.25">
      <c r="A2790" s="4">
        <v>35822</v>
      </c>
      <c r="B2790" s="6">
        <v>15.74</v>
      </c>
    </row>
    <row r="2791" spans="1:2" x14ac:dyDescent="0.25">
      <c r="A2791" s="4">
        <v>35823</v>
      </c>
      <c r="B2791" s="6">
        <v>15.64</v>
      </c>
    </row>
    <row r="2792" spans="1:2" x14ac:dyDescent="0.25">
      <c r="A2792" s="4">
        <v>35824</v>
      </c>
      <c r="B2792" s="6">
        <v>16.28</v>
      </c>
    </row>
    <row r="2793" spans="1:2" x14ac:dyDescent="0.25">
      <c r="A2793" s="4">
        <v>35825</v>
      </c>
      <c r="B2793" s="6">
        <v>15.59</v>
      </c>
    </row>
    <row r="2794" spans="1:2" x14ac:dyDescent="0.25">
      <c r="A2794" s="4">
        <v>35828</v>
      </c>
      <c r="B2794" s="6">
        <v>15.28</v>
      </c>
    </row>
    <row r="2795" spans="1:2" x14ac:dyDescent="0.25">
      <c r="A2795" s="4">
        <v>35829</v>
      </c>
      <c r="B2795" s="6">
        <v>14.87</v>
      </c>
    </row>
    <row r="2796" spans="1:2" x14ac:dyDescent="0.25">
      <c r="A2796" s="4">
        <v>35830</v>
      </c>
      <c r="B2796" s="6">
        <v>14.56</v>
      </c>
    </row>
    <row r="2797" spans="1:2" x14ac:dyDescent="0.25">
      <c r="A2797" s="4">
        <v>35831</v>
      </c>
      <c r="B2797" s="6">
        <v>14.83</v>
      </c>
    </row>
    <row r="2798" spans="1:2" x14ac:dyDescent="0.25">
      <c r="A2798" s="4">
        <v>35832</v>
      </c>
      <c r="B2798" s="6">
        <v>15.05</v>
      </c>
    </row>
    <row r="2799" spans="1:2" x14ac:dyDescent="0.25">
      <c r="A2799" s="4">
        <v>35835</v>
      </c>
      <c r="B2799" s="6">
        <v>14.77</v>
      </c>
    </row>
    <row r="2800" spans="1:2" x14ac:dyDescent="0.25">
      <c r="A2800" s="4">
        <v>35836</v>
      </c>
      <c r="B2800" s="6">
        <v>14.6</v>
      </c>
    </row>
    <row r="2801" spans="1:2" x14ac:dyDescent="0.25">
      <c r="A2801" s="4">
        <v>35837</v>
      </c>
      <c r="B2801" s="6">
        <v>14.35</v>
      </c>
    </row>
    <row r="2802" spans="1:2" x14ac:dyDescent="0.25">
      <c r="A2802" s="4">
        <v>35838</v>
      </c>
      <c r="B2802" s="6">
        <v>14.04</v>
      </c>
    </row>
    <row r="2803" spans="1:2" x14ac:dyDescent="0.25">
      <c r="A2803" s="4">
        <v>35839</v>
      </c>
      <c r="B2803" s="6">
        <v>14.05</v>
      </c>
    </row>
    <row r="2804" spans="1:2" x14ac:dyDescent="0.25">
      <c r="A2804" s="4">
        <v>35842</v>
      </c>
      <c r="B2804" s="6">
        <v>13.5</v>
      </c>
    </row>
    <row r="2805" spans="1:2" x14ac:dyDescent="0.25">
      <c r="A2805" s="4">
        <v>35843</v>
      </c>
      <c r="B2805" s="6">
        <v>13.5</v>
      </c>
    </row>
    <row r="2806" spans="1:2" x14ac:dyDescent="0.25">
      <c r="A2806" s="4">
        <v>35844</v>
      </c>
      <c r="B2806" s="6">
        <v>13.46</v>
      </c>
    </row>
    <row r="2807" spans="1:2" x14ac:dyDescent="0.25">
      <c r="A2807" s="4">
        <v>35845</v>
      </c>
      <c r="B2807" s="6">
        <v>14.02</v>
      </c>
    </row>
    <row r="2808" spans="1:2" x14ac:dyDescent="0.25">
      <c r="A2808" s="4">
        <v>35846</v>
      </c>
      <c r="B2808" s="6">
        <v>13.91</v>
      </c>
    </row>
    <row r="2809" spans="1:2" x14ac:dyDescent="0.25">
      <c r="A2809" s="4">
        <v>35849</v>
      </c>
      <c r="B2809" s="6">
        <v>13.26</v>
      </c>
    </row>
    <row r="2810" spans="1:2" x14ac:dyDescent="0.25">
      <c r="A2810" s="4">
        <v>35850</v>
      </c>
      <c r="B2810" s="6">
        <v>13.08</v>
      </c>
    </row>
    <row r="2811" spans="1:2" x14ac:dyDescent="0.25">
      <c r="A2811" s="4">
        <v>35851</v>
      </c>
      <c r="B2811" s="6">
        <v>13.35</v>
      </c>
    </row>
    <row r="2812" spans="1:2" x14ac:dyDescent="0.25">
      <c r="A2812" s="4">
        <v>35852</v>
      </c>
      <c r="B2812" s="6">
        <v>13.38</v>
      </c>
    </row>
    <row r="2813" spans="1:2" x14ac:dyDescent="0.25">
      <c r="A2813" s="4">
        <v>35853</v>
      </c>
      <c r="B2813" s="6">
        <v>13.53</v>
      </c>
    </row>
    <row r="2814" spans="1:2" x14ac:dyDescent="0.25">
      <c r="A2814" s="4">
        <v>35856</v>
      </c>
      <c r="B2814" s="6">
        <v>13.37</v>
      </c>
    </row>
    <row r="2815" spans="1:2" x14ac:dyDescent="0.25">
      <c r="A2815" s="4">
        <v>35857</v>
      </c>
      <c r="B2815" s="6">
        <v>13.18</v>
      </c>
    </row>
    <row r="2816" spans="1:2" x14ac:dyDescent="0.25">
      <c r="A2816" s="4">
        <v>35858</v>
      </c>
      <c r="B2816" s="6">
        <v>13.09</v>
      </c>
    </row>
    <row r="2817" spans="1:2" x14ac:dyDescent="0.25">
      <c r="A2817" s="4">
        <v>35859</v>
      </c>
      <c r="B2817" s="6">
        <v>13.18</v>
      </c>
    </row>
    <row r="2818" spans="1:2" x14ac:dyDescent="0.25">
      <c r="A2818" s="4">
        <v>35860</v>
      </c>
      <c r="B2818" s="6">
        <v>12.85</v>
      </c>
    </row>
    <row r="2819" spans="1:2" x14ac:dyDescent="0.25">
      <c r="A2819" s="4">
        <v>35863</v>
      </c>
      <c r="B2819" s="6">
        <v>12.24</v>
      </c>
    </row>
    <row r="2820" spans="1:2" x14ac:dyDescent="0.25">
      <c r="A2820" s="4">
        <v>35864</v>
      </c>
      <c r="B2820" s="6">
        <v>12.36</v>
      </c>
    </row>
    <row r="2821" spans="1:2" x14ac:dyDescent="0.25">
      <c r="A2821" s="4">
        <v>35865</v>
      </c>
      <c r="B2821" s="6">
        <v>12.41</v>
      </c>
    </row>
    <row r="2822" spans="1:2" x14ac:dyDescent="0.25">
      <c r="A2822" s="4">
        <v>35866</v>
      </c>
      <c r="B2822" s="6">
        <v>12.3</v>
      </c>
    </row>
    <row r="2823" spans="1:2" x14ac:dyDescent="0.25">
      <c r="A2823" s="4">
        <v>35867</v>
      </c>
      <c r="B2823" s="6">
        <v>12.25</v>
      </c>
    </row>
    <row r="2824" spans="1:2" x14ac:dyDescent="0.25">
      <c r="A2824" s="4">
        <v>35870</v>
      </c>
      <c r="B2824" s="6">
        <v>11.74</v>
      </c>
    </row>
    <row r="2825" spans="1:2" x14ac:dyDescent="0.25">
      <c r="A2825" s="4">
        <v>35871</v>
      </c>
      <c r="B2825" s="6">
        <v>11.05</v>
      </c>
    </row>
    <row r="2826" spans="1:2" x14ac:dyDescent="0.25">
      <c r="A2826" s="4">
        <v>35872</v>
      </c>
      <c r="B2826" s="6">
        <v>12.21</v>
      </c>
    </row>
    <row r="2827" spans="1:2" x14ac:dyDescent="0.25">
      <c r="A2827" s="4">
        <v>35873</v>
      </c>
      <c r="B2827" s="6">
        <v>12.41</v>
      </c>
    </row>
    <row r="2828" spans="1:2" x14ac:dyDescent="0.25">
      <c r="A2828" s="4">
        <v>35874</v>
      </c>
      <c r="B2828" s="6">
        <v>12.35</v>
      </c>
    </row>
    <row r="2829" spans="1:2" x14ac:dyDescent="0.25">
      <c r="A2829" s="4">
        <v>35877</v>
      </c>
      <c r="B2829" s="6">
        <v>14.53</v>
      </c>
    </row>
    <row r="2830" spans="1:2" x14ac:dyDescent="0.25">
      <c r="A2830" s="4">
        <v>35878</v>
      </c>
      <c r="B2830" s="6">
        <v>14.02</v>
      </c>
    </row>
    <row r="2831" spans="1:2" x14ac:dyDescent="0.25">
      <c r="A2831" s="4">
        <v>35879</v>
      </c>
      <c r="B2831" s="6">
        <v>14.41</v>
      </c>
    </row>
    <row r="2832" spans="1:2" x14ac:dyDescent="0.25">
      <c r="A2832" s="4">
        <v>35880</v>
      </c>
      <c r="B2832" s="6">
        <v>15.18</v>
      </c>
    </row>
    <row r="2833" spans="1:2" x14ac:dyDescent="0.25">
      <c r="A2833" s="4">
        <v>35881</v>
      </c>
      <c r="B2833" s="6">
        <v>14.92</v>
      </c>
    </row>
    <row r="2834" spans="1:2" x14ac:dyDescent="0.25">
      <c r="A2834" s="4">
        <v>35884</v>
      </c>
      <c r="B2834" s="6">
        <v>14.35</v>
      </c>
    </row>
    <row r="2835" spans="1:2" x14ac:dyDescent="0.25">
      <c r="A2835" s="4">
        <v>35885</v>
      </c>
      <c r="B2835" s="6">
        <v>13.87</v>
      </c>
    </row>
    <row r="2836" spans="1:2" x14ac:dyDescent="0.25">
      <c r="A2836" s="4">
        <v>35886</v>
      </c>
      <c r="B2836" s="6">
        <v>13.72</v>
      </c>
    </row>
    <row r="2837" spans="1:2" x14ac:dyDescent="0.25">
      <c r="A2837" s="4">
        <v>35887</v>
      </c>
      <c r="B2837" s="6">
        <v>13.38</v>
      </c>
    </row>
    <row r="2838" spans="1:2" x14ac:dyDescent="0.25">
      <c r="A2838" s="4">
        <v>35888</v>
      </c>
      <c r="B2838" s="6">
        <v>13.63</v>
      </c>
    </row>
    <row r="2839" spans="1:2" x14ac:dyDescent="0.25">
      <c r="A2839" s="4">
        <v>35891</v>
      </c>
      <c r="B2839" s="6">
        <v>13.13</v>
      </c>
    </row>
    <row r="2840" spans="1:2" x14ac:dyDescent="0.25">
      <c r="A2840" s="4">
        <v>35892</v>
      </c>
      <c r="B2840" s="6">
        <v>12.82</v>
      </c>
    </row>
    <row r="2841" spans="1:2" x14ac:dyDescent="0.25">
      <c r="A2841" s="4">
        <v>35893</v>
      </c>
      <c r="B2841" s="6">
        <v>12.79</v>
      </c>
    </row>
    <row r="2842" spans="1:2" x14ac:dyDescent="0.25">
      <c r="A2842" s="4">
        <v>35894</v>
      </c>
      <c r="B2842" s="6">
        <v>13.23</v>
      </c>
    </row>
    <row r="2843" spans="1:2" x14ac:dyDescent="0.25">
      <c r="A2843" s="4">
        <v>35895</v>
      </c>
      <c r="B2843" s="5"/>
    </row>
    <row r="2844" spans="1:2" x14ac:dyDescent="0.25">
      <c r="A2844" s="4">
        <v>35898</v>
      </c>
      <c r="B2844" s="5"/>
    </row>
    <row r="2845" spans="1:2" x14ac:dyDescent="0.25">
      <c r="A2845" s="4">
        <v>35899</v>
      </c>
      <c r="B2845" s="6">
        <v>13.15</v>
      </c>
    </row>
    <row r="2846" spans="1:2" x14ac:dyDescent="0.25">
      <c r="A2846" s="4">
        <v>35900</v>
      </c>
      <c r="B2846" s="6">
        <v>13.31</v>
      </c>
    </row>
    <row r="2847" spans="1:2" x14ac:dyDescent="0.25">
      <c r="A2847" s="4">
        <v>35901</v>
      </c>
      <c r="B2847" s="6">
        <v>13.68</v>
      </c>
    </row>
    <row r="2848" spans="1:2" x14ac:dyDescent="0.25">
      <c r="A2848" s="4">
        <v>35902</v>
      </c>
      <c r="B2848" s="6">
        <v>14.06</v>
      </c>
    </row>
    <row r="2849" spans="1:2" x14ac:dyDescent="0.25">
      <c r="A2849" s="4">
        <v>35905</v>
      </c>
      <c r="B2849" s="6">
        <v>13.82</v>
      </c>
    </row>
    <row r="2850" spans="1:2" x14ac:dyDescent="0.25">
      <c r="A2850" s="4">
        <v>35906</v>
      </c>
      <c r="B2850" s="6">
        <v>13.95</v>
      </c>
    </row>
    <row r="2851" spans="1:2" x14ac:dyDescent="0.25">
      <c r="A2851" s="4">
        <v>35907</v>
      </c>
      <c r="B2851" s="6">
        <v>13.71</v>
      </c>
    </row>
    <row r="2852" spans="1:2" x14ac:dyDescent="0.25">
      <c r="A2852" s="4">
        <v>35908</v>
      </c>
      <c r="B2852" s="6">
        <v>13.42</v>
      </c>
    </row>
    <row r="2853" spans="1:2" x14ac:dyDescent="0.25">
      <c r="A2853" s="4">
        <v>35909</v>
      </c>
      <c r="B2853" s="6">
        <v>13.32</v>
      </c>
    </row>
    <row r="2854" spans="1:2" x14ac:dyDescent="0.25">
      <c r="A2854" s="4">
        <v>35912</v>
      </c>
      <c r="B2854" s="6">
        <v>13.65</v>
      </c>
    </row>
    <row r="2855" spans="1:2" x14ac:dyDescent="0.25">
      <c r="A2855" s="4">
        <v>35913</v>
      </c>
      <c r="B2855" s="6">
        <v>13.88</v>
      </c>
    </row>
    <row r="2856" spans="1:2" x14ac:dyDescent="0.25">
      <c r="A2856" s="4">
        <v>35914</v>
      </c>
      <c r="B2856" s="6">
        <v>14.09</v>
      </c>
    </row>
    <row r="2857" spans="1:2" x14ac:dyDescent="0.25">
      <c r="A2857" s="4">
        <v>35915</v>
      </c>
      <c r="B2857" s="6">
        <v>13.79</v>
      </c>
    </row>
    <row r="2858" spans="1:2" x14ac:dyDescent="0.25">
      <c r="A2858" s="4">
        <v>35916</v>
      </c>
      <c r="B2858" s="6">
        <v>14.6</v>
      </c>
    </row>
    <row r="2859" spans="1:2" x14ac:dyDescent="0.25">
      <c r="A2859" s="4">
        <v>35919</v>
      </c>
      <c r="B2859" s="5"/>
    </row>
    <row r="2860" spans="1:2" x14ac:dyDescent="0.25">
      <c r="A2860" s="4">
        <v>35920</v>
      </c>
      <c r="B2860" s="6">
        <v>14.13</v>
      </c>
    </row>
    <row r="2861" spans="1:2" x14ac:dyDescent="0.25">
      <c r="A2861" s="4">
        <v>35921</v>
      </c>
      <c r="B2861" s="6">
        <v>13.91</v>
      </c>
    </row>
    <row r="2862" spans="1:2" x14ac:dyDescent="0.25">
      <c r="A2862" s="4">
        <v>35922</v>
      </c>
      <c r="B2862" s="6">
        <v>13.81</v>
      </c>
    </row>
    <row r="2863" spans="1:2" x14ac:dyDescent="0.25">
      <c r="A2863" s="4">
        <v>35923</v>
      </c>
      <c r="B2863" s="6">
        <v>13.94</v>
      </c>
    </row>
    <row r="2864" spans="1:2" x14ac:dyDescent="0.25">
      <c r="A2864" s="4">
        <v>35926</v>
      </c>
      <c r="B2864" s="6">
        <v>14.41</v>
      </c>
    </row>
    <row r="2865" spans="1:2" x14ac:dyDescent="0.25">
      <c r="A2865" s="4">
        <v>35927</v>
      </c>
      <c r="B2865" s="6">
        <v>14.75</v>
      </c>
    </row>
    <row r="2866" spans="1:2" x14ac:dyDescent="0.25">
      <c r="A2866" s="4">
        <v>35928</v>
      </c>
      <c r="B2866" s="6">
        <v>14.15</v>
      </c>
    </row>
    <row r="2867" spans="1:2" x14ac:dyDescent="0.25">
      <c r="A2867" s="4">
        <v>35929</v>
      </c>
      <c r="B2867" s="6">
        <v>14.29</v>
      </c>
    </row>
    <row r="2868" spans="1:2" x14ac:dyDescent="0.25">
      <c r="A2868" s="4">
        <v>35930</v>
      </c>
      <c r="B2868" s="6">
        <v>14.33</v>
      </c>
    </row>
    <row r="2869" spans="1:2" x14ac:dyDescent="0.25">
      <c r="A2869" s="4">
        <v>35933</v>
      </c>
      <c r="B2869" s="6">
        <v>14.72</v>
      </c>
    </row>
    <row r="2870" spans="1:2" x14ac:dyDescent="0.25">
      <c r="A2870" s="4">
        <v>35934</v>
      </c>
      <c r="B2870" s="6">
        <v>14.87</v>
      </c>
    </row>
    <row r="2871" spans="1:2" x14ac:dyDescent="0.25">
      <c r="A2871" s="4">
        <v>35935</v>
      </c>
      <c r="B2871" s="6">
        <v>14.58</v>
      </c>
    </row>
    <row r="2872" spans="1:2" x14ac:dyDescent="0.25">
      <c r="A2872" s="4">
        <v>35936</v>
      </c>
      <c r="B2872" s="6">
        <v>14.29</v>
      </c>
    </row>
    <row r="2873" spans="1:2" x14ac:dyDescent="0.25">
      <c r="A2873" s="4">
        <v>35937</v>
      </c>
      <c r="B2873" s="6">
        <v>14.33</v>
      </c>
    </row>
    <row r="2874" spans="1:2" x14ac:dyDescent="0.25">
      <c r="A2874" s="4">
        <v>35940</v>
      </c>
      <c r="B2874" s="5"/>
    </row>
    <row r="2875" spans="1:2" x14ac:dyDescent="0.25">
      <c r="A2875" s="4">
        <v>35941</v>
      </c>
      <c r="B2875" s="6">
        <v>14.27</v>
      </c>
    </row>
    <row r="2876" spans="1:2" x14ac:dyDescent="0.25">
      <c r="A2876" s="4">
        <v>35942</v>
      </c>
      <c r="B2876" s="6">
        <v>14.78</v>
      </c>
    </row>
    <row r="2877" spans="1:2" x14ac:dyDescent="0.25">
      <c r="A2877" s="4">
        <v>35943</v>
      </c>
      <c r="B2877" s="6">
        <v>14.71</v>
      </c>
    </row>
    <row r="2878" spans="1:2" x14ac:dyDescent="0.25">
      <c r="A2878" s="4">
        <v>35944</v>
      </c>
      <c r="B2878" s="6">
        <v>14.03</v>
      </c>
    </row>
    <row r="2879" spans="1:2" x14ac:dyDescent="0.25">
      <c r="A2879" s="4">
        <v>35947</v>
      </c>
      <c r="B2879" s="6">
        <v>13.66</v>
      </c>
    </row>
    <row r="2880" spans="1:2" x14ac:dyDescent="0.25">
      <c r="A2880" s="4">
        <v>35948</v>
      </c>
      <c r="B2880" s="6">
        <v>13.62</v>
      </c>
    </row>
    <row r="2881" spans="1:2" x14ac:dyDescent="0.25">
      <c r="A2881" s="4">
        <v>35949</v>
      </c>
      <c r="B2881" s="6">
        <v>13.23</v>
      </c>
    </row>
    <row r="2882" spans="1:2" x14ac:dyDescent="0.25">
      <c r="A2882" s="4">
        <v>35950</v>
      </c>
      <c r="B2882" s="6">
        <v>13.71</v>
      </c>
    </row>
    <row r="2883" spans="1:2" x14ac:dyDescent="0.25">
      <c r="A2883" s="4">
        <v>35951</v>
      </c>
      <c r="B2883" s="6">
        <v>13.95</v>
      </c>
    </row>
    <row r="2884" spans="1:2" x14ac:dyDescent="0.25">
      <c r="A2884" s="4">
        <v>35954</v>
      </c>
      <c r="B2884" s="6">
        <v>13.56</v>
      </c>
    </row>
    <row r="2885" spans="1:2" x14ac:dyDescent="0.25">
      <c r="A2885" s="4">
        <v>35955</v>
      </c>
      <c r="B2885" s="6">
        <v>12.76</v>
      </c>
    </row>
    <row r="2886" spans="1:2" x14ac:dyDescent="0.25">
      <c r="A2886" s="4">
        <v>35956</v>
      </c>
      <c r="B2886" s="6">
        <v>12.23</v>
      </c>
    </row>
    <row r="2887" spans="1:2" x14ac:dyDescent="0.25">
      <c r="A2887" s="4">
        <v>35957</v>
      </c>
      <c r="B2887" s="6">
        <v>12.12</v>
      </c>
    </row>
    <row r="2888" spans="1:2" x14ac:dyDescent="0.25">
      <c r="A2888" s="4">
        <v>35958</v>
      </c>
      <c r="B2888" s="6">
        <v>11.62</v>
      </c>
    </row>
    <row r="2889" spans="1:2" x14ac:dyDescent="0.25">
      <c r="A2889" s="4">
        <v>35961</v>
      </c>
      <c r="B2889" s="6">
        <v>10.77</v>
      </c>
    </row>
    <row r="2890" spans="1:2" x14ac:dyDescent="0.25">
      <c r="A2890" s="4">
        <v>35962</v>
      </c>
      <c r="B2890" s="6">
        <v>10.77</v>
      </c>
    </row>
    <row r="2891" spans="1:2" x14ac:dyDescent="0.25">
      <c r="A2891" s="4">
        <v>35963</v>
      </c>
      <c r="B2891" s="6">
        <v>11.3</v>
      </c>
    </row>
    <row r="2892" spans="1:2" x14ac:dyDescent="0.25">
      <c r="A2892" s="4">
        <v>35964</v>
      </c>
      <c r="B2892" s="6">
        <v>10.88</v>
      </c>
    </row>
    <row r="2893" spans="1:2" x14ac:dyDescent="0.25">
      <c r="A2893" s="4">
        <v>35965</v>
      </c>
      <c r="B2893" s="6">
        <v>10.89</v>
      </c>
    </row>
    <row r="2894" spans="1:2" x14ac:dyDescent="0.25">
      <c r="A2894" s="4">
        <v>35968</v>
      </c>
      <c r="B2894" s="6">
        <v>11.23</v>
      </c>
    </row>
    <row r="2895" spans="1:2" x14ac:dyDescent="0.25">
      <c r="A2895" s="4">
        <v>35969</v>
      </c>
      <c r="B2895" s="6">
        <v>12.09</v>
      </c>
    </row>
    <row r="2896" spans="1:2" x14ac:dyDescent="0.25">
      <c r="A2896" s="4">
        <v>35970</v>
      </c>
      <c r="B2896" s="6">
        <v>12.5</v>
      </c>
    </row>
    <row r="2897" spans="1:2" x14ac:dyDescent="0.25">
      <c r="A2897" s="4">
        <v>35971</v>
      </c>
      <c r="B2897" s="6">
        <v>11.94</v>
      </c>
    </row>
    <row r="2898" spans="1:2" x14ac:dyDescent="0.25">
      <c r="A2898" s="4">
        <v>35972</v>
      </c>
      <c r="B2898" s="6">
        <v>12.04</v>
      </c>
    </row>
    <row r="2899" spans="1:2" x14ac:dyDescent="0.25">
      <c r="A2899" s="4">
        <v>35975</v>
      </c>
      <c r="B2899" s="6">
        <v>11.83</v>
      </c>
    </row>
    <row r="2900" spans="1:2" x14ac:dyDescent="0.25">
      <c r="A2900" s="4">
        <v>35976</v>
      </c>
      <c r="B2900" s="6">
        <v>11.84</v>
      </c>
    </row>
    <row r="2901" spans="1:2" x14ac:dyDescent="0.25">
      <c r="A2901" s="4">
        <v>35977</v>
      </c>
      <c r="B2901" s="6">
        <v>11.93</v>
      </c>
    </row>
    <row r="2902" spans="1:2" x14ac:dyDescent="0.25">
      <c r="A2902" s="4">
        <v>35978</v>
      </c>
      <c r="B2902" s="6">
        <v>11.95</v>
      </c>
    </row>
    <row r="2903" spans="1:2" x14ac:dyDescent="0.25">
      <c r="A2903" s="4">
        <v>35979</v>
      </c>
      <c r="B2903" s="6">
        <v>11.79</v>
      </c>
    </row>
    <row r="2904" spans="1:2" x14ac:dyDescent="0.25">
      <c r="A2904" s="4">
        <v>35982</v>
      </c>
      <c r="B2904" s="6">
        <v>11.7</v>
      </c>
    </row>
    <row r="2905" spans="1:2" x14ac:dyDescent="0.25">
      <c r="A2905" s="4">
        <v>35983</v>
      </c>
      <c r="B2905" s="6">
        <v>11.66</v>
      </c>
    </row>
    <row r="2906" spans="1:2" x14ac:dyDescent="0.25">
      <c r="A2906" s="4">
        <v>35984</v>
      </c>
      <c r="B2906" s="6">
        <v>11.71</v>
      </c>
    </row>
    <row r="2907" spans="1:2" x14ac:dyDescent="0.25">
      <c r="A2907" s="4">
        <v>35985</v>
      </c>
      <c r="B2907" s="6">
        <v>11.61</v>
      </c>
    </row>
    <row r="2908" spans="1:2" x14ac:dyDescent="0.25">
      <c r="A2908" s="4">
        <v>35986</v>
      </c>
      <c r="B2908" s="6">
        <v>11.61</v>
      </c>
    </row>
    <row r="2909" spans="1:2" x14ac:dyDescent="0.25">
      <c r="A2909" s="4">
        <v>35989</v>
      </c>
      <c r="B2909" s="6">
        <v>11.56</v>
      </c>
    </row>
    <row r="2910" spans="1:2" x14ac:dyDescent="0.25">
      <c r="A2910" s="4">
        <v>35990</v>
      </c>
      <c r="B2910" s="6">
        <v>11.83</v>
      </c>
    </row>
    <row r="2911" spans="1:2" x14ac:dyDescent="0.25">
      <c r="A2911" s="4">
        <v>35991</v>
      </c>
      <c r="B2911" s="6">
        <v>11.79</v>
      </c>
    </row>
    <row r="2912" spans="1:2" x14ac:dyDescent="0.25">
      <c r="A2912" s="4">
        <v>35992</v>
      </c>
      <c r="B2912" s="6">
        <v>12.65</v>
      </c>
    </row>
    <row r="2913" spans="1:2" x14ac:dyDescent="0.25">
      <c r="A2913" s="4">
        <v>35993</v>
      </c>
      <c r="B2913" s="6">
        <v>12.38</v>
      </c>
    </row>
    <row r="2914" spans="1:2" x14ac:dyDescent="0.25">
      <c r="A2914" s="4">
        <v>35996</v>
      </c>
      <c r="B2914" s="6">
        <v>12.11</v>
      </c>
    </row>
    <row r="2915" spans="1:2" x14ac:dyDescent="0.25">
      <c r="A2915" s="4">
        <v>35997</v>
      </c>
      <c r="B2915" s="6">
        <v>12.01</v>
      </c>
    </row>
    <row r="2916" spans="1:2" x14ac:dyDescent="0.25">
      <c r="A2916" s="4">
        <v>35998</v>
      </c>
      <c r="B2916" s="6">
        <v>12.21</v>
      </c>
    </row>
    <row r="2917" spans="1:2" x14ac:dyDescent="0.25">
      <c r="A2917" s="4">
        <v>35999</v>
      </c>
      <c r="B2917" s="6">
        <v>12.23</v>
      </c>
    </row>
    <row r="2918" spans="1:2" x14ac:dyDescent="0.25">
      <c r="A2918" s="4">
        <v>36000</v>
      </c>
      <c r="B2918" s="6">
        <v>12.05</v>
      </c>
    </row>
    <row r="2919" spans="1:2" x14ac:dyDescent="0.25">
      <c r="A2919" s="4">
        <v>36003</v>
      </c>
      <c r="B2919" s="6">
        <v>12.53</v>
      </c>
    </row>
    <row r="2920" spans="1:2" x14ac:dyDescent="0.25">
      <c r="A2920" s="4">
        <v>36004</v>
      </c>
      <c r="B2920" s="6">
        <v>12.74</v>
      </c>
    </row>
    <row r="2921" spans="1:2" x14ac:dyDescent="0.25">
      <c r="A2921" s="4">
        <v>36005</v>
      </c>
      <c r="B2921" s="6">
        <v>12.6</v>
      </c>
    </row>
    <row r="2922" spans="1:2" x14ac:dyDescent="0.25">
      <c r="A2922" s="4">
        <v>36006</v>
      </c>
      <c r="B2922" s="6">
        <v>12.55</v>
      </c>
    </row>
    <row r="2923" spans="1:2" x14ac:dyDescent="0.25">
      <c r="A2923" s="4">
        <v>36007</v>
      </c>
      <c r="B2923" s="6">
        <v>12.63</v>
      </c>
    </row>
    <row r="2924" spans="1:2" x14ac:dyDescent="0.25">
      <c r="A2924" s="4">
        <v>36010</v>
      </c>
      <c r="B2924" s="6">
        <v>12.04</v>
      </c>
    </row>
    <row r="2925" spans="1:2" x14ac:dyDescent="0.25">
      <c r="A2925" s="4">
        <v>36011</v>
      </c>
      <c r="B2925" s="6">
        <v>12.03</v>
      </c>
    </row>
    <row r="2926" spans="1:2" x14ac:dyDescent="0.25">
      <c r="A2926" s="4">
        <v>36012</v>
      </c>
      <c r="B2926" s="6">
        <v>12.32</v>
      </c>
    </row>
    <row r="2927" spans="1:2" x14ac:dyDescent="0.25">
      <c r="A2927" s="4">
        <v>36013</v>
      </c>
      <c r="B2927" s="6">
        <v>12.08</v>
      </c>
    </row>
    <row r="2928" spans="1:2" x14ac:dyDescent="0.25">
      <c r="A2928" s="4">
        <v>36014</v>
      </c>
      <c r="B2928" s="6">
        <v>12.05</v>
      </c>
    </row>
    <row r="2929" spans="1:2" x14ac:dyDescent="0.25">
      <c r="A2929" s="4">
        <v>36017</v>
      </c>
      <c r="B2929" s="6">
        <v>11.62</v>
      </c>
    </row>
    <row r="2930" spans="1:2" x14ac:dyDescent="0.25">
      <c r="A2930" s="4">
        <v>36018</v>
      </c>
      <c r="B2930" s="6">
        <v>11.16</v>
      </c>
    </row>
    <row r="2931" spans="1:2" x14ac:dyDescent="0.25">
      <c r="A2931" s="4">
        <v>36019</v>
      </c>
      <c r="B2931" s="6">
        <v>11.24</v>
      </c>
    </row>
    <row r="2932" spans="1:2" x14ac:dyDescent="0.25">
      <c r="A2932" s="4">
        <v>36020</v>
      </c>
      <c r="B2932" s="6">
        <v>11.48</v>
      </c>
    </row>
    <row r="2933" spans="1:2" x14ac:dyDescent="0.25">
      <c r="A2933" s="4">
        <v>36021</v>
      </c>
      <c r="B2933" s="6">
        <v>11.46</v>
      </c>
    </row>
    <row r="2934" spans="1:2" x14ac:dyDescent="0.25">
      <c r="A2934" s="4">
        <v>36024</v>
      </c>
      <c r="B2934" s="6">
        <v>11.93</v>
      </c>
    </row>
    <row r="2935" spans="1:2" x14ac:dyDescent="0.25">
      <c r="A2935" s="4">
        <v>36025</v>
      </c>
      <c r="B2935" s="6">
        <v>11.87</v>
      </c>
    </row>
    <row r="2936" spans="1:2" x14ac:dyDescent="0.25">
      <c r="A2936" s="4">
        <v>36026</v>
      </c>
      <c r="B2936" s="6">
        <v>11.99</v>
      </c>
    </row>
    <row r="2937" spans="1:2" x14ac:dyDescent="0.25">
      <c r="A2937" s="4">
        <v>36027</v>
      </c>
      <c r="B2937" s="6">
        <v>12.21</v>
      </c>
    </row>
    <row r="2938" spans="1:2" x14ac:dyDescent="0.25">
      <c r="A2938" s="4">
        <v>36028</v>
      </c>
      <c r="B2938" s="6">
        <v>12.02</v>
      </c>
    </row>
    <row r="2939" spans="1:2" x14ac:dyDescent="0.25">
      <c r="A2939" s="4">
        <v>36031</v>
      </c>
      <c r="B2939" s="6">
        <v>12.15</v>
      </c>
    </row>
    <row r="2940" spans="1:2" x14ac:dyDescent="0.25">
      <c r="A2940" s="4">
        <v>36032</v>
      </c>
      <c r="B2940" s="6">
        <v>12.43</v>
      </c>
    </row>
    <row r="2941" spans="1:2" x14ac:dyDescent="0.25">
      <c r="A2941" s="4">
        <v>36033</v>
      </c>
      <c r="B2941" s="6">
        <v>12.24</v>
      </c>
    </row>
    <row r="2942" spans="1:2" x14ac:dyDescent="0.25">
      <c r="A2942" s="4">
        <v>36034</v>
      </c>
      <c r="B2942" s="6">
        <v>11.9</v>
      </c>
    </row>
    <row r="2943" spans="1:2" x14ac:dyDescent="0.25">
      <c r="A2943" s="4">
        <v>36035</v>
      </c>
      <c r="B2943" s="6">
        <v>12.06</v>
      </c>
    </row>
    <row r="2944" spans="1:2" x14ac:dyDescent="0.25">
      <c r="A2944" s="4">
        <v>36038</v>
      </c>
      <c r="B2944" s="5"/>
    </row>
    <row r="2945" spans="1:2" x14ac:dyDescent="0.25">
      <c r="A2945" s="4">
        <v>36039</v>
      </c>
      <c r="B2945" s="6">
        <v>12.11</v>
      </c>
    </row>
    <row r="2946" spans="1:2" x14ac:dyDescent="0.25">
      <c r="A2946" s="4">
        <v>36040</v>
      </c>
      <c r="B2946" s="6">
        <v>12.05</v>
      </c>
    </row>
    <row r="2947" spans="1:2" x14ac:dyDescent="0.25">
      <c r="A2947" s="4">
        <v>36041</v>
      </c>
      <c r="B2947" s="6">
        <v>12.54</v>
      </c>
    </row>
    <row r="2948" spans="1:2" x14ac:dyDescent="0.25">
      <c r="A2948" s="4">
        <v>36042</v>
      </c>
      <c r="B2948" s="6">
        <v>12.96</v>
      </c>
    </row>
    <row r="2949" spans="1:2" x14ac:dyDescent="0.25">
      <c r="A2949" s="4">
        <v>36045</v>
      </c>
      <c r="B2949" s="6">
        <v>12.51</v>
      </c>
    </row>
    <row r="2950" spans="1:2" x14ac:dyDescent="0.25">
      <c r="A2950" s="4">
        <v>36046</v>
      </c>
      <c r="B2950" s="6">
        <v>12.53</v>
      </c>
    </row>
    <row r="2951" spans="1:2" x14ac:dyDescent="0.25">
      <c r="A2951" s="4">
        <v>36047</v>
      </c>
      <c r="B2951" s="6">
        <v>12.53</v>
      </c>
    </row>
    <row r="2952" spans="1:2" x14ac:dyDescent="0.25">
      <c r="A2952" s="4">
        <v>36048</v>
      </c>
      <c r="B2952" s="6">
        <v>12.82</v>
      </c>
    </row>
    <row r="2953" spans="1:2" x14ac:dyDescent="0.25">
      <c r="A2953" s="4">
        <v>36049</v>
      </c>
      <c r="B2953" s="6">
        <v>12.66</v>
      </c>
    </row>
    <row r="2954" spans="1:2" x14ac:dyDescent="0.25">
      <c r="A2954" s="4">
        <v>36052</v>
      </c>
      <c r="B2954" s="6">
        <v>12.47</v>
      </c>
    </row>
    <row r="2955" spans="1:2" x14ac:dyDescent="0.25">
      <c r="A2955" s="4">
        <v>36053</v>
      </c>
      <c r="B2955" s="6">
        <v>12.61</v>
      </c>
    </row>
    <row r="2956" spans="1:2" x14ac:dyDescent="0.25">
      <c r="A2956" s="4">
        <v>36054</v>
      </c>
      <c r="B2956" s="6">
        <v>12.65</v>
      </c>
    </row>
    <row r="2957" spans="1:2" x14ac:dyDescent="0.25">
      <c r="A2957" s="4">
        <v>36055</v>
      </c>
      <c r="B2957" s="6">
        <v>12.97</v>
      </c>
    </row>
    <row r="2958" spans="1:2" x14ac:dyDescent="0.25">
      <c r="A2958" s="4">
        <v>36056</v>
      </c>
      <c r="B2958" s="6">
        <v>13.92</v>
      </c>
    </row>
    <row r="2959" spans="1:2" x14ac:dyDescent="0.25">
      <c r="A2959" s="4">
        <v>36059</v>
      </c>
      <c r="B2959" s="6">
        <v>14.31</v>
      </c>
    </row>
    <row r="2960" spans="1:2" x14ac:dyDescent="0.25">
      <c r="A2960" s="4">
        <v>36060</v>
      </c>
      <c r="B2960" s="6">
        <v>14.36</v>
      </c>
    </row>
    <row r="2961" spans="1:2" x14ac:dyDescent="0.25">
      <c r="A2961" s="4">
        <v>36061</v>
      </c>
      <c r="B2961" s="6">
        <v>14.67</v>
      </c>
    </row>
    <row r="2962" spans="1:2" x14ac:dyDescent="0.25">
      <c r="A2962" s="4">
        <v>36062</v>
      </c>
      <c r="B2962" s="6">
        <v>14.84</v>
      </c>
    </row>
    <row r="2963" spans="1:2" x14ac:dyDescent="0.25">
      <c r="A2963" s="4">
        <v>36063</v>
      </c>
      <c r="B2963" s="6">
        <v>14.55</v>
      </c>
    </row>
    <row r="2964" spans="1:2" x14ac:dyDescent="0.25">
      <c r="A2964" s="4">
        <v>36066</v>
      </c>
      <c r="B2964" s="6">
        <v>14.41</v>
      </c>
    </row>
    <row r="2965" spans="1:2" x14ac:dyDescent="0.25">
      <c r="A2965" s="4">
        <v>36067</v>
      </c>
      <c r="B2965" s="6">
        <v>14.38</v>
      </c>
    </row>
    <row r="2966" spans="1:2" x14ac:dyDescent="0.25">
      <c r="A2966" s="4">
        <v>36068</v>
      </c>
      <c r="B2966" s="6">
        <v>14.71</v>
      </c>
    </row>
    <row r="2967" spans="1:2" x14ac:dyDescent="0.25">
      <c r="A2967" s="4">
        <v>36069</v>
      </c>
      <c r="B2967" s="6">
        <v>14.46</v>
      </c>
    </row>
    <row r="2968" spans="1:2" x14ac:dyDescent="0.25">
      <c r="A2968" s="4">
        <v>36070</v>
      </c>
      <c r="B2968" s="6">
        <v>14.21</v>
      </c>
    </row>
    <row r="2969" spans="1:2" x14ac:dyDescent="0.25">
      <c r="A2969" s="4">
        <v>36073</v>
      </c>
      <c r="B2969" s="6">
        <v>14.1</v>
      </c>
    </row>
    <row r="2970" spans="1:2" x14ac:dyDescent="0.25">
      <c r="A2970" s="4">
        <v>36074</v>
      </c>
      <c r="B2970" s="6">
        <v>13.98</v>
      </c>
    </row>
    <row r="2971" spans="1:2" x14ac:dyDescent="0.25">
      <c r="A2971" s="4">
        <v>36075</v>
      </c>
      <c r="B2971" s="6">
        <v>13.88</v>
      </c>
    </row>
    <row r="2972" spans="1:2" x14ac:dyDescent="0.25">
      <c r="A2972" s="4">
        <v>36076</v>
      </c>
      <c r="B2972" s="6">
        <v>13.23</v>
      </c>
    </row>
    <row r="2973" spans="1:2" x14ac:dyDescent="0.25">
      <c r="A2973" s="4">
        <v>36077</v>
      </c>
      <c r="B2973" s="6">
        <v>12.87</v>
      </c>
    </row>
    <row r="2974" spans="1:2" x14ac:dyDescent="0.25">
      <c r="A2974" s="4">
        <v>36080</v>
      </c>
      <c r="B2974" s="6">
        <v>13.18</v>
      </c>
    </row>
    <row r="2975" spans="1:2" x14ac:dyDescent="0.25">
      <c r="A2975" s="4">
        <v>36081</v>
      </c>
      <c r="B2975" s="6">
        <v>12.73</v>
      </c>
    </row>
    <row r="2976" spans="1:2" x14ac:dyDescent="0.25">
      <c r="A2976" s="4">
        <v>36082</v>
      </c>
      <c r="B2976" s="6">
        <v>12.26</v>
      </c>
    </row>
    <row r="2977" spans="1:2" x14ac:dyDescent="0.25">
      <c r="A2977" s="4">
        <v>36083</v>
      </c>
      <c r="B2977" s="6">
        <v>11.98</v>
      </c>
    </row>
    <row r="2978" spans="1:2" x14ac:dyDescent="0.25">
      <c r="A2978" s="4">
        <v>36084</v>
      </c>
      <c r="B2978" s="6">
        <v>12.11</v>
      </c>
    </row>
    <row r="2979" spans="1:2" x14ac:dyDescent="0.25">
      <c r="A2979" s="4">
        <v>36087</v>
      </c>
      <c r="B2979" s="6">
        <v>11.6</v>
      </c>
    </row>
    <row r="2980" spans="1:2" x14ac:dyDescent="0.25">
      <c r="A2980" s="4">
        <v>36088</v>
      </c>
      <c r="B2980" s="6">
        <v>11.29</v>
      </c>
    </row>
    <row r="2981" spans="1:2" x14ac:dyDescent="0.25">
      <c r="A2981" s="4">
        <v>36089</v>
      </c>
      <c r="B2981" s="6">
        <v>11.94</v>
      </c>
    </row>
    <row r="2982" spans="1:2" x14ac:dyDescent="0.25">
      <c r="A2982" s="4">
        <v>36090</v>
      </c>
      <c r="B2982" s="6">
        <v>11.68</v>
      </c>
    </row>
    <row r="2983" spans="1:2" x14ac:dyDescent="0.25">
      <c r="A2983" s="4">
        <v>36091</v>
      </c>
      <c r="B2983" s="6">
        <v>12.18</v>
      </c>
    </row>
    <row r="2984" spans="1:2" x14ac:dyDescent="0.25">
      <c r="A2984" s="4">
        <v>36094</v>
      </c>
      <c r="B2984" s="6">
        <v>12.74</v>
      </c>
    </row>
    <row r="2985" spans="1:2" x14ac:dyDescent="0.25">
      <c r="A2985" s="4">
        <v>36095</v>
      </c>
      <c r="B2985" s="6">
        <v>12.46</v>
      </c>
    </row>
    <row r="2986" spans="1:2" x14ac:dyDescent="0.25">
      <c r="A2986" s="4">
        <v>36096</v>
      </c>
      <c r="B2986" s="6">
        <v>12.26</v>
      </c>
    </row>
    <row r="2987" spans="1:2" x14ac:dyDescent="0.25">
      <c r="A2987" s="4">
        <v>36097</v>
      </c>
      <c r="B2987" s="6">
        <v>12.31</v>
      </c>
    </row>
    <row r="2988" spans="1:2" x14ac:dyDescent="0.25">
      <c r="A2988" s="4">
        <v>36098</v>
      </c>
      <c r="B2988" s="6">
        <v>12</v>
      </c>
    </row>
    <row r="2989" spans="1:2" x14ac:dyDescent="0.25">
      <c r="A2989" s="4">
        <v>36101</v>
      </c>
      <c r="B2989" s="6">
        <v>12.43</v>
      </c>
    </row>
    <row r="2990" spans="1:2" x14ac:dyDescent="0.25">
      <c r="A2990" s="4">
        <v>36102</v>
      </c>
      <c r="B2990" s="6">
        <v>11.93</v>
      </c>
    </row>
    <row r="2991" spans="1:2" x14ac:dyDescent="0.25">
      <c r="A2991" s="4">
        <v>36103</v>
      </c>
      <c r="B2991" s="6">
        <v>11.88</v>
      </c>
    </row>
    <row r="2992" spans="1:2" x14ac:dyDescent="0.25">
      <c r="A2992" s="4">
        <v>36104</v>
      </c>
      <c r="B2992" s="6">
        <v>11.73</v>
      </c>
    </row>
    <row r="2993" spans="1:2" x14ac:dyDescent="0.25">
      <c r="A2993" s="4">
        <v>36105</v>
      </c>
      <c r="B2993" s="6">
        <v>11.51</v>
      </c>
    </row>
    <row r="2994" spans="1:2" x14ac:dyDescent="0.25">
      <c r="A2994" s="4">
        <v>36108</v>
      </c>
      <c r="B2994" s="6">
        <v>11.15</v>
      </c>
    </row>
    <row r="2995" spans="1:2" x14ac:dyDescent="0.25">
      <c r="A2995" s="4">
        <v>36109</v>
      </c>
      <c r="B2995" s="6">
        <v>11.18</v>
      </c>
    </row>
    <row r="2996" spans="1:2" x14ac:dyDescent="0.25">
      <c r="A2996" s="4">
        <v>36110</v>
      </c>
      <c r="B2996" s="6">
        <v>11.45</v>
      </c>
    </row>
    <row r="2997" spans="1:2" x14ac:dyDescent="0.25">
      <c r="A2997" s="4">
        <v>36111</v>
      </c>
      <c r="B2997" s="6">
        <v>11.56</v>
      </c>
    </row>
    <row r="2998" spans="1:2" x14ac:dyDescent="0.25">
      <c r="A2998" s="4">
        <v>36112</v>
      </c>
      <c r="B2998" s="6">
        <v>11.46</v>
      </c>
    </row>
    <row r="2999" spans="1:2" x14ac:dyDescent="0.25">
      <c r="A2999" s="4">
        <v>36115</v>
      </c>
      <c r="B2999" s="6">
        <v>11.1</v>
      </c>
    </row>
    <row r="3000" spans="1:2" x14ac:dyDescent="0.25">
      <c r="A3000" s="4">
        <v>36116</v>
      </c>
      <c r="B3000" s="6">
        <v>10.62</v>
      </c>
    </row>
    <row r="3001" spans="1:2" x14ac:dyDescent="0.25">
      <c r="A3001" s="4">
        <v>36117</v>
      </c>
      <c r="B3001" s="6">
        <v>10.25</v>
      </c>
    </row>
    <row r="3002" spans="1:2" x14ac:dyDescent="0.25">
      <c r="A3002" s="4">
        <v>36118</v>
      </c>
      <c r="B3002" s="6">
        <v>10.45</v>
      </c>
    </row>
    <row r="3003" spans="1:2" x14ac:dyDescent="0.25">
      <c r="A3003" s="4">
        <v>36119</v>
      </c>
      <c r="B3003" s="6">
        <v>10.4</v>
      </c>
    </row>
    <row r="3004" spans="1:2" x14ac:dyDescent="0.25">
      <c r="A3004" s="4">
        <v>36122</v>
      </c>
      <c r="B3004" s="6">
        <v>10.54</v>
      </c>
    </row>
    <row r="3005" spans="1:2" x14ac:dyDescent="0.25">
      <c r="A3005" s="4">
        <v>36123</v>
      </c>
      <c r="B3005" s="6">
        <v>10.58</v>
      </c>
    </row>
    <row r="3006" spans="1:2" x14ac:dyDescent="0.25">
      <c r="A3006" s="4">
        <v>36124</v>
      </c>
      <c r="B3006" s="6">
        <v>10.51</v>
      </c>
    </row>
    <row r="3007" spans="1:2" x14ac:dyDescent="0.25">
      <c r="A3007" s="4">
        <v>36125</v>
      </c>
      <c r="B3007" s="6">
        <v>10.41</v>
      </c>
    </row>
    <row r="3008" spans="1:2" x14ac:dyDescent="0.25">
      <c r="A3008" s="4">
        <v>36126</v>
      </c>
      <c r="B3008" s="6">
        <v>10.77</v>
      </c>
    </row>
    <row r="3009" spans="1:2" x14ac:dyDescent="0.25">
      <c r="A3009" s="4">
        <v>36129</v>
      </c>
      <c r="B3009" s="6">
        <v>9.91</v>
      </c>
    </row>
    <row r="3010" spans="1:2" x14ac:dyDescent="0.25">
      <c r="A3010" s="4">
        <v>36130</v>
      </c>
      <c r="B3010" s="6">
        <v>9.8699999999999992</v>
      </c>
    </row>
    <row r="3011" spans="1:2" x14ac:dyDescent="0.25">
      <c r="A3011" s="4">
        <v>36131</v>
      </c>
      <c r="B3011" s="6">
        <v>9.7100000000000009</v>
      </c>
    </row>
    <row r="3012" spans="1:2" x14ac:dyDescent="0.25">
      <c r="A3012" s="4">
        <v>36132</v>
      </c>
      <c r="B3012" s="6">
        <v>10.050000000000001</v>
      </c>
    </row>
    <row r="3013" spans="1:2" x14ac:dyDescent="0.25">
      <c r="A3013" s="4">
        <v>36133</v>
      </c>
      <c r="B3013" s="6">
        <v>9.73</v>
      </c>
    </row>
    <row r="3014" spans="1:2" x14ac:dyDescent="0.25">
      <c r="A3014" s="4">
        <v>36136</v>
      </c>
      <c r="B3014" s="6">
        <v>9.6999999999999993</v>
      </c>
    </row>
    <row r="3015" spans="1:2" x14ac:dyDescent="0.25">
      <c r="A3015" s="4">
        <v>36137</v>
      </c>
      <c r="B3015" s="6">
        <v>9.68</v>
      </c>
    </row>
    <row r="3016" spans="1:2" x14ac:dyDescent="0.25">
      <c r="A3016" s="4">
        <v>36138</v>
      </c>
      <c r="B3016" s="6">
        <v>9.4600000000000009</v>
      </c>
    </row>
    <row r="3017" spans="1:2" x14ac:dyDescent="0.25">
      <c r="A3017" s="4">
        <v>36139</v>
      </c>
      <c r="B3017" s="6">
        <v>9.1</v>
      </c>
    </row>
    <row r="3018" spans="1:2" x14ac:dyDescent="0.25">
      <c r="A3018" s="4">
        <v>36140</v>
      </c>
      <c r="B3018" s="6">
        <v>9.26</v>
      </c>
    </row>
    <row r="3019" spans="1:2" x14ac:dyDescent="0.25">
      <c r="A3019" s="4">
        <v>36143</v>
      </c>
      <c r="B3019" s="6">
        <v>9.4499999999999993</v>
      </c>
    </row>
    <row r="3020" spans="1:2" x14ac:dyDescent="0.25">
      <c r="A3020" s="4">
        <v>36144</v>
      </c>
      <c r="B3020" s="6">
        <v>9.57</v>
      </c>
    </row>
    <row r="3021" spans="1:2" x14ac:dyDescent="0.25">
      <c r="A3021" s="4">
        <v>36145</v>
      </c>
      <c r="B3021" s="6">
        <v>10.87</v>
      </c>
    </row>
    <row r="3022" spans="1:2" x14ac:dyDescent="0.25">
      <c r="A3022" s="4">
        <v>36146</v>
      </c>
      <c r="B3022" s="6">
        <v>9.92</v>
      </c>
    </row>
    <row r="3023" spans="1:2" x14ac:dyDescent="0.25">
      <c r="A3023" s="4">
        <v>36147</v>
      </c>
      <c r="B3023" s="6">
        <v>9.6199999999999992</v>
      </c>
    </row>
    <row r="3024" spans="1:2" x14ac:dyDescent="0.25">
      <c r="A3024" s="4">
        <v>36150</v>
      </c>
      <c r="B3024" s="6">
        <v>9.4499999999999993</v>
      </c>
    </row>
    <row r="3025" spans="1:2" x14ac:dyDescent="0.25">
      <c r="A3025" s="4">
        <v>36151</v>
      </c>
      <c r="B3025" s="6">
        <v>9.83</v>
      </c>
    </row>
    <row r="3026" spans="1:2" x14ac:dyDescent="0.25">
      <c r="A3026" s="4">
        <v>36152</v>
      </c>
      <c r="B3026" s="6">
        <v>9.91</v>
      </c>
    </row>
    <row r="3027" spans="1:2" x14ac:dyDescent="0.25">
      <c r="A3027" s="4">
        <v>36153</v>
      </c>
      <c r="B3027" s="6">
        <v>9.91</v>
      </c>
    </row>
    <row r="3028" spans="1:2" x14ac:dyDescent="0.25">
      <c r="A3028" s="4">
        <v>36154</v>
      </c>
      <c r="B3028" s="5"/>
    </row>
    <row r="3029" spans="1:2" x14ac:dyDescent="0.25">
      <c r="A3029" s="4">
        <v>36157</v>
      </c>
      <c r="B3029" s="5"/>
    </row>
    <row r="3030" spans="1:2" x14ac:dyDescent="0.25">
      <c r="A3030" s="4">
        <v>36158</v>
      </c>
      <c r="B3030" s="6">
        <v>10.23</v>
      </c>
    </row>
    <row r="3031" spans="1:2" x14ac:dyDescent="0.25">
      <c r="A3031" s="4">
        <v>36159</v>
      </c>
      <c r="B3031" s="6">
        <v>10.45</v>
      </c>
    </row>
    <row r="3032" spans="1:2" x14ac:dyDescent="0.25">
      <c r="A3032" s="4">
        <v>36160</v>
      </c>
      <c r="B3032" s="6">
        <v>10.54</v>
      </c>
    </row>
    <row r="3033" spans="1:2" x14ac:dyDescent="0.25">
      <c r="A3033" s="4">
        <v>36161</v>
      </c>
      <c r="B3033" s="5"/>
    </row>
    <row r="3034" spans="1:2" x14ac:dyDescent="0.25">
      <c r="A3034" s="4">
        <v>36164</v>
      </c>
      <c r="B3034" s="6">
        <v>10.94</v>
      </c>
    </row>
    <row r="3035" spans="1:2" x14ac:dyDescent="0.25">
      <c r="A3035" s="4">
        <v>36165</v>
      </c>
      <c r="B3035" s="6">
        <v>10.3</v>
      </c>
    </row>
    <row r="3036" spans="1:2" x14ac:dyDescent="0.25">
      <c r="A3036" s="4">
        <v>36166</v>
      </c>
      <c r="B3036" s="6">
        <v>10.67</v>
      </c>
    </row>
    <row r="3037" spans="1:2" x14ac:dyDescent="0.25">
      <c r="A3037" s="4">
        <v>36167</v>
      </c>
      <c r="B3037" s="6">
        <v>11.08</v>
      </c>
    </row>
    <row r="3038" spans="1:2" x14ac:dyDescent="0.25">
      <c r="A3038" s="4">
        <v>36168</v>
      </c>
      <c r="B3038" s="6">
        <v>11.7</v>
      </c>
    </row>
    <row r="3039" spans="1:2" x14ac:dyDescent="0.25">
      <c r="A3039" s="4">
        <v>36171</v>
      </c>
      <c r="B3039" s="6">
        <v>12.07</v>
      </c>
    </row>
    <row r="3040" spans="1:2" x14ac:dyDescent="0.25">
      <c r="A3040" s="4">
        <v>36172</v>
      </c>
      <c r="B3040" s="6">
        <v>11.78</v>
      </c>
    </row>
    <row r="3041" spans="1:2" x14ac:dyDescent="0.25">
      <c r="A3041" s="4">
        <v>36173</v>
      </c>
      <c r="B3041" s="6">
        <v>10.9</v>
      </c>
    </row>
    <row r="3042" spans="1:2" x14ac:dyDescent="0.25">
      <c r="A3042" s="4">
        <v>36174</v>
      </c>
      <c r="B3042" s="6">
        <v>11.1</v>
      </c>
    </row>
    <row r="3043" spans="1:2" x14ac:dyDescent="0.25">
      <c r="A3043" s="4">
        <v>36175</v>
      </c>
      <c r="B3043" s="6">
        <v>10.97</v>
      </c>
    </row>
    <row r="3044" spans="1:2" x14ac:dyDescent="0.25">
      <c r="A3044" s="4">
        <v>36178</v>
      </c>
      <c r="B3044" s="6">
        <v>10.81</v>
      </c>
    </row>
    <row r="3045" spans="1:2" x14ac:dyDescent="0.25">
      <c r="A3045" s="4">
        <v>36179</v>
      </c>
      <c r="B3045" s="6">
        <v>11.19</v>
      </c>
    </row>
    <row r="3046" spans="1:2" x14ac:dyDescent="0.25">
      <c r="A3046" s="4">
        <v>36180</v>
      </c>
      <c r="B3046" s="6">
        <v>10.85</v>
      </c>
    </row>
    <row r="3047" spans="1:2" x14ac:dyDescent="0.25">
      <c r="A3047" s="4">
        <v>36181</v>
      </c>
      <c r="B3047" s="6">
        <v>11.14</v>
      </c>
    </row>
    <row r="3048" spans="1:2" x14ac:dyDescent="0.25">
      <c r="A3048" s="4">
        <v>36182</v>
      </c>
      <c r="B3048" s="6">
        <v>11.23</v>
      </c>
    </row>
    <row r="3049" spans="1:2" x14ac:dyDescent="0.25">
      <c r="A3049" s="4">
        <v>36185</v>
      </c>
      <c r="B3049" s="6">
        <v>11.21</v>
      </c>
    </row>
    <row r="3050" spans="1:2" x14ac:dyDescent="0.25">
      <c r="A3050" s="4">
        <v>36186</v>
      </c>
      <c r="B3050" s="6">
        <v>10.84</v>
      </c>
    </row>
    <row r="3051" spans="1:2" x14ac:dyDescent="0.25">
      <c r="A3051" s="4">
        <v>36187</v>
      </c>
      <c r="B3051" s="6">
        <v>11.03</v>
      </c>
    </row>
    <row r="3052" spans="1:2" x14ac:dyDescent="0.25">
      <c r="A3052" s="4">
        <v>36188</v>
      </c>
      <c r="B3052" s="6">
        <v>11.14</v>
      </c>
    </row>
    <row r="3053" spans="1:2" x14ac:dyDescent="0.25">
      <c r="A3053" s="4">
        <v>36189</v>
      </c>
      <c r="B3053" s="6">
        <v>11.34</v>
      </c>
    </row>
    <row r="3054" spans="1:2" x14ac:dyDescent="0.25">
      <c r="A3054" s="4">
        <v>36192</v>
      </c>
      <c r="B3054" s="6">
        <v>10.81</v>
      </c>
    </row>
    <row r="3055" spans="1:2" x14ac:dyDescent="0.25">
      <c r="A3055" s="4">
        <v>36193</v>
      </c>
      <c r="B3055" s="6">
        <v>10.39</v>
      </c>
    </row>
    <row r="3056" spans="1:2" x14ac:dyDescent="0.25">
      <c r="A3056" s="4">
        <v>36194</v>
      </c>
      <c r="B3056" s="6">
        <v>10.78</v>
      </c>
    </row>
    <row r="3057" spans="1:2" x14ac:dyDescent="0.25">
      <c r="A3057" s="4">
        <v>36195</v>
      </c>
      <c r="B3057" s="6">
        <v>10.42</v>
      </c>
    </row>
    <row r="3058" spans="1:2" x14ac:dyDescent="0.25">
      <c r="A3058" s="4">
        <v>36196</v>
      </c>
      <c r="B3058" s="6">
        <v>10.18</v>
      </c>
    </row>
    <row r="3059" spans="1:2" x14ac:dyDescent="0.25">
      <c r="A3059" s="4">
        <v>36199</v>
      </c>
      <c r="B3059" s="6">
        <v>9.9700000000000006</v>
      </c>
    </row>
    <row r="3060" spans="1:2" x14ac:dyDescent="0.25">
      <c r="A3060" s="4">
        <v>36200</v>
      </c>
      <c r="B3060" s="6">
        <v>9.77</v>
      </c>
    </row>
    <row r="3061" spans="1:2" x14ac:dyDescent="0.25">
      <c r="A3061" s="4">
        <v>36201</v>
      </c>
      <c r="B3061" s="6">
        <v>9.8800000000000008</v>
      </c>
    </row>
    <row r="3062" spans="1:2" x14ac:dyDescent="0.25">
      <c r="A3062" s="4">
        <v>36202</v>
      </c>
      <c r="B3062" s="6">
        <v>9.82</v>
      </c>
    </row>
    <row r="3063" spans="1:2" x14ac:dyDescent="0.25">
      <c r="A3063" s="4">
        <v>36203</v>
      </c>
      <c r="B3063" s="6">
        <v>9.9700000000000006</v>
      </c>
    </row>
    <row r="3064" spans="1:2" x14ac:dyDescent="0.25">
      <c r="A3064" s="4">
        <v>36206</v>
      </c>
      <c r="B3064" s="5"/>
    </row>
    <row r="3065" spans="1:2" x14ac:dyDescent="0.25">
      <c r="A3065" s="4">
        <v>36207</v>
      </c>
      <c r="B3065" s="6">
        <v>9.98</v>
      </c>
    </row>
    <row r="3066" spans="1:2" x14ac:dyDescent="0.25">
      <c r="A3066" s="4">
        <v>36208</v>
      </c>
      <c r="B3066" s="6">
        <v>10.09</v>
      </c>
    </row>
    <row r="3067" spans="1:2" x14ac:dyDescent="0.25">
      <c r="A3067" s="4">
        <v>36209</v>
      </c>
      <c r="B3067" s="6">
        <v>9.93</v>
      </c>
    </row>
    <row r="3068" spans="1:2" x14ac:dyDescent="0.25">
      <c r="A3068" s="4">
        <v>36210</v>
      </c>
      <c r="B3068" s="6">
        <v>10.29</v>
      </c>
    </row>
    <row r="3069" spans="1:2" x14ac:dyDescent="0.25">
      <c r="A3069" s="4">
        <v>36213</v>
      </c>
      <c r="B3069" s="6">
        <v>10.24</v>
      </c>
    </row>
    <row r="3070" spans="1:2" x14ac:dyDescent="0.25">
      <c r="A3070" s="4">
        <v>36214</v>
      </c>
      <c r="B3070" s="6">
        <v>10.58</v>
      </c>
    </row>
    <row r="3071" spans="1:2" x14ac:dyDescent="0.25">
      <c r="A3071" s="4">
        <v>36215</v>
      </c>
      <c r="B3071" s="6">
        <v>10.64</v>
      </c>
    </row>
    <row r="3072" spans="1:2" x14ac:dyDescent="0.25">
      <c r="A3072" s="4">
        <v>36216</v>
      </c>
      <c r="B3072" s="6">
        <v>10.84</v>
      </c>
    </row>
    <row r="3073" spans="1:2" x14ac:dyDescent="0.25">
      <c r="A3073" s="4">
        <v>36217</v>
      </c>
      <c r="B3073" s="6">
        <v>10.58</v>
      </c>
    </row>
    <row r="3074" spans="1:2" x14ac:dyDescent="0.25">
      <c r="A3074" s="4">
        <v>36220</v>
      </c>
      <c r="B3074" s="6">
        <v>10.52</v>
      </c>
    </row>
    <row r="3075" spans="1:2" x14ac:dyDescent="0.25">
      <c r="A3075" s="4">
        <v>36221</v>
      </c>
      <c r="B3075" s="6">
        <v>10.41</v>
      </c>
    </row>
    <row r="3076" spans="1:2" x14ac:dyDescent="0.25">
      <c r="A3076" s="4">
        <v>36222</v>
      </c>
      <c r="B3076" s="6">
        <v>10.81</v>
      </c>
    </row>
    <row r="3077" spans="1:2" x14ac:dyDescent="0.25">
      <c r="A3077" s="4">
        <v>36223</v>
      </c>
      <c r="B3077" s="6">
        <v>11.2</v>
      </c>
    </row>
    <row r="3078" spans="1:2" x14ac:dyDescent="0.25">
      <c r="A3078" s="4">
        <v>36224</v>
      </c>
      <c r="B3078" s="6">
        <v>11.02</v>
      </c>
    </row>
    <row r="3079" spans="1:2" x14ac:dyDescent="0.25">
      <c r="A3079" s="4">
        <v>36227</v>
      </c>
      <c r="B3079" s="6">
        <v>11.49</v>
      </c>
    </row>
    <row r="3080" spans="1:2" x14ac:dyDescent="0.25">
      <c r="A3080" s="4">
        <v>36228</v>
      </c>
      <c r="B3080" s="6">
        <v>11.25</v>
      </c>
    </row>
    <row r="3081" spans="1:2" x14ac:dyDescent="0.25">
      <c r="A3081" s="4">
        <v>36229</v>
      </c>
      <c r="B3081" s="6">
        <v>11.46</v>
      </c>
    </row>
    <row r="3082" spans="1:2" x14ac:dyDescent="0.25">
      <c r="A3082" s="4">
        <v>36230</v>
      </c>
      <c r="B3082" s="6">
        <v>11.86</v>
      </c>
    </row>
    <row r="3083" spans="1:2" x14ac:dyDescent="0.25">
      <c r="A3083" s="4">
        <v>36231</v>
      </c>
      <c r="B3083" s="6">
        <v>12.3</v>
      </c>
    </row>
    <row r="3084" spans="1:2" x14ac:dyDescent="0.25">
      <c r="A3084" s="4">
        <v>36234</v>
      </c>
      <c r="B3084" s="6">
        <v>12.17</v>
      </c>
    </row>
    <row r="3085" spans="1:2" x14ac:dyDescent="0.25">
      <c r="A3085" s="4">
        <v>36235</v>
      </c>
      <c r="B3085" s="6">
        <v>12.11</v>
      </c>
    </row>
    <row r="3086" spans="1:2" x14ac:dyDescent="0.25">
      <c r="A3086" s="4">
        <v>36236</v>
      </c>
      <c r="B3086" s="6">
        <v>12.95</v>
      </c>
    </row>
    <row r="3087" spans="1:2" x14ac:dyDescent="0.25">
      <c r="A3087" s="4">
        <v>36237</v>
      </c>
      <c r="B3087" s="6">
        <v>13.35</v>
      </c>
    </row>
    <row r="3088" spans="1:2" x14ac:dyDescent="0.25">
      <c r="A3088" s="4">
        <v>36238</v>
      </c>
      <c r="B3088" s="6">
        <v>13.15</v>
      </c>
    </row>
    <row r="3089" spans="1:2" x14ac:dyDescent="0.25">
      <c r="A3089" s="4">
        <v>36241</v>
      </c>
      <c r="B3089" s="6">
        <v>13.37</v>
      </c>
    </row>
    <row r="3090" spans="1:2" x14ac:dyDescent="0.25">
      <c r="A3090" s="4">
        <v>36242</v>
      </c>
      <c r="B3090" s="6">
        <v>13.64</v>
      </c>
    </row>
    <row r="3091" spans="1:2" x14ac:dyDescent="0.25">
      <c r="A3091" s="4">
        <v>36243</v>
      </c>
      <c r="B3091" s="6">
        <v>13.37</v>
      </c>
    </row>
    <row r="3092" spans="1:2" x14ac:dyDescent="0.25">
      <c r="A3092" s="4">
        <v>36244</v>
      </c>
      <c r="B3092" s="6">
        <v>13.5</v>
      </c>
    </row>
    <row r="3093" spans="1:2" x14ac:dyDescent="0.25">
      <c r="A3093" s="4">
        <v>36245</v>
      </c>
      <c r="B3093" s="6">
        <v>13.97</v>
      </c>
    </row>
    <row r="3094" spans="1:2" x14ac:dyDescent="0.25">
      <c r="A3094" s="4">
        <v>36248</v>
      </c>
      <c r="B3094" s="6">
        <v>14.34</v>
      </c>
    </row>
    <row r="3095" spans="1:2" x14ac:dyDescent="0.25">
      <c r="A3095" s="4">
        <v>36249</v>
      </c>
      <c r="B3095" s="6">
        <v>14.5</v>
      </c>
    </row>
    <row r="3096" spans="1:2" x14ac:dyDescent="0.25">
      <c r="A3096" s="4">
        <v>36250</v>
      </c>
      <c r="B3096" s="6">
        <v>15.02</v>
      </c>
    </row>
    <row r="3097" spans="1:2" x14ac:dyDescent="0.25">
      <c r="A3097" s="4">
        <v>36251</v>
      </c>
      <c r="B3097" s="6">
        <v>14.6</v>
      </c>
    </row>
    <row r="3098" spans="1:2" x14ac:dyDescent="0.25">
      <c r="A3098" s="4">
        <v>36252</v>
      </c>
      <c r="B3098" s="5"/>
    </row>
    <row r="3099" spans="1:2" x14ac:dyDescent="0.25">
      <c r="A3099" s="4">
        <v>36255</v>
      </c>
      <c r="B3099" s="5"/>
    </row>
    <row r="3100" spans="1:2" x14ac:dyDescent="0.25">
      <c r="A3100" s="4">
        <v>36256</v>
      </c>
      <c r="B3100" s="6">
        <v>14.53</v>
      </c>
    </row>
    <row r="3101" spans="1:2" x14ac:dyDescent="0.25">
      <c r="A3101" s="4">
        <v>36257</v>
      </c>
      <c r="B3101" s="6">
        <v>14.14</v>
      </c>
    </row>
    <row r="3102" spans="1:2" x14ac:dyDescent="0.25">
      <c r="A3102" s="4">
        <v>36258</v>
      </c>
      <c r="B3102" s="6">
        <v>13.72</v>
      </c>
    </row>
    <row r="3103" spans="1:2" x14ac:dyDescent="0.25">
      <c r="A3103" s="4">
        <v>36259</v>
      </c>
      <c r="B3103" s="6">
        <v>14.11</v>
      </c>
    </row>
    <row r="3104" spans="1:2" x14ac:dyDescent="0.25">
      <c r="A3104" s="4">
        <v>36262</v>
      </c>
      <c r="B3104" s="6">
        <v>14.23</v>
      </c>
    </row>
    <row r="3105" spans="1:2" x14ac:dyDescent="0.25">
      <c r="A3105" s="4">
        <v>36263</v>
      </c>
      <c r="B3105" s="6">
        <v>14.68</v>
      </c>
    </row>
    <row r="3106" spans="1:2" x14ac:dyDescent="0.25">
      <c r="A3106" s="4">
        <v>36264</v>
      </c>
      <c r="B3106" s="6">
        <v>14.45</v>
      </c>
    </row>
    <row r="3107" spans="1:2" x14ac:dyDescent="0.25">
      <c r="A3107" s="4">
        <v>36265</v>
      </c>
      <c r="B3107" s="6">
        <v>14.82</v>
      </c>
    </row>
    <row r="3108" spans="1:2" x14ac:dyDescent="0.25">
      <c r="A3108" s="4">
        <v>36266</v>
      </c>
      <c r="B3108" s="6">
        <v>15.34</v>
      </c>
    </row>
    <row r="3109" spans="1:2" x14ac:dyDescent="0.25">
      <c r="A3109" s="4">
        <v>36269</v>
      </c>
      <c r="B3109" s="6">
        <v>16.010000000000002</v>
      </c>
    </row>
    <row r="3110" spans="1:2" x14ac:dyDescent="0.25">
      <c r="A3110" s="4">
        <v>36270</v>
      </c>
      <c r="B3110" s="6">
        <v>16.04</v>
      </c>
    </row>
    <row r="3111" spans="1:2" x14ac:dyDescent="0.25">
      <c r="A3111" s="4">
        <v>36271</v>
      </c>
      <c r="B3111" s="6">
        <v>15.96</v>
      </c>
    </row>
    <row r="3112" spans="1:2" x14ac:dyDescent="0.25">
      <c r="A3112" s="4">
        <v>36272</v>
      </c>
      <c r="B3112" s="6">
        <v>16.29</v>
      </c>
    </row>
    <row r="3113" spans="1:2" x14ac:dyDescent="0.25">
      <c r="A3113" s="4">
        <v>36273</v>
      </c>
      <c r="B3113" s="6">
        <v>16.07</v>
      </c>
    </row>
    <row r="3114" spans="1:2" x14ac:dyDescent="0.25">
      <c r="A3114" s="4">
        <v>36276</v>
      </c>
      <c r="B3114" s="6">
        <v>15.63</v>
      </c>
    </row>
    <row r="3115" spans="1:2" x14ac:dyDescent="0.25">
      <c r="A3115" s="4">
        <v>36277</v>
      </c>
      <c r="B3115" s="6">
        <v>15.91</v>
      </c>
    </row>
    <row r="3116" spans="1:2" x14ac:dyDescent="0.25">
      <c r="A3116" s="4">
        <v>36278</v>
      </c>
      <c r="B3116" s="6">
        <v>16.38</v>
      </c>
    </row>
    <row r="3117" spans="1:2" x14ac:dyDescent="0.25">
      <c r="A3117" s="4">
        <v>36279</v>
      </c>
      <c r="B3117" s="6">
        <v>16.53</v>
      </c>
    </row>
    <row r="3118" spans="1:2" x14ac:dyDescent="0.25">
      <c r="A3118" s="4">
        <v>36280</v>
      </c>
      <c r="B3118" s="6">
        <v>16.45</v>
      </c>
    </row>
    <row r="3119" spans="1:2" x14ac:dyDescent="0.25">
      <c r="A3119" s="4">
        <v>36283</v>
      </c>
      <c r="B3119" s="5"/>
    </row>
    <row r="3120" spans="1:2" x14ac:dyDescent="0.25">
      <c r="A3120" s="4">
        <v>36284</v>
      </c>
      <c r="B3120" s="6">
        <v>16.98</v>
      </c>
    </row>
    <row r="3121" spans="1:2" x14ac:dyDescent="0.25">
      <c r="A3121" s="4">
        <v>36285</v>
      </c>
      <c r="B3121" s="6">
        <v>16.850000000000001</v>
      </c>
    </row>
    <row r="3122" spans="1:2" x14ac:dyDescent="0.25">
      <c r="A3122" s="4">
        <v>36286</v>
      </c>
      <c r="B3122" s="6">
        <v>16.440000000000001</v>
      </c>
    </row>
    <row r="3123" spans="1:2" x14ac:dyDescent="0.25">
      <c r="A3123" s="4">
        <v>36287</v>
      </c>
      <c r="B3123" s="6">
        <v>15.66</v>
      </c>
    </row>
    <row r="3124" spans="1:2" x14ac:dyDescent="0.25">
      <c r="A3124" s="4">
        <v>36290</v>
      </c>
      <c r="B3124" s="6">
        <v>15.72</v>
      </c>
    </row>
    <row r="3125" spans="1:2" x14ac:dyDescent="0.25">
      <c r="A3125" s="4">
        <v>36291</v>
      </c>
      <c r="B3125" s="6">
        <v>15.23</v>
      </c>
    </row>
    <row r="3126" spans="1:2" x14ac:dyDescent="0.25">
      <c r="A3126" s="4">
        <v>36292</v>
      </c>
      <c r="B3126" s="6">
        <v>14.74</v>
      </c>
    </row>
    <row r="3127" spans="1:2" x14ac:dyDescent="0.25">
      <c r="A3127" s="4">
        <v>36293</v>
      </c>
      <c r="B3127" s="6">
        <v>15.21</v>
      </c>
    </row>
    <row r="3128" spans="1:2" x14ac:dyDescent="0.25">
      <c r="A3128" s="4">
        <v>36294</v>
      </c>
      <c r="B3128" s="6">
        <v>15.18</v>
      </c>
    </row>
    <row r="3129" spans="1:2" x14ac:dyDescent="0.25">
      <c r="A3129" s="4">
        <v>36297</v>
      </c>
      <c r="B3129" s="6">
        <v>14.98</v>
      </c>
    </row>
    <row r="3130" spans="1:2" x14ac:dyDescent="0.25">
      <c r="A3130" s="4">
        <v>36298</v>
      </c>
      <c r="B3130" s="6">
        <v>14.43</v>
      </c>
    </row>
    <row r="3131" spans="1:2" x14ac:dyDescent="0.25">
      <c r="A3131" s="4">
        <v>36299</v>
      </c>
      <c r="B3131" s="6">
        <v>14.42</v>
      </c>
    </row>
    <row r="3132" spans="1:2" x14ac:dyDescent="0.25">
      <c r="A3132" s="4">
        <v>36300</v>
      </c>
      <c r="B3132" s="6">
        <v>14.44</v>
      </c>
    </row>
    <row r="3133" spans="1:2" x14ac:dyDescent="0.25">
      <c r="A3133" s="4">
        <v>36301</v>
      </c>
      <c r="B3133" s="6">
        <v>14.49</v>
      </c>
    </row>
    <row r="3134" spans="1:2" x14ac:dyDescent="0.25">
      <c r="A3134" s="4">
        <v>36304</v>
      </c>
      <c r="B3134" s="6">
        <v>14.83</v>
      </c>
    </row>
    <row r="3135" spans="1:2" x14ac:dyDescent="0.25">
      <c r="A3135" s="4">
        <v>36305</v>
      </c>
      <c r="B3135" s="6">
        <v>14.71</v>
      </c>
    </row>
    <row r="3136" spans="1:2" x14ac:dyDescent="0.25">
      <c r="A3136" s="4">
        <v>36306</v>
      </c>
      <c r="B3136" s="6">
        <v>15.18</v>
      </c>
    </row>
    <row r="3137" spans="1:2" x14ac:dyDescent="0.25">
      <c r="A3137" s="4">
        <v>36307</v>
      </c>
      <c r="B3137" s="6">
        <v>15.04</v>
      </c>
    </row>
    <row r="3138" spans="1:2" x14ac:dyDescent="0.25">
      <c r="A3138" s="4">
        <v>36308</v>
      </c>
      <c r="B3138" s="6">
        <v>14.75</v>
      </c>
    </row>
    <row r="3139" spans="1:2" x14ac:dyDescent="0.25">
      <c r="A3139" s="4">
        <v>36311</v>
      </c>
      <c r="B3139" s="5"/>
    </row>
    <row r="3140" spans="1:2" x14ac:dyDescent="0.25">
      <c r="A3140" s="4">
        <v>36312</v>
      </c>
      <c r="B3140" s="6">
        <v>14.22</v>
      </c>
    </row>
    <row r="3141" spans="1:2" x14ac:dyDescent="0.25">
      <c r="A3141" s="4">
        <v>36313</v>
      </c>
      <c r="B3141" s="6">
        <v>14.28</v>
      </c>
    </row>
    <row r="3142" spans="1:2" x14ac:dyDescent="0.25">
      <c r="A3142" s="4">
        <v>36314</v>
      </c>
      <c r="B3142" s="6">
        <v>14.26</v>
      </c>
    </row>
    <row r="3143" spans="1:2" x14ac:dyDescent="0.25">
      <c r="A3143" s="4">
        <v>36315</v>
      </c>
      <c r="B3143" s="6">
        <v>15.21</v>
      </c>
    </row>
    <row r="3144" spans="1:2" x14ac:dyDescent="0.25">
      <c r="A3144" s="4">
        <v>36318</v>
      </c>
      <c r="B3144" s="6">
        <v>15.98</v>
      </c>
    </row>
    <row r="3145" spans="1:2" x14ac:dyDescent="0.25">
      <c r="A3145" s="4">
        <v>36319</v>
      </c>
      <c r="B3145" s="6">
        <v>16.25</v>
      </c>
    </row>
    <row r="3146" spans="1:2" x14ac:dyDescent="0.25">
      <c r="A3146" s="4">
        <v>36320</v>
      </c>
      <c r="B3146" s="6">
        <v>16.190000000000001</v>
      </c>
    </row>
    <row r="3147" spans="1:2" x14ac:dyDescent="0.25">
      <c r="A3147" s="4">
        <v>36321</v>
      </c>
      <c r="B3147" s="6">
        <v>15.99</v>
      </c>
    </row>
    <row r="3148" spans="1:2" x14ac:dyDescent="0.25">
      <c r="A3148" s="4">
        <v>36322</v>
      </c>
      <c r="B3148" s="6">
        <v>16.25</v>
      </c>
    </row>
    <row r="3149" spans="1:2" x14ac:dyDescent="0.25">
      <c r="A3149" s="4">
        <v>36325</v>
      </c>
      <c r="B3149" s="6">
        <v>16.05</v>
      </c>
    </row>
    <row r="3150" spans="1:2" x14ac:dyDescent="0.25">
      <c r="A3150" s="4">
        <v>36326</v>
      </c>
      <c r="B3150" s="6">
        <v>16.329999999999998</v>
      </c>
    </row>
    <row r="3151" spans="1:2" x14ac:dyDescent="0.25">
      <c r="A3151" s="4">
        <v>36327</v>
      </c>
      <c r="B3151" s="6">
        <v>16.29</v>
      </c>
    </row>
    <row r="3152" spans="1:2" x14ac:dyDescent="0.25">
      <c r="A3152" s="4">
        <v>36328</v>
      </c>
      <c r="B3152" s="6">
        <v>16</v>
      </c>
    </row>
    <row r="3153" spans="1:2" x14ac:dyDescent="0.25">
      <c r="A3153" s="4">
        <v>36329</v>
      </c>
      <c r="B3153" s="6">
        <v>15.93</v>
      </c>
    </row>
    <row r="3154" spans="1:2" x14ac:dyDescent="0.25">
      <c r="A3154" s="4">
        <v>36332</v>
      </c>
      <c r="B3154" s="6">
        <v>15.64</v>
      </c>
    </row>
    <row r="3155" spans="1:2" x14ac:dyDescent="0.25">
      <c r="A3155" s="4">
        <v>36333</v>
      </c>
      <c r="B3155" s="6">
        <v>15.91</v>
      </c>
    </row>
    <row r="3156" spans="1:2" x14ac:dyDescent="0.25">
      <c r="A3156" s="4">
        <v>36334</v>
      </c>
      <c r="B3156" s="6">
        <v>16.04</v>
      </c>
    </row>
    <row r="3157" spans="1:2" x14ac:dyDescent="0.25">
      <c r="A3157" s="4">
        <v>36335</v>
      </c>
      <c r="B3157" s="6">
        <v>16.28</v>
      </c>
    </row>
    <row r="3158" spans="1:2" x14ac:dyDescent="0.25">
      <c r="A3158" s="4">
        <v>36336</v>
      </c>
      <c r="B3158" s="6">
        <v>16.27</v>
      </c>
    </row>
    <row r="3159" spans="1:2" x14ac:dyDescent="0.25">
      <c r="A3159" s="4">
        <v>36339</v>
      </c>
      <c r="B3159" s="6">
        <v>16.27</v>
      </c>
    </row>
    <row r="3160" spans="1:2" x14ac:dyDescent="0.25">
      <c r="A3160" s="4">
        <v>36340</v>
      </c>
      <c r="B3160" s="6">
        <v>16.38</v>
      </c>
    </row>
    <row r="3161" spans="1:2" x14ac:dyDescent="0.25">
      <c r="A3161" s="4">
        <v>36341</v>
      </c>
      <c r="B3161" s="6">
        <v>16.97</v>
      </c>
    </row>
    <row r="3162" spans="1:2" x14ac:dyDescent="0.25">
      <c r="A3162" s="4">
        <v>36342</v>
      </c>
      <c r="B3162" s="6">
        <v>17.25</v>
      </c>
    </row>
    <row r="3163" spans="1:2" x14ac:dyDescent="0.25">
      <c r="A3163" s="4">
        <v>36343</v>
      </c>
      <c r="B3163" s="6">
        <v>17.55</v>
      </c>
    </row>
    <row r="3164" spans="1:2" x14ac:dyDescent="0.25">
      <c r="A3164" s="4">
        <v>36346</v>
      </c>
      <c r="B3164" s="5"/>
    </row>
    <row r="3165" spans="1:2" x14ac:dyDescent="0.25">
      <c r="A3165" s="4">
        <v>36347</v>
      </c>
      <c r="B3165" s="6">
        <v>18.47</v>
      </c>
    </row>
    <row r="3166" spans="1:2" x14ac:dyDescent="0.25">
      <c r="A3166" s="4">
        <v>36348</v>
      </c>
      <c r="B3166" s="6">
        <v>18.36</v>
      </c>
    </row>
    <row r="3167" spans="1:2" x14ac:dyDescent="0.25">
      <c r="A3167" s="4">
        <v>36349</v>
      </c>
      <c r="B3167" s="6">
        <v>18.739999999999998</v>
      </c>
    </row>
    <row r="3168" spans="1:2" x14ac:dyDescent="0.25">
      <c r="A3168" s="4">
        <v>36350</v>
      </c>
      <c r="B3168" s="6">
        <v>18.899999999999999</v>
      </c>
    </row>
    <row r="3169" spans="1:2" x14ac:dyDescent="0.25">
      <c r="A3169" s="4">
        <v>36353</v>
      </c>
      <c r="B3169" s="6">
        <v>18.940000000000001</v>
      </c>
    </row>
    <row r="3170" spans="1:2" x14ac:dyDescent="0.25">
      <c r="A3170" s="4">
        <v>36354</v>
      </c>
      <c r="B3170" s="6">
        <v>19.489999999999998</v>
      </c>
    </row>
    <row r="3171" spans="1:2" x14ac:dyDescent="0.25">
      <c r="A3171" s="4">
        <v>36355</v>
      </c>
      <c r="B3171" s="6">
        <v>19.48</v>
      </c>
    </row>
    <row r="3172" spans="1:2" x14ac:dyDescent="0.25">
      <c r="A3172" s="4">
        <v>36356</v>
      </c>
      <c r="B3172" s="6">
        <v>18.899999999999999</v>
      </c>
    </row>
    <row r="3173" spans="1:2" x14ac:dyDescent="0.25">
      <c r="A3173" s="4">
        <v>36357</v>
      </c>
      <c r="B3173" s="6">
        <v>19.420000000000002</v>
      </c>
    </row>
    <row r="3174" spans="1:2" x14ac:dyDescent="0.25">
      <c r="A3174" s="4">
        <v>36360</v>
      </c>
      <c r="B3174" s="6">
        <v>19.75</v>
      </c>
    </row>
    <row r="3175" spans="1:2" x14ac:dyDescent="0.25">
      <c r="A3175" s="4">
        <v>36361</v>
      </c>
      <c r="B3175" s="6">
        <v>19.329999999999998</v>
      </c>
    </row>
    <row r="3176" spans="1:2" x14ac:dyDescent="0.25">
      <c r="A3176" s="4">
        <v>36362</v>
      </c>
      <c r="B3176" s="6">
        <v>18.62</v>
      </c>
    </row>
    <row r="3177" spans="1:2" x14ac:dyDescent="0.25">
      <c r="A3177" s="4">
        <v>36363</v>
      </c>
      <c r="B3177" s="6">
        <v>19.010000000000002</v>
      </c>
    </row>
    <row r="3178" spans="1:2" x14ac:dyDescent="0.25">
      <c r="A3178" s="4">
        <v>36364</v>
      </c>
      <c r="B3178" s="6">
        <v>19.690000000000001</v>
      </c>
    </row>
    <row r="3179" spans="1:2" x14ac:dyDescent="0.25">
      <c r="A3179" s="4">
        <v>36367</v>
      </c>
      <c r="B3179" s="6">
        <v>19.73</v>
      </c>
    </row>
    <row r="3180" spans="1:2" x14ac:dyDescent="0.25">
      <c r="A3180" s="4">
        <v>36368</v>
      </c>
      <c r="B3180" s="6">
        <v>19.46</v>
      </c>
    </row>
    <row r="3181" spans="1:2" x14ac:dyDescent="0.25">
      <c r="A3181" s="4">
        <v>36369</v>
      </c>
      <c r="B3181" s="6">
        <v>19.649999999999999</v>
      </c>
    </row>
    <row r="3182" spans="1:2" x14ac:dyDescent="0.25">
      <c r="A3182" s="4">
        <v>36370</v>
      </c>
      <c r="B3182" s="6">
        <v>19.97</v>
      </c>
    </row>
    <row r="3183" spans="1:2" x14ac:dyDescent="0.25">
      <c r="A3183" s="4">
        <v>36371</v>
      </c>
      <c r="B3183" s="6">
        <v>19.97</v>
      </c>
    </row>
    <row r="3184" spans="1:2" x14ac:dyDescent="0.25">
      <c r="A3184" s="4">
        <v>36374</v>
      </c>
      <c r="B3184" s="6">
        <v>19.21</v>
      </c>
    </row>
    <row r="3185" spans="1:2" x14ac:dyDescent="0.25">
      <c r="A3185" s="4">
        <v>36375</v>
      </c>
      <c r="B3185" s="6">
        <v>19.32</v>
      </c>
    </row>
    <row r="3186" spans="1:2" x14ac:dyDescent="0.25">
      <c r="A3186" s="4">
        <v>36376</v>
      </c>
      <c r="B3186" s="6">
        <v>19.38</v>
      </c>
    </row>
    <row r="3187" spans="1:2" x14ac:dyDescent="0.25">
      <c r="A3187" s="4">
        <v>36377</v>
      </c>
      <c r="B3187" s="6">
        <v>19.64</v>
      </c>
    </row>
    <row r="3188" spans="1:2" x14ac:dyDescent="0.25">
      <c r="A3188" s="4">
        <v>36378</v>
      </c>
      <c r="B3188" s="6">
        <v>19.66</v>
      </c>
    </row>
    <row r="3189" spans="1:2" x14ac:dyDescent="0.25">
      <c r="A3189" s="4">
        <v>36381</v>
      </c>
      <c r="B3189" s="6">
        <v>19.34</v>
      </c>
    </row>
    <row r="3190" spans="1:2" x14ac:dyDescent="0.25">
      <c r="A3190" s="4">
        <v>36382</v>
      </c>
      <c r="B3190" s="6">
        <v>20.18</v>
      </c>
    </row>
    <row r="3191" spans="1:2" x14ac:dyDescent="0.25">
      <c r="A3191" s="4">
        <v>36383</v>
      </c>
      <c r="B3191" s="6">
        <v>20.58</v>
      </c>
    </row>
    <row r="3192" spans="1:2" x14ac:dyDescent="0.25">
      <c r="A3192" s="4">
        <v>36384</v>
      </c>
      <c r="B3192" s="6">
        <v>20.32</v>
      </c>
    </row>
    <row r="3193" spans="1:2" x14ac:dyDescent="0.25">
      <c r="A3193" s="4">
        <v>36385</v>
      </c>
      <c r="B3193" s="6">
        <v>20.61</v>
      </c>
    </row>
    <row r="3194" spans="1:2" x14ac:dyDescent="0.25">
      <c r="A3194" s="4">
        <v>36388</v>
      </c>
      <c r="B3194" s="6">
        <v>20.68</v>
      </c>
    </row>
    <row r="3195" spans="1:2" x14ac:dyDescent="0.25">
      <c r="A3195" s="4">
        <v>36389</v>
      </c>
      <c r="B3195" s="6">
        <v>20.61</v>
      </c>
    </row>
    <row r="3196" spans="1:2" x14ac:dyDescent="0.25">
      <c r="A3196" s="4">
        <v>36390</v>
      </c>
      <c r="B3196" s="6">
        <v>20.69</v>
      </c>
    </row>
    <row r="3197" spans="1:2" x14ac:dyDescent="0.25">
      <c r="A3197" s="4">
        <v>36391</v>
      </c>
      <c r="B3197" s="6">
        <v>20.92</v>
      </c>
    </row>
    <row r="3198" spans="1:2" x14ac:dyDescent="0.25">
      <c r="A3198" s="4">
        <v>36392</v>
      </c>
      <c r="B3198" s="6">
        <v>21.11</v>
      </c>
    </row>
    <row r="3199" spans="1:2" x14ac:dyDescent="0.25">
      <c r="A3199" s="4">
        <v>36395</v>
      </c>
      <c r="B3199" s="6">
        <v>20.96</v>
      </c>
    </row>
    <row r="3200" spans="1:2" x14ac:dyDescent="0.25">
      <c r="A3200" s="4">
        <v>36396</v>
      </c>
      <c r="B3200" s="6">
        <v>20.48</v>
      </c>
    </row>
    <row r="3201" spans="1:2" x14ac:dyDescent="0.25">
      <c r="A3201" s="4">
        <v>36397</v>
      </c>
      <c r="B3201" s="6">
        <v>19.71</v>
      </c>
    </row>
    <row r="3202" spans="1:2" x14ac:dyDescent="0.25">
      <c r="A3202" s="4">
        <v>36398</v>
      </c>
      <c r="B3202" s="6">
        <v>19.8</v>
      </c>
    </row>
    <row r="3203" spans="1:2" x14ac:dyDescent="0.25">
      <c r="A3203" s="4">
        <v>36399</v>
      </c>
      <c r="B3203" s="6">
        <v>20.32</v>
      </c>
    </row>
    <row r="3204" spans="1:2" x14ac:dyDescent="0.25">
      <c r="A3204" s="4">
        <v>36402</v>
      </c>
      <c r="B3204" s="5"/>
    </row>
    <row r="3205" spans="1:2" x14ac:dyDescent="0.25">
      <c r="A3205" s="4">
        <v>36403</v>
      </c>
      <c r="B3205" s="6">
        <v>21.08</v>
      </c>
    </row>
    <row r="3206" spans="1:2" x14ac:dyDescent="0.25">
      <c r="A3206" s="4">
        <v>36404</v>
      </c>
      <c r="B3206" s="6">
        <v>21.1</v>
      </c>
    </row>
    <row r="3207" spans="1:2" x14ac:dyDescent="0.25">
      <c r="A3207" s="4">
        <v>36405</v>
      </c>
      <c r="B3207" s="6">
        <v>20.66</v>
      </c>
    </row>
    <row r="3208" spans="1:2" x14ac:dyDescent="0.25">
      <c r="A3208" s="4">
        <v>36406</v>
      </c>
      <c r="B3208" s="6">
        <v>20.74</v>
      </c>
    </row>
    <row r="3209" spans="1:2" x14ac:dyDescent="0.25">
      <c r="A3209" s="4">
        <v>36409</v>
      </c>
      <c r="B3209" s="6">
        <v>21.14</v>
      </c>
    </row>
    <row r="3210" spans="1:2" x14ac:dyDescent="0.25">
      <c r="A3210" s="4">
        <v>36410</v>
      </c>
      <c r="B3210" s="6">
        <v>21.71</v>
      </c>
    </row>
    <row r="3211" spans="1:2" x14ac:dyDescent="0.25">
      <c r="A3211" s="4">
        <v>36411</v>
      </c>
      <c r="B3211" s="6">
        <v>21.96</v>
      </c>
    </row>
    <row r="3212" spans="1:2" x14ac:dyDescent="0.25">
      <c r="A3212" s="4">
        <v>36412</v>
      </c>
      <c r="B3212" s="6">
        <v>22.51</v>
      </c>
    </row>
    <row r="3213" spans="1:2" x14ac:dyDescent="0.25">
      <c r="A3213" s="4">
        <v>36413</v>
      </c>
      <c r="B3213" s="6">
        <v>22.36</v>
      </c>
    </row>
    <row r="3214" spans="1:2" x14ac:dyDescent="0.25">
      <c r="A3214" s="4">
        <v>36416</v>
      </c>
      <c r="B3214" s="6">
        <v>22.98</v>
      </c>
    </row>
    <row r="3215" spans="1:2" x14ac:dyDescent="0.25">
      <c r="A3215" s="4">
        <v>36417</v>
      </c>
      <c r="B3215" s="6">
        <v>23.18</v>
      </c>
    </row>
    <row r="3216" spans="1:2" x14ac:dyDescent="0.25">
      <c r="A3216" s="4">
        <v>36418</v>
      </c>
      <c r="B3216" s="6">
        <v>23.25</v>
      </c>
    </row>
    <row r="3217" spans="1:2" x14ac:dyDescent="0.25">
      <c r="A3217" s="4">
        <v>36419</v>
      </c>
      <c r="B3217" s="6">
        <v>23.06</v>
      </c>
    </row>
    <row r="3218" spans="1:2" x14ac:dyDescent="0.25">
      <c r="A3218" s="4">
        <v>36420</v>
      </c>
      <c r="B3218" s="6">
        <v>22.93</v>
      </c>
    </row>
    <row r="3219" spans="1:2" x14ac:dyDescent="0.25">
      <c r="A3219" s="4">
        <v>36423</v>
      </c>
      <c r="B3219" s="6">
        <v>22.85</v>
      </c>
    </row>
    <row r="3220" spans="1:2" x14ac:dyDescent="0.25">
      <c r="A3220" s="4">
        <v>36424</v>
      </c>
      <c r="B3220" s="6">
        <v>22.68</v>
      </c>
    </row>
    <row r="3221" spans="1:2" x14ac:dyDescent="0.25">
      <c r="A3221" s="4">
        <v>36425</v>
      </c>
      <c r="B3221" s="6">
        <v>22.49</v>
      </c>
    </row>
    <row r="3222" spans="1:2" x14ac:dyDescent="0.25">
      <c r="A3222" s="4">
        <v>36426</v>
      </c>
      <c r="B3222" s="6">
        <v>23.41</v>
      </c>
    </row>
    <row r="3223" spans="1:2" x14ac:dyDescent="0.25">
      <c r="A3223" s="4">
        <v>36427</v>
      </c>
      <c r="B3223" s="6">
        <v>23.66</v>
      </c>
    </row>
    <row r="3224" spans="1:2" x14ac:dyDescent="0.25">
      <c r="A3224" s="4">
        <v>36430</v>
      </c>
      <c r="B3224" s="6">
        <v>23.6</v>
      </c>
    </row>
    <row r="3225" spans="1:2" x14ac:dyDescent="0.25">
      <c r="A3225" s="4">
        <v>36431</v>
      </c>
      <c r="B3225" s="6">
        <v>23.24</v>
      </c>
    </row>
    <row r="3226" spans="1:2" x14ac:dyDescent="0.25">
      <c r="A3226" s="4">
        <v>36432</v>
      </c>
      <c r="B3226" s="6">
        <v>23.46</v>
      </c>
    </row>
    <row r="3227" spans="1:2" x14ac:dyDescent="0.25">
      <c r="A3227" s="4">
        <v>36433</v>
      </c>
      <c r="B3227" s="6">
        <v>22.98</v>
      </c>
    </row>
    <row r="3228" spans="1:2" x14ac:dyDescent="0.25">
      <c r="A3228" s="4">
        <v>36434</v>
      </c>
      <c r="B3228" s="6">
        <v>22.98</v>
      </c>
    </row>
    <row r="3229" spans="1:2" x14ac:dyDescent="0.25">
      <c r="A3229" s="4">
        <v>36437</v>
      </c>
      <c r="B3229" s="6">
        <v>23.3</v>
      </c>
    </row>
    <row r="3230" spans="1:2" x14ac:dyDescent="0.25">
      <c r="A3230" s="4">
        <v>36438</v>
      </c>
      <c r="B3230" s="6">
        <v>22.64</v>
      </c>
    </row>
    <row r="3231" spans="1:2" x14ac:dyDescent="0.25">
      <c r="A3231" s="4">
        <v>36439</v>
      </c>
      <c r="B3231" s="6">
        <v>23.07</v>
      </c>
    </row>
    <row r="3232" spans="1:2" x14ac:dyDescent="0.25">
      <c r="A3232" s="4">
        <v>36440</v>
      </c>
      <c r="B3232" s="6">
        <v>22.33</v>
      </c>
    </row>
    <row r="3233" spans="1:2" x14ac:dyDescent="0.25">
      <c r="A3233" s="4">
        <v>36441</v>
      </c>
      <c r="B3233" s="6">
        <v>20.78</v>
      </c>
    </row>
    <row r="3234" spans="1:2" x14ac:dyDescent="0.25">
      <c r="A3234" s="4">
        <v>36444</v>
      </c>
      <c r="B3234" s="6">
        <v>20.84</v>
      </c>
    </row>
    <row r="3235" spans="1:2" x14ac:dyDescent="0.25">
      <c r="A3235" s="4">
        <v>36445</v>
      </c>
      <c r="B3235" s="6">
        <v>21.89</v>
      </c>
    </row>
    <row r="3236" spans="1:2" x14ac:dyDescent="0.25">
      <c r="A3236" s="4">
        <v>36446</v>
      </c>
      <c r="B3236" s="6">
        <v>22.26</v>
      </c>
    </row>
    <row r="3237" spans="1:2" x14ac:dyDescent="0.25">
      <c r="A3237" s="4">
        <v>36447</v>
      </c>
      <c r="B3237" s="6">
        <v>22.28</v>
      </c>
    </row>
    <row r="3238" spans="1:2" x14ac:dyDescent="0.25">
      <c r="A3238" s="4">
        <v>36448</v>
      </c>
      <c r="B3238" s="6">
        <v>21.65</v>
      </c>
    </row>
    <row r="3239" spans="1:2" x14ac:dyDescent="0.25">
      <c r="A3239" s="4">
        <v>36451</v>
      </c>
      <c r="B3239" s="6">
        <v>22.26</v>
      </c>
    </row>
    <row r="3240" spans="1:2" x14ac:dyDescent="0.25">
      <c r="A3240" s="4">
        <v>36452</v>
      </c>
      <c r="B3240" s="6">
        <v>21.59</v>
      </c>
    </row>
    <row r="3241" spans="1:2" x14ac:dyDescent="0.25">
      <c r="A3241" s="4">
        <v>36453</v>
      </c>
      <c r="B3241" s="6">
        <v>21.02</v>
      </c>
    </row>
    <row r="3242" spans="1:2" x14ac:dyDescent="0.25">
      <c r="A3242" s="4">
        <v>36454</v>
      </c>
      <c r="B3242" s="6">
        <v>21.68</v>
      </c>
    </row>
    <row r="3243" spans="1:2" x14ac:dyDescent="0.25">
      <c r="A3243" s="4">
        <v>36455</v>
      </c>
      <c r="B3243" s="6">
        <v>22.38</v>
      </c>
    </row>
    <row r="3244" spans="1:2" x14ac:dyDescent="0.25">
      <c r="A3244" s="4">
        <v>36458</v>
      </c>
      <c r="B3244" s="6">
        <v>22.45</v>
      </c>
    </row>
    <row r="3245" spans="1:2" x14ac:dyDescent="0.25">
      <c r="A3245" s="4">
        <v>36459</v>
      </c>
      <c r="B3245" s="6">
        <v>22.14</v>
      </c>
    </row>
    <row r="3246" spans="1:2" x14ac:dyDescent="0.25">
      <c r="A3246" s="4">
        <v>36460</v>
      </c>
      <c r="B3246" s="6">
        <v>22.18</v>
      </c>
    </row>
    <row r="3247" spans="1:2" x14ac:dyDescent="0.25">
      <c r="A3247" s="4">
        <v>36461</v>
      </c>
      <c r="B3247" s="6">
        <v>21.22</v>
      </c>
    </row>
    <row r="3248" spans="1:2" x14ac:dyDescent="0.25">
      <c r="A3248" s="4">
        <v>36462</v>
      </c>
      <c r="B3248" s="6">
        <v>21.11</v>
      </c>
    </row>
    <row r="3249" spans="1:2" x14ac:dyDescent="0.25">
      <c r="A3249" s="4">
        <v>36465</v>
      </c>
      <c r="B3249" s="6">
        <v>21.32</v>
      </c>
    </row>
    <row r="3250" spans="1:2" x14ac:dyDescent="0.25">
      <c r="A3250" s="4">
        <v>36466</v>
      </c>
      <c r="B3250" s="6">
        <v>21.98</v>
      </c>
    </row>
    <row r="3251" spans="1:2" x14ac:dyDescent="0.25">
      <c r="A3251" s="4">
        <v>36467</v>
      </c>
      <c r="B3251" s="6">
        <v>22.38</v>
      </c>
    </row>
    <row r="3252" spans="1:2" x14ac:dyDescent="0.25">
      <c r="A3252" s="4">
        <v>36468</v>
      </c>
      <c r="B3252" s="6">
        <v>22.64</v>
      </c>
    </row>
    <row r="3253" spans="1:2" x14ac:dyDescent="0.25">
      <c r="A3253" s="4">
        <v>36469</v>
      </c>
      <c r="B3253" s="6">
        <v>22.8</v>
      </c>
    </row>
    <row r="3254" spans="1:2" x14ac:dyDescent="0.25">
      <c r="A3254" s="4">
        <v>36472</v>
      </c>
      <c r="B3254" s="6">
        <v>23.62</v>
      </c>
    </row>
    <row r="3255" spans="1:2" x14ac:dyDescent="0.25">
      <c r="A3255" s="4">
        <v>36473</v>
      </c>
      <c r="B3255" s="6">
        <v>24.44</v>
      </c>
    </row>
    <row r="3256" spans="1:2" x14ac:dyDescent="0.25">
      <c r="A3256" s="4">
        <v>36474</v>
      </c>
      <c r="B3256" s="6">
        <v>25.42</v>
      </c>
    </row>
    <row r="3257" spans="1:2" x14ac:dyDescent="0.25">
      <c r="A3257" s="4">
        <v>36475</v>
      </c>
      <c r="B3257" s="6">
        <v>24.96</v>
      </c>
    </row>
    <row r="3258" spans="1:2" x14ac:dyDescent="0.25">
      <c r="A3258" s="4">
        <v>36476</v>
      </c>
      <c r="B3258" s="6">
        <v>25.39</v>
      </c>
    </row>
    <row r="3259" spans="1:2" x14ac:dyDescent="0.25">
      <c r="A3259" s="4">
        <v>36479</v>
      </c>
      <c r="B3259" s="6">
        <v>25.93</v>
      </c>
    </row>
    <row r="3260" spans="1:2" x14ac:dyDescent="0.25">
      <c r="A3260" s="4">
        <v>36480</v>
      </c>
      <c r="B3260" s="6">
        <v>24.88</v>
      </c>
    </row>
    <row r="3261" spans="1:2" x14ac:dyDescent="0.25">
      <c r="A3261" s="4">
        <v>36481</v>
      </c>
      <c r="B3261" s="6">
        <v>24.98</v>
      </c>
    </row>
    <row r="3262" spans="1:2" x14ac:dyDescent="0.25">
      <c r="A3262" s="4">
        <v>36482</v>
      </c>
      <c r="B3262" s="6">
        <v>25.02</v>
      </c>
    </row>
    <row r="3263" spans="1:2" x14ac:dyDescent="0.25">
      <c r="A3263" s="4">
        <v>36483</v>
      </c>
      <c r="B3263" s="6">
        <v>25.14</v>
      </c>
    </row>
    <row r="3264" spans="1:2" x14ac:dyDescent="0.25">
      <c r="A3264" s="4">
        <v>36486</v>
      </c>
      <c r="B3264" s="6">
        <v>25.86</v>
      </c>
    </row>
    <row r="3265" spans="1:2" x14ac:dyDescent="0.25">
      <c r="A3265" s="4">
        <v>36487</v>
      </c>
      <c r="B3265" s="6">
        <v>25.66</v>
      </c>
    </row>
    <row r="3266" spans="1:2" x14ac:dyDescent="0.25">
      <c r="A3266" s="4">
        <v>36488</v>
      </c>
      <c r="B3266" s="6">
        <v>25.77</v>
      </c>
    </row>
    <row r="3267" spans="1:2" x14ac:dyDescent="0.25">
      <c r="A3267" s="4">
        <v>36489</v>
      </c>
      <c r="B3267" s="6">
        <v>25.94</v>
      </c>
    </row>
    <row r="3268" spans="1:2" x14ac:dyDescent="0.25">
      <c r="A3268" s="4">
        <v>36490</v>
      </c>
      <c r="B3268" s="6">
        <v>25.85</v>
      </c>
    </row>
    <row r="3269" spans="1:2" x14ac:dyDescent="0.25">
      <c r="A3269" s="4">
        <v>36493</v>
      </c>
      <c r="B3269" s="6">
        <v>25.67</v>
      </c>
    </row>
    <row r="3270" spans="1:2" x14ac:dyDescent="0.25">
      <c r="A3270" s="4">
        <v>36494</v>
      </c>
      <c r="B3270" s="6">
        <v>25.2</v>
      </c>
    </row>
    <row r="3271" spans="1:2" x14ac:dyDescent="0.25">
      <c r="A3271" s="4">
        <v>36495</v>
      </c>
      <c r="B3271" s="6">
        <v>24.2</v>
      </c>
    </row>
    <row r="3272" spans="1:2" x14ac:dyDescent="0.25">
      <c r="A3272" s="4">
        <v>36496</v>
      </c>
      <c r="B3272" s="6">
        <v>25.52</v>
      </c>
    </row>
    <row r="3273" spans="1:2" x14ac:dyDescent="0.25">
      <c r="A3273" s="4">
        <v>36497</v>
      </c>
      <c r="B3273" s="6">
        <v>26.17</v>
      </c>
    </row>
    <row r="3274" spans="1:2" x14ac:dyDescent="0.25">
      <c r="A3274" s="4">
        <v>36500</v>
      </c>
      <c r="B3274" s="6">
        <v>26.46</v>
      </c>
    </row>
    <row r="3275" spans="1:2" x14ac:dyDescent="0.25">
      <c r="A3275" s="4">
        <v>36501</v>
      </c>
      <c r="B3275" s="6">
        <v>26.1</v>
      </c>
    </row>
    <row r="3276" spans="1:2" x14ac:dyDescent="0.25">
      <c r="A3276" s="4">
        <v>36502</v>
      </c>
      <c r="B3276" s="6">
        <v>25.45</v>
      </c>
    </row>
    <row r="3277" spans="1:2" x14ac:dyDescent="0.25">
      <c r="A3277" s="4">
        <v>36503</v>
      </c>
      <c r="B3277" s="6">
        <v>25.85</v>
      </c>
    </row>
    <row r="3278" spans="1:2" x14ac:dyDescent="0.25">
      <c r="A3278" s="4">
        <v>36504</v>
      </c>
      <c r="B3278" s="6">
        <v>24.86</v>
      </c>
    </row>
    <row r="3279" spans="1:2" x14ac:dyDescent="0.25">
      <c r="A3279" s="4">
        <v>36507</v>
      </c>
      <c r="B3279" s="6">
        <v>24.31</v>
      </c>
    </row>
    <row r="3280" spans="1:2" x14ac:dyDescent="0.25">
      <c r="A3280" s="4">
        <v>36508</v>
      </c>
      <c r="B3280" s="6">
        <v>24.88</v>
      </c>
    </row>
    <row r="3281" spans="1:2" x14ac:dyDescent="0.25">
      <c r="A3281" s="4">
        <v>36509</v>
      </c>
      <c r="B3281" s="6">
        <v>25.68</v>
      </c>
    </row>
    <row r="3282" spans="1:2" x14ac:dyDescent="0.25">
      <c r="A3282" s="4">
        <v>36510</v>
      </c>
      <c r="B3282" s="6">
        <v>26.09</v>
      </c>
    </row>
    <row r="3283" spans="1:2" x14ac:dyDescent="0.25">
      <c r="A3283" s="4">
        <v>36511</v>
      </c>
      <c r="B3283" s="6">
        <v>26.22</v>
      </c>
    </row>
    <row r="3284" spans="1:2" x14ac:dyDescent="0.25">
      <c r="A3284" s="4">
        <v>36514</v>
      </c>
      <c r="B3284" s="6">
        <v>25.98</v>
      </c>
    </row>
    <row r="3285" spans="1:2" x14ac:dyDescent="0.25">
      <c r="A3285" s="4">
        <v>36515</v>
      </c>
      <c r="B3285" s="6">
        <v>25.51</v>
      </c>
    </row>
    <row r="3286" spans="1:2" x14ac:dyDescent="0.25">
      <c r="A3286" s="4">
        <v>36516</v>
      </c>
      <c r="B3286" s="6">
        <v>25.04</v>
      </c>
    </row>
    <row r="3287" spans="1:2" x14ac:dyDescent="0.25">
      <c r="A3287" s="4">
        <v>36517</v>
      </c>
      <c r="B3287" s="6">
        <v>25.11</v>
      </c>
    </row>
    <row r="3288" spans="1:2" x14ac:dyDescent="0.25">
      <c r="A3288" s="4">
        <v>36518</v>
      </c>
      <c r="B3288" s="5"/>
    </row>
    <row r="3289" spans="1:2" x14ac:dyDescent="0.25">
      <c r="A3289" s="4">
        <v>36521</v>
      </c>
      <c r="B3289" s="5"/>
    </row>
    <row r="3290" spans="1:2" x14ac:dyDescent="0.25">
      <c r="A3290" s="4">
        <v>36522</v>
      </c>
      <c r="B3290" s="5"/>
    </row>
    <row r="3291" spans="1:2" x14ac:dyDescent="0.25">
      <c r="A3291" s="4">
        <v>36523</v>
      </c>
      <c r="B3291" s="6">
        <v>25.63</v>
      </c>
    </row>
    <row r="3292" spans="1:2" x14ac:dyDescent="0.25">
      <c r="A3292" s="4">
        <v>36524</v>
      </c>
      <c r="B3292" s="6">
        <v>24.93</v>
      </c>
    </row>
    <row r="3293" spans="1:2" x14ac:dyDescent="0.25">
      <c r="A3293" s="4">
        <v>36525</v>
      </c>
      <c r="B3293" s="5"/>
    </row>
    <row r="3294" spans="1:2" x14ac:dyDescent="0.25">
      <c r="A3294" s="4">
        <v>36528</v>
      </c>
      <c r="B3294" s="5"/>
    </row>
    <row r="3295" spans="1:2" x14ac:dyDescent="0.25">
      <c r="A3295" s="4">
        <v>36529</v>
      </c>
      <c r="B3295" s="6">
        <v>23.95</v>
      </c>
    </row>
    <row r="3296" spans="1:2" x14ac:dyDescent="0.25">
      <c r="A3296" s="4">
        <v>36530</v>
      </c>
      <c r="B3296" s="6">
        <v>23.72</v>
      </c>
    </row>
    <row r="3297" spans="1:2" x14ac:dyDescent="0.25">
      <c r="A3297" s="4">
        <v>36531</v>
      </c>
      <c r="B3297" s="6">
        <v>23.55</v>
      </c>
    </row>
    <row r="3298" spans="1:2" x14ac:dyDescent="0.25">
      <c r="A3298" s="4">
        <v>36532</v>
      </c>
      <c r="B3298" s="6">
        <v>23.35</v>
      </c>
    </row>
    <row r="3299" spans="1:2" x14ac:dyDescent="0.25">
      <c r="A3299" s="4">
        <v>36535</v>
      </c>
      <c r="B3299" s="6">
        <v>22.77</v>
      </c>
    </row>
    <row r="3300" spans="1:2" x14ac:dyDescent="0.25">
      <c r="A3300" s="4">
        <v>36536</v>
      </c>
      <c r="B3300" s="6">
        <v>23.93</v>
      </c>
    </row>
    <row r="3301" spans="1:2" x14ac:dyDescent="0.25">
      <c r="A3301" s="4">
        <v>36537</v>
      </c>
      <c r="B3301" s="6">
        <v>24.62</v>
      </c>
    </row>
    <row r="3302" spans="1:2" x14ac:dyDescent="0.25">
      <c r="A3302" s="4">
        <v>36538</v>
      </c>
      <c r="B3302" s="6">
        <v>24.9</v>
      </c>
    </row>
    <row r="3303" spans="1:2" x14ac:dyDescent="0.25">
      <c r="A3303" s="4">
        <v>36539</v>
      </c>
      <c r="B3303" s="6">
        <v>25.5</v>
      </c>
    </row>
    <row r="3304" spans="1:2" x14ac:dyDescent="0.25">
      <c r="A3304" s="4">
        <v>36542</v>
      </c>
      <c r="B3304" s="6">
        <v>25.99</v>
      </c>
    </row>
    <row r="3305" spans="1:2" x14ac:dyDescent="0.25">
      <c r="A3305" s="4">
        <v>36543</v>
      </c>
      <c r="B3305" s="6">
        <v>26.31</v>
      </c>
    </row>
    <row r="3306" spans="1:2" x14ac:dyDescent="0.25">
      <c r="A3306" s="4">
        <v>36544</v>
      </c>
      <c r="B3306" s="6">
        <v>26.17</v>
      </c>
    </row>
    <row r="3307" spans="1:2" x14ac:dyDescent="0.25">
      <c r="A3307" s="4">
        <v>36545</v>
      </c>
      <c r="B3307" s="6">
        <v>26.26</v>
      </c>
    </row>
    <row r="3308" spans="1:2" x14ac:dyDescent="0.25">
      <c r="A3308" s="4">
        <v>36546</v>
      </c>
      <c r="B3308" s="6">
        <v>27.18</v>
      </c>
    </row>
    <row r="3309" spans="1:2" x14ac:dyDescent="0.25">
      <c r="A3309" s="4">
        <v>36549</v>
      </c>
      <c r="B3309" s="6">
        <v>27.02</v>
      </c>
    </row>
    <row r="3310" spans="1:2" x14ac:dyDescent="0.25">
      <c r="A3310" s="4">
        <v>36550</v>
      </c>
      <c r="B3310" s="6">
        <v>27.24</v>
      </c>
    </row>
    <row r="3311" spans="1:2" x14ac:dyDescent="0.25">
      <c r="A3311" s="4">
        <v>36551</v>
      </c>
      <c r="B3311" s="6">
        <v>27.18</v>
      </c>
    </row>
    <row r="3312" spans="1:2" x14ac:dyDescent="0.25">
      <c r="A3312" s="4">
        <v>36552</v>
      </c>
      <c r="B3312" s="6">
        <v>26.91</v>
      </c>
    </row>
    <row r="3313" spans="1:2" x14ac:dyDescent="0.25">
      <c r="A3313" s="4">
        <v>36553</v>
      </c>
      <c r="B3313" s="6">
        <v>26.59</v>
      </c>
    </row>
    <row r="3314" spans="1:2" x14ac:dyDescent="0.25">
      <c r="A3314" s="4">
        <v>36556</v>
      </c>
      <c r="B3314" s="6">
        <v>27.08</v>
      </c>
    </row>
    <row r="3315" spans="1:2" x14ac:dyDescent="0.25">
      <c r="A3315" s="4">
        <v>36557</v>
      </c>
      <c r="B3315" s="6">
        <v>27.35</v>
      </c>
    </row>
    <row r="3316" spans="1:2" x14ac:dyDescent="0.25">
      <c r="A3316" s="4">
        <v>36558</v>
      </c>
      <c r="B3316" s="6">
        <v>27.15</v>
      </c>
    </row>
    <row r="3317" spans="1:2" x14ac:dyDescent="0.25">
      <c r="A3317" s="4">
        <v>36559</v>
      </c>
      <c r="B3317" s="6">
        <v>27.6</v>
      </c>
    </row>
    <row r="3318" spans="1:2" x14ac:dyDescent="0.25">
      <c r="A3318" s="4">
        <v>36560</v>
      </c>
      <c r="B3318" s="6">
        <v>27.48</v>
      </c>
    </row>
    <row r="3319" spans="1:2" x14ac:dyDescent="0.25">
      <c r="A3319" s="4">
        <v>36563</v>
      </c>
      <c r="B3319" s="6">
        <v>27.94</v>
      </c>
    </row>
    <row r="3320" spans="1:2" x14ac:dyDescent="0.25">
      <c r="A3320" s="4">
        <v>36564</v>
      </c>
      <c r="B3320" s="6">
        <v>27.61</v>
      </c>
    </row>
    <row r="3321" spans="1:2" x14ac:dyDescent="0.25">
      <c r="A3321" s="4">
        <v>36565</v>
      </c>
      <c r="B3321" s="6">
        <v>27.44</v>
      </c>
    </row>
    <row r="3322" spans="1:2" x14ac:dyDescent="0.25">
      <c r="A3322" s="4">
        <v>36566</v>
      </c>
      <c r="B3322" s="6">
        <v>27.32</v>
      </c>
    </row>
    <row r="3323" spans="1:2" x14ac:dyDescent="0.25">
      <c r="A3323" s="4">
        <v>36567</v>
      </c>
      <c r="B3323" s="6">
        <v>27.82</v>
      </c>
    </row>
    <row r="3324" spans="1:2" x14ac:dyDescent="0.25">
      <c r="A3324" s="4">
        <v>36570</v>
      </c>
      <c r="B3324" s="6">
        <v>28.03</v>
      </c>
    </row>
    <row r="3325" spans="1:2" x14ac:dyDescent="0.25">
      <c r="A3325" s="4">
        <v>36571</v>
      </c>
      <c r="B3325" s="6">
        <v>28.12</v>
      </c>
    </row>
    <row r="3326" spans="1:2" x14ac:dyDescent="0.25">
      <c r="A3326" s="4">
        <v>36572</v>
      </c>
      <c r="B3326" s="6">
        <v>28.11</v>
      </c>
    </row>
    <row r="3327" spans="1:2" x14ac:dyDescent="0.25">
      <c r="A3327" s="4">
        <v>36573</v>
      </c>
      <c r="B3327" s="6">
        <v>27.54</v>
      </c>
    </row>
    <row r="3328" spans="1:2" x14ac:dyDescent="0.25">
      <c r="A3328" s="4">
        <v>36574</v>
      </c>
      <c r="B3328" s="6">
        <v>27.26</v>
      </c>
    </row>
    <row r="3329" spans="1:2" x14ac:dyDescent="0.25">
      <c r="A3329" s="4">
        <v>36577</v>
      </c>
      <c r="B3329" s="6">
        <v>26.93</v>
      </c>
    </row>
    <row r="3330" spans="1:2" x14ac:dyDescent="0.25">
      <c r="A3330" s="4">
        <v>36578</v>
      </c>
      <c r="B3330" s="6">
        <v>27.22</v>
      </c>
    </row>
    <row r="3331" spans="1:2" x14ac:dyDescent="0.25">
      <c r="A3331" s="4">
        <v>36579</v>
      </c>
      <c r="B3331" s="6">
        <v>27.92</v>
      </c>
    </row>
    <row r="3332" spans="1:2" x14ac:dyDescent="0.25">
      <c r="A3332" s="4">
        <v>36580</v>
      </c>
      <c r="B3332" s="6">
        <v>28.21</v>
      </c>
    </row>
    <row r="3333" spans="1:2" x14ac:dyDescent="0.25">
      <c r="A3333" s="4">
        <v>36581</v>
      </c>
      <c r="B3333" s="6">
        <v>28.53</v>
      </c>
    </row>
    <row r="3334" spans="1:2" x14ac:dyDescent="0.25">
      <c r="A3334" s="4">
        <v>36584</v>
      </c>
      <c r="B3334" s="6">
        <v>28.7</v>
      </c>
    </row>
    <row r="3335" spans="1:2" x14ac:dyDescent="0.25">
      <c r="A3335" s="4">
        <v>36585</v>
      </c>
      <c r="B3335" s="6">
        <v>29.01</v>
      </c>
    </row>
    <row r="3336" spans="1:2" x14ac:dyDescent="0.25">
      <c r="A3336" s="4">
        <v>36586</v>
      </c>
      <c r="B3336" s="6">
        <v>29.78</v>
      </c>
    </row>
    <row r="3337" spans="1:2" x14ac:dyDescent="0.25">
      <c r="A3337" s="4">
        <v>36587</v>
      </c>
      <c r="B3337" s="6">
        <v>30.12</v>
      </c>
    </row>
    <row r="3338" spans="1:2" x14ac:dyDescent="0.25">
      <c r="A3338" s="4">
        <v>36588</v>
      </c>
      <c r="B3338" s="6">
        <v>29.83</v>
      </c>
    </row>
    <row r="3339" spans="1:2" x14ac:dyDescent="0.25">
      <c r="A3339" s="4">
        <v>36591</v>
      </c>
      <c r="B3339" s="6">
        <v>30.08</v>
      </c>
    </row>
    <row r="3340" spans="1:2" x14ac:dyDescent="0.25">
      <c r="A3340" s="4">
        <v>36592</v>
      </c>
      <c r="B3340" s="6">
        <v>31.93</v>
      </c>
    </row>
    <row r="3341" spans="1:2" x14ac:dyDescent="0.25">
      <c r="A3341" s="4">
        <v>36593</v>
      </c>
      <c r="B3341" s="6">
        <v>31.41</v>
      </c>
    </row>
    <row r="3342" spans="1:2" x14ac:dyDescent="0.25">
      <c r="A3342" s="4">
        <v>36594</v>
      </c>
      <c r="B3342" s="6">
        <v>29.11</v>
      </c>
    </row>
    <row r="3343" spans="1:2" x14ac:dyDescent="0.25">
      <c r="A3343" s="4">
        <v>36595</v>
      </c>
      <c r="B3343" s="6">
        <v>28.97</v>
      </c>
    </row>
    <row r="3344" spans="1:2" x14ac:dyDescent="0.25">
      <c r="A3344" s="4">
        <v>36598</v>
      </c>
      <c r="B3344" s="6">
        <v>29.25</v>
      </c>
    </row>
    <row r="3345" spans="1:2" x14ac:dyDescent="0.25">
      <c r="A3345" s="4">
        <v>36599</v>
      </c>
      <c r="B3345" s="6">
        <v>28.83</v>
      </c>
    </row>
    <row r="3346" spans="1:2" x14ac:dyDescent="0.25">
      <c r="A3346" s="4">
        <v>36600</v>
      </c>
      <c r="B3346" s="6">
        <v>28.03</v>
      </c>
    </row>
    <row r="3347" spans="1:2" x14ac:dyDescent="0.25">
      <c r="A3347" s="4">
        <v>36601</v>
      </c>
      <c r="B3347" s="6">
        <v>27.97</v>
      </c>
    </row>
    <row r="3348" spans="1:2" x14ac:dyDescent="0.25">
      <c r="A3348" s="4">
        <v>36602</v>
      </c>
      <c r="B3348" s="6">
        <v>27.87</v>
      </c>
    </row>
    <row r="3349" spans="1:2" x14ac:dyDescent="0.25">
      <c r="A3349" s="4">
        <v>36605</v>
      </c>
      <c r="B3349" s="6">
        <v>25.59</v>
      </c>
    </row>
    <row r="3350" spans="1:2" x14ac:dyDescent="0.25">
      <c r="A3350" s="4">
        <v>36606</v>
      </c>
      <c r="B3350" s="6">
        <v>24.93</v>
      </c>
    </row>
    <row r="3351" spans="1:2" x14ac:dyDescent="0.25">
      <c r="A3351" s="4">
        <v>36607</v>
      </c>
      <c r="B3351" s="6">
        <v>25.77</v>
      </c>
    </row>
    <row r="3352" spans="1:2" x14ac:dyDescent="0.25">
      <c r="A3352" s="4">
        <v>36608</v>
      </c>
      <c r="B3352" s="6">
        <v>25.32</v>
      </c>
    </row>
    <row r="3353" spans="1:2" x14ac:dyDescent="0.25">
      <c r="A3353" s="4">
        <v>36609</v>
      </c>
      <c r="B3353" s="6">
        <v>25.74</v>
      </c>
    </row>
    <row r="3354" spans="1:2" x14ac:dyDescent="0.25">
      <c r="A3354" s="4">
        <v>36612</v>
      </c>
      <c r="B3354" s="6">
        <v>25.16</v>
      </c>
    </row>
    <row r="3355" spans="1:2" x14ac:dyDescent="0.25">
      <c r="A3355" s="4">
        <v>36613</v>
      </c>
      <c r="B3355" s="6">
        <v>24.8</v>
      </c>
    </row>
    <row r="3356" spans="1:2" x14ac:dyDescent="0.25">
      <c r="A3356" s="4">
        <v>36614</v>
      </c>
      <c r="B3356" s="6">
        <v>23.77</v>
      </c>
    </row>
    <row r="3357" spans="1:2" x14ac:dyDescent="0.25">
      <c r="A3357" s="4">
        <v>36615</v>
      </c>
      <c r="B3357" s="6">
        <v>23.94</v>
      </c>
    </row>
    <row r="3358" spans="1:2" x14ac:dyDescent="0.25">
      <c r="A3358" s="4">
        <v>36616</v>
      </c>
      <c r="B3358" s="6">
        <v>23.98</v>
      </c>
    </row>
    <row r="3359" spans="1:2" x14ac:dyDescent="0.25">
      <c r="A3359" s="4">
        <v>36619</v>
      </c>
      <c r="B3359" s="6">
        <v>24.62</v>
      </c>
    </row>
    <row r="3360" spans="1:2" x14ac:dyDescent="0.25">
      <c r="A3360" s="4">
        <v>36620</v>
      </c>
      <c r="B3360" s="6">
        <v>23.26</v>
      </c>
    </row>
    <row r="3361" spans="1:2" x14ac:dyDescent="0.25">
      <c r="A3361" s="4">
        <v>36621</v>
      </c>
      <c r="B3361" s="6">
        <v>22.98</v>
      </c>
    </row>
    <row r="3362" spans="1:2" x14ac:dyDescent="0.25">
      <c r="A3362" s="4">
        <v>36622</v>
      </c>
      <c r="B3362" s="6">
        <v>22.9</v>
      </c>
    </row>
    <row r="3363" spans="1:2" x14ac:dyDescent="0.25">
      <c r="A3363" s="4">
        <v>36623</v>
      </c>
      <c r="B3363" s="6">
        <v>22.63</v>
      </c>
    </row>
    <row r="3364" spans="1:2" x14ac:dyDescent="0.25">
      <c r="A3364" s="4">
        <v>36626</v>
      </c>
      <c r="B3364" s="6">
        <v>21.08</v>
      </c>
    </row>
    <row r="3365" spans="1:2" x14ac:dyDescent="0.25">
      <c r="A3365" s="4">
        <v>36627</v>
      </c>
      <c r="B3365" s="6">
        <v>21.05</v>
      </c>
    </row>
    <row r="3366" spans="1:2" x14ac:dyDescent="0.25">
      <c r="A3366" s="4">
        <v>36628</v>
      </c>
      <c r="B3366" s="6">
        <v>21.4</v>
      </c>
    </row>
    <row r="3367" spans="1:2" x14ac:dyDescent="0.25">
      <c r="A3367" s="4">
        <v>36629</v>
      </c>
      <c r="B3367" s="6">
        <v>22.65</v>
      </c>
    </row>
    <row r="3368" spans="1:2" x14ac:dyDescent="0.25">
      <c r="A3368" s="4">
        <v>36630</v>
      </c>
      <c r="B3368" s="6">
        <v>22.13</v>
      </c>
    </row>
    <row r="3369" spans="1:2" x14ac:dyDescent="0.25">
      <c r="A3369" s="4">
        <v>36633</v>
      </c>
      <c r="B3369" s="6">
        <v>22.2</v>
      </c>
    </row>
    <row r="3370" spans="1:2" x14ac:dyDescent="0.25">
      <c r="A3370" s="4">
        <v>36634</v>
      </c>
      <c r="B3370" s="6">
        <v>22.67</v>
      </c>
    </row>
    <row r="3371" spans="1:2" x14ac:dyDescent="0.25">
      <c r="A3371" s="4">
        <v>36635</v>
      </c>
      <c r="B3371" s="6">
        <v>23.5</v>
      </c>
    </row>
    <row r="3372" spans="1:2" x14ac:dyDescent="0.25">
      <c r="A3372" s="4">
        <v>36636</v>
      </c>
      <c r="B3372" s="6">
        <v>23.57</v>
      </c>
    </row>
    <row r="3373" spans="1:2" x14ac:dyDescent="0.25">
      <c r="A3373" s="4">
        <v>36637</v>
      </c>
      <c r="B3373" s="5"/>
    </row>
    <row r="3374" spans="1:2" x14ac:dyDescent="0.25">
      <c r="A3374" s="4">
        <v>36640</v>
      </c>
      <c r="B3374" s="5"/>
    </row>
    <row r="3375" spans="1:2" x14ac:dyDescent="0.25">
      <c r="A3375" s="4">
        <v>36641</v>
      </c>
      <c r="B3375" s="6">
        <v>23.36</v>
      </c>
    </row>
    <row r="3376" spans="1:2" x14ac:dyDescent="0.25">
      <c r="A3376" s="4">
        <v>36642</v>
      </c>
      <c r="B3376" s="6">
        <v>22.9</v>
      </c>
    </row>
    <row r="3377" spans="1:2" x14ac:dyDescent="0.25">
      <c r="A3377" s="4">
        <v>36643</v>
      </c>
      <c r="B3377" s="6">
        <v>23.07</v>
      </c>
    </row>
    <row r="3378" spans="1:2" x14ac:dyDescent="0.25">
      <c r="A3378" s="4">
        <v>36644</v>
      </c>
      <c r="B3378" s="6">
        <v>23.79</v>
      </c>
    </row>
    <row r="3379" spans="1:2" x14ac:dyDescent="0.25">
      <c r="A3379" s="4">
        <v>36647</v>
      </c>
      <c r="B3379" s="5"/>
    </row>
    <row r="3380" spans="1:2" x14ac:dyDescent="0.25">
      <c r="A3380" s="4">
        <v>36648</v>
      </c>
      <c r="B3380" s="6">
        <v>24.73</v>
      </c>
    </row>
    <row r="3381" spans="1:2" x14ac:dyDescent="0.25">
      <c r="A3381" s="4">
        <v>36649</v>
      </c>
      <c r="B3381" s="6">
        <v>25.13</v>
      </c>
    </row>
    <row r="3382" spans="1:2" x14ac:dyDescent="0.25">
      <c r="A3382" s="4">
        <v>36650</v>
      </c>
      <c r="B3382" s="6">
        <v>25.06</v>
      </c>
    </row>
    <row r="3383" spans="1:2" x14ac:dyDescent="0.25">
      <c r="A3383" s="4">
        <v>36651</v>
      </c>
      <c r="B3383" s="6">
        <v>24.93</v>
      </c>
    </row>
    <row r="3384" spans="1:2" x14ac:dyDescent="0.25">
      <c r="A3384" s="4">
        <v>36654</v>
      </c>
      <c r="B3384" s="6">
        <v>26.03</v>
      </c>
    </row>
    <row r="3385" spans="1:2" x14ac:dyDescent="0.25">
      <c r="A3385" s="4">
        <v>36655</v>
      </c>
      <c r="B3385" s="6">
        <v>26.69</v>
      </c>
    </row>
    <row r="3386" spans="1:2" x14ac:dyDescent="0.25">
      <c r="A3386" s="4">
        <v>36656</v>
      </c>
      <c r="B3386" s="6">
        <v>26.59</v>
      </c>
    </row>
    <row r="3387" spans="1:2" x14ac:dyDescent="0.25">
      <c r="A3387" s="4">
        <v>36657</v>
      </c>
      <c r="B3387" s="6">
        <v>27.22</v>
      </c>
    </row>
    <row r="3388" spans="1:2" x14ac:dyDescent="0.25">
      <c r="A3388" s="4">
        <v>36658</v>
      </c>
      <c r="B3388" s="6">
        <v>27.98</v>
      </c>
    </row>
    <row r="3389" spans="1:2" x14ac:dyDescent="0.25">
      <c r="A3389" s="4">
        <v>36661</v>
      </c>
      <c r="B3389" s="6">
        <v>28.26</v>
      </c>
    </row>
    <row r="3390" spans="1:2" x14ac:dyDescent="0.25">
      <c r="A3390" s="4">
        <v>36662</v>
      </c>
      <c r="B3390" s="6">
        <v>28.78</v>
      </c>
    </row>
    <row r="3391" spans="1:2" x14ac:dyDescent="0.25">
      <c r="A3391" s="4">
        <v>36663</v>
      </c>
      <c r="B3391" s="6">
        <v>28.4</v>
      </c>
    </row>
    <row r="3392" spans="1:2" x14ac:dyDescent="0.25">
      <c r="A3392" s="4">
        <v>36664</v>
      </c>
      <c r="B3392" s="6">
        <v>28.9</v>
      </c>
    </row>
    <row r="3393" spans="1:2" x14ac:dyDescent="0.25">
      <c r="A3393" s="4">
        <v>36665</v>
      </c>
      <c r="B3393" s="6">
        <v>29.01</v>
      </c>
    </row>
    <row r="3394" spans="1:2" x14ac:dyDescent="0.25">
      <c r="A3394" s="4">
        <v>36668</v>
      </c>
      <c r="B3394" s="6">
        <v>28.45</v>
      </c>
    </row>
    <row r="3395" spans="1:2" x14ac:dyDescent="0.25">
      <c r="A3395" s="4">
        <v>36669</v>
      </c>
      <c r="B3395" s="6">
        <v>28.12</v>
      </c>
    </row>
    <row r="3396" spans="1:2" x14ac:dyDescent="0.25">
      <c r="A3396" s="4">
        <v>36670</v>
      </c>
      <c r="B3396" s="6">
        <v>28.97</v>
      </c>
    </row>
    <row r="3397" spans="1:2" x14ac:dyDescent="0.25">
      <c r="A3397" s="4">
        <v>36671</v>
      </c>
      <c r="B3397" s="6">
        <v>29.62</v>
      </c>
    </row>
    <row r="3398" spans="1:2" x14ac:dyDescent="0.25">
      <c r="A3398" s="4">
        <v>36672</v>
      </c>
      <c r="B3398" s="6">
        <v>30.09</v>
      </c>
    </row>
    <row r="3399" spans="1:2" x14ac:dyDescent="0.25">
      <c r="A3399" s="4">
        <v>36675</v>
      </c>
      <c r="B3399" s="5"/>
    </row>
    <row r="3400" spans="1:2" x14ac:dyDescent="0.25">
      <c r="A3400" s="4">
        <v>36676</v>
      </c>
      <c r="B3400" s="6">
        <v>29.89</v>
      </c>
    </row>
    <row r="3401" spans="1:2" x14ac:dyDescent="0.25">
      <c r="A3401" s="4">
        <v>36677</v>
      </c>
      <c r="B3401" s="6">
        <v>29.64</v>
      </c>
    </row>
    <row r="3402" spans="1:2" x14ac:dyDescent="0.25">
      <c r="A3402" s="4">
        <v>36678</v>
      </c>
      <c r="B3402" s="6">
        <v>29.69</v>
      </c>
    </row>
    <row r="3403" spans="1:2" x14ac:dyDescent="0.25">
      <c r="A3403" s="4">
        <v>36679</v>
      </c>
      <c r="B3403" s="6">
        <v>29.35</v>
      </c>
    </row>
    <row r="3404" spans="1:2" x14ac:dyDescent="0.25">
      <c r="A3404" s="4">
        <v>36682</v>
      </c>
      <c r="B3404" s="6">
        <v>28.27</v>
      </c>
    </row>
    <row r="3405" spans="1:2" x14ac:dyDescent="0.25">
      <c r="A3405" s="4">
        <v>36683</v>
      </c>
      <c r="B3405" s="6">
        <v>28.42</v>
      </c>
    </row>
    <row r="3406" spans="1:2" x14ac:dyDescent="0.25">
      <c r="A3406" s="4">
        <v>36684</v>
      </c>
      <c r="B3406" s="6">
        <v>28.32</v>
      </c>
    </row>
    <row r="3407" spans="1:2" x14ac:dyDescent="0.25">
      <c r="A3407" s="4">
        <v>36685</v>
      </c>
      <c r="B3407" s="6">
        <v>29.34</v>
      </c>
    </row>
    <row r="3408" spans="1:2" x14ac:dyDescent="0.25">
      <c r="A3408" s="4">
        <v>36686</v>
      </c>
      <c r="B3408" s="6">
        <v>29</v>
      </c>
    </row>
    <row r="3409" spans="1:2" x14ac:dyDescent="0.25">
      <c r="A3409" s="4">
        <v>36689</v>
      </c>
      <c r="B3409" s="6">
        <v>30.1</v>
      </c>
    </row>
    <row r="3410" spans="1:2" x14ac:dyDescent="0.25">
      <c r="A3410" s="4">
        <v>36690</v>
      </c>
      <c r="B3410" s="6">
        <v>30.4</v>
      </c>
    </row>
    <row r="3411" spans="1:2" x14ac:dyDescent="0.25">
      <c r="A3411" s="4">
        <v>36691</v>
      </c>
      <c r="B3411" s="6">
        <v>30.12</v>
      </c>
    </row>
    <row r="3412" spans="1:2" x14ac:dyDescent="0.25">
      <c r="A3412" s="4">
        <v>36692</v>
      </c>
      <c r="B3412" s="6">
        <v>29.77</v>
      </c>
    </row>
    <row r="3413" spans="1:2" x14ac:dyDescent="0.25">
      <c r="A3413" s="4">
        <v>36693</v>
      </c>
      <c r="B3413" s="6">
        <v>28.68</v>
      </c>
    </row>
    <row r="3414" spans="1:2" x14ac:dyDescent="0.25">
      <c r="A3414" s="4">
        <v>36696</v>
      </c>
      <c r="B3414" s="6">
        <v>27.69</v>
      </c>
    </row>
    <row r="3415" spans="1:2" x14ac:dyDescent="0.25">
      <c r="A3415" s="4">
        <v>36697</v>
      </c>
      <c r="B3415" s="6">
        <v>28.86</v>
      </c>
    </row>
    <row r="3416" spans="1:2" x14ac:dyDescent="0.25">
      <c r="A3416" s="4">
        <v>36698</v>
      </c>
      <c r="B3416" s="6">
        <v>30.71</v>
      </c>
    </row>
    <row r="3417" spans="1:2" x14ac:dyDescent="0.25">
      <c r="A3417" s="4">
        <v>36699</v>
      </c>
      <c r="B3417" s="6">
        <v>30.61</v>
      </c>
    </row>
    <row r="3418" spans="1:2" x14ac:dyDescent="0.25">
      <c r="A3418" s="4">
        <v>36700</v>
      </c>
      <c r="B3418" s="6">
        <v>31.02</v>
      </c>
    </row>
    <row r="3419" spans="1:2" x14ac:dyDescent="0.25">
      <c r="A3419" s="4">
        <v>36703</v>
      </c>
      <c r="B3419" s="6">
        <v>30.9</v>
      </c>
    </row>
    <row r="3420" spans="1:2" x14ac:dyDescent="0.25">
      <c r="A3420" s="4">
        <v>36704</v>
      </c>
      <c r="B3420" s="6">
        <v>30.47</v>
      </c>
    </row>
    <row r="3421" spans="1:2" x14ac:dyDescent="0.25">
      <c r="A3421" s="4">
        <v>36705</v>
      </c>
      <c r="B3421" s="6">
        <v>31.15</v>
      </c>
    </row>
    <row r="3422" spans="1:2" x14ac:dyDescent="0.25">
      <c r="A3422" s="4">
        <v>36706</v>
      </c>
      <c r="B3422" s="6">
        <v>31.05</v>
      </c>
    </row>
    <row r="3423" spans="1:2" x14ac:dyDescent="0.25">
      <c r="A3423" s="4">
        <v>36707</v>
      </c>
      <c r="B3423" s="6">
        <v>31.58</v>
      </c>
    </row>
    <row r="3424" spans="1:2" x14ac:dyDescent="0.25">
      <c r="A3424" s="4">
        <v>36710</v>
      </c>
      <c r="B3424" s="6">
        <v>32.15</v>
      </c>
    </row>
    <row r="3425" spans="1:2" x14ac:dyDescent="0.25">
      <c r="A3425" s="4">
        <v>36711</v>
      </c>
      <c r="B3425" s="6">
        <v>30.73</v>
      </c>
    </row>
    <row r="3426" spans="1:2" x14ac:dyDescent="0.25">
      <c r="A3426" s="4">
        <v>36712</v>
      </c>
      <c r="B3426" s="6">
        <v>30.35</v>
      </c>
    </row>
    <row r="3427" spans="1:2" x14ac:dyDescent="0.25">
      <c r="A3427" s="4">
        <v>36713</v>
      </c>
      <c r="B3427" s="6">
        <v>30.67</v>
      </c>
    </row>
    <row r="3428" spans="1:2" x14ac:dyDescent="0.25">
      <c r="A3428" s="4">
        <v>36714</v>
      </c>
      <c r="B3428" s="6">
        <v>30.62</v>
      </c>
    </row>
    <row r="3429" spans="1:2" x14ac:dyDescent="0.25">
      <c r="A3429" s="4">
        <v>36717</v>
      </c>
      <c r="B3429" s="6">
        <v>30.58</v>
      </c>
    </row>
    <row r="3430" spans="1:2" x14ac:dyDescent="0.25">
      <c r="A3430" s="4">
        <v>36718</v>
      </c>
      <c r="B3430" s="6">
        <v>29.83</v>
      </c>
    </row>
    <row r="3431" spans="1:2" x14ac:dyDescent="0.25">
      <c r="A3431" s="4">
        <v>36719</v>
      </c>
      <c r="B3431" s="6">
        <v>30.27</v>
      </c>
    </row>
    <row r="3432" spans="1:2" x14ac:dyDescent="0.25">
      <c r="A3432" s="4">
        <v>36720</v>
      </c>
      <c r="B3432" s="6">
        <v>31.15</v>
      </c>
    </row>
    <row r="3433" spans="1:2" x14ac:dyDescent="0.25">
      <c r="A3433" s="4">
        <v>36721</v>
      </c>
      <c r="B3433" s="6">
        <v>30.82</v>
      </c>
    </row>
    <row r="3434" spans="1:2" x14ac:dyDescent="0.25">
      <c r="A3434" s="4">
        <v>36724</v>
      </c>
      <c r="B3434" s="6">
        <v>28.44</v>
      </c>
    </row>
    <row r="3435" spans="1:2" x14ac:dyDescent="0.25">
      <c r="A3435" s="4">
        <v>36725</v>
      </c>
      <c r="B3435" s="6">
        <v>28.46</v>
      </c>
    </row>
    <row r="3436" spans="1:2" x14ac:dyDescent="0.25">
      <c r="A3436" s="4">
        <v>36726</v>
      </c>
      <c r="B3436" s="6">
        <v>28.33</v>
      </c>
    </row>
    <row r="3437" spans="1:2" x14ac:dyDescent="0.25">
      <c r="A3437" s="4">
        <v>36727</v>
      </c>
      <c r="B3437" s="6">
        <v>27.85</v>
      </c>
    </row>
    <row r="3438" spans="1:2" x14ac:dyDescent="0.25">
      <c r="A3438" s="4">
        <v>36728</v>
      </c>
      <c r="B3438" s="6">
        <v>26.68</v>
      </c>
    </row>
    <row r="3439" spans="1:2" x14ac:dyDescent="0.25">
      <c r="A3439" s="4">
        <v>36731</v>
      </c>
      <c r="B3439" s="6">
        <v>26.84</v>
      </c>
    </row>
    <row r="3440" spans="1:2" x14ac:dyDescent="0.25">
      <c r="A3440" s="4">
        <v>36732</v>
      </c>
      <c r="B3440" s="6">
        <v>25.78</v>
      </c>
    </row>
    <row r="3441" spans="1:2" x14ac:dyDescent="0.25">
      <c r="A3441" s="4">
        <v>36733</v>
      </c>
      <c r="B3441" s="6">
        <v>25.92</v>
      </c>
    </row>
    <row r="3442" spans="1:2" x14ac:dyDescent="0.25">
      <c r="A3442" s="4">
        <v>36734</v>
      </c>
      <c r="B3442" s="6">
        <v>25.6</v>
      </c>
    </row>
    <row r="3443" spans="1:2" x14ac:dyDescent="0.25">
      <c r="A3443" s="4">
        <v>36735</v>
      </c>
      <c r="B3443" s="6">
        <v>25.96</v>
      </c>
    </row>
    <row r="3444" spans="1:2" x14ac:dyDescent="0.25">
      <c r="A3444" s="4">
        <v>36738</v>
      </c>
      <c r="B3444" s="6">
        <v>25.3</v>
      </c>
    </row>
    <row r="3445" spans="1:2" x14ac:dyDescent="0.25">
      <c r="A3445" s="4">
        <v>36739</v>
      </c>
      <c r="B3445" s="6">
        <v>25.24</v>
      </c>
    </row>
    <row r="3446" spans="1:2" x14ac:dyDescent="0.25">
      <c r="A3446" s="4">
        <v>36740</v>
      </c>
      <c r="B3446" s="6">
        <v>26.8</v>
      </c>
    </row>
    <row r="3447" spans="1:2" x14ac:dyDescent="0.25">
      <c r="A3447" s="4">
        <v>36741</v>
      </c>
      <c r="B3447" s="6">
        <v>27.04</v>
      </c>
    </row>
    <row r="3448" spans="1:2" x14ac:dyDescent="0.25">
      <c r="A3448" s="4">
        <v>36742</v>
      </c>
      <c r="B3448" s="6">
        <v>28.01</v>
      </c>
    </row>
    <row r="3449" spans="1:2" x14ac:dyDescent="0.25">
      <c r="A3449" s="4">
        <v>36745</v>
      </c>
      <c r="B3449" s="6">
        <v>27.56</v>
      </c>
    </row>
    <row r="3450" spans="1:2" x14ac:dyDescent="0.25">
      <c r="A3450" s="4">
        <v>36746</v>
      </c>
      <c r="B3450" s="6">
        <v>27.58</v>
      </c>
    </row>
    <row r="3451" spans="1:2" x14ac:dyDescent="0.25">
      <c r="A3451" s="4">
        <v>36747</v>
      </c>
      <c r="B3451" s="6">
        <v>28.13</v>
      </c>
    </row>
    <row r="3452" spans="1:2" x14ac:dyDescent="0.25">
      <c r="A3452" s="4">
        <v>36748</v>
      </c>
      <c r="B3452" s="6">
        <v>28.98</v>
      </c>
    </row>
    <row r="3453" spans="1:2" x14ac:dyDescent="0.25">
      <c r="A3453" s="4">
        <v>36749</v>
      </c>
      <c r="B3453" s="6">
        <v>29.44</v>
      </c>
    </row>
    <row r="3454" spans="1:2" x14ac:dyDescent="0.25">
      <c r="A3454" s="4">
        <v>36752</v>
      </c>
      <c r="B3454" s="6">
        <v>29.24</v>
      </c>
    </row>
    <row r="3455" spans="1:2" x14ac:dyDescent="0.25">
      <c r="A3455" s="4">
        <v>36753</v>
      </c>
      <c r="B3455" s="6">
        <v>30</v>
      </c>
    </row>
    <row r="3456" spans="1:2" x14ac:dyDescent="0.25">
      <c r="A3456" s="4">
        <v>36754</v>
      </c>
      <c r="B3456" s="6">
        <v>29.66</v>
      </c>
    </row>
    <row r="3457" spans="1:2" x14ac:dyDescent="0.25">
      <c r="A3457" s="4">
        <v>36755</v>
      </c>
      <c r="B3457" s="6">
        <v>30.71</v>
      </c>
    </row>
    <row r="3458" spans="1:2" x14ac:dyDescent="0.25">
      <c r="A3458" s="4">
        <v>36756</v>
      </c>
      <c r="B3458" s="6">
        <v>30.76</v>
      </c>
    </row>
    <row r="3459" spans="1:2" x14ac:dyDescent="0.25">
      <c r="A3459" s="4">
        <v>36759</v>
      </c>
      <c r="B3459" s="6">
        <v>31.34</v>
      </c>
    </row>
    <row r="3460" spans="1:2" x14ac:dyDescent="0.25">
      <c r="A3460" s="4">
        <v>36760</v>
      </c>
      <c r="B3460" s="6">
        <v>30.18</v>
      </c>
    </row>
    <row r="3461" spans="1:2" x14ac:dyDescent="0.25">
      <c r="A3461" s="4">
        <v>36761</v>
      </c>
      <c r="B3461" s="6">
        <v>32.380000000000003</v>
      </c>
    </row>
    <row r="3462" spans="1:2" x14ac:dyDescent="0.25">
      <c r="A3462" s="4">
        <v>36762</v>
      </c>
      <c r="B3462" s="6">
        <v>31.67</v>
      </c>
    </row>
    <row r="3463" spans="1:2" x14ac:dyDescent="0.25">
      <c r="A3463" s="4">
        <v>36763</v>
      </c>
      <c r="B3463" s="6">
        <v>33.26</v>
      </c>
    </row>
    <row r="3464" spans="1:2" x14ac:dyDescent="0.25">
      <c r="A3464" s="4">
        <v>36766</v>
      </c>
      <c r="B3464" s="6">
        <v>33.29</v>
      </c>
    </row>
    <row r="3465" spans="1:2" x14ac:dyDescent="0.25">
      <c r="A3465" s="4">
        <v>36767</v>
      </c>
      <c r="B3465" s="6">
        <v>34.03</v>
      </c>
    </row>
    <row r="3466" spans="1:2" x14ac:dyDescent="0.25">
      <c r="A3466" s="4">
        <v>36768</v>
      </c>
      <c r="B3466" s="6">
        <v>34.130000000000003</v>
      </c>
    </row>
    <row r="3467" spans="1:2" x14ac:dyDescent="0.25">
      <c r="A3467" s="4">
        <v>36769</v>
      </c>
      <c r="B3467" s="6">
        <v>35.08</v>
      </c>
    </row>
    <row r="3468" spans="1:2" x14ac:dyDescent="0.25">
      <c r="A3468" s="4">
        <v>36770</v>
      </c>
      <c r="B3468" s="6">
        <v>35.090000000000003</v>
      </c>
    </row>
    <row r="3469" spans="1:2" x14ac:dyDescent="0.25">
      <c r="A3469" s="4">
        <v>36773</v>
      </c>
      <c r="B3469" s="6">
        <v>36.020000000000003</v>
      </c>
    </row>
    <row r="3470" spans="1:2" x14ac:dyDescent="0.25">
      <c r="A3470" s="4">
        <v>36774</v>
      </c>
      <c r="B3470" s="6">
        <v>35.72</v>
      </c>
    </row>
    <row r="3471" spans="1:2" x14ac:dyDescent="0.25">
      <c r="A3471" s="4">
        <v>36775</v>
      </c>
      <c r="B3471" s="6">
        <v>36.700000000000003</v>
      </c>
    </row>
    <row r="3472" spans="1:2" x14ac:dyDescent="0.25">
      <c r="A3472" s="4">
        <v>36776</v>
      </c>
      <c r="B3472" s="6">
        <v>37.43</v>
      </c>
    </row>
    <row r="3473" spans="1:2" x14ac:dyDescent="0.25">
      <c r="A3473" s="4">
        <v>36777</v>
      </c>
      <c r="B3473" s="6">
        <v>36.270000000000003</v>
      </c>
    </row>
    <row r="3474" spans="1:2" x14ac:dyDescent="0.25">
      <c r="A3474" s="4">
        <v>36780</v>
      </c>
      <c r="B3474" s="6">
        <v>36.869999999999997</v>
      </c>
    </row>
    <row r="3475" spans="1:2" x14ac:dyDescent="0.25">
      <c r="A3475" s="4">
        <v>36781</v>
      </c>
      <c r="B3475" s="6">
        <v>33.299999999999997</v>
      </c>
    </row>
    <row r="3476" spans="1:2" x14ac:dyDescent="0.25">
      <c r="A3476" s="4">
        <v>36782</v>
      </c>
      <c r="B3476" s="6">
        <v>31.08</v>
      </c>
    </row>
    <row r="3477" spans="1:2" x14ac:dyDescent="0.25">
      <c r="A3477" s="4">
        <v>36783</v>
      </c>
      <c r="B3477" s="6">
        <v>31.35</v>
      </c>
    </row>
    <row r="3478" spans="1:2" x14ac:dyDescent="0.25">
      <c r="A3478" s="4">
        <v>36784</v>
      </c>
      <c r="B3478" s="6">
        <v>33.68</v>
      </c>
    </row>
    <row r="3479" spans="1:2" x14ac:dyDescent="0.25">
      <c r="A3479" s="4">
        <v>36787</v>
      </c>
      <c r="B3479" s="6">
        <v>34.549999999999997</v>
      </c>
    </row>
    <row r="3480" spans="1:2" x14ac:dyDescent="0.25">
      <c r="A3480" s="4">
        <v>36788</v>
      </c>
      <c r="B3480" s="6">
        <v>33.479999999999997</v>
      </c>
    </row>
    <row r="3481" spans="1:2" x14ac:dyDescent="0.25">
      <c r="A3481" s="4">
        <v>36789</v>
      </c>
      <c r="B3481" s="6">
        <v>33.67</v>
      </c>
    </row>
    <row r="3482" spans="1:2" x14ac:dyDescent="0.25">
      <c r="A3482" s="4">
        <v>36790</v>
      </c>
      <c r="B3482" s="6">
        <v>32.18</v>
      </c>
    </row>
    <row r="3483" spans="1:2" x14ac:dyDescent="0.25">
      <c r="A3483" s="4">
        <v>36791</v>
      </c>
      <c r="B3483" s="6">
        <v>31.59</v>
      </c>
    </row>
    <row r="3484" spans="1:2" x14ac:dyDescent="0.25">
      <c r="A3484" s="4">
        <v>36794</v>
      </c>
      <c r="B3484" s="6">
        <v>30.01</v>
      </c>
    </row>
    <row r="3485" spans="1:2" x14ac:dyDescent="0.25">
      <c r="A3485" s="4">
        <v>36795</v>
      </c>
      <c r="B3485" s="6">
        <v>29.94</v>
      </c>
    </row>
    <row r="3486" spans="1:2" x14ac:dyDescent="0.25">
      <c r="A3486" s="4">
        <v>36796</v>
      </c>
      <c r="B3486" s="6">
        <v>29.78</v>
      </c>
    </row>
    <row r="3487" spans="1:2" x14ac:dyDescent="0.25">
      <c r="A3487" s="4">
        <v>36797</v>
      </c>
      <c r="B3487" s="6">
        <v>28.91</v>
      </c>
    </row>
    <row r="3488" spans="1:2" x14ac:dyDescent="0.25">
      <c r="A3488" s="4">
        <v>36798</v>
      </c>
      <c r="B3488" s="6">
        <v>28.42</v>
      </c>
    </row>
    <row r="3489" spans="1:2" x14ac:dyDescent="0.25">
      <c r="A3489" s="4">
        <v>36801</v>
      </c>
      <c r="B3489" s="6">
        <v>29.65</v>
      </c>
    </row>
    <row r="3490" spans="1:2" x14ac:dyDescent="0.25">
      <c r="A3490" s="4">
        <v>36802</v>
      </c>
      <c r="B3490" s="6">
        <v>30.64</v>
      </c>
    </row>
    <row r="3491" spans="1:2" x14ac:dyDescent="0.25">
      <c r="A3491" s="4">
        <v>36803</v>
      </c>
      <c r="B3491" s="6">
        <v>30.07</v>
      </c>
    </row>
    <row r="3492" spans="1:2" x14ac:dyDescent="0.25">
      <c r="A3492" s="4">
        <v>36804</v>
      </c>
      <c r="B3492" s="6">
        <v>29.19</v>
      </c>
    </row>
    <row r="3493" spans="1:2" x14ac:dyDescent="0.25">
      <c r="A3493" s="4">
        <v>36805</v>
      </c>
      <c r="B3493" s="6">
        <v>29.62</v>
      </c>
    </row>
    <row r="3494" spans="1:2" x14ac:dyDescent="0.25">
      <c r="A3494" s="4">
        <v>36808</v>
      </c>
      <c r="B3494" s="6">
        <v>29.99</v>
      </c>
    </row>
    <row r="3495" spans="1:2" x14ac:dyDescent="0.25">
      <c r="A3495" s="4">
        <v>36809</v>
      </c>
      <c r="B3495" s="6">
        <v>30.95</v>
      </c>
    </row>
    <row r="3496" spans="1:2" x14ac:dyDescent="0.25">
      <c r="A3496" s="4">
        <v>36810</v>
      </c>
      <c r="B3496" s="6">
        <v>31.25</v>
      </c>
    </row>
    <row r="3497" spans="1:2" x14ac:dyDescent="0.25">
      <c r="A3497" s="4">
        <v>36811</v>
      </c>
      <c r="B3497" s="6">
        <v>33.450000000000003</v>
      </c>
    </row>
    <row r="3498" spans="1:2" x14ac:dyDescent="0.25">
      <c r="A3498" s="4">
        <v>36812</v>
      </c>
      <c r="B3498" s="6">
        <v>33.5</v>
      </c>
    </row>
    <row r="3499" spans="1:2" x14ac:dyDescent="0.25">
      <c r="A3499" s="4">
        <v>36815</v>
      </c>
      <c r="B3499" s="6">
        <v>32.03</v>
      </c>
    </row>
    <row r="3500" spans="1:2" x14ac:dyDescent="0.25">
      <c r="A3500" s="4">
        <v>36816</v>
      </c>
      <c r="B3500" s="6">
        <v>30.38</v>
      </c>
    </row>
    <row r="3501" spans="1:2" x14ac:dyDescent="0.25">
      <c r="A3501" s="4">
        <v>36817</v>
      </c>
      <c r="B3501" s="6">
        <v>30.98</v>
      </c>
    </row>
    <row r="3502" spans="1:2" x14ac:dyDescent="0.25">
      <c r="A3502" s="4">
        <v>36818</v>
      </c>
      <c r="B3502" s="6">
        <v>31.29</v>
      </c>
    </row>
    <row r="3503" spans="1:2" x14ac:dyDescent="0.25">
      <c r="A3503" s="4">
        <v>36819</v>
      </c>
      <c r="B3503" s="6">
        <v>30.16</v>
      </c>
    </row>
    <row r="3504" spans="1:2" x14ac:dyDescent="0.25">
      <c r="A3504" s="4">
        <v>36822</v>
      </c>
      <c r="B3504" s="6">
        <v>30.98</v>
      </c>
    </row>
    <row r="3505" spans="1:2" x14ac:dyDescent="0.25">
      <c r="A3505" s="4">
        <v>36823</v>
      </c>
      <c r="B3505" s="6">
        <v>31.81</v>
      </c>
    </row>
    <row r="3506" spans="1:2" x14ac:dyDescent="0.25">
      <c r="A3506" s="4">
        <v>36824</v>
      </c>
      <c r="B3506" s="6">
        <v>31.17</v>
      </c>
    </row>
    <row r="3507" spans="1:2" x14ac:dyDescent="0.25">
      <c r="A3507" s="4">
        <v>36825</v>
      </c>
      <c r="B3507" s="6">
        <v>31.48</v>
      </c>
    </row>
    <row r="3508" spans="1:2" x14ac:dyDescent="0.25">
      <c r="A3508" s="4">
        <v>36826</v>
      </c>
      <c r="B3508" s="6">
        <v>31.31</v>
      </c>
    </row>
    <row r="3509" spans="1:2" x14ac:dyDescent="0.25">
      <c r="A3509" s="4">
        <v>36829</v>
      </c>
      <c r="B3509" s="6">
        <v>31.09</v>
      </c>
    </row>
    <row r="3510" spans="1:2" x14ac:dyDescent="0.25">
      <c r="A3510" s="4">
        <v>36830</v>
      </c>
      <c r="B3510" s="6">
        <v>30.15</v>
      </c>
    </row>
    <row r="3511" spans="1:2" x14ac:dyDescent="0.25">
      <c r="A3511" s="4">
        <v>36831</v>
      </c>
      <c r="B3511" s="6">
        <v>31.62</v>
      </c>
    </row>
    <row r="3512" spans="1:2" x14ac:dyDescent="0.25">
      <c r="A3512" s="4">
        <v>36832</v>
      </c>
      <c r="B3512" s="6">
        <v>30.81</v>
      </c>
    </row>
    <row r="3513" spans="1:2" x14ac:dyDescent="0.25">
      <c r="A3513" s="4">
        <v>36833</v>
      </c>
      <c r="B3513" s="6">
        <v>30.81</v>
      </c>
    </row>
    <row r="3514" spans="1:2" x14ac:dyDescent="0.25">
      <c r="A3514" s="4">
        <v>36836</v>
      </c>
      <c r="B3514" s="6">
        <v>31</v>
      </c>
    </row>
    <row r="3515" spans="1:2" x14ac:dyDescent="0.25">
      <c r="A3515" s="4">
        <v>36837</v>
      </c>
      <c r="B3515" s="6">
        <v>31.59</v>
      </c>
    </row>
    <row r="3516" spans="1:2" x14ac:dyDescent="0.25">
      <c r="A3516" s="4">
        <v>36838</v>
      </c>
      <c r="B3516" s="6">
        <v>31.3</v>
      </c>
    </row>
    <row r="3517" spans="1:2" x14ac:dyDescent="0.25">
      <c r="A3517" s="4">
        <v>36839</v>
      </c>
      <c r="B3517" s="6">
        <v>31.79</v>
      </c>
    </row>
    <row r="3518" spans="1:2" x14ac:dyDescent="0.25">
      <c r="A3518" s="4">
        <v>36840</v>
      </c>
      <c r="B3518" s="6">
        <v>32.26</v>
      </c>
    </row>
    <row r="3519" spans="1:2" x14ac:dyDescent="0.25">
      <c r="A3519" s="4">
        <v>36843</v>
      </c>
      <c r="B3519" s="6">
        <v>32.5</v>
      </c>
    </row>
    <row r="3520" spans="1:2" x14ac:dyDescent="0.25">
      <c r="A3520" s="4">
        <v>36844</v>
      </c>
      <c r="B3520" s="6">
        <v>33.049999999999997</v>
      </c>
    </row>
    <row r="3521" spans="1:2" x14ac:dyDescent="0.25">
      <c r="A3521" s="4">
        <v>36845</v>
      </c>
      <c r="B3521" s="6">
        <v>33.82</v>
      </c>
    </row>
    <row r="3522" spans="1:2" x14ac:dyDescent="0.25">
      <c r="A3522" s="4">
        <v>36846</v>
      </c>
      <c r="B3522" s="6">
        <v>34.159999999999997</v>
      </c>
    </row>
    <row r="3523" spans="1:2" x14ac:dyDescent="0.25">
      <c r="A3523" s="4">
        <v>36847</v>
      </c>
      <c r="B3523" s="6">
        <v>33.090000000000003</v>
      </c>
    </row>
    <row r="3524" spans="1:2" x14ac:dyDescent="0.25">
      <c r="A3524" s="4">
        <v>36850</v>
      </c>
      <c r="B3524" s="6">
        <v>34.229999999999997</v>
      </c>
    </row>
    <row r="3525" spans="1:2" x14ac:dyDescent="0.25">
      <c r="A3525" s="4">
        <v>36851</v>
      </c>
      <c r="B3525" s="6">
        <v>33.33</v>
      </c>
    </row>
    <row r="3526" spans="1:2" x14ac:dyDescent="0.25">
      <c r="A3526" s="4">
        <v>36852</v>
      </c>
      <c r="B3526" s="6">
        <v>33.11</v>
      </c>
    </row>
    <row r="3527" spans="1:2" x14ac:dyDescent="0.25">
      <c r="A3527" s="4">
        <v>36853</v>
      </c>
      <c r="B3527" s="6">
        <v>33.29</v>
      </c>
    </row>
    <row r="3528" spans="1:2" x14ac:dyDescent="0.25">
      <c r="A3528" s="4">
        <v>36854</v>
      </c>
      <c r="B3528" s="6">
        <v>33.35</v>
      </c>
    </row>
    <row r="3529" spans="1:2" x14ac:dyDescent="0.25">
      <c r="A3529" s="4">
        <v>36857</v>
      </c>
      <c r="B3529" s="6">
        <v>33.47</v>
      </c>
    </row>
    <row r="3530" spans="1:2" x14ac:dyDescent="0.25">
      <c r="A3530" s="4">
        <v>36858</v>
      </c>
      <c r="B3530" s="6">
        <v>32.590000000000003</v>
      </c>
    </row>
    <row r="3531" spans="1:2" x14ac:dyDescent="0.25">
      <c r="A3531" s="4">
        <v>36859</v>
      </c>
      <c r="B3531" s="6">
        <v>32.450000000000003</v>
      </c>
    </row>
    <row r="3532" spans="1:2" x14ac:dyDescent="0.25">
      <c r="A3532" s="4">
        <v>36860</v>
      </c>
      <c r="B3532" s="6">
        <v>32.53</v>
      </c>
    </row>
    <row r="3533" spans="1:2" x14ac:dyDescent="0.25">
      <c r="A3533" s="4">
        <v>36861</v>
      </c>
      <c r="B3533" s="6">
        <v>31.59</v>
      </c>
    </row>
    <row r="3534" spans="1:2" x14ac:dyDescent="0.25">
      <c r="A3534" s="4">
        <v>36864</v>
      </c>
      <c r="B3534" s="6">
        <v>30.37</v>
      </c>
    </row>
    <row r="3535" spans="1:2" x14ac:dyDescent="0.25">
      <c r="A3535" s="4">
        <v>36865</v>
      </c>
      <c r="B3535" s="6">
        <v>28.88</v>
      </c>
    </row>
    <row r="3536" spans="1:2" x14ac:dyDescent="0.25">
      <c r="A3536" s="4">
        <v>36866</v>
      </c>
      <c r="B3536" s="6">
        <v>27.47</v>
      </c>
    </row>
    <row r="3537" spans="1:2" x14ac:dyDescent="0.25">
      <c r="A3537" s="4">
        <v>36867</v>
      </c>
      <c r="B3537" s="6">
        <v>27.85</v>
      </c>
    </row>
    <row r="3538" spans="1:2" x14ac:dyDescent="0.25">
      <c r="A3538" s="4">
        <v>36868</v>
      </c>
      <c r="B3538" s="6">
        <v>26.85</v>
      </c>
    </row>
    <row r="3539" spans="1:2" x14ac:dyDescent="0.25">
      <c r="A3539" s="4">
        <v>36871</v>
      </c>
      <c r="B3539" s="6">
        <v>27.28</v>
      </c>
    </row>
    <row r="3540" spans="1:2" x14ac:dyDescent="0.25">
      <c r="A3540" s="4">
        <v>36872</v>
      </c>
      <c r="B3540" s="6">
        <v>26.81</v>
      </c>
    </row>
    <row r="3541" spans="1:2" x14ac:dyDescent="0.25">
      <c r="A3541" s="4">
        <v>36873</v>
      </c>
      <c r="B3541" s="6">
        <v>26.84</v>
      </c>
    </row>
    <row r="3542" spans="1:2" x14ac:dyDescent="0.25">
      <c r="A3542" s="4">
        <v>36874</v>
      </c>
      <c r="B3542" s="6">
        <v>24.32</v>
      </c>
    </row>
    <row r="3543" spans="1:2" x14ac:dyDescent="0.25">
      <c r="A3543" s="4">
        <v>36875</v>
      </c>
      <c r="B3543" s="6">
        <v>24.44</v>
      </c>
    </row>
    <row r="3544" spans="1:2" x14ac:dyDescent="0.25">
      <c r="A3544" s="4">
        <v>36878</v>
      </c>
      <c r="B3544" s="6">
        <v>25.11</v>
      </c>
    </row>
    <row r="3545" spans="1:2" x14ac:dyDescent="0.25">
      <c r="A3545" s="4">
        <v>36879</v>
      </c>
      <c r="B3545" s="6">
        <v>24.36</v>
      </c>
    </row>
    <row r="3546" spans="1:2" x14ac:dyDescent="0.25">
      <c r="A3546" s="4">
        <v>36880</v>
      </c>
      <c r="B3546" s="6">
        <v>23.29</v>
      </c>
    </row>
    <row r="3547" spans="1:2" x14ac:dyDescent="0.25">
      <c r="A3547" s="4">
        <v>36881</v>
      </c>
      <c r="B3547" s="6">
        <v>22.4</v>
      </c>
    </row>
    <row r="3548" spans="1:2" x14ac:dyDescent="0.25">
      <c r="A3548" s="4">
        <v>36882</v>
      </c>
      <c r="B3548" s="6">
        <v>22.23</v>
      </c>
    </row>
    <row r="3549" spans="1:2" x14ac:dyDescent="0.25">
      <c r="A3549" s="4">
        <v>36885</v>
      </c>
      <c r="B3549" s="5"/>
    </row>
    <row r="3550" spans="1:2" x14ac:dyDescent="0.25">
      <c r="A3550" s="4">
        <v>36886</v>
      </c>
      <c r="B3550" s="5"/>
    </row>
    <row r="3551" spans="1:2" x14ac:dyDescent="0.25">
      <c r="A3551" s="4">
        <v>36887</v>
      </c>
      <c r="B3551" s="6">
        <v>22.58</v>
      </c>
    </row>
    <row r="3552" spans="1:2" x14ac:dyDescent="0.25">
      <c r="A3552" s="4">
        <v>36888</v>
      </c>
      <c r="B3552" s="6">
        <v>22.29</v>
      </c>
    </row>
    <row r="3553" spans="1:2" x14ac:dyDescent="0.25">
      <c r="A3553" s="4">
        <v>36889</v>
      </c>
      <c r="B3553" s="6">
        <v>22.58</v>
      </c>
    </row>
    <row r="3554" spans="1:2" x14ac:dyDescent="0.25">
      <c r="A3554" s="4">
        <v>36892</v>
      </c>
      <c r="B3554" s="5"/>
    </row>
    <row r="3555" spans="1:2" x14ac:dyDescent="0.25">
      <c r="A3555" s="4">
        <v>36893</v>
      </c>
      <c r="B3555" s="6">
        <v>23.43</v>
      </c>
    </row>
    <row r="3556" spans="1:2" x14ac:dyDescent="0.25">
      <c r="A3556" s="4">
        <v>36894</v>
      </c>
      <c r="B3556" s="6">
        <v>23.44</v>
      </c>
    </row>
    <row r="3557" spans="1:2" x14ac:dyDescent="0.25">
      <c r="A3557" s="4">
        <v>36895</v>
      </c>
      <c r="B3557" s="6">
        <v>24.57</v>
      </c>
    </row>
    <row r="3558" spans="1:2" x14ac:dyDescent="0.25">
      <c r="A3558" s="4">
        <v>36896</v>
      </c>
      <c r="B3558" s="6">
        <v>24.77</v>
      </c>
    </row>
    <row r="3559" spans="1:2" x14ac:dyDescent="0.25">
      <c r="A3559" s="4">
        <v>36899</v>
      </c>
      <c r="B3559" s="6">
        <v>24.75</v>
      </c>
    </row>
    <row r="3560" spans="1:2" x14ac:dyDescent="0.25">
      <c r="A3560" s="4">
        <v>36900</v>
      </c>
      <c r="B3560" s="6">
        <v>24.13</v>
      </c>
    </row>
    <row r="3561" spans="1:2" x14ac:dyDescent="0.25">
      <c r="A3561" s="4">
        <v>36901</v>
      </c>
      <c r="B3561" s="6">
        <v>24.98</v>
      </c>
    </row>
    <row r="3562" spans="1:2" x14ac:dyDescent="0.25">
      <c r="A3562" s="4">
        <v>36902</v>
      </c>
      <c r="B3562" s="6">
        <v>25.6</v>
      </c>
    </row>
    <row r="3563" spans="1:2" x14ac:dyDescent="0.25">
      <c r="A3563" s="4">
        <v>36903</v>
      </c>
      <c r="B3563" s="6">
        <v>25.63</v>
      </c>
    </row>
    <row r="3564" spans="1:2" x14ac:dyDescent="0.25">
      <c r="A3564" s="4">
        <v>36906</v>
      </c>
      <c r="B3564" s="6">
        <v>26.03</v>
      </c>
    </row>
    <row r="3565" spans="1:2" x14ac:dyDescent="0.25">
      <c r="A3565" s="4">
        <v>36907</v>
      </c>
      <c r="B3565" s="6">
        <v>25.52</v>
      </c>
    </row>
    <row r="3566" spans="1:2" x14ac:dyDescent="0.25">
      <c r="A3566" s="4">
        <v>36908</v>
      </c>
      <c r="B3566" s="6">
        <v>24.27</v>
      </c>
    </row>
    <row r="3567" spans="1:2" x14ac:dyDescent="0.25">
      <c r="A3567" s="4">
        <v>36909</v>
      </c>
      <c r="B3567" s="6">
        <v>24.74</v>
      </c>
    </row>
    <row r="3568" spans="1:2" x14ac:dyDescent="0.25">
      <c r="A3568" s="4">
        <v>36910</v>
      </c>
      <c r="B3568" s="6">
        <v>26.29</v>
      </c>
    </row>
    <row r="3569" spans="1:2" x14ac:dyDescent="0.25">
      <c r="A3569" s="4">
        <v>36913</v>
      </c>
      <c r="B3569" s="6">
        <v>27.69</v>
      </c>
    </row>
    <row r="3570" spans="1:2" x14ac:dyDescent="0.25">
      <c r="A3570" s="4">
        <v>36914</v>
      </c>
      <c r="B3570" s="6">
        <v>27.02</v>
      </c>
    </row>
    <row r="3571" spans="1:2" x14ac:dyDescent="0.25">
      <c r="A3571" s="4">
        <v>36915</v>
      </c>
      <c r="B3571" s="6">
        <v>27.04</v>
      </c>
    </row>
    <row r="3572" spans="1:2" x14ac:dyDescent="0.25">
      <c r="A3572" s="4">
        <v>36916</v>
      </c>
      <c r="B3572" s="6">
        <v>26.94</v>
      </c>
    </row>
    <row r="3573" spans="1:2" x14ac:dyDescent="0.25">
      <c r="A3573" s="4">
        <v>36917</v>
      </c>
      <c r="B3573" s="6">
        <v>27.04</v>
      </c>
    </row>
    <row r="3574" spans="1:2" x14ac:dyDescent="0.25">
      <c r="A3574" s="4">
        <v>36920</v>
      </c>
      <c r="B3574" s="6">
        <v>26.95</v>
      </c>
    </row>
    <row r="3575" spans="1:2" x14ac:dyDescent="0.25">
      <c r="A3575" s="4">
        <v>36921</v>
      </c>
      <c r="B3575" s="6">
        <v>26.32</v>
      </c>
    </row>
    <row r="3576" spans="1:2" x14ac:dyDescent="0.25">
      <c r="A3576" s="4">
        <v>36922</v>
      </c>
      <c r="B3576" s="6">
        <v>26.59</v>
      </c>
    </row>
    <row r="3577" spans="1:2" x14ac:dyDescent="0.25">
      <c r="A3577" s="4">
        <v>36923</v>
      </c>
      <c r="B3577" s="6">
        <v>27.17</v>
      </c>
    </row>
    <row r="3578" spans="1:2" x14ac:dyDescent="0.25">
      <c r="A3578" s="4">
        <v>36924</v>
      </c>
      <c r="B3578" s="6">
        <v>28.9</v>
      </c>
    </row>
    <row r="3579" spans="1:2" x14ac:dyDescent="0.25">
      <c r="A3579" s="4">
        <v>36927</v>
      </c>
      <c r="B3579" s="6">
        <v>29.25</v>
      </c>
    </row>
    <row r="3580" spans="1:2" x14ac:dyDescent="0.25">
      <c r="A3580" s="4">
        <v>36928</v>
      </c>
      <c r="B3580" s="6">
        <v>29.1</v>
      </c>
    </row>
    <row r="3581" spans="1:2" x14ac:dyDescent="0.25">
      <c r="A3581" s="4">
        <v>36929</v>
      </c>
      <c r="B3581" s="6">
        <v>29.54</v>
      </c>
    </row>
    <row r="3582" spans="1:2" x14ac:dyDescent="0.25">
      <c r="A3582" s="4">
        <v>36930</v>
      </c>
      <c r="B3582" s="6">
        <v>30.68</v>
      </c>
    </row>
    <row r="3583" spans="1:2" x14ac:dyDescent="0.25">
      <c r="A3583" s="4">
        <v>36931</v>
      </c>
      <c r="B3583" s="6">
        <v>29.53</v>
      </c>
    </row>
    <row r="3584" spans="1:2" x14ac:dyDescent="0.25">
      <c r="A3584" s="4">
        <v>36934</v>
      </c>
      <c r="B3584" s="6">
        <v>29.32</v>
      </c>
    </row>
    <row r="3585" spans="1:2" x14ac:dyDescent="0.25">
      <c r="A3585" s="4">
        <v>36935</v>
      </c>
      <c r="B3585" s="6">
        <v>28</v>
      </c>
    </row>
    <row r="3586" spans="1:2" x14ac:dyDescent="0.25">
      <c r="A3586" s="4">
        <v>36936</v>
      </c>
      <c r="B3586" s="6">
        <v>27.89</v>
      </c>
    </row>
    <row r="3587" spans="1:2" x14ac:dyDescent="0.25">
      <c r="A3587" s="4">
        <v>36937</v>
      </c>
      <c r="B3587" s="6">
        <v>26.33</v>
      </c>
    </row>
    <row r="3588" spans="1:2" x14ac:dyDescent="0.25">
      <c r="A3588" s="4">
        <v>36938</v>
      </c>
      <c r="B3588" s="6">
        <v>26.61</v>
      </c>
    </row>
    <row r="3589" spans="1:2" x14ac:dyDescent="0.25">
      <c r="A3589" s="4">
        <v>36941</v>
      </c>
      <c r="B3589" s="6">
        <v>27.05</v>
      </c>
    </row>
    <row r="3590" spans="1:2" x14ac:dyDescent="0.25">
      <c r="A3590" s="4">
        <v>36942</v>
      </c>
      <c r="B3590" s="6">
        <v>26.45</v>
      </c>
    </row>
    <row r="3591" spans="1:2" x14ac:dyDescent="0.25">
      <c r="A3591" s="4">
        <v>36943</v>
      </c>
      <c r="B3591" s="6">
        <v>26.1</v>
      </c>
    </row>
    <row r="3592" spans="1:2" x14ac:dyDescent="0.25">
      <c r="A3592" s="4">
        <v>36944</v>
      </c>
      <c r="B3592" s="6">
        <v>25.75</v>
      </c>
    </row>
    <row r="3593" spans="1:2" x14ac:dyDescent="0.25">
      <c r="A3593" s="4">
        <v>36945</v>
      </c>
      <c r="B3593" s="6">
        <v>26.12</v>
      </c>
    </row>
    <row r="3594" spans="1:2" x14ac:dyDescent="0.25">
      <c r="A3594" s="4">
        <v>36948</v>
      </c>
      <c r="B3594" s="6">
        <v>25.84</v>
      </c>
    </row>
    <row r="3595" spans="1:2" x14ac:dyDescent="0.25">
      <c r="A3595" s="4">
        <v>36949</v>
      </c>
      <c r="B3595" s="6">
        <v>25.28</v>
      </c>
    </row>
    <row r="3596" spans="1:2" x14ac:dyDescent="0.25">
      <c r="A3596" s="4">
        <v>36950</v>
      </c>
      <c r="B3596" s="6">
        <v>25.16</v>
      </c>
    </row>
    <row r="3597" spans="1:2" x14ac:dyDescent="0.25">
      <c r="A3597" s="4">
        <v>36951</v>
      </c>
      <c r="B3597" s="6">
        <v>24.76</v>
      </c>
    </row>
    <row r="3598" spans="1:2" x14ac:dyDescent="0.25">
      <c r="A3598" s="4">
        <v>36952</v>
      </c>
      <c r="B3598" s="6">
        <v>25.28</v>
      </c>
    </row>
    <row r="3599" spans="1:2" x14ac:dyDescent="0.25">
      <c r="A3599" s="4">
        <v>36955</v>
      </c>
      <c r="B3599" s="6">
        <v>25.98</v>
      </c>
    </row>
    <row r="3600" spans="1:2" x14ac:dyDescent="0.25">
      <c r="A3600" s="4">
        <v>36956</v>
      </c>
      <c r="B3600" s="6">
        <v>25.59</v>
      </c>
    </row>
    <row r="3601" spans="1:2" x14ac:dyDescent="0.25">
      <c r="A3601" s="4">
        <v>36957</v>
      </c>
      <c r="B3601" s="6">
        <v>25.91</v>
      </c>
    </row>
    <row r="3602" spans="1:2" x14ac:dyDescent="0.25">
      <c r="A3602" s="4">
        <v>36958</v>
      </c>
      <c r="B3602" s="6">
        <v>26.37</v>
      </c>
    </row>
    <row r="3603" spans="1:2" x14ac:dyDescent="0.25">
      <c r="A3603" s="4">
        <v>36959</v>
      </c>
      <c r="B3603" s="6">
        <v>25.78</v>
      </c>
    </row>
    <row r="3604" spans="1:2" x14ac:dyDescent="0.25">
      <c r="A3604" s="4">
        <v>36962</v>
      </c>
      <c r="B3604" s="6">
        <v>25.34</v>
      </c>
    </row>
    <row r="3605" spans="1:2" x14ac:dyDescent="0.25">
      <c r="A3605" s="4">
        <v>36963</v>
      </c>
      <c r="B3605" s="6">
        <v>24.8</v>
      </c>
    </row>
    <row r="3606" spans="1:2" x14ac:dyDescent="0.25">
      <c r="A3606" s="4">
        <v>36964</v>
      </c>
      <c r="B3606" s="6">
        <v>24.31</v>
      </c>
    </row>
    <row r="3607" spans="1:2" x14ac:dyDescent="0.25">
      <c r="A3607" s="4">
        <v>36965</v>
      </c>
      <c r="B3607" s="6">
        <v>23.37</v>
      </c>
    </row>
    <row r="3608" spans="1:2" x14ac:dyDescent="0.25">
      <c r="A3608" s="4">
        <v>36966</v>
      </c>
      <c r="B3608" s="6">
        <v>23.84</v>
      </c>
    </row>
    <row r="3609" spans="1:2" x14ac:dyDescent="0.25">
      <c r="A3609" s="4">
        <v>36969</v>
      </c>
      <c r="B3609" s="6">
        <v>23.19</v>
      </c>
    </row>
    <row r="3610" spans="1:2" x14ac:dyDescent="0.25">
      <c r="A3610" s="4">
        <v>36970</v>
      </c>
      <c r="B3610" s="6">
        <v>23.63</v>
      </c>
    </row>
    <row r="3611" spans="1:2" x14ac:dyDescent="0.25">
      <c r="A3611" s="4">
        <v>36971</v>
      </c>
      <c r="B3611" s="6">
        <v>23.21</v>
      </c>
    </row>
    <row r="3612" spans="1:2" x14ac:dyDescent="0.25">
      <c r="A3612" s="4">
        <v>36972</v>
      </c>
      <c r="B3612" s="6">
        <v>23.45</v>
      </c>
    </row>
    <row r="3613" spans="1:2" x14ac:dyDescent="0.25">
      <c r="A3613" s="4">
        <v>36973</v>
      </c>
      <c r="B3613" s="6">
        <v>23.94</v>
      </c>
    </row>
    <row r="3614" spans="1:2" x14ac:dyDescent="0.25">
      <c r="A3614" s="4">
        <v>36976</v>
      </c>
      <c r="B3614" s="6">
        <v>24.01</v>
      </c>
    </row>
    <row r="3615" spans="1:2" x14ac:dyDescent="0.25">
      <c r="A3615" s="4">
        <v>36977</v>
      </c>
      <c r="B3615" s="6">
        <v>24.41</v>
      </c>
    </row>
    <row r="3616" spans="1:2" x14ac:dyDescent="0.25">
      <c r="A3616" s="4">
        <v>36978</v>
      </c>
      <c r="B3616" s="6">
        <v>24.5</v>
      </c>
    </row>
    <row r="3617" spans="1:2" x14ac:dyDescent="0.25">
      <c r="A3617" s="4">
        <v>36979</v>
      </c>
      <c r="B3617" s="6">
        <v>23.77</v>
      </c>
    </row>
    <row r="3618" spans="1:2" x14ac:dyDescent="0.25">
      <c r="A3618" s="4">
        <v>36980</v>
      </c>
      <c r="B3618" s="6">
        <v>23.5</v>
      </c>
    </row>
    <row r="3619" spans="1:2" x14ac:dyDescent="0.25">
      <c r="A3619" s="4">
        <v>36983</v>
      </c>
      <c r="B3619" s="6">
        <v>23.31</v>
      </c>
    </row>
    <row r="3620" spans="1:2" x14ac:dyDescent="0.25">
      <c r="A3620" s="4">
        <v>36984</v>
      </c>
      <c r="B3620" s="6">
        <v>23.47</v>
      </c>
    </row>
    <row r="3621" spans="1:2" x14ac:dyDescent="0.25">
      <c r="A3621" s="4">
        <v>36985</v>
      </c>
      <c r="B3621" s="6">
        <v>24.35</v>
      </c>
    </row>
    <row r="3622" spans="1:2" x14ac:dyDescent="0.25">
      <c r="A3622" s="4">
        <v>36986</v>
      </c>
      <c r="B3622" s="6">
        <v>24.87</v>
      </c>
    </row>
    <row r="3623" spans="1:2" x14ac:dyDescent="0.25">
      <c r="A3623" s="4">
        <v>36987</v>
      </c>
      <c r="B3623" s="6">
        <v>24.02</v>
      </c>
    </row>
    <row r="3624" spans="1:2" x14ac:dyDescent="0.25">
      <c r="A3624" s="4">
        <v>36990</v>
      </c>
      <c r="B3624" s="6">
        <v>24.37</v>
      </c>
    </row>
    <row r="3625" spans="1:2" x14ac:dyDescent="0.25">
      <c r="A3625" s="4">
        <v>36991</v>
      </c>
      <c r="B3625" s="6">
        <v>25.64</v>
      </c>
    </row>
    <row r="3626" spans="1:2" x14ac:dyDescent="0.25">
      <c r="A3626" s="4">
        <v>36992</v>
      </c>
      <c r="B3626" s="6">
        <v>26.08</v>
      </c>
    </row>
    <row r="3627" spans="1:2" x14ac:dyDescent="0.25">
      <c r="A3627" s="4">
        <v>36993</v>
      </c>
      <c r="B3627" s="6">
        <v>27.12</v>
      </c>
    </row>
    <row r="3628" spans="1:2" x14ac:dyDescent="0.25">
      <c r="A3628" s="4">
        <v>36994</v>
      </c>
      <c r="B3628" s="6">
        <v>26.8</v>
      </c>
    </row>
    <row r="3629" spans="1:2" x14ac:dyDescent="0.25">
      <c r="A3629" s="4">
        <v>36997</v>
      </c>
      <c r="B3629" s="6">
        <v>26.8</v>
      </c>
    </row>
    <row r="3630" spans="1:2" x14ac:dyDescent="0.25">
      <c r="A3630" s="4">
        <v>36998</v>
      </c>
      <c r="B3630" s="6">
        <v>26.99</v>
      </c>
    </row>
    <row r="3631" spans="1:2" x14ac:dyDescent="0.25">
      <c r="A3631" s="4">
        <v>36999</v>
      </c>
      <c r="B3631" s="6">
        <v>26.11</v>
      </c>
    </row>
    <row r="3632" spans="1:2" x14ac:dyDescent="0.25">
      <c r="A3632" s="4">
        <v>37000</v>
      </c>
      <c r="B3632" s="6">
        <v>25.86</v>
      </c>
    </row>
    <row r="3633" spans="1:2" x14ac:dyDescent="0.25">
      <c r="A3633" s="4">
        <v>37001</v>
      </c>
      <c r="B3633" s="6">
        <v>25.57</v>
      </c>
    </row>
    <row r="3634" spans="1:2" x14ac:dyDescent="0.25">
      <c r="A3634" s="4">
        <v>37004</v>
      </c>
      <c r="B3634" s="6">
        <v>25.42</v>
      </c>
    </row>
    <row r="3635" spans="1:2" x14ac:dyDescent="0.25">
      <c r="A3635" s="4">
        <v>37005</v>
      </c>
      <c r="B3635" s="6">
        <v>25.76</v>
      </c>
    </row>
    <row r="3636" spans="1:2" x14ac:dyDescent="0.25">
      <c r="A3636" s="4">
        <v>37006</v>
      </c>
      <c r="B3636" s="6">
        <v>25.49</v>
      </c>
    </row>
    <row r="3637" spans="1:2" x14ac:dyDescent="0.25">
      <c r="A3637" s="4">
        <v>37007</v>
      </c>
      <c r="B3637" s="6">
        <v>26.71</v>
      </c>
    </row>
    <row r="3638" spans="1:2" x14ac:dyDescent="0.25">
      <c r="A3638" s="4">
        <v>37008</v>
      </c>
      <c r="B3638" s="6">
        <v>26.85</v>
      </c>
    </row>
    <row r="3639" spans="1:2" x14ac:dyDescent="0.25">
      <c r="A3639" s="4">
        <v>37011</v>
      </c>
      <c r="B3639" s="6">
        <v>27.21</v>
      </c>
    </row>
    <row r="3640" spans="1:2" x14ac:dyDescent="0.25">
      <c r="A3640" s="4">
        <v>37012</v>
      </c>
      <c r="B3640" s="6">
        <v>27.31</v>
      </c>
    </row>
    <row r="3641" spans="1:2" x14ac:dyDescent="0.25">
      <c r="A3641" s="4">
        <v>37013</v>
      </c>
      <c r="B3641" s="6">
        <v>26.82</v>
      </c>
    </row>
    <row r="3642" spans="1:2" x14ac:dyDescent="0.25">
      <c r="A3642" s="4">
        <v>37014</v>
      </c>
      <c r="B3642" s="6">
        <v>27.46</v>
      </c>
    </row>
    <row r="3643" spans="1:2" x14ac:dyDescent="0.25">
      <c r="A3643" s="4">
        <v>37015</v>
      </c>
      <c r="B3643" s="6">
        <v>27.59</v>
      </c>
    </row>
    <row r="3644" spans="1:2" x14ac:dyDescent="0.25">
      <c r="A3644" s="4">
        <v>37018</v>
      </c>
      <c r="B3644" s="6">
        <v>27.71</v>
      </c>
    </row>
    <row r="3645" spans="1:2" x14ac:dyDescent="0.25">
      <c r="A3645" s="4">
        <v>37019</v>
      </c>
      <c r="B3645" s="6">
        <v>27.45</v>
      </c>
    </row>
    <row r="3646" spans="1:2" x14ac:dyDescent="0.25">
      <c r="A3646" s="4">
        <v>37020</v>
      </c>
      <c r="B3646" s="6">
        <v>27.46</v>
      </c>
    </row>
    <row r="3647" spans="1:2" x14ac:dyDescent="0.25">
      <c r="A3647" s="4">
        <v>37021</v>
      </c>
      <c r="B3647" s="6">
        <v>28.27</v>
      </c>
    </row>
    <row r="3648" spans="1:2" x14ac:dyDescent="0.25">
      <c r="A3648" s="4">
        <v>37022</v>
      </c>
      <c r="B3648" s="6">
        <v>27.97</v>
      </c>
    </row>
    <row r="3649" spans="1:2" x14ac:dyDescent="0.25">
      <c r="A3649" s="4">
        <v>37025</v>
      </c>
      <c r="B3649" s="6">
        <v>27.77</v>
      </c>
    </row>
    <row r="3650" spans="1:2" x14ac:dyDescent="0.25">
      <c r="A3650" s="4">
        <v>37026</v>
      </c>
      <c r="B3650" s="6">
        <v>27.88</v>
      </c>
    </row>
    <row r="3651" spans="1:2" x14ac:dyDescent="0.25">
      <c r="A3651" s="4">
        <v>37027</v>
      </c>
      <c r="B3651" s="6">
        <v>28.19</v>
      </c>
    </row>
    <row r="3652" spans="1:2" x14ac:dyDescent="0.25">
      <c r="A3652" s="4">
        <v>37028</v>
      </c>
      <c r="B3652" s="6">
        <v>28.57</v>
      </c>
    </row>
    <row r="3653" spans="1:2" x14ac:dyDescent="0.25">
      <c r="A3653" s="4">
        <v>37029</v>
      </c>
      <c r="B3653" s="6">
        <v>29.3</v>
      </c>
    </row>
    <row r="3654" spans="1:2" x14ac:dyDescent="0.25">
      <c r="A3654" s="4">
        <v>37032</v>
      </c>
      <c r="B3654" s="6">
        <v>29.8</v>
      </c>
    </row>
    <row r="3655" spans="1:2" x14ac:dyDescent="0.25">
      <c r="A3655" s="4">
        <v>37033</v>
      </c>
      <c r="B3655" s="6">
        <v>29.72</v>
      </c>
    </row>
    <row r="3656" spans="1:2" x14ac:dyDescent="0.25">
      <c r="A3656" s="4">
        <v>37034</v>
      </c>
      <c r="B3656" s="6">
        <v>29.51</v>
      </c>
    </row>
    <row r="3657" spans="1:2" x14ac:dyDescent="0.25">
      <c r="A3657" s="4">
        <v>37035</v>
      </c>
      <c r="B3657" s="6">
        <v>28.85</v>
      </c>
    </row>
    <row r="3658" spans="1:2" x14ac:dyDescent="0.25">
      <c r="A3658" s="4">
        <v>37036</v>
      </c>
      <c r="B3658" s="6">
        <v>28.69</v>
      </c>
    </row>
    <row r="3659" spans="1:2" x14ac:dyDescent="0.25">
      <c r="A3659" s="4">
        <v>37039</v>
      </c>
      <c r="B3659" s="5"/>
    </row>
    <row r="3660" spans="1:2" x14ac:dyDescent="0.25">
      <c r="A3660" s="4">
        <v>37040</v>
      </c>
      <c r="B3660" s="6">
        <v>29.11</v>
      </c>
    </row>
    <row r="3661" spans="1:2" x14ac:dyDescent="0.25">
      <c r="A3661" s="4">
        <v>37041</v>
      </c>
      <c r="B3661" s="6">
        <v>28.92</v>
      </c>
    </row>
    <row r="3662" spans="1:2" x14ac:dyDescent="0.25">
      <c r="A3662" s="4">
        <v>37042</v>
      </c>
      <c r="B3662" s="6">
        <v>28.55</v>
      </c>
    </row>
    <row r="3663" spans="1:2" x14ac:dyDescent="0.25">
      <c r="A3663" s="4">
        <v>37043</v>
      </c>
      <c r="B3663" s="6">
        <v>28.86</v>
      </c>
    </row>
    <row r="3664" spans="1:2" x14ac:dyDescent="0.25">
      <c r="A3664" s="4">
        <v>37046</v>
      </c>
      <c r="B3664" s="6">
        <v>28.95</v>
      </c>
    </row>
    <row r="3665" spans="1:2" x14ac:dyDescent="0.25">
      <c r="A3665" s="4">
        <v>37047</v>
      </c>
      <c r="B3665" s="6">
        <v>29.25</v>
      </c>
    </row>
    <row r="3666" spans="1:2" x14ac:dyDescent="0.25">
      <c r="A3666" s="4">
        <v>37048</v>
      </c>
      <c r="B3666" s="6">
        <v>28.73</v>
      </c>
    </row>
    <row r="3667" spans="1:2" x14ac:dyDescent="0.25">
      <c r="A3667" s="4">
        <v>37049</v>
      </c>
      <c r="B3667" s="6">
        <v>28.55</v>
      </c>
    </row>
    <row r="3668" spans="1:2" x14ac:dyDescent="0.25">
      <c r="A3668" s="4">
        <v>37050</v>
      </c>
      <c r="B3668" s="6">
        <v>28.88</v>
      </c>
    </row>
    <row r="3669" spans="1:2" x14ac:dyDescent="0.25">
      <c r="A3669" s="4">
        <v>37053</v>
      </c>
      <c r="B3669" s="6">
        <v>29.57</v>
      </c>
    </row>
    <row r="3670" spans="1:2" x14ac:dyDescent="0.25">
      <c r="A3670" s="4">
        <v>37054</v>
      </c>
      <c r="B3670" s="6">
        <v>29.03</v>
      </c>
    </row>
    <row r="3671" spans="1:2" x14ac:dyDescent="0.25">
      <c r="A3671" s="4">
        <v>37055</v>
      </c>
      <c r="B3671" s="6">
        <v>29.13</v>
      </c>
    </row>
    <row r="3672" spans="1:2" x14ac:dyDescent="0.25">
      <c r="A3672" s="4">
        <v>37056</v>
      </c>
      <c r="B3672" s="6">
        <v>28.5</v>
      </c>
    </row>
    <row r="3673" spans="1:2" x14ac:dyDescent="0.25">
      <c r="A3673" s="4">
        <v>37057</v>
      </c>
      <c r="B3673" s="6">
        <v>28.13</v>
      </c>
    </row>
    <row r="3674" spans="1:2" x14ac:dyDescent="0.25">
      <c r="A3674" s="4">
        <v>37060</v>
      </c>
      <c r="B3674" s="6">
        <v>27.61</v>
      </c>
    </row>
    <row r="3675" spans="1:2" x14ac:dyDescent="0.25">
      <c r="A3675" s="4">
        <v>37061</v>
      </c>
      <c r="B3675" s="6">
        <v>26.68</v>
      </c>
    </row>
    <row r="3676" spans="1:2" x14ac:dyDescent="0.25">
      <c r="A3676" s="4">
        <v>37062</v>
      </c>
      <c r="B3676" s="6">
        <v>26.24</v>
      </c>
    </row>
    <row r="3677" spans="1:2" x14ac:dyDescent="0.25">
      <c r="A3677" s="4">
        <v>37063</v>
      </c>
      <c r="B3677" s="6">
        <v>26.7</v>
      </c>
    </row>
    <row r="3678" spans="1:2" x14ac:dyDescent="0.25">
      <c r="A3678" s="4">
        <v>37064</v>
      </c>
      <c r="B3678" s="6">
        <v>26.86</v>
      </c>
    </row>
    <row r="3679" spans="1:2" x14ac:dyDescent="0.25">
      <c r="A3679" s="4">
        <v>37067</v>
      </c>
      <c r="B3679" s="6">
        <v>27.36</v>
      </c>
    </row>
    <row r="3680" spans="1:2" x14ac:dyDescent="0.25">
      <c r="A3680" s="4">
        <v>37068</v>
      </c>
      <c r="B3680" s="6">
        <v>27.66</v>
      </c>
    </row>
    <row r="3681" spans="1:2" x14ac:dyDescent="0.25">
      <c r="A3681" s="4">
        <v>37069</v>
      </c>
      <c r="B3681" s="6">
        <v>26.25</v>
      </c>
    </row>
    <row r="3682" spans="1:2" x14ac:dyDescent="0.25">
      <c r="A3682" s="4">
        <v>37070</v>
      </c>
      <c r="B3682" s="6">
        <v>25.68</v>
      </c>
    </row>
    <row r="3683" spans="1:2" x14ac:dyDescent="0.25">
      <c r="A3683" s="4">
        <v>37071</v>
      </c>
      <c r="B3683" s="6">
        <v>26.21</v>
      </c>
    </row>
    <row r="3684" spans="1:2" x14ac:dyDescent="0.25">
      <c r="A3684" s="4">
        <v>37074</v>
      </c>
      <c r="B3684" s="6">
        <v>25.73</v>
      </c>
    </row>
    <row r="3685" spans="1:2" x14ac:dyDescent="0.25">
      <c r="A3685" s="4">
        <v>37075</v>
      </c>
      <c r="B3685" s="6">
        <v>25.56</v>
      </c>
    </row>
    <row r="3686" spans="1:2" x14ac:dyDescent="0.25">
      <c r="A3686" s="4">
        <v>37076</v>
      </c>
      <c r="B3686" s="6">
        <v>25.97</v>
      </c>
    </row>
    <row r="3687" spans="1:2" x14ac:dyDescent="0.25">
      <c r="A3687" s="4">
        <v>37077</v>
      </c>
      <c r="B3687" s="6">
        <v>25.69</v>
      </c>
    </row>
    <row r="3688" spans="1:2" x14ac:dyDescent="0.25">
      <c r="A3688" s="4">
        <v>37078</v>
      </c>
      <c r="B3688" s="6">
        <v>26.55</v>
      </c>
    </row>
    <row r="3689" spans="1:2" x14ac:dyDescent="0.25">
      <c r="A3689" s="4">
        <v>37081</v>
      </c>
      <c r="B3689" s="6">
        <v>25.59</v>
      </c>
    </row>
    <row r="3690" spans="1:2" x14ac:dyDescent="0.25">
      <c r="A3690" s="4">
        <v>37082</v>
      </c>
      <c r="B3690" s="6">
        <v>24.69</v>
      </c>
    </row>
    <row r="3691" spans="1:2" x14ac:dyDescent="0.25">
      <c r="A3691" s="4">
        <v>37083</v>
      </c>
      <c r="B3691" s="6">
        <v>24.44</v>
      </c>
    </row>
    <row r="3692" spans="1:2" x14ac:dyDescent="0.25">
      <c r="A3692" s="4">
        <v>37084</v>
      </c>
      <c r="B3692" s="6">
        <v>23.62</v>
      </c>
    </row>
    <row r="3693" spans="1:2" x14ac:dyDescent="0.25">
      <c r="A3693" s="4">
        <v>37085</v>
      </c>
      <c r="B3693" s="6">
        <v>24.02</v>
      </c>
    </row>
    <row r="3694" spans="1:2" x14ac:dyDescent="0.25">
      <c r="A3694" s="4">
        <v>37088</v>
      </c>
      <c r="B3694" s="6">
        <v>23.58</v>
      </c>
    </row>
    <row r="3695" spans="1:2" x14ac:dyDescent="0.25">
      <c r="A3695" s="4">
        <v>37089</v>
      </c>
      <c r="B3695" s="6">
        <v>23.9</v>
      </c>
    </row>
    <row r="3696" spans="1:2" x14ac:dyDescent="0.25">
      <c r="A3696" s="4">
        <v>37090</v>
      </c>
      <c r="B3696" s="6">
        <v>23.1</v>
      </c>
    </row>
    <row r="3697" spans="1:2" x14ac:dyDescent="0.25">
      <c r="A3697" s="4">
        <v>37091</v>
      </c>
      <c r="B3697" s="6">
        <v>23.35</v>
      </c>
    </row>
    <row r="3698" spans="1:2" x14ac:dyDescent="0.25">
      <c r="A3698" s="4">
        <v>37092</v>
      </c>
      <c r="B3698" s="6">
        <v>23.43</v>
      </c>
    </row>
    <row r="3699" spans="1:2" x14ac:dyDescent="0.25">
      <c r="A3699" s="4">
        <v>37095</v>
      </c>
      <c r="B3699" s="6">
        <v>24.44</v>
      </c>
    </row>
    <row r="3700" spans="1:2" x14ac:dyDescent="0.25">
      <c r="A3700" s="4">
        <v>37096</v>
      </c>
      <c r="B3700" s="6">
        <v>24.37</v>
      </c>
    </row>
    <row r="3701" spans="1:2" x14ac:dyDescent="0.25">
      <c r="A3701" s="4">
        <v>37097</v>
      </c>
      <c r="B3701" s="6">
        <v>24.9</v>
      </c>
    </row>
    <row r="3702" spans="1:2" x14ac:dyDescent="0.25">
      <c r="A3702" s="4">
        <v>37098</v>
      </c>
      <c r="B3702" s="6">
        <v>24.94</v>
      </c>
    </row>
    <row r="3703" spans="1:2" x14ac:dyDescent="0.25">
      <c r="A3703" s="4">
        <v>37099</v>
      </c>
      <c r="B3703" s="6">
        <v>24.82</v>
      </c>
    </row>
    <row r="3704" spans="1:2" x14ac:dyDescent="0.25">
      <c r="A3704" s="4">
        <v>37102</v>
      </c>
      <c r="B3704" s="6">
        <v>24.46</v>
      </c>
    </row>
    <row r="3705" spans="1:2" x14ac:dyDescent="0.25">
      <c r="A3705" s="4">
        <v>37103</v>
      </c>
      <c r="B3705" s="6">
        <v>24.35</v>
      </c>
    </row>
    <row r="3706" spans="1:2" x14ac:dyDescent="0.25">
      <c r="A3706" s="4">
        <v>37104</v>
      </c>
      <c r="B3706" s="6">
        <v>24.23</v>
      </c>
    </row>
    <row r="3707" spans="1:2" x14ac:dyDescent="0.25">
      <c r="A3707" s="4">
        <v>37105</v>
      </c>
      <c r="B3707" s="6">
        <v>25.49</v>
      </c>
    </row>
    <row r="3708" spans="1:2" x14ac:dyDescent="0.25">
      <c r="A3708" s="4">
        <v>37106</v>
      </c>
      <c r="B3708" s="6">
        <v>25.6</v>
      </c>
    </row>
    <row r="3709" spans="1:2" x14ac:dyDescent="0.25">
      <c r="A3709" s="4">
        <v>37109</v>
      </c>
      <c r="B3709" s="6">
        <v>25.39</v>
      </c>
    </row>
    <row r="3710" spans="1:2" x14ac:dyDescent="0.25">
      <c r="A3710" s="4">
        <v>37110</v>
      </c>
      <c r="B3710" s="6">
        <v>25.94</v>
      </c>
    </row>
    <row r="3711" spans="1:2" x14ac:dyDescent="0.25">
      <c r="A3711" s="4">
        <v>37111</v>
      </c>
      <c r="B3711" s="6">
        <v>25.61</v>
      </c>
    </row>
    <row r="3712" spans="1:2" x14ac:dyDescent="0.25">
      <c r="A3712" s="4">
        <v>37112</v>
      </c>
      <c r="B3712" s="6">
        <v>25.28</v>
      </c>
    </row>
    <row r="3713" spans="1:2" x14ac:dyDescent="0.25">
      <c r="A3713" s="4">
        <v>37113</v>
      </c>
      <c r="B3713" s="6">
        <v>25.78</v>
      </c>
    </row>
    <row r="3714" spans="1:2" x14ac:dyDescent="0.25">
      <c r="A3714" s="4">
        <v>37116</v>
      </c>
      <c r="B3714" s="6">
        <v>25.88</v>
      </c>
    </row>
    <row r="3715" spans="1:2" x14ac:dyDescent="0.25">
      <c r="A3715" s="4">
        <v>37117</v>
      </c>
      <c r="B3715" s="6">
        <v>25.71</v>
      </c>
    </row>
    <row r="3716" spans="1:2" x14ac:dyDescent="0.25">
      <c r="A3716" s="4">
        <v>37118</v>
      </c>
      <c r="B3716" s="6">
        <v>25.61</v>
      </c>
    </row>
    <row r="3717" spans="1:2" x14ac:dyDescent="0.25">
      <c r="A3717" s="4">
        <v>37119</v>
      </c>
      <c r="B3717" s="6">
        <v>25.18</v>
      </c>
    </row>
    <row r="3718" spans="1:2" x14ac:dyDescent="0.25">
      <c r="A3718" s="4">
        <v>37120</v>
      </c>
      <c r="B3718" s="6">
        <v>24.68</v>
      </c>
    </row>
    <row r="3719" spans="1:2" x14ac:dyDescent="0.25">
      <c r="A3719" s="4">
        <v>37123</v>
      </c>
      <c r="B3719" s="6">
        <v>24.35</v>
      </c>
    </row>
    <row r="3720" spans="1:2" x14ac:dyDescent="0.25">
      <c r="A3720" s="4">
        <v>37124</v>
      </c>
      <c r="B3720" s="6">
        <v>25.36</v>
      </c>
    </row>
    <row r="3721" spans="1:2" x14ac:dyDescent="0.25">
      <c r="A3721" s="4">
        <v>37125</v>
      </c>
      <c r="B3721" s="6">
        <v>25.71</v>
      </c>
    </row>
    <row r="3722" spans="1:2" x14ac:dyDescent="0.25">
      <c r="A3722" s="4">
        <v>37126</v>
      </c>
      <c r="B3722" s="6">
        <v>25.66</v>
      </c>
    </row>
    <row r="3723" spans="1:2" x14ac:dyDescent="0.25">
      <c r="A3723" s="4">
        <v>37127</v>
      </c>
      <c r="B3723" s="6">
        <v>26.33</v>
      </c>
    </row>
    <row r="3724" spans="1:2" x14ac:dyDescent="0.25">
      <c r="A3724" s="4">
        <v>37130</v>
      </c>
      <c r="B3724" s="6">
        <v>26.22</v>
      </c>
    </row>
    <row r="3725" spans="1:2" x14ac:dyDescent="0.25">
      <c r="A3725" s="4">
        <v>37131</v>
      </c>
      <c r="B3725" s="6">
        <v>26.46</v>
      </c>
    </row>
    <row r="3726" spans="1:2" x14ac:dyDescent="0.25">
      <c r="A3726" s="4">
        <v>37132</v>
      </c>
      <c r="B3726" s="6">
        <v>26.67</v>
      </c>
    </row>
    <row r="3727" spans="1:2" x14ac:dyDescent="0.25">
      <c r="A3727" s="4">
        <v>37133</v>
      </c>
      <c r="B3727" s="6">
        <v>26.7</v>
      </c>
    </row>
    <row r="3728" spans="1:2" x14ac:dyDescent="0.25">
      <c r="A3728" s="4">
        <v>37134</v>
      </c>
      <c r="B3728" s="6">
        <v>26.8</v>
      </c>
    </row>
    <row r="3729" spans="1:2" x14ac:dyDescent="0.25">
      <c r="A3729" s="4">
        <v>37137</v>
      </c>
      <c r="B3729" s="6">
        <v>26.52</v>
      </c>
    </row>
    <row r="3730" spans="1:2" x14ac:dyDescent="0.25">
      <c r="A3730" s="4">
        <v>37138</v>
      </c>
      <c r="B3730" s="6">
        <v>26.27</v>
      </c>
    </row>
    <row r="3731" spans="1:2" x14ac:dyDescent="0.25">
      <c r="A3731" s="4">
        <v>37139</v>
      </c>
      <c r="B3731" s="6">
        <v>26.27</v>
      </c>
    </row>
    <row r="3732" spans="1:2" x14ac:dyDescent="0.25">
      <c r="A3732" s="4">
        <v>37140</v>
      </c>
      <c r="B3732" s="6">
        <v>26.61</v>
      </c>
    </row>
    <row r="3733" spans="1:2" x14ac:dyDescent="0.25">
      <c r="A3733" s="4">
        <v>37141</v>
      </c>
      <c r="B3733" s="6">
        <v>27.54</v>
      </c>
    </row>
    <row r="3734" spans="1:2" x14ac:dyDescent="0.25">
      <c r="A3734" s="4">
        <v>37144</v>
      </c>
      <c r="B3734" s="6">
        <v>27.59</v>
      </c>
    </row>
    <row r="3735" spans="1:2" x14ac:dyDescent="0.25">
      <c r="A3735" s="4">
        <v>37145</v>
      </c>
      <c r="B3735" s="6">
        <v>29.12</v>
      </c>
    </row>
    <row r="3736" spans="1:2" x14ac:dyDescent="0.25">
      <c r="A3736" s="4">
        <v>37146</v>
      </c>
      <c r="B3736" s="6">
        <v>28.24</v>
      </c>
    </row>
    <row r="3737" spans="1:2" x14ac:dyDescent="0.25">
      <c r="A3737" s="4">
        <v>37147</v>
      </c>
      <c r="B3737" s="6">
        <v>28.2</v>
      </c>
    </row>
    <row r="3738" spans="1:2" x14ac:dyDescent="0.25">
      <c r="A3738" s="4">
        <v>37148</v>
      </c>
      <c r="B3738" s="6">
        <v>29.22</v>
      </c>
    </row>
    <row r="3739" spans="1:2" x14ac:dyDescent="0.25">
      <c r="A3739" s="4">
        <v>37151</v>
      </c>
      <c r="B3739" s="6">
        <v>28.32</v>
      </c>
    </row>
    <row r="3740" spans="1:2" x14ac:dyDescent="0.25">
      <c r="A3740" s="4">
        <v>37152</v>
      </c>
      <c r="B3740" s="6">
        <v>27.54</v>
      </c>
    </row>
    <row r="3741" spans="1:2" x14ac:dyDescent="0.25">
      <c r="A3741" s="4">
        <v>37153</v>
      </c>
      <c r="B3741" s="6">
        <v>25.44</v>
      </c>
    </row>
    <row r="3742" spans="1:2" x14ac:dyDescent="0.25">
      <c r="A3742" s="4">
        <v>37154</v>
      </c>
      <c r="B3742" s="6">
        <v>25.57</v>
      </c>
    </row>
    <row r="3743" spans="1:2" x14ac:dyDescent="0.25">
      <c r="A3743" s="4">
        <v>37155</v>
      </c>
      <c r="B3743" s="6">
        <v>25.17</v>
      </c>
    </row>
    <row r="3744" spans="1:2" x14ac:dyDescent="0.25">
      <c r="A3744" s="4">
        <v>37158</v>
      </c>
      <c r="B3744" s="6">
        <v>20.63</v>
      </c>
    </row>
    <row r="3745" spans="1:2" x14ac:dyDescent="0.25">
      <c r="A3745" s="4">
        <v>37159</v>
      </c>
      <c r="B3745" s="6">
        <v>20.13</v>
      </c>
    </row>
    <row r="3746" spans="1:2" x14ac:dyDescent="0.25">
      <c r="A3746" s="4">
        <v>37160</v>
      </c>
      <c r="B3746" s="6">
        <v>20.67</v>
      </c>
    </row>
    <row r="3747" spans="1:2" x14ac:dyDescent="0.25">
      <c r="A3747" s="4">
        <v>37161</v>
      </c>
      <c r="B3747" s="6">
        <v>21.47</v>
      </c>
    </row>
    <row r="3748" spans="1:2" x14ac:dyDescent="0.25">
      <c r="A3748" s="4">
        <v>37162</v>
      </c>
      <c r="B3748" s="6">
        <v>21.87</v>
      </c>
    </row>
    <row r="3749" spans="1:2" x14ac:dyDescent="0.25">
      <c r="A3749" s="4">
        <v>37165</v>
      </c>
      <c r="B3749" s="6">
        <v>21.22</v>
      </c>
    </row>
    <row r="3750" spans="1:2" x14ac:dyDescent="0.25">
      <c r="A3750" s="4">
        <v>37166</v>
      </c>
      <c r="B3750" s="6">
        <v>21.29</v>
      </c>
    </row>
    <row r="3751" spans="1:2" x14ac:dyDescent="0.25">
      <c r="A3751" s="4">
        <v>37167</v>
      </c>
      <c r="B3751" s="6">
        <v>20.63</v>
      </c>
    </row>
    <row r="3752" spans="1:2" x14ac:dyDescent="0.25">
      <c r="A3752" s="4">
        <v>37168</v>
      </c>
      <c r="B3752" s="6">
        <v>20.94</v>
      </c>
    </row>
    <row r="3753" spans="1:2" x14ac:dyDescent="0.25">
      <c r="A3753" s="4">
        <v>37169</v>
      </c>
      <c r="B3753" s="6">
        <v>21.46</v>
      </c>
    </row>
    <row r="3754" spans="1:2" x14ac:dyDescent="0.25">
      <c r="A3754" s="4">
        <v>37172</v>
      </c>
      <c r="B3754" s="6">
        <v>20.91</v>
      </c>
    </row>
    <row r="3755" spans="1:2" x14ac:dyDescent="0.25">
      <c r="A3755" s="4">
        <v>37173</v>
      </c>
      <c r="B3755" s="6">
        <v>20.65</v>
      </c>
    </row>
    <row r="3756" spans="1:2" x14ac:dyDescent="0.25">
      <c r="A3756" s="4">
        <v>37174</v>
      </c>
      <c r="B3756" s="6">
        <v>21.02</v>
      </c>
    </row>
    <row r="3757" spans="1:2" x14ac:dyDescent="0.25">
      <c r="A3757" s="4">
        <v>37175</v>
      </c>
      <c r="B3757" s="6">
        <v>21.38</v>
      </c>
    </row>
    <row r="3758" spans="1:2" x14ac:dyDescent="0.25">
      <c r="A3758" s="4">
        <v>37176</v>
      </c>
      <c r="B3758" s="6">
        <v>20.57</v>
      </c>
    </row>
    <row r="3759" spans="1:2" x14ac:dyDescent="0.25">
      <c r="A3759" s="4">
        <v>37179</v>
      </c>
      <c r="B3759" s="6">
        <v>20.36</v>
      </c>
    </row>
    <row r="3760" spans="1:2" x14ac:dyDescent="0.25">
      <c r="A3760" s="4">
        <v>37180</v>
      </c>
      <c r="B3760" s="6">
        <v>20.47</v>
      </c>
    </row>
    <row r="3761" spans="1:2" x14ac:dyDescent="0.25">
      <c r="A3761" s="4">
        <v>37181</v>
      </c>
      <c r="B3761" s="6">
        <v>19.47</v>
      </c>
    </row>
    <row r="3762" spans="1:2" x14ac:dyDescent="0.25">
      <c r="A3762" s="4">
        <v>37182</v>
      </c>
      <c r="B3762" s="6">
        <v>19.21</v>
      </c>
    </row>
    <row r="3763" spans="1:2" x14ac:dyDescent="0.25">
      <c r="A3763" s="4">
        <v>37183</v>
      </c>
      <c r="B3763" s="6">
        <v>19.91</v>
      </c>
    </row>
    <row r="3764" spans="1:2" x14ac:dyDescent="0.25">
      <c r="A3764" s="4">
        <v>37186</v>
      </c>
      <c r="B3764" s="6">
        <v>20.38</v>
      </c>
    </row>
    <row r="3765" spans="1:2" x14ac:dyDescent="0.25">
      <c r="A3765" s="4">
        <v>37187</v>
      </c>
      <c r="B3765" s="6">
        <v>20.56</v>
      </c>
    </row>
    <row r="3766" spans="1:2" x14ac:dyDescent="0.25">
      <c r="A3766" s="4">
        <v>37188</v>
      </c>
      <c r="B3766" s="6">
        <v>20.37</v>
      </c>
    </row>
    <row r="3767" spans="1:2" x14ac:dyDescent="0.25">
      <c r="A3767" s="4">
        <v>37189</v>
      </c>
      <c r="B3767" s="6">
        <v>20.67</v>
      </c>
    </row>
    <row r="3768" spans="1:2" x14ac:dyDescent="0.25">
      <c r="A3768" s="4">
        <v>37190</v>
      </c>
      <c r="B3768" s="6">
        <v>20.309999999999999</v>
      </c>
    </row>
    <row r="3769" spans="1:2" x14ac:dyDescent="0.25">
      <c r="A3769" s="4">
        <v>37193</v>
      </c>
      <c r="B3769" s="6">
        <v>20.55</v>
      </c>
    </row>
    <row r="3770" spans="1:2" x14ac:dyDescent="0.25">
      <c r="A3770" s="4">
        <v>37194</v>
      </c>
      <c r="B3770" s="6">
        <v>20.41</v>
      </c>
    </row>
    <row r="3771" spans="1:2" x14ac:dyDescent="0.25">
      <c r="A3771" s="4">
        <v>37195</v>
      </c>
      <c r="B3771" s="6">
        <v>19.63</v>
      </c>
    </row>
    <row r="3772" spans="1:2" x14ac:dyDescent="0.25">
      <c r="A3772" s="4">
        <v>37196</v>
      </c>
      <c r="B3772" s="6">
        <v>19.39</v>
      </c>
    </row>
    <row r="3773" spans="1:2" x14ac:dyDescent="0.25">
      <c r="A3773" s="4">
        <v>37197</v>
      </c>
      <c r="B3773" s="6">
        <v>18.63</v>
      </c>
    </row>
    <row r="3774" spans="1:2" x14ac:dyDescent="0.25">
      <c r="A3774" s="4">
        <v>37200</v>
      </c>
      <c r="B3774" s="6">
        <v>18.78</v>
      </c>
    </row>
    <row r="3775" spans="1:2" x14ac:dyDescent="0.25">
      <c r="A3775" s="4">
        <v>37201</v>
      </c>
      <c r="B3775" s="6">
        <v>18.64</v>
      </c>
    </row>
    <row r="3776" spans="1:2" x14ac:dyDescent="0.25">
      <c r="A3776" s="4">
        <v>37202</v>
      </c>
      <c r="B3776" s="6">
        <v>18.86</v>
      </c>
    </row>
    <row r="3777" spans="1:2" x14ac:dyDescent="0.25">
      <c r="A3777" s="4">
        <v>37203</v>
      </c>
      <c r="B3777" s="6">
        <v>19.54</v>
      </c>
    </row>
    <row r="3778" spans="1:2" x14ac:dyDescent="0.25">
      <c r="A3778" s="4">
        <v>37204</v>
      </c>
      <c r="B3778" s="6">
        <v>20.72</v>
      </c>
    </row>
    <row r="3779" spans="1:2" x14ac:dyDescent="0.25">
      <c r="A3779" s="4">
        <v>37207</v>
      </c>
      <c r="B3779" s="6">
        <v>19.48</v>
      </c>
    </row>
    <row r="3780" spans="1:2" x14ac:dyDescent="0.25">
      <c r="A3780" s="4">
        <v>37208</v>
      </c>
      <c r="B3780" s="6">
        <v>20.47</v>
      </c>
    </row>
    <row r="3781" spans="1:2" x14ac:dyDescent="0.25">
      <c r="A3781" s="4">
        <v>37209</v>
      </c>
      <c r="B3781" s="6">
        <v>18.78</v>
      </c>
    </row>
    <row r="3782" spans="1:2" x14ac:dyDescent="0.25">
      <c r="A3782" s="4">
        <v>37210</v>
      </c>
      <c r="B3782" s="6">
        <v>16.510000000000002</v>
      </c>
    </row>
    <row r="3783" spans="1:2" x14ac:dyDescent="0.25">
      <c r="A3783" s="4">
        <v>37211</v>
      </c>
      <c r="B3783" s="6">
        <v>16.86</v>
      </c>
    </row>
    <row r="3784" spans="1:2" x14ac:dyDescent="0.25">
      <c r="A3784" s="4">
        <v>37214</v>
      </c>
      <c r="B3784" s="6">
        <v>16.55</v>
      </c>
    </row>
    <row r="3785" spans="1:2" x14ac:dyDescent="0.25">
      <c r="A3785" s="4">
        <v>37215</v>
      </c>
      <c r="B3785" s="6">
        <v>18.82</v>
      </c>
    </row>
    <row r="3786" spans="1:2" x14ac:dyDescent="0.25">
      <c r="A3786" s="4">
        <v>37216</v>
      </c>
      <c r="B3786" s="6">
        <v>18.440000000000001</v>
      </c>
    </row>
    <row r="3787" spans="1:2" x14ac:dyDescent="0.25">
      <c r="A3787" s="4">
        <v>37217</v>
      </c>
      <c r="B3787" s="6">
        <v>19.649999999999999</v>
      </c>
    </row>
    <row r="3788" spans="1:2" x14ac:dyDescent="0.25">
      <c r="A3788" s="4">
        <v>37218</v>
      </c>
      <c r="B3788" s="6">
        <v>19.399999999999999</v>
      </c>
    </row>
    <row r="3789" spans="1:2" x14ac:dyDescent="0.25">
      <c r="A3789" s="4">
        <v>37221</v>
      </c>
      <c r="B3789" s="6">
        <v>18.66</v>
      </c>
    </row>
    <row r="3790" spans="1:2" x14ac:dyDescent="0.25">
      <c r="A3790" s="4">
        <v>37222</v>
      </c>
      <c r="B3790" s="6">
        <v>19.09</v>
      </c>
    </row>
    <row r="3791" spans="1:2" x14ac:dyDescent="0.25">
      <c r="A3791" s="4">
        <v>37223</v>
      </c>
      <c r="B3791" s="6">
        <v>18.809999999999999</v>
      </c>
    </row>
    <row r="3792" spans="1:2" x14ac:dyDescent="0.25">
      <c r="A3792" s="4">
        <v>37224</v>
      </c>
      <c r="B3792" s="6">
        <v>18.54</v>
      </c>
    </row>
    <row r="3793" spans="1:2" x14ac:dyDescent="0.25">
      <c r="A3793" s="4">
        <v>37225</v>
      </c>
      <c r="B3793" s="6">
        <v>18.920000000000002</v>
      </c>
    </row>
    <row r="3794" spans="1:2" x14ac:dyDescent="0.25">
      <c r="A3794" s="4">
        <v>37228</v>
      </c>
      <c r="B3794" s="6">
        <v>20</v>
      </c>
    </row>
    <row r="3795" spans="1:2" x14ac:dyDescent="0.25">
      <c r="A3795" s="4">
        <v>37229</v>
      </c>
      <c r="B3795" s="6">
        <v>19.28</v>
      </c>
    </row>
    <row r="3796" spans="1:2" x14ac:dyDescent="0.25">
      <c r="A3796" s="4">
        <v>37230</v>
      </c>
      <c r="B3796" s="6">
        <v>19.27</v>
      </c>
    </row>
    <row r="3797" spans="1:2" x14ac:dyDescent="0.25">
      <c r="A3797" s="4">
        <v>37231</v>
      </c>
      <c r="B3797" s="6">
        <v>18.57</v>
      </c>
    </row>
    <row r="3798" spans="1:2" x14ac:dyDescent="0.25">
      <c r="A3798" s="4">
        <v>37232</v>
      </c>
      <c r="B3798" s="6">
        <v>17.809999999999999</v>
      </c>
    </row>
    <row r="3799" spans="1:2" x14ac:dyDescent="0.25">
      <c r="A3799" s="4">
        <v>37235</v>
      </c>
      <c r="B3799" s="6">
        <v>18.03</v>
      </c>
    </row>
    <row r="3800" spans="1:2" x14ac:dyDescent="0.25">
      <c r="A3800" s="4">
        <v>37236</v>
      </c>
      <c r="B3800" s="6">
        <v>17.61</v>
      </c>
    </row>
    <row r="3801" spans="1:2" x14ac:dyDescent="0.25">
      <c r="A3801" s="4">
        <v>37237</v>
      </c>
      <c r="B3801" s="6">
        <v>18.13</v>
      </c>
    </row>
    <row r="3802" spans="1:2" x14ac:dyDescent="0.25">
      <c r="A3802" s="4">
        <v>37238</v>
      </c>
      <c r="B3802" s="6">
        <v>17.8</v>
      </c>
    </row>
    <row r="3803" spans="1:2" x14ac:dyDescent="0.25">
      <c r="A3803" s="4">
        <v>37239</v>
      </c>
      <c r="B3803" s="6">
        <v>18.54</v>
      </c>
    </row>
    <row r="3804" spans="1:2" x14ac:dyDescent="0.25">
      <c r="A3804" s="4">
        <v>37242</v>
      </c>
      <c r="B3804" s="6">
        <v>18.579999999999998</v>
      </c>
    </row>
    <row r="3805" spans="1:2" x14ac:dyDescent="0.25">
      <c r="A3805" s="4">
        <v>37243</v>
      </c>
      <c r="B3805" s="6">
        <v>18.510000000000002</v>
      </c>
    </row>
    <row r="3806" spans="1:2" x14ac:dyDescent="0.25">
      <c r="A3806" s="4">
        <v>37244</v>
      </c>
      <c r="B3806" s="6">
        <v>19.03</v>
      </c>
    </row>
    <row r="3807" spans="1:2" x14ac:dyDescent="0.25">
      <c r="A3807" s="4">
        <v>37245</v>
      </c>
      <c r="B3807" s="6">
        <v>18.87</v>
      </c>
    </row>
    <row r="3808" spans="1:2" x14ac:dyDescent="0.25">
      <c r="A3808" s="4">
        <v>37246</v>
      </c>
      <c r="B3808" s="6">
        <v>18.73</v>
      </c>
    </row>
    <row r="3809" spans="1:2" x14ac:dyDescent="0.25">
      <c r="A3809" s="4">
        <v>37249</v>
      </c>
      <c r="B3809" s="6">
        <v>18.649999999999999</v>
      </c>
    </row>
    <row r="3810" spans="1:2" x14ac:dyDescent="0.25">
      <c r="A3810" s="4">
        <v>37250</v>
      </c>
      <c r="B3810" s="5"/>
    </row>
    <row r="3811" spans="1:2" x14ac:dyDescent="0.25">
      <c r="A3811" s="4">
        <v>37251</v>
      </c>
      <c r="B3811" s="5"/>
    </row>
    <row r="3812" spans="1:2" x14ac:dyDescent="0.25">
      <c r="A3812" s="4">
        <v>37252</v>
      </c>
      <c r="B3812" s="6">
        <v>18.87</v>
      </c>
    </row>
    <row r="3813" spans="1:2" x14ac:dyDescent="0.25">
      <c r="A3813" s="4">
        <v>37253</v>
      </c>
      <c r="B3813" s="6">
        <v>19.77</v>
      </c>
    </row>
    <row r="3814" spans="1:2" x14ac:dyDescent="0.25">
      <c r="A3814" s="4">
        <v>37256</v>
      </c>
      <c r="B3814" s="6">
        <v>19.350000000000001</v>
      </c>
    </row>
    <row r="3815" spans="1:2" x14ac:dyDescent="0.25">
      <c r="A3815" s="4">
        <v>37257</v>
      </c>
      <c r="B3815" s="5"/>
    </row>
    <row r="3816" spans="1:2" x14ac:dyDescent="0.25">
      <c r="A3816" s="4">
        <v>37258</v>
      </c>
      <c r="B3816" s="6">
        <v>20.13</v>
      </c>
    </row>
    <row r="3817" spans="1:2" x14ac:dyDescent="0.25">
      <c r="A3817" s="4">
        <v>37259</v>
      </c>
      <c r="B3817" s="6">
        <v>20.47</v>
      </c>
    </row>
    <row r="3818" spans="1:2" x14ac:dyDescent="0.25">
      <c r="A3818" s="4">
        <v>37260</v>
      </c>
      <c r="B3818" s="6">
        <v>21.2</v>
      </c>
    </row>
    <row r="3819" spans="1:2" x14ac:dyDescent="0.25">
      <c r="A3819" s="4">
        <v>37263</v>
      </c>
      <c r="B3819" s="6">
        <v>21.08</v>
      </c>
    </row>
    <row r="3820" spans="1:2" x14ac:dyDescent="0.25">
      <c r="A3820" s="4">
        <v>37264</v>
      </c>
      <c r="B3820" s="6">
        <v>21.03</v>
      </c>
    </row>
    <row r="3821" spans="1:2" x14ac:dyDescent="0.25">
      <c r="A3821" s="4">
        <v>37265</v>
      </c>
      <c r="B3821" s="6">
        <v>20.21</v>
      </c>
    </row>
    <row r="3822" spans="1:2" x14ac:dyDescent="0.25">
      <c r="A3822" s="4">
        <v>37266</v>
      </c>
      <c r="B3822" s="6">
        <v>19.71</v>
      </c>
    </row>
    <row r="3823" spans="1:2" x14ac:dyDescent="0.25">
      <c r="A3823" s="4">
        <v>37267</v>
      </c>
      <c r="B3823" s="6">
        <v>20.079999999999998</v>
      </c>
    </row>
    <row r="3824" spans="1:2" x14ac:dyDescent="0.25">
      <c r="A3824" s="4">
        <v>37270</v>
      </c>
      <c r="B3824" s="6">
        <v>18.89</v>
      </c>
    </row>
    <row r="3825" spans="1:2" x14ac:dyDescent="0.25">
      <c r="A3825" s="4">
        <v>37271</v>
      </c>
      <c r="B3825" s="6">
        <v>18.86</v>
      </c>
    </row>
    <row r="3826" spans="1:2" x14ac:dyDescent="0.25">
      <c r="A3826" s="4">
        <v>37272</v>
      </c>
      <c r="B3826" s="6">
        <v>18.5</v>
      </c>
    </row>
    <row r="3827" spans="1:2" x14ac:dyDescent="0.25">
      <c r="A3827" s="4">
        <v>37273</v>
      </c>
      <c r="B3827" s="6">
        <v>18.2</v>
      </c>
    </row>
    <row r="3828" spans="1:2" x14ac:dyDescent="0.25">
      <c r="A3828" s="4">
        <v>37274</v>
      </c>
      <c r="B3828" s="6">
        <v>18.170000000000002</v>
      </c>
    </row>
    <row r="3829" spans="1:2" x14ac:dyDescent="0.25">
      <c r="A3829" s="4">
        <v>37277</v>
      </c>
      <c r="B3829" s="6">
        <v>18.32</v>
      </c>
    </row>
    <row r="3830" spans="1:2" x14ac:dyDescent="0.25">
      <c r="A3830" s="4">
        <v>37278</v>
      </c>
      <c r="B3830" s="6">
        <v>18.7</v>
      </c>
    </row>
    <row r="3831" spans="1:2" x14ac:dyDescent="0.25">
      <c r="A3831" s="4">
        <v>37279</v>
      </c>
      <c r="B3831" s="6">
        <v>18.89</v>
      </c>
    </row>
    <row r="3832" spans="1:2" x14ac:dyDescent="0.25">
      <c r="A3832" s="4">
        <v>37280</v>
      </c>
      <c r="B3832" s="6">
        <v>18.91</v>
      </c>
    </row>
    <row r="3833" spans="1:2" x14ac:dyDescent="0.25">
      <c r="A3833" s="4">
        <v>37281</v>
      </c>
      <c r="B3833" s="6">
        <v>19.04</v>
      </c>
    </row>
    <row r="3834" spans="1:2" x14ac:dyDescent="0.25">
      <c r="A3834" s="4">
        <v>37284</v>
      </c>
      <c r="B3834" s="6">
        <v>19.739999999999998</v>
      </c>
    </row>
    <row r="3835" spans="1:2" x14ac:dyDescent="0.25">
      <c r="A3835" s="4">
        <v>37285</v>
      </c>
      <c r="B3835" s="6">
        <v>19.260000000000002</v>
      </c>
    </row>
    <row r="3836" spans="1:2" x14ac:dyDescent="0.25">
      <c r="A3836" s="4">
        <v>37286</v>
      </c>
      <c r="B3836" s="6">
        <v>18.71</v>
      </c>
    </row>
    <row r="3837" spans="1:2" x14ac:dyDescent="0.25">
      <c r="A3837" s="4">
        <v>37287</v>
      </c>
      <c r="B3837" s="6">
        <v>19.07</v>
      </c>
    </row>
    <row r="3838" spans="1:2" x14ac:dyDescent="0.25">
      <c r="A3838" s="4">
        <v>37288</v>
      </c>
      <c r="B3838" s="6">
        <v>19.7</v>
      </c>
    </row>
    <row r="3839" spans="1:2" x14ac:dyDescent="0.25">
      <c r="A3839" s="4">
        <v>37291</v>
      </c>
      <c r="B3839" s="6">
        <v>20.260000000000002</v>
      </c>
    </row>
    <row r="3840" spans="1:2" x14ac:dyDescent="0.25">
      <c r="A3840" s="4">
        <v>37292</v>
      </c>
      <c r="B3840" s="6">
        <v>19.899999999999999</v>
      </c>
    </row>
    <row r="3841" spans="1:2" x14ac:dyDescent="0.25">
      <c r="A3841" s="4">
        <v>37293</v>
      </c>
      <c r="B3841" s="6">
        <v>19.97</v>
      </c>
    </row>
    <row r="3842" spans="1:2" x14ac:dyDescent="0.25">
      <c r="A3842" s="4">
        <v>37294</v>
      </c>
      <c r="B3842" s="6">
        <v>19.420000000000002</v>
      </c>
    </row>
    <row r="3843" spans="1:2" x14ac:dyDescent="0.25">
      <c r="A3843" s="4">
        <v>37295</v>
      </c>
      <c r="B3843" s="6">
        <v>20.010000000000002</v>
      </c>
    </row>
    <row r="3844" spans="1:2" x14ac:dyDescent="0.25">
      <c r="A3844" s="4">
        <v>37298</v>
      </c>
      <c r="B3844" s="6">
        <v>20.079999999999998</v>
      </c>
    </row>
    <row r="3845" spans="1:2" x14ac:dyDescent="0.25">
      <c r="A3845" s="4">
        <v>37299</v>
      </c>
      <c r="B3845" s="6">
        <v>21.75</v>
      </c>
    </row>
    <row r="3846" spans="1:2" x14ac:dyDescent="0.25">
      <c r="A3846" s="4">
        <v>37300</v>
      </c>
      <c r="B3846" s="6">
        <v>21.41</v>
      </c>
    </row>
    <row r="3847" spans="1:2" x14ac:dyDescent="0.25">
      <c r="A3847" s="4">
        <v>37301</v>
      </c>
      <c r="B3847" s="6">
        <v>20.97</v>
      </c>
    </row>
    <row r="3848" spans="1:2" x14ac:dyDescent="0.25">
      <c r="A3848" s="4">
        <v>37302</v>
      </c>
      <c r="B3848" s="6">
        <v>20.76</v>
      </c>
    </row>
    <row r="3849" spans="1:2" x14ac:dyDescent="0.25">
      <c r="A3849" s="4">
        <v>37305</v>
      </c>
      <c r="B3849" s="6">
        <v>20.12</v>
      </c>
    </row>
    <row r="3850" spans="1:2" x14ac:dyDescent="0.25">
      <c r="A3850" s="4">
        <v>37306</v>
      </c>
      <c r="B3850" s="6">
        <v>20.18</v>
      </c>
    </row>
    <row r="3851" spans="1:2" x14ac:dyDescent="0.25">
      <c r="A3851" s="4">
        <v>37307</v>
      </c>
      <c r="B3851" s="6">
        <v>19.440000000000001</v>
      </c>
    </row>
    <row r="3852" spans="1:2" x14ac:dyDescent="0.25">
      <c r="A3852" s="4">
        <v>37308</v>
      </c>
      <c r="B3852" s="6">
        <v>20.21</v>
      </c>
    </row>
    <row r="3853" spans="1:2" x14ac:dyDescent="0.25">
      <c r="A3853" s="4">
        <v>37309</v>
      </c>
      <c r="B3853" s="6">
        <v>20.14</v>
      </c>
    </row>
    <row r="3854" spans="1:2" x14ac:dyDescent="0.25">
      <c r="A3854" s="4">
        <v>37312</v>
      </c>
      <c r="B3854" s="6">
        <v>19.78</v>
      </c>
    </row>
    <row r="3855" spans="1:2" x14ac:dyDescent="0.25">
      <c r="A3855" s="4">
        <v>37313</v>
      </c>
      <c r="B3855" s="6">
        <v>19.95</v>
      </c>
    </row>
    <row r="3856" spans="1:2" x14ac:dyDescent="0.25">
      <c r="A3856" s="4">
        <v>37314</v>
      </c>
      <c r="B3856" s="6">
        <v>20.73</v>
      </c>
    </row>
    <row r="3857" spans="1:2" x14ac:dyDescent="0.25">
      <c r="A3857" s="4">
        <v>37315</v>
      </c>
      <c r="B3857" s="6">
        <v>20.73</v>
      </c>
    </row>
    <row r="3858" spans="1:2" x14ac:dyDescent="0.25">
      <c r="A3858" s="4">
        <v>37316</v>
      </c>
      <c r="B3858" s="6">
        <v>21.83</v>
      </c>
    </row>
    <row r="3859" spans="1:2" x14ac:dyDescent="0.25">
      <c r="A3859" s="4">
        <v>37319</v>
      </c>
      <c r="B3859" s="6">
        <v>21.59</v>
      </c>
    </row>
    <row r="3860" spans="1:2" x14ac:dyDescent="0.25">
      <c r="A3860" s="4">
        <v>37320</v>
      </c>
      <c r="B3860" s="6">
        <v>22.25</v>
      </c>
    </row>
    <row r="3861" spans="1:2" x14ac:dyDescent="0.25">
      <c r="A3861" s="4">
        <v>37321</v>
      </c>
      <c r="B3861" s="6">
        <v>22.11</v>
      </c>
    </row>
    <row r="3862" spans="1:2" x14ac:dyDescent="0.25">
      <c r="A3862" s="4">
        <v>37322</v>
      </c>
      <c r="B3862" s="6">
        <v>23.1</v>
      </c>
    </row>
    <row r="3863" spans="1:2" x14ac:dyDescent="0.25">
      <c r="A3863" s="4">
        <v>37323</v>
      </c>
      <c r="B3863" s="6">
        <v>22.32</v>
      </c>
    </row>
    <row r="3864" spans="1:2" x14ac:dyDescent="0.25">
      <c r="A3864" s="4">
        <v>37326</v>
      </c>
      <c r="B3864" s="6">
        <v>23.14</v>
      </c>
    </row>
    <row r="3865" spans="1:2" x14ac:dyDescent="0.25">
      <c r="A3865" s="4">
        <v>37327</v>
      </c>
      <c r="B3865" s="6">
        <v>22.7</v>
      </c>
    </row>
    <row r="3866" spans="1:2" x14ac:dyDescent="0.25">
      <c r="A3866" s="4">
        <v>37328</v>
      </c>
      <c r="B3866" s="6">
        <v>23.6</v>
      </c>
    </row>
    <row r="3867" spans="1:2" x14ac:dyDescent="0.25">
      <c r="A3867" s="4">
        <v>37329</v>
      </c>
      <c r="B3867" s="6">
        <v>23.76</v>
      </c>
    </row>
    <row r="3868" spans="1:2" x14ac:dyDescent="0.25">
      <c r="A3868" s="4">
        <v>37330</v>
      </c>
      <c r="B3868" s="6">
        <v>23.9</v>
      </c>
    </row>
    <row r="3869" spans="1:2" x14ac:dyDescent="0.25">
      <c r="A3869" s="4">
        <v>37333</v>
      </c>
      <c r="B3869" s="6">
        <v>23.8</v>
      </c>
    </row>
    <row r="3870" spans="1:2" x14ac:dyDescent="0.25">
      <c r="A3870" s="4">
        <v>37334</v>
      </c>
      <c r="B3870" s="6">
        <v>24.51</v>
      </c>
    </row>
    <row r="3871" spans="1:2" x14ac:dyDescent="0.25">
      <c r="A3871" s="4">
        <v>37335</v>
      </c>
      <c r="B3871" s="6">
        <v>24.78</v>
      </c>
    </row>
    <row r="3872" spans="1:2" x14ac:dyDescent="0.25">
      <c r="A3872" s="4">
        <v>37336</v>
      </c>
      <c r="B3872" s="6">
        <v>24.25</v>
      </c>
    </row>
    <row r="3873" spans="1:2" x14ac:dyDescent="0.25">
      <c r="A3873" s="4">
        <v>37337</v>
      </c>
      <c r="B3873" s="6">
        <v>24.83</v>
      </c>
    </row>
    <row r="3874" spans="1:2" x14ac:dyDescent="0.25">
      <c r="A3874" s="4">
        <v>37340</v>
      </c>
      <c r="B3874" s="6">
        <v>24.75</v>
      </c>
    </row>
    <row r="3875" spans="1:2" x14ac:dyDescent="0.25">
      <c r="A3875" s="4">
        <v>37341</v>
      </c>
      <c r="B3875" s="6">
        <v>24.6</v>
      </c>
    </row>
    <row r="3876" spans="1:2" x14ac:dyDescent="0.25">
      <c r="A3876" s="4">
        <v>37342</v>
      </c>
      <c r="B3876" s="6">
        <v>25.13</v>
      </c>
    </row>
    <row r="3877" spans="1:2" x14ac:dyDescent="0.25">
      <c r="A3877" s="4">
        <v>37343</v>
      </c>
      <c r="B3877" s="6">
        <v>25.34</v>
      </c>
    </row>
    <row r="3878" spans="1:2" x14ac:dyDescent="0.25">
      <c r="A3878" s="4">
        <v>37344</v>
      </c>
      <c r="B3878" s="6">
        <v>25.34</v>
      </c>
    </row>
    <row r="3879" spans="1:2" x14ac:dyDescent="0.25">
      <c r="A3879" s="4">
        <v>37347</v>
      </c>
      <c r="B3879" s="6">
        <v>26.06</v>
      </c>
    </row>
    <row r="3880" spans="1:2" x14ac:dyDescent="0.25">
      <c r="A3880" s="4">
        <v>37348</v>
      </c>
      <c r="B3880" s="6">
        <v>26.97</v>
      </c>
    </row>
    <row r="3881" spans="1:2" x14ac:dyDescent="0.25">
      <c r="A3881" s="4">
        <v>37349</v>
      </c>
      <c r="B3881" s="6">
        <v>26.72</v>
      </c>
    </row>
    <row r="3882" spans="1:2" x14ac:dyDescent="0.25">
      <c r="A3882" s="4">
        <v>37350</v>
      </c>
      <c r="B3882" s="6">
        <v>26.97</v>
      </c>
    </row>
    <row r="3883" spans="1:2" x14ac:dyDescent="0.25">
      <c r="A3883" s="4">
        <v>37351</v>
      </c>
      <c r="B3883" s="6">
        <v>25.39</v>
      </c>
    </row>
    <row r="3884" spans="1:2" x14ac:dyDescent="0.25">
      <c r="A3884" s="4">
        <v>37354</v>
      </c>
      <c r="B3884" s="6">
        <v>26.36</v>
      </c>
    </row>
    <row r="3885" spans="1:2" x14ac:dyDescent="0.25">
      <c r="A3885" s="4">
        <v>37355</v>
      </c>
      <c r="B3885" s="6">
        <v>25.48</v>
      </c>
    </row>
    <row r="3886" spans="1:2" x14ac:dyDescent="0.25">
      <c r="A3886" s="4">
        <v>37356</v>
      </c>
      <c r="B3886" s="6">
        <v>25.13</v>
      </c>
    </row>
    <row r="3887" spans="1:2" x14ac:dyDescent="0.25">
      <c r="A3887" s="4">
        <v>37357</v>
      </c>
      <c r="B3887" s="6">
        <v>24.22</v>
      </c>
    </row>
    <row r="3888" spans="1:2" x14ac:dyDescent="0.25">
      <c r="A3888" s="4">
        <v>37358</v>
      </c>
      <c r="B3888" s="6">
        <v>23.25</v>
      </c>
    </row>
    <row r="3889" spans="1:2" x14ac:dyDescent="0.25">
      <c r="A3889" s="4">
        <v>37361</v>
      </c>
      <c r="B3889" s="6">
        <v>23.39</v>
      </c>
    </row>
    <row r="3890" spans="1:2" x14ac:dyDescent="0.25">
      <c r="A3890" s="4">
        <v>37362</v>
      </c>
      <c r="B3890" s="6">
        <v>24.03</v>
      </c>
    </row>
    <row r="3891" spans="1:2" x14ac:dyDescent="0.25">
      <c r="A3891" s="4">
        <v>37363</v>
      </c>
      <c r="B3891" s="6">
        <v>25.26</v>
      </c>
    </row>
    <row r="3892" spans="1:2" x14ac:dyDescent="0.25">
      <c r="A3892" s="4">
        <v>37364</v>
      </c>
      <c r="B3892" s="6">
        <v>25.9</v>
      </c>
    </row>
    <row r="3893" spans="1:2" x14ac:dyDescent="0.25">
      <c r="A3893" s="4">
        <v>37365</v>
      </c>
      <c r="B3893" s="6">
        <v>25.86</v>
      </c>
    </row>
    <row r="3894" spans="1:2" x14ac:dyDescent="0.25">
      <c r="A3894" s="4">
        <v>37368</v>
      </c>
      <c r="B3894" s="6">
        <v>25.96</v>
      </c>
    </row>
    <row r="3895" spans="1:2" x14ac:dyDescent="0.25">
      <c r="A3895" s="4">
        <v>37369</v>
      </c>
      <c r="B3895" s="6">
        <v>26.26</v>
      </c>
    </row>
    <row r="3896" spans="1:2" x14ac:dyDescent="0.25">
      <c r="A3896" s="4">
        <v>37370</v>
      </c>
      <c r="B3896" s="6">
        <v>26.2</v>
      </c>
    </row>
    <row r="3897" spans="1:2" x14ac:dyDescent="0.25">
      <c r="A3897" s="4">
        <v>37371</v>
      </c>
      <c r="B3897" s="6">
        <v>26.47</v>
      </c>
    </row>
    <row r="3898" spans="1:2" x14ac:dyDescent="0.25">
      <c r="A3898" s="4">
        <v>37372</v>
      </c>
      <c r="B3898" s="6">
        <v>26.32</v>
      </c>
    </row>
    <row r="3899" spans="1:2" x14ac:dyDescent="0.25">
      <c r="A3899" s="4">
        <v>37375</v>
      </c>
      <c r="B3899" s="6">
        <v>26.85</v>
      </c>
    </row>
    <row r="3900" spans="1:2" x14ac:dyDescent="0.25">
      <c r="A3900" s="4">
        <v>37376</v>
      </c>
      <c r="B3900" s="6">
        <v>26.98</v>
      </c>
    </row>
    <row r="3901" spans="1:2" x14ac:dyDescent="0.25">
      <c r="A3901" s="4">
        <v>37377</v>
      </c>
      <c r="B3901" s="6">
        <v>26.67</v>
      </c>
    </row>
    <row r="3902" spans="1:2" x14ac:dyDescent="0.25">
      <c r="A3902" s="4">
        <v>37378</v>
      </c>
      <c r="B3902" s="6">
        <v>25.73</v>
      </c>
    </row>
    <row r="3903" spans="1:2" x14ac:dyDescent="0.25">
      <c r="A3903" s="4">
        <v>37379</v>
      </c>
      <c r="B3903" s="6">
        <v>25.8</v>
      </c>
    </row>
    <row r="3904" spans="1:2" x14ac:dyDescent="0.25">
      <c r="A3904" s="4">
        <v>37382</v>
      </c>
      <c r="B3904" s="5"/>
    </row>
    <row r="3905" spans="1:2" x14ac:dyDescent="0.25">
      <c r="A3905" s="4">
        <v>37383</v>
      </c>
      <c r="B3905" s="6">
        <v>25.53</v>
      </c>
    </row>
    <row r="3906" spans="1:2" x14ac:dyDescent="0.25">
      <c r="A3906" s="4">
        <v>37384</v>
      </c>
      <c r="B3906" s="6">
        <v>26.09</v>
      </c>
    </row>
    <row r="3907" spans="1:2" x14ac:dyDescent="0.25">
      <c r="A3907" s="4">
        <v>37385</v>
      </c>
      <c r="B3907" s="6">
        <v>26.09</v>
      </c>
    </row>
    <row r="3908" spans="1:2" x14ac:dyDescent="0.25">
      <c r="A3908" s="4">
        <v>37386</v>
      </c>
      <c r="B3908" s="6">
        <v>26.89</v>
      </c>
    </row>
    <row r="3909" spans="1:2" x14ac:dyDescent="0.25">
      <c r="A3909" s="4">
        <v>37389</v>
      </c>
      <c r="B3909" s="6">
        <v>26.3</v>
      </c>
    </row>
    <row r="3910" spans="1:2" x14ac:dyDescent="0.25">
      <c r="A3910" s="4">
        <v>37390</v>
      </c>
      <c r="B3910" s="6">
        <v>27.12</v>
      </c>
    </row>
    <row r="3911" spans="1:2" x14ac:dyDescent="0.25">
      <c r="A3911" s="4">
        <v>37391</v>
      </c>
      <c r="B3911" s="6">
        <v>27.17</v>
      </c>
    </row>
    <row r="3912" spans="1:2" x14ac:dyDescent="0.25">
      <c r="A3912" s="4">
        <v>37392</v>
      </c>
      <c r="B3912" s="6">
        <v>25.71</v>
      </c>
    </row>
    <row r="3913" spans="1:2" x14ac:dyDescent="0.25">
      <c r="A3913" s="4">
        <v>37393</v>
      </c>
      <c r="B3913" s="6">
        <v>25.45</v>
      </c>
    </row>
    <row r="3914" spans="1:2" x14ac:dyDescent="0.25">
      <c r="A3914" s="4">
        <v>37396</v>
      </c>
      <c r="B3914" s="6">
        <v>25.97</v>
      </c>
    </row>
    <row r="3915" spans="1:2" x14ac:dyDescent="0.25">
      <c r="A3915" s="4">
        <v>37397</v>
      </c>
      <c r="B3915" s="6">
        <v>24.99</v>
      </c>
    </row>
    <row r="3916" spans="1:2" x14ac:dyDescent="0.25">
      <c r="A3916" s="4">
        <v>37398</v>
      </c>
      <c r="B3916" s="6">
        <v>24.32</v>
      </c>
    </row>
    <row r="3917" spans="1:2" x14ac:dyDescent="0.25">
      <c r="A3917" s="4">
        <v>37399</v>
      </c>
      <c r="B3917" s="6">
        <v>24.01</v>
      </c>
    </row>
    <row r="3918" spans="1:2" x14ac:dyDescent="0.25">
      <c r="A3918" s="4">
        <v>37400</v>
      </c>
      <c r="B3918" s="6">
        <v>23.76</v>
      </c>
    </row>
    <row r="3919" spans="1:2" x14ac:dyDescent="0.25">
      <c r="A3919" s="4">
        <v>37403</v>
      </c>
      <c r="B3919" s="6">
        <v>23.52</v>
      </c>
    </row>
    <row r="3920" spans="1:2" x14ac:dyDescent="0.25">
      <c r="A3920" s="4">
        <v>37404</v>
      </c>
      <c r="B3920" s="6">
        <v>24.71</v>
      </c>
    </row>
    <row r="3921" spans="1:2" x14ac:dyDescent="0.25">
      <c r="A3921" s="4">
        <v>37405</v>
      </c>
      <c r="B3921" s="6">
        <v>24.18</v>
      </c>
    </row>
    <row r="3922" spans="1:2" x14ac:dyDescent="0.25">
      <c r="A3922" s="4">
        <v>37406</v>
      </c>
      <c r="B3922" s="6">
        <v>23.72</v>
      </c>
    </row>
    <row r="3923" spans="1:2" x14ac:dyDescent="0.25">
      <c r="A3923" s="4">
        <v>37407</v>
      </c>
      <c r="B3923" s="6">
        <v>23.87</v>
      </c>
    </row>
    <row r="3924" spans="1:2" x14ac:dyDescent="0.25">
      <c r="A3924" s="4">
        <v>37410</v>
      </c>
      <c r="B3924" s="5"/>
    </row>
    <row r="3925" spans="1:2" x14ac:dyDescent="0.25">
      <c r="A3925" s="4">
        <v>37411</v>
      </c>
      <c r="B3925" s="5"/>
    </row>
    <row r="3926" spans="1:2" x14ac:dyDescent="0.25">
      <c r="A3926" s="4">
        <v>37412</v>
      </c>
      <c r="B3926" s="6">
        <v>23.19</v>
      </c>
    </row>
    <row r="3927" spans="1:2" x14ac:dyDescent="0.25">
      <c r="A3927" s="4">
        <v>37413</v>
      </c>
      <c r="B3927" s="6">
        <v>22.79</v>
      </c>
    </row>
    <row r="3928" spans="1:2" x14ac:dyDescent="0.25">
      <c r="A3928" s="4">
        <v>37414</v>
      </c>
      <c r="B3928" s="6">
        <v>22.99</v>
      </c>
    </row>
    <row r="3929" spans="1:2" x14ac:dyDescent="0.25">
      <c r="A3929" s="4">
        <v>37417</v>
      </c>
      <c r="B3929" s="6">
        <v>22.83</v>
      </c>
    </row>
    <row r="3930" spans="1:2" x14ac:dyDescent="0.25">
      <c r="A3930" s="4">
        <v>37418</v>
      </c>
      <c r="B3930" s="6">
        <v>22.37</v>
      </c>
    </row>
    <row r="3931" spans="1:2" x14ac:dyDescent="0.25">
      <c r="A3931" s="4">
        <v>37419</v>
      </c>
      <c r="B3931" s="6">
        <v>23.09</v>
      </c>
    </row>
    <row r="3932" spans="1:2" x14ac:dyDescent="0.25">
      <c r="A3932" s="4">
        <v>37420</v>
      </c>
      <c r="B3932" s="6">
        <v>23.72</v>
      </c>
    </row>
    <row r="3933" spans="1:2" x14ac:dyDescent="0.25">
      <c r="A3933" s="4">
        <v>37421</v>
      </c>
      <c r="B3933" s="6">
        <v>23.97</v>
      </c>
    </row>
    <row r="3934" spans="1:2" x14ac:dyDescent="0.25">
      <c r="A3934" s="4">
        <v>37424</v>
      </c>
      <c r="B3934" s="6">
        <v>24.69</v>
      </c>
    </row>
    <row r="3935" spans="1:2" x14ac:dyDescent="0.25">
      <c r="A3935" s="4">
        <v>37425</v>
      </c>
      <c r="B3935" s="6">
        <v>24.64</v>
      </c>
    </row>
    <row r="3936" spans="1:2" x14ac:dyDescent="0.25">
      <c r="A3936" s="4">
        <v>37426</v>
      </c>
      <c r="B3936" s="6">
        <v>24.85</v>
      </c>
    </row>
    <row r="3937" spans="1:2" x14ac:dyDescent="0.25">
      <c r="A3937" s="4">
        <v>37427</v>
      </c>
      <c r="B3937" s="6">
        <v>24.42</v>
      </c>
    </row>
    <row r="3938" spans="1:2" x14ac:dyDescent="0.25">
      <c r="A3938" s="4">
        <v>37428</v>
      </c>
      <c r="B3938" s="6">
        <v>24.14</v>
      </c>
    </row>
    <row r="3939" spans="1:2" x14ac:dyDescent="0.25">
      <c r="A3939" s="4">
        <v>37431</v>
      </c>
      <c r="B3939" s="6">
        <v>24.99</v>
      </c>
    </row>
    <row r="3940" spans="1:2" x14ac:dyDescent="0.25">
      <c r="A3940" s="4">
        <v>37432</v>
      </c>
      <c r="B3940" s="6">
        <v>25.32</v>
      </c>
    </row>
    <row r="3941" spans="1:2" x14ac:dyDescent="0.25">
      <c r="A3941" s="4">
        <v>37433</v>
      </c>
      <c r="B3941" s="6">
        <v>24.75</v>
      </c>
    </row>
    <row r="3942" spans="1:2" x14ac:dyDescent="0.25">
      <c r="A3942" s="4">
        <v>37434</v>
      </c>
      <c r="B3942" s="6">
        <v>25.39</v>
      </c>
    </row>
    <row r="3943" spans="1:2" x14ac:dyDescent="0.25">
      <c r="A3943" s="4">
        <v>37435</v>
      </c>
      <c r="B3943" s="6">
        <v>25.33</v>
      </c>
    </row>
    <row r="3944" spans="1:2" x14ac:dyDescent="0.25">
      <c r="A3944" s="4">
        <v>37438</v>
      </c>
      <c r="B3944" s="6">
        <v>25.65</v>
      </c>
    </row>
    <row r="3945" spans="1:2" x14ac:dyDescent="0.25">
      <c r="A3945" s="4">
        <v>37439</v>
      </c>
      <c r="B3945" s="6">
        <v>25.64</v>
      </c>
    </row>
    <row r="3946" spans="1:2" x14ac:dyDescent="0.25">
      <c r="A3946" s="4">
        <v>37440</v>
      </c>
      <c r="B3946" s="6">
        <v>25.59</v>
      </c>
    </row>
    <row r="3947" spans="1:2" x14ac:dyDescent="0.25">
      <c r="A3947" s="4">
        <v>37441</v>
      </c>
      <c r="B3947" s="6">
        <v>25.51</v>
      </c>
    </row>
    <row r="3948" spans="1:2" x14ac:dyDescent="0.25">
      <c r="A3948" s="4">
        <v>37442</v>
      </c>
      <c r="B3948" s="6">
        <v>25.75</v>
      </c>
    </row>
    <row r="3949" spans="1:2" x14ac:dyDescent="0.25">
      <c r="A3949" s="4">
        <v>37445</v>
      </c>
      <c r="B3949" s="6">
        <v>25.08</v>
      </c>
    </row>
    <row r="3950" spans="1:2" x14ac:dyDescent="0.25">
      <c r="A3950" s="4">
        <v>37446</v>
      </c>
      <c r="B3950" s="6">
        <v>24.9</v>
      </c>
    </row>
    <row r="3951" spans="1:2" x14ac:dyDescent="0.25">
      <c r="A3951" s="4">
        <v>37447</v>
      </c>
      <c r="B3951" s="6">
        <v>25.82</v>
      </c>
    </row>
    <row r="3952" spans="1:2" x14ac:dyDescent="0.25">
      <c r="A3952" s="4">
        <v>37448</v>
      </c>
      <c r="B3952" s="6">
        <v>25.83</v>
      </c>
    </row>
    <row r="3953" spans="1:2" x14ac:dyDescent="0.25">
      <c r="A3953" s="4">
        <v>37449</v>
      </c>
      <c r="B3953" s="6">
        <v>26.11</v>
      </c>
    </row>
    <row r="3954" spans="1:2" x14ac:dyDescent="0.25">
      <c r="A3954" s="4">
        <v>37452</v>
      </c>
      <c r="B3954" s="6">
        <v>26.16</v>
      </c>
    </row>
    <row r="3955" spans="1:2" x14ac:dyDescent="0.25">
      <c r="A3955" s="4">
        <v>37453</v>
      </c>
      <c r="B3955" s="6">
        <v>25.94</v>
      </c>
    </row>
    <row r="3956" spans="1:2" x14ac:dyDescent="0.25">
      <c r="A3956" s="4">
        <v>37454</v>
      </c>
      <c r="B3956" s="6">
        <v>26.19</v>
      </c>
    </row>
    <row r="3957" spans="1:2" x14ac:dyDescent="0.25">
      <c r="A3957" s="4">
        <v>37455</v>
      </c>
      <c r="B3957" s="6">
        <v>26.72</v>
      </c>
    </row>
    <row r="3958" spans="1:2" x14ac:dyDescent="0.25">
      <c r="A3958" s="4">
        <v>37456</v>
      </c>
      <c r="B3958" s="6">
        <v>26.37</v>
      </c>
    </row>
    <row r="3959" spans="1:2" x14ac:dyDescent="0.25">
      <c r="A3959" s="4">
        <v>37459</v>
      </c>
      <c r="B3959" s="6">
        <v>25.7</v>
      </c>
    </row>
    <row r="3960" spans="1:2" x14ac:dyDescent="0.25">
      <c r="A3960" s="4">
        <v>37460</v>
      </c>
      <c r="B3960" s="6">
        <v>25.65</v>
      </c>
    </row>
    <row r="3961" spans="1:2" x14ac:dyDescent="0.25">
      <c r="A3961" s="4">
        <v>37461</v>
      </c>
      <c r="B3961" s="6">
        <v>25.43</v>
      </c>
    </row>
    <row r="3962" spans="1:2" x14ac:dyDescent="0.25">
      <c r="A3962" s="4">
        <v>37462</v>
      </c>
      <c r="B3962" s="6">
        <v>25.36</v>
      </c>
    </row>
    <row r="3963" spans="1:2" x14ac:dyDescent="0.25">
      <c r="A3963" s="4">
        <v>37463</v>
      </c>
      <c r="B3963" s="6">
        <v>25.1</v>
      </c>
    </row>
    <row r="3964" spans="1:2" x14ac:dyDescent="0.25">
      <c r="A3964" s="4">
        <v>37466</v>
      </c>
      <c r="B3964" s="6">
        <v>25.2</v>
      </c>
    </row>
    <row r="3965" spans="1:2" x14ac:dyDescent="0.25">
      <c r="A3965" s="4">
        <v>37467</v>
      </c>
      <c r="B3965" s="6">
        <v>25.95</v>
      </c>
    </row>
    <row r="3966" spans="1:2" x14ac:dyDescent="0.25">
      <c r="A3966" s="4">
        <v>37468</v>
      </c>
      <c r="B3966" s="6">
        <v>26.28</v>
      </c>
    </row>
    <row r="3967" spans="1:2" x14ac:dyDescent="0.25">
      <c r="A3967" s="4">
        <v>37469</v>
      </c>
      <c r="B3967" s="6">
        <v>25.79</v>
      </c>
    </row>
    <row r="3968" spans="1:2" x14ac:dyDescent="0.25">
      <c r="A3968" s="4">
        <v>37470</v>
      </c>
      <c r="B3968" s="6">
        <v>25.17</v>
      </c>
    </row>
    <row r="3969" spans="1:2" x14ac:dyDescent="0.25">
      <c r="A3969" s="4">
        <v>37473</v>
      </c>
      <c r="B3969" s="6">
        <v>25.2</v>
      </c>
    </row>
    <row r="3970" spans="1:2" x14ac:dyDescent="0.25">
      <c r="A3970" s="4">
        <v>37474</v>
      </c>
      <c r="B3970" s="6">
        <v>25.69</v>
      </c>
    </row>
    <row r="3971" spans="1:2" x14ac:dyDescent="0.25">
      <c r="A3971" s="4">
        <v>37475</v>
      </c>
      <c r="B3971" s="6">
        <v>25.7</v>
      </c>
    </row>
    <row r="3972" spans="1:2" x14ac:dyDescent="0.25">
      <c r="A3972" s="4">
        <v>37476</v>
      </c>
      <c r="B3972" s="6">
        <v>25.51</v>
      </c>
    </row>
    <row r="3973" spans="1:2" x14ac:dyDescent="0.25">
      <c r="A3973" s="4">
        <v>37477</v>
      </c>
      <c r="B3973" s="6">
        <v>25.49</v>
      </c>
    </row>
    <row r="3974" spans="1:2" x14ac:dyDescent="0.25">
      <c r="A3974" s="4">
        <v>37480</v>
      </c>
      <c r="B3974" s="6">
        <v>25.63</v>
      </c>
    </row>
    <row r="3975" spans="1:2" x14ac:dyDescent="0.25">
      <c r="A3975" s="4">
        <v>37481</v>
      </c>
      <c r="B3975" s="6">
        <v>26.11</v>
      </c>
    </row>
    <row r="3976" spans="1:2" x14ac:dyDescent="0.25">
      <c r="A3976" s="4">
        <v>37482</v>
      </c>
      <c r="B3976" s="6">
        <v>26.47</v>
      </c>
    </row>
    <row r="3977" spans="1:2" x14ac:dyDescent="0.25">
      <c r="A3977" s="4">
        <v>37483</v>
      </c>
      <c r="B3977" s="6">
        <v>26.66</v>
      </c>
    </row>
    <row r="3978" spans="1:2" x14ac:dyDescent="0.25">
      <c r="A3978" s="4">
        <v>37484</v>
      </c>
      <c r="B3978" s="6">
        <v>27.33</v>
      </c>
    </row>
    <row r="3979" spans="1:2" x14ac:dyDescent="0.25">
      <c r="A3979" s="4">
        <v>37487</v>
      </c>
      <c r="B3979" s="6">
        <v>27.44</v>
      </c>
    </row>
    <row r="3980" spans="1:2" x14ac:dyDescent="0.25">
      <c r="A3980" s="4">
        <v>37488</v>
      </c>
      <c r="B3980" s="6">
        <v>27.63</v>
      </c>
    </row>
    <row r="3981" spans="1:2" x14ac:dyDescent="0.25">
      <c r="A3981" s="4">
        <v>37489</v>
      </c>
      <c r="B3981" s="6">
        <v>27.53</v>
      </c>
    </row>
    <row r="3982" spans="1:2" x14ac:dyDescent="0.25">
      <c r="A3982" s="4">
        <v>37490</v>
      </c>
      <c r="B3982" s="6">
        <v>27.81</v>
      </c>
    </row>
    <row r="3983" spans="1:2" x14ac:dyDescent="0.25">
      <c r="A3983" s="4">
        <v>37491</v>
      </c>
      <c r="B3983" s="6">
        <v>27.51</v>
      </c>
    </row>
    <row r="3984" spans="1:2" x14ac:dyDescent="0.25">
      <c r="A3984" s="4">
        <v>37494</v>
      </c>
      <c r="B3984" s="6">
        <v>27.56</v>
      </c>
    </row>
    <row r="3985" spans="1:2" x14ac:dyDescent="0.25">
      <c r="A3985" s="4">
        <v>37495</v>
      </c>
      <c r="B3985" s="6">
        <v>27.89</v>
      </c>
    </row>
    <row r="3986" spans="1:2" x14ac:dyDescent="0.25">
      <c r="A3986" s="4">
        <v>37496</v>
      </c>
      <c r="B3986" s="6">
        <v>27.54</v>
      </c>
    </row>
    <row r="3987" spans="1:2" x14ac:dyDescent="0.25">
      <c r="A3987" s="4">
        <v>37497</v>
      </c>
      <c r="B3987" s="6">
        <v>27.11</v>
      </c>
    </row>
    <row r="3988" spans="1:2" x14ac:dyDescent="0.25">
      <c r="A3988" s="4">
        <v>37498</v>
      </c>
      <c r="B3988" s="6">
        <v>27.56</v>
      </c>
    </row>
    <row r="3989" spans="1:2" x14ac:dyDescent="0.25">
      <c r="A3989" s="4">
        <v>37501</v>
      </c>
      <c r="B3989" s="6">
        <v>27.45</v>
      </c>
    </row>
    <row r="3990" spans="1:2" x14ac:dyDescent="0.25">
      <c r="A3990" s="4">
        <v>37502</v>
      </c>
      <c r="B3990" s="6">
        <v>26.58</v>
      </c>
    </row>
    <row r="3991" spans="1:2" x14ac:dyDescent="0.25">
      <c r="A3991" s="4">
        <v>37503</v>
      </c>
      <c r="B3991" s="6">
        <v>27.31</v>
      </c>
    </row>
    <row r="3992" spans="1:2" x14ac:dyDescent="0.25">
      <c r="A3992" s="4">
        <v>37504</v>
      </c>
      <c r="B3992" s="6">
        <v>27.54</v>
      </c>
    </row>
    <row r="3993" spans="1:2" x14ac:dyDescent="0.25">
      <c r="A3993" s="4">
        <v>37505</v>
      </c>
      <c r="B3993" s="6">
        <v>28.36</v>
      </c>
    </row>
    <row r="3994" spans="1:2" x14ac:dyDescent="0.25">
      <c r="A3994" s="4">
        <v>37508</v>
      </c>
      <c r="B3994" s="6">
        <v>28.67</v>
      </c>
    </row>
    <row r="3995" spans="1:2" x14ac:dyDescent="0.25">
      <c r="A3995" s="4">
        <v>37509</v>
      </c>
      <c r="B3995" s="6">
        <v>28.92</v>
      </c>
    </row>
    <row r="3996" spans="1:2" x14ac:dyDescent="0.25">
      <c r="A3996" s="4">
        <v>37510</v>
      </c>
      <c r="B3996" s="6">
        <v>28.68</v>
      </c>
    </row>
    <row r="3997" spans="1:2" x14ac:dyDescent="0.25">
      <c r="A3997" s="4">
        <v>37511</v>
      </c>
      <c r="B3997" s="6">
        <v>27.76</v>
      </c>
    </row>
    <row r="3998" spans="1:2" x14ac:dyDescent="0.25">
      <c r="A3998" s="4">
        <v>37512</v>
      </c>
      <c r="B3998" s="6">
        <v>28.53</v>
      </c>
    </row>
    <row r="3999" spans="1:2" x14ac:dyDescent="0.25">
      <c r="A3999" s="4">
        <v>37515</v>
      </c>
      <c r="B3999" s="6">
        <v>28.38</v>
      </c>
    </row>
    <row r="4000" spans="1:2" x14ac:dyDescent="0.25">
      <c r="A4000" s="4">
        <v>37516</v>
      </c>
      <c r="B4000" s="6">
        <v>27.76</v>
      </c>
    </row>
    <row r="4001" spans="1:2" x14ac:dyDescent="0.25">
      <c r="A4001" s="4">
        <v>37517</v>
      </c>
      <c r="B4001" s="6">
        <v>28.41</v>
      </c>
    </row>
    <row r="4002" spans="1:2" x14ac:dyDescent="0.25">
      <c r="A4002" s="4">
        <v>37518</v>
      </c>
      <c r="B4002" s="6">
        <v>28.45</v>
      </c>
    </row>
    <row r="4003" spans="1:2" x14ac:dyDescent="0.25">
      <c r="A4003" s="4">
        <v>37519</v>
      </c>
      <c r="B4003" s="6">
        <v>28.61</v>
      </c>
    </row>
    <row r="4004" spans="1:2" x14ac:dyDescent="0.25">
      <c r="A4004" s="4">
        <v>37522</v>
      </c>
      <c r="B4004" s="6">
        <v>29.36</v>
      </c>
    </row>
    <row r="4005" spans="1:2" x14ac:dyDescent="0.25">
      <c r="A4005" s="4">
        <v>37523</v>
      </c>
      <c r="B4005" s="6">
        <v>29.47</v>
      </c>
    </row>
    <row r="4006" spans="1:2" x14ac:dyDescent="0.25">
      <c r="A4006" s="4">
        <v>37524</v>
      </c>
      <c r="B4006" s="6">
        <v>29.11</v>
      </c>
    </row>
    <row r="4007" spans="1:2" x14ac:dyDescent="0.25">
      <c r="A4007" s="4">
        <v>37525</v>
      </c>
      <c r="B4007" s="6">
        <v>28.93</v>
      </c>
    </row>
    <row r="4008" spans="1:2" x14ac:dyDescent="0.25">
      <c r="A4008" s="4">
        <v>37526</v>
      </c>
      <c r="B4008" s="6">
        <v>29</v>
      </c>
    </row>
    <row r="4009" spans="1:2" x14ac:dyDescent="0.25">
      <c r="A4009" s="4">
        <v>37529</v>
      </c>
      <c r="B4009" s="6">
        <v>29.11</v>
      </c>
    </row>
    <row r="4010" spans="1:2" x14ac:dyDescent="0.25">
      <c r="A4010" s="4">
        <v>37530</v>
      </c>
      <c r="B4010" s="6">
        <v>29.42</v>
      </c>
    </row>
    <row r="4011" spans="1:2" x14ac:dyDescent="0.25">
      <c r="A4011" s="4">
        <v>37531</v>
      </c>
      <c r="B4011" s="6">
        <v>29.14</v>
      </c>
    </row>
    <row r="4012" spans="1:2" x14ac:dyDescent="0.25">
      <c r="A4012" s="4">
        <v>37532</v>
      </c>
      <c r="B4012" s="6">
        <v>28.46</v>
      </c>
    </row>
    <row r="4013" spans="1:2" x14ac:dyDescent="0.25">
      <c r="A4013" s="4">
        <v>37533</v>
      </c>
      <c r="B4013" s="6">
        <v>28.32</v>
      </c>
    </row>
    <row r="4014" spans="1:2" x14ac:dyDescent="0.25">
      <c r="A4014" s="4">
        <v>37536</v>
      </c>
      <c r="B4014" s="6">
        <v>28.38</v>
      </c>
    </row>
    <row r="4015" spans="1:2" x14ac:dyDescent="0.25">
      <c r="A4015" s="4">
        <v>37537</v>
      </c>
      <c r="B4015" s="6">
        <v>28.28</v>
      </c>
    </row>
    <row r="4016" spans="1:2" x14ac:dyDescent="0.25">
      <c r="A4016" s="4">
        <v>37538</v>
      </c>
      <c r="B4016" s="6">
        <v>28.29</v>
      </c>
    </row>
    <row r="4017" spans="1:2" x14ac:dyDescent="0.25">
      <c r="A4017" s="4">
        <v>37539</v>
      </c>
      <c r="B4017" s="6">
        <v>27.7</v>
      </c>
    </row>
    <row r="4018" spans="1:2" x14ac:dyDescent="0.25">
      <c r="A4018" s="4">
        <v>37540</v>
      </c>
      <c r="B4018" s="6">
        <v>28.18</v>
      </c>
    </row>
    <row r="4019" spans="1:2" x14ac:dyDescent="0.25">
      <c r="A4019" s="4">
        <v>37543</v>
      </c>
      <c r="B4019" s="6">
        <v>28.56</v>
      </c>
    </row>
    <row r="4020" spans="1:2" x14ac:dyDescent="0.25">
      <c r="A4020" s="4">
        <v>37544</v>
      </c>
      <c r="B4020" s="6">
        <v>28.66</v>
      </c>
    </row>
    <row r="4021" spans="1:2" x14ac:dyDescent="0.25">
      <c r="A4021" s="4">
        <v>37545</v>
      </c>
      <c r="B4021" s="6">
        <v>28.61</v>
      </c>
    </row>
    <row r="4022" spans="1:2" x14ac:dyDescent="0.25">
      <c r="A4022" s="4">
        <v>37546</v>
      </c>
      <c r="B4022" s="6">
        <v>28.22</v>
      </c>
    </row>
    <row r="4023" spans="1:2" x14ac:dyDescent="0.25">
      <c r="A4023" s="4">
        <v>37547</v>
      </c>
      <c r="B4023" s="6">
        <v>28.2</v>
      </c>
    </row>
    <row r="4024" spans="1:2" x14ac:dyDescent="0.25">
      <c r="A4024" s="4">
        <v>37550</v>
      </c>
      <c r="B4024" s="6">
        <v>27.01</v>
      </c>
    </row>
    <row r="4025" spans="1:2" x14ac:dyDescent="0.25">
      <c r="A4025" s="4">
        <v>37551</v>
      </c>
      <c r="B4025" s="6">
        <v>26.69</v>
      </c>
    </row>
    <row r="4026" spans="1:2" x14ac:dyDescent="0.25">
      <c r="A4026" s="4">
        <v>37552</v>
      </c>
      <c r="B4026" s="6">
        <v>26.68</v>
      </c>
    </row>
    <row r="4027" spans="1:2" x14ac:dyDescent="0.25">
      <c r="A4027" s="4">
        <v>37553</v>
      </c>
      <c r="B4027" s="6">
        <v>26.78</v>
      </c>
    </row>
    <row r="4028" spans="1:2" x14ac:dyDescent="0.25">
      <c r="A4028" s="4">
        <v>37554</v>
      </c>
      <c r="B4028" s="6">
        <v>25.96</v>
      </c>
    </row>
    <row r="4029" spans="1:2" x14ac:dyDescent="0.25">
      <c r="A4029" s="4">
        <v>37557</v>
      </c>
      <c r="B4029" s="6">
        <v>25.44</v>
      </c>
    </row>
    <row r="4030" spans="1:2" x14ac:dyDescent="0.25">
      <c r="A4030" s="4">
        <v>37558</v>
      </c>
      <c r="B4030" s="6">
        <v>25.71</v>
      </c>
    </row>
    <row r="4031" spans="1:2" x14ac:dyDescent="0.25">
      <c r="A4031" s="4">
        <v>37559</v>
      </c>
      <c r="B4031" s="6">
        <v>25.29</v>
      </c>
    </row>
    <row r="4032" spans="1:2" x14ac:dyDescent="0.25">
      <c r="A4032" s="4">
        <v>37560</v>
      </c>
      <c r="B4032" s="6">
        <v>25.51</v>
      </c>
    </row>
    <row r="4033" spans="1:2" x14ac:dyDescent="0.25">
      <c r="A4033" s="4">
        <v>37561</v>
      </c>
      <c r="B4033" s="6">
        <v>25.78</v>
      </c>
    </row>
    <row r="4034" spans="1:2" x14ac:dyDescent="0.25">
      <c r="A4034" s="4">
        <v>37564</v>
      </c>
      <c r="B4034" s="6">
        <v>25.21</v>
      </c>
    </row>
    <row r="4035" spans="1:2" x14ac:dyDescent="0.25">
      <c r="A4035" s="4">
        <v>37565</v>
      </c>
      <c r="B4035" s="6">
        <v>24.66</v>
      </c>
    </row>
    <row r="4036" spans="1:2" x14ac:dyDescent="0.25">
      <c r="A4036" s="4">
        <v>37566</v>
      </c>
      <c r="B4036" s="6">
        <v>23.73</v>
      </c>
    </row>
    <row r="4037" spans="1:2" x14ac:dyDescent="0.25">
      <c r="A4037" s="4">
        <v>37567</v>
      </c>
      <c r="B4037" s="6">
        <v>24.36</v>
      </c>
    </row>
    <row r="4038" spans="1:2" x14ac:dyDescent="0.25">
      <c r="A4038" s="4">
        <v>37568</v>
      </c>
      <c r="B4038" s="6">
        <v>23.54</v>
      </c>
    </row>
    <row r="4039" spans="1:2" x14ac:dyDescent="0.25">
      <c r="A4039" s="4">
        <v>37571</v>
      </c>
      <c r="B4039" s="6">
        <v>23.86</v>
      </c>
    </row>
    <row r="4040" spans="1:2" x14ac:dyDescent="0.25">
      <c r="A4040" s="4">
        <v>37572</v>
      </c>
      <c r="B4040" s="6">
        <v>24.01</v>
      </c>
    </row>
    <row r="4041" spans="1:2" x14ac:dyDescent="0.25">
      <c r="A4041" s="4">
        <v>37573</v>
      </c>
      <c r="B4041" s="6">
        <v>22.96</v>
      </c>
    </row>
    <row r="4042" spans="1:2" x14ac:dyDescent="0.25">
      <c r="A4042" s="4">
        <v>37574</v>
      </c>
      <c r="B4042" s="6">
        <v>22.82</v>
      </c>
    </row>
    <row r="4043" spans="1:2" x14ac:dyDescent="0.25">
      <c r="A4043" s="4">
        <v>37575</v>
      </c>
      <c r="B4043" s="6">
        <v>23.33</v>
      </c>
    </row>
    <row r="4044" spans="1:2" x14ac:dyDescent="0.25">
      <c r="A4044" s="4">
        <v>37578</v>
      </c>
      <c r="B4044" s="6">
        <v>23.41</v>
      </c>
    </row>
    <row r="4045" spans="1:2" x14ac:dyDescent="0.25">
      <c r="A4045" s="4">
        <v>37579</v>
      </c>
      <c r="B4045" s="6">
        <v>24.05</v>
      </c>
    </row>
    <row r="4046" spans="1:2" x14ac:dyDescent="0.25">
      <c r="A4046" s="4">
        <v>37580</v>
      </c>
      <c r="B4046" s="6">
        <v>24.05</v>
      </c>
    </row>
    <row r="4047" spans="1:2" x14ac:dyDescent="0.25">
      <c r="A4047" s="4">
        <v>37581</v>
      </c>
      <c r="B4047" s="6">
        <v>24.52</v>
      </c>
    </row>
    <row r="4048" spans="1:2" x14ac:dyDescent="0.25">
      <c r="A4048" s="4">
        <v>37582</v>
      </c>
      <c r="B4048" s="6">
        <v>24.79</v>
      </c>
    </row>
    <row r="4049" spans="1:2" x14ac:dyDescent="0.25">
      <c r="A4049" s="4">
        <v>37585</v>
      </c>
      <c r="B4049" s="6">
        <v>24.85</v>
      </c>
    </row>
    <row r="4050" spans="1:2" x14ac:dyDescent="0.25">
      <c r="A4050" s="4">
        <v>37586</v>
      </c>
      <c r="B4050" s="6">
        <v>24.56</v>
      </c>
    </row>
    <row r="4051" spans="1:2" x14ac:dyDescent="0.25">
      <c r="A4051" s="4">
        <v>37587</v>
      </c>
      <c r="B4051" s="6">
        <v>25.11</v>
      </c>
    </row>
    <row r="4052" spans="1:2" x14ac:dyDescent="0.25">
      <c r="A4052" s="4">
        <v>37588</v>
      </c>
      <c r="B4052" s="6">
        <v>25.7</v>
      </c>
    </row>
    <row r="4053" spans="1:2" x14ac:dyDescent="0.25">
      <c r="A4053" s="4">
        <v>37589</v>
      </c>
      <c r="B4053" s="6">
        <v>25.74</v>
      </c>
    </row>
    <row r="4054" spans="1:2" x14ac:dyDescent="0.25">
      <c r="A4054" s="4">
        <v>37592</v>
      </c>
      <c r="B4054" s="6">
        <v>25.73</v>
      </c>
    </row>
    <row r="4055" spans="1:2" x14ac:dyDescent="0.25">
      <c r="A4055" s="4">
        <v>37593</v>
      </c>
      <c r="B4055" s="6">
        <v>26.09</v>
      </c>
    </row>
    <row r="4056" spans="1:2" x14ac:dyDescent="0.25">
      <c r="A4056" s="4">
        <v>37594</v>
      </c>
      <c r="B4056" s="6">
        <v>25.99</v>
      </c>
    </row>
    <row r="4057" spans="1:2" x14ac:dyDescent="0.25">
      <c r="A4057" s="4">
        <v>37595</v>
      </c>
      <c r="B4057" s="6">
        <v>26.07</v>
      </c>
    </row>
    <row r="4058" spans="1:2" x14ac:dyDescent="0.25">
      <c r="A4058" s="4">
        <v>37596</v>
      </c>
      <c r="B4058" s="6">
        <v>25.67</v>
      </c>
    </row>
    <row r="4059" spans="1:2" x14ac:dyDescent="0.25">
      <c r="A4059" s="4">
        <v>37599</v>
      </c>
      <c r="B4059" s="6">
        <v>26.06</v>
      </c>
    </row>
    <row r="4060" spans="1:2" x14ac:dyDescent="0.25">
      <c r="A4060" s="4">
        <v>37600</v>
      </c>
      <c r="B4060" s="6">
        <v>26.35</v>
      </c>
    </row>
    <row r="4061" spans="1:2" x14ac:dyDescent="0.25">
      <c r="A4061" s="4">
        <v>37601</v>
      </c>
      <c r="B4061" s="6">
        <v>26.85</v>
      </c>
    </row>
    <row r="4062" spans="1:2" x14ac:dyDescent="0.25">
      <c r="A4062" s="4">
        <v>37602</v>
      </c>
      <c r="B4062" s="6">
        <v>27.29</v>
      </c>
    </row>
    <row r="4063" spans="1:2" x14ac:dyDescent="0.25">
      <c r="A4063" s="4">
        <v>37603</v>
      </c>
      <c r="B4063" s="6">
        <v>27.64</v>
      </c>
    </row>
    <row r="4064" spans="1:2" x14ac:dyDescent="0.25">
      <c r="A4064" s="4">
        <v>37606</v>
      </c>
      <c r="B4064" s="6">
        <v>28.73</v>
      </c>
    </row>
    <row r="4065" spans="1:2" x14ac:dyDescent="0.25">
      <c r="A4065" s="4">
        <v>37607</v>
      </c>
      <c r="B4065" s="6">
        <v>29.25</v>
      </c>
    </row>
    <row r="4066" spans="1:2" x14ac:dyDescent="0.25">
      <c r="A4066" s="4">
        <v>37608</v>
      </c>
      <c r="B4066" s="6">
        <v>29.95</v>
      </c>
    </row>
    <row r="4067" spans="1:2" x14ac:dyDescent="0.25">
      <c r="A4067" s="4">
        <v>37609</v>
      </c>
      <c r="B4067" s="6">
        <v>30.26</v>
      </c>
    </row>
    <row r="4068" spans="1:2" x14ac:dyDescent="0.25">
      <c r="A4068" s="4">
        <v>37610</v>
      </c>
      <c r="B4068" s="6">
        <v>29.59</v>
      </c>
    </row>
    <row r="4069" spans="1:2" x14ac:dyDescent="0.25">
      <c r="A4069" s="4">
        <v>37613</v>
      </c>
      <c r="B4069" s="6">
        <v>30.61</v>
      </c>
    </row>
    <row r="4070" spans="1:2" x14ac:dyDescent="0.25">
      <c r="A4070" s="4">
        <v>37614</v>
      </c>
      <c r="B4070" s="6">
        <v>30.93</v>
      </c>
    </row>
    <row r="4071" spans="1:2" x14ac:dyDescent="0.25">
      <c r="A4071" s="4">
        <v>37615</v>
      </c>
      <c r="B4071" s="5"/>
    </row>
    <row r="4072" spans="1:2" x14ac:dyDescent="0.25">
      <c r="A4072" s="4">
        <v>37616</v>
      </c>
      <c r="B4072" s="5"/>
    </row>
    <row r="4073" spans="1:2" x14ac:dyDescent="0.25">
      <c r="A4073" s="4">
        <v>37617</v>
      </c>
      <c r="B4073" s="6">
        <v>31.49</v>
      </c>
    </row>
    <row r="4074" spans="1:2" x14ac:dyDescent="0.25">
      <c r="A4074" s="4">
        <v>37620</v>
      </c>
      <c r="B4074" s="6">
        <v>32.020000000000003</v>
      </c>
    </row>
    <row r="4075" spans="1:2" x14ac:dyDescent="0.25">
      <c r="A4075" s="4">
        <v>37621</v>
      </c>
      <c r="B4075" s="6">
        <v>30.12</v>
      </c>
    </row>
    <row r="4076" spans="1:2" x14ac:dyDescent="0.25">
      <c r="A4076" s="4">
        <v>37622</v>
      </c>
      <c r="B4076" s="5"/>
    </row>
    <row r="4077" spans="1:2" x14ac:dyDescent="0.25">
      <c r="A4077" s="4">
        <v>37623</v>
      </c>
      <c r="B4077" s="6">
        <v>30.32</v>
      </c>
    </row>
    <row r="4078" spans="1:2" x14ac:dyDescent="0.25">
      <c r="A4078" s="4">
        <v>37624</v>
      </c>
      <c r="B4078" s="6">
        <v>31.43</v>
      </c>
    </row>
    <row r="4079" spans="1:2" x14ac:dyDescent="0.25">
      <c r="A4079" s="4">
        <v>37627</v>
      </c>
      <c r="B4079" s="6">
        <v>31.43</v>
      </c>
    </row>
    <row r="4080" spans="1:2" x14ac:dyDescent="0.25">
      <c r="A4080" s="4">
        <v>37628</v>
      </c>
      <c r="B4080" s="6">
        <v>30.78</v>
      </c>
    </row>
    <row r="4081" spans="1:2" x14ac:dyDescent="0.25">
      <c r="A4081" s="4">
        <v>37629</v>
      </c>
      <c r="B4081" s="6">
        <v>29.3</v>
      </c>
    </row>
    <row r="4082" spans="1:2" x14ac:dyDescent="0.25">
      <c r="A4082" s="4">
        <v>37630</v>
      </c>
      <c r="B4082" s="6">
        <v>30.26</v>
      </c>
    </row>
    <row r="4083" spans="1:2" x14ac:dyDescent="0.25">
      <c r="A4083" s="4">
        <v>37631</v>
      </c>
      <c r="B4083" s="6">
        <v>30.07</v>
      </c>
    </row>
    <row r="4084" spans="1:2" x14ac:dyDescent="0.25">
      <c r="A4084" s="4">
        <v>37634</v>
      </c>
      <c r="B4084" s="6">
        <v>30.46</v>
      </c>
    </row>
    <row r="4085" spans="1:2" x14ac:dyDescent="0.25">
      <c r="A4085" s="4">
        <v>37635</v>
      </c>
      <c r="B4085" s="6">
        <v>31.36</v>
      </c>
    </row>
    <row r="4086" spans="1:2" x14ac:dyDescent="0.25">
      <c r="A4086" s="4">
        <v>37636</v>
      </c>
      <c r="B4086" s="6">
        <v>31.73</v>
      </c>
    </row>
    <row r="4087" spans="1:2" x14ac:dyDescent="0.25">
      <c r="A4087" s="4">
        <v>37637</v>
      </c>
      <c r="B4087" s="6">
        <v>32.29</v>
      </c>
    </row>
    <row r="4088" spans="1:2" x14ac:dyDescent="0.25">
      <c r="A4088" s="4">
        <v>37638</v>
      </c>
      <c r="B4088" s="6">
        <v>31.57</v>
      </c>
    </row>
    <row r="4089" spans="1:2" x14ac:dyDescent="0.25">
      <c r="A4089" s="4">
        <v>37641</v>
      </c>
      <c r="B4089" s="6">
        <v>32.229999999999997</v>
      </c>
    </row>
    <row r="4090" spans="1:2" x14ac:dyDescent="0.25">
      <c r="A4090" s="4">
        <v>37642</v>
      </c>
      <c r="B4090" s="6">
        <v>31.72</v>
      </c>
    </row>
    <row r="4091" spans="1:2" x14ac:dyDescent="0.25">
      <c r="A4091" s="4">
        <v>37643</v>
      </c>
      <c r="B4091" s="6">
        <v>32.07</v>
      </c>
    </row>
    <row r="4092" spans="1:2" x14ac:dyDescent="0.25">
      <c r="A4092" s="4">
        <v>37644</v>
      </c>
      <c r="B4092" s="6">
        <v>31.4</v>
      </c>
    </row>
    <row r="4093" spans="1:2" x14ac:dyDescent="0.25">
      <c r="A4093" s="4">
        <v>37645</v>
      </c>
      <c r="B4093" s="6">
        <v>31.62</v>
      </c>
    </row>
    <row r="4094" spans="1:2" x14ac:dyDescent="0.25">
      <c r="A4094" s="4">
        <v>37648</v>
      </c>
      <c r="B4094" s="6">
        <v>31.02</v>
      </c>
    </row>
    <row r="4095" spans="1:2" x14ac:dyDescent="0.25">
      <c r="A4095" s="4">
        <v>37649</v>
      </c>
      <c r="B4095" s="6">
        <v>30.73</v>
      </c>
    </row>
    <row r="4096" spans="1:2" x14ac:dyDescent="0.25">
      <c r="A4096" s="4">
        <v>37650</v>
      </c>
      <c r="B4096" s="6">
        <v>31.26</v>
      </c>
    </row>
    <row r="4097" spans="1:2" x14ac:dyDescent="0.25">
      <c r="A4097" s="4">
        <v>37651</v>
      </c>
      <c r="B4097" s="6">
        <v>31.42</v>
      </c>
    </row>
    <row r="4098" spans="1:2" x14ac:dyDescent="0.25">
      <c r="A4098" s="4">
        <v>37652</v>
      </c>
      <c r="B4098" s="6">
        <v>31.57</v>
      </c>
    </row>
    <row r="4099" spans="1:2" x14ac:dyDescent="0.25">
      <c r="A4099" s="4">
        <v>37655</v>
      </c>
      <c r="B4099" s="6">
        <v>30.95</v>
      </c>
    </row>
    <row r="4100" spans="1:2" x14ac:dyDescent="0.25">
      <c r="A4100" s="4">
        <v>37656</v>
      </c>
      <c r="B4100" s="6">
        <v>31.13</v>
      </c>
    </row>
    <row r="4101" spans="1:2" x14ac:dyDescent="0.25">
      <c r="A4101" s="4">
        <v>37657</v>
      </c>
      <c r="B4101" s="6">
        <v>31.77</v>
      </c>
    </row>
    <row r="4102" spans="1:2" x14ac:dyDescent="0.25">
      <c r="A4102" s="4">
        <v>37658</v>
      </c>
      <c r="B4102" s="6">
        <v>31.81</v>
      </c>
    </row>
    <row r="4103" spans="1:2" x14ac:dyDescent="0.25">
      <c r="A4103" s="4">
        <v>37659</v>
      </c>
      <c r="B4103" s="6">
        <v>32.229999999999997</v>
      </c>
    </row>
    <row r="4104" spans="1:2" x14ac:dyDescent="0.25">
      <c r="A4104" s="4">
        <v>37662</v>
      </c>
      <c r="B4104" s="6">
        <v>32.47</v>
      </c>
    </row>
    <row r="4105" spans="1:2" x14ac:dyDescent="0.25">
      <c r="A4105" s="4">
        <v>37663</v>
      </c>
      <c r="B4105" s="6">
        <v>32.51</v>
      </c>
    </row>
    <row r="4106" spans="1:2" x14ac:dyDescent="0.25">
      <c r="A4106" s="4">
        <v>37664</v>
      </c>
      <c r="B4106" s="6">
        <v>32.46</v>
      </c>
    </row>
    <row r="4107" spans="1:2" x14ac:dyDescent="0.25">
      <c r="A4107" s="4">
        <v>37665</v>
      </c>
      <c r="B4107" s="6">
        <v>33.229999999999997</v>
      </c>
    </row>
    <row r="4108" spans="1:2" x14ac:dyDescent="0.25">
      <c r="A4108" s="4">
        <v>37666</v>
      </c>
      <c r="B4108" s="6">
        <v>33.26</v>
      </c>
    </row>
    <row r="4109" spans="1:2" x14ac:dyDescent="0.25">
      <c r="A4109" s="4">
        <v>37669</v>
      </c>
      <c r="B4109" s="6">
        <v>33.06</v>
      </c>
    </row>
    <row r="4110" spans="1:2" x14ac:dyDescent="0.25">
      <c r="A4110" s="4">
        <v>37670</v>
      </c>
      <c r="B4110" s="6">
        <v>33.26</v>
      </c>
    </row>
    <row r="4111" spans="1:2" x14ac:dyDescent="0.25">
      <c r="A4111" s="4">
        <v>37671</v>
      </c>
      <c r="B4111" s="6">
        <v>33.159999999999997</v>
      </c>
    </row>
    <row r="4112" spans="1:2" x14ac:dyDescent="0.25">
      <c r="A4112" s="4">
        <v>37672</v>
      </c>
      <c r="B4112" s="6">
        <v>32.76</v>
      </c>
    </row>
    <row r="4113" spans="1:2" x14ac:dyDescent="0.25">
      <c r="A4113" s="4">
        <v>37673</v>
      </c>
      <c r="B4113" s="6">
        <v>32.76</v>
      </c>
    </row>
    <row r="4114" spans="1:2" x14ac:dyDescent="0.25">
      <c r="A4114" s="4">
        <v>37676</v>
      </c>
      <c r="B4114" s="6">
        <v>33.409999999999997</v>
      </c>
    </row>
    <row r="4115" spans="1:2" x14ac:dyDescent="0.25">
      <c r="A4115" s="4">
        <v>37677</v>
      </c>
      <c r="B4115" s="6">
        <v>33.64</v>
      </c>
    </row>
    <row r="4116" spans="1:2" x14ac:dyDescent="0.25">
      <c r="A4116" s="4">
        <v>37678</v>
      </c>
      <c r="B4116" s="6">
        <v>33.46</v>
      </c>
    </row>
    <row r="4117" spans="1:2" x14ac:dyDescent="0.25">
      <c r="A4117" s="4">
        <v>37679</v>
      </c>
      <c r="B4117" s="6">
        <v>34.090000000000003</v>
      </c>
    </row>
    <row r="4118" spans="1:2" x14ac:dyDescent="0.25">
      <c r="A4118" s="4">
        <v>37680</v>
      </c>
      <c r="B4118" s="6">
        <v>34</v>
      </c>
    </row>
    <row r="4119" spans="1:2" x14ac:dyDescent="0.25">
      <c r="A4119" s="4">
        <v>37683</v>
      </c>
      <c r="B4119" s="6">
        <v>33.4</v>
      </c>
    </row>
    <row r="4120" spans="1:2" x14ac:dyDescent="0.25">
      <c r="A4120" s="4">
        <v>37684</v>
      </c>
      <c r="B4120" s="6">
        <v>34.369999999999997</v>
      </c>
    </row>
    <row r="4121" spans="1:2" x14ac:dyDescent="0.25">
      <c r="A4121" s="4">
        <v>37685</v>
      </c>
      <c r="B4121" s="6">
        <v>33.92</v>
      </c>
    </row>
    <row r="4122" spans="1:2" x14ac:dyDescent="0.25">
      <c r="A4122" s="4">
        <v>37686</v>
      </c>
      <c r="B4122" s="6">
        <v>34.39</v>
      </c>
    </row>
    <row r="4123" spans="1:2" x14ac:dyDescent="0.25">
      <c r="A4123" s="4">
        <v>37687</v>
      </c>
      <c r="B4123" s="6">
        <v>34.47</v>
      </c>
    </row>
    <row r="4124" spans="1:2" x14ac:dyDescent="0.25">
      <c r="A4124" s="4">
        <v>37690</v>
      </c>
      <c r="B4124" s="6">
        <v>34.94</v>
      </c>
    </row>
    <row r="4125" spans="1:2" x14ac:dyDescent="0.25">
      <c r="A4125" s="4">
        <v>37691</v>
      </c>
      <c r="B4125" s="6">
        <v>34.06</v>
      </c>
    </row>
    <row r="4126" spans="1:2" x14ac:dyDescent="0.25">
      <c r="A4126" s="4">
        <v>37692</v>
      </c>
      <c r="B4126" s="6">
        <v>34.159999999999997</v>
      </c>
    </row>
    <row r="4127" spans="1:2" x14ac:dyDescent="0.25">
      <c r="A4127" s="4">
        <v>37693</v>
      </c>
      <c r="B4127" s="6">
        <v>33.979999999999997</v>
      </c>
    </row>
    <row r="4128" spans="1:2" x14ac:dyDescent="0.25">
      <c r="A4128" s="4">
        <v>37694</v>
      </c>
      <c r="B4128" s="6">
        <v>31.48</v>
      </c>
    </row>
    <row r="4129" spans="1:2" x14ac:dyDescent="0.25">
      <c r="A4129" s="4">
        <v>37697</v>
      </c>
      <c r="B4129" s="6">
        <v>30.35</v>
      </c>
    </row>
    <row r="4130" spans="1:2" x14ac:dyDescent="0.25">
      <c r="A4130" s="4">
        <v>37698</v>
      </c>
      <c r="B4130" s="6">
        <v>28.55</v>
      </c>
    </row>
    <row r="4131" spans="1:2" x14ac:dyDescent="0.25">
      <c r="A4131" s="4">
        <v>37699</v>
      </c>
      <c r="B4131" s="6">
        <v>28.4</v>
      </c>
    </row>
    <row r="4132" spans="1:2" x14ac:dyDescent="0.25">
      <c r="A4132" s="4">
        <v>37700</v>
      </c>
      <c r="B4132" s="6">
        <v>28</v>
      </c>
    </row>
    <row r="4133" spans="1:2" x14ac:dyDescent="0.25">
      <c r="A4133" s="4">
        <v>37701</v>
      </c>
      <c r="B4133" s="6">
        <v>25.59</v>
      </c>
    </row>
    <row r="4134" spans="1:2" x14ac:dyDescent="0.25">
      <c r="A4134" s="4">
        <v>37704</v>
      </c>
      <c r="B4134" s="6">
        <v>26.54</v>
      </c>
    </row>
    <row r="4135" spans="1:2" x14ac:dyDescent="0.25">
      <c r="A4135" s="4">
        <v>37705</v>
      </c>
      <c r="B4135" s="6">
        <v>27.28</v>
      </c>
    </row>
    <row r="4136" spans="1:2" x14ac:dyDescent="0.25">
      <c r="A4136" s="4">
        <v>37706</v>
      </c>
      <c r="B4136" s="6">
        <v>25.98</v>
      </c>
    </row>
    <row r="4137" spans="1:2" x14ac:dyDescent="0.25">
      <c r="A4137" s="4">
        <v>37707</v>
      </c>
      <c r="B4137" s="6">
        <v>27.29</v>
      </c>
    </row>
    <row r="4138" spans="1:2" x14ac:dyDescent="0.25">
      <c r="A4138" s="4">
        <v>37708</v>
      </c>
      <c r="B4138" s="6">
        <v>27.66</v>
      </c>
    </row>
    <row r="4139" spans="1:2" x14ac:dyDescent="0.25">
      <c r="A4139" s="4">
        <v>37711</v>
      </c>
      <c r="B4139" s="6">
        <v>28.05</v>
      </c>
    </row>
    <row r="4140" spans="1:2" x14ac:dyDescent="0.25">
      <c r="A4140" s="4">
        <v>37712</v>
      </c>
      <c r="B4140" s="6">
        <v>27.94</v>
      </c>
    </row>
    <row r="4141" spans="1:2" x14ac:dyDescent="0.25">
      <c r="A4141" s="4">
        <v>37713</v>
      </c>
      <c r="B4141" s="6">
        <v>26.29</v>
      </c>
    </row>
    <row r="4142" spans="1:2" x14ac:dyDescent="0.25">
      <c r="A4142" s="4">
        <v>37714</v>
      </c>
      <c r="B4142" s="6">
        <v>26.75</v>
      </c>
    </row>
    <row r="4143" spans="1:2" x14ac:dyDescent="0.25">
      <c r="A4143" s="4">
        <v>37715</v>
      </c>
      <c r="B4143" s="6">
        <v>25.62</v>
      </c>
    </row>
    <row r="4144" spans="1:2" x14ac:dyDescent="0.25">
      <c r="A4144" s="4">
        <v>37718</v>
      </c>
      <c r="B4144" s="6">
        <v>25.27</v>
      </c>
    </row>
    <row r="4145" spans="1:2" x14ac:dyDescent="0.25">
      <c r="A4145" s="4">
        <v>37719</v>
      </c>
      <c r="B4145" s="6">
        <v>24.88</v>
      </c>
    </row>
    <row r="4146" spans="1:2" x14ac:dyDescent="0.25">
      <c r="A4146" s="4">
        <v>37720</v>
      </c>
      <c r="B4146" s="6">
        <v>25.11</v>
      </c>
    </row>
    <row r="4147" spans="1:2" x14ac:dyDescent="0.25">
      <c r="A4147" s="4">
        <v>37721</v>
      </c>
      <c r="B4147" s="6">
        <v>25.16</v>
      </c>
    </row>
    <row r="4148" spans="1:2" x14ac:dyDescent="0.25">
      <c r="A4148" s="4">
        <v>37722</v>
      </c>
      <c r="B4148" s="6">
        <v>24.39</v>
      </c>
    </row>
    <row r="4149" spans="1:2" x14ac:dyDescent="0.25">
      <c r="A4149" s="4">
        <v>37725</v>
      </c>
      <c r="B4149" s="6">
        <v>24.72</v>
      </c>
    </row>
    <row r="4150" spans="1:2" x14ac:dyDescent="0.25">
      <c r="A4150" s="4">
        <v>37726</v>
      </c>
      <c r="B4150" s="6">
        <v>24.74</v>
      </c>
    </row>
    <row r="4151" spans="1:2" x14ac:dyDescent="0.25">
      <c r="A4151" s="4">
        <v>37727</v>
      </c>
      <c r="B4151" s="6">
        <v>24.86</v>
      </c>
    </row>
    <row r="4152" spans="1:2" x14ac:dyDescent="0.25">
      <c r="A4152" s="4">
        <v>37728</v>
      </c>
      <c r="B4152" s="6">
        <v>25.36</v>
      </c>
    </row>
    <row r="4153" spans="1:2" x14ac:dyDescent="0.25">
      <c r="A4153" s="4">
        <v>37729</v>
      </c>
      <c r="B4153" s="6">
        <v>25.76</v>
      </c>
    </row>
    <row r="4154" spans="1:2" x14ac:dyDescent="0.25">
      <c r="A4154" s="4">
        <v>37732</v>
      </c>
      <c r="B4154" s="6">
        <v>25.76</v>
      </c>
    </row>
    <row r="4155" spans="1:2" x14ac:dyDescent="0.25">
      <c r="A4155" s="4">
        <v>37733</v>
      </c>
      <c r="B4155" s="6">
        <v>25.72</v>
      </c>
    </row>
    <row r="4156" spans="1:2" x14ac:dyDescent="0.25">
      <c r="A4156" s="4">
        <v>37734</v>
      </c>
      <c r="B4156" s="6">
        <v>24.56</v>
      </c>
    </row>
    <row r="4157" spans="1:2" x14ac:dyDescent="0.25">
      <c r="A4157" s="4">
        <v>37735</v>
      </c>
      <c r="B4157" s="6">
        <v>24.06</v>
      </c>
    </row>
    <row r="4158" spans="1:2" x14ac:dyDescent="0.25">
      <c r="A4158" s="4">
        <v>37736</v>
      </c>
      <c r="B4158" s="6">
        <v>24.29</v>
      </c>
    </row>
    <row r="4159" spans="1:2" x14ac:dyDescent="0.25">
      <c r="A4159" s="4">
        <v>37739</v>
      </c>
      <c r="B4159" s="6">
        <v>23.42</v>
      </c>
    </row>
    <row r="4160" spans="1:2" x14ac:dyDescent="0.25">
      <c r="A4160" s="4">
        <v>37740</v>
      </c>
      <c r="B4160" s="6">
        <v>23.23</v>
      </c>
    </row>
    <row r="4161" spans="1:2" x14ac:dyDescent="0.25">
      <c r="A4161" s="4">
        <v>37741</v>
      </c>
      <c r="B4161" s="6">
        <v>23.6</v>
      </c>
    </row>
    <row r="4162" spans="1:2" x14ac:dyDescent="0.25">
      <c r="A4162" s="4">
        <v>37742</v>
      </c>
      <c r="B4162" s="6">
        <v>23.79</v>
      </c>
    </row>
    <row r="4163" spans="1:2" x14ac:dyDescent="0.25">
      <c r="A4163" s="4">
        <v>37743</v>
      </c>
      <c r="B4163" s="6">
        <v>23.73</v>
      </c>
    </row>
    <row r="4164" spans="1:2" x14ac:dyDescent="0.25">
      <c r="A4164" s="4">
        <v>37746</v>
      </c>
      <c r="B4164" s="6">
        <v>23.59</v>
      </c>
    </row>
    <row r="4165" spans="1:2" x14ac:dyDescent="0.25">
      <c r="A4165" s="4">
        <v>37747</v>
      </c>
      <c r="B4165" s="6">
        <v>23.91</v>
      </c>
    </row>
    <row r="4166" spans="1:2" x14ac:dyDescent="0.25">
      <c r="A4166" s="4">
        <v>37748</v>
      </c>
      <c r="B4166" s="6">
        <v>24.01</v>
      </c>
    </row>
    <row r="4167" spans="1:2" x14ac:dyDescent="0.25">
      <c r="A4167" s="4">
        <v>37749</v>
      </c>
      <c r="B4167" s="6">
        <v>24.48</v>
      </c>
    </row>
    <row r="4168" spans="1:2" x14ac:dyDescent="0.25">
      <c r="A4168" s="4">
        <v>37750</v>
      </c>
      <c r="B4168" s="6">
        <v>25.55</v>
      </c>
    </row>
    <row r="4169" spans="1:2" x14ac:dyDescent="0.25">
      <c r="A4169" s="4">
        <v>37753</v>
      </c>
      <c r="B4169" s="6">
        <v>25.69</v>
      </c>
    </row>
    <row r="4170" spans="1:2" x14ac:dyDescent="0.25">
      <c r="A4170" s="4">
        <v>37754</v>
      </c>
      <c r="B4170" s="6">
        <v>25.45</v>
      </c>
    </row>
    <row r="4171" spans="1:2" x14ac:dyDescent="0.25">
      <c r="A4171" s="4">
        <v>37755</v>
      </c>
      <c r="B4171" s="6">
        <v>25.98</v>
      </c>
    </row>
    <row r="4172" spans="1:2" x14ac:dyDescent="0.25">
      <c r="A4172" s="4">
        <v>37756</v>
      </c>
      <c r="B4172" s="6">
        <v>26.77</v>
      </c>
    </row>
    <row r="4173" spans="1:2" x14ac:dyDescent="0.25">
      <c r="A4173" s="4">
        <v>37757</v>
      </c>
      <c r="B4173" s="6">
        <v>27.18</v>
      </c>
    </row>
    <row r="4174" spans="1:2" x14ac:dyDescent="0.25">
      <c r="A4174" s="4">
        <v>37760</v>
      </c>
      <c r="B4174" s="6">
        <v>27.23</v>
      </c>
    </row>
    <row r="4175" spans="1:2" x14ac:dyDescent="0.25">
      <c r="A4175" s="4">
        <v>37761</v>
      </c>
      <c r="B4175" s="6">
        <v>26.69</v>
      </c>
    </row>
    <row r="4176" spans="1:2" x14ac:dyDescent="0.25">
      <c r="A4176" s="4">
        <v>37762</v>
      </c>
      <c r="B4176" s="6">
        <v>27.58</v>
      </c>
    </row>
    <row r="4177" spans="1:2" x14ac:dyDescent="0.25">
      <c r="A4177" s="4">
        <v>37763</v>
      </c>
      <c r="B4177" s="6">
        <v>27.32</v>
      </c>
    </row>
    <row r="4178" spans="1:2" x14ac:dyDescent="0.25">
      <c r="A4178" s="4">
        <v>37764</v>
      </c>
      <c r="B4178" s="6">
        <v>27.14</v>
      </c>
    </row>
    <row r="4179" spans="1:2" x14ac:dyDescent="0.25">
      <c r="A4179" s="4">
        <v>37767</v>
      </c>
      <c r="B4179" s="6">
        <v>26.78</v>
      </c>
    </row>
    <row r="4180" spans="1:2" x14ac:dyDescent="0.25">
      <c r="A4180" s="4">
        <v>37768</v>
      </c>
      <c r="B4180" s="6">
        <v>26.55</v>
      </c>
    </row>
    <row r="4181" spans="1:2" x14ac:dyDescent="0.25">
      <c r="A4181" s="4">
        <v>37769</v>
      </c>
      <c r="B4181" s="6">
        <v>26.48</v>
      </c>
    </row>
    <row r="4182" spans="1:2" x14ac:dyDescent="0.25">
      <c r="A4182" s="4">
        <v>37770</v>
      </c>
      <c r="B4182" s="6">
        <v>26.39</v>
      </c>
    </row>
    <row r="4183" spans="1:2" x14ac:dyDescent="0.25">
      <c r="A4183" s="4">
        <v>37771</v>
      </c>
      <c r="B4183" s="6">
        <v>26.58</v>
      </c>
    </row>
    <row r="4184" spans="1:2" x14ac:dyDescent="0.25">
      <c r="A4184" s="4">
        <v>37774</v>
      </c>
      <c r="B4184" s="6">
        <v>27.56</v>
      </c>
    </row>
    <row r="4185" spans="1:2" x14ac:dyDescent="0.25">
      <c r="A4185" s="4">
        <v>37775</v>
      </c>
      <c r="B4185" s="6">
        <v>27.99</v>
      </c>
    </row>
    <row r="4186" spans="1:2" x14ac:dyDescent="0.25">
      <c r="A4186" s="4">
        <v>37776</v>
      </c>
      <c r="B4186" s="6">
        <v>27.49</v>
      </c>
    </row>
    <row r="4187" spans="1:2" x14ac:dyDescent="0.25">
      <c r="A4187" s="4">
        <v>37777</v>
      </c>
      <c r="B4187" s="6">
        <v>28.16</v>
      </c>
    </row>
    <row r="4188" spans="1:2" x14ac:dyDescent="0.25">
      <c r="A4188" s="4">
        <v>37778</v>
      </c>
      <c r="B4188" s="6">
        <v>28.38</v>
      </c>
    </row>
    <row r="4189" spans="1:2" x14ac:dyDescent="0.25">
      <c r="A4189" s="4">
        <v>37781</v>
      </c>
      <c r="B4189" s="6">
        <v>28.62</v>
      </c>
    </row>
    <row r="4190" spans="1:2" x14ac:dyDescent="0.25">
      <c r="A4190" s="4">
        <v>37782</v>
      </c>
      <c r="B4190" s="6">
        <v>28.44</v>
      </c>
    </row>
    <row r="4191" spans="1:2" x14ac:dyDescent="0.25">
      <c r="A4191" s="4">
        <v>37783</v>
      </c>
      <c r="B4191" s="6">
        <v>28.97</v>
      </c>
    </row>
    <row r="4192" spans="1:2" x14ac:dyDescent="0.25">
      <c r="A4192" s="4">
        <v>37784</v>
      </c>
      <c r="B4192" s="6">
        <v>28.48</v>
      </c>
    </row>
    <row r="4193" spans="1:2" x14ac:dyDescent="0.25">
      <c r="A4193" s="4">
        <v>37785</v>
      </c>
      <c r="B4193" s="6">
        <v>27.39</v>
      </c>
    </row>
    <row r="4194" spans="1:2" x14ac:dyDescent="0.25">
      <c r="A4194" s="4">
        <v>37788</v>
      </c>
      <c r="B4194" s="6">
        <v>27.5</v>
      </c>
    </row>
    <row r="4195" spans="1:2" x14ac:dyDescent="0.25">
      <c r="A4195" s="4">
        <v>37789</v>
      </c>
      <c r="B4195" s="6">
        <v>27.14</v>
      </c>
    </row>
    <row r="4196" spans="1:2" x14ac:dyDescent="0.25">
      <c r="A4196" s="4">
        <v>37790</v>
      </c>
      <c r="B4196" s="6">
        <v>26.43</v>
      </c>
    </row>
    <row r="4197" spans="1:2" x14ac:dyDescent="0.25">
      <c r="A4197" s="4">
        <v>37791</v>
      </c>
      <c r="B4197" s="6">
        <v>26.21</v>
      </c>
    </row>
    <row r="4198" spans="1:2" x14ac:dyDescent="0.25">
      <c r="A4198" s="4">
        <v>37792</v>
      </c>
      <c r="B4198" s="6">
        <v>27.13</v>
      </c>
    </row>
    <row r="4199" spans="1:2" x14ac:dyDescent="0.25">
      <c r="A4199" s="4">
        <v>37795</v>
      </c>
      <c r="B4199" s="6">
        <v>27.13</v>
      </c>
    </row>
    <row r="4200" spans="1:2" x14ac:dyDescent="0.25">
      <c r="A4200" s="4">
        <v>37796</v>
      </c>
      <c r="B4200" s="6">
        <v>26.96</v>
      </c>
    </row>
    <row r="4201" spans="1:2" x14ac:dyDescent="0.25">
      <c r="A4201" s="4">
        <v>37797</v>
      </c>
      <c r="B4201" s="6">
        <v>27.34</v>
      </c>
    </row>
    <row r="4202" spans="1:2" x14ac:dyDescent="0.25">
      <c r="A4202" s="4">
        <v>37798</v>
      </c>
      <c r="B4202" s="6">
        <v>27.06</v>
      </c>
    </row>
    <row r="4203" spans="1:2" x14ac:dyDescent="0.25">
      <c r="A4203" s="4">
        <v>37799</v>
      </c>
      <c r="B4203" s="6">
        <v>27.45</v>
      </c>
    </row>
    <row r="4204" spans="1:2" x14ac:dyDescent="0.25">
      <c r="A4204" s="4">
        <v>37802</v>
      </c>
      <c r="B4204" s="6">
        <v>28.88</v>
      </c>
    </row>
    <row r="4205" spans="1:2" x14ac:dyDescent="0.25">
      <c r="A4205" s="4">
        <v>37803</v>
      </c>
      <c r="B4205" s="6">
        <v>28.33</v>
      </c>
    </row>
    <row r="4206" spans="1:2" x14ac:dyDescent="0.25">
      <c r="A4206" s="4">
        <v>37804</v>
      </c>
      <c r="B4206" s="6">
        <v>28.2</v>
      </c>
    </row>
    <row r="4207" spans="1:2" x14ac:dyDescent="0.25">
      <c r="A4207" s="4">
        <v>37805</v>
      </c>
      <c r="B4207" s="6">
        <v>28.63</v>
      </c>
    </row>
    <row r="4208" spans="1:2" x14ac:dyDescent="0.25">
      <c r="A4208" s="4">
        <v>37806</v>
      </c>
      <c r="B4208" s="6">
        <v>27.97</v>
      </c>
    </row>
    <row r="4209" spans="1:2" x14ac:dyDescent="0.25">
      <c r="A4209" s="4">
        <v>37809</v>
      </c>
      <c r="B4209" s="6">
        <v>27.23</v>
      </c>
    </row>
    <row r="4210" spans="1:2" x14ac:dyDescent="0.25">
      <c r="A4210" s="4">
        <v>37810</v>
      </c>
      <c r="B4210" s="6">
        <v>27.95</v>
      </c>
    </row>
    <row r="4211" spans="1:2" x14ac:dyDescent="0.25">
      <c r="A4211" s="4">
        <v>37811</v>
      </c>
      <c r="B4211" s="6">
        <v>28.21</v>
      </c>
    </row>
    <row r="4212" spans="1:2" x14ac:dyDescent="0.25">
      <c r="A4212" s="4">
        <v>37812</v>
      </c>
      <c r="B4212" s="6">
        <v>29.37</v>
      </c>
    </row>
    <row r="4213" spans="1:2" x14ac:dyDescent="0.25">
      <c r="A4213" s="4">
        <v>37813</v>
      </c>
      <c r="B4213" s="6">
        <v>29.36</v>
      </c>
    </row>
    <row r="4214" spans="1:2" x14ac:dyDescent="0.25">
      <c r="A4214" s="4">
        <v>37816</v>
      </c>
      <c r="B4214" s="6">
        <v>28.52</v>
      </c>
    </row>
    <row r="4215" spans="1:2" x14ac:dyDescent="0.25">
      <c r="A4215" s="4">
        <v>37817</v>
      </c>
      <c r="B4215" s="6">
        <v>28.87</v>
      </c>
    </row>
    <row r="4216" spans="1:2" x14ac:dyDescent="0.25">
      <c r="A4216" s="4">
        <v>37818</v>
      </c>
      <c r="B4216" s="6">
        <v>28.51</v>
      </c>
    </row>
    <row r="4217" spans="1:2" x14ac:dyDescent="0.25">
      <c r="A4217" s="4">
        <v>37819</v>
      </c>
      <c r="B4217" s="6">
        <v>28.59</v>
      </c>
    </row>
    <row r="4218" spans="1:2" x14ac:dyDescent="0.25">
      <c r="A4218" s="4">
        <v>37820</v>
      </c>
      <c r="B4218" s="6">
        <v>29.2</v>
      </c>
    </row>
    <row r="4219" spans="1:2" x14ac:dyDescent="0.25">
      <c r="A4219" s="4">
        <v>37823</v>
      </c>
      <c r="B4219" s="6">
        <v>28.01</v>
      </c>
    </row>
    <row r="4220" spans="1:2" x14ac:dyDescent="0.25">
      <c r="A4220" s="4">
        <v>37824</v>
      </c>
      <c r="B4220" s="6">
        <v>28.4</v>
      </c>
    </row>
    <row r="4221" spans="1:2" x14ac:dyDescent="0.25">
      <c r="A4221" s="4">
        <v>37825</v>
      </c>
      <c r="B4221" s="6">
        <v>27.67</v>
      </c>
    </row>
    <row r="4222" spans="1:2" x14ac:dyDescent="0.25">
      <c r="A4222" s="4">
        <v>37826</v>
      </c>
      <c r="B4222" s="6">
        <v>27.73</v>
      </c>
    </row>
    <row r="4223" spans="1:2" x14ac:dyDescent="0.25">
      <c r="A4223" s="4">
        <v>37827</v>
      </c>
      <c r="B4223" s="6">
        <v>28.3</v>
      </c>
    </row>
    <row r="4224" spans="1:2" x14ac:dyDescent="0.25">
      <c r="A4224" s="4">
        <v>37830</v>
      </c>
      <c r="B4224" s="6">
        <v>27.71</v>
      </c>
    </row>
    <row r="4225" spans="1:2" x14ac:dyDescent="0.25">
      <c r="A4225" s="4">
        <v>37831</v>
      </c>
      <c r="B4225" s="6">
        <v>28.27</v>
      </c>
    </row>
    <row r="4226" spans="1:2" x14ac:dyDescent="0.25">
      <c r="A4226" s="4">
        <v>37832</v>
      </c>
      <c r="B4226" s="6">
        <v>28.31</v>
      </c>
    </row>
    <row r="4227" spans="1:2" x14ac:dyDescent="0.25">
      <c r="A4227" s="4">
        <v>37833</v>
      </c>
      <c r="B4227" s="6">
        <v>28.68</v>
      </c>
    </row>
    <row r="4228" spans="1:2" x14ac:dyDescent="0.25">
      <c r="A4228" s="4">
        <v>37834</v>
      </c>
      <c r="B4228" s="6">
        <v>29.63</v>
      </c>
    </row>
    <row r="4229" spans="1:2" x14ac:dyDescent="0.25">
      <c r="A4229" s="4">
        <v>37837</v>
      </c>
      <c r="B4229" s="6">
        <v>29.91</v>
      </c>
    </row>
    <row r="4230" spans="1:2" x14ac:dyDescent="0.25">
      <c r="A4230" s="4">
        <v>37838</v>
      </c>
      <c r="B4230" s="6">
        <v>30.37</v>
      </c>
    </row>
    <row r="4231" spans="1:2" x14ac:dyDescent="0.25">
      <c r="A4231" s="4">
        <v>37839</v>
      </c>
      <c r="B4231" s="6">
        <v>30.01</v>
      </c>
    </row>
    <row r="4232" spans="1:2" x14ac:dyDescent="0.25">
      <c r="A4232" s="4">
        <v>37840</v>
      </c>
      <c r="B4232" s="6">
        <v>30.06</v>
      </c>
    </row>
    <row r="4233" spans="1:2" x14ac:dyDescent="0.25">
      <c r="A4233" s="4">
        <v>37841</v>
      </c>
      <c r="B4233" s="6">
        <v>30.59</v>
      </c>
    </row>
    <row r="4234" spans="1:2" x14ac:dyDescent="0.25">
      <c r="A4234" s="4">
        <v>37844</v>
      </c>
      <c r="B4234" s="6">
        <v>30.05</v>
      </c>
    </row>
    <row r="4235" spans="1:2" x14ac:dyDescent="0.25">
      <c r="A4235" s="4">
        <v>37845</v>
      </c>
      <c r="B4235" s="6">
        <v>30.13</v>
      </c>
    </row>
    <row r="4236" spans="1:2" x14ac:dyDescent="0.25">
      <c r="A4236" s="4">
        <v>37846</v>
      </c>
      <c r="B4236" s="6">
        <v>29.66</v>
      </c>
    </row>
    <row r="4237" spans="1:2" x14ac:dyDescent="0.25">
      <c r="A4237" s="4">
        <v>37847</v>
      </c>
      <c r="B4237" s="6">
        <v>28.96</v>
      </c>
    </row>
    <row r="4238" spans="1:2" x14ac:dyDescent="0.25">
      <c r="A4238" s="4">
        <v>37848</v>
      </c>
      <c r="B4238" s="6">
        <v>29.18</v>
      </c>
    </row>
    <row r="4239" spans="1:2" x14ac:dyDescent="0.25">
      <c r="A4239" s="4">
        <v>37851</v>
      </c>
      <c r="B4239" s="6">
        <v>29.88</v>
      </c>
    </row>
    <row r="4240" spans="1:2" x14ac:dyDescent="0.25">
      <c r="A4240" s="4">
        <v>37852</v>
      </c>
      <c r="B4240" s="6">
        <v>29.18</v>
      </c>
    </row>
    <row r="4241" spans="1:2" x14ac:dyDescent="0.25">
      <c r="A4241" s="4">
        <v>37853</v>
      </c>
      <c r="B4241" s="6">
        <v>29.28</v>
      </c>
    </row>
    <row r="4242" spans="1:2" x14ac:dyDescent="0.25">
      <c r="A4242" s="4">
        <v>37854</v>
      </c>
      <c r="B4242" s="6">
        <v>29.95</v>
      </c>
    </row>
    <row r="4243" spans="1:2" x14ac:dyDescent="0.25">
      <c r="A4243" s="4">
        <v>37855</v>
      </c>
      <c r="B4243" s="6">
        <v>30.22</v>
      </c>
    </row>
    <row r="4244" spans="1:2" x14ac:dyDescent="0.25">
      <c r="A4244" s="4">
        <v>37858</v>
      </c>
      <c r="B4244" s="6">
        <v>29.98</v>
      </c>
    </row>
    <row r="4245" spans="1:2" x14ac:dyDescent="0.25">
      <c r="A4245" s="4">
        <v>37859</v>
      </c>
      <c r="B4245" s="6">
        <v>30.08</v>
      </c>
    </row>
    <row r="4246" spans="1:2" x14ac:dyDescent="0.25">
      <c r="A4246" s="4">
        <v>37860</v>
      </c>
      <c r="B4246" s="6">
        <v>30.05</v>
      </c>
    </row>
    <row r="4247" spans="1:2" x14ac:dyDescent="0.25">
      <c r="A4247" s="4">
        <v>37861</v>
      </c>
      <c r="B4247" s="6">
        <v>30.1</v>
      </c>
    </row>
    <row r="4248" spans="1:2" x14ac:dyDescent="0.25">
      <c r="A4248" s="4">
        <v>37862</v>
      </c>
      <c r="B4248" s="6">
        <v>30.38</v>
      </c>
    </row>
    <row r="4249" spans="1:2" x14ac:dyDescent="0.25">
      <c r="A4249" s="4">
        <v>37865</v>
      </c>
      <c r="B4249" s="6">
        <v>29.64</v>
      </c>
    </row>
    <row r="4250" spans="1:2" x14ac:dyDescent="0.25">
      <c r="A4250" s="4">
        <v>37866</v>
      </c>
      <c r="B4250" s="6">
        <v>28.08</v>
      </c>
    </row>
    <row r="4251" spans="1:2" x14ac:dyDescent="0.25">
      <c r="A4251" s="4">
        <v>37867</v>
      </c>
      <c r="B4251" s="6">
        <v>27.89</v>
      </c>
    </row>
    <row r="4252" spans="1:2" x14ac:dyDescent="0.25">
      <c r="A4252" s="4">
        <v>37868</v>
      </c>
      <c r="B4252" s="6">
        <v>27.49</v>
      </c>
    </row>
    <row r="4253" spans="1:2" x14ac:dyDescent="0.25">
      <c r="A4253" s="4">
        <v>37869</v>
      </c>
      <c r="B4253" s="6">
        <v>27.72</v>
      </c>
    </row>
    <row r="4254" spans="1:2" x14ac:dyDescent="0.25">
      <c r="A4254" s="4">
        <v>37872</v>
      </c>
      <c r="B4254" s="6">
        <v>28.47</v>
      </c>
    </row>
    <row r="4255" spans="1:2" x14ac:dyDescent="0.25">
      <c r="A4255" s="4">
        <v>37873</v>
      </c>
      <c r="B4255" s="6">
        <v>27.64</v>
      </c>
    </row>
    <row r="4256" spans="1:2" x14ac:dyDescent="0.25">
      <c r="A4256" s="4">
        <v>37874</v>
      </c>
      <c r="B4256" s="6">
        <v>27.76</v>
      </c>
    </row>
    <row r="4257" spans="1:2" x14ac:dyDescent="0.25">
      <c r="A4257" s="4">
        <v>37875</v>
      </c>
      <c r="B4257" s="6">
        <v>27.48</v>
      </c>
    </row>
    <row r="4258" spans="1:2" x14ac:dyDescent="0.25">
      <c r="A4258" s="4">
        <v>37876</v>
      </c>
      <c r="B4258" s="6">
        <v>26.52</v>
      </c>
    </row>
    <row r="4259" spans="1:2" x14ac:dyDescent="0.25">
      <c r="A4259" s="4">
        <v>37879</v>
      </c>
      <c r="B4259" s="6">
        <v>26.38</v>
      </c>
    </row>
    <row r="4260" spans="1:2" x14ac:dyDescent="0.25">
      <c r="A4260" s="4">
        <v>37880</v>
      </c>
      <c r="B4260" s="6">
        <v>26.28</v>
      </c>
    </row>
    <row r="4261" spans="1:2" x14ac:dyDescent="0.25">
      <c r="A4261" s="4">
        <v>37881</v>
      </c>
      <c r="B4261" s="6">
        <v>25.76</v>
      </c>
    </row>
    <row r="4262" spans="1:2" x14ac:dyDescent="0.25">
      <c r="A4262" s="4">
        <v>37882</v>
      </c>
      <c r="B4262" s="6">
        <v>25.56</v>
      </c>
    </row>
    <row r="4263" spans="1:2" x14ac:dyDescent="0.25">
      <c r="A4263" s="4">
        <v>37883</v>
      </c>
      <c r="B4263" s="6">
        <v>25.51</v>
      </c>
    </row>
    <row r="4264" spans="1:2" x14ac:dyDescent="0.25">
      <c r="A4264" s="4">
        <v>37886</v>
      </c>
      <c r="B4264" s="6">
        <v>25.82</v>
      </c>
    </row>
    <row r="4265" spans="1:2" x14ac:dyDescent="0.25">
      <c r="A4265" s="4">
        <v>37887</v>
      </c>
      <c r="B4265" s="6">
        <v>25.74</v>
      </c>
    </row>
    <row r="4266" spans="1:2" x14ac:dyDescent="0.25">
      <c r="A4266" s="4">
        <v>37888</v>
      </c>
      <c r="B4266" s="6">
        <v>26.81</v>
      </c>
    </row>
    <row r="4267" spans="1:2" x14ac:dyDescent="0.25">
      <c r="A4267" s="4">
        <v>37889</v>
      </c>
      <c r="B4267" s="6">
        <v>27.04</v>
      </c>
    </row>
    <row r="4268" spans="1:2" x14ac:dyDescent="0.25">
      <c r="A4268" s="4">
        <v>37890</v>
      </c>
      <c r="B4268" s="6">
        <v>27.02</v>
      </c>
    </row>
    <row r="4269" spans="1:2" x14ac:dyDescent="0.25">
      <c r="A4269" s="4">
        <v>37893</v>
      </c>
      <c r="B4269" s="6">
        <v>27.77</v>
      </c>
    </row>
    <row r="4270" spans="1:2" x14ac:dyDescent="0.25">
      <c r="A4270" s="4">
        <v>37894</v>
      </c>
      <c r="B4270" s="6">
        <v>28.09</v>
      </c>
    </row>
    <row r="4271" spans="1:2" x14ac:dyDescent="0.25">
      <c r="A4271" s="4">
        <v>37895</v>
      </c>
      <c r="B4271" s="6">
        <v>27.98</v>
      </c>
    </row>
    <row r="4272" spans="1:2" x14ac:dyDescent="0.25">
      <c r="A4272" s="4">
        <v>37896</v>
      </c>
      <c r="B4272" s="6">
        <v>28.9</v>
      </c>
    </row>
    <row r="4273" spans="1:2" x14ac:dyDescent="0.25">
      <c r="A4273" s="4">
        <v>37897</v>
      </c>
      <c r="B4273" s="6">
        <v>29.14</v>
      </c>
    </row>
    <row r="4274" spans="1:2" x14ac:dyDescent="0.25">
      <c r="A4274" s="4">
        <v>37900</v>
      </c>
      <c r="B4274" s="6">
        <v>29.75</v>
      </c>
    </row>
    <row r="4275" spans="1:2" x14ac:dyDescent="0.25">
      <c r="A4275" s="4">
        <v>37901</v>
      </c>
      <c r="B4275" s="6">
        <v>29.35</v>
      </c>
    </row>
    <row r="4276" spans="1:2" x14ac:dyDescent="0.25">
      <c r="A4276" s="4">
        <v>37902</v>
      </c>
      <c r="B4276" s="6">
        <v>28.96</v>
      </c>
    </row>
    <row r="4277" spans="1:2" x14ac:dyDescent="0.25">
      <c r="A4277" s="4">
        <v>37903</v>
      </c>
      <c r="B4277" s="6">
        <v>30.21</v>
      </c>
    </row>
    <row r="4278" spans="1:2" x14ac:dyDescent="0.25">
      <c r="A4278" s="4">
        <v>37904</v>
      </c>
      <c r="B4278" s="6">
        <v>31.13</v>
      </c>
    </row>
    <row r="4279" spans="1:2" x14ac:dyDescent="0.25">
      <c r="A4279" s="4">
        <v>37907</v>
      </c>
      <c r="B4279" s="6">
        <v>31</v>
      </c>
    </row>
    <row r="4280" spans="1:2" x14ac:dyDescent="0.25">
      <c r="A4280" s="4">
        <v>37908</v>
      </c>
      <c r="B4280" s="6">
        <v>31.45</v>
      </c>
    </row>
    <row r="4281" spans="1:2" x14ac:dyDescent="0.25">
      <c r="A4281" s="4">
        <v>37909</v>
      </c>
      <c r="B4281" s="6">
        <v>31.23</v>
      </c>
    </row>
    <row r="4282" spans="1:2" x14ac:dyDescent="0.25">
      <c r="A4282" s="4">
        <v>37910</v>
      </c>
      <c r="B4282" s="6">
        <v>31.05</v>
      </c>
    </row>
    <row r="4283" spans="1:2" x14ac:dyDescent="0.25">
      <c r="A4283" s="4">
        <v>37911</v>
      </c>
      <c r="B4283" s="6">
        <v>30.27</v>
      </c>
    </row>
    <row r="4284" spans="1:2" x14ac:dyDescent="0.25">
      <c r="A4284" s="4">
        <v>37914</v>
      </c>
      <c r="B4284" s="6">
        <v>29.78</v>
      </c>
    </row>
    <row r="4285" spans="1:2" x14ac:dyDescent="0.25">
      <c r="A4285" s="4">
        <v>37915</v>
      </c>
      <c r="B4285" s="6">
        <v>29.61</v>
      </c>
    </row>
    <row r="4286" spans="1:2" x14ac:dyDescent="0.25">
      <c r="A4286" s="4">
        <v>37916</v>
      </c>
      <c r="B4286" s="6">
        <v>29.25</v>
      </c>
    </row>
    <row r="4287" spans="1:2" x14ac:dyDescent="0.25">
      <c r="A4287" s="4">
        <v>37917</v>
      </c>
      <c r="B4287" s="6">
        <v>29.63</v>
      </c>
    </row>
    <row r="4288" spans="1:2" x14ac:dyDescent="0.25">
      <c r="A4288" s="4">
        <v>37918</v>
      </c>
      <c r="B4288" s="6">
        <v>30.01</v>
      </c>
    </row>
    <row r="4289" spans="1:2" x14ac:dyDescent="0.25">
      <c r="A4289" s="4">
        <v>37921</v>
      </c>
      <c r="B4289" s="6">
        <v>29.38</v>
      </c>
    </row>
    <row r="4290" spans="1:2" x14ac:dyDescent="0.25">
      <c r="A4290" s="4">
        <v>37922</v>
      </c>
      <c r="B4290" s="6">
        <v>28.99</v>
      </c>
    </row>
    <row r="4291" spans="1:2" x14ac:dyDescent="0.25">
      <c r="A4291" s="4">
        <v>37923</v>
      </c>
      <c r="B4291" s="6">
        <v>28.56</v>
      </c>
    </row>
    <row r="4292" spans="1:2" x14ac:dyDescent="0.25">
      <c r="A4292" s="4">
        <v>37924</v>
      </c>
      <c r="B4292" s="6">
        <v>27.47</v>
      </c>
    </row>
    <row r="4293" spans="1:2" x14ac:dyDescent="0.25">
      <c r="A4293" s="4">
        <v>37925</v>
      </c>
      <c r="B4293" s="6">
        <v>27.88</v>
      </c>
    </row>
    <row r="4294" spans="1:2" x14ac:dyDescent="0.25">
      <c r="A4294" s="4">
        <v>37928</v>
      </c>
      <c r="B4294" s="6">
        <v>27.78</v>
      </c>
    </row>
    <row r="4295" spans="1:2" x14ac:dyDescent="0.25">
      <c r="A4295" s="4">
        <v>37929</v>
      </c>
      <c r="B4295" s="6">
        <v>27.32</v>
      </c>
    </row>
    <row r="4296" spans="1:2" x14ac:dyDescent="0.25">
      <c r="A4296" s="4">
        <v>37930</v>
      </c>
      <c r="B4296" s="6">
        <v>27.9</v>
      </c>
    </row>
    <row r="4297" spans="1:2" x14ac:dyDescent="0.25">
      <c r="A4297" s="4">
        <v>37931</v>
      </c>
      <c r="B4297" s="6">
        <v>28.52</v>
      </c>
    </row>
    <row r="4298" spans="1:2" x14ac:dyDescent="0.25">
      <c r="A4298" s="4">
        <v>37932</v>
      </c>
      <c r="B4298" s="6">
        <v>28.73</v>
      </c>
    </row>
    <row r="4299" spans="1:2" x14ac:dyDescent="0.25">
      <c r="A4299" s="4">
        <v>37935</v>
      </c>
      <c r="B4299" s="6">
        <v>28.82</v>
      </c>
    </row>
    <row r="4300" spans="1:2" x14ac:dyDescent="0.25">
      <c r="A4300" s="4">
        <v>37936</v>
      </c>
      <c r="B4300" s="6">
        <v>28.88</v>
      </c>
    </row>
    <row r="4301" spans="1:2" x14ac:dyDescent="0.25">
      <c r="A4301" s="4">
        <v>37937</v>
      </c>
      <c r="B4301" s="6">
        <v>28.58</v>
      </c>
    </row>
    <row r="4302" spans="1:2" x14ac:dyDescent="0.25">
      <c r="A4302" s="4">
        <v>37938</v>
      </c>
      <c r="B4302" s="6">
        <v>29.01</v>
      </c>
    </row>
    <row r="4303" spans="1:2" x14ac:dyDescent="0.25">
      <c r="A4303" s="4">
        <v>37939</v>
      </c>
      <c r="B4303" s="6">
        <v>29.78</v>
      </c>
    </row>
    <row r="4304" spans="1:2" x14ac:dyDescent="0.25">
      <c r="A4304" s="4">
        <v>37942</v>
      </c>
      <c r="B4304" s="6">
        <v>28.98</v>
      </c>
    </row>
    <row r="4305" spans="1:2" x14ac:dyDescent="0.25">
      <c r="A4305" s="4">
        <v>37943</v>
      </c>
      <c r="B4305" s="6">
        <v>29.26</v>
      </c>
    </row>
    <row r="4306" spans="1:2" x14ac:dyDescent="0.25">
      <c r="A4306" s="4">
        <v>37944</v>
      </c>
      <c r="B4306" s="6">
        <v>30.13</v>
      </c>
    </row>
    <row r="4307" spans="1:2" x14ac:dyDescent="0.25">
      <c r="A4307" s="4">
        <v>37945</v>
      </c>
      <c r="B4307" s="6">
        <v>29.88</v>
      </c>
    </row>
    <row r="4308" spans="1:2" x14ac:dyDescent="0.25">
      <c r="A4308" s="4">
        <v>37946</v>
      </c>
      <c r="B4308" s="6">
        <v>29.79</v>
      </c>
    </row>
    <row r="4309" spans="1:2" x14ac:dyDescent="0.25">
      <c r="A4309" s="4">
        <v>37949</v>
      </c>
      <c r="B4309" s="6">
        <v>27.99</v>
      </c>
    </row>
    <row r="4310" spans="1:2" x14ac:dyDescent="0.25">
      <c r="A4310" s="4">
        <v>37950</v>
      </c>
      <c r="B4310" s="6">
        <v>27.62</v>
      </c>
    </row>
    <row r="4311" spans="1:2" x14ac:dyDescent="0.25">
      <c r="A4311" s="4">
        <v>37951</v>
      </c>
      <c r="B4311" s="6">
        <v>28.23</v>
      </c>
    </row>
    <row r="4312" spans="1:2" x14ac:dyDescent="0.25">
      <c r="A4312" s="4">
        <v>37952</v>
      </c>
      <c r="B4312" s="6">
        <v>28.9</v>
      </c>
    </row>
    <row r="4313" spans="1:2" x14ac:dyDescent="0.25">
      <c r="A4313" s="4">
        <v>37953</v>
      </c>
      <c r="B4313" s="6">
        <v>28.95</v>
      </c>
    </row>
    <row r="4314" spans="1:2" x14ac:dyDescent="0.25">
      <c r="A4314" s="4">
        <v>37956</v>
      </c>
      <c r="B4314" s="6">
        <v>28.17</v>
      </c>
    </row>
    <row r="4315" spans="1:2" x14ac:dyDescent="0.25">
      <c r="A4315" s="4">
        <v>37957</v>
      </c>
      <c r="B4315" s="6">
        <v>29.1</v>
      </c>
    </row>
    <row r="4316" spans="1:2" x14ac:dyDescent="0.25">
      <c r="A4316" s="4">
        <v>37958</v>
      </c>
      <c r="B4316" s="6">
        <v>29.26</v>
      </c>
    </row>
    <row r="4317" spans="1:2" x14ac:dyDescent="0.25">
      <c r="A4317" s="4">
        <v>37959</v>
      </c>
      <c r="B4317" s="6">
        <v>29.25</v>
      </c>
    </row>
    <row r="4318" spans="1:2" x14ac:dyDescent="0.25">
      <c r="A4318" s="4">
        <v>37960</v>
      </c>
      <c r="B4318" s="6">
        <v>28.87</v>
      </c>
    </row>
    <row r="4319" spans="1:2" x14ac:dyDescent="0.25">
      <c r="A4319" s="4">
        <v>37963</v>
      </c>
      <c r="B4319" s="6">
        <v>30.52</v>
      </c>
    </row>
    <row r="4320" spans="1:2" x14ac:dyDescent="0.25">
      <c r="A4320" s="4">
        <v>37964</v>
      </c>
      <c r="B4320" s="6">
        <v>30.27</v>
      </c>
    </row>
    <row r="4321" spans="1:2" x14ac:dyDescent="0.25">
      <c r="A4321" s="4">
        <v>37965</v>
      </c>
      <c r="B4321" s="6">
        <v>30.02</v>
      </c>
    </row>
    <row r="4322" spans="1:2" x14ac:dyDescent="0.25">
      <c r="A4322" s="4">
        <v>37966</v>
      </c>
      <c r="B4322" s="6">
        <v>29.79</v>
      </c>
    </row>
    <row r="4323" spans="1:2" x14ac:dyDescent="0.25">
      <c r="A4323" s="4">
        <v>37967</v>
      </c>
      <c r="B4323" s="6">
        <v>30.24</v>
      </c>
    </row>
    <row r="4324" spans="1:2" x14ac:dyDescent="0.25">
      <c r="A4324" s="4">
        <v>37970</v>
      </c>
      <c r="B4324" s="6">
        <v>30.89</v>
      </c>
    </row>
    <row r="4325" spans="1:2" x14ac:dyDescent="0.25">
      <c r="A4325" s="4">
        <v>37971</v>
      </c>
      <c r="B4325" s="6">
        <v>30.64</v>
      </c>
    </row>
    <row r="4326" spans="1:2" x14ac:dyDescent="0.25">
      <c r="A4326" s="4">
        <v>37972</v>
      </c>
      <c r="B4326" s="6">
        <v>31.01</v>
      </c>
    </row>
    <row r="4327" spans="1:2" x14ac:dyDescent="0.25">
      <c r="A4327" s="4">
        <v>37973</v>
      </c>
      <c r="B4327" s="6">
        <v>30.79</v>
      </c>
    </row>
    <row r="4328" spans="1:2" x14ac:dyDescent="0.25">
      <c r="A4328" s="4">
        <v>37974</v>
      </c>
      <c r="B4328" s="6">
        <v>31.03</v>
      </c>
    </row>
    <row r="4329" spans="1:2" x14ac:dyDescent="0.25">
      <c r="A4329" s="4">
        <v>37977</v>
      </c>
      <c r="B4329" s="6">
        <v>28.78</v>
      </c>
    </row>
    <row r="4330" spans="1:2" x14ac:dyDescent="0.25">
      <c r="A4330" s="4">
        <v>37978</v>
      </c>
      <c r="B4330" s="6">
        <v>28.3</v>
      </c>
    </row>
    <row r="4331" spans="1:2" x14ac:dyDescent="0.25">
      <c r="A4331" s="4">
        <v>37979</v>
      </c>
      <c r="B4331" s="6">
        <v>29.45</v>
      </c>
    </row>
    <row r="4332" spans="1:2" x14ac:dyDescent="0.25">
      <c r="A4332" s="4">
        <v>37980</v>
      </c>
      <c r="B4332" s="5"/>
    </row>
    <row r="4333" spans="1:2" x14ac:dyDescent="0.25">
      <c r="A4333" s="4">
        <v>37981</v>
      </c>
      <c r="B4333" s="5"/>
    </row>
    <row r="4334" spans="1:2" x14ac:dyDescent="0.25">
      <c r="A4334" s="4">
        <v>37984</v>
      </c>
      <c r="B4334" s="6">
        <v>29.17</v>
      </c>
    </row>
    <row r="4335" spans="1:2" x14ac:dyDescent="0.25">
      <c r="A4335" s="4">
        <v>37985</v>
      </c>
      <c r="B4335" s="6">
        <v>30.1</v>
      </c>
    </row>
    <row r="4336" spans="1:2" x14ac:dyDescent="0.25">
      <c r="A4336" s="4">
        <v>37986</v>
      </c>
      <c r="B4336" s="6">
        <v>30.3</v>
      </c>
    </row>
    <row r="4337" spans="1:2" x14ac:dyDescent="0.25">
      <c r="A4337" s="4">
        <v>37987</v>
      </c>
      <c r="B4337" s="5"/>
    </row>
    <row r="4338" spans="1:2" x14ac:dyDescent="0.25">
      <c r="A4338" s="4">
        <v>37988</v>
      </c>
      <c r="B4338" s="6">
        <v>29.55</v>
      </c>
    </row>
    <row r="4339" spans="1:2" x14ac:dyDescent="0.25">
      <c r="A4339" s="4">
        <v>37991</v>
      </c>
      <c r="B4339" s="6">
        <v>32.299999999999997</v>
      </c>
    </row>
    <row r="4340" spans="1:2" x14ac:dyDescent="0.25">
      <c r="A4340" s="4">
        <v>37992</v>
      </c>
      <c r="B4340" s="6">
        <v>31.2</v>
      </c>
    </row>
    <row r="4341" spans="1:2" x14ac:dyDescent="0.25">
      <c r="A4341" s="4">
        <v>37993</v>
      </c>
      <c r="B4341" s="6">
        <v>30.99</v>
      </c>
    </row>
    <row r="4342" spans="1:2" x14ac:dyDescent="0.25">
      <c r="A4342" s="4">
        <v>37994</v>
      </c>
      <c r="B4342" s="6">
        <v>31.11</v>
      </c>
    </row>
    <row r="4343" spans="1:2" x14ac:dyDescent="0.25">
      <c r="A4343" s="4">
        <v>37995</v>
      </c>
      <c r="B4343" s="6">
        <v>31.91</v>
      </c>
    </row>
    <row r="4344" spans="1:2" x14ac:dyDescent="0.25">
      <c r="A4344" s="4">
        <v>37998</v>
      </c>
      <c r="B4344" s="6">
        <v>31.41</v>
      </c>
    </row>
    <row r="4345" spans="1:2" x14ac:dyDescent="0.25">
      <c r="A4345" s="4">
        <v>37999</v>
      </c>
      <c r="B4345" s="6">
        <v>32.549999999999997</v>
      </c>
    </row>
    <row r="4346" spans="1:2" x14ac:dyDescent="0.25">
      <c r="A4346" s="4">
        <v>38000</v>
      </c>
      <c r="B4346" s="6">
        <v>31.84</v>
      </c>
    </row>
    <row r="4347" spans="1:2" x14ac:dyDescent="0.25">
      <c r="A4347" s="4">
        <v>38001</v>
      </c>
      <c r="B4347" s="6">
        <v>31.43</v>
      </c>
    </row>
    <row r="4348" spans="1:2" x14ac:dyDescent="0.25">
      <c r="A4348" s="4">
        <v>38002</v>
      </c>
      <c r="B4348" s="6">
        <v>31.26</v>
      </c>
    </row>
    <row r="4349" spans="1:2" x14ac:dyDescent="0.25">
      <c r="A4349" s="4">
        <v>38005</v>
      </c>
      <c r="B4349" s="6">
        <v>31.67</v>
      </c>
    </row>
    <row r="4350" spans="1:2" x14ac:dyDescent="0.25">
      <c r="A4350" s="4">
        <v>38006</v>
      </c>
      <c r="B4350" s="6">
        <v>32.26</v>
      </c>
    </row>
    <row r="4351" spans="1:2" x14ac:dyDescent="0.25">
      <c r="A4351" s="4">
        <v>38007</v>
      </c>
      <c r="B4351" s="6">
        <v>31.95</v>
      </c>
    </row>
    <row r="4352" spans="1:2" x14ac:dyDescent="0.25">
      <c r="A4352" s="4">
        <v>38008</v>
      </c>
      <c r="B4352" s="6">
        <v>31.42</v>
      </c>
    </row>
    <row r="4353" spans="1:2" x14ac:dyDescent="0.25">
      <c r="A4353" s="4">
        <v>38009</v>
      </c>
      <c r="B4353" s="6">
        <v>32.08</v>
      </c>
    </row>
    <row r="4354" spans="1:2" x14ac:dyDescent="0.25">
      <c r="A4354" s="4">
        <v>38012</v>
      </c>
      <c r="B4354" s="6">
        <v>31.15</v>
      </c>
    </row>
    <row r="4355" spans="1:2" x14ac:dyDescent="0.25">
      <c r="A4355" s="4">
        <v>38013</v>
      </c>
      <c r="B4355" s="6">
        <v>31.05</v>
      </c>
    </row>
    <row r="4356" spans="1:2" x14ac:dyDescent="0.25">
      <c r="A4356" s="4">
        <v>38014</v>
      </c>
      <c r="B4356" s="6">
        <v>30.77</v>
      </c>
    </row>
    <row r="4357" spans="1:2" x14ac:dyDescent="0.25">
      <c r="A4357" s="4">
        <v>38015</v>
      </c>
      <c r="B4357" s="6">
        <v>29.47</v>
      </c>
    </row>
    <row r="4358" spans="1:2" x14ac:dyDescent="0.25">
      <c r="A4358" s="4">
        <v>38016</v>
      </c>
      <c r="B4358" s="6">
        <v>29.53</v>
      </c>
    </row>
    <row r="4359" spans="1:2" x14ac:dyDescent="0.25">
      <c r="A4359" s="4">
        <v>38019</v>
      </c>
      <c r="B4359" s="6">
        <v>30.3</v>
      </c>
    </row>
    <row r="4360" spans="1:2" x14ac:dyDescent="0.25">
      <c r="A4360" s="4">
        <v>38020</v>
      </c>
      <c r="B4360" s="6">
        <v>30.07</v>
      </c>
    </row>
    <row r="4361" spans="1:2" x14ac:dyDescent="0.25">
      <c r="A4361" s="4">
        <v>38021</v>
      </c>
      <c r="B4361" s="6">
        <v>29.63</v>
      </c>
    </row>
    <row r="4362" spans="1:2" x14ac:dyDescent="0.25">
      <c r="A4362" s="4">
        <v>38022</v>
      </c>
      <c r="B4362" s="6">
        <v>29.02</v>
      </c>
    </row>
    <row r="4363" spans="1:2" x14ac:dyDescent="0.25">
      <c r="A4363" s="4">
        <v>38023</v>
      </c>
      <c r="B4363" s="6">
        <v>29.26</v>
      </c>
    </row>
    <row r="4364" spans="1:2" x14ac:dyDescent="0.25">
      <c r="A4364" s="4">
        <v>38026</v>
      </c>
      <c r="B4364" s="6">
        <v>29.1</v>
      </c>
    </row>
    <row r="4365" spans="1:2" x14ac:dyDescent="0.25">
      <c r="A4365" s="4">
        <v>38027</v>
      </c>
      <c r="B4365" s="6">
        <v>30.06</v>
      </c>
    </row>
    <row r="4366" spans="1:2" x14ac:dyDescent="0.25">
      <c r="A4366" s="4">
        <v>38028</v>
      </c>
      <c r="B4366" s="6">
        <v>30.33</v>
      </c>
    </row>
    <row r="4367" spans="1:2" x14ac:dyDescent="0.25">
      <c r="A4367" s="4">
        <v>38029</v>
      </c>
      <c r="B4367" s="6">
        <v>30.17</v>
      </c>
    </row>
    <row r="4368" spans="1:2" x14ac:dyDescent="0.25">
      <c r="A4368" s="4">
        <v>38030</v>
      </c>
      <c r="B4368" s="6">
        <v>30.96</v>
      </c>
    </row>
    <row r="4369" spans="1:2" x14ac:dyDescent="0.25">
      <c r="A4369" s="4">
        <v>38033</v>
      </c>
      <c r="B4369" s="6">
        <v>31.08</v>
      </c>
    </row>
    <row r="4370" spans="1:2" x14ac:dyDescent="0.25">
      <c r="A4370" s="4">
        <v>38034</v>
      </c>
      <c r="B4370" s="6">
        <v>31.43</v>
      </c>
    </row>
    <row r="4371" spans="1:2" x14ac:dyDescent="0.25">
      <c r="A4371" s="4">
        <v>38035</v>
      </c>
      <c r="B4371" s="6">
        <v>31.57</v>
      </c>
    </row>
    <row r="4372" spans="1:2" x14ac:dyDescent="0.25">
      <c r="A4372" s="4">
        <v>38036</v>
      </c>
      <c r="B4372" s="6">
        <v>31.63</v>
      </c>
    </row>
    <row r="4373" spans="1:2" x14ac:dyDescent="0.25">
      <c r="A4373" s="4">
        <v>38037</v>
      </c>
      <c r="B4373" s="6">
        <v>31.22</v>
      </c>
    </row>
    <row r="4374" spans="1:2" x14ac:dyDescent="0.25">
      <c r="A4374" s="4">
        <v>38040</v>
      </c>
      <c r="B4374" s="6">
        <v>31.89</v>
      </c>
    </row>
    <row r="4375" spans="1:2" x14ac:dyDescent="0.25">
      <c r="A4375" s="4">
        <v>38041</v>
      </c>
      <c r="B4375" s="6">
        <v>31.6</v>
      </c>
    </row>
    <row r="4376" spans="1:2" x14ac:dyDescent="0.25">
      <c r="A4376" s="4">
        <v>38042</v>
      </c>
      <c r="B4376" s="6">
        <v>32.46</v>
      </c>
    </row>
    <row r="4377" spans="1:2" x14ac:dyDescent="0.25">
      <c r="A4377" s="4">
        <v>38043</v>
      </c>
      <c r="B4377" s="6">
        <v>32.450000000000003</v>
      </c>
    </row>
    <row r="4378" spans="1:2" x14ac:dyDescent="0.25">
      <c r="A4378" s="4">
        <v>38044</v>
      </c>
      <c r="B4378" s="6">
        <v>32.94</v>
      </c>
    </row>
    <row r="4379" spans="1:2" x14ac:dyDescent="0.25">
      <c r="A4379" s="4">
        <v>38047</v>
      </c>
      <c r="B4379" s="6">
        <v>33.340000000000003</v>
      </c>
    </row>
    <row r="4380" spans="1:2" x14ac:dyDescent="0.25">
      <c r="A4380" s="4">
        <v>38048</v>
      </c>
      <c r="B4380" s="6">
        <v>34.15</v>
      </c>
    </row>
    <row r="4381" spans="1:2" x14ac:dyDescent="0.25">
      <c r="A4381" s="4">
        <v>38049</v>
      </c>
      <c r="B4381" s="6">
        <v>33.32</v>
      </c>
    </row>
    <row r="4382" spans="1:2" x14ac:dyDescent="0.25">
      <c r="A4382" s="4">
        <v>38050</v>
      </c>
      <c r="B4382" s="6">
        <v>33.450000000000003</v>
      </c>
    </row>
    <row r="4383" spans="1:2" x14ac:dyDescent="0.25">
      <c r="A4383" s="4">
        <v>38051</v>
      </c>
      <c r="B4383" s="6">
        <v>34.4</v>
      </c>
    </row>
    <row r="4384" spans="1:2" x14ac:dyDescent="0.25">
      <c r="A4384" s="4">
        <v>38054</v>
      </c>
      <c r="B4384" s="6">
        <v>34.270000000000003</v>
      </c>
    </row>
    <row r="4385" spans="1:2" x14ac:dyDescent="0.25">
      <c r="A4385" s="4">
        <v>38055</v>
      </c>
      <c r="B4385" s="6">
        <v>33.72</v>
      </c>
    </row>
    <row r="4386" spans="1:2" x14ac:dyDescent="0.25">
      <c r="A4386" s="4">
        <v>38056</v>
      </c>
      <c r="B4386" s="6">
        <v>32.83</v>
      </c>
    </row>
    <row r="4387" spans="1:2" x14ac:dyDescent="0.25">
      <c r="A4387" s="4">
        <v>38057</v>
      </c>
      <c r="B4387" s="6">
        <v>33.22</v>
      </c>
    </row>
    <row r="4388" spans="1:2" x14ac:dyDescent="0.25">
      <c r="A4388" s="4">
        <v>38058</v>
      </c>
      <c r="B4388" s="6">
        <v>32.76</v>
      </c>
    </row>
    <row r="4389" spans="1:2" x14ac:dyDescent="0.25">
      <c r="A4389" s="4">
        <v>38061</v>
      </c>
      <c r="B4389" s="6">
        <v>34.39</v>
      </c>
    </row>
    <row r="4390" spans="1:2" x14ac:dyDescent="0.25">
      <c r="A4390" s="4">
        <v>38062</v>
      </c>
      <c r="B4390" s="6">
        <v>34.72</v>
      </c>
    </row>
    <row r="4391" spans="1:2" x14ac:dyDescent="0.25">
      <c r="A4391" s="4">
        <v>38063</v>
      </c>
      <c r="B4391" s="6">
        <v>34.950000000000003</v>
      </c>
    </row>
    <row r="4392" spans="1:2" x14ac:dyDescent="0.25">
      <c r="A4392" s="4">
        <v>38064</v>
      </c>
      <c r="B4392" s="6">
        <v>34.43</v>
      </c>
    </row>
    <row r="4393" spans="1:2" x14ac:dyDescent="0.25">
      <c r="A4393" s="4">
        <v>38065</v>
      </c>
      <c r="B4393" s="6">
        <v>34.33</v>
      </c>
    </row>
    <row r="4394" spans="1:2" x14ac:dyDescent="0.25">
      <c r="A4394" s="4">
        <v>38068</v>
      </c>
      <c r="B4394" s="6">
        <v>33.57</v>
      </c>
    </row>
    <row r="4395" spans="1:2" x14ac:dyDescent="0.25">
      <c r="A4395" s="4">
        <v>38069</v>
      </c>
      <c r="B4395" s="6">
        <v>34.4</v>
      </c>
    </row>
    <row r="4396" spans="1:2" x14ac:dyDescent="0.25">
      <c r="A4396" s="4">
        <v>38070</v>
      </c>
      <c r="B4396" s="6">
        <v>34.14</v>
      </c>
    </row>
    <row r="4397" spans="1:2" x14ac:dyDescent="0.25">
      <c r="A4397" s="4">
        <v>38071</v>
      </c>
      <c r="B4397" s="6">
        <v>33.32</v>
      </c>
    </row>
    <row r="4398" spans="1:2" x14ac:dyDescent="0.25">
      <c r="A4398" s="4">
        <v>38072</v>
      </c>
      <c r="B4398" s="6">
        <v>32.51</v>
      </c>
    </row>
    <row r="4399" spans="1:2" x14ac:dyDescent="0.25">
      <c r="A4399" s="4">
        <v>38075</v>
      </c>
      <c r="B4399" s="6">
        <v>32.04</v>
      </c>
    </row>
    <row r="4400" spans="1:2" x14ac:dyDescent="0.25">
      <c r="A4400" s="4">
        <v>38076</v>
      </c>
      <c r="B4400" s="6">
        <v>33.04</v>
      </c>
    </row>
    <row r="4401" spans="1:2" x14ac:dyDescent="0.25">
      <c r="A4401" s="4">
        <v>38077</v>
      </c>
      <c r="B4401" s="6">
        <v>32.29</v>
      </c>
    </row>
    <row r="4402" spans="1:2" x14ac:dyDescent="0.25">
      <c r="A4402" s="4">
        <v>38078</v>
      </c>
      <c r="B4402" s="6">
        <v>32.590000000000003</v>
      </c>
    </row>
    <row r="4403" spans="1:2" x14ac:dyDescent="0.25">
      <c r="A4403" s="4">
        <v>38079</v>
      </c>
      <c r="B4403" s="6">
        <v>31.19</v>
      </c>
    </row>
    <row r="4404" spans="1:2" x14ac:dyDescent="0.25">
      <c r="A4404" s="4">
        <v>38082</v>
      </c>
      <c r="B4404" s="6">
        <v>31.17</v>
      </c>
    </row>
    <row r="4405" spans="1:2" x14ac:dyDescent="0.25">
      <c r="A4405" s="4">
        <v>38083</v>
      </c>
      <c r="B4405" s="6">
        <v>31.48</v>
      </c>
    </row>
    <row r="4406" spans="1:2" x14ac:dyDescent="0.25">
      <c r="A4406" s="4">
        <v>38084</v>
      </c>
      <c r="B4406" s="6">
        <v>33.07</v>
      </c>
    </row>
    <row r="4407" spans="1:2" x14ac:dyDescent="0.25">
      <c r="A4407" s="4">
        <v>38085</v>
      </c>
      <c r="B4407" s="6">
        <v>33.979999999999997</v>
      </c>
    </row>
    <row r="4408" spans="1:2" x14ac:dyDescent="0.25">
      <c r="A4408" s="4">
        <v>38086</v>
      </c>
      <c r="B4408" s="6">
        <v>34.03</v>
      </c>
    </row>
    <row r="4409" spans="1:2" x14ac:dyDescent="0.25">
      <c r="A4409" s="4">
        <v>38089</v>
      </c>
      <c r="B4409" s="6">
        <v>34.51</v>
      </c>
    </row>
    <row r="4410" spans="1:2" x14ac:dyDescent="0.25">
      <c r="A4410" s="4">
        <v>38090</v>
      </c>
      <c r="B4410" s="6">
        <v>34.15</v>
      </c>
    </row>
    <row r="4411" spans="1:2" x14ac:dyDescent="0.25">
      <c r="A4411" s="4">
        <v>38091</v>
      </c>
      <c r="B4411" s="6">
        <v>33.54</v>
      </c>
    </row>
    <row r="4412" spans="1:2" x14ac:dyDescent="0.25">
      <c r="A4412" s="4">
        <v>38092</v>
      </c>
      <c r="B4412" s="6">
        <v>33.72</v>
      </c>
    </row>
    <row r="4413" spans="1:2" x14ac:dyDescent="0.25">
      <c r="A4413" s="4">
        <v>38093</v>
      </c>
      <c r="B4413" s="6">
        <v>33.85</v>
      </c>
    </row>
    <row r="4414" spans="1:2" x14ac:dyDescent="0.25">
      <c r="A4414" s="4">
        <v>38096</v>
      </c>
      <c r="B4414" s="6">
        <v>34.71</v>
      </c>
    </row>
    <row r="4415" spans="1:2" x14ac:dyDescent="0.25">
      <c r="A4415" s="4">
        <v>38097</v>
      </c>
      <c r="B4415" s="6">
        <v>33.56</v>
      </c>
    </row>
    <row r="4416" spans="1:2" x14ac:dyDescent="0.25">
      <c r="A4416" s="4">
        <v>38098</v>
      </c>
      <c r="B4416" s="6">
        <v>33.229999999999997</v>
      </c>
    </row>
    <row r="4417" spans="1:2" x14ac:dyDescent="0.25">
      <c r="A4417" s="4">
        <v>38099</v>
      </c>
      <c r="B4417" s="6">
        <v>33.24</v>
      </c>
    </row>
    <row r="4418" spans="1:2" x14ac:dyDescent="0.25">
      <c r="A4418" s="4">
        <v>38100</v>
      </c>
      <c r="B4418" s="6">
        <v>33.78</v>
      </c>
    </row>
    <row r="4419" spans="1:2" x14ac:dyDescent="0.25">
      <c r="A4419" s="4">
        <v>38103</v>
      </c>
      <c r="B4419" s="6">
        <v>34.18</v>
      </c>
    </row>
    <row r="4420" spans="1:2" x14ac:dyDescent="0.25">
      <c r="A4420" s="4">
        <v>38104</v>
      </c>
      <c r="B4420" s="6">
        <v>34.11</v>
      </c>
    </row>
    <row r="4421" spans="1:2" x14ac:dyDescent="0.25">
      <c r="A4421" s="4">
        <v>38105</v>
      </c>
      <c r="B4421" s="6">
        <v>35.020000000000003</v>
      </c>
    </row>
    <row r="4422" spans="1:2" x14ac:dyDescent="0.25">
      <c r="A4422" s="4">
        <v>38106</v>
      </c>
      <c r="B4422" s="6">
        <v>34.659999999999997</v>
      </c>
    </row>
    <row r="4423" spans="1:2" x14ac:dyDescent="0.25">
      <c r="A4423" s="4">
        <v>38107</v>
      </c>
      <c r="B4423" s="6">
        <v>35.229999999999997</v>
      </c>
    </row>
    <row r="4424" spans="1:2" x14ac:dyDescent="0.25">
      <c r="A4424" s="4">
        <v>38110</v>
      </c>
      <c r="B4424" s="6">
        <v>34.97</v>
      </c>
    </row>
    <row r="4425" spans="1:2" x14ac:dyDescent="0.25">
      <c r="A4425" s="4">
        <v>38111</v>
      </c>
      <c r="B4425" s="6">
        <v>36.07</v>
      </c>
    </row>
    <row r="4426" spans="1:2" x14ac:dyDescent="0.25">
      <c r="A4426" s="4">
        <v>38112</v>
      </c>
      <c r="B4426" s="6">
        <v>36.58</v>
      </c>
    </row>
    <row r="4427" spans="1:2" x14ac:dyDescent="0.25">
      <c r="A4427" s="4">
        <v>38113</v>
      </c>
      <c r="B4427" s="6">
        <v>37.049999999999997</v>
      </c>
    </row>
    <row r="4428" spans="1:2" x14ac:dyDescent="0.25">
      <c r="A4428" s="4">
        <v>38114</v>
      </c>
      <c r="B4428" s="6">
        <v>37.25</v>
      </c>
    </row>
    <row r="4429" spans="1:2" x14ac:dyDescent="0.25">
      <c r="A4429" s="4">
        <v>38117</v>
      </c>
      <c r="B4429" s="6">
        <v>35.83</v>
      </c>
    </row>
    <row r="4430" spans="1:2" x14ac:dyDescent="0.25">
      <c r="A4430" s="4">
        <v>38118</v>
      </c>
      <c r="B4430" s="6">
        <v>36.97</v>
      </c>
    </row>
    <row r="4431" spans="1:2" x14ac:dyDescent="0.25">
      <c r="A4431" s="4">
        <v>38119</v>
      </c>
      <c r="B4431" s="6">
        <v>37.950000000000003</v>
      </c>
    </row>
    <row r="4432" spans="1:2" x14ac:dyDescent="0.25">
      <c r="A4432" s="4">
        <v>38120</v>
      </c>
      <c r="B4432" s="6">
        <v>38.299999999999997</v>
      </c>
    </row>
    <row r="4433" spans="1:2" x14ac:dyDescent="0.25">
      <c r="A4433" s="4">
        <v>38121</v>
      </c>
      <c r="B4433" s="6">
        <v>39.04</v>
      </c>
    </row>
    <row r="4434" spans="1:2" x14ac:dyDescent="0.25">
      <c r="A4434" s="4">
        <v>38124</v>
      </c>
      <c r="B4434" s="6">
        <v>38.880000000000003</v>
      </c>
    </row>
    <row r="4435" spans="1:2" x14ac:dyDescent="0.25">
      <c r="A4435" s="4">
        <v>38125</v>
      </c>
      <c r="B4435" s="6">
        <v>38.43</v>
      </c>
    </row>
    <row r="4436" spans="1:2" x14ac:dyDescent="0.25">
      <c r="A4436" s="4">
        <v>38126</v>
      </c>
      <c r="B4436" s="6">
        <v>38.35</v>
      </c>
    </row>
    <row r="4437" spans="1:2" x14ac:dyDescent="0.25">
      <c r="A4437" s="4">
        <v>38127</v>
      </c>
      <c r="B4437" s="6">
        <v>38.89</v>
      </c>
    </row>
    <row r="4438" spans="1:2" x14ac:dyDescent="0.25">
      <c r="A4438" s="4">
        <v>38128</v>
      </c>
      <c r="B4438" s="6">
        <v>37.6</v>
      </c>
    </row>
    <row r="4439" spans="1:2" x14ac:dyDescent="0.25">
      <c r="A4439" s="4">
        <v>38131</v>
      </c>
      <c r="B4439" s="6">
        <v>39.22</v>
      </c>
    </row>
    <row r="4440" spans="1:2" x14ac:dyDescent="0.25">
      <c r="A4440" s="4">
        <v>38132</v>
      </c>
      <c r="B4440" s="6">
        <v>38.46</v>
      </c>
    </row>
    <row r="4441" spans="1:2" x14ac:dyDescent="0.25">
      <c r="A4441" s="4">
        <v>38133</v>
      </c>
      <c r="B4441" s="6">
        <v>38.049999999999997</v>
      </c>
    </row>
    <row r="4442" spans="1:2" x14ac:dyDescent="0.25">
      <c r="A4442" s="4">
        <v>38134</v>
      </c>
      <c r="B4442" s="6">
        <v>37.03</v>
      </c>
    </row>
    <row r="4443" spans="1:2" x14ac:dyDescent="0.25">
      <c r="A4443" s="4">
        <v>38135</v>
      </c>
      <c r="B4443" s="6">
        <v>37</v>
      </c>
    </row>
    <row r="4444" spans="1:2" x14ac:dyDescent="0.25">
      <c r="A4444" s="4">
        <v>38138</v>
      </c>
      <c r="B4444" s="6">
        <v>37</v>
      </c>
    </row>
    <row r="4445" spans="1:2" x14ac:dyDescent="0.25">
      <c r="A4445" s="4">
        <v>38139</v>
      </c>
      <c r="B4445" s="6">
        <v>39.049999999999997</v>
      </c>
    </row>
    <row r="4446" spans="1:2" x14ac:dyDescent="0.25">
      <c r="A4446" s="4">
        <v>38140</v>
      </c>
      <c r="B4446" s="6">
        <v>37.99</v>
      </c>
    </row>
    <row r="4447" spans="1:2" x14ac:dyDescent="0.25">
      <c r="A4447" s="4">
        <v>38141</v>
      </c>
      <c r="B4447" s="6">
        <v>36.26</v>
      </c>
    </row>
    <row r="4448" spans="1:2" x14ac:dyDescent="0.25">
      <c r="A4448" s="4">
        <v>38142</v>
      </c>
      <c r="B4448" s="6">
        <v>35.97</v>
      </c>
    </row>
    <row r="4449" spans="1:2" x14ac:dyDescent="0.25">
      <c r="A4449" s="4">
        <v>38145</v>
      </c>
      <c r="B4449" s="6">
        <v>35.57</v>
      </c>
    </row>
    <row r="4450" spans="1:2" x14ac:dyDescent="0.25">
      <c r="A4450" s="4">
        <v>38146</v>
      </c>
      <c r="B4450" s="6">
        <v>35.47</v>
      </c>
    </row>
    <row r="4451" spans="1:2" x14ac:dyDescent="0.25">
      <c r="A4451" s="4">
        <v>38147</v>
      </c>
      <c r="B4451" s="6">
        <v>34.69</v>
      </c>
    </row>
    <row r="4452" spans="1:2" x14ac:dyDescent="0.25">
      <c r="A4452" s="4">
        <v>38148</v>
      </c>
      <c r="B4452" s="6">
        <v>35.75</v>
      </c>
    </row>
    <row r="4453" spans="1:2" x14ac:dyDescent="0.25">
      <c r="A4453" s="4">
        <v>38149</v>
      </c>
      <c r="B4453" s="6">
        <v>35.229999999999997</v>
      </c>
    </row>
    <row r="4454" spans="1:2" x14ac:dyDescent="0.25">
      <c r="A4454" s="4">
        <v>38152</v>
      </c>
      <c r="B4454" s="6">
        <v>35.22</v>
      </c>
    </row>
    <row r="4455" spans="1:2" x14ac:dyDescent="0.25">
      <c r="A4455" s="4">
        <v>38153</v>
      </c>
      <c r="B4455" s="6">
        <v>34.659999999999997</v>
      </c>
    </row>
    <row r="4456" spans="1:2" x14ac:dyDescent="0.25">
      <c r="A4456" s="4">
        <v>38154</v>
      </c>
      <c r="B4456" s="6">
        <v>34.56</v>
      </c>
    </row>
    <row r="4457" spans="1:2" x14ac:dyDescent="0.25">
      <c r="A4457" s="4">
        <v>38155</v>
      </c>
      <c r="B4457" s="6">
        <v>35.58</v>
      </c>
    </row>
    <row r="4458" spans="1:2" x14ac:dyDescent="0.25">
      <c r="A4458" s="4">
        <v>38156</v>
      </c>
      <c r="B4458" s="6">
        <v>35.43</v>
      </c>
    </row>
    <row r="4459" spans="1:2" x14ac:dyDescent="0.25">
      <c r="A4459" s="4">
        <v>38159</v>
      </c>
      <c r="B4459" s="6">
        <v>34.82</v>
      </c>
    </row>
    <row r="4460" spans="1:2" x14ac:dyDescent="0.25">
      <c r="A4460" s="4">
        <v>38160</v>
      </c>
      <c r="B4460" s="6">
        <v>34.950000000000003</v>
      </c>
    </row>
    <row r="4461" spans="1:2" x14ac:dyDescent="0.25">
      <c r="A4461" s="4">
        <v>38161</v>
      </c>
      <c r="B4461" s="6">
        <v>34.81</v>
      </c>
    </row>
    <row r="4462" spans="1:2" x14ac:dyDescent="0.25">
      <c r="A4462" s="4">
        <v>38162</v>
      </c>
      <c r="B4462" s="6">
        <v>34.71</v>
      </c>
    </row>
    <row r="4463" spans="1:2" x14ac:dyDescent="0.25">
      <c r="A4463" s="4">
        <v>38163</v>
      </c>
      <c r="B4463" s="6">
        <v>34.25</v>
      </c>
    </row>
    <row r="4464" spans="1:2" x14ac:dyDescent="0.25">
      <c r="A4464" s="4">
        <v>38166</v>
      </c>
      <c r="B4464" s="6">
        <v>33.24</v>
      </c>
    </row>
    <row r="4465" spans="1:2" x14ac:dyDescent="0.25">
      <c r="A4465" s="4">
        <v>38167</v>
      </c>
      <c r="B4465" s="6">
        <v>32.61</v>
      </c>
    </row>
    <row r="4466" spans="1:2" x14ac:dyDescent="0.25">
      <c r="A4466" s="4">
        <v>38168</v>
      </c>
      <c r="B4466" s="6">
        <v>33.22</v>
      </c>
    </row>
    <row r="4467" spans="1:2" x14ac:dyDescent="0.25">
      <c r="A4467" s="4">
        <v>38169</v>
      </c>
      <c r="B4467" s="6">
        <v>35.58</v>
      </c>
    </row>
    <row r="4468" spans="1:2" x14ac:dyDescent="0.25">
      <c r="A4468" s="4">
        <v>38170</v>
      </c>
      <c r="B4468" s="6">
        <v>35.36</v>
      </c>
    </row>
    <row r="4469" spans="1:2" x14ac:dyDescent="0.25">
      <c r="A4469" s="4">
        <v>38173</v>
      </c>
      <c r="B4469" s="6">
        <v>35.729999999999997</v>
      </c>
    </row>
    <row r="4470" spans="1:2" x14ac:dyDescent="0.25">
      <c r="A4470" s="4">
        <v>38174</v>
      </c>
      <c r="B4470" s="6">
        <v>36.47</v>
      </c>
    </row>
    <row r="4471" spans="1:2" x14ac:dyDescent="0.25">
      <c r="A4471" s="4">
        <v>38175</v>
      </c>
      <c r="B4471" s="6">
        <v>35.619999999999997</v>
      </c>
    </row>
    <row r="4472" spans="1:2" x14ac:dyDescent="0.25">
      <c r="A4472" s="4">
        <v>38176</v>
      </c>
      <c r="B4472" s="6">
        <v>37.130000000000003</v>
      </c>
    </row>
    <row r="4473" spans="1:2" x14ac:dyDescent="0.25">
      <c r="A4473" s="4">
        <v>38177</v>
      </c>
      <c r="B4473" s="6">
        <v>37.58</v>
      </c>
    </row>
    <row r="4474" spans="1:2" x14ac:dyDescent="0.25">
      <c r="A4474" s="4">
        <v>38180</v>
      </c>
      <c r="B4474" s="6">
        <v>37.729999999999997</v>
      </c>
    </row>
    <row r="4475" spans="1:2" x14ac:dyDescent="0.25">
      <c r="A4475" s="4">
        <v>38181</v>
      </c>
      <c r="B4475" s="6">
        <v>36.68</v>
      </c>
    </row>
    <row r="4476" spans="1:2" x14ac:dyDescent="0.25">
      <c r="A4476" s="4">
        <v>38182</v>
      </c>
      <c r="B4476" s="6">
        <v>37.51</v>
      </c>
    </row>
    <row r="4477" spans="1:2" x14ac:dyDescent="0.25">
      <c r="A4477" s="4">
        <v>38183</v>
      </c>
      <c r="B4477" s="6">
        <v>38.409999999999997</v>
      </c>
    </row>
    <row r="4478" spans="1:2" x14ac:dyDescent="0.25">
      <c r="A4478" s="4">
        <v>38184</v>
      </c>
      <c r="B4478" s="6">
        <v>38.49</v>
      </c>
    </row>
    <row r="4479" spans="1:2" x14ac:dyDescent="0.25">
      <c r="A4479" s="4">
        <v>38187</v>
      </c>
      <c r="B4479" s="6">
        <v>39.07</v>
      </c>
    </row>
    <row r="4480" spans="1:2" x14ac:dyDescent="0.25">
      <c r="A4480" s="4">
        <v>38188</v>
      </c>
      <c r="B4480" s="6">
        <v>38.96</v>
      </c>
    </row>
    <row r="4481" spans="1:2" x14ac:dyDescent="0.25">
      <c r="A4481" s="4">
        <v>38189</v>
      </c>
      <c r="B4481" s="6">
        <v>38.479999999999997</v>
      </c>
    </row>
    <row r="4482" spans="1:2" x14ac:dyDescent="0.25">
      <c r="A4482" s="4">
        <v>38190</v>
      </c>
      <c r="B4482" s="6">
        <v>39.159999999999997</v>
      </c>
    </row>
    <row r="4483" spans="1:2" x14ac:dyDescent="0.25">
      <c r="A4483" s="4">
        <v>38191</v>
      </c>
      <c r="B4483" s="6">
        <v>39.590000000000003</v>
      </c>
    </row>
    <row r="4484" spans="1:2" x14ac:dyDescent="0.25">
      <c r="A4484" s="4">
        <v>38194</v>
      </c>
      <c r="B4484" s="6">
        <v>39.75</v>
      </c>
    </row>
    <row r="4485" spans="1:2" x14ac:dyDescent="0.25">
      <c r="A4485" s="4">
        <v>38195</v>
      </c>
      <c r="B4485" s="6">
        <v>40.090000000000003</v>
      </c>
    </row>
    <row r="4486" spans="1:2" x14ac:dyDescent="0.25">
      <c r="A4486" s="4">
        <v>38196</v>
      </c>
      <c r="B4486" s="6">
        <v>41.08</v>
      </c>
    </row>
    <row r="4487" spans="1:2" x14ac:dyDescent="0.25">
      <c r="A4487" s="4">
        <v>38197</v>
      </c>
      <c r="B4487" s="6">
        <v>40.93</v>
      </c>
    </row>
    <row r="4488" spans="1:2" x14ac:dyDescent="0.25">
      <c r="A4488" s="4">
        <v>38198</v>
      </c>
      <c r="B4488" s="6">
        <v>41.47</v>
      </c>
    </row>
    <row r="4489" spans="1:2" x14ac:dyDescent="0.25">
      <c r="A4489" s="4">
        <v>38201</v>
      </c>
      <c r="B4489" s="6">
        <v>41.35</v>
      </c>
    </row>
    <row r="4490" spans="1:2" x14ac:dyDescent="0.25">
      <c r="A4490" s="4">
        <v>38202</v>
      </c>
      <c r="B4490" s="6">
        <v>41.82</v>
      </c>
    </row>
    <row r="4491" spans="1:2" x14ac:dyDescent="0.25">
      <c r="A4491" s="4">
        <v>38203</v>
      </c>
      <c r="B4491" s="6">
        <v>41.75</v>
      </c>
    </row>
    <row r="4492" spans="1:2" x14ac:dyDescent="0.25">
      <c r="A4492" s="4">
        <v>38204</v>
      </c>
      <c r="B4492" s="6">
        <v>42.49</v>
      </c>
    </row>
    <row r="4493" spans="1:2" x14ac:dyDescent="0.25">
      <c r="A4493" s="4">
        <v>38205</v>
      </c>
      <c r="B4493" s="6">
        <v>42.63</v>
      </c>
    </row>
    <row r="4494" spans="1:2" x14ac:dyDescent="0.25">
      <c r="A4494" s="4">
        <v>38208</v>
      </c>
      <c r="B4494" s="6">
        <v>43.21</v>
      </c>
    </row>
    <row r="4495" spans="1:2" x14ac:dyDescent="0.25">
      <c r="A4495" s="4">
        <v>38209</v>
      </c>
      <c r="B4495" s="6">
        <v>42.5</v>
      </c>
    </row>
    <row r="4496" spans="1:2" x14ac:dyDescent="0.25">
      <c r="A4496" s="4">
        <v>38210</v>
      </c>
      <c r="B4496" s="6">
        <v>42.45</v>
      </c>
    </row>
    <row r="4497" spans="1:2" x14ac:dyDescent="0.25">
      <c r="A4497" s="4">
        <v>38211</v>
      </c>
      <c r="B4497" s="6">
        <v>43.5</v>
      </c>
    </row>
    <row r="4498" spans="1:2" x14ac:dyDescent="0.25">
      <c r="A4498" s="4">
        <v>38212</v>
      </c>
      <c r="B4498" s="6">
        <v>44.13</v>
      </c>
    </row>
    <row r="4499" spans="1:2" x14ac:dyDescent="0.25">
      <c r="A4499" s="4">
        <v>38215</v>
      </c>
      <c r="B4499" s="6">
        <v>44.35</v>
      </c>
    </row>
    <row r="4500" spans="1:2" x14ac:dyDescent="0.25">
      <c r="A4500" s="4">
        <v>38216</v>
      </c>
      <c r="B4500" s="6">
        <v>44.05</v>
      </c>
    </row>
    <row r="4501" spans="1:2" x14ac:dyDescent="0.25">
      <c r="A4501" s="4">
        <v>38217</v>
      </c>
      <c r="B4501" s="6">
        <v>44.12</v>
      </c>
    </row>
    <row r="4502" spans="1:2" x14ac:dyDescent="0.25">
      <c r="A4502" s="4">
        <v>38218</v>
      </c>
      <c r="B4502" s="6">
        <v>44.84</v>
      </c>
    </row>
    <row r="4503" spans="1:2" x14ac:dyDescent="0.25">
      <c r="A4503" s="4">
        <v>38219</v>
      </c>
      <c r="B4503" s="6">
        <v>45.46</v>
      </c>
    </row>
    <row r="4504" spans="1:2" x14ac:dyDescent="0.25">
      <c r="A4504" s="4">
        <v>38222</v>
      </c>
      <c r="B4504" s="6">
        <v>44.39</v>
      </c>
    </row>
    <row r="4505" spans="1:2" x14ac:dyDescent="0.25">
      <c r="A4505" s="4">
        <v>38223</v>
      </c>
      <c r="B4505" s="6">
        <v>42.99</v>
      </c>
    </row>
    <row r="4506" spans="1:2" x14ac:dyDescent="0.25">
      <c r="A4506" s="4">
        <v>38224</v>
      </c>
      <c r="B4506" s="6">
        <v>42.39</v>
      </c>
    </row>
    <row r="4507" spans="1:2" x14ac:dyDescent="0.25">
      <c r="A4507" s="4">
        <v>38225</v>
      </c>
      <c r="B4507" s="6">
        <v>40.65</v>
      </c>
    </row>
    <row r="4508" spans="1:2" x14ac:dyDescent="0.25">
      <c r="A4508" s="4">
        <v>38226</v>
      </c>
      <c r="B4508" s="6">
        <v>40.72</v>
      </c>
    </row>
    <row r="4509" spans="1:2" x14ac:dyDescent="0.25">
      <c r="A4509" s="4">
        <v>38229</v>
      </c>
      <c r="B4509" s="6">
        <v>40.78</v>
      </c>
    </row>
    <row r="4510" spans="1:2" x14ac:dyDescent="0.25">
      <c r="A4510" s="4">
        <v>38230</v>
      </c>
      <c r="B4510" s="6">
        <v>39.799999999999997</v>
      </c>
    </row>
    <row r="4511" spans="1:2" x14ac:dyDescent="0.25">
      <c r="A4511" s="4">
        <v>38231</v>
      </c>
      <c r="B4511" s="6">
        <v>40.96</v>
      </c>
    </row>
    <row r="4512" spans="1:2" x14ac:dyDescent="0.25">
      <c r="A4512" s="4">
        <v>38232</v>
      </c>
      <c r="B4512" s="6">
        <v>42.39</v>
      </c>
    </row>
    <row r="4513" spans="1:2" x14ac:dyDescent="0.25">
      <c r="A4513" s="4">
        <v>38233</v>
      </c>
      <c r="B4513" s="6">
        <v>41.07</v>
      </c>
    </row>
    <row r="4514" spans="1:2" x14ac:dyDescent="0.25">
      <c r="A4514" s="4">
        <v>38236</v>
      </c>
      <c r="B4514" s="6">
        <v>40.4</v>
      </c>
    </row>
    <row r="4515" spans="1:2" x14ac:dyDescent="0.25">
      <c r="A4515" s="4">
        <v>38237</v>
      </c>
      <c r="B4515" s="6">
        <v>40.19</v>
      </c>
    </row>
    <row r="4516" spans="1:2" x14ac:dyDescent="0.25">
      <c r="A4516" s="4">
        <v>38238</v>
      </c>
      <c r="B4516" s="6">
        <v>39.909999999999997</v>
      </c>
    </row>
    <row r="4517" spans="1:2" x14ac:dyDescent="0.25">
      <c r="A4517" s="4">
        <v>38239</v>
      </c>
      <c r="B4517" s="6">
        <v>41.45</v>
      </c>
    </row>
    <row r="4518" spans="1:2" x14ac:dyDescent="0.25">
      <c r="A4518" s="4">
        <v>38240</v>
      </c>
      <c r="B4518" s="6">
        <v>41.03</v>
      </c>
    </row>
    <row r="4519" spans="1:2" x14ac:dyDescent="0.25">
      <c r="A4519" s="4">
        <v>38243</v>
      </c>
      <c r="B4519" s="6">
        <v>40.630000000000003</v>
      </c>
    </row>
    <row r="4520" spans="1:2" x14ac:dyDescent="0.25">
      <c r="A4520" s="4">
        <v>38244</v>
      </c>
      <c r="B4520" s="6">
        <v>41.34</v>
      </c>
    </row>
    <row r="4521" spans="1:2" x14ac:dyDescent="0.25">
      <c r="A4521" s="4">
        <v>38245</v>
      </c>
      <c r="B4521" s="6">
        <v>42.03</v>
      </c>
    </row>
    <row r="4522" spans="1:2" x14ac:dyDescent="0.25">
      <c r="A4522" s="4">
        <v>38246</v>
      </c>
      <c r="B4522" s="6">
        <v>40.68</v>
      </c>
    </row>
    <row r="4523" spans="1:2" x14ac:dyDescent="0.25">
      <c r="A4523" s="4">
        <v>38247</v>
      </c>
      <c r="B4523" s="6">
        <v>43.08</v>
      </c>
    </row>
    <row r="4524" spans="1:2" x14ac:dyDescent="0.25">
      <c r="A4524" s="4">
        <v>38250</v>
      </c>
      <c r="B4524" s="6">
        <v>43.6</v>
      </c>
    </row>
    <row r="4525" spans="1:2" x14ac:dyDescent="0.25">
      <c r="A4525" s="4">
        <v>38251</v>
      </c>
      <c r="B4525" s="6">
        <v>44.56</v>
      </c>
    </row>
    <row r="4526" spans="1:2" x14ac:dyDescent="0.25">
      <c r="A4526" s="4">
        <v>38252</v>
      </c>
      <c r="B4526" s="6">
        <v>45.66</v>
      </c>
    </row>
    <row r="4527" spans="1:2" x14ac:dyDescent="0.25">
      <c r="A4527" s="4">
        <v>38253</v>
      </c>
      <c r="B4527" s="6">
        <v>46.53</v>
      </c>
    </row>
    <row r="4528" spans="1:2" x14ac:dyDescent="0.25">
      <c r="A4528" s="4">
        <v>38254</v>
      </c>
      <c r="B4528" s="6">
        <v>46.13</v>
      </c>
    </row>
    <row r="4529" spans="1:2" x14ac:dyDescent="0.25">
      <c r="A4529" s="4">
        <v>38257</v>
      </c>
      <c r="B4529" s="6">
        <v>46.87</v>
      </c>
    </row>
    <row r="4530" spans="1:2" x14ac:dyDescent="0.25">
      <c r="A4530" s="4">
        <v>38258</v>
      </c>
      <c r="B4530" s="6">
        <v>47.52</v>
      </c>
    </row>
    <row r="4531" spans="1:2" x14ac:dyDescent="0.25">
      <c r="A4531" s="4">
        <v>38259</v>
      </c>
      <c r="B4531" s="6">
        <v>46.54</v>
      </c>
    </row>
    <row r="4532" spans="1:2" x14ac:dyDescent="0.25">
      <c r="A4532" s="4">
        <v>38260</v>
      </c>
      <c r="B4532" s="6">
        <v>47.76</v>
      </c>
    </row>
    <row r="4533" spans="1:2" x14ac:dyDescent="0.25">
      <c r="A4533" s="4">
        <v>38261</v>
      </c>
      <c r="B4533" s="6">
        <v>46.86</v>
      </c>
    </row>
    <row r="4534" spans="1:2" x14ac:dyDescent="0.25">
      <c r="A4534" s="4">
        <v>38264</v>
      </c>
      <c r="B4534" s="6">
        <v>46.99</v>
      </c>
    </row>
    <row r="4535" spans="1:2" x14ac:dyDescent="0.25">
      <c r="A4535" s="4">
        <v>38265</v>
      </c>
      <c r="B4535" s="6">
        <v>47.1</v>
      </c>
    </row>
    <row r="4536" spans="1:2" x14ac:dyDescent="0.25">
      <c r="A4536" s="4">
        <v>38266</v>
      </c>
      <c r="B4536" s="6">
        <v>47.95</v>
      </c>
    </row>
    <row r="4537" spans="1:2" x14ac:dyDescent="0.25">
      <c r="A4537" s="4">
        <v>38267</v>
      </c>
      <c r="B4537" s="6">
        <v>48.98</v>
      </c>
    </row>
    <row r="4538" spans="1:2" x14ac:dyDescent="0.25">
      <c r="A4538" s="4">
        <v>38268</v>
      </c>
      <c r="B4538" s="6">
        <v>49.41</v>
      </c>
    </row>
    <row r="4539" spans="1:2" x14ac:dyDescent="0.25">
      <c r="A4539" s="4">
        <v>38271</v>
      </c>
      <c r="B4539" s="6">
        <v>50.75</v>
      </c>
    </row>
    <row r="4540" spans="1:2" x14ac:dyDescent="0.25">
      <c r="A4540" s="4">
        <v>38272</v>
      </c>
      <c r="B4540" s="6">
        <v>51.28</v>
      </c>
    </row>
    <row r="4541" spans="1:2" x14ac:dyDescent="0.25">
      <c r="A4541" s="4">
        <v>38273</v>
      </c>
      <c r="B4541" s="6">
        <v>50.42</v>
      </c>
    </row>
    <row r="4542" spans="1:2" x14ac:dyDescent="0.25">
      <c r="A4542" s="4">
        <v>38274</v>
      </c>
      <c r="B4542" s="6">
        <v>51.31</v>
      </c>
    </row>
    <row r="4543" spans="1:2" x14ac:dyDescent="0.25">
      <c r="A4543" s="4">
        <v>38275</v>
      </c>
      <c r="B4543" s="6">
        <v>51.02</v>
      </c>
    </row>
    <row r="4544" spans="1:2" x14ac:dyDescent="0.25">
      <c r="A4544" s="4">
        <v>38278</v>
      </c>
      <c r="B4544" s="6">
        <v>49.16</v>
      </c>
    </row>
    <row r="4545" spans="1:2" x14ac:dyDescent="0.25">
      <c r="A4545" s="4">
        <v>38279</v>
      </c>
      <c r="B4545" s="6">
        <v>49.21</v>
      </c>
    </row>
    <row r="4546" spans="1:2" x14ac:dyDescent="0.25">
      <c r="A4546" s="4">
        <v>38280</v>
      </c>
      <c r="B4546" s="6">
        <v>50.78</v>
      </c>
    </row>
    <row r="4547" spans="1:2" x14ac:dyDescent="0.25">
      <c r="A4547" s="4">
        <v>38281</v>
      </c>
      <c r="B4547" s="6">
        <v>51.06</v>
      </c>
    </row>
    <row r="4548" spans="1:2" x14ac:dyDescent="0.25">
      <c r="A4548" s="4">
        <v>38282</v>
      </c>
      <c r="B4548" s="6">
        <v>52.28</v>
      </c>
    </row>
    <row r="4549" spans="1:2" x14ac:dyDescent="0.25">
      <c r="A4549" s="4">
        <v>38285</v>
      </c>
      <c r="B4549" s="6">
        <v>51.68</v>
      </c>
    </row>
    <row r="4550" spans="1:2" x14ac:dyDescent="0.25">
      <c r="A4550" s="4">
        <v>38286</v>
      </c>
      <c r="B4550" s="6">
        <v>52.04</v>
      </c>
    </row>
    <row r="4551" spans="1:2" x14ac:dyDescent="0.25">
      <c r="A4551" s="4">
        <v>38287</v>
      </c>
      <c r="B4551" s="6">
        <v>49.99</v>
      </c>
    </row>
    <row r="4552" spans="1:2" x14ac:dyDescent="0.25">
      <c r="A4552" s="4">
        <v>38288</v>
      </c>
      <c r="B4552" s="6">
        <v>48.88</v>
      </c>
    </row>
    <row r="4553" spans="1:2" x14ac:dyDescent="0.25">
      <c r="A4553" s="4">
        <v>38289</v>
      </c>
      <c r="B4553" s="6">
        <v>48.16</v>
      </c>
    </row>
    <row r="4554" spans="1:2" x14ac:dyDescent="0.25">
      <c r="A4554" s="4">
        <v>38292</v>
      </c>
      <c r="B4554" s="6">
        <v>46.84</v>
      </c>
    </row>
    <row r="4555" spans="1:2" x14ac:dyDescent="0.25">
      <c r="A4555" s="4">
        <v>38293</v>
      </c>
      <c r="B4555" s="6">
        <v>46.25</v>
      </c>
    </row>
    <row r="4556" spans="1:2" x14ac:dyDescent="0.25">
      <c r="A4556" s="4">
        <v>38294</v>
      </c>
      <c r="B4556" s="6">
        <v>46.14</v>
      </c>
    </row>
    <row r="4557" spans="1:2" x14ac:dyDescent="0.25">
      <c r="A4557" s="4">
        <v>38295</v>
      </c>
      <c r="B4557" s="6">
        <v>45.32</v>
      </c>
    </row>
    <row r="4558" spans="1:2" x14ac:dyDescent="0.25">
      <c r="A4558" s="4">
        <v>38296</v>
      </c>
      <c r="B4558" s="6">
        <v>44.37</v>
      </c>
    </row>
    <row r="4559" spans="1:2" x14ac:dyDescent="0.25">
      <c r="A4559" s="4">
        <v>38299</v>
      </c>
      <c r="B4559" s="6">
        <v>44.78</v>
      </c>
    </row>
    <row r="4560" spans="1:2" x14ac:dyDescent="0.25">
      <c r="A4560" s="4">
        <v>38300</v>
      </c>
      <c r="B4560" s="6">
        <v>43.27</v>
      </c>
    </row>
    <row r="4561" spans="1:2" x14ac:dyDescent="0.25">
      <c r="A4561" s="4">
        <v>38301</v>
      </c>
      <c r="B4561" s="6">
        <v>42.57</v>
      </c>
    </row>
    <row r="4562" spans="1:2" x14ac:dyDescent="0.25">
      <c r="A4562" s="4">
        <v>38302</v>
      </c>
      <c r="B4562" s="6">
        <v>42.22</v>
      </c>
    </row>
    <row r="4563" spans="1:2" x14ac:dyDescent="0.25">
      <c r="A4563" s="4">
        <v>38303</v>
      </c>
      <c r="B4563" s="6">
        <v>41.33</v>
      </c>
    </row>
    <row r="4564" spans="1:2" x14ac:dyDescent="0.25">
      <c r="A4564" s="4">
        <v>38306</v>
      </c>
      <c r="B4564" s="6">
        <v>39.32</v>
      </c>
    </row>
    <row r="4565" spans="1:2" x14ac:dyDescent="0.25">
      <c r="A4565" s="4">
        <v>38307</v>
      </c>
      <c r="B4565" s="6">
        <v>40.479999999999997</v>
      </c>
    </row>
    <row r="4566" spans="1:2" x14ac:dyDescent="0.25">
      <c r="A4566" s="4">
        <v>38308</v>
      </c>
      <c r="B4566" s="6">
        <v>40.270000000000003</v>
      </c>
    </row>
    <row r="4567" spans="1:2" x14ac:dyDescent="0.25">
      <c r="A4567" s="4">
        <v>38309</v>
      </c>
      <c r="B4567" s="6">
        <v>40.799999999999997</v>
      </c>
    </row>
    <row r="4568" spans="1:2" x14ac:dyDescent="0.25">
      <c r="A4568" s="4">
        <v>38310</v>
      </c>
      <c r="B4568" s="6">
        <v>42.29</v>
      </c>
    </row>
    <row r="4569" spans="1:2" x14ac:dyDescent="0.25">
      <c r="A4569" s="4">
        <v>38313</v>
      </c>
      <c r="B4569" s="6">
        <v>42.26</v>
      </c>
    </row>
    <row r="4570" spans="1:2" x14ac:dyDescent="0.25">
      <c r="A4570" s="4">
        <v>38314</v>
      </c>
      <c r="B4570" s="6">
        <v>43.03</v>
      </c>
    </row>
    <row r="4571" spans="1:2" x14ac:dyDescent="0.25">
      <c r="A4571" s="4">
        <v>38315</v>
      </c>
      <c r="B4571" s="6">
        <v>42.62</v>
      </c>
    </row>
    <row r="4572" spans="1:2" x14ac:dyDescent="0.25">
      <c r="A4572" s="4">
        <v>38316</v>
      </c>
      <c r="B4572" s="6">
        <v>43.12</v>
      </c>
    </row>
    <row r="4573" spans="1:2" x14ac:dyDescent="0.25">
      <c r="A4573" s="4">
        <v>38317</v>
      </c>
      <c r="B4573" s="6">
        <v>42.87</v>
      </c>
    </row>
    <row r="4574" spans="1:2" x14ac:dyDescent="0.25">
      <c r="A4574" s="4">
        <v>38320</v>
      </c>
      <c r="B4574" s="6">
        <v>44.05</v>
      </c>
    </row>
    <row r="4575" spans="1:2" x14ac:dyDescent="0.25">
      <c r="A4575" s="4">
        <v>38321</v>
      </c>
      <c r="B4575" s="6">
        <v>44.23</v>
      </c>
    </row>
    <row r="4576" spans="1:2" x14ac:dyDescent="0.25">
      <c r="A4576" s="4">
        <v>38322</v>
      </c>
      <c r="B4576" s="6">
        <v>41.19</v>
      </c>
    </row>
    <row r="4577" spans="1:2" x14ac:dyDescent="0.25">
      <c r="A4577" s="4">
        <v>38323</v>
      </c>
      <c r="B4577" s="6">
        <v>38.49</v>
      </c>
    </row>
    <row r="4578" spans="1:2" x14ac:dyDescent="0.25">
      <c r="A4578" s="4">
        <v>38324</v>
      </c>
      <c r="B4578" s="6">
        <v>38.57</v>
      </c>
    </row>
    <row r="4579" spans="1:2" x14ac:dyDescent="0.25">
      <c r="A4579" s="4">
        <v>38327</v>
      </c>
      <c r="B4579" s="6">
        <v>38.43</v>
      </c>
    </row>
    <row r="4580" spans="1:2" x14ac:dyDescent="0.25">
      <c r="A4580" s="4">
        <v>38328</v>
      </c>
      <c r="B4580" s="6">
        <v>37.11</v>
      </c>
    </row>
    <row r="4581" spans="1:2" x14ac:dyDescent="0.25">
      <c r="A4581" s="4">
        <v>38329</v>
      </c>
      <c r="B4581" s="6">
        <v>36.9</v>
      </c>
    </row>
    <row r="4582" spans="1:2" x14ac:dyDescent="0.25">
      <c r="A4582" s="4">
        <v>38330</v>
      </c>
      <c r="B4582" s="6">
        <v>38.33</v>
      </c>
    </row>
    <row r="4583" spans="1:2" x14ac:dyDescent="0.25">
      <c r="A4583" s="4">
        <v>38331</v>
      </c>
      <c r="B4583" s="6">
        <v>37.24</v>
      </c>
    </row>
    <row r="4584" spans="1:2" x14ac:dyDescent="0.25">
      <c r="A4584" s="4">
        <v>38334</v>
      </c>
      <c r="B4584" s="6">
        <v>36.770000000000003</v>
      </c>
    </row>
    <row r="4585" spans="1:2" x14ac:dyDescent="0.25">
      <c r="A4585" s="4">
        <v>38335</v>
      </c>
      <c r="B4585" s="6">
        <v>37.03</v>
      </c>
    </row>
    <row r="4586" spans="1:2" x14ac:dyDescent="0.25">
      <c r="A4586" s="4">
        <v>38336</v>
      </c>
      <c r="B4586" s="6">
        <v>41.53</v>
      </c>
    </row>
    <row r="4587" spans="1:2" x14ac:dyDescent="0.25">
      <c r="A4587" s="4">
        <v>38337</v>
      </c>
      <c r="B4587" s="6">
        <v>41.49</v>
      </c>
    </row>
    <row r="4588" spans="1:2" x14ac:dyDescent="0.25">
      <c r="A4588" s="4">
        <v>38338</v>
      </c>
      <c r="B4588" s="6">
        <v>43.06</v>
      </c>
    </row>
    <row r="4589" spans="1:2" x14ac:dyDescent="0.25">
      <c r="A4589" s="4">
        <v>38341</v>
      </c>
      <c r="B4589" s="6">
        <v>42.67</v>
      </c>
    </row>
    <row r="4590" spans="1:2" x14ac:dyDescent="0.25">
      <c r="A4590" s="4">
        <v>38342</v>
      </c>
      <c r="B4590" s="6">
        <v>42.76</v>
      </c>
    </row>
    <row r="4591" spans="1:2" x14ac:dyDescent="0.25">
      <c r="A4591" s="4">
        <v>38343</v>
      </c>
      <c r="B4591" s="6">
        <v>40.44</v>
      </c>
    </row>
    <row r="4592" spans="1:2" x14ac:dyDescent="0.25">
      <c r="A4592" s="4">
        <v>38344</v>
      </c>
      <c r="B4592" s="6">
        <v>40.29</v>
      </c>
    </row>
    <row r="4593" spans="1:2" x14ac:dyDescent="0.25">
      <c r="A4593" s="4">
        <v>38345</v>
      </c>
      <c r="B4593" s="6">
        <v>39.6</v>
      </c>
    </row>
    <row r="4594" spans="1:2" x14ac:dyDescent="0.25">
      <c r="A4594" s="4">
        <v>38348</v>
      </c>
      <c r="B4594" s="6">
        <v>39.6</v>
      </c>
    </row>
    <row r="4595" spans="1:2" x14ac:dyDescent="0.25">
      <c r="A4595" s="4">
        <v>38349</v>
      </c>
      <c r="B4595" s="6">
        <v>40.24</v>
      </c>
    </row>
    <row r="4596" spans="1:2" x14ac:dyDescent="0.25">
      <c r="A4596" s="4">
        <v>38350</v>
      </c>
      <c r="B4596" s="6">
        <v>38.93</v>
      </c>
    </row>
    <row r="4597" spans="1:2" x14ac:dyDescent="0.25">
      <c r="A4597" s="4">
        <v>38351</v>
      </c>
      <c r="B4597" s="6">
        <v>39.799999999999997</v>
      </c>
    </row>
    <row r="4598" spans="1:2" x14ac:dyDescent="0.25">
      <c r="A4598" s="4">
        <v>38352</v>
      </c>
      <c r="B4598" s="6">
        <v>40.380000000000003</v>
      </c>
    </row>
    <row r="4599" spans="1:2" x14ac:dyDescent="0.25">
      <c r="A4599" s="4">
        <v>38355</v>
      </c>
      <c r="B4599" s="5"/>
    </row>
    <row r="4600" spans="1:2" x14ac:dyDescent="0.25">
      <c r="A4600" s="4">
        <v>38356</v>
      </c>
      <c r="B4600" s="6">
        <v>40.75</v>
      </c>
    </row>
    <row r="4601" spans="1:2" x14ac:dyDescent="0.25">
      <c r="A4601" s="4">
        <v>38357</v>
      </c>
      <c r="B4601" s="6">
        <v>41</v>
      </c>
    </row>
    <row r="4602" spans="1:2" x14ac:dyDescent="0.25">
      <c r="A4602" s="4">
        <v>38358</v>
      </c>
      <c r="B4602" s="6">
        <v>43.25</v>
      </c>
    </row>
    <row r="4603" spans="1:2" x14ac:dyDescent="0.25">
      <c r="A4603" s="4">
        <v>38359</v>
      </c>
      <c r="B4603" s="6">
        <v>43.28</v>
      </c>
    </row>
    <row r="4604" spans="1:2" x14ac:dyDescent="0.25">
      <c r="A4604" s="4">
        <v>38362</v>
      </c>
      <c r="B4604" s="6">
        <v>44.71</v>
      </c>
    </row>
    <row r="4605" spans="1:2" x14ac:dyDescent="0.25">
      <c r="A4605" s="4">
        <v>38363</v>
      </c>
      <c r="B4605" s="6">
        <v>43.45</v>
      </c>
    </row>
    <row r="4606" spans="1:2" x14ac:dyDescent="0.25">
      <c r="A4606" s="4">
        <v>38364</v>
      </c>
      <c r="B4606" s="6">
        <v>43.75</v>
      </c>
    </row>
    <row r="4607" spans="1:2" x14ac:dyDescent="0.25">
      <c r="A4607" s="4">
        <v>38365</v>
      </c>
      <c r="B4607" s="6">
        <v>45.76</v>
      </c>
    </row>
    <row r="4608" spans="1:2" x14ac:dyDescent="0.25">
      <c r="A4608" s="4">
        <v>38366</v>
      </c>
      <c r="B4608" s="6">
        <v>45.26</v>
      </c>
    </row>
    <row r="4609" spans="1:2" x14ac:dyDescent="0.25">
      <c r="A4609" s="4">
        <v>38369</v>
      </c>
      <c r="B4609" s="6">
        <v>45.1</v>
      </c>
    </row>
    <row r="4610" spans="1:2" x14ac:dyDescent="0.25">
      <c r="A4610" s="4">
        <v>38370</v>
      </c>
      <c r="B4610" s="6">
        <v>45.18</v>
      </c>
    </row>
    <row r="4611" spans="1:2" x14ac:dyDescent="0.25">
      <c r="A4611" s="4">
        <v>38371</v>
      </c>
      <c r="B4611" s="6">
        <v>45.16</v>
      </c>
    </row>
    <row r="4612" spans="1:2" x14ac:dyDescent="0.25">
      <c r="A4612" s="4">
        <v>38372</v>
      </c>
      <c r="B4612" s="6">
        <v>44.06</v>
      </c>
    </row>
    <row r="4613" spans="1:2" x14ac:dyDescent="0.25">
      <c r="A4613" s="4">
        <v>38373</v>
      </c>
      <c r="B4613" s="6">
        <v>45.88</v>
      </c>
    </row>
    <row r="4614" spans="1:2" x14ac:dyDescent="0.25">
      <c r="A4614" s="4">
        <v>38376</v>
      </c>
      <c r="B4614" s="6">
        <v>45.74</v>
      </c>
    </row>
    <row r="4615" spans="1:2" x14ac:dyDescent="0.25">
      <c r="A4615" s="4">
        <v>38377</v>
      </c>
      <c r="B4615" s="6">
        <v>46.14</v>
      </c>
    </row>
    <row r="4616" spans="1:2" x14ac:dyDescent="0.25">
      <c r="A4616" s="4">
        <v>38378</v>
      </c>
      <c r="B4616" s="6">
        <v>45.94</v>
      </c>
    </row>
    <row r="4617" spans="1:2" x14ac:dyDescent="0.25">
      <c r="A4617" s="4">
        <v>38379</v>
      </c>
      <c r="B4617" s="6">
        <v>46.51</v>
      </c>
    </row>
    <row r="4618" spans="1:2" x14ac:dyDescent="0.25">
      <c r="A4618" s="4">
        <v>38380</v>
      </c>
      <c r="B4618" s="6">
        <v>44.75</v>
      </c>
    </row>
    <row r="4619" spans="1:2" x14ac:dyDescent="0.25">
      <c r="A4619" s="4">
        <v>38383</v>
      </c>
      <c r="B4619" s="6">
        <v>44.51</v>
      </c>
    </row>
    <row r="4620" spans="1:2" x14ac:dyDescent="0.25">
      <c r="A4620" s="4">
        <v>38384</v>
      </c>
      <c r="B4620" s="6">
        <v>45.12</v>
      </c>
    </row>
    <row r="4621" spans="1:2" x14ac:dyDescent="0.25">
      <c r="A4621" s="4">
        <v>38385</v>
      </c>
      <c r="B4621" s="6">
        <v>44.17</v>
      </c>
    </row>
    <row r="4622" spans="1:2" x14ac:dyDescent="0.25">
      <c r="A4622" s="4">
        <v>38386</v>
      </c>
      <c r="B4622" s="6">
        <v>43.13</v>
      </c>
    </row>
    <row r="4623" spans="1:2" x14ac:dyDescent="0.25">
      <c r="A4623" s="4">
        <v>38387</v>
      </c>
      <c r="B4623" s="6">
        <v>43.26</v>
      </c>
    </row>
    <row r="4624" spans="1:2" x14ac:dyDescent="0.25">
      <c r="A4624" s="4">
        <v>38390</v>
      </c>
      <c r="B4624" s="6">
        <v>42.7</v>
      </c>
    </row>
    <row r="4625" spans="1:2" x14ac:dyDescent="0.25">
      <c r="A4625" s="4">
        <v>38391</v>
      </c>
      <c r="B4625" s="6">
        <v>42.79</v>
      </c>
    </row>
    <row r="4626" spans="1:2" x14ac:dyDescent="0.25">
      <c r="A4626" s="4">
        <v>38392</v>
      </c>
      <c r="B4626" s="6">
        <v>42.49</v>
      </c>
    </row>
    <row r="4627" spans="1:2" x14ac:dyDescent="0.25">
      <c r="A4627" s="4">
        <v>38393</v>
      </c>
      <c r="B4627" s="6">
        <v>44.04</v>
      </c>
    </row>
    <row r="4628" spans="1:2" x14ac:dyDescent="0.25">
      <c r="A4628" s="4">
        <v>38394</v>
      </c>
      <c r="B4628" s="6">
        <v>44.41</v>
      </c>
    </row>
    <row r="4629" spans="1:2" x14ac:dyDescent="0.25">
      <c r="A4629" s="4">
        <v>38397</v>
      </c>
      <c r="B4629" s="6">
        <v>44.51</v>
      </c>
    </row>
    <row r="4630" spans="1:2" x14ac:dyDescent="0.25">
      <c r="A4630" s="4">
        <v>38398</v>
      </c>
      <c r="B4630" s="6">
        <v>44.91</v>
      </c>
    </row>
    <row r="4631" spans="1:2" x14ac:dyDescent="0.25">
      <c r="A4631" s="4">
        <v>38399</v>
      </c>
      <c r="B4631" s="6">
        <v>45.42</v>
      </c>
    </row>
    <row r="4632" spans="1:2" x14ac:dyDescent="0.25">
      <c r="A4632" s="4">
        <v>38400</v>
      </c>
      <c r="B4632" s="6">
        <v>45.42</v>
      </c>
    </row>
    <row r="4633" spans="1:2" x14ac:dyDescent="0.25">
      <c r="A4633" s="4">
        <v>38401</v>
      </c>
      <c r="B4633" s="6">
        <v>45.86</v>
      </c>
    </row>
    <row r="4634" spans="1:2" x14ac:dyDescent="0.25">
      <c r="A4634" s="4">
        <v>38404</v>
      </c>
      <c r="B4634" s="6">
        <v>46.09</v>
      </c>
    </row>
    <row r="4635" spans="1:2" x14ac:dyDescent="0.25">
      <c r="A4635" s="4">
        <v>38405</v>
      </c>
      <c r="B4635" s="6">
        <v>47.6</v>
      </c>
    </row>
    <row r="4636" spans="1:2" x14ac:dyDescent="0.25">
      <c r="A4636" s="4">
        <v>38406</v>
      </c>
      <c r="B4636" s="6">
        <v>48.16</v>
      </c>
    </row>
    <row r="4637" spans="1:2" x14ac:dyDescent="0.25">
      <c r="A4637" s="4">
        <v>38407</v>
      </c>
      <c r="B4637" s="6">
        <v>49.24</v>
      </c>
    </row>
    <row r="4638" spans="1:2" x14ac:dyDescent="0.25">
      <c r="A4638" s="4">
        <v>38408</v>
      </c>
      <c r="B4638" s="6">
        <v>50.05</v>
      </c>
    </row>
    <row r="4639" spans="1:2" x14ac:dyDescent="0.25">
      <c r="A4639" s="4">
        <v>38411</v>
      </c>
      <c r="B4639" s="6">
        <v>50.13</v>
      </c>
    </row>
    <row r="4640" spans="1:2" x14ac:dyDescent="0.25">
      <c r="A4640" s="4">
        <v>38412</v>
      </c>
      <c r="B4640" s="6">
        <v>50.47</v>
      </c>
    </row>
    <row r="4641" spans="1:2" x14ac:dyDescent="0.25">
      <c r="A4641" s="4">
        <v>38413</v>
      </c>
      <c r="B4641" s="6">
        <v>51.05</v>
      </c>
    </row>
    <row r="4642" spans="1:2" x14ac:dyDescent="0.25">
      <c r="A4642" s="4">
        <v>38414</v>
      </c>
      <c r="B4642" s="6">
        <v>52.89</v>
      </c>
    </row>
    <row r="4643" spans="1:2" x14ac:dyDescent="0.25">
      <c r="A4643" s="4">
        <v>38415</v>
      </c>
      <c r="B4643" s="6">
        <v>52.1</v>
      </c>
    </row>
    <row r="4644" spans="1:2" x14ac:dyDescent="0.25">
      <c r="A4644" s="4">
        <v>38418</v>
      </c>
      <c r="B4644" s="6">
        <v>51.87</v>
      </c>
    </row>
    <row r="4645" spans="1:2" x14ac:dyDescent="0.25">
      <c r="A4645" s="4">
        <v>38419</v>
      </c>
      <c r="B4645" s="6">
        <v>53.29</v>
      </c>
    </row>
    <row r="4646" spans="1:2" x14ac:dyDescent="0.25">
      <c r="A4646" s="4">
        <v>38420</v>
      </c>
      <c r="B4646" s="6">
        <v>54.11</v>
      </c>
    </row>
    <row r="4647" spans="1:2" x14ac:dyDescent="0.25">
      <c r="A4647" s="4">
        <v>38421</v>
      </c>
      <c r="B4647" s="6">
        <v>53.04</v>
      </c>
    </row>
    <row r="4648" spans="1:2" x14ac:dyDescent="0.25">
      <c r="A4648" s="4">
        <v>38422</v>
      </c>
      <c r="B4648" s="6">
        <v>53.15</v>
      </c>
    </row>
    <row r="4649" spans="1:2" x14ac:dyDescent="0.25">
      <c r="A4649" s="4">
        <v>38425</v>
      </c>
      <c r="B4649" s="6">
        <v>53.68</v>
      </c>
    </row>
    <row r="4650" spans="1:2" x14ac:dyDescent="0.25">
      <c r="A4650" s="4">
        <v>38426</v>
      </c>
      <c r="B4650" s="6">
        <v>53.97</v>
      </c>
    </row>
    <row r="4651" spans="1:2" x14ac:dyDescent="0.25">
      <c r="A4651" s="4">
        <v>38427</v>
      </c>
      <c r="B4651" s="6">
        <v>54.61</v>
      </c>
    </row>
    <row r="4652" spans="1:2" x14ac:dyDescent="0.25">
      <c r="A4652" s="4">
        <v>38428</v>
      </c>
      <c r="B4652" s="6">
        <v>56.03</v>
      </c>
    </row>
    <row r="4653" spans="1:2" x14ac:dyDescent="0.25">
      <c r="A4653" s="4">
        <v>38429</v>
      </c>
      <c r="B4653" s="6">
        <v>55.97</v>
      </c>
    </row>
    <row r="4654" spans="1:2" x14ac:dyDescent="0.25">
      <c r="A4654" s="4">
        <v>38432</v>
      </c>
      <c r="B4654" s="6">
        <v>55.79</v>
      </c>
    </row>
    <row r="4655" spans="1:2" x14ac:dyDescent="0.25">
      <c r="A4655" s="4">
        <v>38433</v>
      </c>
      <c r="B4655" s="6">
        <v>55.39</v>
      </c>
    </row>
    <row r="4656" spans="1:2" x14ac:dyDescent="0.25">
      <c r="A4656" s="4">
        <v>38434</v>
      </c>
      <c r="B4656" s="6">
        <v>51.52</v>
      </c>
    </row>
    <row r="4657" spans="1:2" x14ac:dyDescent="0.25">
      <c r="A4657" s="4">
        <v>38435</v>
      </c>
      <c r="B4657" s="6">
        <v>52.35</v>
      </c>
    </row>
    <row r="4658" spans="1:2" x14ac:dyDescent="0.25">
      <c r="A4658" s="4">
        <v>38436</v>
      </c>
      <c r="B4658" s="5"/>
    </row>
    <row r="4659" spans="1:2" x14ac:dyDescent="0.25">
      <c r="A4659" s="4">
        <v>38439</v>
      </c>
      <c r="B4659" s="6">
        <v>51.75</v>
      </c>
    </row>
    <row r="4660" spans="1:2" x14ac:dyDescent="0.25">
      <c r="A4660" s="4">
        <v>38440</v>
      </c>
      <c r="B4660" s="6">
        <v>51.42</v>
      </c>
    </row>
    <row r="4661" spans="1:2" x14ac:dyDescent="0.25">
      <c r="A4661" s="4">
        <v>38441</v>
      </c>
      <c r="B4661" s="6">
        <v>50.63</v>
      </c>
    </row>
    <row r="4662" spans="1:2" x14ac:dyDescent="0.25">
      <c r="A4662" s="4">
        <v>38442</v>
      </c>
      <c r="B4662" s="6">
        <v>53.22</v>
      </c>
    </row>
    <row r="4663" spans="1:2" x14ac:dyDescent="0.25">
      <c r="A4663" s="4">
        <v>38443</v>
      </c>
      <c r="B4663" s="6">
        <v>54.14</v>
      </c>
    </row>
    <row r="4664" spans="1:2" x14ac:dyDescent="0.25">
      <c r="A4664" s="4">
        <v>38446</v>
      </c>
      <c r="B4664" s="6">
        <v>55.92</v>
      </c>
    </row>
    <row r="4665" spans="1:2" x14ac:dyDescent="0.25">
      <c r="A4665" s="4">
        <v>38447</v>
      </c>
      <c r="B4665" s="6">
        <v>54.53</v>
      </c>
    </row>
    <row r="4666" spans="1:2" x14ac:dyDescent="0.25">
      <c r="A4666" s="4">
        <v>38448</v>
      </c>
      <c r="B4666" s="6">
        <v>54.08</v>
      </c>
    </row>
    <row r="4667" spans="1:2" x14ac:dyDescent="0.25">
      <c r="A4667" s="4">
        <v>38449</v>
      </c>
      <c r="B4667" s="6">
        <v>52.57</v>
      </c>
    </row>
    <row r="4668" spans="1:2" x14ac:dyDescent="0.25">
      <c r="A4668" s="4">
        <v>38450</v>
      </c>
      <c r="B4668" s="6">
        <v>51.83</v>
      </c>
    </row>
    <row r="4669" spans="1:2" x14ac:dyDescent="0.25">
      <c r="A4669" s="4">
        <v>38453</v>
      </c>
      <c r="B4669" s="6">
        <v>51.21</v>
      </c>
    </row>
    <row r="4670" spans="1:2" x14ac:dyDescent="0.25">
      <c r="A4670" s="4">
        <v>38454</v>
      </c>
      <c r="B4670" s="6">
        <v>51.53</v>
      </c>
    </row>
    <row r="4671" spans="1:2" x14ac:dyDescent="0.25">
      <c r="A4671" s="4">
        <v>38455</v>
      </c>
      <c r="B4671" s="6">
        <v>49.67</v>
      </c>
    </row>
    <row r="4672" spans="1:2" x14ac:dyDescent="0.25">
      <c r="A4672" s="4">
        <v>38456</v>
      </c>
      <c r="B4672" s="6">
        <v>50.21</v>
      </c>
    </row>
    <row r="4673" spans="1:2" x14ac:dyDescent="0.25">
      <c r="A4673" s="4">
        <v>38457</v>
      </c>
      <c r="B4673" s="6">
        <v>49.52</v>
      </c>
    </row>
    <row r="4674" spans="1:2" x14ac:dyDescent="0.25">
      <c r="A4674" s="4">
        <v>38460</v>
      </c>
      <c r="B4674" s="6">
        <v>48.58</v>
      </c>
    </row>
    <row r="4675" spans="1:2" x14ac:dyDescent="0.25">
      <c r="A4675" s="4">
        <v>38461</v>
      </c>
      <c r="B4675" s="6">
        <v>50.79</v>
      </c>
    </row>
    <row r="4676" spans="1:2" x14ac:dyDescent="0.25">
      <c r="A4676" s="4">
        <v>38462</v>
      </c>
      <c r="B4676" s="6">
        <v>51.53</v>
      </c>
    </row>
    <row r="4677" spans="1:2" x14ac:dyDescent="0.25">
      <c r="A4677" s="4">
        <v>38463</v>
      </c>
      <c r="B4677" s="6">
        <v>51.73</v>
      </c>
    </row>
    <row r="4678" spans="1:2" x14ac:dyDescent="0.25">
      <c r="A4678" s="4">
        <v>38464</v>
      </c>
      <c r="B4678" s="6">
        <v>53.51</v>
      </c>
    </row>
    <row r="4679" spans="1:2" x14ac:dyDescent="0.25">
      <c r="A4679" s="4">
        <v>38467</v>
      </c>
      <c r="B4679" s="6">
        <v>53.1</v>
      </c>
    </row>
    <row r="4680" spans="1:2" x14ac:dyDescent="0.25">
      <c r="A4680" s="4">
        <v>38468</v>
      </c>
      <c r="B4680" s="6">
        <v>52.47</v>
      </c>
    </row>
    <row r="4681" spans="1:2" x14ac:dyDescent="0.25">
      <c r="A4681" s="4">
        <v>38469</v>
      </c>
      <c r="B4681" s="6">
        <v>51.29</v>
      </c>
    </row>
    <row r="4682" spans="1:2" x14ac:dyDescent="0.25">
      <c r="A4682" s="4">
        <v>38470</v>
      </c>
      <c r="B4682" s="6">
        <v>50.74</v>
      </c>
    </row>
    <row r="4683" spans="1:2" x14ac:dyDescent="0.25">
      <c r="A4683" s="4">
        <v>38471</v>
      </c>
      <c r="B4683" s="6">
        <v>50.61</v>
      </c>
    </row>
    <row r="4684" spans="1:2" x14ac:dyDescent="0.25">
      <c r="A4684" s="4">
        <v>38474</v>
      </c>
      <c r="B4684" s="6">
        <v>50.89</v>
      </c>
    </row>
    <row r="4685" spans="1:2" x14ac:dyDescent="0.25">
      <c r="A4685" s="4">
        <v>38475</v>
      </c>
      <c r="B4685" s="6">
        <v>49.48</v>
      </c>
    </row>
    <row r="4686" spans="1:2" x14ac:dyDescent="0.25">
      <c r="A4686" s="4">
        <v>38476</v>
      </c>
      <c r="B4686" s="6">
        <v>50.36</v>
      </c>
    </row>
    <row r="4687" spans="1:2" x14ac:dyDescent="0.25">
      <c r="A4687" s="4">
        <v>38477</v>
      </c>
      <c r="B4687" s="6">
        <v>49.81</v>
      </c>
    </row>
    <row r="4688" spans="1:2" x14ac:dyDescent="0.25">
      <c r="A4688" s="4">
        <v>38478</v>
      </c>
      <c r="B4688" s="6">
        <v>49.7</v>
      </c>
    </row>
    <row r="4689" spans="1:2" x14ac:dyDescent="0.25">
      <c r="A4689" s="4">
        <v>38481</v>
      </c>
      <c r="B4689" s="6">
        <v>49.71</v>
      </c>
    </row>
    <row r="4690" spans="1:2" x14ac:dyDescent="0.25">
      <c r="A4690" s="4">
        <v>38482</v>
      </c>
      <c r="B4690" s="6">
        <v>50.61</v>
      </c>
    </row>
    <row r="4691" spans="1:2" x14ac:dyDescent="0.25">
      <c r="A4691" s="4">
        <v>38483</v>
      </c>
      <c r="B4691" s="6">
        <v>48.91</v>
      </c>
    </row>
    <row r="4692" spans="1:2" x14ac:dyDescent="0.25">
      <c r="A4692" s="4">
        <v>38484</v>
      </c>
      <c r="B4692" s="6">
        <v>47.4</v>
      </c>
    </row>
    <row r="4693" spans="1:2" x14ac:dyDescent="0.25">
      <c r="A4693" s="4">
        <v>38485</v>
      </c>
      <c r="B4693" s="6">
        <v>46.85</v>
      </c>
    </row>
    <row r="4694" spans="1:2" x14ac:dyDescent="0.25">
      <c r="A4694" s="4">
        <v>38488</v>
      </c>
      <c r="B4694" s="6">
        <v>46.42</v>
      </c>
    </row>
    <row r="4695" spans="1:2" x14ac:dyDescent="0.25">
      <c r="A4695" s="4">
        <v>38489</v>
      </c>
      <c r="B4695" s="6">
        <v>47.31</v>
      </c>
    </row>
    <row r="4696" spans="1:2" x14ac:dyDescent="0.25">
      <c r="A4696" s="4">
        <v>38490</v>
      </c>
      <c r="B4696" s="6">
        <v>47.35</v>
      </c>
    </row>
    <row r="4697" spans="1:2" x14ac:dyDescent="0.25">
      <c r="A4697" s="4">
        <v>38491</v>
      </c>
      <c r="B4697" s="6">
        <v>46.92</v>
      </c>
    </row>
    <row r="4698" spans="1:2" x14ac:dyDescent="0.25">
      <c r="A4698" s="4">
        <v>38492</v>
      </c>
      <c r="B4698" s="6">
        <v>46.91</v>
      </c>
    </row>
    <row r="4699" spans="1:2" x14ac:dyDescent="0.25">
      <c r="A4699" s="4">
        <v>38495</v>
      </c>
      <c r="B4699" s="6">
        <v>47.28</v>
      </c>
    </row>
    <row r="4700" spans="1:2" x14ac:dyDescent="0.25">
      <c r="A4700" s="4">
        <v>38496</v>
      </c>
      <c r="B4700" s="6">
        <v>47.29</v>
      </c>
    </row>
    <row r="4701" spans="1:2" x14ac:dyDescent="0.25">
      <c r="A4701" s="4">
        <v>38497</v>
      </c>
      <c r="B4701" s="6">
        <v>49.24</v>
      </c>
    </row>
    <row r="4702" spans="1:2" x14ac:dyDescent="0.25">
      <c r="A4702" s="4">
        <v>38498</v>
      </c>
      <c r="B4702" s="6">
        <v>49.71</v>
      </c>
    </row>
    <row r="4703" spans="1:2" x14ac:dyDescent="0.25">
      <c r="A4703" s="4">
        <v>38499</v>
      </c>
      <c r="B4703" s="6">
        <v>49.42</v>
      </c>
    </row>
    <row r="4704" spans="1:2" x14ac:dyDescent="0.25">
      <c r="A4704" s="4">
        <v>38502</v>
      </c>
      <c r="B4704" s="6">
        <v>49.33</v>
      </c>
    </row>
    <row r="4705" spans="1:2" x14ac:dyDescent="0.25">
      <c r="A4705" s="4">
        <v>38503</v>
      </c>
      <c r="B4705" s="6">
        <v>49.3</v>
      </c>
    </row>
    <row r="4706" spans="1:2" x14ac:dyDescent="0.25">
      <c r="A4706" s="4">
        <v>38504</v>
      </c>
      <c r="B4706" s="6">
        <v>50.46</v>
      </c>
    </row>
    <row r="4707" spans="1:2" x14ac:dyDescent="0.25">
      <c r="A4707" s="4">
        <v>38505</v>
      </c>
      <c r="B4707" s="6">
        <v>51.3</v>
      </c>
    </row>
    <row r="4708" spans="1:2" x14ac:dyDescent="0.25">
      <c r="A4708" s="4">
        <v>38506</v>
      </c>
      <c r="B4708" s="6">
        <v>51.9</v>
      </c>
    </row>
    <row r="4709" spans="1:2" x14ac:dyDescent="0.25">
      <c r="A4709" s="4">
        <v>38509</v>
      </c>
      <c r="B4709" s="6">
        <v>52.61</v>
      </c>
    </row>
    <row r="4710" spans="1:2" x14ac:dyDescent="0.25">
      <c r="A4710" s="4">
        <v>38510</v>
      </c>
      <c r="B4710" s="6">
        <v>51.62</v>
      </c>
    </row>
    <row r="4711" spans="1:2" x14ac:dyDescent="0.25">
      <c r="A4711" s="4">
        <v>38511</v>
      </c>
      <c r="B4711" s="6">
        <v>51.92</v>
      </c>
    </row>
    <row r="4712" spans="1:2" x14ac:dyDescent="0.25">
      <c r="A4712" s="4">
        <v>38512</v>
      </c>
      <c r="B4712" s="6">
        <v>51.36</v>
      </c>
    </row>
    <row r="4713" spans="1:2" x14ac:dyDescent="0.25">
      <c r="A4713" s="4">
        <v>38513</v>
      </c>
      <c r="B4713" s="6">
        <v>51.98</v>
      </c>
    </row>
    <row r="4714" spans="1:2" x14ac:dyDescent="0.25">
      <c r="A4714" s="4">
        <v>38516</v>
      </c>
      <c r="B4714" s="6">
        <v>52</v>
      </c>
    </row>
    <row r="4715" spans="1:2" x14ac:dyDescent="0.25">
      <c r="A4715" s="4">
        <v>38517</v>
      </c>
      <c r="B4715" s="6">
        <v>53.52</v>
      </c>
    </row>
    <row r="4716" spans="1:2" x14ac:dyDescent="0.25">
      <c r="A4716" s="4">
        <v>38518</v>
      </c>
      <c r="B4716" s="6">
        <v>54.12</v>
      </c>
    </row>
    <row r="4717" spans="1:2" x14ac:dyDescent="0.25">
      <c r="A4717" s="4">
        <v>38519</v>
      </c>
      <c r="B4717" s="6">
        <v>54.3</v>
      </c>
    </row>
    <row r="4718" spans="1:2" x14ac:dyDescent="0.25">
      <c r="A4718" s="4">
        <v>38520</v>
      </c>
      <c r="B4718" s="6">
        <v>56.92</v>
      </c>
    </row>
    <row r="4719" spans="1:2" x14ac:dyDescent="0.25">
      <c r="A4719" s="4">
        <v>38523</v>
      </c>
      <c r="B4719" s="6">
        <v>57.1</v>
      </c>
    </row>
    <row r="4720" spans="1:2" x14ac:dyDescent="0.25">
      <c r="A4720" s="4">
        <v>38524</v>
      </c>
      <c r="B4720" s="6">
        <v>57.36</v>
      </c>
    </row>
    <row r="4721" spans="1:2" x14ac:dyDescent="0.25">
      <c r="A4721" s="4">
        <v>38525</v>
      </c>
      <c r="B4721" s="6">
        <v>56.06</v>
      </c>
    </row>
    <row r="4722" spans="1:2" x14ac:dyDescent="0.25">
      <c r="A4722" s="4">
        <v>38526</v>
      </c>
      <c r="B4722" s="6">
        <v>57.03</v>
      </c>
    </row>
    <row r="4723" spans="1:2" x14ac:dyDescent="0.25">
      <c r="A4723" s="4">
        <v>38527</v>
      </c>
      <c r="B4723" s="6">
        <v>57.21</v>
      </c>
    </row>
    <row r="4724" spans="1:2" x14ac:dyDescent="0.25">
      <c r="A4724" s="4">
        <v>38530</v>
      </c>
      <c r="B4724" s="6">
        <v>58.5</v>
      </c>
    </row>
    <row r="4725" spans="1:2" x14ac:dyDescent="0.25">
      <c r="A4725" s="4">
        <v>38531</v>
      </c>
      <c r="B4725" s="6">
        <v>57.75</v>
      </c>
    </row>
    <row r="4726" spans="1:2" x14ac:dyDescent="0.25">
      <c r="A4726" s="4">
        <v>38532</v>
      </c>
      <c r="B4726" s="6">
        <v>55.42</v>
      </c>
    </row>
    <row r="4727" spans="1:2" x14ac:dyDescent="0.25">
      <c r="A4727" s="4">
        <v>38533</v>
      </c>
      <c r="B4727" s="6">
        <v>55.36</v>
      </c>
    </row>
    <row r="4728" spans="1:2" x14ac:dyDescent="0.25">
      <c r="A4728" s="4">
        <v>38534</v>
      </c>
      <c r="B4728" s="6">
        <v>56.41</v>
      </c>
    </row>
    <row r="4729" spans="1:2" x14ac:dyDescent="0.25">
      <c r="A4729" s="4">
        <v>38537</v>
      </c>
      <c r="B4729" s="6">
        <v>57.13</v>
      </c>
    </row>
    <row r="4730" spans="1:2" x14ac:dyDescent="0.25">
      <c r="A4730" s="4">
        <v>38538</v>
      </c>
      <c r="B4730" s="6">
        <v>57.86</v>
      </c>
    </row>
    <row r="4731" spans="1:2" x14ac:dyDescent="0.25">
      <c r="A4731" s="4">
        <v>38539</v>
      </c>
      <c r="B4731" s="6">
        <v>58.38</v>
      </c>
    </row>
    <row r="4732" spans="1:2" x14ac:dyDescent="0.25">
      <c r="A4732" s="4">
        <v>38540</v>
      </c>
      <c r="B4732" s="6">
        <v>57.55</v>
      </c>
    </row>
    <row r="4733" spans="1:2" x14ac:dyDescent="0.25">
      <c r="A4733" s="4">
        <v>38541</v>
      </c>
      <c r="B4733" s="6">
        <v>59</v>
      </c>
    </row>
    <row r="4734" spans="1:2" x14ac:dyDescent="0.25">
      <c r="A4734" s="4">
        <v>38544</v>
      </c>
      <c r="B4734" s="6">
        <v>56.1</v>
      </c>
    </row>
    <row r="4735" spans="1:2" x14ac:dyDescent="0.25">
      <c r="A4735" s="4">
        <v>38545</v>
      </c>
      <c r="B4735" s="6">
        <v>58.95</v>
      </c>
    </row>
    <row r="4736" spans="1:2" x14ac:dyDescent="0.25">
      <c r="A4736" s="4">
        <v>38546</v>
      </c>
      <c r="B4736" s="6">
        <v>58.33</v>
      </c>
    </row>
    <row r="4737" spans="1:2" x14ac:dyDescent="0.25">
      <c r="A4737" s="4">
        <v>38547</v>
      </c>
      <c r="B4737" s="6">
        <v>56.79</v>
      </c>
    </row>
    <row r="4738" spans="1:2" x14ac:dyDescent="0.25">
      <c r="A4738" s="4">
        <v>38548</v>
      </c>
      <c r="B4738" s="6">
        <v>56.98</v>
      </c>
    </row>
    <row r="4739" spans="1:2" x14ac:dyDescent="0.25">
      <c r="A4739" s="4">
        <v>38551</v>
      </c>
      <c r="B4739" s="6">
        <v>56.25</v>
      </c>
    </row>
    <row r="4740" spans="1:2" x14ac:dyDescent="0.25">
      <c r="A4740" s="4">
        <v>38552</v>
      </c>
      <c r="B4740" s="6">
        <v>56.75</v>
      </c>
    </row>
    <row r="4741" spans="1:2" x14ac:dyDescent="0.25">
      <c r="A4741" s="4">
        <v>38553</v>
      </c>
      <c r="B4741" s="6">
        <v>56.39</v>
      </c>
    </row>
    <row r="4742" spans="1:2" x14ac:dyDescent="0.25">
      <c r="A4742" s="4">
        <v>38554</v>
      </c>
      <c r="B4742" s="6">
        <v>55.59</v>
      </c>
    </row>
    <row r="4743" spans="1:2" x14ac:dyDescent="0.25">
      <c r="A4743" s="4">
        <v>38555</v>
      </c>
      <c r="B4743" s="6">
        <v>56.98</v>
      </c>
    </row>
    <row r="4744" spans="1:2" x14ac:dyDescent="0.25">
      <c r="A4744" s="4">
        <v>38558</v>
      </c>
      <c r="B4744" s="6">
        <v>57.51</v>
      </c>
    </row>
    <row r="4745" spans="1:2" x14ac:dyDescent="0.25">
      <c r="A4745" s="4">
        <v>38559</v>
      </c>
      <c r="B4745" s="6">
        <v>58.58</v>
      </c>
    </row>
    <row r="4746" spans="1:2" x14ac:dyDescent="0.25">
      <c r="A4746" s="4">
        <v>38560</v>
      </c>
      <c r="B4746" s="6">
        <v>58.34</v>
      </c>
    </row>
    <row r="4747" spans="1:2" x14ac:dyDescent="0.25">
      <c r="A4747" s="4">
        <v>38561</v>
      </c>
      <c r="B4747" s="6">
        <v>58.28</v>
      </c>
    </row>
    <row r="4748" spans="1:2" x14ac:dyDescent="0.25">
      <c r="A4748" s="4">
        <v>38562</v>
      </c>
      <c r="B4748" s="6">
        <v>59.77</v>
      </c>
    </row>
    <row r="4749" spans="1:2" x14ac:dyDescent="0.25">
      <c r="A4749" s="4">
        <v>38565</v>
      </c>
      <c r="B4749" s="6">
        <v>60.56</v>
      </c>
    </row>
    <row r="4750" spans="1:2" x14ac:dyDescent="0.25">
      <c r="A4750" s="4">
        <v>38566</v>
      </c>
      <c r="B4750" s="6">
        <v>60.13</v>
      </c>
    </row>
    <row r="4751" spans="1:2" x14ac:dyDescent="0.25">
      <c r="A4751" s="4">
        <v>38567</v>
      </c>
      <c r="B4751" s="6">
        <v>60.04</v>
      </c>
    </row>
    <row r="4752" spans="1:2" x14ac:dyDescent="0.25">
      <c r="A4752" s="4">
        <v>38568</v>
      </c>
      <c r="B4752" s="6">
        <v>60.62</v>
      </c>
    </row>
    <row r="4753" spans="1:2" x14ac:dyDescent="0.25">
      <c r="A4753" s="4">
        <v>38569</v>
      </c>
      <c r="B4753" s="6">
        <v>60.73</v>
      </c>
    </row>
    <row r="4754" spans="1:2" x14ac:dyDescent="0.25">
      <c r="A4754" s="4">
        <v>38572</v>
      </c>
      <c r="B4754" s="6">
        <v>62.56</v>
      </c>
    </row>
    <row r="4755" spans="1:2" x14ac:dyDescent="0.25">
      <c r="A4755" s="4">
        <v>38573</v>
      </c>
      <c r="B4755" s="6">
        <v>62.79</v>
      </c>
    </row>
    <row r="4756" spans="1:2" x14ac:dyDescent="0.25">
      <c r="A4756" s="4">
        <v>38574</v>
      </c>
      <c r="B4756" s="6">
        <v>63.77</v>
      </c>
    </row>
    <row r="4757" spans="1:2" x14ac:dyDescent="0.25">
      <c r="A4757" s="4">
        <v>38575</v>
      </c>
      <c r="B4757" s="6">
        <v>65.900000000000006</v>
      </c>
    </row>
    <row r="4758" spans="1:2" x14ac:dyDescent="0.25">
      <c r="A4758" s="4">
        <v>38576</v>
      </c>
      <c r="B4758" s="6">
        <v>67.260000000000005</v>
      </c>
    </row>
    <row r="4759" spans="1:2" x14ac:dyDescent="0.25">
      <c r="A4759" s="4">
        <v>38579</v>
      </c>
      <c r="B4759" s="6">
        <v>66.680000000000007</v>
      </c>
    </row>
    <row r="4760" spans="1:2" x14ac:dyDescent="0.25">
      <c r="A4760" s="4">
        <v>38580</v>
      </c>
      <c r="B4760" s="6">
        <v>65.099999999999994</v>
      </c>
    </row>
    <row r="4761" spans="1:2" x14ac:dyDescent="0.25">
      <c r="A4761" s="4">
        <v>38581</v>
      </c>
      <c r="B4761" s="6">
        <v>63.41</v>
      </c>
    </row>
    <row r="4762" spans="1:2" x14ac:dyDescent="0.25">
      <c r="A4762" s="4">
        <v>38582</v>
      </c>
      <c r="B4762" s="6">
        <v>61.75</v>
      </c>
    </row>
    <row r="4763" spans="1:2" x14ac:dyDescent="0.25">
      <c r="A4763" s="4">
        <v>38583</v>
      </c>
      <c r="B4763" s="6">
        <v>64.209999999999994</v>
      </c>
    </row>
    <row r="4764" spans="1:2" x14ac:dyDescent="0.25">
      <c r="A4764" s="4">
        <v>38586</v>
      </c>
      <c r="B4764" s="6">
        <v>65.87</v>
      </c>
    </row>
    <row r="4765" spans="1:2" x14ac:dyDescent="0.25">
      <c r="A4765" s="4">
        <v>38587</v>
      </c>
      <c r="B4765" s="6">
        <v>65.16</v>
      </c>
    </row>
    <row r="4766" spans="1:2" x14ac:dyDescent="0.25">
      <c r="A4766" s="4">
        <v>38588</v>
      </c>
      <c r="B4766" s="6">
        <v>65.25</v>
      </c>
    </row>
    <row r="4767" spans="1:2" x14ac:dyDescent="0.25">
      <c r="A4767" s="4">
        <v>38589</v>
      </c>
      <c r="B4767" s="6">
        <v>65.88</v>
      </c>
    </row>
    <row r="4768" spans="1:2" x14ac:dyDescent="0.25">
      <c r="A4768" s="4">
        <v>38590</v>
      </c>
      <c r="B4768" s="6">
        <v>66.23</v>
      </c>
    </row>
    <row r="4769" spans="1:2" x14ac:dyDescent="0.25">
      <c r="A4769" s="4">
        <v>38593</v>
      </c>
      <c r="B4769" s="6">
        <v>64.77</v>
      </c>
    </row>
    <row r="4770" spans="1:2" x14ac:dyDescent="0.25">
      <c r="A4770" s="4">
        <v>38594</v>
      </c>
      <c r="B4770" s="6">
        <v>66.150000000000006</v>
      </c>
    </row>
    <row r="4771" spans="1:2" x14ac:dyDescent="0.25">
      <c r="A4771" s="4">
        <v>38595</v>
      </c>
      <c r="B4771" s="6">
        <v>66.8</v>
      </c>
    </row>
    <row r="4772" spans="1:2" x14ac:dyDescent="0.25">
      <c r="A4772" s="4">
        <v>38596</v>
      </c>
      <c r="B4772" s="6">
        <v>66.790000000000006</v>
      </c>
    </row>
    <row r="4773" spans="1:2" x14ac:dyDescent="0.25">
      <c r="A4773" s="4">
        <v>38597</v>
      </c>
      <c r="B4773" s="6">
        <v>65.95</v>
      </c>
    </row>
    <row r="4774" spans="1:2" x14ac:dyDescent="0.25">
      <c r="A4774" s="4">
        <v>38600</v>
      </c>
      <c r="B4774" s="6">
        <v>64.16</v>
      </c>
    </row>
    <row r="4775" spans="1:2" x14ac:dyDescent="0.25">
      <c r="A4775" s="4">
        <v>38601</v>
      </c>
      <c r="B4775" s="6">
        <v>64.16</v>
      </c>
    </row>
    <row r="4776" spans="1:2" x14ac:dyDescent="0.25">
      <c r="A4776" s="4">
        <v>38602</v>
      </c>
      <c r="B4776" s="6">
        <v>63.6</v>
      </c>
    </row>
    <row r="4777" spans="1:2" x14ac:dyDescent="0.25">
      <c r="A4777" s="4">
        <v>38603</v>
      </c>
      <c r="B4777" s="6">
        <v>61.66</v>
      </c>
    </row>
    <row r="4778" spans="1:2" x14ac:dyDescent="0.25">
      <c r="A4778" s="4">
        <v>38604</v>
      </c>
      <c r="B4778" s="6">
        <v>62.62</v>
      </c>
    </row>
    <row r="4779" spans="1:2" x14ac:dyDescent="0.25">
      <c r="A4779" s="4">
        <v>38607</v>
      </c>
      <c r="B4779" s="6">
        <v>60.69</v>
      </c>
    </row>
    <row r="4780" spans="1:2" x14ac:dyDescent="0.25">
      <c r="A4780" s="4">
        <v>38608</v>
      </c>
      <c r="B4780" s="6">
        <v>61.31</v>
      </c>
    </row>
    <row r="4781" spans="1:2" x14ac:dyDescent="0.25">
      <c r="A4781" s="4">
        <v>38609</v>
      </c>
      <c r="B4781" s="6">
        <v>61.7</v>
      </c>
    </row>
    <row r="4782" spans="1:2" x14ac:dyDescent="0.25">
      <c r="A4782" s="4">
        <v>38610</v>
      </c>
      <c r="B4782" s="6">
        <v>61.9</v>
      </c>
    </row>
    <row r="4783" spans="1:2" x14ac:dyDescent="0.25">
      <c r="A4783" s="4">
        <v>38611</v>
      </c>
      <c r="B4783" s="6">
        <v>60.48</v>
      </c>
    </row>
    <row r="4784" spans="1:2" x14ac:dyDescent="0.25">
      <c r="A4784" s="4">
        <v>38614</v>
      </c>
      <c r="B4784" s="6">
        <v>64.040000000000006</v>
      </c>
    </row>
    <row r="4785" spans="1:2" x14ac:dyDescent="0.25">
      <c r="A4785" s="4">
        <v>38615</v>
      </c>
      <c r="B4785" s="6">
        <v>62.98</v>
      </c>
    </row>
    <row r="4786" spans="1:2" x14ac:dyDescent="0.25">
      <c r="A4786" s="4">
        <v>38616</v>
      </c>
      <c r="B4786" s="6">
        <v>64.31</v>
      </c>
    </row>
    <row r="4787" spans="1:2" x14ac:dyDescent="0.25">
      <c r="A4787" s="4">
        <v>38617</v>
      </c>
      <c r="B4787" s="6">
        <v>64.64</v>
      </c>
    </row>
    <row r="4788" spans="1:2" x14ac:dyDescent="0.25">
      <c r="A4788" s="4">
        <v>38618</v>
      </c>
      <c r="B4788" s="6">
        <v>62.17</v>
      </c>
    </row>
    <row r="4789" spans="1:2" x14ac:dyDescent="0.25">
      <c r="A4789" s="4">
        <v>38621</v>
      </c>
      <c r="B4789" s="6">
        <v>61.73</v>
      </c>
    </row>
    <row r="4790" spans="1:2" x14ac:dyDescent="0.25">
      <c r="A4790" s="4">
        <v>38622</v>
      </c>
      <c r="B4790" s="6">
        <v>62.56</v>
      </c>
    </row>
    <row r="4791" spans="1:2" x14ac:dyDescent="0.25">
      <c r="A4791" s="4">
        <v>38623</v>
      </c>
      <c r="B4791" s="6">
        <v>62.81</v>
      </c>
    </row>
    <row r="4792" spans="1:2" x14ac:dyDescent="0.25">
      <c r="A4792" s="4">
        <v>38624</v>
      </c>
      <c r="B4792" s="6">
        <v>62.02</v>
      </c>
    </row>
    <row r="4793" spans="1:2" x14ac:dyDescent="0.25">
      <c r="A4793" s="4">
        <v>38625</v>
      </c>
      <c r="B4793" s="6">
        <v>61.7</v>
      </c>
    </row>
    <row r="4794" spans="1:2" x14ac:dyDescent="0.25">
      <c r="A4794" s="4">
        <v>38628</v>
      </c>
      <c r="B4794" s="6">
        <v>61.64</v>
      </c>
    </row>
    <row r="4795" spans="1:2" x14ac:dyDescent="0.25">
      <c r="A4795" s="4">
        <v>38629</v>
      </c>
      <c r="B4795" s="6">
        <v>59.17</v>
      </c>
    </row>
    <row r="4796" spans="1:2" x14ac:dyDescent="0.25">
      <c r="A4796" s="4">
        <v>38630</v>
      </c>
      <c r="B4796" s="6">
        <v>59.33</v>
      </c>
    </row>
    <row r="4797" spans="1:2" x14ac:dyDescent="0.25">
      <c r="A4797" s="4">
        <v>38631</v>
      </c>
      <c r="B4797" s="6">
        <v>57.2</v>
      </c>
    </row>
    <row r="4798" spans="1:2" x14ac:dyDescent="0.25">
      <c r="A4798" s="4">
        <v>38632</v>
      </c>
      <c r="B4798" s="6">
        <v>57.29</v>
      </c>
    </row>
    <row r="4799" spans="1:2" x14ac:dyDescent="0.25">
      <c r="A4799" s="4">
        <v>38635</v>
      </c>
      <c r="B4799" s="6">
        <v>57.01</v>
      </c>
    </row>
    <row r="4800" spans="1:2" x14ac:dyDescent="0.25">
      <c r="A4800" s="4">
        <v>38636</v>
      </c>
      <c r="B4800" s="6">
        <v>58.1</v>
      </c>
    </row>
    <row r="4801" spans="1:2" x14ac:dyDescent="0.25">
      <c r="A4801" s="4">
        <v>38637</v>
      </c>
      <c r="B4801" s="6">
        <v>59.91</v>
      </c>
    </row>
    <row r="4802" spans="1:2" x14ac:dyDescent="0.25">
      <c r="A4802" s="4">
        <v>38638</v>
      </c>
      <c r="B4802" s="6">
        <v>59.48</v>
      </c>
    </row>
    <row r="4803" spans="1:2" x14ac:dyDescent="0.25">
      <c r="A4803" s="4">
        <v>38639</v>
      </c>
      <c r="B4803" s="6">
        <v>58.45</v>
      </c>
    </row>
    <row r="4804" spans="1:2" x14ac:dyDescent="0.25">
      <c r="A4804" s="4">
        <v>38642</v>
      </c>
      <c r="B4804" s="6">
        <v>59.81</v>
      </c>
    </row>
    <row r="4805" spans="1:2" x14ac:dyDescent="0.25">
      <c r="A4805" s="4">
        <v>38643</v>
      </c>
      <c r="B4805" s="6">
        <v>58.85</v>
      </c>
    </row>
    <row r="4806" spans="1:2" x14ac:dyDescent="0.25">
      <c r="A4806" s="4">
        <v>38644</v>
      </c>
      <c r="B4806" s="6">
        <v>58.13</v>
      </c>
    </row>
    <row r="4807" spans="1:2" x14ac:dyDescent="0.25">
      <c r="A4807" s="4">
        <v>38645</v>
      </c>
      <c r="B4807" s="6">
        <v>57.04</v>
      </c>
    </row>
    <row r="4808" spans="1:2" x14ac:dyDescent="0.25">
      <c r="A4808" s="4">
        <v>38646</v>
      </c>
      <c r="B4808" s="6">
        <v>56.94</v>
      </c>
    </row>
    <row r="4809" spans="1:2" x14ac:dyDescent="0.25">
      <c r="A4809" s="4">
        <v>38649</v>
      </c>
      <c r="B4809" s="6">
        <v>57.64</v>
      </c>
    </row>
    <row r="4810" spans="1:2" x14ac:dyDescent="0.25">
      <c r="A4810" s="4">
        <v>38650</v>
      </c>
      <c r="B4810" s="6">
        <v>58.72</v>
      </c>
    </row>
    <row r="4811" spans="1:2" x14ac:dyDescent="0.25">
      <c r="A4811" s="4">
        <v>38651</v>
      </c>
      <c r="B4811" s="6">
        <v>58.56</v>
      </c>
    </row>
    <row r="4812" spans="1:2" x14ac:dyDescent="0.25">
      <c r="A4812" s="4">
        <v>38652</v>
      </c>
      <c r="B4812" s="6">
        <v>58.1</v>
      </c>
    </row>
    <row r="4813" spans="1:2" x14ac:dyDescent="0.25">
      <c r="A4813" s="4">
        <v>38653</v>
      </c>
      <c r="B4813" s="6">
        <v>59.47</v>
      </c>
    </row>
    <row r="4814" spans="1:2" x14ac:dyDescent="0.25">
      <c r="A4814" s="4">
        <v>38656</v>
      </c>
      <c r="B4814" s="6">
        <v>58.47</v>
      </c>
    </row>
    <row r="4815" spans="1:2" x14ac:dyDescent="0.25">
      <c r="A4815" s="4">
        <v>38657</v>
      </c>
      <c r="B4815" s="6">
        <v>56.69</v>
      </c>
    </row>
    <row r="4816" spans="1:2" x14ac:dyDescent="0.25">
      <c r="A4816" s="4">
        <v>38658</v>
      </c>
      <c r="B4816" s="6">
        <v>58.53</v>
      </c>
    </row>
    <row r="4817" spans="1:2" x14ac:dyDescent="0.25">
      <c r="A4817" s="4">
        <v>38659</v>
      </c>
      <c r="B4817" s="6">
        <v>59.55</v>
      </c>
    </row>
    <row r="4818" spans="1:2" x14ac:dyDescent="0.25">
      <c r="A4818" s="4">
        <v>38660</v>
      </c>
      <c r="B4818" s="6">
        <v>60.48</v>
      </c>
    </row>
    <row r="4819" spans="1:2" x14ac:dyDescent="0.25">
      <c r="A4819" s="4">
        <v>38663</v>
      </c>
      <c r="B4819" s="6">
        <v>58.19</v>
      </c>
    </row>
    <row r="4820" spans="1:2" x14ac:dyDescent="0.25">
      <c r="A4820" s="4">
        <v>38664</v>
      </c>
      <c r="B4820" s="6">
        <v>57.89</v>
      </c>
    </row>
    <row r="4821" spans="1:2" x14ac:dyDescent="0.25">
      <c r="A4821" s="4">
        <v>38665</v>
      </c>
      <c r="B4821" s="6">
        <v>57.71</v>
      </c>
    </row>
    <row r="4822" spans="1:2" x14ac:dyDescent="0.25">
      <c r="A4822" s="4">
        <v>38666</v>
      </c>
      <c r="B4822" s="6">
        <v>55.85</v>
      </c>
    </row>
    <row r="4823" spans="1:2" x14ac:dyDescent="0.25">
      <c r="A4823" s="4">
        <v>38667</v>
      </c>
      <c r="B4823" s="6">
        <v>54.3</v>
      </c>
    </row>
    <row r="4824" spans="1:2" x14ac:dyDescent="0.25">
      <c r="A4824" s="4">
        <v>38670</v>
      </c>
      <c r="B4824" s="6">
        <v>54.1</v>
      </c>
    </row>
    <row r="4825" spans="1:2" x14ac:dyDescent="0.25">
      <c r="A4825" s="4">
        <v>38671</v>
      </c>
      <c r="B4825" s="6">
        <v>54.45</v>
      </c>
    </row>
    <row r="4826" spans="1:2" x14ac:dyDescent="0.25">
      <c r="A4826" s="4">
        <v>38672</v>
      </c>
      <c r="B4826" s="6">
        <v>53.68</v>
      </c>
    </row>
    <row r="4827" spans="1:2" x14ac:dyDescent="0.25">
      <c r="A4827" s="4">
        <v>38673</v>
      </c>
      <c r="B4827" s="6">
        <v>53.8</v>
      </c>
    </row>
    <row r="4828" spans="1:2" x14ac:dyDescent="0.25">
      <c r="A4828" s="4">
        <v>38674</v>
      </c>
      <c r="B4828" s="6">
        <v>52.84</v>
      </c>
    </row>
    <row r="4829" spans="1:2" x14ac:dyDescent="0.25">
      <c r="A4829" s="4">
        <v>38677</v>
      </c>
      <c r="B4829" s="6">
        <v>53.36</v>
      </c>
    </row>
    <row r="4830" spans="1:2" x14ac:dyDescent="0.25">
      <c r="A4830" s="4">
        <v>38678</v>
      </c>
      <c r="B4830" s="6">
        <v>54.21</v>
      </c>
    </row>
    <row r="4831" spans="1:2" x14ac:dyDescent="0.25">
      <c r="A4831" s="4">
        <v>38679</v>
      </c>
      <c r="B4831" s="6">
        <v>53.73</v>
      </c>
    </row>
    <row r="4832" spans="1:2" x14ac:dyDescent="0.25">
      <c r="A4832" s="4">
        <v>38680</v>
      </c>
      <c r="B4832" s="6">
        <v>53.41</v>
      </c>
    </row>
    <row r="4833" spans="1:2" x14ac:dyDescent="0.25">
      <c r="A4833" s="4">
        <v>38681</v>
      </c>
      <c r="B4833" s="6">
        <v>53.15</v>
      </c>
    </row>
    <row r="4834" spans="1:2" x14ac:dyDescent="0.25">
      <c r="A4834" s="4">
        <v>38684</v>
      </c>
      <c r="B4834" s="6">
        <v>52.91</v>
      </c>
    </row>
    <row r="4835" spans="1:2" x14ac:dyDescent="0.25">
      <c r="A4835" s="4">
        <v>38685</v>
      </c>
      <c r="B4835" s="6">
        <v>53.24</v>
      </c>
    </row>
    <row r="4836" spans="1:2" x14ac:dyDescent="0.25">
      <c r="A4836" s="4">
        <v>38686</v>
      </c>
      <c r="B4836" s="6">
        <v>53.25</v>
      </c>
    </row>
    <row r="4837" spans="1:2" x14ac:dyDescent="0.25">
      <c r="A4837" s="4">
        <v>38687</v>
      </c>
      <c r="B4837" s="6">
        <v>53.65</v>
      </c>
    </row>
    <row r="4838" spans="1:2" x14ac:dyDescent="0.25">
      <c r="A4838" s="4">
        <v>38688</v>
      </c>
      <c r="B4838" s="6">
        <v>54.91</v>
      </c>
    </row>
    <row r="4839" spans="1:2" x14ac:dyDescent="0.25">
      <c r="A4839" s="4">
        <v>38691</v>
      </c>
      <c r="B4839" s="6">
        <v>56.05</v>
      </c>
    </row>
    <row r="4840" spans="1:2" x14ac:dyDescent="0.25">
      <c r="A4840" s="4">
        <v>38692</v>
      </c>
      <c r="B4840" s="6">
        <v>55.68</v>
      </c>
    </row>
    <row r="4841" spans="1:2" x14ac:dyDescent="0.25">
      <c r="A4841" s="4">
        <v>38693</v>
      </c>
      <c r="B4841" s="6">
        <v>55.17</v>
      </c>
    </row>
    <row r="4842" spans="1:2" x14ac:dyDescent="0.25">
      <c r="A4842" s="4">
        <v>38694</v>
      </c>
      <c r="B4842" s="6">
        <v>56.26</v>
      </c>
    </row>
    <row r="4843" spans="1:2" x14ac:dyDescent="0.25">
      <c r="A4843" s="4">
        <v>38695</v>
      </c>
      <c r="B4843" s="6">
        <v>57.18</v>
      </c>
    </row>
    <row r="4844" spans="1:2" x14ac:dyDescent="0.25">
      <c r="A4844" s="4">
        <v>38698</v>
      </c>
      <c r="B4844" s="6">
        <v>57.23</v>
      </c>
    </row>
    <row r="4845" spans="1:2" x14ac:dyDescent="0.25">
      <c r="A4845" s="4">
        <v>38699</v>
      </c>
      <c r="B4845" s="6">
        <v>59.16</v>
      </c>
    </row>
    <row r="4846" spans="1:2" x14ac:dyDescent="0.25">
      <c r="A4846" s="4">
        <v>38700</v>
      </c>
      <c r="B4846" s="6">
        <v>59.59</v>
      </c>
    </row>
    <row r="4847" spans="1:2" x14ac:dyDescent="0.25">
      <c r="A4847" s="4">
        <v>38701</v>
      </c>
      <c r="B4847" s="6">
        <v>59.67</v>
      </c>
    </row>
    <row r="4848" spans="1:2" x14ac:dyDescent="0.25">
      <c r="A4848" s="4">
        <v>38702</v>
      </c>
      <c r="B4848" s="6">
        <v>58.11</v>
      </c>
    </row>
    <row r="4849" spans="1:2" x14ac:dyDescent="0.25">
      <c r="A4849" s="4">
        <v>38705</v>
      </c>
      <c r="B4849" s="6">
        <v>56.09</v>
      </c>
    </row>
    <row r="4850" spans="1:2" x14ac:dyDescent="0.25">
      <c r="A4850" s="4">
        <v>38706</v>
      </c>
      <c r="B4850" s="6">
        <v>56.08</v>
      </c>
    </row>
    <row r="4851" spans="1:2" x14ac:dyDescent="0.25">
      <c r="A4851" s="4">
        <v>38707</v>
      </c>
      <c r="B4851" s="6">
        <v>56.05</v>
      </c>
    </row>
    <row r="4852" spans="1:2" x14ac:dyDescent="0.25">
      <c r="A4852" s="4">
        <v>38708</v>
      </c>
      <c r="B4852" s="6">
        <v>57.3</v>
      </c>
    </row>
    <row r="4853" spans="1:2" x14ac:dyDescent="0.25">
      <c r="A4853" s="4">
        <v>38709</v>
      </c>
      <c r="B4853" s="6">
        <v>56.28</v>
      </c>
    </row>
    <row r="4854" spans="1:2" x14ac:dyDescent="0.25">
      <c r="A4854" s="4">
        <v>38712</v>
      </c>
      <c r="B4854" s="6">
        <v>56.54</v>
      </c>
    </row>
    <row r="4855" spans="1:2" x14ac:dyDescent="0.25">
      <c r="A4855" s="4">
        <v>38713</v>
      </c>
      <c r="B4855" s="5"/>
    </row>
    <row r="4856" spans="1:2" x14ac:dyDescent="0.25">
      <c r="A4856" s="4">
        <v>38714</v>
      </c>
      <c r="B4856" s="6">
        <v>56.91</v>
      </c>
    </row>
    <row r="4857" spans="1:2" x14ac:dyDescent="0.25">
      <c r="A4857" s="4">
        <v>38715</v>
      </c>
      <c r="B4857" s="6">
        <v>57.72</v>
      </c>
    </row>
    <row r="4858" spans="1:2" x14ac:dyDescent="0.25">
      <c r="A4858" s="4">
        <v>38716</v>
      </c>
      <c r="B4858" s="6">
        <v>58.34</v>
      </c>
    </row>
    <row r="4859" spans="1:2" x14ac:dyDescent="0.25">
      <c r="A4859" s="4">
        <v>38719</v>
      </c>
      <c r="B4859" s="5"/>
    </row>
    <row r="4860" spans="1:2" x14ac:dyDescent="0.25">
      <c r="A4860" s="4">
        <v>38720</v>
      </c>
      <c r="B4860" s="6">
        <v>61.51</v>
      </c>
    </row>
    <row r="4861" spans="1:2" x14ac:dyDescent="0.25">
      <c r="A4861" s="4">
        <v>38721</v>
      </c>
      <c r="B4861" s="6">
        <v>61.25</v>
      </c>
    </row>
    <row r="4862" spans="1:2" x14ac:dyDescent="0.25">
      <c r="A4862" s="4">
        <v>38722</v>
      </c>
      <c r="B4862" s="6">
        <v>61.68</v>
      </c>
    </row>
    <row r="4863" spans="1:2" x14ac:dyDescent="0.25">
      <c r="A4863" s="4">
        <v>38723</v>
      </c>
      <c r="B4863" s="6">
        <v>62.43</v>
      </c>
    </row>
    <row r="4864" spans="1:2" x14ac:dyDescent="0.25">
      <c r="A4864" s="4">
        <v>38726</v>
      </c>
      <c r="B4864" s="6">
        <v>62.51</v>
      </c>
    </row>
    <row r="4865" spans="1:2" x14ac:dyDescent="0.25">
      <c r="A4865" s="4">
        <v>38727</v>
      </c>
      <c r="B4865" s="6">
        <v>62.32</v>
      </c>
    </row>
    <row r="4866" spans="1:2" x14ac:dyDescent="0.25">
      <c r="A4866" s="4">
        <v>38728</v>
      </c>
      <c r="B4866" s="6">
        <v>61.54</v>
      </c>
    </row>
    <row r="4867" spans="1:2" x14ac:dyDescent="0.25">
      <c r="A4867" s="4">
        <v>38729</v>
      </c>
      <c r="B4867" s="6">
        <v>62.95</v>
      </c>
    </row>
    <row r="4868" spans="1:2" x14ac:dyDescent="0.25">
      <c r="A4868" s="4">
        <v>38730</v>
      </c>
      <c r="B4868" s="6">
        <v>61.58</v>
      </c>
    </row>
    <row r="4869" spans="1:2" x14ac:dyDescent="0.25">
      <c r="A4869" s="4">
        <v>38733</v>
      </c>
      <c r="B4869" s="6">
        <v>62.34</v>
      </c>
    </row>
    <row r="4870" spans="1:2" x14ac:dyDescent="0.25">
      <c r="A4870" s="4">
        <v>38734</v>
      </c>
      <c r="B4870" s="6">
        <v>63.22</v>
      </c>
    </row>
    <row r="4871" spans="1:2" x14ac:dyDescent="0.25">
      <c r="A4871" s="4">
        <v>38735</v>
      </c>
      <c r="B4871" s="6">
        <v>63.6</v>
      </c>
    </row>
    <row r="4872" spans="1:2" x14ac:dyDescent="0.25">
      <c r="A4872" s="4">
        <v>38736</v>
      </c>
      <c r="B4872" s="6">
        <v>63.64</v>
      </c>
    </row>
    <row r="4873" spans="1:2" x14ac:dyDescent="0.25">
      <c r="A4873" s="4">
        <v>38737</v>
      </c>
      <c r="B4873" s="6">
        <v>64.92</v>
      </c>
    </row>
    <row r="4874" spans="1:2" x14ac:dyDescent="0.25">
      <c r="A4874" s="4">
        <v>38740</v>
      </c>
      <c r="B4874" s="6">
        <v>64.56</v>
      </c>
    </row>
    <row r="4875" spans="1:2" x14ac:dyDescent="0.25">
      <c r="A4875" s="4">
        <v>38741</v>
      </c>
      <c r="B4875" s="6">
        <v>63.82</v>
      </c>
    </row>
    <row r="4876" spans="1:2" x14ac:dyDescent="0.25">
      <c r="A4876" s="4">
        <v>38742</v>
      </c>
      <c r="B4876" s="6">
        <v>62.61</v>
      </c>
    </row>
    <row r="4877" spans="1:2" x14ac:dyDescent="0.25">
      <c r="A4877" s="4">
        <v>38743</v>
      </c>
      <c r="B4877" s="6">
        <v>62.93</v>
      </c>
    </row>
    <row r="4878" spans="1:2" x14ac:dyDescent="0.25">
      <c r="A4878" s="4">
        <v>38744</v>
      </c>
      <c r="B4878" s="6">
        <v>64.95</v>
      </c>
    </row>
    <row r="4879" spans="1:2" x14ac:dyDescent="0.25">
      <c r="A4879" s="4">
        <v>38747</v>
      </c>
      <c r="B4879" s="6">
        <v>65.14</v>
      </c>
    </row>
    <row r="4880" spans="1:2" x14ac:dyDescent="0.25">
      <c r="A4880" s="4">
        <v>38748</v>
      </c>
      <c r="B4880" s="6">
        <v>63.19</v>
      </c>
    </row>
    <row r="4881" spans="1:2" x14ac:dyDescent="0.25">
      <c r="A4881" s="4">
        <v>38749</v>
      </c>
      <c r="B4881" s="6">
        <v>65.64</v>
      </c>
    </row>
    <row r="4882" spans="1:2" x14ac:dyDescent="0.25">
      <c r="A4882" s="4">
        <v>38750</v>
      </c>
      <c r="B4882" s="6">
        <v>63.49</v>
      </c>
    </row>
    <row r="4883" spans="1:2" x14ac:dyDescent="0.25">
      <c r="A4883" s="4">
        <v>38751</v>
      </c>
      <c r="B4883" s="6">
        <v>62.54</v>
      </c>
    </row>
    <row r="4884" spans="1:2" x14ac:dyDescent="0.25">
      <c r="A4884" s="4">
        <v>38754</v>
      </c>
      <c r="B4884" s="6">
        <v>63.32</v>
      </c>
    </row>
    <row r="4885" spans="1:2" x14ac:dyDescent="0.25">
      <c r="A4885" s="4">
        <v>38755</v>
      </c>
      <c r="B4885" s="6">
        <v>61.64</v>
      </c>
    </row>
    <row r="4886" spans="1:2" x14ac:dyDescent="0.25">
      <c r="A4886" s="4">
        <v>38756</v>
      </c>
      <c r="B4886" s="6">
        <v>60.82</v>
      </c>
    </row>
    <row r="4887" spans="1:2" x14ac:dyDescent="0.25">
      <c r="A4887" s="4">
        <v>38757</v>
      </c>
      <c r="B4887" s="6">
        <v>60.7</v>
      </c>
    </row>
    <row r="4888" spans="1:2" x14ac:dyDescent="0.25">
      <c r="A4888" s="4">
        <v>38758</v>
      </c>
      <c r="B4888" s="6">
        <v>59.66</v>
      </c>
    </row>
    <row r="4889" spans="1:2" x14ac:dyDescent="0.25">
      <c r="A4889" s="4">
        <v>38761</v>
      </c>
      <c r="B4889" s="6">
        <v>59.16</v>
      </c>
    </row>
    <row r="4890" spans="1:2" x14ac:dyDescent="0.25">
      <c r="A4890" s="4">
        <v>38762</v>
      </c>
      <c r="B4890" s="6">
        <v>58.27</v>
      </c>
    </row>
    <row r="4891" spans="1:2" x14ac:dyDescent="0.25">
      <c r="A4891" s="4">
        <v>38763</v>
      </c>
      <c r="B4891" s="6">
        <v>57.67</v>
      </c>
    </row>
    <row r="4892" spans="1:2" x14ac:dyDescent="0.25">
      <c r="A4892" s="4">
        <v>38764</v>
      </c>
      <c r="B4892" s="6">
        <v>56.78</v>
      </c>
    </row>
    <row r="4893" spans="1:2" x14ac:dyDescent="0.25">
      <c r="A4893" s="4">
        <v>38765</v>
      </c>
      <c r="B4893" s="6">
        <v>58.34</v>
      </c>
    </row>
    <row r="4894" spans="1:2" x14ac:dyDescent="0.25">
      <c r="A4894" s="4">
        <v>38768</v>
      </c>
      <c r="B4894" s="6">
        <v>60.05</v>
      </c>
    </row>
    <row r="4895" spans="1:2" x14ac:dyDescent="0.25">
      <c r="A4895" s="4">
        <v>38769</v>
      </c>
      <c r="B4895" s="6">
        <v>59.35</v>
      </c>
    </row>
    <row r="4896" spans="1:2" x14ac:dyDescent="0.25">
      <c r="A4896" s="4">
        <v>38770</v>
      </c>
      <c r="B4896" s="6">
        <v>58.71</v>
      </c>
    </row>
    <row r="4897" spans="1:2" x14ac:dyDescent="0.25">
      <c r="A4897" s="4">
        <v>38771</v>
      </c>
      <c r="B4897" s="6">
        <v>58.71</v>
      </c>
    </row>
    <row r="4898" spans="1:2" x14ac:dyDescent="0.25">
      <c r="A4898" s="4">
        <v>38772</v>
      </c>
      <c r="B4898" s="6">
        <v>60.13</v>
      </c>
    </row>
    <row r="4899" spans="1:2" x14ac:dyDescent="0.25">
      <c r="A4899" s="4">
        <v>38775</v>
      </c>
      <c r="B4899" s="6">
        <v>59.44</v>
      </c>
    </row>
    <row r="4900" spans="1:2" x14ac:dyDescent="0.25">
      <c r="A4900" s="4">
        <v>38776</v>
      </c>
      <c r="B4900" s="6">
        <v>59.78</v>
      </c>
    </row>
    <row r="4901" spans="1:2" x14ac:dyDescent="0.25">
      <c r="A4901" s="4">
        <v>38777</v>
      </c>
      <c r="B4901" s="6">
        <v>61.12</v>
      </c>
    </row>
    <row r="4902" spans="1:2" x14ac:dyDescent="0.25">
      <c r="A4902" s="4">
        <v>38778</v>
      </c>
      <c r="B4902" s="6">
        <v>62.27</v>
      </c>
    </row>
    <row r="4903" spans="1:2" x14ac:dyDescent="0.25">
      <c r="A4903" s="4">
        <v>38779</v>
      </c>
      <c r="B4903" s="6">
        <v>62.69</v>
      </c>
    </row>
    <row r="4904" spans="1:2" x14ac:dyDescent="0.25">
      <c r="A4904" s="4">
        <v>38782</v>
      </c>
      <c r="B4904" s="6">
        <v>61.41</v>
      </c>
    </row>
    <row r="4905" spans="1:2" x14ac:dyDescent="0.25">
      <c r="A4905" s="4">
        <v>38783</v>
      </c>
      <c r="B4905" s="6">
        <v>59.79</v>
      </c>
    </row>
    <row r="4906" spans="1:2" x14ac:dyDescent="0.25">
      <c r="A4906" s="4">
        <v>38784</v>
      </c>
      <c r="B4906" s="6">
        <v>58.42</v>
      </c>
    </row>
    <row r="4907" spans="1:2" x14ac:dyDescent="0.25">
      <c r="A4907" s="4">
        <v>38785</v>
      </c>
      <c r="B4907" s="6">
        <v>58.82</v>
      </c>
    </row>
    <row r="4908" spans="1:2" x14ac:dyDescent="0.25">
      <c r="A4908" s="4">
        <v>38786</v>
      </c>
      <c r="B4908" s="6">
        <v>59.04</v>
      </c>
    </row>
    <row r="4909" spans="1:2" x14ac:dyDescent="0.25">
      <c r="A4909" s="4">
        <v>38789</v>
      </c>
      <c r="B4909" s="6">
        <v>60.99</v>
      </c>
    </row>
    <row r="4910" spans="1:2" x14ac:dyDescent="0.25">
      <c r="A4910" s="4">
        <v>38790</v>
      </c>
      <c r="B4910" s="6">
        <v>62.39</v>
      </c>
    </row>
    <row r="4911" spans="1:2" x14ac:dyDescent="0.25">
      <c r="A4911" s="4">
        <v>38791</v>
      </c>
      <c r="B4911" s="6">
        <v>63.12</v>
      </c>
    </row>
    <row r="4912" spans="1:2" x14ac:dyDescent="0.25">
      <c r="A4912" s="4">
        <v>38792</v>
      </c>
      <c r="B4912" s="6">
        <v>62.07</v>
      </c>
    </row>
    <row r="4913" spans="1:2" x14ac:dyDescent="0.25">
      <c r="A4913" s="4">
        <v>38793</v>
      </c>
      <c r="B4913" s="6">
        <v>63.54</v>
      </c>
    </row>
    <row r="4914" spans="1:2" x14ac:dyDescent="0.25">
      <c r="A4914" s="4">
        <v>38796</v>
      </c>
      <c r="B4914" s="6">
        <v>62.3</v>
      </c>
    </row>
    <row r="4915" spans="1:2" x14ac:dyDescent="0.25">
      <c r="A4915" s="4">
        <v>38797</v>
      </c>
      <c r="B4915" s="6">
        <v>59.96</v>
      </c>
    </row>
    <row r="4916" spans="1:2" x14ac:dyDescent="0.25">
      <c r="A4916" s="4">
        <v>38798</v>
      </c>
      <c r="B4916" s="6">
        <v>61.23</v>
      </c>
    </row>
    <row r="4917" spans="1:2" x14ac:dyDescent="0.25">
      <c r="A4917" s="4">
        <v>38799</v>
      </c>
      <c r="B4917" s="6">
        <v>61.76</v>
      </c>
    </row>
    <row r="4918" spans="1:2" x14ac:dyDescent="0.25">
      <c r="A4918" s="4">
        <v>38800</v>
      </c>
      <c r="B4918" s="6">
        <v>62.78</v>
      </c>
    </row>
    <row r="4919" spans="1:2" x14ac:dyDescent="0.25">
      <c r="A4919" s="4">
        <v>38803</v>
      </c>
      <c r="B4919" s="6">
        <v>62.59</v>
      </c>
    </row>
    <row r="4920" spans="1:2" x14ac:dyDescent="0.25">
      <c r="A4920" s="4">
        <v>38804</v>
      </c>
      <c r="B4920" s="6">
        <v>64.31</v>
      </c>
    </row>
    <row r="4921" spans="1:2" x14ac:dyDescent="0.25">
      <c r="A4921" s="4">
        <v>38805</v>
      </c>
      <c r="B4921" s="6">
        <v>64.88</v>
      </c>
    </row>
    <row r="4922" spans="1:2" x14ac:dyDescent="0.25">
      <c r="A4922" s="4">
        <v>38806</v>
      </c>
      <c r="B4922" s="6">
        <v>65.95</v>
      </c>
    </row>
    <row r="4923" spans="1:2" x14ac:dyDescent="0.25">
      <c r="A4923" s="4">
        <v>38807</v>
      </c>
      <c r="B4923" s="6">
        <v>66.06</v>
      </c>
    </row>
    <row r="4924" spans="1:2" x14ac:dyDescent="0.25">
      <c r="A4924" s="4">
        <v>38810</v>
      </c>
      <c r="B4924" s="6">
        <v>67.28</v>
      </c>
    </row>
    <row r="4925" spans="1:2" x14ac:dyDescent="0.25">
      <c r="A4925" s="4">
        <v>38811</v>
      </c>
      <c r="B4925" s="6">
        <v>65.930000000000007</v>
      </c>
    </row>
    <row r="4926" spans="1:2" x14ac:dyDescent="0.25">
      <c r="A4926" s="4">
        <v>38812</v>
      </c>
      <c r="B4926" s="6">
        <v>66.739999999999995</v>
      </c>
    </row>
    <row r="4927" spans="1:2" x14ac:dyDescent="0.25">
      <c r="A4927" s="4">
        <v>38813</v>
      </c>
      <c r="B4927" s="6">
        <v>67.58</v>
      </c>
    </row>
    <row r="4928" spans="1:2" x14ac:dyDescent="0.25">
      <c r="A4928" s="4">
        <v>38814</v>
      </c>
      <c r="B4928" s="6">
        <v>67.11</v>
      </c>
    </row>
    <row r="4929" spans="1:2" x14ac:dyDescent="0.25">
      <c r="A4929" s="4">
        <v>38817</v>
      </c>
      <c r="B4929" s="6">
        <v>68.2</v>
      </c>
    </row>
    <row r="4930" spans="1:2" x14ac:dyDescent="0.25">
      <c r="A4930" s="4">
        <v>38818</v>
      </c>
      <c r="B4930" s="6">
        <v>68.52</v>
      </c>
    </row>
    <row r="4931" spans="1:2" x14ac:dyDescent="0.25">
      <c r="A4931" s="4">
        <v>38819</v>
      </c>
      <c r="B4931" s="6">
        <v>69.540000000000006</v>
      </c>
    </row>
    <row r="4932" spans="1:2" x14ac:dyDescent="0.25">
      <c r="A4932" s="4">
        <v>38820</v>
      </c>
      <c r="B4932" s="6">
        <v>69.39</v>
      </c>
    </row>
    <row r="4933" spans="1:2" x14ac:dyDescent="0.25">
      <c r="A4933" s="4">
        <v>38821</v>
      </c>
      <c r="B4933" s="5"/>
    </row>
    <row r="4934" spans="1:2" x14ac:dyDescent="0.25">
      <c r="A4934" s="4">
        <v>38824</v>
      </c>
      <c r="B4934" s="5"/>
    </row>
    <row r="4935" spans="1:2" x14ac:dyDescent="0.25">
      <c r="A4935" s="4">
        <v>38825</v>
      </c>
      <c r="B4935" s="6">
        <v>70.97</v>
      </c>
    </row>
    <row r="4936" spans="1:2" x14ac:dyDescent="0.25">
      <c r="A4936" s="4">
        <v>38826</v>
      </c>
      <c r="B4936" s="6">
        <v>72.69</v>
      </c>
    </row>
    <row r="4937" spans="1:2" x14ac:dyDescent="0.25">
      <c r="A4937" s="4">
        <v>38827</v>
      </c>
      <c r="B4937" s="6">
        <v>72.569999999999993</v>
      </c>
    </row>
    <row r="4938" spans="1:2" x14ac:dyDescent="0.25">
      <c r="A4938" s="4">
        <v>38828</v>
      </c>
      <c r="B4938" s="6">
        <v>73.94</v>
      </c>
    </row>
    <row r="4939" spans="1:2" x14ac:dyDescent="0.25">
      <c r="A4939" s="4">
        <v>38831</v>
      </c>
      <c r="B4939" s="6">
        <v>73.959999999999994</v>
      </c>
    </row>
    <row r="4940" spans="1:2" x14ac:dyDescent="0.25">
      <c r="A4940" s="4">
        <v>38832</v>
      </c>
      <c r="B4940" s="6">
        <v>72.86</v>
      </c>
    </row>
    <row r="4941" spans="1:2" x14ac:dyDescent="0.25">
      <c r="A4941" s="4">
        <v>38833</v>
      </c>
      <c r="B4941" s="6">
        <v>73.459999999999994</v>
      </c>
    </row>
    <row r="4942" spans="1:2" x14ac:dyDescent="0.25">
      <c r="A4942" s="4">
        <v>38834</v>
      </c>
      <c r="B4942" s="6">
        <v>71.790000000000006</v>
      </c>
    </row>
    <row r="4943" spans="1:2" x14ac:dyDescent="0.25">
      <c r="A4943" s="4">
        <v>38835</v>
      </c>
      <c r="B4943" s="6">
        <v>72.150000000000006</v>
      </c>
    </row>
    <row r="4944" spans="1:2" x14ac:dyDescent="0.25">
      <c r="A4944" s="4">
        <v>38838</v>
      </c>
      <c r="B4944" s="6">
        <v>73.37</v>
      </c>
    </row>
    <row r="4945" spans="1:2" x14ac:dyDescent="0.25">
      <c r="A4945" s="4">
        <v>38839</v>
      </c>
      <c r="B4945" s="6">
        <v>74.45</v>
      </c>
    </row>
    <row r="4946" spans="1:2" x14ac:dyDescent="0.25">
      <c r="A4946" s="4">
        <v>38840</v>
      </c>
      <c r="B4946" s="6">
        <v>73.73</v>
      </c>
    </row>
    <row r="4947" spans="1:2" x14ac:dyDescent="0.25">
      <c r="A4947" s="4">
        <v>38841</v>
      </c>
      <c r="B4947" s="6">
        <v>71.84</v>
      </c>
    </row>
    <row r="4948" spans="1:2" x14ac:dyDescent="0.25">
      <c r="A4948" s="4">
        <v>38842</v>
      </c>
      <c r="B4948" s="6">
        <v>71.22</v>
      </c>
    </row>
    <row r="4949" spans="1:2" x14ac:dyDescent="0.25">
      <c r="A4949" s="4">
        <v>38845</v>
      </c>
      <c r="B4949" s="6">
        <v>68.260000000000005</v>
      </c>
    </row>
    <row r="4950" spans="1:2" x14ac:dyDescent="0.25">
      <c r="A4950" s="4">
        <v>38846</v>
      </c>
      <c r="B4950" s="6">
        <v>70.599999999999994</v>
      </c>
    </row>
    <row r="4951" spans="1:2" x14ac:dyDescent="0.25">
      <c r="A4951" s="4">
        <v>38847</v>
      </c>
      <c r="B4951" s="6">
        <v>69.83</v>
      </c>
    </row>
    <row r="4952" spans="1:2" x14ac:dyDescent="0.25">
      <c r="A4952" s="4">
        <v>38848</v>
      </c>
      <c r="B4952" s="6">
        <v>72.2</v>
      </c>
    </row>
    <row r="4953" spans="1:2" x14ac:dyDescent="0.25">
      <c r="A4953" s="4">
        <v>38849</v>
      </c>
      <c r="B4953" s="6">
        <v>71.3</v>
      </c>
    </row>
    <row r="4954" spans="1:2" x14ac:dyDescent="0.25">
      <c r="A4954" s="4">
        <v>38852</v>
      </c>
      <c r="B4954" s="6">
        <v>68.69</v>
      </c>
    </row>
    <row r="4955" spans="1:2" x14ac:dyDescent="0.25">
      <c r="A4955" s="4">
        <v>38853</v>
      </c>
      <c r="B4955" s="6">
        <v>68.66</v>
      </c>
    </row>
    <row r="4956" spans="1:2" x14ac:dyDescent="0.25">
      <c r="A4956" s="4">
        <v>38854</v>
      </c>
      <c r="B4956" s="6">
        <v>67.52</v>
      </c>
    </row>
    <row r="4957" spans="1:2" x14ac:dyDescent="0.25">
      <c r="A4957" s="4">
        <v>38855</v>
      </c>
      <c r="B4957" s="6">
        <v>67.39</v>
      </c>
    </row>
    <row r="4958" spans="1:2" x14ac:dyDescent="0.25">
      <c r="A4958" s="4">
        <v>38856</v>
      </c>
      <c r="B4958" s="6">
        <v>66.930000000000007</v>
      </c>
    </row>
    <row r="4959" spans="1:2" x14ac:dyDescent="0.25">
      <c r="A4959" s="4">
        <v>38859</v>
      </c>
      <c r="B4959" s="6">
        <v>66.52</v>
      </c>
    </row>
    <row r="4960" spans="1:2" x14ac:dyDescent="0.25">
      <c r="A4960" s="4">
        <v>38860</v>
      </c>
      <c r="B4960" s="6">
        <v>68.97</v>
      </c>
    </row>
    <row r="4961" spans="1:2" x14ac:dyDescent="0.25">
      <c r="A4961" s="4">
        <v>38861</v>
      </c>
      <c r="B4961" s="6">
        <v>68.45</v>
      </c>
    </row>
    <row r="4962" spans="1:2" x14ac:dyDescent="0.25">
      <c r="A4962" s="4">
        <v>38862</v>
      </c>
      <c r="B4962" s="6">
        <v>68.510000000000005</v>
      </c>
    </row>
    <row r="4963" spans="1:2" x14ac:dyDescent="0.25">
      <c r="A4963" s="4">
        <v>38863</v>
      </c>
      <c r="B4963" s="6">
        <v>69.88</v>
      </c>
    </row>
    <row r="4964" spans="1:2" x14ac:dyDescent="0.25">
      <c r="A4964" s="4">
        <v>38866</v>
      </c>
      <c r="B4964" s="6">
        <v>69.16</v>
      </c>
    </row>
    <row r="4965" spans="1:2" x14ac:dyDescent="0.25">
      <c r="A4965" s="4">
        <v>38867</v>
      </c>
      <c r="B4965" s="6">
        <v>69.819999999999993</v>
      </c>
    </row>
    <row r="4966" spans="1:2" x14ac:dyDescent="0.25">
      <c r="A4966" s="4">
        <v>38868</v>
      </c>
      <c r="B4966" s="6">
        <v>67.569999999999993</v>
      </c>
    </row>
    <row r="4967" spans="1:2" x14ac:dyDescent="0.25">
      <c r="A4967" s="4">
        <v>38869</v>
      </c>
      <c r="B4967" s="6">
        <v>68.77</v>
      </c>
    </row>
    <row r="4968" spans="1:2" x14ac:dyDescent="0.25">
      <c r="A4968" s="4">
        <v>38870</v>
      </c>
      <c r="B4968" s="6">
        <v>68.42</v>
      </c>
    </row>
    <row r="4969" spans="1:2" x14ac:dyDescent="0.25">
      <c r="A4969" s="4">
        <v>38873</v>
      </c>
      <c r="B4969" s="6">
        <v>69.13</v>
      </c>
    </row>
    <row r="4970" spans="1:2" x14ac:dyDescent="0.25">
      <c r="A4970" s="4">
        <v>38874</v>
      </c>
      <c r="B4970" s="6">
        <v>68.25</v>
      </c>
    </row>
    <row r="4971" spans="1:2" x14ac:dyDescent="0.25">
      <c r="A4971" s="4">
        <v>38875</v>
      </c>
      <c r="B4971" s="6">
        <v>67.17</v>
      </c>
    </row>
    <row r="4972" spans="1:2" x14ac:dyDescent="0.25">
      <c r="A4972" s="4">
        <v>38876</v>
      </c>
      <c r="B4972" s="6">
        <v>65.760000000000005</v>
      </c>
    </row>
    <row r="4973" spans="1:2" x14ac:dyDescent="0.25">
      <c r="A4973" s="4">
        <v>38877</v>
      </c>
      <c r="B4973" s="6">
        <v>69.13</v>
      </c>
    </row>
    <row r="4974" spans="1:2" x14ac:dyDescent="0.25">
      <c r="A4974" s="4">
        <v>38880</v>
      </c>
      <c r="B4974" s="6">
        <v>68.62</v>
      </c>
    </row>
    <row r="4975" spans="1:2" x14ac:dyDescent="0.25">
      <c r="A4975" s="4">
        <v>38881</v>
      </c>
      <c r="B4975" s="6">
        <v>65.67</v>
      </c>
    </row>
    <row r="4976" spans="1:2" x14ac:dyDescent="0.25">
      <c r="A4976" s="4">
        <v>38882</v>
      </c>
      <c r="B4976" s="6">
        <v>65.52</v>
      </c>
    </row>
    <row r="4977" spans="1:2" x14ac:dyDescent="0.25">
      <c r="A4977" s="4">
        <v>38883</v>
      </c>
      <c r="B4977" s="6">
        <v>66.040000000000006</v>
      </c>
    </row>
    <row r="4978" spans="1:2" x14ac:dyDescent="0.25">
      <c r="A4978" s="4">
        <v>38884</v>
      </c>
      <c r="B4978" s="6">
        <v>65.010000000000005</v>
      </c>
    </row>
    <row r="4979" spans="1:2" x14ac:dyDescent="0.25">
      <c r="A4979" s="4">
        <v>38887</v>
      </c>
      <c r="B4979" s="6">
        <v>66.400000000000006</v>
      </c>
    </row>
    <row r="4980" spans="1:2" x14ac:dyDescent="0.25">
      <c r="A4980" s="4">
        <v>38888</v>
      </c>
      <c r="B4980" s="6">
        <v>67.569999999999993</v>
      </c>
    </row>
    <row r="4981" spans="1:2" x14ac:dyDescent="0.25">
      <c r="A4981" s="4">
        <v>38889</v>
      </c>
      <c r="B4981" s="6">
        <v>68.17</v>
      </c>
    </row>
    <row r="4982" spans="1:2" x14ac:dyDescent="0.25">
      <c r="A4982" s="4">
        <v>38890</v>
      </c>
      <c r="B4982" s="6">
        <v>69.599999999999994</v>
      </c>
    </row>
    <row r="4983" spans="1:2" x14ac:dyDescent="0.25">
      <c r="A4983" s="4">
        <v>38891</v>
      </c>
      <c r="B4983" s="6">
        <v>69.91</v>
      </c>
    </row>
    <row r="4984" spans="1:2" x14ac:dyDescent="0.25">
      <c r="A4984" s="4">
        <v>38894</v>
      </c>
      <c r="B4984" s="6">
        <v>69.849999999999994</v>
      </c>
    </row>
    <row r="4985" spans="1:2" x14ac:dyDescent="0.25">
      <c r="A4985" s="4">
        <v>38895</v>
      </c>
      <c r="B4985" s="6">
        <v>71.260000000000005</v>
      </c>
    </row>
    <row r="4986" spans="1:2" x14ac:dyDescent="0.25">
      <c r="A4986" s="4">
        <v>38896</v>
      </c>
      <c r="B4986" s="6">
        <v>71.760000000000005</v>
      </c>
    </row>
    <row r="4987" spans="1:2" x14ac:dyDescent="0.25">
      <c r="A4987" s="4">
        <v>38897</v>
      </c>
      <c r="B4987" s="6">
        <v>73.02</v>
      </c>
    </row>
    <row r="4988" spans="1:2" x14ac:dyDescent="0.25">
      <c r="A4988" s="4">
        <v>38898</v>
      </c>
      <c r="B4988" s="6">
        <v>73.2</v>
      </c>
    </row>
    <row r="4989" spans="1:2" x14ac:dyDescent="0.25">
      <c r="A4989" s="4">
        <v>38901</v>
      </c>
      <c r="B4989" s="6">
        <v>73.94</v>
      </c>
    </row>
    <row r="4990" spans="1:2" x14ac:dyDescent="0.25">
      <c r="A4990" s="4">
        <v>38902</v>
      </c>
      <c r="B4990" s="6">
        <v>73.17</v>
      </c>
    </row>
    <row r="4991" spans="1:2" x14ac:dyDescent="0.25">
      <c r="A4991" s="4">
        <v>38903</v>
      </c>
      <c r="B4991" s="6">
        <v>72.88</v>
      </c>
    </row>
    <row r="4992" spans="1:2" x14ac:dyDescent="0.25">
      <c r="A4992" s="4">
        <v>38904</v>
      </c>
      <c r="B4992" s="6">
        <v>73.12</v>
      </c>
    </row>
    <row r="4993" spans="1:2" x14ac:dyDescent="0.25">
      <c r="A4993" s="4">
        <v>38905</v>
      </c>
      <c r="B4993" s="6">
        <v>74.14</v>
      </c>
    </row>
    <row r="4994" spans="1:2" x14ac:dyDescent="0.25">
      <c r="A4994" s="4">
        <v>38908</v>
      </c>
      <c r="B4994" s="6">
        <v>72.39</v>
      </c>
    </row>
    <row r="4995" spans="1:2" x14ac:dyDescent="0.25">
      <c r="A4995" s="4">
        <v>38909</v>
      </c>
      <c r="B4995" s="6">
        <v>73.14</v>
      </c>
    </row>
    <row r="4996" spans="1:2" x14ac:dyDescent="0.25">
      <c r="A4996" s="4">
        <v>38910</v>
      </c>
      <c r="B4996" s="6">
        <v>73.040000000000006</v>
      </c>
    </row>
    <row r="4997" spans="1:2" x14ac:dyDescent="0.25">
      <c r="A4997" s="4">
        <v>38911</v>
      </c>
      <c r="B4997" s="6">
        <v>75.23</v>
      </c>
    </row>
    <row r="4998" spans="1:2" x14ac:dyDescent="0.25">
      <c r="A4998" s="4">
        <v>38912</v>
      </c>
      <c r="B4998" s="6">
        <v>76.13</v>
      </c>
    </row>
    <row r="4999" spans="1:2" x14ac:dyDescent="0.25">
      <c r="A4999" s="4">
        <v>38915</v>
      </c>
      <c r="B4999" s="6">
        <v>75.12</v>
      </c>
    </row>
    <row r="5000" spans="1:2" x14ac:dyDescent="0.25">
      <c r="A5000" s="4">
        <v>38916</v>
      </c>
      <c r="B5000" s="6">
        <v>75.319999999999993</v>
      </c>
    </row>
    <row r="5001" spans="1:2" x14ac:dyDescent="0.25">
      <c r="A5001" s="4">
        <v>38917</v>
      </c>
      <c r="B5001" s="6">
        <v>71.62</v>
      </c>
    </row>
    <row r="5002" spans="1:2" x14ac:dyDescent="0.25">
      <c r="A5002" s="4">
        <v>38918</v>
      </c>
      <c r="B5002" s="6">
        <v>72.56</v>
      </c>
    </row>
    <row r="5003" spans="1:2" x14ac:dyDescent="0.25">
      <c r="A5003" s="4">
        <v>38919</v>
      </c>
      <c r="B5003" s="6">
        <v>72.959999999999994</v>
      </c>
    </row>
    <row r="5004" spans="1:2" x14ac:dyDescent="0.25">
      <c r="A5004" s="4">
        <v>38922</v>
      </c>
      <c r="B5004" s="6">
        <v>72.09</v>
      </c>
    </row>
    <row r="5005" spans="1:2" x14ac:dyDescent="0.25">
      <c r="A5005" s="4">
        <v>38923</v>
      </c>
      <c r="B5005" s="6">
        <v>72.489999999999995</v>
      </c>
    </row>
    <row r="5006" spans="1:2" x14ac:dyDescent="0.25">
      <c r="A5006" s="4">
        <v>38924</v>
      </c>
      <c r="B5006" s="6">
        <v>73.760000000000005</v>
      </c>
    </row>
    <row r="5007" spans="1:2" x14ac:dyDescent="0.25">
      <c r="A5007" s="4">
        <v>38925</v>
      </c>
      <c r="B5007" s="6">
        <v>75.36</v>
      </c>
    </row>
    <row r="5008" spans="1:2" x14ac:dyDescent="0.25">
      <c r="A5008" s="4">
        <v>38926</v>
      </c>
      <c r="B5008" s="6">
        <v>73.95</v>
      </c>
    </row>
    <row r="5009" spans="1:2" x14ac:dyDescent="0.25">
      <c r="A5009" s="4">
        <v>38929</v>
      </c>
      <c r="B5009" s="6">
        <v>74.75</v>
      </c>
    </row>
    <row r="5010" spans="1:2" x14ac:dyDescent="0.25">
      <c r="A5010" s="4">
        <v>38930</v>
      </c>
      <c r="B5010" s="6">
        <v>76.39</v>
      </c>
    </row>
    <row r="5011" spans="1:2" x14ac:dyDescent="0.25">
      <c r="A5011" s="4">
        <v>38931</v>
      </c>
      <c r="B5011" s="6">
        <v>77.63</v>
      </c>
    </row>
    <row r="5012" spans="1:2" x14ac:dyDescent="0.25">
      <c r="A5012" s="4">
        <v>38932</v>
      </c>
      <c r="B5012" s="6">
        <v>76.28</v>
      </c>
    </row>
    <row r="5013" spans="1:2" x14ac:dyDescent="0.25">
      <c r="A5013" s="4">
        <v>38933</v>
      </c>
      <c r="B5013" s="6">
        <v>76.53</v>
      </c>
    </row>
    <row r="5014" spans="1:2" x14ac:dyDescent="0.25">
      <c r="A5014" s="4">
        <v>38936</v>
      </c>
      <c r="B5014" s="6">
        <v>77.819999999999993</v>
      </c>
    </row>
    <row r="5015" spans="1:2" x14ac:dyDescent="0.25">
      <c r="A5015" s="4">
        <v>38937</v>
      </c>
      <c r="B5015" s="6">
        <v>77.930000000000007</v>
      </c>
    </row>
    <row r="5016" spans="1:2" x14ac:dyDescent="0.25">
      <c r="A5016" s="4">
        <v>38938</v>
      </c>
      <c r="B5016" s="6">
        <v>78.260000000000005</v>
      </c>
    </row>
    <row r="5017" spans="1:2" x14ac:dyDescent="0.25">
      <c r="A5017" s="4">
        <v>38939</v>
      </c>
      <c r="B5017" s="6">
        <v>75.69</v>
      </c>
    </row>
    <row r="5018" spans="1:2" x14ac:dyDescent="0.25">
      <c r="A5018" s="4">
        <v>38940</v>
      </c>
      <c r="B5018" s="6">
        <v>75.19</v>
      </c>
    </row>
    <row r="5019" spans="1:2" x14ac:dyDescent="0.25">
      <c r="A5019" s="4">
        <v>38943</v>
      </c>
      <c r="B5019" s="6">
        <v>73.78</v>
      </c>
    </row>
    <row r="5020" spans="1:2" x14ac:dyDescent="0.25">
      <c r="A5020" s="4">
        <v>38944</v>
      </c>
      <c r="B5020" s="6">
        <v>73.569999999999993</v>
      </c>
    </row>
    <row r="5021" spans="1:2" x14ac:dyDescent="0.25">
      <c r="A5021" s="4">
        <v>38945</v>
      </c>
      <c r="B5021" s="6">
        <v>72.67</v>
      </c>
    </row>
    <row r="5022" spans="1:2" x14ac:dyDescent="0.25">
      <c r="A5022" s="4">
        <v>38946</v>
      </c>
      <c r="B5022" s="6">
        <v>70.42</v>
      </c>
    </row>
    <row r="5023" spans="1:2" x14ac:dyDescent="0.25">
      <c r="A5023" s="4">
        <v>38947</v>
      </c>
      <c r="B5023" s="6">
        <v>71.3</v>
      </c>
    </row>
    <row r="5024" spans="1:2" x14ac:dyDescent="0.25">
      <c r="A5024" s="4">
        <v>38950</v>
      </c>
      <c r="B5024" s="6">
        <v>72.42</v>
      </c>
    </row>
    <row r="5025" spans="1:2" x14ac:dyDescent="0.25">
      <c r="A5025" s="4">
        <v>38951</v>
      </c>
      <c r="B5025" s="6">
        <v>72.06</v>
      </c>
    </row>
    <row r="5026" spans="1:2" x14ac:dyDescent="0.25">
      <c r="A5026" s="4">
        <v>38952</v>
      </c>
      <c r="B5026" s="6">
        <v>71.12</v>
      </c>
    </row>
    <row r="5027" spans="1:2" x14ac:dyDescent="0.25">
      <c r="A5027" s="4">
        <v>38953</v>
      </c>
      <c r="B5027" s="6">
        <v>71.400000000000006</v>
      </c>
    </row>
    <row r="5028" spans="1:2" x14ac:dyDescent="0.25">
      <c r="A5028" s="4">
        <v>38954</v>
      </c>
      <c r="B5028" s="6">
        <v>72.58</v>
      </c>
    </row>
    <row r="5029" spans="1:2" x14ac:dyDescent="0.25">
      <c r="A5029" s="4">
        <v>38957</v>
      </c>
      <c r="B5029" s="6">
        <v>69.44</v>
      </c>
    </row>
    <row r="5030" spans="1:2" x14ac:dyDescent="0.25">
      <c r="A5030" s="4">
        <v>38958</v>
      </c>
      <c r="B5030" s="6">
        <v>67.010000000000005</v>
      </c>
    </row>
    <row r="5031" spans="1:2" x14ac:dyDescent="0.25">
      <c r="A5031" s="4">
        <v>38959</v>
      </c>
      <c r="B5031" s="6">
        <v>67.150000000000006</v>
      </c>
    </row>
    <row r="5032" spans="1:2" x14ac:dyDescent="0.25">
      <c r="A5032" s="4">
        <v>38960</v>
      </c>
      <c r="B5032" s="6">
        <v>67.66</v>
      </c>
    </row>
    <row r="5033" spans="1:2" x14ac:dyDescent="0.25">
      <c r="A5033" s="4">
        <v>38961</v>
      </c>
      <c r="B5033" s="6">
        <v>70.489999999999995</v>
      </c>
    </row>
    <row r="5034" spans="1:2" x14ac:dyDescent="0.25">
      <c r="A5034" s="4">
        <v>38964</v>
      </c>
      <c r="B5034" s="6">
        <v>68.62</v>
      </c>
    </row>
    <row r="5035" spans="1:2" x14ac:dyDescent="0.25">
      <c r="A5035" s="4">
        <v>38965</v>
      </c>
      <c r="B5035" s="6">
        <v>65.94</v>
      </c>
    </row>
    <row r="5036" spans="1:2" x14ac:dyDescent="0.25">
      <c r="A5036" s="4">
        <v>38966</v>
      </c>
      <c r="B5036" s="6">
        <v>65.41</v>
      </c>
    </row>
    <row r="5037" spans="1:2" x14ac:dyDescent="0.25">
      <c r="A5037" s="4">
        <v>38967</v>
      </c>
      <c r="B5037" s="6">
        <v>64.52</v>
      </c>
    </row>
    <row r="5038" spans="1:2" x14ac:dyDescent="0.25">
      <c r="A5038" s="4">
        <v>38968</v>
      </c>
      <c r="B5038" s="6">
        <v>64.3</v>
      </c>
    </row>
    <row r="5039" spans="1:2" x14ac:dyDescent="0.25">
      <c r="A5039" s="4">
        <v>38971</v>
      </c>
      <c r="B5039" s="6">
        <v>62.41</v>
      </c>
    </row>
    <row r="5040" spans="1:2" x14ac:dyDescent="0.25">
      <c r="A5040" s="4">
        <v>38972</v>
      </c>
      <c r="B5040" s="6">
        <v>62.23</v>
      </c>
    </row>
    <row r="5041" spans="1:2" x14ac:dyDescent="0.25">
      <c r="A5041" s="4">
        <v>38973</v>
      </c>
      <c r="B5041" s="6">
        <v>61.28</v>
      </c>
    </row>
    <row r="5042" spans="1:2" x14ac:dyDescent="0.25">
      <c r="A5042" s="4">
        <v>38974</v>
      </c>
      <c r="B5042" s="6">
        <v>60.75</v>
      </c>
    </row>
    <row r="5043" spans="1:2" x14ac:dyDescent="0.25">
      <c r="A5043" s="4">
        <v>38975</v>
      </c>
      <c r="B5043" s="6">
        <v>60.23</v>
      </c>
    </row>
    <row r="5044" spans="1:2" x14ac:dyDescent="0.25">
      <c r="A5044" s="4">
        <v>38978</v>
      </c>
      <c r="B5044" s="6">
        <v>61.47</v>
      </c>
    </row>
    <row r="5045" spans="1:2" x14ac:dyDescent="0.25">
      <c r="A5045" s="4">
        <v>38979</v>
      </c>
      <c r="B5045" s="6">
        <v>62.52</v>
      </c>
    </row>
    <row r="5046" spans="1:2" x14ac:dyDescent="0.25">
      <c r="A5046" s="4">
        <v>38980</v>
      </c>
      <c r="B5046" s="6">
        <v>59.09</v>
      </c>
    </row>
    <row r="5047" spans="1:2" x14ac:dyDescent="0.25">
      <c r="A5047" s="4">
        <v>38981</v>
      </c>
      <c r="B5047" s="6">
        <v>59.27</v>
      </c>
    </row>
    <row r="5048" spans="1:2" x14ac:dyDescent="0.25">
      <c r="A5048" s="4">
        <v>38982</v>
      </c>
      <c r="B5048" s="6">
        <v>58.81</v>
      </c>
    </row>
    <row r="5049" spans="1:2" x14ac:dyDescent="0.25">
      <c r="A5049" s="4">
        <v>38985</v>
      </c>
      <c r="B5049" s="6">
        <v>57.89</v>
      </c>
    </row>
    <row r="5050" spans="1:2" x14ac:dyDescent="0.25">
      <c r="A5050" s="4">
        <v>38986</v>
      </c>
      <c r="B5050" s="6">
        <v>58.53</v>
      </c>
    </row>
    <row r="5051" spans="1:2" x14ac:dyDescent="0.25">
      <c r="A5051" s="4">
        <v>38987</v>
      </c>
      <c r="B5051" s="6">
        <v>57.6</v>
      </c>
    </row>
    <row r="5052" spans="1:2" x14ac:dyDescent="0.25">
      <c r="A5052" s="4">
        <v>38988</v>
      </c>
      <c r="B5052" s="6">
        <v>60.68</v>
      </c>
    </row>
    <row r="5053" spans="1:2" x14ac:dyDescent="0.25">
      <c r="A5053" s="4">
        <v>38989</v>
      </c>
      <c r="B5053" s="6">
        <v>59.09</v>
      </c>
    </row>
    <row r="5054" spans="1:2" x14ac:dyDescent="0.25">
      <c r="A5054" s="4">
        <v>38992</v>
      </c>
      <c r="B5054" s="6">
        <v>58.8</v>
      </c>
    </row>
    <row r="5055" spans="1:2" x14ac:dyDescent="0.25">
      <c r="A5055" s="4">
        <v>38993</v>
      </c>
      <c r="B5055" s="6">
        <v>56.28</v>
      </c>
    </row>
    <row r="5056" spans="1:2" x14ac:dyDescent="0.25">
      <c r="A5056" s="4">
        <v>38994</v>
      </c>
      <c r="B5056" s="6">
        <v>55.82</v>
      </c>
    </row>
    <row r="5057" spans="1:2" x14ac:dyDescent="0.25">
      <c r="A5057" s="4">
        <v>38995</v>
      </c>
      <c r="B5057" s="6">
        <v>57.93</v>
      </c>
    </row>
    <row r="5058" spans="1:2" x14ac:dyDescent="0.25">
      <c r="A5058" s="4">
        <v>38996</v>
      </c>
      <c r="B5058" s="6">
        <v>56.9</v>
      </c>
    </row>
    <row r="5059" spans="1:2" x14ac:dyDescent="0.25">
      <c r="A5059" s="4">
        <v>38999</v>
      </c>
      <c r="B5059" s="6">
        <v>59.25</v>
      </c>
    </row>
    <row r="5060" spans="1:2" x14ac:dyDescent="0.25">
      <c r="A5060" s="4">
        <v>39000</v>
      </c>
      <c r="B5060" s="6">
        <v>57.8</v>
      </c>
    </row>
    <row r="5061" spans="1:2" x14ac:dyDescent="0.25">
      <c r="A5061" s="4">
        <v>39001</v>
      </c>
      <c r="B5061" s="6">
        <v>57.75</v>
      </c>
    </row>
    <row r="5062" spans="1:2" x14ac:dyDescent="0.25">
      <c r="A5062" s="4">
        <v>39002</v>
      </c>
      <c r="B5062" s="6">
        <v>57.87</v>
      </c>
    </row>
    <row r="5063" spans="1:2" x14ac:dyDescent="0.25">
      <c r="A5063" s="4">
        <v>39003</v>
      </c>
      <c r="B5063" s="6">
        <v>58.97</v>
      </c>
    </row>
    <row r="5064" spans="1:2" x14ac:dyDescent="0.25">
      <c r="A5064" s="4">
        <v>39006</v>
      </c>
      <c r="B5064" s="6">
        <v>58.22</v>
      </c>
    </row>
    <row r="5065" spans="1:2" x14ac:dyDescent="0.25">
      <c r="A5065" s="4">
        <v>39007</v>
      </c>
      <c r="B5065" s="6">
        <v>60.13</v>
      </c>
    </row>
    <row r="5066" spans="1:2" x14ac:dyDescent="0.25">
      <c r="A5066" s="4">
        <v>39008</v>
      </c>
      <c r="B5066" s="6">
        <v>58.51</v>
      </c>
    </row>
    <row r="5067" spans="1:2" x14ac:dyDescent="0.25">
      <c r="A5067" s="4">
        <v>39009</v>
      </c>
      <c r="B5067" s="6">
        <v>57.74</v>
      </c>
    </row>
    <row r="5068" spans="1:2" x14ac:dyDescent="0.25">
      <c r="A5068" s="4">
        <v>39010</v>
      </c>
      <c r="B5068" s="6">
        <v>57.94</v>
      </c>
    </row>
    <row r="5069" spans="1:2" x14ac:dyDescent="0.25">
      <c r="A5069" s="4">
        <v>39013</v>
      </c>
      <c r="B5069" s="6">
        <v>56.56</v>
      </c>
    </row>
    <row r="5070" spans="1:2" x14ac:dyDescent="0.25">
      <c r="A5070" s="4">
        <v>39014</v>
      </c>
      <c r="B5070" s="6">
        <v>56.56</v>
      </c>
    </row>
    <row r="5071" spans="1:2" x14ac:dyDescent="0.25">
      <c r="A5071" s="4">
        <v>39015</v>
      </c>
      <c r="B5071" s="6">
        <v>58.79</v>
      </c>
    </row>
    <row r="5072" spans="1:2" x14ac:dyDescent="0.25">
      <c r="A5072" s="4">
        <v>39016</v>
      </c>
      <c r="B5072" s="6">
        <v>58.76</v>
      </c>
    </row>
    <row r="5073" spans="1:2" x14ac:dyDescent="0.25">
      <c r="A5073" s="4">
        <v>39017</v>
      </c>
      <c r="B5073" s="6">
        <v>57.99</v>
      </c>
    </row>
    <row r="5074" spans="1:2" x14ac:dyDescent="0.25">
      <c r="A5074" s="4">
        <v>39020</v>
      </c>
      <c r="B5074" s="6">
        <v>57.08</v>
      </c>
    </row>
    <row r="5075" spans="1:2" x14ac:dyDescent="0.25">
      <c r="A5075" s="4">
        <v>39021</v>
      </c>
      <c r="B5075" s="6">
        <v>56.13</v>
      </c>
    </row>
    <row r="5076" spans="1:2" x14ac:dyDescent="0.25">
      <c r="A5076" s="4">
        <v>39022</v>
      </c>
      <c r="B5076" s="6">
        <v>56.37</v>
      </c>
    </row>
    <row r="5077" spans="1:2" x14ac:dyDescent="0.25">
      <c r="A5077" s="4">
        <v>39023</v>
      </c>
      <c r="B5077" s="6">
        <v>56.26</v>
      </c>
    </row>
    <row r="5078" spans="1:2" x14ac:dyDescent="0.25">
      <c r="A5078" s="4">
        <v>39024</v>
      </c>
      <c r="B5078" s="6">
        <v>56.55</v>
      </c>
    </row>
    <row r="5079" spans="1:2" x14ac:dyDescent="0.25">
      <c r="A5079" s="4">
        <v>39027</v>
      </c>
      <c r="B5079" s="6">
        <v>57.02</v>
      </c>
    </row>
    <row r="5080" spans="1:2" x14ac:dyDescent="0.25">
      <c r="A5080" s="4">
        <v>39028</v>
      </c>
      <c r="B5080" s="6">
        <v>56.99</v>
      </c>
    </row>
    <row r="5081" spans="1:2" x14ac:dyDescent="0.25">
      <c r="A5081" s="4">
        <v>39029</v>
      </c>
      <c r="B5081" s="6">
        <v>57.18</v>
      </c>
    </row>
    <row r="5082" spans="1:2" x14ac:dyDescent="0.25">
      <c r="A5082" s="4">
        <v>39030</v>
      </c>
      <c r="B5082" s="6">
        <v>59.72</v>
      </c>
    </row>
    <row r="5083" spans="1:2" x14ac:dyDescent="0.25">
      <c r="A5083" s="4">
        <v>39031</v>
      </c>
      <c r="B5083" s="6">
        <v>59.18</v>
      </c>
    </row>
    <row r="5084" spans="1:2" x14ac:dyDescent="0.25">
      <c r="A5084" s="4">
        <v>39034</v>
      </c>
      <c r="B5084" s="6">
        <v>56.88</v>
      </c>
    </row>
    <row r="5085" spans="1:2" x14ac:dyDescent="0.25">
      <c r="A5085" s="4">
        <v>39035</v>
      </c>
      <c r="B5085" s="6">
        <v>57.9</v>
      </c>
    </row>
    <row r="5086" spans="1:2" x14ac:dyDescent="0.25">
      <c r="A5086" s="4">
        <v>39036</v>
      </c>
      <c r="B5086" s="6">
        <v>57.97</v>
      </c>
    </row>
    <row r="5087" spans="1:2" x14ac:dyDescent="0.25">
      <c r="A5087" s="4">
        <v>39037</v>
      </c>
      <c r="B5087" s="6">
        <v>59.5</v>
      </c>
    </row>
    <row r="5088" spans="1:2" x14ac:dyDescent="0.25">
      <c r="A5088" s="4">
        <v>39038</v>
      </c>
      <c r="B5088" s="6">
        <v>57.01</v>
      </c>
    </row>
    <row r="5089" spans="1:2" x14ac:dyDescent="0.25">
      <c r="A5089" s="4">
        <v>39041</v>
      </c>
      <c r="B5089" s="6">
        <v>57.38</v>
      </c>
    </row>
    <row r="5090" spans="1:2" x14ac:dyDescent="0.25">
      <c r="A5090" s="4">
        <v>39042</v>
      </c>
      <c r="B5090" s="6">
        <v>59.53</v>
      </c>
    </row>
    <row r="5091" spans="1:2" x14ac:dyDescent="0.25">
      <c r="A5091" s="4">
        <v>39043</v>
      </c>
      <c r="B5091" s="6">
        <v>58.66</v>
      </c>
    </row>
    <row r="5092" spans="1:2" x14ac:dyDescent="0.25">
      <c r="A5092" s="4">
        <v>39044</v>
      </c>
      <c r="B5092" s="6">
        <v>59.7</v>
      </c>
    </row>
    <row r="5093" spans="1:2" x14ac:dyDescent="0.25">
      <c r="A5093" s="4">
        <v>39045</v>
      </c>
      <c r="B5093" s="6">
        <v>60.72</v>
      </c>
    </row>
    <row r="5094" spans="1:2" x14ac:dyDescent="0.25">
      <c r="A5094" s="4">
        <v>39048</v>
      </c>
      <c r="B5094" s="6">
        <v>60.52</v>
      </c>
    </row>
    <row r="5095" spans="1:2" x14ac:dyDescent="0.25">
      <c r="A5095" s="4">
        <v>39049</v>
      </c>
      <c r="B5095" s="6">
        <v>61.22</v>
      </c>
    </row>
    <row r="5096" spans="1:2" x14ac:dyDescent="0.25">
      <c r="A5096" s="4">
        <v>39050</v>
      </c>
      <c r="B5096" s="6">
        <v>62.13</v>
      </c>
    </row>
    <row r="5097" spans="1:2" x14ac:dyDescent="0.25">
      <c r="A5097" s="4">
        <v>39051</v>
      </c>
      <c r="B5097" s="6">
        <v>64.36</v>
      </c>
    </row>
    <row r="5098" spans="1:2" x14ac:dyDescent="0.25">
      <c r="A5098" s="4">
        <v>39052</v>
      </c>
      <c r="B5098" s="6">
        <v>64.739999999999995</v>
      </c>
    </row>
    <row r="5099" spans="1:2" x14ac:dyDescent="0.25">
      <c r="A5099" s="4">
        <v>39055</v>
      </c>
      <c r="B5099" s="6">
        <v>63.97</v>
      </c>
    </row>
    <row r="5100" spans="1:2" x14ac:dyDescent="0.25">
      <c r="A5100" s="4">
        <v>39056</v>
      </c>
      <c r="B5100" s="6">
        <v>63.65</v>
      </c>
    </row>
    <row r="5101" spans="1:2" x14ac:dyDescent="0.25">
      <c r="A5101" s="4">
        <v>39057</v>
      </c>
      <c r="B5101" s="6">
        <v>63.7</v>
      </c>
    </row>
    <row r="5102" spans="1:2" x14ac:dyDescent="0.25">
      <c r="A5102" s="4">
        <v>39058</v>
      </c>
      <c r="B5102" s="6">
        <v>63.17</v>
      </c>
    </row>
    <row r="5103" spans="1:2" x14ac:dyDescent="0.25">
      <c r="A5103" s="4">
        <v>39059</v>
      </c>
      <c r="B5103" s="6">
        <v>63.67</v>
      </c>
    </row>
    <row r="5104" spans="1:2" x14ac:dyDescent="0.25">
      <c r="A5104" s="4">
        <v>39062</v>
      </c>
      <c r="B5104" s="6">
        <v>62.59</v>
      </c>
    </row>
    <row r="5105" spans="1:2" x14ac:dyDescent="0.25">
      <c r="A5105" s="4">
        <v>39063</v>
      </c>
      <c r="B5105" s="6">
        <v>62.58</v>
      </c>
    </row>
    <row r="5106" spans="1:2" x14ac:dyDescent="0.25">
      <c r="A5106" s="4">
        <v>39064</v>
      </c>
      <c r="B5106" s="6">
        <v>61.89</v>
      </c>
    </row>
    <row r="5107" spans="1:2" x14ac:dyDescent="0.25">
      <c r="A5107" s="4">
        <v>39065</v>
      </c>
      <c r="B5107" s="6">
        <v>62.85</v>
      </c>
    </row>
    <row r="5108" spans="1:2" x14ac:dyDescent="0.25">
      <c r="A5108" s="4">
        <v>39066</v>
      </c>
      <c r="B5108" s="6">
        <v>62.91</v>
      </c>
    </row>
    <row r="5109" spans="1:2" x14ac:dyDescent="0.25">
      <c r="A5109" s="4">
        <v>39069</v>
      </c>
      <c r="B5109" s="6">
        <v>62.81</v>
      </c>
    </row>
    <row r="5110" spans="1:2" x14ac:dyDescent="0.25">
      <c r="A5110" s="4">
        <v>39070</v>
      </c>
      <c r="B5110" s="6">
        <v>62.19</v>
      </c>
    </row>
    <row r="5111" spans="1:2" x14ac:dyDescent="0.25">
      <c r="A5111" s="4">
        <v>39071</v>
      </c>
      <c r="B5111" s="6">
        <v>63.13</v>
      </c>
    </row>
    <row r="5112" spans="1:2" x14ac:dyDescent="0.25">
      <c r="A5112" s="4">
        <v>39072</v>
      </c>
      <c r="B5112" s="6">
        <v>62.13</v>
      </c>
    </row>
    <row r="5113" spans="1:2" x14ac:dyDescent="0.25">
      <c r="A5113" s="4">
        <v>39073</v>
      </c>
      <c r="B5113" s="6">
        <v>61.92</v>
      </c>
    </row>
    <row r="5114" spans="1:2" x14ac:dyDescent="0.25">
      <c r="A5114" s="4">
        <v>39076</v>
      </c>
      <c r="B5114" s="5"/>
    </row>
    <row r="5115" spans="1:2" x14ac:dyDescent="0.25">
      <c r="A5115" s="4">
        <v>39077</v>
      </c>
      <c r="B5115" s="5"/>
    </row>
    <row r="5116" spans="1:2" x14ac:dyDescent="0.25">
      <c r="A5116" s="4">
        <v>39078</v>
      </c>
      <c r="B5116" s="6">
        <v>60.7</v>
      </c>
    </row>
    <row r="5117" spans="1:2" x14ac:dyDescent="0.25">
      <c r="A5117" s="4">
        <v>39079</v>
      </c>
      <c r="B5117" s="6">
        <v>59.41</v>
      </c>
    </row>
    <row r="5118" spans="1:2" x14ac:dyDescent="0.25">
      <c r="A5118" s="4">
        <v>39080</v>
      </c>
      <c r="B5118" s="6">
        <v>58.96</v>
      </c>
    </row>
    <row r="5119" spans="1:2" x14ac:dyDescent="0.25">
      <c r="A5119" s="4">
        <v>39083</v>
      </c>
      <c r="B5119" s="5"/>
    </row>
    <row r="5120" spans="1:2" x14ac:dyDescent="0.25">
      <c r="A5120" s="4">
        <v>39084</v>
      </c>
      <c r="B5120" s="6">
        <v>58.49</v>
      </c>
    </row>
    <row r="5121" spans="1:2" x14ac:dyDescent="0.25">
      <c r="A5121" s="4">
        <v>39085</v>
      </c>
      <c r="B5121" s="6">
        <v>56.63</v>
      </c>
    </row>
    <row r="5122" spans="1:2" x14ac:dyDescent="0.25">
      <c r="A5122" s="4">
        <v>39086</v>
      </c>
      <c r="B5122" s="6">
        <v>54.58</v>
      </c>
    </row>
    <row r="5123" spans="1:2" x14ac:dyDescent="0.25">
      <c r="A5123" s="4">
        <v>39087</v>
      </c>
      <c r="B5123" s="6">
        <v>52.82</v>
      </c>
    </row>
    <row r="5124" spans="1:2" x14ac:dyDescent="0.25">
      <c r="A5124" s="4">
        <v>39090</v>
      </c>
      <c r="B5124" s="6">
        <v>52.82</v>
      </c>
    </row>
    <row r="5125" spans="1:2" x14ac:dyDescent="0.25">
      <c r="A5125" s="4">
        <v>39091</v>
      </c>
      <c r="B5125" s="6">
        <v>52.38</v>
      </c>
    </row>
    <row r="5126" spans="1:2" x14ac:dyDescent="0.25">
      <c r="A5126" s="4">
        <v>39092</v>
      </c>
      <c r="B5126" s="6">
        <v>52.11</v>
      </c>
    </row>
    <row r="5127" spans="1:2" x14ac:dyDescent="0.25">
      <c r="A5127" s="4">
        <v>39093</v>
      </c>
      <c r="B5127" s="6">
        <v>51.68</v>
      </c>
    </row>
    <row r="5128" spans="1:2" x14ac:dyDescent="0.25">
      <c r="A5128" s="4">
        <v>39094</v>
      </c>
      <c r="B5128" s="6">
        <v>49.95</v>
      </c>
    </row>
    <row r="5129" spans="1:2" x14ac:dyDescent="0.25">
      <c r="A5129" s="4">
        <v>39097</v>
      </c>
      <c r="B5129" s="5"/>
    </row>
    <row r="5130" spans="1:2" x14ac:dyDescent="0.25">
      <c r="A5130" s="4">
        <v>39098</v>
      </c>
      <c r="B5130" s="6">
        <v>51.28</v>
      </c>
    </row>
    <row r="5131" spans="1:2" x14ac:dyDescent="0.25">
      <c r="A5131" s="4">
        <v>39099</v>
      </c>
      <c r="B5131" s="6">
        <v>51.19</v>
      </c>
    </row>
    <row r="5132" spans="1:2" x14ac:dyDescent="0.25">
      <c r="A5132" s="4">
        <v>39100</v>
      </c>
      <c r="B5132" s="6">
        <v>50.83</v>
      </c>
    </row>
    <row r="5133" spans="1:2" x14ac:dyDescent="0.25">
      <c r="A5133" s="4">
        <v>39101</v>
      </c>
      <c r="B5133" s="6">
        <v>52.29</v>
      </c>
    </row>
    <row r="5134" spans="1:2" x14ac:dyDescent="0.25">
      <c r="A5134" s="4">
        <v>39104</v>
      </c>
      <c r="B5134" s="6">
        <v>54.34</v>
      </c>
    </row>
    <row r="5135" spans="1:2" x14ac:dyDescent="0.25">
      <c r="A5135" s="4">
        <v>39105</v>
      </c>
      <c r="B5135" s="6">
        <v>53.93</v>
      </c>
    </row>
    <row r="5136" spans="1:2" x14ac:dyDescent="0.25">
      <c r="A5136" s="4">
        <v>39106</v>
      </c>
      <c r="B5136" s="6">
        <v>55.11</v>
      </c>
    </row>
    <row r="5137" spans="1:2" x14ac:dyDescent="0.25">
      <c r="A5137" s="4">
        <v>39107</v>
      </c>
      <c r="B5137" s="6">
        <v>55.67</v>
      </c>
    </row>
    <row r="5138" spans="1:2" x14ac:dyDescent="0.25">
      <c r="A5138" s="4">
        <v>39108</v>
      </c>
      <c r="B5138" s="6">
        <v>55.29</v>
      </c>
    </row>
    <row r="5139" spans="1:2" x14ac:dyDescent="0.25">
      <c r="A5139" s="4">
        <v>39111</v>
      </c>
      <c r="B5139" s="6">
        <v>54.71</v>
      </c>
    </row>
    <row r="5140" spans="1:2" x14ac:dyDescent="0.25">
      <c r="A5140" s="4">
        <v>39112</v>
      </c>
      <c r="B5140" s="6">
        <v>54.69</v>
      </c>
    </row>
    <row r="5141" spans="1:2" x14ac:dyDescent="0.25">
      <c r="A5141" s="4">
        <v>39113</v>
      </c>
      <c r="B5141" s="6">
        <v>56.52</v>
      </c>
    </row>
    <row r="5142" spans="1:2" x14ac:dyDescent="0.25">
      <c r="A5142" s="4">
        <v>39114</v>
      </c>
      <c r="B5142" s="6">
        <v>56.74</v>
      </c>
    </row>
    <row r="5143" spans="1:2" x14ac:dyDescent="0.25">
      <c r="A5143" s="4">
        <v>39115</v>
      </c>
      <c r="B5143" s="6">
        <v>56.93</v>
      </c>
    </row>
    <row r="5144" spans="1:2" x14ac:dyDescent="0.25">
      <c r="A5144" s="4">
        <v>39118</v>
      </c>
      <c r="B5144" s="6">
        <v>58.67</v>
      </c>
    </row>
    <row r="5145" spans="1:2" x14ac:dyDescent="0.25">
      <c r="A5145" s="4">
        <v>39119</v>
      </c>
      <c r="B5145" s="6">
        <v>58.04</v>
      </c>
    </row>
    <row r="5146" spans="1:2" x14ac:dyDescent="0.25">
      <c r="A5146" s="4">
        <v>39120</v>
      </c>
      <c r="B5146" s="6">
        <v>58.35</v>
      </c>
    </row>
    <row r="5147" spans="1:2" x14ac:dyDescent="0.25">
      <c r="A5147" s="4">
        <v>39121</v>
      </c>
      <c r="B5147" s="6">
        <v>57.24</v>
      </c>
    </row>
    <row r="5148" spans="1:2" x14ac:dyDescent="0.25">
      <c r="A5148" s="4">
        <v>39122</v>
      </c>
      <c r="B5148" s="6">
        <v>57.21</v>
      </c>
    </row>
    <row r="5149" spans="1:2" x14ac:dyDescent="0.25">
      <c r="A5149" s="4">
        <v>39125</v>
      </c>
      <c r="B5149" s="6">
        <v>55.52</v>
      </c>
    </row>
    <row r="5150" spans="1:2" x14ac:dyDescent="0.25">
      <c r="A5150" s="4">
        <v>39126</v>
      </c>
      <c r="B5150" s="6">
        <v>56.12</v>
      </c>
    </row>
    <row r="5151" spans="1:2" x14ac:dyDescent="0.25">
      <c r="A5151" s="4">
        <v>39127</v>
      </c>
      <c r="B5151" s="6">
        <v>55.05</v>
      </c>
    </row>
    <row r="5152" spans="1:2" x14ac:dyDescent="0.25">
      <c r="A5152" s="4">
        <v>39128</v>
      </c>
      <c r="B5152" s="6">
        <v>54.25</v>
      </c>
    </row>
    <row r="5153" spans="1:2" x14ac:dyDescent="0.25">
      <c r="A5153" s="4">
        <v>39129</v>
      </c>
      <c r="B5153" s="6">
        <v>56.78</v>
      </c>
    </row>
    <row r="5154" spans="1:2" x14ac:dyDescent="0.25">
      <c r="A5154" s="4">
        <v>39132</v>
      </c>
      <c r="B5154" s="5"/>
    </row>
    <row r="5155" spans="1:2" x14ac:dyDescent="0.25">
      <c r="A5155" s="4">
        <v>39133</v>
      </c>
      <c r="B5155" s="6">
        <v>55.91</v>
      </c>
    </row>
    <row r="5156" spans="1:2" x14ac:dyDescent="0.25">
      <c r="A5156" s="4">
        <v>39134</v>
      </c>
      <c r="B5156" s="6">
        <v>57.74</v>
      </c>
    </row>
    <row r="5157" spans="1:2" x14ac:dyDescent="0.25">
      <c r="A5157" s="4">
        <v>39135</v>
      </c>
      <c r="B5157" s="6">
        <v>58.62</v>
      </c>
    </row>
    <row r="5158" spans="1:2" x14ac:dyDescent="0.25">
      <c r="A5158" s="4">
        <v>39136</v>
      </c>
      <c r="B5158" s="6">
        <v>60.38</v>
      </c>
    </row>
    <row r="5159" spans="1:2" x14ac:dyDescent="0.25">
      <c r="A5159" s="4">
        <v>39139</v>
      </c>
      <c r="B5159" s="6">
        <v>60.34</v>
      </c>
    </row>
    <row r="5160" spans="1:2" x14ac:dyDescent="0.25">
      <c r="A5160" s="4">
        <v>39140</v>
      </c>
      <c r="B5160" s="6">
        <v>60.28</v>
      </c>
    </row>
    <row r="5161" spans="1:2" x14ac:dyDescent="0.25">
      <c r="A5161" s="4">
        <v>39141</v>
      </c>
      <c r="B5161" s="6">
        <v>59.39</v>
      </c>
    </row>
    <row r="5162" spans="1:2" x14ac:dyDescent="0.25">
      <c r="A5162" s="4">
        <v>39142</v>
      </c>
      <c r="B5162" s="6">
        <v>61.18</v>
      </c>
    </row>
    <row r="5163" spans="1:2" x14ac:dyDescent="0.25">
      <c r="A5163" s="4">
        <v>39143</v>
      </c>
      <c r="B5163" s="6">
        <v>61.92</v>
      </c>
    </row>
    <row r="5164" spans="1:2" x14ac:dyDescent="0.25">
      <c r="A5164" s="4">
        <v>39146</v>
      </c>
      <c r="B5164" s="6">
        <v>59.78</v>
      </c>
    </row>
    <row r="5165" spans="1:2" x14ac:dyDescent="0.25">
      <c r="A5165" s="4">
        <v>39147</v>
      </c>
      <c r="B5165" s="6">
        <v>59.68</v>
      </c>
    </row>
    <row r="5166" spans="1:2" x14ac:dyDescent="0.25">
      <c r="A5166" s="4">
        <v>39148</v>
      </c>
      <c r="B5166" s="6">
        <v>61.13</v>
      </c>
    </row>
    <row r="5167" spans="1:2" x14ac:dyDescent="0.25">
      <c r="A5167" s="4">
        <v>39149</v>
      </c>
      <c r="B5167" s="6">
        <v>60.9</v>
      </c>
    </row>
    <row r="5168" spans="1:2" x14ac:dyDescent="0.25">
      <c r="A5168" s="4">
        <v>39150</v>
      </c>
      <c r="B5168" s="6">
        <v>60.25</v>
      </c>
    </row>
    <row r="5169" spans="1:2" x14ac:dyDescent="0.25">
      <c r="A5169" s="4">
        <v>39153</v>
      </c>
      <c r="B5169" s="6">
        <v>60.59</v>
      </c>
    </row>
    <row r="5170" spans="1:2" x14ac:dyDescent="0.25">
      <c r="A5170" s="4">
        <v>39154</v>
      </c>
      <c r="B5170" s="6">
        <v>61.52</v>
      </c>
    </row>
    <row r="5171" spans="1:2" x14ac:dyDescent="0.25">
      <c r="A5171" s="4">
        <v>39155</v>
      </c>
      <c r="B5171" s="6">
        <v>60.89</v>
      </c>
    </row>
    <row r="5172" spans="1:2" x14ac:dyDescent="0.25">
      <c r="A5172" s="4">
        <v>39156</v>
      </c>
      <c r="B5172" s="6">
        <v>60.4</v>
      </c>
    </row>
    <row r="5173" spans="1:2" x14ac:dyDescent="0.25">
      <c r="A5173" s="4">
        <v>39157</v>
      </c>
      <c r="B5173" s="6">
        <v>60.93</v>
      </c>
    </row>
    <row r="5174" spans="1:2" x14ac:dyDescent="0.25">
      <c r="A5174" s="4">
        <v>39160</v>
      </c>
      <c r="B5174" s="6">
        <v>60.49</v>
      </c>
    </row>
    <row r="5175" spans="1:2" x14ac:dyDescent="0.25">
      <c r="A5175" s="4">
        <v>39161</v>
      </c>
      <c r="B5175" s="6">
        <v>60.11</v>
      </c>
    </row>
    <row r="5176" spans="1:2" x14ac:dyDescent="0.25">
      <c r="A5176" s="4">
        <v>39162</v>
      </c>
      <c r="B5176" s="6">
        <v>60.18</v>
      </c>
    </row>
    <row r="5177" spans="1:2" x14ac:dyDescent="0.25">
      <c r="A5177" s="4">
        <v>39163</v>
      </c>
      <c r="B5177" s="6">
        <v>61.57</v>
      </c>
    </row>
    <row r="5178" spans="1:2" x14ac:dyDescent="0.25">
      <c r="A5178" s="4">
        <v>39164</v>
      </c>
      <c r="B5178" s="6">
        <v>63.1</v>
      </c>
    </row>
    <row r="5179" spans="1:2" x14ac:dyDescent="0.25">
      <c r="A5179" s="4">
        <v>39167</v>
      </c>
      <c r="B5179" s="6">
        <v>64.430000000000007</v>
      </c>
    </row>
    <row r="5180" spans="1:2" x14ac:dyDescent="0.25">
      <c r="A5180" s="4">
        <v>39168</v>
      </c>
      <c r="B5180" s="6">
        <v>64.25</v>
      </c>
    </row>
    <row r="5181" spans="1:2" x14ac:dyDescent="0.25">
      <c r="A5181" s="4">
        <v>39169</v>
      </c>
      <c r="B5181" s="6">
        <v>66.150000000000006</v>
      </c>
    </row>
    <row r="5182" spans="1:2" x14ac:dyDescent="0.25">
      <c r="A5182" s="4">
        <v>39170</v>
      </c>
      <c r="B5182" s="6">
        <v>67.19</v>
      </c>
    </row>
    <row r="5183" spans="1:2" x14ac:dyDescent="0.25">
      <c r="A5183" s="4">
        <v>39171</v>
      </c>
      <c r="B5183" s="6">
        <v>68.47</v>
      </c>
    </row>
    <row r="5184" spans="1:2" x14ac:dyDescent="0.25">
      <c r="A5184" s="4">
        <v>39174</v>
      </c>
      <c r="B5184" s="6">
        <v>68.94</v>
      </c>
    </row>
    <row r="5185" spans="1:2" x14ac:dyDescent="0.25">
      <c r="A5185" s="4">
        <v>39175</v>
      </c>
      <c r="B5185" s="6">
        <v>68</v>
      </c>
    </row>
    <row r="5186" spans="1:2" x14ac:dyDescent="0.25">
      <c r="A5186" s="4">
        <v>39176</v>
      </c>
      <c r="B5186" s="6">
        <v>68.09</v>
      </c>
    </row>
    <row r="5187" spans="1:2" x14ac:dyDescent="0.25">
      <c r="A5187" s="4">
        <v>39177</v>
      </c>
      <c r="B5187" s="6">
        <v>69.150000000000006</v>
      </c>
    </row>
    <row r="5188" spans="1:2" x14ac:dyDescent="0.25">
      <c r="A5188" s="4">
        <v>39178</v>
      </c>
      <c r="B5188" s="5"/>
    </row>
    <row r="5189" spans="1:2" x14ac:dyDescent="0.25">
      <c r="A5189" s="4">
        <v>39181</v>
      </c>
      <c r="B5189" s="5"/>
    </row>
    <row r="5190" spans="1:2" x14ac:dyDescent="0.25">
      <c r="A5190" s="4">
        <v>39182</v>
      </c>
      <c r="B5190" s="6">
        <v>67.64</v>
      </c>
    </row>
    <row r="5191" spans="1:2" x14ac:dyDescent="0.25">
      <c r="A5191" s="4">
        <v>39183</v>
      </c>
      <c r="B5191" s="6">
        <v>68.599999999999994</v>
      </c>
    </row>
    <row r="5192" spans="1:2" x14ac:dyDescent="0.25">
      <c r="A5192" s="4">
        <v>39184</v>
      </c>
      <c r="B5192" s="6">
        <v>67.790000000000006</v>
      </c>
    </row>
    <row r="5193" spans="1:2" x14ac:dyDescent="0.25">
      <c r="A5193" s="4">
        <v>39185</v>
      </c>
      <c r="B5193" s="6">
        <v>68.78</v>
      </c>
    </row>
    <row r="5194" spans="1:2" x14ac:dyDescent="0.25">
      <c r="A5194" s="4">
        <v>39188</v>
      </c>
      <c r="B5194" s="6">
        <v>67.099999999999994</v>
      </c>
    </row>
    <row r="5195" spans="1:2" x14ac:dyDescent="0.25">
      <c r="A5195" s="4">
        <v>39189</v>
      </c>
      <c r="B5195" s="6">
        <v>66.34</v>
      </c>
    </row>
    <row r="5196" spans="1:2" x14ac:dyDescent="0.25">
      <c r="A5196" s="4">
        <v>39190</v>
      </c>
      <c r="B5196" s="6">
        <v>65.09</v>
      </c>
    </row>
    <row r="5197" spans="1:2" x14ac:dyDescent="0.25">
      <c r="A5197" s="4">
        <v>39191</v>
      </c>
      <c r="B5197" s="6">
        <v>66.17</v>
      </c>
    </row>
    <row r="5198" spans="1:2" x14ac:dyDescent="0.25">
      <c r="A5198" s="4">
        <v>39192</v>
      </c>
      <c r="B5198" s="6">
        <v>66.34</v>
      </c>
    </row>
    <row r="5199" spans="1:2" x14ac:dyDescent="0.25">
      <c r="A5199" s="4">
        <v>39195</v>
      </c>
      <c r="B5199" s="6">
        <v>66.8</v>
      </c>
    </row>
    <row r="5200" spans="1:2" x14ac:dyDescent="0.25">
      <c r="A5200" s="4">
        <v>39196</v>
      </c>
      <c r="B5200" s="6">
        <v>67.94</v>
      </c>
    </row>
    <row r="5201" spans="1:2" x14ac:dyDescent="0.25">
      <c r="A5201" s="4">
        <v>39197</v>
      </c>
      <c r="B5201" s="6">
        <v>67.44</v>
      </c>
    </row>
    <row r="5202" spans="1:2" x14ac:dyDescent="0.25">
      <c r="A5202" s="4">
        <v>39198</v>
      </c>
      <c r="B5202" s="6">
        <v>67.510000000000005</v>
      </c>
    </row>
    <row r="5203" spans="1:2" x14ac:dyDescent="0.25">
      <c r="A5203" s="4">
        <v>39199</v>
      </c>
      <c r="B5203" s="6">
        <v>67.28</v>
      </c>
    </row>
    <row r="5204" spans="1:2" x14ac:dyDescent="0.25">
      <c r="A5204" s="4">
        <v>39202</v>
      </c>
      <c r="B5204" s="6">
        <v>67.23</v>
      </c>
    </row>
    <row r="5205" spans="1:2" x14ac:dyDescent="0.25">
      <c r="A5205" s="4">
        <v>39203</v>
      </c>
      <c r="B5205" s="6">
        <v>67.400000000000006</v>
      </c>
    </row>
    <row r="5206" spans="1:2" x14ac:dyDescent="0.25">
      <c r="A5206" s="4">
        <v>39204</v>
      </c>
      <c r="B5206" s="6">
        <v>65.569999999999993</v>
      </c>
    </row>
    <row r="5207" spans="1:2" x14ac:dyDescent="0.25">
      <c r="A5207" s="4">
        <v>39205</v>
      </c>
      <c r="B5207" s="6">
        <v>64.849999999999994</v>
      </c>
    </row>
    <row r="5208" spans="1:2" x14ac:dyDescent="0.25">
      <c r="A5208" s="4">
        <v>39206</v>
      </c>
      <c r="B5208" s="6">
        <v>65.14</v>
      </c>
    </row>
    <row r="5209" spans="1:2" x14ac:dyDescent="0.25">
      <c r="A5209" s="4">
        <v>39209</v>
      </c>
      <c r="B5209" s="6">
        <v>62.7</v>
      </c>
    </row>
    <row r="5210" spans="1:2" x14ac:dyDescent="0.25">
      <c r="A5210" s="4">
        <v>39210</v>
      </c>
      <c r="B5210" s="6">
        <v>63.55</v>
      </c>
    </row>
    <row r="5211" spans="1:2" x14ac:dyDescent="0.25">
      <c r="A5211" s="4">
        <v>39211</v>
      </c>
      <c r="B5211" s="6">
        <v>63.5</v>
      </c>
    </row>
    <row r="5212" spans="1:2" x14ac:dyDescent="0.25">
      <c r="A5212" s="4">
        <v>39212</v>
      </c>
      <c r="B5212" s="6">
        <v>64.63</v>
      </c>
    </row>
    <row r="5213" spans="1:2" x14ac:dyDescent="0.25">
      <c r="A5213" s="4">
        <v>39213</v>
      </c>
      <c r="B5213" s="6">
        <v>65.180000000000007</v>
      </c>
    </row>
    <row r="5214" spans="1:2" x14ac:dyDescent="0.25">
      <c r="A5214" s="4">
        <v>39216</v>
      </c>
      <c r="B5214" s="6">
        <v>65.86</v>
      </c>
    </row>
    <row r="5215" spans="1:2" x14ac:dyDescent="0.25">
      <c r="A5215" s="4">
        <v>39217</v>
      </c>
      <c r="B5215" s="6">
        <v>66.739999999999995</v>
      </c>
    </row>
    <row r="5216" spans="1:2" x14ac:dyDescent="0.25">
      <c r="A5216" s="4">
        <v>39218</v>
      </c>
      <c r="B5216" s="6">
        <v>66.83</v>
      </c>
    </row>
    <row r="5217" spans="1:2" x14ac:dyDescent="0.25">
      <c r="A5217" s="4">
        <v>39219</v>
      </c>
      <c r="B5217" s="6">
        <v>69.08</v>
      </c>
    </row>
    <row r="5218" spans="1:2" x14ac:dyDescent="0.25">
      <c r="A5218" s="4">
        <v>39220</v>
      </c>
      <c r="B5218" s="6">
        <v>69.260000000000005</v>
      </c>
    </row>
    <row r="5219" spans="1:2" x14ac:dyDescent="0.25">
      <c r="A5219" s="4">
        <v>39223</v>
      </c>
      <c r="B5219" s="6">
        <v>69.510000000000005</v>
      </c>
    </row>
    <row r="5220" spans="1:2" x14ac:dyDescent="0.25">
      <c r="A5220" s="4">
        <v>39224</v>
      </c>
      <c r="B5220" s="6">
        <v>70.05</v>
      </c>
    </row>
    <row r="5221" spans="1:2" x14ac:dyDescent="0.25">
      <c r="A5221" s="4">
        <v>39225</v>
      </c>
      <c r="B5221" s="6">
        <v>71.010000000000005</v>
      </c>
    </row>
    <row r="5222" spans="1:2" x14ac:dyDescent="0.25">
      <c r="A5222" s="4">
        <v>39226</v>
      </c>
      <c r="B5222" s="6">
        <v>71.959999999999994</v>
      </c>
    </row>
    <row r="5223" spans="1:2" x14ac:dyDescent="0.25">
      <c r="A5223" s="4">
        <v>39227</v>
      </c>
      <c r="B5223" s="6">
        <v>70.72</v>
      </c>
    </row>
    <row r="5224" spans="1:2" x14ac:dyDescent="0.25">
      <c r="A5224" s="4">
        <v>39230</v>
      </c>
      <c r="B5224" s="5"/>
    </row>
    <row r="5225" spans="1:2" x14ac:dyDescent="0.25">
      <c r="A5225" s="4">
        <v>39231</v>
      </c>
      <c r="B5225" s="6">
        <v>69.31</v>
      </c>
    </row>
    <row r="5226" spans="1:2" x14ac:dyDescent="0.25">
      <c r="A5226" s="4">
        <v>39232</v>
      </c>
      <c r="B5226" s="6">
        <v>67.64</v>
      </c>
    </row>
    <row r="5227" spans="1:2" x14ac:dyDescent="0.25">
      <c r="A5227" s="4">
        <v>39233</v>
      </c>
      <c r="B5227" s="6">
        <v>68.180000000000007</v>
      </c>
    </row>
    <row r="5228" spans="1:2" x14ac:dyDescent="0.25">
      <c r="A5228" s="4">
        <v>39234</v>
      </c>
      <c r="B5228" s="6">
        <v>68.650000000000006</v>
      </c>
    </row>
    <row r="5229" spans="1:2" x14ac:dyDescent="0.25">
      <c r="A5229" s="4">
        <v>39237</v>
      </c>
      <c r="B5229" s="6">
        <v>70.900000000000006</v>
      </c>
    </row>
    <row r="5230" spans="1:2" x14ac:dyDescent="0.25">
      <c r="A5230" s="4">
        <v>39238</v>
      </c>
      <c r="B5230" s="6">
        <v>71.36</v>
      </c>
    </row>
    <row r="5231" spans="1:2" x14ac:dyDescent="0.25">
      <c r="A5231" s="4">
        <v>39239</v>
      </c>
      <c r="B5231" s="6">
        <v>71.5</v>
      </c>
    </row>
    <row r="5232" spans="1:2" x14ac:dyDescent="0.25">
      <c r="A5232" s="4">
        <v>39240</v>
      </c>
      <c r="B5232" s="6">
        <v>72.36</v>
      </c>
    </row>
    <row r="5233" spans="1:2" x14ac:dyDescent="0.25">
      <c r="A5233" s="4">
        <v>39241</v>
      </c>
      <c r="B5233" s="6">
        <v>70.040000000000006</v>
      </c>
    </row>
    <row r="5234" spans="1:2" x14ac:dyDescent="0.25">
      <c r="A5234" s="4">
        <v>39244</v>
      </c>
      <c r="B5234" s="6">
        <v>68.849999999999994</v>
      </c>
    </row>
    <row r="5235" spans="1:2" x14ac:dyDescent="0.25">
      <c r="A5235" s="4">
        <v>39245</v>
      </c>
      <c r="B5235" s="6">
        <v>68.56</v>
      </c>
    </row>
    <row r="5236" spans="1:2" x14ac:dyDescent="0.25">
      <c r="A5236" s="4">
        <v>39246</v>
      </c>
      <c r="B5236" s="6">
        <v>69.239999999999995</v>
      </c>
    </row>
    <row r="5237" spans="1:2" x14ac:dyDescent="0.25">
      <c r="A5237" s="4">
        <v>39247</v>
      </c>
      <c r="B5237" s="6">
        <v>71.180000000000007</v>
      </c>
    </row>
    <row r="5238" spans="1:2" x14ac:dyDescent="0.25">
      <c r="A5238" s="4">
        <v>39248</v>
      </c>
      <c r="B5238" s="6">
        <v>71.63</v>
      </c>
    </row>
    <row r="5239" spans="1:2" x14ac:dyDescent="0.25">
      <c r="A5239" s="4">
        <v>39251</v>
      </c>
      <c r="B5239" s="6">
        <v>72.33</v>
      </c>
    </row>
    <row r="5240" spans="1:2" x14ac:dyDescent="0.25">
      <c r="A5240" s="4">
        <v>39252</v>
      </c>
      <c r="B5240" s="6">
        <v>72.17</v>
      </c>
    </row>
    <row r="5241" spans="1:2" x14ac:dyDescent="0.25">
      <c r="A5241" s="4">
        <v>39253</v>
      </c>
      <c r="B5241" s="6">
        <v>70.55</v>
      </c>
    </row>
    <row r="5242" spans="1:2" x14ac:dyDescent="0.25">
      <c r="A5242" s="4">
        <v>39254</v>
      </c>
      <c r="B5242" s="6">
        <v>71.81</v>
      </c>
    </row>
    <row r="5243" spans="1:2" x14ac:dyDescent="0.25">
      <c r="A5243" s="4">
        <v>39255</v>
      </c>
      <c r="B5243" s="6">
        <v>72.040000000000006</v>
      </c>
    </row>
    <row r="5244" spans="1:2" x14ac:dyDescent="0.25">
      <c r="A5244" s="4">
        <v>39258</v>
      </c>
      <c r="B5244" s="6">
        <v>71.36</v>
      </c>
    </row>
    <row r="5245" spans="1:2" x14ac:dyDescent="0.25">
      <c r="A5245" s="4">
        <v>39259</v>
      </c>
      <c r="B5245" s="6">
        <v>71.41</v>
      </c>
    </row>
    <row r="5246" spans="1:2" x14ac:dyDescent="0.25">
      <c r="A5246" s="4">
        <v>39260</v>
      </c>
      <c r="B5246" s="6">
        <v>71.84</v>
      </c>
    </row>
    <row r="5247" spans="1:2" x14ac:dyDescent="0.25">
      <c r="A5247" s="4">
        <v>39261</v>
      </c>
      <c r="B5247" s="6">
        <v>71.959999999999994</v>
      </c>
    </row>
    <row r="5248" spans="1:2" x14ac:dyDescent="0.25">
      <c r="A5248" s="4">
        <v>39262</v>
      </c>
      <c r="B5248" s="6">
        <v>72.22</v>
      </c>
    </row>
    <row r="5249" spans="1:2" x14ac:dyDescent="0.25">
      <c r="A5249" s="4">
        <v>39265</v>
      </c>
      <c r="B5249" s="6">
        <v>72.900000000000006</v>
      </c>
    </row>
    <row r="5250" spans="1:2" x14ac:dyDescent="0.25">
      <c r="A5250" s="4">
        <v>39266</v>
      </c>
      <c r="B5250" s="6">
        <v>74.260000000000005</v>
      </c>
    </row>
    <row r="5251" spans="1:2" x14ac:dyDescent="0.25">
      <c r="A5251" s="4">
        <v>39267</v>
      </c>
      <c r="B5251" s="5"/>
    </row>
    <row r="5252" spans="1:2" x14ac:dyDescent="0.25">
      <c r="A5252" s="4">
        <v>39268</v>
      </c>
      <c r="B5252" s="6">
        <v>75.400000000000006</v>
      </c>
    </row>
    <row r="5253" spans="1:2" x14ac:dyDescent="0.25">
      <c r="A5253" s="4">
        <v>39269</v>
      </c>
      <c r="B5253" s="6">
        <v>76.58</v>
      </c>
    </row>
    <row r="5254" spans="1:2" x14ac:dyDescent="0.25">
      <c r="A5254" s="4">
        <v>39272</v>
      </c>
      <c r="B5254" s="6">
        <v>77.099999999999994</v>
      </c>
    </row>
    <row r="5255" spans="1:2" x14ac:dyDescent="0.25">
      <c r="A5255" s="4">
        <v>39273</v>
      </c>
      <c r="B5255" s="6">
        <v>77.88</v>
      </c>
    </row>
    <row r="5256" spans="1:2" x14ac:dyDescent="0.25">
      <c r="A5256" s="4">
        <v>39274</v>
      </c>
      <c r="B5256" s="6">
        <v>77.44</v>
      </c>
    </row>
    <row r="5257" spans="1:2" x14ac:dyDescent="0.25">
      <c r="A5257" s="4">
        <v>39275</v>
      </c>
      <c r="B5257" s="6">
        <v>78.239999999999995</v>
      </c>
    </row>
    <row r="5258" spans="1:2" x14ac:dyDescent="0.25">
      <c r="A5258" s="4">
        <v>39276</v>
      </c>
      <c r="B5258" s="6">
        <v>78.12</v>
      </c>
    </row>
    <row r="5259" spans="1:2" x14ac:dyDescent="0.25">
      <c r="A5259" s="4">
        <v>39279</v>
      </c>
      <c r="B5259" s="6">
        <v>78.17</v>
      </c>
    </row>
    <row r="5260" spans="1:2" x14ac:dyDescent="0.25">
      <c r="A5260" s="4">
        <v>39280</v>
      </c>
      <c r="B5260" s="6">
        <v>77.59</v>
      </c>
    </row>
    <row r="5261" spans="1:2" x14ac:dyDescent="0.25">
      <c r="A5261" s="4">
        <v>39281</v>
      </c>
      <c r="B5261" s="6">
        <v>78</v>
      </c>
    </row>
    <row r="5262" spans="1:2" x14ac:dyDescent="0.25">
      <c r="A5262" s="4">
        <v>39282</v>
      </c>
      <c r="B5262" s="6">
        <v>78.37</v>
      </c>
    </row>
    <row r="5263" spans="1:2" x14ac:dyDescent="0.25">
      <c r="A5263" s="4">
        <v>39283</v>
      </c>
      <c r="B5263" s="6">
        <v>79.09</v>
      </c>
    </row>
    <row r="5264" spans="1:2" x14ac:dyDescent="0.25">
      <c r="A5264" s="4">
        <v>39286</v>
      </c>
      <c r="B5264" s="6">
        <v>78.36</v>
      </c>
    </row>
    <row r="5265" spans="1:2" x14ac:dyDescent="0.25">
      <c r="A5265" s="4">
        <v>39287</v>
      </c>
      <c r="B5265" s="6">
        <v>75.88</v>
      </c>
    </row>
    <row r="5266" spans="1:2" x14ac:dyDescent="0.25">
      <c r="A5266" s="4">
        <v>39288</v>
      </c>
      <c r="B5266" s="6">
        <v>75.209999999999994</v>
      </c>
    </row>
    <row r="5267" spans="1:2" x14ac:dyDescent="0.25">
      <c r="A5267" s="4">
        <v>39289</v>
      </c>
      <c r="B5267" s="6">
        <v>77.28</v>
      </c>
    </row>
    <row r="5268" spans="1:2" x14ac:dyDescent="0.25">
      <c r="A5268" s="4">
        <v>39290</v>
      </c>
      <c r="B5268" s="6">
        <v>76.58</v>
      </c>
    </row>
    <row r="5269" spans="1:2" x14ac:dyDescent="0.25">
      <c r="A5269" s="4">
        <v>39293</v>
      </c>
      <c r="B5269" s="6">
        <v>76.069999999999993</v>
      </c>
    </row>
    <row r="5270" spans="1:2" x14ac:dyDescent="0.25">
      <c r="A5270" s="4">
        <v>39294</v>
      </c>
      <c r="B5270" s="6">
        <v>77.010000000000005</v>
      </c>
    </row>
    <row r="5271" spans="1:2" x14ac:dyDescent="0.25">
      <c r="A5271" s="4">
        <v>39295</v>
      </c>
      <c r="B5271" s="6">
        <v>77.11</v>
      </c>
    </row>
    <row r="5272" spans="1:2" x14ac:dyDescent="0.25">
      <c r="A5272" s="4">
        <v>39296</v>
      </c>
      <c r="B5272" s="6">
        <v>76.14</v>
      </c>
    </row>
    <row r="5273" spans="1:2" x14ac:dyDescent="0.25">
      <c r="A5273" s="4">
        <v>39297</v>
      </c>
      <c r="B5273" s="6">
        <v>75.36</v>
      </c>
    </row>
    <row r="5274" spans="1:2" x14ac:dyDescent="0.25">
      <c r="A5274" s="4">
        <v>39300</v>
      </c>
      <c r="B5274" s="6">
        <v>72.69</v>
      </c>
    </row>
    <row r="5275" spans="1:2" x14ac:dyDescent="0.25">
      <c r="A5275" s="4">
        <v>39301</v>
      </c>
      <c r="B5275" s="6">
        <v>70.42</v>
      </c>
    </row>
    <row r="5276" spans="1:2" x14ac:dyDescent="0.25">
      <c r="A5276" s="4">
        <v>39302</v>
      </c>
      <c r="B5276" s="6">
        <v>70.73</v>
      </c>
    </row>
    <row r="5277" spans="1:2" x14ac:dyDescent="0.25">
      <c r="A5277" s="4">
        <v>39303</v>
      </c>
      <c r="B5277" s="6">
        <v>70.08</v>
      </c>
    </row>
    <row r="5278" spans="1:2" x14ac:dyDescent="0.25">
      <c r="A5278" s="4">
        <v>39304</v>
      </c>
      <c r="B5278" s="6">
        <v>69.569999999999993</v>
      </c>
    </row>
    <row r="5279" spans="1:2" x14ac:dyDescent="0.25">
      <c r="A5279" s="4">
        <v>39307</v>
      </c>
      <c r="B5279" s="6">
        <v>71.3</v>
      </c>
    </row>
    <row r="5280" spans="1:2" x14ac:dyDescent="0.25">
      <c r="A5280" s="4">
        <v>39308</v>
      </c>
      <c r="B5280" s="6">
        <v>69.290000000000006</v>
      </c>
    </row>
    <row r="5281" spans="1:2" x14ac:dyDescent="0.25">
      <c r="A5281" s="4">
        <v>39309</v>
      </c>
      <c r="B5281" s="6">
        <v>71.3</v>
      </c>
    </row>
    <row r="5282" spans="1:2" x14ac:dyDescent="0.25">
      <c r="A5282" s="4">
        <v>39310</v>
      </c>
      <c r="B5282" s="6">
        <v>68.77</v>
      </c>
    </row>
    <row r="5283" spans="1:2" x14ac:dyDescent="0.25">
      <c r="A5283" s="4">
        <v>39311</v>
      </c>
      <c r="B5283" s="6">
        <v>69.8</v>
      </c>
    </row>
    <row r="5284" spans="1:2" x14ac:dyDescent="0.25">
      <c r="A5284" s="4">
        <v>39314</v>
      </c>
      <c r="B5284" s="6">
        <v>68.37</v>
      </c>
    </row>
    <row r="5285" spans="1:2" x14ac:dyDescent="0.25">
      <c r="A5285" s="4">
        <v>39315</v>
      </c>
      <c r="B5285" s="6">
        <v>67.88</v>
      </c>
    </row>
    <row r="5286" spans="1:2" x14ac:dyDescent="0.25">
      <c r="A5286" s="4">
        <v>39316</v>
      </c>
      <c r="B5286" s="6">
        <v>67.73</v>
      </c>
    </row>
    <row r="5287" spans="1:2" x14ac:dyDescent="0.25">
      <c r="A5287" s="4">
        <v>39317</v>
      </c>
      <c r="B5287" s="6">
        <v>68.73</v>
      </c>
    </row>
    <row r="5288" spans="1:2" x14ac:dyDescent="0.25">
      <c r="A5288" s="4">
        <v>39318</v>
      </c>
      <c r="B5288" s="6">
        <v>69.489999999999995</v>
      </c>
    </row>
    <row r="5289" spans="1:2" x14ac:dyDescent="0.25">
      <c r="A5289" s="4">
        <v>39321</v>
      </c>
      <c r="B5289" s="6">
        <v>68.849999999999994</v>
      </c>
    </row>
    <row r="5290" spans="1:2" x14ac:dyDescent="0.25">
      <c r="A5290" s="4">
        <v>39322</v>
      </c>
      <c r="B5290" s="6">
        <v>69.66</v>
      </c>
    </row>
    <row r="5291" spans="1:2" x14ac:dyDescent="0.25">
      <c r="A5291" s="4">
        <v>39323</v>
      </c>
      <c r="B5291" s="6">
        <v>70.48</v>
      </c>
    </row>
    <row r="5292" spans="1:2" x14ac:dyDescent="0.25">
      <c r="A5292" s="4">
        <v>39324</v>
      </c>
      <c r="B5292" s="6">
        <v>71.459999999999994</v>
      </c>
    </row>
    <row r="5293" spans="1:2" x14ac:dyDescent="0.25">
      <c r="A5293" s="4">
        <v>39325</v>
      </c>
      <c r="B5293" s="6">
        <v>72.290000000000006</v>
      </c>
    </row>
    <row r="5294" spans="1:2" x14ac:dyDescent="0.25">
      <c r="A5294" s="4">
        <v>39328</v>
      </c>
      <c r="B5294" s="5"/>
    </row>
    <row r="5295" spans="1:2" x14ac:dyDescent="0.25">
      <c r="A5295" s="4">
        <v>39329</v>
      </c>
      <c r="B5295" s="6">
        <v>74.22</v>
      </c>
    </row>
    <row r="5296" spans="1:2" x14ac:dyDescent="0.25">
      <c r="A5296" s="4">
        <v>39330</v>
      </c>
      <c r="B5296" s="6">
        <v>74.72</v>
      </c>
    </row>
    <row r="5297" spans="1:2" x14ac:dyDescent="0.25">
      <c r="A5297" s="4">
        <v>39331</v>
      </c>
      <c r="B5297" s="6">
        <v>76.209999999999994</v>
      </c>
    </row>
    <row r="5298" spans="1:2" x14ac:dyDescent="0.25">
      <c r="A5298" s="4">
        <v>39332</v>
      </c>
      <c r="B5298" s="6">
        <v>75.08</v>
      </c>
    </row>
    <row r="5299" spans="1:2" x14ac:dyDescent="0.25">
      <c r="A5299" s="4">
        <v>39335</v>
      </c>
      <c r="B5299" s="6">
        <v>74.97</v>
      </c>
    </row>
    <row r="5300" spans="1:2" x14ac:dyDescent="0.25">
      <c r="A5300" s="4">
        <v>39336</v>
      </c>
      <c r="B5300" s="6">
        <v>76.23</v>
      </c>
    </row>
    <row r="5301" spans="1:2" x14ac:dyDescent="0.25">
      <c r="A5301" s="4">
        <v>39337</v>
      </c>
      <c r="B5301" s="6">
        <v>77.150000000000006</v>
      </c>
    </row>
    <row r="5302" spans="1:2" x14ac:dyDescent="0.25">
      <c r="A5302" s="4">
        <v>39338</v>
      </c>
      <c r="B5302" s="6">
        <v>77.84</v>
      </c>
    </row>
    <row r="5303" spans="1:2" x14ac:dyDescent="0.25">
      <c r="A5303" s="4">
        <v>39339</v>
      </c>
      <c r="B5303" s="6">
        <v>78.27</v>
      </c>
    </row>
    <row r="5304" spans="1:2" x14ac:dyDescent="0.25">
      <c r="A5304" s="4">
        <v>39342</v>
      </c>
      <c r="B5304" s="6">
        <v>77.989999999999995</v>
      </c>
    </row>
    <row r="5305" spans="1:2" x14ac:dyDescent="0.25">
      <c r="A5305" s="4">
        <v>39343</v>
      </c>
      <c r="B5305" s="6">
        <v>77</v>
      </c>
    </row>
    <row r="5306" spans="1:2" x14ac:dyDescent="0.25">
      <c r="A5306" s="4">
        <v>39344</v>
      </c>
      <c r="B5306" s="6">
        <v>78.47</v>
      </c>
    </row>
    <row r="5307" spans="1:2" x14ac:dyDescent="0.25">
      <c r="A5307" s="4">
        <v>39345</v>
      </c>
      <c r="B5307" s="6">
        <v>78.48</v>
      </c>
    </row>
    <row r="5308" spans="1:2" x14ac:dyDescent="0.25">
      <c r="A5308" s="4">
        <v>39346</v>
      </c>
      <c r="B5308" s="6">
        <v>78.91</v>
      </c>
    </row>
    <row r="5309" spans="1:2" x14ac:dyDescent="0.25">
      <c r="A5309" s="4">
        <v>39349</v>
      </c>
      <c r="B5309" s="6">
        <v>77.87</v>
      </c>
    </row>
    <row r="5310" spans="1:2" x14ac:dyDescent="0.25">
      <c r="A5310" s="4">
        <v>39350</v>
      </c>
      <c r="B5310" s="6">
        <v>76.819999999999993</v>
      </c>
    </row>
    <row r="5311" spans="1:2" x14ac:dyDescent="0.25">
      <c r="A5311" s="4">
        <v>39351</v>
      </c>
      <c r="B5311" s="6">
        <v>76.209999999999994</v>
      </c>
    </row>
    <row r="5312" spans="1:2" x14ac:dyDescent="0.25">
      <c r="A5312" s="4">
        <v>39352</v>
      </c>
      <c r="B5312" s="6">
        <v>78.88</v>
      </c>
    </row>
    <row r="5313" spans="1:2" x14ac:dyDescent="0.25">
      <c r="A5313" s="4">
        <v>39353</v>
      </c>
      <c r="B5313" s="6">
        <v>80.97</v>
      </c>
    </row>
    <row r="5314" spans="1:2" x14ac:dyDescent="0.25">
      <c r="A5314" s="4">
        <v>39356</v>
      </c>
      <c r="B5314" s="6">
        <v>78.33</v>
      </c>
    </row>
    <row r="5315" spans="1:2" x14ac:dyDescent="0.25">
      <c r="A5315" s="4">
        <v>39357</v>
      </c>
      <c r="B5315" s="6">
        <v>76.87</v>
      </c>
    </row>
    <row r="5316" spans="1:2" x14ac:dyDescent="0.25">
      <c r="A5316" s="4">
        <v>39358</v>
      </c>
      <c r="B5316" s="6">
        <v>77.8</v>
      </c>
    </row>
    <row r="5317" spans="1:2" x14ac:dyDescent="0.25">
      <c r="A5317" s="4">
        <v>39359</v>
      </c>
      <c r="B5317" s="6">
        <v>77.84</v>
      </c>
    </row>
    <row r="5318" spans="1:2" x14ac:dyDescent="0.25">
      <c r="A5318" s="4">
        <v>39360</v>
      </c>
      <c r="B5318" s="6">
        <v>79.05</v>
      </c>
    </row>
    <row r="5319" spans="1:2" x14ac:dyDescent="0.25">
      <c r="A5319" s="4">
        <v>39363</v>
      </c>
      <c r="B5319" s="6">
        <v>76.94</v>
      </c>
    </row>
    <row r="5320" spans="1:2" x14ac:dyDescent="0.25">
      <c r="A5320" s="4">
        <v>39364</v>
      </c>
      <c r="B5320" s="6">
        <v>77.819999999999993</v>
      </c>
    </row>
    <row r="5321" spans="1:2" x14ac:dyDescent="0.25">
      <c r="A5321" s="4">
        <v>39365</v>
      </c>
      <c r="B5321" s="6">
        <v>77.849999999999994</v>
      </c>
    </row>
    <row r="5322" spans="1:2" x14ac:dyDescent="0.25">
      <c r="A5322" s="4">
        <v>39366</v>
      </c>
      <c r="B5322" s="6">
        <v>80.83</v>
      </c>
    </row>
    <row r="5323" spans="1:2" x14ac:dyDescent="0.25">
      <c r="A5323" s="4">
        <v>39367</v>
      </c>
      <c r="B5323" s="6">
        <v>80.819999999999993</v>
      </c>
    </row>
    <row r="5324" spans="1:2" x14ac:dyDescent="0.25">
      <c r="A5324" s="4">
        <v>39370</v>
      </c>
      <c r="B5324" s="6">
        <v>82.5</v>
      </c>
    </row>
    <row r="5325" spans="1:2" x14ac:dyDescent="0.25">
      <c r="A5325" s="4">
        <v>39371</v>
      </c>
      <c r="B5325" s="6">
        <v>84.43</v>
      </c>
    </row>
    <row r="5326" spans="1:2" x14ac:dyDescent="0.25">
      <c r="A5326" s="4">
        <v>39372</v>
      </c>
      <c r="B5326" s="6">
        <v>85.24</v>
      </c>
    </row>
    <row r="5327" spans="1:2" x14ac:dyDescent="0.25">
      <c r="A5327" s="4">
        <v>39373</v>
      </c>
      <c r="B5327" s="6">
        <v>85.03</v>
      </c>
    </row>
    <row r="5328" spans="1:2" x14ac:dyDescent="0.25">
      <c r="A5328" s="4">
        <v>39374</v>
      </c>
      <c r="B5328" s="6">
        <v>84.25</v>
      </c>
    </row>
    <row r="5329" spans="1:2" x14ac:dyDescent="0.25">
      <c r="A5329" s="4">
        <v>39377</v>
      </c>
      <c r="B5329" s="6">
        <v>82.72</v>
      </c>
    </row>
    <row r="5330" spans="1:2" x14ac:dyDescent="0.25">
      <c r="A5330" s="4">
        <v>39378</v>
      </c>
      <c r="B5330" s="6">
        <v>82.31</v>
      </c>
    </row>
    <row r="5331" spans="1:2" x14ac:dyDescent="0.25">
      <c r="A5331" s="4">
        <v>39379</v>
      </c>
      <c r="B5331" s="6">
        <v>83.47</v>
      </c>
    </row>
    <row r="5332" spans="1:2" x14ac:dyDescent="0.25">
      <c r="A5332" s="4">
        <v>39380</v>
      </c>
      <c r="B5332" s="6">
        <v>85.4</v>
      </c>
    </row>
    <row r="5333" spans="1:2" x14ac:dyDescent="0.25">
      <c r="A5333" s="4">
        <v>39381</v>
      </c>
      <c r="B5333" s="6">
        <v>84.71</v>
      </c>
    </row>
    <row r="5334" spans="1:2" x14ac:dyDescent="0.25">
      <c r="A5334" s="4">
        <v>39384</v>
      </c>
      <c r="B5334" s="6">
        <v>89.87</v>
      </c>
    </row>
    <row r="5335" spans="1:2" x14ac:dyDescent="0.25">
      <c r="A5335" s="4">
        <v>39385</v>
      </c>
      <c r="B5335" s="6">
        <v>89.87</v>
      </c>
    </row>
    <row r="5336" spans="1:2" x14ac:dyDescent="0.25">
      <c r="A5336" s="4">
        <v>39386</v>
      </c>
      <c r="B5336" s="6">
        <v>89.87</v>
      </c>
    </row>
    <row r="5337" spans="1:2" x14ac:dyDescent="0.25">
      <c r="A5337" s="4">
        <v>39387</v>
      </c>
      <c r="B5337" s="6">
        <v>90.36</v>
      </c>
    </row>
    <row r="5338" spans="1:2" x14ac:dyDescent="0.25">
      <c r="A5338" s="4">
        <v>39388</v>
      </c>
      <c r="B5338" s="6">
        <v>92.11</v>
      </c>
    </row>
    <row r="5339" spans="1:2" x14ac:dyDescent="0.25">
      <c r="A5339" s="4">
        <v>39391</v>
      </c>
      <c r="B5339" s="6">
        <v>92.16</v>
      </c>
    </row>
    <row r="5340" spans="1:2" x14ac:dyDescent="0.25">
      <c r="A5340" s="4">
        <v>39392</v>
      </c>
      <c r="B5340" s="6">
        <v>93.99</v>
      </c>
    </row>
    <row r="5341" spans="1:2" x14ac:dyDescent="0.25">
      <c r="A5341" s="4">
        <v>39393</v>
      </c>
      <c r="B5341" s="6">
        <v>94.85</v>
      </c>
    </row>
    <row r="5342" spans="1:2" x14ac:dyDescent="0.25">
      <c r="A5342" s="4">
        <v>39394</v>
      </c>
      <c r="B5342" s="6">
        <v>94.4</v>
      </c>
    </row>
    <row r="5343" spans="1:2" x14ac:dyDescent="0.25">
      <c r="A5343" s="4">
        <v>39395</v>
      </c>
      <c r="B5343" s="6">
        <v>92.32</v>
      </c>
    </row>
    <row r="5344" spans="1:2" x14ac:dyDescent="0.25">
      <c r="A5344" s="4">
        <v>39398</v>
      </c>
      <c r="B5344" s="6">
        <v>91.56</v>
      </c>
    </row>
    <row r="5345" spans="1:2" x14ac:dyDescent="0.25">
      <c r="A5345" s="4">
        <v>39399</v>
      </c>
      <c r="B5345" s="6">
        <v>89.09</v>
      </c>
    </row>
    <row r="5346" spans="1:2" x14ac:dyDescent="0.25">
      <c r="A5346" s="4">
        <v>39400</v>
      </c>
      <c r="B5346" s="6">
        <v>90.73</v>
      </c>
    </row>
    <row r="5347" spans="1:2" x14ac:dyDescent="0.25">
      <c r="A5347" s="4">
        <v>39401</v>
      </c>
      <c r="B5347" s="6">
        <v>90.32</v>
      </c>
    </row>
    <row r="5348" spans="1:2" x14ac:dyDescent="0.25">
      <c r="A5348" s="4">
        <v>39402</v>
      </c>
      <c r="B5348" s="6">
        <v>91.99</v>
      </c>
    </row>
    <row r="5349" spans="1:2" x14ac:dyDescent="0.25">
      <c r="A5349" s="4">
        <v>39405</v>
      </c>
      <c r="B5349" s="6">
        <v>91.59</v>
      </c>
    </row>
    <row r="5350" spans="1:2" x14ac:dyDescent="0.25">
      <c r="A5350" s="4">
        <v>39406</v>
      </c>
      <c r="B5350" s="6">
        <v>94.13</v>
      </c>
    </row>
    <row r="5351" spans="1:2" x14ac:dyDescent="0.25">
      <c r="A5351" s="4">
        <v>39407</v>
      </c>
      <c r="B5351" s="6">
        <v>94.97</v>
      </c>
    </row>
    <row r="5352" spans="1:2" x14ac:dyDescent="0.25">
      <c r="A5352" s="4">
        <v>39408</v>
      </c>
      <c r="B5352" s="5"/>
    </row>
    <row r="5353" spans="1:2" x14ac:dyDescent="0.25">
      <c r="A5353" s="4">
        <v>39409</v>
      </c>
      <c r="B5353" s="6">
        <v>95.33</v>
      </c>
    </row>
    <row r="5354" spans="1:2" x14ac:dyDescent="0.25">
      <c r="A5354" s="4">
        <v>39412</v>
      </c>
      <c r="B5354" s="6">
        <v>94.88</v>
      </c>
    </row>
    <row r="5355" spans="1:2" x14ac:dyDescent="0.25">
      <c r="A5355" s="4">
        <v>39413</v>
      </c>
      <c r="B5355" s="6">
        <v>93.23</v>
      </c>
    </row>
    <row r="5356" spans="1:2" x14ac:dyDescent="0.25">
      <c r="A5356" s="4">
        <v>39414</v>
      </c>
      <c r="B5356" s="6">
        <v>91.64</v>
      </c>
    </row>
    <row r="5357" spans="1:2" x14ac:dyDescent="0.25">
      <c r="A5357" s="4">
        <v>39415</v>
      </c>
      <c r="B5357" s="6">
        <v>92.34</v>
      </c>
    </row>
    <row r="5358" spans="1:2" x14ac:dyDescent="0.25">
      <c r="A5358" s="4">
        <v>39416</v>
      </c>
      <c r="B5358" s="6">
        <v>88.71</v>
      </c>
    </row>
    <row r="5359" spans="1:2" x14ac:dyDescent="0.25">
      <c r="A5359" s="4">
        <v>39419</v>
      </c>
      <c r="B5359" s="6">
        <v>87.85</v>
      </c>
    </row>
    <row r="5360" spans="1:2" x14ac:dyDescent="0.25">
      <c r="A5360" s="4">
        <v>39420</v>
      </c>
      <c r="B5360" s="6">
        <v>89.97</v>
      </c>
    </row>
    <row r="5361" spans="1:2" x14ac:dyDescent="0.25">
      <c r="A5361" s="4">
        <v>39421</v>
      </c>
      <c r="B5361" s="6">
        <v>90.7</v>
      </c>
    </row>
    <row r="5362" spans="1:2" x14ac:dyDescent="0.25">
      <c r="A5362" s="4">
        <v>39422</v>
      </c>
      <c r="B5362" s="6">
        <v>88.46</v>
      </c>
    </row>
    <row r="5363" spans="1:2" x14ac:dyDescent="0.25">
      <c r="A5363" s="4">
        <v>39423</v>
      </c>
      <c r="B5363" s="6">
        <v>88.46</v>
      </c>
    </row>
    <row r="5364" spans="1:2" x14ac:dyDescent="0.25">
      <c r="A5364" s="4">
        <v>39426</v>
      </c>
      <c r="B5364" s="6">
        <v>87.33</v>
      </c>
    </row>
    <row r="5365" spans="1:2" x14ac:dyDescent="0.25">
      <c r="A5365" s="4">
        <v>39427</v>
      </c>
      <c r="B5365" s="6">
        <v>87.77</v>
      </c>
    </row>
    <row r="5366" spans="1:2" x14ac:dyDescent="0.25">
      <c r="A5366" s="4">
        <v>39428</v>
      </c>
      <c r="B5366" s="6">
        <v>91.69</v>
      </c>
    </row>
    <row r="5367" spans="1:2" x14ac:dyDescent="0.25">
      <c r="A5367" s="4">
        <v>39429</v>
      </c>
      <c r="B5367" s="6">
        <v>92.57</v>
      </c>
    </row>
    <row r="5368" spans="1:2" x14ac:dyDescent="0.25">
      <c r="A5368" s="4">
        <v>39430</v>
      </c>
      <c r="B5368" s="6">
        <v>91.86</v>
      </c>
    </row>
    <row r="5369" spans="1:2" x14ac:dyDescent="0.25">
      <c r="A5369" s="4">
        <v>39433</v>
      </c>
      <c r="B5369" s="6">
        <v>90.32</v>
      </c>
    </row>
    <row r="5370" spans="1:2" x14ac:dyDescent="0.25">
      <c r="A5370" s="4">
        <v>39434</v>
      </c>
      <c r="B5370" s="6">
        <v>90.71</v>
      </c>
    </row>
    <row r="5371" spans="1:2" x14ac:dyDescent="0.25">
      <c r="A5371" s="4">
        <v>39435</v>
      </c>
      <c r="B5371" s="6">
        <v>90.98</v>
      </c>
    </row>
    <row r="5372" spans="1:2" x14ac:dyDescent="0.25">
      <c r="A5372" s="4">
        <v>39436</v>
      </c>
      <c r="B5372" s="6">
        <v>91.06</v>
      </c>
    </row>
    <row r="5373" spans="1:2" x14ac:dyDescent="0.25">
      <c r="A5373" s="4">
        <v>39437</v>
      </c>
      <c r="B5373" s="6">
        <v>91.03</v>
      </c>
    </row>
    <row r="5374" spans="1:2" x14ac:dyDescent="0.25">
      <c r="A5374" s="4">
        <v>39440</v>
      </c>
      <c r="B5374" s="6">
        <v>91.59</v>
      </c>
    </row>
    <row r="5375" spans="1:2" x14ac:dyDescent="0.25">
      <c r="A5375" s="4">
        <v>39441</v>
      </c>
      <c r="B5375" s="5"/>
    </row>
    <row r="5376" spans="1:2" x14ac:dyDescent="0.25">
      <c r="A5376" s="4">
        <v>39442</v>
      </c>
      <c r="B5376" s="5"/>
    </row>
    <row r="5377" spans="1:2" x14ac:dyDescent="0.25">
      <c r="A5377" s="4">
        <v>39443</v>
      </c>
      <c r="B5377" s="6">
        <v>95.66</v>
      </c>
    </row>
    <row r="5378" spans="1:2" x14ac:dyDescent="0.25">
      <c r="A5378" s="4">
        <v>39444</v>
      </c>
      <c r="B5378" s="6">
        <v>95.92</v>
      </c>
    </row>
    <row r="5379" spans="1:2" x14ac:dyDescent="0.25">
      <c r="A5379" s="4">
        <v>39447</v>
      </c>
      <c r="B5379" s="6">
        <v>93.68</v>
      </c>
    </row>
    <row r="5380" spans="1:2" x14ac:dyDescent="0.25">
      <c r="A5380" s="4">
        <v>39448</v>
      </c>
      <c r="B5380" s="5"/>
    </row>
    <row r="5381" spans="1:2" x14ac:dyDescent="0.25">
      <c r="A5381" s="4">
        <v>39449</v>
      </c>
      <c r="B5381" s="6">
        <v>97.01</v>
      </c>
    </row>
    <row r="5382" spans="1:2" x14ac:dyDescent="0.25">
      <c r="A5382" s="4">
        <v>39450</v>
      </c>
      <c r="B5382" s="6">
        <v>98.45</v>
      </c>
    </row>
    <row r="5383" spans="1:2" x14ac:dyDescent="0.25">
      <c r="A5383" s="4">
        <v>39451</v>
      </c>
      <c r="B5383" s="6">
        <v>96.87</v>
      </c>
    </row>
    <row r="5384" spans="1:2" x14ac:dyDescent="0.25">
      <c r="A5384" s="4">
        <v>39454</v>
      </c>
      <c r="B5384" s="6">
        <v>94.19</v>
      </c>
    </row>
    <row r="5385" spans="1:2" x14ac:dyDescent="0.25">
      <c r="A5385" s="4">
        <v>39455</v>
      </c>
      <c r="B5385" s="6">
        <v>96.37</v>
      </c>
    </row>
    <row r="5386" spans="1:2" x14ac:dyDescent="0.25">
      <c r="A5386" s="4">
        <v>39456</v>
      </c>
      <c r="B5386" s="6">
        <v>96.76</v>
      </c>
    </row>
    <row r="5387" spans="1:2" x14ac:dyDescent="0.25">
      <c r="A5387" s="4">
        <v>39457</v>
      </c>
      <c r="B5387" s="6">
        <v>92.8</v>
      </c>
    </row>
    <row r="5388" spans="1:2" x14ac:dyDescent="0.25">
      <c r="A5388" s="4">
        <v>39458</v>
      </c>
      <c r="B5388" s="6">
        <v>91.86</v>
      </c>
    </row>
    <row r="5389" spans="1:2" x14ac:dyDescent="0.25">
      <c r="A5389" s="4">
        <v>39461</v>
      </c>
      <c r="B5389" s="6">
        <v>92.58</v>
      </c>
    </row>
    <row r="5390" spans="1:2" x14ac:dyDescent="0.25">
      <c r="A5390" s="4">
        <v>39462</v>
      </c>
      <c r="B5390" s="6">
        <v>90.87</v>
      </c>
    </row>
    <row r="5391" spans="1:2" x14ac:dyDescent="0.25">
      <c r="A5391" s="4">
        <v>39463</v>
      </c>
      <c r="B5391" s="6">
        <v>88.1</v>
      </c>
    </row>
    <row r="5392" spans="1:2" x14ac:dyDescent="0.25">
      <c r="A5392" s="4">
        <v>39464</v>
      </c>
      <c r="B5392" s="6">
        <v>88.96</v>
      </c>
    </row>
    <row r="5393" spans="1:2" x14ac:dyDescent="0.25">
      <c r="A5393" s="4">
        <v>39465</v>
      </c>
      <c r="B5393" s="6">
        <v>89.66</v>
      </c>
    </row>
    <row r="5394" spans="1:2" x14ac:dyDescent="0.25">
      <c r="A5394" s="4">
        <v>39468</v>
      </c>
      <c r="B5394" s="5"/>
    </row>
    <row r="5395" spans="1:2" x14ac:dyDescent="0.25">
      <c r="A5395" s="4">
        <v>39469</v>
      </c>
      <c r="B5395" s="6">
        <v>88.11</v>
      </c>
    </row>
    <row r="5396" spans="1:2" x14ac:dyDescent="0.25">
      <c r="A5396" s="4">
        <v>39470</v>
      </c>
      <c r="B5396" s="6">
        <v>87.06</v>
      </c>
    </row>
    <row r="5397" spans="1:2" x14ac:dyDescent="0.25">
      <c r="A5397" s="4">
        <v>39471</v>
      </c>
      <c r="B5397" s="6">
        <v>87.69</v>
      </c>
    </row>
    <row r="5398" spans="1:2" x14ac:dyDescent="0.25">
      <c r="A5398" s="4">
        <v>39472</v>
      </c>
      <c r="B5398" s="6">
        <v>90.96</v>
      </c>
    </row>
    <row r="5399" spans="1:2" x14ac:dyDescent="0.25">
      <c r="A5399" s="4">
        <v>39475</v>
      </c>
      <c r="B5399" s="6">
        <v>90.91</v>
      </c>
    </row>
    <row r="5400" spans="1:2" x14ac:dyDescent="0.25">
      <c r="A5400" s="4">
        <v>39476</v>
      </c>
      <c r="B5400" s="6">
        <v>92.49</v>
      </c>
    </row>
    <row r="5401" spans="1:2" x14ac:dyDescent="0.25">
      <c r="A5401" s="4">
        <v>39477</v>
      </c>
      <c r="B5401" s="6">
        <v>92.46</v>
      </c>
    </row>
    <row r="5402" spans="1:2" x14ac:dyDescent="0.25">
      <c r="A5402" s="4">
        <v>39478</v>
      </c>
      <c r="B5402" s="6">
        <v>91.58</v>
      </c>
    </row>
    <row r="5403" spans="1:2" x14ac:dyDescent="0.25">
      <c r="A5403" s="4">
        <v>39479</v>
      </c>
      <c r="B5403" s="6">
        <v>91.41</v>
      </c>
    </row>
    <row r="5404" spans="1:2" x14ac:dyDescent="0.25">
      <c r="A5404" s="4">
        <v>39482</v>
      </c>
      <c r="B5404" s="6">
        <v>91.09</v>
      </c>
    </row>
    <row r="5405" spans="1:2" x14ac:dyDescent="0.25">
      <c r="A5405" s="4">
        <v>39483</v>
      </c>
      <c r="B5405" s="6">
        <v>89.6</v>
      </c>
    </row>
    <row r="5406" spans="1:2" x14ac:dyDescent="0.25">
      <c r="A5406" s="4">
        <v>39484</v>
      </c>
      <c r="B5406" s="6">
        <v>88.73</v>
      </c>
    </row>
    <row r="5407" spans="1:2" x14ac:dyDescent="0.25">
      <c r="A5407" s="4">
        <v>39485</v>
      </c>
      <c r="B5407" s="6">
        <v>88.55</v>
      </c>
    </row>
    <row r="5408" spans="1:2" x14ac:dyDescent="0.25">
      <c r="A5408" s="4">
        <v>39486</v>
      </c>
      <c r="B5408" s="6">
        <v>91.45</v>
      </c>
    </row>
    <row r="5409" spans="1:2" x14ac:dyDescent="0.25">
      <c r="A5409" s="4">
        <v>39489</v>
      </c>
      <c r="B5409" s="6">
        <v>93.93</v>
      </c>
    </row>
    <row r="5410" spans="1:2" x14ac:dyDescent="0.25">
      <c r="A5410" s="4">
        <v>39490</v>
      </c>
      <c r="B5410" s="6">
        <v>94.28</v>
      </c>
    </row>
    <row r="5411" spans="1:2" x14ac:dyDescent="0.25">
      <c r="A5411" s="4">
        <v>39491</v>
      </c>
      <c r="B5411" s="6">
        <v>93.82</v>
      </c>
    </row>
    <row r="5412" spans="1:2" x14ac:dyDescent="0.25">
      <c r="A5412" s="4">
        <v>39492</v>
      </c>
      <c r="B5412" s="6">
        <v>95.92</v>
      </c>
    </row>
    <row r="5413" spans="1:2" x14ac:dyDescent="0.25">
      <c r="A5413" s="4">
        <v>39493</v>
      </c>
      <c r="B5413" s="6">
        <v>96.96</v>
      </c>
    </row>
    <row r="5414" spans="1:2" x14ac:dyDescent="0.25">
      <c r="A5414" s="4">
        <v>39496</v>
      </c>
      <c r="B5414" s="5"/>
    </row>
    <row r="5415" spans="1:2" x14ac:dyDescent="0.25">
      <c r="A5415" s="4">
        <v>39497</v>
      </c>
      <c r="B5415" s="6">
        <v>97.03</v>
      </c>
    </row>
    <row r="5416" spans="1:2" x14ac:dyDescent="0.25">
      <c r="A5416" s="4">
        <v>39498</v>
      </c>
      <c r="B5416" s="6">
        <v>97.88</v>
      </c>
    </row>
    <row r="5417" spans="1:2" x14ac:dyDescent="0.25">
      <c r="A5417" s="4">
        <v>39499</v>
      </c>
      <c r="B5417" s="6">
        <v>97.52</v>
      </c>
    </row>
    <row r="5418" spans="1:2" x14ac:dyDescent="0.25">
      <c r="A5418" s="4">
        <v>39500</v>
      </c>
      <c r="B5418" s="6">
        <v>96.07</v>
      </c>
    </row>
    <row r="5419" spans="1:2" x14ac:dyDescent="0.25">
      <c r="A5419" s="4">
        <v>39503</v>
      </c>
      <c r="B5419" s="6">
        <v>97.43</v>
      </c>
    </row>
    <row r="5420" spans="1:2" x14ac:dyDescent="0.25">
      <c r="A5420" s="4">
        <v>39504</v>
      </c>
      <c r="B5420" s="6">
        <v>99.05</v>
      </c>
    </row>
    <row r="5421" spans="1:2" x14ac:dyDescent="0.25">
      <c r="A5421" s="4">
        <v>39505</v>
      </c>
      <c r="B5421" s="6">
        <v>98.28</v>
      </c>
    </row>
    <row r="5422" spans="1:2" x14ac:dyDescent="0.25">
      <c r="A5422" s="4">
        <v>39506</v>
      </c>
      <c r="B5422" s="6">
        <v>99.83</v>
      </c>
    </row>
    <row r="5423" spans="1:2" x14ac:dyDescent="0.25">
      <c r="A5423" s="4">
        <v>39507</v>
      </c>
      <c r="B5423" s="6">
        <v>100.9</v>
      </c>
    </row>
    <row r="5424" spans="1:2" x14ac:dyDescent="0.25">
      <c r="A5424" s="4">
        <v>39510</v>
      </c>
      <c r="B5424" s="6">
        <v>101.83</v>
      </c>
    </row>
    <row r="5425" spans="1:2" x14ac:dyDescent="0.25">
      <c r="A5425" s="4">
        <v>39511</v>
      </c>
      <c r="B5425" s="6">
        <v>98.6</v>
      </c>
    </row>
    <row r="5426" spans="1:2" x14ac:dyDescent="0.25">
      <c r="A5426" s="4">
        <v>39512</v>
      </c>
      <c r="B5426" s="6">
        <v>100.95</v>
      </c>
    </row>
    <row r="5427" spans="1:2" x14ac:dyDescent="0.25">
      <c r="A5427" s="4">
        <v>39513</v>
      </c>
      <c r="B5427" s="6">
        <v>103.47</v>
      </c>
    </row>
    <row r="5428" spans="1:2" x14ac:dyDescent="0.25">
      <c r="A5428" s="4">
        <v>39514</v>
      </c>
      <c r="B5428" s="6">
        <v>104.66</v>
      </c>
    </row>
    <row r="5429" spans="1:2" x14ac:dyDescent="0.25">
      <c r="A5429" s="4">
        <v>39517</v>
      </c>
      <c r="B5429" s="6">
        <v>105.33</v>
      </c>
    </row>
    <row r="5430" spans="1:2" x14ac:dyDescent="0.25">
      <c r="A5430" s="4">
        <v>39518</v>
      </c>
      <c r="B5430" s="6">
        <v>106.78</v>
      </c>
    </row>
    <row r="5431" spans="1:2" x14ac:dyDescent="0.25">
      <c r="A5431" s="4">
        <v>39519</v>
      </c>
      <c r="B5431" s="6">
        <v>107.99</v>
      </c>
    </row>
    <row r="5432" spans="1:2" x14ac:dyDescent="0.25">
      <c r="A5432" s="4">
        <v>39520</v>
      </c>
      <c r="B5432" s="6">
        <v>109.18</v>
      </c>
    </row>
    <row r="5433" spans="1:2" x14ac:dyDescent="0.25">
      <c r="A5433" s="4">
        <v>39521</v>
      </c>
      <c r="B5433" s="6">
        <v>109.16</v>
      </c>
    </row>
    <row r="5434" spans="1:2" x14ac:dyDescent="0.25">
      <c r="A5434" s="4">
        <v>39524</v>
      </c>
      <c r="B5434" s="6">
        <v>104.41</v>
      </c>
    </row>
    <row r="5435" spans="1:2" x14ac:dyDescent="0.25">
      <c r="A5435" s="4">
        <v>39525</v>
      </c>
      <c r="B5435" s="6">
        <v>105.35</v>
      </c>
    </row>
    <row r="5436" spans="1:2" x14ac:dyDescent="0.25">
      <c r="A5436" s="4">
        <v>39526</v>
      </c>
      <c r="B5436" s="6">
        <v>102.65</v>
      </c>
    </row>
    <row r="5437" spans="1:2" x14ac:dyDescent="0.25">
      <c r="A5437" s="4">
        <v>39527</v>
      </c>
      <c r="B5437" s="6">
        <v>99.78</v>
      </c>
    </row>
    <row r="5438" spans="1:2" x14ac:dyDescent="0.25">
      <c r="A5438" s="4">
        <v>39528</v>
      </c>
      <c r="B5438" s="5"/>
    </row>
    <row r="5439" spans="1:2" x14ac:dyDescent="0.25">
      <c r="A5439" s="4">
        <v>39531</v>
      </c>
      <c r="B5439" s="6">
        <v>100.93</v>
      </c>
    </row>
    <row r="5440" spans="1:2" x14ac:dyDescent="0.25">
      <c r="A5440" s="4">
        <v>39532</v>
      </c>
      <c r="B5440" s="6">
        <v>99.91</v>
      </c>
    </row>
    <row r="5441" spans="1:2" x14ac:dyDescent="0.25">
      <c r="A5441" s="4">
        <v>39533</v>
      </c>
      <c r="B5441" s="6">
        <v>102.83</v>
      </c>
    </row>
    <row r="5442" spans="1:2" x14ac:dyDescent="0.25">
      <c r="A5442" s="4">
        <v>39534</v>
      </c>
      <c r="B5442" s="6">
        <v>103.89</v>
      </c>
    </row>
    <row r="5443" spans="1:2" x14ac:dyDescent="0.25">
      <c r="A5443" s="4">
        <v>39535</v>
      </c>
      <c r="B5443" s="6">
        <v>102.68</v>
      </c>
    </row>
    <row r="5444" spans="1:2" x14ac:dyDescent="0.25">
      <c r="A5444" s="4">
        <v>39538</v>
      </c>
      <c r="B5444" s="6">
        <v>102.33</v>
      </c>
    </row>
    <row r="5445" spans="1:2" x14ac:dyDescent="0.25">
      <c r="A5445" s="4">
        <v>39539</v>
      </c>
      <c r="B5445" s="6">
        <v>98.69</v>
      </c>
    </row>
    <row r="5446" spans="1:2" x14ac:dyDescent="0.25">
      <c r="A5446" s="4">
        <v>39540</v>
      </c>
      <c r="B5446" s="6">
        <v>98.85</v>
      </c>
    </row>
    <row r="5447" spans="1:2" x14ac:dyDescent="0.25">
      <c r="A5447" s="4">
        <v>39541</v>
      </c>
      <c r="B5447" s="6">
        <v>102.31</v>
      </c>
    </row>
    <row r="5448" spans="1:2" x14ac:dyDescent="0.25">
      <c r="A5448" s="4">
        <v>39542</v>
      </c>
      <c r="B5448" s="6">
        <v>102.21</v>
      </c>
    </row>
    <row r="5449" spans="1:2" x14ac:dyDescent="0.25">
      <c r="A5449" s="4">
        <v>39545</v>
      </c>
      <c r="B5449" s="6">
        <v>105.98</v>
      </c>
    </row>
    <row r="5450" spans="1:2" x14ac:dyDescent="0.25">
      <c r="A5450" s="4">
        <v>39546</v>
      </c>
      <c r="B5450" s="6">
        <v>105.05</v>
      </c>
    </row>
    <row r="5451" spans="1:2" x14ac:dyDescent="0.25">
      <c r="A5451" s="4">
        <v>39547</v>
      </c>
      <c r="B5451" s="6">
        <v>107.46</v>
      </c>
    </row>
    <row r="5452" spans="1:2" x14ac:dyDescent="0.25">
      <c r="A5452" s="4">
        <v>39548</v>
      </c>
      <c r="B5452" s="6">
        <v>107.37</v>
      </c>
    </row>
    <row r="5453" spans="1:2" x14ac:dyDescent="0.25">
      <c r="A5453" s="4">
        <v>39549</v>
      </c>
      <c r="B5453" s="6">
        <v>107.15</v>
      </c>
    </row>
    <row r="5454" spans="1:2" x14ac:dyDescent="0.25">
      <c r="A5454" s="4">
        <v>39552</v>
      </c>
      <c r="B5454" s="6">
        <v>108.32</v>
      </c>
    </row>
    <row r="5455" spans="1:2" x14ac:dyDescent="0.25">
      <c r="A5455" s="4">
        <v>39553</v>
      </c>
      <c r="B5455" s="6">
        <v>110.84</v>
      </c>
    </row>
    <row r="5456" spans="1:2" x14ac:dyDescent="0.25">
      <c r="A5456" s="4">
        <v>39554</v>
      </c>
      <c r="B5456" s="6">
        <v>110.95</v>
      </c>
    </row>
    <row r="5457" spans="1:2" x14ac:dyDescent="0.25">
      <c r="A5457" s="4">
        <v>39555</v>
      </c>
      <c r="B5457" s="6">
        <v>111.34</v>
      </c>
    </row>
    <row r="5458" spans="1:2" x14ac:dyDescent="0.25">
      <c r="A5458" s="4">
        <v>39556</v>
      </c>
      <c r="B5458" s="6">
        <v>110.67</v>
      </c>
    </row>
    <row r="5459" spans="1:2" x14ac:dyDescent="0.25">
      <c r="A5459" s="4">
        <v>39559</v>
      </c>
      <c r="B5459" s="6">
        <v>111.35</v>
      </c>
    </row>
    <row r="5460" spans="1:2" x14ac:dyDescent="0.25">
      <c r="A5460" s="4">
        <v>39560</v>
      </c>
      <c r="B5460" s="6">
        <v>113.54</v>
      </c>
    </row>
    <row r="5461" spans="1:2" x14ac:dyDescent="0.25">
      <c r="A5461" s="4">
        <v>39561</v>
      </c>
      <c r="B5461" s="6">
        <v>115.34</v>
      </c>
    </row>
    <row r="5462" spans="1:2" x14ac:dyDescent="0.25">
      <c r="A5462" s="4">
        <v>39562</v>
      </c>
      <c r="B5462" s="6">
        <v>114.85</v>
      </c>
    </row>
    <row r="5463" spans="1:2" x14ac:dyDescent="0.25">
      <c r="A5463" s="4">
        <v>39563</v>
      </c>
      <c r="B5463" s="6">
        <v>116.62</v>
      </c>
    </row>
    <row r="5464" spans="1:2" x14ac:dyDescent="0.25">
      <c r="A5464" s="4">
        <v>39566</v>
      </c>
      <c r="B5464" s="6">
        <v>115.7</v>
      </c>
    </row>
    <row r="5465" spans="1:2" x14ac:dyDescent="0.25">
      <c r="A5465" s="4">
        <v>39567</v>
      </c>
      <c r="B5465" s="6">
        <v>113.86</v>
      </c>
    </row>
    <row r="5466" spans="1:2" x14ac:dyDescent="0.25">
      <c r="A5466" s="4">
        <v>39568</v>
      </c>
      <c r="B5466" s="6">
        <v>111.12</v>
      </c>
    </row>
    <row r="5467" spans="1:2" x14ac:dyDescent="0.25">
      <c r="A5467" s="4">
        <v>39569</v>
      </c>
      <c r="B5467" s="6">
        <v>107.3</v>
      </c>
    </row>
    <row r="5468" spans="1:2" x14ac:dyDescent="0.25">
      <c r="A5468" s="4">
        <v>39570</v>
      </c>
      <c r="B5468" s="6">
        <v>111.92</v>
      </c>
    </row>
    <row r="5469" spans="1:2" x14ac:dyDescent="0.25">
      <c r="A5469" s="4">
        <v>39573</v>
      </c>
      <c r="B5469" s="6">
        <v>115.68</v>
      </c>
    </row>
    <row r="5470" spans="1:2" x14ac:dyDescent="0.25">
      <c r="A5470" s="4">
        <v>39574</v>
      </c>
      <c r="B5470" s="6">
        <v>119.88</v>
      </c>
    </row>
    <row r="5471" spans="1:2" x14ac:dyDescent="0.25">
      <c r="A5471" s="4">
        <v>39575</v>
      </c>
      <c r="B5471" s="6">
        <v>120.27</v>
      </c>
    </row>
    <row r="5472" spans="1:2" x14ac:dyDescent="0.25">
      <c r="A5472" s="4">
        <v>39576</v>
      </c>
      <c r="B5472" s="6">
        <v>119.85</v>
      </c>
    </row>
    <row r="5473" spans="1:2" x14ac:dyDescent="0.25">
      <c r="A5473" s="4">
        <v>39577</v>
      </c>
      <c r="B5473" s="6">
        <v>123.54</v>
      </c>
    </row>
    <row r="5474" spans="1:2" x14ac:dyDescent="0.25">
      <c r="A5474" s="4">
        <v>39580</v>
      </c>
      <c r="B5474" s="6">
        <v>122.89</v>
      </c>
    </row>
    <row r="5475" spans="1:2" x14ac:dyDescent="0.25">
      <c r="A5475" s="4">
        <v>39581</v>
      </c>
      <c r="B5475" s="6">
        <v>123.11</v>
      </c>
    </row>
    <row r="5476" spans="1:2" x14ac:dyDescent="0.25">
      <c r="A5476" s="4">
        <v>39582</v>
      </c>
      <c r="B5476" s="6">
        <v>121.18</v>
      </c>
    </row>
    <row r="5477" spans="1:2" x14ac:dyDescent="0.25">
      <c r="A5477" s="4">
        <v>39583</v>
      </c>
      <c r="B5477" s="6">
        <v>122.76</v>
      </c>
    </row>
    <row r="5478" spans="1:2" x14ac:dyDescent="0.25">
      <c r="A5478" s="4">
        <v>39584</v>
      </c>
      <c r="B5478" s="6">
        <v>122.98</v>
      </c>
    </row>
    <row r="5479" spans="1:2" x14ac:dyDescent="0.25">
      <c r="A5479" s="4">
        <v>39587</v>
      </c>
      <c r="B5479" s="6">
        <v>122.19</v>
      </c>
    </row>
    <row r="5480" spans="1:2" x14ac:dyDescent="0.25">
      <c r="A5480" s="4">
        <v>39588</v>
      </c>
      <c r="B5480" s="6">
        <v>124.12</v>
      </c>
    </row>
    <row r="5481" spans="1:2" x14ac:dyDescent="0.25">
      <c r="A5481" s="4">
        <v>39589</v>
      </c>
      <c r="B5481" s="6">
        <v>127.28</v>
      </c>
    </row>
    <row r="5482" spans="1:2" x14ac:dyDescent="0.25">
      <c r="A5482" s="4">
        <v>39590</v>
      </c>
      <c r="B5482" s="6">
        <v>129.04</v>
      </c>
    </row>
    <row r="5483" spans="1:2" x14ac:dyDescent="0.25">
      <c r="A5483" s="4">
        <v>39591</v>
      </c>
      <c r="B5483" s="6">
        <v>129.72</v>
      </c>
    </row>
    <row r="5484" spans="1:2" x14ac:dyDescent="0.25">
      <c r="A5484" s="4">
        <v>39594</v>
      </c>
      <c r="B5484" s="5"/>
    </row>
    <row r="5485" spans="1:2" x14ac:dyDescent="0.25">
      <c r="A5485" s="4">
        <v>39595</v>
      </c>
      <c r="B5485" s="6">
        <v>128.91999999999999</v>
      </c>
    </row>
    <row r="5486" spans="1:2" x14ac:dyDescent="0.25">
      <c r="A5486" s="4">
        <v>39596</v>
      </c>
      <c r="B5486" s="6">
        <v>128.93</v>
      </c>
    </row>
    <row r="5487" spans="1:2" x14ac:dyDescent="0.25">
      <c r="A5487" s="4">
        <v>39597</v>
      </c>
      <c r="B5487" s="6">
        <v>129.33000000000001</v>
      </c>
    </row>
    <row r="5488" spans="1:2" x14ac:dyDescent="0.25">
      <c r="A5488" s="4">
        <v>39598</v>
      </c>
      <c r="B5488" s="6">
        <v>127.85</v>
      </c>
    </row>
    <row r="5489" spans="1:2" x14ac:dyDescent="0.25">
      <c r="A5489" s="4">
        <v>39601</v>
      </c>
      <c r="B5489" s="6">
        <v>128.5</v>
      </c>
    </row>
    <row r="5490" spans="1:2" x14ac:dyDescent="0.25">
      <c r="A5490" s="4">
        <v>39602</v>
      </c>
      <c r="B5490" s="6">
        <v>126.28</v>
      </c>
    </row>
    <row r="5491" spans="1:2" x14ac:dyDescent="0.25">
      <c r="A5491" s="4">
        <v>39603</v>
      </c>
      <c r="B5491" s="6">
        <v>121.72</v>
      </c>
    </row>
    <row r="5492" spans="1:2" x14ac:dyDescent="0.25">
      <c r="A5492" s="4">
        <v>39604</v>
      </c>
      <c r="B5492" s="6">
        <v>122.36</v>
      </c>
    </row>
    <row r="5493" spans="1:2" x14ac:dyDescent="0.25">
      <c r="A5493" s="4">
        <v>39605</v>
      </c>
      <c r="B5493" s="6">
        <v>132.81</v>
      </c>
    </row>
    <row r="5494" spans="1:2" x14ac:dyDescent="0.25">
      <c r="A5494" s="4">
        <v>39608</v>
      </c>
      <c r="B5494" s="6">
        <v>134.43</v>
      </c>
    </row>
    <row r="5495" spans="1:2" x14ac:dyDescent="0.25">
      <c r="A5495" s="4">
        <v>39609</v>
      </c>
      <c r="B5495" s="6">
        <v>135.24</v>
      </c>
    </row>
    <row r="5496" spans="1:2" x14ac:dyDescent="0.25">
      <c r="A5496" s="4">
        <v>39610</v>
      </c>
      <c r="B5496" s="6">
        <v>134.52000000000001</v>
      </c>
    </row>
    <row r="5497" spans="1:2" x14ac:dyDescent="0.25">
      <c r="A5497" s="4">
        <v>39611</v>
      </c>
      <c r="B5497" s="6">
        <v>132.11000000000001</v>
      </c>
    </row>
    <row r="5498" spans="1:2" x14ac:dyDescent="0.25">
      <c r="A5498" s="4">
        <v>39612</v>
      </c>
      <c r="B5498" s="6">
        <v>134.29</v>
      </c>
    </row>
    <row r="5499" spans="1:2" x14ac:dyDescent="0.25">
      <c r="A5499" s="4">
        <v>39615</v>
      </c>
      <c r="B5499" s="6">
        <v>133.9</v>
      </c>
    </row>
    <row r="5500" spans="1:2" x14ac:dyDescent="0.25">
      <c r="A5500" s="4">
        <v>39616</v>
      </c>
      <c r="B5500" s="6">
        <v>131.27000000000001</v>
      </c>
    </row>
    <row r="5501" spans="1:2" x14ac:dyDescent="0.25">
      <c r="A5501" s="4">
        <v>39617</v>
      </c>
      <c r="B5501" s="6">
        <v>129.12</v>
      </c>
    </row>
    <row r="5502" spans="1:2" x14ac:dyDescent="0.25">
      <c r="A5502" s="4">
        <v>39618</v>
      </c>
      <c r="B5502" s="6">
        <v>131.84</v>
      </c>
    </row>
    <row r="5503" spans="1:2" x14ac:dyDescent="0.25">
      <c r="A5503" s="4">
        <v>39619</v>
      </c>
      <c r="B5503" s="6">
        <v>134.28</v>
      </c>
    </row>
    <row r="5504" spans="1:2" x14ac:dyDescent="0.25">
      <c r="A5504" s="4">
        <v>39622</v>
      </c>
      <c r="B5504" s="6">
        <v>134.54</v>
      </c>
    </row>
    <row r="5505" spans="1:2" x14ac:dyDescent="0.25">
      <c r="A5505" s="4">
        <v>39623</v>
      </c>
      <c r="B5505" s="6">
        <v>135.37</v>
      </c>
    </row>
    <row r="5506" spans="1:2" x14ac:dyDescent="0.25">
      <c r="A5506" s="4">
        <v>39624</v>
      </c>
      <c r="B5506" s="6">
        <v>131.59</v>
      </c>
    </row>
    <row r="5507" spans="1:2" x14ac:dyDescent="0.25">
      <c r="A5507" s="4">
        <v>39625</v>
      </c>
      <c r="B5507" s="6">
        <v>136.82</v>
      </c>
    </row>
    <row r="5508" spans="1:2" x14ac:dyDescent="0.25">
      <c r="A5508" s="4">
        <v>39626</v>
      </c>
      <c r="B5508" s="6">
        <v>139.38</v>
      </c>
    </row>
    <row r="5509" spans="1:2" x14ac:dyDescent="0.25">
      <c r="A5509" s="4">
        <v>39629</v>
      </c>
      <c r="B5509" s="6">
        <v>138.4</v>
      </c>
    </row>
    <row r="5510" spans="1:2" x14ac:dyDescent="0.25">
      <c r="A5510" s="4">
        <v>39630</v>
      </c>
      <c r="B5510" s="6">
        <v>140.66999999999999</v>
      </c>
    </row>
    <row r="5511" spans="1:2" x14ac:dyDescent="0.25">
      <c r="A5511" s="4">
        <v>39631</v>
      </c>
      <c r="B5511" s="6">
        <v>141.24</v>
      </c>
    </row>
    <row r="5512" spans="1:2" x14ac:dyDescent="0.25">
      <c r="A5512" s="4">
        <v>39632</v>
      </c>
      <c r="B5512" s="6">
        <v>143.94999999999999</v>
      </c>
    </row>
    <row r="5513" spans="1:2" x14ac:dyDescent="0.25">
      <c r="A5513" s="4">
        <v>39633</v>
      </c>
      <c r="B5513" s="5"/>
    </row>
    <row r="5514" spans="1:2" x14ac:dyDescent="0.25">
      <c r="A5514" s="4">
        <v>39636</v>
      </c>
      <c r="B5514" s="6">
        <v>139.62</v>
      </c>
    </row>
    <row r="5515" spans="1:2" x14ac:dyDescent="0.25">
      <c r="A5515" s="4">
        <v>39637</v>
      </c>
      <c r="B5515" s="6">
        <v>134.15</v>
      </c>
    </row>
    <row r="5516" spans="1:2" x14ac:dyDescent="0.25">
      <c r="A5516" s="4">
        <v>39638</v>
      </c>
      <c r="B5516" s="6">
        <v>133.91</v>
      </c>
    </row>
    <row r="5517" spans="1:2" x14ac:dyDescent="0.25">
      <c r="A5517" s="4">
        <v>39639</v>
      </c>
      <c r="B5517" s="6">
        <v>135.81</v>
      </c>
    </row>
    <row r="5518" spans="1:2" x14ac:dyDescent="0.25">
      <c r="A5518" s="4">
        <v>39640</v>
      </c>
      <c r="B5518" s="6">
        <v>143.68</v>
      </c>
    </row>
    <row r="5519" spans="1:2" x14ac:dyDescent="0.25">
      <c r="A5519" s="4">
        <v>39643</v>
      </c>
      <c r="B5519" s="6">
        <v>142.43</v>
      </c>
    </row>
    <row r="5520" spans="1:2" x14ac:dyDescent="0.25">
      <c r="A5520" s="4">
        <v>39644</v>
      </c>
      <c r="B5520" s="6">
        <v>136.02000000000001</v>
      </c>
    </row>
    <row r="5521" spans="1:2" x14ac:dyDescent="0.25">
      <c r="A5521" s="4">
        <v>39645</v>
      </c>
      <c r="B5521" s="6">
        <v>133.31</v>
      </c>
    </row>
    <row r="5522" spans="1:2" x14ac:dyDescent="0.25">
      <c r="A5522" s="4">
        <v>39646</v>
      </c>
      <c r="B5522" s="6">
        <v>134.16</v>
      </c>
    </row>
    <row r="5523" spans="1:2" x14ac:dyDescent="0.25">
      <c r="A5523" s="4">
        <v>39647</v>
      </c>
      <c r="B5523" s="6">
        <v>129.34</v>
      </c>
    </row>
    <row r="5524" spans="1:2" x14ac:dyDescent="0.25">
      <c r="A5524" s="4">
        <v>39650</v>
      </c>
      <c r="B5524" s="6">
        <v>129.34</v>
      </c>
    </row>
    <row r="5525" spans="1:2" x14ac:dyDescent="0.25">
      <c r="A5525" s="4">
        <v>39651</v>
      </c>
      <c r="B5525" s="6">
        <v>127.18</v>
      </c>
    </row>
    <row r="5526" spans="1:2" x14ac:dyDescent="0.25">
      <c r="A5526" s="4">
        <v>39652</v>
      </c>
      <c r="B5526" s="6">
        <v>126.86</v>
      </c>
    </row>
    <row r="5527" spans="1:2" x14ac:dyDescent="0.25">
      <c r="A5527" s="4">
        <v>39653</v>
      </c>
      <c r="B5527" s="6">
        <v>125.43</v>
      </c>
    </row>
    <row r="5528" spans="1:2" x14ac:dyDescent="0.25">
      <c r="A5528" s="4">
        <v>39654</v>
      </c>
      <c r="B5528" s="6">
        <v>124.7</v>
      </c>
    </row>
    <row r="5529" spans="1:2" x14ac:dyDescent="0.25">
      <c r="A5529" s="4">
        <v>39657</v>
      </c>
      <c r="B5529" s="6">
        <v>125.67</v>
      </c>
    </row>
    <row r="5530" spans="1:2" x14ac:dyDescent="0.25">
      <c r="A5530" s="4">
        <v>39658</v>
      </c>
      <c r="B5530" s="6">
        <v>125.77</v>
      </c>
    </row>
    <row r="5531" spans="1:2" x14ac:dyDescent="0.25">
      <c r="A5531" s="4">
        <v>39659</v>
      </c>
      <c r="B5531" s="6">
        <v>122.46</v>
      </c>
    </row>
    <row r="5532" spans="1:2" x14ac:dyDescent="0.25">
      <c r="A5532" s="4">
        <v>39660</v>
      </c>
      <c r="B5532" s="6">
        <v>124.1</v>
      </c>
    </row>
    <row r="5533" spans="1:2" x14ac:dyDescent="0.25">
      <c r="A5533" s="4">
        <v>39661</v>
      </c>
      <c r="B5533" s="6">
        <v>124.16</v>
      </c>
    </row>
    <row r="5534" spans="1:2" x14ac:dyDescent="0.25">
      <c r="A5534" s="4">
        <v>39664</v>
      </c>
      <c r="B5534" s="6">
        <v>121.87</v>
      </c>
    </row>
    <row r="5535" spans="1:2" x14ac:dyDescent="0.25">
      <c r="A5535" s="4">
        <v>39665</v>
      </c>
      <c r="B5535" s="6">
        <v>116.5</v>
      </c>
    </row>
    <row r="5536" spans="1:2" x14ac:dyDescent="0.25">
      <c r="A5536" s="4">
        <v>39666</v>
      </c>
      <c r="B5536" s="6">
        <v>114.47</v>
      </c>
    </row>
    <row r="5537" spans="1:2" x14ac:dyDescent="0.25">
      <c r="A5537" s="4">
        <v>39667</v>
      </c>
      <c r="B5537" s="6">
        <v>116.94</v>
      </c>
    </row>
    <row r="5538" spans="1:2" x14ac:dyDescent="0.25">
      <c r="A5538" s="4">
        <v>39668</v>
      </c>
      <c r="B5538" s="6">
        <v>113.03</v>
      </c>
    </row>
    <row r="5539" spans="1:2" x14ac:dyDescent="0.25">
      <c r="A5539" s="4">
        <v>39671</v>
      </c>
      <c r="B5539" s="6">
        <v>110.54</v>
      </c>
    </row>
    <row r="5540" spans="1:2" x14ac:dyDescent="0.25">
      <c r="A5540" s="4">
        <v>39672</v>
      </c>
      <c r="B5540" s="6">
        <v>108.98</v>
      </c>
    </row>
    <row r="5541" spans="1:2" x14ac:dyDescent="0.25">
      <c r="A5541" s="4">
        <v>39673</v>
      </c>
      <c r="B5541" s="6">
        <v>110.68</v>
      </c>
    </row>
    <row r="5542" spans="1:2" x14ac:dyDescent="0.25">
      <c r="A5542" s="4">
        <v>39674</v>
      </c>
      <c r="B5542" s="6">
        <v>111.82</v>
      </c>
    </row>
    <row r="5543" spans="1:2" x14ac:dyDescent="0.25">
      <c r="A5543" s="4">
        <v>39675</v>
      </c>
      <c r="B5543" s="6">
        <v>108.8</v>
      </c>
    </row>
    <row r="5544" spans="1:2" x14ac:dyDescent="0.25">
      <c r="A5544" s="4">
        <v>39678</v>
      </c>
      <c r="B5544" s="6">
        <v>109.33</v>
      </c>
    </row>
    <row r="5545" spans="1:2" x14ac:dyDescent="0.25">
      <c r="A5545" s="4">
        <v>39679</v>
      </c>
      <c r="B5545" s="6">
        <v>109.02</v>
      </c>
    </row>
    <row r="5546" spans="1:2" x14ac:dyDescent="0.25">
      <c r="A5546" s="4">
        <v>39680</v>
      </c>
      <c r="B5546" s="6">
        <v>108.72</v>
      </c>
    </row>
    <row r="5547" spans="1:2" x14ac:dyDescent="0.25">
      <c r="A5547" s="4">
        <v>39681</v>
      </c>
      <c r="B5547" s="6">
        <v>117.24</v>
      </c>
    </row>
    <row r="5548" spans="1:2" x14ac:dyDescent="0.25">
      <c r="A5548" s="4">
        <v>39682</v>
      </c>
      <c r="B5548" s="6">
        <v>113.99</v>
      </c>
    </row>
    <row r="5549" spans="1:2" x14ac:dyDescent="0.25">
      <c r="A5549" s="4">
        <v>39685</v>
      </c>
      <c r="B5549" s="6">
        <v>109.74</v>
      </c>
    </row>
    <row r="5550" spans="1:2" x14ac:dyDescent="0.25">
      <c r="A5550" s="4">
        <v>39686</v>
      </c>
      <c r="B5550" s="6">
        <v>112.2</v>
      </c>
    </row>
    <row r="5551" spans="1:2" x14ac:dyDescent="0.25">
      <c r="A5551" s="4">
        <v>39687</v>
      </c>
      <c r="B5551" s="6">
        <v>113.05</v>
      </c>
    </row>
    <row r="5552" spans="1:2" x14ac:dyDescent="0.25">
      <c r="A5552" s="4">
        <v>39688</v>
      </c>
      <c r="B5552" s="6">
        <v>113.54</v>
      </c>
    </row>
    <row r="5553" spans="1:2" x14ac:dyDescent="0.25">
      <c r="A5553" s="4">
        <v>39689</v>
      </c>
      <c r="B5553" s="6">
        <v>113.49</v>
      </c>
    </row>
    <row r="5554" spans="1:2" x14ac:dyDescent="0.25">
      <c r="A5554" s="4">
        <v>39692</v>
      </c>
      <c r="B5554" s="5"/>
    </row>
    <row r="5555" spans="1:2" x14ac:dyDescent="0.25">
      <c r="A5555" s="4">
        <v>39693</v>
      </c>
      <c r="B5555" s="6">
        <v>104.94</v>
      </c>
    </row>
    <row r="5556" spans="1:2" x14ac:dyDescent="0.25">
      <c r="A5556" s="4">
        <v>39694</v>
      </c>
      <c r="B5556" s="6">
        <v>103.88</v>
      </c>
    </row>
    <row r="5557" spans="1:2" x14ac:dyDescent="0.25">
      <c r="A5557" s="4">
        <v>39695</v>
      </c>
      <c r="B5557" s="6">
        <v>103.41</v>
      </c>
    </row>
    <row r="5558" spans="1:2" x14ac:dyDescent="0.25">
      <c r="A5558" s="4">
        <v>39696</v>
      </c>
      <c r="B5558" s="6">
        <v>102.51</v>
      </c>
    </row>
    <row r="5559" spans="1:2" x14ac:dyDescent="0.25">
      <c r="A5559" s="4">
        <v>39699</v>
      </c>
      <c r="B5559" s="6">
        <v>101.08</v>
      </c>
    </row>
    <row r="5560" spans="1:2" x14ac:dyDescent="0.25">
      <c r="A5560" s="4">
        <v>39700</v>
      </c>
      <c r="B5560" s="6">
        <v>98.94</v>
      </c>
    </row>
    <row r="5561" spans="1:2" x14ac:dyDescent="0.25">
      <c r="A5561" s="4">
        <v>39701</v>
      </c>
      <c r="B5561" s="6">
        <v>96</v>
      </c>
    </row>
    <row r="5562" spans="1:2" x14ac:dyDescent="0.25">
      <c r="A5562" s="4">
        <v>39702</v>
      </c>
      <c r="B5562" s="6">
        <v>96.01</v>
      </c>
    </row>
    <row r="5563" spans="1:2" x14ac:dyDescent="0.25">
      <c r="A5563" s="4">
        <v>39703</v>
      </c>
      <c r="B5563" s="6">
        <v>94.37</v>
      </c>
    </row>
    <row r="5564" spans="1:2" x14ac:dyDescent="0.25">
      <c r="A5564" s="4">
        <v>39706</v>
      </c>
      <c r="B5564" s="6">
        <v>90.45</v>
      </c>
    </row>
    <row r="5565" spans="1:2" x14ac:dyDescent="0.25">
      <c r="A5565" s="4">
        <v>39707</v>
      </c>
      <c r="B5565" s="6">
        <v>85.85</v>
      </c>
    </row>
    <row r="5566" spans="1:2" x14ac:dyDescent="0.25">
      <c r="A5566" s="4">
        <v>39708</v>
      </c>
      <c r="B5566" s="6">
        <v>86.09</v>
      </c>
    </row>
    <row r="5567" spans="1:2" x14ac:dyDescent="0.25">
      <c r="A5567" s="4">
        <v>39709</v>
      </c>
      <c r="B5567" s="6">
        <v>90.89</v>
      </c>
    </row>
    <row r="5568" spans="1:2" x14ac:dyDescent="0.25">
      <c r="A5568" s="4">
        <v>39710</v>
      </c>
      <c r="B5568" s="6">
        <v>93.46</v>
      </c>
    </row>
    <row r="5569" spans="1:2" x14ac:dyDescent="0.25">
      <c r="A5569" s="4">
        <v>39713</v>
      </c>
      <c r="B5569" s="6">
        <v>100.43</v>
      </c>
    </row>
    <row r="5570" spans="1:2" x14ac:dyDescent="0.25">
      <c r="A5570" s="4">
        <v>39714</v>
      </c>
      <c r="B5570" s="6">
        <v>100.72</v>
      </c>
    </row>
    <row r="5571" spans="1:2" x14ac:dyDescent="0.25">
      <c r="A5571" s="4">
        <v>39715</v>
      </c>
      <c r="B5571" s="6">
        <v>102.09</v>
      </c>
    </row>
    <row r="5572" spans="1:2" x14ac:dyDescent="0.25">
      <c r="A5572" s="4">
        <v>39716</v>
      </c>
      <c r="B5572" s="6">
        <v>100.45</v>
      </c>
    </row>
    <row r="5573" spans="1:2" x14ac:dyDescent="0.25">
      <c r="A5573" s="4">
        <v>39717</v>
      </c>
      <c r="B5573" s="6">
        <v>100.88</v>
      </c>
    </row>
    <row r="5574" spans="1:2" x14ac:dyDescent="0.25">
      <c r="A5574" s="4">
        <v>39720</v>
      </c>
      <c r="B5574" s="6">
        <v>95.96</v>
      </c>
    </row>
    <row r="5575" spans="1:2" x14ac:dyDescent="0.25">
      <c r="A5575" s="4">
        <v>39721</v>
      </c>
      <c r="B5575" s="6">
        <v>93.52</v>
      </c>
    </row>
    <row r="5576" spans="1:2" x14ac:dyDescent="0.25">
      <c r="A5576" s="4">
        <v>39722</v>
      </c>
      <c r="B5576" s="6">
        <v>92.19</v>
      </c>
    </row>
    <row r="5577" spans="1:2" x14ac:dyDescent="0.25">
      <c r="A5577" s="4">
        <v>39723</v>
      </c>
      <c r="B5577" s="6">
        <v>88.88</v>
      </c>
    </row>
    <row r="5578" spans="1:2" x14ac:dyDescent="0.25">
      <c r="A5578" s="4">
        <v>39724</v>
      </c>
      <c r="B5578" s="6">
        <v>88.95</v>
      </c>
    </row>
    <row r="5579" spans="1:2" x14ac:dyDescent="0.25">
      <c r="A5579" s="4">
        <v>39727</v>
      </c>
      <c r="B5579" s="6">
        <v>84.71</v>
      </c>
    </row>
    <row r="5580" spans="1:2" x14ac:dyDescent="0.25">
      <c r="A5580" s="4">
        <v>39728</v>
      </c>
      <c r="B5580" s="6">
        <v>83.17</v>
      </c>
    </row>
    <row r="5581" spans="1:2" x14ac:dyDescent="0.25">
      <c r="A5581" s="4">
        <v>39729</v>
      </c>
      <c r="B5581" s="6">
        <v>80.77</v>
      </c>
    </row>
    <row r="5582" spans="1:2" x14ac:dyDescent="0.25">
      <c r="A5582" s="4">
        <v>39730</v>
      </c>
      <c r="B5582" s="6">
        <v>81.650000000000006</v>
      </c>
    </row>
    <row r="5583" spans="1:2" x14ac:dyDescent="0.25">
      <c r="A5583" s="4">
        <v>39731</v>
      </c>
      <c r="B5583" s="6">
        <v>74.58</v>
      </c>
    </row>
    <row r="5584" spans="1:2" x14ac:dyDescent="0.25">
      <c r="A5584" s="4">
        <v>39734</v>
      </c>
      <c r="B5584" s="6">
        <v>74.37</v>
      </c>
    </row>
    <row r="5585" spans="1:2" x14ac:dyDescent="0.25">
      <c r="A5585" s="4">
        <v>39735</v>
      </c>
      <c r="B5585" s="6">
        <v>74.98</v>
      </c>
    </row>
    <row r="5586" spans="1:2" x14ac:dyDescent="0.25">
      <c r="A5586" s="4">
        <v>39736</v>
      </c>
      <c r="B5586" s="6">
        <v>66.86</v>
      </c>
    </row>
    <row r="5587" spans="1:2" x14ac:dyDescent="0.25">
      <c r="A5587" s="4">
        <v>39737</v>
      </c>
      <c r="B5587" s="6">
        <v>64.14</v>
      </c>
    </row>
    <row r="5588" spans="1:2" x14ac:dyDescent="0.25">
      <c r="A5588" s="4">
        <v>39738</v>
      </c>
      <c r="B5588" s="6">
        <v>66.05</v>
      </c>
    </row>
    <row r="5589" spans="1:2" x14ac:dyDescent="0.25">
      <c r="A5589" s="4">
        <v>39741</v>
      </c>
      <c r="B5589" s="6">
        <v>67.45</v>
      </c>
    </row>
    <row r="5590" spans="1:2" x14ac:dyDescent="0.25">
      <c r="A5590" s="4">
        <v>39742</v>
      </c>
      <c r="B5590" s="6">
        <v>65.989999999999995</v>
      </c>
    </row>
    <row r="5591" spans="1:2" x14ac:dyDescent="0.25">
      <c r="A5591" s="4">
        <v>39743</v>
      </c>
      <c r="B5591" s="6">
        <v>62.95</v>
      </c>
    </row>
    <row r="5592" spans="1:2" x14ac:dyDescent="0.25">
      <c r="A5592" s="4">
        <v>39744</v>
      </c>
      <c r="B5592" s="6">
        <v>65.06</v>
      </c>
    </row>
    <row r="5593" spans="1:2" x14ac:dyDescent="0.25">
      <c r="A5593" s="4">
        <v>39745</v>
      </c>
      <c r="B5593" s="6">
        <v>60.57</v>
      </c>
    </row>
    <row r="5594" spans="1:2" x14ac:dyDescent="0.25">
      <c r="A5594" s="4">
        <v>39748</v>
      </c>
      <c r="B5594" s="6">
        <v>59.34</v>
      </c>
    </row>
    <row r="5595" spans="1:2" x14ac:dyDescent="0.25">
      <c r="A5595" s="4">
        <v>39749</v>
      </c>
      <c r="B5595" s="6">
        <v>58.87</v>
      </c>
    </row>
    <row r="5596" spans="1:2" x14ac:dyDescent="0.25">
      <c r="A5596" s="4">
        <v>39750</v>
      </c>
      <c r="B5596" s="6">
        <v>64</v>
      </c>
    </row>
    <row r="5597" spans="1:2" x14ac:dyDescent="0.25">
      <c r="A5597" s="4">
        <v>39751</v>
      </c>
      <c r="B5597" s="6">
        <v>60.86</v>
      </c>
    </row>
    <row r="5598" spans="1:2" x14ac:dyDescent="0.25">
      <c r="A5598" s="4">
        <v>39752</v>
      </c>
      <c r="B5598" s="6">
        <v>60</v>
      </c>
    </row>
    <row r="5599" spans="1:2" x14ac:dyDescent="0.25">
      <c r="A5599" s="4">
        <v>39755</v>
      </c>
      <c r="B5599" s="6">
        <v>60.32</v>
      </c>
    </row>
    <row r="5600" spans="1:2" x14ac:dyDescent="0.25">
      <c r="A5600" s="4">
        <v>39756</v>
      </c>
      <c r="B5600" s="6">
        <v>62.78</v>
      </c>
    </row>
    <row r="5601" spans="1:2" x14ac:dyDescent="0.25">
      <c r="A5601" s="4">
        <v>39757</v>
      </c>
      <c r="B5601" s="6">
        <v>61.09</v>
      </c>
    </row>
    <row r="5602" spans="1:2" x14ac:dyDescent="0.25">
      <c r="A5602" s="4">
        <v>39758</v>
      </c>
      <c r="B5602" s="6">
        <v>56.14</v>
      </c>
    </row>
    <row r="5603" spans="1:2" x14ac:dyDescent="0.25">
      <c r="A5603" s="4">
        <v>39759</v>
      </c>
      <c r="B5603" s="6">
        <v>56.84</v>
      </c>
    </row>
    <row r="5604" spans="1:2" x14ac:dyDescent="0.25">
      <c r="A5604" s="4">
        <v>39762</v>
      </c>
      <c r="B5604" s="6">
        <v>57.08</v>
      </c>
    </row>
    <row r="5605" spans="1:2" x14ac:dyDescent="0.25">
      <c r="A5605" s="4">
        <v>39763</v>
      </c>
      <c r="B5605" s="6">
        <v>54.76</v>
      </c>
    </row>
    <row r="5606" spans="1:2" x14ac:dyDescent="0.25">
      <c r="A5606" s="4">
        <v>39764</v>
      </c>
      <c r="B5606" s="6">
        <v>52.47</v>
      </c>
    </row>
    <row r="5607" spans="1:2" x14ac:dyDescent="0.25">
      <c r="A5607" s="4">
        <v>39765</v>
      </c>
      <c r="B5607" s="6">
        <v>51.32</v>
      </c>
    </row>
    <row r="5608" spans="1:2" x14ac:dyDescent="0.25">
      <c r="A5608" s="4">
        <v>39766</v>
      </c>
      <c r="B5608" s="6">
        <v>50.7</v>
      </c>
    </row>
    <row r="5609" spans="1:2" x14ac:dyDescent="0.25">
      <c r="A5609" s="4">
        <v>39769</v>
      </c>
      <c r="B5609" s="6">
        <v>50.82</v>
      </c>
    </row>
    <row r="5610" spans="1:2" x14ac:dyDescent="0.25">
      <c r="A5610" s="4">
        <v>39770</v>
      </c>
      <c r="B5610" s="6">
        <v>49.1</v>
      </c>
    </row>
    <row r="5611" spans="1:2" x14ac:dyDescent="0.25">
      <c r="A5611" s="4">
        <v>39771</v>
      </c>
      <c r="B5611" s="6">
        <v>48.35</v>
      </c>
    </row>
    <row r="5612" spans="1:2" x14ac:dyDescent="0.25">
      <c r="A5612" s="4">
        <v>39772</v>
      </c>
      <c r="B5612" s="6">
        <v>45.79</v>
      </c>
    </row>
    <row r="5613" spans="1:2" x14ac:dyDescent="0.25">
      <c r="A5613" s="4">
        <v>39773</v>
      </c>
      <c r="B5613" s="6">
        <v>44.91</v>
      </c>
    </row>
    <row r="5614" spans="1:2" x14ac:dyDescent="0.25">
      <c r="A5614" s="4">
        <v>39776</v>
      </c>
      <c r="B5614" s="6">
        <v>49.51</v>
      </c>
    </row>
    <row r="5615" spans="1:2" x14ac:dyDescent="0.25">
      <c r="A5615" s="4">
        <v>39777</v>
      </c>
      <c r="B5615" s="6">
        <v>47.51</v>
      </c>
    </row>
    <row r="5616" spans="1:2" x14ac:dyDescent="0.25">
      <c r="A5616" s="4">
        <v>39778</v>
      </c>
      <c r="B5616" s="6">
        <v>49.39</v>
      </c>
    </row>
    <row r="5617" spans="1:2" x14ac:dyDescent="0.25">
      <c r="A5617" s="4">
        <v>39779</v>
      </c>
      <c r="B5617" s="5"/>
    </row>
    <row r="5618" spans="1:2" x14ac:dyDescent="0.25">
      <c r="A5618" s="4">
        <v>39780</v>
      </c>
      <c r="B5618" s="6">
        <v>47.72</v>
      </c>
    </row>
    <row r="5619" spans="1:2" x14ac:dyDescent="0.25">
      <c r="A5619" s="4">
        <v>39783</v>
      </c>
      <c r="B5619" s="6">
        <v>47.58</v>
      </c>
    </row>
    <row r="5620" spans="1:2" x14ac:dyDescent="0.25">
      <c r="A5620" s="4">
        <v>39784</v>
      </c>
      <c r="B5620" s="6">
        <v>45.64</v>
      </c>
    </row>
    <row r="5621" spans="1:2" x14ac:dyDescent="0.25">
      <c r="A5621" s="4">
        <v>39785</v>
      </c>
      <c r="B5621" s="6">
        <v>44.39</v>
      </c>
    </row>
    <row r="5622" spans="1:2" x14ac:dyDescent="0.25">
      <c r="A5622" s="4">
        <v>39786</v>
      </c>
      <c r="B5622" s="6">
        <v>43.83</v>
      </c>
    </row>
    <row r="5623" spans="1:2" x14ac:dyDescent="0.25">
      <c r="A5623" s="4">
        <v>39787</v>
      </c>
      <c r="B5623" s="6">
        <v>37.04</v>
      </c>
    </row>
    <row r="5624" spans="1:2" x14ac:dyDescent="0.25">
      <c r="A5624" s="4">
        <v>39790</v>
      </c>
      <c r="B5624" s="6">
        <v>40.020000000000003</v>
      </c>
    </row>
    <row r="5625" spans="1:2" x14ac:dyDescent="0.25">
      <c r="A5625" s="4">
        <v>39791</v>
      </c>
      <c r="B5625" s="6">
        <v>39.770000000000003</v>
      </c>
    </row>
    <row r="5626" spans="1:2" x14ac:dyDescent="0.25">
      <c r="A5626" s="4">
        <v>39792</v>
      </c>
      <c r="B5626" s="6">
        <v>39.340000000000003</v>
      </c>
    </row>
    <row r="5627" spans="1:2" x14ac:dyDescent="0.25">
      <c r="A5627" s="4">
        <v>39793</v>
      </c>
      <c r="B5627" s="6">
        <v>43.54</v>
      </c>
    </row>
    <row r="5628" spans="1:2" x14ac:dyDescent="0.25">
      <c r="A5628" s="4">
        <v>39794</v>
      </c>
      <c r="B5628" s="6">
        <v>42.38</v>
      </c>
    </row>
    <row r="5629" spans="1:2" x14ac:dyDescent="0.25">
      <c r="A5629" s="4">
        <v>39797</v>
      </c>
      <c r="B5629" s="6">
        <v>45.02</v>
      </c>
    </row>
    <row r="5630" spans="1:2" x14ac:dyDescent="0.25">
      <c r="A5630" s="4">
        <v>39798</v>
      </c>
      <c r="B5630" s="6">
        <v>42</v>
      </c>
    </row>
    <row r="5631" spans="1:2" x14ac:dyDescent="0.25">
      <c r="A5631" s="4">
        <v>39799</v>
      </c>
      <c r="B5631" s="6">
        <v>41.84</v>
      </c>
    </row>
    <row r="5632" spans="1:2" x14ac:dyDescent="0.25">
      <c r="A5632" s="4">
        <v>39800</v>
      </c>
      <c r="B5632" s="6">
        <v>40.19</v>
      </c>
    </row>
    <row r="5633" spans="1:2" x14ac:dyDescent="0.25">
      <c r="A5633" s="4">
        <v>39801</v>
      </c>
      <c r="B5633" s="6">
        <v>39.520000000000003</v>
      </c>
    </row>
    <row r="5634" spans="1:2" x14ac:dyDescent="0.25">
      <c r="A5634" s="4">
        <v>39804</v>
      </c>
      <c r="B5634" s="6">
        <v>38.08</v>
      </c>
    </row>
    <row r="5635" spans="1:2" x14ac:dyDescent="0.25">
      <c r="A5635" s="4">
        <v>39805</v>
      </c>
      <c r="B5635" s="6">
        <v>35.270000000000003</v>
      </c>
    </row>
    <row r="5636" spans="1:2" x14ac:dyDescent="0.25">
      <c r="A5636" s="4">
        <v>39806</v>
      </c>
      <c r="B5636" s="6">
        <v>34.450000000000003</v>
      </c>
    </row>
    <row r="5637" spans="1:2" x14ac:dyDescent="0.25">
      <c r="A5637" s="4">
        <v>39807</v>
      </c>
      <c r="B5637" s="5"/>
    </row>
    <row r="5638" spans="1:2" x14ac:dyDescent="0.25">
      <c r="A5638" s="4">
        <v>39808</v>
      </c>
      <c r="B5638" s="6">
        <v>33.729999999999997</v>
      </c>
    </row>
    <row r="5639" spans="1:2" x14ac:dyDescent="0.25">
      <c r="A5639" s="4">
        <v>39811</v>
      </c>
      <c r="B5639" s="6">
        <v>34.159999999999997</v>
      </c>
    </row>
    <row r="5640" spans="1:2" x14ac:dyDescent="0.25">
      <c r="A5640" s="4">
        <v>39812</v>
      </c>
      <c r="B5640" s="6">
        <v>35.22</v>
      </c>
    </row>
    <row r="5641" spans="1:2" x14ac:dyDescent="0.25">
      <c r="A5641" s="4">
        <v>39813</v>
      </c>
      <c r="B5641" s="6">
        <v>35.82</v>
      </c>
    </row>
    <row r="5642" spans="1:2" x14ac:dyDescent="0.25">
      <c r="A5642" s="4">
        <v>39814</v>
      </c>
      <c r="B5642" s="5"/>
    </row>
    <row r="5643" spans="1:2" x14ac:dyDescent="0.25">
      <c r="A5643" s="4">
        <v>39815</v>
      </c>
      <c r="B5643" s="6">
        <v>42.94</v>
      </c>
    </row>
    <row r="5644" spans="1:2" x14ac:dyDescent="0.25">
      <c r="A5644" s="4">
        <v>39818</v>
      </c>
      <c r="B5644" s="6">
        <v>45.84</v>
      </c>
    </row>
    <row r="5645" spans="1:2" x14ac:dyDescent="0.25">
      <c r="A5645" s="4">
        <v>39819</v>
      </c>
      <c r="B5645" s="6">
        <v>48.89</v>
      </c>
    </row>
    <row r="5646" spans="1:2" x14ac:dyDescent="0.25">
      <c r="A5646" s="4">
        <v>39820</v>
      </c>
      <c r="B5646" s="6">
        <v>46.23</v>
      </c>
    </row>
    <row r="5647" spans="1:2" x14ac:dyDescent="0.25">
      <c r="A5647" s="4">
        <v>39821</v>
      </c>
      <c r="B5647" s="6">
        <v>42.94</v>
      </c>
    </row>
    <row r="5648" spans="1:2" x14ac:dyDescent="0.25">
      <c r="A5648" s="4">
        <v>39822</v>
      </c>
      <c r="B5648" s="6">
        <v>42.34</v>
      </c>
    </row>
    <row r="5649" spans="1:2" x14ac:dyDescent="0.25">
      <c r="A5649" s="4">
        <v>39825</v>
      </c>
      <c r="B5649" s="6">
        <v>40.86</v>
      </c>
    </row>
    <row r="5650" spans="1:2" x14ac:dyDescent="0.25">
      <c r="A5650" s="4">
        <v>39826</v>
      </c>
      <c r="B5650" s="6">
        <v>43.05</v>
      </c>
    </row>
    <row r="5651" spans="1:2" x14ac:dyDescent="0.25">
      <c r="A5651" s="4">
        <v>39827</v>
      </c>
      <c r="B5651" s="6">
        <v>42.27</v>
      </c>
    </row>
    <row r="5652" spans="1:2" x14ac:dyDescent="0.25">
      <c r="A5652" s="4">
        <v>39828</v>
      </c>
      <c r="B5652" s="6">
        <v>42.32</v>
      </c>
    </row>
    <row r="5653" spans="1:2" x14ac:dyDescent="0.25">
      <c r="A5653" s="4">
        <v>39829</v>
      </c>
      <c r="B5653" s="6">
        <v>43.42</v>
      </c>
    </row>
    <row r="5654" spans="1:2" x14ac:dyDescent="0.25">
      <c r="A5654" s="4">
        <v>39832</v>
      </c>
      <c r="B5654" s="5"/>
    </row>
    <row r="5655" spans="1:2" x14ac:dyDescent="0.25">
      <c r="A5655" s="4">
        <v>39833</v>
      </c>
      <c r="B5655" s="6">
        <v>41.22</v>
      </c>
    </row>
    <row r="5656" spans="1:2" x14ac:dyDescent="0.25">
      <c r="A5656" s="4">
        <v>39834</v>
      </c>
      <c r="B5656" s="6">
        <v>39.9</v>
      </c>
    </row>
    <row r="5657" spans="1:2" x14ac:dyDescent="0.25">
      <c r="A5657" s="4">
        <v>39835</v>
      </c>
      <c r="B5657" s="6">
        <v>42.42</v>
      </c>
    </row>
    <row r="5658" spans="1:2" x14ac:dyDescent="0.25">
      <c r="A5658" s="4">
        <v>39836</v>
      </c>
      <c r="B5658" s="6">
        <v>43.13</v>
      </c>
    </row>
    <row r="5659" spans="1:2" x14ac:dyDescent="0.25">
      <c r="A5659" s="4">
        <v>39839</v>
      </c>
      <c r="B5659" s="6">
        <v>48</v>
      </c>
    </row>
    <row r="5660" spans="1:2" x14ac:dyDescent="0.25">
      <c r="A5660" s="4">
        <v>39840</v>
      </c>
      <c r="B5660" s="6">
        <v>42.86</v>
      </c>
    </row>
    <row r="5661" spans="1:2" x14ac:dyDescent="0.25">
      <c r="A5661" s="4">
        <v>39841</v>
      </c>
      <c r="B5661" s="6">
        <v>42.86</v>
      </c>
    </row>
    <row r="5662" spans="1:2" x14ac:dyDescent="0.25">
      <c r="A5662" s="4">
        <v>39842</v>
      </c>
      <c r="B5662" s="6">
        <v>43.13</v>
      </c>
    </row>
    <row r="5663" spans="1:2" x14ac:dyDescent="0.25">
      <c r="A5663" s="4">
        <v>39843</v>
      </c>
      <c r="B5663" s="6">
        <v>44.17</v>
      </c>
    </row>
    <row r="5664" spans="1:2" x14ac:dyDescent="0.25">
      <c r="A5664" s="4">
        <v>39846</v>
      </c>
      <c r="B5664" s="6">
        <v>42.96</v>
      </c>
    </row>
    <row r="5665" spans="1:2" x14ac:dyDescent="0.25">
      <c r="A5665" s="4">
        <v>39847</v>
      </c>
      <c r="B5665" s="6">
        <v>43.15</v>
      </c>
    </row>
    <row r="5666" spans="1:2" x14ac:dyDescent="0.25">
      <c r="A5666" s="4">
        <v>39848</v>
      </c>
      <c r="B5666" s="6">
        <v>43.68</v>
      </c>
    </row>
    <row r="5667" spans="1:2" x14ac:dyDescent="0.25">
      <c r="A5667" s="4">
        <v>39849</v>
      </c>
      <c r="B5667" s="6">
        <v>43.92</v>
      </c>
    </row>
    <row r="5668" spans="1:2" x14ac:dyDescent="0.25">
      <c r="A5668" s="4">
        <v>39850</v>
      </c>
      <c r="B5668" s="6">
        <v>44.49</v>
      </c>
    </row>
    <row r="5669" spans="1:2" x14ac:dyDescent="0.25">
      <c r="A5669" s="4">
        <v>39853</v>
      </c>
      <c r="B5669" s="6">
        <v>47.23</v>
      </c>
    </row>
    <row r="5670" spans="1:2" x14ac:dyDescent="0.25">
      <c r="A5670" s="4">
        <v>39854</v>
      </c>
      <c r="B5670" s="6">
        <v>45.88</v>
      </c>
    </row>
    <row r="5671" spans="1:2" x14ac:dyDescent="0.25">
      <c r="A5671" s="4">
        <v>39855</v>
      </c>
      <c r="B5671" s="6">
        <v>44.24</v>
      </c>
    </row>
    <row r="5672" spans="1:2" x14ac:dyDescent="0.25">
      <c r="A5672" s="4">
        <v>39856</v>
      </c>
      <c r="B5672" s="6">
        <v>47.23</v>
      </c>
    </row>
    <row r="5673" spans="1:2" x14ac:dyDescent="0.25">
      <c r="A5673" s="4">
        <v>39857</v>
      </c>
      <c r="B5673" s="6">
        <v>43.36</v>
      </c>
    </row>
    <row r="5674" spans="1:2" x14ac:dyDescent="0.25">
      <c r="A5674" s="4">
        <v>39860</v>
      </c>
      <c r="B5674" s="5"/>
    </row>
    <row r="5675" spans="1:2" x14ac:dyDescent="0.25">
      <c r="A5675" s="4">
        <v>39861</v>
      </c>
      <c r="B5675" s="6">
        <v>39.69</v>
      </c>
    </row>
    <row r="5676" spans="1:2" x14ac:dyDescent="0.25">
      <c r="A5676" s="4">
        <v>39862</v>
      </c>
      <c r="B5676" s="6">
        <v>39.409999999999997</v>
      </c>
    </row>
    <row r="5677" spans="1:2" x14ac:dyDescent="0.25">
      <c r="A5677" s="4">
        <v>39863</v>
      </c>
      <c r="B5677" s="6">
        <v>42.36</v>
      </c>
    </row>
    <row r="5678" spans="1:2" x14ac:dyDescent="0.25">
      <c r="A5678" s="4">
        <v>39864</v>
      </c>
      <c r="B5678" s="6">
        <v>42.19</v>
      </c>
    </row>
    <row r="5679" spans="1:2" x14ac:dyDescent="0.25">
      <c r="A5679" s="4">
        <v>39867</v>
      </c>
      <c r="B5679" s="6">
        <v>41.27</v>
      </c>
    </row>
    <row r="5680" spans="1:2" x14ac:dyDescent="0.25">
      <c r="A5680" s="4">
        <v>39868</v>
      </c>
      <c r="B5680" s="6">
        <v>40.18</v>
      </c>
    </row>
    <row r="5681" spans="1:2" x14ac:dyDescent="0.25">
      <c r="A5681" s="4">
        <v>39869</v>
      </c>
      <c r="B5681" s="6">
        <v>42.37</v>
      </c>
    </row>
    <row r="5682" spans="1:2" x14ac:dyDescent="0.25">
      <c r="A5682" s="4">
        <v>39870</v>
      </c>
      <c r="B5682" s="6">
        <v>45.15</v>
      </c>
    </row>
    <row r="5683" spans="1:2" x14ac:dyDescent="0.25">
      <c r="A5683" s="4">
        <v>39871</v>
      </c>
      <c r="B5683" s="6">
        <v>44.41</v>
      </c>
    </row>
    <row r="5684" spans="1:2" x14ac:dyDescent="0.25">
      <c r="A5684" s="4">
        <v>39874</v>
      </c>
      <c r="B5684" s="6">
        <v>42.6</v>
      </c>
    </row>
    <row r="5685" spans="1:2" x14ac:dyDescent="0.25">
      <c r="A5685" s="4">
        <v>39875</v>
      </c>
      <c r="B5685" s="6">
        <v>42.72</v>
      </c>
    </row>
    <row r="5686" spans="1:2" x14ac:dyDescent="0.25">
      <c r="A5686" s="4">
        <v>39876</v>
      </c>
      <c r="B5686" s="6">
        <v>46.07</v>
      </c>
    </row>
    <row r="5687" spans="1:2" x14ac:dyDescent="0.25">
      <c r="A5687" s="4">
        <v>39877</v>
      </c>
      <c r="B5687" s="6">
        <v>44.45</v>
      </c>
    </row>
    <row r="5688" spans="1:2" x14ac:dyDescent="0.25">
      <c r="A5688" s="4">
        <v>39878</v>
      </c>
      <c r="B5688" s="6">
        <v>43.48</v>
      </c>
    </row>
    <row r="5689" spans="1:2" x14ac:dyDescent="0.25">
      <c r="A5689" s="4">
        <v>39881</v>
      </c>
      <c r="B5689" s="6">
        <v>44.55</v>
      </c>
    </row>
    <row r="5690" spans="1:2" x14ac:dyDescent="0.25">
      <c r="A5690" s="4">
        <v>39882</v>
      </c>
      <c r="B5690" s="6">
        <v>44.99</v>
      </c>
    </row>
    <row r="5691" spans="1:2" x14ac:dyDescent="0.25">
      <c r="A5691" s="4">
        <v>39883</v>
      </c>
      <c r="B5691" s="6">
        <v>43.2</v>
      </c>
    </row>
    <row r="5692" spans="1:2" x14ac:dyDescent="0.25">
      <c r="A5692" s="4">
        <v>39884</v>
      </c>
      <c r="B5692" s="6">
        <v>42.19</v>
      </c>
    </row>
    <row r="5693" spans="1:2" x14ac:dyDescent="0.25">
      <c r="A5693" s="4">
        <v>39885</v>
      </c>
      <c r="B5693" s="6">
        <v>44.97</v>
      </c>
    </row>
    <row r="5694" spans="1:2" x14ac:dyDescent="0.25">
      <c r="A5694" s="4">
        <v>39888</v>
      </c>
      <c r="B5694" s="6">
        <v>44.12</v>
      </c>
    </row>
    <row r="5695" spans="1:2" x14ac:dyDescent="0.25">
      <c r="A5695" s="4">
        <v>39889</v>
      </c>
      <c r="B5695" s="6">
        <v>45.53</v>
      </c>
    </row>
    <row r="5696" spans="1:2" x14ac:dyDescent="0.25">
      <c r="A5696" s="4">
        <v>39890</v>
      </c>
      <c r="B5696" s="6">
        <v>45.22</v>
      </c>
    </row>
    <row r="5697" spans="1:2" x14ac:dyDescent="0.25">
      <c r="A5697" s="4">
        <v>39891</v>
      </c>
      <c r="B5697" s="6">
        <v>48.03</v>
      </c>
    </row>
    <row r="5698" spans="1:2" x14ac:dyDescent="0.25">
      <c r="A5698" s="4">
        <v>39892</v>
      </c>
      <c r="B5698" s="6">
        <v>49.27</v>
      </c>
    </row>
    <row r="5699" spans="1:2" x14ac:dyDescent="0.25">
      <c r="A5699" s="4">
        <v>39895</v>
      </c>
      <c r="B5699" s="6">
        <v>51.84</v>
      </c>
    </row>
    <row r="5700" spans="1:2" x14ac:dyDescent="0.25">
      <c r="A5700" s="4">
        <v>39896</v>
      </c>
      <c r="B5700" s="6">
        <v>51.32</v>
      </c>
    </row>
    <row r="5701" spans="1:2" x14ac:dyDescent="0.25">
      <c r="A5701" s="4">
        <v>39897</v>
      </c>
      <c r="B5701" s="6">
        <v>51.46</v>
      </c>
    </row>
    <row r="5702" spans="1:2" x14ac:dyDescent="0.25">
      <c r="A5702" s="4">
        <v>39898</v>
      </c>
      <c r="B5702" s="6">
        <v>51.89</v>
      </c>
    </row>
    <row r="5703" spans="1:2" x14ac:dyDescent="0.25">
      <c r="A5703" s="4">
        <v>39899</v>
      </c>
      <c r="B5703" s="6">
        <v>50.81</v>
      </c>
    </row>
    <row r="5704" spans="1:2" x14ac:dyDescent="0.25">
      <c r="A5704" s="4">
        <v>39902</v>
      </c>
      <c r="B5704" s="6">
        <v>49.05</v>
      </c>
    </row>
    <row r="5705" spans="1:2" x14ac:dyDescent="0.25">
      <c r="A5705" s="4">
        <v>39903</v>
      </c>
      <c r="B5705" s="6">
        <v>46.13</v>
      </c>
    </row>
    <row r="5706" spans="1:2" x14ac:dyDescent="0.25">
      <c r="A5706" s="4">
        <v>39904</v>
      </c>
      <c r="B5706" s="6">
        <v>45.92</v>
      </c>
    </row>
    <row r="5707" spans="1:2" x14ac:dyDescent="0.25">
      <c r="A5707" s="4">
        <v>39905</v>
      </c>
      <c r="B5707" s="6">
        <v>50.89</v>
      </c>
    </row>
    <row r="5708" spans="1:2" x14ac:dyDescent="0.25">
      <c r="A5708" s="4">
        <v>39906</v>
      </c>
      <c r="B5708" s="6">
        <v>50.48</v>
      </c>
    </row>
    <row r="5709" spans="1:2" x14ac:dyDescent="0.25">
      <c r="A5709" s="4">
        <v>39909</v>
      </c>
      <c r="B5709" s="6">
        <v>50.91</v>
      </c>
    </row>
    <row r="5710" spans="1:2" x14ac:dyDescent="0.25">
      <c r="A5710" s="4">
        <v>39910</v>
      </c>
      <c r="B5710" s="6">
        <v>50.62</v>
      </c>
    </row>
    <row r="5711" spans="1:2" x14ac:dyDescent="0.25">
      <c r="A5711" s="4">
        <v>39911</v>
      </c>
      <c r="B5711" s="6">
        <v>52.06</v>
      </c>
    </row>
    <row r="5712" spans="1:2" x14ac:dyDescent="0.25">
      <c r="A5712" s="4">
        <v>39912</v>
      </c>
      <c r="B5712" s="6">
        <v>52.33</v>
      </c>
    </row>
    <row r="5713" spans="1:2" x14ac:dyDescent="0.25">
      <c r="A5713" s="4">
        <v>39913</v>
      </c>
      <c r="B5713" s="5"/>
    </row>
    <row r="5714" spans="1:2" x14ac:dyDescent="0.25">
      <c r="A5714" s="4">
        <v>39916</v>
      </c>
      <c r="B5714" s="6">
        <v>50.73</v>
      </c>
    </row>
    <row r="5715" spans="1:2" x14ac:dyDescent="0.25">
      <c r="A5715" s="4">
        <v>39917</v>
      </c>
      <c r="B5715" s="6">
        <v>52.06</v>
      </c>
    </row>
    <row r="5716" spans="1:2" x14ac:dyDescent="0.25">
      <c r="A5716" s="4">
        <v>39918</v>
      </c>
      <c r="B5716" s="6">
        <v>51.31</v>
      </c>
    </row>
    <row r="5717" spans="1:2" x14ac:dyDescent="0.25">
      <c r="A5717" s="4">
        <v>39919</v>
      </c>
      <c r="B5717" s="6">
        <v>51.83</v>
      </c>
    </row>
    <row r="5718" spans="1:2" x14ac:dyDescent="0.25">
      <c r="A5718" s="4">
        <v>39920</v>
      </c>
      <c r="B5718" s="6">
        <v>52.02</v>
      </c>
    </row>
    <row r="5719" spans="1:2" x14ac:dyDescent="0.25">
      <c r="A5719" s="4">
        <v>39923</v>
      </c>
      <c r="B5719" s="6">
        <v>49.06</v>
      </c>
    </row>
    <row r="5720" spans="1:2" x14ac:dyDescent="0.25">
      <c r="A5720" s="4">
        <v>39924</v>
      </c>
      <c r="B5720" s="6">
        <v>48.69</v>
      </c>
    </row>
    <row r="5721" spans="1:2" x14ac:dyDescent="0.25">
      <c r="A5721" s="4">
        <v>39925</v>
      </c>
      <c r="B5721" s="6">
        <v>48.5</v>
      </c>
    </row>
    <row r="5722" spans="1:2" x14ac:dyDescent="0.25">
      <c r="A5722" s="4">
        <v>39926</v>
      </c>
      <c r="B5722" s="6">
        <v>48.29</v>
      </c>
    </row>
    <row r="5723" spans="1:2" x14ac:dyDescent="0.25">
      <c r="A5723" s="4">
        <v>39927</v>
      </c>
      <c r="B5723" s="6">
        <v>50.29</v>
      </c>
    </row>
    <row r="5724" spans="1:2" x14ac:dyDescent="0.25">
      <c r="A5724" s="4">
        <v>39930</v>
      </c>
      <c r="B5724" s="6">
        <v>48.67</v>
      </c>
    </row>
    <row r="5725" spans="1:2" x14ac:dyDescent="0.25">
      <c r="A5725" s="4">
        <v>39931</v>
      </c>
      <c r="B5725" s="6">
        <v>48.64</v>
      </c>
    </row>
    <row r="5726" spans="1:2" x14ac:dyDescent="0.25">
      <c r="A5726" s="4">
        <v>39932</v>
      </c>
      <c r="B5726" s="6">
        <v>50.22</v>
      </c>
    </row>
    <row r="5727" spans="1:2" x14ac:dyDescent="0.25">
      <c r="A5727" s="4">
        <v>39933</v>
      </c>
      <c r="B5727" s="6">
        <v>50.3</v>
      </c>
    </row>
    <row r="5728" spans="1:2" x14ac:dyDescent="0.25">
      <c r="A5728" s="4">
        <v>39934</v>
      </c>
      <c r="B5728" s="6">
        <v>51.75</v>
      </c>
    </row>
    <row r="5729" spans="1:2" x14ac:dyDescent="0.25">
      <c r="A5729" s="4">
        <v>39937</v>
      </c>
      <c r="B5729" s="6">
        <v>53.26</v>
      </c>
    </row>
    <row r="5730" spans="1:2" x14ac:dyDescent="0.25">
      <c r="A5730" s="4">
        <v>39938</v>
      </c>
      <c r="B5730" s="6">
        <v>53.16</v>
      </c>
    </row>
    <row r="5731" spans="1:2" x14ac:dyDescent="0.25">
      <c r="A5731" s="4">
        <v>39939</v>
      </c>
      <c r="B5731" s="6">
        <v>55.07</v>
      </c>
    </row>
    <row r="5732" spans="1:2" x14ac:dyDescent="0.25">
      <c r="A5732" s="4">
        <v>39940</v>
      </c>
      <c r="B5732" s="6">
        <v>56.63</v>
      </c>
    </row>
    <row r="5733" spans="1:2" x14ac:dyDescent="0.25">
      <c r="A5733" s="4">
        <v>39941</v>
      </c>
      <c r="B5733" s="6">
        <v>56.02</v>
      </c>
    </row>
    <row r="5734" spans="1:2" x14ac:dyDescent="0.25">
      <c r="A5734" s="4">
        <v>39944</v>
      </c>
      <c r="B5734" s="6">
        <v>55.99</v>
      </c>
    </row>
    <row r="5735" spans="1:2" x14ac:dyDescent="0.25">
      <c r="A5735" s="4">
        <v>39945</v>
      </c>
      <c r="B5735" s="6">
        <v>56.52</v>
      </c>
    </row>
    <row r="5736" spans="1:2" x14ac:dyDescent="0.25">
      <c r="A5736" s="4">
        <v>39946</v>
      </c>
      <c r="B5736" s="6">
        <v>56.84</v>
      </c>
    </row>
    <row r="5737" spans="1:2" x14ac:dyDescent="0.25">
      <c r="A5737" s="4">
        <v>39947</v>
      </c>
      <c r="B5737" s="6">
        <v>56.25</v>
      </c>
    </row>
    <row r="5738" spans="1:2" x14ac:dyDescent="0.25">
      <c r="A5738" s="4">
        <v>39948</v>
      </c>
      <c r="B5738" s="6">
        <v>56.33</v>
      </c>
    </row>
    <row r="5739" spans="1:2" x14ac:dyDescent="0.25">
      <c r="A5739" s="4">
        <v>39951</v>
      </c>
      <c r="B5739" s="6">
        <v>56.51</v>
      </c>
    </row>
    <row r="5740" spans="1:2" x14ac:dyDescent="0.25">
      <c r="A5740" s="4">
        <v>39952</v>
      </c>
      <c r="B5740" s="6">
        <v>57.12</v>
      </c>
    </row>
    <row r="5741" spans="1:2" x14ac:dyDescent="0.25">
      <c r="A5741" s="4">
        <v>39953</v>
      </c>
      <c r="B5741" s="6">
        <v>59.1</v>
      </c>
    </row>
    <row r="5742" spans="1:2" x14ac:dyDescent="0.25">
      <c r="A5742" s="4">
        <v>39954</v>
      </c>
      <c r="B5742" s="6">
        <v>58.02</v>
      </c>
    </row>
    <row r="5743" spans="1:2" x14ac:dyDescent="0.25">
      <c r="A5743" s="4">
        <v>39955</v>
      </c>
      <c r="B5743" s="6">
        <v>58.7</v>
      </c>
    </row>
    <row r="5744" spans="1:2" x14ac:dyDescent="0.25">
      <c r="A5744" s="4">
        <v>39958</v>
      </c>
      <c r="B5744" s="5"/>
    </row>
    <row r="5745" spans="1:2" x14ac:dyDescent="0.25">
      <c r="A5745" s="4">
        <v>39959</v>
      </c>
      <c r="B5745" s="6">
        <v>59.05</v>
      </c>
    </row>
    <row r="5746" spans="1:2" x14ac:dyDescent="0.25">
      <c r="A5746" s="4">
        <v>39960</v>
      </c>
      <c r="B5746" s="6">
        <v>61.28</v>
      </c>
    </row>
    <row r="5747" spans="1:2" x14ac:dyDescent="0.25">
      <c r="A5747" s="4">
        <v>39961</v>
      </c>
      <c r="B5747" s="6">
        <v>63.47</v>
      </c>
    </row>
    <row r="5748" spans="1:2" x14ac:dyDescent="0.25">
      <c r="A5748" s="4">
        <v>39962</v>
      </c>
      <c r="B5748" s="6">
        <v>64.98</v>
      </c>
    </row>
    <row r="5749" spans="1:2" x14ac:dyDescent="0.25">
      <c r="A5749" s="4">
        <v>39965</v>
      </c>
      <c r="B5749" s="6">
        <v>66.599999999999994</v>
      </c>
    </row>
    <row r="5750" spans="1:2" x14ac:dyDescent="0.25">
      <c r="A5750" s="4">
        <v>39966</v>
      </c>
      <c r="B5750" s="6">
        <v>67.67</v>
      </c>
    </row>
    <row r="5751" spans="1:2" x14ac:dyDescent="0.25">
      <c r="A5751" s="4">
        <v>39967</v>
      </c>
      <c r="B5751" s="6">
        <v>66.150000000000006</v>
      </c>
    </row>
    <row r="5752" spans="1:2" x14ac:dyDescent="0.25">
      <c r="A5752" s="4">
        <v>39968</v>
      </c>
      <c r="B5752" s="6">
        <v>67.680000000000007</v>
      </c>
    </row>
    <row r="5753" spans="1:2" x14ac:dyDescent="0.25">
      <c r="A5753" s="4">
        <v>39969</v>
      </c>
      <c r="B5753" s="6">
        <v>67.77</v>
      </c>
    </row>
    <row r="5754" spans="1:2" x14ac:dyDescent="0.25">
      <c r="A5754" s="4">
        <v>39972</v>
      </c>
      <c r="B5754" s="6">
        <v>67.61</v>
      </c>
    </row>
    <row r="5755" spans="1:2" x14ac:dyDescent="0.25">
      <c r="A5755" s="4">
        <v>39973</v>
      </c>
      <c r="B5755" s="6">
        <v>68.94</v>
      </c>
    </row>
    <row r="5756" spans="1:2" x14ac:dyDescent="0.25">
      <c r="A5756" s="4">
        <v>39974</v>
      </c>
      <c r="B5756" s="6">
        <v>70.52</v>
      </c>
    </row>
    <row r="5757" spans="1:2" x14ac:dyDescent="0.25">
      <c r="A5757" s="4">
        <v>39975</v>
      </c>
      <c r="B5757" s="6">
        <v>71.709999999999994</v>
      </c>
    </row>
    <row r="5758" spans="1:2" x14ac:dyDescent="0.25">
      <c r="A5758" s="4">
        <v>39976</v>
      </c>
      <c r="B5758" s="6">
        <v>70.62</v>
      </c>
    </row>
    <row r="5759" spans="1:2" x14ac:dyDescent="0.25">
      <c r="A5759" s="4">
        <v>39979</v>
      </c>
      <c r="B5759" s="6">
        <v>68.489999999999995</v>
      </c>
    </row>
    <row r="5760" spans="1:2" x14ac:dyDescent="0.25">
      <c r="A5760" s="4">
        <v>39980</v>
      </c>
      <c r="B5760" s="6">
        <v>70.52</v>
      </c>
    </row>
    <row r="5761" spans="1:2" x14ac:dyDescent="0.25">
      <c r="A5761" s="4">
        <v>39981</v>
      </c>
      <c r="B5761" s="6">
        <v>68.95</v>
      </c>
    </row>
    <row r="5762" spans="1:2" x14ac:dyDescent="0.25">
      <c r="A5762" s="4">
        <v>39982</v>
      </c>
      <c r="B5762" s="6">
        <v>69.959999999999994</v>
      </c>
    </row>
    <row r="5763" spans="1:2" x14ac:dyDescent="0.25">
      <c r="A5763" s="4">
        <v>39983</v>
      </c>
      <c r="B5763" s="6">
        <v>70.48</v>
      </c>
    </row>
    <row r="5764" spans="1:2" x14ac:dyDescent="0.25">
      <c r="A5764" s="4">
        <v>39986</v>
      </c>
      <c r="B5764" s="6">
        <v>66.13</v>
      </c>
    </row>
    <row r="5765" spans="1:2" x14ac:dyDescent="0.25">
      <c r="A5765" s="4">
        <v>39987</v>
      </c>
      <c r="B5765" s="6">
        <v>66.36</v>
      </c>
    </row>
    <row r="5766" spans="1:2" x14ac:dyDescent="0.25">
      <c r="A5766" s="4">
        <v>39988</v>
      </c>
      <c r="B5766" s="6">
        <v>68.47</v>
      </c>
    </row>
    <row r="5767" spans="1:2" x14ac:dyDescent="0.25">
      <c r="A5767" s="4">
        <v>39989</v>
      </c>
      <c r="B5767" s="6">
        <v>68.819999999999993</v>
      </c>
    </row>
    <row r="5768" spans="1:2" x14ac:dyDescent="0.25">
      <c r="A5768" s="4">
        <v>39990</v>
      </c>
      <c r="B5768" s="6">
        <v>68.099999999999994</v>
      </c>
    </row>
    <row r="5769" spans="1:2" x14ac:dyDescent="0.25">
      <c r="A5769" s="4">
        <v>39993</v>
      </c>
      <c r="B5769" s="6">
        <v>69.75</v>
      </c>
    </row>
    <row r="5770" spans="1:2" x14ac:dyDescent="0.25">
      <c r="A5770" s="4">
        <v>39994</v>
      </c>
      <c r="B5770" s="6">
        <v>68.11</v>
      </c>
    </row>
    <row r="5771" spans="1:2" x14ac:dyDescent="0.25">
      <c r="A5771" s="4">
        <v>39995</v>
      </c>
      <c r="B5771" s="6">
        <v>68.52</v>
      </c>
    </row>
    <row r="5772" spans="1:2" x14ac:dyDescent="0.25">
      <c r="A5772" s="4">
        <v>39996</v>
      </c>
      <c r="B5772" s="6">
        <v>65.739999999999995</v>
      </c>
    </row>
    <row r="5773" spans="1:2" x14ac:dyDescent="0.25">
      <c r="A5773" s="4">
        <v>39997</v>
      </c>
      <c r="B5773" s="5"/>
    </row>
    <row r="5774" spans="1:2" x14ac:dyDescent="0.25">
      <c r="A5774" s="4">
        <v>40000</v>
      </c>
      <c r="B5774" s="6">
        <v>63.12</v>
      </c>
    </row>
    <row r="5775" spans="1:2" x14ac:dyDescent="0.25">
      <c r="A5775" s="4">
        <v>40001</v>
      </c>
      <c r="B5775" s="6">
        <v>61.54</v>
      </c>
    </row>
    <row r="5776" spans="1:2" x14ac:dyDescent="0.25">
      <c r="A5776" s="4">
        <v>40002</v>
      </c>
      <c r="B5776" s="6">
        <v>59.71</v>
      </c>
    </row>
    <row r="5777" spans="1:2" x14ac:dyDescent="0.25">
      <c r="A5777" s="4">
        <v>40003</v>
      </c>
      <c r="B5777" s="6">
        <v>59.17</v>
      </c>
    </row>
    <row r="5778" spans="1:2" x14ac:dyDescent="0.25">
      <c r="A5778" s="4">
        <v>40004</v>
      </c>
      <c r="B5778" s="6">
        <v>58.43</v>
      </c>
    </row>
    <row r="5779" spans="1:2" x14ac:dyDescent="0.25">
      <c r="A5779" s="4">
        <v>40007</v>
      </c>
      <c r="B5779" s="6">
        <v>58.25</v>
      </c>
    </row>
    <row r="5780" spans="1:2" x14ac:dyDescent="0.25">
      <c r="A5780" s="4">
        <v>40008</v>
      </c>
      <c r="B5780" s="6">
        <v>60.48</v>
      </c>
    </row>
    <row r="5781" spans="1:2" x14ac:dyDescent="0.25">
      <c r="A5781" s="4">
        <v>40009</v>
      </c>
      <c r="B5781" s="6">
        <v>61.25</v>
      </c>
    </row>
    <row r="5782" spans="1:2" x14ac:dyDescent="0.25">
      <c r="A5782" s="4">
        <v>40010</v>
      </c>
      <c r="B5782" s="6">
        <v>62.02</v>
      </c>
    </row>
    <row r="5783" spans="1:2" x14ac:dyDescent="0.25">
      <c r="A5783" s="4">
        <v>40011</v>
      </c>
      <c r="B5783" s="6">
        <v>63.54</v>
      </c>
    </row>
    <row r="5784" spans="1:2" x14ac:dyDescent="0.25">
      <c r="A5784" s="4">
        <v>40014</v>
      </c>
      <c r="B5784" s="6">
        <v>64.64</v>
      </c>
    </row>
    <row r="5785" spans="1:2" x14ac:dyDescent="0.25">
      <c r="A5785" s="4">
        <v>40015</v>
      </c>
      <c r="B5785" s="6">
        <v>65.930000000000007</v>
      </c>
    </row>
    <row r="5786" spans="1:2" x14ac:dyDescent="0.25">
      <c r="A5786" s="4">
        <v>40016</v>
      </c>
      <c r="B5786" s="6">
        <v>65.36</v>
      </c>
    </row>
    <row r="5787" spans="1:2" x14ac:dyDescent="0.25">
      <c r="A5787" s="4">
        <v>40017</v>
      </c>
      <c r="B5787" s="6">
        <v>68.06</v>
      </c>
    </row>
    <row r="5788" spans="1:2" x14ac:dyDescent="0.25">
      <c r="A5788" s="4">
        <v>40018</v>
      </c>
      <c r="B5788" s="6">
        <v>68.819999999999993</v>
      </c>
    </row>
    <row r="5789" spans="1:2" x14ac:dyDescent="0.25">
      <c r="A5789" s="4">
        <v>40021</v>
      </c>
      <c r="B5789" s="6">
        <v>69.78</v>
      </c>
    </row>
    <row r="5790" spans="1:2" x14ac:dyDescent="0.25">
      <c r="A5790" s="4">
        <v>40022</v>
      </c>
      <c r="B5790" s="6">
        <v>68.53</v>
      </c>
    </row>
    <row r="5791" spans="1:2" x14ac:dyDescent="0.25">
      <c r="A5791" s="4">
        <v>40023</v>
      </c>
      <c r="B5791" s="6">
        <v>65.790000000000006</v>
      </c>
    </row>
    <row r="5792" spans="1:2" x14ac:dyDescent="0.25">
      <c r="A5792" s="4">
        <v>40024</v>
      </c>
      <c r="B5792" s="6">
        <v>68.819999999999993</v>
      </c>
    </row>
    <row r="5793" spans="1:2" x14ac:dyDescent="0.25">
      <c r="A5793" s="4">
        <v>40025</v>
      </c>
      <c r="B5793" s="6">
        <v>70.08</v>
      </c>
    </row>
    <row r="5794" spans="1:2" x14ac:dyDescent="0.25">
      <c r="A5794" s="4">
        <v>40028</v>
      </c>
      <c r="B5794" s="6">
        <v>72.900000000000006</v>
      </c>
    </row>
    <row r="5795" spans="1:2" x14ac:dyDescent="0.25">
      <c r="A5795" s="4">
        <v>40029</v>
      </c>
      <c r="B5795" s="6">
        <v>73.819999999999993</v>
      </c>
    </row>
    <row r="5796" spans="1:2" x14ac:dyDescent="0.25">
      <c r="A5796" s="4">
        <v>40030</v>
      </c>
      <c r="B5796" s="6">
        <v>74.39</v>
      </c>
    </row>
    <row r="5797" spans="1:2" x14ac:dyDescent="0.25">
      <c r="A5797" s="4">
        <v>40031</v>
      </c>
      <c r="B5797" s="6">
        <v>74.61</v>
      </c>
    </row>
    <row r="5798" spans="1:2" x14ac:dyDescent="0.25">
      <c r="A5798" s="4">
        <v>40032</v>
      </c>
      <c r="B5798" s="6">
        <v>74.209999999999994</v>
      </c>
    </row>
    <row r="5799" spans="1:2" x14ac:dyDescent="0.25">
      <c r="A5799" s="4">
        <v>40035</v>
      </c>
      <c r="B5799" s="6">
        <v>73.790000000000006</v>
      </c>
    </row>
    <row r="5800" spans="1:2" x14ac:dyDescent="0.25">
      <c r="A5800" s="4">
        <v>40036</v>
      </c>
      <c r="B5800" s="6">
        <v>71.58</v>
      </c>
    </row>
    <row r="5801" spans="1:2" x14ac:dyDescent="0.25">
      <c r="A5801" s="4">
        <v>40037</v>
      </c>
      <c r="B5801" s="6">
        <v>74.03</v>
      </c>
    </row>
    <row r="5802" spans="1:2" x14ac:dyDescent="0.25">
      <c r="A5802" s="4">
        <v>40038</v>
      </c>
      <c r="B5802" s="6">
        <v>73.760000000000005</v>
      </c>
    </row>
    <row r="5803" spans="1:2" x14ac:dyDescent="0.25">
      <c r="A5803" s="4">
        <v>40039</v>
      </c>
      <c r="B5803" s="6">
        <v>71.33</v>
      </c>
    </row>
    <row r="5804" spans="1:2" x14ac:dyDescent="0.25">
      <c r="A5804" s="4">
        <v>40042</v>
      </c>
      <c r="B5804" s="6">
        <v>68.650000000000006</v>
      </c>
    </row>
    <row r="5805" spans="1:2" x14ac:dyDescent="0.25">
      <c r="A5805" s="4">
        <v>40043</v>
      </c>
      <c r="B5805" s="6">
        <v>68.66</v>
      </c>
    </row>
    <row r="5806" spans="1:2" x14ac:dyDescent="0.25">
      <c r="A5806" s="4">
        <v>40044</v>
      </c>
      <c r="B5806" s="6">
        <v>72.81</v>
      </c>
    </row>
    <row r="5807" spans="1:2" x14ac:dyDescent="0.25">
      <c r="A5807" s="4">
        <v>40045</v>
      </c>
      <c r="B5807" s="6">
        <v>73.75</v>
      </c>
    </row>
    <row r="5808" spans="1:2" x14ac:dyDescent="0.25">
      <c r="A5808" s="4">
        <v>40046</v>
      </c>
      <c r="B5808" s="6">
        <v>73.709999999999994</v>
      </c>
    </row>
    <row r="5809" spans="1:2" x14ac:dyDescent="0.25">
      <c r="A5809" s="4">
        <v>40049</v>
      </c>
      <c r="B5809" s="6">
        <v>74.34</v>
      </c>
    </row>
    <row r="5810" spans="1:2" x14ac:dyDescent="0.25">
      <c r="A5810" s="4">
        <v>40050</v>
      </c>
      <c r="B5810" s="6">
        <v>73.099999999999994</v>
      </c>
    </row>
    <row r="5811" spans="1:2" x14ac:dyDescent="0.25">
      <c r="A5811" s="4">
        <v>40051</v>
      </c>
      <c r="B5811" s="6">
        <v>70.739999999999995</v>
      </c>
    </row>
    <row r="5812" spans="1:2" x14ac:dyDescent="0.25">
      <c r="A5812" s="4">
        <v>40052</v>
      </c>
      <c r="B5812" s="6">
        <v>70.680000000000007</v>
      </c>
    </row>
    <row r="5813" spans="1:2" x14ac:dyDescent="0.25">
      <c r="A5813" s="4">
        <v>40053</v>
      </c>
      <c r="B5813" s="6">
        <v>72.8</v>
      </c>
    </row>
    <row r="5814" spans="1:2" x14ac:dyDescent="0.25">
      <c r="A5814" s="4">
        <v>40056</v>
      </c>
      <c r="B5814" s="6">
        <v>69.02</v>
      </c>
    </row>
    <row r="5815" spans="1:2" x14ac:dyDescent="0.25">
      <c r="A5815" s="4">
        <v>40057</v>
      </c>
      <c r="B5815" s="6">
        <v>68.78</v>
      </c>
    </row>
    <row r="5816" spans="1:2" x14ac:dyDescent="0.25">
      <c r="A5816" s="4">
        <v>40058</v>
      </c>
      <c r="B5816" s="6">
        <v>67.599999999999994</v>
      </c>
    </row>
    <row r="5817" spans="1:2" x14ac:dyDescent="0.25">
      <c r="A5817" s="4">
        <v>40059</v>
      </c>
      <c r="B5817" s="6">
        <v>66.78</v>
      </c>
    </row>
    <row r="5818" spans="1:2" x14ac:dyDescent="0.25">
      <c r="A5818" s="4">
        <v>40060</v>
      </c>
      <c r="B5818" s="6">
        <v>65.84</v>
      </c>
    </row>
    <row r="5819" spans="1:2" x14ac:dyDescent="0.25">
      <c r="A5819" s="4">
        <v>40063</v>
      </c>
      <c r="B5819" s="5"/>
    </row>
    <row r="5820" spans="1:2" x14ac:dyDescent="0.25">
      <c r="A5820" s="4">
        <v>40064</v>
      </c>
      <c r="B5820" s="6">
        <v>69.2</v>
      </c>
    </row>
    <row r="5821" spans="1:2" x14ac:dyDescent="0.25">
      <c r="A5821" s="4">
        <v>40065</v>
      </c>
      <c r="B5821" s="6">
        <v>69.760000000000005</v>
      </c>
    </row>
    <row r="5822" spans="1:2" x14ac:dyDescent="0.25">
      <c r="A5822" s="4">
        <v>40066</v>
      </c>
      <c r="B5822" s="6">
        <v>68.959999999999994</v>
      </c>
    </row>
    <row r="5823" spans="1:2" x14ac:dyDescent="0.25">
      <c r="A5823" s="4">
        <v>40067</v>
      </c>
      <c r="B5823" s="6">
        <v>68.760000000000005</v>
      </c>
    </row>
    <row r="5824" spans="1:2" x14ac:dyDescent="0.25">
      <c r="A5824" s="4">
        <v>40070</v>
      </c>
      <c r="B5824" s="6">
        <v>66.91</v>
      </c>
    </row>
    <row r="5825" spans="1:2" x14ac:dyDescent="0.25">
      <c r="A5825" s="4">
        <v>40071</v>
      </c>
      <c r="B5825" s="6">
        <v>66.53</v>
      </c>
    </row>
    <row r="5826" spans="1:2" x14ac:dyDescent="0.25">
      <c r="A5826" s="4">
        <v>40072</v>
      </c>
      <c r="B5826" s="6">
        <v>68.510000000000005</v>
      </c>
    </row>
    <row r="5827" spans="1:2" x14ac:dyDescent="0.25">
      <c r="A5827" s="4">
        <v>40073</v>
      </c>
      <c r="B5827" s="6">
        <v>71.56</v>
      </c>
    </row>
    <row r="5828" spans="1:2" x14ac:dyDescent="0.25">
      <c r="A5828" s="4">
        <v>40074</v>
      </c>
      <c r="B5828" s="6">
        <v>70.72</v>
      </c>
    </row>
    <row r="5829" spans="1:2" x14ac:dyDescent="0.25">
      <c r="A5829" s="4">
        <v>40077</v>
      </c>
      <c r="B5829" s="6">
        <v>68.11</v>
      </c>
    </row>
    <row r="5830" spans="1:2" x14ac:dyDescent="0.25">
      <c r="A5830" s="4">
        <v>40078</v>
      </c>
      <c r="B5830" s="6">
        <v>69.650000000000006</v>
      </c>
    </row>
    <row r="5831" spans="1:2" x14ac:dyDescent="0.25">
      <c r="A5831" s="4">
        <v>40079</v>
      </c>
      <c r="B5831" s="6">
        <v>67.430000000000007</v>
      </c>
    </row>
    <row r="5832" spans="1:2" x14ac:dyDescent="0.25">
      <c r="A5832" s="4">
        <v>40080</v>
      </c>
      <c r="B5832" s="6">
        <v>64.989999999999995</v>
      </c>
    </row>
    <row r="5833" spans="1:2" x14ac:dyDescent="0.25">
      <c r="A5833" s="4">
        <v>40081</v>
      </c>
      <c r="B5833" s="6">
        <v>64.599999999999994</v>
      </c>
    </row>
    <row r="5834" spans="1:2" x14ac:dyDescent="0.25">
      <c r="A5834" s="4">
        <v>40084</v>
      </c>
      <c r="B5834" s="6">
        <v>65.430000000000007</v>
      </c>
    </row>
    <row r="5835" spans="1:2" x14ac:dyDescent="0.25">
      <c r="A5835" s="4">
        <v>40085</v>
      </c>
      <c r="B5835" s="6">
        <v>64.63</v>
      </c>
    </row>
    <row r="5836" spans="1:2" x14ac:dyDescent="0.25">
      <c r="A5836" s="4">
        <v>40086</v>
      </c>
      <c r="B5836" s="6">
        <v>65.819999999999993</v>
      </c>
    </row>
    <row r="5837" spans="1:2" x14ac:dyDescent="0.25">
      <c r="A5837" s="4">
        <v>40087</v>
      </c>
      <c r="B5837" s="6">
        <v>67.12</v>
      </c>
    </row>
    <row r="5838" spans="1:2" x14ac:dyDescent="0.25">
      <c r="A5838" s="4">
        <v>40088</v>
      </c>
      <c r="B5838" s="6">
        <v>66.5</v>
      </c>
    </row>
    <row r="5839" spans="1:2" x14ac:dyDescent="0.25">
      <c r="A5839" s="4">
        <v>40091</v>
      </c>
      <c r="B5839" s="6">
        <v>65.260000000000005</v>
      </c>
    </row>
    <row r="5840" spans="1:2" x14ac:dyDescent="0.25">
      <c r="A5840" s="4">
        <v>40092</v>
      </c>
      <c r="B5840" s="6">
        <v>68.510000000000005</v>
      </c>
    </row>
    <row r="5841" spans="1:2" x14ac:dyDescent="0.25">
      <c r="A5841" s="4">
        <v>40093</v>
      </c>
      <c r="B5841" s="6">
        <v>67.650000000000006</v>
      </c>
    </row>
    <row r="5842" spans="1:2" x14ac:dyDescent="0.25">
      <c r="A5842" s="4">
        <v>40094</v>
      </c>
      <c r="B5842" s="6">
        <v>68.47</v>
      </c>
    </row>
    <row r="5843" spans="1:2" x14ac:dyDescent="0.25">
      <c r="A5843" s="4">
        <v>40095</v>
      </c>
      <c r="B5843" s="6">
        <v>69.45</v>
      </c>
    </row>
    <row r="5844" spans="1:2" x14ac:dyDescent="0.25">
      <c r="A5844" s="4">
        <v>40098</v>
      </c>
      <c r="B5844" s="6">
        <v>70.75</v>
      </c>
    </row>
    <row r="5845" spans="1:2" x14ac:dyDescent="0.25">
      <c r="A5845" s="4">
        <v>40099</v>
      </c>
      <c r="B5845" s="6">
        <v>70.81</v>
      </c>
    </row>
    <row r="5846" spans="1:2" x14ac:dyDescent="0.25">
      <c r="A5846" s="4">
        <v>40100</v>
      </c>
      <c r="B5846" s="6">
        <v>72.16</v>
      </c>
    </row>
    <row r="5847" spans="1:2" x14ac:dyDescent="0.25">
      <c r="A5847" s="4">
        <v>40101</v>
      </c>
      <c r="B5847" s="6">
        <v>73.14</v>
      </c>
    </row>
    <row r="5848" spans="1:2" x14ac:dyDescent="0.25">
      <c r="A5848" s="4">
        <v>40102</v>
      </c>
      <c r="B5848" s="6">
        <v>74.58</v>
      </c>
    </row>
    <row r="5849" spans="1:2" x14ac:dyDescent="0.25">
      <c r="A5849" s="4">
        <v>40105</v>
      </c>
      <c r="B5849" s="6">
        <v>75.86</v>
      </c>
    </row>
    <row r="5850" spans="1:2" x14ac:dyDescent="0.25">
      <c r="A5850" s="4">
        <v>40106</v>
      </c>
      <c r="B5850" s="6">
        <v>76.510000000000005</v>
      </c>
    </row>
    <row r="5851" spans="1:2" x14ac:dyDescent="0.25">
      <c r="A5851" s="4">
        <v>40107</v>
      </c>
      <c r="B5851" s="6">
        <v>77.739999999999995</v>
      </c>
    </row>
    <row r="5852" spans="1:2" x14ac:dyDescent="0.25">
      <c r="A5852" s="4">
        <v>40108</v>
      </c>
      <c r="B5852" s="6">
        <v>78.36</v>
      </c>
    </row>
    <row r="5853" spans="1:2" x14ac:dyDescent="0.25">
      <c r="A5853" s="4">
        <v>40109</v>
      </c>
      <c r="B5853" s="6">
        <v>77.72</v>
      </c>
    </row>
    <row r="5854" spans="1:2" x14ac:dyDescent="0.25">
      <c r="A5854" s="4">
        <v>40112</v>
      </c>
      <c r="B5854" s="6">
        <v>76.45</v>
      </c>
    </row>
    <row r="5855" spans="1:2" x14ac:dyDescent="0.25">
      <c r="A5855" s="4">
        <v>40113</v>
      </c>
      <c r="B5855" s="6">
        <v>76.69</v>
      </c>
    </row>
    <row r="5856" spans="1:2" x14ac:dyDescent="0.25">
      <c r="A5856" s="4">
        <v>40114</v>
      </c>
      <c r="B5856" s="6">
        <v>75.11</v>
      </c>
    </row>
    <row r="5857" spans="1:2" x14ac:dyDescent="0.25">
      <c r="A5857" s="4">
        <v>40115</v>
      </c>
      <c r="B5857" s="6">
        <v>77.180000000000007</v>
      </c>
    </row>
    <row r="5858" spans="1:2" x14ac:dyDescent="0.25">
      <c r="A5858" s="4">
        <v>40116</v>
      </c>
      <c r="B5858" s="6">
        <v>74.91</v>
      </c>
    </row>
    <row r="5859" spans="1:2" x14ac:dyDescent="0.25">
      <c r="A5859" s="4">
        <v>40119</v>
      </c>
      <c r="B5859" s="6">
        <v>75.56</v>
      </c>
    </row>
    <row r="5860" spans="1:2" x14ac:dyDescent="0.25">
      <c r="A5860" s="4">
        <v>40120</v>
      </c>
      <c r="B5860" s="6">
        <v>75.680000000000007</v>
      </c>
    </row>
    <row r="5861" spans="1:2" x14ac:dyDescent="0.25">
      <c r="A5861" s="4">
        <v>40121</v>
      </c>
      <c r="B5861" s="6">
        <v>78.209999999999994</v>
      </c>
    </row>
    <row r="5862" spans="1:2" x14ac:dyDescent="0.25">
      <c r="A5862" s="4">
        <v>40122</v>
      </c>
      <c r="B5862" s="6">
        <v>78.02</v>
      </c>
    </row>
    <row r="5863" spans="1:2" x14ac:dyDescent="0.25">
      <c r="A5863" s="4">
        <v>40123</v>
      </c>
      <c r="B5863" s="6">
        <v>75.510000000000005</v>
      </c>
    </row>
    <row r="5864" spans="1:2" x14ac:dyDescent="0.25">
      <c r="A5864" s="4">
        <v>40126</v>
      </c>
      <c r="B5864" s="6">
        <v>77.180000000000007</v>
      </c>
    </row>
    <row r="5865" spans="1:2" x14ac:dyDescent="0.25">
      <c r="A5865" s="4">
        <v>40127</v>
      </c>
      <c r="B5865" s="6">
        <v>77.069999999999993</v>
      </c>
    </row>
    <row r="5866" spans="1:2" x14ac:dyDescent="0.25">
      <c r="A5866" s="4">
        <v>40128</v>
      </c>
      <c r="B5866" s="6">
        <v>76.989999999999995</v>
      </c>
    </row>
    <row r="5867" spans="1:2" x14ac:dyDescent="0.25">
      <c r="A5867" s="4">
        <v>40129</v>
      </c>
      <c r="B5867" s="6">
        <v>75.180000000000007</v>
      </c>
    </row>
    <row r="5868" spans="1:2" x14ac:dyDescent="0.25">
      <c r="A5868" s="4">
        <v>40130</v>
      </c>
      <c r="B5868" s="6">
        <v>74.81</v>
      </c>
    </row>
    <row r="5869" spans="1:2" x14ac:dyDescent="0.25">
      <c r="A5869" s="4">
        <v>40133</v>
      </c>
      <c r="B5869" s="6">
        <v>77.14</v>
      </c>
    </row>
    <row r="5870" spans="1:2" x14ac:dyDescent="0.25">
      <c r="A5870" s="4">
        <v>40134</v>
      </c>
      <c r="B5870" s="6">
        <v>77.36</v>
      </c>
    </row>
    <row r="5871" spans="1:2" x14ac:dyDescent="0.25">
      <c r="A5871" s="4">
        <v>40135</v>
      </c>
      <c r="B5871" s="6">
        <v>78.64</v>
      </c>
    </row>
    <row r="5872" spans="1:2" x14ac:dyDescent="0.25">
      <c r="A5872" s="4">
        <v>40136</v>
      </c>
      <c r="B5872" s="6">
        <v>76.45</v>
      </c>
    </row>
    <row r="5873" spans="1:2" x14ac:dyDescent="0.25">
      <c r="A5873" s="4">
        <v>40137</v>
      </c>
      <c r="B5873" s="6">
        <v>75.61</v>
      </c>
    </row>
    <row r="5874" spans="1:2" x14ac:dyDescent="0.25">
      <c r="A5874" s="4">
        <v>40140</v>
      </c>
      <c r="B5874" s="6">
        <v>78.14</v>
      </c>
    </row>
    <row r="5875" spans="1:2" x14ac:dyDescent="0.25">
      <c r="A5875" s="4">
        <v>40141</v>
      </c>
      <c r="B5875" s="6">
        <v>75.349999999999994</v>
      </c>
    </row>
    <row r="5876" spans="1:2" x14ac:dyDescent="0.25">
      <c r="A5876" s="4">
        <v>40142</v>
      </c>
      <c r="B5876" s="6">
        <v>76.569999999999993</v>
      </c>
    </row>
    <row r="5877" spans="1:2" x14ac:dyDescent="0.25">
      <c r="A5877" s="4">
        <v>40143</v>
      </c>
      <c r="B5877" s="5"/>
    </row>
    <row r="5878" spans="1:2" x14ac:dyDescent="0.25">
      <c r="A5878" s="4">
        <v>40144</v>
      </c>
      <c r="B5878" s="6">
        <v>76</v>
      </c>
    </row>
    <row r="5879" spans="1:2" x14ac:dyDescent="0.25">
      <c r="A5879" s="4">
        <v>40147</v>
      </c>
      <c r="B5879" s="6">
        <v>77.77</v>
      </c>
    </row>
    <row r="5880" spans="1:2" x14ac:dyDescent="0.25">
      <c r="A5880" s="4">
        <v>40148</v>
      </c>
      <c r="B5880" s="6">
        <v>78.680000000000007</v>
      </c>
    </row>
    <row r="5881" spans="1:2" x14ac:dyDescent="0.25">
      <c r="A5881" s="4">
        <v>40149</v>
      </c>
      <c r="B5881" s="6">
        <v>76.959999999999994</v>
      </c>
    </row>
    <row r="5882" spans="1:2" x14ac:dyDescent="0.25">
      <c r="A5882" s="4">
        <v>40150</v>
      </c>
      <c r="B5882" s="6">
        <v>77.760000000000005</v>
      </c>
    </row>
    <row r="5883" spans="1:2" x14ac:dyDescent="0.25">
      <c r="A5883" s="4">
        <v>40151</v>
      </c>
      <c r="B5883" s="6">
        <v>77.739999999999995</v>
      </c>
    </row>
    <row r="5884" spans="1:2" x14ac:dyDescent="0.25">
      <c r="A5884" s="4">
        <v>40154</v>
      </c>
      <c r="B5884" s="6">
        <v>76.180000000000007</v>
      </c>
    </row>
    <row r="5885" spans="1:2" x14ac:dyDescent="0.25">
      <c r="A5885" s="4">
        <v>40155</v>
      </c>
      <c r="B5885" s="6">
        <v>74.930000000000007</v>
      </c>
    </row>
    <row r="5886" spans="1:2" x14ac:dyDescent="0.25">
      <c r="A5886" s="4">
        <v>40156</v>
      </c>
      <c r="B5886" s="6">
        <v>73.63</v>
      </c>
    </row>
    <row r="5887" spans="1:2" x14ac:dyDescent="0.25">
      <c r="A5887" s="4">
        <v>40157</v>
      </c>
      <c r="B5887" s="6">
        <v>70.91</v>
      </c>
    </row>
    <row r="5888" spans="1:2" x14ac:dyDescent="0.25">
      <c r="A5888" s="4">
        <v>40158</v>
      </c>
      <c r="B5888" s="6">
        <v>70.069999999999993</v>
      </c>
    </row>
    <row r="5889" spans="1:2" x14ac:dyDescent="0.25">
      <c r="A5889" s="4">
        <v>40161</v>
      </c>
      <c r="B5889" s="6">
        <v>71.19</v>
      </c>
    </row>
    <row r="5890" spans="1:2" x14ac:dyDescent="0.25">
      <c r="A5890" s="4">
        <v>40162</v>
      </c>
      <c r="B5890" s="6">
        <v>71.33</v>
      </c>
    </row>
    <row r="5891" spans="1:2" x14ac:dyDescent="0.25">
      <c r="A5891" s="4">
        <v>40163</v>
      </c>
      <c r="B5891" s="6">
        <v>73.34</v>
      </c>
    </row>
    <row r="5892" spans="1:2" x14ac:dyDescent="0.25">
      <c r="A5892" s="4">
        <v>40164</v>
      </c>
      <c r="B5892" s="6">
        <v>71.28</v>
      </c>
    </row>
    <row r="5893" spans="1:2" x14ac:dyDescent="0.25">
      <c r="A5893" s="4">
        <v>40165</v>
      </c>
      <c r="B5893" s="6">
        <v>71.87</v>
      </c>
    </row>
    <row r="5894" spans="1:2" x14ac:dyDescent="0.25">
      <c r="A5894" s="4">
        <v>40168</v>
      </c>
      <c r="B5894" s="6">
        <v>72.739999999999995</v>
      </c>
    </row>
    <row r="5895" spans="1:2" x14ac:dyDescent="0.25">
      <c r="A5895" s="4">
        <v>40169</v>
      </c>
      <c r="B5895" s="6">
        <v>71.64</v>
      </c>
    </row>
    <row r="5896" spans="1:2" x14ac:dyDescent="0.25">
      <c r="A5896" s="4">
        <v>40170</v>
      </c>
      <c r="B5896" s="6">
        <v>73.87</v>
      </c>
    </row>
    <row r="5897" spans="1:2" x14ac:dyDescent="0.25">
      <c r="A5897" s="4">
        <v>40171</v>
      </c>
      <c r="B5897" s="6">
        <v>75.150000000000006</v>
      </c>
    </row>
    <row r="5898" spans="1:2" x14ac:dyDescent="0.25">
      <c r="A5898" s="4">
        <v>40172</v>
      </c>
      <c r="B5898" s="5"/>
    </row>
    <row r="5899" spans="1:2" x14ac:dyDescent="0.25">
      <c r="A5899" s="4">
        <v>40175</v>
      </c>
      <c r="B5899" s="6">
        <v>76.59</v>
      </c>
    </row>
    <row r="5900" spans="1:2" x14ac:dyDescent="0.25">
      <c r="A5900" s="4">
        <v>40176</v>
      </c>
      <c r="B5900" s="6">
        <v>76.650000000000006</v>
      </c>
    </row>
    <row r="5901" spans="1:2" x14ac:dyDescent="0.25">
      <c r="A5901" s="4">
        <v>40177</v>
      </c>
      <c r="B5901" s="6">
        <v>77.62</v>
      </c>
    </row>
    <row r="5902" spans="1:2" x14ac:dyDescent="0.25">
      <c r="A5902" s="4">
        <v>40178</v>
      </c>
      <c r="B5902" s="6">
        <v>77.91</v>
      </c>
    </row>
    <row r="5903" spans="1:2" x14ac:dyDescent="0.25">
      <c r="A5903" s="4">
        <v>40179</v>
      </c>
      <c r="B5903" s="5"/>
    </row>
    <row r="5904" spans="1:2" x14ac:dyDescent="0.25">
      <c r="A5904" s="4">
        <v>40182</v>
      </c>
      <c r="B5904" s="6">
        <v>79.05</v>
      </c>
    </row>
    <row r="5905" spans="1:2" x14ac:dyDescent="0.25">
      <c r="A5905" s="4">
        <v>40183</v>
      </c>
      <c r="B5905" s="6">
        <v>79.27</v>
      </c>
    </row>
    <row r="5906" spans="1:2" x14ac:dyDescent="0.25">
      <c r="A5906" s="4">
        <v>40184</v>
      </c>
      <c r="B5906" s="6">
        <v>80.14</v>
      </c>
    </row>
    <row r="5907" spans="1:2" x14ac:dyDescent="0.25">
      <c r="A5907" s="4">
        <v>40185</v>
      </c>
      <c r="B5907" s="6">
        <v>80.569999999999993</v>
      </c>
    </row>
    <row r="5908" spans="1:2" x14ac:dyDescent="0.25">
      <c r="A5908" s="4">
        <v>40186</v>
      </c>
      <c r="B5908" s="6">
        <v>80.06</v>
      </c>
    </row>
    <row r="5909" spans="1:2" x14ac:dyDescent="0.25">
      <c r="A5909" s="4">
        <v>40189</v>
      </c>
      <c r="B5909" s="6">
        <v>80.14</v>
      </c>
    </row>
    <row r="5910" spans="1:2" x14ac:dyDescent="0.25">
      <c r="A5910" s="4">
        <v>40190</v>
      </c>
      <c r="B5910" s="6">
        <v>79.38</v>
      </c>
    </row>
    <row r="5911" spans="1:2" x14ac:dyDescent="0.25">
      <c r="A5911" s="4">
        <v>40191</v>
      </c>
      <c r="B5911" s="6">
        <v>77.569999999999993</v>
      </c>
    </row>
    <row r="5912" spans="1:2" x14ac:dyDescent="0.25">
      <c r="A5912" s="4">
        <v>40192</v>
      </c>
      <c r="B5912" s="6">
        <v>77.61</v>
      </c>
    </row>
    <row r="5913" spans="1:2" x14ac:dyDescent="0.25">
      <c r="A5913" s="4">
        <v>40193</v>
      </c>
      <c r="B5913" s="6">
        <v>76.849999999999994</v>
      </c>
    </row>
    <row r="5914" spans="1:2" x14ac:dyDescent="0.25">
      <c r="A5914" s="4">
        <v>40196</v>
      </c>
      <c r="B5914" s="5"/>
    </row>
    <row r="5915" spans="1:2" x14ac:dyDescent="0.25">
      <c r="A5915" s="4">
        <v>40197</v>
      </c>
      <c r="B5915" s="6">
        <v>75.180000000000007</v>
      </c>
    </row>
    <row r="5916" spans="1:2" x14ac:dyDescent="0.25">
      <c r="A5916" s="4">
        <v>40198</v>
      </c>
      <c r="B5916" s="6">
        <v>75.09</v>
      </c>
    </row>
    <row r="5917" spans="1:2" x14ac:dyDescent="0.25">
      <c r="A5917" s="4">
        <v>40199</v>
      </c>
      <c r="B5917" s="6">
        <v>74.13</v>
      </c>
    </row>
    <row r="5918" spans="1:2" x14ac:dyDescent="0.25">
      <c r="A5918" s="4">
        <v>40200</v>
      </c>
      <c r="B5918" s="6">
        <v>72.73</v>
      </c>
    </row>
    <row r="5919" spans="1:2" x14ac:dyDescent="0.25">
      <c r="A5919" s="4">
        <v>40203</v>
      </c>
      <c r="B5919" s="6">
        <v>72.180000000000007</v>
      </c>
    </row>
    <row r="5920" spans="1:2" x14ac:dyDescent="0.25">
      <c r="A5920" s="4">
        <v>40204</v>
      </c>
      <c r="B5920" s="6">
        <v>72.63</v>
      </c>
    </row>
    <row r="5921" spans="1:2" x14ac:dyDescent="0.25">
      <c r="A5921" s="4">
        <v>40205</v>
      </c>
      <c r="B5921" s="6">
        <v>72.75</v>
      </c>
    </row>
    <row r="5922" spans="1:2" x14ac:dyDescent="0.25">
      <c r="A5922" s="4">
        <v>40206</v>
      </c>
      <c r="B5922" s="6">
        <v>70.650000000000006</v>
      </c>
    </row>
    <row r="5923" spans="1:2" x14ac:dyDescent="0.25">
      <c r="A5923" s="4">
        <v>40207</v>
      </c>
      <c r="B5923" s="6">
        <v>71.2</v>
      </c>
    </row>
    <row r="5924" spans="1:2" x14ac:dyDescent="0.25">
      <c r="A5924" s="4">
        <v>40210</v>
      </c>
      <c r="B5924" s="6">
        <v>71.58</v>
      </c>
    </row>
    <row r="5925" spans="1:2" x14ac:dyDescent="0.25">
      <c r="A5925" s="4">
        <v>40211</v>
      </c>
      <c r="B5925" s="6">
        <v>73.94</v>
      </c>
    </row>
    <row r="5926" spans="1:2" x14ac:dyDescent="0.25">
      <c r="A5926" s="4">
        <v>40212</v>
      </c>
      <c r="B5926" s="6">
        <v>75.77</v>
      </c>
    </row>
    <row r="5927" spans="1:2" x14ac:dyDescent="0.25">
      <c r="A5927" s="4">
        <v>40213</v>
      </c>
      <c r="B5927" s="6">
        <v>71.3</v>
      </c>
    </row>
    <row r="5928" spans="1:2" x14ac:dyDescent="0.25">
      <c r="A5928" s="4">
        <v>40214</v>
      </c>
      <c r="B5928" s="6">
        <v>70.11</v>
      </c>
    </row>
    <row r="5929" spans="1:2" x14ac:dyDescent="0.25">
      <c r="A5929" s="4">
        <v>40217</v>
      </c>
      <c r="B5929" s="6">
        <v>69.62</v>
      </c>
    </row>
    <row r="5930" spans="1:2" x14ac:dyDescent="0.25">
      <c r="A5930" s="4">
        <v>40218</v>
      </c>
      <c r="B5930" s="6">
        <v>70.400000000000006</v>
      </c>
    </row>
    <row r="5931" spans="1:2" x14ac:dyDescent="0.25">
      <c r="A5931" s="4">
        <v>40219</v>
      </c>
      <c r="B5931" s="6">
        <v>70.400000000000006</v>
      </c>
    </row>
    <row r="5932" spans="1:2" x14ac:dyDescent="0.25">
      <c r="A5932" s="4">
        <v>40220</v>
      </c>
      <c r="B5932" s="6">
        <v>72.349999999999994</v>
      </c>
    </row>
    <row r="5933" spans="1:2" x14ac:dyDescent="0.25">
      <c r="A5933" s="4">
        <v>40221</v>
      </c>
      <c r="B5933" s="6">
        <v>71.489999999999995</v>
      </c>
    </row>
    <row r="5934" spans="1:2" x14ac:dyDescent="0.25">
      <c r="A5934" s="4">
        <v>40224</v>
      </c>
      <c r="B5934" s="5"/>
    </row>
    <row r="5935" spans="1:2" x14ac:dyDescent="0.25">
      <c r="A5935" s="4">
        <v>40225</v>
      </c>
      <c r="B5935" s="6">
        <v>74.819999999999993</v>
      </c>
    </row>
    <row r="5936" spans="1:2" x14ac:dyDescent="0.25">
      <c r="A5936" s="4">
        <v>40226</v>
      </c>
      <c r="B5936" s="6">
        <v>74.89</v>
      </c>
    </row>
    <row r="5937" spans="1:2" x14ac:dyDescent="0.25">
      <c r="A5937" s="4">
        <v>40227</v>
      </c>
      <c r="B5937" s="6">
        <v>76.61</v>
      </c>
    </row>
    <row r="5938" spans="1:2" x14ac:dyDescent="0.25">
      <c r="A5938" s="4">
        <v>40228</v>
      </c>
      <c r="B5938" s="6">
        <v>76.88</v>
      </c>
    </row>
    <row r="5939" spans="1:2" x14ac:dyDescent="0.25">
      <c r="A5939" s="4">
        <v>40231</v>
      </c>
      <c r="B5939" s="6">
        <v>76.95</v>
      </c>
    </row>
    <row r="5940" spans="1:2" x14ac:dyDescent="0.25">
      <c r="A5940" s="4">
        <v>40232</v>
      </c>
      <c r="B5940" s="6">
        <v>76.44</v>
      </c>
    </row>
    <row r="5941" spans="1:2" x14ac:dyDescent="0.25">
      <c r="A5941" s="4">
        <v>40233</v>
      </c>
      <c r="B5941" s="6">
        <v>77</v>
      </c>
    </row>
    <row r="5942" spans="1:2" x14ac:dyDescent="0.25">
      <c r="A5942" s="4">
        <v>40234</v>
      </c>
      <c r="B5942" s="6">
        <v>74.38</v>
      </c>
    </row>
    <row r="5943" spans="1:2" x14ac:dyDescent="0.25">
      <c r="A5943" s="4">
        <v>40235</v>
      </c>
      <c r="B5943" s="6">
        <v>76.36</v>
      </c>
    </row>
    <row r="5944" spans="1:2" x14ac:dyDescent="0.25">
      <c r="A5944" s="4">
        <v>40238</v>
      </c>
      <c r="B5944" s="6">
        <v>76.069999999999993</v>
      </c>
    </row>
    <row r="5945" spans="1:2" x14ac:dyDescent="0.25">
      <c r="A5945" s="4">
        <v>40239</v>
      </c>
      <c r="B5945" s="6">
        <v>77.5</v>
      </c>
    </row>
    <row r="5946" spans="1:2" x14ac:dyDescent="0.25">
      <c r="A5946" s="4">
        <v>40240</v>
      </c>
      <c r="B5946" s="6">
        <v>78.66</v>
      </c>
    </row>
    <row r="5947" spans="1:2" x14ac:dyDescent="0.25">
      <c r="A5947" s="4">
        <v>40241</v>
      </c>
      <c r="B5947" s="6">
        <v>77.88</v>
      </c>
    </row>
    <row r="5948" spans="1:2" x14ac:dyDescent="0.25">
      <c r="A5948" s="4">
        <v>40242</v>
      </c>
      <c r="B5948" s="6">
        <v>79.2</v>
      </c>
    </row>
    <row r="5949" spans="1:2" x14ac:dyDescent="0.25">
      <c r="A5949" s="4">
        <v>40245</v>
      </c>
      <c r="B5949" s="6">
        <v>78.94</v>
      </c>
    </row>
    <row r="5950" spans="1:2" x14ac:dyDescent="0.25">
      <c r="A5950" s="4">
        <v>40246</v>
      </c>
      <c r="B5950" s="6">
        <v>78.77</v>
      </c>
    </row>
    <row r="5951" spans="1:2" x14ac:dyDescent="0.25">
      <c r="A5951" s="4">
        <v>40247</v>
      </c>
      <c r="B5951" s="6">
        <v>80.290000000000006</v>
      </c>
    </row>
    <row r="5952" spans="1:2" x14ac:dyDescent="0.25">
      <c r="A5952" s="4">
        <v>40248</v>
      </c>
      <c r="B5952" s="6">
        <v>79.44</v>
      </c>
    </row>
    <row r="5953" spans="1:2" x14ac:dyDescent="0.25">
      <c r="A5953" s="4">
        <v>40249</v>
      </c>
      <c r="B5953" s="6">
        <v>79.38</v>
      </c>
    </row>
    <row r="5954" spans="1:2" x14ac:dyDescent="0.25">
      <c r="A5954" s="4">
        <v>40252</v>
      </c>
      <c r="B5954" s="6">
        <v>77.08</v>
      </c>
    </row>
    <row r="5955" spans="1:2" x14ac:dyDescent="0.25">
      <c r="A5955" s="4">
        <v>40253</v>
      </c>
      <c r="B5955" s="6">
        <v>79.45</v>
      </c>
    </row>
    <row r="5956" spans="1:2" x14ac:dyDescent="0.25">
      <c r="A5956" s="4">
        <v>40254</v>
      </c>
      <c r="B5956" s="6">
        <v>80.28</v>
      </c>
    </row>
    <row r="5957" spans="1:2" x14ac:dyDescent="0.25">
      <c r="A5957" s="4">
        <v>40255</v>
      </c>
      <c r="B5957" s="6">
        <v>80.09</v>
      </c>
    </row>
    <row r="5958" spans="1:2" x14ac:dyDescent="0.25">
      <c r="A5958" s="4">
        <v>40256</v>
      </c>
      <c r="B5958" s="6">
        <v>78.37</v>
      </c>
    </row>
    <row r="5959" spans="1:2" x14ac:dyDescent="0.25">
      <c r="A5959" s="4">
        <v>40259</v>
      </c>
      <c r="B5959" s="6">
        <v>78.09</v>
      </c>
    </row>
    <row r="5960" spans="1:2" x14ac:dyDescent="0.25">
      <c r="A5960" s="4">
        <v>40260</v>
      </c>
      <c r="B5960" s="6">
        <v>79.17</v>
      </c>
    </row>
    <row r="5961" spans="1:2" x14ac:dyDescent="0.25">
      <c r="A5961" s="4">
        <v>40261</v>
      </c>
      <c r="B5961" s="6">
        <v>78.03</v>
      </c>
    </row>
    <row r="5962" spans="1:2" x14ac:dyDescent="0.25">
      <c r="A5962" s="4">
        <v>40262</v>
      </c>
      <c r="B5962" s="6">
        <v>78.64</v>
      </c>
    </row>
    <row r="5963" spans="1:2" x14ac:dyDescent="0.25">
      <c r="A5963" s="4">
        <v>40263</v>
      </c>
      <c r="B5963" s="6">
        <v>77.98</v>
      </c>
    </row>
    <row r="5964" spans="1:2" x14ac:dyDescent="0.25">
      <c r="A5964" s="4">
        <v>40266</v>
      </c>
      <c r="B5964" s="6">
        <v>79.89</v>
      </c>
    </row>
    <row r="5965" spans="1:2" x14ac:dyDescent="0.25">
      <c r="A5965" s="4">
        <v>40267</v>
      </c>
      <c r="B5965" s="6">
        <v>79.459999999999994</v>
      </c>
    </row>
    <row r="5966" spans="1:2" x14ac:dyDescent="0.25">
      <c r="A5966" s="4">
        <v>40268</v>
      </c>
      <c r="B5966" s="6">
        <v>80.37</v>
      </c>
    </row>
    <row r="5967" spans="1:2" x14ac:dyDescent="0.25">
      <c r="A5967" s="4">
        <v>40269</v>
      </c>
      <c r="B5967" s="6">
        <v>82.63</v>
      </c>
    </row>
    <row r="5968" spans="1:2" x14ac:dyDescent="0.25">
      <c r="A5968" s="4">
        <v>40270</v>
      </c>
      <c r="B5968" s="5"/>
    </row>
    <row r="5969" spans="1:2" x14ac:dyDescent="0.25">
      <c r="A5969" s="4">
        <v>40273</v>
      </c>
      <c r="B5969" s="6">
        <v>84.48</v>
      </c>
    </row>
    <row r="5970" spans="1:2" x14ac:dyDescent="0.25">
      <c r="A5970" s="4">
        <v>40274</v>
      </c>
      <c r="B5970" s="6">
        <v>85.05</v>
      </c>
    </row>
    <row r="5971" spans="1:2" x14ac:dyDescent="0.25">
      <c r="A5971" s="4">
        <v>40275</v>
      </c>
      <c r="B5971" s="6">
        <v>84.49</v>
      </c>
    </row>
    <row r="5972" spans="1:2" x14ac:dyDescent="0.25">
      <c r="A5972" s="4">
        <v>40276</v>
      </c>
      <c r="B5972" s="6">
        <v>82.63</v>
      </c>
    </row>
    <row r="5973" spans="1:2" x14ac:dyDescent="0.25">
      <c r="A5973" s="4">
        <v>40277</v>
      </c>
      <c r="B5973" s="6">
        <v>82.77</v>
      </c>
    </row>
    <row r="5974" spans="1:2" x14ac:dyDescent="0.25">
      <c r="A5974" s="4">
        <v>40280</v>
      </c>
      <c r="B5974" s="6">
        <v>85.21</v>
      </c>
    </row>
    <row r="5975" spans="1:2" x14ac:dyDescent="0.25">
      <c r="A5975" s="4">
        <v>40281</v>
      </c>
      <c r="B5975" s="6">
        <v>83.44</v>
      </c>
    </row>
    <row r="5976" spans="1:2" x14ac:dyDescent="0.25">
      <c r="A5976" s="4">
        <v>40282</v>
      </c>
      <c r="B5976" s="6">
        <v>85.81</v>
      </c>
    </row>
    <row r="5977" spans="1:2" x14ac:dyDescent="0.25">
      <c r="A5977" s="4">
        <v>40283</v>
      </c>
      <c r="B5977" s="6">
        <v>86.9</v>
      </c>
    </row>
    <row r="5978" spans="1:2" x14ac:dyDescent="0.25">
      <c r="A5978" s="4">
        <v>40284</v>
      </c>
      <c r="B5978" s="6">
        <v>84.81</v>
      </c>
    </row>
    <row r="5979" spans="1:2" x14ac:dyDescent="0.25">
      <c r="A5979" s="4">
        <v>40287</v>
      </c>
      <c r="B5979" s="6">
        <v>83.09</v>
      </c>
    </row>
    <row r="5980" spans="1:2" x14ac:dyDescent="0.25">
      <c r="A5980" s="4">
        <v>40288</v>
      </c>
      <c r="B5980" s="6">
        <v>84.73</v>
      </c>
    </row>
    <row r="5981" spans="1:2" x14ac:dyDescent="0.25">
      <c r="A5981" s="4">
        <v>40289</v>
      </c>
      <c r="B5981" s="6">
        <v>84.55</v>
      </c>
    </row>
    <row r="5982" spans="1:2" x14ac:dyDescent="0.25">
      <c r="A5982" s="4">
        <v>40290</v>
      </c>
      <c r="B5982" s="6">
        <v>84.58</v>
      </c>
    </row>
    <row r="5983" spans="1:2" x14ac:dyDescent="0.25">
      <c r="A5983" s="4">
        <v>40291</v>
      </c>
      <c r="B5983" s="6">
        <v>86.09</v>
      </c>
    </row>
    <row r="5984" spans="1:2" x14ac:dyDescent="0.25">
      <c r="A5984" s="4">
        <v>40294</v>
      </c>
      <c r="B5984" s="6">
        <v>86.72</v>
      </c>
    </row>
    <row r="5985" spans="1:2" x14ac:dyDescent="0.25">
      <c r="A5985" s="4">
        <v>40295</v>
      </c>
      <c r="B5985" s="6">
        <v>85.59</v>
      </c>
    </row>
    <row r="5986" spans="1:2" x14ac:dyDescent="0.25">
      <c r="A5986" s="4">
        <v>40296</v>
      </c>
      <c r="B5986" s="6">
        <v>84.59</v>
      </c>
    </row>
    <row r="5987" spans="1:2" x14ac:dyDescent="0.25">
      <c r="A5987" s="4">
        <v>40297</v>
      </c>
      <c r="B5987" s="6">
        <v>86.82</v>
      </c>
    </row>
    <row r="5988" spans="1:2" x14ac:dyDescent="0.25">
      <c r="A5988" s="4">
        <v>40298</v>
      </c>
      <c r="B5988" s="6">
        <v>86.19</v>
      </c>
    </row>
    <row r="5989" spans="1:2" x14ac:dyDescent="0.25">
      <c r="A5989" s="4">
        <v>40301</v>
      </c>
      <c r="B5989" s="6">
        <v>88.09</v>
      </c>
    </row>
    <row r="5990" spans="1:2" x14ac:dyDescent="0.25">
      <c r="A5990" s="4">
        <v>40302</v>
      </c>
      <c r="B5990" s="6">
        <v>85.39</v>
      </c>
    </row>
    <row r="5991" spans="1:2" x14ac:dyDescent="0.25">
      <c r="A5991" s="4">
        <v>40303</v>
      </c>
      <c r="B5991" s="6">
        <v>82.31</v>
      </c>
    </row>
    <row r="5992" spans="1:2" x14ac:dyDescent="0.25">
      <c r="A5992" s="4">
        <v>40304</v>
      </c>
      <c r="B5992" s="6">
        <v>80.209999999999994</v>
      </c>
    </row>
    <row r="5993" spans="1:2" x14ac:dyDescent="0.25">
      <c r="A5993" s="4">
        <v>40305</v>
      </c>
      <c r="B5993" s="6">
        <v>76.48</v>
      </c>
    </row>
    <row r="5994" spans="1:2" x14ac:dyDescent="0.25">
      <c r="A5994" s="4">
        <v>40308</v>
      </c>
      <c r="B5994" s="6">
        <v>78.08</v>
      </c>
    </row>
    <row r="5995" spans="1:2" x14ac:dyDescent="0.25">
      <c r="A5995" s="4">
        <v>40309</v>
      </c>
      <c r="B5995" s="6">
        <v>79</v>
      </c>
    </row>
    <row r="5996" spans="1:2" x14ac:dyDescent="0.25">
      <c r="A5996" s="4">
        <v>40310</v>
      </c>
      <c r="B5996" s="6">
        <v>78.7</v>
      </c>
    </row>
    <row r="5997" spans="1:2" x14ac:dyDescent="0.25">
      <c r="A5997" s="4">
        <v>40311</v>
      </c>
      <c r="B5997" s="6">
        <v>79.41</v>
      </c>
    </row>
    <row r="5998" spans="1:2" x14ac:dyDescent="0.25">
      <c r="A5998" s="4">
        <v>40312</v>
      </c>
      <c r="B5998" s="6">
        <v>76.430000000000007</v>
      </c>
    </row>
    <row r="5999" spans="1:2" x14ac:dyDescent="0.25">
      <c r="A5999" s="4">
        <v>40315</v>
      </c>
      <c r="B5999" s="6">
        <v>73.87</v>
      </c>
    </row>
    <row r="6000" spans="1:2" x14ac:dyDescent="0.25">
      <c r="A6000" s="4">
        <v>40316</v>
      </c>
      <c r="B6000" s="6">
        <v>75.12</v>
      </c>
    </row>
    <row r="6001" spans="1:2" x14ac:dyDescent="0.25">
      <c r="A6001" s="4">
        <v>40317</v>
      </c>
      <c r="B6001" s="6">
        <v>71.86</v>
      </c>
    </row>
    <row r="6002" spans="1:2" x14ac:dyDescent="0.25">
      <c r="A6002" s="4">
        <v>40318</v>
      </c>
      <c r="B6002" s="6">
        <v>69.56</v>
      </c>
    </row>
    <row r="6003" spans="1:2" x14ac:dyDescent="0.25">
      <c r="A6003" s="4">
        <v>40319</v>
      </c>
      <c r="B6003" s="6">
        <v>70.45</v>
      </c>
    </row>
    <row r="6004" spans="1:2" x14ac:dyDescent="0.25">
      <c r="A6004" s="4">
        <v>40322</v>
      </c>
      <c r="B6004" s="6">
        <v>69.62</v>
      </c>
    </row>
    <row r="6005" spans="1:2" x14ac:dyDescent="0.25">
      <c r="A6005" s="4">
        <v>40323</v>
      </c>
      <c r="B6005" s="6">
        <v>67.180000000000007</v>
      </c>
    </row>
    <row r="6006" spans="1:2" x14ac:dyDescent="0.25">
      <c r="A6006" s="4">
        <v>40324</v>
      </c>
      <c r="B6006" s="6">
        <v>70.59</v>
      </c>
    </row>
    <row r="6007" spans="1:2" x14ac:dyDescent="0.25">
      <c r="A6007" s="4">
        <v>40325</v>
      </c>
      <c r="B6007" s="6">
        <v>73.56</v>
      </c>
    </row>
    <row r="6008" spans="1:2" x14ac:dyDescent="0.25">
      <c r="A6008" s="4">
        <v>40326</v>
      </c>
      <c r="B6008" s="6">
        <v>73</v>
      </c>
    </row>
    <row r="6009" spans="1:2" x14ac:dyDescent="0.25">
      <c r="A6009" s="4">
        <v>40329</v>
      </c>
      <c r="B6009" s="5"/>
    </row>
    <row r="6010" spans="1:2" x14ac:dyDescent="0.25">
      <c r="A6010" s="4">
        <v>40330</v>
      </c>
      <c r="B6010" s="6">
        <v>73.08</v>
      </c>
    </row>
    <row r="6011" spans="1:2" x14ac:dyDescent="0.25">
      <c r="A6011" s="4">
        <v>40331</v>
      </c>
      <c r="B6011" s="6">
        <v>72.78</v>
      </c>
    </row>
    <row r="6012" spans="1:2" x14ac:dyDescent="0.25">
      <c r="A6012" s="4">
        <v>40332</v>
      </c>
      <c r="B6012" s="6">
        <v>73.12</v>
      </c>
    </row>
    <row r="6013" spans="1:2" x14ac:dyDescent="0.25">
      <c r="A6013" s="4">
        <v>40333</v>
      </c>
      <c r="B6013" s="6">
        <v>71.84</v>
      </c>
    </row>
    <row r="6014" spans="1:2" x14ac:dyDescent="0.25">
      <c r="A6014" s="4">
        <v>40336</v>
      </c>
      <c r="B6014" s="6">
        <v>71.09</v>
      </c>
    </row>
    <row r="6015" spans="1:2" x14ac:dyDescent="0.25">
      <c r="A6015" s="4">
        <v>40337</v>
      </c>
      <c r="B6015" s="6">
        <v>71.430000000000007</v>
      </c>
    </row>
    <row r="6016" spans="1:2" x14ac:dyDescent="0.25">
      <c r="A6016" s="4">
        <v>40338</v>
      </c>
      <c r="B6016" s="6">
        <v>73.680000000000007</v>
      </c>
    </row>
    <row r="6017" spans="1:2" x14ac:dyDescent="0.25">
      <c r="A6017" s="4">
        <v>40339</v>
      </c>
      <c r="B6017" s="6">
        <v>74.33</v>
      </c>
    </row>
    <row r="6018" spans="1:2" x14ac:dyDescent="0.25">
      <c r="A6018" s="4">
        <v>40340</v>
      </c>
      <c r="B6018" s="6">
        <v>73.28</v>
      </c>
    </row>
    <row r="6019" spans="1:2" x14ac:dyDescent="0.25">
      <c r="A6019" s="4">
        <v>40343</v>
      </c>
      <c r="B6019" s="6">
        <v>75.11</v>
      </c>
    </row>
    <row r="6020" spans="1:2" x14ac:dyDescent="0.25">
      <c r="A6020" s="4">
        <v>40344</v>
      </c>
      <c r="B6020" s="6">
        <v>75.290000000000006</v>
      </c>
    </row>
    <row r="6021" spans="1:2" x14ac:dyDescent="0.25">
      <c r="A6021" s="4">
        <v>40345</v>
      </c>
      <c r="B6021" s="6">
        <v>76.12</v>
      </c>
    </row>
    <row r="6022" spans="1:2" x14ac:dyDescent="0.25">
      <c r="A6022" s="4">
        <v>40346</v>
      </c>
      <c r="B6022" s="6">
        <v>77.52</v>
      </c>
    </row>
    <row r="6023" spans="1:2" x14ac:dyDescent="0.25">
      <c r="A6023" s="4">
        <v>40347</v>
      </c>
      <c r="B6023" s="6">
        <v>77.05</v>
      </c>
    </row>
    <row r="6024" spans="1:2" x14ac:dyDescent="0.25">
      <c r="A6024" s="4">
        <v>40350</v>
      </c>
      <c r="B6024" s="6">
        <v>78.53</v>
      </c>
    </row>
    <row r="6025" spans="1:2" x14ac:dyDescent="0.25">
      <c r="A6025" s="4">
        <v>40351</v>
      </c>
      <c r="B6025" s="6">
        <v>78.08</v>
      </c>
    </row>
    <row r="6026" spans="1:2" x14ac:dyDescent="0.25">
      <c r="A6026" s="4">
        <v>40352</v>
      </c>
      <c r="B6026" s="6">
        <v>75.22</v>
      </c>
    </row>
    <row r="6027" spans="1:2" x14ac:dyDescent="0.25">
      <c r="A6027" s="4">
        <v>40353</v>
      </c>
      <c r="B6027" s="6">
        <v>75.17</v>
      </c>
    </row>
    <row r="6028" spans="1:2" x14ac:dyDescent="0.25">
      <c r="A6028" s="4">
        <v>40354</v>
      </c>
      <c r="B6028" s="6">
        <v>76.209999999999994</v>
      </c>
    </row>
    <row r="6029" spans="1:2" x14ac:dyDescent="0.25">
      <c r="A6029" s="4">
        <v>40357</v>
      </c>
      <c r="B6029" s="6">
        <v>76.66</v>
      </c>
    </row>
    <row r="6030" spans="1:2" x14ac:dyDescent="0.25">
      <c r="A6030" s="4">
        <v>40358</v>
      </c>
      <c r="B6030" s="6">
        <v>74.209999999999994</v>
      </c>
    </row>
    <row r="6031" spans="1:2" x14ac:dyDescent="0.25">
      <c r="A6031" s="4">
        <v>40359</v>
      </c>
      <c r="B6031" s="6">
        <v>74.94</v>
      </c>
    </row>
    <row r="6032" spans="1:2" x14ac:dyDescent="0.25">
      <c r="A6032" s="4">
        <v>40360</v>
      </c>
      <c r="B6032" s="6">
        <v>71.73</v>
      </c>
    </row>
    <row r="6033" spans="1:2" x14ac:dyDescent="0.25">
      <c r="A6033" s="4">
        <v>40361</v>
      </c>
      <c r="B6033" s="6">
        <v>71.75</v>
      </c>
    </row>
    <row r="6034" spans="1:2" x14ac:dyDescent="0.25">
      <c r="A6034" s="4">
        <v>40364</v>
      </c>
      <c r="B6034" s="5"/>
    </row>
    <row r="6035" spans="1:2" x14ac:dyDescent="0.25">
      <c r="A6035" s="4">
        <v>40365</v>
      </c>
      <c r="B6035" s="6">
        <v>73.08</v>
      </c>
    </row>
    <row r="6036" spans="1:2" x14ac:dyDescent="0.25">
      <c r="A6036" s="4">
        <v>40366</v>
      </c>
      <c r="B6036" s="6">
        <v>72.97</v>
      </c>
    </row>
    <row r="6037" spans="1:2" x14ac:dyDescent="0.25">
      <c r="A6037" s="4">
        <v>40367</v>
      </c>
      <c r="B6037" s="6">
        <v>74.56</v>
      </c>
    </row>
    <row r="6038" spans="1:2" x14ac:dyDescent="0.25">
      <c r="A6038" s="4">
        <v>40368</v>
      </c>
      <c r="B6038" s="6">
        <v>75.2</v>
      </c>
    </row>
    <row r="6039" spans="1:2" x14ac:dyDescent="0.25">
      <c r="A6039" s="4">
        <v>40371</v>
      </c>
      <c r="B6039" s="6">
        <v>74.349999999999994</v>
      </c>
    </row>
    <row r="6040" spans="1:2" x14ac:dyDescent="0.25">
      <c r="A6040" s="4">
        <v>40372</v>
      </c>
      <c r="B6040" s="6">
        <v>76.45</v>
      </c>
    </row>
    <row r="6041" spans="1:2" x14ac:dyDescent="0.25">
      <c r="A6041" s="4">
        <v>40373</v>
      </c>
      <c r="B6041" s="6">
        <v>76.63</v>
      </c>
    </row>
    <row r="6042" spans="1:2" x14ac:dyDescent="0.25">
      <c r="A6042" s="4">
        <v>40374</v>
      </c>
      <c r="B6042" s="6">
        <v>75.52</v>
      </c>
    </row>
    <row r="6043" spans="1:2" x14ac:dyDescent="0.25">
      <c r="A6043" s="4">
        <v>40375</v>
      </c>
      <c r="B6043" s="6">
        <v>75.55</v>
      </c>
    </row>
    <row r="6044" spans="1:2" x14ac:dyDescent="0.25">
      <c r="A6044" s="4">
        <v>40378</v>
      </c>
      <c r="B6044" s="6">
        <v>76.290000000000006</v>
      </c>
    </row>
    <row r="6045" spans="1:2" x14ac:dyDescent="0.25">
      <c r="A6045" s="4">
        <v>40379</v>
      </c>
      <c r="B6045" s="6">
        <v>76.31</v>
      </c>
    </row>
    <row r="6046" spans="1:2" x14ac:dyDescent="0.25">
      <c r="A6046" s="4">
        <v>40380</v>
      </c>
      <c r="B6046" s="6">
        <v>75.75</v>
      </c>
    </row>
    <row r="6047" spans="1:2" x14ac:dyDescent="0.25">
      <c r="A6047" s="4">
        <v>40381</v>
      </c>
      <c r="B6047" s="6">
        <v>77.59</v>
      </c>
    </row>
    <row r="6048" spans="1:2" x14ac:dyDescent="0.25">
      <c r="A6048" s="4">
        <v>40382</v>
      </c>
      <c r="B6048" s="6">
        <v>77.27</v>
      </c>
    </row>
    <row r="6049" spans="1:2" x14ac:dyDescent="0.25">
      <c r="A6049" s="4">
        <v>40385</v>
      </c>
      <c r="B6049" s="6">
        <v>77.900000000000006</v>
      </c>
    </row>
    <row r="6050" spans="1:2" x14ac:dyDescent="0.25">
      <c r="A6050" s="4">
        <v>40386</v>
      </c>
      <c r="B6050" s="6">
        <v>75.52</v>
      </c>
    </row>
    <row r="6051" spans="1:2" x14ac:dyDescent="0.25">
      <c r="A6051" s="4">
        <v>40387</v>
      </c>
      <c r="B6051" s="6">
        <v>76.66</v>
      </c>
    </row>
    <row r="6052" spans="1:2" x14ac:dyDescent="0.25">
      <c r="A6052" s="4">
        <v>40388</v>
      </c>
      <c r="B6052" s="6">
        <v>78.599999999999994</v>
      </c>
    </row>
    <row r="6053" spans="1:2" x14ac:dyDescent="0.25">
      <c r="A6053" s="4">
        <v>40389</v>
      </c>
      <c r="B6053" s="6">
        <v>77.5</v>
      </c>
    </row>
    <row r="6054" spans="1:2" x14ac:dyDescent="0.25">
      <c r="A6054" s="4">
        <v>40392</v>
      </c>
      <c r="B6054" s="6">
        <v>81.93</v>
      </c>
    </row>
    <row r="6055" spans="1:2" x14ac:dyDescent="0.25">
      <c r="A6055" s="4">
        <v>40393</v>
      </c>
      <c r="B6055" s="6">
        <v>83.6</v>
      </c>
    </row>
    <row r="6056" spans="1:2" x14ac:dyDescent="0.25">
      <c r="A6056" s="4">
        <v>40394</v>
      </c>
      <c r="B6056" s="6">
        <v>83.76</v>
      </c>
    </row>
    <row r="6057" spans="1:2" x14ac:dyDescent="0.25">
      <c r="A6057" s="4">
        <v>40395</v>
      </c>
      <c r="B6057" s="6">
        <v>82.9</v>
      </c>
    </row>
    <row r="6058" spans="1:2" x14ac:dyDescent="0.25">
      <c r="A6058" s="4">
        <v>40396</v>
      </c>
      <c r="B6058" s="6">
        <v>81.28</v>
      </c>
    </row>
    <row r="6059" spans="1:2" x14ac:dyDescent="0.25">
      <c r="A6059" s="4">
        <v>40399</v>
      </c>
      <c r="B6059" s="6">
        <v>81.540000000000006</v>
      </c>
    </row>
    <row r="6060" spans="1:2" x14ac:dyDescent="0.25">
      <c r="A6060" s="4">
        <v>40400</v>
      </c>
      <c r="B6060" s="6">
        <v>79.89</v>
      </c>
    </row>
    <row r="6061" spans="1:2" x14ac:dyDescent="0.25">
      <c r="A6061" s="4">
        <v>40401</v>
      </c>
      <c r="B6061" s="6">
        <v>77.83</v>
      </c>
    </row>
    <row r="6062" spans="1:2" x14ac:dyDescent="0.25">
      <c r="A6062" s="4">
        <v>40402</v>
      </c>
      <c r="B6062" s="6">
        <v>76.63</v>
      </c>
    </row>
    <row r="6063" spans="1:2" x14ac:dyDescent="0.25">
      <c r="A6063" s="4">
        <v>40403</v>
      </c>
      <c r="B6063" s="6">
        <v>75.14</v>
      </c>
    </row>
    <row r="6064" spans="1:2" x14ac:dyDescent="0.25">
      <c r="A6064" s="4">
        <v>40406</v>
      </c>
      <c r="B6064" s="6">
        <v>74.56</v>
      </c>
    </row>
    <row r="6065" spans="1:2" x14ac:dyDescent="0.25">
      <c r="A6065" s="4">
        <v>40407</v>
      </c>
      <c r="B6065" s="6">
        <v>76.739999999999995</v>
      </c>
    </row>
    <row r="6066" spans="1:2" x14ac:dyDescent="0.25">
      <c r="A6066" s="4">
        <v>40408</v>
      </c>
      <c r="B6066" s="6">
        <v>75.099999999999994</v>
      </c>
    </row>
    <row r="6067" spans="1:2" x14ac:dyDescent="0.25">
      <c r="A6067" s="4">
        <v>40409</v>
      </c>
      <c r="B6067" s="6">
        <v>74.84</v>
      </c>
    </row>
    <row r="6068" spans="1:2" x14ac:dyDescent="0.25">
      <c r="A6068" s="4">
        <v>40410</v>
      </c>
      <c r="B6068" s="6">
        <v>73.48</v>
      </c>
    </row>
    <row r="6069" spans="1:2" x14ac:dyDescent="0.25">
      <c r="A6069" s="4">
        <v>40413</v>
      </c>
      <c r="B6069" s="6">
        <v>73.08</v>
      </c>
    </row>
    <row r="6070" spans="1:2" x14ac:dyDescent="0.25">
      <c r="A6070" s="4">
        <v>40414</v>
      </c>
      <c r="B6070" s="6">
        <v>70.61</v>
      </c>
    </row>
    <row r="6071" spans="1:2" x14ac:dyDescent="0.25">
      <c r="A6071" s="4">
        <v>40415</v>
      </c>
      <c r="B6071" s="6">
        <v>70.739999999999995</v>
      </c>
    </row>
    <row r="6072" spans="1:2" x14ac:dyDescent="0.25">
      <c r="A6072" s="4">
        <v>40416</v>
      </c>
      <c r="B6072" s="6">
        <v>74.5</v>
      </c>
    </row>
    <row r="6073" spans="1:2" x14ac:dyDescent="0.25">
      <c r="A6073" s="4">
        <v>40417</v>
      </c>
      <c r="B6073" s="6">
        <v>75.16</v>
      </c>
    </row>
    <row r="6074" spans="1:2" x14ac:dyDescent="0.25">
      <c r="A6074" s="4">
        <v>40420</v>
      </c>
      <c r="B6074" s="6">
        <v>76.05</v>
      </c>
    </row>
    <row r="6075" spans="1:2" x14ac:dyDescent="0.25">
      <c r="A6075" s="4">
        <v>40421</v>
      </c>
      <c r="B6075" s="6">
        <v>75.510000000000005</v>
      </c>
    </row>
    <row r="6076" spans="1:2" x14ac:dyDescent="0.25">
      <c r="A6076" s="4">
        <v>40422</v>
      </c>
      <c r="B6076" s="6">
        <v>75.53</v>
      </c>
    </row>
    <row r="6077" spans="1:2" x14ac:dyDescent="0.25">
      <c r="A6077" s="4">
        <v>40423</v>
      </c>
      <c r="B6077" s="6">
        <v>74.930000000000007</v>
      </c>
    </row>
    <row r="6078" spans="1:2" x14ac:dyDescent="0.25">
      <c r="A6078" s="4">
        <v>40424</v>
      </c>
      <c r="B6078" s="6">
        <v>75.03</v>
      </c>
    </row>
    <row r="6079" spans="1:2" x14ac:dyDescent="0.25">
      <c r="A6079" s="4">
        <v>40427</v>
      </c>
      <c r="B6079" s="5"/>
    </row>
    <row r="6080" spans="1:2" x14ac:dyDescent="0.25">
      <c r="A6080" s="4">
        <v>40428</v>
      </c>
      <c r="B6080" s="6">
        <v>75.78</v>
      </c>
    </row>
    <row r="6081" spans="1:2" x14ac:dyDescent="0.25">
      <c r="A6081" s="4">
        <v>40429</v>
      </c>
      <c r="B6081" s="6">
        <v>77.48</v>
      </c>
    </row>
    <row r="6082" spans="1:2" x14ac:dyDescent="0.25">
      <c r="A6082" s="4">
        <v>40430</v>
      </c>
      <c r="B6082" s="6">
        <v>77.87</v>
      </c>
    </row>
    <row r="6083" spans="1:2" x14ac:dyDescent="0.25">
      <c r="A6083" s="4">
        <v>40431</v>
      </c>
      <c r="B6083" s="6">
        <v>77.540000000000006</v>
      </c>
    </row>
    <row r="6084" spans="1:2" x14ac:dyDescent="0.25">
      <c r="A6084" s="4">
        <v>40434</v>
      </c>
      <c r="B6084" s="6">
        <v>78.52</v>
      </c>
    </row>
    <row r="6085" spans="1:2" x14ac:dyDescent="0.25">
      <c r="A6085" s="4">
        <v>40435</v>
      </c>
      <c r="B6085" s="6">
        <v>78.89</v>
      </c>
    </row>
    <row r="6086" spans="1:2" x14ac:dyDescent="0.25">
      <c r="A6086" s="4">
        <v>40436</v>
      </c>
      <c r="B6086" s="6">
        <v>78.459999999999994</v>
      </c>
    </row>
    <row r="6087" spans="1:2" x14ac:dyDescent="0.25">
      <c r="A6087" s="4">
        <v>40437</v>
      </c>
      <c r="B6087" s="6">
        <v>78.89</v>
      </c>
    </row>
    <row r="6088" spans="1:2" x14ac:dyDescent="0.25">
      <c r="A6088" s="4">
        <v>40438</v>
      </c>
      <c r="B6088" s="6">
        <v>77.430000000000007</v>
      </c>
    </row>
    <row r="6089" spans="1:2" x14ac:dyDescent="0.25">
      <c r="A6089" s="4">
        <v>40441</v>
      </c>
      <c r="B6089" s="6">
        <v>79.42</v>
      </c>
    </row>
    <row r="6090" spans="1:2" x14ac:dyDescent="0.25">
      <c r="A6090" s="4">
        <v>40442</v>
      </c>
      <c r="B6090" s="6">
        <v>78.760000000000005</v>
      </c>
    </row>
    <row r="6091" spans="1:2" x14ac:dyDescent="0.25">
      <c r="A6091" s="4">
        <v>40443</v>
      </c>
      <c r="B6091" s="6">
        <v>77.290000000000006</v>
      </c>
    </row>
    <row r="6092" spans="1:2" x14ac:dyDescent="0.25">
      <c r="A6092" s="4">
        <v>40444</v>
      </c>
      <c r="B6092" s="6">
        <v>77.69</v>
      </c>
    </row>
    <row r="6093" spans="1:2" x14ac:dyDescent="0.25">
      <c r="A6093" s="4">
        <v>40445</v>
      </c>
      <c r="B6093" s="6">
        <v>78.73</v>
      </c>
    </row>
    <row r="6094" spans="1:2" x14ac:dyDescent="0.25">
      <c r="A6094" s="4">
        <v>40448</v>
      </c>
      <c r="B6094" s="6">
        <v>77.709999999999994</v>
      </c>
    </row>
    <row r="6095" spans="1:2" x14ac:dyDescent="0.25">
      <c r="A6095" s="4">
        <v>40449</v>
      </c>
      <c r="B6095" s="6">
        <v>79.14</v>
      </c>
    </row>
    <row r="6096" spans="1:2" x14ac:dyDescent="0.25">
      <c r="A6096" s="4">
        <v>40450</v>
      </c>
      <c r="B6096" s="6">
        <v>78.790000000000006</v>
      </c>
    </row>
    <row r="6097" spans="1:2" x14ac:dyDescent="0.25">
      <c r="A6097" s="4">
        <v>40451</v>
      </c>
      <c r="B6097" s="6">
        <v>80.77</v>
      </c>
    </row>
    <row r="6098" spans="1:2" x14ac:dyDescent="0.25">
      <c r="A6098" s="4">
        <v>40452</v>
      </c>
      <c r="B6098" s="6">
        <v>82.69</v>
      </c>
    </row>
    <row r="6099" spans="1:2" x14ac:dyDescent="0.25">
      <c r="A6099" s="4">
        <v>40455</v>
      </c>
      <c r="B6099" s="6">
        <v>83.42</v>
      </c>
    </row>
    <row r="6100" spans="1:2" x14ac:dyDescent="0.25">
      <c r="A6100" s="4">
        <v>40456</v>
      </c>
      <c r="B6100" s="6">
        <v>83.35</v>
      </c>
    </row>
    <row r="6101" spans="1:2" x14ac:dyDescent="0.25">
      <c r="A6101" s="4">
        <v>40457</v>
      </c>
      <c r="B6101" s="6">
        <v>85.01</v>
      </c>
    </row>
    <row r="6102" spans="1:2" x14ac:dyDescent="0.25">
      <c r="A6102" s="4">
        <v>40458</v>
      </c>
      <c r="B6102" s="6">
        <v>83.67</v>
      </c>
    </row>
    <row r="6103" spans="1:2" x14ac:dyDescent="0.25">
      <c r="A6103" s="4">
        <v>40459</v>
      </c>
      <c r="B6103" s="6">
        <v>83.88</v>
      </c>
    </row>
    <row r="6104" spans="1:2" x14ac:dyDescent="0.25">
      <c r="A6104" s="4">
        <v>40462</v>
      </c>
      <c r="B6104" s="6">
        <v>83.08</v>
      </c>
    </row>
    <row r="6105" spans="1:2" x14ac:dyDescent="0.25">
      <c r="A6105" s="4">
        <v>40463</v>
      </c>
      <c r="B6105" s="6">
        <v>82.99</v>
      </c>
    </row>
    <row r="6106" spans="1:2" x14ac:dyDescent="0.25">
      <c r="A6106" s="4">
        <v>40464</v>
      </c>
      <c r="B6106" s="6">
        <v>84.01</v>
      </c>
    </row>
    <row r="6107" spans="1:2" x14ac:dyDescent="0.25">
      <c r="A6107" s="4">
        <v>40465</v>
      </c>
      <c r="B6107" s="6">
        <v>83.55</v>
      </c>
    </row>
    <row r="6108" spans="1:2" x14ac:dyDescent="0.25">
      <c r="A6108" s="4">
        <v>40466</v>
      </c>
      <c r="B6108" s="6">
        <v>81.94</v>
      </c>
    </row>
    <row r="6109" spans="1:2" x14ac:dyDescent="0.25">
      <c r="A6109" s="4">
        <v>40469</v>
      </c>
      <c r="B6109" s="6">
        <v>82.3</v>
      </c>
    </row>
    <row r="6110" spans="1:2" x14ac:dyDescent="0.25">
      <c r="A6110" s="4">
        <v>40470</v>
      </c>
      <c r="B6110" s="6">
        <v>81.12</v>
      </c>
    </row>
    <row r="6111" spans="1:2" x14ac:dyDescent="0.25">
      <c r="A6111" s="4">
        <v>40471</v>
      </c>
      <c r="B6111" s="6">
        <v>81.680000000000007</v>
      </c>
    </row>
    <row r="6112" spans="1:2" x14ac:dyDescent="0.25">
      <c r="A6112" s="4">
        <v>40472</v>
      </c>
      <c r="B6112" s="6">
        <v>81.28</v>
      </c>
    </row>
    <row r="6113" spans="1:2" x14ac:dyDescent="0.25">
      <c r="A6113" s="4">
        <v>40473</v>
      </c>
      <c r="B6113" s="6">
        <v>80.75</v>
      </c>
    </row>
    <row r="6114" spans="1:2" x14ac:dyDescent="0.25">
      <c r="A6114" s="4">
        <v>40476</v>
      </c>
      <c r="B6114" s="6">
        <v>81.91</v>
      </c>
    </row>
    <row r="6115" spans="1:2" x14ac:dyDescent="0.25">
      <c r="A6115" s="4">
        <v>40477</v>
      </c>
      <c r="B6115" s="6">
        <v>82.62</v>
      </c>
    </row>
    <row r="6116" spans="1:2" x14ac:dyDescent="0.25">
      <c r="A6116" s="4">
        <v>40478</v>
      </c>
      <c r="B6116" s="6">
        <v>81.27</v>
      </c>
    </row>
    <row r="6117" spans="1:2" x14ac:dyDescent="0.25">
      <c r="A6117" s="4">
        <v>40479</v>
      </c>
      <c r="B6117" s="6">
        <v>82.97</v>
      </c>
    </row>
    <row r="6118" spans="1:2" x14ac:dyDescent="0.25">
      <c r="A6118" s="4">
        <v>40480</v>
      </c>
      <c r="B6118" s="6">
        <v>82.47</v>
      </c>
    </row>
    <row r="6119" spans="1:2" x14ac:dyDescent="0.25">
      <c r="A6119" s="4">
        <v>40483</v>
      </c>
      <c r="B6119" s="6">
        <v>84.06</v>
      </c>
    </row>
    <row r="6120" spans="1:2" x14ac:dyDescent="0.25">
      <c r="A6120" s="4">
        <v>40484</v>
      </c>
      <c r="B6120" s="6">
        <v>84.71</v>
      </c>
    </row>
    <row r="6121" spans="1:2" x14ac:dyDescent="0.25">
      <c r="A6121" s="4">
        <v>40485</v>
      </c>
      <c r="B6121" s="6">
        <v>85.33</v>
      </c>
    </row>
    <row r="6122" spans="1:2" x14ac:dyDescent="0.25">
      <c r="A6122" s="4">
        <v>40486</v>
      </c>
      <c r="B6122" s="6">
        <v>86.83</v>
      </c>
    </row>
    <row r="6123" spans="1:2" x14ac:dyDescent="0.25">
      <c r="A6123" s="4">
        <v>40487</v>
      </c>
      <c r="B6123" s="6">
        <v>87.05</v>
      </c>
    </row>
    <row r="6124" spans="1:2" x14ac:dyDescent="0.25">
      <c r="A6124" s="4">
        <v>40490</v>
      </c>
      <c r="B6124" s="6">
        <v>87.15</v>
      </c>
    </row>
    <row r="6125" spans="1:2" x14ac:dyDescent="0.25">
      <c r="A6125" s="4">
        <v>40491</v>
      </c>
      <c r="B6125" s="6">
        <v>87.93</v>
      </c>
    </row>
    <row r="6126" spans="1:2" x14ac:dyDescent="0.25">
      <c r="A6126" s="4">
        <v>40492</v>
      </c>
      <c r="B6126" s="6">
        <v>87.92</v>
      </c>
    </row>
    <row r="6127" spans="1:2" x14ac:dyDescent="0.25">
      <c r="A6127" s="4">
        <v>40493</v>
      </c>
      <c r="B6127" s="6">
        <v>88.08</v>
      </c>
    </row>
    <row r="6128" spans="1:2" x14ac:dyDescent="0.25">
      <c r="A6128" s="4">
        <v>40494</v>
      </c>
      <c r="B6128" s="6">
        <v>86.07</v>
      </c>
    </row>
    <row r="6129" spans="1:2" x14ac:dyDescent="0.25">
      <c r="A6129" s="4">
        <v>40497</v>
      </c>
      <c r="B6129" s="6">
        <v>85.49</v>
      </c>
    </row>
    <row r="6130" spans="1:2" x14ac:dyDescent="0.25">
      <c r="A6130" s="4">
        <v>40498</v>
      </c>
      <c r="B6130" s="6">
        <v>83.98</v>
      </c>
    </row>
    <row r="6131" spans="1:2" x14ac:dyDescent="0.25">
      <c r="A6131" s="4">
        <v>40499</v>
      </c>
      <c r="B6131" s="6">
        <v>83.36</v>
      </c>
    </row>
    <row r="6132" spans="1:2" x14ac:dyDescent="0.25">
      <c r="A6132" s="4">
        <v>40500</v>
      </c>
      <c r="B6132" s="6">
        <v>83.7</v>
      </c>
    </row>
    <row r="6133" spans="1:2" x14ac:dyDescent="0.25">
      <c r="A6133" s="4">
        <v>40501</v>
      </c>
      <c r="B6133" s="6">
        <v>83.17</v>
      </c>
    </row>
    <row r="6134" spans="1:2" x14ac:dyDescent="0.25">
      <c r="A6134" s="4">
        <v>40504</v>
      </c>
      <c r="B6134" s="6">
        <v>82.34</v>
      </c>
    </row>
    <row r="6135" spans="1:2" x14ac:dyDescent="0.25">
      <c r="A6135" s="4">
        <v>40505</v>
      </c>
      <c r="B6135" s="6">
        <v>82.37</v>
      </c>
    </row>
    <row r="6136" spans="1:2" x14ac:dyDescent="0.25">
      <c r="A6136" s="4">
        <v>40506</v>
      </c>
      <c r="B6136" s="6">
        <v>84.53</v>
      </c>
    </row>
    <row r="6137" spans="1:2" x14ac:dyDescent="0.25">
      <c r="A6137" s="4">
        <v>40507</v>
      </c>
      <c r="B6137" s="5"/>
    </row>
    <row r="6138" spans="1:2" x14ac:dyDescent="0.25">
      <c r="A6138" s="4">
        <v>40508</v>
      </c>
      <c r="B6138" s="6">
        <v>84.78</v>
      </c>
    </row>
    <row r="6139" spans="1:2" x14ac:dyDescent="0.25">
      <c r="A6139" s="4">
        <v>40511</v>
      </c>
      <c r="B6139" s="6">
        <v>85.9</v>
      </c>
    </row>
    <row r="6140" spans="1:2" x14ac:dyDescent="0.25">
      <c r="A6140" s="4">
        <v>40512</v>
      </c>
      <c r="B6140" s="6">
        <v>86.02</v>
      </c>
    </row>
    <row r="6141" spans="1:2" x14ac:dyDescent="0.25">
      <c r="A6141" s="4">
        <v>40513</v>
      </c>
      <c r="B6141" s="6">
        <v>88.56</v>
      </c>
    </row>
    <row r="6142" spans="1:2" x14ac:dyDescent="0.25">
      <c r="A6142" s="4">
        <v>40514</v>
      </c>
      <c r="B6142" s="6">
        <v>89.37</v>
      </c>
    </row>
    <row r="6143" spans="1:2" x14ac:dyDescent="0.25">
      <c r="A6143" s="4">
        <v>40515</v>
      </c>
      <c r="B6143" s="6">
        <v>90.65</v>
      </c>
    </row>
    <row r="6144" spans="1:2" x14ac:dyDescent="0.25">
      <c r="A6144" s="4">
        <v>40518</v>
      </c>
      <c r="B6144" s="6">
        <v>91.25</v>
      </c>
    </row>
    <row r="6145" spans="1:2" x14ac:dyDescent="0.25">
      <c r="A6145" s="4">
        <v>40519</v>
      </c>
      <c r="B6145" s="6">
        <v>90.78</v>
      </c>
    </row>
    <row r="6146" spans="1:2" x14ac:dyDescent="0.25">
      <c r="A6146" s="4">
        <v>40520</v>
      </c>
      <c r="B6146" s="6">
        <v>89.74</v>
      </c>
    </row>
    <row r="6147" spans="1:2" x14ac:dyDescent="0.25">
      <c r="A6147" s="4">
        <v>40521</v>
      </c>
      <c r="B6147" s="6">
        <v>89.93</v>
      </c>
    </row>
    <row r="6148" spans="1:2" x14ac:dyDescent="0.25">
      <c r="A6148" s="4">
        <v>40522</v>
      </c>
      <c r="B6148" s="6">
        <v>89.54</v>
      </c>
    </row>
    <row r="6149" spans="1:2" x14ac:dyDescent="0.25">
      <c r="A6149" s="4">
        <v>40525</v>
      </c>
      <c r="B6149" s="6">
        <v>90.4</v>
      </c>
    </row>
    <row r="6150" spans="1:2" x14ac:dyDescent="0.25">
      <c r="A6150" s="4">
        <v>40526</v>
      </c>
      <c r="B6150" s="6">
        <v>90.63</v>
      </c>
    </row>
    <row r="6151" spans="1:2" x14ac:dyDescent="0.25">
      <c r="A6151" s="4">
        <v>40527</v>
      </c>
      <c r="B6151" s="6">
        <v>91.33</v>
      </c>
    </row>
    <row r="6152" spans="1:2" x14ac:dyDescent="0.25">
      <c r="A6152" s="4">
        <v>40528</v>
      </c>
      <c r="B6152" s="6">
        <v>91.09</v>
      </c>
    </row>
    <row r="6153" spans="1:2" x14ac:dyDescent="0.25">
      <c r="A6153" s="4">
        <v>40529</v>
      </c>
      <c r="B6153" s="6">
        <v>91.11</v>
      </c>
    </row>
    <row r="6154" spans="1:2" x14ac:dyDescent="0.25">
      <c r="A6154" s="4">
        <v>40532</v>
      </c>
      <c r="B6154" s="6">
        <v>91.31</v>
      </c>
    </row>
    <row r="6155" spans="1:2" x14ac:dyDescent="0.25">
      <c r="A6155" s="4">
        <v>40533</v>
      </c>
      <c r="B6155" s="6">
        <v>93.11</v>
      </c>
    </row>
    <row r="6156" spans="1:2" x14ac:dyDescent="0.25">
      <c r="A6156" s="4">
        <v>40534</v>
      </c>
      <c r="B6156" s="6">
        <v>93.55</v>
      </c>
    </row>
    <row r="6157" spans="1:2" x14ac:dyDescent="0.25">
      <c r="A6157" s="4">
        <v>40535</v>
      </c>
      <c r="B6157" s="6">
        <v>93.63</v>
      </c>
    </row>
    <row r="6158" spans="1:2" x14ac:dyDescent="0.25">
      <c r="A6158" s="4">
        <v>40536</v>
      </c>
      <c r="B6158" s="5"/>
    </row>
    <row r="6159" spans="1:2" x14ac:dyDescent="0.25">
      <c r="A6159" s="4">
        <v>40539</v>
      </c>
      <c r="B6159" s="6">
        <v>93.08</v>
      </c>
    </row>
    <row r="6160" spans="1:2" x14ac:dyDescent="0.25">
      <c r="A6160" s="4">
        <v>40540</v>
      </c>
      <c r="B6160" s="6">
        <v>93.52</v>
      </c>
    </row>
    <row r="6161" spans="1:2" x14ac:dyDescent="0.25">
      <c r="A6161" s="4">
        <v>40541</v>
      </c>
      <c r="B6161" s="6">
        <v>93.52</v>
      </c>
    </row>
    <row r="6162" spans="1:2" x14ac:dyDescent="0.25">
      <c r="A6162" s="4">
        <v>40542</v>
      </c>
      <c r="B6162" s="6">
        <v>92.5</v>
      </c>
    </row>
    <row r="6163" spans="1:2" x14ac:dyDescent="0.25">
      <c r="A6163" s="4">
        <v>40543</v>
      </c>
      <c r="B6163" s="6">
        <v>93.23</v>
      </c>
    </row>
    <row r="6164" spans="1:2" x14ac:dyDescent="0.25">
      <c r="A6164" s="4">
        <v>40546</v>
      </c>
      <c r="B6164" s="6">
        <v>95.82</v>
      </c>
    </row>
    <row r="6165" spans="1:2" x14ac:dyDescent="0.25">
      <c r="A6165" s="4">
        <v>40547</v>
      </c>
      <c r="B6165" s="6">
        <v>93.52</v>
      </c>
    </row>
    <row r="6166" spans="1:2" x14ac:dyDescent="0.25">
      <c r="A6166" s="4">
        <v>40548</v>
      </c>
      <c r="B6166" s="6">
        <v>95.07</v>
      </c>
    </row>
    <row r="6167" spans="1:2" x14ac:dyDescent="0.25">
      <c r="A6167" s="4">
        <v>40549</v>
      </c>
      <c r="B6167" s="6">
        <v>94.95</v>
      </c>
    </row>
    <row r="6168" spans="1:2" x14ac:dyDescent="0.25">
      <c r="A6168" s="4">
        <v>40550</v>
      </c>
      <c r="B6168" s="6">
        <v>94.25</v>
      </c>
    </row>
    <row r="6169" spans="1:2" x14ac:dyDescent="0.25">
      <c r="A6169" s="4">
        <v>40553</v>
      </c>
      <c r="B6169" s="6">
        <v>95.05</v>
      </c>
    </row>
    <row r="6170" spans="1:2" x14ac:dyDescent="0.25">
      <c r="A6170" s="4">
        <v>40554</v>
      </c>
      <c r="B6170" s="6">
        <v>96.8</v>
      </c>
    </row>
    <row r="6171" spans="1:2" x14ac:dyDescent="0.25">
      <c r="A6171" s="4">
        <v>40555</v>
      </c>
      <c r="B6171" s="6">
        <v>97.86</v>
      </c>
    </row>
    <row r="6172" spans="1:2" x14ac:dyDescent="0.25">
      <c r="A6172" s="4">
        <v>40556</v>
      </c>
      <c r="B6172" s="6">
        <v>97.86</v>
      </c>
    </row>
    <row r="6173" spans="1:2" x14ac:dyDescent="0.25">
      <c r="A6173" s="4">
        <v>40557</v>
      </c>
      <c r="B6173" s="6">
        <v>97.86</v>
      </c>
    </row>
    <row r="6174" spans="1:2" x14ac:dyDescent="0.25">
      <c r="A6174" s="4">
        <v>40560</v>
      </c>
      <c r="B6174" s="5"/>
    </row>
    <row r="6175" spans="1:2" x14ac:dyDescent="0.25">
      <c r="A6175" s="4">
        <v>40561</v>
      </c>
      <c r="B6175" s="6">
        <v>97.83</v>
      </c>
    </row>
    <row r="6176" spans="1:2" x14ac:dyDescent="0.25">
      <c r="A6176" s="4">
        <v>40562</v>
      </c>
      <c r="B6176" s="6">
        <v>98.42</v>
      </c>
    </row>
    <row r="6177" spans="1:2" x14ac:dyDescent="0.25">
      <c r="A6177" s="4">
        <v>40563</v>
      </c>
      <c r="B6177" s="6">
        <v>96.27</v>
      </c>
    </row>
    <row r="6178" spans="1:2" x14ac:dyDescent="0.25">
      <c r="A6178" s="4">
        <v>40564</v>
      </c>
      <c r="B6178" s="6">
        <v>96.84</v>
      </c>
    </row>
    <row r="6179" spans="1:2" x14ac:dyDescent="0.25">
      <c r="A6179" s="4">
        <v>40567</v>
      </c>
      <c r="B6179" s="6">
        <v>96.76</v>
      </c>
    </row>
    <row r="6180" spans="1:2" x14ac:dyDescent="0.25">
      <c r="A6180" s="4">
        <v>40568</v>
      </c>
      <c r="B6180" s="6">
        <v>96.76</v>
      </c>
    </row>
    <row r="6181" spans="1:2" x14ac:dyDescent="0.25">
      <c r="A6181" s="4">
        <v>40569</v>
      </c>
      <c r="B6181" s="6">
        <v>96.04</v>
      </c>
    </row>
    <row r="6182" spans="1:2" x14ac:dyDescent="0.25">
      <c r="A6182" s="4">
        <v>40570</v>
      </c>
      <c r="B6182" s="6">
        <v>96.48</v>
      </c>
    </row>
    <row r="6183" spans="1:2" x14ac:dyDescent="0.25">
      <c r="A6183" s="4">
        <v>40571</v>
      </c>
      <c r="B6183" s="6">
        <v>97.06</v>
      </c>
    </row>
    <row r="6184" spans="1:2" x14ac:dyDescent="0.25">
      <c r="A6184" s="4">
        <v>40574</v>
      </c>
      <c r="B6184" s="6">
        <v>98.97</v>
      </c>
    </row>
    <row r="6185" spans="1:2" x14ac:dyDescent="0.25">
      <c r="A6185" s="4">
        <v>40575</v>
      </c>
      <c r="B6185" s="6">
        <v>100.4</v>
      </c>
    </row>
    <row r="6186" spans="1:2" x14ac:dyDescent="0.25">
      <c r="A6186" s="4">
        <v>40576</v>
      </c>
      <c r="B6186" s="6">
        <v>101.3</v>
      </c>
    </row>
    <row r="6187" spans="1:2" x14ac:dyDescent="0.25">
      <c r="A6187" s="4">
        <v>40577</v>
      </c>
      <c r="B6187" s="6">
        <v>101.69</v>
      </c>
    </row>
    <row r="6188" spans="1:2" x14ac:dyDescent="0.25">
      <c r="A6188" s="4">
        <v>40578</v>
      </c>
      <c r="B6188" s="6">
        <v>99.43</v>
      </c>
    </row>
    <row r="6189" spans="1:2" x14ac:dyDescent="0.25">
      <c r="A6189" s="4">
        <v>40581</v>
      </c>
      <c r="B6189" s="6">
        <v>99.44</v>
      </c>
    </row>
    <row r="6190" spans="1:2" x14ac:dyDescent="0.25">
      <c r="A6190" s="4">
        <v>40582</v>
      </c>
      <c r="B6190" s="6">
        <v>99.25</v>
      </c>
    </row>
    <row r="6191" spans="1:2" x14ac:dyDescent="0.25">
      <c r="A6191" s="4">
        <v>40583</v>
      </c>
      <c r="B6191" s="6">
        <v>100.16</v>
      </c>
    </row>
    <row r="6192" spans="1:2" x14ac:dyDescent="0.25">
      <c r="A6192" s="4">
        <v>40584</v>
      </c>
      <c r="B6192" s="6">
        <v>100.74</v>
      </c>
    </row>
    <row r="6193" spans="1:2" x14ac:dyDescent="0.25">
      <c r="A6193" s="4">
        <v>40585</v>
      </c>
      <c r="B6193" s="6">
        <v>99.93</v>
      </c>
    </row>
    <row r="6194" spans="1:2" x14ac:dyDescent="0.25">
      <c r="A6194" s="4">
        <v>40588</v>
      </c>
      <c r="B6194" s="6">
        <v>103.12</v>
      </c>
    </row>
    <row r="6195" spans="1:2" x14ac:dyDescent="0.25">
      <c r="A6195" s="4">
        <v>40589</v>
      </c>
      <c r="B6195" s="6">
        <v>102.48</v>
      </c>
    </row>
    <row r="6196" spans="1:2" x14ac:dyDescent="0.25">
      <c r="A6196" s="4">
        <v>40590</v>
      </c>
      <c r="B6196" s="6">
        <v>102.78</v>
      </c>
    </row>
    <row r="6197" spans="1:2" x14ac:dyDescent="0.25">
      <c r="A6197" s="4">
        <v>40591</v>
      </c>
      <c r="B6197" s="6">
        <v>103.45</v>
      </c>
    </row>
    <row r="6198" spans="1:2" x14ac:dyDescent="0.25">
      <c r="A6198" s="4">
        <v>40592</v>
      </c>
      <c r="B6198" s="6">
        <v>102.2</v>
      </c>
    </row>
    <row r="6199" spans="1:2" x14ac:dyDescent="0.25">
      <c r="A6199" s="4">
        <v>40595</v>
      </c>
      <c r="B6199" s="5"/>
    </row>
    <row r="6200" spans="1:2" x14ac:dyDescent="0.25">
      <c r="A6200" s="4">
        <v>40596</v>
      </c>
      <c r="B6200" s="6">
        <v>106.82</v>
      </c>
    </row>
    <row r="6201" spans="1:2" x14ac:dyDescent="0.25">
      <c r="A6201" s="4">
        <v>40597</v>
      </c>
      <c r="B6201" s="6">
        <v>109.77</v>
      </c>
    </row>
    <row r="6202" spans="1:2" x14ac:dyDescent="0.25">
      <c r="A6202" s="4">
        <v>40598</v>
      </c>
      <c r="B6202" s="6">
        <v>113.91</v>
      </c>
    </row>
    <row r="6203" spans="1:2" x14ac:dyDescent="0.25">
      <c r="A6203" s="4">
        <v>40599</v>
      </c>
      <c r="B6203" s="6">
        <v>111.47</v>
      </c>
    </row>
    <row r="6204" spans="1:2" x14ac:dyDescent="0.25">
      <c r="A6204" s="4">
        <v>40602</v>
      </c>
      <c r="B6204" s="6">
        <v>112.27</v>
      </c>
    </row>
    <row r="6205" spans="1:2" x14ac:dyDescent="0.25">
      <c r="A6205" s="4">
        <v>40603</v>
      </c>
      <c r="B6205" s="6">
        <v>113.34</v>
      </c>
    </row>
    <row r="6206" spans="1:2" x14ac:dyDescent="0.25">
      <c r="A6206" s="4">
        <v>40604</v>
      </c>
      <c r="B6206" s="6">
        <v>116.89</v>
      </c>
    </row>
    <row r="6207" spans="1:2" x14ac:dyDescent="0.25">
      <c r="A6207" s="4">
        <v>40605</v>
      </c>
      <c r="B6207" s="6">
        <v>114.42</v>
      </c>
    </row>
    <row r="6208" spans="1:2" x14ac:dyDescent="0.25">
      <c r="A6208" s="4">
        <v>40606</v>
      </c>
      <c r="B6208" s="6">
        <v>115.71</v>
      </c>
    </row>
    <row r="6209" spans="1:2" x14ac:dyDescent="0.25">
      <c r="A6209" s="4">
        <v>40609</v>
      </c>
      <c r="B6209" s="6">
        <v>116.58</v>
      </c>
    </row>
    <row r="6210" spans="1:2" x14ac:dyDescent="0.25">
      <c r="A6210" s="4">
        <v>40610</v>
      </c>
      <c r="B6210" s="6">
        <v>112.32</v>
      </c>
    </row>
    <row r="6211" spans="1:2" x14ac:dyDescent="0.25">
      <c r="A6211" s="4">
        <v>40611</v>
      </c>
      <c r="B6211" s="6">
        <v>115.19</v>
      </c>
    </row>
    <row r="6212" spans="1:2" x14ac:dyDescent="0.25">
      <c r="A6212" s="4">
        <v>40612</v>
      </c>
      <c r="B6212" s="6">
        <v>114.07</v>
      </c>
    </row>
    <row r="6213" spans="1:2" x14ac:dyDescent="0.25">
      <c r="A6213" s="4">
        <v>40613</v>
      </c>
      <c r="B6213" s="6">
        <v>114.07</v>
      </c>
    </row>
    <row r="6214" spans="1:2" x14ac:dyDescent="0.25">
      <c r="A6214" s="4">
        <v>40616</v>
      </c>
      <c r="B6214" s="6">
        <v>112.95</v>
      </c>
    </row>
    <row r="6215" spans="1:2" x14ac:dyDescent="0.25">
      <c r="A6215" s="4">
        <v>40617</v>
      </c>
      <c r="B6215" s="6">
        <v>111.11</v>
      </c>
    </row>
    <row r="6216" spans="1:2" x14ac:dyDescent="0.25">
      <c r="A6216" s="4">
        <v>40618</v>
      </c>
      <c r="B6216" s="6">
        <v>110.96</v>
      </c>
    </row>
    <row r="6217" spans="1:2" x14ac:dyDescent="0.25">
      <c r="A6217" s="4">
        <v>40619</v>
      </c>
      <c r="B6217" s="6">
        <v>114.18</v>
      </c>
    </row>
    <row r="6218" spans="1:2" x14ac:dyDescent="0.25">
      <c r="A6218" s="4">
        <v>40620</v>
      </c>
      <c r="B6218" s="6">
        <v>114.13</v>
      </c>
    </row>
    <row r="6219" spans="1:2" x14ac:dyDescent="0.25">
      <c r="A6219" s="4">
        <v>40623</v>
      </c>
      <c r="B6219" s="6">
        <v>114.92</v>
      </c>
    </row>
    <row r="6220" spans="1:2" x14ac:dyDescent="0.25">
      <c r="A6220" s="4">
        <v>40624</v>
      </c>
      <c r="B6220" s="6">
        <v>115.63</v>
      </c>
    </row>
    <row r="6221" spans="1:2" x14ac:dyDescent="0.25">
      <c r="A6221" s="4">
        <v>40625</v>
      </c>
      <c r="B6221" s="6">
        <v>115.65</v>
      </c>
    </row>
    <row r="6222" spans="1:2" x14ac:dyDescent="0.25">
      <c r="A6222" s="4">
        <v>40626</v>
      </c>
      <c r="B6222" s="6">
        <v>115.41</v>
      </c>
    </row>
    <row r="6223" spans="1:2" x14ac:dyDescent="0.25">
      <c r="A6223" s="4">
        <v>40627</v>
      </c>
      <c r="B6223" s="6">
        <v>115.45</v>
      </c>
    </row>
    <row r="6224" spans="1:2" x14ac:dyDescent="0.25">
      <c r="A6224" s="4">
        <v>40630</v>
      </c>
      <c r="B6224" s="6">
        <v>115.95</v>
      </c>
    </row>
    <row r="6225" spans="1:2" x14ac:dyDescent="0.25">
      <c r="A6225" s="4">
        <v>40631</v>
      </c>
      <c r="B6225" s="6">
        <v>115.58</v>
      </c>
    </row>
    <row r="6226" spans="1:2" x14ac:dyDescent="0.25">
      <c r="A6226" s="4">
        <v>40632</v>
      </c>
      <c r="B6226" s="6">
        <v>115.35</v>
      </c>
    </row>
    <row r="6227" spans="1:2" x14ac:dyDescent="0.25">
      <c r="A6227" s="4">
        <v>40633</v>
      </c>
      <c r="B6227" s="6">
        <v>116.94</v>
      </c>
    </row>
    <row r="6228" spans="1:2" x14ac:dyDescent="0.25">
      <c r="A6228" s="4">
        <v>40634</v>
      </c>
      <c r="B6228" s="6">
        <v>118.63</v>
      </c>
    </row>
    <row r="6229" spans="1:2" x14ac:dyDescent="0.25">
      <c r="A6229" s="4">
        <v>40637</v>
      </c>
      <c r="B6229" s="6">
        <v>120.07</v>
      </c>
    </row>
    <row r="6230" spans="1:2" x14ac:dyDescent="0.25">
      <c r="A6230" s="4">
        <v>40638</v>
      </c>
      <c r="B6230" s="6">
        <v>122.87</v>
      </c>
    </row>
    <row r="6231" spans="1:2" x14ac:dyDescent="0.25">
      <c r="A6231" s="4">
        <v>40639</v>
      </c>
      <c r="B6231" s="6">
        <v>123.01</v>
      </c>
    </row>
    <row r="6232" spans="1:2" x14ac:dyDescent="0.25">
      <c r="A6232" s="4">
        <v>40640</v>
      </c>
      <c r="B6232" s="6">
        <v>122.9</v>
      </c>
    </row>
    <row r="6233" spans="1:2" x14ac:dyDescent="0.25">
      <c r="A6233" s="4">
        <v>40641</v>
      </c>
      <c r="B6233" s="6">
        <v>126.3</v>
      </c>
    </row>
    <row r="6234" spans="1:2" x14ac:dyDescent="0.25">
      <c r="A6234" s="4">
        <v>40644</v>
      </c>
      <c r="B6234" s="6">
        <v>126.46</v>
      </c>
    </row>
    <row r="6235" spans="1:2" x14ac:dyDescent="0.25">
      <c r="A6235" s="4">
        <v>40645</v>
      </c>
      <c r="B6235" s="6">
        <v>121.33</v>
      </c>
    </row>
    <row r="6236" spans="1:2" x14ac:dyDescent="0.25">
      <c r="A6236" s="4">
        <v>40646</v>
      </c>
      <c r="B6236" s="6">
        <v>122.7</v>
      </c>
    </row>
    <row r="6237" spans="1:2" x14ac:dyDescent="0.25">
      <c r="A6237" s="4">
        <v>40647</v>
      </c>
      <c r="B6237" s="6">
        <v>122.74</v>
      </c>
    </row>
    <row r="6238" spans="1:2" x14ac:dyDescent="0.25">
      <c r="A6238" s="4">
        <v>40648</v>
      </c>
      <c r="B6238" s="6">
        <v>124.63</v>
      </c>
    </row>
    <row r="6239" spans="1:2" x14ac:dyDescent="0.25">
      <c r="A6239" s="4">
        <v>40651</v>
      </c>
      <c r="B6239" s="6">
        <v>121.69</v>
      </c>
    </row>
    <row r="6240" spans="1:2" x14ac:dyDescent="0.25">
      <c r="A6240" s="4">
        <v>40652</v>
      </c>
      <c r="B6240" s="6">
        <v>121.35</v>
      </c>
    </row>
    <row r="6241" spans="1:2" x14ac:dyDescent="0.25">
      <c r="A6241" s="4">
        <v>40653</v>
      </c>
      <c r="B6241" s="6">
        <v>124.26</v>
      </c>
    </row>
    <row r="6242" spans="1:2" x14ac:dyDescent="0.25">
      <c r="A6242" s="4">
        <v>40654</v>
      </c>
      <c r="B6242" s="6">
        <v>123.64</v>
      </c>
    </row>
    <row r="6243" spans="1:2" x14ac:dyDescent="0.25">
      <c r="A6243" s="4">
        <v>40655</v>
      </c>
      <c r="B6243" s="5"/>
    </row>
    <row r="6244" spans="1:2" x14ac:dyDescent="0.25">
      <c r="A6244" s="4">
        <v>40658</v>
      </c>
      <c r="B6244" s="5"/>
    </row>
    <row r="6245" spans="1:2" x14ac:dyDescent="0.25">
      <c r="A6245" s="4">
        <v>40659</v>
      </c>
      <c r="B6245" s="6">
        <v>124.55</v>
      </c>
    </row>
    <row r="6246" spans="1:2" x14ac:dyDescent="0.25">
      <c r="A6246" s="4">
        <v>40660</v>
      </c>
      <c r="B6246" s="6">
        <v>124.94</v>
      </c>
    </row>
    <row r="6247" spans="1:2" x14ac:dyDescent="0.25">
      <c r="A6247" s="4">
        <v>40661</v>
      </c>
      <c r="B6247" s="6">
        <v>126.59</v>
      </c>
    </row>
    <row r="6248" spans="1:2" x14ac:dyDescent="0.25">
      <c r="A6248" s="4">
        <v>40662</v>
      </c>
      <c r="B6248" s="5"/>
    </row>
    <row r="6249" spans="1:2" x14ac:dyDescent="0.25">
      <c r="A6249" s="4">
        <v>40665</v>
      </c>
      <c r="B6249" s="6">
        <v>126.64</v>
      </c>
    </row>
    <row r="6250" spans="1:2" x14ac:dyDescent="0.25">
      <c r="A6250" s="4">
        <v>40666</v>
      </c>
      <c r="B6250" s="6">
        <v>124.01</v>
      </c>
    </row>
    <row r="6251" spans="1:2" x14ac:dyDescent="0.25">
      <c r="A6251" s="4">
        <v>40667</v>
      </c>
      <c r="B6251" s="6">
        <v>121.55</v>
      </c>
    </row>
    <row r="6252" spans="1:2" x14ac:dyDescent="0.25">
      <c r="A6252" s="4">
        <v>40668</v>
      </c>
      <c r="B6252" s="6">
        <v>111.93</v>
      </c>
    </row>
    <row r="6253" spans="1:2" x14ac:dyDescent="0.25">
      <c r="A6253" s="4">
        <v>40669</v>
      </c>
      <c r="B6253" s="6">
        <v>113.69</v>
      </c>
    </row>
    <row r="6254" spans="1:2" x14ac:dyDescent="0.25">
      <c r="A6254" s="4">
        <v>40672</v>
      </c>
      <c r="B6254" s="6">
        <v>113.21</v>
      </c>
    </row>
    <row r="6255" spans="1:2" x14ac:dyDescent="0.25">
      <c r="A6255" s="4">
        <v>40673</v>
      </c>
      <c r="B6255" s="6">
        <v>117.82</v>
      </c>
    </row>
    <row r="6256" spans="1:2" x14ac:dyDescent="0.25">
      <c r="A6256" s="4">
        <v>40674</v>
      </c>
      <c r="B6256" s="6">
        <v>115.66</v>
      </c>
    </row>
    <row r="6257" spans="1:2" x14ac:dyDescent="0.25">
      <c r="A6257" s="4">
        <v>40675</v>
      </c>
      <c r="B6257" s="6">
        <v>112.87</v>
      </c>
    </row>
    <row r="6258" spans="1:2" x14ac:dyDescent="0.25">
      <c r="A6258" s="4">
        <v>40676</v>
      </c>
      <c r="B6258" s="6">
        <v>113.08</v>
      </c>
    </row>
    <row r="6259" spans="1:2" x14ac:dyDescent="0.25">
      <c r="A6259" s="4">
        <v>40679</v>
      </c>
      <c r="B6259" s="6">
        <v>113.72</v>
      </c>
    </row>
    <row r="6260" spans="1:2" x14ac:dyDescent="0.25">
      <c r="A6260" s="4">
        <v>40680</v>
      </c>
      <c r="B6260" s="6">
        <v>109.39</v>
      </c>
    </row>
    <row r="6261" spans="1:2" x14ac:dyDescent="0.25">
      <c r="A6261" s="4">
        <v>40681</v>
      </c>
      <c r="B6261" s="6">
        <v>112.54</v>
      </c>
    </row>
    <row r="6262" spans="1:2" x14ac:dyDescent="0.25">
      <c r="A6262" s="4">
        <v>40682</v>
      </c>
      <c r="B6262" s="6">
        <v>113.2</v>
      </c>
    </row>
    <row r="6263" spans="1:2" x14ac:dyDescent="0.25">
      <c r="A6263" s="4">
        <v>40683</v>
      </c>
      <c r="B6263" s="6">
        <v>111.25</v>
      </c>
    </row>
    <row r="6264" spans="1:2" x14ac:dyDescent="0.25">
      <c r="A6264" s="4">
        <v>40686</v>
      </c>
      <c r="B6264" s="6">
        <v>110.13</v>
      </c>
    </row>
    <row r="6265" spans="1:2" x14ac:dyDescent="0.25">
      <c r="A6265" s="4">
        <v>40687</v>
      </c>
      <c r="B6265" s="6">
        <v>112.52</v>
      </c>
    </row>
    <row r="6266" spans="1:2" x14ac:dyDescent="0.25">
      <c r="A6266" s="4">
        <v>40688</v>
      </c>
      <c r="B6266" s="6">
        <v>114.47</v>
      </c>
    </row>
    <row r="6267" spans="1:2" x14ac:dyDescent="0.25">
      <c r="A6267" s="4">
        <v>40689</v>
      </c>
      <c r="B6267" s="6">
        <v>115.06</v>
      </c>
    </row>
    <row r="6268" spans="1:2" x14ac:dyDescent="0.25">
      <c r="A6268" s="4">
        <v>40690</v>
      </c>
      <c r="B6268" s="6">
        <v>114.85</v>
      </c>
    </row>
    <row r="6269" spans="1:2" x14ac:dyDescent="0.25">
      <c r="A6269" s="4">
        <v>40693</v>
      </c>
      <c r="B6269" s="5"/>
    </row>
    <row r="6270" spans="1:2" x14ac:dyDescent="0.25">
      <c r="A6270" s="4">
        <v>40694</v>
      </c>
      <c r="B6270" s="6">
        <v>117.18</v>
      </c>
    </row>
    <row r="6271" spans="1:2" x14ac:dyDescent="0.25">
      <c r="A6271" s="4">
        <v>40695</v>
      </c>
      <c r="B6271" s="6">
        <v>116.15</v>
      </c>
    </row>
    <row r="6272" spans="1:2" x14ac:dyDescent="0.25">
      <c r="A6272" s="4">
        <v>40696</v>
      </c>
      <c r="B6272" s="6">
        <v>114.3</v>
      </c>
    </row>
    <row r="6273" spans="1:2" x14ac:dyDescent="0.25">
      <c r="A6273" s="4">
        <v>40697</v>
      </c>
      <c r="B6273" s="6">
        <v>115.09</v>
      </c>
    </row>
    <row r="6274" spans="1:2" x14ac:dyDescent="0.25">
      <c r="A6274" s="4">
        <v>40700</v>
      </c>
      <c r="B6274" s="6">
        <v>115.4</v>
      </c>
    </row>
    <row r="6275" spans="1:2" x14ac:dyDescent="0.25">
      <c r="A6275" s="4">
        <v>40701</v>
      </c>
      <c r="B6275" s="6">
        <v>116.14</v>
      </c>
    </row>
    <row r="6276" spans="1:2" x14ac:dyDescent="0.25">
      <c r="A6276" s="4">
        <v>40702</v>
      </c>
      <c r="B6276" s="6">
        <v>118.43</v>
      </c>
    </row>
    <row r="6277" spans="1:2" x14ac:dyDescent="0.25">
      <c r="A6277" s="4">
        <v>40703</v>
      </c>
      <c r="B6277" s="6">
        <v>119.95</v>
      </c>
    </row>
    <row r="6278" spans="1:2" x14ac:dyDescent="0.25">
      <c r="A6278" s="4">
        <v>40704</v>
      </c>
      <c r="B6278" s="6">
        <v>118.71</v>
      </c>
    </row>
    <row r="6279" spans="1:2" x14ac:dyDescent="0.25">
      <c r="A6279" s="4">
        <v>40707</v>
      </c>
      <c r="B6279" s="6">
        <v>120.49</v>
      </c>
    </row>
    <row r="6280" spans="1:2" x14ac:dyDescent="0.25">
      <c r="A6280" s="4">
        <v>40708</v>
      </c>
      <c r="B6280" s="6">
        <v>120.35</v>
      </c>
    </row>
    <row r="6281" spans="1:2" x14ac:dyDescent="0.25">
      <c r="A6281" s="4">
        <v>40709</v>
      </c>
      <c r="B6281" s="6">
        <v>114.67</v>
      </c>
    </row>
    <row r="6282" spans="1:2" x14ac:dyDescent="0.25">
      <c r="A6282" s="4">
        <v>40710</v>
      </c>
      <c r="B6282" s="6">
        <v>114.69</v>
      </c>
    </row>
    <row r="6283" spans="1:2" x14ac:dyDescent="0.25">
      <c r="A6283" s="4">
        <v>40711</v>
      </c>
      <c r="B6283" s="6">
        <v>113.74</v>
      </c>
    </row>
    <row r="6284" spans="1:2" x14ac:dyDescent="0.25">
      <c r="A6284" s="4">
        <v>40714</v>
      </c>
      <c r="B6284" s="6">
        <v>112.21</v>
      </c>
    </row>
    <row r="6285" spans="1:2" x14ac:dyDescent="0.25">
      <c r="A6285" s="4">
        <v>40715</v>
      </c>
      <c r="B6285" s="6">
        <v>112.02</v>
      </c>
    </row>
    <row r="6286" spans="1:2" x14ac:dyDescent="0.25">
      <c r="A6286" s="4">
        <v>40716</v>
      </c>
      <c r="B6286" s="6">
        <v>113.59</v>
      </c>
    </row>
    <row r="6287" spans="1:2" x14ac:dyDescent="0.25">
      <c r="A6287" s="4">
        <v>40717</v>
      </c>
      <c r="B6287" s="6">
        <v>108.27</v>
      </c>
    </row>
    <row r="6288" spans="1:2" x14ac:dyDescent="0.25">
      <c r="A6288" s="4">
        <v>40718</v>
      </c>
      <c r="B6288" s="6">
        <v>104.79</v>
      </c>
    </row>
    <row r="6289" spans="1:2" x14ac:dyDescent="0.25">
      <c r="A6289" s="4">
        <v>40721</v>
      </c>
      <c r="B6289" s="6">
        <v>104.57</v>
      </c>
    </row>
    <row r="6290" spans="1:2" x14ac:dyDescent="0.25">
      <c r="A6290" s="4">
        <v>40722</v>
      </c>
      <c r="B6290" s="6">
        <v>107.57</v>
      </c>
    </row>
    <row r="6291" spans="1:2" x14ac:dyDescent="0.25">
      <c r="A6291" s="4">
        <v>40723</v>
      </c>
      <c r="B6291" s="6">
        <v>111.49</v>
      </c>
    </row>
    <row r="6292" spans="1:2" x14ac:dyDescent="0.25">
      <c r="A6292" s="4">
        <v>40724</v>
      </c>
      <c r="B6292" s="6">
        <v>111.71</v>
      </c>
    </row>
    <row r="6293" spans="1:2" x14ac:dyDescent="0.25">
      <c r="A6293" s="4">
        <v>40725</v>
      </c>
      <c r="B6293" s="6">
        <v>109.82</v>
      </c>
    </row>
    <row r="6294" spans="1:2" x14ac:dyDescent="0.25">
      <c r="A6294" s="4">
        <v>40728</v>
      </c>
      <c r="B6294" s="5"/>
    </row>
    <row r="6295" spans="1:2" x14ac:dyDescent="0.25">
      <c r="A6295" s="4">
        <v>40729</v>
      </c>
      <c r="B6295" s="6">
        <v>113.21</v>
      </c>
    </row>
    <row r="6296" spans="1:2" x14ac:dyDescent="0.25">
      <c r="A6296" s="4">
        <v>40730</v>
      </c>
      <c r="B6296" s="6">
        <v>113.55</v>
      </c>
    </row>
    <row r="6297" spans="1:2" x14ac:dyDescent="0.25">
      <c r="A6297" s="4">
        <v>40731</v>
      </c>
      <c r="B6297" s="6">
        <v>117.4</v>
      </c>
    </row>
    <row r="6298" spans="1:2" x14ac:dyDescent="0.25">
      <c r="A6298" s="4">
        <v>40732</v>
      </c>
      <c r="B6298" s="6">
        <v>117.4</v>
      </c>
    </row>
    <row r="6299" spans="1:2" x14ac:dyDescent="0.25">
      <c r="A6299" s="4">
        <v>40735</v>
      </c>
      <c r="B6299" s="6">
        <v>117.35</v>
      </c>
    </row>
    <row r="6300" spans="1:2" x14ac:dyDescent="0.25">
      <c r="A6300" s="4">
        <v>40736</v>
      </c>
      <c r="B6300" s="6">
        <v>117.36</v>
      </c>
    </row>
    <row r="6301" spans="1:2" x14ac:dyDescent="0.25">
      <c r="A6301" s="4">
        <v>40737</v>
      </c>
      <c r="B6301" s="6">
        <v>118.46</v>
      </c>
    </row>
    <row r="6302" spans="1:2" x14ac:dyDescent="0.25">
      <c r="A6302" s="4">
        <v>40738</v>
      </c>
      <c r="B6302" s="6">
        <v>117.38</v>
      </c>
    </row>
    <row r="6303" spans="1:2" x14ac:dyDescent="0.25">
      <c r="A6303" s="4">
        <v>40739</v>
      </c>
      <c r="B6303" s="6">
        <v>118.06</v>
      </c>
    </row>
    <row r="6304" spans="1:2" x14ac:dyDescent="0.25">
      <c r="A6304" s="4">
        <v>40742</v>
      </c>
      <c r="B6304" s="6">
        <v>117.05</v>
      </c>
    </row>
    <row r="6305" spans="1:2" x14ac:dyDescent="0.25">
      <c r="A6305" s="4">
        <v>40743</v>
      </c>
      <c r="B6305" s="6">
        <v>118.18</v>
      </c>
    </row>
    <row r="6306" spans="1:2" x14ac:dyDescent="0.25">
      <c r="A6306" s="4">
        <v>40744</v>
      </c>
      <c r="B6306" s="6">
        <v>118.52</v>
      </c>
    </row>
    <row r="6307" spans="1:2" x14ac:dyDescent="0.25">
      <c r="A6307" s="4">
        <v>40745</v>
      </c>
      <c r="B6307" s="6">
        <v>118.25</v>
      </c>
    </row>
    <row r="6308" spans="1:2" x14ac:dyDescent="0.25">
      <c r="A6308" s="4">
        <v>40746</v>
      </c>
      <c r="B6308" s="6">
        <v>118.99</v>
      </c>
    </row>
    <row r="6309" spans="1:2" x14ac:dyDescent="0.25">
      <c r="A6309" s="4">
        <v>40749</v>
      </c>
      <c r="B6309" s="6">
        <v>118.27</v>
      </c>
    </row>
    <row r="6310" spans="1:2" x14ac:dyDescent="0.25">
      <c r="A6310" s="4">
        <v>40750</v>
      </c>
      <c r="B6310" s="6">
        <v>118.14</v>
      </c>
    </row>
    <row r="6311" spans="1:2" x14ac:dyDescent="0.25">
      <c r="A6311" s="4">
        <v>40751</v>
      </c>
      <c r="B6311" s="6">
        <v>117.99</v>
      </c>
    </row>
    <row r="6312" spans="1:2" x14ac:dyDescent="0.25">
      <c r="A6312" s="4">
        <v>40752</v>
      </c>
      <c r="B6312" s="6">
        <v>118.16</v>
      </c>
    </row>
    <row r="6313" spans="1:2" x14ac:dyDescent="0.25">
      <c r="A6313" s="4">
        <v>40753</v>
      </c>
      <c r="B6313" s="6">
        <v>115.93</v>
      </c>
    </row>
    <row r="6314" spans="1:2" x14ac:dyDescent="0.25">
      <c r="A6314" s="4">
        <v>40756</v>
      </c>
      <c r="B6314" s="6">
        <v>116.37</v>
      </c>
    </row>
    <row r="6315" spans="1:2" x14ac:dyDescent="0.25">
      <c r="A6315" s="4">
        <v>40757</v>
      </c>
      <c r="B6315" s="6">
        <v>116.02</v>
      </c>
    </row>
    <row r="6316" spans="1:2" x14ac:dyDescent="0.25">
      <c r="A6316" s="4">
        <v>40758</v>
      </c>
      <c r="B6316" s="6">
        <v>113.74</v>
      </c>
    </row>
    <row r="6317" spans="1:2" x14ac:dyDescent="0.25">
      <c r="A6317" s="4">
        <v>40759</v>
      </c>
      <c r="B6317" s="6">
        <v>110.22</v>
      </c>
    </row>
    <row r="6318" spans="1:2" x14ac:dyDescent="0.25">
      <c r="A6318" s="4">
        <v>40760</v>
      </c>
      <c r="B6318" s="6">
        <v>106.92</v>
      </c>
    </row>
    <row r="6319" spans="1:2" x14ac:dyDescent="0.25">
      <c r="A6319" s="4">
        <v>40763</v>
      </c>
      <c r="B6319" s="6">
        <v>103.06</v>
      </c>
    </row>
    <row r="6320" spans="1:2" x14ac:dyDescent="0.25">
      <c r="A6320" s="4">
        <v>40764</v>
      </c>
      <c r="B6320" s="6">
        <v>103.63</v>
      </c>
    </row>
    <row r="6321" spans="1:2" x14ac:dyDescent="0.25">
      <c r="A6321" s="4">
        <v>40765</v>
      </c>
      <c r="B6321" s="6">
        <v>103.84</v>
      </c>
    </row>
    <row r="6322" spans="1:2" x14ac:dyDescent="0.25">
      <c r="A6322" s="4">
        <v>40766</v>
      </c>
      <c r="B6322" s="6">
        <v>107.82</v>
      </c>
    </row>
    <row r="6323" spans="1:2" x14ac:dyDescent="0.25">
      <c r="A6323" s="4">
        <v>40767</v>
      </c>
      <c r="B6323" s="6">
        <v>108.17</v>
      </c>
    </row>
    <row r="6324" spans="1:2" x14ac:dyDescent="0.25">
      <c r="A6324" s="4">
        <v>40770</v>
      </c>
      <c r="B6324" s="6">
        <v>108.89</v>
      </c>
    </row>
    <row r="6325" spans="1:2" x14ac:dyDescent="0.25">
      <c r="A6325" s="4">
        <v>40771</v>
      </c>
      <c r="B6325" s="6">
        <v>109.69</v>
      </c>
    </row>
    <row r="6326" spans="1:2" x14ac:dyDescent="0.25">
      <c r="A6326" s="4">
        <v>40772</v>
      </c>
      <c r="B6326" s="6">
        <v>111.37</v>
      </c>
    </row>
    <row r="6327" spans="1:2" x14ac:dyDescent="0.25">
      <c r="A6327" s="4">
        <v>40773</v>
      </c>
      <c r="B6327" s="6">
        <v>108.36</v>
      </c>
    </row>
    <row r="6328" spans="1:2" x14ac:dyDescent="0.25">
      <c r="A6328" s="4">
        <v>40774</v>
      </c>
      <c r="B6328" s="6">
        <v>109.37</v>
      </c>
    </row>
    <row r="6329" spans="1:2" x14ac:dyDescent="0.25">
      <c r="A6329" s="4">
        <v>40777</v>
      </c>
      <c r="B6329" s="6">
        <v>108.83</v>
      </c>
    </row>
    <row r="6330" spans="1:2" x14ac:dyDescent="0.25">
      <c r="A6330" s="4">
        <v>40778</v>
      </c>
      <c r="B6330" s="6">
        <v>110.35</v>
      </c>
    </row>
    <row r="6331" spans="1:2" x14ac:dyDescent="0.25">
      <c r="A6331" s="4">
        <v>40779</v>
      </c>
      <c r="B6331" s="6">
        <v>111.91</v>
      </c>
    </row>
    <row r="6332" spans="1:2" x14ac:dyDescent="0.25">
      <c r="A6332" s="4">
        <v>40780</v>
      </c>
      <c r="B6332" s="6">
        <v>111.91</v>
      </c>
    </row>
    <row r="6333" spans="1:2" x14ac:dyDescent="0.25">
      <c r="A6333" s="4">
        <v>40781</v>
      </c>
      <c r="B6333" s="6">
        <v>112.29</v>
      </c>
    </row>
    <row r="6334" spans="1:2" x14ac:dyDescent="0.25">
      <c r="A6334" s="4">
        <v>40784</v>
      </c>
      <c r="B6334" s="5"/>
    </row>
    <row r="6335" spans="1:2" x14ac:dyDescent="0.25">
      <c r="A6335" s="4">
        <v>40785</v>
      </c>
      <c r="B6335" s="6">
        <v>115.59</v>
      </c>
    </row>
    <row r="6336" spans="1:2" x14ac:dyDescent="0.25">
      <c r="A6336" s="4">
        <v>40786</v>
      </c>
      <c r="B6336" s="6">
        <v>116.48</v>
      </c>
    </row>
    <row r="6337" spans="1:2" x14ac:dyDescent="0.25">
      <c r="A6337" s="4">
        <v>40787</v>
      </c>
      <c r="B6337" s="6">
        <v>116.43</v>
      </c>
    </row>
    <row r="6338" spans="1:2" x14ac:dyDescent="0.25">
      <c r="A6338" s="4">
        <v>40788</v>
      </c>
      <c r="B6338" s="6">
        <v>115.92</v>
      </c>
    </row>
    <row r="6339" spans="1:2" x14ac:dyDescent="0.25">
      <c r="A6339" s="4">
        <v>40791</v>
      </c>
      <c r="B6339" s="5"/>
    </row>
    <row r="6340" spans="1:2" x14ac:dyDescent="0.25">
      <c r="A6340" s="4">
        <v>40792</v>
      </c>
      <c r="B6340" s="6">
        <v>113.29</v>
      </c>
    </row>
    <row r="6341" spans="1:2" x14ac:dyDescent="0.25">
      <c r="A6341" s="4">
        <v>40793</v>
      </c>
      <c r="B6341" s="6">
        <v>117.5</v>
      </c>
    </row>
    <row r="6342" spans="1:2" x14ac:dyDescent="0.25">
      <c r="A6342" s="4">
        <v>40794</v>
      </c>
      <c r="B6342" s="6">
        <v>117.99</v>
      </c>
    </row>
    <row r="6343" spans="1:2" x14ac:dyDescent="0.25">
      <c r="A6343" s="4">
        <v>40795</v>
      </c>
      <c r="B6343" s="6">
        <v>115.1</v>
      </c>
    </row>
    <row r="6344" spans="1:2" x14ac:dyDescent="0.25">
      <c r="A6344" s="4">
        <v>40798</v>
      </c>
      <c r="B6344" s="6">
        <v>114.75</v>
      </c>
    </row>
    <row r="6345" spans="1:2" x14ac:dyDescent="0.25">
      <c r="A6345" s="4">
        <v>40799</v>
      </c>
      <c r="B6345" s="6">
        <v>114.08</v>
      </c>
    </row>
    <row r="6346" spans="1:2" x14ac:dyDescent="0.25">
      <c r="A6346" s="4">
        <v>40800</v>
      </c>
      <c r="B6346" s="6">
        <v>113.1</v>
      </c>
    </row>
    <row r="6347" spans="1:2" x14ac:dyDescent="0.25">
      <c r="A6347" s="4">
        <v>40801</v>
      </c>
      <c r="B6347" s="6">
        <v>116.71</v>
      </c>
    </row>
    <row r="6348" spans="1:2" x14ac:dyDescent="0.25">
      <c r="A6348" s="4">
        <v>40802</v>
      </c>
      <c r="B6348" s="6">
        <v>116.26</v>
      </c>
    </row>
    <row r="6349" spans="1:2" x14ac:dyDescent="0.25">
      <c r="A6349" s="4">
        <v>40805</v>
      </c>
      <c r="B6349" s="6">
        <v>112.89</v>
      </c>
    </row>
    <row r="6350" spans="1:2" x14ac:dyDescent="0.25">
      <c r="A6350" s="4">
        <v>40806</v>
      </c>
      <c r="B6350" s="6">
        <v>114.39</v>
      </c>
    </row>
    <row r="6351" spans="1:2" x14ac:dyDescent="0.25">
      <c r="A6351" s="4">
        <v>40807</v>
      </c>
      <c r="B6351" s="6">
        <v>114.26</v>
      </c>
    </row>
    <row r="6352" spans="1:2" x14ac:dyDescent="0.25">
      <c r="A6352" s="4">
        <v>40808</v>
      </c>
      <c r="B6352" s="6">
        <v>109.21</v>
      </c>
    </row>
    <row r="6353" spans="1:2" x14ac:dyDescent="0.25">
      <c r="A6353" s="4">
        <v>40809</v>
      </c>
      <c r="B6353" s="6">
        <v>109.17</v>
      </c>
    </row>
    <row r="6354" spans="1:2" x14ac:dyDescent="0.25">
      <c r="A6354" s="4">
        <v>40812</v>
      </c>
      <c r="B6354" s="6">
        <v>107.9</v>
      </c>
    </row>
    <row r="6355" spans="1:2" x14ac:dyDescent="0.25">
      <c r="A6355" s="4">
        <v>40813</v>
      </c>
      <c r="B6355" s="6">
        <v>109.54</v>
      </c>
    </row>
    <row r="6356" spans="1:2" x14ac:dyDescent="0.25">
      <c r="A6356" s="4">
        <v>40814</v>
      </c>
      <c r="B6356" s="6">
        <v>108.52</v>
      </c>
    </row>
    <row r="6357" spans="1:2" x14ac:dyDescent="0.25">
      <c r="A6357" s="4">
        <v>40815</v>
      </c>
      <c r="B6357" s="6">
        <v>107.08</v>
      </c>
    </row>
    <row r="6358" spans="1:2" x14ac:dyDescent="0.25">
      <c r="A6358" s="4">
        <v>40816</v>
      </c>
      <c r="B6358" s="6">
        <v>105.42</v>
      </c>
    </row>
    <row r="6359" spans="1:2" x14ac:dyDescent="0.25">
      <c r="A6359" s="4">
        <v>40819</v>
      </c>
      <c r="B6359" s="6">
        <v>103.61</v>
      </c>
    </row>
    <row r="6360" spans="1:2" x14ac:dyDescent="0.25">
      <c r="A6360" s="4">
        <v>40820</v>
      </c>
      <c r="B6360" s="6">
        <v>101.84</v>
      </c>
    </row>
    <row r="6361" spans="1:2" x14ac:dyDescent="0.25">
      <c r="A6361" s="4">
        <v>40821</v>
      </c>
      <c r="B6361" s="6">
        <v>103.77</v>
      </c>
    </row>
    <row r="6362" spans="1:2" x14ac:dyDescent="0.25">
      <c r="A6362" s="4">
        <v>40822</v>
      </c>
      <c r="B6362" s="6">
        <v>104.38</v>
      </c>
    </row>
    <row r="6363" spans="1:2" x14ac:dyDescent="0.25">
      <c r="A6363" s="4">
        <v>40823</v>
      </c>
      <c r="B6363" s="6">
        <v>106.56</v>
      </c>
    </row>
    <row r="6364" spans="1:2" x14ac:dyDescent="0.25">
      <c r="A6364" s="4">
        <v>40826</v>
      </c>
      <c r="B6364" s="6">
        <v>109.49</v>
      </c>
    </row>
    <row r="6365" spans="1:2" x14ac:dyDescent="0.25">
      <c r="A6365" s="4">
        <v>40827</v>
      </c>
      <c r="B6365" s="6">
        <v>109.22</v>
      </c>
    </row>
    <row r="6366" spans="1:2" x14ac:dyDescent="0.25">
      <c r="A6366" s="4">
        <v>40828</v>
      </c>
      <c r="B6366" s="6">
        <v>112.44</v>
      </c>
    </row>
    <row r="6367" spans="1:2" x14ac:dyDescent="0.25">
      <c r="A6367" s="4">
        <v>40829</v>
      </c>
      <c r="B6367" s="6">
        <v>112.45</v>
      </c>
    </row>
    <row r="6368" spans="1:2" x14ac:dyDescent="0.25">
      <c r="A6368" s="4">
        <v>40830</v>
      </c>
      <c r="B6368" s="6">
        <v>114.33</v>
      </c>
    </row>
    <row r="6369" spans="1:2" x14ac:dyDescent="0.25">
      <c r="A6369" s="4">
        <v>40833</v>
      </c>
      <c r="B6369" s="6">
        <v>112.92</v>
      </c>
    </row>
    <row r="6370" spans="1:2" x14ac:dyDescent="0.25">
      <c r="A6370" s="4">
        <v>40834</v>
      </c>
      <c r="B6370" s="6">
        <v>112.08</v>
      </c>
    </row>
    <row r="6371" spans="1:2" x14ac:dyDescent="0.25">
      <c r="A6371" s="4">
        <v>40835</v>
      </c>
      <c r="B6371" s="6">
        <v>111.76</v>
      </c>
    </row>
    <row r="6372" spans="1:2" x14ac:dyDescent="0.25">
      <c r="A6372" s="4">
        <v>40836</v>
      </c>
      <c r="B6372" s="6">
        <v>109</v>
      </c>
    </row>
    <row r="6373" spans="1:2" x14ac:dyDescent="0.25">
      <c r="A6373" s="4">
        <v>40837</v>
      </c>
      <c r="B6373" s="6">
        <v>111.6</v>
      </c>
    </row>
    <row r="6374" spans="1:2" x14ac:dyDescent="0.25">
      <c r="A6374" s="4">
        <v>40840</v>
      </c>
      <c r="B6374" s="6">
        <v>111.67</v>
      </c>
    </row>
    <row r="6375" spans="1:2" x14ac:dyDescent="0.25">
      <c r="A6375" s="4">
        <v>40841</v>
      </c>
      <c r="B6375" s="6">
        <v>112.11</v>
      </c>
    </row>
    <row r="6376" spans="1:2" x14ac:dyDescent="0.25">
      <c r="A6376" s="4">
        <v>40842</v>
      </c>
      <c r="B6376" s="6">
        <v>110.43</v>
      </c>
    </row>
    <row r="6377" spans="1:2" x14ac:dyDescent="0.25">
      <c r="A6377" s="4">
        <v>40843</v>
      </c>
      <c r="B6377" s="6">
        <v>112.45</v>
      </c>
    </row>
    <row r="6378" spans="1:2" x14ac:dyDescent="0.25">
      <c r="A6378" s="4">
        <v>40844</v>
      </c>
      <c r="B6378" s="6">
        <v>110.01</v>
      </c>
    </row>
    <row r="6379" spans="1:2" x14ac:dyDescent="0.25">
      <c r="A6379" s="4">
        <v>40847</v>
      </c>
      <c r="B6379" s="6">
        <v>108.43</v>
      </c>
    </row>
    <row r="6380" spans="1:2" x14ac:dyDescent="0.25">
      <c r="A6380" s="4">
        <v>40848</v>
      </c>
      <c r="B6380" s="6">
        <v>106.97</v>
      </c>
    </row>
    <row r="6381" spans="1:2" x14ac:dyDescent="0.25">
      <c r="A6381" s="4">
        <v>40849</v>
      </c>
      <c r="B6381" s="6">
        <v>110.82</v>
      </c>
    </row>
    <row r="6382" spans="1:2" x14ac:dyDescent="0.25">
      <c r="A6382" s="4">
        <v>40850</v>
      </c>
      <c r="B6382" s="6">
        <v>110.76</v>
      </c>
    </row>
    <row r="6383" spans="1:2" x14ac:dyDescent="0.25">
      <c r="A6383" s="4">
        <v>40851</v>
      </c>
      <c r="B6383" s="6">
        <v>112.22</v>
      </c>
    </row>
    <row r="6384" spans="1:2" x14ac:dyDescent="0.25">
      <c r="A6384" s="4">
        <v>40854</v>
      </c>
      <c r="B6384" s="6">
        <v>114.75</v>
      </c>
    </row>
    <row r="6385" spans="1:2" x14ac:dyDescent="0.25">
      <c r="A6385" s="4">
        <v>40855</v>
      </c>
      <c r="B6385" s="6">
        <v>115.61</v>
      </c>
    </row>
    <row r="6386" spans="1:2" x14ac:dyDescent="0.25">
      <c r="A6386" s="4">
        <v>40856</v>
      </c>
      <c r="B6386" s="6">
        <v>115.29</v>
      </c>
    </row>
    <row r="6387" spans="1:2" x14ac:dyDescent="0.25">
      <c r="A6387" s="4">
        <v>40857</v>
      </c>
      <c r="B6387" s="6">
        <v>113.32</v>
      </c>
    </row>
    <row r="6388" spans="1:2" x14ac:dyDescent="0.25">
      <c r="A6388" s="4">
        <v>40858</v>
      </c>
      <c r="B6388" s="6">
        <v>114.43</v>
      </c>
    </row>
    <row r="6389" spans="1:2" x14ac:dyDescent="0.25">
      <c r="A6389" s="4">
        <v>40861</v>
      </c>
      <c r="B6389" s="6">
        <v>112.57</v>
      </c>
    </row>
    <row r="6390" spans="1:2" x14ac:dyDescent="0.25">
      <c r="A6390" s="4">
        <v>40862</v>
      </c>
      <c r="B6390" s="6">
        <v>111.9</v>
      </c>
    </row>
    <row r="6391" spans="1:2" x14ac:dyDescent="0.25">
      <c r="A6391" s="4">
        <v>40863</v>
      </c>
      <c r="B6391" s="6">
        <v>111.91</v>
      </c>
    </row>
    <row r="6392" spans="1:2" x14ac:dyDescent="0.25">
      <c r="A6392" s="4">
        <v>40864</v>
      </c>
      <c r="B6392" s="6">
        <v>109.25</v>
      </c>
    </row>
    <row r="6393" spans="1:2" x14ac:dyDescent="0.25">
      <c r="A6393" s="4">
        <v>40865</v>
      </c>
      <c r="B6393" s="6">
        <v>107.82</v>
      </c>
    </row>
    <row r="6394" spans="1:2" x14ac:dyDescent="0.25">
      <c r="A6394" s="4">
        <v>40868</v>
      </c>
      <c r="B6394" s="6">
        <v>105.98</v>
      </c>
    </row>
    <row r="6395" spans="1:2" x14ac:dyDescent="0.25">
      <c r="A6395" s="4">
        <v>40869</v>
      </c>
      <c r="B6395" s="6">
        <v>107.77</v>
      </c>
    </row>
    <row r="6396" spans="1:2" x14ac:dyDescent="0.25">
      <c r="A6396" s="4">
        <v>40870</v>
      </c>
      <c r="B6396" s="6">
        <v>106.83</v>
      </c>
    </row>
    <row r="6397" spans="1:2" x14ac:dyDescent="0.25">
      <c r="A6397" s="4">
        <v>40871</v>
      </c>
      <c r="B6397" s="5"/>
    </row>
    <row r="6398" spans="1:2" x14ac:dyDescent="0.25">
      <c r="A6398" s="4">
        <v>40872</v>
      </c>
      <c r="B6398" s="6">
        <v>106.08</v>
      </c>
    </row>
    <row r="6399" spans="1:2" x14ac:dyDescent="0.25">
      <c r="A6399" s="4">
        <v>40875</v>
      </c>
      <c r="B6399" s="6">
        <v>109.38</v>
      </c>
    </row>
    <row r="6400" spans="1:2" x14ac:dyDescent="0.25">
      <c r="A6400" s="4">
        <v>40876</v>
      </c>
      <c r="B6400" s="6">
        <v>111.25</v>
      </c>
    </row>
    <row r="6401" spans="1:2" x14ac:dyDescent="0.25">
      <c r="A6401" s="4">
        <v>40877</v>
      </c>
      <c r="B6401" s="6">
        <v>111.22</v>
      </c>
    </row>
    <row r="6402" spans="1:2" x14ac:dyDescent="0.25">
      <c r="A6402" s="4">
        <v>40878</v>
      </c>
      <c r="B6402" s="6">
        <v>108.83</v>
      </c>
    </row>
    <row r="6403" spans="1:2" x14ac:dyDescent="0.25">
      <c r="A6403" s="4">
        <v>40879</v>
      </c>
      <c r="B6403" s="6">
        <v>109.59</v>
      </c>
    </row>
    <row r="6404" spans="1:2" x14ac:dyDescent="0.25">
      <c r="A6404" s="4">
        <v>40882</v>
      </c>
      <c r="B6404" s="6">
        <v>110.18</v>
      </c>
    </row>
    <row r="6405" spans="1:2" x14ac:dyDescent="0.25">
      <c r="A6405" s="4">
        <v>40883</v>
      </c>
      <c r="B6405" s="6">
        <v>110.16</v>
      </c>
    </row>
    <row r="6406" spans="1:2" x14ac:dyDescent="0.25">
      <c r="A6406" s="4">
        <v>40884</v>
      </c>
      <c r="B6406" s="6">
        <v>110.07</v>
      </c>
    </row>
    <row r="6407" spans="1:2" x14ac:dyDescent="0.25">
      <c r="A6407" s="4">
        <v>40885</v>
      </c>
      <c r="B6407" s="6">
        <v>108.23</v>
      </c>
    </row>
    <row r="6408" spans="1:2" x14ac:dyDescent="0.25">
      <c r="A6408" s="4">
        <v>40886</v>
      </c>
      <c r="B6408" s="6">
        <v>107.91</v>
      </c>
    </row>
    <row r="6409" spans="1:2" x14ac:dyDescent="0.25">
      <c r="A6409" s="4">
        <v>40889</v>
      </c>
      <c r="B6409" s="6">
        <v>107.82</v>
      </c>
    </row>
    <row r="6410" spans="1:2" x14ac:dyDescent="0.25">
      <c r="A6410" s="4">
        <v>40890</v>
      </c>
      <c r="B6410" s="6">
        <v>109.25</v>
      </c>
    </row>
    <row r="6411" spans="1:2" x14ac:dyDescent="0.25">
      <c r="A6411" s="4">
        <v>40891</v>
      </c>
      <c r="B6411" s="6">
        <v>105.72</v>
      </c>
    </row>
    <row r="6412" spans="1:2" x14ac:dyDescent="0.25">
      <c r="A6412" s="4">
        <v>40892</v>
      </c>
      <c r="B6412" s="6">
        <v>104.52</v>
      </c>
    </row>
    <row r="6413" spans="1:2" x14ac:dyDescent="0.25">
      <c r="A6413" s="4">
        <v>40893</v>
      </c>
      <c r="B6413" s="6">
        <v>104</v>
      </c>
    </row>
    <row r="6414" spans="1:2" x14ac:dyDescent="0.25">
      <c r="A6414" s="4">
        <v>40896</v>
      </c>
      <c r="B6414" s="6">
        <v>104.55</v>
      </c>
    </row>
    <row r="6415" spans="1:2" x14ac:dyDescent="0.25">
      <c r="A6415" s="4">
        <v>40897</v>
      </c>
      <c r="B6415" s="6">
        <v>107.8</v>
      </c>
    </row>
    <row r="6416" spans="1:2" x14ac:dyDescent="0.25">
      <c r="A6416" s="4">
        <v>40898</v>
      </c>
      <c r="B6416" s="6">
        <v>108</v>
      </c>
    </row>
    <row r="6417" spans="1:2" x14ac:dyDescent="0.25">
      <c r="A6417" s="4">
        <v>40899</v>
      </c>
      <c r="B6417" s="6">
        <v>108.98</v>
      </c>
    </row>
    <row r="6418" spans="1:2" x14ac:dyDescent="0.25">
      <c r="A6418" s="4">
        <v>40900</v>
      </c>
      <c r="B6418" s="6">
        <v>109.28</v>
      </c>
    </row>
    <row r="6419" spans="1:2" x14ac:dyDescent="0.25">
      <c r="A6419" s="4">
        <v>40903</v>
      </c>
      <c r="B6419" s="5"/>
    </row>
    <row r="6420" spans="1:2" x14ac:dyDescent="0.25">
      <c r="A6420" s="4">
        <v>40904</v>
      </c>
      <c r="B6420" s="5"/>
    </row>
    <row r="6421" spans="1:2" x14ac:dyDescent="0.25">
      <c r="A6421" s="4">
        <v>40905</v>
      </c>
      <c r="B6421" s="6">
        <v>107.54</v>
      </c>
    </row>
    <row r="6422" spans="1:2" x14ac:dyDescent="0.25">
      <c r="A6422" s="4">
        <v>40906</v>
      </c>
      <c r="B6422" s="6">
        <v>106.89</v>
      </c>
    </row>
    <row r="6423" spans="1:2" x14ac:dyDescent="0.25">
      <c r="A6423" s="4">
        <v>40907</v>
      </c>
      <c r="B6423" s="6">
        <v>108.09</v>
      </c>
    </row>
    <row r="6424" spans="1:2" x14ac:dyDescent="0.25">
      <c r="A6424" s="4">
        <v>40910</v>
      </c>
      <c r="B6424" s="5"/>
    </row>
    <row r="6425" spans="1:2" x14ac:dyDescent="0.25">
      <c r="A6425" s="4">
        <v>40911</v>
      </c>
      <c r="B6425" s="6">
        <v>111.12</v>
      </c>
    </row>
    <row r="6426" spans="1:2" x14ac:dyDescent="0.25">
      <c r="A6426" s="4">
        <v>40912</v>
      </c>
      <c r="B6426" s="6">
        <v>113.37</v>
      </c>
    </row>
    <row r="6427" spans="1:2" x14ac:dyDescent="0.25">
      <c r="A6427" s="4">
        <v>40913</v>
      </c>
      <c r="B6427" s="6">
        <v>113.59</v>
      </c>
    </row>
    <row r="6428" spans="1:2" x14ac:dyDescent="0.25">
      <c r="A6428" s="4">
        <v>40914</v>
      </c>
      <c r="B6428" s="6">
        <v>111.96</v>
      </c>
    </row>
    <row r="6429" spans="1:2" x14ac:dyDescent="0.25">
      <c r="A6429" s="4">
        <v>40917</v>
      </c>
      <c r="B6429" s="6">
        <v>111.07</v>
      </c>
    </row>
    <row r="6430" spans="1:2" x14ac:dyDescent="0.25">
      <c r="A6430" s="4">
        <v>40918</v>
      </c>
      <c r="B6430" s="6">
        <v>113.3</v>
      </c>
    </row>
    <row r="6431" spans="1:2" x14ac:dyDescent="0.25">
      <c r="A6431" s="4">
        <v>40919</v>
      </c>
      <c r="B6431" s="6">
        <v>111.66</v>
      </c>
    </row>
    <row r="6432" spans="1:2" x14ac:dyDescent="0.25">
      <c r="A6432" s="4">
        <v>40920</v>
      </c>
      <c r="B6432" s="6">
        <v>112.97</v>
      </c>
    </row>
    <row r="6433" spans="1:2" x14ac:dyDescent="0.25">
      <c r="A6433" s="4">
        <v>40921</v>
      </c>
      <c r="B6433" s="6">
        <v>109.88</v>
      </c>
    </row>
    <row r="6434" spans="1:2" x14ac:dyDescent="0.25">
      <c r="A6434" s="4">
        <v>40924</v>
      </c>
      <c r="B6434" s="5"/>
    </row>
    <row r="6435" spans="1:2" x14ac:dyDescent="0.25">
      <c r="A6435" s="4">
        <v>40925</v>
      </c>
      <c r="B6435" s="6">
        <v>110.55</v>
      </c>
    </row>
    <row r="6436" spans="1:2" x14ac:dyDescent="0.25">
      <c r="A6436" s="4">
        <v>40926</v>
      </c>
      <c r="B6436" s="6">
        <v>109.81</v>
      </c>
    </row>
    <row r="6437" spans="1:2" x14ac:dyDescent="0.25">
      <c r="A6437" s="4">
        <v>40927</v>
      </c>
      <c r="B6437" s="6">
        <v>109.54</v>
      </c>
    </row>
    <row r="6438" spans="1:2" x14ac:dyDescent="0.25">
      <c r="A6438" s="4">
        <v>40928</v>
      </c>
      <c r="B6438" s="6">
        <v>108.5</v>
      </c>
    </row>
    <row r="6439" spans="1:2" x14ac:dyDescent="0.25">
      <c r="A6439" s="4">
        <v>40931</v>
      </c>
      <c r="B6439" s="6">
        <v>109.46</v>
      </c>
    </row>
    <row r="6440" spans="1:2" x14ac:dyDescent="0.25">
      <c r="A6440" s="4">
        <v>40932</v>
      </c>
      <c r="B6440" s="6">
        <v>108.38</v>
      </c>
    </row>
    <row r="6441" spans="1:2" x14ac:dyDescent="0.25">
      <c r="A6441" s="4">
        <v>40933</v>
      </c>
      <c r="B6441" s="6">
        <v>108.48</v>
      </c>
    </row>
    <row r="6442" spans="1:2" x14ac:dyDescent="0.25">
      <c r="A6442" s="4">
        <v>40934</v>
      </c>
      <c r="B6442" s="6">
        <v>109.08</v>
      </c>
    </row>
    <row r="6443" spans="1:2" x14ac:dyDescent="0.25">
      <c r="A6443" s="4">
        <v>40935</v>
      </c>
      <c r="B6443" s="6">
        <v>110.5</v>
      </c>
    </row>
    <row r="6444" spans="1:2" x14ac:dyDescent="0.25">
      <c r="A6444" s="4">
        <v>40938</v>
      </c>
      <c r="B6444" s="6">
        <v>110.24</v>
      </c>
    </row>
    <row r="6445" spans="1:2" x14ac:dyDescent="0.25">
      <c r="A6445" s="4">
        <v>40939</v>
      </c>
      <c r="B6445" s="6">
        <v>110.26</v>
      </c>
    </row>
    <row r="6446" spans="1:2" x14ac:dyDescent="0.25">
      <c r="A6446" s="4">
        <v>40940</v>
      </c>
      <c r="B6446" s="6">
        <v>111.96</v>
      </c>
    </row>
    <row r="6447" spans="1:2" x14ac:dyDescent="0.25">
      <c r="A6447" s="4">
        <v>40941</v>
      </c>
      <c r="B6447" s="6">
        <v>110.96</v>
      </c>
    </row>
    <row r="6448" spans="1:2" x14ac:dyDescent="0.25">
      <c r="A6448" s="4">
        <v>40942</v>
      </c>
      <c r="B6448" s="6">
        <v>112.56</v>
      </c>
    </row>
    <row r="6449" spans="1:2" x14ac:dyDescent="0.25">
      <c r="A6449" s="4">
        <v>40945</v>
      </c>
      <c r="B6449" s="6">
        <v>115.47</v>
      </c>
    </row>
    <row r="6450" spans="1:2" x14ac:dyDescent="0.25">
      <c r="A6450" s="4">
        <v>40946</v>
      </c>
      <c r="B6450" s="6">
        <v>116.86</v>
      </c>
    </row>
    <row r="6451" spans="1:2" x14ac:dyDescent="0.25">
      <c r="A6451" s="4">
        <v>40947</v>
      </c>
      <c r="B6451" s="6">
        <v>117.18</v>
      </c>
    </row>
    <row r="6452" spans="1:2" x14ac:dyDescent="0.25">
      <c r="A6452" s="4">
        <v>40948</v>
      </c>
      <c r="B6452" s="6">
        <v>118.4</v>
      </c>
    </row>
    <row r="6453" spans="1:2" x14ac:dyDescent="0.25">
      <c r="A6453" s="4">
        <v>40949</v>
      </c>
      <c r="B6453" s="6">
        <v>118.13</v>
      </c>
    </row>
    <row r="6454" spans="1:2" x14ac:dyDescent="0.25">
      <c r="A6454" s="4">
        <v>40952</v>
      </c>
      <c r="B6454" s="6">
        <v>118.73</v>
      </c>
    </row>
    <row r="6455" spans="1:2" x14ac:dyDescent="0.25">
      <c r="A6455" s="4">
        <v>40953</v>
      </c>
      <c r="B6455" s="6">
        <v>118.3</v>
      </c>
    </row>
    <row r="6456" spans="1:2" x14ac:dyDescent="0.25">
      <c r="A6456" s="4">
        <v>40954</v>
      </c>
      <c r="B6456" s="6">
        <v>120.25</v>
      </c>
    </row>
    <row r="6457" spans="1:2" x14ac:dyDescent="0.25">
      <c r="A6457" s="4">
        <v>40955</v>
      </c>
      <c r="B6457" s="6">
        <v>121</v>
      </c>
    </row>
    <row r="6458" spans="1:2" x14ac:dyDescent="0.25">
      <c r="A6458" s="4">
        <v>40956</v>
      </c>
      <c r="B6458" s="6">
        <v>120.69</v>
      </c>
    </row>
    <row r="6459" spans="1:2" x14ac:dyDescent="0.25">
      <c r="A6459" s="4">
        <v>40959</v>
      </c>
      <c r="B6459" s="5"/>
    </row>
    <row r="6460" spans="1:2" x14ac:dyDescent="0.25">
      <c r="A6460" s="4">
        <v>40960</v>
      </c>
      <c r="B6460" s="6">
        <v>120.85</v>
      </c>
    </row>
    <row r="6461" spans="1:2" x14ac:dyDescent="0.25">
      <c r="A6461" s="4">
        <v>40961</v>
      </c>
      <c r="B6461" s="6">
        <v>123.07</v>
      </c>
    </row>
    <row r="6462" spans="1:2" x14ac:dyDescent="0.25">
      <c r="A6462" s="4">
        <v>40962</v>
      </c>
      <c r="B6462" s="6">
        <v>124.53</v>
      </c>
    </row>
    <row r="6463" spans="1:2" x14ac:dyDescent="0.25">
      <c r="A6463" s="4">
        <v>40963</v>
      </c>
      <c r="B6463" s="6">
        <v>124.89</v>
      </c>
    </row>
    <row r="6464" spans="1:2" x14ac:dyDescent="0.25">
      <c r="A6464" s="4">
        <v>40966</v>
      </c>
      <c r="B6464" s="6">
        <v>126.46</v>
      </c>
    </row>
    <row r="6465" spans="1:2" x14ac:dyDescent="0.25">
      <c r="A6465" s="4">
        <v>40967</v>
      </c>
      <c r="B6465" s="6">
        <v>124.02</v>
      </c>
    </row>
    <row r="6466" spans="1:2" x14ac:dyDescent="0.25">
      <c r="A6466" s="4">
        <v>40968</v>
      </c>
      <c r="B6466" s="6">
        <v>122.23</v>
      </c>
    </row>
    <row r="6467" spans="1:2" x14ac:dyDescent="0.25">
      <c r="A6467" s="4">
        <v>40969</v>
      </c>
      <c r="B6467" s="6">
        <v>125.76</v>
      </c>
    </row>
    <row r="6468" spans="1:2" x14ac:dyDescent="0.25">
      <c r="A6468" s="4">
        <v>40970</v>
      </c>
      <c r="B6468" s="6">
        <v>125.93</v>
      </c>
    </row>
    <row r="6469" spans="1:2" x14ac:dyDescent="0.25">
      <c r="A6469" s="4">
        <v>40973</v>
      </c>
      <c r="B6469" s="6">
        <v>126.68</v>
      </c>
    </row>
    <row r="6470" spans="1:2" x14ac:dyDescent="0.25">
      <c r="A6470" s="4">
        <v>40974</v>
      </c>
      <c r="B6470" s="6">
        <v>125.03</v>
      </c>
    </row>
    <row r="6471" spans="1:2" x14ac:dyDescent="0.25">
      <c r="A6471" s="4">
        <v>40975</v>
      </c>
      <c r="B6471" s="6">
        <v>125.37</v>
      </c>
    </row>
    <row r="6472" spans="1:2" x14ac:dyDescent="0.25">
      <c r="A6472" s="4">
        <v>40976</v>
      </c>
      <c r="B6472" s="6">
        <v>127.96</v>
      </c>
    </row>
    <row r="6473" spans="1:2" x14ac:dyDescent="0.25">
      <c r="A6473" s="4">
        <v>40977</v>
      </c>
      <c r="B6473" s="6">
        <v>128.08000000000001</v>
      </c>
    </row>
    <row r="6474" spans="1:2" x14ac:dyDescent="0.25">
      <c r="A6474" s="4">
        <v>40980</v>
      </c>
      <c r="B6474" s="6">
        <v>127.27</v>
      </c>
    </row>
    <row r="6475" spans="1:2" x14ac:dyDescent="0.25">
      <c r="A6475" s="4">
        <v>40981</v>
      </c>
      <c r="B6475" s="6">
        <v>128.13999999999999</v>
      </c>
    </row>
    <row r="6476" spans="1:2" x14ac:dyDescent="0.25">
      <c r="A6476" s="4">
        <v>40982</v>
      </c>
      <c r="B6476" s="6">
        <v>126.98</v>
      </c>
    </row>
    <row r="6477" spans="1:2" x14ac:dyDescent="0.25">
      <c r="A6477" s="4">
        <v>40983</v>
      </c>
      <c r="B6477" s="6">
        <v>123.63</v>
      </c>
    </row>
    <row r="6478" spans="1:2" x14ac:dyDescent="0.25">
      <c r="A6478" s="4">
        <v>40984</v>
      </c>
      <c r="B6478" s="6">
        <v>125.09</v>
      </c>
    </row>
    <row r="6479" spans="1:2" x14ac:dyDescent="0.25">
      <c r="A6479" s="4">
        <v>40987</v>
      </c>
      <c r="B6479" s="6">
        <v>125.76</v>
      </c>
    </row>
    <row r="6480" spans="1:2" x14ac:dyDescent="0.25">
      <c r="A6480" s="4">
        <v>40988</v>
      </c>
      <c r="B6480" s="6">
        <v>124.38</v>
      </c>
    </row>
    <row r="6481" spans="1:2" x14ac:dyDescent="0.25">
      <c r="A6481" s="4">
        <v>40989</v>
      </c>
      <c r="B6481" s="6">
        <v>123.89</v>
      </c>
    </row>
    <row r="6482" spans="1:2" x14ac:dyDescent="0.25">
      <c r="A6482" s="4">
        <v>40990</v>
      </c>
      <c r="B6482" s="6">
        <v>122.49</v>
      </c>
    </row>
    <row r="6483" spans="1:2" x14ac:dyDescent="0.25">
      <c r="A6483" s="4">
        <v>40991</v>
      </c>
      <c r="B6483" s="6">
        <v>125.21</v>
      </c>
    </row>
    <row r="6484" spans="1:2" x14ac:dyDescent="0.25">
      <c r="A6484" s="4">
        <v>40994</v>
      </c>
      <c r="B6484" s="6">
        <v>125.85</v>
      </c>
    </row>
    <row r="6485" spans="1:2" x14ac:dyDescent="0.25">
      <c r="A6485" s="4">
        <v>40995</v>
      </c>
      <c r="B6485" s="6">
        <v>125.25</v>
      </c>
    </row>
    <row r="6486" spans="1:2" x14ac:dyDescent="0.25">
      <c r="A6486" s="4">
        <v>40996</v>
      </c>
      <c r="B6486" s="6">
        <v>124.41</v>
      </c>
    </row>
    <row r="6487" spans="1:2" x14ac:dyDescent="0.25">
      <c r="A6487" s="4">
        <v>40997</v>
      </c>
      <c r="B6487" s="6">
        <v>123.23</v>
      </c>
    </row>
    <row r="6488" spans="1:2" x14ac:dyDescent="0.25">
      <c r="A6488" s="4">
        <v>40998</v>
      </c>
      <c r="B6488" s="6">
        <v>123.41</v>
      </c>
    </row>
    <row r="6489" spans="1:2" x14ac:dyDescent="0.25">
      <c r="A6489" s="4">
        <v>41001</v>
      </c>
      <c r="B6489" s="6">
        <v>124.44</v>
      </c>
    </row>
    <row r="6490" spans="1:2" x14ac:dyDescent="0.25">
      <c r="A6490" s="4">
        <v>41002</v>
      </c>
      <c r="B6490" s="5"/>
    </row>
    <row r="6491" spans="1:2" x14ac:dyDescent="0.25">
      <c r="A6491" s="4">
        <v>41003</v>
      </c>
      <c r="B6491" s="6">
        <v>123.04</v>
      </c>
    </row>
    <row r="6492" spans="1:2" x14ac:dyDescent="0.25">
      <c r="A6492" s="4">
        <v>41004</v>
      </c>
      <c r="B6492" s="6">
        <v>123.58</v>
      </c>
    </row>
    <row r="6493" spans="1:2" x14ac:dyDescent="0.25">
      <c r="A6493" s="4">
        <v>41005</v>
      </c>
      <c r="B6493" s="5"/>
    </row>
    <row r="6494" spans="1:2" x14ac:dyDescent="0.25">
      <c r="A6494" s="4">
        <v>41008</v>
      </c>
      <c r="B6494" s="5"/>
    </row>
    <row r="6495" spans="1:2" x14ac:dyDescent="0.25">
      <c r="A6495" s="4">
        <v>41009</v>
      </c>
      <c r="B6495" s="6">
        <v>121.89</v>
      </c>
    </row>
    <row r="6496" spans="1:2" x14ac:dyDescent="0.25">
      <c r="A6496" s="4">
        <v>41010</v>
      </c>
      <c r="B6496" s="6">
        <v>120.41</v>
      </c>
    </row>
    <row r="6497" spans="1:2" x14ac:dyDescent="0.25">
      <c r="A6497" s="4">
        <v>41011</v>
      </c>
      <c r="B6497" s="6">
        <v>120.57</v>
      </c>
    </row>
    <row r="6498" spans="1:2" x14ac:dyDescent="0.25">
      <c r="A6498" s="4">
        <v>41012</v>
      </c>
      <c r="B6498" s="6">
        <v>120.62</v>
      </c>
    </row>
    <row r="6499" spans="1:2" x14ac:dyDescent="0.25">
      <c r="A6499" s="4">
        <v>41015</v>
      </c>
      <c r="B6499" s="6">
        <v>118.23</v>
      </c>
    </row>
    <row r="6500" spans="1:2" x14ac:dyDescent="0.25">
      <c r="A6500" s="4">
        <v>41016</v>
      </c>
      <c r="B6500" s="6">
        <v>117.41</v>
      </c>
    </row>
    <row r="6501" spans="1:2" x14ac:dyDescent="0.25">
      <c r="A6501" s="4">
        <v>41017</v>
      </c>
      <c r="B6501" s="6">
        <v>115.18</v>
      </c>
    </row>
    <row r="6502" spans="1:2" x14ac:dyDescent="0.25">
      <c r="A6502" s="4">
        <v>41018</v>
      </c>
      <c r="B6502" s="6">
        <v>117</v>
      </c>
    </row>
    <row r="6503" spans="1:2" x14ac:dyDescent="0.25">
      <c r="A6503" s="4">
        <v>41019</v>
      </c>
      <c r="B6503" s="6">
        <v>118.08</v>
      </c>
    </row>
    <row r="6504" spans="1:2" x14ac:dyDescent="0.25">
      <c r="A6504" s="4">
        <v>41022</v>
      </c>
      <c r="B6504" s="6">
        <v>116.66</v>
      </c>
    </row>
    <row r="6505" spans="1:2" x14ac:dyDescent="0.25">
      <c r="A6505" s="4">
        <v>41023</v>
      </c>
      <c r="B6505" s="6">
        <v>117.74</v>
      </c>
    </row>
    <row r="6506" spans="1:2" x14ac:dyDescent="0.25">
      <c r="A6506" s="4">
        <v>41024</v>
      </c>
      <c r="B6506" s="6">
        <v>117.45</v>
      </c>
    </row>
    <row r="6507" spans="1:2" x14ac:dyDescent="0.25">
      <c r="A6507" s="4">
        <v>41025</v>
      </c>
      <c r="B6507" s="6">
        <v>119.33</v>
      </c>
    </row>
    <row r="6508" spans="1:2" x14ac:dyDescent="0.25">
      <c r="A6508" s="4">
        <v>41026</v>
      </c>
      <c r="B6508" s="6">
        <v>119.3</v>
      </c>
    </row>
    <row r="6509" spans="1:2" x14ac:dyDescent="0.25">
      <c r="A6509" s="4">
        <v>41029</v>
      </c>
      <c r="B6509" s="6">
        <v>118.66</v>
      </c>
    </row>
    <row r="6510" spans="1:2" x14ac:dyDescent="0.25">
      <c r="A6510" s="4">
        <v>41030</v>
      </c>
      <c r="B6510" s="6">
        <v>119.57</v>
      </c>
    </row>
    <row r="6511" spans="1:2" x14ac:dyDescent="0.25">
      <c r="A6511" s="4">
        <v>41031</v>
      </c>
      <c r="B6511" s="6">
        <v>117.57</v>
      </c>
    </row>
    <row r="6512" spans="1:2" x14ac:dyDescent="0.25">
      <c r="A6512" s="4">
        <v>41032</v>
      </c>
      <c r="B6512" s="6">
        <v>115.91</v>
      </c>
    </row>
    <row r="6513" spans="1:2" x14ac:dyDescent="0.25">
      <c r="A6513" s="4">
        <v>41033</v>
      </c>
      <c r="B6513" s="6">
        <v>111.66</v>
      </c>
    </row>
    <row r="6514" spans="1:2" x14ac:dyDescent="0.25">
      <c r="A6514" s="4">
        <v>41036</v>
      </c>
      <c r="B6514" s="5"/>
    </row>
    <row r="6515" spans="1:2" x14ac:dyDescent="0.25">
      <c r="A6515" s="4">
        <v>41037</v>
      </c>
      <c r="B6515" s="6">
        <v>110.48</v>
      </c>
    </row>
    <row r="6516" spans="1:2" x14ac:dyDescent="0.25">
      <c r="A6516" s="4">
        <v>41038</v>
      </c>
      <c r="B6516" s="6">
        <v>111.89</v>
      </c>
    </row>
    <row r="6517" spans="1:2" x14ac:dyDescent="0.25">
      <c r="A6517" s="4">
        <v>41039</v>
      </c>
      <c r="B6517" s="6">
        <v>112.24</v>
      </c>
    </row>
    <row r="6518" spans="1:2" x14ac:dyDescent="0.25">
      <c r="A6518" s="4">
        <v>41040</v>
      </c>
      <c r="B6518" s="6">
        <v>112.5</v>
      </c>
    </row>
    <row r="6519" spans="1:2" x14ac:dyDescent="0.25">
      <c r="A6519" s="4">
        <v>41043</v>
      </c>
      <c r="B6519" s="6">
        <v>110.79</v>
      </c>
    </row>
    <row r="6520" spans="1:2" x14ac:dyDescent="0.25">
      <c r="A6520" s="4">
        <v>41044</v>
      </c>
      <c r="B6520" s="6">
        <v>111.4</v>
      </c>
    </row>
    <row r="6521" spans="1:2" x14ac:dyDescent="0.25">
      <c r="A6521" s="4">
        <v>41045</v>
      </c>
      <c r="B6521" s="6">
        <v>109.8</v>
      </c>
    </row>
    <row r="6522" spans="1:2" x14ac:dyDescent="0.25">
      <c r="A6522" s="4">
        <v>41046</v>
      </c>
      <c r="B6522" s="6">
        <v>109.31</v>
      </c>
    </row>
    <row r="6523" spans="1:2" x14ac:dyDescent="0.25">
      <c r="A6523" s="4">
        <v>41047</v>
      </c>
      <c r="B6523" s="6">
        <v>108.03</v>
      </c>
    </row>
    <row r="6524" spans="1:2" x14ac:dyDescent="0.25">
      <c r="A6524" s="4">
        <v>41050</v>
      </c>
      <c r="B6524" s="6">
        <v>109.02</v>
      </c>
    </row>
    <row r="6525" spans="1:2" x14ac:dyDescent="0.25">
      <c r="A6525" s="4">
        <v>41051</v>
      </c>
      <c r="B6525" s="6">
        <v>109.76</v>
      </c>
    </row>
    <row r="6526" spans="1:2" x14ac:dyDescent="0.25">
      <c r="A6526" s="4">
        <v>41052</v>
      </c>
      <c r="B6526" s="6">
        <v>106.88</v>
      </c>
    </row>
    <row r="6527" spans="1:2" x14ac:dyDescent="0.25">
      <c r="A6527" s="4">
        <v>41053</v>
      </c>
      <c r="B6527" s="6">
        <v>107.2</v>
      </c>
    </row>
    <row r="6528" spans="1:2" x14ac:dyDescent="0.25">
      <c r="A6528" s="4">
        <v>41054</v>
      </c>
      <c r="B6528" s="6">
        <v>107.86</v>
      </c>
    </row>
    <row r="6529" spans="1:2" x14ac:dyDescent="0.25">
      <c r="A6529" s="4">
        <v>41057</v>
      </c>
      <c r="B6529" s="5"/>
    </row>
    <row r="6530" spans="1:2" x14ac:dyDescent="0.25">
      <c r="A6530" s="4">
        <v>41058</v>
      </c>
      <c r="B6530" s="6">
        <v>107.55</v>
      </c>
    </row>
    <row r="6531" spans="1:2" x14ac:dyDescent="0.25">
      <c r="A6531" s="4">
        <v>41059</v>
      </c>
      <c r="B6531" s="6">
        <v>103.85</v>
      </c>
    </row>
    <row r="6532" spans="1:2" x14ac:dyDescent="0.25">
      <c r="A6532" s="4">
        <v>41060</v>
      </c>
      <c r="B6532" s="6">
        <v>103.86</v>
      </c>
    </row>
    <row r="6533" spans="1:2" x14ac:dyDescent="0.25">
      <c r="A6533" s="4">
        <v>41061</v>
      </c>
      <c r="B6533" s="6">
        <v>98.63</v>
      </c>
    </row>
    <row r="6534" spans="1:2" x14ac:dyDescent="0.25">
      <c r="A6534" s="4">
        <v>41064</v>
      </c>
      <c r="B6534" s="6">
        <v>97.74</v>
      </c>
    </row>
    <row r="6535" spans="1:2" x14ac:dyDescent="0.25">
      <c r="A6535" s="4">
        <v>41065</v>
      </c>
      <c r="B6535" s="6">
        <v>98.65</v>
      </c>
    </row>
    <row r="6536" spans="1:2" x14ac:dyDescent="0.25">
      <c r="A6536" s="4">
        <v>41066</v>
      </c>
      <c r="B6536" s="6">
        <v>101.14</v>
      </c>
    </row>
    <row r="6537" spans="1:2" x14ac:dyDescent="0.25">
      <c r="A6537" s="4">
        <v>41067</v>
      </c>
      <c r="B6537" s="6">
        <v>100.05</v>
      </c>
    </row>
    <row r="6538" spans="1:2" x14ac:dyDescent="0.25">
      <c r="A6538" s="4">
        <v>41068</v>
      </c>
      <c r="B6538" s="6">
        <v>97.57</v>
      </c>
    </row>
    <row r="6539" spans="1:2" x14ac:dyDescent="0.25">
      <c r="A6539" s="4">
        <v>41071</v>
      </c>
      <c r="B6539" s="6">
        <v>98.6</v>
      </c>
    </row>
    <row r="6540" spans="1:2" x14ac:dyDescent="0.25">
      <c r="A6540" s="4">
        <v>41072</v>
      </c>
      <c r="B6540" s="6">
        <v>96.59</v>
      </c>
    </row>
    <row r="6541" spans="1:2" x14ac:dyDescent="0.25">
      <c r="A6541" s="4">
        <v>41073</v>
      </c>
      <c r="B6541" s="6">
        <v>97.29</v>
      </c>
    </row>
    <row r="6542" spans="1:2" x14ac:dyDescent="0.25">
      <c r="A6542" s="4">
        <v>41074</v>
      </c>
      <c r="B6542" s="6">
        <v>96.46</v>
      </c>
    </row>
    <row r="6543" spans="1:2" x14ac:dyDescent="0.25">
      <c r="A6543" s="4">
        <v>41075</v>
      </c>
      <c r="B6543" s="6">
        <v>97.13</v>
      </c>
    </row>
    <row r="6544" spans="1:2" x14ac:dyDescent="0.25">
      <c r="A6544" s="4">
        <v>41078</v>
      </c>
      <c r="B6544" s="6">
        <v>95.21</v>
      </c>
    </row>
    <row r="6545" spans="1:2" x14ac:dyDescent="0.25">
      <c r="A6545" s="4">
        <v>41079</v>
      </c>
      <c r="B6545" s="6">
        <v>95.14</v>
      </c>
    </row>
    <row r="6546" spans="1:2" x14ac:dyDescent="0.25">
      <c r="A6546" s="4">
        <v>41080</v>
      </c>
      <c r="B6546" s="6">
        <v>93.5</v>
      </c>
    </row>
    <row r="6547" spans="1:2" x14ac:dyDescent="0.25">
      <c r="A6547" s="4">
        <v>41081</v>
      </c>
      <c r="B6547" s="6">
        <v>89.22</v>
      </c>
    </row>
    <row r="6548" spans="1:2" x14ac:dyDescent="0.25">
      <c r="A6548" s="4">
        <v>41082</v>
      </c>
      <c r="B6548" s="6">
        <v>89.22</v>
      </c>
    </row>
    <row r="6549" spans="1:2" x14ac:dyDescent="0.25">
      <c r="A6549" s="4">
        <v>41085</v>
      </c>
      <c r="B6549" s="6">
        <v>88.69</v>
      </c>
    </row>
    <row r="6550" spans="1:2" x14ac:dyDescent="0.25">
      <c r="A6550" s="4">
        <v>41086</v>
      </c>
      <c r="B6550" s="6">
        <v>90.19</v>
      </c>
    </row>
    <row r="6551" spans="1:2" x14ac:dyDescent="0.25">
      <c r="A6551" s="4">
        <v>41087</v>
      </c>
      <c r="B6551" s="6">
        <v>92.06</v>
      </c>
    </row>
    <row r="6552" spans="1:2" x14ac:dyDescent="0.25">
      <c r="A6552" s="4">
        <v>41088</v>
      </c>
      <c r="B6552" s="6">
        <v>91.02</v>
      </c>
    </row>
    <row r="6553" spans="1:2" x14ac:dyDescent="0.25">
      <c r="A6553" s="4">
        <v>41089</v>
      </c>
      <c r="B6553" s="6">
        <v>94.17</v>
      </c>
    </row>
    <row r="6554" spans="1:2" x14ac:dyDescent="0.25">
      <c r="A6554" s="4">
        <v>41092</v>
      </c>
      <c r="B6554" s="6">
        <v>95.28</v>
      </c>
    </row>
    <row r="6555" spans="1:2" x14ac:dyDescent="0.25">
      <c r="A6555" s="4">
        <v>41093</v>
      </c>
      <c r="B6555" s="6">
        <v>99.89</v>
      </c>
    </row>
    <row r="6556" spans="1:2" x14ac:dyDescent="0.25">
      <c r="A6556" s="4">
        <v>41094</v>
      </c>
      <c r="B6556" s="5"/>
    </row>
    <row r="6557" spans="1:2" x14ac:dyDescent="0.25">
      <c r="A6557" s="4">
        <v>41095</v>
      </c>
      <c r="B6557" s="6">
        <v>101.54</v>
      </c>
    </row>
    <row r="6558" spans="1:2" x14ac:dyDescent="0.25">
      <c r="A6558" s="4">
        <v>41096</v>
      </c>
      <c r="B6558" s="6">
        <v>98.5</v>
      </c>
    </row>
    <row r="6559" spans="1:2" x14ac:dyDescent="0.25">
      <c r="A6559" s="4">
        <v>41099</v>
      </c>
      <c r="B6559" s="6">
        <v>99.94</v>
      </c>
    </row>
    <row r="6560" spans="1:2" x14ac:dyDescent="0.25">
      <c r="A6560" s="4">
        <v>41100</v>
      </c>
      <c r="B6560" s="6">
        <v>99.15</v>
      </c>
    </row>
    <row r="6561" spans="1:2" x14ac:dyDescent="0.25">
      <c r="A6561" s="4">
        <v>41101</v>
      </c>
      <c r="B6561" s="6">
        <v>99.23</v>
      </c>
    </row>
    <row r="6562" spans="1:2" x14ac:dyDescent="0.25">
      <c r="A6562" s="4">
        <v>41102</v>
      </c>
      <c r="B6562" s="6">
        <v>99.18</v>
      </c>
    </row>
    <row r="6563" spans="1:2" x14ac:dyDescent="0.25">
      <c r="A6563" s="4">
        <v>41103</v>
      </c>
      <c r="B6563" s="6">
        <v>101.91</v>
      </c>
    </row>
    <row r="6564" spans="1:2" x14ac:dyDescent="0.25">
      <c r="A6564" s="4">
        <v>41106</v>
      </c>
      <c r="B6564" s="6">
        <v>102.1</v>
      </c>
    </row>
    <row r="6565" spans="1:2" x14ac:dyDescent="0.25">
      <c r="A6565" s="4">
        <v>41107</v>
      </c>
      <c r="B6565" s="6">
        <v>104.21</v>
      </c>
    </row>
    <row r="6566" spans="1:2" x14ac:dyDescent="0.25">
      <c r="A6566" s="4">
        <v>41108</v>
      </c>
      <c r="B6566" s="6">
        <v>105.92</v>
      </c>
    </row>
    <row r="6567" spans="1:2" x14ac:dyDescent="0.25">
      <c r="A6567" s="4">
        <v>41109</v>
      </c>
      <c r="B6567" s="6">
        <v>107.79</v>
      </c>
    </row>
    <row r="6568" spans="1:2" x14ac:dyDescent="0.25">
      <c r="A6568" s="4">
        <v>41110</v>
      </c>
      <c r="B6568" s="6">
        <v>106.98</v>
      </c>
    </row>
    <row r="6569" spans="1:2" x14ac:dyDescent="0.25">
      <c r="A6569" s="4">
        <v>41113</v>
      </c>
      <c r="B6569" s="6">
        <v>103.91</v>
      </c>
    </row>
    <row r="6570" spans="1:2" x14ac:dyDescent="0.25">
      <c r="A6570" s="4">
        <v>41114</v>
      </c>
      <c r="B6570" s="6">
        <v>103.57</v>
      </c>
    </row>
    <row r="6571" spans="1:2" x14ac:dyDescent="0.25">
      <c r="A6571" s="4">
        <v>41115</v>
      </c>
      <c r="B6571" s="6">
        <v>102.35</v>
      </c>
    </row>
    <row r="6572" spans="1:2" x14ac:dyDescent="0.25">
      <c r="A6572" s="4">
        <v>41116</v>
      </c>
      <c r="B6572" s="6">
        <v>104.77</v>
      </c>
    </row>
    <row r="6573" spans="1:2" x14ac:dyDescent="0.25">
      <c r="A6573" s="4">
        <v>41117</v>
      </c>
      <c r="B6573" s="6">
        <v>106.3</v>
      </c>
    </row>
    <row r="6574" spans="1:2" x14ac:dyDescent="0.25">
      <c r="A6574" s="4">
        <v>41120</v>
      </c>
      <c r="B6574" s="6">
        <v>106.54</v>
      </c>
    </row>
    <row r="6575" spans="1:2" x14ac:dyDescent="0.25">
      <c r="A6575" s="4">
        <v>41121</v>
      </c>
      <c r="B6575" s="6">
        <v>105.93</v>
      </c>
    </row>
    <row r="6576" spans="1:2" x14ac:dyDescent="0.25">
      <c r="A6576" s="4">
        <v>41122</v>
      </c>
      <c r="B6576" s="6">
        <v>106.78</v>
      </c>
    </row>
    <row r="6577" spans="1:2" x14ac:dyDescent="0.25">
      <c r="A6577" s="4">
        <v>41123</v>
      </c>
      <c r="B6577" s="6">
        <v>107.55</v>
      </c>
    </row>
    <row r="6578" spans="1:2" x14ac:dyDescent="0.25">
      <c r="A6578" s="4">
        <v>41124</v>
      </c>
      <c r="B6578" s="6">
        <v>109.57</v>
      </c>
    </row>
    <row r="6579" spans="1:2" x14ac:dyDescent="0.25">
      <c r="A6579" s="4">
        <v>41127</v>
      </c>
      <c r="B6579" s="6">
        <v>110.01</v>
      </c>
    </row>
    <row r="6580" spans="1:2" x14ac:dyDescent="0.25">
      <c r="A6580" s="4">
        <v>41128</v>
      </c>
      <c r="B6580" s="6">
        <v>112.39</v>
      </c>
    </row>
    <row r="6581" spans="1:2" x14ac:dyDescent="0.25">
      <c r="A6581" s="4">
        <v>41129</v>
      </c>
      <c r="B6581" s="6">
        <v>113.42</v>
      </c>
    </row>
    <row r="6582" spans="1:2" x14ac:dyDescent="0.25">
      <c r="A6582" s="4">
        <v>41130</v>
      </c>
      <c r="B6582" s="6">
        <v>113.52</v>
      </c>
    </row>
    <row r="6583" spans="1:2" x14ac:dyDescent="0.25">
      <c r="A6583" s="4">
        <v>41131</v>
      </c>
      <c r="B6583" s="6">
        <v>113.13</v>
      </c>
    </row>
    <row r="6584" spans="1:2" x14ac:dyDescent="0.25">
      <c r="A6584" s="4">
        <v>41134</v>
      </c>
      <c r="B6584" s="6">
        <v>114.48</v>
      </c>
    </row>
    <row r="6585" spans="1:2" x14ac:dyDescent="0.25">
      <c r="A6585" s="4">
        <v>41135</v>
      </c>
      <c r="B6585" s="6">
        <v>113.9</v>
      </c>
    </row>
    <row r="6586" spans="1:2" x14ac:dyDescent="0.25">
      <c r="A6586" s="4">
        <v>41136</v>
      </c>
      <c r="B6586" s="6">
        <v>115.51</v>
      </c>
    </row>
    <row r="6587" spans="1:2" x14ac:dyDescent="0.25">
      <c r="A6587" s="4">
        <v>41137</v>
      </c>
      <c r="B6587" s="6">
        <v>116.12</v>
      </c>
    </row>
    <row r="6588" spans="1:2" x14ac:dyDescent="0.25">
      <c r="A6588" s="4">
        <v>41138</v>
      </c>
      <c r="B6588" s="6">
        <v>115.2</v>
      </c>
    </row>
    <row r="6589" spans="1:2" x14ac:dyDescent="0.25">
      <c r="A6589" s="4">
        <v>41141</v>
      </c>
      <c r="B6589" s="6">
        <v>115.5</v>
      </c>
    </row>
    <row r="6590" spans="1:2" x14ac:dyDescent="0.25">
      <c r="A6590" s="4">
        <v>41142</v>
      </c>
      <c r="B6590" s="6">
        <v>116.03</v>
      </c>
    </row>
    <row r="6591" spans="1:2" x14ac:dyDescent="0.25">
      <c r="A6591" s="4">
        <v>41143</v>
      </c>
      <c r="B6591" s="6">
        <v>115.77</v>
      </c>
    </row>
    <row r="6592" spans="1:2" x14ac:dyDescent="0.25">
      <c r="A6592" s="4">
        <v>41144</v>
      </c>
      <c r="B6592" s="6">
        <v>117.45</v>
      </c>
    </row>
    <row r="6593" spans="1:2" x14ac:dyDescent="0.25">
      <c r="A6593" s="4">
        <v>41145</v>
      </c>
      <c r="B6593" s="6">
        <v>115.76</v>
      </c>
    </row>
    <row r="6594" spans="1:2" x14ac:dyDescent="0.25">
      <c r="A6594" s="4">
        <v>41148</v>
      </c>
      <c r="B6594" s="6">
        <v>113.74</v>
      </c>
    </row>
    <row r="6595" spans="1:2" x14ac:dyDescent="0.25">
      <c r="A6595" s="4">
        <v>41149</v>
      </c>
      <c r="B6595" s="6">
        <v>112.62</v>
      </c>
    </row>
    <row r="6596" spans="1:2" x14ac:dyDescent="0.25">
      <c r="A6596" s="4">
        <v>41150</v>
      </c>
      <c r="B6596" s="6">
        <v>112.53</v>
      </c>
    </row>
    <row r="6597" spans="1:2" x14ac:dyDescent="0.25">
      <c r="A6597" s="4">
        <v>41151</v>
      </c>
      <c r="B6597" s="6">
        <v>112.28</v>
      </c>
    </row>
    <row r="6598" spans="1:2" x14ac:dyDescent="0.25">
      <c r="A6598" s="4">
        <v>41152</v>
      </c>
      <c r="B6598" s="6">
        <v>113.93</v>
      </c>
    </row>
    <row r="6599" spans="1:2" x14ac:dyDescent="0.25">
      <c r="A6599" s="4">
        <v>41155</v>
      </c>
      <c r="B6599" s="5"/>
    </row>
    <row r="6600" spans="1:2" x14ac:dyDescent="0.25">
      <c r="A6600" s="4">
        <v>41156</v>
      </c>
      <c r="B6600" s="6">
        <v>114.98</v>
      </c>
    </row>
    <row r="6601" spans="1:2" x14ac:dyDescent="0.25">
      <c r="A6601" s="4">
        <v>41157</v>
      </c>
      <c r="B6601" s="6">
        <v>113.32</v>
      </c>
    </row>
    <row r="6602" spans="1:2" x14ac:dyDescent="0.25">
      <c r="A6602" s="4">
        <v>41158</v>
      </c>
      <c r="B6602" s="6">
        <v>114.5</v>
      </c>
    </row>
    <row r="6603" spans="1:2" x14ac:dyDescent="0.25">
      <c r="A6603" s="4">
        <v>41159</v>
      </c>
      <c r="B6603" s="6">
        <v>113.64</v>
      </c>
    </row>
    <row r="6604" spans="1:2" x14ac:dyDescent="0.25">
      <c r="A6604" s="4">
        <v>41162</v>
      </c>
      <c r="B6604" s="6">
        <v>113.84</v>
      </c>
    </row>
    <row r="6605" spans="1:2" x14ac:dyDescent="0.25">
      <c r="A6605" s="4">
        <v>41163</v>
      </c>
      <c r="B6605" s="6">
        <v>114.86</v>
      </c>
    </row>
    <row r="6606" spans="1:2" x14ac:dyDescent="0.25">
      <c r="A6606" s="4">
        <v>41164</v>
      </c>
      <c r="B6606" s="6">
        <v>114.86</v>
      </c>
    </row>
    <row r="6607" spans="1:2" x14ac:dyDescent="0.25">
      <c r="A6607" s="4">
        <v>41165</v>
      </c>
      <c r="B6607" s="6">
        <v>116</v>
      </c>
    </row>
    <row r="6608" spans="1:2" x14ac:dyDescent="0.25">
      <c r="A6608" s="4">
        <v>41166</v>
      </c>
      <c r="B6608" s="6">
        <v>117.48</v>
      </c>
    </row>
    <row r="6609" spans="1:2" x14ac:dyDescent="0.25">
      <c r="A6609" s="4">
        <v>41169</v>
      </c>
      <c r="B6609" s="6">
        <v>116.7</v>
      </c>
    </row>
    <row r="6610" spans="1:2" x14ac:dyDescent="0.25">
      <c r="A6610" s="4">
        <v>41170</v>
      </c>
      <c r="B6610" s="6">
        <v>113.29</v>
      </c>
    </row>
    <row r="6611" spans="1:2" x14ac:dyDescent="0.25">
      <c r="A6611" s="4">
        <v>41171</v>
      </c>
      <c r="B6611" s="6">
        <v>108.49</v>
      </c>
    </row>
    <row r="6612" spans="1:2" x14ac:dyDescent="0.25">
      <c r="A6612" s="4">
        <v>41172</v>
      </c>
      <c r="B6612" s="6">
        <v>109.41</v>
      </c>
    </row>
    <row r="6613" spans="1:2" x14ac:dyDescent="0.25">
      <c r="A6613" s="4">
        <v>41173</v>
      </c>
      <c r="B6613" s="6">
        <v>111.27</v>
      </c>
    </row>
    <row r="6614" spans="1:2" x14ac:dyDescent="0.25">
      <c r="A6614" s="4">
        <v>41176</v>
      </c>
      <c r="B6614" s="6">
        <v>109.2</v>
      </c>
    </row>
    <row r="6615" spans="1:2" x14ac:dyDescent="0.25">
      <c r="A6615" s="4">
        <v>41177</v>
      </c>
      <c r="B6615" s="6">
        <v>110.77</v>
      </c>
    </row>
    <row r="6616" spans="1:2" x14ac:dyDescent="0.25">
      <c r="A6616" s="4">
        <v>41178</v>
      </c>
      <c r="B6616" s="6">
        <v>108.99</v>
      </c>
    </row>
    <row r="6617" spans="1:2" x14ac:dyDescent="0.25">
      <c r="A6617" s="4">
        <v>41179</v>
      </c>
      <c r="B6617" s="6">
        <v>111.45</v>
      </c>
    </row>
    <row r="6618" spans="1:2" x14ac:dyDescent="0.25">
      <c r="A6618" s="4">
        <v>41180</v>
      </c>
      <c r="B6618" s="6">
        <v>111.36</v>
      </c>
    </row>
    <row r="6619" spans="1:2" x14ac:dyDescent="0.25">
      <c r="A6619" s="4">
        <v>41183</v>
      </c>
      <c r="B6619" s="6">
        <v>112.58</v>
      </c>
    </row>
    <row r="6620" spans="1:2" x14ac:dyDescent="0.25">
      <c r="A6620" s="4">
        <v>41184</v>
      </c>
      <c r="B6620" s="6">
        <v>112.49</v>
      </c>
    </row>
    <row r="6621" spans="1:2" x14ac:dyDescent="0.25">
      <c r="A6621" s="4">
        <v>41185</v>
      </c>
      <c r="B6621" s="6">
        <v>109.32</v>
      </c>
    </row>
    <row r="6622" spans="1:2" x14ac:dyDescent="0.25">
      <c r="A6622" s="4">
        <v>41186</v>
      </c>
      <c r="B6622" s="6">
        <v>110.48</v>
      </c>
    </row>
    <row r="6623" spans="1:2" x14ac:dyDescent="0.25">
      <c r="A6623" s="4">
        <v>41187</v>
      </c>
      <c r="B6623" s="6">
        <v>112.17</v>
      </c>
    </row>
    <row r="6624" spans="1:2" x14ac:dyDescent="0.25">
      <c r="A6624" s="4">
        <v>41190</v>
      </c>
      <c r="B6624" s="6">
        <v>112.6</v>
      </c>
    </row>
    <row r="6625" spans="1:2" x14ac:dyDescent="0.25">
      <c r="A6625" s="4">
        <v>41191</v>
      </c>
      <c r="B6625" s="6">
        <v>114.32</v>
      </c>
    </row>
    <row r="6626" spans="1:2" x14ac:dyDescent="0.25">
      <c r="A6626" s="4">
        <v>41192</v>
      </c>
      <c r="B6626" s="6">
        <v>116.11</v>
      </c>
    </row>
    <row r="6627" spans="1:2" x14ac:dyDescent="0.25">
      <c r="A6627" s="4">
        <v>41193</v>
      </c>
      <c r="B6627" s="6">
        <v>116.18</v>
      </c>
    </row>
    <row r="6628" spans="1:2" x14ac:dyDescent="0.25">
      <c r="A6628" s="4">
        <v>41194</v>
      </c>
      <c r="B6628" s="6">
        <v>115.17</v>
      </c>
    </row>
    <row r="6629" spans="1:2" x14ac:dyDescent="0.25">
      <c r="A6629" s="4">
        <v>41197</v>
      </c>
      <c r="B6629" s="6">
        <v>115</v>
      </c>
    </row>
    <row r="6630" spans="1:2" x14ac:dyDescent="0.25">
      <c r="A6630" s="4">
        <v>41198</v>
      </c>
      <c r="B6630" s="6">
        <v>115</v>
      </c>
    </row>
    <row r="6631" spans="1:2" x14ac:dyDescent="0.25">
      <c r="A6631" s="4">
        <v>41199</v>
      </c>
      <c r="B6631" s="6">
        <v>113.49</v>
      </c>
    </row>
    <row r="6632" spans="1:2" x14ac:dyDescent="0.25">
      <c r="A6632" s="4">
        <v>41200</v>
      </c>
      <c r="B6632" s="6">
        <v>112.58</v>
      </c>
    </row>
    <row r="6633" spans="1:2" x14ac:dyDescent="0.25">
      <c r="A6633" s="4">
        <v>41201</v>
      </c>
      <c r="B6633" s="6">
        <v>111.89</v>
      </c>
    </row>
    <row r="6634" spans="1:2" x14ac:dyDescent="0.25">
      <c r="A6634" s="4">
        <v>41204</v>
      </c>
      <c r="B6634" s="6">
        <v>109.62</v>
      </c>
    </row>
    <row r="6635" spans="1:2" x14ac:dyDescent="0.25">
      <c r="A6635" s="4">
        <v>41205</v>
      </c>
      <c r="B6635" s="6">
        <v>107.53</v>
      </c>
    </row>
    <row r="6636" spans="1:2" x14ac:dyDescent="0.25">
      <c r="A6636" s="4">
        <v>41206</v>
      </c>
      <c r="B6636" s="6">
        <v>107.66</v>
      </c>
    </row>
    <row r="6637" spans="1:2" x14ac:dyDescent="0.25">
      <c r="A6637" s="4">
        <v>41207</v>
      </c>
      <c r="B6637" s="6">
        <v>107.64</v>
      </c>
    </row>
    <row r="6638" spans="1:2" x14ac:dyDescent="0.25">
      <c r="A6638" s="4">
        <v>41208</v>
      </c>
      <c r="B6638" s="6">
        <v>108.9</v>
      </c>
    </row>
    <row r="6639" spans="1:2" x14ac:dyDescent="0.25">
      <c r="A6639" s="4">
        <v>41211</v>
      </c>
      <c r="B6639" s="6">
        <v>109.33</v>
      </c>
    </row>
    <row r="6640" spans="1:2" x14ac:dyDescent="0.25">
      <c r="A6640" s="4">
        <v>41212</v>
      </c>
      <c r="B6640" s="6">
        <v>109.4</v>
      </c>
    </row>
    <row r="6641" spans="1:2" x14ac:dyDescent="0.25">
      <c r="A6641" s="4">
        <v>41213</v>
      </c>
      <c r="B6641" s="6">
        <v>109.89</v>
      </c>
    </row>
    <row r="6642" spans="1:2" x14ac:dyDescent="0.25">
      <c r="A6642" s="4">
        <v>41214</v>
      </c>
      <c r="B6642" s="6">
        <v>108.84</v>
      </c>
    </row>
    <row r="6643" spans="1:2" x14ac:dyDescent="0.25">
      <c r="A6643" s="4">
        <v>41215</v>
      </c>
      <c r="B6643" s="6">
        <v>106.79</v>
      </c>
    </row>
    <row r="6644" spans="1:2" x14ac:dyDescent="0.25">
      <c r="A6644" s="4">
        <v>41218</v>
      </c>
      <c r="B6644" s="6">
        <v>105.59</v>
      </c>
    </row>
    <row r="6645" spans="1:2" x14ac:dyDescent="0.25">
      <c r="A6645" s="4">
        <v>41219</v>
      </c>
      <c r="B6645" s="6">
        <v>109.27</v>
      </c>
    </row>
    <row r="6646" spans="1:2" x14ac:dyDescent="0.25">
      <c r="A6646" s="4">
        <v>41220</v>
      </c>
      <c r="B6646" s="6">
        <v>108.21</v>
      </c>
    </row>
    <row r="6647" spans="1:2" x14ac:dyDescent="0.25">
      <c r="A6647" s="4">
        <v>41221</v>
      </c>
      <c r="B6647" s="6">
        <v>107.23</v>
      </c>
    </row>
    <row r="6648" spans="1:2" x14ac:dyDescent="0.25">
      <c r="A6648" s="4">
        <v>41222</v>
      </c>
      <c r="B6648" s="6">
        <v>108.61</v>
      </c>
    </row>
    <row r="6649" spans="1:2" x14ac:dyDescent="0.25">
      <c r="A6649" s="4">
        <v>41225</v>
      </c>
      <c r="B6649" s="6">
        <v>110.23</v>
      </c>
    </row>
    <row r="6650" spans="1:2" x14ac:dyDescent="0.25">
      <c r="A6650" s="4">
        <v>41226</v>
      </c>
      <c r="B6650" s="6">
        <v>108.82</v>
      </c>
    </row>
    <row r="6651" spans="1:2" x14ac:dyDescent="0.25">
      <c r="A6651" s="4">
        <v>41227</v>
      </c>
      <c r="B6651" s="6">
        <v>109.66</v>
      </c>
    </row>
    <row r="6652" spans="1:2" x14ac:dyDescent="0.25">
      <c r="A6652" s="4">
        <v>41228</v>
      </c>
      <c r="B6652" s="6">
        <v>110.07</v>
      </c>
    </row>
    <row r="6653" spans="1:2" x14ac:dyDescent="0.25">
      <c r="A6653" s="4">
        <v>41229</v>
      </c>
      <c r="B6653" s="6">
        <v>106.81</v>
      </c>
    </row>
    <row r="6654" spans="1:2" x14ac:dyDescent="0.25">
      <c r="A6654" s="4">
        <v>41232</v>
      </c>
      <c r="B6654" s="6">
        <v>110.06</v>
      </c>
    </row>
    <row r="6655" spans="1:2" x14ac:dyDescent="0.25">
      <c r="A6655" s="4">
        <v>41233</v>
      </c>
      <c r="B6655" s="6">
        <v>110.01</v>
      </c>
    </row>
    <row r="6656" spans="1:2" x14ac:dyDescent="0.25">
      <c r="A6656" s="4">
        <v>41234</v>
      </c>
      <c r="B6656" s="6">
        <v>110.81</v>
      </c>
    </row>
    <row r="6657" spans="1:2" x14ac:dyDescent="0.25">
      <c r="A6657" s="4">
        <v>41235</v>
      </c>
      <c r="B6657" s="5"/>
    </row>
    <row r="6658" spans="1:2" x14ac:dyDescent="0.25">
      <c r="A6658" s="4">
        <v>41236</v>
      </c>
      <c r="B6658" s="6">
        <v>110.14</v>
      </c>
    </row>
    <row r="6659" spans="1:2" x14ac:dyDescent="0.25">
      <c r="A6659" s="4">
        <v>41239</v>
      </c>
      <c r="B6659" s="6">
        <v>110.18</v>
      </c>
    </row>
    <row r="6660" spans="1:2" x14ac:dyDescent="0.25">
      <c r="A6660" s="4">
        <v>41240</v>
      </c>
      <c r="B6660" s="6">
        <v>109.33</v>
      </c>
    </row>
    <row r="6661" spans="1:2" x14ac:dyDescent="0.25">
      <c r="A6661" s="4">
        <v>41241</v>
      </c>
      <c r="B6661" s="6">
        <v>108.26</v>
      </c>
    </row>
    <row r="6662" spans="1:2" x14ac:dyDescent="0.25">
      <c r="A6662" s="4">
        <v>41242</v>
      </c>
      <c r="B6662" s="6">
        <v>110.47</v>
      </c>
    </row>
    <row r="6663" spans="1:2" x14ac:dyDescent="0.25">
      <c r="A6663" s="4">
        <v>41243</v>
      </c>
      <c r="B6663" s="6">
        <v>110.84</v>
      </c>
    </row>
    <row r="6664" spans="1:2" x14ac:dyDescent="0.25">
      <c r="A6664" s="4">
        <v>41246</v>
      </c>
      <c r="B6664" s="6">
        <v>111.27</v>
      </c>
    </row>
    <row r="6665" spans="1:2" x14ac:dyDescent="0.25">
      <c r="A6665" s="4">
        <v>41247</v>
      </c>
      <c r="B6665" s="6">
        <v>109.99</v>
      </c>
    </row>
    <row r="6666" spans="1:2" x14ac:dyDescent="0.25">
      <c r="A6666" s="4">
        <v>41248</v>
      </c>
      <c r="B6666" s="6">
        <v>108.96</v>
      </c>
    </row>
    <row r="6667" spans="1:2" x14ac:dyDescent="0.25">
      <c r="A6667" s="4">
        <v>41249</v>
      </c>
      <c r="B6667" s="6">
        <v>108.01</v>
      </c>
    </row>
    <row r="6668" spans="1:2" x14ac:dyDescent="0.25">
      <c r="A6668" s="4">
        <v>41250</v>
      </c>
      <c r="B6668" s="6">
        <v>107.16</v>
      </c>
    </row>
    <row r="6669" spans="1:2" x14ac:dyDescent="0.25">
      <c r="A6669" s="4">
        <v>41253</v>
      </c>
      <c r="B6669" s="6">
        <v>108.25</v>
      </c>
    </row>
    <row r="6670" spans="1:2" x14ac:dyDescent="0.25">
      <c r="A6670" s="4">
        <v>41254</v>
      </c>
      <c r="B6670" s="6">
        <v>107.6</v>
      </c>
    </row>
    <row r="6671" spans="1:2" x14ac:dyDescent="0.25">
      <c r="A6671" s="4">
        <v>41255</v>
      </c>
      <c r="B6671" s="6">
        <v>110.17</v>
      </c>
    </row>
    <row r="6672" spans="1:2" x14ac:dyDescent="0.25">
      <c r="A6672" s="4">
        <v>41256</v>
      </c>
      <c r="B6672" s="6">
        <v>110.18</v>
      </c>
    </row>
    <row r="6673" spans="1:2" x14ac:dyDescent="0.25">
      <c r="A6673" s="4">
        <v>41257</v>
      </c>
      <c r="B6673" s="6">
        <v>109.28</v>
      </c>
    </row>
    <row r="6674" spans="1:2" x14ac:dyDescent="0.25">
      <c r="A6674" s="4">
        <v>41260</v>
      </c>
      <c r="B6674" s="6">
        <v>109.35</v>
      </c>
    </row>
    <row r="6675" spans="1:2" x14ac:dyDescent="0.25">
      <c r="A6675" s="4">
        <v>41261</v>
      </c>
      <c r="B6675" s="6">
        <v>109.96</v>
      </c>
    </row>
    <row r="6676" spans="1:2" x14ac:dyDescent="0.25">
      <c r="A6676" s="4">
        <v>41262</v>
      </c>
      <c r="B6676" s="6">
        <v>109.95</v>
      </c>
    </row>
    <row r="6677" spans="1:2" x14ac:dyDescent="0.25">
      <c r="A6677" s="4">
        <v>41263</v>
      </c>
      <c r="B6677" s="6">
        <v>110.57</v>
      </c>
    </row>
    <row r="6678" spans="1:2" x14ac:dyDescent="0.25">
      <c r="A6678" s="4">
        <v>41264</v>
      </c>
      <c r="B6678" s="6">
        <v>109.13</v>
      </c>
    </row>
    <row r="6679" spans="1:2" x14ac:dyDescent="0.25">
      <c r="A6679" s="4">
        <v>41267</v>
      </c>
      <c r="B6679" s="6">
        <v>108.44</v>
      </c>
    </row>
    <row r="6680" spans="1:2" x14ac:dyDescent="0.25">
      <c r="A6680" s="4">
        <v>41268</v>
      </c>
      <c r="B6680" s="5"/>
    </row>
    <row r="6681" spans="1:2" x14ac:dyDescent="0.25">
      <c r="A6681" s="4">
        <v>41269</v>
      </c>
      <c r="B6681" s="6">
        <v>110.72</v>
      </c>
    </row>
    <row r="6682" spans="1:2" x14ac:dyDescent="0.25">
      <c r="A6682" s="4">
        <v>41270</v>
      </c>
      <c r="B6682" s="6">
        <v>110.04</v>
      </c>
    </row>
    <row r="6683" spans="1:2" x14ac:dyDescent="0.25">
      <c r="A6683" s="4">
        <v>41271</v>
      </c>
      <c r="B6683" s="6">
        <v>110.05</v>
      </c>
    </row>
    <row r="6684" spans="1:2" x14ac:dyDescent="0.25">
      <c r="A6684" s="4">
        <v>41274</v>
      </c>
      <c r="B6684" s="6">
        <v>110.8</v>
      </c>
    </row>
    <row r="6685" spans="1:2" x14ac:dyDescent="0.25">
      <c r="A6685" s="4">
        <v>41275</v>
      </c>
      <c r="B6685" s="5"/>
    </row>
    <row r="6686" spans="1:2" x14ac:dyDescent="0.25">
      <c r="A6686" s="4">
        <v>41276</v>
      </c>
      <c r="B6686" s="6">
        <v>112.98</v>
      </c>
    </row>
    <row r="6687" spans="1:2" x14ac:dyDescent="0.25">
      <c r="A6687" s="4">
        <v>41277</v>
      </c>
      <c r="B6687" s="6">
        <v>113.03</v>
      </c>
    </row>
    <row r="6688" spans="1:2" x14ac:dyDescent="0.25">
      <c r="A6688" s="4">
        <v>41278</v>
      </c>
      <c r="B6688" s="6">
        <v>112.58</v>
      </c>
    </row>
    <row r="6689" spans="1:2" x14ac:dyDescent="0.25">
      <c r="A6689" s="4">
        <v>41281</v>
      </c>
      <c r="B6689" s="6">
        <v>112.49</v>
      </c>
    </row>
    <row r="6690" spans="1:2" x14ac:dyDescent="0.25">
      <c r="A6690" s="4">
        <v>41282</v>
      </c>
      <c r="B6690" s="6">
        <v>113.03</v>
      </c>
    </row>
    <row r="6691" spans="1:2" x14ac:dyDescent="0.25">
      <c r="A6691" s="4">
        <v>41283</v>
      </c>
      <c r="B6691" s="6">
        <v>113.07</v>
      </c>
    </row>
    <row r="6692" spans="1:2" x14ac:dyDescent="0.25">
      <c r="A6692" s="4">
        <v>41284</v>
      </c>
      <c r="B6692" s="6">
        <v>112.97</v>
      </c>
    </row>
    <row r="6693" spans="1:2" x14ac:dyDescent="0.25">
      <c r="A6693" s="4">
        <v>41285</v>
      </c>
      <c r="B6693" s="6">
        <v>110.3</v>
      </c>
    </row>
    <row r="6694" spans="1:2" x14ac:dyDescent="0.25">
      <c r="A6694" s="4">
        <v>41288</v>
      </c>
      <c r="B6694" s="6">
        <v>111.32</v>
      </c>
    </row>
    <row r="6695" spans="1:2" x14ac:dyDescent="0.25">
      <c r="A6695" s="4">
        <v>41289</v>
      </c>
      <c r="B6695" s="6">
        <v>111.72</v>
      </c>
    </row>
    <row r="6696" spans="1:2" x14ac:dyDescent="0.25">
      <c r="A6696" s="4">
        <v>41290</v>
      </c>
      <c r="B6696" s="6">
        <v>110.97</v>
      </c>
    </row>
    <row r="6697" spans="1:2" x14ac:dyDescent="0.25">
      <c r="A6697" s="4">
        <v>41291</v>
      </c>
      <c r="B6697" s="6">
        <v>111.01</v>
      </c>
    </row>
    <row r="6698" spans="1:2" x14ac:dyDescent="0.25">
      <c r="A6698" s="4">
        <v>41292</v>
      </c>
      <c r="B6698" s="6">
        <v>111.71</v>
      </c>
    </row>
    <row r="6699" spans="1:2" x14ac:dyDescent="0.25">
      <c r="A6699" s="4">
        <v>41295</v>
      </c>
      <c r="B6699" s="5"/>
    </row>
    <row r="6700" spans="1:2" x14ac:dyDescent="0.25">
      <c r="A6700" s="4">
        <v>41296</v>
      </c>
      <c r="B6700" s="6">
        <v>112.72</v>
      </c>
    </row>
    <row r="6701" spans="1:2" x14ac:dyDescent="0.25">
      <c r="A6701" s="4">
        <v>41297</v>
      </c>
      <c r="B6701" s="6">
        <v>113.68</v>
      </c>
    </row>
    <row r="6702" spans="1:2" x14ac:dyDescent="0.25">
      <c r="A6702" s="4">
        <v>41298</v>
      </c>
      <c r="B6702" s="6">
        <v>114.59</v>
      </c>
    </row>
    <row r="6703" spans="1:2" x14ac:dyDescent="0.25">
      <c r="A6703" s="4">
        <v>41299</v>
      </c>
      <c r="B6703" s="6">
        <v>113.88</v>
      </c>
    </row>
    <row r="6704" spans="1:2" x14ac:dyDescent="0.25">
      <c r="A6704" s="4">
        <v>41302</v>
      </c>
      <c r="B6704" s="6">
        <v>113.92</v>
      </c>
    </row>
    <row r="6705" spans="1:2" x14ac:dyDescent="0.25">
      <c r="A6705" s="4">
        <v>41303</v>
      </c>
      <c r="B6705" s="6">
        <v>115.22</v>
      </c>
    </row>
    <row r="6706" spans="1:2" x14ac:dyDescent="0.25">
      <c r="A6706" s="4">
        <v>41304</v>
      </c>
      <c r="B6706" s="6">
        <v>115.42</v>
      </c>
    </row>
    <row r="6707" spans="1:2" x14ac:dyDescent="0.25">
      <c r="A6707" s="4">
        <v>41305</v>
      </c>
      <c r="B6707" s="6">
        <v>115.55</v>
      </c>
    </row>
    <row r="6708" spans="1:2" x14ac:dyDescent="0.25">
      <c r="A6708" s="4">
        <v>41306</v>
      </c>
      <c r="B6708" s="6">
        <v>115.55</v>
      </c>
    </row>
    <row r="6709" spans="1:2" x14ac:dyDescent="0.25">
      <c r="A6709" s="4">
        <v>41309</v>
      </c>
      <c r="B6709" s="6">
        <v>116.06</v>
      </c>
    </row>
    <row r="6710" spans="1:2" x14ac:dyDescent="0.25">
      <c r="A6710" s="4">
        <v>41310</v>
      </c>
      <c r="B6710" s="6">
        <v>117.03</v>
      </c>
    </row>
    <row r="6711" spans="1:2" x14ac:dyDescent="0.25">
      <c r="A6711" s="4">
        <v>41311</v>
      </c>
      <c r="B6711" s="6">
        <v>116.61</v>
      </c>
    </row>
    <row r="6712" spans="1:2" x14ac:dyDescent="0.25">
      <c r="A6712" s="4">
        <v>41312</v>
      </c>
      <c r="B6712" s="6">
        <v>117.17</v>
      </c>
    </row>
    <row r="6713" spans="1:2" x14ac:dyDescent="0.25">
      <c r="A6713" s="4">
        <v>41313</v>
      </c>
      <c r="B6713" s="6">
        <v>118.9</v>
      </c>
    </row>
    <row r="6714" spans="1:2" x14ac:dyDescent="0.25">
      <c r="A6714" s="4">
        <v>41316</v>
      </c>
      <c r="B6714" s="6">
        <v>118.29</v>
      </c>
    </row>
    <row r="6715" spans="1:2" x14ac:dyDescent="0.25">
      <c r="A6715" s="4">
        <v>41317</v>
      </c>
      <c r="B6715" s="6">
        <v>117.89</v>
      </c>
    </row>
    <row r="6716" spans="1:2" x14ac:dyDescent="0.25">
      <c r="A6716" s="4">
        <v>41318</v>
      </c>
      <c r="B6716" s="6">
        <v>118.43</v>
      </c>
    </row>
    <row r="6717" spans="1:2" x14ac:dyDescent="0.25">
      <c r="A6717" s="4">
        <v>41319</v>
      </c>
      <c r="B6717" s="6">
        <v>118.48</v>
      </c>
    </row>
    <row r="6718" spans="1:2" x14ac:dyDescent="0.25">
      <c r="A6718" s="4">
        <v>41320</v>
      </c>
      <c r="B6718" s="6">
        <v>117.4</v>
      </c>
    </row>
    <row r="6719" spans="1:2" x14ac:dyDescent="0.25">
      <c r="A6719" s="4">
        <v>41323</v>
      </c>
      <c r="B6719" s="5"/>
    </row>
    <row r="6720" spans="1:2" x14ac:dyDescent="0.25">
      <c r="A6720" s="4">
        <v>41324</v>
      </c>
      <c r="B6720" s="6">
        <v>117.04</v>
      </c>
    </row>
    <row r="6721" spans="1:2" x14ac:dyDescent="0.25">
      <c r="A6721" s="4">
        <v>41325</v>
      </c>
      <c r="B6721" s="6">
        <v>116.23</v>
      </c>
    </row>
    <row r="6722" spans="1:2" x14ac:dyDescent="0.25">
      <c r="A6722" s="4">
        <v>41326</v>
      </c>
      <c r="B6722" s="6">
        <v>114.19</v>
      </c>
    </row>
    <row r="6723" spans="1:2" x14ac:dyDescent="0.25">
      <c r="A6723" s="4">
        <v>41327</v>
      </c>
      <c r="B6723" s="6">
        <v>113.74</v>
      </c>
    </row>
    <row r="6724" spans="1:2" x14ac:dyDescent="0.25">
      <c r="A6724" s="4">
        <v>41330</v>
      </c>
      <c r="B6724" s="6">
        <v>114.55</v>
      </c>
    </row>
    <row r="6725" spans="1:2" x14ac:dyDescent="0.25">
      <c r="A6725" s="4">
        <v>41331</v>
      </c>
      <c r="B6725" s="6">
        <v>112.96</v>
      </c>
    </row>
    <row r="6726" spans="1:2" x14ac:dyDescent="0.25">
      <c r="A6726" s="4">
        <v>41332</v>
      </c>
      <c r="B6726" s="6">
        <v>112.24</v>
      </c>
    </row>
    <row r="6727" spans="1:2" x14ac:dyDescent="0.25">
      <c r="A6727" s="4">
        <v>41333</v>
      </c>
      <c r="B6727" s="6">
        <v>112.2</v>
      </c>
    </row>
    <row r="6728" spans="1:2" x14ac:dyDescent="0.25">
      <c r="A6728" s="4">
        <v>41334</v>
      </c>
      <c r="B6728" s="6">
        <v>110.14</v>
      </c>
    </row>
    <row r="6729" spans="1:2" x14ac:dyDescent="0.25">
      <c r="A6729" s="4">
        <v>41337</v>
      </c>
      <c r="B6729" s="6">
        <v>109.9</v>
      </c>
    </row>
    <row r="6730" spans="1:2" x14ac:dyDescent="0.25">
      <c r="A6730" s="4">
        <v>41338</v>
      </c>
      <c r="B6730" s="6">
        <v>110.42</v>
      </c>
    </row>
    <row r="6731" spans="1:2" x14ac:dyDescent="0.25">
      <c r="A6731" s="4">
        <v>41339</v>
      </c>
      <c r="B6731" s="6">
        <v>110.27</v>
      </c>
    </row>
    <row r="6732" spans="1:2" x14ac:dyDescent="0.25">
      <c r="A6732" s="4">
        <v>41340</v>
      </c>
      <c r="B6732" s="6">
        <v>110.42</v>
      </c>
    </row>
    <row r="6733" spans="1:2" x14ac:dyDescent="0.25">
      <c r="A6733" s="4">
        <v>41341</v>
      </c>
      <c r="B6733" s="6">
        <v>108.91</v>
      </c>
    </row>
    <row r="6734" spans="1:2" x14ac:dyDescent="0.25">
      <c r="A6734" s="4">
        <v>41344</v>
      </c>
      <c r="B6734" s="6">
        <v>108.64</v>
      </c>
    </row>
    <row r="6735" spans="1:2" x14ac:dyDescent="0.25">
      <c r="A6735" s="4">
        <v>41345</v>
      </c>
      <c r="B6735" s="6">
        <v>108.48</v>
      </c>
    </row>
    <row r="6736" spans="1:2" x14ac:dyDescent="0.25">
      <c r="A6736" s="4">
        <v>41346</v>
      </c>
      <c r="B6736" s="6">
        <v>107.51</v>
      </c>
    </row>
    <row r="6737" spans="1:2" x14ac:dyDescent="0.25">
      <c r="A6737" s="4">
        <v>41347</v>
      </c>
      <c r="B6737" s="6">
        <v>108.1</v>
      </c>
    </row>
    <row r="6738" spans="1:2" x14ac:dyDescent="0.25">
      <c r="A6738" s="4">
        <v>41348</v>
      </c>
      <c r="B6738" s="6">
        <v>109.32</v>
      </c>
    </row>
    <row r="6739" spans="1:2" x14ac:dyDescent="0.25">
      <c r="A6739" s="4">
        <v>41351</v>
      </c>
      <c r="B6739" s="6">
        <v>108.54</v>
      </c>
    </row>
    <row r="6740" spans="1:2" x14ac:dyDescent="0.25">
      <c r="A6740" s="4">
        <v>41352</v>
      </c>
      <c r="B6740" s="6">
        <v>106.91</v>
      </c>
    </row>
    <row r="6741" spans="1:2" x14ac:dyDescent="0.25">
      <c r="A6741" s="4">
        <v>41353</v>
      </c>
      <c r="B6741" s="6">
        <v>108.27</v>
      </c>
    </row>
    <row r="6742" spans="1:2" x14ac:dyDescent="0.25">
      <c r="A6742" s="4">
        <v>41354</v>
      </c>
      <c r="B6742" s="6">
        <v>106.41</v>
      </c>
    </row>
    <row r="6743" spans="1:2" x14ac:dyDescent="0.25">
      <c r="A6743" s="4">
        <v>41355</v>
      </c>
      <c r="B6743" s="6">
        <v>106.51</v>
      </c>
    </row>
    <row r="6744" spans="1:2" x14ac:dyDescent="0.25">
      <c r="A6744" s="4">
        <v>41358</v>
      </c>
      <c r="B6744" s="6">
        <v>106.66</v>
      </c>
    </row>
    <row r="6745" spans="1:2" x14ac:dyDescent="0.25">
      <c r="A6745" s="4">
        <v>41359</v>
      </c>
      <c r="B6745" s="6">
        <v>107.1</v>
      </c>
    </row>
    <row r="6746" spans="1:2" x14ac:dyDescent="0.25">
      <c r="A6746" s="4">
        <v>41360</v>
      </c>
      <c r="B6746" s="6">
        <v>108.51</v>
      </c>
    </row>
    <row r="6747" spans="1:2" x14ac:dyDescent="0.25">
      <c r="A6747" s="4">
        <v>41361</v>
      </c>
      <c r="B6747" s="6">
        <v>108.46</v>
      </c>
    </row>
    <row r="6748" spans="1:2" x14ac:dyDescent="0.25">
      <c r="A6748" s="4">
        <v>41362</v>
      </c>
      <c r="B6748" s="5"/>
    </row>
    <row r="6749" spans="1:2" x14ac:dyDescent="0.25">
      <c r="A6749" s="4">
        <v>41365</v>
      </c>
      <c r="B6749" s="6">
        <v>108.76</v>
      </c>
    </row>
    <row r="6750" spans="1:2" x14ac:dyDescent="0.25">
      <c r="A6750" s="4">
        <v>41366</v>
      </c>
      <c r="B6750" s="6">
        <v>109.66</v>
      </c>
    </row>
    <row r="6751" spans="1:2" x14ac:dyDescent="0.25">
      <c r="A6751" s="4">
        <v>41367</v>
      </c>
      <c r="B6751" s="6">
        <v>107.82</v>
      </c>
    </row>
    <row r="6752" spans="1:2" x14ac:dyDescent="0.25">
      <c r="A6752" s="4">
        <v>41368</v>
      </c>
      <c r="B6752" s="6">
        <v>105.09</v>
      </c>
    </row>
    <row r="6753" spans="1:2" x14ac:dyDescent="0.25">
      <c r="A6753" s="4">
        <v>41369</v>
      </c>
      <c r="B6753" s="6">
        <v>103.98</v>
      </c>
    </row>
    <row r="6754" spans="1:2" x14ac:dyDescent="0.25">
      <c r="A6754" s="4">
        <v>41372</v>
      </c>
      <c r="B6754" s="6">
        <v>103.16</v>
      </c>
    </row>
    <row r="6755" spans="1:2" x14ac:dyDescent="0.25">
      <c r="A6755" s="4">
        <v>41373</v>
      </c>
      <c r="B6755" s="6">
        <v>104.08</v>
      </c>
    </row>
    <row r="6756" spans="1:2" x14ac:dyDescent="0.25">
      <c r="A6756" s="4">
        <v>41374</v>
      </c>
      <c r="B6756" s="6">
        <v>104.8</v>
      </c>
    </row>
    <row r="6757" spans="1:2" x14ac:dyDescent="0.25">
      <c r="A6757" s="4">
        <v>41375</v>
      </c>
      <c r="B6757" s="6">
        <v>103.62</v>
      </c>
    </row>
    <row r="6758" spans="1:2" x14ac:dyDescent="0.25">
      <c r="A6758" s="4">
        <v>41376</v>
      </c>
      <c r="B6758" s="6">
        <v>100.58</v>
      </c>
    </row>
    <row r="6759" spans="1:2" x14ac:dyDescent="0.25">
      <c r="A6759" s="4">
        <v>41379</v>
      </c>
      <c r="B6759" s="6">
        <v>99.32</v>
      </c>
    </row>
    <row r="6760" spans="1:2" x14ac:dyDescent="0.25">
      <c r="A6760" s="4">
        <v>41380</v>
      </c>
      <c r="B6760" s="6">
        <v>97.88</v>
      </c>
    </row>
    <row r="6761" spans="1:2" x14ac:dyDescent="0.25">
      <c r="A6761" s="4">
        <v>41381</v>
      </c>
      <c r="B6761" s="6">
        <v>96.84</v>
      </c>
    </row>
    <row r="6762" spans="1:2" x14ac:dyDescent="0.25">
      <c r="A6762" s="4">
        <v>41382</v>
      </c>
      <c r="B6762" s="6">
        <v>97.48</v>
      </c>
    </row>
    <row r="6763" spans="1:2" x14ac:dyDescent="0.25">
      <c r="A6763" s="4">
        <v>41383</v>
      </c>
      <c r="B6763" s="6">
        <v>98.94</v>
      </c>
    </row>
    <row r="6764" spans="1:2" x14ac:dyDescent="0.25">
      <c r="A6764" s="4">
        <v>41386</v>
      </c>
      <c r="B6764" s="6">
        <v>99.07</v>
      </c>
    </row>
    <row r="6765" spans="1:2" x14ac:dyDescent="0.25">
      <c r="A6765" s="4">
        <v>41387</v>
      </c>
      <c r="B6765" s="6">
        <v>99.25</v>
      </c>
    </row>
    <row r="6766" spans="1:2" x14ac:dyDescent="0.25">
      <c r="A6766" s="4">
        <v>41388</v>
      </c>
      <c r="B6766" s="6">
        <v>100.71</v>
      </c>
    </row>
    <row r="6767" spans="1:2" x14ac:dyDescent="0.25">
      <c r="A6767" s="4">
        <v>41389</v>
      </c>
      <c r="B6767" s="6">
        <v>101.62</v>
      </c>
    </row>
    <row r="6768" spans="1:2" x14ac:dyDescent="0.25">
      <c r="A6768" s="4">
        <v>41390</v>
      </c>
      <c r="B6768" s="6">
        <v>102.39</v>
      </c>
    </row>
    <row r="6769" spans="1:2" x14ac:dyDescent="0.25">
      <c r="A6769" s="4">
        <v>41393</v>
      </c>
      <c r="B6769" s="6">
        <v>102.88</v>
      </c>
    </row>
    <row r="6770" spans="1:2" x14ac:dyDescent="0.25">
      <c r="A6770" s="4">
        <v>41394</v>
      </c>
      <c r="B6770" s="6">
        <v>101.53</v>
      </c>
    </row>
    <row r="6771" spans="1:2" x14ac:dyDescent="0.25">
      <c r="A6771" s="4">
        <v>41395</v>
      </c>
      <c r="B6771" s="6">
        <v>98.34</v>
      </c>
    </row>
    <row r="6772" spans="1:2" x14ac:dyDescent="0.25">
      <c r="A6772" s="4">
        <v>41396</v>
      </c>
      <c r="B6772" s="6">
        <v>100.32</v>
      </c>
    </row>
    <row r="6773" spans="1:2" x14ac:dyDescent="0.25">
      <c r="A6773" s="4">
        <v>41397</v>
      </c>
      <c r="B6773" s="6">
        <v>104.6</v>
      </c>
    </row>
    <row r="6774" spans="1:2" x14ac:dyDescent="0.25">
      <c r="A6774" s="4">
        <v>41400</v>
      </c>
      <c r="B6774" s="6">
        <v>105</v>
      </c>
    </row>
    <row r="6775" spans="1:2" x14ac:dyDescent="0.25">
      <c r="A6775" s="4">
        <v>41401</v>
      </c>
      <c r="B6775" s="6">
        <v>105.18</v>
      </c>
    </row>
    <row r="6776" spans="1:2" x14ac:dyDescent="0.25">
      <c r="A6776" s="4">
        <v>41402</v>
      </c>
      <c r="B6776" s="6">
        <v>103.79</v>
      </c>
    </row>
    <row r="6777" spans="1:2" x14ac:dyDescent="0.25">
      <c r="A6777" s="4">
        <v>41403</v>
      </c>
      <c r="B6777" s="6">
        <v>103.59</v>
      </c>
    </row>
    <row r="6778" spans="1:2" x14ac:dyDescent="0.25">
      <c r="A6778" s="4">
        <v>41404</v>
      </c>
      <c r="B6778" s="6">
        <v>101.31</v>
      </c>
    </row>
    <row r="6779" spans="1:2" x14ac:dyDescent="0.25">
      <c r="A6779" s="4">
        <v>41407</v>
      </c>
      <c r="B6779" s="6">
        <v>102.17</v>
      </c>
    </row>
    <row r="6780" spans="1:2" x14ac:dyDescent="0.25">
      <c r="A6780" s="4">
        <v>41408</v>
      </c>
      <c r="B6780" s="6">
        <v>102.7</v>
      </c>
    </row>
    <row r="6781" spans="1:2" x14ac:dyDescent="0.25">
      <c r="A6781" s="4">
        <v>41409</v>
      </c>
      <c r="B6781" s="6">
        <v>101.57</v>
      </c>
    </row>
    <row r="6782" spans="1:2" x14ac:dyDescent="0.25">
      <c r="A6782" s="4">
        <v>41410</v>
      </c>
      <c r="B6782" s="6">
        <v>104.27</v>
      </c>
    </row>
    <row r="6783" spans="1:2" x14ac:dyDescent="0.25">
      <c r="A6783" s="4">
        <v>41411</v>
      </c>
      <c r="B6783" s="6">
        <v>103.83</v>
      </c>
    </row>
    <row r="6784" spans="1:2" x14ac:dyDescent="0.25">
      <c r="A6784" s="4">
        <v>41414</v>
      </c>
      <c r="B6784" s="6">
        <v>104.55</v>
      </c>
    </row>
    <row r="6785" spans="1:2" x14ac:dyDescent="0.25">
      <c r="A6785" s="4">
        <v>41415</v>
      </c>
      <c r="B6785" s="6">
        <v>103.1</v>
      </c>
    </row>
    <row r="6786" spans="1:2" x14ac:dyDescent="0.25">
      <c r="A6786" s="4">
        <v>41416</v>
      </c>
      <c r="B6786" s="6">
        <v>102.14</v>
      </c>
    </row>
    <row r="6787" spans="1:2" x14ac:dyDescent="0.25">
      <c r="A6787" s="4">
        <v>41417</v>
      </c>
      <c r="B6787" s="6">
        <v>100.46</v>
      </c>
    </row>
    <row r="6788" spans="1:2" x14ac:dyDescent="0.25">
      <c r="A6788" s="4">
        <v>41418</v>
      </c>
      <c r="B6788" s="6">
        <v>101.24</v>
      </c>
    </row>
    <row r="6789" spans="1:2" x14ac:dyDescent="0.25">
      <c r="A6789" s="4">
        <v>41421</v>
      </c>
      <c r="B6789" s="5"/>
    </row>
    <row r="6790" spans="1:2" x14ac:dyDescent="0.25">
      <c r="A6790" s="4">
        <v>41422</v>
      </c>
      <c r="B6790" s="6">
        <v>103.77</v>
      </c>
    </row>
    <row r="6791" spans="1:2" x14ac:dyDescent="0.25">
      <c r="A6791" s="4">
        <v>41423</v>
      </c>
      <c r="B6791" s="6">
        <v>102.14</v>
      </c>
    </row>
    <row r="6792" spans="1:2" x14ac:dyDescent="0.25">
      <c r="A6792" s="4">
        <v>41424</v>
      </c>
      <c r="B6792" s="6">
        <v>101.79</v>
      </c>
    </row>
    <row r="6793" spans="1:2" x14ac:dyDescent="0.25">
      <c r="A6793" s="4">
        <v>41425</v>
      </c>
      <c r="B6793" s="6">
        <v>100.43</v>
      </c>
    </row>
    <row r="6794" spans="1:2" x14ac:dyDescent="0.25">
      <c r="A6794" s="4">
        <v>41428</v>
      </c>
      <c r="B6794" s="6">
        <v>101.63</v>
      </c>
    </row>
    <row r="6795" spans="1:2" x14ac:dyDescent="0.25">
      <c r="A6795" s="4">
        <v>41429</v>
      </c>
      <c r="B6795" s="6">
        <v>102.04</v>
      </c>
    </row>
    <row r="6796" spans="1:2" x14ac:dyDescent="0.25">
      <c r="A6796" s="4">
        <v>41430</v>
      </c>
      <c r="B6796" s="6">
        <v>103.51</v>
      </c>
    </row>
    <row r="6797" spans="1:2" x14ac:dyDescent="0.25">
      <c r="A6797" s="4">
        <v>41431</v>
      </c>
      <c r="B6797" s="6">
        <v>103.37</v>
      </c>
    </row>
    <row r="6798" spans="1:2" x14ac:dyDescent="0.25">
      <c r="A6798" s="4">
        <v>41432</v>
      </c>
      <c r="B6798" s="6">
        <v>104.07</v>
      </c>
    </row>
    <row r="6799" spans="1:2" x14ac:dyDescent="0.25">
      <c r="A6799" s="4">
        <v>41435</v>
      </c>
      <c r="B6799" s="6">
        <v>103.87</v>
      </c>
    </row>
    <row r="6800" spans="1:2" x14ac:dyDescent="0.25">
      <c r="A6800" s="4">
        <v>41436</v>
      </c>
      <c r="B6800" s="6">
        <v>101.5</v>
      </c>
    </row>
    <row r="6801" spans="1:2" x14ac:dyDescent="0.25">
      <c r="A6801" s="4">
        <v>41437</v>
      </c>
      <c r="B6801" s="6">
        <v>103.11</v>
      </c>
    </row>
    <row r="6802" spans="1:2" x14ac:dyDescent="0.25">
      <c r="A6802" s="4">
        <v>41438</v>
      </c>
      <c r="B6802" s="6">
        <v>103.38</v>
      </c>
    </row>
    <row r="6803" spans="1:2" x14ac:dyDescent="0.25">
      <c r="A6803" s="4">
        <v>41439</v>
      </c>
      <c r="B6803" s="6">
        <v>105.1</v>
      </c>
    </row>
    <row r="6804" spans="1:2" x14ac:dyDescent="0.25">
      <c r="A6804" s="4">
        <v>41442</v>
      </c>
      <c r="B6804" s="6">
        <v>105.8</v>
      </c>
    </row>
    <row r="6805" spans="1:2" x14ac:dyDescent="0.25">
      <c r="A6805" s="4">
        <v>41443</v>
      </c>
      <c r="B6805" s="6">
        <v>105.21</v>
      </c>
    </row>
    <row r="6806" spans="1:2" x14ac:dyDescent="0.25">
      <c r="A6806" s="4">
        <v>41444</v>
      </c>
      <c r="B6806" s="6">
        <v>105.56</v>
      </c>
    </row>
    <row r="6807" spans="1:2" x14ac:dyDescent="0.25">
      <c r="A6807" s="4">
        <v>41445</v>
      </c>
      <c r="B6807" s="6">
        <v>102.72</v>
      </c>
    </row>
    <row r="6808" spans="1:2" x14ac:dyDescent="0.25">
      <c r="A6808" s="4">
        <v>41446</v>
      </c>
      <c r="B6808" s="6">
        <v>100.36</v>
      </c>
    </row>
    <row r="6809" spans="1:2" x14ac:dyDescent="0.25">
      <c r="A6809" s="4">
        <v>41449</v>
      </c>
      <c r="B6809" s="6">
        <v>99.8</v>
      </c>
    </row>
    <row r="6810" spans="1:2" x14ac:dyDescent="0.25">
      <c r="A6810" s="4">
        <v>41450</v>
      </c>
      <c r="B6810" s="6">
        <v>101.51</v>
      </c>
    </row>
    <row r="6811" spans="1:2" x14ac:dyDescent="0.25">
      <c r="A6811" s="4">
        <v>41451</v>
      </c>
      <c r="B6811" s="6">
        <v>100.62</v>
      </c>
    </row>
    <row r="6812" spans="1:2" x14ac:dyDescent="0.25">
      <c r="A6812" s="4">
        <v>41452</v>
      </c>
      <c r="B6812" s="6">
        <v>102.74</v>
      </c>
    </row>
    <row r="6813" spans="1:2" x14ac:dyDescent="0.25">
      <c r="A6813" s="4">
        <v>41453</v>
      </c>
      <c r="B6813" s="6">
        <v>102.49</v>
      </c>
    </row>
    <row r="6814" spans="1:2" x14ac:dyDescent="0.25">
      <c r="A6814" s="4">
        <v>41456</v>
      </c>
      <c r="B6814" s="6">
        <v>103.19</v>
      </c>
    </row>
    <row r="6815" spans="1:2" x14ac:dyDescent="0.25">
      <c r="A6815" s="4">
        <v>41457</v>
      </c>
      <c r="B6815" s="6">
        <v>103.96</v>
      </c>
    </row>
    <row r="6816" spans="1:2" x14ac:dyDescent="0.25">
      <c r="A6816" s="4">
        <v>41458</v>
      </c>
      <c r="B6816" s="6">
        <v>106.12</v>
      </c>
    </row>
    <row r="6817" spans="1:2" x14ac:dyDescent="0.25">
      <c r="A6817" s="4">
        <v>41459</v>
      </c>
      <c r="B6817" s="5"/>
    </row>
    <row r="6818" spans="1:2" x14ac:dyDescent="0.25">
      <c r="A6818" s="4">
        <v>41460</v>
      </c>
      <c r="B6818" s="6">
        <v>107.46</v>
      </c>
    </row>
    <row r="6819" spans="1:2" x14ac:dyDescent="0.25">
      <c r="A6819" s="4">
        <v>41463</v>
      </c>
      <c r="B6819" s="6">
        <v>107.75</v>
      </c>
    </row>
    <row r="6820" spans="1:2" x14ac:dyDescent="0.25">
      <c r="A6820" s="4">
        <v>41464</v>
      </c>
      <c r="B6820" s="6">
        <v>107.9</v>
      </c>
    </row>
    <row r="6821" spans="1:2" x14ac:dyDescent="0.25">
      <c r="A6821" s="4">
        <v>41465</v>
      </c>
      <c r="B6821" s="6">
        <v>108.43</v>
      </c>
    </row>
    <row r="6822" spans="1:2" x14ac:dyDescent="0.25">
      <c r="A6822" s="4">
        <v>41466</v>
      </c>
      <c r="B6822" s="6">
        <v>108.18</v>
      </c>
    </row>
    <row r="6823" spans="1:2" x14ac:dyDescent="0.25">
      <c r="A6823" s="4">
        <v>41467</v>
      </c>
      <c r="B6823" s="6">
        <v>109.03</v>
      </c>
    </row>
    <row r="6824" spans="1:2" x14ac:dyDescent="0.25">
      <c r="A6824" s="4">
        <v>41470</v>
      </c>
      <c r="B6824" s="6">
        <v>109.05</v>
      </c>
    </row>
    <row r="6825" spans="1:2" x14ac:dyDescent="0.25">
      <c r="A6825" s="4">
        <v>41471</v>
      </c>
      <c r="B6825" s="6">
        <v>109.29</v>
      </c>
    </row>
    <row r="6826" spans="1:2" x14ac:dyDescent="0.25">
      <c r="A6826" s="4">
        <v>41472</v>
      </c>
      <c r="B6826" s="6">
        <v>109.67</v>
      </c>
    </row>
    <row r="6827" spans="1:2" x14ac:dyDescent="0.25">
      <c r="A6827" s="4">
        <v>41473</v>
      </c>
      <c r="B6827" s="6">
        <v>109.71</v>
      </c>
    </row>
    <row r="6828" spans="1:2" x14ac:dyDescent="0.25">
      <c r="A6828" s="4">
        <v>41474</v>
      </c>
      <c r="B6828" s="6">
        <v>109.34</v>
      </c>
    </row>
    <row r="6829" spans="1:2" x14ac:dyDescent="0.25">
      <c r="A6829" s="4">
        <v>41477</v>
      </c>
      <c r="B6829" s="6">
        <v>108.82</v>
      </c>
    </row>
    <row r="6830" spans="1:2" x14ac:dyDescent="0.25">
      <c r="A6830" s="4">
        <v>41478</v>
      </c>
      <c r="B6830" s="6">
        <v>109.27</v>
      </c>
    </row>
    <row r="6831" spans="1:2" x14ac:dyDescent="0.25">
      <c r="A6831" s="4">
        <v>41479</v>
      </c>
      <c r="B6831" s="6">
        <v>108.23</v>
      </c>
    </row>
    <row r="6832" spans="1:2" x14ac:dyDescent="0.25">
      <c r="A6832" s="4">
        <v>41480</v>
      </c>
      <c r="B6832" s="6">
        <v>108.1</v>
      </c>
    </row>
    <row r="6833" spans="1:2" x14ac:dyDescent="0.25">
      <c r="A6833" s="4">
        <v>41481</v>
      </c>
      <c r="B6833" s="6">
        <v>107.57</v>
      </c>
    </row>
    <row r="6834" spans="1:2" x14ac:dyDescent="0.25">
      <c r="A6834" s="4">
        <v>41484</v>
      </c>
      <c r="B6834" s="6">
        <v>108.1</v>
      </c>
    </row>
    <row r="6835" spans="1:2" x14ac:dyDescent="0.25">
      <c r="A6835" s="4">
        <v>41485</v>
      </c>
      <c r="B6835" s="6">
        <v>107.47</v>
      </c>
    </row>
    <row r="6836" spans="1:2" x14ac:dyDescent="0.25">
      <c r="A6836" s="4">
        <v>41486</v>
      </c>
      <c r="B6836" s="6">
        <v>107.89</v>
      </c>
    </row>
    <row r="6837" spans="1:2" x14ac:dyDescent="0.25">
      <c r="A6837" s="4">
        <v>41487</v>
      </c>
      <c r="B6837" s="6">
        <v>109.94</v>
      </c>
    </row>
    <row r="6838" spans="1:2" x14ac:dyDescent="0.25">
      <c r="A6838" s="4">
        <v>41488</v>
      </c>
      <c r="B6838" s="6">
        <v>109.63</v>
      </c>
    </row>
    <row r="6839" spans="1:2" x14ac:dyDescent="0.25">
      <c r="A6839" s="4">
        <v>41491</v>
      </c>
      <c r="B6839" s="6">
        <v>109.81</v>
      </c>
    </row>
    <row r="6840" spans="1:2" x14ac:dyDescent="0.25">
      <c r="A6840" s="4">
        <v>41492</v>
      </c>
      <c r="B6840" s="6">
        <v>108.77</v>
      </c>
    </row>
    <row r="6841" spans="1:2" x14ac:dyDescent="0.25">
      <c r="A6841" s="4">
        <v>41493</v>
      </c>
      <c r="B6841" s="6">
        <v>108.39</v>
      </c>
    </row>
    <row r="6842" spans="1:2" x14ac:dyDescent="0.25">
      <c r="A6842" s="4">
        <v>41494</v>
      </c>
      <c r="B6842" s="6">
        <v>107.32</v>
      </c>
    </row>
    <row r="6843" spans="1:2" x14ac:dyDescent="0.25">
      <c r="A6843" s="4">
        <v>41495</v>
      </c>
      <c r="B6843" s="6">
        <v>108.49</v>
      </c>
    </row>
    <row r="6844" spans="1:2" x14ac:dyDescent="0.25">
      <c r="A6844" s="4">
        <v>41498</v>
      </c>
      <c r="B6844" s="6">
        <v>109.28</v>
      </c>
    </row>
    <row r="6845" spans="1:2" x14ac:dyDescent="0.25">
      <c r="A6845" s="4">
        <v>41499</v>
      </c>
      <c r="B6845" s="6">
        <v>110.69</v>
      </c>
    </row>
    <row r="6846" spans="1:2" x14ac:dyDescent="0.25">
      <c r="A6846" s="4">
        <v>41500</v>
      </c>
      <c r="B6846" s="6">
        <v>110.26</v>
      </c>
    </row>
    <row r="6847" spans="1:2" x14ac:dyDescent="0.25">
      <c r="A6847" s="4">
        <v>41501</v>
      </c>
      <c r="B6847" s="6">
        <v>111.58</v>
      </c>
    </row>
    <row r="6848" spans="1:2" x14ac:dyDescent="0.25">
      <c r="A6848" s="4">
        <v>41502</v>
      </c>
      <c r="B6848" s="6">
        <v>111.82</v>
      </c>
    </row>
    <row r="6849" spans="1:2" x14ac:dyDescent="0.25">
      <c r="A6849" s="4">
        <v>41505</v>
      </c>
      <c r="B6849" s="6">
        <v>111.41</v>
      </c>
    </row>
    <row r="6850" spans="1:2" x14ac:dyDescent="0.25">
      <c r="A6850" s="4">
        <v>41506</v>
      </c>
      <c r="B6850" s="6">
        <v>110.74</v>
      </c>
    </row>
    <row r="6851" spans="1:2" x14ac:dyDescent="0.25">
      <c r="A6851" s="4">
        <v>41507</v>
      </c>
      <c r="B6851" s="6">
        <v>110.82</v>
      </c>
    </row>
    <row r="6852" spans="1:2" x14ac:dyDescent="0.25">
      <c r="A6852" s="4">
        <v>41508</v>
      </c>
      <c r="B6852" s="6">
        <v>110.51</v>
      </c>
    </row>
    <row r="6853" spans="1:2" x14ac:dyDescent="0.25">
      <c r="A6853" s="4">
        <v>41509</v>
      </c>
      <c r="B6853" s="6">
        <v>112.12</v>
      </c>
    </row>
    <row r="6854" spans="1:2" x14ac:dyDescent="0.25">
      <c r="A6854" s="4">
        <v>41512</v>
      </c>
      <c r="B6854" s="6">
        <v>112.23</v>
      </c>
    </row>
    <row r="6855" spans="1:2" x14ac:dyDescent="0.25">
      <c r="A6855" s="4">
        <v>41513</v>
      </c>
      <c r="B6855" s="6">
        <v>115.21</v>
      </c>
    </row>
    <row r="6856" spans="1:2" x14ac:dyDescent="0.25">
      <c r="A6856" s="4">
        <v>41514</v>
      </c>
      <c r="B6856" s="6">
        <v>116.27</v>
      </c>
    </row>
    <row r="6857" spans="1:2" x14ac:dyDescent="0.25">
      <c r="A6857" s="4">
        <v>41515</v>
      </c>
      <c r="B6857" s="6">
        <v>116.91</v>
      </c>
    </row>
    <row r="6858" spans="1:2" x14ac:dyDescent="0.25">
      <c r="A6858" s="4">
        <v>41516</v>
      </c>
      <c r="B6858" s="6">
        <v>115.97</v>
      </c>
    </row>
    <row r="6859" spans="1:2" x14ac:dyDescent="0.25">
      <c r="A6859" s="4">
        <v>41519</v>
      </c>
      <c r="B6859" s="5"/>
    </row>
    <row r="6860" spans="1:2" x14ac:dyDescent="0.25">
      <c r="A6860" s="4">
        <v>41520</v>
      </c>
      <c r="B6860" s="6">
        <v>115.49</v>
      </c>
    </row>
    <row r="6861" spans="1:2" x14ac:dyDescent="0.25">
      <c r="A6861" s="4">
        <v>41521</v>
      </c>
      <c r="B6861" s="6">
        <v>115.65</v>
      </c>
    </row>
    <row r="6862" spans="1:2" x14ac:dyDescent="0.25">
      <c r="A6862" s="4">
        <v>41522</v>
      </c>
      <c r="B6862" s="6">
        <v>115.81</v>
      </c>
    </row>
    <row r="6863" spans="1:2" x14ac:dyDescent="0.25">
      <c r="A6863" s="4">
        <v>41523</v>
      </c>
      <c r="B6863" s="6">
        <v>117.15</v>
      </c>
    </row>
    <row r="6864" spans="1:2" x14ac:dyDescent="0.25">
      <c r="A6864" s="4">
        <v>41526</v>
      </c>
      <c r="B6864" s="6">
        <v>115.2</v>
      </c>
    </row>
    <row r="6865" spans="1:2" x14ac:dyDescent="0.25">
      <c r="A6865" s="4">
        <v>41527</v>
      </c>
      <c r="B6865" s="6">
        <v>112.1</v>
      </c>
    </row>
    <row r="6866" spans="1:2" x14ac:dyDescent="0.25">
      <c r="A6866" s="4">
        <v>41528</v>
      </c>
      <c r="B6866" s="6">
        <v>112.37</v>
      </c>
    </row>
    <row r="6867" spans="1:2" x14ac:dyDescent="0.25">
      <c r="A6867" s="4">
        <v>41529</v>
      </c>
      <c r="B6867" s="6">
        <v>113.11</v>
      </c>
    </row>
    <row r="6868" spans="1:2" x14ac:dyDescent="0.25">
      <c r="A6868" s="4">
        <v>41530</v>
      </c>
      <c r="B6868" s="6">
        <v>113.31</v>
      </c>
    </row>
    <row r="6869" spans="1:2" x14ac:dyDescent="0.25">
      <c r="A6869" s="4">
        <v>41533</v>
      </c>
      <c r="B6869" s="6">
        <v>110.86</v>
      </c>
    </row>
    <row r="6870" spans="1:2" x14ac:dyDescent="0.25">
      <c r="A6870" s="4">
        <v>41534</v>
      </c>
      <c r="B6870" s="6">
        <v>109.05</v>
      </c>
    </row>
    <row r="6871" spans="1:2" x14ac:dyDescent="0.25">
      <c r="A6871" s="4">
        <v>41535</v>
      </c>
      <c r="B6871" s="6">
        <v>109.09</v>
      </c>
    </row>
    <row r="6872" spans="1:2" x14ac:dyDescent="0.25">
      <c r="A6872" s="4">
        <v>41536</v>
      </c>
      <c r="B6872" s="6">
        <v>110.66</v>
      </c>
    </row>
    <row r="6873" spans="1:2" x14ac:dyDescent="0.25">
      <c r="A6873" s="4">
        <v>41537</v>
      </c>
      <c r="B6873" s="6">
        <v>110.22</v>
      </c>
    </row>
    <row r="6874" spans="1:2" x14ac:dyDescent="0.25">
      <c r="A6874" s="4">
        <v>41540</v>
      </c>
      <c r="B6874" s="6">
        <v>108.56</v>
      </c>
    </row>
    <row r="6875" spans="1:2" x14ac:dyDescent="0.25">
      <c r="A6875" s="4">
        <v>41541</v>
      </c>
      <c r="B6875" s="6">
        <v>107.68</v>
      </c>
    </row>
    <row r="6876" spans="1:2" x14ac:dyDescent="0.25">
      <c r="A6876" s="4">
        <v>41542</v>
      </c>
      <c r="B6876" s="6">
        <v>109.46</v>
      </c>
    </row>
    <row r="6877" spans="1:2" x14ac:dyDescent="0.25">
      <c r="A6877" s="4">
        <v>41543</v>
      </c>
      <c r="B6877" s="6">
        <v>108.86</v>
      </c>
    </row>
    <row r="6878" spans="1:2" x14ac:dyDescent="0.25">
      <c r="A6878" s="4">
        <v>41544</v>
      </c>
      <c r="B6878" s="6">
        <v>109.45</v>
      </c>
    </row>
    <row r="6879" spans="1:2" x14ac:dyDescent="0.25">
      <c r="A6879" s="4">
        <v>41547</v>
      </c>
      <c r="B6879" s="6">
        <v>107.85</v>
      </c>
    </row>
    <row r="6880" spans="1:2" x14ac:dyDescent="0.25">
      <c r="A6880" s="4">
        <v>41548</v>
      </c>
      <c r="B6880" s="6">
        <v>107.32</v>
      </c>
    </row>
    <row r="6881" spans="1:2" x14ac:dyDescent="0.25">
      <c r="A6881" s="4">
        <v>41549</v>
      </c>
      <c r="B6881" s="6">
        <v>109.09</v>
      </c>
    </row>
    <row r="6882" spans="1:2" x14ac:dyDescent="0.25">
      <c r="A6882" s="4">
        <v>41550</v>
      </c>
      <c r="B6882" s="6">
        <v>109.49</v>
      </c>
    </row>
    <row r="6883" spans="1:2" x14ac:dyDescent="0.25">
      <c r="A6883" s="4">
        <v>41551</v>
      </c>
      <c r="B6883" s="6">
        <v>109.42</v>
      </c>
    </row>
    <row r="6884" spans="1:2" x14ac:dyDescent="0.25">
      <c r="A6884" s="4">
        <v>41554</v>
      </c>
      <c r="B6884" s="6">
        <v>109.66</v>
      </c>
    </row>
    <row r="6885" spans="1:2" x14ac:dyDescent="0.25">
      <c r="A6885" s="4">
        <v>41555</v>
      </c>
      <c r="B6885" s="6">
        <v>110.56</v>
      </c>
    </row>
    <row r="6886" spans="1:2" x14ac:dyDescent="0.25">
      <c r="A6886" s="4">
        <v>41556</v>
      </c>
      <c r="B6886" s="6">
        <v>109.02</v>
      </c>
    </row>
    <row r="6887" spans="1:2" x14ac:dyDescent="0.25">
      <c r="A6887" s="4">
        <v>41557</v>
      </c>
      <c r="B6887" s="6">
        <v>111.63</v>
      </c>
    </row>
    <row r="6888" spans="1:2" x14ac:dyDescent="0.25">
      <c r="A6888" s="4">
        <v>41558</v>
      </c>
      <c r="B6888" s="6">
        <v>110.65</v>
      </c>
    </row>
    <row r="6889" spans="1:2" x14ac:dyDescent="0.25">
      <c r="A6889" s="4">
        <v>41561</v>
      </c>
      <c r="B6889" s="6">
        <v>110.13</v>
      </c>
    </row>
    <row r="6890" spans="1:2" x14ac:dyDescent="0.25">
      <c r="A6890" s="4">
        <v>41562</v>
      </c>
      <c r="B6890" s="6">
        <v>110.67</v>
      </c>
    </row>
    <row r="6891" spans="1:2" x14ac:dyDescent="0.25">
      <c r="A6891" s="4">
        <v>41563</v>
      </c>
      <c r="B6891" s="6">
        <v>110.79</v>
      </c>
    </row>
    <row r="6892" spans="1:2" x14ac:dyDescent="0.25">
      <c r="A6892" s="4">
        <v>41564</v>
      </c>
      <c r="B6892" s="6">
        <v>109.55</v>
      </c>
    </row>
    <row r="6893" spans="1:2" x14ac:dyDescent="0.25">
      <c r="A6893" s="4">
        <v>41565</v>
      </c>
      <c r="B6893" s="6">
        <v>109.4</v>
      </c>
    </row>
    <row r="6894" spans="1:2" x14ac:dyDescent="0.25">
      <c r="A6894" s="4">
        <v>41568</v>
      </c>
      <c r="B6894" s="6">
        <v>109.47</v>
      </c>
    </row>
    <row r="6895" spans="1:2" x14ac:dyDescent="0.25">
      <c r="A6895" s="4">
        <v>41569</v>
      </c>
      <c r="B6895" s="6">
        <v>109.57</v>
      </c>
    </row>
    <row r="6896" spans="1:2" x14ac:dyDescent="0.25">
      <c r="A6896" s="4">
        <v>41570</v>
      </c>
      <c r="B6896" s="6">
        <v>107.74</v>
      </c>
    </row>
    <row r="6897" spans="1:2" x14ac:dyDescent="0.25">
      <c r="A6897" s="4">
        <v>41571</v>
      </c>
      <c r="B6897" s="6">
        <v>106.63</v>
      </c>
    </row>
    <row r="6898" spans="1:2" x14ac:dyDescent="0.25">
      <c r="A6898" s="4">
        <v>41572</v>
      </c>
      <c r="B6898" s="6">
        <v>105.7</v>
      </c>
    </row>
    <row r="6899" spans="1:2" x14ac:dyDescent="0.25">
      <c r="A6899" s="4">
        <v>41575</v>
      </c>
      <c r="B6899" s="6">
        <v>108.29</v>
      </c>
    </row>
    <row r="6900" spans="1:2" x14ac:dyDescent="0.25">
      <c r="A6900" s="4">
        <v>41576</v>
      </c>
      <c r="B6900" s="6">
        <v>108.04</v>
      </c>
    </row>
    <row r="6901" spans="1:2" x14ac:dyDescent="0.25">
      <c r="A6901" s="4">
        <v>41577</v>
      </c>
      <c r="B6901" s="6">
        <v>108.41</v>
      </c>
    </row>
    <row r="6902" spans="1:2" x14ac:dyDescent="0.25">
      <c r="A6902" s="4">
        <v>41578</v>
      </c>
      <c r="B6902" s="6">
        <v>107.53</v>
      </c>
    </row>
    <row r="6903" spans="1:2" x14ac:dyDescent="0.25">
      <c r="A6903" s="4">
        <v>41579</v>
      </c>
      <c r="B6903" s="6">
        <v>105.78</v>
      </c>
    </row>
    <row r="6904" spans="1:2" x14ac:dyDescent="0.25">
      <c r="A6904" s="4">
        <v>41582</v>
      </c>
      <c r="B6904" s="6">
        <v>104.85</v>
      </c>
    </row>
    <row r="6905" spans="1:2" x14ac:dyDescent="0.25">
      <c r="A6905" s="4">
        <v>41583</v>
      </c>
      <c r="B6905" s="6">
        <v>105.01</v>
      </c>
    </row>
    <row r="6906" spans="1:2" x14ac:dyDescent="0.25">
      <c r="A6906" s="4">
        <v>41584</v>
      </c>
      <c r="B6906" s="6">
        <v>105.46</v>
      </c>
    </row>
    <row r="6907" spans="1:2" x14ac:dyDescent="0.25">
      <c r="A6907" s="4">
        <v>41585</v>
      </c>
      <c r="B6907" s="6">
        <v>103.08</v>
      </c>
    </row>
    <row r="6908" spans="1:2" x14ac:dyDescent="0.25">
      <c r="A6908" s="4">
        <v>41586</v>
      </c>
      <c r="B6908" s="6">
        <v>104.29</v>
      </c>
    </row>
    <row r="6909" spans="1:2" x14ac:dyDescent="0.25">
      <c r="A6909" s="4">
        <v>41589</v>
      </c>
      <c r="B6909" s="6">
        <v>105.76</v>
      </c>
    </row>
    <row r="6910" spans="1:2" x14ac:dyDescent="0.25">
      <c r="A6910" s="4">
        <v>41590</v>
      </c>
      <c r="B6910" s="6">
        <v>106.29</v>
      </c>
    </row>
    <row r="6911" spans="1:2" x14ac:dyDescent="0.25">
      <c r="A6911" s="4">
        <v>41591</v>
      </c>
      <c r="B6911" s="6">
        <v>106.9</v>
      </c>
    </row>
    <row r="6912" spans="1:2" x14ac:dyDescent="0.25">
      <c r="A6912" s="4">
        <v>41592</v>
      </c>
      <c r="B6912" s="6">
        <v>108.29</v>
      </c>
    </row>
    <row r="6913" spans="1:2" x14ac:dyDescent="0.25">
      <c r="A6913" s="4">
        <v>41593</v>
      </c>
      <c r="B6913" s="6">
        <v>108.25</v>
      </c>
    </row>
    <row r="6914" spans="1:2" x14ac:dyDescent="0.25">
      <c r="A6914" s="4">
        <v>41596</v>
      </c>
      <c r="B6914" s="6">
        <v>108.8</v>
      </c>
    </row>
    <row r="6915" spans="1:2" x14ac:dyDescent="0.25">
      <c r="A6915" s="4">
        <v>41597</v>
      </c>
      <c r="B6915" s="6">
        <v>108.29</v>
      </c>
    </row>
    <row r="6916" spans="1:2" x14ac:dyDescent="0.25">
      <c r="A6916" s="4">
        <v>41598</v>
      </c>
      <c r="B6916" s="6">
        <v>108.27</v>
      </c>
    </row>
    <row r="6917" spans="1:2" x14ac:dyDescent="0.25">
      <c r="A6917" s="4">
        <v>41599</v>
      </c>
      <c r="B6917" s="6">
        <v>109.9</v>
      </c>
    </row>
    <row r="6918" spans="1:2" x14ac:dyDescent="0.25">
      <c r="A6918" s="4">
        <v>41600</v>
      </c>
      <c r="B6918" s="6">
        <v>111.36</v>
      </c>
    </row>
    <row r="6919" spans="1:2" x14ac:dyDescent="0.25">
      <c r="A6919" s="4">
        <v>41603</v>
      </c>
      <c r="B6919" s="6">
        <v>110.83</v>
      </c>
    </row>
    <row r="6920" spans="1:2" x14ac:dyDescent="0.25">
      <c r="A6920" s="4">
        <v>41604</v>
      </c>
      <c r="B6920" s="6">
        <v>112.04</v>
      </c>
    </row>
    <row r="6921" spans="1:2" x14ac:dyDescent="0.25">
      <c r="A6921" s="4">
        <v>41605</v>
      </c>
      <c r="B6921" s="6">
        <v>111.32</v>
      </c>
    </row>
    <row r="6922" spans="1:2" x14ac:dyDescent="0.25">
      <c r="A6922" s="4">
        <v>41606</v>
      </c>
      <c r="B6922" s="5"/>
    </row>
    <row r="6923" spans="1:2" x14ac:dyDescent="0.25">
      <c r="A6923" s="4">
        <v>41607</v>
      </c>
      <c r="B6923" s="6">
        <v>111.07</v>
      </c>
    </row>
    <row r="6924" spans="1:2" x14ac:dyDescent="0.25">
      <c r="A6924" s="4">
        <v>41610</v>
      </c>
      <c r="B6924" s="6">
        <v>111.49</v>
      </c>
    </row>
    <row r="6925" spans="1:2" x14ac:dyDescent="0.25">
      <c r="A6925" s="4">
        <v>41611</v>
      </c>
      <c r="B6925" s="6">
        <v>113.06</v>
      </c>
    </row>
    <row r="6926" spans="1:2" x14ac:dyDescent="0.25">
      <c r="A6926" s="4">
        <v>41612</v>
      </c>
      <c r="B6926" s="6">
        <v>113.27</v>
      </c>
    </row>
    <row r="6927" spans="1:2" x14ac:dyDescent="0.25">
      <c r="A6927" s="4">
        <v>41613</v>
      </c>
      <c r="B6927" s="6">
        <v>112.07</v>
      </c>
    </row>
    <row r="6928" spans="1:2" x14ac:dyDescent="0.25">
      <c r="A6928" s="4">
        <v>41614</v>
      </c>
      <c r="B6928" s="6">
        <v>111.5</v>
      </c>
    </row>
    <row r="6929" spans="1:2" x14ac:dyDescent="0.25">
      <c r="A6929" s="4">
        <v>41617</v>
      </c>
      <c r="B6929" s="6">
        <v>110.07</v>
      </c>
    </row>
    <row r="6930" spans="1:2" x14ac:dyDescent="0.25">
      <c r="A6930" s="4">
        <v>41618</v>
      </c>
      <c r="B6930" s="6">
        <v>108.91</v>
      </c>
    </row>
    <row r="6931" spans="1:2" x14ac:dyDescent="0.25">
      <c r="A6931" s="4">
        <v>41619</v>
      </c>
      <c r="B6931" s="6">
        <v>109.47</v>
      </c>
    </row>
    <row r="6932" spans="1:2" x14ac:dyDescent="0.25">
      <c r="A6932" s="4">
        <v>41620</v>
      </c>
      <c r="B6932" s="6">
        <v>108.99</v>
      </c>
    </row>
    <row r="6933" spans="1:2" x14ac:dyDescent="0.25">
      <c r="A6933" s="4">
        <v>41621</v>
      </c>
      <c r="B6933" s="6">
        <v>108.08</v>
      </c>
    </row>
    <row r="6934" spans="1:2" x14ac:dyDescent="0.25">
      <c r="A6934" s="4">
        <v>41624</v>
      </c>
      <c r="B6934" s="6">
        <v>110.3</v>
      </c>
    </row>
    <row r="6935" spans="1:2" x14ac:dyDescent="0.25">
      <c r="A6935" s="4">
        <v>41625</v>
      </c>
      <c r="B6935" s="6">
        <v>108.91</v>
      </c>
    </row>
    <row r="6936" spans="1:2" x14ac:dyDescent="0.25">
      <c r="A6936" s="4">
        <v>41626</v>
      </c>
      <c r="B6936" s="6">
        <v>109.56</v>
      </c>
    </row>
    <row r="6937" spans="1:2" x14ac:dyDescent="0.25">
      <c r="A6937" s="4">
        <v>41627</v>
      </c>
      <c r="B6937" s="6">
        <v>110.78</v>
      </c>
    </row>
    <row r="6938" spans="1:2" x14ac:dyDescent="0.25">
      <c r="A6938" s="4">
        <v>41628</v>
      </c>
      <c r="B6938" s="6">
        <v>112.15</v>
      </c>
    </row>
    <row r="6939" spans="1:2" x14ac:dyDescent="0.25">
      <c r="A6939" s="4">
        <v>41631</v>
      </c>
      <c r="B6939" s="6">
        <v>111.58</v>
      </c>
    </row>
    <row r="6940" spans="1:2" x14ac:dyDescent="0.25">
      <c r="A6940" s="4">
        <v>41632</v>
      </c>
      <c r="B6940" s="6">
        <v>111.57</v>
      </c>
    </row>
    <row r="6941" spans="1:2" x14ac:dyDescent="0.25">
      <c r="A6941" s="4">
        <v>41633</v>
      </c>
      <c r="B6941" s="5"/>
    </row>
    <row r="6942" spans="1:2" x14ac:dyDescent="0.25">
      <c r="A6942" s="4">
        <v>41634</v>
      </c>
      <c r="B6942" s="6">
        <v>111.65</v>
      </c>
    </row>
    <row r="6943" spans="1:2" x14ac:dyDescent="0.25">
      <c r="A6943" s="4">
        <v>41635</v>
      </c>
      <c r="B6943" s="6">
        <v>112.06</v>
      </c>
    </row>
    <row r="6944" spans="1:2" x14ac:dyDescent="0.25">
      <c r="A6944" s="4">
        <v>41638</v>
      </c>
      <c r="B6944" s="6">
        <v>110.47</v>
      </c>
    </row>
    <row r="6945" spans="1:2" x14ac:dyDescent="0.25">
      <c r="A6945" s="4">
        <v>41639</v>
      </c>
      <c r="B6945" s="6">
        <v>109.95</v>
      </c>
    </row>
    <row r="6946" spans="1:2" x14ac:dyDescent="0.25">
      <c r="A6946" s="4">
        <v>41640</v>
      </c>
      <c r="B6946" s="5"/>
    </row>
    <row r="6947" spans="1:2" x14ac:dyDescent="0.25">
      <c r="A6947" s="4">
        <v>41641</v>
      </c>
      <c r="B6947" s="6">
        <v>107.94</v>
      </c>
    </row>
    <row r="6948" spans="1:2" x14ac:dyDescent="0.25">
      <c r="A6948" s="4">
        <v>41642</v>
      </c>
      <c r="B6948" s="6">
        <v>106.57</v>
      </c>
    </row>
    <row r="6949" spans="1:2" x14ac:dyDescent="0.25">
      <c r="A6949" s="4">
        <v>41645</v>
      </c>
      <c r="B6949" s="6">
        <v>106.71</v>
      </c>
    </row>
    <row r="6950" spans="1:2" x14ac:dyDescent="0.25">
      <c r="A6950" s="4">
        <v>41646</v>
      </c>
      <c r="B6950" s="6">
        <v>107.01</v>
      </c>
    </row>
    <row r="6951" spans="1:2" x14ac:dyDescent="0.25">
      <c r="A6951" s="4">
        <v>41647</v>
      </c>
      <c r="B6951" s="6">
        <v>107.42</v>
      </c>
    </row>
    <row r="6952" spans="1:2" x14ac:dyDescent="0.25">
      <c r="A6952" s="4">
        <v>41648</v>
      </c>
      <c r="B6952" s="6">
        <v>107.49</v>
      </c>
    </row>
    <row r="6953" spans="1:2" x14ac:dyDescent="0.25">
      <c r="A6953" s="4">
        <v>41649</v>
      </c>
      <c r="B6953" s="6">
        <v>106.44</v>
      </c>
    </row>
    <row r="6954" spans="1:2" x14ac:dyDescent="0.25">
      <c r="A6954" s="4">
        <v>41652</v>
      </c>
      <c r="B6954" s="6">
        <v>108.02</v>
      </c>
    </row>
    <row r="6955" spans="1:2" x14ac:dyDescent="0.25">
      <c r="A6955" s="4">
        <v>41653</v>
      </c>
      <c r="B6955" s="6">
        <v>107.12</v>
      </c>
    </row>
    <row r="6956" spans="1:2" x14ac:dyDescent="0.25">
      <c r="A6956" s="4">
        <v>41654</v>
      </c>
      <c r="B6956" s="6">
        <v>108.09</v>
      </c>
    </row>
    <row r="6957" spans="1:2" x14ac:dyDescent="0.25">
      <c r="A6957" s="4">
        <v>41655</v>
      </c>
      <c r="B6957" s="6">
        <v>107.46</v>
      </c>
    </row>
    <row r="6958" spans="1:2" x14ac:dyDescent="0.25">
      <c r="A6958" s="4">
        <v>41656</v>
      </c>
      <c r="B6958" s="6">
        <v>108.45</v>
      </c>
    </row>
    <row r="6959" spans="1:2" x14ac:dyDescent="0.25">
      <c r="A6959" s="4">
        <v>41659</v>
      </c>
      <c r="B6959" s="6">
        <v>108.01</v>
      </c>
    </row>
    <row r="6960" spans="1:2" x14ac:dyDescent="0.25">
      <c r="A6960" s="4">
        <v>41660</v>
      </c>
      <c r="B6960" s="6">
        <v>109.17</v>
      </c>
    </row>
    <row r="6961" spans="1:2" x14ac:dyDescent="0.25">
      <c r="A6961" s="4">
        <v>41661</v>
      </c>
      <c r="B6961" s="6">
        <v>109.69</v>
      </c>
    </row>
    <row r="6962" spans="1:2" x14ac:dyDescent="0.25">
      <c r="A6962" s="4">
        <v>41662</v>
      </c>
      <c r="B6962" s="6">
        <v>109.69</v>
      </c>
    </row>
    <row r="6963" spans="1:2" x14ac:dyDescent="0.25">
      <c r="A6963" s="4">
        <v>41663</v>
      </c>
      <c r="B6963" s="6">
        <v>109.14</v>
      </c>
    </row>
    <row r="6964" spans="1:2" x14ac:dyDescent="0.25">
      <c r="A6964" s="4">
        <v>41666</v>
      </c>
      <c r="B6964" s="6">
        <v>108.72</v>
      </c>
    </row>
    <row r="6965" spans="1:2" x14ac:dyDescent="0.25">
      <c r="A6965" s="4">
        <v>41667</v>
      </c>
      <c r="B6965" s="6">
        <v>109.1</v>
      </c>
    </row>
    <row r="6966" spans="1:2" x14ac:dyDescent="0.25">
      <c r="A6966" s="4">
        <v>41668</v>
      </c>
      <c r="B6966" s="6">
        <v>108.83</v>
      </c>
    </row>
    <row r="6967" spans="1:2" x14ac:dyDescent="0.25">
      <c r="A6967" s="4">
        <v>41669</v>
      </c>
      <c r="B6967" s="6">
        <v>109.36</v>
      </c>
    </row>
    <row r="6968" spans="1:2" x14ac:dyDescent="0.25">
      <c r="A6968" s="4">
        <v>41670</v>
      </c>
      <c r="B6968" s="6">
        <v>108.16</v>
      </c>
    </row>
    <row r="6969" spans="1:2" x14ac:dyDescent="0.25">
      <c r="A6969" s="4">
        <v>41673</v>
      </c>
      <c r="B6969" s="6">
        <v>106.55</v>
      </c>
    </row>
    <row r="6970" spans="1:2" x14ac:dyDescent="0.25">
      <c r="A6970" s="4">
        <v>41674</v>
      </c>
      <c r="B6970" s="6">
        <v>107.04</v>
      </c>
    </row>
    <row r="6971" spans="1:2" x14ac:dyDescent="0.25">
      <c r="A6971" s="4">
        <v>41675</v>
      </c>
      <c r="B6971" s="6">
        <v>106.81</v>
      </c>
    </row>
    <row r="6972" spans="1:2" x14ac:dyDescent="0.25">
      <c r="A6972" s="4">
        <v>41676</v>
      </c>
      <c r="B6972" s="6">
        <v>108.15</v>
      </c>
    </row>
    <row r="6973" spans="1:2" x14ac:dyDescent="0.25">
      <c r="A6973" s="4">
        <v>41677</v>
      </c>
      <c r="B6973" s="6">
        <v>110.12</v>
      </c>
    </row>
    <row r="6974" spans="1:2" x14ac:dyDescent="0.25">
      <c r="A6974" s="4">
        <v>41680</v>
      </c>
      <c r="B6974" s="6">
        <v>110.18</v>
      </c>
    </row>
    <row r="6975" spans="1:2" x14ac:dyDescent="0.25">
      <c r="A6975" s="4">
        <v>41681</v>
      </c>
      <c r="B6975" s="6">
        <v>109.21</v>
      </c>
    </row>
    <row r="6976" spans="1:2" x14ac:dyDescent="0.25">
      <c r="A6976" s="4">
        <v>41682</v>
      </c>
      <c r="B6976" s="6">
        <v>108.62</v>
      </c>
    </row>
    <row r="6977" spans="1:2" x14ac:dyDescent="0.25">
      <c r="A6977" s="4">
        <v>41683</v>
      </c>
      <c r="B6977" s="6">
        <v>108.98</v>
      </c>
    </row>
    <row r="6978" spans="1:2" x14ac:dyDescent="0.25">
      <c r="A6978" s="4">
        <v>41684</v>
      </c>
      <c r="B6978" s="6">
        <v>108.63</v>
      </c>
    </row>
    <row r="6979" spans="1:2" x14ac:dyDescent="0.25">
      <c r="A6979" s="4">
        <v>41687</v>
      </c>
      <c r="B6979" s="5"/>
    </row>
    <row r="6980" spans="1:2" x14ac:dyDescent="0.25">
      <c r="A6980" s="4">
        <v>41688</v>
      </c>
      <c r="B6980" s="6">
        <v>110.14</v>
      </c>
    </row>
    <row r="6981" spans="1:2" x14ac:dyDescent="0.25">
      <c r="A6981" s="4">
        <v>41689</v>
      </c>
      <c r="B6981" s="6">
        <v>110.37</v>
      </c>
    </row>
    <row r="6982" spans="1:2" x14ac:dyDescent="0.25">
      <c r="A6982" s="4">
        <v>41690</v>
      </c>
      <c r="B6982" s="6">
        <v>109.42</v>
      </c>
    </row>
    <row r="6983" spans="1:2" x14ac:dyDescent="0.25">
      <c r="A6983" s="4">
        <v>41691</v>
      </c>
      <c r="B6983" s="6">
        <v>109.03</v>
      </c>
    </row>
    <row r="6984" spans="1:2" x14ac:dyDescent="0.25">
      <c r="A6984" s="4">
        <v>41694</v>
      </c>
      <c r="B6984" s="6">
        <v>109.76</v>
      </c>
    </row>
    <row r="6985" spans="1:2" x14ac:dyDescent="0.25">
      <c r="A6985" s="4">
        <v>41695</v>
      </c>
      <c r="B6985" s="6">
        <v>109.19</v>
      </c>
    </row>
    <row r="6986" spans="1:2" x14ac:dyDescent="0.25">
      <c r="A6986" s="4">
        <v>41696</v>
      </c>
      <c r="B6986" s="6">
        <v>109.39</v>
      </c>
    </row>
    <row r="6987" spans="1:2" x14ac:dyDescent="0.25">
      <c r="A6987" s="4">
        <v>41697</v>
      </c>
      <c r="B6987" s="6">
        <v>108.54</v>
      </c>
    </row>
    <row r="6988" spans="1:2" x14ac:dyDescent="0.25">
      <c r="A6988" s="4">
        <v>41698</v>
      </c>
      <c r="B6988" s="6">
        <v>108.98</v>
      </c>
    </row>
    <row r="6989" spans="1:2" x14ac:dyDescent="0.25">
      <c r="A6989" s="4">
        <v>41701</v>
      </c>
      <c r="B6989" s="6">
        <v>111.26</v>
      </c>
    </row>
    <row r="6990" spans="1:2" x14ac:dyDescent="0.25">
      <c r="A6990" s="4">
        <v>41702</v>
      </c>
      <c r="B6990" s="6">
        <v>109.17</v>
      </c>
    </row>
    <row r="6991" spans="1:2" x14ac:dyDescent="0.25">
      <c r="A6991" s="4">
        <v>41703</v>
      </c>
      <c r="B6991" s="6">
        <v>108.15</v>
      </c>
    </row>
    <row r="6992" spans="1:2" x14ac:dyDescent="0.25">
      <c r="A6992" s="4">
        <v>41704</v>
      </c>
      <c r="B6992" s="6">
        <v>107.99</v>
      </c>
    </row>
    <row r="6993" spans="1:2" x14ac:dyDescent="0.25">
      <c r="A6993" s="4">
        <v>41705</v>
      </c>
      <c r="B6993" s="6">
        <v>109.14</v>
      </c>
    </row>
    <row r="6994" spans="1:2" x14ac:dyDescent="0.25">
      <c r="A6994" s="4">
        <v>41708</v>
      </c>
      <c r="B6994" s="6">
        <v>108.27</v>
      </c>
    </row>
    <row r="6995" spans="1:2" x14ac:dyDescent="0.25">
      <c r="A6995" s="4">
        <v>41709</v>
      </c>
      <c r="B6995" s="6">
        <v>108.35</v>
      </c>
    </row>
    <row r="6996" spans="1:2" x14ac:dyDescent="0.25">
      <c r="A6996" s="4">
        <v>41710</v>
      </c>
      <c r="B6996" s="6">
        <v>107.88</v>
      </c>
    </row>
    <row r="6997" spans="1:2" x14ac:dyDescent="0.25">
      <c r="A6997" s="4">
        <v>41711</v>
      </c>
      <c r="B6997" s="6">
        <v>107.48</v>
      </c>
    </row>
    <row r="6998" spans="1:2" x14ac:dyDescent="0.25">
      <c r="A6998" s="4">
        <v>41712</v>
      </c>
      <c r="B6998" s="6">
        <v>108.08</v>
      </c>
    </row>
    <row r="6999" spans="1:2" x14ac:dyDescent="0.25">
      <c r="A6999" s="4">
        <v>41715</v>
      </c>
      <c r="B6999" s="6">
        <v>106.99</v>
      </c>
    </row>
    <row r="7000" spans="1:2" x14ac:dyDescent="0.25">
      <c r="A7000" s="4">
        <v>41716</v>
      </c>
      <c r="B7000" s="6">
        <v>106.79</v>
      </c>
    </row>
    <row r="7001" spans="1:2" x14ac:dyDescent="0.25">
      <c r="A7001" s="4">
        <v>41717</v>
      </c>
      <c r="B7001" s="6">
        <v>105.95</v>
      </c>
    </row>
    <row r="7002" spans="1:2" x14ac:dyDescent="0.25">
      <c r="A7002" s="4">
        <v>41718</v>
      </c>
      <c r="B7002" s="6">
        <v>105.73</v>
      </c>
    </row>
    <row r="7003" spans="1:2" x14ac:dyDescent="0.25">
      <c r="A7003" s="4">
        <v>41719</v>
      </c>
      <c r="B7003" s="6">
        <v>107.2</v>
      </c>
    </row>
    <row r="7004" spans="1:2" x14ac:dyDescent="0.25">
      <c r="A7004" s="4">
        <v>41722</v>
      </c>
      <c r="B7004" s="6">
        <v>106.59</v>
      </c>
    </row>
    <row r="7005" spans="1:2" x14ac:dyDescent="0.25">
      <c r="A7005" s="4">
        <v>41723</v>
      </c>
      <c r="B7005" s="6">
        <v>107.01</v>
      </c>
    </row>
    <row r="7006" spans="1:2" x14ac:dyDescent="0.25">
      <c r="A7006" s="4">
        <v>41724</v>
      </c>
      <c r="B7006" s="6">
        <v>105.9</v>
      </c>
    </row>
    <row r="7007" spans="1:2" x14ac:dyDescent="0.25">
      <c r="A7007" s="4">
        <v>41725</v>
      </c>
      <c r="B7007" s="6">
        <v>106.58</v>
      </c>
    </row>
    <row r="7008" spans="1:2" x14ac:dyDescent="0.25">
      <c r="A7008" s="4">
        <v>41726</v>
      </c>
      <c r="B7008" s="6">
        <v>106.64</v>
      </c>
    </row>
    <row r="7009" spans="1:2" x14ac:dyDescent="0.25">
      <c r="A7009" s="4">
        <v>41729</v>
      </c>
      <c r="B7009" s="6">
        <v>105.95</v>
      </c>
    </row>
    <row r="7010" spans="1:2" x14ac:dyDescent="0.25">
      <c r="A7010" s="4">
        <v>41730</v>
      </c>
      <c r="B7010" s="6">
        <v>105.7</v>
      </c>
    </row>
    <row r="7011" spans="1:2" x14ac:dyDescent="0.25">
      <c r="A7011" s="4">
        <v>41731</v>
      </c>
      <c r="B7011" s="6">
        <v>103.37</v>
      </c>
    </row>
    <row r="7012" spans="1:2" x14ac:dyDescent="0.25">
      <c r="A7012" s="4">
        <v>41732</v>
      </c>
      <c r="B7012" s="6">
        <v>104.88</v>
      </c>
    </row>
    <row r="7013" spans="1:2" x14ac:dyDescent="0.25">
      <c r="A7013" s="4">
        <v>41733</v>
      </c>
      <c r="B7013" s="6">
        <v>106.41</v>
      </c>
    </row>
    <row r="7014" spans="1:2" x14ac:dyDescent="0.25">
      <c r="A7014" s="4">
        <v>41736</v>
      </c>
      <c r="B7014" s="6">
        <v>104.89</v>
      </c>
    </row>
    <row r="7015" spans="1:2" x14ac:dyDescent="0.25">
      <c r="A7015" s="4">
        <v>41737</v>
      </c>
      <c r="B7015" s="6">
        <v>105.83</v>
      </c>
    </row>
    <row r="7016" spans="1:2" x14ac:dyDescent="0.25">
      <c r="A7016" s="4">
        <v>41738</v>
      </c>
      <c r="B7016" s="6">
        <v>107.39</v>
      </c>
    </row>
    <row r="7017" spans="1:2" x14ac:dyDescent="0.25">
      <c r="A7017" s="4">
        <v>41739</v>
      </c>
      <c r="B7017" s="6">
        <v>107.1</v>
      </c>
    </row>
    <row r="7018" spans="1:2" x14ac:dyDescent="0.25">
      <c r="A7018" s="4">
        <v>41740</v>
      </c>
      <c r="B7018" s="6">
        <v>107.34</v>
      </c>
    </row>
    <row r="7019" spans="1:2" x14ac:dyDescent="0.25">
      <c r="A7019" s="4">
        <v>41743</v>
      </c>
      <c r="B7019" s="6">
        <v>107.68</v>
      </c>
    </row>
    <row r="7020" spans="1:2" x14ac:dyDescent="0.25">
      <c r="A7020" s="4">
        <v>41744</v>
      </c>
      <c r="B7020" s="6">
        <v>109.1</v>
      </c>
    </row>
    <row r="7021" spans="1:2" x14ac:dyDescent="0.25">
      <c r="A7021" s="4">
        <v>41745</v>
      </c>
      <c r="B7021" s="6">
        <v>109.71</v>
      </c>
    </row>
    <row r="7022" spans="1:2" x14ac:dyDescent="0.25">
      <c r="A7022" s="4">
        <v>41746</v>
      </c>
      <c r="B7022" s="6">
        <v>109.79</v>
      </c>
    </row>
    <row r="7023" spans="1:2" x14ac:dyDescent="0.25">
      <c r="A7023" s="4">
        <v>41747</v>
      </c>
      <c r="B7023" s="5"/>
    </row>
    <row r="7024" spans="1:2" x14ac:dyDescent="0.25">
      <c r="A7024" s="4">
        <v>41750</v>
      </c>
      <c r="B7024" s="6">
        <v>109.69</v>
      </c>
    </row>
    <row r="7025" spans="1:2" x14ac:dyDescent="0.25">
      <c r="A7025" s="4">
        <v>41751</v>
      </c>
      <c r="B7025" s="6">
        <v>108.54</v>
      </c>
    </row>
    <row r="7026" spans="1:2" x14ac:dyDescent="0.25">
      <c r="A7026" s="4">
        <v>41752</v>
      </c>
      <c r="B7026" s="6">
        <v>108.48</v>
      </c>
    </row>
    <row r="7027" spans="1:2" x14ac:dyDescent="0.25">
      <c r="A7027" s="4">
        <v>41753</v>
      </c>
      <c r="B7027" s="6">
        <v>109.79</v>
      </c>
    </row>
    <row r="7028" spans="1:2" x14ac:dyDescent="0.25">
      <c r="A7028" s="4">
        <v>41754</v>
      </c>
      <c r="B7028" s="6">
        <v>109.53</v>
      </c>
    </row>
    <row r="7029" spans="1:2" x14ac:dyDescent="0.25">
      <c r="A7029" s="4">
        <v>41757</v>
      </c>
      <c r="B7029" s="6">
        <v>109.12</v>
      </c>
    </row>
    <row r="7030" spans="1:2" x14ac:dyDescent="0.25">
      <c r="A7030" s="4">
        <v>41758</v>
      </c>
      <c r="B7030" s="6">
        <v>109.89</v>
      </c>
    </row>
    <row r="7031" spans="1:2" x14ac:dyDescent="0.25">
      <c r="A7031" s="4">
        <v>41759</v>
      </c>
      <c r="B7031" s="6">
        <v>108.63</v>
      </c>
    </row>
    <row r="7032" spans="1:2" x14ac:dyDescent="0.25">
      <c r="A7032" s="4">
        <v>41760</v>
      </c>
      <c r="B7032" s="6">
        <v>108.63</v>
      </c>
    </row>
    <row r="7033" spans="1:2" x14ac:dyDescent="0.25">
      <c r="A7033" s="4">
        <v>41761</v>
      </c>
      <c r="B7033" s="6">
        <v>109.48</v>
      </c>
    </row>
    <row r="7034" spans="1:2" x14ac:dyDescent="0.25">
      <c r="A7034" s="4">
        <v>41764</v>
      </c>
      <c r="B7034" s="6">
        <v>109.48</v>
      </c>
    </row>
    <row r="7035" spans="1:2" x14ac:dyDescent="0.25">
      <c r="A7035" s="4">
        <v>41765</v>
      </c>
      <c r="B7035" s="6">
        <v>108.3</v>
      </c>
    </row>
    <row r="7036" spans="1:2" x14ac:dyDescent="0.25">
      <c r="A7036" s="4">
        <v>41766</v>
      </c>
      <c r="B7036" s="6">
        <v>108.17</v>
      </c>
    </row>
    <row r="7037" spans="1:2" x14ac:dyDescent="0.25">
      <c r="A7037" s="4">
        <v>41767</v>
      </c>
      <c r="B7037" s="6">
        <v>108.19</v>
      </c>
    </row>
    <row r="7038" spans="1:2" x14ac:dyDescent="0.25">
      <c r="A7038" s="4">
        <v>41768</v>
      </c>
      <c r="B7038" s="6">
        <v>108.26</v>
      </c>
    </row>
    <row r="7039" spans="1:2" x14ac:dyDescent="0.25">
      <c r="A7039" s="4">
        <v>41771</v>
      </c>
      <c r="B7039" s="6">
        <v>108.37</v>
      </c>
    </row>
    <row r="7040" spans="1:2" x14ac:dyDescent="0.25">
      <c r="A7040" s="4">
        <v>41772</v>
      </c>
      <c r="B7040" s="6">
        <v>108.78</v>
      </c>
    </row>
    <row r="7041" spans="1:2" x14ac:dyDescent="0.25">
      <c r="A7041" s="4">
        <v>41773</v>
      </c>
      <c r="B7041" s="6">
        <v>109.87</v>
      </c>
    </row>
    <row r="7042" spans="1:2" x14ac:dyDescent="0.25">
      <c r="A7042" s="4">
        <v>41774</v>
      </c>
      <c r="B7042" s="6">
        <v>109.74</v>
      </c>
    </row>
    <row r="7043" spans="1:2" x14ac:dyDescent="0.25">
      <c r="A7043" s="4">
        <v>41775</v>
      </c>
      <c r="B7043" s="6">
        <v>110.9</v>
      </c>
    </row>
    <row r="7044" spans="1:2" x14ac:dyDescent="0.25">
      <c r="A7044" s="4">
        <v>41778</v>
      </c>
      <c r="B7044" s="6">
        <v>110.84</v>
      </c>
    </row>
    <row r="7045" spans="1:2" x14ac:dyDescent="0.25">
      <c r="A7045" s="4">
        <v>41779</v>
      </c>
      <c r="B7045" s="6">
        <v>110.35</v>
      </c>
    </row>
    <row r="7046" spans="1:2" x14ac:dyDescent="0.25">
      <c r="A7046" s="4">
        <v>41780</v>
      </c>
      <c r="B7046" s="6">
        <v>111.32</v>
      </c>
    </row>
    <row r="7047" spans="1:2" x14ac:dyDescent="0.25">
      <c r="A7047" s="4">
        <v>41781</v>
      </c>
      <c r="B7047" s="6">
        <v>110.89</v>
      </c>
    </row>
    <row r="7048" spans="1:2" x14ac:dyDescent="0.25">
      <c r="A7048" s="4">
        <v>41782</v>
      </c>
      <c r="B7048" s="6">
        <v>110.19</v>
      </c>
    </row>
    <row r="7049" spans="1:2" x14ac:dyDescent="0.25">
      <c r="A7049" s="4">
        <v>41785</v>
      </c>
      <c r="B7049" s="6">
        <v>110.01</v>
      </c>
    </row>
    <row r="7050" spans="1:2" x14ac:dyDescent="0.25">
      <c r="A7050" s="4">
        <v>41786</v>
      </c>
      <c r="B7050" s="6">
        <v>109.81</v>
      </c>
    </row>
    <row r="7051" spans="1:2" x14ac:dyDescent="0.25">
      <c r="A7051" s="4">
        <v>41787</v>
      </c>
      <c r="B7051" s="6">
        <v>109.09</v>
      </c>
    </row>
    <row r="7052" spans="1:2" x14ac:dyDescent="0.25">
      <c r="A7052" s="4">
        <v>41788</v>
      </c>
      <c r="B7052" s="6">
        <v>109.98</v>
      </c>
    </row>
    <row r="7053" spans="1:2" x14ac:dyDescent="0.25">
      <c r="A7053" s="4">
        <v>41789</v>
      </c>
      <c r="B7053" s="6">
        <v>109.21</v>
      </c>
    </row>
    <row r="7054" spans="1:2" x14ac:dyDescent="0.25">
      <c r="A7054" s="4">
        <v>41792</v>
      </c>
      <c r="B7054" s="6">
        <v>109.34</v>
      </c>
    </row>
    <row r="7055" spans="1:2" x14ac:dyDescent="0.25">
      <c r="A7055" s="4">
        <v>41793</v>
      </c>
      <c r="B7055" s="6">
        <v>108.87</v>
      </c>
    </row>
    <row r="7056" spans="1:2" x14ac:dyDescent="0.25">
      <c r="A7056" s="4">
        <v>41794</v>
      </c>
      <c r="B7056" s="6">
        <v>109.07</v>
      </c>
    </row>
    <row r="7057" spans="1:2" x14ac:dyDescent="0.25">
      <c r="A7057" s="4">
        <v>41795</v>
      </c>
      <c r="B7057" s="6">
        <v>108.43</v>
      </c>
    </row>
    <row r="7058" spans="1:2" x14ac:dyDescent="0.25">
      <c r="A7058" s="4">
        <v>41796</v>
      </c>
      <c r="B7058" s="6">
        <v>109.21</v>
      </c>
    </row>
    <row r="7059" spans="1:2" x14ac:dyDescent="0.25">
      <c r="A7059" s="4">
        <v>41799</v>
      </c>
      <c r="B7059" s="6">
        <v>110.55</v>
      </c>
    </row>
    <row r="7060" spans="1:2" x14ac:dyDescent="0.25">
      <c r="A7060" s="4">
        <v>41800</v>
      </c>
      <c r="B7060" s="6">
        <v>109.18</v>
      </c>
    </row>
    <row r="7061" spans="1:2" x14ac:dyDescent="0.25">
      <c r="A7061" s="4">
        <v>41801</v>
      </c>
      <c r="B7061" s="6">
        <v>109.83</v>
      </c>
    </row>
    <row r="7062" spans="1:2" x14ac:dyDescent="0.25">
      <c r="A7062" s="4">
        <v>41802</v>
      </c>
      <c r="B7062" s="6">
        <v>112.18</v>
      </c>
    </row>
    <row r="7063" spans="1:2" x14ac:dyDescent="0.25">
      <c r="A7063" s="4">
        <v>41803</v>
      </c>
      <c r="B7063" s="6">
        <v>113.15</v>
      </c>
    </row>
    <row r="7064" spans="1:2" x14ac:dyDescent="0.25">
      <c r="A7064" s="4">
        <v>41806</v>
      </c>
      <c r="B7064" s="6">
        <v>113.42</v>
      </c>
    </row>
    <row r="7065" spans="1:2" x14ac:dyDescent="0.25">
      <c r="A7065" s="4">
        <v>41807</v>
      </c>
      <c r="B7065" s="6">
        <v>114.02</v>
      </c>
    </row>
    <row r="7066" spans="1:2" x14ac:dyDescent="0.25">
      <c r="A7066" s="4">
        <v>41808</v>
      </c>
      <c r="B7066" s="6">
        <v>114.25</v>
      </c>
    </row>
    <row r="7067" spans="1:2" x14ac:dyDescent="0.25">
      <c r="A7067" s="4">
        <v>41809</v>
      </c>
      <c r="B7067" s="6">
        <v>115.19</v>
      </c>
    </row>
    <row r="7068" spans="1:2" x14ac:dyDescent="0.25">
      <c r="A7068" s="4">
        <v>41810</v>
      </c>
      <c r="B7068" s="6">
        <v>114.55</v>
      </c>
    </row>
    <row r="7069" spans="1:2" x14ac:dyDescent="0.25">
      <c r="A7069" s="4">
        <v>41813</v>
      </c>
      <c r="B7069" s="6">
        <v>113.62</v>
      </c>
    </row>
    <row r="7070" spans="1:2" x14ac:dyDescent="0.25">
      <c r="A7070" s="4">
        <v>41814</v>
      </c>
      <c r="B7070" s="6">
        <v>113.74</v>
      </c>
    </row>
    <row r="7071" spans="1:2" x14ac:dyDescent="0.25">
      <c r="A7071" s="4">
        <v>41815</v>
      </c>
      <c r="B7071" s="6">
        <v>112.84</v>
      </c>
    </row>
    <row r="7072" spans="1:2" x14ac:dyDescent="0.25">
      <c r="A7072" s="4">
        <v>41816</v>
      </c>
      <c r="B7072" s="6">
        <v>112.61</v>
      </c>
    </row>
    <row r="7073" spans="1:2" x14ac:dyDescent="0.25">
      <c r="A7073" s="4">
        <v>41817</v>
      </c>
      <c r="B7073" s="6">
        <v>112.62</v>
      </c>
    </row>
    <row r="7074" spans="1:2" x14ac:dyDescent="0.25">
      <c r="A7074" s="4">
        <v>41820</v>
      </c>
      <c r="B7074" s="6">
        <v>111.03</v>
      </c>
    </row>
    <row r="7075" spans="1:2" x14ac:dyDescent="0.25">
      <c r="A7075" s="4">
        <v>41821</v>
      </c>
      <c r="B7075" s="6">
        <v>110.84</v>
      </c>
    </row>
    <row r="7076" spans="1:2" x14ac:dyDescent="0.25">
      <c r="A7076" s="4">
        <v>41822</v>
      </c>
      <c r="B7076" s="6">
        <v>110.18</v>
      </c>
    </row>
    <row r="7077" spans="1:2" x14ac:dyDescent="0.25">
      <c r="A7077" s="4">
        <v>41823</v>
      </c>
      <c r="B7077" s="6">
        <v>108.98</v>
      </c>
    </row>
    <row r="7078" spans="1:2" x14ac:dyDescent="0.25">
      <c r="A7078" s="4">
        <v>41824</v>
      </c>
      <c r="B7078" s="5"/>
    </row>
    <row r="7079" spans="1:2" x14ac:dyDescent="0.25">
      <c r="A7079" s="4">
        <v>41827</v>
      </c>
      <c r="B7079" s="6">
        <v>108.7</v>
      </c>
    </row>
    <row r="7080" spans="1:2" x14ac:dyDescent="0.25">
      <c r="A7080" s="4">
        <v>41828</v>
      </c>
      <c r="B7080" s="6">
        <v>107.65</v>
      </c>
    </row>
    <row r="7081" spans="1:2" x14ac:dyDescent="0.25">
      <c r="A7081" s="4">
        <v>41829</v>
      </c>
      <c r="B7081" s="6">
        <v>106.84</v>
      </c>
    </row>
    <row r="7082" spans="1:2" x14ac:dyDescent="0.25">
      <c r="A7082" s="4">
        <v>41830</v>
      </c>
      <c r="B7082" s="6">
        <v>106.2</v>
      </c>
    </row>
    <row r="7083" spans="1:2" x14ac:dyDescent="0.25">
      <c r="A7083" s="4">
        <v>41831</v>
      </c>
      <c r="B7083" s="6">
        <v>105.77</v>
      </c>
    </row>
    <row r="7084" spans="1:2" x14ac:dyDescent="0.25">
      <c r="A7084" s="4">
        <v>41834</v>
      </c>
      <c r="B7084" s="6">
        <v>104.73</v>
      </c>
    </row>
    <row r="7085" spans="1:2" x14ac:dyDescent="0.25">
      <c r="A7085" s="4">
        <v>41835</v>
      </c>
      <c r="B7085" s="6">
        <v>104.73</v>
      </c>
    </row>
    <row r="7086" spans="1:2" x14ac:dyDescent="0.25">
      <c r="A7086" s="4">
        <v>41836</v>
      </c>
      <c r="B7086" s="6">
        <v>105.41</v>
      </c>
    </row>
    <row r="7087" spans="1:2" x14ac:dyDescent="0.25">
      <c r="A7087" s="4">
        <v>41837</v>
      </c>
      <c r="B7087" s="6">
        <v>106.04</v>
      </c>
    </row>
    <row r="7088" spans="1:2" x14ac:dyDescent="0.25">
      <c r="A7088" s="4">
        <v>41838</v>
      </c>
      <c r="B7088" s="6">
        <v>106.03</v>
      </c>
    </row>
    <row r="7089" spans="1:2" x14ac:dyDescent="0.25">
      <c r="A7089" s="4">
        <v>41841</v>
      </c>
      <c r="B7089" s="6">
        <v>105.71</v>
      </c>
    </row>
    <row r="7090" spans="1:2" x14ac:dyDescent="0.25">
      <c r="A7090" s="4">
        <v>41842</v>
      </c>
      <c r="B7090" s="6">
        <v>106.48</v>
      </c>
    </row>
    <row r="7091" spans="1:2" x14ac:dyDescent="0.25">
      <c r="A7091" s="4">
        <v>41843</v>
      </c>
      <c r="B7091" s="6">
        <v>106.85</v>
      </c>
    </row>
    <row r="7092" spans="1:2" x14ac:dyDescent="0.25">
      <c r="A7092" s="4">
        <v>41844</v>
      </c>
      <c r="B7092" s="6">
        <v>105.78</v>
      </c>
    </row>
    <row r="7093" spans="1:2" x14ac:dyDescent="0.25">
      <c r="A7093" s="4">
        <v>41845</v>
      </c>
      <c r="B7093" s="6">
        <v>106.89</v>
      </c>
    </row>
    <row r="7094" spans="1:2" x14ac:dyDescent="0.25">
      <c r="A7094" s="4">
        <v>41848</v>
      </c>
      <c r="B7094" s="6">
        <v>106.7</v>
      </c>
    </row>
    <row r="7095" spans="1:2" x14ac:dyDescent="0.25">
      <c r="A7095" s="4">
        <v>41849</v>
      </c>
      <c r="B7095" s="6">
        <v>106.98</v>
      </c>
    </row>
    <row r="7096" spans="1:2" x14ac:dyDescent="0.25">
      <c r="A7096" s="4">
        <v>41850</v>
      </c>
      <c r="B7096" s="6">
        <v>106.47</v>
      </c>
    </row>
    <row r="7097" spans="1:2" x14ac:dyDescent="0.25">
      <c r="A7097" s="4">
        <v>41851</v>
      </c>
      <c r="B7097" s="6">
        <v>104.94</v>
      </c>
    </row>
    <row r="7098" spans="1:2" x14ac:dyDescent="0.25">
      <c r="A7098" s="4">
        <v>41852</v>
      </c>
      <c r="B7098" s="6">
        <v>103.45</v>
      </c>
    </row>
    <row r="7099" spans="1:2" x14ac:dyDescent="0.25">
      <c r="A7099" s="4">
        <v>41855</v>
      </c>
      <c r="B7099" s="6">
        <v>103.63</v>
      </c>
    </row>
    <row r="7100" spans="1:2" x14ac:dyDescent="0.25">
      <c r="A7100" s="4">
        <v>41856</v>
      </c>
      <c r="B7100" s="6">
        <v>102.82</v>
      </c>
    </row>
    <row r="7101" spans="1:2" x14ac:dyDescent="0.25">
      <c r="A7101" s="4">
        <v>41857</v>
      </c>
      <c r="B7101" s="6">
        <v>104.17</v>
      </c>
    </row>
    <row r="7102" spans="1:2" x14ac:dyDescent="0.25">
      <c r="A7102" s="4">
        <v>41858</v>
      </c>
      <c r="B7102" s="6">
        <v>104.02</v>
      </c>
    </row>
    <row r="7103" spans="1:2" x14ac:dyDescent="0.25">
      <c r="A7103" s="4">
        <v>41859</v>
      </c>
      <c r="B7103" s="6">
        <v>103.36</v>
      </c>
    </row>
    <row r="7104" spans="1:2" x14ac:dyDescent="0.25">
      <c r="A7104" s="4">
        <v>41862</v>
      </c>
      <c r="B7104" s="6">
        <v>103.47</v>
      </c>
    </row>
    <row r="7105" spans="1:2" x14ac:dyDescent="0.25">
      <c r="A7105" s="4">
        <v>41863</v>
      </c>
      <c r="B7105" s="6">
        <v>101.68</v>
      </c>
    </row>
    <row r="7106" spans="1:2" x14ac:dyDescent="0.25">
      <c r="A7106" s="4">
        <v>41864</v>
      </c>
      <c r="B7106" s="6">
        <v>102.27</v>
      </c>
    </row>
    <row r="7107" spans="1:2" x14ac:dyDescent="0.25">
      <c r="A7107" s="4">
        <v>41865</v>
      </c>
      <c r="B7107" s="6">
        <v>101.15</v>
      </c>
    </row>
    <row r="7108" spans="1:2" x14ac:dyDescent="0.25">
      <c r="A7108" s="4">
        <v>41866</v>
      </c>
      <c r="B7108" s="6">
        <v>101.13</v>
      </c>
    </row>
    <row r="7109" spans="1:2" x14ac:dyDescent="0.25">
      <c r="A7109" s="4">
        <v>41869</v>
      </c>
      <c r="B7109" s="6">
        <v>99.37</v>
      </c>
    </row>
    <row r="7110" spans="1:2" x14ac:dyDescent="0.25">
      <c r="A7110" s="4">
        <v>41870</v>
      </c>
      <c r="B7110" s="6">
        <v>99.74</v>
      </c>
    </row>
    <row r="7111" spans="1:2" x14ac:dyDescent="0.25">
      <c r="A7111" s="4">
        <v>41871</v>
      </c>
      <c r="B7111" s="6">
        <v>99.92</v>
      </c>
    </row>
    <row r="7112" spans="1:2" x14ac:dyDescent="0.25">
      <c r="A7112" s="4">
        <v>41872</v>
      </c>
      <c r="B7112" s="6">
        <v>100.28</v>
      </c>
    </row>
    <row r="7113" spans="1:2" x14ac:dyDescent="0.25">
      <c r="A7113" s="4">
        <v>41873</v>
      </c>
      <c r="B7113" s="6">
        <v>100.09</v>
      </c>
    </row>
    <row r="7114" spans="1:2" x14ac:dyDescent="0.25">
      <c r="A7114" s="4">
        <v>41876</v>
      </c>
      <c r="B7114" s="6">
        <v>100.49</v>
      </c>
    </row>
    <row r="7115" spans="1:2" x14ac:dyDescent="0.25">
      <c r="A7115" s="4">
        <v>41877</v>
      </c>
      <c r="B7115" s="6">
        <v>100.5</v>
      </c>
    </row>
    <row r="7116" spans="1:2" x14ac:dyDescent="0.25">
      <c r="A7116" s="4">
        <v>41878</v>
      </c>
      <c r="B7116" s="6">
        <v>100.4</v>
      </c>
    </row>
    <row r="7117" spans="1:2" x14ac:dyDescent="0.25">
      <c r="A7117" s="4">
        <v>41879</v>
      </c>
      <c r="B7117" s="6">
        <v>100.71</v>
      </c>
    </row>
    <row r="7118" spans="1:2" x14ac:dyDescent="0.25">
      <c r="A7118" s="4">
        <v>41880</v>
      </c>
      <c r="B7118" s="6">
        <v>101.12</v>
      </c>
    </row>
    <row r="7119" spans="1:2" x14ac:dyDescent="0.25">
      <c r="A7119" s="4">
        <v>41883</v>
      </c>
      <c r="B7119" s="5"/>
    </row>
    <row r="7120" spans="1:2" x14ac:dyDescent="0.25">
      <c r="A7120" s="4">
        <v>41884</v>
      </c>
      <c r="B7120" s="6">
        <v>100.21</v>
      </c>
    </row>
    <row r="7121" spans="1:2" x14ac:dyDescent="0.25">
      <c r="A7121" s="4">
        <v>41885</v>
      </c>
      <c r="B7121" s="6">
        <v>100.88</v>
      </c>
    </row>
    <row r="7122" spans="1:2" x14ac:dyDescent="0.25">
      <c r="A7122" s="4">
        <v>41886</v>
      </c>
      <c r="B7122" s="6">
        <v>101.21</v>
      </c>
    </row>
    <row r="7123" spans="1:2" x14ac:dyDescent="0.25">
      <c r="A7123" s="4">
        <v>41887</v>
      </c>
      <c r="B7123" s="6">
        <v>99.51</v>
      </c>
    </row>
    <row r="7124" spans="1:2" x14ac:dyDescent="0.25">
      <c r="A7124" s="4">
        <v>41890</v>
      </c>
      <c r="B7124" s="6">
        <v>99.53</v>
      </c>
    </row>
    <row r="7125" spans="1:2" x14ac:dyDescent="0.25">
      <c r="A7125" s="4">
        <v>41891</v>
      </c>
      <c r="B7125" s="6">
        <v>98.08</v>
      </c>
    </row>
    <row r="7126" spans="1:2" x14ac:dyDescent="0.25">
      <c r="A7126" s="4">
        <v>41892</v>
      </c>
      <c r="B7126" s="6">
        <v>96.26</v>
      </c>
    </row>
    <row r="7127" spans="1:2" x14ac:dyDescent="0.25">
      <c r="A7127" s="4">
        <v>41893</v>
      </c>
      <c r="B7127" s="6">
        <v>96.42</v>
      </c>
    </row>
    <row r="7128" spans="1:2" x14ac:dyDescent="0.25">
      <c r="A7128" s="4">
        <v>41894</v>
      </c>
      <c r="B7128" s="6">
        <v>96.31</v>
      </c>
    </row>
    <row r="7129" spans="1:2" x14ac:dyDescent="0.25">
      <c r="A7129" s="4">
        <v>41897</v>
      </c>
      <c r="B7129" s="6">
        <v>96.43</v>
      </c>
    </row>
    <row r="7130" spans="1:2" x14ac:dyDescent="0.25">
      <c r="A7130" s="4">
        <v>41898</v>
      </c>
      <c r="B7130" s="6">
        <v>97.39</v>
      </c>
    </row>
    <row r="7131" spans="1:2" x14ac:dyDescent="0.25">
      <c r="A7131" s="4">
        <v>41899</v>
      </c>
      <c r="B7131" s="6">
        <v>97.7</v>
      </c>
    </row>
    <row r="7132" spans="1:2" x14ac:dyDescent="0.25">
      <c r="A7132" s="4">
        <v>41900</v>
      </c>
      <c r="B7132" s="6">
        <v>96.82</v>
      </c>
    </row>
    <row r="7133" spans="1:2" x14ac:dyDescent="0.25">
      <c r="A7133" s="4">
        <v>41901</v>
      </c>
      <c r="B7133" s="6">
        <v>96.75</v>
      </c>
    </row>
    <row r="7134" spans="1:2" x14ac:dyDescent="0.25">
      <c r="A7134" s="4">
        <v>41904</v>
      </c>
      <c r="B7134" s="6">
        <v>95.37</v>
      </c>
    </row>
    <row r="7135" spans="1:2" x14ac:dyDescent="0.25">
      <c r="A7135" s="4">
        <v>41905</v>
      </c>
      <c r="B7135" s="6">
        <v>94.87</v>
      </c>
    </row>
    <row r="7136" spans="1:2" x14ac:dyDescent="0.25">
      <c r="A7136" s="4">
        <v>41906</v>
      </c>
      <c r="B7136" s="6">
        <v>94.53</v>
      </c>
    </row>
    <row r="7137" spans="1:2" x14ac:dyDescent="0.25">
      <c r="A7137" s="4">
        <v>41907</v>
      </c>
      <c r="B7137" s="6">
        <v>95.2</v>
      </c>
    </row>
    <row r="7138" spans="1:2" x14ac:dyDescent="0.25">
      <c r="A7138" s="4">
        <v>41908</v>
      </c>
      <c r="B7138" s="6">
        <v>95.08</v>
      </c>
    </row>
    <row r="7139" spans="1:2" x14ac:dyDescent="0.25">
      <c r="A7139" s="4">
        <v>41911</v>
      </c>
      <c r="B7139" s="6">
        <v>95.7</v>
      </c>
    </row>
    <row r="7140" spans="1:2" x14ac:dyDescent="0.25">
      <c r="A7140" s="4">
        <v>41912</v>
      </c>
      <c r="B7140" s="6">
        <v>94.67</v>
      </c>
    </row>
    <row r="7141" spans="1:2" x14ac:dyDescent="0.25">
      <c r="A7141" s="4">
        <v>41913</v>
      </c>
      <c r="B7141" s="6">
        <v>94.57</v>
      </c>
    </row>
    <row r="7142" spans="1:2" x14ac:dyDescent="0.25">
      <c r="A7142" s="4">
        <v>41914</v>
      </c>
      <c r="B7142" s="6">
        <v>91.29</v>
      </c>
    </row>
    <row r="7143" spans="1:2" x14ac:dyDescent="0.25">
      <c r="A7143" s="4">
        <v>41915</v>
      </c>
      <c r="B7143" s="6">
        <v>90.8</v>
      </c>
    </row>
    <row r="7144" spans="1:2" x14ac:dyDescent="0.25">
      <c r="A7144" s="4">
        <v>41918</v>
      </c>
      <c r="B7144" s="6">
        <v>90.65</v>
      </c>
    </row>
    <row r="7145" spans="1:2" x14ac:dyDescent="0.25">
      <c r="A7145" s="4">
        <v>41919</v>
      </c>
      <c r="B7145" s="6">
        <v>90.9</v>
      </c>
    </row>
    <row r="7146" spans="1:2" x14ac:dyDescent="0.25">
      <c r="A7146" s="4">
        <v>41920</v>
      </c>
      <c r="B7146" s="6">
        <v>90.25</v>
      </c>
    </row>
    <row r="7147" spans="1:2" x14ac:dyDescent="0.25">
      <c r="A7147" s="4">
        <v>41921</v>
      </c>
      <c r="B7147" s="6">
        <v>90.47</v>
      </c>
    </row>
    <row r="7148" spans="1:2" x14ac:dyDescent="0.25">
      <c r="A7148" s="4">
        <v>41922</v>
      </c>
      <c r="B7148" s="6">
        <v>88.66</v>
      </c>
    </row>
    <row r="7149" spans="1:2" x14ac:dyDescent="0.25">
      <c r="A7149" s="4">
        <v>41925</v>
      </c>
      <c r="B7149" s="6">
        <v>87.82</v>
      </c>
    </row>
    <row r="7150" spans="1:2" x14ac:dyDescent="0.25">
      <c r="A7150" s="4">
        <v>41926</v>
      </c>
      <c r="B7150" s="6">
        <v>86.36</v>
      </c>
    </row>
    <row r="7151" spans="1:2" x14ac:dyDescent="0.25">
      <c r="A7151" s="4">
        <v>41927</v>
      </c>
      <c r="B7151" s="6">
        <v>84.02</v>
      </c>
    </row>
    <row r="7152" spans="1:2" x14ac:dyDescent="0.25">
      <c r="A7152" s="4">
        <v>41928</v>
      </c>
      <c r="B7152" s="6">
        <v>84.02</v>
      </c>
    </row>
    <row r="7153" spans="1:2" x14ac:dyDescent="0.25">
      <c r="A7153" s="4">
        <v>41929</v>
      </c>
      <c r="B7153" s="6">
        <v>85.27</v>
      </c>
    </row>
    <row r="7154" spans="1:2" x14ac:dyDescent="0.25">
      <c r="A7154" s="4">
        <v>41932</v>
      </c>
      <c r="B7154" s="6">
        <v>84.42</v>
      </c>
    </row>
    <row r="7155" spans="1:2" x14ac:dyDescent="0.25">
      <c r="A7155" s="4">
        <v>41933</v>
      </c>
      <c r="B7155" s="6">
        <v>85.17</v>
      </c>
    </row>
    <row r="7156" spans="1:2" x14ac:dyDescent="0.25">
      <c r="A7156" s="4">
        <v>41934</v>
      </c>
      <c r="B7156" s="6">
        <v>86.38</v>
      </c>
    </row>
    <row r="7157" spans="1:2" x14ac:dyDescent="0.25">
      <c r="A7157" s="4">
        <v>41935</v>
      </c>
      <c r="B7157" s="6">
        <v>85.94</v>
      </c>
    </row>
    <row r="7158" spans="1:2" x14ac:dyDescent="0.25">
      <c r="A7158" s="4">
        <v>41936</v>
      </c>
      <c r="B7158" s="6">
        <v>86</v>
      </c>
    </row>
    <row r="7159" spans="1:2" x14ac:dyDescent="0.25">
      <c r="A7159" s="4">
        <v>41939</v>
      </c>
      <c r="B7159" s="6">
        <v>85.64</v>
      </c>
    </row>
    <row r="7160" spans="1:2" x14ac:dyDescent="0.25">
      <c r="A7160" s="4">
        <v>41940</v>
      </c>
      <c r="B7160" s="6">
        <v>85.57</v>
      </c>
    </row>
    <row r="7161" spans="1:2" x14ac:dyDescent="0.25">
      <c r="A7161" s="4">
        <v>41941</v>
      </c>
      <c r="B7161" s="6">
        <v>86.91</v>
      </c>
    </row>
    <row r="7162" spans="1:2" x14ac:dyDescent="0.25">
      <c r="A7162" s="4">
        <v>41942</v>
      </c>
      <c r="B7162" s="6">
        <v>85.5</v>
      </c>
    </row>
    <row r="7163" spans="1:2" x14ac:dyDescent="0.25">
      <c r="A7163" s="4">
        <v>41943</v>
      </c>
      <c r="B7163" s="6">
        <v>84.17</v>
      </c>
    </row>
    <row r="7164" spans="1:2" x14ac:dyDescent="0.25">
      <c r="A7164" s="4">
        <v>41946</v>
      </c>
      <c r="B7164" s="6">
        <v>84.9</v>
      </c>
    </row>
    <row r="7165" spans="1:2" x14ac:dyDescent="0.25">
      <c r="A7165" s="4">
        <v>41947</v>
      </c>
      <c r="B7165" s="6">
        <v>82.12</v>
      </c>
    </row>
    <row r="7166" spans="1:2" x14ac:dyDescent="0.25">
      <c r="A7166" s="4">
        <v>41948</v>
      </c>
      <c r="B7166" s="6">
        <v>82.88</v>
      </c>
    </row>
    <row r="7167" spans="1:2" x14ac:dyDescent="0.25">
      <c r="A7167" s="4">
        <v>41949</v>
      </c>
      <c r="B7167" s="6">
        <v>82.08</v>
      </c>
    </row>
    <row r="7168" spans="1:2" x14ac:dyDescent="0.25">
      <c r="A7168" s="4">
        <v>41950</v>
      </c>
      <c r="B7168" s="6">
        <v>83.2</v>
      </c>
    </row>
    <row r="7169" spans="1:2" x14ac:dyDescent="0.25">
      <c r="A7169" s="4">
        <v>41953</v>
      </c>
      <c r="B7169" s="6">
        <v>82.9</v>
      </c>
    </row>
    <row r="7170" spans="1:2" x14ac:dyDescent="0.25">
      <c r="A7170" s="4">
        <v>41954</v>
      </c>
      <c r="B7170" s="6">
        <v>80.94</v>
      </c>
    </row>
    <row r="7171" spans="1:2" x14ac:dyDescent="0.25">
      <c r="A7171" s="4">
        <v>41955</v>
      </c>
      <c r="B7171" s="6">
        <v>80.42</v>
      </c>
    </row>
    <row r="7172" spans="1:2" x14ac:dyDescent="0.25">
      <c r="A7172" s="4">
        <v>41956</v>
      </c>
      <c r="B7172" s="6">
        <v>77.739999999999995</v>
      </c>
    </row>
    <row r="7173" spans="1:2" x14ac:dyDescent="0.25">
      <c r="A7173" s="4">
        <v>41957</v>
      </c>
      <c r="B7173" s="6">
        <v>77.510000000000005</v>
      </c>
    </row>
    <row r="7174" spans="1:2" x14ac:dyDescent="0.25">
      <c r="A7174" s="4">
        <v>41960</v>
      </c>
      <c r="B7174" s="6">
        <v>76.86</v>
      </c>
    </row>
    <row r="7175" spans="1:2" x14ac:dyDescent="0.25">
      <c r="A7175" s="4">
        <v>41961</v>
      </c>
      <c r="B7175" s="6">
        <v>77.23</v>
      </c>
    </row>
    <row r="7176" spans="1:2" x14ac:dyDescent="0.25">
      <c r="A7176" s="4">
        <v>41962</v>
      </c>
      <c r="B7176" s="6">
        <v>77.209999999999994</v>
      </c>
    </row>
    <row r="7177" spans="1:2" x14ac:dyDescent="0.25">
      <c r="A7177" s="4">
        <v>41963</v>
      </c>
      <c r="B7177" s="6">
        <v>77.61</v>
      </c>
    </row>
    <row r="7178" spans="1:2" x14ac:dyDescent="0.25">
      <c r="A7178" s="4">
        <v>41964</v>
      </c>
      <c r="B7178" s="6">
        <v>79.2</v>
      </c>
    </row>
    <row r="7179" spans="1:2" x14ac:dyDescent="0.25">
      <c r="A7179" s="4">
        <v>41967</v>
      </c>
      <c r="B7179" s="6">
        <v>79.62</v>
      </c>
    </row>
    <row r="7180" spans="1:2" x14ac:dyDescent="0.25">
      <c r="A7180" s="4">
        <v>41968</v>
      </c>
      <c r="B7180" s="6">
        <v>77.62</v>
      </c>
    </row>
    <row r="7181" spans="1:2" x14ac:dyDescent="0.25">
      <c r="A7181" s="4">
        <v>41969</v>
      </c>
      <c r="B7181" s="6">
        <v>77.39</v>
      </c>
    </row>
    <row r="7182" spans="1:2" x14ac:dyDescent="0.25">
      <c r="A7182" s="4">
        <v>41970</v>
      </c>
      <c r="B7182" s="5"/>
    </row>
    <row r="7183" spans="1:2" x14ac:dyDescent="0.25">
      <c r="A7183" s="4">
        <v>41971</v>
      </c>
      <c r="B7183" s="6">
        <v>71.89</v>
      </c>
    </row>
    <row r="7184" spans="1:2" x14ac:dyDescent="0.25">
      <c r="A7184" s="4">
        <v>41974</v>
      </c>
      <c r="B7184" s="6">
        <v>70.87</v>
      </c>
    </row>
    <row r="7185" spans="1:2" x14ac:dyDescent="0.25">
      <c r="A7185" s="4">
        <v>41975</v>
      </c>
      <c r="B7185" s="6">
        <v>71.13</v>
      </c>
    </row>
    <row r="7186" spans="1:2" x14ac:dyDescent="0.25">
      <c r="A7186" s="4">
        <v>41976</v>
      </c>
      <c r="B7186" s="6">
        <v>70.13</v>
      </c>
    </row>
    <row r="7187" spans="1:2" x14ac:dyDescent="0.25">
      <c r="A7187" s="4">
        <v>41977</v>
      </c>
      <c r="B7187" s="6">
        <v>68.48</v>
      </c>
    </row>
    <row r="7188" spans="1:2" x14ac:dyDescent="0.25">
      <c r="A7188" s="4">
        <v>41978</v>
      </c>
      <c r="B7188" s="6">
        <v>68</v>
      </c>
    </row>
    <row r="7189" spans="1:2" x14ac:dyDescent="0.25">
      <c r="A7189" s="4">
        <v>41981</v>
      </c>
      <c r="B7189" s="6">
        <v>65.64</v>
      </c>
    </row>
    <row r="7190" spans="1:2" x14ac:dyDescent="0.25">
      <c r="A7190" s="4">
        <v>41982</v>
      </c>
      <c r="B7190" s="6">
        <v>66.11</v>
      </c>
    </row>
    <row r="7191" spans="1:2" x14ac:dyDescent="0.25">
      <c r="A7191" s="4">
        <v>41983</v>
      </c>
      <c r="B7191" s="6">
        <v>63.32</v>
      </c>
    </row>
    <row r="7192" spans="1:2" x14ac:dyDescent="0.25">
      <c r="A7192" s="4">
        <v>41984</v>
      </c>
      <c r="B7192" s="6">
        <v>63.65</v>
      </c>
    </row>
    <row r="7193" spans="1:2" x14ac:dyDescent="0.25">
      <c r="A7193" s="4">
        <v>41985</v>
      </c>
      <c r="B7193" s="6">
        <v>61.67</v>
      </c>
    </row>
    <row r="7194" spans="1:2" x14ac:dyDescent="0.25">
      <c r="A7194" s="4">
        <v>41988</v>
      </c>
      <c r="B7194" s="6">
        <v>61.09</v>
      </c>
    </row>
    <row r="7195" spans="1:2" x14ac:dyDescent="0.25">
      <c r="A7195" s="4">
        <v>41989</v>
      </c>
      <c r="B7195" s="6">
        <v>60.26</v>
      </c>
    </row>
    <row r="7196" spans="1:2" x14ac:dyDescent="0.25">
      <c r="A7196" s="4">
        <v>41990</v>
      </c>
      <c r="B7196" s="6">
        <v>59.84</v>
      </c>
    </row>
    <row r="7197" spans="1:2" x14ac:dyDescent="0.25">
      <c r="A7197" s="4">
        <v>41991</v>
      </c>
      <c r="B7197" s="6">
        <v>58.81</v>
      </c>
    </row>
    <row r="7198" spans="1:2" x14ac:dyDescent="0.25">
      <c r="A7198" s="4">
        <v>41992</v>
      </c>
      <c r="B7198" s="6">
        <v>58.87</v>
      </c>
    </row>
    <row r="7199" spans="1:2" x14ac:dyDescent="0.25">
      <c r="A7199" s="4">
        <v>41995</v>
      </c>
      <c r="B7199" s="6">
        <v>58.31</v>
      </c>
    </row>
    <row r="7200" spans="1:2" x14ac:dyDescent="0.25">
      <c r="A7200" s="4">
        <v>41996</v>
      </c>
      <c r="B7200" s="6">
        <v>59.07</v>
      </c>
    </row>
    <row r="7201" spans="1:2" x14ac:dyDescent="0.25">
      <c r="A7201" s="4">
        <v>41997</v>
      </c>
      <c r="B7201" s="6">
        <v>58.67</v>
      </c>
    </row>
    <row r="7202" spans="1:2" x14ac:dyDescent="0.25">
      <c r="A7202" s="4">
        <v>41998</v>
      </c>
      <c r="B7202" s="5"/>
    </row>
    <row r="7203" spans="1:2" x14ac:dyDescent="0.25">
      <c r="A7203" s="4">
        <v>41999</v>
      </c>
      <c r="B7203" s="6">
        <v>58.72</v>
      </c>
    </row>
    <row r="7204" spans="1:2" x14ac:dyDescent="0.25">
      <c r="A7204" s="4">
        <v>42002</v>
      </c>
      <c r="B7204" s="6">
        <v>57.86</v>
      </c>
    </row>
    <row r="7205" spans="1:2" x14ac:dyDescent="0.25">
      <c r="A7205" s="4">
        <v>42003</v>
      </c>
      <c r="B7205" s="6">
        <v>55.6</v>
      </c>
    </row>
    <row r="7206" spans="1:2" x14ac:dyDescent="0.25">
      <c r="A7206" s="4">
        <v>42004</v>
      </c>
      <c r="B7206" s="6">
        <v>55.27</v>
      </c>
    </row>
    <row r="7207" spans="1:2" x14ac:dyDescent="0.25">
      <c r="A7207" s="4">
        <v>42005</v>
      </c>
      <c r="B7207" s="5"/>
    </row>
    <row r="7208" spans="1:2" x14ac:dyDescent="0.25">
      <c r="A7208" s="4">
        <v>42006</v>
      </c>
      <c r="B7208" s="6">
        <v>55.38</v>
      </c>
    </row>
    <row r="7209" spans="1:2" x14ac:dyDescent="0.25">
      <c r="A7209" s="4">
        <v>42009</v>
      </c>
      <c r="B7209" s="6">
        <v>51.08</v>
      </c>
    </row>
    <row r="7210" spans="1:2" x14ac:dyDescent="0.25">
      <c r="A7210" s="4">
        <v>42010</v>
      </c>
      <c r="B7210" s="6">
        <v>50.12</v>
      </c>
    </row>
    <row r="7211" spans="1:2" x14ac:dyDescent="0.25">
      <c r="A7211" s="4">
        <v>42011</v>
      </c>
      <c r="B7211" s="6">
        <v>49.06</v>
      </c>
    </row>
    <row r="7212" spans="1:2" x14ac:dyDescent="0.25">
      <c r="A7212" s="4">
        <v>42012</v>
      </c>
      <c r="B7212" s="6">
        <v>49.43</v>
      </c>
    </row>
    <row r="7213" spans="1:2" x14ac:dyDescent="0.25">
      <c r="A7213" s="4">
        <v>42013</v>
      </c>
      <c r="B7213" s="6">
        <v>47.64</v>
      </c>
    </row>
    <row r="7214" spans="1:2" x14ac:dyDescent="0.25">
      <c r="A7214" s="4">
        <v>42016</v>
      </c>
      <c r="B7214" s="6">
        <v>46.9</v>
      </c>
    </row>
    <row r="7215" spans="1:2" x14ac:dyDescent="0.25">
      <c r="A7215" s="4">
        <v>42017</v>
      </c>
      <c r="B7215" s="6">
        <v>45.13</v>
      </c>
    </row>
    <row r="7216" spans="1:2" x14ac:dyDescent="0.25">
      <c r="A7216" s="4">
        <v>42018</v>
      </c>
      <c r="B7216" s="6">
        <v>45.82</v>
      </c>
    </row>
    <row r="7217" spans="1:2" x14ac:dyDescent="0.25">
      <c r="A7217" s="4">
        <v>42019</v>
      </c>
      <c r="B7217" s="6">
        <v>47.66</v>
      </c>
    </row>
    <row r="7218" spans="1:2" x14ac:dyDescent="0.25">
      <c r="A7218" s="4">
        <v>42020</v>
      </c>
      <c r="B7218" s="6">
        <v>47.38</v>
      </c>
    </row>
    <row r="7219" spans="1:2" x14ac:dyDescent="0.25">
      <c r="A7219" s="4">
        <v>42023</v>
      </c>
      <c r="B7219" s="5"/>
    </row>
    <row r="7220" spans="1:2" x14ac:dyDescent="0.25">
      <c r="A7220" s="4">
        <v>42024</v>
      </c>
      <c r="B7220" s="6">
        <v>46.49</v>
      </c>
    </row>
    <row r="7221" spans="1:2" x14ac:dyDescent="0.25">
      <c r="A7221" s="4">
        <v>42025</v>
      </c>
      <c r="B7221" s="6">
        <v>46.5</v>
      </c>
    </row>
    <row r="7222" spans="1:2" x14ac:dyDescent="0.25">
      <c r="A7222" s="4">
        <v>42026</v>
      </c>
      <c r="B7222" s="6">
        <v>46.09</v>
      </c>
    </row>
    <row r="7223" spans="1:2" x14ac:dyDescent="0.25">
      <c r="A7223" s="4">
        <v>42027</v>
      </c>
      <c r="B7223" s="6">
        <v>46.69</v>
      </c>
    </row>
    <row r="7224" spans="1:2" x14ac:dyDescent="0.25">
      <c r="A7224" s="4">
        <v>42030</v>
      </c>
      <c r="B7224" s="6">
        <v>46.07</v>
      </c>
    </row>
    <row r="7225" spans="1:2" x14ac:dyDescent="0.25">
      <c r="A7225" s="4">
        <v>42031</v>
      </c>
      <c r="B7225" s="6">
        <v>46.55</v>
      </c>
    </row>
    <row r="7226" spans="1:2" x14ac:dyDescent="0.25">
      <c r="A7226" s="4">
        <v>42032</v>
      </c>
      <c r="B7226" s="6">
        <v>47.07</v>
      </c>
    </row>
    <row r="7227" spans="1:2" x14ac:dyDescent="0.25">
      <c r="A7227" s="4">
        <v>42033</v>
      </c>
      <c r="B7227" s="6">
        <v>46.61</v>
      </c>
    </row>
    <row r="7228" spans="1:2" x14ac:dyDescent="0.25">
      <c r="A7228" s="4">
        <v>42034</v>
      </c>
      <c r="B7228" s="6">
        <v>47.52</v>
      </c>
    </row>
    <row r="7229" spans="1:2" x14ac:dyDescent="0.25">
      <c r="A7229" s="4">
        <v>42037</v>
      </c>
      <c r="B7229" s="6">
        <v>51.74</v>
      </c>
    </row>
    <row r="7230" spans="1:2" x14ac:dyDescent="0.25">
      <c r="A7230" s="4">
        <v>42038</v>
      </c>
      <c r="B7230" s="6">
        <v>54.41</v>
      </c>
    </row>
    <row r="7231" spans="1:2" x14ac:dyDescent="0.25">
      <c r="A7231" s="4">
        <v>42039</v>
      </c>
      <c r="B7231" s="6">
        <v>55.07</v>
      </c>
    </row>
    <row r="7232" spans="1:2" x14ac:dyDescent="0.25">
      <c r="A7232" s="4">
        <v>42040</v>
      </c>
      <c r="B7232" s="6">
        <v>55.98</v>
      </c>
    </row>
    <row r="7233" spans="1:2" x14ac:dyDescent="0.25">
      <c r="A7233" s="4">
        <v>42041</v>
      </c>
      <c r="B7233" s="6">
        <v>55.88</v>
      </c>
    </row>
    <row r="7234" spans="1:2" x14ac:dyDescent="0.25">
      <c r="A7234" s="4">
        <v>42044</v>
      </c>
      <c r="B7234" s="6">
        <v>57</v>
      </c>
    </row>
    <row r="7235" spans="1:2" x14ac:dyDescent="0.25">
      <c r="A7235" s="4">
        <v>42045</v>
      </c>
      <c r="B7235" s="6">
        <v>55.79</v>
      </c>
    </row>
    <row r="7236" spans="1:2" x14ac:dyDescent="0.25">
      <c r="A7236" s="4">
        <v>42046</v>
      </c>
      <c r="B7236" s="6">
        <v>53.48</v>
      </c>
    </row>
    <row r="7237" spans="1:2" x14ac:dyDescent="0.25">
      <c r="A7237" s="4">
        <v>42047</v>
      </c>
      <c r="B7237" s="6">
        <v>56.23</v>
      </c>
    </row>
    <row r="7238" spans="1:2" x14ac:dyDescent="0.25">
      <c r="A7238" s="4">
        <v>42048</v>
      </c>
      <c r="B7238" s="6">
        <v>60.33</v>
      </c>
    </row>
    <row r="7239" spans="1:2" x14ac:dyDescent="0.25">
      <c r="A7239" s="4">
        <v>42051</v>
      </c>
      <c r="B7239" s="6">
        <v>61.57</v>
      </c>
    </row>
    <row r="7240" spans="1:2" x14ac:dyDescent="0.25">
      <c r="A7240" s="4">
        <v>42052</v>
      </c>
      <c r="B7240" s="6">
        <v>60.78</v>
      </c>
    </row>
    <row r="7241" spans="1:2" x14ac:dyDescent="0.25">
      <c r="A7241" s="4">
        <v>42053</v>
      </c>
      <c r="B7241" s="6">
        <v>60.72</v>
      </c>
    </row>
    <row r="7242" spans="1:2" x14ac:dyDescent="0.25">
      <c r="A7242" s="4">
        <v>42054</v>
      </c>
      <c r="B7242" s="6">
        <v>58.78</v>
      </c>
    </row>
    <row r="7243" spans="1:2" x14ac:dyDescent="0.25">
      <c r="A7243" s="4">
        <v>42055</v>
      </c>
      <c r="B7243" s="6">
        <v>60.99</v>
      </c>
    </row>
    <row r="7244" spans="1:2" x14ac:dyDescent="0.25">
      <c r="A7244" s="4">
        <v>42058</v>
      </c>
      <c r="B7244" s="6">
        <v>59.78</v>
      </c>
    </row>
    <row r="7245" spans="1:2" x14ac:dyDescent="0.25">
      <c r="A7245" s="4">
        <v>42059</v>
      </c>
      <c r="B7245" s="6">
        <v>60.33</v>
      </c>
    </row>
    <row r="7246" spans="1:2" x14ac:dyDescent="0.25">
      <c r="A7246" s="4">
        <v>42060</v>
      </c>
      <c r="B7246" s="6">
        <v>59.77</v>
      </c>
    </row>
    <row r="7247" spans="1:2" x14ac:dyDescent="0.25">
      <c r="A7247" s="4">
        <v>42061</v>
      </c>
      <c r="B7247" s="6">
        <v>61.39</v>
      </c>
    </row>
    <row r="7248" spans="1:2" x14ac:dyDescent="0.25">
      <c r="A7248" s="4">
        <v>42062</v>
      </c>
      <c r="B7248" s="6">
        <v>61.89</v>
      </c>
    </row>
    <row r="7249" spans="1:2" x14ac:dyDescent="0.25">
      <c r="A7249" s="4">
        <v>42065</v>
      </c>
      <c r="B7249" s="6">
        <v>60.75</v>
      </c>
    </row>
    <row r="7250" spans="1:2" x14ac:dyDescent="0.25">
      <c r="A7250" s="4">
        <v>42066</v>
      </c>
      <c r="B7250" s="6">
        <v>61.18</v>
      </c>
    </row>
    <row r="7251" spans="1:2" x14ac:dyDescent="0.25">
      <c r="A7251" s="4">
        <v>42067</v>
      </c>
      <c r="B7251" s="6">
        <v>59.18</v>
      </c>
    </row>
    <row r="7252" spans="1:2" x14ac:dyDescent="0.25">
      <c r="A7252" s="4">
        <v>42068</v>
      </c>
      <c r="B7252" s="6">
        <v>60.33</v>
      </c>
    </row>
    <row r="7253" spans="1:2" x14ac:dyDescent="0.25">
      <c r="A7253" s="4">
        <v>42069</v>
      </c>
      <c r="B7253" s="6">
        <v>59.15</v>
      </c>
    </row>
    <row r="7254" spans="1:2" x14ac:dyDescent="0.25">
      <c r="A7254" s="4">
        <v>42072</v>
      </c>
      <c r="B7254" s="6">
        <v>58.67</v>
      </c>
    </row>
    <row r="7255" spans="1:2" x14ac:dyDescent="0.25">
      <c r="A7255" s="4">
        <v>42073</v>
      </c>
      <c r="B7255" s="6">
        <v>55.95</v>
      </c>
    </row>
    <row r="7256" spans="1:2" x14ac:dyDescent="0.25">
      <c r="A7256" s="4">
        <v>42074</v>
      </c>
      <c r="B7256" s="6">
        <v>56.46</v>
      </c>
    </row>
    <row r="7257" spans="1:2" x14ac:dyDescent="0.25">
      <c r="A7257" s="4">
        <v>42075</v>
      </c>
      <c r="B7257" s="6">
        <v>56.66</v>
      </c>
    </row>
    <row r="7258" spans="1:2" x14ac:dyDescent="0.25">
      <c r="A7258" s="4">
        <v>42076</v>
      </c>
      <c r="B7258" s="6">
        <v>54.8</v>
      </c>
    </row>
    <row r="7259" spans="1:2" x14ac:dyDescent="0.25">
      <c r="A7259" s="4">
        <v>42079</v>
      </c>
      <c r="B7259" s="6">
        <v>52</v>
      </c>
    </row>
    <row r="7260" spans="1:2" x14ac:dyDescent="0.25">
      <c r="A7260" s="4">
        <v>42080</v>
      </c>
      <c r="B7260" s="6">
        <v>52.17</v>
      </c>
    </row>
    <row r="7261" spans="1:2" x14ac:dyDescent="0.25">
      <c r="A7261" s="4">
        <v>42081</v>
      </c>
      <c r="B7261" s="6">
        <v>52.59</v>
      </c>
    </row>
    <row r="7262" spans="1:2" x14ac:dyDescent="0.25">
      <c r="A7262" s="4">
        <v>42082</v>
      </c>
      <c r="B7262" s="6">
        <v>52.96</v>
      </c>
    </row>
    <row r="7263" spans="1:2" x14ac:dyDescent="0.25">
      <c r="A7263" s="4">
        <v>42083</v>
      </c>
      <c r="B7263" s="6">
        <v>53.88</v>
      </c>
    </row>
    <row r="7264" spans="1:2" x14ac:dyDescent="0.25">
      <c r="A7264" s="4">
        <v>42086</v>
      </c>
      <c r="B7264" s="6">
        <v>53.82</v>
      </c>
    </row>
    <row r="7265" spans="1:2" x14ac:dyDescent="0.25">
      <c r="A7265" s="4">
        <v>42087</v>
      </c>
      <c r="B7265" s="6">
        <v>53.61</v>
      </c>
    </row>
    <row r="7266" spans="1:2" x14ac:dyDescent="0.25">
      <c r="A7266" s="4">
        <v>42088</v>
      </c>
      <c r="B7266" s="6">
        <v>54.18</v>
      </c>
    </row>
    <row r="7267" spans="1:2" x14ac:dyDescent="0.25">
      <c r="A7267" s="4">
        <v>42089</v>
      </c>
      <c r="B7267" s="6">
        <v>57.02</v>
      </c>
    </row>
    <row r="7268" spans="1:2" x14ac:dyDescent="0.25">
      <c r="A7268" s="4">
        <v>42090</v>
      </c>
      <c r="B7268" s="6">
        <v>56.44</v>
      </c>
    </row>
    <row r="7269" spans="1:2" x14ac:dyDescent="0.25">
      <c r="A7269" s="4">
        <v>42093</v>
      </c>
      <c r="B7269" s="6">
        <v>53.99</v>
      </c>
    </row>
    <row r="7270" spans="1:2" x14ac:dyDescent="0.25">
      <c r="A7270" s="4">
        <v>42094</v>
      </c>
      <c r="B7270" s="6">
        <v>53.69</v>
      </c>
    </row>
    <row r="7271" spans="1:2" x14ac:dyDescent="0.25">
      <c r="A7271" s="4">
        <v>42095</v>
      </c>
      <c r="B7271" s="6">
        <v>55.73</v>
      </c>
    </row>
    <row r="7272" spans="1:2" x14ac:dyDescent="0.25">
      <c r="A7272" s="4">
        <v>42096</v>
      </c>
      <c r="B7272" s="6">
        <v>55.73</v>
      </c>
    </row>
    <row r="7273" spans="1:2" x14ac:dyDescent="0.25">
      <c r="A7273" s="4">
        <v>42097</v>
      </c>
      <c r="B7273" s="5"/>
    </row>
    <row r="7274" spans="1:2" x14ac:dyDescent="0.25">
      <c r="A7274" s="4">
        <v>42100</v>
      </c>
      <c r="B7274" s="6">
        <v>55.73</v>
      </c>
    </row>
    <row r="7275" spans="1:2" x14ac:dyDescent="0.25">
      <c r="A7275" s="4">
        <v>42101</v>
      </c>
      <c r="B7275" s="6">
        <v>57.55</v>
      </c>
    </row>
    <row r="7276" spans="1:2" x14ac:dyDescent="0.25">
      <c r="A7276" s="4">
        <v>42102</v>
      </c>
      <c r="B7276" s="6">
        <v>56.42</v>
      </c>
    </row>
    <row r="7277" spans="1:2" x14ac:dyDescent="0.25">
      <c r="A7277" s="4">
        <v>42103</v>
      </c>
      <c r="B7277" s="6">
        <v>56.04</v>
      </c>
    </row>
    <row r="7278" spans="1:2" x14ac:dyDescent="0.25">
      <c r="A7278" s="4">
        <v>42104</v>
      </c>
      <c r="B7278" s="6">
        <v>56.82</v>
      </c>
    </row>
    <row r="7279" spans="1:2" x14ac:dyDescent="0.25">
      <c r="A7279" s="4">
        <v>42107</v>
      </c>
      <c r="B7279" s="6">
        <v>57.14</v>
      </c>
    </row>
    <row r="7280" spans="1:2" x14ac:dyDescent="0.25">
      <c r="A7280" s="4">
        <v>42108</v>
      </c>
      <c r="B7280" s="6">
        <v>57.69</v>
      </c>
    </row>
    <row r="7281" spans="1:2" x14ac:dyDescent="0.25">
      <c r="A7281" s="4">
        <v>42109</v>
      </c>
      <c r="B7281" s="6">
        <v>59.32</v>
      </c>
    </row>
    <row r="7282" spans="1:2" x14ac:dyDescent="0.25">
      <c r="A7282" s="4">
        <v>42110</v>
      </c>
      <c r="B7282" s="6">
        <v>60.13</v>
      </c>
    </row>
    <row r="7283" spans="1:2" x14ac:dyDescent="0.25">
      <c r="A7283" s="4">
        <v>42111</v>
      </c>
      <c r="B7283" s="6">
        <v>61.31</v>
      </c>
    </row>
    <row r="7284" spans="1:2" x14ac:dyDescent="0.25">
      <c r="A7284" s="4">
        <v>42114</v>
      </c>
      <c r="B7284" s="6">
        <v>61.2</v>
      </c>
    </row>
    <row r="7285" spans="1:2" x14ac:dyDescent="0.25">
      <c r="A7285" s="4">
        <v>42115</v>
      </c>
      <c r="B7285" s="6">
        <v>60.12</v>
      </c>
    </row>
    <row r="7286" spans="1:2" x14ac:dyDescent="0.25">
      <c r="A7286" s="4">
        <v>42116</v>
      </c>
      <c r="B7286" s="6">
        <v>60.12</v>
      </c>
    </row>
    <row r="7287" spans="1:2" x14ac:dyDescent="0.25">
      <c r="A7287" s="4">
        <v>42117</v>
      </c>
      <c r="B7287" s="6">
        <v>62.66</v>
      </c>
    </row>
    <row r="7288" spans="1:2" x14ac:dyDescent="0.25">
      <c r="A7288" s="4">
        <v>42118</v>
      </c>
      <c r="B7288" s="6">
        <v>62.96</v>
      </c>
    </row>
    <row r="7289" spans="1:2" x14ac:dyDescent="0.25">
      <c r="A7289" s="4">
        <v>42121</v>
      </c>
      <c r="B7289" s="6">
        <v>62.86</v>
      </c>
    </row>
    <row r="7290" spans="1:2" x14ac:dyDescent="0.25">
      <c r="A7290" s="4">
        <v>42122</v>
      </c>
      <c r="B7290" s="6">
        <v>62.61</v>
      </c>
    </row>
    <row r="7291" spans="1:2" x14ac:dyDescent="0.25">
      <c r="A7291" s="4">
        <v>42123</v>
      </c>
      <c r="B7291" s="6">
        <v>63.97</v>
      </c>
    </row>
    <row r="7292" spans="1:2" x14ac:dyDescent="0.25">
      <c r="A7292" s="4">
        <v>42124</v>
      </c>
      <c r="B7292" s="6">
        <v>63.9</v>
      </c>
    </row>
    <row r="7293" spans="1:2" x14ac:dyDescent="0.25">
      <c r="A7293" s="4">
        <v>42125</v>
      </c>
      <c r="B7293" s="6">
        <v>64.13</v>
      </c>
    </row>
    <row r="7294" spans="1:2" x14ac:dyDescent="0.25">
      <c r="A7294" s="4">
        <v>42128</v>
      </c>
      <c r="B7294" s="6">
        <v>64.62</v>
      </c>
    </row>
    <row r="7295" spans="1:2" x14ac:dyDescent="0.25">
      <c r="A7295" s="4">
        <v>42129</v>
      </c>
      <c r="B7295" s="6">
        <v>65.44</v>
      </c>
    </row>
    <row r="7296" spans="1:2" x14ac:dyDescent="0.25">
      <c r="A7296" s="4">
        <v>42130</v>
      </c>
      <c r="B7296" s="6">
        <v>66.22</v>
      </c>
    </row>
    <row r="7297" spans="1:2" x14ac:dyDescent="0.25">
      <c r="A7297" s="4">
        <v>42131</v>
      </c>
      <c r="B7297" s="6">
        <v>64.930000000000007</v>
      </c>
    </row>
    <row r="7298" spans="1:2" x14ac:dyDescent="0.25">
      <c r="A7298" s="4">
        <v>42132</v>
      </c>
      <c r="B7298" s="6">
        <v>63.82</v>
      </c>
    </row>
    <row r="7299" spans="1:2" x14ac:dyDescent="0.25">
      <c r="A7299" s="4">
        <v>42135</v>
      </c>
      <c r="B7299" s="6">
        <v>62.82</v>
      </c>
    </row>
    <row r="7300" spans="1:2" x14ac:dyDescent="0.25">
      <c r="A7300" s="4">
        <v>42136</v>
      </c>
      <c r="B7300" s="6">
        <v>65.09</v>
      </c>
    </row>
    <row r="7301" spans="1:2" x14ac:dyDescent="0.25">
      <c r="A7301" s="4">
        <v>42137</v>
      </c>
      <c r="B7301" s="6">
        <v>66.33</v>
      </c>
    </row>
    <row r="7302" spans="1:2" x14ac:dyDescent="0.25">
      <c r="A7302" s="4">
        <v>42138</v>
      </c>
      <c r="B7302" s="6">
        <v>65.58</v>
      </c>
    </row>
    <row r="7303" spans="1:2" x14ac:dyDescent="0.25">
      <c r="A7303" s="4">
        <v>42139</v>
      </c>
      <c r="B7303" s="6">
        <v>64.69</v>
      </c>
    </row>
    <row r="7304" spans="1:2" x14ac:dyDescent="0.25">
      <c r="A7304" s="4">
        <v>42142</v>
      </c>
      <c r="B7304" s="6">
        <v>65.150000000000006</v>
      </c>
    </row>
    <row r="7305" spans="1:2" x14ac:dyDescent="0.25">
      <c r="A7305" s="4">
        <v>42143</v>
      </c>
      <c r="B7305" s="6">
        <v>63.48</v>
      </c>
    </row>
    <row r="7306" spans="1:2" x14ac:dyDescent="0.25">
      <c r="A7306" s="4">
        <v>42144</v>
      </c>
      <c r="B7306" s="6">
        <v>63.52</v>
      </c>
    </row>
    <row r="7307" spans="1:2" x14ac:dyDescent="0.25">
      <c r="A7307" s="4">
        <v>42145</v>
      </c>
      <c r="B7307" s="6">
        <v>64.7</v>
      </c>
    </row>
    <row r="7308" spans="1:2" x14ac:dyDescent="0.25">
      <c r="A7308" s="4">
        <v>42146</v>
      </c>
      <c r="B7308" s="6">
        <v>64.7</v>
      </c>
    </row>
    <row r="7309" spans="1:2" x14ac:dyDescent="0.25">
      <c r="A7309" s="4">
        <v>42149</v>
      </c>
      <c r="B7309" s="5"/>
    </row>
    <row r="7310" spans="1:2" x14ac:dyDescent="0.25">
      <c r="A7310" s="4">
        <v>42150</v>
      </c>
      <c r="B7310" s="6">
        <v>61.65</v>
      </c>
    </row>
    <row r="7311" spans="1:2" x14ac:dyDescent="0.25">
      <c r="A7311" s="4">
        <v>42151</v>
      </c>
      <c r="B7311" s="6">
        <v>61.35</v>
      </c>
    </row>
    <row r="7312" spans="1:2" x14ac:dyDescent="0.25">
      <c r="A7312" s="4">
        <v>42152</v>
      </c>
      <c r="B7312" s="6">
        <v>60.12</v>
      </c>
    </row>
    <row r="7313" spans="1:2" x14ac:dyDescent="0.25">
      <c r="A7313" s="4">
        <v>42153</v>
      </c>
      <c r="B7313" s="6">
        <v>63.16</v>
      </c>
    </row>
    <row r="7314" spans="1:2" x14ac:dyDescent="0.25">
      <c r="A7314" s="4">
        <v>42156</v>
      </c>
      <c r="B7314" s="6">
        <v>62.87</v>
      </c>
    </row>
    <row r="7315" spans="1:2" x14ac:dyDescent="0.25">
      <c r="A7315" s="4">
        <v>42157</v>
      </c>
      <c r="B7315" s="6">
        <v>63.14</v>
      </c>
    </row>
    <row r="7316" spans="1:2" x14ac:dyDescent="0.25">
      <c r="A7316" s="4">
        <v>42158</v>
      </c>
      <c r="B7316" s="6">
        <v>62.78</v>
      </c>
    </row>
    <row r="7317" spans="1:2" x14ac:dyDescent="0.25">
      <c r="A7317" s="4">
        <v>42159</v>
      </c>
      <c r="B7317" s="6">
        <v>60.34</v>
      </c>
    </row>
    <row r="7318" spans="1:2" x14ac:dyDescent="0.25">
      <c r="A7318" s="4">
        <v>42160</v>
      </c>
      <c r="B7318" s="6">
        <v>60.36</v>
      </c>
    </row>
    <row r="7319" spans="1:2" x14ac:dyDescent="0.25">
      <c r="A7319" s="4">
        <v>42163</v>
      </c>
      <c r="B7319" s="6">
        <v>61.33</v>
      </c>
    </row>
    <row r="7320" spans="1:2" x14ac:dyDescent="0.25">
      <c r="A7320" s="4">
        <v>42164</v>
      </c>
      <c r="B7320" s="6">
        <v>63.23</v>
      </c>
    </row>
    <row r="7321" spans="1:2" x14ac:dyDescent="0.25">
      <c r="A7321" s="4">
        <v>42165</v>
      </c>
      <c r="B7321" s="6">
        <v>64.680000000000007</v>
      </c>
    </row>
    <row r="7322" spans="1:2" x14ac:dyDescent="0.25">
      <c r="A7322" s="4">
        <v>42166</v>
      </c>
      <c r="B7322" s="6">
        <v>63.76</v>
      </c>
    </row>
    <row r="7323" spans="1:2" x14ac:dyDescent="0.25">
      <c r="A7323" s="4">
        <v>42167</v>
      </c>
      <c r="B7323" s="6">
        <v>63.19</v>
      </c>
    </row>
    <row r="7324" spans="1:2" x14ac:dyDescent="0.25">
      <c r="A7324" s="4">
        <v>42170</v>
      </c>
      <c r="B7324" s="6">
        <v>60.99</v>
      </c>
    </row>
    <row r="7325" spans="1:2" x14ac:dyDescent="0.25">
      <c r="A7325" s="4">
        <v>42171</v>
      </c>
      <c r="B7325" s="6">
        <v>60.75</v>
      </c>
    </row>
    <row r="7326" spans="1:2" x14ac:dyDescent="0.25">
      <c r="A7326" s="4">
        <v>42172</v>
      </c>
      <c r="B7326" s="6">
        <v>60.75</v>
      </c>
    </row>
    <row r="7327" spans="1:2" x14ac:dyDescent="0.25">
      <c r="A7327" s="4">
        <v>42173</v>
      </c>
      <c r="B7327" s="6">
        <v>61.37</v>
      </c>
    </row>
    <row r="7328" spans="1:2" x14ac:dyDescent="0.25">
      <c r="A7328" s="4">
        <v>42174</v>
      </c>
      <c r="B7328" s="6">
        <v>59.41</v>
      </c>
    </row>
    <row r="7329" spans="1:2" x14ac:dyDescent="0.25">
      <c r="A7329" s="4">
        <v>42177</v>
      </c>
      <c r="B7329" s="6">
        <v>60.54</v>
      </c>
    </row>
    <row r="7330" spans="1:2" x14ac:dyDescent="0.25">
      <c r="A7330" s="4">
        <v>42178</v>
      </c>
      <c r="B7330" s="6">
        <v>61.67</v>
      </c>
    </row>
    <row r="7331" spans="1:2" x14ac:dyDescent="0.25">
      <c r="A7331" s="4">
        <v>42179</v>
      </c>
      <c r="B7331" s="6">
        <v>61.63</v>
      </c>
    </row>
    <row r="7332" spans="1:2" x14ac:dyDescent="0.25">
      <c r="A7332" s="4">
        <v>42180</v>
      </c>
      <c r="B7332" s="6">
        <v>60.24</v>
      </c>
    </row>
    <row r="7333" spans="1:2" x14ac:dyDescent="0.25">
      <c r="A7333" s="4">
        <v>42181</v>
      </c>
      <c r="B7333" s="6">
        <v>60.14</v>
      </c>
    </row>
    <row r="7334" spans="1:2" x14ac:dyDescent="0.25">
      <c r="A7334" s="4">
        <v>42184</v>
      </c>
      <c r="B7334" s="6">
        <v>59.03</v>
      </c>
    </row>
    <row r="7335" spans="1:2" x14ac:dyDescent="0.25">
      <c r="A7335" s="4">
        <v>42185</v>
      </c>
      <c r="B7335" s="6">
        <v>60.31</v>
      </c>
    </row>
    <row r="7336" spans="1:2" x14ac:dyDescent="0.25">
      <c r="A7336" s="4">
        <v>42186</v>
      </c>
      <c r="B7336" s="6">
        <v>61.65</v>
      </c>
    </row>
    <row r="7337" spans="1:2" x14ac:dyDescent="0.25">
      <c r="A7337" s="4">
        <v>42187</v>
      </c>
      <c r="B7337" s="6">
        <v>61.73</v>
      </c>
    </row>
    <row r="7338" spans="1:2" x14ac:dyDescent="0.25">
      <c r="A7338" s="4">
        <v>42188</v>
      </c>
      <c r="B7338" s="6">
        <v>59.06</v>
      </c>
    </row>
    <row r="7339" spans="1:2" x14ac:dyDescent="0.25">
      <c r="A7339" s="4">
        <v>42191</v>
      </c>
      <c r="B7339" s="6">
        <v>57.19</v>
      </c>
    </row>
    <row r="7340" spans="1:2" x14ac:dyDescent="0.25">
      <c r="A7340" s="4">
        <v>42192</v>
      </c>
      <c r="B7340" s="6">
        <v>54.72</v>
      </c>
    </row>
    <row r="7341" spans="1:2" x14ac:dyDescent="0.25">
      <c r="A7341" s="4">
        <v>42193</v>
      </c>
      <c r="B7341" s="6">
        <v>55.7</v>
      </c>
    </row>
    <row r="7342" spans="1:2" x14ac:dyDescent="0.25">
      <c r="A7342" s="4">
        <v>42194</v>
      </c>
      <c r="B7342" s="6">
        <v>57.83</v>
      </c>
    </row>
    <row r="7343" spans="1:2" x14ac:dyDescent="0.25">
      <c r="A7343" s="4">
        <v>42195</v>
      </c>
      <c r="B7343" s="6">
        <v>57.72</v>
      </c>
    </row>
    <row r="7344" spans="1:2" x14ac:dyDescent="0.25">
      <c r="A7344" s="4">
        <v>42198</v>
      </c>
      <c r="B7344" s="6">
        <v>57.63</v>
      </c>
    </row>
    <row r="7345" spans="1:2" x14ac:dyDescent="0.25">
      <c r="A7345" s="4">
        <v>42199</v>
      </c>
      <c r="B7345" s="6">
        <v>57.2</v>
      </c>
    </row>
    <row r="7346" spans="1:2" x14ac:dyDescent="0.25">
      <c r="A7346" s="4">
        <v>42200</v>
      </c>
      <c r="B7346" s="6">
        <v>57.34</v>
      </c>
    </row>
    <row r="7347" spans="1:2" x14ac:dyDescent="0.25">
      <c r="A7347" s="4">
        <v>42201</v>
      </c>
      <c r="B7347" s="6">
        <v>57.31</v>
      </c>
    </row>
    <row r="7348" spans="1:2" x14ac:dyDescent="0.25">
      <c r="A7348" s="4">
        <v>42202</v>
      </c>
      <c r="B7348" s="6">
        <v>56.38</v>
      </c>
    </row>
    <row r="7349" spans="1:2" x14ac:dyDescent="0.25">
      <c r="A7349" s="4">
        <v>42205</v>
      </c>
      <c r="B7349" s="6">
        <v>56.42</v>
      </c>
    </row>
    <row r="7350" spans="1:2" x14ac:dyDescent="0.25">
      <c r="A7350" s="4">
        <v>42206</v>
      </c>
      <c r="B7350" s="6">
        <v>55.94</v>
      </c>
    </row>
    <row r="7351" spans="1:2" x14ac:dyDescent="0.25">
      <c r="A7351" s="4">
        <v>42207</v>
      </c>
      <c r="B7351" s="6">
        <v>56.36</v>
      </c>
    </row>
    <row r="7352" spans="1:2" x14ac:dyDescent="0.25">
      <c r="A7352" s="4">
        <v>42208</v>
      </c>
      <c r="B7352" s="6">
        <v>55.76</v>
      </c>
    </row>
    <row r="7353" spans="1:2" x14ac:dyDescent="0.25">
      <c r="A7353" s="4">
        <v>42209</v>
      </c>
      <c r="B7353" s="6">
        <v>54.29</v>
      </c>
    </row>
    <row r="7354" spans="1:2" x14ac:dyDescent="0.25">
      <c r="A7354" s="4">
        <v>42212</v>
      </c>
      <c r="B7354" s="6">
        <v>54.07</v>
      </c>
    </row>
    <row r="7355" spans="1:2" x14ac:dyDescent="0.25">
      <c r="A7355" s="4">
        <v>42213</v>
      </c>
      <c r="B7355" s="6">
        <v>54.3</v>
      </c>
    </row>
    <row r="7356" spans="1:2" x14ac:dyDescent="0.25">
      <c r="A7356" s="4">
        <v>42214</v>
      </c>
      <c r="B7356" s="6">
        <v>54.73</v>
      </c>
    </row>
    <row r="7357" spans="1:2" x14ac:dyDescent="0.25">
      <c r="A7357" s="4">
        <v>42215</v>
      </c>
      <c r="B7357" s="6">
        <v>54.29</v>
      </c>
    </row>
    <row r="7358" spans="1:2" x14ac:dyDescent="0.25">
      <c r="A7358" s="4">
        <v>42216</v>
      </c>
      <c r="B7358" s="6">
        <v>53.29</v>
      </c>
    </row>
    <row r="7359" spans="1:2" x14ac:dyDescent="0.25">
      <c r="A7359" s="4">
        <v>42219</v>
      </c>
      <c r="B7359" s="6">
        <v>49.49</v>
      </c>
    </row>
    <row r="7360" spans="1:2" x14ac:dyDescent="0.25">
      <c r="A7360" s="4">
        <v>42220</v>
      </c>
      <c r="B7360" s="6">
        <v>49.08</v>
      </c>
    </row>
    <row r="7361" spans="1:2" x14ac:dyDescent="0.25">
      <c r="A7361" s="4">
        <v>42221</v>
      </c>
      <c r="B7361" s="6">
        <v>49.04</v>
      </c>
    </row>
    <row r="7362" spans="1:2" x14ac:dyDescent="0.25">
      <c r="A7362" s="4">
        <v>42222</v>
      </c>
      <c r="B7362" s="6">
        <v>47.8</v>
      </c>
    </row>
    <row r="7363" spans="1:2" x14ac:dyDescent="0.25">
      <c r="A7363" s="4">
        <v>42223</v>
      </c>
      <c r="B7363" s="6">
        <v>47.54</v>
      </c>
    </row>
    <row r="7364" spans="1:2" x14ac:dyDescent="0.25">
      <c r="A7364" s="4">
        <v>42226</v>
      </c>
      <c r="B7364" s="6">
        <v>48.3</v>
      </c>
    </row>
    <row r="7365" spans="1:2" x14ac:dyDescent="0.25">
      <c r="A7365" s="4">
        <v>42227</v>
      </c>
      <c r="B7365" s="6">
        <v>47.33</v>
      </c>
    </row>
    <row r="7366" spans="1:2" x14ac:dyDescent="0.25">
      <c r="A7366" s="4">
        <v>42228</v>
      </c>
      <c r="B7366" s="6">
        <v>48.29</v>
      </c>
    </row>
    <row r="7367" spans="1:2" x14ac:dyDescent="0.25">
      <c r="A7367" s="4">
        <v>42229</v>
      </c>
      <c r="B7367" s="6">
        <v>48.01</v>
      </c>
    </row>
    <row r="7368" spans="1:2" x14ac:dyDescent="0.25">
      <c r="A7368" s="4">
        <v>42230</v>
      </c>
      <c r="B7368" s="6">
        <v>47.79</v>
      </c>
    </row>
    <row r="7369" spans="1:2" x14ac:dyDescent="0.25">
      <c r="A7369" s="4">
        <v>42233</v>
      </c>
      <c r="B7369" s="6">
        <v>47.77</v>
      </c>
    </row>
    <row r="7370" spans="1:2" x14ac:dyDescent="0.25">
      <c r="A7370" s="4">
        <v>42234</v>
      </c>
      <c r="B7370" s="6">
        <v>47</v>
      </c>
    </row>
    <row r="7371" spans="1:2" x14ac:dyDescent="0.25">
      <c r="A7371" s="4">
        <v>42235</v>
      </c>
      <c r="B7371" s="6">
        <v>45.75</v>
      </c>
    </row>
    <row r="7372" spans="1:2" x14ac:dyDescent="0.25">
      <c r="A7372" s="4">
        <v>42236</v>
      </c>
      <c r="B7372" s="6">
        <v>45.63</v>
      </c>
    </row>
    <row r="7373" spans="1:2" x14ac:dyDescent="0.25">
      <c r="A7373" s="4">
        <v>42237</v>
      </c>
      <c r="B7373" s="6">
        <v>43.84</v>
      </c>
    </row>
    <row r="7374" spans="1:2" x14ac:dyDescent="0.25">
      <c r="A7374" s="4">
        <v>42240</v>
      </c>
      <c r="B7374" s="6">
        <v>41.59</v>
      </c>
    </row>
    <row r="7375" spans="1:2" x14ac:dyDescent="0.25">
      <c r="A7375" s="4">
        <v>42241</v>
      </c>
      <c r="B7375" s="6">
        <v>41.86</v>
      </c>
    </row>
    <row r="7376" spans="1:2" x14ac:dyDescent="0.25">
      <c r="A7376" s="4">
        <v>42242</v>
      </c>
      <c r="B7376" s="6">
        <v>41.76</v>
      </c>
    </row>
    <row r="7377" spans="1:2" x14ac:dyDescent="0.25">
      <c r="A7377" s="4">
        <v>42243</v>
      </c>
      <c r="B7377" s="6">
        <v>44.46</v>
      </c>
    </row>
    <row r="7378" spans="1:2" x14ac:dyDescent="0.25">
      <c r="A7378" s="4">
        <v>42244</v>
      </c>
      <c r="B7378" s="6">
        <v>47.97</v>
      </c>
    </row>
    <row r="7379" spans="1:2" x14ac:dyDescent="0.25">
      <c r="A7379" s="4">
        <v>42247</v>
      </c>
      <c r="B7379" s="5"/>
    </row>
    <row r="7380" spans="1:2" x14ac:dyDescent="0.25">
      <c r="A7380" s="4">
        <v>42248</v>
      </c>
      <c r="B7380" s="6">
        <v>48.8</v>
      </c>
    </row>
    <row r="7381" spans="1:2" x14ac:dyDescent="0.25">
      <c r="A7381" s="4">
        <v>42249</v>
      </c>
      <c r="B7381" s="6">
        <v>47.67</v>
      </c>
    </row>
    <row r="7382" spans="1:2" x14ac:dyDescent="0.25">
      <c r="A7382" s="4">
        <v>42250</v>
      </c>
      <c r="B7382" s="6">
        <v>50.41</v>
      </c>
    </row>
    <row r="7383" spans="1:2" x14ac:dyDescent="0.25">
      <c r="A7383" s="4">
        <v>42251</v>
      </c>
      <c r="B7383" s="6">
        <v>48.59</v>
      </c>
    </row>
    <row r="7384" spans="1:2" x14ac:dyDescent="0.25">
      <c r="A7384" s="4">
        <v>42254</v>
      </c>
      <c r="B7384" s="6">
        <v>46.42</v>
      </c>
    </row>
    <row r="7385" spans="1:2" x14ac:dyDescent="0.25">
      <c r="A7385" s="4">
        <v>42255</v>
      </c>
      <c r="B7385" s="6">
        <v>48.88</v>
      </c>
    </row>
    <row r="7386" spans="1:2" x14ac:dyDescent="0.25">
      <c r="A7386" s="4">
        <v>42256</v>
      </c>
      <c r="B7386" s="6">
        <v>48.04</v>
      </c>
    </row>
    <row r="7387" spans="1:2" x14ac:dyDescent="0.25">
      <c r="A7387" s="4">
        <v>42257</v>
      </c>
      <c r="B7387" s="6">
        <v>47.77</v>
      </c>
    </row>
    <row r="7388" spans="1:2" x14ac:dyDescent="0.25">
      <c r="A7388" s="4">
        <v>42258</v>
      </c>
      <c r="B7388" s="6">
        <v>46.87</v>
      </c>
    </row>
    <row r="7389" spans="1:2" x14ac:dyDescent="0.25">
      <c r="A7389" s="4">
        <v>42261</v>
      </c>
      <c r="B7389" s="6">
        <v>45.87</v>
      </c>
    </row>
    <row r="7390" spans="1:2" x14ac:dyDescent="0.25">
      <c r="A7390" s="4">
        <v>42262</v>
      </c>
      <c r="B7390" s="6">
        <v>45.91</v>
      </c>
    </row>
    <row r="7391" spans="1:2" x14ac:dyDescent="0.25">
      <c r="A7391" s="4">
        <v>42263</v>
      </c>
      <c r="B7391" s="6">
        <v>49.35</v>
      </c>
    </row>
    <row r="7392" spans="1:2" x14ac:dyDescent="0.25">
      <c r="A7392" s="4">
        <v>42264</v>
      </c>
      <c r="B7392" s="6">
        <v>48.27</v>
      </c>
    </row>
    <row r="7393" spans="1:2" x14ac:dyDescent="0.25">
      <c r="A7393" s="4">
        <v>42265</v>
      </c>
      <c r="B7393" s="6">
        <v>47.28</v>
      </c>
    </row>
    <row r="7394" spans="1:2" x14ac:dyDescent="0.25">
      <c r="A7394" s="4">
        <v>42268</v>
      </c>
      <c r="B7394" s="6">
        <v>47.64</v>
      </c>
    </row>
    <row r="7395" spans="1:2" x14ac:dyDescent="0.25">
      <c r="A7395" s="4">
        <v>42269</v>
      </c>
      <c r="B7395" s="6">
        <v>46.69</v>
      </c>
    </row>
    <row r="7396" spans="1:2" x14ac:dyDescent="0.25">
      <c r="A7396" s="4">
        <v>42270</v>
      </c>
      <c r="B7396" s="6">
        <v>48</v>
      </c>
    </row>
    <row r="7397" spans="1:2" x14ac:dyDescent="0.25">
      <c r="A7397" s="4">
        <v>42271</v>
      </c>
      <c r="B7397" s="6">
        <v>47.06</v>
      </c>
    </row>
    <row r="7398" spans="1:2" x14ac:dyDescent="0.25">
      <c r="A7398" s="4">
        <v>42272</v>
      </c>
      <c r="B7398" s="6">
        <v>47.28</v>
      </c>
    </row>
    <row r="7399" spans="1:2" x14ac:dyDescent="0.25">
      <c r="A7399" s="4">
        <v>42275</v>
      </c>
      <c r="B7399" s="6">
        <v>46.04</v>
      </c>
    </row>
    <row r="7400" spans="1:2" x14ac:dyDescent="0.25">
      <c r="A7400" s="4">
        <v>42276</v>
      </c>
      <c r="B7400" s="6">
        <v>47.58</v>
      </c>
    </row>
    <row r="7401" spans="1:2" x14ac:dyDescent="0.25">
      <c r="A7401" s="4">
        <v>42277</v>
      </c>
      <c r="B7401" s="6">
        <v>47.29</v>
      </c>
    </row>
    <row r="7402" spans="1:2" x14ac:dyDescent="0.25">
      <c r="A7402" s="4">
        <v>42278</v>
      </c>
      <c r="B7402" s="6">
        <v>47.48</v>
      </c>
    </row>
    <row r="7403" spans="1:2" x14ac:dyDescent="0.25">
      <c r="A7403" s="4">
        <v>42279</v>
      </c>
      <c r="B7403" s="6">
        <v>46.55</v>
      </c>
    </row>
    <row r="7404" spans="1:2" x14ac:dyDescent="0.25">
      <c r="A7404" s="4">
        <v>42282</v>
      </c>
      <c r="B7404" s="6">
        <v>49.45</v>
      </c>
    </row>
    <row r="7405" spans="1:2" x14ac:dyDescent="0.25">
      <c r="A7405" s="4">
        <v>42283</v>
      </c>
      <c r="B7405" s="6">
        <v>51.34</v>
      </c>
    </row>
    <row r="7406" spans="1:2" x14ac:dyDescent="0.25">
      <c r="A7406" s="4">
        <v>42284</v>
      </c>
      <c r="B7406" s="6">
        <v>51.66</v>
      </c>
    </row>
    <row r="7407" spans="1:2" x14ac:dyDescent="0.25">
      <c r="A7407" s="4">
        <v>42285</v>
      </c>
      <c r="B7407" s="6">
        <v>52.13</v>
      </c>
    </row>
    <row r="7408" spans="1:2" x14ac:dyDescent="0.25">
      <c r="A7408" s="4">
        <v>42286</v>
      </c>
      <c r="B7408" s="6">
        <v>52.08</v>
      </c>
    </row>
    <row r="7409" spans="1:2" x14ac:dyDescent="0.25">
      <c r="A7409" s="4">
        <v>42289</v>
      </c>
      <c r="B7409" s="6">
        <v>50.95</v>
      </c>
    </row>
    <row r="7410" spans="1:2" x14ac:dyDescent="0.25">
      <c r="A7410" s="4">
        <v>42290</v>
      </c>
      <c r="B7410" s="6">
        <v>48.94</v>
      </c>
    </row>
    <row r="7411" spans="1:2" x14ac:dyDescent="0.25">
      <c r="A7411" s="4">
        <v>42291</v>
      </c>
      <c r="B7411" s="6">
        <v>48.25</v>
      </c>
    </row>
    <row r="7412" spans="1:2" x14ac:dyDescent="0.25">
      <c r="A7412" s="4">
        <v>42292</v>
      </c>
      <c r="B7412" s="6">
        <v>47.87</v>
      </c>
    </row>
    <row r="7413" spans="1:2" x14ac:dyDescent="0.25">
      <c r="A7413" s="4">
        <v>42293</v>
      </c>
      <c r="B7413" s="6">
        <v>48.96</v>
      </c>
    </row>
    <row r="7414" spans="1:2" x14ac:dyDescent="0.25">
      <c r="A7414" s="4">
        <v>42296</v>
      </c>
      <c r="B7414" s="6">
        <v>47.51</v>
      </c>
    </row>
    <row r="7415" spans="1:2" x14ac:dyDescent="0.25">
      <c r="A7415" s="4">
        <v>42297</v>
      </c>
      <c r="B7415" s="6">
        <v>46.93</v>
      </c>
    </row>
    <row r="7416" spans="1:2" x14ac:dyDescent="0.25">
      <c r="A7416" s="4">
        <v>42298</v>
      </c>
      <c r="B7416" s="6">
        <v>46.72</v>
      </c>
    </row>
    <row r="7417" spans="1:2" x14ac:dyDescent="0.25">
      <c r="A7417" s="4">
        <v>42299</v>
      </c>
      <c r="B7417" s="6">
        <v>46.59</v>
      </c>
    </row>
    <row r="7418" spans="1:2" x14ac:dyDescent="0.25">
      <c r="A7418" s="4">
        <v>42300</v>
      </c>
      <c r="B7418" s="6">
        <v>46.3</v>
      </c>
    </row>
    <row r="7419" spans="1:2" x14ac:dyDescent="0.25">
      <c r="A7419" s="4">
        <v>42303</v>
      </c>
      <c r="B7419" s="6">
        <v>46.57</v>
      </c>
    </row>
    <row r="7420" spans="1:2" x14ac:dyDescent="0.25">
      <c r="A7420" s="4">
        <v>42304</v>
      </c>
      <c r="B7420" s="6">
        <v>45.54</v>
      </c>
    </row>
    <row r="7421" spans="1:2" x14ac:dyDescent="0.25">
      <c r="A7421" s="4">
        <v>42305</v>
      </c>
      <c r="B7421" s="6">
        <v>47.6</v>
      </c>
    </row>
    <row r="7422" spans="1:2" x14ac:dyDescent="0.25">
      <c r="A7422" s="4">
        <v>42306</v>
      </c>
      <c r="B7422" s="6">
        <v>48.04</v>
      </c>
    </row>
    <row r="7423" spans="1:2" x14ac:dyDescent="0.25">
      <c r="A7423" s="4">
        <v>42307</v>
      </c>
      <c r="B7423" s="6">
        <v>48</v>
      </c>
    </row>
    <row r="7424" spans="1:2" x14ac:dyDescent="0.25">
      <c r="A7424" s="4">
        <v>42310</v>
      </c>
      <c r="B7424" s="6">
        <v>47.91</v>
      </c>
    </row>
    <row r="7425" spans="1:2" x14ac:dyDescent="0.25">
      <c r="A7425" s="4">
        <v>42311</v>
      </c>
      <c r="B7425" s="6">
        <v>48</v>
      </c>
    </row>
    <row r="7426" spans="1:2" x14ac:dyDescent="0.25">
      <c r="A7426" s="4">
        <v>42312</v>
      </c>
      <c r="B7426" s="6">
        <v>46.96</v>
      </c>
    </row>
    <row r="7427" spans="1:2" x14ac:dyDescent="0.25">
      <c r="A7427" s="4">
        <v>42313</v>
      </c>
      <c r="B7427" s="6">
        <v>47.19</v>
      </c>
    </row>
    <row r="7428" spans="1:2" x14ac:dyDescent="0.25">
      <c r="A7428" s="4">
        <v>42314</v>
      </c>
      <c r="B7428" s="6">
        <v>46.09</v>
      </c>
    </row>
    <row r="7429" spans="1:2" x14ac:dyDescent="0.25">
      <c r="A7429" s="4">
        <v>42317</v>
      </c>
      <c r="B7429" s="6">
        <v>45.38</v>
      </c>
    </row>
    <row r="7430" spans="1:2" x14ac:dyDescent="0.25">
      <c r="A7430" s="4">
        <v>42318</v>
      </c>
      <c r="B7430" s="6">
        <v>46.44</v>
      </c>
    </row>
    <row r="7431" spans="1:2" x14ac:dyDescent="0.25">
      <c r="A7431" s="4">
        <v>42319</v>
      </c>
      <c r="B7431" s="6">
        <v>44.98</v>
      </c>
    </row>
    <row r="7432" spans="1:2" x14ac:dyDescent="0.25">
      <c r="A7432" s="4">
        <v>42320</v>
      </c>
      <c r="B7432" s="6">
        <v>44.98</v>
      </c>
    </row>
    <row r="7433" spans="1:2" x14ac:dyDescent="0.25">
      <c r="A7433" s="4">
        <v>42321</v>
      </c>
      <c r="B7433" s="6">
        <v>41.98</v>
      </c>
    </row>
    <row r="7434" spans="1:2" x14ac:dyDescent="0.25">
      <c r="A7434" s="4">
        <v>42324</v>
      </c>
      <c r="B7434" s="6">
        <v>40.28</v>
      </c>
    </row>
    <row r="7435" spans="1:2" x14ac:dyDescent="0.25">
      <c r="A7435" s="4">
        <v>42325</v>
      </c>
      <c r="B7435" s="6">
        <v>41.28</v>
      </c>
    </row>
    <row r="7436" spans="1:2" x14ac:dyDescent="0.25">
      <c r="A7436" s="4">
        <v>42326</v>
      </c>
      <c r="B7436" s="6">
        <v>41.45</v>
      </c>
    </row>
    <row r="7437" spans="1:2" x14ac:dyDescent="0.25">
      <c r="A7437" s="4">
        <v>42327</v>
      </c>
      <c r="B7437" s="6">
        <v>42.22</v>
      </c>
    </row>
    <row r="7438" spans="1:2" x14ac:dyDescent="0.25">
      <c r="A7438" s="4">
        <v>42328</v>
      </c>
      <c r="B7438" s="6">
        <v>42.49</v>
      </c>
    </row>
    <row r="7439" spans="1:2" x14ac:dyDescent="0.25">
      <c r="A7439" s="4">
        <v>42331</v>
      </c>
      <c r="B7439" s="6">
        <v>43.7</v>
      </c>
    </row>
    <row r="7440" spans="1:2" x14ac:dyDescent="0.25">
      <c r="A7440" s="4">
        <v>42332</v>
      </c>
      <c r="B7440" s="6">
        <v>44.38</v>
      </c>
    </row>
    <row r="7441" spans="1:2" x14ac:dyDescent="0.25">
      <c r="A7441" s="4">
        <v>42333</v>
      </c>
      <c r="B7441" s="6">
        <v>43.56</v>
      </c>
    </row>
    <row r="7442" spans="1:2" x14ac:dyDescent="0.25">
      <c r="A7442" s="4">
        <v>42334</v>
      </c>
      <c r="B7442" s="6">
        <v>43.55</v>
      </c>
    </row>
    <row r="7443" spans="1:2" x14ac:dyDescent="0.25">
      <c r="A7443" s="4">
        <v>42335</v>
      </c>
      <c r="B7443" s="6">
        <v>43.07</v>
      </c>
    </row>
    <row r="7444" spans="1:2" x14ac:dyDescent="0.25">
      <c r="A7444" s="4">
        <v>42338</v>
      </c>
      <c r="B7444" s="6">
        <v>43.73</v>
      </c>
    </row>
    <row r="7445" spans="1:2" x14ac:dyDescent="0.25">
      <c r="A7445" s="4">
        <v>42339</v>
      </c>
      <c r="B7445" s="6">
        <v>42.97</v>
      </c>
    </row>
    <row r="7446" spans="1:2" x14ac:dyDescent="0.25">
      <c r="A7446" s="4">
        <v>42340</v>
      </c>
      <c r="B7446" s="6">
        <v>41.92</v>
      </c>
    </row>
    <row r="7447" spans="1:2" x14ac:dyDescent="0.25">
      <c r="A7447" s="4">
        <v>42341</v>
      </c>
      <c r="B7447" s="6">
        <v>42</v>
      </c>
    </row>
    <row r="7448" spans="1:2" x14ac:dyDescent="0.25">
      <c r="A7448" s="4">
        <v>42342</v>
      </c>
      <c r="B7448" s="6">
        <v>41.44</v>
      </c>
    </row>
    <row r="7449" spans="1:2" x14ac:dyDescent="0.25">
      <c r="A7449" s="4">
        <v>42345</v>
      </c>
      <c r="B7449" s="6">
        <v>39.69</v>
      </c>
    </row>
    <row r="7450" spans="1:2" x14ac:dyDescent="0.25">
      <c r="A7450" s="4">
        <v>42346</v>
      </c>
      <c r="B7450" s="6">
        <v>39.44</v>
      </c>
    </row>
    <row r="7451" spans="1:2" x14ac:dyDescent="0.25">
      <c r="A7451" s="4">
        <v>42347</v>
      </c>
      <c r="B7451" s="6">
        <v>39.04</v>
      </c>
    </row>
    <row r="7452" spans="1:2" x14ac:dyDescent="0.25">
      <c r="A7452" s="4">
        <v>42348</v>
      </c>
      <c r="B7452" s="6">
        <v>38.65</v>
      </c>
    </row>
    <row r="7453" spans="1:2" x14ac:dyDescent="0.25">
      <c r="A7453" s="4">
        <v>42349</v>
      </c>
      <c r="B7453" s="6">
        <v>36.99</v>
      </c>
    </row>
    <row r="7454" spans="1:2" x14ac:dyDescent="0.25">
      <c r="A7454" s="4">
        <v>42352</v>
      </c>
      <c r="B7454" s="6">
        <v>36.51</v>
      </c>
    </row>
    <row r="7455" spans="1:2" x14ac:dyDescent="0.25">
      <c r="A7455" s="4">
        <v>42353</v>
      </c>
      <c r="B7455" s="6">
        <v>37.659999999999997</v>
      </c>
    </row>
    <row r="7456" spans="1:2" x14ac:dyDescent="0.25">
      <c r="A7456" s="4">
        <v>42354</v>
      </c>
      <c r="B7456" s="6">
        <v>36.96</v>
      </c>
    </row>
    <row r="7457" spans="1:2" x14ac:dyDescent="0.25">
      <c r="A7457" s="4">
        <v>42355</v>
      </c>
      <c r="B7457" s="6">
        <v>36.29</v>
      </c>
    </row>
    <row r="7458" spans="1:2" x14ac:dyDescent="0.25">
      <c r="A7458" s="4">
        <v>42356</v>
      </c>
      <c r="B7458" s="6">
        <v>36.76</v>
      </c>
    </row>
    <row r="7459" spans="1:2" x14ac:dyDescent="0.25">
      <c r="A7459" s="4">
        <v>42359</v>
      </c>
      <c r="B7459" s="6">
        <v>35.340000000000003</v>
      </c>
    </row>
    <row r="7460" spans="1:2" x14ac:dyDescent="0.25">
      <c r="A7460" s="4">
        <v>42360</v>
      </c>
      <c r="B7460" s="6">
        <v>35.26</v>
      </c>
    </row>
    <row r="7461" spans="1:2" x14ac:dyDescent="0.25">
      <c r="A7461" s="4">
        <v>42361</v>
      </c>
      <c r="B7461" s="6">
        <v>35.79</v>
      </c>
    </row>
    <row r="7462" spans="1:2" x14ac:dyDescent="0.25">
      <c r="A7462" s="4">
        <v>42362</v>
      </c>
      <c r="B7462" s="6">
        <v>37.22</v>
      </c>
    </row>
    <row r="7463" spans="1:2" x14ac:dyDescent="0.25">
      <c r="A7463" s="4">
        <v>42363</v>
      </c>
      <c r="B7463" s="5"/>
    </row>
    <row r="7464" spans="1:2" x14ac:dyDescent="0.25">
      <c r="A7464" s="4">
        <v>42366</v>
      </c>
      <c r="B7464" s="6">
        <v>37.08</v>
      </c>
    </row>
    <row r="7465" spans="1:2" x14ac:dyDescent="0.25">
      <c r="A7465" s="4">
        <v>42367</v>
      </c>
      <c r="B7465" s="6">
        <v>36.85</v>
      </c>
    </row>
    <row r="7466" spans="1:2" x14ac:dyDescent="0.25">
      <c r="A7466" s="4">
        <v>42368</v>
      </c>
      <c r="B7466" s="6">
        <v>35.65</v>
      </c>
    </row>
    <row r="7467" spans="1:2" x14ac:dyDescent="0.25">
      <c r="A7467" s="4">
        <v>42369</v>
      </c>
      <c r="B7467" s="6">
        <v>36.61</v>
      </c>
    </row>
    <row r="7468" spans="1:2" x14ac:dyDescent="0.25">
      <c r="A7468" s="4">
        <v>42370</v>
      </c>
      <c r="B7468" s="5"/>
    </row>
    <row r="7469" spans="1:2" x14ac:dyDescent="0.25">
      <c r="A7469" s="4">
        <v>42373</v>
      </c>
      <c r="B7469" s="6">
        <v>36.28</v>
      </c>
    </row>
    <row r="7470" spans="1:2" x14ac:dyDescent="0.25">
      <c r="A7470" s="4">
        <v>42374</v>
      </c>
      <c r="B7470" s="6">
        <v>35.56</v>
      </c>
    </row>
    <row r="7471" spans="1:2" x14ac:dyDescent="0.25">
      <c r="A7471" s="4">
        <v>42375</v>
      </c>
      <c r="B7471" s="6">
        <v>33.89</v>
      </c>
    </row>
    <row r="7472" spans="1:2" x14ac:dyDescent="0.25">
      <c r="A7472" s="4">
        <v>42376</v>
      </c>
      <c r="B7472" s="6">
        <v>33.57</v>
      </c>
    </row>
    <row r="7473" spans="1:2" x14ac:dyDescent="0.25">
      <c r="A7473" s="4">
        <v>42377</v>
      </c>
      <c r="B7473" s="6">
        <v>31.67</v>
      </c>
    </row>
    <row r="7474" spans="1:2" x14ac:dyDescent="0.25">
      <c r="A7474" s="4">
        <v>42380</v>
      </c>
      <c r="B7474" s="6">
        <v>30.14</v>
      </c>
    </row>
    <row r="7475" spans="1:2" x14ac:dyDescent="0.25">
      <c r="A7475" s="4">
        <v>42381</v>
      </c>
      <c r="B7475" s="6">
        <v>29.14</v>
      </c>
    </row>
    <row r="7476" spans="1:2" x14ac:dyDescent="0.25">
      <c r="A7476" s="4">
        <v>42382</v>
      </c>
      <c r="B7476" s="6">
        <v>28.58</v>
      </c>
    </row>
    <row r="7477" spans="1:2" x14ac:dyDescent="0.25">
      <c r="A7477" s="4">
        <v>42383</v>
      </c>
      <c r="B7477" s="6">
        <v>28.84</v>
      </c>
    </row>
    <row r="7478" spans="1:2" x14ac:dyDescent="0.25">
      <c r="A7478" s="4">
        <v>42384</v>
      </c>
      <c r="B7478" s="6">
        <v>28.8</v>
      </c>
    </row>
    <row r="7479" spans="1:2" x14ac:dyDescent="0.25">
      <c r="A7479" s="4">
        <v>42387</v>
      </c>
      <c r="B7479" s="6">
        <v>27.36</v>
      </c>
    </row>
    <row r="7480" spans="1:2" x14ac:dyDescent="0.25">
      <c r="A7480" s="4">
        <v>42388</v>
      </c>
      <c r="B7480" s="6">
        <v>27.36</v>
      </c>
    </row>
    <row r="7481" spans="1:2" x14ac:dyDescent="0.25">
      <c r="A7481" s="4">
        <v>42389</v>
      </c>
      <c r="B7481" s="6">
        <v>26.01</v>
      </c>
    </row>
    <row r="7482" spans="1:2" x14ac:dyDescent="0.25">
      <c r="A7482" s="4">
        <v>42390</v>
      </c>
      <c r="B7482" s="6">
        <v>27.59</v>
      </c>
    </row>
    <row r="7483" spans="1:2" x14ac:dyDescent="0.25">
      <c r="A7483" s="4">
        <v>42391</v>
      </c>
      <c r="B7483" s="6">
        <v>30.46</v>
      </c>
    </row>
    <row r="7484" spans="1:2" x14ac:dyDescent="0.25">
      <c r="A7484" s="4">
        <v>42394</v>
      </c>
      <c r="B7484" s="6">
        <v>29.82</v>
      </c>
    </row>
    <row r="7485" spans="1:2" x14ac:dyDescent="0.25">
      <c r="A7485" s="4">
        <v>42395</v>
      </c>
      <c r="B7485" s="6">
        <v>30.94</v>
      </c>
    </row>
    <row r="7486" spans="1:2" x14ac:dyDescent="0.25">
      <c r="A7486" s="4">
        <v>42396</v>
      </c>
      <c r="B7486" s="6">
        <v>31.83</v>
      </c>
    </row>
    <row r="7487" spans="1:2" x14ac:dyDescent="0.25">
      <c r="A7487" s="4">
        <v>42397</v>
      </c>
      <c r="B7487" s="6">
        <v>33.01</v>
      </c>
    </row>
    <row r="7488" spans="1:2" x14ac:dyDescent="0.25">
      <c r="A7488" s="4">
        <v>42398</v>
      </c>
      <c r="B7488" s="6">
        <v>33.14</v>
      </c>
    </row>
    <row r="7489" spans="1:2" x14ac:dyDescent="0.25">
      <c r="A7489" s="4">
        <v>42401</v>
      </c>
      <c r="B7489" s="6">
        <v>32.450000000000003</v>
      </c>
    </row>
    <row r="7490" spans="1:2" x14ac:dyDescent="0.25">
      <c r="A7490" s="4">
        <v>42402</v>
      </c>
      <c r="B7490" s="6">
        <v>30.98</v>
      </c>
    </row>
    <row r="7491" spans="1:2" x14ac:dyDescent="0.25">
      <c r="A7491" s="4">
        <v>42403</v>
      </c>
      <c r="B7491" s="6">
        <v>32.380000000000003</v>
      </c>
    </row>
    <row r="7492" spans="1:2" x14ac:dyDescent="0.25">
      <c r="A7492" s="4">
        <v>42404</v>
      </c>
      <c r="B7492" s="6">
        <v>32.76</v>
      </c>
    </row>
    <row r="7493" spans="1:2" x14ac:dyDescent="0.25">
      <c r="A7493" s="4">
        <v>42405</v>
      </c>
      <c r="B7493" s="6">
        <v>32.35</v>
      </c>
    </row>
    <row r="7494" spans="1:2" x14ac:dyDescent="0.25">
      <c r="A7494" s="4">
        <v>42408</v>
      </c>
      <c r="B7494" s="6">
        <v>31.64</v>
      </c>
    </row>
    <row r="7495" spans="1:2" x14ac:dyDescent="0.25">
      <c r="A7495" s="4">
        <v>42409</v>
      </c>
      <c r="B7495" s="6">
        <v>30.15</v>
      </c>
    </row>
    <row r="7496" spans="1:2" x14ac:dyDescent="0.25">
      <c r="A7496" s="4">
        <v>42410</v>
      </c>
      <c r="B7496" s="6">
        <v>29.64</v>
      </c>
    </row>
    <row r="7497" spans="1:2" x14ac:dyDescent="0.25">
      <c r="A7497" s="4">
        <v>42411</v>
      </c>
      <c r="B7497" s="6">
        <v>28.82</v>
      </c>
    </row>
    <row r="7498" spans="1:2" x14ac:dyDescent="0.25">
      <c r="A7498" s="4">
        <v>42412</v>
      </c>
      <c r="B7498" s="6">
        <v>31.8</v>
      </c>
    </row>
    <row r="7499" spans="1:2" x14ac:dyDescent="0.25">
      <c r="A7499" s="4">
        <v>42415</v>
      </c>
      <c r="B7499" s="5"/>
    </row>
    <row r="7500" spans="1:2" x14ac:dyDescent="0.25">
      <c r="A7500" s="4">
        <v>42416</v>
      </c>
      <c r="B7500" s="6">
        <v>31.09</v>
      </c>
    </row>
    <row r="7501" spans="1:2" x14ac:dyDescent="0.25">
      <c r="A7501" s="4">
        <v>42417</v>
      </c>
      <c r="B7501" s="6">
        <v>33.21</v>
      </c>
    </row>
    <row r="7502" spans="1:2" x14ac:dyDescent="0.25">
      <c r="A7502" s="4">
        <v>42418</v>
      </c>
      <c r="B7502" s="6">
        <v>33.200000000000003</v>
      </c>
    </row>
    <row r="7503" spans="1:2" x14ac:dyDescent="0.25">
      <c r="A7503" s="4">
        <v>42419</v>
      </c>
      <c r="B7503" s="6">
        <v>31.66</v>
      </c>
    </row>
    <row r="7504" spans="1:2" x14ac:dyDescent="0.25">
      <c r="A7504" s="4">
        <v>42422</v>
      </c>
      <c r="B7504" s="6">
        <v>33.590000000000003</v>
      </c>
    </row>
    <row r="7505" spans="1:2" x14ac:dyDescent="0.25">
      <c r="A7505" s="4">
        <v>42423</v>
      </c>
      <c r="B7505" s="6">
        <v>31.9</v>
      </c>
    </row>
    <row r="7506" spans="1:2" x14ac:dyDescent="0.25">
      <c r="A7506" s="4">
        <v>42424</v>
      </c>
      <c r="B7506" s="6">
        <v>31.5</v>
      </c>
    </row>
    <row r="7507" spans="1:2" x14ac:dyDescent="0.25">
      <c r="A7507" s="4">
        <v>42425</v>
      </c>
      <c r="B7507" s="6">
        <v>32.83</v>
      </c>
    </row>
    <row r="7508" spans="1:2" x14ac:dyDescent="0.25">
      <c r="A7508" s="4">
        <v>42426</v>
      </c>
      <c r="B7508" s="6">
        <v>35.76</v>
      </c>
    </row>
    <row r="7509" spans="1:2" x14ac:dyDescent="0.25">
      <c r="A7509" s="4">
        <v>42429</v>
      </c>
      <c r="B7509" s="6">
        <v>35.92</v>
      </c>
    </row>
    <row r="7510" spans="1:2" x14ac:dyDescent="0.25">
      <c r="A7510" s="4">
        <v>42430</v>
      </c>
      <c r="B7510" s="6">
        <v>35.729999999999997</v>
      </c>
    </row>
    <row r="7511" spans="1:2" x14ac:dyDescent="0.25">
      <c r="A7511" s="4">
        <v>42431</v>
      </c>
      <c r="B7511" s="6">
        <v>36.380000000000003</v>
      </c>
    </row>
    <row r="7512" spans="1:2" x14ac:dyDescent="0.25">
      <c r="A7512" s="4">
        <v>42432</v>
      </c>
      <c r="B7512" s="6">
        <v>35.75</v>
      </c>
    </row>
    <row r="7513" spans="1:2" x14ac:dyDescent="0.25">
      <c r="A7513" s="4">
        <v>42433</v>
      </c>
      <c r="B7513" s="6">
        <v>37.61</v>
      </c>
    </row>
    <row r="7514" spans="1:2" x14ac:dyDescent="0.25">
      <c r="A7514" s="4">
        <v>42436</v>
      </c>
      <c r="B7514" s="6">
        <v>39.020000000000003</v>
      </c>
    </row>
    <row r="7515" spans="1:2" x14ac:dyDescent="0.25">
      <c r="A7515" s="4">
        <v>42437</v>
      </c>
      <c r="B7515" s="6">
        <v>39.159999999999997</v>
      </c>
    </row>
    <row r="7516" spans="1:2" x14ac:dyDescent="0.25">
      <c r="A7516" s="4">
        <v>42438</v>
      </c>
      <c r="B7516" s="6">
        <v>40.26</v>
      </c>
    </row>
    <row r="7517" spans="1:2" x14ac:dyDescent="0.25">
      <c r="A7517" s="4">
        <v>42439</v>
      </c>
      <c r="B7517" s="6">
        <v>38.630000000000003</v>
      </c>
    </row>
    <row r="7518" spans="1:2" x14ac:dyDescent="0.25">
      <c r="A7518" s="4">
        <v>42440</v>
      </c>
      <c r="B7518" s="6">
        <v>39.409999999999997</v>
      </c>
    </row>
    <row r="7519" spans="1:2" x14ac:dyDescent="0.25">
      <c r="A7519" s="4">
        <v>42443</v>
      </c>
      <c r="B7519" s="6">
        <v>38.06</v>
      </c>
    </row>
    <row r="7520" spans="1:2" x14ac:dyDescent="0.25">
      <c r="A7520" s="4">
        <v>42444</v>
      </c>
      <c r="B7520" s="6">
        <v>37.49</v>
      </c>
    </row>
    <row r="7521" spans="1:2" x14ac:dyDescent="0.25">
      <c r="A7521" s="4">
        <v>42445</v>
      </c>
      <c r="B7521" s="6">
        <v>38.380000000000003</v>
      </c>
    </row>
    <row r="7522" spans="1:2" x14ac:dyDescent="0.25">
      <c r="A7522" s="4">
        <v>42446</v>
      </c>
      <c r="B7522" s="6">
        <v>39.29</v>
      </c>
    </row>
    <row r="7523" spans="1:2" x14ac:dyDescent="0.25">
      <c r="A7523" s="4">
        <v>42447</v>
      </c>
      <c r="B7523" s="6">
        <v>39.26</v>
      </c>
    </row>
    <row r="7524" spans="1:2" x14ac:dyDescent="0.25">
      <c r="A7524" s="4">
        <v>42450</v>
      </c>
      <c r="B7524" s="6">
        <v>39.909999999999997</v>
      </c>
    </row>
    <row r="7525" spans="1:2" x14ac:dyDescent="0.25">
      <c r="A7525" s="4">
        <v>42451</v>
      </c>
      <c r="B7525" s="6">
        <v>40.54</v>
      </c>
    </row>
    <row r="7526" spans="1:2" x14ac:dyDescent="0.25">
      <c r="A7526" s="4">
        <v>42452</v>
      </c>
      <c r="B7526" s="6">
        <v>38.840000000000003</v>
      </c>
    </row>
    <row r="7527" spans="1:2" x14ac:dyDescent="0.25">
      <c r="A7527" s="4">
        <v>42453</v>
      </c>
      <c r="B7527" s="6">
        <v>38.33</v>
      </c>
    </row>
    <row r="7528" spans="1:2" x14ac:dyDescent="0.25">
      <c r="A7528" s="4">
        <v>42454</v>
      </c>
      <c r="B7528" s="5"/>
    </row>
    <row r="7529" spans="1:2" x14ac:dyDescent="0.25">
      <c r="A7529" s="4">
        <v>42457</v>
      </c>
      <c r="B7529" s="6">
        <v>38.33</v>
      </c>
    </row>
    <row r="7530" spans="1:2" x14ac:dyDescent="0.25">
      <c r="A7530" s="4">
        <v>42458</v>
      </c>
      <c r="B7530" s="6">
        <v>36.75</v>
      </c>
    </row>
    <row r="7531" spans="1:2" x14ac:dyDescent="0.25">
      <c r="A7531" s="4">
        <v>42459</v>
      </c>
      <c r="B7531" s="6">
        <v>36.75</v>
      </c>
    </row>
    <row r="7532" spans="1:2" x14ac:dyDescent="0.25">
      <c r="A7532" s="4">
        <v>42460</v>
      </c>
      <c r="B7532" s="6">
        <v>36.75</v>
      </c>
    </row>
    <row r="7533" spans="1:2" x14ac:dyDescent="0.25">
      <c r="A7533" s="4">
        <v>42461</v>
      </c>
      <c r="B7533" s="6">
        <v>36.42</v>
      </c>
    </row>
    <row r="7534" spans="1:2" x14ac:dyDescent="0.25">
      <c r="A7534" s="4">
        <v>42464</v>
      </c>
      <c r="B7534" s="6">
        <v>36.049999999999997</v>
      </c>
    </row>
    <row r="7535" spans="1:2" x14ac:dyDescent="0.25">
      <c r="A7535" s="4">
        <v>42465</v>
      </c>
      <c r="B7535" s="6">
        <v>35.880000000000003</v>
      </c>
    </row>
    <row r="7536" spans="1:2" x14ac:dyDescent="0.25">
      <c r="A7536" s="4">
        <v>42466</v>
      </c>
      <c r="B7536" s="6">
        <v>37.770000000000003</v>
      </c>
    </row>
    <row r="7537" spans="1:2" x14ac:dyDescent="0.25">
      <c r="A7537" s="4">
        <v>42467</v>
      </c>
      <c r="B7537" s="6">
        <v>37.15</v>
      </c>
    </row>
    <row r="7538" spans="1:2" x14ac:dyDescent="0.25">
      <c r="A7538" s="4">
        <v>42468</v>
      </c>
      <c r="B7538" s="6">
        <v>40.71</v>
      </c>
    </row>
    <row r="7539" spans="1:2" x14ac:dyDescent="0.25">
      <c r="A7539" s="4">
        <v>42471</v>
      </c>
      <c r="B7539" s="6">
        <v>41.58</v>
      </c>
    </row>
    <row r="7540" spans="1:2" x14ac:dyDescent="0.25">
      <c r="A7540" s="4">
        <v>42472</v>
      </c>
      <c r="B7540" s="6">
        <v>43.02</v>
      </c>
    </row>
    <row r="7541" spans="1:2" x14ac:dyDescent="0.25">
      <c r="A7541" s="4">
        <v>42473</v>
      </c>
      <c r="B7541" s="6">
        <v>42.81</v>
      </c>
    </row>
    <row r="7542" spans="1:2" x14ac:dyDescent="0.25">
      <c r="A7542" s="4">
        <v>42474</v>
      </c>
      <c r="B7542" s="6">
        <v>43.02</v>
      </c>
    </row>
    <row r="7543" spans="1:2" x14ac:dyDescent="0.25">
      <c r="A7543" s="4">
        <v>42475</v>
      </c>
      <c r="B7543" s="6">
        <v>41.32</v>
      </c>
    </row>
    <row r="7544" spans="1:2" x14ac:dyDescent="0.25">
      <c r="A7544" s="4">
        <v>42478</v>
      </c>
      <c r="B7544" s="6">
        <v>41.64</v>
      </c>
    </row>
    <row r="7545" spans="1:2" x14ac:dyDescent="0.25">
      <c r="A7545" s="4">
        <v>42479</v>
      </c>
      <c r="B7545" s="6">
        <v>43.02</v>
      </c>
    </row>
    <row r="7546" spans="1:2" x14ac:dyDescent="0.25">
      <c r="A7546" s="4">
        <v>42480</v>
      </c>
      <c r="B7546" s="6">
        <v>43.09</v>
      </c>
    </row>
    <row r="7547" spans="1:2" x14ac:dyDescent="0.25">
      <c r="A7547" s="4">
        <v>42481</v>
      </c>
      <c r="B7547" s="6">
        <v>43.48</v>
      </c>
    </row>
    <row r="7548" spans="1:2" x14ac:dyDescent="0.25">
      <c r="A7548" s="4">
        <v>42482</v>
      </c>
      <c r="B7548" s="6">
        <v>43.97</v>
      </c>
    </row>
    <row r="7549" spans="1:2" x14ac:dyDescent="0.25">
      <c r="A7549" s="4">
        <v>42485</v>
      </c>
      <c r="B7549" s="6">
        <v>42.97</v>
      </c>
    </row>
    <row r="7550" spans="1:2" x14ac:dyDescent="0.25">
      <c r="A7550" s="4">
        <v>42486</v>
      </c>
      <c r="B7550" s="6">
        <v>43.94</v>
      </c>
    </row>
    <row r="7551" spans="1:2" x14ac:dyDescent="0.25">
      <c r="A7551" s="4">
        <v>42487</v>
      </c>
      <c r="B7551" s="6">
        <v>44.17</v>
      </c>
    </row>
    <row r="7552" spans="1:2" x14ac:dyDescent="0.25">
      <c r="A7552" s="4">
        <v>42488</v>
      </c>
      <c r="B7552" s="6">
        <v>45.6</v>
      </c>
    </row>
    <row r="7553" spans="1:2" x14ac:dyDescent="0.25">
      <c r="A7553" s="4">
        <v>42489</v>
      </c>
      <c r="B7553" s="6">
        <v>45.64</v>
      </c>
    </row>
    <row r="7554" spans="1:2" x14ac:dyDescent="0.25">
      <c r="A7554" s="4">
        <v>42492</v>
      </c>
      <c r="B7554" s="6">
        <v>45.82</v>
      </c>
    </row>
    <row r="7555" spans="1:2" x14ac:dyDescent="0.25">
      <c r="A7555" s="4">
        <v>42493</v>
      </c>
      <c r="B7555" s="6">
        <v>43.09</v>
      </c>
    </row>
    <row r="7556" spans="1:2" x14ac:dyDescent="0.25">
      <c r="A7556" s="4">
        <v>42494</v>
      </c>
      <c r="B7556" s="6">
        <v>43.08</v>
      </c>
    </row>
    <row r="7557" spans="1:2" x14ac:dyDescent="0.25">
      <c r="A7557" s="4">
        <v>42495</v>
      </c>
      <c r="B7557" s="6">
        <v>44.39</v>
      </c>
    </row>
    <row r="7558" spans="1:2" x14ac:dyDescent="0.25">
      <c r="A7558" s="4">
        <v>42496</v>
      </c>
      <c r="B7558" s="6">
        <v>44.6</v>
      </c>
    </row>
    <row r="7559" spans="1:2" x14ac:dyDescent="0.25">
      <c r="A7559" s="4">
        <v>42499</v>
      </c>
      <c r="B7559" s="6">
        <v>42.43</v>
      </c>
    </row>
    <row r="7560" spans="1:2" x14ac:dyDescent="0.25">
      <c r="A7560" s="4">
        <v>42500</v>
      </c>
      <c r="B7560" s="6">
        <v>44.01</v>
      </c>
    </row>
    <row r="7561" spans="1:2" x14ac:dyDescent="0.25">
      <c r="A7561" s="4">
        <v>42501</v>
      </c>
      <c r="B7561" s="6">
        <v>46.08</v>
      </c>
    </row>
    <row r="7562" spans="1:2" x14ac:dyDescent="0.25">
      <c r="A7562" s="4">
        <v>42502</v>
      </c>
      <c r="B7562" s="6">
        <v>46.43</v>
      </c>
    </row>
    <row r="7563" spans="1:2" x14ac:dyDescent="0.25">
      <c r="A7563" s="4">
        <v>42503</v>
      </c>
      <c r="B7563" s="6">
        <v>47.05</v>
      </c>
    </row>
    <row r="7564" spans="1:2" x14ac:dyDescent="0.25">
      <c r="A7564" s="4">
        <v>42506</v>
      </c>
      <c r="B7564" s="6">
        <v>48.49</v>
      </c>
    </row>
    <row r="7565" spans="1:2" x14ac:dyDescent="0.25">
      <c r="A7565" s="4">
        <v>42507</v>
      </c>
      <c r="B7565" s="6">
        <v>48.71</v>
      </c>
    </row>
    <row r="7566" spans="1:2" x14ac:dyDescent="0.25">
      <c r="A7566" s="4">
        <v>42508</v>
      </c>
      <c r="B7566" s="6">
        <v>48.93</v>
      </c>
    </row>
    <row r="7567" spans="1:2" x14ac:dyDescent="0.25">
      <c r="A7567" s="4">
        <v>42509</v>
      </c>
      <c r="B7567" s="6">
        <v>47.01</v>
      </c>
    </row>
    <row r="7568" spans="1:2" x14ac:dyDescent="0.25">
      <c r="A7568" s="4">
        <v>42510</v>
      </c>
      <c r="B7568" s="6">
        <v>48.54</v>
      </c>
    </row>
    <row r="7569" spans="1:2" x14ac:dyDescent="0.25">
      <c r="A7569" s="4">
        <v>42513</v>
      </c>
      <c r="B7569" s="6">
        <v>47.77</v>
      </c>
    </row>
    <row r="7570" spans="1:2" x14ac:dyDescent="0.25">
      <c r="A7570" s="4">
        <v>42514</v>
      </c>
      <c r="B7570" s="6">
        <v>48.42</v>
      </c>
    </row>
    <row r="7571" spans="1:2" x14ac:dyDescent="0.25">
      <c r="A7571" s="4">
        <v>42515</v>
      </c>
      <c r="B7571" s="6">
        <v>48.87</v>
      </c>
    </row>
    <row r="7572" spans="1:2" x14ac:dyDescent="0.25">
      <c r="A7572" s="4">
        <v>42516</v>
      </c>
      <c r="B7572" s="6">
        <v>49.52</v>
      </c>
    </row>
    <row r="7573" spans="1:2" x14ac:dyDescent="0.25">
      <c r="A7573" s="4">
        <v>42517</v>
      </c>
      <c r="B7573" s="6">
        <v>49.09</v>
      </c>
    </row>
    <row r="7574" spans="1:2" x14ac:dyDescent="0.25">
      <c r="A7574" s="4">
        <v>42520</v>
      </c>
      <c r="B7574" s="5"/>
    </row>
    <row r="7575" spans="1:2" x14ac:dyDescent="0.25">
      <c r="A7575" s="4">
        <v>42521</v>
      </c>
      <c r="B7575" s="6">
        <v>49.26</v>
      </c>
    </row>
    <row r="7576" spans="1:2" x14ac:dyDescent="0.25">
      <c r="A7576" s="4">
        <v>42522</v>
      </c>
      <c r="B7576" s="6">
        <v>48.81</v>
      </c>
    </row>
    <row r="7577" spans="1:2" x14ac:dyDescent="0.25">
      <c r="A7577" s="4">
        <v>42523</v>
      </c>
      <c r="B7577" s="6">
        <v>49.05</v>
      </c>
    </row>
    <row r="7578" spans="1:2" x14ac:dyDescent="0.25">
      <c r="A7578" s="4">
        <v>42524</v>
      </c>
      <c r="B7578" s="6">
        <v>48.5</v>
      </c>
    </row>
    <row r="7579" spans="1:2" x14ac:dyDescent="0.25">
      <c r="A7579" s="4">
        <v>42527</v>
      </c>
      <c r="B7579" s="6">
        <v>48.94</v>
      </c>
    </row>
    <row r="7580" spans="1:2" x14ac:dyDescent="0.25">
      <c r="A7580" s="4">
        <v>42528</v>
      </c>
      <c r="B7580" s="6">
        <v>49.76</v>
      </c>
    </row>
    <row r="7581" spans="1:2" x14ac:dyDescent="0.25">
      <c r="A7581" s="4">
        <v>42529</v>
      </c>
      <c r="B7581" s="6">
        <v>50.73</v>
      </c>
    </row>
    <row r="7582" spans="1:2" x14ac:dyDescent="0.25">
      <c r="A7582" s="4">
        <v>42530</v>
      </c>
      <c r="B7582" s="6">
        <v>50.59</v>
      </c>
    </row>
    <row r="7583" spans="1:2" x14ac:dyDescent="0.25">
      <c r="A7583" s="4">
        <v>42531</v>
      </c>
      <c r="B7583" s="6">
        <v>49.7</v>
      </c>
    </row>
    <row r="7584" spans="1:2" x14ac:dyDescent="0.25">
      <c r="A7584" s="4">
        <v>42534</v>
      </c>
      <c r="B7584" s="6">
        <v>49.36</v>
      </c>
    </row>
    <row r="7585" spans="1:2" x14ac:dyDescent="0.25">
      <c r="A7585" s="4">
        <v>42535</v>
      </c>
      <c r="B7585" s="6">
        <v>47.88</v>
      </c>
    </row>
    <row r="7586" spans="1:2" x14ac:dyDescent="0.25">
      <c r="A7586" s="4">
        <v>42536</v>
      </c>
      <c r="B7586" s="6">
        <v>47.47</v>
      </c>
    </row>
    <row r="7587" spans="1:2" x14ac:dyDescent="0.25">
      <c r="A7587" s="4">
        <v>42537</v>
      </c>
      <c r="B7587" s="6">
        <v>45.66</v>
      </c>
    </row>
    <row r="7588" spans="1:2" x14ac:dyDescent="0.25">
      <c r="A7588" s="4">
        <v>42538</v>
      </c>
      <c r="B7588" s="6">
        <v>46.57</v>
      </c>
    </row>
    <row r="7589" spans="1:2" x14ac:dyDescent="0.25">
      <c r="A7589" s="4">
        <v>42541</v>
      </c>
      <c r="B7589" s="6">
        <v>48.68</v>
      </c>
    </row>
    <row r="7590" spans="1:2" x14ac:dyDescent="0.25">
      <c r="A7590" s="4">
        <v>42542</v>
      </c>
      <c r="B7590" s="6">
        <v>48.18</v>
      </c>
    </row>
    <row r="7591" spans="1:2" x14ac:dyDescent="0.25">
      <c r="A7591" s="4">
        <v>42543</v>
      </c>
      <c r="B7591" s="6">
        <v>48.43</v>
      </c>
    </row>
    <row r="7592" spans="1:2" x14ac:dyDescent="0.25">
      <c r="A7592" s="4">
        <v>42544</v>
      </c>
      <c r="B7592" s="6">
        <v>48.63</v>
      </c>
    </row>
    <row r="7593" spans="1:2" x14ac:dyDescent="0.25">
      <c r="A7593" s="4">
        <v>42545</v>
      </c>
      <c r="B7593" s="6">
        <v>46.69</v>
      </c>
    </row>
    <row r="7594" spans="1:2" x14ac:dyDescent="0.25">
      <c r="A7594" s="4">
        <v>42548</v>
      </c>
      <c r="B7594" s="6">
        <v>45.07</v>
      </c>
    </row>
    <row r="7595" spans="1:2" x14ac:dyDescent="0.25">
      <c r="A7595" s="4">
        <v>42549</v>
      </c>
      <c r="B7595" s="6">
        <v>46.29</v>
      </c>
    </row>
    <row r="7596" spans="1:2" x14ac:dyDescent="0.25">
      <c r="A7596" s="4">
        <v>42550</v>
      </c>
      <c r="B7596" s="6">
        <v>48.4</v>
      </c>
    </row>
    <row r="7597" spans="1:2" x14ac:dyDescent="0.25">
      <c r="A7597" s="4">
        <v>42551</v>
      </c>
      <c r="B7597" s="6">
        <v>48.05</v>
      </c>
    </row>
    <row r="7598" spans="1:2" x14ac:dyDescent="0.25">
      <c r="A7598" s="4">
        <v>42552</v>
      </c>
      <c r="B7598" s="6">
        <v>47.65</v>
      </c>
    </row>
    <row r="7599" spans="1:2" x14ac:dyDescent="0.25">
      <c r="A7599" s="4">
        <v>42555</v>
      </c>
      <c r="B7599" s="6">
        <v>48.02</v>
      </c>
    </row>
    <row r="7600" spans="1:2" x14ac:dyDescent="0.25">
      <c r="A7600" s="4">
        <v>42556</v>
      </c>
      <c r="B7600" s="6">
        <v>45.64</v>
      </c>
    </row>
    <row r="7601" spans="1:2" x14ac:dyDescent="0.25">
      <c r="A7601" s="4">
        <v>42557</v>
      </c>
      <c r="B7601" s="6">
        <v>45.7</v>
      </c>
    </row>
    <row r="7602" spans="1:2" x14ac:dyDescent="0.25">
      <c r="A7602" s="4">
        <v>42558</v>
      </c>
      <c r="B7602" s="6">
        <v>45.93</v>
      </c>
    </row>
    <row r="7603" spans="1:2" x14ac:dyDescent="0.25">
      <c r="A7603" s="4">
        <v>42559</v>
      </c>
      <c r="B7603" s="6">
        <v>44.53</v>
      </c>
    </row>
    <row r="7604" spans="1:2" x14ac:dyDescent="0.25">
      <c r="A7604" s="4">
        <v>42562</v>
      </c>
      <c r="B7604" s="6">
        <v>44.04</v>
      </c>
    </row>
    <row r="7605" spans="1:2" x14ac:dyDescent="0.25">
      <c r="A7605" s="4">
        <v>42563</v>
      </c>
      <c r="B7605" s="6">
        <v>46.72</v>
      </c>
    </row>
    <row r="7606" spans="1:2" x14ac:dyDescent="0.25">
      <c r="A7606" s="4">
        <v>42564</v>
      </c>
      <c r="B7606" s="6">
        <v>44.67</v>
      </c>
    </row>
    <row r="7607" spans="1:2" x14ac:dyDescent="0.25">
      <c r="A7607" s="4">
        <v>42565</v>
      </c>
      <c r="B7607" s="6">
        <v>46.01</v>
      </c>
    </row>
    <row r="7608" spans="1:2" x14ac:dyDescent="0.25">
      <c r="A7608" s="4">
        <v>42566</v>
      </c>
      <c r="B7608" s="6">
        <v>46.25</v>
      </c>
    </row>
    <row r="7609" spans="1:2" x14ac:dyDescent="0.25">
      <c r="A7609" s="4">
        <v>42569</v>
      </c>
      <c r="B7609" s="6">
        <v>45.35</v>
      </c>
    </row>
    <row r="7610" spans="1:2" x14ac:dyDescent="0.25">
      <c r="A7610" s="4">
        <v>42570</v>
      </c>
      <c r="B7610" s="6">
        <v>45.7</v>
      </c>
    </row>
    <row r="7611" spans="1:2" x14ac:dyDescent="0.25">
      <c r="A7611" s="4">
        <v>42571</v>
      </c>
      <c r="B7611" s="6">
        <v>45.82</v>
      </c>
    </row>
    <row r="7612" spans="1:2" x14ac:dyDescent="0.25">
      <c r="A7612" s="4">
        <v>42572</v>
      </c>
      <c r="B7612" s="6">
        <v>44.99</v>
      </c>
    </row>
    <row r="7613" spans="1:2" x14ac:dyDescent="0.25">
      <c r="A7613" s="4">
        <v>42573</v>
      </c>
      <c r="B7613" s="6">
        <v>44.24</v>
      </c>
    </row>
    <row r="7614" spans="1:2" x14ac:dyDescent="0.25">
      <c r="A7614" s="4">
        <v>42576</v>
      </c>
      <c r="B7614" s="6">
        <v>43.76</v>
      </c>
    </row>
    <row r="7615" spans="1:2" x14ac:dyDescent="0.25">
      <c r="A7615" s="4">
        <v>42577</v>
      </c>
      <c r="B7615" s="6">
        <v>43.56</v>
      </c>
    </row>
    <row r="7616" spans="1:2" x14ac:dyDescent="0.25">
      <c r="A7616" s="4">
        <v>42578</v>
      </c>
      <c r="B7616" s="6">
        <v>42.78</v>
      </c>
    </row>
    <row r="7617" spans="1:2" x14ac:dyDescent="0.25">
      <c r="A7617" s="4">
        <v>42579</v>
      </c>
      <c r="B7617" s="6">
        <v>41.87</v>
      </c>
    </row>
    <row r="7618" spans="1:2" x14ac:dyDescent="0.25">
      <c r="A7618" s="4">
        <v>42580</v>
      </c>
      <c r="B7618" s="6">
        <v>40.76</v>
      </c>
    </row>
    <row r="7619" spans="1:2" x14ac:dyDescent="0.25">
      <c r="A7619" s="4">
        <v>42583</v>
      </c>
      <c r="B7619" s="6">
        <v>40.17</v>
      </c>
    </row>
    <row r="7620" spans="1:2" x14ac:dyDescent="0.25">
      <c r="A7620" s="4">
        <v>42584</v>
      </c>
      <c r="B7620" s="6">
        <v>40</v>
      </c>
    </row>
    <row r="7621" spans="1:2" x14ac:dyDescent="0.25">
      <c r="A7621" s="4">
        <v>42585</v>
      </c>
      <c r="B7621" s="6">
        <v>40.450000000000003</v>
      </c>
    </row>
    <row r="7622" spans="1:2" x14ac:dyDescent="0.25">
      <c r="A7622" s="4">
        <v>42586</v>
      </c>
      <c r="B7622" s="6">
        <v>41.33</v>
      </c>
    </row>
    <row r="7623" spans="1:2" x14ac:dyDescent="0.25">
      <c r="A7623" s="4">
        <v>42587</v>
      </c>
      <c r="B7623" s="6">
        <v>42.47</v>
      </c>
    </row>
    <row r="7624" spans="1:2" x14ac:dyDescent="0.25">
      <c r="A7624" s="4">
        <v>42590</v>
      </c>
      <c r="B7624" s="6">
        <v>43.24</v>
      </c>
    </row>
    <row r="7625" spans="1:2" x14ac:dyDescent="0.25">
      <c r="A7625" s="4">
        <v>42591</v>
      </c>
      <c r="B7625" s="6">
        <v>43.37</v>
      </c>
    </row>
    <row r="7626" spans="1:2" x14ac:dyDescent="0.25">
      <c r="A7626" s="4">
        <v>42592</v>
      </c>
      <c r="B7626" s="6">
        <v>42.19</v>
      </c>
    </row>
    <row r="7627" spans="1:2" x14ac:dyDescent="0.25">
      <c r="A7627" s="4">
        <v>42593</v>
      </c>
      <c r="B7627" s="6">
        <v>44.23</v>
      </c>
    </row>
    <row r="7628" spans="1:2" x14ac:dyDescent="0.25">
      <c r="A7628" s="4">
        <v>42594</v>
      </c>
      <c r="B7628" s="6">
        <v>45.12</v>
      </c>
    </row>
    <row r="7629" spans="1:2" x14ac:dyDescent="0.25">
      <c r="A7629" s="4">
        <v>42597</v>
      </c>
      <c r="B7629" s="6">
        <v>47.31</v>
      </c>
    </row>
    <row r="7630" spans="1:2" x14ac:dyDescent="0.25">
      <c r="A7630" s="4">
        <v>42598</v>
      </c>
      <c r="B7630" s="6">
        <v>48.27</v>
      </c>
    </row>
    <row r="7631" spans="1:2" x14ac:dyDescent="0.25">
      <c r="A7631" s="4">
        <v>42599</v>
      </c>
      <c r="B7631" s="6">
        <v>48.58</v>
      </c>
    </row>
    <row r="7632" spans="1:2" x14ac:dyDescent="0.25">
      <c r="A7632" s="4">
        <v>42600</v>
      </c>
      <c r="B7632" s="6">
        <v>49.46</v>
      </c>
    </row>
    <row r="7633" spans="1:2" x14ac:dyDescent="0.25">
      <c r="A7633" s="4">
        <v>42601</v>
      </c>
      <c r="B7633" s="6">
        <v>49.39</v>
      </c>
    </row>
    <row r="7634" spans="1:2" x14ac:dyDescent="0.25">
      <c r="A7634" s="4">
        <v>42604</v>
      </c>
      <c r="B7634" s="6">
        <v>48.1</v>
      </c>
    </row>
    <row r="7635" spans="1:2" x14ac:dyDescent="0.25">
      <c r="A7635" s="4">
        <v>42605</v>
      </c>
      <c r="B7635" s="6">
        <v>48.7</v>
      </c>
    </row>
    <row r="7636" spans="1:2" x14ac:dyDescent="0.25">
      <c r="A7636" s="4">
        <v>42606</v>
      </c>
      <c r="B7636" s="6">
        <v>47.56</v>
      </c>
    </row>
    <row r="7637" spans="1:2" x14ac:dyDescent="0.25">
      <c r="A7637" s="4">
        <v>42607</v>
      </c>
      <c r="B7637" s="6">
        <v>49.25</v>
      </c>
    </row>
    <row r="7638" spans="1:2" x14ac:dyDescent="0.25">
      <c r="A7638" s="4">
        <v>42608</v>
      </c>
      <c r="B7638" s="6">
        <v>49.66</v>
      </c>
    </row>
    <row r="7639" spans="1:2" x14ac:dyDescent="0.25">
      <c r="A7639" s="4">
        <v>42611</v>
      </c>
      <c r="B7639" s="6">
        <v>49.66</v>
      </c>
    </row>
    <row r="7640" spans="1:2" x14ac:dyDescent="0.25">
      <c r="A7640" s="4">
        <v>42612</v>
      </c>
      <c r="B7640" s="6">
        <v>47.94</v>
      </c>
    </row>
    <row r="7641" spans="1:2" x14ac:dyDescent="0.25">
      <c r="A7641" s="4">
        <v>42613</v>
      </c>
      <c r="B7641" s="6">
        <v>47.94</v>
      </c>
    </row>
    <row r="7642" spans="1:2" x14ac:dyDescent="0.25">
      <c r="A7642" s="4">
        <v>42614</v>
      </c>
      <c r="B7642" s="6">
        <v>45.05</v>
      </c>
    </row>
    <row r="7643" spans="1:2" x14ac:dyDescent="0.25">
      <c r="A7643" s="4">
        <v>42615</v>
      </c>
      <c r="B7643" s="6">
        <v>45.96</v>
      </c>
    </row>
    <row r="7644" spans="1:2" x14ac:dyDescent="0.25">
      <c r="A7644" s="4">
        <v>42618</v>
      </c>
      <c r="B7644" s="6">
        <v>46.72</v>
      </c>
    </row>
    <row r="7645" spans="1:2" x14ac:dyDescent="0.25">
      <c r="A7645" s="4">
        <v>42619</v>
      </c>
      <c r="B7645" s="6">
        <v>46.21</v>
      </c>
    </row>
    <row r="7646" spans="1:2" x14ac:dyDescent="0.25">
      <c r="A7646" s="4">
        <v>42620</v>
      </c>
      <c r="B7646" s="6">
        <v>47</v>
      </c>
    </row>
    <row r="7647" spans="1:2" x14ac:dyDescent="0.25">
      <c r="A7647" s="4">
        <v>42621</v>
      </c>
      <c r="B7647" s="6">
        <v>49.23</v>
      </c>
    </row>
    <row r="7648" spans="1:2" x14ac:dyDescent="0.25">
      <c r="A7648" s="4">
        <v>42622</v>
      </c>
      <c r="B7648" s="6">
        <v>48.37</v>
      </c>
    </row>
    <row r="7649" spans="1:2" x14ac:dyDescent="0.25">
      <c r="A7649" s="4">
        <v>42625</v>
      </c>
      <c r="B7649" s="6">
        <v>47.82</v>
      </c>
    </row>
    <row r="7650" spans="1:2" x14ac:dyDescent="0.25">
      <c r="A7650" s="4">
        <v>42626</v>
      </c>
      <c r="B7650" s="6">
        <v>46.48</v>
      </c>
    </row>
    <row r="7651" spans="1:2" x14ac:dyDescent="0.25">
      <c r="A7651" s="4">
        <v>42627</v>
      </c>
      <c r="B7651" s="6">
        <v>45.65</v>
      </c>
    </row>
    <row r="7652" spans="1:2" x14ac:dyDescent="0.25">
      <c r="A7652" s="4">
        <v>42628</v>
      </c>
      <c r="B7652" s="6">
        <v>45.83</v>
      </c>
    </row>
    <row r="7653" spans="1:2" x14ac:dyDescent="0.25">
      <c r="A7653" s="4">
        <v>42629</v>
      </c>
      <c r="B7653" s="6">
        <v>45.26</v>
      </c>
    </row>
    <row r="7654" spans="1:2" x14ac:dyDescent="0.25">
      <c r="A7654" s="4">
        <v>42632</v>
      </c>
      <c r="B7654" s="6">
        <v>46.04</v>
      </c>
    </row>
    <row r="7655" spans="1:2" x14ac:dyDescent="0.25">
      <c r="A7655" s="4">
        <v>42633</v>
      </c>
      <c r="B7655" s="6">
        <v>45.24</v>
      </c>
    </row>
    <row r="7656" spans="1:2" x14ac:dyDescent="0.25">
      <c r="A7656" s="4">
        <v>42634</v>
      </c>
      <c r="B7656" s="6">
        <v>45.99</v>
      </c>
    </row>
    <row r="7657" spans="1:2" x14ac:dyDescent="0.25">
      <c r="A7657" s="4">
        <v>42635</v>
      </c>
      <c r="B7657" s="6">
        <v>47.21</v>
      </c>
    </row>
    <row r="7658" spans="1:2" x14ac:dyDescent="0.25">
      <c r="A7658" s="4">
        <v>42636</v>
      </c>
      <c r="B7658" s="6">
        <v>46.71</v>
      </c>
    </row>
    <row r="7659" spans="1:2" x14ac:dyDescent="0.25">
      <c r="A7659" s="4">
        <v>42639</v>
      </c>
      <c r="B7659" s="6">
        <v>46.61</v>
      </c>
    </row>
    <row r="7660" spans="1:2" x14ac:dyDescent="0.25">
      <c r="A7660" s="4">
        <v>42640</v>
      </c>
      <c r="B7660" s="6">
        <v>44.95</v>
      </c>
    </row>
    <row r="7661" spans="1:2" x14ac:dyDescent="0.25">
      <c r="A7661" s="4">
        <v>42641</v>
      </c>
      <c r="B7661" s="6">
        <v>45.49</v>
      </c>
    </row>
    <row r="7662" spans="1:2" x14ac:dyDescent="0.25">
      <c r="A7662" s="4">
        <v>42642</v>
      </c>
      <c r="B7662" s="6">
        <v>48.43</v>
      </c>
    </row>
    <row r="7663" spans="1:2" x14ac:dyDescent="0.25">
      <c r="A7663" s="4">
        <v>42643</v>
      </c>
      <c r="B7663" s="6">
        <v>48.24</v>
      </c>
    </row>
    <row r="7664" spans="1:2" x14ac:dyDescent="0.25">
      <c r="A7664" s="4">
        <v>42646</v>
      </c>
      <c r="B7664" s="6">
        <v>48.61</v>
      </c>
    </row>
    <row r="7665" spans="1:2" x14ac:dyDescent="0.25">
      <c r="A7665" s="4">
        <v>42647</v>
      </c>
      <c r="B7665" s="6">
        <v>48.81</v>
      </c>
    </row>
    <row r="7666" spans="1:2" x14ac:dyDescent="0.25">
      <c r="A7666" s="4">
        <v>42648</v>
      </c>
      <c r="B7666" s="6">
        <v>49.57</v>
      </c>
    </row>
    <row r="7667" spans="1:2" x14ac:dyDescent="0.25">
      <c r="A7667" s="4">
        <v>42649</v>
      </c>
      <c r="B7667" s="6">
        <v>50.14</v>
      </c>
    </row>
    <row r="7668" spans="1:2" x14ac:dyDescent="0.25">
      <c r="A7668" s="4">
        <v>42650</v>
      </c>
      <c r="B7668" s="6">
        <v>50.49</v>
      </c>
    </row>
    <row r="7669" spans="1:2" x14ac:dyDescent="0.25">
      <c r="A7669" s="4">
        <v>42653</v>
      </c>
      <c r="B7669" s="6">
        <v>51.54</v>
      </c>
    </row>
    <row r="7670" spans="1:2" x14ac:dyDescent="0.25">
      <c r="A7670" s="4">
        <v>42654</v>
      </c>
      <c r="B7670" s="6">
        <v>50.48</v>
      </c>
    </row>
    <row r="7671" spans="1:2" x14ac:dyDescent="0.25">
      <c r="A7671" s="4">
        <v>42655</v>
      </c>
      <c r="B7671" s="6">
        <v>49.53</v>
      </c>
    </row>
    <row r="7672" spans="1:2" x14ac:dyDescent="0.25">
      <c r="A7672" s="4">
        <v>42656</v>
      </c>
      <c r="B7672" s="6">
        <v>49.29</v>
      </c>
    </row>
    <row r="7673" spans="1:2" x14ac:dyDescent="0.25">
      <c r="A7673" s="4">
        <v>42657</v>
      </c>
      <c r="B7673" s="6">
        <v>48.87</v>
      </c>
    </row>
    <row r="7674" spans="1:2" x14ac:dyDescent="0.25">
      <c r="A7674" s="4">
        <v>42660</v>
      </c>
      <c r="B7674" s="6">
        <v>49.31</v>
      </c>
    </row>
    <row r="7675" spans="1:2" x14ac:dyDescent="0.25">
      <c r="A7675" s="4">
        <v>42661</v>
      </c>
      <c r="B7675" s="6">
        <v>49.81</v>
      </c>
    </row>
    <row r="7676" spans="1:2" x14ac:dyDescent="0.25">
      <c r="A7676" s="4">
        <v>42662</v>
      </c>
      <c r="B7676" s="6">
        <v>51.85</v>
      </c>
    </row>
    <row r="7677" spans="1:2" x14ac:dyDescent="0.25">
      <c r="A7677" s="4">
        <v>42663</v>
      </c>
      <c r="B7677" s="6">
        <v>50.42</v>
      </c>
    </row>
    <row r="7678" spans="1:2" x14ac:dyDescent="0.25">
      <c r="A7678" s="4">
        <v>42664</v>
      </c>
      <c r="B7678" s="6">
        <v>50.28</v>
      </c>
    </row>
    <row r="7679" spans="1:2" x14ac:dyDescent="0.25">
      <c r="A7679" s="4">
        <v>42667</v>
      </c>
      <c r="B7679" s="6">
        <v>49.8</v>
      </c>
    </row>
    <row r="7680" spans="1:2" x14ac:dyDescent="0.25">
      <c r="A7680" s="4">
        <v>42668</v>
      </c>
      <c r="B7680" s="6">
        <v>49.08</v>
      </c>
    </row>
    <row r="7681" spans="1:2" x14ac:dyDescent="0.25">
      <c r="A7681" s="4">
        <v>42669</v>
      </c>
      <c r="B7681" s="6">
        <v>48.98</v>
      </c>
    </row>
    <row r="7682" spans="1:2" x14ac:dyDescent="0.25">
      <c r="A7682" s="4">
        <v>42670</v>
      </c>
      <c r="B7682" s="6">
        <v>49.13</v>
      </c>
    </row>
    <row r="7683" spans="1:2" x14ac:dyDescent="0.25">
      <c r="A7683" s="4">
        <v>42671</v>
      </c>
      <c r="B7683" s="6">
        <v>47.78</v>
      </c>
    </row>
    <row r="7684" spans="1:2" x14ac:dyDescent="0.25">
      <c r="A7684" s="4">
        <v>42674</v>
      </c>
      <c r="B7684" s="6">
        <v>46.2</v>
      </c>
    </row>
    <row r="7685" spans="1:2" x14ac:dyDescent="0.25">
      <c r="A7685" s="4">
        <v>42675</v>
      </c>
      <c r="B7685" s="6">
        <v>45.77</v>
      </c>
    </row>
    <row r="7686" spans="1:2" x14ac:dyDescent="0.25">
      <c r="A7686" s="4">
        <v>42676</v>
      </c>
      <c r="B7686" s="6">
        <v>44.26</v>
      </c>
    </row>
    <row r="7687" spans="1:2" x14ac:dyDescent="0.25">
      <c r="A7687" s="4">
        <v>42677</v>
      </c>
      <c r="B7687" s="6">
        <v>43.84</v>
      </c>
    </row>
    <row r="7688" spans="1:2" x14ac:dyDescent="0.25">
      <c r="A7688" s="4">
        <v>42678</v>
      </c>
      <c r="B7688" s="6">
        <v>43.06</v>
      </c>
    </row>
    <row r="7689" spans="1:2" x14ac:dyDescent="0.25">
      <c r="A7689" s="4">
        <v>42681</v>
      </c>
      <c r="B7689" s="6">
        <v>42.83</v>
      </c>
    </row>
    <row r="7690" spans="1:2" x14ac:dyDescent="0.25">
      <c r="A7690" s="4">
        <v>42682</v>
      </c>
      <c r="B7690" s="6">
        <v>43.47</v>
      </c>
    </row>
    <row r="7691" spans="1:2" x14ac:dyDescent="0.25">
      <c r="A7691" s="4">
        <v>42683</v>
      </c>
      <c r="B7691" s="6">
        <v>43.88</v>
      </c>
    </row>
    <row r="7692" spans="1:2" x14ac:dyDescent="0.25">
      <c r="A7692" s="4">
        <v>42684</v>
      </c>
      <c r="B7692" s="6">
        <v>43.67</v>
      </c>
    </row>
    <row r="7693" spans="1:2" x14ac:dyDescent="0.25">
      <c r="A7693" s="4">
        <v>42685</v>
      </c>
      <c r="B7693" s="6">
        <v>41.61</v>
      </c>
    </row>
    <row r="7694" spans="1:2" x14ac:dyDescent="0.25">
      <c r="A7694" s="4">
        <v>42688</v>
      </c>
      <c r="B7694" s="6">
        <v>41.83</v>
      </c>
    </row>
    <row r="7695" spans="1:2" x14ac:dyDescent="0.25">
      <c r="A7695" s="4">
        <v>42689</v>
      </c>
      <c r="B7695" s="6">
        <v>44.15</v>
      </c>
    </row>
    <row r="7696" spans="1:2" x14ac:dyDescent="0.25">
      <c r="A7696" s="4">
        <v>42690</v>
      </c>
      <c r="B7696" s="6">
        <v>45.07</v>
      </c>
    </row>
    <row r="7697" spans="1:2" x14ac:dyDescent="0.25">
      <c r="A7697" s="4">
        <v>42691</v>
      </c>
      <c r="B7697" s="6">
        <v>44.57</v>
      </c>
    </row>
    <row r="7698" spans="1:2" x14ac:dyDescent="0.25">
      <c r="A7698" s="4">
        <v>42692</v>
      </c>
      <c r="B7698" s="6">
        <v>44.41</v>
      </c>
    </row>
    <row r="7699" spans="1:2" x14ac:dyDescent="0.25">
      <c r="A7699" s="4">
        <v>42695</v>
      </c>
      <c r="B7699" s="6">
        <v>45.96</v>
      </c>
    </row>
    <row r="7700" spans="1:2" x14ac:dyDescent="0.25">
      <c r="A7700" s="4">
        <v>42696</v>
      </c>
      <c r="B7700" s="6">
        <v>46.1</v>
      </c>
    </row>
    <row r="7701" spans="1:2" x14ac:dyDescent="0.25">
      <c r="A7701" s="4">
        <v>42697</v>
      </c>
      <c r="B7701" s="6">
        <v>46.54</v>
      </c>
    </row>
    <row r="7702" spans="1:2" x14ac:dyDescent="0.25">
      <c r="A7702" s="4">
        <v>42698</v>
      </c>
      <c r="B7702" s="6">
        <v>47.54</v>
      </c>
    </row>
    <row r="7703" spans="1:2" x14ac:dyDescent="0.25">
      <c r="A7703" s="4">
        <v>42699</v>
      </c>
      <c r="B7703" s="6">
        <v>46.32</v>
      </c>
    </row>
    <row r="7704" spans="1:2" x14ac:dyDescent="0.25">
      <c r="A7704" s="4">
        <v>42702</v>
      </c>
      <c r="B7704" s="6">
        <v>46.64</v>
      </c>
    </row>
    <row r="7705" spans="1:2" x14ac:dyDescent="0.25">
      <c r="A7705" s="4">
        <v>42703</v>
      </c>
      <c r="B7705" s="6">
        <v>44.68</v>
      </c>
    </row>
    <row r="7706" spans="1:2" x14ac:dyDescent="0.25">
      <c r="A7706" s="4">
        <v>42704</v>
      </c>
      <c r="B7706" s="6">
        <v>47.95</v>
      </c>
    </row>
    <row r="7707" spans="1:2" x14ac:dyDescent="0.25">
      <c r="A7707" s="4">
        <v>42705</v>
      </c>
      <c r="B7707" s="6">
        <v>52.28</v>
      </c>
    </row>
    <row r="7708" spans="1:2" x14ac:dyDescent="0.25">
      <c r="A7708" s="4">
        <v>42706</v>
      </c>
      <c r="B7708" s="6">
        <v>52.35</v>
      </c>
    </row>
    <row r="7709" spans="1:2" x14ac:dyDescent="0.25">
      <c r="A7709" s="4">
        <v>42709</v>
      </c>
      <c r="B7709" s="6">
        <v>53.3</v>
      </c>
    </row>
    <row r="7710" spans="1:2" x14ac:dyDescent="0.25">
      <c r="A7710" s="4">
        <v>42710</v>
      </c>
      <c r="B7710" s="6">
        <v>52.31</v>
      </c>
    </row>
    <row r="7711" spans="1:2" x14ac:dyDescent="0.25">
      <c r="A7711" s="4">
        <v>42711</v>
      </c>
      <c r="B7711" s="6">
        <v>51.9</v>
      </c>
    </row>
    <row r="7712" spans="1:2" x14ac:dyDescent="0.25">
      <c r="A7712" s="4">
        <v>42712</v>
      </c>
      <c r="B7712" s="6">
        <v>51.6</v>
      </c>
    </row>
    <row r="7713" spans="1:2" x14ac:dyDescent="0.25">
      <c r="A7713" s="4">
        <v>42713</v>
      </c>
      <c r="B7713" s="6">
        <v>52.19</v>
      </c>
    </row>
    <row r="7714" spans="1:2" x14ac:dyDescent="0.25">
      <c r="A7714" s="4">
        <v>42716</v>
      </c>
      <c r="B7714" s="6">
        <v>53.99</v>
      </c>
    </row>
    <row r="7715" spans="1:2" x14ac:dyDescent="0.25">
      <c r="A7715" s="4">
        <v>42717</v>
      </c>
      <c r="B7715" s="6">
        <v>53.28</v>
      </c>
    </row>
    <row r="7716" spans="1:2" x14ac:dyDescent="0.25">
      <c r="A7716" s="4">
        <v>42718</v>
      </c>
      <c r="B7716" s="6">
        <v>53.15</v>
      </c>
    </row>
    <row r="7717" spans="1:2" x14ac:dyDescent="0.25">
      <c r="A7717" s="4">
        <v>42719</v>
      </c>
      <c r="B7717" s="6">
        <v>51.72</v>
      </c>
    </row>
    <row r="7718" spans="1:2" x14ac:dyDescent="0.25">
      <c r="A7718" s="4">
        <v>42720</v>
      </c>
      <c r="B7718" s="6">
        <v>54.15</v>
      </c>
    </row>
    <row r="7719" spans="1:2" x14ac:dyDescent="0.25">
      <c r="A7719" s="4">
        <v>42723</v>
      </c>
      <c r="B7719" s="6">
        <v>53.53</v>
      </c>
    </row>
    <row r="7720" spans="1:2" x14ac:dyDescent="0.25">
      <c r="A7720" s="4">
        <v>42724</v>
      </c>
      <c r="B7720" s="6">
        <v>54.56</v>
      </c>
    </row>
    <row r="7721" spans="1:2" x14ac:dyDescent="0.25">
      <c r="A7721" s="4">
        <v>42725</v>
      </c>
      <c r="B7721" s="6">
        <v>53.01</v>
      </c>
    </row>
    <row r="7722" spans="1:2" x14ac:dyDescent="0.25">
      <c r="A7722" s="4">
        <v>42726</v>
      </c>
      <c r="B7722" s="6">
        <v>54.04</v>
      </c>
    </row>
    <row r="7723" spans="1:2" x14ac:dyDescent="0.25">
      <c r="A7723" s="4">
        <v>42727</v>
      </c>
      <c r="B7723" s="6">
        <v>53.93</v>
      </c>
    </row>
    <row r="7724" spans="1:2" x14ac:dyDescent="0.25">
      <c r="A7724" s="4">
        <v>42730</v>
      </c>
      <c r="B7724" s="5"/>
    </row>
    <row r="7725" spans="1:2" x14ac:dyDescent="0.25">
      <c r="A7725" s="4">
        <v>42731</v>
      </c>
      <c r="B7725" s="5"/>
    </row>
    <row r="7726" spans="1:2" x14ac:dyDescent="0.25">
      <c r="A7726" s="4">
        <v>42732</v>
      </c>
      <c r="B7726" s="6">
        <v>54.95</v>
      </c>
    </row>
    <row r="7727" spans="1:2" x14ac:dyDescent="0.25">
      <c r="A7727" s="4">
        <v>42733</v>
      </c>
      <c r="B7727" s="6">
        <v>54.97</v>
      </c>
    </row>
    <row r="7728" spans="1:2" x14ac:dyDescent="0.25">
      <c r="A7728" s="4">
        <v>42734</v>
      </c>
      <c r="B7728" s="6">
        <v>54.96</v>
      </c>
    </row>
    <row r="7729" spans="1:2" x14ac:dyDescent="0.25">
      <c r="A7729" s="4">
        <v>42737</v>
      </c>
      <c r="B7729" s="5"/>
    </row>
    <row r="7730" spans="1:2" x14ac:dyDescent="0.25">
      <c r="A7730" s="4">
        <v>42738</v>
      </c>
      <c r="B7730" s="6">
        <v>55.05</v>
      </c>
    </row>
    <row r="7731" spans="1:2" x14ac:dyDescent="0.25">
      <c r="A7731" s="4">
        <v>42739</v>
      </c>
      <c r="B7731" s="6">
        <v>54.57</v>
      </c>
    </row>
    <row r="7732" spans="1:2" x14ac:dyDescent="0.25">
      <c r="A7732" s="4">
        <v>42740</v>
      </c>
      <c r="B7732" s="6">
        <v>54.99</v>
      </c>
    </row>
    <row r="7733" spans="1:2" x14ac:dyDescent="0.25">
      <c r="A7733" s="4">
        <v>42741</v>
      </c>
      <c r="B7733" s="6">
        <v>55.9</v>
      </c>
    </row>
    <row r="7734" spans="1:2" x14ac:dyDescent="0.25">
      <c r="A7734" s="4">
        <v>42744</v>
      </c>
      <c r="B7734" s="6">
        <v>54.39</v>
      </c>
    </row>
    <row r="7735" spans="1:2" x14ac:dyDescent="0.25">
      <c r="A7735" s="4">
        <v>42745</v>
      </c>
      <c r="B7735" s="6">
        <v>53.2</v>
      </c>
    </row>
    <row r="7736" spans="1:2" x14ac:dyDescent="0.25">
      <c r="A7736" s="4">
        <v>42746</v>
      </c>
      <c r="B7736" s="6">
        <v>53.61</v>
      </c>
    </row>
    <row r="7737" spans="1:2" x14ac:dyDescent="0.25">
      <c r="A7737" s="4">
        <v>42747</v>
      </c>
      <c r="B7737" s="6">
        <v>54.51</v>
      </c>
    </row>
    <row r="7738" spans="1:2" x14ac:dyDescent="0.25">
      <c r="A7738" s="4">
        <v>42748</v>
      </c>
      <c r="B7738" s="6">
        <v>54.37</v>
      </c>
    </row>
    <row r="7739" spans="1:2" x14ac:dyDescent="0.25">
      <c r="A7739" s="4">
        <v>42751</v>
      </c>
      <c r="B7739" s="6">
        <v>54.3</v>
      </c>
    </row>
    <row r="7740" spans="1:2" x14ac:dyDescent="0.25">
      <c r="A7740" s="4">
        <v>42752</v>
      </c>
      <c r="B7740" s="6">
        <v>54.68</v>
      </c>
    </row>
    <row r="7741" spans="1:2" x14ac:dyDescent="0.25">
      <c r="A7741" s="4">
        <v>42753</v>
      </c>
      <c r="B7741" s="6">
        <v>53.77</v>
      </c>
    </row>
    <row r="7742" spans="1:2" x14ac:dyDescent="0.25">
      <c r="A7742" s="4">
        <v>42754</v>
      </c>
      <c r="B7742" s="6">
        <v>53.18</v>
      </c>
    </row>
    <row r="7743" spans="1:2" x14ac:dyDescent="0.25">
      <c r="A7743" s="4">
        <v>42755</v>
      </c>
      <c r="B7743" s="6">
        <v>55.04</v>
      </c>
    </row>
    <row r="7744" spans="1:2" x14ac:dyDescent="0.25">
      <c r="A7744" s="4">
        <v>42758</v>
      </c>
      <c r="B7744" s="6">
        <v>54.8</v>
      </c>
    </row>
    <row r="7745" spans="1:2" x14ac:dyDescent="0.25">
      <c r="A7745" s="4">
        <v>42759</v>
      </c>
      <c r="B7745" s="6">
        <v>54.7</v>
      </c>
    </row>
    <row r="7746" spans="1:2" x14ac:dyDescent="0.25">
      <c r="A7746" s="4">
        <v>42760</v>
      </c>
      <c r="B7746" s="6">
        <v>54.34</v>
      </c>
    </row>
    <row r="7747" spans="1:2" x14ac:dyDescent="0.25">
      <c r="A7747" s="4">
        <v>42761</v>
      </c>
      <c r="B7747" s="6">
        <v>55.89</v>
      </c>
    </row>
    <row r="7748" spans="1:2" x14ac:dyDescent="0.25">
      <c r="A7748" s="4">
        <v>42762</v>
      </c>
      <c r="B7748" s="6">
        <v>54.8</v>
      </c>
    </row>
    <row r="7749" spans="1:2" x14ac:dyDescent="0.25">
      <c r="A7749" s="4">
        <v>42765</v>
      </c>
      <c r="B7749" s="6">
        <v>54.77</v>
      </c>
    </row>
    <row r="7750" spans="1:2" x14ac:dyDescent="0.25">
      <c r="A7750" s="4">
        <v>42766</v>
      </c>
      <c r="B7750" s="6">
        <v>55.25</v>
      </c>
    </row>
    <row r="7751" spans="1:2" x14ac:dyDescent="0.25">
      <c r="A7751" s="4">
        <v>42767</v>
      </c>
      <c r="B7751" s="6">
        <v>55.79</v>
      </c>
    </row>
    <row r="7752" spans="1:2" x14ac:dyDescent="0.25">
      <c r="A7752" s="4">
        <v>42768</v>
      </c>
      <c r="B7752" s="6">
        <v>55.94</v>
      </c>
    </row>
    <row r="7753" spans="1:2" x14ac:dyDescent="0.25">
      <c r="A7753" s="4">
        <v>42769</v>
      </c>
      <c r="B7753" s="6">
        <v>55.92</v>
      </c>
    </row>
    <row r="7754" spans="1:2" x14ac:dyDescent="0.25">
      <c r="A7754" s="4">
        <v>42772</v>
      </c>
      <c r="B7754" s="6">
        <v>55.02</v>
      </c>
    </row>
    <row r="7755" spans="1:2" x14ac:dyDescent="0.25">
      <c r="A7755" s="4">
        <v>42773</v>
      </c>
      <c r="B7755" s="6">
        <v>53.79</v>
      </c>
    </row>
    <row r="7756" spans="1:2" x14ac:dyDescent="0.25">
      <c r="A7756" s="4">
        <v>42774</v>
      </c>
      <c r="B7756" s="6">
        <v>54.42</v>
      </c>
    </row>
    <row r="7757" spans="1:2" x14ac:dyDescent="0.25">
      <c r="A7757" s="4">
        <v>42775</v>
      </c>
      <c r="B7757" s="6">
        <v>53.98</v>
      </c>
    </row>
    <row r="7758" spans="1:2" x14ac:dyDescent="0.25">
      <c r="A7758" s="4">
        <v>42776</v>
      </c>
      <c r="B7758" s="6">
        <v>55.2</v>
      </c>
    </row>
    <row r="7759" spans="1:2" x14ac:dyDescent="0.25">
      <c r="A7759" s="4">
        <v>42779</v>
      </c>
      <c r="B7759" s="6">
        <v>54.15</v>
      </c>
    </row>
    <row r="7760" spans="1:2" x14ac:dyDescent="0.25">
      <c r="A7760" s="4">
        <v>42780</v>
      </c>
      <c r="B7760" s="6">
        <v>54.96</v>
      </c>
    </row>
    <row r="7761" spans="1:2" x14ac:dyDescent="0.25">
      <c r="A7761" s="4">
        <v>42781</v>
      </c>
      <c r="B7761" s="6">
        <v>54.57</v>
      </c>
    </row>
    <row r="7762" spans="1:2" x14ac:dyDescent="0.25">
      <c r="A7762" s="4">
        <v>42782</v>
      </c>
      <c r="B7762" s="6">
        <v>54.16</v>
      </c>
    </row>
    <row r="7763" spans="1:2" x14ac:dyDescent="0.25">
      <c r="A7763" s="4">
        <v>42783</v>
      </c>
      <c r="B7763" s="6">
        <v>54.48</v>
      </c>
    </row>
    <row r="7764" spans="1:2" x14ac:dyDescent="0.25">
      <c r="A7764" s="4">
        <v>42786</v>
      </c>
      <c r="B7764" s="6">
        <v>55.25</v>
      </c>
    </row>
    <row r="7765" spans="1:2" x14ac:dyDescent="0.25">
      <c r="A7765" s="4">
        <v>42787</v>
      </c>
      <c r="B7765" s="6">
        <v>56.34</v>
      </c>
    </row>
    <row r="7766" spans="1:2" x14ac:dyDescent="0.25">
      <c r="A7766" s="4">
        <v>42788</v>
      </c>
      <c r="B7766" s="6">
        <v>54.9</v>
      </c>
    </row>
    <row r="7767" spans="1:2" x14ac:dyDescent="0.25">
      <c r="A7767" s="4">
        <v>42789</v>
      </c>
      <c r="B7767" s="6">
        <v>55.82</v>
      </c>
    </row>
    <row r="7768" spans="1:2" x14ac:dyDescent="0.25">
      <c r="A7768" s="4">
        <v>42790</v>
      </c>
      <c r="B7768" s="6">
        <v>54.69</v>
      </c>
    </row>
    <row r="7769" spans="1:2" x14ac:dyDescent="0.25">
      <c r="A7769" s="4">
        <v>42793</v>
      </c>
      <c r="B7769" s="6">
        <v>54.65</v>
      </c>
    </row>
    <row r="7770" spans="1:2" x14ac:dyDescent="0.25">
      <c r="A7770" s="4">
        <v>42794</v>
      </c>
      <c r="B7770" s="6">
        <v>53.36</v>
      </c>
    </row>
    <row r="7771" spans="1:2" x14ac:dyDescent="0.25">
      <c r="A7771" s="4">
        <v>42795</v>
      </c>
      <c r="B7771" s="6">
        <v>55.72</v>
      </c>
    </row>
    <row r="7772" spans="1:2" x14ac:dyDescent="0.25">
      <c r="A7772" s="4">
        <v>42796</v>
      </c>
      <c r="B7772" s="6">
        <v>54.16</v>
      </c>
    </row>
    <row r="7773" spans="1:2" x14ac:dyDescent="0.25">
      <c r="A7773" s="4">
        <v>42797</v>
      </c>
      <c r="B7773" s="6">
        <v>54.12</v>
      </c>
    </row>
    <row r="7774" spans="1:2" x14ac:dyDescent="0.25">
      <c r="A7774" s="4">
        <v>42800</v>
      </c>
      <c r="B7774" s="6">
        <v>54.73</v>
      </c>
    </row>
    <row r="7775" spans="1:2" x14ac:dyDescent="0.25">
      <c r="A7775" s="4">
        <v>42801</v>
      </c>
      <c r="B7775" s="6">
        <v>54.61</v>
      </c>
    </row>
    <row r="7776" spans="1:2" x14ac:dyDescent="0.25">
      <c r="A7776" s="4">
        <v>42802</v>
      </c>
      <c r="B7776" s="6">
        <v>53.3</v>
      </c>
    </row>
    <row r="7777" spans="1:2" x14ac:dyDescent="0.25">
      <c r="A7777" s="4">
        <v>42803</v>
      </c>
      <c r="B7777" s="6">
        <v>50.65</v>
      </c>
    </row>
    <row r="7778" spans="1:2" x14ac:dyDescent="0.25">
      <c r="A7778" s="4">
        <v>42804</v>
      </c>
      <c r="B7778" s="6">
        <v>50.63</v>
      </c>
    </row>
    <row r="7779" spans="1:2" x14ac:dyDescent="0.25">
      <c r="A7779" s="4">
        <v>42807</v>
      </c>
      <c r="B7779" s="6">
        <v>50.1</v>
      </c>
    </row>
    <row r="7780" spans="1:2" x14ac:dyDescent="0.25">
      <c r="A7780" s="4">
        <v>42808</v>
      </c>
      <c r="B7780" s="6">
        <v>49.6</v>
      </c>
    </row>
    <row r="7781" spans="1:2" x14ac:dyDescent="0.25">
      <c r="A7781" s="4">
        <v>42809</v>
      </c>
      <c r="B7781" s="6">
        <v>50.63</v>
      </c>
    </row>
    <row r="7782" spans="1:2" x14ac:dyDescent="0.25">
      <c r="A7782" s="4">
        <v>42810</v>
      </c>
      <c r="B7782" s="6">
        <v>50.56</v>
      </c>
    </row>
    <row r="7783" spans="1:2" x14ac:dyDescent="0.25">
      <c r="A7783" s="4">
        <v>42811</v>
      </c>
      <c r="B7783" s="6">
        <v>50.58</v>
      </c>
    </row>
    <row r="7784" spans="1:2" x14ac:dyDescent="0.25">
      <c r="A7784" s="4">
        <v>42814</v>
      </c>
      <c r="B7784" s="6">
        <v>50.67</v>
      </c>
    </row>
    <row r="7785" spans="1:2" x14ac:dyDescent="0.25">
      <c r="A7785" s="4">
        <v>42815</v>
      </c>
      <c r="B7785" s="6">
        <v>50.14</v>
      </c>
    </row>
    <row r="7786" spans="1:2" x14ac:dyDescent="0.25">
      <c r="A7786" s="4">
        <v>42816</v>
      </c>
      <c r="B7786" s="6">
        <v>49.56</v>
      </c>
    </row>
    <row r="7787" spans="1:2" x14ac:dyDescent="0.25">
      <c r="A7787" s="4">
        <v>42817</v>
      </c>
      <c r="B7787" s="6">
        <v>50.17</v>
      </c>
    </row>
    <row r="7788" spans="1:2" x14ac:dyDescent="0.25">
      <c r="A7788" s="4">
        <v>42818</v>
      </c>
      <c r="B7788" s="6">
        <v>49.97</v>
      </c>
    </row>
    <row r="7789" spans="1:2" x14ac:dyDescent="0.25">
      <c r="A7789" s="4">
        <v>42821</v>
      </c>
      <c r="B7789" s="6">
        <v>50.12</v>
      </c>
    </row>
    <row r="7790" spans="1:2" x14ac:dyDescent="0.25">
      <c r="A7790" s="4">
        <v>42822</v>
      </c>
      <c r="B7790" s="6">
        <v>50.72</v>
      </c>
    </row>
    <row r="7791" spans="1:2" x14ac:dyDescent="0.25">
      <c r="A7791" s="4">
        <v>42823</v>
      </c>
      <c r="B7791" s="6">
        <v>51.36</v>
      </c>
    </row>
    <row r="7792" spans="1:2" x14ac:dyDescent="0.25">
      <c r="A7792" s="4">
        <v>42824</v>
      </c>
      <c r="B7792" s="6">
        <v>52.25</v>
      </c>
    </row>
    <row r="7793" spans="1:2" x14ac:dyDescent="0.25">
      <c r="A7793" s="4">
        <v>42825</v>
      </c>
      <c r="B7793" s="6">
        <v>52.2</v>
      </c>
    </row>
    <row r="7794" spans="1:2" x14ac:dyDescent="0.25">
      <c r="A7794" s="4">
        <v>42828</v>
      </c>
      <c r="B7794" s="6">
        <v>52.04</v>
      </c>
    </row>
    <row r="7795" spans="1:2" x14ac:dyDescent="0.25">
      <c r="A7795" s="4">
        <v>42829</v>
      </c>
      <c r="B7795" s="6">
        <v>53.08</v>
      </c>
    </row>
    <row r="7796" spans="1:2" x14ac:dyDescent="0.25">
      <c r="A7796" s="4">
        <v>42830</v>
      </c>
      <c r="B7796" s="6">
        <v>53.41</v>
      </c>
    </row>
    <row r="7797" spans="1:2" x14ac:dyDescent="0.25">
      <c r="A7797" s="4">
        <v>42831</v>
      </c>
      <c r="B7797" s="6">
        <v>53.62</v>
      </c>
    </row>
    <row r="7798" spans="1:2" x14ac:dyDescent="0.25">
      <c r="A7798" s="4">
        <v>42832</v>
      </c>
      <c r="B7798" s="6">
        <v>54.24</v>
      </c>
    </row>
    <row r="7799" spans="1:2" x14ac:dyDescent="0.25">
      <c r="A7799" s="4">
        <v>42835</v>
      </c>
      <c r="B7799" s="6">
        <v>54.79</v>
      </c>
    </row>
    <row r="7800" spans="1:2" x14ac:dyDescent="0.25">
      <c r="A7800" s="4">
        <v>42836</v>
      </c>
      <c r="B7800" s="6">
        <v>54.73</v>
      </c>
    </row>
    <row r="7801" spans="1:2" x14ac:dyDescent="0.25">
      <c r="A7801" s="4">
        <v>42837</v>
      </c>
      <c r="B7801" s="6">
        <v>54.75</v>
      </c>
    </row>
    <row r="7802" spans="1:2" x14ac:dyDescent="0.25">
      <c r="A7802" s="4">
        <v>42838</v>
      </c>
      <c r="B7802" s="6">
        <v>55.05</v>
      </c>
    </row>
    <row r="7803" spans="1:2" x14ac:dyDescent="0.25">
      <c r="A7803" s="4">
        <v>42839</v>
      </c>
      <c r="B7803" s="5"/>
    </row>
    <row r="7804" spans="1:2" x14ac:dyDescent="0.25">
      <c r="A7804" s="4">
        <v>42842</v>
      </c>
      <c r="B7804" s="6">
        <v>54.79</v>
      </c>
    </row>
    <row r="7805" spans="1:2" x14ac:dyDescent="0.25">
      <c r="A7805" s="4">
        <v>42843</v>
      </c>
      <c r="B7805" s="6">
        <v>52.6</v>
      </c>
    </row>
    <row r="7806" spans="1:2" x14ac:dyDescent="0.25">
      <c r="A7806" s="4">
        <v>42844</v>
      </c>
      <c r="B7806" s="6">
        <v>52.43</v>
      </c>
    </row>
    <row r="7807" spans="1:2" x14ac:dyDescent="0.25">
      <c r="A7807" s="4">
        <v>42845</v>
      </c>
      <c r="B7807" s="6">
        <v>50.66</v>
      </c>
    </row>
    <row r="7808" spans="1:2" x14ac:dyDescent="0.25">
      <c r="A7808" s="4">
        <v>42846</v>
      </c>
      <c r="B7808" s="6">
        <v>49.93</v>
      </c>
    </row>
    <row r="7809" spans="1:2" x14ac:dyDescent="0.25">
      <c r="A7809" s="4">
        <v>42849</v>
      </c>
      <c r="B7809" s="6">
        <v>49.45</v>
      </c>
    </row>
    <row r="7810" spans="1:2" x14ac:dyDescent="0.25">
      <c r="A7810" s="4">
        <v>42850</v>
      </c>
      <c r="B7810" s="6">
        <v>49.37</v>
      </c>
    </row>
    <row r="7811" spans="1:2" x14ac:dyDescent="0.25">
      <c r="A7811" s="4">
        <v>42851</v>
      </c>
      <c r="B7811" s="6">
        <v>49.99</v>
      </c>
    </row>
    <row r="7812" spans="1:2" x14ac:dyDescent="0.25">
      <c r="A7812" s="4">
        <v>42852</v>
      </c>
      <c r="B7812" s="6">
        <v>49.46</v>
      </c>
    </row>
    <row r="7813" spans="1:2" x14ac:dyDescent="0.25">
      <c r="A7813" s="4">
        <v>42853</v>
      </c>
      <c r="B7813" s="6">
        <v>49.46</v>
      </c>
    </row>
    <row r="7814" spans="1:2" x14ac:dyDescent="0.25">
      <c r="A7814" s="4">
        <v>42856</v>
      </c>
      <c r="B7814" s="6">
        <v>50.41</v>
      </c>
    </row>
    <row r="7815" spans="1:2" x14ac:dyDescent="0.25">
      <c r="A7815" s="4">
        <v>42857</v>
      </c>
      <c r="B7815" s="6">
        <v>49.31</v>
      </c>
    </row>
    <row r="7816" spans="1:2" x14ac:dyDescent="0.25">
      <c r="A7816" s="4">
        <v>42858</v>
      </c>
      <c r="B7816" s="6">
        <v>48.82</v>
      </c>
    </row>
    <row r="7817" spans="1:2" x14ac:dyDescent="0.25">
      <c r="A7817" s="4">
        <v>42859</v>
      </c>
      <c r="B7817" s="6">
        <v>47.53</v>
      </c>
    </row>
    <row r="7818" spans="1:2" x14ac:dyDescent="0.25">
      <c r="A7818" s="4">
        <v>42860</v>
      </c>
      <c r="B7818" s="6">
        <v>47.45</v>
      </c>
    </row>
    <row r="7819" spans="1:2" x14ac:dyDescent="0.25">
      <c r="A7819" s="4">
        <v>42863</v>
      </c>
      <c r="B7819" s="6">
        <v>46.61</v>
      </c>
    </row>
    <row r="7820" spans="1:2" x14ac:dyDescent="0.25">
      <c r="A7820" s="4">
        <v>42864</v>
      </c>
      <c r="B7820" s="6">
        <v>47.06</v>
      </c>
    </row>
    <row r="7821" spans="1:2" x14ac:dyDescent="0.25">
      <c r="A7821" s="4">
        <v>42865</v>
      </c>
      <c r="B7821" s="6">
        <v>48.09</v>
      </c>
    </row>
    <row r="7822" spans="1:2" x14ac:dyDescent="0.25">
      <c r="A7822" s="4">
        <v>42866</v>
      </c>
      <c r="B7822" s="6">
        <v>49.18</v>
      </c>
    </row>
    <row r="7823" spans="1:2" x14ac:dyDescent="0.25">
      <c r="A7823" s="4">
        <v>42867</v>
      </c>
      <c r="B7823" s="6">
        <v>49.08</v>
      </c>
    </row>
    <row r="7824" spans="1:2" x14ac:dyDescent="0.25">
      <c r="A7824" s="4">
        <v>42870</v>
      </c>
      <c r="B7824" s="6">
        <v>51.29</v>
      </c>
    </row>
    <row r="7825" spans="1:2" x14ac:dyDescent="0.25">
      <c r="A7825" s="4">
        <v>42871</v>
      </c>
      <c r="B7825" s="6">
        <v>51.21</v>
      </c>
    </row>
    <row r="7826" spans="1:2" x14ac:dyDescent="0.25">
      <c r="A7826" s="4">
        <v>42872</v>
      </c>
      <c r="B7826" s="6">
        <v>51.76</v>
      </c>
    </row>
    <row r="7827" spans="1:2" x14ac:dyDescent="0.25">
      <c r="A7827" s="4">
        <v>42873</v>
      </c>
      <c r="B7827" s="6">
        <v>51.71</v>
      </c>
    </row>
    <row r="7828" spans="1:2" x14ac:dyDescent="0.25">
      <c r="A7828" s="4">
        <v>42874</v>
      </c>
      <c r="B7828" s="6">
        <v>52.78</v>
      </c>
    </row>
    <row r="7829" spans="1:2" x14ac:dyDescent="0.25">
      <c r="A7829" s="4">
        <v>42877</v>
      </c>
      <c r="B7829" s="6">
        <v>53.35</v>
      </c>
    </row>
    <row r="7830" spans="1:2" x14ac:dyDescent="0.25">
      <c r="A7830" s="4">
        <v>42878</v>
      </c>
      <c r="B7830" s="6">
        <v>53.19</v>
      </c>
    </row>
    <row r="7831" spans="1:2" x14ac:dyDescent="0.25">
      <c r="A7831" s="4">
        <v>42879</v>
      </c>
      <c r="B7831" s="6">
        <v>53.29</v>
      </c>
    </row>
    <row r="7832" spans="1:2" x14ac:dyDescent="0.25">
      <c r="A7832" s="4">
        <v>42880</v>
      </c>
      <c r="B7832" s="6">
        <v>52.25</v>
      </c>
    </row>
    <row r="7833" spans="1:2" x14ac:dyDescent="0.25">
      <c r="A7833" s="4">
        <v>42881</v>
      </c>
      <c r="B7833" s="6">
        <v>50.84</v>
      </c>
    </row>
    <row r="7834" spans="1:2" x14ac:dyDescent="0.25">
      <c r="A7834" s="4">
        <v>42884</v>
      </c>
      <c r="B7834" s="6">
        <v>52.25</v>
      </c>
    </row>
    <row r="7835" spans="1:2" x14ac:dyDescent="0.25">
      <c r="A7835" s="4">
        <v>42885</v>
      </c>
      <c r="B7835" s="6">
        <v>50.65</v>
      </c>
    </row>
    <row r="7836" spans="1:2" x14ac:dyDescent="0.25">
      <c r="A7836" s="4">
        <v>42886</v>
      </c>
      <c r="B7836" s="6">
        <v>49.4</v>
      </c>
    </row>
    <row r="7837" spans="1:2" x14ac:dyDescent="0.25">
      <c r="A7837" s="4">
        <v>42887</v>
      </c>
      <c r="B7837" s="6">
        <v>50.41</v>
      </c>
    </row>
    <row r="7838" spans="1:2" x14ac:dyDescent="0.25">
      <c r="A7838" s="4">
        <v>42888</v>
      </c>
      <c r="B7838" s="6">
        <v>48.46</v>
      </c>
    </row>
    <row r="7839" spans="1:2" x14ac:dyDescent="0.25">
      <c r="A7839" s="4">
        <v>42891</v>
      </c>
      <c r="B7839" s="6">
        <v>48.25</v>
      </c>
    </row>
    <row r="7840" spans="1:2" x14ac:dyDescent="0.25">
      <c r="A7840" s="4">
        <v>42892</v>
      </c>
      <c r="B7840" s="6">
        <v>48.11</v>
      </c>
    </row>
    <row r="7841" spans="1:2" x14ac:dyDescent="0.25">
      <c r="A7841" s="4">
        <v>42893</v>
      </c>
      <c r="B7841" s="6">
        <v>47.08</v>
      </c>
    </row>
    <row r="7842" spans="1:2" x14ac:dyDescent="0.25">
      <c r="A7842" s="4">
        <v>42894</v>
      </c>
      <c r="B7842" s="6">
        <v>46.3</v>
      </c>
    </row>
    <row r="7843" spans="1:2" x14ac:dyDescent="0.25">
      <c r="A7843" s="4">
        <v>42895</v>
      </c>
      <c r="B7843" s="6">
        <v>46.64</v>
      </c>
    </row>
    <row r="7844" spans="1:2" x14ac:dyDescent="0.25">
      <c r="A7844" s="4">
        <v>42898</v>
      </c>
      <c r="B7844" s="6">
        <v>47.18</v>
      </c>
    </row>
    <row r="7845" spans="1:2" x14ac:dyDescent="0.25">
      <c r="A7845" s="4">
        <v>42899</v>
      </c>
      <c r="B7845" s="6">
        <v>46.95</v>
      </c>
    </row>
    <row r="7846" spans="1:2" x14ac:dyDescent="0.25">
      <c r="A7846" s="4">
        <v>42900</v>
      </c>
      <c r="B7846" s="6">
        <v>45.47</v>
      </c>
    </row>
    <row r="7847" spans="1:2" x14ac:dyDescent="0.25">
      <c r="A7847" s="4">
        <v>42901</v>
      </c>
      <c r="B7847" s="6">
        <v>45.61</v>
      </c>
    </row>
    <row r="7848" spans="1:2" x14ac:dyDescent="0.25">
      <c r="A7848" s="4">
        <v>42902</v>
      </c>
      <c r="B7848" s="6">
        <v>45.7</v>
      </c>
    </row>
    <row r="7849" spans="1:2" x14ac:dyDescent="0.25">
      <c r="A7849" s="4">
        <v>42905</v>
      </c>
      <c r="B7849" s="6">
        <v>45.93</v>
      </c>
    </row>
    <row r="7850" spans="1:2" x14ac:dyDescent="0.25">
      <c r="A7850" s="4">
        <v>42906</v>
      </c>
      <c r="B7850" s="6">
        <v>43.98</v>
      </c>
    </row>
    <row r="7851" spans="1:2" x14ac:dyDescent="0.25">
      <c r="A7851" s="4">
        <v>42907</v>
      </c>
      <c r="B7851" s="6">
        <v>44.62</v>
      </c>
    </row>
    <row r="7852" spans="1:2" x14ac:dyDescent="0.25">
      <c r="A7852" s="4">
        <v>42908</v>
      </c>
      <c r="B7852" s="6">
        <v>44.46</v>
      </c>
    </row>
    <row r="7853" spans="1:2" x14ac:dyDescent="0.25">
      <c r="A7853" s="4">
        <v>42909</v>
      </c>
      <c r="B7853" s="6">
        <v>44.14</v>
      </c>
    </row>
    <row r="7854" spans="1:2" x14ac:dyDescent="0.25">
      <c r="A7854" s="4">
        <v>42912</v>
      </c>
      <c r="B7854" s="6">
        <v>44.09</v>
      </c>
    </row>
    <row r="7855" spans="1:2" x14ac:dyDescent="0.25">
      <c r="A7855" s="4">
        <v>42913</v>
      </c>
      <c r="B7855" s="6">
        <v>46.17</v>
      </c>
    </row>
    <row r="7856" spans="1:2" x14ac:dyDescent="0.25">
      <c r="A7856" s="4">
        <v>42914</v>
      </c>
      <c r="B7856" s="6">
        <v>46.45</v>
      </c>
    </row>
    <row r="7857" spans="1:2" x14ac:dyDescent="0.25">
      <c r="A7857" s="4">
        <v>42915</v>
      </c>
      <c r="B7857" s="6">
        <v>47.02</v>
      </c>
    </row>
    <row r="7858" spans="1:2" x14ac:dyDescent="0.25">
      <c r="A7858" s="4">
        <v>42916</v>
      </c>
      <c r="B7858" s="6">
        <v>47.08</v>
      </c>
    </row>
    <row r="7859" spans="1:2" x14ac:dyDescent="0.25">
      <c r="A7859" s="4">
        <v>42919</v>
      </c>
      <c r="B7859" s="6">
        <v>49.13</v>
      </c>
    </row>
    <row r="7860" spans="1:2" x14ac:dyDescent="0.25">
      <c r="A7860" s="4">
        <v>42920</v>
      </c>
      <c r="B7860" s="6">
        <v>49.15</v>
      </c>
    </row>
    <row r="7861" spans="1:2" x14ac:dyDescent="0.25">
      <c r="A7861" s="4">
        <v>42921</v>
      </c>
      <c r="B7861" s="6">
        <v>47.58</v>
      </c>
    </row>
    <row r="7862" spans="1:2" x14ac:dyDescent="0.25">
      <c r="A7862" s="4">
        <v>42922</v>
      </c>
      <c r="B7862" s="6">
        <v>48.53</v>
      </c>
    </row>
    <row r="7863" spans="1:2" x14ac:dyDescent="0.25">
      <c r="A7863" s="4">
        <v>42923</v>
      </c>
      <c r="B7863" s="6">
        <v>46.47</v>
      </c>
    </row>
    <row r="7864" spans="1:2" x14ac:dyDescent="0.25">
      <c r="A7864" s="4">
        <v>42926</v>
      </c>
      <c r="B7864" s="6">
        <v>46.57</v>
      </c>
    </row>
    <row r="7865" spans="1:2" x14ac:dyDescent="0.25">
      <c r="A7865" s="4">
        <v>42927</v>
      </c>
      <c r="B7865" s="6">
        <v>46.68</v>
      </c>
    </row>
    <row r="7866" spans="1:2" x14ac:dyDescent="0.25">
      <c r="A7866" s="4">
        <v>42928</v>
      </c>
      <c r="B7866" s="6">
        <v>46.73</v>
      </c>
    </row>
    <row r="7867" spans="1:2" x14ac:dyDescent="0.25">
      <c r="A7867" s="4">
        <v>42929</v>
      </c>
      <c r="B7867" s="6">
        <v>47.65</v>
      </c>
    </row>
    <row r="7868" spans="1:2" x14ac:dyDescent="0.25">
      <c r="A7868" s="4">
        <v>42930</v>
      </c>
      <c r="B7868" s="6">
        <v>47.89</v>
      </c>
    </row>
    <row r="7869" spans="1:2" x14ac:dyDescent="0.25">
      <c r="A7869" s="4">
        <v>42933</v>
      </c>
      <c r="B7869" s="6">
        <v>47.66</v>
      </c>
    </row>
    <row r="7870" spans="1:2" x14ac:dyDescent="0.25">
      <c r="A7870" s="4">
        <v>42934</v>
      </c>
      <c r="B7870" s="6">
        <v>47.92</v>
      </c>
    </row>
    <row r="7871" spans="1:2" x14ac:dyDescent="0.25">
      <c r="A7871" s="4">
        <v>42935</v>
      </c>
      <c r="B7871" s="6">
        <v>48.34</v>
      </c>
    </row>
    <row r="7872" spans="1:2" x14ac:dyDescent="0.25">
      <c r="A7872" s="4">
        <v>42936</v>
      </c>
      <c r="B7872" s="6">
        <v>48.54</v>
      </c>
    </row>
    <row r="7873" spans="1:2" x14ac:dyDescent="0.25">
      <c r="A7873" s="4">
        <v>42937</v>
      </c>
      <c r="B7873" s="6">
        <v>47.47</v>
      </c>
    </row>
    <row r="7874" spans="1:2" x14ac:dyDescent="0.25">
      <c r="A7874" s="4">
        <v>42940</v>
      </c>
      <c r="B7874" s="6">
        <v>47.81</v>
      </c>
    </row>
    <row r="7875" spans="1:2" x14ac:dyDescent="0.25">
      <c r="A7875" s="4">
        <v>42941</v>
      </c>
      <c r="B7875" s="6">
        <v>49.19</v>
      </c>
    </row>
    <row r="7876" spans="1:2" x14ac:dyDescent="0.25">
      <c r="A7876" s="4">
        <v>42942</v>
      </c>
      <c r="B7876" s="6">
        <v>50.08</v>
      </c>
    </row>
    <row r="7877" spans="1:2" x14ac:dyDescent="0.25">
      <c r="A7877" s="4">
        <v>42943</v>
      </c>
      <c r="B7877" s="6">
        <v>50.67</v>
      </c>
    </row>
    <row r="7878" spans="1:2" x14ac:dyDescent="0.25">
      <c r="A7878" s="4">
        <v>42944</v>
      </c>
      <c r="B7878" s="6">
        <v>52</v>
      </c>
    </row>
    <row r="7879" spans="1:2" x14ac:dyDescent="0.25">
      <c r="A7879" s="4">
        <v>42947</v>
      </c>
      <c r="B7879" s="6">
        <v>51.99</v>
      </c>
    </row>
    <row r="7880" spans="1:2" x14ac:dyDescent="0.25">
      <c r="A7880" s="4">
        <v>42948</v>
      </c>
      <c r="B7880" s="6">
        <v>50.77</v>
      </c>
    </row>
    <row r="7881" spans="1:2" x14ac:dyDescent="0.25">
      <c r="A7881" s="4">
        <v>42949</v>
      </c>
      <c r="B7881" s="6">
        <v>52.09</v>
      </c>
    </row>
    <row r="7882" spans="1:2" x14ac:dyDescent="0.25">
      <c r="A7882" s="4">
        <v>42950</v>
      </c>
      <c r="B7882" s="6">
        <v>52.88</v>
      </c>
    </row>
    <row r="7883" spans="1:2" x14ac:dyDescent="0.25">
      <c r="A7883" s="4">
        <v>42951</v>
      </c>
      <c r="B7883" s="6">
        <v>52.48</v>
      </c>
    </row>
    <row r="7884" spans="1:2" x14ac:dyDescent="0.25">
      <c r="A7884" s="4">
        <v>42954</v>
      </c>
      <c r="B7884" s="6">
        <v>51.42</v>
      </c>
    </row>
    <row r="7885" spans="1:2" x14ac:dyDescent="0.25">
      <c r="A7885" s="4">
        <v>42955</v>
      </c>
      <c r="B7885" s="6">
        <v>52.18</v>
      </c>
    </row>
    <row r="7886" spans="1:2" x14ac:dyDescent="0.25">
      <c r="A7886" s="4">
        <v>42956</v>
      </c>
      <c r="B7886" s="6">
        <v>52.16</v>
      </c>
    </row>
    <row r="7887" spans="1:2" x14ac:dyDescent="0.25">
      <c r="A7887" s="4">
        <v>42957</v>
      </c>
      <c r="B7887" s="6">
        <v>52.59</v>
      </c>
    </row>
    <row r="7888" spans="1:2" x14ac:dyDescent="0.25">
      <c r="A7888" s="4">
        <v>42958</v>
      </c>
      <c r="B7888" s="6">
        <v>51.47</v>
      </c>
    </row>
    <row r="7889" spans="1:2" x14ac:dyDescent="0.25">
      <c r="A7889" s="4">
        <v>42961</v>
      </c>
      <c r="B7889" s="6">
        <v>51.29</v>
      </c>
    </row>
    <row r="7890" spans="1:2" x14ac:dyDescent="0.25">
      <c r="A7890" s="4">
        <v>42962</v>
      </c>
      <c r="B7890" s="6">
        <v>49.9</v>
      </c>
    </row>
    <row r="7891" spans="1:2" x14ac:dyDescent="0.25">
      <c r="A7891" s="4">
        <v>42963</v>
      </c>
      <c r="B7891" s="6">
        <v>50.39</v>
      </c>
    </row>
    <row r="7892" spans="1:2" x14ac:dyDescent="0.25">
      <c r="A7892" s="4">
        <v>42964</v>
      </c>
      <c r="B7892" s="6">
        <v>50.37</v>
      </c>
    </row>
    <row r="7893" spans="1:2" x14ac:dyDescent="0.25">
      <c r="A7893" s="4">
        <v>42965</v>
      </c>
      <c r="B7893" s="6">
        <v>50.96</v>
      </c>
    </row>
    <row r="7894" spans="1:2" x14ac:dyDescent="0.25">
      <c r="A7894" s="4">
        <v>42968</v>
      </c>
      <c r="B7894" s="6">
        <v>51.94</v>
      </c>
    </row>
    <row r="7895" spans="1:2" x14ac:dyDescent="0.25">
      <c r="A7895" s="4">
        <v>42969</v>
      </c>
      <c r="B7895" s="6">
        <v>52.29</v>
      </c>
    </row>
    <row r="7896" spans="1:2" x14ac:dyDescent="0.25">
      <c r="A7896" s="4">
        <v>42970</v>
      </c>
      <c r="B7896" s="6">
        <v>52.31</v>
      </c>
    </row>
    <row r="7897" spans="1:2" x14ac:dyDescent="0.25">
      <c r="A7897" s="4">
        <v>42971</v>
      </c>
      <c r="B7897" s="6">
        <v>51.73</v>
      </c>
    </row>
    <row r="7898" spans="1:2" x14ac:dyDescent="0.25">
      <c r="A7898" s="4">
        <v>42972</v>
      </c>
      <c r="B7898" s="6">
        <v>51.87</v>
      </c>
    </row>
    <row r="7899" spans="1:2" x14ac:dyDescent="0.25">
      <c r="A7899" s="4">
        <v>42975</v>
      </c>
      <c r="B7899" s="6">
        <v>51.87</v>
      </c>
    </row>
    <row r="7900" spans="1:2" x14ac:dyDescent="0.25">
      <c r="A7900" s="4">
        <v>42976</v>
      </c>
      <c r="B7900" s="6">
        <v>51.64</v>
      </c>
    </row>
    <row r="7901" spans="1:2" x14ac:dyDescent="0.25">
      <c r="A7901" s="4">
        <v>42977</v>
      </c>
      <c r="B7901" s="6">
        <v>51.91</v>
      </c>
    </row>
    <row r="7902" spans="1:2" x14ac:dyDescent="0.25">
      <c r="A7902" s="4">
        <v>42978</v>
      </c>
      <c r="B7902" s="6">
        <v>52.69</v>
      </c>
    </row>
    <row r="7903" spans="1:2" x14ac:dyDescent="0.25">
      <c r="A7903" s="4">
        <v>42979</v>
      </c>
      <c r="B7903" s="6">
        <v>53.15</v>
      </c>
    </row>
    <row r="7904" spans="1:2" x14ac:dyDescent="0.25">
      <c r="A7904" s="4">
        <v>42982</v>
      </c>
      <c r="B7904" s="6">
        <v>52.6</v>
      </c>
    </row>
    <row r="7905" spans="1:2" x14ac:dyDescent="0.25">
      <c r="A7905" s="4">
        <v>42983</v>
      </c>
      <c r="B7905" s="6">
        <v>53.63</v>
      </c>
    </row>
    <row r="7906" spans="1:2" x14ac:dyDescent="0.25">
      <c r="A7906" s="4">
        <v>42984</v>
      </c>
      <c r="B7906" s="6">
        <v>54.48</v>
      </c>
    </row>
    <row r="7907" spans="1:2" x14ac:dyDescent="0.25">
      <c r="A7907" s="4">
        <v>42985</v>
      </c>
      <c r="B7907" s="6">
        <v>54.16</v>
      </c>
    </row>
    <row r="7908" spans="1:2" x14ac:dyDescent="0.25">
      <c r="A7908" s="4">
        <v>42986</v>
      </c>
      <c r="B7908" s="6">
        <v>54.55</v>
      </c>
    </row>
    <row r="7909" spans="1:2" x14ac:dyDescent="0.25">
      <c r="A7909" s="4">
        <v>42989</v>
      </c>
      <c r="B7909" s="6">
        <v>54.2</v>
      </c>
    </row>
    <row r="7910" spans="1:2" x14ac:dyDescent="0.25">
      <c r="A7910" s="4">
        <v>42990</v>
      </c>
      <c r="B7910" s="6">
        <v>55.06</v>
      </c>
    </row>
    <row r="7911" spans="1:2" x14ac:dyDescent="0.25">
      <c r="A7911" s="4">
        <v>42991</v>
      </c>
      <c r="B7911" s="6">
        <v>55.52</v>
      </c>
    </row>
    <row r="7912" spans="1:2" x14ac:dyDescent="0.25">
      <c r="A7912" s="4">
        <v>42992</v>
      </c>
      <c r="B7912" s="6">
        <v>56.76</v>
      </c>
    </row>
    <row r="7913" spans="1:2" x14ac:dyDescent="0.25">
      <c r="A7913" s="4">
        <v>42993</v>
      </c>
      <c r="B7913" s="6">
        <v>56.18</v>
      </c>
    </row>
    <row r="7914" spans="1:2" x14ac:dyDescent="0.25">
      <c r="A7914" s="4">
        <v>42996</v>
      </c>
      <c r="B7914" s="6">
        <v>55.5</v>
      </c>
    </row>
    <row r="7915" spans="1:2" x14ac:dyDescent="0.25">
      <c r="A7915" s="4">
        <v>42997</v>
      </c>
      <c r="B7915" s="6">
        <v>56.58</v>
      </c>
    </row>
    <row r="7916" spans="1:2" x14ac:dyDescent="0.25">
      <c r="A7916" s="4">
        <v>42998</v>
      </c>
      <c r="B7916" s="6">
        <v>57.2</v>
      </c>
    </row>
    <row r="7917" spans="1:2" x14ac:dyDescent="0.25">
      <c r="A7917" s="4">
        <v>42999</v>
      </c>
      <c r="B7917" s="6">
        <v>57.73</v>
      </c>
    </row>
    <row r="7918" spans="1:2" x14ac:dyDescent="0.25">
      <c r="A7918" s="4">
        <v>43000</v>
      </c>
      <c r="B7918" s="6">
        <v>58.16</v>
      </c>
    </row>
    <row r="7919" spans="1:2" x14ac:dyDescent="0.25">
      <c r="A7919" s="4">
        <v>43003</v>
      </c>
      <c r="B7919" s="6">
        <v>59.42</v>
      </c>
    </row>
    <row r="7920" spans="1:2" x14ac:dyDescent="0.25">
      <c r="A7920" s="4">
        <v>43004</v>
      </c>
      <c r="B7920" s="6">
        <v>59.77</v>
      </c>
    </row>
    <row r="7921" spans="1:2" x14ac:dyDescent="0.25">
      <c r="A7921" s="4">
        <v>43005</v>
      </c>
      <c r="B7921" s="6">
        <v>58.74</v>
      </c>
    </row>
    <row r="7922" spans="1:2" x14ac:dyDescent="0.25">
      <c r="A7922" s="4">
        <v>43006</v>
      </c>
      <c r="B7922" s="6">
        <v>58.8</v>
      </c>
    </row>
    <row r="7923" spans="1:2" x14ac:dyDescent="0.25">
      <c r="A7923" s="4">
        <v>43007</v>
      </c>
      <c r="B7923" s="6">
        <v>57.02</v>
      </c>
    </row>
    <row r="7924" spans="1:2" x14ac:dyDescent="0.25">
      <c r="A7924" s="4">
        <v>43010</v>
      </c>
      <c r="B7924" s="6">
        <v>55.67</v>
      </c>
    </row>
    <row r="7925" spans="1:2" x14ac:dyDescent="0.25">
      <c r="A7925" s="4">
        <v>43011</v>
      </c>
      <c r="B7925" s="6">
        <v>56.12</v>
      </c>
    </row>
    <row r="7926" spans="1:2" x14ac:dyDescent="0.25">
      <c r="A7926" s="4">
        <v>43012</v>
      </c>
      <c r="B7926" s="6">
        <v>56</v>
      </c>
    </row>
    <row r="7927" spans="1:2" x14ac:dyDescent="0.25">
      <c r="A7927" s="4">
        <v>43013</v>
      </c>
      <c r="B7927" s="6">
        <v>57.09</v>
      </c>
    </row>
    <row r="7928" spans="1:2" x14ac:dyDescent="0.25">
      <c r="A7928" s="4">
        <v>43014</v>
      </c>
      <c r="B7928" s="6">
        <v>55.5</v>
      </c>
    </row>
    <row r="7929" spans="1:2" x14ac:dyDescent="0.25">
      <c r="A7929" s="4">
        <v>43017</v>
      </c>
      <c r="B7929" s="6">
        <v>55.29</v>
      </c>
    </row>
    <row r="7930" spans="1:2" x14ac:dyDescent="0.25">
      <c r="A7930" s="4">
        <v>43018</v>
      </c>
      <c r="B7930" s="6">
        <v>56.62</v>
      </c>
    </row>
    <row r="7931" spans="1:2" x14ac:dyDescent="0.25">
      <c r="A7931" s="4">
        <v>43019</v>
      </c>
      <c r="B7931" s="6">
        <v>56.13</v>
      </c>
    </row>
    <row r="7932" spans="1:2" x14ac:dyDescent="0.25">
      <c r="A7932" s="4">
        <v>43020</v>
      </c>
      <c r="B7932" s="6">
        <v>56.13</v>
      </c>
    </row>
    <row r="7933" spans="1:2" x14ac:dyDescent="0.25">
      <c r="A7933" s="4">
        <v>43021</v>
      </c>
      <c r="B7933" s="6">
        <v>56.86</v>
      </c>
    </row>
    <row r="7934" spans="1:2" x14ac:dyDescent="0.25">
      <c r="A7934" s="4">
        <v>43024</v>
      </c>
      <c r="B7934" s="6">
        <v>57.49</v>
      </c>
    </row>
    <row r="7935" spans="1:2" x14ac:dyDescent="0.25">
      <c r="A7935" s="4">
        <v>43025</v>
      </c>
      <c r="B7935" s="6">
        <v>57.63</v>
      </c>
    </row>
    <row r="7936" spans="1:2" x14ac:dyDescent="0.25">
      <c r="A7936" s="4">
        <v>43026</v>
      </c>
      <c r="B7936" s="6">
        <v>58.05</v>
      </c>
    </row>
    <row r="7937" spans="1:2" x14ac:dyDescent="0.25">
      <c r="A7937" s="4">
        <v>43027</v>
      </c>
      <c r="B7937" s="6">
        <v>57.82</v>
      </c>
    </row>
    <row r="7938" spans="1:2" x14ac:dyDescent="0.25">
      <c r="A7938" s="4">
        <v>43028</v>
      </c>
      <c r="B7938" s="6">
        <v>57.89</v>
      </c>
    </row>
    <row r="7939" spans="1:2" x14ac:dyDescent="0.25">
      <c r="A7939" s="4">
        <v>43031</v>
      </c>
      <c r="B7939" s="6">
        <v>57.69</v>
      </c>
    </row>
    <row r="7940" spans="1:2" x14ac:dyDescent="0.25">
      <c r="A7940" s="4">
        <v>43032</v>
      </c>
      <c r="B7940" s="6">
        <v>57.84</v>
      </c>
    </row>
    <row r="7941" spans="1:2" x14ac:dyDescent="0.25">
      <c r="A7941" s="4">
        <v>43033</v>
      </c>
      <c r="B7941" s="6">
        <v>58.45</v>
      </c>
    </row>
    <row r="7942" spans="1:2" x14ac:dyDescent="0.25">
      <c r="A7942" s="4">
        <v>43034</v>
      </c>
      <c r="B7942" s="6">
        <v>58.75</v>
      </c>
    </row>
    <row r="7943" spans="1:2" x14ac:dyDescent="0.25">
      <c r="A7943" s="4">
        <v>43035</v>
      </c>
      <c r="B7943" s="6">
        <v>60.15</v>
      </c>
    </row>
    <row r="7944" spans="1:2" x14ac:dyDescent="0.25">
      <c r="A7944" s="4">
        <v>43038</v>
      </c>
      <c r="B7944" s="6">
        <v>60.65</v>
      </c>
    </row>
    <row r="7945" spans="1:2" x14ac:dyDescent="0.25">
      <c r="A7945" s="4">
        <v>43039</v>
      </c>
      <c r="B7945" s="6">
        <v>61.35</v>
      </c>
    </row>
    <row r="7946" spans="1:2" x14ac:dyDescent="0.25">
      <c r="A7946" s="4">
        <v>43040</v>
      </c>
      <c r="B7946" s="6">
        <v>60.98</v>
      </c>
    </row>
    <row r="7947" spans="1:2" x14ac:dyDescent="0.25">
      <c r="A7947" s="4">
        <v>43041</v>
      </c>
      <c r="B7947" s="6">
        <v>60.79</v>
      </c>
    </row>
    <row r="7948" spans="1:2" x14ac:dyDescent="0.25">
      <c r="A7948" s="4">
        <v>43042</v>
      </c>
      <c r="B7948" s="6">
        <v>61.42</v>
      </c>
    </row>
    <row r="7949" spans="1:2" x14ac:dyDescent="0.25">
      <c r="A7949" s="4">
        <v>43045</v>
      </c>
      <c r="B7949" s="6">
        <v>64.27</v>
      </c>
    </row>
    <row r="7950" spans="1:2" x14ac:dyDescent="0.25">
      <c r="A7950" s="4">
        <v>43046</v>
      </c>
      <c r="B7950" s="6">
        <v>64.36</v>
      </c>
    </row>
    <row r="7951" spans="1:2" x14ac:dyDescent="0.25">
      <c r="A7951" s="4">
        <v>43047</v>
      </c>
      <c r="B7951" s="6">
        <v>63.96</v>
      </c>
    </row>
    <row r="7952" spans="1:2" x14ac:dyDescent="0.25">
      <c r="A7952" s="4">
        <v>43048</v>
      </c>
      <c r="B7952" s="6">
        <v>64.489999999999995</v>
      </c>
    </row>
    <row r="7953" spans="1:2" x14ac:dyDescent="0.25">
      <c r="A7953" s="4">
        <v>43049</v>
      </c>
      <c r="B7953" s="6">
        <v>64.349999999999994</v>
      </c>
    </row>
    <row r="7954" spans="1:2" x14ac:dyDescent="0.25">
      <c r="A7954" s="4">
        <v>43052</v>
      </c>
      <c r="B7954" s="6">
        <v>62.94</v>
      </c>
    </row>
    <row r="7955" spans="1:2" x14ac:dyDescent="0.25">
      <c r="A7955" s="4">
        <v>43053</v>
      </c>
      <c r="B7955" s="6">
        <v>60.91</v>
      </c>
    </row>
    <row r="7956" spans="1:2" x14ac:dyDescent="0.25">
      <c r="A7956" s="4">
        <v>43054</v>
      </c>
      <c r="B7956" s="6">
        <v>61.25</v>
      </c>
    </row>
    <row r="7957" spans="1:2" x14ac:dyDescent="0.25">
      <c r="A7957" s="4">
        <v>43055</v>
      </c>
      <c r="B7957" s="6">
        <v>61.18</v>
      </c>
    </row>
    <row r="7958" spans="1:2" x14ac:dyDescent="0.25">
      <c r="A7958" s="4">
        <v>43056</v>
      </c>
      <c r="B7958" s="6">
        <v>61.34</v>
      </c>
    </row>
    <row r="7959" spans="1:2" x14ac:dyDescent="0.25">
      <c r="A7959" s="4">
        <v>43059</v>
      </c>
      <c r="B7959" s="6">
        <v>61.34</v>
      </c>
    </row>
    <row r="7960" spans="1:2" x14ac:dyDescent="0.25">
      <c r="A7960" s="4">
        <v>43060</v>
      </c>
      <c r="B7960" s="6">
        <v>62.28</v>
      </c>
    </row>
    <row r="7961" spans="1:2" x14ac:dyDescent="0.25">
      <c r="A7961" s="4">
        <v>43061</v>
      </c>
      <c r="B7961" s="6">
        <v>62.92</v>
      </c>
    </row>
    <row r="7962" spans="1:2" x14ac:dyDescent="0.25">
      <c r="A7962" s="4">
        <v>43062</v>
      </c>
      <c r="B7962" s="6">
        <v>63.27</v>
      </c>
    </row>
    <row r="7963" spans="1:2" x14ac:dyDescent="0.25">
      <c r="A7963" s="4">
        <v>43063</v>
      </c>
      <c r="B7963" s="6">
        <v>63.58</v>
      </c>
    </row>
    <row r="7964" spans="1:2" x14ac:dyDescent="0.25">
      <c r="A7964" s="4">
        <v>43066</v>
      </c>
      <c r="B7964" s="6">
        <v>63.25</v>
      </c>
    </row>
    <row r="7965" spans="1:2" x14ac:dyDescent="0.25">
      <c r="A7965" s="4">
        <v>43067</v>
      </c>
      <c r="B7965" s="6">
        <v>63.56</v>
      </c>
    </row>
    <row r="7966" spans="1:2" x14ac:dyDescent="0.25">
      <c r="A7966" s="4">
        <v>43068</v>
      </c>
      <c r="B7966" s="6">
        <v>63.74</v>
      </c>
    </row>
    <row r="7967" spans="1:2" x14ac:dyDescent="0.25">
      <c r="A7967" s="4">
        <v>43069</v>
      </c>
      <c r="B7967" s="6">
        <v>63.53</v>
      </c>
    </row>
    <row r="7968" spans="1:2" x14ac:dyDescent="0.25">
      <c r="A7968" s="4">
        <v>43070</v>
      </c>
      <c r="B7968" s="6">
        <v>64.569999999999993</v>
      </c>
    </row>
    <row r="7969" spans="1:2" x14ac:dyDescent="0.25">
      <c r="A7969" s="4">
        <v>43073</v>
      </c>
      <c r="B7969" s="6">
        <v>63.45</v>
      </c>
    </row>
    <row r="7970" spans="1:2" x14ac:dyDescent="0.25">
      <c r="A7970" s="4">
        <v>43074</v>
      </c>
      <c r="B7970" s="6">
        <v>63.45</v>
      </c>
    </row>
    <row r="7971" spans="1:2" x14ac:dyDescent="0.25">
      <c r="A7971" s="4">
        <v>43075</v>
      </c>
      <c r="B7971" s="6">
        <v>62.25</v>
      </c>
    </row>
    <row r="7972" spans="1:2" x14ac:dyDescent="0.25">
      <c r="A7972" s="4">
        <v>43076</v>
      </c>
      <c r="B7972" s="6">
        <v>62.37</v>
      </c>
    </row>
    <row r="7973" spans="1:2" x14ac:dyDescent="0.25">
      <c r="A7973" s="4">
        <v>43077</v>
      </c>
      <c r="B7973" s="6">
        <v>63.86</v>
      </c>
    </row>
    <row r="7974" spans="1:2" x14ac:dyDescent="0.25">
      <c r="A7974" s="4">
        <v>43080</v>
      </c>
      <c r="B7974" s="6">
        <v>65.62</v>
      </c>
    </row>
    <row r="7975" spans="1:2" x14ac:dyDescent="0.25">
      <c r="A7975" s="4">
        <v>43081</v>
      </c>
      <c r="B7975" s="6">
        <v>64.959999999999994</v>
      </c>
    </row>
    <row r="7976" spans="1:2" x14ac:dyDescent="0.25">
      <c r="A7976" s="4">
        <v>43082</v>
      </c>
      <c r="B7976" s="6">
        <v>63.66</v>
      </c>
    </row>
    <row r="7977" spans="1:2" x14ac:dyDescent="0.25">
      <c r="A7977" s="4">
        <v>43083</v>
      </c>
      <c r="B7977" s="6">
        <v>63.72</v>
      </c>
    </row>
    <row r="7978" spans="1:2" x14ac:dyDescent="0.25">
      <c r="A7978" s="4">
        <v>43084</v>
      </c>
      <c r="B7978" s="6">
        <v>63.81</v>
      </c>
    </row>
    <row r="7979" spans="1:2" x14ac:dyDescent="0.25">
      <c r="A7979" s="4">
        <v>43087</v>
      </c>
      <c r="B7979" s="6">
        <v>64.45</v>
      </c>
    </row>
    <row r="7980" spans="1:2" x14ac:dyDescent="0.25">
      <c r="A7980" s="4">
        <v>43088</v>
      </c>
      <c r="B7980" s="6">
        <v>63.69</v>
      </c>
    </row>
    <row r="7981" spans="1:2" x14ac:dyDescent="0.25">
      <c r="A7981" s="4">
        <v>43089</v>
      </c>
      <c r="B7981" s="6">
        <v>64.430000000000007</v>
      </c>
    </row>
    <row r="7982" spans="1:2" x14ac:dyDescent="0.25">
      <c r="A7982" s="4">
        <v>43090</v>
      </c>
      <c r="B7982" s="6">
        <v>64.64</v>
      </c>
    </row>
    <row r="7983" spans="1:2" x14ac:dyDescent="0.25">
      <c r="A7983" s="4">
        <v>43091</v>
      </c>
      <c r="B7983" s="6">
        <v>64.61</v>
      </c>
    </row>
    <row r="7984" spans="1:2" x14ac:dyDescent="0.25">
      <c r="A7984" s="4">
        <v>43094</v>
      </c>
      <c r="B7984" s="5"/>
    </row>
    <row r="7985" spans="1:2" x14ac:dyDescent="0.25">
      <c r="A7985" s="4">
        <v>43095</v>
      </c>
      <c r="B7985" s="5"/>
    </row>
    <row r="7986" spans="1:2" x14ac:dyDescent="0.25">
      <c r="A7986" s="4">
        <v>43096</v>
      </c>
      <c r="B7986" s="6">
        <v>66.03</v>
      </c>
    </row>
    <row r="7987" spans="1:2" x14ac:dyDescent="0.25">
      <c r="A7987" s="4">
        <v>43097</v>
      </c>
      <c r="B7987" s="6">
        <v>66.8</v>
      </c>
    </row>
    <row r="7988" spans="1:2" x14ac:dyDescent="0.25">
      <c r="A7988" s="4">
        <v>43098</v>
      </c>
      <c r="B7988" s="6">
        <v>66.73</v>
      </c>
    </row>
    <row r="7989" spans="1:2" x14ac:dyDescent="0.25">
      <c r="A7989" s="4">
        <v>43101</v>
      </c>
      <c r="B7989" s="5"/>
    </row>
    <row r="7990" spans="1:2" x14ac:dyDescent="0.25">
      <c r="A7990" s="4">
        <v>43102</v>
      </c>
      <c r="B7990" s="6">
        <v>66.650000000000006</v>
      </c>
    </row>
    <row r="7991" spans="1:2" x14ac:dyDescent="0.25">
      <c r="A7991" s="4">
        <v>43103</v>
      </c>
      <c r="B7991" s="6">
        <v>67.849999999999994</v>
      </c>
    </row>
    <row r="7992" spans="1:2" x14ac:dyDescent="0.25">
      <c r="A7992" s="4">
        <v>43104</v>
      </c>
      <c r="B7992" s="6">
        <v>68.73</v>
      </c>
    </row>
    <row r="7993" spans="1:2" x14ac:dyDescent="0.25">
      <c r="A7993" s="4">
        <v>43105</v>
      </c>
      <c r="B7993" s="6">
        <v>68.010000000000005</v>
      </c>
    </row>
    <row r="7994" spans="1:2" x14ac:dyDescent="0.25">
      <c r="A7994" s="4">
        <v>43108</v>
      </c>
      <c r="B7994" s="6">
        <v>68.48</v>
      </c>
    </row>
    <row r="7995" spans="1:2" x14ac:dyDescent="0.25">
      <c r="A7995" s="4">
        <v>43109</v>
      </c>
      <c r="B7995" s="6">
        <v>69.08</v>
      </c>
    </row>
    <row r="7996" spans="1:2" x14ac:dyDescent="0.25">
      <c r="A7996" s="4">
        <v>43110</v>
      </c>
      <c r="B7996" s="6">
        <v>69.790000000000006</v>
      </c>
    </row>
    <row r="7997" spans="1:2" x14ac:dyDescent="0.25">
      <c r="A7997" s="4">
        <v>43111</v>
      </c>
      <c r="B7997" s="6">
        <v>70.36</v>
      </c>
    </row>
    <row r="7998" spans="1:2" x14ac:dyDescent="0.25">
      <c r="A7998" s="4">
        <v>43112</v>
      </c>
      <c r="B7998" s="6">
        <v>69.64</v>
      </c>
    </row>
    <row r="7999" spans="1:2" x14ac:dyDescent="0.25">
      <c r="A7999" s="4">
        <v>43115</v>
      </c>
      <c r="B7999" s="6">
        <v>70.31</v>
      </c>
    </row>
    <row r="8000" spans="1:2" x14ac:dyDescent="0.25">
      <c r="A8000" s="4">
        <v>43116</v>
      </c>
      <c r="B8000" s="6">
        <v>69.400000000000006</v>
      </c>
    </row>
    <row r="8001" spans="1:2" x14ac:dyDescent="0.25">
      <c r="A8001" s="4">
        <v>43117</v>
      </c>
      <c r="B8001" s="6">
        <v>69.19</v>
      </c>
    </row>
    <row r="8002" spans="1:2" x14ac:dyDescent="0.25">
      <c r="A8002" s="4">
        <v>43118</v>
      </c>
      <c r="B8002" s="6">
        <v>69.48</v>
      </c>
    </row>
    <row r="8003" spans="1:2" x14ac:dyDescent="0.25">
      <c r="A8003" s="4">
        <v>43119</v>
      </c>
      <c r="B8003" s="6">
        <v>68.56</v>
      </c>
    </row>
    <row r="8004" spans="1:2" x14ac:dyDescent="0.25">
      <c r="A8004" s="4">
        <v>43122</v>
      </c>
      <c r="B8004" s="6">
        <v>69.319999999999993</v>
      </c>
    </row>
    <row r="8005" spans="1:2" x14ac:dyDescent="0.25">
      <c r="A8005" s="4">
        <v>43123</v>
      </c>
      <c r="B8005" s="6">
        <v>69.81</v>
      </c>
    </row>
    <row r="8006" spans="1:2" x14ac:dyDescent="0.25">
      <c r="A8006" s="4">
        <v>43124</v>
      </c>
      <c r="B8006" s="6">
        <v>69.91</v>
      </c>
    </row>
    <row r="8007" spans="1:2" x14ac:dyDescent="0.25">
      <c r="A8007" s="4">
        <v>43125</v>
      </c>
      <c r="B8007" s="6">
        <v>71.08</v>
      </c>
    </row>
    <row r="8008" spans="1:2" x14ac:dyDescent="0.25">
      <c r="A8008" s="4">
        <v>43126</v>
      </c>
      <c r="B8008" s="6">
        <v>70.08</v>
      </c>
    </row>
    <row r="8009" spans="1:2" x14ac:dyDescent="0.25">
      <c r="A8009" s="4">
        <v>43129</v>
      </c>
      <c r="B8009" s="6">
        <v>68.41</v>
      </c>
    </row>
    <row r="8010" spans="1:2" x14ac:dyDescent="0.25">
      <c r="A8010" s="4">
        <v>43130</v>
      </c>
      <c r="B8010" s="6">
        <v>67.78</v>
      </c>
    </row>
    <row r="8011" spans="1:2" x14ac:dyDescent="0.25">
      <c r="A8011" s="4">
        <v>43131</v>
      </c>
      <c r="B8011" s="6">
        <v>67.78</v>
      </c>
    </row>
    <row r="8012" spans="1:2" x14ac:dyDescent="0.25">
      <c r="A8012" s="4">
        <v>43132</v>
      </c>
      <c r="B8012" s="6">
        <v>68.599999999999994</v>
      </c>
    </row>
    <row r="8013" spans="1:2" x14ac:dyDescent="0.25">
      <c r="A8013" s="4">
        <v>43133</v>
      </c>
      <c r="B8013" s="6">
        <v>67.45</v>
      </c>
    </row>
    <row r="8014" spans="1:2" x14ac:dyDescent="0.25">
      <c r="A8014" s="4">
        <v>43136</v>
      </c>
      <c r="B8014" s="6">
        <v>67.69</v>
      </c>
    </row>
    <row r="8015" spans="1:2" x14ac:dyDescent="0.25">
      <c r="A8015" s="4">
        <v>43137</v>
      </c>
      <c r="B8015" s="6">
        <v>66.75</v>
      </c>
    </row>
    <row r="8016" spans="1:2" x14ac:dyDescent="0.25">
      <c r="A8016" s="4">
        <v>43138</v>
      </c>
      <c r="B8016" s="6">
        <v>65.739999999999995</v>
      </c>
    </row>
    <row r="8017" spans="1:2" x14ac:dyDescent="0.25">
      <c r="A8017" s="4">
        <v>43139</v>
      </c>
      <c r="B8017" s="6">
        <v>64.260000000000005</v>
      </c>
    </row>
    <row r="8018" spans="1:2" x14ac:dyDescent="0.25">
      <c r="A8018" s="4">
        <v>43140</v>
      </c>
      <c r="B8018" s="6">
        <v>63.04</v>
      </c>
    </row>
    <row r="8019" spans="1:2" x14ac:dyDescent="0.25">
      <c r="A8019" s="4">
        <v>43143</v>
      </c>
      <c r="B8019" s="6">
        <v>62.2</v>
      </c>
    </row>
    <row r="8020" spans="1:2" x14ac:dyDescent="0.25">
      <c r="A8020" s="4">
        <v>43144</v>
      </c>
      <c r="B8020" s="6">
        <v>61.94</v>
      </c>
    </row>
    <row r="8021" spans="1:2" x14ac:dyDescent="0.25">
      <c r="A8021" s="4">
        <v>43145</v>
      </c>
      <c r="B8021" s="6">
        <v>62.29</v>
      </c>
    </row>
    <row r="8022" spans="1:2" x14ac:dyDescent="0.25">
      <c r="A8022" s="4">
        <v>43146</v>
      </c>
      <c r="B8022" s="6">
        <v>62.86</v>
      </c>
    </row>
    <row r="8023" spans="1:2" x14ac:dyDescent="0.25">
      <c r="A8023" s="4">
        <v>43147</v>
      </c>
      <c r="B8023" s="6">
        <v>64.3</v>
      </c>
    </row>
    <row r="8024" spans="1:2" x14ac:dyDescent="0.25">
      <c r="A8024" s="4">
        <v>43150</v>
      </c>
      <c r="B8024" s="6">
        <v>64.95</v>
      </c>
    </row>
    <row r="8025" spans="1:2" x14ac:dyDescent="0.25">
      <c r="A8025" s="4">
        <v>43151</v>
      </c>
      <c r="B8025" s="6">
        <v>64.680000000000007</v>
      </c>
    </row>
    <row r="8026" spans="1:2" x14ac:dyDescent="0.25">
      <c r="A8026" s="4">
        <v>43152</v>
      </c>
      <c r="B8026" s="6">
        <v>64.81</v>
      </c>
    </row>
    <row r="8027" spans="1:2" x14ac:dyDescent="0.25">
      <c r="A8027" s="4">
        <v>43153</v>
      </c>
      <c r="B8027" s="6">
        <v>66.12</v>
      </c>
    </row>
    <row r="8028" spans="1:2" x14ac:dyDescent="0.25">
      <c r="A8028" s="4">
        <v>43154</v>
      </c>
      <c r="B8028" s="6">
        <v>67.040000000000006</v>
      </c>
    </row>
    <row r="8029" spans="1:2" x14ac:dyDescent="0.25">
      <c r="A8029" s="4">
        <v>43157</v>
      </c>
      <c r="B8029" s="6">
        <v>67.959999999999994</v>
      </c>
    </row>
    <row r="8030" spans="1:2" x14ac:dyDescent="0.25">
      <c r="A8030" s="4">
        <v>43158</v>
      </c>
      <c r="B8030" s="6">
        <v>67.59</v>
      </c>
    </row>
    <row r="8031" spans="1:2" x14ac:dyDescent="0.25">
      <c r="A8031" s="4">
        <v>43159</v>
      </c>
      <c r="B8031" s="6">
        <v>66.08</v>
      </c>
    </row>
    <row r="8032" spans="1:2" x14ac:dyDescent="0.25">
      <c r="A8032" s="4">
        <v>43160</v>
      </c>
      <c r="B8032" s="6">
        <v>64.23</v>
      </c>
    </row>
    <row r="8033" spans="1:2" x14ac:dyDescent="0.25">
      <c r="A8033" s="4">
        <v>43161</v>
      </c>
      <c r="B8033" s="6">
        <v>64.260000000000005</v>
      </c>
    </row>
    <row r="8034" spans="1:2" x14ac:dyDescent="0.25">
      <c r="A8034" s="4">
        <v>43164</v>
      </c>
      <c r="B8034" s="6">
        <v>65.78</v>
      </c>
    </row>
    <row r="8035" spans="1:2" x14ac:dyDescent="0.25">
      <c r="A8035" s="4">
        <v>43165</v>
      </c>
      <c r="B8035" s="6">
        <v>65.67</v>
      </c>
    </row>
    <row r="8036" spans="1:2" x14ac:dyDescent="0.25">
      <c r="A8036" s="4">
        <v>43166</v>
      </c>
      <c r="B8036" s="6">
        <v>65.09</v>
      </c>
    </row>
    <row r="8037" spans="1:2" x14ac:dyDescent="0.25">
      <c r="A8037" s="4">
        <v>43167</v>
      </c>
      <c r="B8037" s="6">
        <v>63.87</v>
      </c>
    </row>
    <row r="8038" spans="1:2" x14ac:dyDescent="0.25">
      <c r="A8038" s="4">
        <v>43168</v>
      </c>
      <c r="B8038" s="6">
        <v>65.19</v>
      </c>
    </row>
    <row r="8039" spans="1:2" x14ac:dyDescent="0.25">
      <c r="A8039" s="4">
        <v>43171</v>
      </c>
      <c r="B8039" s="6">
        <v>64.53</v>
      </c>
    </row>
    <row r="8040" spans="1:2" x14ac:dyDescent="0.25">
      <c r="A8040" s="4">
        <v>43172</v>
      </c>
      <c r="B8040" s="6">
        <v>64.2</v>
      </c>
    </row>
    <row r="8041" spans="1:2" x14ac:dyDescent="0.25">
      <c r="A8041" s="4">
        <v>43173</v>
      </c>
      <c r="B8041" s="6">
        <v>63.61</v>
      </c>
    </row>
    <row r="8042" spans="1:2" x14ac:dyDescent="0.25">
      <c r="A8042" s="4">
        <v>43174</v>
      </c>
      <c r="B8042" s="6">
        <v>63.67</v>
      </c>
    </row>
    <row r="8043" spans="1:2" x14ac:dyDescent="0.25">
      <c r="A8043" s="4">
        <v>43175</v>
      </c>
      <c r="B8043" s="6">
        <v>64.680000000000007</v>
      </c>
    </row>
    <row r="8044" spans="1:2" x14ac:dyDescent="0.25">
      <c r="A8044" s="4">
        <v>43178</v>
      </c>
      <c r="B8044" s="6">
        <v>64.819999999999993</v>
      </c>
    </row>
    <row r="8045" spans="1:2" x14ac:dyDescent="0.25">
      <c r="A8045" s="4">
        <v>43179</v>
      </c>
      <c r="B8045" s="6">
        <v>66</v>
      </c>
    </row>
    <row r="8046" spans="1:2" x14ac:dyDescent="0.25">
      <c r="A8046" s="4">
        <v>43180</v>
      </c>
      <c r="B8046" s="6">
        <v>68.150000000000006</v>
      </c>
    </row>
    <row r="8047" spans="1:2" x14ac:dyDescent="0.25">
      <c r="A8047" s="4">
        <v>43181</v>
      </c>
      <c r="B8047" s="6">
        <v>68.98</v>
      </c>
    </row>
    <row r="8048" spans="1:2" x14ac:dyDescent="0.25">
      <c r="A8048" s="4">
        <v>43182</v>
      </c>
      <c r="B8048" s="6">
        <v>69.03</v>
      </c>
    </row>
    <row r="8049" spans="1:2" x14ac:dyDescent="0.25">
      <c r="A8049" s="4">
        <v>43185</v>
      </c>
      <c r="B8049" s="6">
        <v>68.81</v>
      </c>
    </row>
    <row r="8050" spans="1:2" x14ac:dyDescent="0.25">
      <c r="A8050" s="4">
        <v>43186</v>
      </c>
      <c r="B8050" s="6">
        <v>68.63</v>
      </c>
    </row>
    <row r="8051" spans="1:2" x14ac:dyDescent="0.25">
      <c r="A8051" s="4">
        <v>43187</v>
      </c>
      <c r="B8051" s="6">
        <v>68.13</v>
      </c>
    </row>
    <row r="8052" spans="1:2" x14ac:dyDescent="0.25">
      <c r="A8052" s="4">
        <v>43188</v>
      </c>
      <c r="B8052" s="6">
        <v>69.02</v>
      </c>
    </row>
    <row r="8053" spans="1:2" x14ac:dyDescent="0.25">
      <c r="A8053" s="4">
        <v>43189</v>
      </c>
      <c r="B8053" s="5"/>
    </row>
    <row r="8054" spans="1:2" x14ac:dyDescent="0.25">
      <c r="A8054" s="4">
        <v>43192</v>
      </c>
      <c r="B8054" s="5"/>
    </row>
    <row r="8055" spans="1:2" x14ac:dyDescent="0.25">
      <c r="A8055" s="4">
        <v>43193</v>
      </c>
      <c r="B8055" s="6">
        <v>69.02</v>
      </c>
    </row>
    <row r="8056" spans="1:2" x14ac:dyDescent="0.25">
      <c r="A8056" s="4">
        <v>43194</v>
      </c>
      <c r="B8056" s="6">
        <v>66.040000000000006</v>
      </c>
    </row>
    <row r="8057" spans="1:2" x14ac:dyDescent="0.25">
      <c r="A8057" s="4">
        <v>43195</v>
      </c>
      <c r="B8057" s="6">
        <v>66.540000000000006</v>
      </c>
    </row>
    <row r="8058" spans="1:2" x14ac:dyDescent="0.25">
      <c r="A8058" s="4">
        <v>43196</v>
      </c>
      <c r="B8058" s="6">
        <v>66.510000000000005</v>
      </c>
    </row>
    <row r="8059" spans="1:2" x14ac:dyDescent="0.25">
      <c r="A8059" s="4">
        <v>43199</v>
      </c>
      <c r="B8059" s="6">
        <v>68.19</v>
      </c>
    </row>
    <row r="8060" spans="1:2" x14ac:dyDescent="0.25">
      <c r="A8060" s="4">
        <v>43200</v>
      </c>
      <c r="B8060" s="6">
        <v>70.67</v>
      </c>
    </row>
    <row r="8061" spans="1:2" x14ac:dyDescent="0.25">
      <c r="A8061" s="4">
        <v>43201</v>
      </c>
      <c r="B8061" s="6">
        <v>72.739999999999995</v>
      </c>
    </row>
    <row r="8062" spans="1:2" x14ac:dyDescent="0.25">
      <c r="A8062" s="4">
        <v>43202</v>
      </c>
      <c r="B8062" s="6">
        <v>71.44</v>
      </c>
    </row>
    <row r="8063" spans="1:2" x14ac:dyDescent="0.25">
      <c r="A8063" s="4">
        <v>43203</v>
      </c>
      <c r="B8063" s="6">
        <v>73.180000000000007</v>
      </c>
    </row>
    <row r="8064" spans="1:2" x14ac:dyDescent="0.25">
      <c r="A8064" s="4">
        <v>43206</v>
      </c>
      <c r="B8064" s="6">
        <v>72.05</v>
      </c>
    </row>
    <row r="8065" spans="1:2" x14ac:dyDescent="0.25">
      <c r="A8065" s="4">
        <v>43207</v>
      </c>
      <c r="B8065" s="6">
        <v>71.709999999999994</v>
      </c>
    </row>
    <row r="8066" spans="1:2" x14ac:dyDescent="0.25">
      <c r="A8066" s="4">
        <v>43208</v>
      </c>
      <c r="B8066" s="6">
        <v>73.73</v>
      </c>
    </row>
    <row r="8067" spans="1:2" x14ac:dyDescent="0.25">
      <c r="A8067" s="4">
        <v>43209</v>
      </c>
      <c r="B8067" s="6">
        <v>74.849999999999994</v>
      </c>
    </row>
    <row r="8068" spans="1:2" x14ac:dyDescent="0.25">
      <c r="A8068" s="4">
        <v>43210</v>
      </c>
      <c r="B8068" s="6">
        <v>74.62</v>
      </c>
    </row>
    <row r="8069" spans="1:2" x14ac:dyDescent="0.25">
      <c r="A8069" s="4">
        <v>43213</v>
      </c>
      <c r="B8069" s="6">
        <v>74.540000000000006</v>
      </c>
    </row>
    <row r="8070" spans="1:2" x14ac:dyDescent="0.25">
      <c r="A8070" s="4">
        <v>43214</v>
      </c>
      <c r="B8070" s="6">
        <v>75.86</v>
      </c>
    </row>
    <row r="8071" spans="1:2" x14ac:dyDescent="0.25">
      <c r="A8071" s="4">
        <v>43215</v>
      </c>
      <c r="B8071" s="6">
        <v>73.790000000000006</v>
      </c>
    </row>
    <row r="8072" spans="1:2" x14ac:dyDescent="0.25">
      <c r="A8072" s="4">
        <v>43216</v>
      </c>
      <c r="B8072" s="6">
        <v>75.39</v>
      </c>
    </row>
    <row r="8073" spans="1:2" x14ac:dyDescent="0.25">
      <c r="A8073" s="4">
        <v>43217</v>
      </c>
      <c r="B8073" s="6">
        <v>75.33</v>
      </c>
    </row>
    <row r="8074" spans="1:2" x14ac:dyDescent="0.25">
      <c r="A8074" s="4">
        <v>43220</v>
      </c>
      <c r="B8074" s="6">
        <v>75.92</v>
      </c>
    </row>
    <row r="8075" spans="1:2" x14ac:dyDescent="0.25">
      <c r="A8075" s="4">
        <v>43221</v>
      </c>
      <c r="B8075" s="6">
        <v>74.849999999999994</v>
      </c>
    </row>
    <row r="8076" spans="1:2" x14ac:dyDescent="0.25">
      <c r="A8076" s="4">
        <v>43222</v>
      </c>
      <c r="B8076" s="6">
        <v>73.14</v>
      </c>
    </row>
    <row r="8077" spans="1:2" x14ac:dyDescent="0.25">
      <c r="A8077" s="4">
        <v>43223</v>
      </c>
      <c r="B8077" s="6">
        <v>73.45</v>
      </c>
    </row>
    <row r="8078" spans="1:2" x14ac:dyDescent="0.25">
      <c r="A8078" s="4">
        <v>43224</v>
      </c>
      <c r="B8078" s="6">
        <v>74.75</v>
      </c>
    </row>
    <row r="8079" spans="1:2" x14ac:dyDescent="0.25">
      <c r="A8079" s="4">
        <v>43227</v>
      </c>
      <c r="B8079" s="5"/>
    </row>
    <row r="8080" spans="1:2" x14ac:dyDescent="0.25">
      <c r="A8080" s="4">
        <v>43228</v>
      </c>
      <c r="B8080" s="6">
        <v>74.16</v>
      </c>
    </row>
    <row r="8081" spans="1:2" x14ac:dyDescent="0.25">
      <c r="A8081" s="4">
        <v>43229</v>
      </c>
      <c r="B8081" s="6">
        <v>77.599999999999994</v>
      </c>
    </row>
    <row r="8082" spans="1:2" x14ac:dyDescent="0.25">
      <c r="A8082" s="4">
        <v>43230</v>
      </c>
      <c r="B8082" s="6">
        <v>77.59</v>
      </c>
    </row>
    <row r="8083" spans="1:2" x14ac:dyDescent="0.25">
      <c r="A8083" s="4">
        <v>43231</v>
      </c>
      <c r="B8083" s="6">
        <v>77.37</v>
      </c>
    </row>
    <row r="8084" spans="1:2" x14ac:dyDescent="0.25">
      <c r="A8084" s="4">
        <v>43234</v>
      </c>
      <c r="B8084" s="6">
        <v>78.17</v>
      </c>
    </row>
    <row r="8085" spans="1:2" x14ac:dyDescent="0.25">
      <c r="A8085" s="4">
        <v>43235</v>
      </c>
      <c r="B8085" s="6">
        <v>78.94</v>
      </c>
    </row>
    <row r="8086" spans="1:2" x14ac:dyDescent="0.25">
      <c r="A8086" s="4">
        <v>43236</v>
      </c>
      <c r="B8086" s="6">
        <v>78.19</v>
      </c>
    </row>
    <row r="8087" spans="1:2" x14ac:dyDescent="0.25">
      <c r="A8087" s="4">
        <v>43237</v>
      </c>
      <c r="B8087" s="6">
        <v>80.09</v>
      </c>
    </row>
    <row r="8088" spans="1:2" x14ac:dyDescent="0.25">
      <c r="A8088" s="4">
        <v>43238</v>
      </c>
      <c r="B8088" s="6">
        <v>78.38</v>
      </c>
    </row>
    <row r="8089" spans="1:2" x14ac:dyDescent="0.25">
      <c r="A8089" s="4">
        <v>43241</v>
      </c>
      <c r="B8089" s="6">
        <v>78.34</v>
      </c>
    </row>
    <row r="8090" spans="1:2" x14ac:dyDescent="0.25">
      <c r="A8090" s="4">
        <v>43242</v>
      </c>
      <c r="B8090" s="6">
        <v>80.42</v>
      </c>
    </row>
    <row r="8091" spans="1:2" x14ac:dyDescent="0.25">
      <c r="A8091" s="4">
        <v>43243</v>
      </c>
      <c r="B8091" s="6">
        <v>78.69</v>
      </c>
    </row>
    <row r="8092" spans="1:2" x14ac:dyDescent="0.25">
      <c r="A8092" s="4">
        <v>43244</v>
      </c>
      <c r="B8092" s="6">
        <v>78.900000000000006</v>
      </c>
    </row>
    <row r="8093" spans="1:2" x14ac:dyDescent="0.25">
      <c r="A8093" s="4">
        <v>43245</v>
      </c>
      <c r="B8093" s="6">
        <v>76.599999999999994</v>
      </c>
    </row>
    <row r="8094" spans="1:2" x14ac:dyDescent="0.25">
      <c r="A8094" s="4">
        <v>43248</v>
      </c>
      <c r="B8094" s="5"/>
    </row>
    <row r="8095" spans="1:2" x14ac:dyDescent="0.25">
      <c r="A8095" s="4">
        <v>43249</v>
      </c>
      <c r="B8095" s="6">
        <v>74.510000000000005</v>
      </c>
    </row>
    <row r="8096" spans="1:2" x14ac:dyDescent="0.25">
      <c r="A8096" s="4">
        <v>43250</v>
      </c>
      <c r="B8096" s="6">
        <v>75.89</v>
      </c>
    </row>
    <row r="8097" spans="1:2" x14ac:dyDescent="0.25">
      <c r="A8097" s="4">
        <v>43251</v>
      </c>
      <c r="B8097" s="6">
        <v>76.45</v>
      </c>
    </row>
    <row r="8098" spans="1:2" x14ac:dyDescent="0.25">
      <c r="A8098" s="4">
        <v>43252</v>
      </c>
      <c r="B8098" s="6">
        <v>74.540000000000006</v>
      </c>
    </row>
    <row r="8099" spans="1:2" x14ac:dyDescent="0.25">
      <c r="A8099" s="4">
        <v>43255</v>
      </c>
      <c r="B8099" s="6">
        <v>73.41</v>
      </c>
    </row>
    <row r="8100" spans="1:2" x14ac:dyDescent="0.25">
      <c r="A8100" s="4">
        <v>43256</v>
      </c>
      <c r="B8100" s="6">
        <v>72.91</v>
      </c>
    </row>
    <row r="8101" spans="1:2" x14ac:dyDescent="0.25">
      <c r="A8101" s="4">
        <v>43257</v>
      </c>
      <c r="B8101" s="6">
        <v>73.23</v>
      </c>
    </row>
    <row r="8102" spans="1:2" x14ac:dyDescent="0.25">
      <c r="A8102" s="4">
        <v>43258</v>
      </c>
      <c r="B8102" s="6">
        <v>75.23</v>
      </c>
    </row>
    <row r="8103" spans="1:2" x14ac:dyDescent="0.25">
      <c r="A8103" s="4">
        <v>43259</v>
      </c>
      <c r="B8103" s="6">
        <v>75.11</v>
      </c>
    </row>
    <row r="8104" spans="1:2" x14ac:dyDescent="0.25">
      <c r="A8104" s="4">
        <v>43262</v>
      </c>
      <c r="B8104" s="6">
        <v>74.58</v>
      </c>
    </row>
    <row r="8105" spans="1:2" x14ac:dyDescent="0.25">
      <c r="A8105" s="4">
        <v>43263</v>
      </c>
      <c r="B8105" s="6">
        <v>74.86</v>
      </c>
    </row>
    <row r="8106" spans="1:2" x14ac:dyDescent="0.25">
      <c r="A8106" s="4">
        <v>43264</v>
      </c>
      <c r="B8106" s="6">
        <v>75.069999999999993</v>
      </c>
    </row>
    <row r="8107" spans="1:2" x14ac:dyDescent="0.25">
      <c r="A8107" s="4">
        <v>43265</v>
      </c>
      <c r="B8107" s="6">
        <v>74.77</v>
      </c>
    </row>
    <row r="8108" spans="1:2" x14ac:dyDescent="0.25">
      <c r="A8108" s="4">
        <v>43266</v>
      </c>
      <c r="B8108" s="6">
        <v>72.02</v>
      </c>
    </row>
    <row r="8109" spans="1:2" x14ac:dyDescent="0.25">
      <c r="A8109" s="4">
        <v>43269</v>
      </c>
      <c r="B8109" s="6">
        <v>74.87</v>
      </c>
    </row>
    <row r="8110" spans="1:2" x14ac:dyDescent="0.25">
      <c r="A8110" s="4">
        <v>43270</v>
      </c>
      <c r="B8110" s="6">
        <v>74.92</v>
      </c>
    </row>
    <row r="8111" spans="1:2" x14ac:dyDescent="0.25">
      <c r="A8111" s="4">
        <v>43271</v>
      </c>
      <c r="B8111" s="6">
        <v>74.25</v>
      </c>
    </row>
    <row r="8112" spans="1:2" x14ac:dyDescent="0.25">
      <c r="A8112" s="4">
        <v>43272</v>
      </c>
      <c r="B8112" s="6">
        <v>72.87</v>
      </c>
    </row>
    <row r="8113" spans="1:2" x14ac:dyDescent="0.25">
      <c r="A8113" s="4">
        <v>43273</v>
      </c>
      <c r="B8113" s="6">
        <v>73.67</v>
      </c>
    </row>
    <row r="8114" spans="1:2" x14ac:dyDescent="0.25">
      <c r="A8114" s="4">
        <v>43276</v>
      </c>
      <c r="B8114" s="6">
        <v>72.819999999999993</v>
      </c>
    </row>
    <row r="8115" spans="1:2" x14ac:dyDescent="0.25">
      <c r="A8115" s="4">
        <v>43277</v>
      </c>
      <c r="B8115" s="6">
        <v>73.58</v>
      </c>
    </row>
    <row r="8116" spans="1:2" x14ac:dyDescent="0.25">
      <c r="A8116" s="4">
        <v>43278</v>
      </c>
      <c r="B8116" s="6">
        <v>76.09</v>
      </c>
    </row>
    <row r="8117" spans="1:2" x14ac:dyDescent="0.25">
      <c r="A8117" s="4">
        <v>43279</v>
      </c>
      <c r="B8117" s="6">
        <v>76.260000000000005</v>
      </c>
    </row>
    <row r="8118" spans="1:2" x14ac:dyDescent="0.25">
      <c r="A8118" s="4">
        <v>43280</v>
      </c>
      <c r="B8118" s="6">
        <v>77.44</v>
      </c>
    </row>
    <row r="8119" spans="1:2" x14ac:dyDescent="0.25">
      <c r="A8119" s="4">
        <v>43283</v>
      </c>
      <c r="B8119" s="6">
        <v>76.709999999999994</v>
      </c>
    </row>
    <row r="8120" spans="1:2" x14ac:dyDescent="0.25">
      <c r="A8120" s="4">
        <v>43284</v>
      </c>
      <c r="B8120" s="6">
        <v>75.87</v>
      </c>
    </row>
    <row r="8121" spans="1:2" x14ac:dyDescent="0.25">
      <c r="A8121" s="4">
        <v>43285</v>
      </c>
      <c r="B8121" s="6">
        <v>76.989999999999995</v>
      </c>
    </row>
    <row r="8122" spans="1:2" x14ac:dyDescent="0.25">
      <c r="A8122" s="4">
        <v>43286</v>
      </c>
      <c r="B8122" s="6">
        <v>77.09</v>
      </c>
    </row>
    <row r="8123" spans="1:2" x14ac:dyDescent="0.25">
      <c r="A8123" s="4">
        <v>43287</v>
      </c>
      <c r="B8123" s="6">
        <v>74.98</v>
      </c>
    </row>
    <row r="8124" spans="1:2" x14ac:dyDescent="0.25">
      <c r="A8124" s="4">
        <v>43290</v>
      </c>
      <c r="B8124" s="6">
        <v>77.08</v>
      </c>
    </row>
    <row r="8125" spans="1:2" x14ac:dyDescent="0.25">
      <c r="A8125" s="4">
        <v>43291</v>
      </c>
      <c r="B8125" s="6">
        <v>77.8</v>
      </c>
    </row>
    <row r="8126" spans="1:2" x14ac:dyDescent="0.25">
      <c r="A8126" s="4">
        <v>43292</v>
      </c>
      <c r="B8126" s="6">
        <v>75.349999999999994</v>
      </c>
    </row>
    <row r="8127" spans="1:2" x14ac:dyDescent="0.25">
      <c r="A8127" s="4">
        <v>43293</v>
      </c>
      <c r="B8127" s="6">
        <v>72.11</v>
      </c>
    </row>
    <row r="8128" spans="1:2" x14ac:dyDescent="0.25">
      <c r="A8128" s="4">
        <v>43294</v>
      </c>
      <c r="B8128" s="6">
        <v>74.11</v>
      </c>
    </row>
    <row r="8129" spans="1:2" x14ac:dyDescent="0.25">
      <c r="A8129" s="4">
        <v>43297</v>
      </c>
      <c r="B8129" s="6">
        <v>71.03</v>
      </c>
    </row>
    <row r="8130" spans="1:2" x14ac:dyDescent="0.25">
      <c r="A8130" s="4">
        <v>43298</v>
      </c>
      <c r="B8130" s="6">
        <v>70.87</v>
      </c>
    </row>
    <row r="8131" spans="1:2" x14ac:dyDescent="0.25">
      <c r="A8131" s="4">
        <v>43299</v>
      </c>
      <c r="B8131" s="6">
        <v>70.52</v>
      </c>
    </row>
    <row r="8132" spans="1:2" x14ac:dyDescent="0.25">
      <c r="A8132" s="4">
        <v>43300</v>
      </c>
      <c r="B8132" s="6">
        <v>71.94</v>
      </c>
    </row>
    <row r="8133" spans="1:2" x14ac:dyDescent="0.25">
      <c r="A8133" s="4">
        <v>43301</v>
      </c>
      <c r="B8133" s="6">
        <v>71.989999999999995</v>
      </c>
    </row>
    <row r="8134" spans="1:2" x14ac:dyDescent="0.25">
      <c r="A8134" s="4">
        <v>43304</v>
      </c>
      <c r="B8134" s="6">
        <v>73.45</v>
      </c>
    </row>
    <row r="8135" spans="1:2" x14ac:dyDescent="0.25">
      <c r="A8135" s="4">
        <v>43305</v>
      </c>
      <c r="B8135" s="6">
        <v>73.53</v>
      </c>
    </row>
    <row r="8136" spans="1:2" x14ac:dyDescent="0.25">
      <c r="A8136" s="4">
        <v>43306</v>
      </c>
      <c r="B8136" s="6">
        <v>73.67</v>
      </c>
    </row>
    <row r="8137" spans="1:2" x14ac:dyDescent="0.25">
      <c r="A8137" s="4">
        <v>43307</v>
      </c>
      <c r="B8137" s="6">
        <v>74.510000000000005</v>
      </c>
    </row>
    <row r="8138" spans="1:2" x14ac:dyDescent="0.25">
      <c r="A8138" s="4">
        <v>43308</v>
      </c>
      <c r="B8138" s="6">
        <v>74.84</v>
      </c>
    </row>
    <row r="8139" spans="1:2" x14ac:dyDescent="0.25">
      <c r="A8139" s="4">
        <v>43311</v>
      </c>
      <c r="B8139" s="6">
        <v>74.989999999999995</v>
      </c>
    </row>
    <row r="8140" spans="1:2" x14ac:dyDescent="0.25">
      <c r="A8140" s="4">
        <v>43312</v>
      </c>
      <c r="B8140" s="6">
        <v>74.16</v>
      </c>
    </row>
    <row r="8141" spans="1:2" x14ac:dyDescent="0.25">
      <c r="A8141" s="4">
        <v>43313</v>
      </c>
      <c r="B8141" s="6">
        <v>72.28</v>
      </c>
    </row>
    <row r="8142" spans="1:2" x14ac:dyDescent="0.25">
      <c r="A8142" s="4">
        <v>43314</v>
      </c>
      <c r="B8142" s="6">
        <v>72.95</v>
      </c>
    </row>
    <row r="8143" spans="1:2" x14ac:dyDescent="0.25">
      <c r="A8143" s="4">
        <v>43315</v>
      </c>
      <c r="B8143" s="6">
        <v>72.48</v>
      </c>
    </row>
    <row r="8144" spans="1:2" x14ac:dyDescent="0.25">
      <c r="A8144" s="4">
        <v>43318</v>
      </c>
      <c r="B8144" s="6">
        <v>72.510000000000005</v>
      </c>
    </row>
    <row r="8145" spans="1:2" x14ac:dyDescent="0.25">
      <c r="A8145" s="4">
        <v>43319</v>
      </c>
      <c r="B8145" s="6">
        <v>72.31</v>
      </c>
    </row>
    <row r="8146" spans="1:2" x14ac:dyDescent="0.25">
      <c r="A8146" s="4">
        <v>43320</v>
      </c>
      <c r="B8146" s="6">
        <v>70.709999999999994</v>
      </c>
    </row>
    <row r="8147" spans="1:2" x14ac:dyDescent="0.25">
      <c r="A8147" s="4">
        <v>43321</v>
      </c>
      <c r="B8147" s="6">
        <v>70.55</v>
      </c>
    </row>
    <row r="8148" spans="1:2" x14ac:dyDescent="0.25">
      <c r="A8148" s="4">
        <v>43322</v>
      </c>
      <c r="B8148" s="6">
        <v>71</v>
      </c>
    </row>
    <row r="8149" spans="1:2" x14ac:dyDescent="0.25">
      <c r="A8149" s="4">
        <v>43325</v>
      </c>
      <c r="B8149" s="6">
        <v>70.62</v>
      </c>
    </row>
    <row r="8150" spans="1:2" x14ac:dyDescent="0.25">
      <c r="A8150" s="4">
        <v>43326</v>
      </c>
      <c r="B8150" s="6">
        <v>70.77</v>
      </c>
    </row>
    <row r="8151" spans="1:2" x14ac:dyDescent="0.25">
      <c r="A8151" s="4">
        <v>43327</v>
      </c>
      <c r="B8151" s="6">
        <v>68.38</v>
      </c>
    </row>
    <row r="8152" spans="1:2" x14ac:dyDescent="0.25">
      <c r="A8152" s="4">
        <v>43328</v>
      </c>
      <c r="B8152" s="6">
        <v>69.209999999999994</v>
      </c>
    </row>
    <row r="8153" spans="1:2" x14ac:dyDescent="0.25">
      <c r="A8153" s="4">
        <v>43329</v>
      </c>
      <c r="B8153" s="6">
        <v>70.14</v>
      </c>
    </row>
    <row r="8154" spans="1:2" x14ac:dyDescent="0.25">
      <c r="A8154" s="4">
        <v>43332</v>
      </c>
      <c r="B8154" s="6">
        <v>71.11</v>
      </c>
    </row>
    <row r="8155" spans="1:2" x14ac:dyDescent="0.25">
      <c r="A8155" s="4">
        <v>43333</v>
      </c>
      <c r="B8155" s="6">
        <v>71.650000000000006</v>
      </c>
    </row>
    <row r="8156" spans="1:2" x14ac:dyDescent="0.25">
      <c r="A8156" s="4">
        <v>43334</v>
      </c>
      <c r="B8156" s="6">
        <v>72.959999999999994</v>
      </c>
    </row>
    <row r="8157" spans="1:2" x14ac:dyDescent="0.25">
      <c r="A8157" s="4">
        <v>43335</v>
      </c>
      <c r="B8157" s="6">
        <v>73.73</v>
      </c>
    </row>
    <row r="8158" spans="1:2" x14ac:dyDescent="0.25">
      <c r="A8158" s="4">
        <v>43336</v>
      </c>
      <c r="B8158" s="6">
        <v>74.41</v>
      </c>
    </row>
    <row r="8159" spans="1:2" x14ac:dyDescent="0.25">
      <c r="A8159" s="4">
        <v>43339</v>
      </c>
      <c r="B8159" s="6">
        <v>74.41</v>
      </c>
    </row>
    <row r="8160" spans="1:2" x14ac:dyDescent="0.25">
      <c r="A8160" s="4">
        <v>43340</v>
      </c>
      <c r="B8160" s="6">
        <v>75.91</v>
      </c>
    </row>
    <row r="8161" spans="1:2" x14ac:dyDescent="0.25">
      <c r="A8161" s="4">
        <v>43341</v>
      </c>
      <c r="B8161" s="6">
        <v>76.069999999999993</v>
      </c>
    </row>
    <row r="8162" spans="1:2" x14ac:dyDescent="0.25">
      <c r="A8162" s="4">
        <v>43342</v>
      </c>
      <c r="B8162" s="6">
        <v>77.05</v>
      </c>
    </row>
    <row r="8163" spans="1:2" x14ac:dyDescent="0.25">
      <c r="A8163" s="4">
        <v>43343</v>
      </c>
      <c r="B8163" s="6">
        <v>76.94</v>
      </c>
    </row>
    <row r="8164" spans="1:2" x14ac:dyDescent="0.25">
      <c r="A8164" s="4">
        <v>43346</v>
      </c>
      <c r="B8164" s="6">
        <v>77.81</v>
      </c>
    </row>
    <row r="8165" spans="1:2" x14ac:dyDescent="0.25">
      <c r="A8165" s="4">
        <v>43347</v>
      </c>
      <c r="B8165" s="6">
        <v>77.510000000000005</v>
      </c>
    </row>
    <row r="8166" spans="1:2" x14ac:dyDescent="0.25">
      <c r="A8166" s="4">
        <v>43348</v>
      </c>
      <c r="B8166" s="6">
        <v>76.680000000000007</v>
      </c>
    </row>
    <row r="8167" spans="1:2" x14ac:dyDescent="0.25">
      <c r="A8167" s="4">
        <v>43349</v>
      </c>
      <c r="B8167" s="6">
        <v>75.67</v>
      </c>
    </row>
    <row r="8168" spans="1:2" x14ac:dyDescent="0.25">
      <c r="A8168" s="4">
        <v>43350</v>
      </c>
      <c r="B8168" s="6">
        <v>75.55</v>
      </c>
    </row>
    <row r="8169" spans="1:2" x14ac:dyDescent="0.25">
      <c r="A8169" s="4">
        <v>43353</v>
      </c>
      <c r="B8169" s="6">
        <v>76.77</v>
      </c>
    </row>
    <row r="8170" spans="1:2" x14ac:dyDescent="0.25">
      <c r="A8170" s="4">
        <v>43354</v>
      </c>
      <c r="B8170" s="6">
        <v>78.22</v>
      </c>
    </row>
    <row r="8171" spans="1:2" x14ac:dyDescent="0.25">
      <c r="A8171" s="4">
        <v>43355</v>
      </c>
      <c r="B8171" s="6">
        <v>80.02</v>
      </c>
    </row>
    <row r="8172" spans="1:2" x14ac:dyDescent="0.25">
      <c r="A8172" s="4">
        <v>43356</v>
      </c>
      <c r="B8172" s="6">
        <v>77.66</v>
      </c>
    </row>
    <row r="8173" spans="1:2" x14ac:dyDescent="0.25">
      <c r="A8173" s="4">
        <v>43357</v>
      </c>
      <c r="B8173" s="6">
        <v>77.87</v>
      </c>
    </row>
    <row r="8174" spans="1:2" x14ac:dyDescent="0.25">
      <c r="A8174" s="4">
        <v>43360</v>
      </c>
      <c r="B8174" s="6">
        <v>78.22</v>
      </c>
    </row>
    <row r="8175" spans="1:2" x14ac:dyDescent="0.25">
      <c r="A8175" s="4">
        <v>43361</v>
      </c>
      <c r="B8175" s="6">
        <v>79.25</v>
      </c>
    </row>
    <row r="8176" spans="1:2" x14ac:dyDescent="0.25">
      <c r="A8176" s="4">
        <v>43362</v>
      </c>
      <c r="B8176" s="6">
        <v>79.430000000000007</v>
      </c>
    </row>
    <row r="8177" spans="1:2" x14ac:dyDescent="0.25">
      <c r="A8177" s="4">
        <v>43363</v>
      </c>
      <c r="B8177" s="6">
        <v>79.03</v>
      </c>
    </row>
    <row r="8178" spans="1:2" x14ac:dyDescent="0.25">
      <c r="A8178" s="4">
        <v>43364</v>
      </c>
      <c r="B8178" s="6">
        <v>78.900000000000006</v>
      </c>
    </row>
    <row r="8179" spans="1:2" x14ac:dyDescent="0.25">
      <c r="A8179" s="4">
        <v>43367</v>
      </c>
      <c r="B8179" s="6">
        <v>80.89</v>
      </c>
    </row>
    <row r="8180" spans="1:2" x14ac:dyDescent="0.25">
      <c r="A8180" s="4">
        <v>43368</v>
      </c>
      <c r="B8180" s="6">
        <v>82.21</v>
      </c>
    </row>
    <row r="8181" spans="1:2" x14ac:dyDescent="0.25">
      <c r="A8181" s="4">
        <v>43369</v>
      </c>
      <c r="B8181" s="6">
        <v>81.87</v>
      </c>
    </row>
    <row r="8182" spans="1:2" x14ac:dyDescent="0.25">
      <c r="A8182" s="4">
        <v>43370</v>
      </c>
      <c r="B8182" s="6">
        <v>81.540000000000006</v>
      </c>
    </row>
    <row r="8183" spans="1:2" x14ac:dyDescent="0.25">
      <c r="A8183" s="4">
        <v>43371</v>
      </c>
      <c r="B8183" s="6">
        <v>82.72</v>
      </c>
    </row>
    <row r="8184" spans="1:2" x14ac:dyDescent="0.25">
      <c r="A8184" s="4">
        <v>43374</v>
      </c>
      <c r="B8184" s="6">
        <v>84.94</v>
      </c>
    </row>
    <row r="8185" spans="1:2" x14ac:dyDescent="0.25">
      <c r="A8185" s="4">
        <v>43375</v>
      </c>
      <c r="B8185" s="6">
        <v>85.63</v>
      </c>
    </row>
    <row r="8186" spans="1:2" x14ac:dyDescent="0.25">
      <c r="A8186" s="4">
        <v>43376</v>
      </c>
      <c r="B8186" s="6">
        <v>85.45</v>
      </c>
    </row>
    <row r="8187" spans="1:2" x14ac:dyDescent="0.25">
      <c r="A8187" s="4">
        <v>43377</v>
      </c>
      <c r="B8187" s="6">
        <v>86.07</v>
      </c>
    </row>
    <row r="8188" spans="1:2" x14ac:dyDescent="0.25">
      <c r="A8188" s="4">
        <v>43378</v>
      </c>
      <c r="B8188" s="6">
        <v>85.12</v>
      </c>
    </row>
    <row r="8189" spans="1:2" x14ac:dyDescent="0.25">
      <c r="A8189" s="4">
        <v>43381</v>
      </c>
      <c r="B8189" s="6">
        <v>84.22</v>
      </c>
    </row>
    <row r="8190" spans="1:2" x14ac:dyDescent="0.25">
      <c r="A8190" s="4">
        <v>43382</v>
      </c>
      <c r="B8190" s="6">
        <v>85.16</v>
      </c>
    </row>
    <row r="8191" spans="1:2" x14ac:dyDescent="0.25">
      <c r="A8191" s="4">
        <v>43383</v>
      </c>
      <c r="B8191" s="6">
        <v>83.82</v>
      </c>
    </row>
    <row r="8192" spans="1:2" x14ac:dyDescent="0.25">
      <c r="A8192" s="4">
        <v>43384</v>
      </c>
      <c r="B8192" s="6">
        <v>81.349999999999994</v>
      </c>
    </row>
    <row r="8193" spans="1:2" x14ac:dyDescent="0.25">
      <c r="A8193" s="4">
        <v>43385</v>
      </c>
      <c r="B8193" s="6">
        <v>80.709999999999994</v>
      </c>
    </row>
    <row r="8194" spans="1:2" x14ac:dyDescent="0.25">
      <c r="A8194" s="4">
        <v>43388</v>
      </c>
      <c r="B8194" s="6">
        <v>80.91</v>
      </c>
    </row>
    <row r="8195" spans="1:2" x14ac:dyDescent="0.25">
      <c r="A8195" s="4">
        <v>43389</v>
      </c>
      <c r="B8195" s="6">
        <v>80.53</v>
      </c>
    </row>
    <row r="8196" spans="1:2" x14ac:dyDescent="0.25">
      <c r="A8196" s="4">
        <v>43390</v>
      </c>
      <c r="B8196" s="6">
        <v>79.91</v>
      </c>
    </row>
    <row r="8197" spans="1:2" x14ac:dyDescent="0.25">
      <c r="A8197" s="4">
        <v>43391</v>
      </c>
      <c r="B8197" s="6">
        <v>80.3</v>
      </c>
    </row>
    <row r="8198" spans="1:2" x14ac:dyDescent="0.25">
      <c r="A8198" s="4">
        <v>43392</v>
      </c>
      <c r="B8198" s="6">
        <v>80.38</v>
      </c>
    </row>
    <row r="8199" spans="1:2" x14ac:dyDescent="0.25">
      <c r="A8199" s="4">
        <v>43395</v>
      </c>
      <c r="B8199" s="6">
        <v>80.45</v>
      </c>
    </row>
    <row r="8200" spans="1:2" x14ac:dyDescent="0.25">
      <c r="A8200" s="4">
        <v>43396</v>
      </c>
      <c r="B8200" s="6">
        <v>78.67</v>
      </c>
    </row>
    <row r="8201" spans="1:2" x14ac:dyDescent="0.25">
      <c r="A8201" s="4">
        <v>43397</v>
      </c>
      <c r="B8201" s="6">
        <v>77.34</v>
      </c>
    </row>
    <row r="8202" spans="1:2" x14ac:dyDescent="0.25">
      <c r="A8202" s="4">
        <v>43398</v>
      </c>
      <c r="B8202" s="6">
        <v>77.3</v>
      </c>
    </row>
    <row r="8203" spans="1:2" x14ac:dyDescent="0.25">
      <c r="A8203" s="4">
        <v>43399</v>
      </c>
      <c r="B8203" s="6">
        <v>77.400000000000006</v>
      </c>
    </row>
    <row r="8204" spans="1:2" x14ac:dyDescent="0.25">
      <c r="A8204" s="4">
        <v>43402</v>
      </c>
      <c r="B8204" s="6">
        <v>77.56</v>
      </c>
    </row>
    <row r="8205" spans="1:2" x14ac:dyDescent="0.25">
      <c r="A8205" s="4">
        <v>43403</v>
      </c>
      <c r="B8205" s="6">
        <v>75.680000000000007</v>
      </c>
    </row>
    <row r="8206" spans="1:2" x14ac:dyDescent="0.25">
      <c r="A8206" s="4">
        <v>43404</v>
      </c>
      <c r="B8206" s="6">
        <v>74.84</v>
      </c>
    </row>
    <row r="8207" spans="1:2" x14ac:dyDescent="0.25">
      <c r="A8207" s="4">
        <v>43405</v>
      </c>
      <c r="B8207" s="6">
        <v>71.25</v>
      </c>
    </row>
    <row r="8208" spans="1:2" x14ac:dyDescent="0.25">
      <c r="A8208" s="4">
        <v>43406</v>
      </c>
      <c r="B8208" s="6">
        <v>71.11</v>
      </c>
    </row>
    <row r="8209" spans="1:2" x14ac:dyDescent="0.25">
      <c r="A8209" s="4">
        <v>43409</v>
      </c>
      <c r="B8209" s="6">
        <v>72.680000000000007</v>
      </c>
    </row>
    <row r="8210" spans="1:2" x14ac:dyDescent="0.25">
      <c r="A8210" s="4">
        <v>43410</v>
      </c>
      <c r="B8210" s="6">
        <v>70.64</v>
      </c>
    </row>
    <row r="8211" spans="1:2" x14ac:dyDescent="0.25">
      <c r="A8211" s="4">
        <v>43411</v>
      </c>
      <c r="B8211" s="6">
        <v>70.099999999999994</v>
      </c>
    </row>
    <row r="8212" spans="1:2" x14ac:dyDescent="0.25">
      <c r="A8212" s="4">
        <v>43412</v>
      </c>
      <c r="B8212" s="6">
        <v>69.290000000000006</v>
      </c>
    </row>
    <row r="8213" spans="1:2" x14ac:dyDescent="0.25">
      <c r="A8213" s="4">
        <v>43413</v>
      </c>
      <c r="B8213" s="6">
        <v>69.010000000000005</v>
      </c>
    </row>
    <row r="8214" spans="1:2" x14ac:dyDescent="0.25">
      <c r="A8214" s="4">
        <v>43416</v>
      </c>
      <c r="B8214" s="6">
        <v>69.81</v>
      </c>
    </row>
    <row r="8215" spans="1:2" x14ac:dyDescent="0.25">
      <c r="A8215" s="4">
        <v>43417</v>
      </c>
      <c r="B8215" s="6">
        <v>65.45</v>
      </c>
    </row>
    <row r="8216" spans="1:2" x14ac:dyDescent="0.25">
      <c r="A8216" s="4">
        <v>43418</v>
      </c>
      <c r="B8216" s="6">
        <v>64.88</v>
      </c>
    </row>
    <row r="8217" spans="1:2" x14ac:dyDescent="0.25">
      <c r="A8217" s="4">
        <v>43419</v>
      </c>
      <c r="B8217" s="6">
        <v>65.61</v>
      </c>
    </row>
    <row r="8218" spans="1:2" x14ac:dyDescent="0.25">
      <c r="A8218" s="4">
        <v>43420</v>
      </c>
      <c r="B8218" s="6">
        <v>65.290000000000006</v>
      </c>
    </row>
    <row r="8219" spans="1:2" x14ac:dyDescent="0.25">
      <c r="A8219" s="4">
        <v>43423</v>
      </c>
      <c r="B8219" s="6">
        <v>64.14</v>
      </c>
    </row>
    <row r="8220" spans="1:2" x14ac:dyDescent="0.25">
      <c r="A8220" s="4">
        <v>43424</v>
      </c>
      <c r="B8220" s="6">
        <v>61.5</v>
      </c>
    </row>
    <row r="8221" spans="1:2" x14ac:dyDescent="0.25">
      <c r="A8221" s="4">
        <v>43425</v>
      </c>
      <c r="B8221" s="6">
        <v>61.65</v>
      </c>
    </row>
    <row r="8222" spans="1:2" x14ac:dyDescent="0.25">
      <c r="A8222" s="4">
        <v>43426</v>
      </c>
      <c r="B8222" s="6">
        <v>61.11</v>
      </c>
    </row>
    <row r="8223" spans="1:2" x14ac:dyDescent="0.25">
      <c r="A8223" s="4">
        <v>43427</v>
      </c>
      <c r="B8223" s="6">
        <v>57.69</v>
      </c>
    </row>
    <row r="8224" spans="1:2" x14ac:dyDescent="0.25">
      <c r="A8224" s="4">
        <v>43430</v>
      </c>
      <c r="B8224" s="6">
        <v>59.7</v>
      </c>
    </row>
    <row r="8225" spans="1:2" x14ac:dyDescent="0.25">
      <c r="A8225" s="4">
        <v>43431</v>
      </c>
      <c r="B8225" s="6">
        <v>59.58</v>
      </c>
    </row>
    <row r="8226" spans="1:2" x14ac:dyDescent="0.25">
      <c r="A8226" s="4">
        <v>43432</v>
      </c>
      <c r="B8226" s="6">
        <v>57.97</v>
      </c>
    </row>
    <row r="8227" spans="1:2" x14ac:dyDescent="0.25">
      <c r="A8227" s="4">
        <v>43433</v>
      </c>
      <c r="B8227" s="6">
        <v>58.29</v>
      </c>
    </row>
    <row r="8228" spans="1:2" x14ac:dyDescent="0.25">
      <c r="A8228" s="4">
        <v>43434</v>
      </c>
      <c r="B8228" s="6">
        <v>57.71</v>
      </c>
    </row>
    <row r="8229" spans="1:2" x14ac:dyDescent="0.25">
      <c r="A8229" s="4">
        <v>43437</v>
      </c>
      <c r="B8229" s="6">
        <v>60.17</v>
      </c>
    </row>
    <row r="8230" spans="1:2" x14ac:dyDescent="0.25">
      <c r="A8230" s="4">
        <v>43438</v>
      </c>
      <c r="B8230" s="6">
        <v>61.22</v>
      </c>
    </row>
    <row r="8231" spans="1:2" x14ac:dyDescent="0.25">
      <c r="A8231" s="4">
        <v>43439</v>
      </c>
      <c r="B8231" s="6">
        <v>61.4</v>
      </c>
    </row>
    <row r="8232" spans="1:2" x14ac:dyDescent="0.25">
      <c r="A8232" s="4">
        <v>43440</v>
      </c>
      <c r="B8232" s="6">
        <v>57.83</v>
      </c>
    </row>
    <row r="8233" spans="1:2" x14ac:dyDescent="0.25">
      <c r="A8233" s="4">
        <v>43441</v>
      </c>
      <c r="B8233" s="6">
        <v>61.71</v>
      </c>
    </row>
    <row r="8234" spans="1:2" x14ac:dyDescent="0.25">
      <c r="A8234" s="4">
        <v>43444</v>
      </c>
      <c r="B8234" s="6">
        <v>60.29</v>
      </c>
    </row>
    <row r="8235" spans="1:2" x14ac:dyDescent="0.25">
      <c r="A8235" s="4">
        <v>43445</v>
      </c>
      <c r="B8235" s="6">
        <v>59.73</v>
      </c>
    </row>
    <row r="8236" spans="1:2" x14ac:dyDescent="0.25">
      <c r="A8236" s="4">
        <v>43446</v>
      </c>
      <c r="B8236" s="6">
        <v>59.94</v>
      </c>
    </row>
    <row r="8237" spans="1:2" x14ac:dyDescent="0.25">
      <c r="A8237" s="4">
        <v>43447</v>
      </c>
      <c r="B8237" s="6">
        <v>59.03</v>
      </c>
    </row>
    <row r="8238" spans="1:2" x14ac:dyDescent="0.25">
      <c r="A8238" s="4">
        <v>43448</v>
      </c>
      <c r="B8238" s="6">
        <v>58.56</v>
      </c>
    </row>
    <row r="8239" spans="1:2" x14ac:dyDescent="0.25">
      <c r="A8239" s="4">
        <v>43451</v>
      </c>
      <c r="B8239" s="6">
        <v>57.59</v>
      </c>
    </row>
    <row r="8240" spans="1:2" x14ac:dyDescent="0.25">
      <c r="A8240" s="4">
        <v>43452</v>
      </c>
      <c r="B8240" s="6">
        <v>55.26</v>
      </c>
    </row>
    <row r="8241" spans="1:2" x14ac:dyDescent="0.25">
      <c r="A8241" s="4">
        <v>43453</v>
      </c>
      <c r="B8241" s="6">
        <v>55.6</v>
      </c>
    </row>
    <row r="8242" spans="1:2" x14ac:dyDescent="0.25">
      <c r="A8242" s="4">
        <v>43454</v>
      </c>
      <c r="B8242" s="6">
        <v>52.84</v>
      </c>
    </row>
    <row r="8243" spans="1:2" x14ac:dyDescent="0.25">
      <c r="A8243" s="4">
        <v>43455</v>
      </c>
      <c r="B8243" s="6">
        <v>51.93</v>
      </c>
    </row>
    <row r="8244" spans="1:2" x14ac:dyDescent="0.25">
      <c r="A8244" s="4">
        <v>43458</v>
      </c>
      <c r="B8244" s="5"/>
    </row>
    <row r="8245" spans="1:2" x14ac:dyDescent="0.25">
      <c r="A8245" s="4">
        <v>43459</v>
      </c>
      <c r="B8245" s="5"/>
    </row>
    <row r="8246" spans="1:2" x14ac:dyDescent="0.25">
      <c r="A8246" s="4">
        <v>43460</v>
      </c>
      <c r="B8246" s="5"/>
    </row>
    <row r="8247" spans="1:2" x14ac:dyDescent="0.25">
      <c r="A8247" s="4">
        <v>43461</v>
      </c>
      <c r="B8247" s="6">
        <v>51.49</v>
      </c>
    </row>
    <row r="8248" spans="1:2" x14ac:dyDescent="0.25">
      <c r="A8248" s="4">
        <v>43462</v>
      </c>
      <c r="B8248" s="6">
        <v>50.57</v>
      </c>
    </row>
    <row r="8249" spans="1:2" x14ac:dyDescent="0.25">
      <c r="A8249" s="4">
        <v>43465</v>
      </c>
      <c r="B8249" s="5"/>
    </row>
    <row r="8250" spans="1:2" x14ac:dyDescent="0.25">
      <c r="A8250" s="4">
        <v>43466</v>
      </c>
      <c r="B8250" s="5"/>
    </row>
    <row r="8251" spans="1:2" x14ac:dyDescent="0.25">
      <c r="A8251" s="4">
        <v>43467</v>
      </c>
      <c r="B8251" s="6">
        <v>54.06</v>
      </c>
    </row>
    <row r="8252" spans="1:2" x14ac:dyDescent="0.25">
      <c r="A8252" s="4">
        <v>43468</v>
      </c>
      <c r="B8252" s="6">
        <v>53.23</v>
      </c>
    </row>
    <row r="8253" spans="1:2" x14ac:dyDescent="0.25">
      <c r="A8253" s="4">
        <v>43469</v>
      </c>
      <c r="B8253" s="6">
        <v>55.64</v>
      </c>
    </row>
    <row r="8254" spans="1:2" x14ac:dyDescent="0.25">
      <c r="A8254" s="4">
        <v>43472</v>
      </c>
      <c r="B8254" s="6">
        <v>57.1</v>
      </c>
    </row>
    <row r="8255" spans="1:2" x14ac:dyDescent="0.25">
      <c r="A8255" s="4">
        <v>43473</v>
      </c>
      <c r="B8255" s="6">
        <v>56.91</v>
      </c>
    </row>
    <row r="8256" spans="1:2" x14ac:dyDescent="0.25">
      <c r="A8256" s="4">
        <v>43474</v>
      </c>
      <c r="B8256" s="6">
        <v>59.46</v>
      </c>
    </row>
    <row r="8257" spans="1:2" x14ac:dyDescent="0.25">
      <c r="A8257" s="4">
        <v>43475</v>
      </c>
      <c r="B8257" s="6">
        <v>60.47</v>
      </c>
    </row>
    <row r="8258" spans="1:2" x14ac:dyDescent="0.25">
      <c r="A8258" s="4">
        <v>43476</v>
      </c>
      <c r="B8258" s="6">
        <v>59.24</v>
      </c>
    </row>
    <row r="8259" spans="1:2" x14ac:dyDescent="0.25">
      <c r="A8259" s="4">
        <v>43479</v>
      </c>
      <c r="B8259" s="6">
        <v>58.8</v>
      </c>
    </row>
    <row r="8260" spans="1:2" x14ac:dyDescent="0.25">
      <c r="A8260" s="4">
        <v>43480</v>
      </c>
      <c r="B8260" s="6">
        <v>58.65</v>
      </c>
    </row>
    <row r="8261" spans="1:2" x14ac:dyDescent="0.25">
      <c r="A8261" s="4">
        <v>43481</v>
      </c>
      <c r="B8261" s="6">
        <v>59.81</v>
      </c>
    </row>
    <row r="8262" spans="1:2" x14ac:dyDescent="0.25">
      <c r="A8262" s="4">
        <v>43482</v>
      </c>
      <c r="B8262" s="6">
        <v>59.85</v>
      </c>
    </row>
    <row r="8263" spans="1:2" x14ac:dyDescent="0.25">
      <c r="A8263" s="4">
        <v>43483</v>
      </c>
      <c r="B8263" s="6">
        <v>62.04</v>
      </c>
    </row>
    <row r="8264" spans="1:2" x14ac:dyDescent="0.25">
      <c r="A8264" s="4">
        <v>43486</v>
      </c>
      <c r="B8264" s="6">
        <v>62.18</v>
      </c>
    </row>
    <row r="8265" spans="1:2" x14ac:dyDescent="0.25">
      <c r="A8265" s="4">
        <v>43487</v>
      </c>
      <c r="B8265" s="6">
        <v>60.9</v>
      </c>
    </row>
    <row r="8266" spans="1:2" x14ac:dyDescent="0.25">
      <c r="A8266" s="4">
        <v>43488</v>
      </c>
      <c r="B8266" s="6">
        <v>61.05</v>
      </c>
    </row>
    <row r="8267" spans="1:2" x14ac:dyDescent="0.25">
      <c r="A8267" s="4">
        <v>43489</v>
      </c>
      <c r="B8267" s="6">
        <v>61.09</v>
      </c>
    </row>
    <row r="8268" spans="1:2" x14ac:dyDescent="0.25">
      <c r="A8268" s="4">
        <v>43490</v>
      </c>
      <c r="B8268" s="6">
        <v>61.49</v>
      </c>
    </row>
    <row r="8269" spans="1:2" x14ac:dyDescent="0.25">
      <c r="A8269" s="4">
        <v>43493</v>
      </c>
      <c r="B8269" s="6">
        <v>59.71</v>
      </c>
    </row>
    <row r="8270" spans="1:2" x14ac:dyDescent="0.25">
      <c r="A8270" s="4">
        <v>43494</v>
      </c>
      <c r="B8270" s="6">
        <v>60.98</v>
      </c>
    </row>
    <row r="8271" spans="1:2" x14ac:dyDescent="0.25">
      <c r="A8271" s="4">
        <v>43495</v>
      </c>
      <c r="B8271" s="6">
        <v>61.89</v>
      </c>
    </row>
    <row r="8272" spans="1:2" x14ac:dyDescent="0.25">
      <c r="A8272" s="4">
        <v>43496</v>
      </c>
      <c r="B8272" s="6">
        <v>62.46</v>
      </c>
    </row>
    <row r="8273" spans="1:2" x14ac:dyDescent="0.25">
      <c r="A8273" s="4">
        <v>43497</v>
      </c>
      <c r="B8273" s="6">
        <v>61.86</v>
      </c>
    </row>
    <row r="8274" spans="1:2" x14ac:dyDescent="0.25">
      <c r="A8274" s="4">
        <v>43500</v>
      </c>
      <c r="B8274" s="6">
        <v>62.26</v>
      </c>
    </row>
    <row r="8275" spans="1:2" x14ac:dyDescent="0.25">
      <c r="A8275" s="4">
        <v>43501</v>
      </c>
      <c r="B8275" s="6">
        <v>61.67</v>
      </c>
    </row>
    <row r="8276" spans="1:2" x14ac:dyDescent="0.25">
      <c r="A8276" s="4">
        <v>43502</v>
      </c>
      <c r="B8276" s="6">
        <v>62.22</v>
      </c>
    </row>
    <row r="8277" spans="1:2" x14ac:dyDescent="0.25">
      <c r="A8277" s="4">
        <v>43503</v>
      </c>
      <c r="B8277" s="6">
        <v>61.01</v>
      </c>
    </row>
    <row r="8278" spans="1:2" x14ac:dyDescent="0.25">
      <c r="A8278" s="4">
        <v>43504</v>
      </c>
      <c r="B8278" s="6">
        <v>61.37</v>
      </c>
    </row>
    <row r="8279" spans="1:2" x14ac:dyDescent="0.25">
      <c r="A8279" s="4">
        <v>43507</v>
      </c>
      <c r="B8279" s="6">
        <v>61.3</v>
      </c>
    </row>
    <row r="8280" spans="1:2" x14ac:dyDescent="0.25">
      <c r="A8280" s="4">
        <v>43508</v>
      </c>
      <c r="B8280" s="6">
        <v>62.58</v>
      </c>
    </row>
    <row r="8281" spans="1:2" x14ac:dyDescent="0.25">
      <c r="A8281" s="4">
        <v>43509</v>
      </c>
      <c r="B8281" s="6">
        <v>63.27</v>
      </c>
    </row>
    <row r="8282" spans="1:2" x14ac:dyDescent="0.25">
      <c r="A8282" s="4">
        <v>43510</v>
      </c>
      <c r="B8282" s="6">
        <v>64</v>
      </c>
    </row>
    <row r="8283" spans="1:2" x14ac:dyDescent="0.25">
      <c r="A8283" s="4">
        <v>43511</v>
      </c>
      <c r="B8283" s="6">
        <v>65.650000000000006</v>
      </c>
    </row>
    <row r="8284" spans="1:2" x14ac:dyDescent="0.25">
      <c r="A8284" s="4">
        <v>43514</v>
      </c>
      <c r="B8284" s="6">
        <v>66.41</v>
      </c>
    </row>
    <row r="8285" spans="1:2" x14ac:dyDescent="0.25">
      <c r="A8285" s="4">
        <v>43515</v>
      </c>
      <c r="B8285" s="6">
        <v>65.86</v>
      </c>
    </row>
    <row r="8286" spans="1:2" x14ac:dyDescent="0.25">
      <c r="A8286" s="4">
        <v>43516</v>
      </c>
      <c r="B8286" s="6">
        <v>66.819999999999993</v>
      </c>
    </row>
    <row r="8287" spans="1:2" x14ac:dyDescent="0.25">
      <c r="A8287" s="4">
        <v>43517</v>
      </c>
      <c r="B8287" s="6">
        <v>66.91</v>
      </c>
    </row>
    <row r="8288" spans="1:2" x14ac:dyDescent="0.25">
      <c r="A8288" s="4">
        <v>43518</v>
      </c>
      <c r="B8288" s="6">
        <v>66.91</v>
      </c>
    </row>
    <row r="8289" spans="1:2" x14ac:dyDescent="0.25">
      <c r="A8289" s="4">
        <v>43521</v>
      </c>
      <c r="B8289" s="6">
        <v>64.02</v>
      </c>
    </row>
    <row r="8290" spans="1:2" x14ac:dyDescent="0.25">
      <c r="A8290" s="4">
        <v>43522</v>
      </c>
      <c r="B8290" s="6">
        <v>64.510000000000005</v>
      </c>
    </row>
    <row r="8291" spans="1:2" x14ac:dyDescent="0.25">
      <c r="A8291" s="4">
        <v>43523</v>
      </c>
      <c r="B8291" s="6">
        <v>65.55</v>
      </c>
    </row>
    <row r="8292" spans="1:2" x14ac:dyDescent="0.25">
      <c r="A8292" s="4">
        <v>43524</v>
      </c>
      <c r="B8292" s="6">
        <v>65.03</v>
      </c>
    </row>
    <row r="8293" spans="1:2" x14ac:dyDescent="0.25">
      <c r="A8293" s="4">
        <v>43525</v>
      </c>
      <c r="B8293" s="6">
        <v>63.71</v>
      </c>
    </row>
    <row r="8294" spans="1:2" x14ac:dyDescent="0.25">
      <c r="A8294" s="4">
        <v>43528</v>
      </c>
      <c r="B8294" s="6">
        <v>64.44</v>
      </c>
    </row>
    <row r="8295" spans="1:2" x14ac:dyDescent="0.25">
      <c r="A8295" s="4">
        <v>43529</v>
      </c>
      <c r="B8295" s="6">
        <v>64.239999999999995</v>
      </c>
    </row>
    <row r="8296" spans="1:2" x14ac:dyDescent="0.25">
      <c r="A8296" s="4">
        <v>43530</v>
      </c>
      <c r="B8296" s="6">
        <v>64.510000000000005</v>
      </c>
    </row>
    <row r="8297" spans="1:2" x14ac:dyDescent="0.25">
      <c r="A8297" s="4">
        <v>43531</v>
      </c>
      <c r="B8297" s="6">
        <v>64.819999999999993</v>
      </c>
    </row>
    <row r="8298" spans="1:2" x14ac:dyDescent="0.25">
      <c r="A8298" s="4">
        <v>43532</v>
      </c>
      <c r="B8298" s="6">
        <v>65.66</v>
      </c>
    </row>
    <row r="8299" spans="1:2" x14ac:dyDescent="0.25">
      <c r="A8299" s="4">
        <v>43535</v>
      </c>
      <c r="B8299" s="6">
        <v>65.06</v>
      </c>
    </row>
    <row r="8300" spans="1:2" x14ac:dyDescent="0.25">
      <c r="A8300" s="4">
        <v>43536</v>
      </c>
      <c r="B8300" s="6">
        <v>65.33</v>
      </c>
    </row>
    <row r="8301" spans="1:2" x14ac:dyDescent="0.25">
      <c r="A8301" s="4">
        <v>43537</v>
      </c>
      <c r="B8301" s="6">
        <v>65.89</v>
      </c>
    </row>
    <row r="8302" spans="1:2" x14ac:dyDescent="0.25">
      <c r="A8302" s="4">
        <v>43538</v>
      </c>
      <c r="B8302" s="6">
        <v>66.180000000000007</v>
      </c>
    </row>
    <row r="8303" spans="1:2" x14ac:dyDescent="0.25">
      <c r="A8303" s="4">
        <v>43539</v>
      </c>
      <c r="B8303" s="6">
        <v>66.11</v>
      </c>
    </row>
    <row r="8304" spans="1:2" x14ac:dyDescent="0.25">
      <c r="A8304" s="4">
        <v>43542</v>
      </c>
      <c r="B8304" s="6">
        <v>66.650000000000006</v>
      </c>
    </row>
    <row r="8305" spans="1:2" x14ac:dyDescent="0.25">
      <c r="A8305" s="4">
        <v>43543</v>
      </c>
      <c r="B8305" s="6">
        <v>67.13</v>
      </c>
    </row>
    <row r="8306" spans="1:2" x14ac:dyDescent="0.25">
      <c r="A8306" s="4">
        <v>43544</v>
      </c>
      <c r="B8306" s="6">
        <v>68.349999999999994</v>
      </c>
    </row>
    <row r="8307" spans="1:2" x14ac:dyDescent="0.25">
      <c r="A8307" s="4">
        <v>43545</v>
      </c>
      <c r="B8307" s="6">
        <v>68.3</v>
      </c>
    </row>
    <row r="8308" spans="1:2" x14ac:dyDescent="0.25">
      <c r="A8308" s="4">
        <v>43546</v>
      </c>
      <c r="B8308" s="6">
        <v>66.290000000000006</v>
      </c>
    </row>
    <row r="8309" spans="1:2" x14ac:dyDescent="0.25">
      <c r="A8309" s="4">
        <v>43549</v>
      </c>
      <c r="B8309" s="6">
        <v>67.37</v>
      </c>
    </row>
    <row r="8310" spans="1:2" x14ac:dyDescent="0.25">
      <c r="A8310" s="4">
        <v>43550</v>
      </c>
      <c r="B8310" s="6">
        <v>67.510000000000005</v>
      </c>
    </row>
    <row r="8311" spans="1:2" x14ac:dyDescent="0.25">
      <c r="A8311" s="4">
        <v>43551</v>
      </c>
      <c r="B8311" s="6">
        <v>67.349999999999994</v>
      </c>
    </row>
    <row r="8312" spans="1:2" x14ac:dyDescent="0.25">
      <c r="A8312" s="4">
        <v>43552</v>
      </c>
      <c r="B8312" s="6">
        <v>66.08</v>
      </c>
    </row>
    <row r="8313" spans="1:2" x14ac:dyDescent="0.25">
      <c r="A8313" s="4">
        <v>43553</v>
      </c>
      <c r="B8313" s="6">
        <v>67.930000000000007</v>
      </c>
    </row>
    <row r="8314" spans="1:2" x14ac:dyDescent="0.25">
      <c r="A8314" s="4">
        <v>43556</v>
      </c>
      <c r="B8314" s="6">
        <v>69.08</v>
      </c>
    </row>
    <row r="8315" spans="1:2" x14ac:dyDescent="0.25">
      <c r="A8315" s="4">
        <v>43557</v>
      </c>
      <c r="B8315" s="6">
        <v>69.680000000000007</v>
      </c>
    </row>
    <row r="8316" spans="1:2" x14ac:dyDescent="0.25">
      <c r="A8316" s="4">
        <v>43558</v>
      </c>
      <c r="B8316" s="6">
        <v>69.209999999999994</v>
      </c>
    </row>
    <row r="8317" spans="1:2" x14ac:dyDescent="0.25">
      <c r="A8317" s="4">
        <v>43559</v>
      </c>
      <c r="B8317" s="6">
        <v>69.8</v>
      </c>
    </row>
    <row r="8318" spans="1:2" x14ac:dyDescent="0.25">
      <c r="A8318" s="4">
        <v>43560</v>
      </c>
      <c r="B8318" s="6">
        <v>69.930000000000007</v>
      </c>
    </row>
    <row r="8319" spans="1:2" x14ac:dyDescent="0.25">
      <c r="A8319" s="4">
        <v>43563</v>
      </c>
      <c r="B8319" s="6">
        <v>71.12</v>
      </c>
    </row>
    <row r="8320" spans="1:2" x14ac:dyDescent="0.25">
      <c r="A8320" s="4">
        <v>43564</v>
      </c>
      <c r="B8320" s="6">
        <v>71.02</v>
      </c>
    </row>
    <row r="8321" spans="1:2" x14ac:dyDescent="0.25">
      <c r="A8321" s="4">
        <v>43565</v>
      </c>
      <c r="B8321" s="6">
        <v>71.63</v>
      </c>
    </row>
    <row r="8322" spans="1:2" x14ac:dyDescent="0.25">
      <c r="A8322" s="4">
        <v>43566</v>
      </c>
      <c r="B8322" s="6">
        <v>71.3</v>
      </c>
    </row>
    <row r="8323" spans="1:2" x14ac:dyDescent="0.25">
      <c r="A8323" s="4">
        <v>43567</v>
      </c>
      <c r="B8323" s="6">
        <v>71.569999999999993</v>
      </c>
    </row>
    <row r="8324" spans="1:2" x14ac:dyDescent="0.25">
      <c r="A8324" s="4">
        <v>43570</v>
      </c>
      <c r="B8324" s="6">
        <v>70.900000000000006</v>
      </c>
    </row>
    <row r="8325" spans="1:2" x14ac:dyDescent="0.25">
      <c r="A8325" s="4">
        <v>43571</v>
      </c>
      <c r="B8325" s="6">
        <v>70.739999999999995</v>
      </c>
    </row>
    <row r="8326" spans="1:2" x14ac:dyDescent="0.25">
      <c r="A8326" s="4">
        <v>43572</v>
      </c>
      <c r="B8326" s="6">
        <v>71.14</v>
      </c>
    </row>
    <row r="8327" spans="1:2" x14ac:dyDescent="0.25">
      <c r="A8327" s="4">
        <v>43573</v>
      </c>
      <c r="B8327" s="6">
        <v>70.709999999999994</v>
      </c>
    </row>
    <row r="8328" spans="1:2" x14ac:dyDescent="0.25">
      <c r="A8328" s="4">
        <v>43574</v>
      </c>
      <c r="B8328" s="5"/>
    </row>
    <row r="8329" spans="1:2" x14ac:dyDescent="0.25">
      <c r="A8329" s="4">
        <v>43577</v>
      </c>
      <c r="B8329" s="6">
        <v>70.709999999999994</v>
      </c>
    </row>
    <row r="8330" spans="1:2" x14ac:dyDescent="0.25">
      <c r="A8330" s="4">
        <v>43578</v>
      </c>
      <c r="B8330" s="6">
        <v>74.39</v>
      </c>
    </row>
    <row r="8331" spans="1:2" x14ac:dyDescent="0.25">
      <c r="A8331" s="4">
        <v>43579</v>
      </c>
      <c r="B8331" s="6">
        <v>73.59</v>
      </c>
    </row>
    <row r="8332" spans="1:2" x14ac:dyDescent="0.25">
      <c r="A8332" s="4">
        <v>43580</v>
      </c>
      <c r="B8332" s="6">
        <v>74.94</v>
      </c>
    </row>
    <row r="8333" spans="1:2" x14ac:dyDescent="0.25">
      <c r="A8333" s="4">
        <v>43581</v>
      </c>
      <c r="B8333" s="6">
        <v>71.03</v>
      </c>
    </row>
    <row r="8334" spans="1:2" x14ac:dyDescent="0.25">
      <c r="A8334" s="4">
        <v>43584</v>
      </c>
      <c r="B8334" s="6">
        <v>71.22</v>
      </c>
    </row>
    <row r="8335" spans="1:2" x14ac:dyDescent="0.25">
      <c r="A8335" s="4">
        <v>43585</v>
      </c>
      <c r="B8335" s="6">
        <v>72.19</v>
      </c>
    </row>
    <row r="8336" spans="1:2" x14ac:dyDescent="0.25">
      <c r="A8336" s="4">
        <v>43586</v>
      </c>
      <c r="B8336" s="6">
        <v>72.010000000000005</v>
      </c>
    </row>
    <row r="8337" spans="1:2" x14ac:dyDescent="0.25">
      <c r="A8337" s="4">
        <v>43587</v>
      </c>
      <c r="B8337" s="6">
        <v>70.56</v>
      </c>
    </row>
    <row r="8338" spans="1:2" x14ac:dyDescent="0.25">
      <c r="A8338" s="4">
        <v>43588</v>
      </c>
      <c r="B8338" s="6">
        <v>71.95</v>
      </c>
    </row>
    <row r="8339" spans="1:2" x14ac:dyDescent="0.25">
      <c r="A8339" s="4">
        <v>43591</v>
      </c>
      <c r="B8339" s="6">
        <v>71.95</v>
      </c>
    </row>
    <row r="8340" spans="1:2" x14ac:dyDescent="0.25">
      <c r="A8340" s="4">
        <v>43592</v>
      </c>
      <c r="B8340" s="6">
        <v>70.98</v>
      </c>
    </row>
    <row r="8341" spans="1:2" x14ac:dyDescent="0.25">
      <c r="A8341" s="4">
        <v>43593</v>
      </c>
      <c r="B8341" s="6">
        <v>71.09</v>
      </c>
    </row>
    <row r="8342" spans="1:2" x14ac:dyDescent="0.25">
      <c r="A8342" s="4">
        <v>43594</v>
      </c>
      <c r="B8342" s="6">
        <v>70.61</v>
      </c>
    </row>
    <row r="8343" spans="1:2" x14ac:dyDescent="0.25">
      <c r="A8343" s="4">
        <v>43595</v>
      </c>
      <c r="B8343" s="6">
        <v>71.63</v>
      </c>
    </row>
    <row r="8344" spans="1:2" x14ac:dyDescent="0.25">
      <c r="A8344" s="4">
        <v>43598</v>
      </c>
      <c r="B8344" s="6">
        <v>72.349999999999994</v>
      </c>
    </row>
    <row r="8345" spans="1:2" x14ac:dyDescent="0.25">
      <c r="A8345" s="4">
        <v>43599</v>
      </c>
      <c r="B8345" s="6">
        <v>72.53</v>
      </c>
    </row>
    <row r="8346" spans="1:2" x14ac:dyDescent="0.25">
      <c r="A8346" s="4">
        <v>43600</v>
      </c>
      <c r="B8346" s="6">
        <v>73.09</v>
      </c>
    </row>
    <row r="8347" spans="1:2" x14ac:dyDescent="0.25">
      <c r="A8347" s="4">
        <v>43601</v>
      </c>
      <c r="B8347" s="6">
        <v>74.7</v>
      </c>
    </row>
    <row r="8348" spans="1:2" x14ac:dyDescent="0.25">
      <c r="A8348" s="4">
        <v>43602</v>
      </c>
      <c r="B8348" s="6">
        <v>73.94</v>
      </c>
    </row>
    <row r="8349" spans="1:2" x14ac:dyDescent="0.25">
      <c r="A8349" s="4">
        <v>43605</v>
      </c>
      <c r="B8349" s="6">
        <v>73.209999999999994</v>
      </c>
    </row>
    <row r="8350" spans="1:2" x14ac:dyDescent="0.25">
      <c r="A8350" s="4">
        <v>43606</v>
      </c>
      <c r="B8350" s="6">
        <v>72.94</v>
      </c>
    </row>
    <row r="8351" spans="1:2" x14ac:dyDescent="0.25">
      <c r="A8351" s="4">
        <v>43607</v>
      </c>
      <c r="B8351" s="6">
        <v>71.94</v>
      </c>
    </row>
    <row r="8352" spans="1:2" x14ac:dyDescent="0.25">
      <c r="A8352" s="4">
        <v>43608</v>
      </c>
      <c r="B8352" s="6">
        <v>68.37</v>
      </c>
    </row>
    <row r="8353" spans="1:2" x14ac:dyDescent="0.25">
      <c r="A8353" s="4">
        <v>43609</v>
      </c>
      <c r="B8353" s="6">
        <v>67.98</v>
      </c>
    </row>
    <row r="8354" spans="1:2" x14ac:dyDescent="0.25">
      <c r="A8354" s="4">
        <v>43612</v>
      </c>
      <c r="B8354" s="5"/>
    </row>
    <row r="8355" spans="1:2" x14ac:dyDescent="0.25">
      <c r="A8355" s="4">
        <v>43613</v>
      </c>
      <c r="B8355" s="6">
        <v>70.19</v>
      </c>
    </row>
    <row r="8356" spans="1:2" x14ac:dyDescent="0.25">
      <c r="A8356" s="4">
        <v>43614</v>
      </c>
      <c r="B8356" s="6">
        <v>70.64</v>
      </c>
    </row>
    <row r="8357" spans="1:2" x14ac:dyDescent="0.25">
      <c r="A8357" s="4">
        <v>43615</v>
      </c>
      <c r="B8357" s="6">
        <v>69.55</v>
      </c>
    </row>
    <row r="8358" spans="1:2" x14ac:dyDescent="0.25">
      <c r="A8358" s="4">
        <v>43616</v>
      </c>
      <c r="B8358" s="6">
        <v>66.78</v>
      </c>
    </row>
    <row r="8359" spans="1:2" x14ac:dyDescent="0.25">
      <c r="A8359" s="4">
        <v>43619</v>
      </c>
      <c r="B8359" s="6">
        <v>63.16</v>
      </c>
    </row>
    <row r="8360" spans="1:2" x14ac:dyDescent="0.25">
      <c r="A8360" s="4">
        <v>43620</v>
      </c>
      <c r="B8360" s="6">
        <v>63.56</v>
      </c>
    </row>
    <row r="8361" spans="1:2" x14ac:dyDescent="0.25">
      <c r="A8361" s="4">
        <v>43621</v>
      </c>
      <c r="B8361" s="6">
        <v>62.14</v>
      </c>
    </row>
    <row r="8362" spans="1:2" x14ac:dyDescent="0.25">
      <c r="A8362" s="4">
        <v>43622</v>
      </c>
      <c r="B8362" s="6">
        <v>62.77</v>
      </c>
    </row>
    <row r="8363" spans="1:2" x14ac:dyDescent="0.25">
      <c r="A8363" s="4">
        <v>43623</v>
      </c>
      <c r="B8363" s="6">
        <v>64.099999999999994</v>
      </c>
    </row>
    <row r="8364" spans="1:2" x14ac:dyDescent="0.25">
      <c r="A8364" s="4">
        <v>43626</v>
      </c>
      <c r="B8364" s="6">
        <v>64.31</v>
      </c>
    </row>
    <row r="8365" spans="1:2" x14ac:dyDescent="0.25">
      <c r="A8365" s="4">
        <v>43627</v>
      </c>
      <c r="B8365" s="6">
        <v>63.56</v>
      </c>
    </row>
    <row r="8366" spans="1:2" x14ac:dyDescent="0.25">
      <c r="A8366" s="4">
        <v>43628</v>
      </c>
      <c r="B8366" s="6">
        <v>61.66</v>
      </c>
    </row>
    <row r="8367" spans="1:2" x14ac:dyDescent="0.25">
      <c r="A8367" s="4">
        <v>43629</v>
      </c>
      <c r="B8367" s="6">
        <v>63.28</v>
      </c>
    </row>
    <row r="8368" spans="1:2" x14ac:dyDescent="0.25">
      <c r="A8368" s="4">
        <v>43630</v>
      </c>
      <c r="B8368" s="6">
        <v>63.13</v>
      </c>
    </row>
    <row r="8369" spans="1:2" x14ac:dyDescent="0.25">
      <c r="A8369" s="4">
        <v>43633</v>
      </c>
      <c r="B8369" s="6">
        <v>62.56</v>
      </c>
    </row>
    <row r="8370" spans="1:2" x14ac:dyDescent="0.25">
      <c r="A8370" s="4">
        <v>43634</v>
      </c>
      <c r="B8370" s="6">
        <v>63.35</v>
      </c>
    </row>
    <row r="8371" spans="1:2" x14ac:dyDescent="0.25">
      <c r="A8371" s="4">
        <v>43635</v>
      </c>
      <c r="B8371" s="6">
        <v>62.85</v>
      </c>
    </row>
    <row r="8372" spans="1:2" x14ac:dyDescent="0.25">
      <c r="A8372" s="4">
        <v>43636</v>
      </c>
      <c r="B8372" s="6">
        <v>65.44</v>
      </c>
    </row>
    <row r="8373" spans="1:2" x14ac:dyDescent="0.25">
      <c r="A8373" s="4">
        <v>43637</v>
      </c>
      <c r="B8373" s="6">
        <v>65.989999999999995</v>
      </c>
    </row>
    <row r="8374" spans="1:2" x14ac:dyDescent="0.25">
      <c r="A8374" s="4">
        <v>43640</v>
      </c>
      <c r="B8374" s="6">
        <v>65.16</v>
      </c>
    </row>
    <row r="8375" spans="1:2" x14ac:dyDescent="0.25">
      <c r="A8375" s="4">
        <v>43641</v>
      </c>
      <c r="B8375" s="6">
        <v>66.239999999999995</v>
      </c>
    </row>
    <row r="8376" spans="1:2" x14ac:dyDescent="0.25">
      <c r="A8376" s="4">
        <v>43642</v>
      </c>
      <c r="B8376" s="6">
        <v>66.849999999999994</v>
      </c>
    </row>
    <row r="8377" spans="1:2" x14ac:dyDescent="0.25">
      <c r="A8377" s="4">
        <v>43643</v>
      </c>
      <c r="B8377" s="6">
        <v>66.78</v>
      </c>
    </row>
    <row r="8378" spans="1:2" x14ac:dyDescent="0.25">
      <c r="A8378" s="4">
        <v>43644</v>
      </c>
      <c r="B8378" s="6">
        <v>67.52</v>
      </c>
    </row>
    <row r="8379" spans="1:2" x14ac:dyDescent="0.25">
      <c r="A8379" s="4">
        <v>43647</v>
      </c>
      <c r="B8379" s="6">
        <v>65.099999999999994</v>
      </c>
    </row>
    <row r="8380" spans="1:2" x14ac:dyDescent="0.25">
      <c r="A8380" s="4">
        <v>43648</v>
      </c>
      <c r="B8380" s="6">
        <v>62.72</v>
      </c>
    </row>
    <row r="8381" spans="1:2" x14ac:dyDescent="0.25">
      <c r="A8381" s="4">
        <v>43649</v>
      </c>
      <c r="B8381" s="6">
        <v>63.53</v>
      </c>
    </row>
    <row r="8382" spans="1:2" x14ac:dyDescent="0.25">
      <c r="A8382" s="4">
        <v>43650</v>
      </c>
      <c r="B8382" s="6">
        <v>63.62</v>
      </c>
    </row>
    <row r="8383" spans="1:2" x14ac:dyDescent="0.25">
      <c r="A8383" s="4">
        <v>43651</v>
      </c>
      <c r="B8383" s="6">
        <v>64.23</v>
      </c>
    </row>
    <row r="8384" spans="1:2" x14ac:dyDescent="0.25">
      <c r="A8384" s="4">
        <v>43654</v>
      </c>
      <c r="B8384" s="6">
        <v>64.89</v>
      </c>
    </row>
    <row r="8385" spans="1:2" x14ac:dyDescent="0.25">
      <c r="A8385" s="4">
        <v>43655</v>
      </c>
      <c r="B8385" s="6">
        <v>64.3</v>
      </c>
    </row>
    <row r="8386" spans="1:2" x14ac:dyDescent="0.25">
      <c r="A8386" s="4">
        <v>43656</v>
      </c>
      <c r="B8386" s="6">
        <v>66.41</v>
      </c>
    </row>
    <row r="8387" spans="1:2" x14ac:dyDescent="0.25">
      <c r="A8387" s="4">
        <v>43657</v>
      </c>
      <c r="B8387" s="6">
        <v>67.64</v>
      </c>
    </row>
    <row r="8388" spans="1:2" x14ac:dyDescent="0.25">
      <c r="A8388" s="4">
        <v>43658</v>
      </c>
      <c r="B8388" s="6">
        <v>66.650000000000006</v>
      </c>
    </row>
    <row r="8389" spans="1:2" x14ac:dyDescent="0.25">
      <c r="A8389" s="4">
        <v>43661</v>
      </c>
      <c r="B8389" s="6">
        <v>66.86</v>
      </c>
    </row>
    <row r="8390" spans="1:2" x14ac:dyDescent="0.25">
      <c r="A8390" s="4">
        <v>43662</v>
      </c>
      <c r="B8390" s="6">
        <v>65.87</v>
      </c>
    </row>
    <row r="8391" spans="1:2" x14ac:dyDescent="0.25">
      <c r="A8391" s="4">
        <v>43663</v>
      </c>
      <c r="B8391" s="6">
        <v>63.67</v>
      </c>
    </row>
    <row r="8392" spans="1:2" x14ac:dyDescent="0.25">
      <c r="A8392" s="4">
        <v>43664</v>
      </c>
      <c r="B8392" s="6">
        <v>60.7</v>
      </c>
    </row>
    <row r="8393" spans="1:2" x14ac:dyDescent="0.25">
      <c r="A8393" s="4">
        <v>43665</v>
      </c>
      <c r="B8393" s="6">
        <v>61.04</v>
      </c>
    </row>
    <row r="8394" spans="1:2" x14ac:dyDescent="0.25">
      <c r="A8394" s="4">
        <v>43668</v>
      </c>
      <c r="B8394" s="6">
        <v>61.96</v>
      </c>
    </row>
    <row r="8395" spans="1:2" x14ac:dyDescent="0.25">
      <c r="A8395" s="4">
        <v>43669</v>
      </c>
      <c r="B8395" s="6">
        <v>62.28</v>
      </c>
    </row>
    <row r="8396" spans="1:2" x14ac:dyDescent="0.25">
      <c r="A8396" s="4">
        <v>43670</v>
      </c>
      <c r="B8396" s="6">
        <v>63.83</v>
      </c>
    </row>
    <row r="8397" spans="1:2" x14ac:dyDescent="0.25">
      <c r="A8397" s="4">
        <v>43671</v>
      </c>
      <c r="B8397" s="6">
        <v>63.47</v>
      </c>
    </row>
    <row r="8398" spans="1:2" x14ac:dyDescent="0.25">
      <c r="A8398" s="4">
        <v>43672</v>
      </c>
      <c r="B8398" s="6">
        <v>62.46</v>
      </c>
    </row>
    <row r="8399" spans="1:2" x14ac:dyDescent="0.25">
      <c r="A8399" s="4">
        <v>43675</v>
      </c>
      <c r="B8399" s="6">
        <v>62.29</v>
      </c>
    </row>
    <row r="8400" spans="1:2" x14ac:dyDescent="0.25">
      <c r="A8400" s="4">
        <v>43676</v>
      </c>
      <c r="B8400" s="6">
        <v>62.55</v>
      </c>
    </row>
    <row r="8401" spans="1:2" x14ac:dyDescent="0.25">
      <c r="A8401" s="4">
        <v>43677</v>
      </c>
      <c r="B8401" s="6">
        <v>64.069999999999993</v>
      </c>
    </row>
    <row r="8402" spans="1:2" x14ac:dyDescent="0.25">
      <c r="A8402" s="4">
        <v>43678</v>
      </c>
      <c r="B8402" s="6">
        <v>62.9</v>
      </c>
    </row>
    <row r="8403" spans="1:2" x14ac:dyDescent="0.25">
      <c r="A8403" s="4">
        <v>43679</v>
      </c>
      <c r="B8403" s="6">
        <v>61.12</v>
      </c>
    </row>
    <row r="8404" spans="1:2" x14ac:dyDescent="0.25">
      <c r="A8404" s="4">
        <v>43682</v>
      </c>
      <c r="B8404" s="6">
        <v>59.32</v>
      </c>
    </row>
    <row r="8405" spans="1:2" x14ac:dyDescent="0.25">
      <c r="A8405" s="4">
        <v>43683</v>
      </c>
      <c r="B8405" s="6">
        <v>58.63</v>
      </c>
    </row>
    <row r="8406" spans="1:2" x14ac:dyDescent="0.25">
      <c r="A8406" s="4">
        <v>43684</v>
      </c>
      <c r="B8406" s="6">
        <v>55.03</v>
      </c>
    </row>
    <row r="8407" spans="1:2" x14ac:dyDescent="0.25">
      <c r="A8407" s="4">
        <v>43685</v>
      </c>
      <c r="B8407" s="6">
        <v>56.29</v>
      </c>
    </row>
    <row r="8408" spans="1:2" x14ac:dyDescent="0.25">
      <c r="A8408" s="4">
        <v>43686</v>
      </c>
      <c r="B8408" s="6">
        <v>57.37</v>
      </c>
    </row>
    <row r="8409" spans="1:2" x14ac:dyDescent="0.25">
      <c r="A8409" s="4">
        <v>43689</v>
      </c>
      <c r="B8409" s="6">
        <v>57.13</v>
      </c>
    </row>
    <row r="8410" spans="1:2" x14ac:dyDescent="0.25">
      <c r="A8410" s="4">
        <v>43690</v>
      </c>
      <c r="B8410" s="6">
        <v>59.9</v>
      </c>
    </row>
    <row r="8411" spans="1:2" x14ac:dyDescent="0.25">
      <c r="A8411" s="4">
        <v>43691</v>
      </c>
      <c r="B8411" s="6">
        <v>57.86</v>
      </c>
    </row>
    <row r="8412" spans="1:2" x14ac:dyDescent="0.25">
      <c r="A8412" s="4">
        <v>43692</v>
      </c>
      <c r="B8412" s="6">
        <v>57.37</v>
      </c>
    </row>
    <row r="8413" spans="1:2" x14ac:dyDescent="0.25">
      <c r="A8413" s="4">
        <v>43693</v>
      </c>
      <c r="B8413" s="6">
        <v>59</v>
      </c>
    </row>
    <row r="8414" spans="1:2" x14ac:dyDescent="0.25">
      <c r="A8414" s="4">
        <v>43696</v>
      </c>
      <c r="B8414" s="6">
        <v>59.79</v>
      </c>
    </row>
    <row r="8415" spans="1:2" x14ac:dyDescent="0.25">
      <c r="A8415" s="4">
        <v>43697</v>
      </c>
      <c r="B8415" s="6">
        <v>59.03</v>
      </c>
    </row>
    <row r="8416" spans="1:2" x14ac:dyDescent="0.25">
      <c r="A8416" s="4">
        <v>43698</v>
      </c>
      <c r="B8416" s="6">
        <v>60.6</v>
      </c>
    </row>
    <row r="8417" spans="1:2" x14ac:dyDescent="0.25">
      <c r="A8417" s="4">
        <v>43699</v>
      </c>
      <c r="B8417" s="6">
        <v>59.81</v>
      </c>
    </row>
    <row r="8418" spans="1:2" x14ac:dyDescent="0.25">
      <c r="A8418" s="4">
        <v>43700</v>
      </c>
      <c r="B8418" s="6">
        <v>58.64</v>
      </c>
    </row>
    <row r="8419" spans="1:2" x14ac:dyDescent="0.25">
      <c r="A8419" s="4">
        <v>43703</v>
      </c>
      <c r="B8419" s="6">
        <v>58.64</v>
      </c>
    </row>
    <row r="8420" spans="1:2" x14ac:dyDescent="0.25">
      <c r="A8420" s="4">
        <v>43704</v>
      </c>
      <c r="B8420" s="6">
        <v>58.44</v>
      </c>
    </row>
    <row r="8421" spans="1:2" x14ac:dyDescent="0.25">
      <c r="A8421" s="4">
        <v>43705</v>
      </c>
      <c r="B8421" s="6">
        <v>60.42</v>
      </c>
    </row>
    <row r="8422" spans="1:2" x14ac:dyDescent="0.25">
      <c r="A8422" s="4">
        <v>43706</v>
      </c>
      <c r="B8422" s="6">
        <v>60.59</v>
      </c>
    </row>
    <row r="8423" spans="1:2" x14ac:dyDescent="0.25">
      <c r="A8423" s="4">
        <v>43707</v>
      </c>
      <c r="B8423" s="6">
        <v>61.04</v>
      </c>
    </row>
    <row r="8424" spans="1:2" x14ac:dyDescent="0.25">
      <c r="A8424" s="4">
        <v>43710</v>
      </c>
      <c r="B8424" s="6">
        <v>58.55</v>
      </c>
    </row>
    <row r="8425" spans="1:2" x14ac:dyDescent="0.25">
      <c r="A8425" s="4">
        <v>43711</v>
      </c>
      <c r="B8425" s="6">
        <v>57.93</v>
      </c>
    </row>
    <row r="8426" spans="1:2" x14ac:dyDescent="0.25">
      <c r="A8426" s="4">
        <v>43712</v>
      </c>
      <c r="B8426" s="6">
        <v>60.68</v>
      </c>
    </row>
    <row r="8427" spans="1:2" x14ac:dyDescent="0.25">
      <c r="A8427" s="4">
        <v>43713</v>
      </c>
      <c r="B8427" s="6">
        <v>62.7</v>
      </c>
    </row>
    <row r="8428" spans="1:2" x14ac:dyDescent="0.25">
      <c r="A8428" s="4">
        <v>43714</v>
      </c>
      <c r="B8428" s="6">
        <v>61.28</v>
      </c>
    </row>
    <row r="8429" spans="1:2" x14ac:dyDescent="0.25">
      <c r="A8429" s="4">
        <v>43717</v>
      </c>
      <c r="B8429" s="6">
        <v>63.99</v>
      </c>
    </row>
    <row r="8430" spans="1:2" x14ac:dyDescent="0.25">
      <c r="A8430" s="4">
        <v>43718</v>
      </c>
      <c r="B8430" s="6">
        <v>64.67</v>
      </c>
    </row>
    <row r="8431" spans="1:2" x14ac:dyDescent="0.25">
      <c r="A8431" s="4">
        <v>43719</v>
      </c>
      <c r="B8431" s="6">
        <v>63.02</v>
      </c>
    </row>
    <row r="8432" spans="1:2" x14ac:dyDescent="0.25">
      <c r="A8432" s="4">
        <v>43720</v>
      </c>
      <c r="B8432" s="6">
        <v>60.76</v>
      </c>
    </row>
    <row r="8433" spans="1:2" x14ac:dyDescent="0.25">
      <c r="A8433" s="4">
        <v>43721</v>
      </c>
      <c r="B8433" s="6">
        <v>61.25</v>
      </c>
    </row>
    <row r="8434" spans="1:2" x14ac:dyDescent="0.25">
      <c r="A8434" s="4">
        <v>43724</v>
      </c>
      <c r="B8434" s="6">
        <v>68.42</v>
      </c>
    </row>
    <row r="8435" spans="1:2" x14ac:dyDescent="0.25">
      <c r="A8435" s="4">
        <v>43725</v>
      </c>
      <c r="B8435" s="6">
        <v>65.59</v>
      </c>
    </row>
    <row r="8436" spans="1:2" x14ac:dyDescent="0.25">
      <c r="A8436" s="4">
        <v>43726</v>
      </c>
      <c r="B8436" s="6">
        <v>64.290000000000006</v>
      </c>
    </row>
    <row r="8437" spans="1:2" x14ac:dyDescent="0.25">
      <c r="A8437" s="4">
        <v>43727</v>
      </c>
      <c r="B8437" s="6">
        <v>64.25</v>
      </c>
    </row>
    <row r="8438" spans="1:2" x14ac:dyDescent="0.25">
      <c r="A8438" s="4">
        <v>43728</v>
      </c>
      <c r="B8438" s="6">
        <v>65.23</v>
      </c>
    </row>
    <row r="8439" spans="1:2" x14ac:dyDescent="0.25">
      <c r="A8439" s="4">
        <v>43731</v>
      </c>
      <c r="B8439" s="6">
        <v>64.66</v>
      </c>
    </row>
    <row r="8440" spans="1:2" x14ac:dyDescent="0.25">
      <c r="A8440" s="4">
        <v>43732</v>
      </c>
      <c r="B8440" s="6">
        <v>64.13</v>
      </c>
    </row>
    <row r="8441" spans="1:2" x14ac:dyDescent="0.25">
      <c r="A8441" s="4">
        <v>43733</v>
      </c>
      <c r="B8441" s="6">
        <v>62.41</v>
      </c>
    </row>
    <row r="8442" spans="1:2" x14ac:dyDescent="0.25">
      <c r="A8442" s="4">
        <v>43734</v>
      </c>
      <c r="B8442" s="6">
        <v>62.08</v>
      </c>
    </row>
    <row r="8443" spans="1:2" x14ac:dyDescent="0.25">
      <c r="A8443" s="4">
        <v>43735</v>
      </c>
      <c r="B8443" s="6">
        <v>62.48</v>
      </c>
    </row>
    <row r="8444" spans="1:2" x14ac:dyDescent="0.25">
      <c r="A8444" s="4">
        <v>43738</v>
      </c>
      <c r="B8444" s="6">
        <v>60.99</v>
      </c>
    </row>
    <row r="8445" spans="1:2" x14ac:dyDescent="0.25">
      <c r="A8445" s="4">
        <v>43739</v>
      </c>
      <c r="B8445" s="6">
        <v>60.06</v>
      </c>
    </row>
    <row r="8446" spans="1:2" x14ac:dyDescent="0.25">
      <c r="A8446" s="4">
        <v>43740</v>
      </c>
      <c r="B8446" s="6">
        <v>57.92</v>
      </c>
    </row>
    <row r="8447" spans="1:2" x14ac:dyDescent="0.25">
      <c r="A8447" s="4">
        <v>43741</v>
      </c>
      <c r="B8447" s="6">
        <v>58.01</v>
      </c>
    </row>
    <row r="8448" spans="1:2" x14ac:dyDescent="0.25">
      <c r="A8448" s="4">
        <v>43742</v>
      </c>
      <c r="B8448" s="6">
        <v>59.13</v>
      </c>
    </row>
    <row r="8449" spans="1:2" x14ac:dyDescent="0.25">
      <c r="A8449" s="4">
        <v>43745</v>
      </c>
      <c r="B8449" s="6">
        <v>59.46</v>
      </c>
    </row>
    <row r="8450" spans="1:2" x14ac:dyDescent="0.25">
      <c r="A8450" s="4">
        <v>43746</v>
      </c>
      <c r="B8450" s="6">
        <v>58.14</v>
      </c>
    </row>
    <row r="8451" spans="1:2" x14ac:dyDescent="0.25">
      <c r="A8451" s="4">
        <v>43747</v>
      </c>
      <c r="B8451" s="6">
        <v>59.7</v>
      </c>
    </row>
    <row r="8452" spans="1:2" x14ac:dyDescent="0.25">
      <c r="A8452" s="4">
        <v>43748</v>
      </c>
      <c r="B8452" s="6">
        <v>59.08</v>
      </c>
    </row>
    <row r="8453" spans="1:2" x14ac:dyDescent="0.25">
      <c r="A8453" s="4">
        <v>43749</v>
      </c>
      <c r="B8453" s="6">
        <v>60.59</v>
      </c>
    </row>
    <row r="8454" spans="1:2" x14ac:dyDescent="0.25">
      <c r="A8454" s="4">
        <v>43752</v>
      </c>
      <c r="B8454" s="6">
        <v>58.81</v>
      </c>
    </row>
    <row r="8455" spans="1:2" x14ac:dyDescent="0.25">
      <c r="A8455" s="4">
        <v>43753</v>
      </c>
      <c r="B8455" s="6">
        <v>59.19</v>
      </c>
    </row>
    <row r="8456" spans="1:2" x14ac:dyDescent="0.25">
      <c r="A8456" s="4">
        <v>43754</v>
      </c>
      <c r="B8456" s="6">
        <v>59.3</v>
      </c>
    </row>
    <row r="8457" spans="1:2" x14ac:dyDescent="0.25">
      <c r="A8457" s="4">
        <v>43755</v>
      </c>
      <c r="B8457" s="6">
        <v>59.35</v>
      </c>
    </row>
    <row r="8458" spans="1:2" x14ac:dyDescent="0.25">
      <c r="A8458" s="4">
        <v>43756</v>
      </c>
      <c r="B8458" s="6">
        <v>59.96</v>
      </c>
    </row>
    <row r="8459" spans="1:2" x14ac:dyDescent="0.25">
      <c r="A8459" s="4">
        <v>43759</v>
      </c>
      <c r="B8459" s="6">
        <v>58.95</v>
      </c>
    </row>
    <row r="8460" spans="1:2" x14ac:dyDescent="0.25">
      <c r="A8460" s="4">
        <v>43760</v>
      </c>
      <c r="B8460" s="6">
        <v>60.5</v>
      </c>
    </row>
    <row r="8461" spans="1:2" x14ac:dyDescent="0.25">
      <c r="A8461" s="4">
        <v>43761</v>
      </c>
      <c r="B8461" s="6">
        <v>60.52</v>
      </c>
    </row>
    <row r="8462" spans="1:2" x14ac:dyDescent="0.25">
      <c r="A8462" s="4">
        <v>43762</v>
      </c>
      <c r="B8462" s="6">
        <v>61.71</v>
      </c>
    </row>
    <row r="8463" spans="1:2" x14ac:dyDescent="0.25">
      <c r="A8463" s="4">
        <v>43763</v>
      </c>
      <c r="B8463" s="6">
        <v>62.06</v>
      </c>
    </row>
    <row r="8464" spans="1:2" x14ac:dyDescent="0.25">
      <c r="A8464" s="4">
        <v>43766</v>
      </c>
      <c r="B8464" s="6">
        <v>60.39</v>
      </c>
    </row>
    <row r="8465" spans="1:2" x14ac:dyDescent="0.25">
      <c r="A8465" s="4">
        <v>43767</v>
      </c>
      <c r="B8465" s="6">
        <v>61.05</v>
      </c>
    </row>
    <row r="8466" spans="1:2" x14ac:dyDescent="0.25">
      <c r="A8466" s="4">
        <v>43768</v>
      </c>
      <c r="B8466" s="6">
        <v>60.22</v>
      </c>
    </row>
    <row r="8467" spans="1:2" x14ac:dyDescent="0.25">
      <c r="A8467" s="4">
        <v>43769</v>
      </c>
      <c r="B8467" s="6">
        <v>59.3</v>
      </c>
    </row>
    <row r="8468" spans="1:2" x14ac:dyDescent="0.25">
      <c r="A8468" s="4">
        <v>43770</v>
      </c>
      <c r="B8468" s="6">
        <v>60.17</v>
      </c>
    </row>
    <row r="8469" spans="1:2" x14ac:dyDescent="0.25">
      <c r="A8469" s="4">
        <v>43773</v>
      </c>
      <c r="B8469" s="6">
        <v>62.52</v>
      </c>
    </row>
    <row r="8470" spans="1:2" x14ac:dyDescent="0.25">
      <c r="A8470" s="4">
        <v>43774</v>
      </c>
      <c r="B8470" s="6">
        <v>62.72</v>
      </c>
    </row>
    <row r="8471" spans="1:2" x14ac:dyDescent="0.25">
      <c r="A8471" s="4">
        <v>43775</v>
      </c>
      <c r="B8471" s="6">
        <v>62.11</v>
      </c>
    </row>
    <row r="8472" spans="1:2" x14ac:dyDescent="0.25">
      <c r="A8472" s="4">
        <v>43776</v>
      </c>
      <c r="B8472" s="6">
        <v>62.6</v>
      </c>
    </row>
    <row r="8473" spans="1:2" x14ac:dyDescent="0.25">
      <c r="A8473" s="4">
        <v>43777</v>
      </c>
      <c r="B8473" s="6">
        <v>62</v>
      </c>
    </row>
    <row r="8474" spans="1:2" x14ac:dyDescent="0.25">
      <c r="A8474" s="4">
        <v>43780</v>
      </c>
      <c r="B8474" s="6">
        <v>62.58</v>
      </c>
    </row>
    <row r="8475" spans="1:2" x14ac:dyDescent="0.25">
      <c r="A8475" s="4">
        <v>43781</v>
      </c>
      <c r="B8475" s="6">
        <v>62.19</v>
      </c>
    </row>
    <row r="8476" spans="1:2" x14ac:dyDescent="0.25">
      <c r="A8476" s="4">
        <v>43782</v>
      </c>
      <c r="B8476" s="6">
        <v>62.27</v>
      </c>
    </row>
    <row r="8477" spans="1:2" x14ac:dyDescent="0.25">
      <c r="A8477" s="4">
        <v>43783</v>
      </c>
      <c r="B8477" s="6">
        <v>62.46</v>
      </c>
    </row>
    <row r="8478" spans="1:2" x14ac:dyDescent="0.25">
      <c r="A8478" s="4">
        <v>43784</v>
      </c>
      <c r="B8478" s="6">
        <v>63.32</v>
      </c>
    </row>
    <row r="8479" spans="1:2" x14ac:dyDescent="0.25">
      <c r="A8479" s="4">
        <v>43787</v>
      </c>
      <c r="B8479" s="6">
        <v>62.82</v>
      </c>
    </row>
    <row r="8480" spans="1:2" x14ac:dyDescent="0.25">
      <c r="A8480" s="4">
        <v>43788</v>
      </c>
      <c r="B8480" s="6">
        <v>62.37</v>
      </c>
    </row>
    <row r="8481" spans="1:2" x14ac:dyDescent="0.25">
      <c r="A8481" s="4">
        <v>43789</v>
      </c>
      <c r="B8481" s="6">
        <v>63.8</v>
      </c>
    </row>
    <row r="8482" spans="1:2" x14ac:dyDescent="0.25">
      <c r="A8482" s="4">
        <v>43790</v>
      </c>
      <c r="B8482" s="6">
        <v>64.989999999999995</v>
      </c>
    </row>
    <row r="8483" spans="1:2" x14ac:dyDescent="0.25">
      <c r="A8483" s="4">
        <v>43791</v>
      </c>
      <c r="B8483" s="6">
        <v>64.83</v>
      </c>
    </row>
    <row r="8484" spans="1:2" x14ac:dyDescent="0.25">
      <c r="A8484" s="4">
        <v>43794</v>
      </c>
      <c r="B8484" s="6">
        <v>64.67</v>
      </c>
    </row>
    <row r="8485" spans="1:2" x14ac:dyDescent="0.25">
      <c r="A8485" s="4">
        <v>43795</v>
      </c>
      <c r="B8485" s="6">
        <v>64.819999999999993</v>
      </c>
    </row>
    <row r="8486" spans="1:2" x14ac:dyDescent="0.25">
      <c r="A8486" s="4">
        <v>43796</v>
      </c>
      <c r="B8486" s="6">
        <v>65.03</v>
      </c>
    </row>
    <row r="8487" spans="1:2" x14ac:dyDescent="0.25">
      <c r="A8487" s="4">
        <v>43797</v>
      </c>
      <c r="B8487" s="6">
        <v>64.680000000000007</v>
      </c>
    </row>
    <row r="8488" spans="1:2" x14ac:dyDescent="0.25">
      <c r="A8488" s="4">
        <v>43798</v>
      </c>
      <c r="B8488" s="6">
        <v>64.5</v>
      </c>
    </row>
    <row r="8489" spans="1:2" x14ac:dyDescent="0.25">
      <c r="A8489" s="4">
        <v>43801</v>
      </c>
      <c r="B8489" s="6">
        <v>63.2</v>
      </c>
    </row>
    <row r="8490" spans="1:2" x14ac:dyDescent="0.25">
      <c r="A8490" s="4">
        <v>43802</v>
      </c>
      <c r="B8490" s="6">
        <v>62.95</v>
      </c>
    </row>
    <row r="8491" spans="1:2" x14ac:dyDescent="0.25">
      <c r="A8491" s="4">
        <v>43803</v>
      </c>
      <c r="B8491" s="6">
        <v>65.25</v>
      </c>
    </row>
    <row r="8492" spans="1:2" x14ac:dyDescent="0.25">
      <c r="A8492" s="4">
        <v>43804</v>
      </c>
      <c r="B8492" s="6">
        <v>65.67</v>
      </c>
    </row>
    <row r="8493" spans="1:2" x14ac:dyDescent="0.25">
      <c r="A8493" s="4">
        <v>43805</v>
      </c>
      <c r="B8493" s="6">
        <v>66.5</v>
      </c>
    </row>
    <row r="8494" spans="1:2" x14ac:dyDescent="0.25">
      <c r="A8494" s="4">
        <v>43808</v>
      </c>
      <c r="B8494" s="6">
        <v>66.44</v>
      </c>
    </row>
    <row r="8495" spans="1:2" x14ac:dyDescent="0.25">
      <c r="A8495" s="4">
        <v>43809</v>
      </c>
      <c r="B8495" s="6">
        <v>66.569999999999993</v>
      </c>
    </row>
    <row r="8496" spans="1:2" x14ac:dyDescent="0.25">
      <c r="A8496" s="4">
        <v>43810</v>
      </c>
      <c r="B8496" s="6">
        <v>65.37</v>
      </c>
    </row>
    <row r="8497" spans="1:2" x14ac:dyDescent="0.25">
      <c r="A8497" s="4">
        <v>43811</v>
      </c>
      <c r="B8497" s="6">
        <v>66.67</v>
      </c>
    </row>
    <row r="8498" spans="1:2" x14ac:dyDescent="0.25">
      <c r="A8498" s="4">
        <v>43812</v>
      </c>
      <c r="B8498" s="6">
        <v>67.44</v>
      </c>
    </row>
    <row r="8499" spans="1:2" x14ac:dyDescent="0.25">
      <c r="A8499" s="4">
        <v>43815</v>
      </c>
      <c r="B8499" s="6">
        <v>68.040000000000006</v>
      </c>
    </row>
    <row r="8500" spans="1:2" x14ac:dyDescent="0.25">
      <c r="A8500" s="4">
        <v>43816</v>
      </c>
      <c r="B8500" s="6">
        <v>68.989999999999995</v>
      </c>
    </row>
    <row r="8501" spans="1:2" x14ac:dyDescent="0.25">
      <c r="A8501" s="4">
        <v>43817</v>
      </c>
      <c r="B8501" s="6">
        <v>69.12</v>
      </c>
    </row>
    <row r="8502" spans="1:2" x14ac:dyDescent="0.25">
      <c r="A8502" s="4">
        <v>43818</v>
      </c>
      <c r="B8502" s="6">
        <v>69.7</v>
      </c>
    </row>
    <row r="8503" spans="1:2" x14ac:dyDescent="0.25">
      <c r="A8503" s="4">
        <v>43819</v>
      </c>
      <c r="B8503" s="6">
        <v>68.66</v>
      </c>
    </row>
    <row r="8504" spans="1:2" x14ac:dyDescent="0.25">
      <c r="A8504" s="4">
        <v>43822</v>
      </c>
      <c r="B8504" s="6">
        <v>67.489999999999995</v>
      </c>
    </row>
    <row r="8505" spans="1:2" x14ac:dyDescent="0.25">
      <c r="A8505" s="4">
        <v>43823</v>
      </c>
      <c r="B8505" s="6">
        <v>69.260000000000005</v>
      </c>
    </row>
    <row r="8506" spans="1:2" x14ac:dyDescent="0.25">
      <c r="A8506" s="4">
        <v>43824</v>
      </c>
      <c r="B8506" s="5"/>
    </row>
    <row r="8507" spans="1:2" x14ac:dyDescent="0.25">
      <c r="A8507" s="4">
        <v>43825</v>
      </c>
      <c r="B8507" s="6">
        <v>69.260000000000005</v>
      </c>
    </row>
    <row r="8508" spans="1:2" x14ac:dyDescent="0.25">
      <c r="A8508" s="4">
        <v>43826</v>
      </c>
      <c r="B8508" s="6">
        <v>68.91</v>
      </c>
    </row>
    <row r="8509" spans="1:2" x14ac:dyDescent="0.25">
      <c r="A8509" s="4">
        <v>43829</v>
      </c>
      <c r="B8509" s="6">
        <v>68.3</v>
      </c>
    </row>
    <row r="8510" spans="1:2" x14ac:dyDescent="0.25">
      <c r="A8510" s="4">
        <v>43830</v>
      </c>
      <c r="B8510" s="6">
        <v>67.77</v>
      </c>
    </row>
    <row r="8511" spans="1:2" x14ac:dyDescent="0.25">
      <c r="A8511" s="4">
        <v>43831</v>
      </c>
      <c r="B8511" s="5"/>
    </row>
    <row r="8512" spans="1:2" x14ac:dyDescent="0.25">
      <c r="A8512" s="4">
        <v>43832</v>
      </c>
      <c r="B8512" s="6">
        <v>67.05</v>
      </c>
    </row>
    <row r="8513" spans="1:2" x14ac:dyDescent="0.25">
      <c r="A8513" s="4">
        <v>43833</v>
      </c>
      <c r="B8513" s="6">
        <v>69.08</v>
      </c>
    </row>
    <row r="8514" spans="1:2" x14ac:dyDescent="0.25">
      <c r="A8514" s="4">
        <v>43836</v>
      </c>
      <c r="B8514" s="6">
        <v>70.25</v>
      </c>
    </row>
    <row r="8515" spans="1:2" x14ac:dyDescent="0.25">
      <c r="A8515" s="4">
        <v>43837</v>
      </c>
      <c r="B8515" s="6">
        <v>68.739999999999995</v>
      </c>
    </row>
    <row r="8516" spans="1:2" x14ac:dyDescent="0.25">
      <c r="A8516" s="4">
        <v>43838</v>
      </c>
      <c r="B8516" s="6">
        <v>67.31</v>
      </c>
    </row>
    <row r="8517" spans="1:2" x14ac:dyDescent="0.25">
      <c r="A8517" s="4">
        <v>43839</v>
      </c>
      <c r="B8517" s="6">
        <v>66.58</v>
      </c>
    </row>
    <row r="8518" spans="1:2" x14ac:dyDescent="0.25">
      <c r="A8518" s="4">
        <v>43840</v>
      </c>
      <c r="B8518" s="6">
        <v>66.77</v>
      </c>
    </row>
    <row r="8519" spans="1:2" x14ac:dyDescent="0.25">
      <c r="A8519" s="4">
        <v>43843</v>
      </c>
      <c r="B8519" s="6">
        <v>64.14</v>
      </c>
    </row>
    <row r="8520" spans="1:2" x14ac:dyDescent="0.25">
      <c r="A8520" s="4">
        <v>43844</v>
      </c>
      <c r="B8520" s="6">
        <v>64.45</v>
      </c>
    </row>
    <row r="8521" spans="1:2" x14ac:dyDescent="0.25">
      <c r="A8521" s="4">
        <v>43845</v>
      </c>
      <c r="B8521" s="6">
        <v>63.29</v>
      </c>
    </row>
    <row r="8522" spans="1:2" x14ac:dyDescent="0.25">
      <c r="A8522" s="4">
        <v>43846</v>
      </c>
      <c r="B8522" s="6">
        <v>64.63</v>
      </c>
    </row>
    <row r="8523" spans="1:2" x14ac:dyDescent="0.25">
      <c r="A8523" s="4">
        <v>43847</v>
      </c>
      <c r="B8523" s="6">
        <v>64.05</v>
      </c>
    </row>
    <row r="8524" spans="1:2" x14ac:dyDescent="0.25">
      <c r="A8524" s="4">
        <v>43850</v>
      </c>
      <c r="B8524" s="6">
        <v>64.63</v>
      </c>
    </row>
    <row r="8525" spans="1:2" x14ac:dyDescent="0.25">
      <c r="A8525" s="4">
        <v>43851</v>
      </c>
      <c r="B8525" s="6">
        <v>63.66</v>
      </c>
    </row>
    <row r="8526" spans="1:2" x14ac:dyDescent="0.25">
      <c r="A8526" s="4">
        <v>43852</v>
      </c>
      <c r="B8526" s="6">
        <v>62.11</v>
      </c>
    </row>
    <row r="8527" spans="1:2" x14ac:dyDescent="0.25">
      <c r="A8527" s="4">
        <v>43853</v>
      </c>
      <c r="B8527" s="6">
        <v>61.26</v>
      </c>
    </row>
    <row r="8528" spans="1:2" x14ac:dyDescent="0.25">
      <c r="A8528" s="4">
        <v>43854</v>
      </c>
      <c r="B8528" s="6">
        <v>59.34</v>
      </c>
    </row>
    <row r="8529" spans="1:2" x14ac:dyDescent="0.25">
      <c r="A8529" s="4">
        <v>43857</v>
      </c>
      <c r="B8529" s="6">
        <v>58.54</v>
      </c>
    </row>
    <row r="8530" spans="1:2" x14ac:dyDescent="0.25">
      <c r="A8530" s="4">
        <v>43858</v>
      </c>
      <c r="B8530" s="6">
        <v>59.37</v>
      </c>
    </row>
    <row r="8531" spans="1:2" x14ac:dyDescent="0.25">
      <c r="A8531" s="4">
        <v>43859</v>
      </c>
      <c r="B8531" s="6">
        <v>59.46</v>
      </c>
    </row>
    <row r="8532" spans="1:2" x14ac:dyDescent="0.25">
      <c r="A8532" s="4">
        <v>43860</v>
      </c>
      <c r="B8532" s="6">
        <v>57.72</v>
      </c>
    </row>
    <row r="8533" spans="1:2" x14ac:dyDescent="0.25">
      <c r="A8533" s="4">
        <v>43861</v>
      </c>
      <c r="B8533" s="6">
        <v>57.77</v>
      </c>
    </row>
    <row r="8534" spans="1:2" x14ac:dyDescent="0.25">
      <c r="A8534" s="4">
        <v>43864</v>
      </c>
      <c r="B8534" s="6">
        <v>54</v>
      </c>
    </row>
    <row r="8535" spans="1:2" x14ac:dyDescent="0.25">
      <c r="A8535" s="4">
        <v>43865</v>
      </c>
      <c r="B8535" s="6">
        <v>53.9</v>
      </c>
    </row>
    <row r="8536" spans="1:2" x14ac:dyDescent="0.25">
      <c r="A8536" s="4">
        <v>43866</v>
      </c>
      <c r="B8536" s="6">
        <v>55.36</v>
      </c>
    </row>
    <row r="8537" spans="1:2" x14ac:dyDescent="0.25">
      <c r="A8537" s="4">
        <v>43867</v>
      </c>
      <c r="B8537" s="6">
        <v>55.18</v>
      </c>
    </row>
    <row r="8538" spans="1:2" x14ac:dyDescent="0.25">
      <c r="A8538" s="4">
        <v>43868</v>
      </c>
      <c r="B8538" s="6">
        <v>54.53</v>
      </c>
    </row>
    <row r="8539" spans="1:2" x14ac:dyDescent="0.25">
      <c r="A8539" s="4">
        <v>43871</v>
      </c>
      <c r="B8539" s="6">
        <v>53.39</v>
      </c>
    </row>
    <row r="8540" spans="1:2" x14ac:dyDescent="0.25">
      <c r="A8540" s="4">
        <v>43872</v>
      </c>
      <c r="B8540" s="6">
        <v>54</v>
      </c>
    </row>
    <row r="8541" spans="1:2" x14ac:dyDescent="0.25">
      <c r="A8541" s="4">
        <v>43873</v>
      </c>
      <c r="B8541" s="6">
        <v>55.54</v>
      </c>
    </row>
    <row r="8542" spans="1:2" x14ac:dyDescent="0.25">
      <c r="A8542" s="4">
        <v>43874</v>
      </c>
      <c r="B8542" s="6">
        <v>56.34</v>
      </c>
    </row>
    <row r="8543" spans="1:2" x14ac:dyDescent="0.25">
      <c r="A8543" s="4">
        <v>43875</v>
      </c>
      <c r="B8543" s="6">
        <v>57.37</v>
      </c>
    </row>
    <row r="8544" spans="1:2" x14ac:dyDescent="0.25">
      <c r="A8544" s="4">
        <v>43878</v>
      </c>
      <c r="B8544" s="6">
        <v>57.83</v>
      </c>
    </row>
    <row r="8545" spans="1:2" x14ac:dyDescent="0.25">
      <c r="A8545" s="4">
        <v>43879</v>
      </c>
      <c r="B8545" s="6">
        <v>57.35</v>
      </c>
    </row>
    <row r="8546" spans="1:2" x14ac:dyDescent="0.25">
      <c r="A8546" s="4">
        <v>43880</v>
      </c>
      <c r="B8546" s="6">
        <v>59.72</v>
      </c>
    </row>
    <row r="8547" spans="1:2" x14ac:dyDescent="0.25">
      <c r="A8547" s="4">
        <v>43881</v>
      </c>
      <c r="B8547" s="6">
        <v>59.57</v>
      </c>
    </row>
    <row r="8548" spans="1:2" x14ac:dyDescent="0.25">
      <c r="A8548" s="4">
        <v>43882</v>
      </c>
      <c r="B8548" s="6">
        <v>58.6</v>
      </c>
    </row>
    <row r="8549" spans="1:2" x14ac:dyDescent="0.25">
      <c r="A8549" s="4">
        <v>43885</v>
      </c>
      <c r="B8549" s="6">
        <v>56.71</v>
      </c>
    </row>
    <row r="8550" spans="1:2" x14ac:dyDescent="0.25">
      <c r="A8550" s="4">
        <v>43886</v>
      </c>
      <c r="B8550" s="6">
        <v>55.29</v>
      </c>
    </row>
    <row r="8551" spans="1:2" x14ac:dyDescent="0.25">
      <c r="A8551" s="4">
        <v>43887</v>
      </c>
      <c r="B8551" s="6">
        <v>54.96</v>
      </c>
    </row>
    <row r="8552" spans="1:2" x14ac:dyDescent="0.25">
      <c r="A8552" s="4">
        <v>43888</v>
      </c>
      <c r="B8552" s="6">
        <v>52.19</v>
      </c>
    </row>
    <row r="8553" spans="1:2" x14ac:dyDescent="0.25">
      <c r="A8553" s="4">
        <v>43889</v>
      </c>
      <c r="B8553" s="6">
        <v>51.31</v>
      </c>
    </row>
    <row r="8554" spans="1:2" x14ac:dyDescent="0.25">
      <c r="A8554" s="4">
        <v>43892</v>
      </c>
      <c r="B8554" s="6">
        <v>52.52</v>
      </c>
    </row>
    <row r="8555" spans="1:2" x14ac:dyDescent="0.25">
      <c r="A8555" s="4">
        <v>43893</v>
      </c>
      <c r="B8555" s="6">
        <v>52.24</v>
      </c>
    </row>
    <row r="8556" spans="1:2" x14ac:dyDescent="0.25">
      <c r="A8556" s="4">
        <v>43894</v>
      </c>
      <c r="B8556" s="6">
        <v>51.86</v>
      </c>
    </row>
    <row r="8557" spans="1:2" x14ac:dyDescent="0.25">
      <c r="A8557" s="4">
        <v>43895</v>
      </c>
      <c r="B8557" s="6">
        <v>51.29</v>
      </c>
    </row>
    <row r="8558" spans="1:2" x14ac:dyDescent="0.25">
      <c r="A8558" s="4">
        <v>43896</v>
      </c>
      <c r="B8558" s="6">
        <v>45.6</v>
      </c>
    </row>
    <row r="8559" spans="1:2" x14ac:dyDescent="0.25">
      <c r="A8559" s="4">
        <v>43899</v>
      </c>
      <c r="B8559" s="6">
        <v>35.33</v>
      </c>
    </row>
    <row r="8560" spans="1:2" x14ac:dyDescent="0.25">
      <c r="A8560" s="4">
        <v>43900</v>
      </c>
      <c r="B8560" s="6">
        <v>35.57</v>
      </c>
    </row>
    <row r="8561" spans="1:2" x14ac:dyDescent="0.25">
      <c r="A8561" s="4">
        <v>43901</v>
      </c>
      <c r="B8561" s="6">
        <v>34.450000000000003</v>
      </c>
    </row>
    <row r="8562" spans="1:2" x14ac:dyDescent="0.25">
      <c r="A8562" s="4">
        <v>43902</v>
      </c>
      <c r="B8562" s="6">
        <v>31.02</v>
      </c>
    </row>
    <row r="8563" spans="1:2" x14ac:dyDescent="0.25">
      <c r="A8563" s="4">
        <v>43903</v>
      </c>
      <c r="B8563" s="6">
        <v>32.25</v>
      </c>
    </row>
    <row r="8564" spans="1:2" x14ac:dyDescent="0.25">
      <c r="A8564" s="4">
        <v>43906</v>
      </c>
      <c r="B8564" s="6">
        <v>27.98</v>
      </c>
    </row>
    <row r="8565" spans="1:2" x14ac:dyDescent="0.25">
      <c r="A8565" s="4">
        <v>43907</v>
      </c>
      <c r="B8565" s="6">
        <v>27.97</v>
      </c>
    </row>
    <row r="8566" spans="1:2" x14ac:dyDescent="0.25">
      <c r="A8566" s="4">
        <v>43908</v>
      </c>
      <c r="B8566" s="6">
        <v>22.79</v>
      </c>
    </row>
    <row r="8567" spans="1:2" x14ac:dyDescent="0.25">
      <c r="A8567" s="4">
        <v>43909</v>
      </c>
      <c r="B8567" s="6">
        <v>23.98</v>
      </c>
    </row>
    <row r="8568" spans="1:2" x14ac:dyDescent="0.25">
      <c r="A8568" s="4">
        <v>43910</v>
      </c>
      <c r="B8568" s="6">
        <v>25.55</v>
      </c>
    </row>
    <row r="8569" spans="1:2" x14ac:dyDescent="0.25">
      <c r="A8569" s="4">
        <v>43913</v>
      </c>
      <c r="B8569" s="6">
        <v>23.75</v>
      </c>
    </row>
    <row r="8570" spans="1:2" x14ac:dyDescent="0.25">
      <c r="A8570" s="4">
        <v>43914</v>
      </c>
      <c r="B8570" s="6">
        <v>24.5</v>
      </c>
    </row>
    <row r="8571" spans="1:2" x14ac:dyDescent="0.25">
      <c r="A8571" s="4">
        <v>43915</v>
      </c>
      <c r="B8571" s="6">
        <v>25.62</v>
      </c>
    </row>
    <row r="8572" spans="1:2" x14ac:dyDescent="0.25">
      <c r="A8572" s="4">
        <v>43916</v>
      </c>
      <c r="B8572" s="6">
        <v>23.55</v>
      </c>
    </row>
    <row r="8573" spans="1:2" x14ac:dyDescent="0.25">
      <c r="A8573" s="4">
        <v>43917</v>
      </c>
      <c r="B8573" s="6">
        <v>22.39</v>
      </c>
    </row>
    <row r="8574" spans="1:2" x14ac:dyDescent="0.25">
      <c r="A8574" s="4">
        <v>43920</v>
      </c>
      <c r="B8574" s="6">
        <v>19.190000000000001</v>
      </c>
    </row>
    <row r="8575" spans="1:2" x14ac:dyDescent="0.25">
      <c r="A8575" s="4">
        <v>43921</v>
      </c>
      <c r="B8575" s="6">
        <v>14.85</v>
      </c>
    </row>
    <row r="8576" spans="1:2" x14ac:dyDescent="0.25">
      <c r="A8576" s="4">
        <v>43922</v>
      </c>
      <c r="B8576" s="6">
        <v>14.97</v>
      </c>
    </row>
    <row r="8577" spans="1:2" x14ac:dyDescent="0.25">
      <c r="A8577" s="4">
        <v>43923</v>
      </c>
      <c r="B8577" s="6">
        <v>20.239999999999998</v>
      </c>
    </row>
    <row r="8578" spans="1:2" x14ac:dyDescent="0.25">
      <c r="A8578" s="4">
        <v>43924</v>
      </c>
      <c r="B8578" s="6">
        <v>24.33</v>
      </c>
    </row>
    <row r="8579" spans="1:2" x14ac:dyDescent="0.25">
      <c r="A8579" s="4">
        <v>43927</v>
      </c>
      <c r="B8579" s="6">
        <v>22.58</v>
      </c>
    </row>
    <row r="8580" spans="1:2" x14ac:dyDescent="0.25">
      <c r="A8580" s="4">
        <v>43928</v>
      </c>
      <c r="B8580" s="6">
        <v>22.1</v>
      </c>
    </row>
    <row r="8581" spans="1:2" x14ac:dyDescent="0.25">
      <c r="A8581" s="4">
        <v>43929</v>
      </c>
      <c r="B8581" s="6">
        <v>25.22</v>
      </c>
    </row>
    <row r="8582" spans="1:2" x14ac:dyDescent="0.25">
      <c r="A8582" s="4">
        <v>43930</v>
      </c>
      <c r="B8582" s="6">
        <v>20.23</v>
      </c>
    </row>
    <row r="8583" spans="1:2" x14ac:dyDescent="0.25">
      <c r="A8583" s="4">
        <v>43931</v>
      </c>
      <c r="B8583" s="5"/>
    </row>
    <row r="8584" spans="1:2" x14ac:dyDescent="0.25">
      <c r="A8584" s="4">
        <v>43934</v>
      </c>
      <c r="B8584" s="5"/>
    </row>
    <row r="8585" spans="1:2" x14ac:dyDescent="0.25">
      <c r="A8585" s="4">
        <v>43935</v>
      </c>
      <c r="B8585" s="6">
        <v>21.74</v>
      </c>
    </row>
    <row r="8586" spans="1:2" x14ac:dyDescent="0.25">
      <c r="A8586" s="4">
        <v>43936</v>
      </c>
      <c r="B8586" s="6">
        <v>19.8</v>
      </c>
    </row>
    <row r="8587" spans="1:2" x14ac:dyDescent="0.25">
      <c r="A8587" s="4">
        <v>43937</v>
      </c>
      <c r="B8587" s="6">
        <v>18.690000000000001</v>
      </c>
    </row>
    <row r="8588" spans="1:2" x14ac:dyDescent="0.25">
      <c r="A8588" s="4">
        <v>43938</v>
      </c>
      <c r="B8588" s="6">
        <v>19.75</v>
      </c>
    </row>
    <row r="8589" spans="1:2" x14ac:dyDescent="0.25">
      <c r="A8589" s="4">
        <v>43941</v>
      </c>
      <c r="B8589" s="6">
        <v>17.36</v>
      </c>
    </row>
    <row r="8590" spans="1:2" x14ac:dyDescent="0.25">
      <c r="A8590" s="4">
        <v>43942</v>
      </c>
      <c r="B8590" s="6">
        <v>9.1199999999999992</v>
      </c>
    </row>
    <row r="8591" spans="1:2" x14ac:dyDescent="0.25">
      <c r="A8591" s="4">
        <v>43943</v>
      </c>
      <c r="B8591" s="6">
        <v>13.77</v>
      </c>
    </row>
    <row r="8592" spans="1:2" x14ac:dyDescent="0.25">
      <c r="A8592" s="4">
        <v>43944</v>
      </c>
      <c r="B8592" s="6">
        <v>15.06</v>
      </c>
    </row>
    <row r="8593" spans="1:2" x14ac:dyDescent="0.25">
      <c r="A8593" s="4">
        <v>43945</v>
      </c>
      <c r="B8593" s="6">
        <v>15.87</v>
      </c>
    </row>
    <row r="8594" spans="1:2" x14ac:dyDescent="0.25">
      <c r="A8594" s="4">
        <v>43948</v>
      </c>
      <c r="B8594" s="6">
        <v>15.17</v>
      </c>
    </row>
    <row r="8595" spans="1:2" x14ac:dyDescent="0.25">
      <c r="A8595" s="4">
        <v>43949</v>
      </c>
      <c r="B8595" s="6">
        <v>15.6</v>
      </c>
    </row>
    <row r="8596" spans="1:2" x14ac:dyDescent="0.25">
      <c r="A8596" s="4">
        <v>43950</v>
      </c>
      <c r="B8596" s="6">
        <v>17.86</v>
      </c>
    </row>
    <row r="8597" spans="1:2" x14ac:dyDescent="0.25">
      <c r="A8597" s="4">
        <v>43951</v>
      </c>
      <c r="B8597" s="6">
        <v>18.11</v>
      </c>
    </row>
    <row r="8598" spans="1:2" x14ac:dyDescent="0.25">
      <c r="A8598" s="4">
        <v>43952</v>
      </c>
      <c r="B8598" s="6">
        <v>18.489999999999998</v>
      </c>
    </row>
    <row r="8599" spans="1:2" x14ac:dyDescent="0.25">
      <c r="A8599" s="4">
        <v>43955</v>
      </c>
      <c r="B8599" s="6">
        <v>20.399999999999999</v>
      </c>
    </row>
    <row r="8600" spans="1:2" x14ac:dyDescent="0.25">
      <c r="A8600" s="4">
        <v>43956</v>
      </c>
      <c r="B8600" s="6">
        <v>25.46</v>
      </c>
    </row>
    <row r="8601" spans="1:2" x14ac:dyDescent="0.25">
      <c r="A8601" s="4">
        <v>43957</v>
      </c>
      <c r="B8601" s="6">
        <v>24.2</v>
      </c>
    </row>
    <row r="8602" spans="1:2" x14ac:dyDescent="0.25">
      <c r="A8602" s="4">
        <v>43958</v>
      </c>
      <c r="B8602" s="6">
        <v>24.23</v>
      </c>
    </row>
    <row r="8603" spans="1:2" x14ac:dyDescent="0.25">
      <c r="A8603" s="4">
        <v>43959</v>
      </c>
      <c r="B8603" s="5"/>
    </row>
    <row r="8604" spans="1:2" x14ac:dyDescent="0.25">
      <c r="A8604" s="4">
        <v>43962</v>
      </c>
      <c r="B8604" s="6">
        <v>25.53</v>
      </c>
    </row>
    <row r="8605" spans="1:2" x14ac:dyDescent="0.25">
      <c r="A8605" s="4">
        <v>43963</v>
      </c>
      <c r="B8605" s="6">
        <v>26.67</v>
      </c>
    </row>
    <row r="8606" spans="1:2" x14ac:dyDescent="0.25">
      <c r="A8606" s="4">
        <v>43964</v>
      </c>
      <c r="B8606" s="6">
        <v>27.89</v>
      </c>
    </row>
    <row r="8607" spans="1:2" x14ac:dyDescent="0.25">
      <c r="A8607" s="4">
        <v>43965</v>
      </c>
      <c r="B8607" s="6">
        <v>29.87</v>
      </c>
    </row>
    <row r="8608" spans="1:2" x14ac:dyDescent="0.25">
      <c r="A8608" s="4">
        <v>43966</v>
      </c>
      <c r="B8608" s="6">
        <v>30.95</v>
      </c>
    </row>
    <row r="8609" spans="1:2" x14ac:dyDescent="0.25">
      <c r="A8609" s="4">
        <v>43969</v>
      </c>
      <c r="B8609" s="6">
        <v>33.299999999999997</v>
      </c>
    </row>
    <row r="8610" spans="1:2" x14ac:dyDescent="0.25">
      <c r="A8610" s="4">
        <v>43970</v>
      </c>
      <c r="B8610" s="6">
        <v>33.06</v>
      </c>
    </row>
    <row r="8611" spans="1:2" x14ac:dyDescent="0.25">
      <c r="A8611" s="4">
        <v>43971</v>
      </c>
      <c r="B8611" s="6">
        <v>34.76</v>
      </c>
    </row>
    <row r="8612" spans="1:2" x14ac:dyDescent="0.25">
      <c r="A8612" s="4">
        <v>43972</v>
      </c>
      <c r="B8612" s="6">
        <v>34.78</v>
      </c>
    </row>
    <row r="8613" spans="1:2" x14ac:dyDescent="0.25">
      <c r="A8613" s="4">
        <v>43973</v>
      </c>
      <c r="B8613" s="6">
        <v>33.799999999999997</v>
      </c>
    </row>
    <row r="8614" spans="1:2" x14ac:dyDescent="0.25">
      <c r="A8614" s="4">
        <v>43976</v>
      </c>
      <c r="B8614" s="5"/>
    </row>
    <row r="8615" spans="1:2" x14ac:dyDescent="0.25">
      <c r="A8615" s="4">
        <v>43977</v>
      </c>
      <c r="B8615" s="6">
        <v>33.950000000000003</v>
      </c>
    </row>
    <row r="8616" spans="1:2" x14ac:dyDescent="0.25">
      <c r="A8616" s="4">
        <v>43978</v>
      </c>
      <c r="B8616" s="6">
        <v>32.729999999999997</v>
      </c>
    </row>
    <row r="8617" spans="1:2" x14ac:dyDescent="0.25">
      <c r="A8617" s="4">
        <v>43979</v>
      </c>
      <c r="B8617" s="6">
        <v>33.979999999999997</v>
      </c>
    </row>
    <row r="8618" spans="1:2" x14ac:dyDescent="0.25">
      <c r="A8618" s="4">
        <v>43980</v>
      </c>
      <c r="B8618" s="6">
        <v>34.15</v>
      </c>
    </row>
    <row r="8619" spans="1:2" x14ac:dyDescent="0.25">
      <c r="A8619" s="4">
        <v>43983</v>
      </c>
      <c r="B8619" s="6">
        <v>36.74</v>
      </c>
    </row>
    <row r="8620" spans="1:2" x14ac:dyDescent="0.25">
      <c r="A8620" s="4">
        <v>43984</v>
      </c>
      <c r="B8620" s="6">
        <v>37.72</v>
      </c>
    </row>
    <row r="8621" spans="1:2" x14ac:dyDescent="0.25">
      <c r="A8621" s="4">
        <v>43985</v>
      </c>
      <c r="B8621" s="6">
        <v>37.979999999999997</v>
      </c>
    </row>
    <row r="8622" spans="1:2" x14ac:dyDescent="0.25">
      <c r="A8622" s="4">
        <v>43986</v>
      </c>
      <c r="B8622" s="6">
        <v>38.409999999999997</v>
      </c>
    </row>
    <row r="8623" spans="1:2" x14ac:dyDescent="0.25">
      <c r="A8623" s="4">
        <v>43987</v>
      </c>
      <c r="B8623" s="6">
        <v>41</v>
      </c>
    </row>
    <row r="8624" spans="1:2" x14ac:dyDescent="0.25">
      <c r="A8624" s="4">
        <v>43990</v>
      </c>
      <c r="B8624" s="6">
        <v>39.659999999999997</v>
      </c>
    </row>
    <row r="8625" spans="1:2" x14ac:dyDescent="0.25">
      <c r="A8625" s="4">
        <v>43991</v>
      </c>
      <c r="B8625" s="6">
        <v>40.450000000000003</v>
      </c>
    </row>
    <row r="8626" spans="1:2" x14ac:dyDescent="0.25">
      <c r="A8626" s="4">
        <v>43992</v>
      </c>
      <c r="B8626" s="6">
        <v>41.18</v>
      </c>
    </row>
    <row r="8627" spans="1:2" x14ac:dyDescent="0.25">
      <c r="A8627" s="4">
        <v>43993</v>
      </c>
      <c r="B8627" s="6">
        <v>37.76</v>
      </c>
    </row>
    <row r="8628" spans="1:2" x14ac:dyDescent="0.25">
      <c r="A8628" s="4">
        <v>43994</v>
      </c>
      <c r="B8628" s="6">
        <v>38.54</v>
      </c>
    </row>
    <row r="8629" spans="1:2" x14ac:dyDescent="0.25">
      <c r="A8629" s="4">
        <v>43997</v>
      </c>
      <c r="B8629" s="6">
        <v>39.44</v>
      </c>
    </row>
    <row r="8630" spans="1:2" x14ac:dyDescent="0.25">
      <c r="A8630" s="4">
        <v>43998</v>
      </c>
      <c r="B8630" s="6">
        <v>40.75</v>
      </c>
    </row>
    <row r="8631" spans="1:2" x14ac:dyDescent="0.25">
      <c r="A8631" s="4">
        <v>43999</v>
      </c>
      <c r="B8631" s="6">
        <v>40.47</v>
      </c>
    </row>
    <row r="8632" spans="1:2" x14ac:dyDescent="0.25">
      <c r="A8632" s="4">
        <v>44000</v>
      </c>
      <c r="B8632" s="6">
        <v>41.75</v>
      </c>
    </row>
    <row r="8633" spans="1:2" x14ac:dyDescent="0.25">
      <c r="A8633" s="4">
        <v>44001</v>
      </c>
      <c r="B8633" s="6">
        <v>42.33</v>
      </c>
    </row>
    <row r="8634" spans="1:2" x14ac:dyDescent="0.25">
      <c r="A8634" s="4">
        <v>44004</v>
      </c>
      <c r="B8634" s="6">
        <v>43.2</v>
      </c>
    </row>
    <row r="8635" spans="1:2" x14ac:dyDescent="0.25">
      <c r="A8635" s="4">
        <v>44005</v>
      </c>
      <c r="B8635" s="6">
        <v>42.72</v>
      </c>
    </row>
    <row r="8636" spans="1:2" x14ac:dyDescent="0.25">
      <c r="A8636" s="4">
        <v>44006</v>
      </c>
      <c r="B8636" s="6">
        <v>40.4</v>
      </c>
    </row>
    <row r="8637" spans="1:2" x14ac:dyDescent="0.25">
      <c r="A8637" s="4">
        <v>44007</v>
      </c>
      <c r="B8637" s="6">
        <v>41.18</v>
      </c>
    </row>
    <row r="8638" spans="1:2" x14ac:dyDescent="0.25">
      <c r="A8638" s="4">
        <v>44008</v>
      </c>
      <c r="B8638" s="6">
        <v>40.97</v>
      </c>
    </row>
    <row r="8639" spans="1:2" x14ac:dyDescent="0.25">
      <c r="A8639" s="4">
        <v>44011</v>
      </c>
      <c r="B8639" s="6">
        <v>41.58</v>
      </c>
    </row>
    <row r="8640" spans="1:2" x14ac:dyDescent="0.25">
      <c r="A8640" s="4">
        <v>44012</v>
      </c>
      <c r="B8640" s="6">
        <v>41.64</v>
      </c>
    </row>
    <row r="8641" spans="1:2" x14ac:dyDescent="0.25">
      <c r="A8641" s="4">
        <v>44013</v>
      </c>
      <c r="B8641" s="6">
        <v>42.18</v>
      </c>
    </row>
    <row r="8642" spans="1:2" x14ac:dyDescent="0.25">
      <c r="A8642" s="4">
        <v>44014</v>
      </c>
      <c r="B8642" s="6">
        <v>43.19</v>
      </c>
    </row>
    <row r="8643" spans="1:2" x14ac:dyDescent="0.25">
      <c r="A8643" s="4">
        <v>44015</v>
      </c>
      <c r="B8643" s="6">
        <v>42.92</v>
      </c>
    </row>
    <row r="8644" spans="1:2" x14ac:dyDescent="0.25">
      <c r="A8644" s="4">
        <v>44018</v>
      </c>
      <c r="B8644" s="6">
        <v>42.73</v>
      </c>
    </row>
    <row r="8645" spans="1:2" x14ac:dyDescent="0.25">
      <c r="A8645" s="4">
        <v>44019</v>
      </c>
      <c r="B8645" s="6">
        <v>43.28</v>
      </c>
    </row>
    <row r="8646" spans="1:2" x14ac:dyDescent="0.25">
      <c r="A8646" s="4">
        <v>44020</v>
      </c>
      <c r="B8646" s="6">
        <v>43.67</v>
      </c>
    </row>
    <row r="8647" spans="1:2" x14ac:dyDescent="0.25">
      <c r="A8647" s="4">
        <v>44021</v>
      </c>
      <c r="B8647" s="6">
        <v>42.35</v>
      </c>
    </row>
    <row r="8648" spans="1:2" x14ac:dyDescent="0.25">
      <c r="A8648" s="4">
        <v>44022</v>
      </c>
      <c r="B8648" s="6">
        <v>43.27</v>
      </c>
    </row>
    <row r="8649" spans="1:2" x14ac:dyDescent="0.25">
      <c r="A8649" s="4">
        <v>44025</v>
      </c>
      <c r="B8649" s="6">
        <v>42.85</v>
      </c>
    </row>
    <row r="8650" spans="1:2" x14ac:dyDescent="0.25">
      <c r="A8650" s="4">
        <v>44026</v>
      </c>
      <c r="B8650" s="6">
        <v>42.97</v>
      </c>
    </row>
    <row r="8651" spans="1:2" x14ac:dyDescent="0.25">
      <c r="A8651" s="4">
        <v>44027</v>
      </c>
      <c r="B8651" s="6">
        <v>43.96</v>
      </c>
    </row>
    <row r="8652" spans="1:2" x14ac:dyDescent="0.25">
      <c r="A8652" s="4">
        <v>44028</v>
      </c>
      <c r="B8652" s="6">
        <v>43.71</v>
      </c>
    </row>
    <row r="8653" spans="1:2" x14ac:dyDescent="0.25">
      <c r="A8653" s="4">
        <v>44029</v>
      </c>
      <c r="B8653" s="6">
        <v>43.53</v>
      </c>
    </row>
    <row r="8654" spans="1:2" x14ac:dyDescent="0.25">
      <c r="A8654" s="4">
        <v>44032</v>
      </c>
      <c r="B8654" s="6">
        <v>43.3</v>
      </c>
    </row>
    <row r="8655" spans="1:2" x14ac:dyDescent="0.25">
      <c r="A8655" s="4">
        <v>44033</v>
      </c>
      <c r="B8655" s="6">
        <v>44.31</v>
      </c>
    </row>
    <row r="8656" spans="1:2" x14ac:dyDescent="0.25">
      <c r="A8656" s="4">
        <v>44034</v>
      </c>
      <c r="B8656" s="6">
        <v>43.98</v>
      </c>
    </row>
    <row r="8657" spans="1:2" x14ac:dyDescent="0.25">
      <c r="A8657" s="4">
        <v>44035</v>
      </c>
      <c r="B8657" s="6">
        <v>42.96</v>
      </c>
    </row>
    <row r="8658" spans="1:2" x14ac:dyDescent="0.25">
      <c r="A8658" s="4">
        <v>44036</v>
      </c>
      <c r="B8658" s="6">
        <v>43.29</v>
      </c>
    </row>
    <row r="8659" spans="1:2" x14ac:dyDescent="0.25">
      <c r="A8659" s="4">
        <v>44039</v>
      </c>
      <c r="B8659" s="6">
        <v>43.39</v>
      </c>
    </row>
    <row r="8660" spans="1:2" x14ac:dyDescent="0.25">
      <c r="A8660" s="4">
        <v>44040</v>
      </c>
      <c r="B8660" s="6">
        <v>43.11</v>
      </c>
    </row>
    <row r="8661" spans="1:2" x14ac:dyDescent="0.25">
      <c r="A8661" s="4">
        <v>44041</v>
      </c>
      <c r="B8661" s="6">
        <v>43.51</v>
      </c>
    </row>
    <row r="8662" spans="1:2" x14ac:dyDescent="0.25">
      <c r="A8662" s="4">
        <v>44042</v>
      </c>
      <c r="B8662" s="6">
        <v>42.98</v>
      </c>
    </row>
    <row r="8663" spans="1:2" x14ac:dyDescent="0.25">
      <c r="A8663" s="4">
        <v>44043</v>
      </c>
      <c r="B8663" s="6">
        <v>43.13</v>
      </c>
    </row>
    <row r="8664" spans="1:2" x14ac:dyDescent="0.25">
      <c r="A8664" s="4">
        <v>44046</v>
      </c>
      <c r="B8664" s="6">
        <v>43.76</v>
      </c>
    </row>
    <row r="8665" spans="1:2" x14ac:dyDescent="0.25">
      <c r="A8665" s="4">
        <v>44047</v>
      </c>
      <c r="B8665" s="6">
        <v>43.99</v>
      </c>
    </row>
    <row r="8666" spans="1:2" x14ac:dyDescent="0.25">
      <c r="A8666" s="4">
        <v>44048</v>
      </c>
      <c r="B8666" s="6">
        <v>44.92</v>
      </c>
    </row>
    <row r="8667" spans="1:2" x14ac:dyDescent="0.25">
      <c r="A8667" s="4">
        <v>44049</v>
      </c>
      <c r="B8667" s="6">
        <v>45.04</v>
      </c>
    </row>
    <row r="8668" spans="1:2" x14ac:dyDescent="0.25">
      <c r="A8668" s="4">
        <v>44050</v>
      </c>
      <c r="B8668" s="6">
        <v>44.07</v>
      </c>
    </row>
    <row r="8669" spans="1:2" x14ac:dyDescent="0.25">
      <c r="A8669" s="4">
        <v>44053</v>
      </c>
      <c r="B8669" s="6">
        <v>44.19</v>
      </c>
    </row>
    <row r="8670" spans="1:2" x14ac:dyDescent="0.25">
      <c r="A8670" s="4">
        <v>44054</v>
      </c>
      <c r="B8670" s="6">
        <v>43.68</v>
      </c>
    </row>
    <row r="8671" spans="1:2" x14ac:dyDescent="0.25">
      <c r="A8671" s="4">
        <v>44055</v>
      </c>
      <c r="B8671" s="6">
        <v>45.09</v>
      </c>
    </row>
    <row r="8672" spans="1:2" x14ac:dyDescent="0.25">
      <c r="A8672" s="4">
        <v>44056</v>
      </c>
      <c r="B8672" s="6">
        <v>44.87</v>
      </c>
    </row>
    <row r="8673" spans="1:2" x14ac:dyDescent="0.25">
      <c r="A8673" s="4">
        <v>44057</v>
      </c>
      <c r="B8673" s="6">
        <v>44.86</v>
      </c>
    </row>
    <row r="8674" spans="1:2" x14ac:dyDescent="0.25">
      <c r="A8674" s="4">
        <v>44060</v>
      </c>
      <c r="B8674" s="6">
        <v>44.91</v>
      </c>
    </row>
    <row r="8675" spans="1:2" x14ac:dyDescent="0.25">
      <c r="A8675" s="4">
        <v>44061</v>
      </c>
      <c r="B8675" s="6">
        <v>45.34</v>
      </c>
    </row>
    <row r="8676" spans="1:2" x14ac:dyDescent="0.25">
      <c r="A8676" s="4">
        <v>44062</v>
      </c>
      <c r="B8676" s="6">
        <v>45.21</v>
      </c>
    </row>
    <row r="8677" spans="1:2" x14ac:dyDescent="0.25">
      <c r="A8677" s="4">
        <v>44063</v>
      </c>
      <c r="B8677" s="6">
        <v>44.56</v>
      </c>
    </row>
    <row r="8678" spans="1:2" x14ac:dyDescent="0.25">
      <c r="A8678" s="4">
        <v>44064</v>
      </c>
      <c r="B8678" s="6">
        <v>43.94</v>
      </c>
    </row>
    <row r="8679" spans="1:2" x14ac:dyDescent="0.25">
      <c r="A8679" s="4">
        <v>44067</v>
      </c>
      <c r="B8679" s="6">
        <v>44.43</v>
      </c>
    </row>
    <row r="8680" spans="1:2" x14ac:dyDescent="0.25">
      <c r="A8680" s="4">
        <v>44068</v>
      </c>
      <c r="B8680" s="6">
        <v>46.01</v>
      </c>
    </row>
    <row r="8681" spans="1:2" x14ac:dyDescent="0.25">
      <c r="A8681" s="4">
        <v>44069</v>
      </c>
      <c r="B8681" s="6">
        <v>45.79</v>
      </c>
    </row>
    <row r="8682" spans="1:2" x14ac:dyDescent="0.25">
      <c r="A8682" s="4">
        <v>44070</v>
      </c>
      <c r="B8682" s="6">
        <v>44.84</v>
      </c>
    </row>
    <row r="8683" spans="1:2" x14ac:dyDescent="0.25">
      <c r="A8683" s="4">
        <v>44071</v>
      </c>
      <c r="B8683" s="6">
        <v>45.22</v>
      </c>
    </row>
    <row r="8684" spans="1:2" x14ac:dyDescent="0.25">
      <c r="A8684" s="4">
        <v>44074</v>
      </c>
      <c r="B8684" s="5"/>
    </row>
    <row r="8685" spans="1:2" x14ac:dyDescent="0.25">
      <c r="A8685" s="4">
        <v>44075</v>
      </c>
      <c r="B8685" s="6">
        <v>45.72</v>
      </c>
    </row>
    <row r="8686" spans="1:2" x14ac:dyDescent="0.25">
      <c r="A8686" s="4">
        <v>44076</v>
      </c>
      <c r="B8686" s="6">
        <v>42.7</v>
      </c>
    </row>
    <row r="8687" spans="1:2" x14ac:dyDescent="0.25">
      <c r="A8687" s="4">
        <v>44077</v>
      </c>
      <c r="B8687" s="6">
        <v>42.72</v>
      </c>
    </row>
    <row r="8688" spans="1:2" x14ac:dyDescent="0.25">
      <c r="A8688" s="4">
        <v>44078</v>
      </c>
      <c r="B8688" s="6">
        <v>41.1</v>
      </c>
    </row>
    <row r="8689" spans="1:2" x14ac:dyDescent="0.25">
      <c r="A8689" s="4">
        <v>44081</v>
      </c>
      <c r="B8689" s="6">
        <v>40.67</v>
      </c>
    </row>
    <row r="8690" spans="1:2" x14ac:dyDescent="0.25">
      <c r="A8690" s="4">
        <v>44082</v>
      </c>
      <c r="B8690" s="6">
        <v>38.53</v>
      </c>
    </row>
    <row r="8691" spans="1:2" x14ac:dyDescent="0.25">
      <c r="A8691" s="4">
        <v>44083</v>
      </c>
      <c r="B8691" s="6">
        <v>39.979999999999997</v>
      </c>
    </row>
    <row r="8692" spans="1:2" x14ac:dyDescent="0.25">
      <c r="A8692" s="4">
        <v>44084</v>
      </c>
      <c r="B8692" s="6">
        <v>39.270000000000003</v>
      </c>
    </row>
    <row r="8693" spans="1:2" x14ac:dyDescent="0.25">
      <c r="A8693" s="4">
        <v>44085</v>
      </c>
      <c r="B8693" s="6">
        <v>38.799999999999997</v>
      </c>
    </row>
    <row r="8694" spans="1:2" x14ac:dyDescent="0.25">
      <c r="A8694" s="4">
        <v>44088</v>
      </c>
      <c r="B8694" s="6">
        <v>38.57</v>
      </c>
    </row>
    <row r="8695" spans="1:2" x14ac:dyDescent="0.25">
      <c r="A8695" s="4">
        <v>44089</v>
      </c>
      <c r="B8695" s="6">
        <v>39.54</v>
      </c>
    </row>
    <row r="8696" spans="1:2" x14ac:dyDescent="0.25">
      <c r="A8696" s="4">
        <v>44090</v>
      </c>
      <c r="B8696" s="6">
        <v>41.23</v>
      </c>
    </row>
    <row r="8697" spans="1:2" x14ac:dyDescent="0.25">
      <c r="A8697" s="4">
        <v>44091</v>
      </c>
      <c r="B8697" s="6">
        <v>42.35</v>
      </c>
    </row>
    <row r="8698" spans="1:2" x14ac:dyDescent="0.25">
      <c r="A8698" s="4">
        <v>44092</v>
      </c>
      <c r="B8698" s="6">
        <v>42.16</v>
      </c>
    </row>
    <row r="8699" spans="1:2" x14ac:dyDescent="0.25">
      <c r="A8699" s="4">
        <v>44095</v>
      </c>
      <c r="B8699" s="6">
        <v>40.369999999999997</v>
      </c>
    </row>
    <row r="8700" spans="1:2" x14ac:dyDescent="0.25">
      <c r="A8700" s="4">
        <v>44096</v>
      </c>
      <c r="B8700" s="6">
        <v>40.840000000000003</v>
      </c>
    </row>
    <row r="8701" spans="1:2" x14ac:dyDescent="0.25">
      <c r="A8701" s="4">
        <v>44097</v>
      </c>
      <c r="B8701" s="6">
        <v>41.09</v>
      </c>
    </row>
    <row r="8702" spans="1:2" x14ac:dyDescent="0.25">
      <c r="A8702" s="4">
        <v>44098</v>
      </c>
      <c r="B8702" s="6">
        <v>41.24</v>
      </c>
    </row>
    <row r="8703" spans="1:2" x14ac:dyDescent="0.25">
      <c r="A8703" s="4">
        <v>44099</v>
      </c>
      <c r="B8703" s="6">
        <v>40.909999999999997</v>
      </c>
    </row>
    <row r="8704" spans="1:2" x14ac:dyDescent="0.25">
      <c r="A8704" s="4">
        <v>44102</v>
      </c>
      <c r="B8704" s="6">
        <v>41.59</v>
      </c>
    </row>
    <row r="8705" spans="1:2" x14ac:dyDescent="0.25">
      <c r="A8705" s="4">
        <v>44103</v>
      </c>
      <c r="B8705" s="6">
        <v>40.33</v>
      </c>
    </row>
    <row r="8706" spans="1:2" x14ac:dyDescent="0.25">
      <c r="A8706" s="4">
        <v>44104</v>
      </c>
      <c r="B8706" s="6">
        <v>40.299999999999997</v>
      </c>
    </row>
    <row r="8707" spans="1:2" x14ac:dyDescent="0.25">
      <c r="A8707" s="4">
        <v>44105</v>
      </c>
      <c r="B8707" s="6">
        <v>39.75</v>
      </c>
    </row>
    <row r="8708" spans="1:2" x14ac:dyDescent="0.25">
      <c r="A8708" s="4">
        <v>44106</v>
      </c>
      <c r="B8708" s="6">
        <v>38</v>
      </c>
    </row>
    <row r="8709" spans="1:2" x14ac:dyDescent="0.25">
      <c r="A8709" s="4">
        <v>44109</v>
      </c>
      <c r="B8709" s="6">
        <v>39.78</v>
      </c>
    </row>
    <row r="8710" spans="1:2" x14ac:dyDescent="0.25">
      <c r="A8710" s="4">
        <v>44110</v>
      </c>
      <c r="B8710" s="6">
        <v>41.27</v>
      </c>
    </row>
    <row r="8711" spans="1:2" x14ac:dyDescent="0.25">
      <c r="A8711" s="4">
        <v>44111</v>
      </c>
      <c r="B8711" s="6">
        <v>40.619999999999997</v>
      </c>
    </row>
    <row r="8712" spans="1:2" x14ac:dyDescent="0.25">
      <c r="A8712" s="4">
        <v>44112</v>
      </c>
      <c r="B8712" s="6">
        <v>42</v>
      </c>
    </row>
    <row r="8713" spans="1:2" x14ac:dyDescent="0.25">
      <c r="A8713" s="4">
        <v>44113</v>
      </c>
      <c r="B8713" s="6">
        <v>41.63</v>
      </c>
    </row>
    <row r="8714" spans="1:2" x14ac:dyDescent="0.25">
      <c r="A8714" s="4">
        <v>44116</v>
      </c>
      <c r="B8714" s="6">
        <v>40.5</v>
      </c>
    </row>
    <row r="8715" spans="1:2" x14ac:dyDescent="0.25">
      <c r="A8715" s="4">
        <v>44117</v>
      </c>
      <c r="B8715" s="6">
        <v>41.34</v>
      </c>
    </row>
    <row r="8716" spans="1:2" x14ac:dyDescent="0.25">
      <c r="A8716" s="4">
        <v>44118</v>
      </c>
      <c r="B8716" s="6">
        <v>41.81</v>
      </c>
    </row>
    <row r="8717" spans="1:2" x14ac:dyDescent="0.25">
      <c r="A8717" s="4">
        <v>44119</v>
      </c>
      <c r="B8717" s="6">
        <v>41.61</v>
      </c>
    </row>
    <row r="8718" spans="1:2" x14ac:dyDescent="0.25">
      <c r="A8718" s="4">
        <v>44120</v>
      </c>
      <c r="B8718" s="6">
        <v>41.34</v>
      </c>
    </row>
    <row r="8719" spans="1:2" x14ac:dyDescent="0.25">
      <c r="A8719" s="4">
        <v>44123</v>
      </c>
      <c r="B8719" s="6">
        <v>41.29</v>
      </c>
    </row>
    <row r="8720" spans="1:2" x14ac:dyDescent="0.25">
      <c r="A8720" s="4">
        <v>44124</v>
      </c>
      <c r="B8720" s="6">
        <v>41.62</v>
      </c>
    </row>
    <row r="8721" spans="1:2" x14ac:dyDescent="0.25">
      <c r="A8721" s="4">
        <v>44125</v>
      </c>
      <c r="B8721" s="6">
        <v>40.090000000000003</v>
      </c>
    </row>
    <row r="8722" spans="1:2" x14ac:dyDescent="0.25">
      <c r="A8722" s="4">
        <v>44126</v>
      </c>
      <c r="B8722" s="6">
        <v>41.28</v>
      </c>
    </row>
    <row r="8723" spans="1:2" x14ac:dyDescent="0.25">
      <c r="A8723" s="4">
        <v>44127</v>
      </c>
      <c r="B8723" s="6">
        <v>40.71</v>
      </c>
    </row>
    <row r="8724" spans="1:2" x14ac:dyDescent="0.25">
      <c r="A8724" s="4">
        <v>44130</v>
      </c>
      <c r="B8724" s="6">
        <v>39.06</v>
      </c>
    </row>
    <row r="8725" spans="1:2" x14ac:dyDescent="0.25">
      <c r="A8725" s="4">
        <v>44131</v>
      </c>
      <c r="B8725" s="6">
        <v>39.72</v>
      </c>
    </row>
    <row r="8726" spans="1:2" x14ac:dyDescent="0.25">
      <c r="A8726" s="4">
        <v>44132</v>
      </c>
      <c r="B8726" s="6">
        <v>37.86</v>
      </c>
    </row>
    <row r="8727" spans="1:2" x14ac:dyDescent="0.25">
      <c r="A8727" s="4">
        <v>44133</v>
      </c>
      <c r="B8727" s="6">
        <v>36.56</v>
      </c>
    </row>
    <row r="8728" spans="1:2" x14ac:dyDescent="0.25">
      <c r="A8728" s="4">
        <v>44134</v>
      </c>
      <c r="B8728" s="6">
        <v>36.33</v>
      </c>
    </row>
    <row r="8729" spans="1:2" x14ac:dyDescent="0.25">
      <c r="A8729" s="4">
        <v>44137</v>
      </c>
      <c r="B8729" s="6">
        <v>37.78</v>
      </c>
    </row>
    <row r="8730" spans="1:2" x14ac:dyDescent="0.25">
      <c r="A8730" s="4">
        <v>44138</v>
      </c>
      <c r="B8730" s="6">
        <v>38.17</v>
      </c>
    </row>
    <row r="8731" spans="1:2" x14ac:dyDescent="0.25">
      <c r="A8731" s="4">
        <v>44139</v>
      </c>
      <c r="B8731" s="6">
        <v>39.68</v>
      </c>
    </row>
    <row r="8732" spans="1:2" x14ac:dyDescent="0.25">
      <c r="A8732" s="4">
        <v>44140</v>
      </c>
      <c r="B8732" s="6">
        <v>39.47</v>
      </c>
    </row>
    <row r="8733" spans="1:2" x14ac:dyDescent="0.25">
      <c r="A8733" s="4">
        <v>44141</v>
      </c>
      <c r="B8733" s="6">
        <v>38.08</v>
      </c>
    </row>
    <row r="8734" spans="1:2" x14ac:dyDescent="0.25">
      <c r="A8734" s="4">
        <v>44144</v>
      </c>
      <c r="B8734" s="6">
        <v>40.93</v>
      </c>
    </row>
    <row r="8735" spans="1:2" x14ac:dyDescent="0.25">
      <c r="A8735" s="4">
        <v>44145</v>
      </c>
      <c r="B8735" s="6">
        <v>42.25</v>
      </c>
    </row>
    <row r="8736" spans="1:2" x14ac:dyDescent="0.25">
      <c r="A8736" s="4">
        <v>44146</v>
      </c>
      <c r="B8736" s="6">
        <v>42.5</v>
      </c>
    </row>
    <row r="8737" spans="1:2" x14ac:dyDescent="0.25">
      <c r="A8737" s="4">
        <v>44147</v>
      </c>
      <c r="B8737" s="6">
        <v>42.16</v>
      </c>
    </row>
    <row r="8738" spans="1:2" x14ac:dyDescent="0.25">
      <c r="A8738" s="4">
        <v>44148</v>
      </c>
      <c r="B8738" s="6">
        <v>41.51</v>
      </c>
    </row>
    <row r="8739" spans="1:2" x14ac:dyDescent="0.25">
      <c r="A8739" s="4">
        <v>44151</v>
      </c>
      <c r="B8739" s="6">
        <v>42.71</v>
      </c>
    </row>
    <row r="8740" spans="1:2" x14ac:dyDescent="0.25">
      <c r="A8740" s="4">
        <v>44152</v>
      </c>
      <c r="B8740" s="6">
        <v>42.54</v>
      </c>
    </row>
    <row r="8741" spans="1:2" x14ac:dyDescent="0.25">
      <c r="A8741" s="4">
        <v>44153</v>
      </c>
      <c r="B8741" s="6">
        <v>42.91</v>
      </c>
    </row>
    <row r="8742" spans="1:2" x14ac:dyDescent="0.25">
      <c r="A8742" s="4">
        <v>44154</v>
      </c>
      <c r="B8742" s="6">
        <v>43.09</v>
      </c>
    </row>
    <row r="8743" spans="1:2" x14ac:dyDescent="0.25">
      <c r="A8743" s="4">
        <v>44155</v>
      </c>
      <c r="B8743" s="6">
        <v>43.79</v>
      </c>
    </row>
    <row r="8744" spans="1:2" x14ac:dyDescent="0.25">
      <c r="A8744" s="4">
        <v>44158</v>
      </c>
      <c r="B8744" s="6">
        <v>45</v>
      </c>
    </row>
    <row r="8745" spans="1:2" x14ac:dyDescent="0.25">
      <c r="A8745" s="4">
        <v>44159</v>
      </c>
      <c r="B8745" s="6">
        <v>46.63</v>
      </c>
    </row>
    <row r="8746" spans="1:2" x14ac:dyDescent="0.25">
      <c r="A8746" s="4">
        <v>44160</v>
      </c>
      <c r="B8746" s="6">
        <v>47.3</v>
      </c>
    </row>
    <row r="8747" spans="1:2" x14ac:dyDescent="0.25">
      <c r="A8747" s="4">
        <v>44161</v>
      </c>
      <c r="B8747" s="6">
        <v>46.32</v>
      </c>
    </row>
    <row r="8748" spans="1:2" x14ac:dyDescent="0.25">
      <c r="A8748" s="4">
        <v>44162</v>
      </c>
      <c r="B8748" s="6">
        <v>46.88</v>
      </c>
    </row>
    <row r="8749" spans="1:2" x14ac:dyDescent="0.25">
      <c r="A8749" s="4">
        <v>44165</v>
      </c>
      <c r="B8749" s="6">
        <v>46.84</v>
      </c>
    </row>
    <row r="8750" spans="1:2" x14ac:dyDescent="0.25">
      <c r="A8750" s="4">
        <v>44166</v>
      </c>
      <c r="B8750" s="6">
        <v>47.03</v>
      </c>
    </row>
    <row r="8751" spans="1:2" x14ac:dyDescent="0.25">
      <c r="A8751" s="4">
        <v>44167</v>
      </c>
      <c r="B8751" s="6">
        <v>47.8</v>
      </c>
    </row>
    <row r="8752" spans="1:2" x14ac:dyDescent="0.25">
      <c r="A8752" s="4">
        <v>44168</v>
      </c>
      <c r="B8752" s="6">
        <v>48.37</v>
      </c>
    </row>
    <row r="8753" spans="1:2" x14ac:dyDescent="0.25">
      <c r="A8753" s="4">
        <v>44169</v>
      </c>
      <c r="B8753" s="6">
        <v>49.1</v>
      </c>
    </row>
    <row r="8754" spans="1:2" x14ac:dyDescent="0.25">
      <c r="A8754" s="4">
        <v>44172</v>
      </c>
      <c r="B8754" s="6">
        <v>48.63</v>
      </c>
    </row>
    <row r="8755" spans="1:2" x14ac:dyDescent="0.25">
      <c r="A8755" s="4">
        <v>44173</v>
      </c>
      <c r="B8755" s="6">
        <v>48.84</v>
      </c>
    </row>
    <row r="8756" spans="1:2" x14ac:dyDescent="0.25">
      <c r="A8756" s="4">
        <v>44174</v>
      </c>
      <c r="B8756" s="6">
        <v>48.81</v>
      </c>
    </row>
    <row r="8757" spans="1:2" x14ac:dyDescent="0.25">
      <c r="A8757" s="4">
        <v>44175</v>
      </c>
      <c r="B8757" s="6">
        <v>50.33</v>
      </c>
    </row>
    <row r="8758" spans="1:2" x14ac:dyDescent="0.25">
      <c r="A8758" s="4">
        <v>44176</v>
      </c>
      <c r="B8758" s="6">
        <v>50.01</v>
      </c>
    </row>
    <row r="8759" spans="1:2" x14ac:dyDescent="0.25">
      <c r="A8759" s="4">
        <v>44179</v>
      </c>
      <c r="B8759" s="6">
        <v>50.27</v>
      </c>
    </row>
    <row r="8760" spans="1:2" x14ac:dyDescent="0.25">
      <c r="A8760" s="4">
        <v>44180</v>
      </c>
      <c r="B8760" s="6">
        <v>50.77</v>
      </c>
    </row>
    <row r="8761" spans="1:2" x14ac:dyDescent="0.25">
      <c r="A8761" s="4">
        <v>44181</v>
      </c>
      <c r="B8761" s="6">
        <v>50.83</v>
      </c>
    </row>
    <row r="8762" spans="1:2" x14ac:dyDescent="0.25">
      <c r="A8762" s="4">
        <v>44182</v>
      </c>
      <c r="B8762" s="6">
        <v>51.2</v>
      </c>
    </row>
    <row r="8763" spans="1:2" x14ac:dyDescent="0.25">
      <c r="A8763" s="4">
        <v>44183</v>
      </c>
      <c r="B8763" s="6">
        <v>52.17</v>
      </c>
    </row>
    <row r="8764" spans="1:2" x14ac:dyDescent="0.25">
      <c r="A8764" s="4">
        <v>44186</v>
      </c>
      <c r="B8764" s="6">
        <v>50.61</v>
      </c>
    </row>
    <row r="8765" spans="1:2" x14ac:dyDescent="0.25">
      <c r="A8765" s="4">
        <v>44187</v>
      </c>
      <c r="B8765" s="6">
        <v>49.88</v>
      </c>
    </row>
    <row r="8766" spans="1:2" x14ac:dyDescent="0.25">
      <c r="A8766" s="4">
        <v>44188</v>
      </c>
      <c r="B8766" s="6">
        <v>51.05</v>
      </c>
    </row>
    <row r="8767" spans="1:2" x14ac:dyDescent="0.25">
      <c r="A8767" s="4">
        <v>44189</v>
      </c>
      <c r="B8767" s="6">
        <v>50.88</v>
      </c>
    </row>
    <row r="8768" spans="1:2" x14ac:dyDescent="0.25">
      <c r="A8768" s="4">
        <v>44190</v>
      </c>
      <c r="B8768" s="5"/>
    </row>
    <row r="8769" spans="1:2" x14ac:dyDescent="0.25">
      <c r="A8769" s="4">
        <v>44193</v>
      </c>
      <c r="B8769" s="6">
        <v>50.88</v>
      </c>
    </row>
    <row r="8770" spans="1:2" x14ac:dyDescent="0.25">
      <c r="A8770" s="4">
        <v>44194</v>
      </c>
      <c r="B8770" s="6">
        <v>50.44</v>
      </c>
    </row>
    <row r="8771" spans="1:2" x14ac:dyDescent="0.25">
      <c r="A8771" s="4">
        <v>44195</v>
      </c>
      <c r="B8771" s="6">
        <v>50.74</v>
      </c>
    </row>
    <row r="8772" spans="1:2" x14ac:dyDescent="0.25">
      <c r="A8772" s="4">
        <v>44196</v>
      </c>
      <c r="B8772" s="6">
        <v>51.22</v>
      </c>
    </row>
    <row r="8773" spans="1:2" x14ac:dyDescent="0.25">
      <c r="A8773" s="4">
        <v>44197</v>
      </c>
      <c r="B8773" s="5"/>
    </row>
    <row r="8774" spans="1:2" x14ac:dyDescent="0.25">
      <c r="A8774" s="4">
        <v>44200</v>
      </c>
      <c r="B8774" s="6">
        <v>50.37</v>
      </c>
    </row>
    <row r="8775" spans="1:2" x14ac:dyDescent="0.25">
      <c r="A8775" s="4">
        <v>44201</v>
      </c>
      <c r="B8775" s="6">
        <v>53.16</v>
      </c>
    </row>
    <row r="8776" spans="1:2" x14ac:dyDescent="0.25">
      <c r="A8776" s="4">
        <v>44202</v>
      </c>
      <c r="B8776" s="6">
        <v>53.8</v>
      </c>
    </row>
    <row r="8777" spans="1:2" x14ac:dyDescent="0.25">
      <c r="A8777" s="4">
        <v>44203</v>
      </c>
      <c r="B8777" s="6">
        <v>53.7</v>
      </c>
    </row>
    <row r="8778" spans="1:2" x14ac:dyDescent="0.25">
      <c r="A8778" s="4">
        <v>44204</v>
      </c>
      <c r="B8778" s="6">
        <v>55.51</v>
      </c>
    </row>
    <row r="8779" spans="1:2" x14ac:dyDescent="0.25">
      <c r="A8779" s="4">
        <v>44207</v>
      </c>
      <c r="B8779" s="6">
        <v>54.84</v>
      </c>
    </row>
    <row r="8780" spans="1:2" x14ac:dyDescent="0.25">
      <c r="A8780" s="4">
        <v>44208</v>
      </c>
      <c r="B8780" s="6">
        <v>55.98</v>
      </c>
    </row>
    <row r="8781" spans="1:2" x14ac:dyDescent="0.25">
      <c r="A8781" s="4">
        <v>44209</v>
      </c>
      <c r="B8781" s="6">
        <v>55.52</v>
      </c>
    </row>
    <row r="8782" spans="1:2" x14ac:dyDescent="0.25">
      <c r="A8782" s="4">
        <v>44210</v>
      </c>
      <c r="B8782" s="6">
        <v>55.76</v>
      </c>
    </row>
    <row r="8783" spans="1:2" x14ac:dyDescent="0.25">
      <c r="A8783" s="4">
        <v>44211</v>
      </c>
      <c r="B8783" s="6">
        <v>54.8</v>
      </c>
    </row>
    <row r="8784" spans="1:2" x14ac:dyDescent="0.25">
      <c r="A8784" s="4">
        <v>44214</v>
      </c>
      <c r="B8784" s="6">
        <v>54.21</v>
      </c>
    </row>
    <row r="8785" spans="1:2" x14ac:dyDescent="0.25">
      <c r="A8785" s="4">
        <v>44215</v>
      </c>
      <c r="B8785" s="6">
        <v>55.38</v>
      </c>
    </row>
    <row r="8786" spans="1:2" x14ac:dyDescent="0.25">
      <c r="A8786" s="4">
        <v>44216</v>
      </c>
      <c r="B8786" s="6">
        <v>55.66</v>
      </c>
    </row>
    <row r="8787" spans="1:2" x14ac:dyDescent="0.25">
      <c r="A8787" s="4">
        <v>44217</v>
      </c>
      <c r="B8787" s="6">
        <v>55.68</v>
      </c>
    </row>
    <row r="8788" spans="1:2" x14ac:dyDescent="0.25">
      <c r="A8788" s="4">
        <v>44218</v>
      </c>
      <c r="B8788" s="6">
        <v>55.22</v>
      </c>
    </row>
    <row r="8789" spans="1:2" x14ac:dyDescent="0.25">
      <c r="A8789" s="4">
        <v>44221</v>
      </c>
      <c r="B8789" s="6">
        <v>55.44</v>
      </c>
    </row>
    <row r="8790" spans="1:2" x14ac:dyDescent="0.25">
      <c r="A8790" s="4">
        <v>44222</v>
      </c>
      <c r="B8790" s="6">
        <v>55.26</v>
      </c>
    </row>
    <row r="8791" spans="1:2" x14ac:dyDescent="0.25">
      <c r="A8791" s="4">
        <v>44223</v>
      </c>
      <c r="B8791" s="6">
        <v>55.07</v>
      </c>
    </row>
    <row r="8792" spans="1:2" x14ac:dyDescent="0.25">
      <c r="A8792" s="4">
        <v>44224</v>
      </c>
      <c r="B8792" s="6">
        <v>54.87</v>
      </c>
    </row>
    <row r="8793" spans="1:2" x14ac:dyDescent="0.25">
      <c r="A8793" s="4">
        <v>44225</v>
      </c>
      <c r="B8793" s="6">
        <v>55.25</v>
      </c>
    </row>
    <row r="8794" spans="1:2" x14ac:dyDescent="0.25">
      <c r="A8794" s="4">
        <v>44228</v>
      </c>
      <c r="B8794" s="6">
        <v>56.42</v>
      </c>
    </row>
    <row r="8795" spans="1:2" x14ac:dyDescent="0.25">
      <c r="A8795" s="4">
        <v>44229</v>
      </c>
      <c r="B8795" s="6">
        <v>57.62</v>
      </c>
    </row>
    <row r="8796" spans="1:2" x14ac:dyDescent="0.25">
      <c r="A8796" s="4">
        <v>44230</v>
      </c>
      <c r="B8796" s="6">
        <v>58.61</v>
      </c>
    </row>
    <row r="8797" spans="1:2" x14ac:dyDescent="0.25">
      <c r="A8797" s="4">
        <v>44231</v>
      </c>
      <c r="B8797" s="6">
        <v>58.98</v>
      </c>
    </row>
    <row r="8798" spans="1:2" x14ac:dyDescent="0.25">
      <c r="A8798" s="4">
        <v>44232</v>
      </c>
      <c r="B8798" s="6">
        <v>59.48</v>
      </c>
    </row>
    <row r="8799" spans="1:2" x14ac:dyDescent="0.25">
      <c r="A8799" s="4">
        <v>44235</v>
      </c>
      <c r="B8799" s="6">
        <v>60.17</v>
      </c>
    </row>
    <row r="8800" spans="1:2" x14ac:dyDescent="0.25">
      <c r="A8800" s="4">
        <v>44236</v>
      </c>
      <c r="B8800" s="6">
        <v>60.74</v>
      </c>
    </row>
    <row r="8801" spans="1:2" x14ac:dyDescent="0.25">
      <c r="A8801" s="4">
        <v>44237</v>
      </c>
      <c r="B8801" s="6">
        <v>61.17</v>
      </c>
    </row>
    <row r="8802" spans="1:2" x14ac:dyDescent="0.25">
      <c r="A8802" s="4">
        <v>44238</v>
      </c>
      <c r="B8802" s="6">
        <v>61.09</v>
      </c>
    </row>
    <row r="8803" spans="1:2" x14ac:dyDescent="0.25">
      <c r="A8803" s="4">
        <v>44239</v>
      </c>
      <c r="B8803" s="6">
        <v>62.47</v>
      </c>
    </row>
    <row r="8804" spans="1:2" x14ac:dyDescent="0.25">
      <c r="A8804" s="4">
        <v>44242</v>
      </c>
      <c r="B8804" s="6">
        <v>63.58</v>
      </c>
    </row>
    <row r="8805" spans="1:2" x14ac:dyDescent="0.25">
      <c r="A8805" s="4">
        <v>44243</v>
      </c>
      <c r="B8805" s="6">
        <v>63.96</v>
      </c>
    </row>
    <row r="8806" spans="1:2" x14ac:dyDescent="0.25">
      <c r="A8806" s="4">
        <v>44244</v>
      </c>
      <c r="B8806" s="6">
        <v>65.02</v>
      </c>
    </row>
    <row r="8807" spans="1:2" x14ac:dyDescent="0.25">
      <c r="A8807" s="4">
        <v>44245</v>
      </c>
      <c r="B8807" s="6">
        <v>64.09</v>
      </c>
    </row>
    <row r="8808" spans="1:2" x14ac:dyDescent="0.25">
      <c r="A8808" s="4">
        <v>44246</v>
      </c>
      <c r="B8808" s="6">
        <v>62.84</v>
      </c>
    </row>
    <row r="8809" spans="1:2" x14ac:dyDescent="0.25">
      <c r="A8809" s="4">
        <v>44249</v>
      </c>
      <c r="B8809" s="6">
        <v>64.73</v>
      </c>
    </row>
    <row r="8810" spans="1:2" x14ac:dyDescent="0.25">
      <c r="A8810" s="4">
        <v>44250</v>
      </c>
      <c r="B8810" s="6">
        <v>65.16</v>
      </c>
    </row>
    <row r="8811" spans="1:2" x14ac:dyDescent="0.25">
      <c r="A8811" s="4">
        <v>44251</v>
      </c>
      <c r="B8811" s="6">
        <v>66.849999999999994</v>
      </c>
    </row>
    <row r="8812" spans="1:2" x14ac:dyDescent="0.25">
      <c r="A8812" s="4">
        <v>44252</v>
      </c>
      <c r="B8812" s="6">
        <v>66.69</v>
      </c>
    </row>
    <row r="8813" spans="1:2" x14ac:dyDescent="0.25">
      <c r="A8813" s="4">
        <v>44253</v>
      </c>
      <c r="B8813" s="6">
        <v>65.86</v>
      </c>
    </row>
    <row r="8814" spans="1:2" x14ac:dyDescent="0.25">
      <c r="A8814" s="4">
        <v>44256</v>
      </c>
      <c r="B8814" s="6">
        <v>64.56</v>
      </c>
    </row>
    <row r="8815" spans="1:2" x14ac:dyDescent="0.25">
      <c r="A8815" s="4">
        <v>44257</v>
      </c>
      <c r="B8815" s="6">
        <v>63.17</v>
      </c>
    </row>
    <row r="8816" spans="1:2" x14ac:dyDescent="0.25">
      <c r="A8816" s="4">
        <v>44258</v>
      </c>
      <c r="B8816" s="6">
        <v>64.7</v>
      </c>
    </row>
    <row r="8817" spans="1:2" x14ac:dyDescent="0.25">
      <c r="A8817" s="4">
        <v>44259</v>
      </c>
      <c r="B8817" s="6">
        <v>67.319999999999993</v>
      </c>
    </row>
    <row r="8818" spans="1:2" x14ac:dyDescent="0.25">
      <c r="A8818" s="4">
        <v>44260</v>
      </c>
      <c r="B8818" s="6">
        <v>69.95</v>
      </c>
    </row>
    <row r="8819" spans="1:2" x14ac:dyDescent="0.25">
      <c r="A8819" s="4">
        <v>44263</v>
      </c>
      <c r="B8819" s="6">
        <v>68</v>
      </c>
    </row>
    <row r="8820" spans="1:2" x14ac:dyDescent="0.25">
      <c r="A8820" s="4">
        <v>44264</v>
      </c>
      <c r="B8820" s="6">
        <v>67.03</v>
      </c>
    </row>
    <row r="8821" spans="1:2" x14ac:dyDescent="0.25">
      <c r="A8821" s="4">
        <v>44265</v>
      </c>
      <c r="B8821" s="6">
        <v>67.53</v>
      </c>
    </row>
    <row r="8822" spans="1:2" x14ac:dyDescent="0.25">
      <c r="A8822" s="4">
        <v>44266</v>
      </c>
      <c r="B8822" s="6">
        <v>69.34</v>
      </c>
    </row>
    <row r="8823" spans="1:2" x14ac:dyDescent="0.25">
      <c r="A8823" s="4">
        <v>44267</v>
      </c>
      <c r="B8823" s="6">
        <v>68.87</v>
      </c>
    </row>
    <row r="8824" spans="1:2" x14ac:dyDescent="0.25">
      <c r="A8824" s="4">
        <v>44270</v>
      </c>
      <c r="B8824" s="6">
        <v>68.78</v>
      </c>
    </row>
    <row r="8825" spans="1:2" x14ac:dyDescent="0.25">
      <c r="A8825" s="4">
        <v>44271</v>
      </c>
      <c r="B8825" s="6">
        <v>67.95</v>
      </c>
    </row>
    <row r="8826" spans="1:2" x14ac:dyDescent="0.25">
      <c r="A8826" s="4">
        <v>44272</v>
      </c>
      <c r="B8826" s="6">
        <v>67.73</v>
      </c>
    </row>
    <row r="8827" spans="1:2" x14ac:dyDescent="0.25">
      <c r="A8827" s="4">
        <v>44273</v>
      </c>
      <c r="B8827" s="6">
        <v>62.11</v>
      </c>
    </row>
    <row r="8828" spans="1:2" x14ac:dyDescent="0.25">
      <c r="A8828" s="4">
        <v>44274</v>
      </c>
      <c r="B8828" s="6">
        <v>64</v>
      </c>
    </row>
    <row r="8829" spans="1:2" x14ac:dyDescent="0.25">
      <c r="A8829" s="4">
        <v>44277</v>
      </c>
      <c r="B8829" s="6">
        <v>63.89</v>
      </c>
    </row>
    <row r="8830" spans="1:2" x14ac:dyDescent="0.25">
      <c r="A8830" s="4">
        <v>44278</v>
      </c>
      <c r="B8830" s="6">
        <v>59.96</v>
      </c>
    </row>
    <row r="8831" spans="1:2" x14ac:dyDescent="0.25">
      <c r="A8831" s="4">
        <v>44279</v>
      </c>
      <c r="B8831" s="6">
        <v>63.7</v>
      </c>
    </row>
    <row r="8832" spans="1:2" x14ac:dyDescent="0.25">
      <c r="A8832" s="4">
        <v>44280</v>
      </c>
      <c r="B8832" s="6">
        <v>61.21</v>
      </c>
    </row>
    <row r="8833" spans="1:2" x14ac:dyDescent="0.25">
      <c r="A8833" s="4">
        <v>44281</v>
      </c>
      <c r="B8833" s="6">
        <v>63.77</v>
      </c>
    </row>
    <row r="8834" spans="1:2" x14ac:dyDescent="0.25">
      <c r="A8834" s="4">
        <v>44284</v>
      </c>
      <c r="B8834" s="6">
        <v>64.06</v>
      </c>
    </row>
    <row r="8835" spans="1:2" x14ac:dyDescent="0.25">
      <c r="A8835" s="4">
        <v>44285</v>
      </c>
      <c r="B8835" s="6">
        <v>63.28</v>
      </c>
    </row>
    <row r="8836" spans="1:2" x14ac:dyDescent="0.25">
      <c r="A8836" s="4">
        <v>44286</v>
      </c>
      <c r="B8836" s="6">
        <v>63.52</v>
      </c>
    </row>
    <row r="8837" spans="1:2" x14ac:dyDescent="0.25">
      <c r="A8837" s="4">
        <v>44287</v>
      </c>
      <c r="B8837" s="6">
        <v>63.85</v>
      </c>
    </row>
    <row r="8838" spans="1:2" x14ac:dyDescent="0.25">
      <c r="A8838" s="4">
        <v>44288</v>
      </c>
      <c r="B8838" s="5"/>
    </row>
    <row r="8839" spans="1:2" x14ac:dyDescent="0.25">
      <c r="A8839" s="4">
        <v>44291</v>
      </c>
      <c r="B8839" s="5"/>
    </row>
    <row r="8840" spans="1:2" x14ac:dyDescent="0.25">
      <c r="A8840" s="4">
        <v>44292</v>
      </c>
      <c r="B8840" s="6">
        <v>61.47</v>
      </c>
    </row>
    <row r="8841" spans="1:2" x14ac:dyDescent="0.25">
      <c r="A8841" s="4">
        <v>44293</v>
      </c>
      <c r="B8841" s="6">
        <v>61.86</v>
      </c>
    </row>
    <row r="8842" spans="1:2" x14ac:dyDescent="0.25">
      <c r="A8842" s="4">
        <v>44294</v>
      </c>
      <c r="B8842" s="6">
        <v>62.09</v>
      </c>
    </row>
    <row r="8843" spans="1:2" x14ac:dyDescent="0.25">
      <c r="A8843" s="4">
        <v>44295</v>
      </c>
      <c r="B8843" s="6">
        <v>61.89</v>
      </c>
    </row>
    <row r="8844" spans="1:2" x14ac:dyDescent="0.25">
      <c r="A8844" s="4">
        <v>44298</v>
      </c>
      <c r="B8844" s="6">
        <v>62.38</v>
      </c>
    </row>
    <row r="8845" spans="1:2" x14ac:dyDescent="0.25">
      <c r="A8845" s="4">
        <v>44299</v>
      </c>
      <c r="B8845" s="6">
        <v>62.83</v>
      </c>
    </row>
    <row r="8846" spans="1:2" x14ac:dyDescent="0.25">
      <c r="A8846" s="4">
        <v>44300</v>
      </c>
      <c r="B8846" s="6">
        <v>66.11</v>
      </c>
    </row>
    <row r="8847" spans="1:2" x14ac:dyDescent="0.25">
      <c r="A8847" s="4">
        <v>44301</v>
      </c>
      <c r="B8847" s="6">
        <v>66.13</v>
      </c>
    </row>
    <row r="8848" spans="1:2" x14ac:dyDescent="0.25">
      <c r="A8848" s="4">
        <v>44302</v>
      </c>
      <c r="B8848" s="6">
        <v>65.98</v>
      </c>
    </row>
    <row r="8849" spans="1:2" x14ac:dyDescent="0.25">
      <c r="A8849" s="4">
        <v>44305</v>
      </c>
      <c r="B8849" s="6">
        <v>66.540000000000006</v>
      </c>
    </row>
    <row r="8850" spans="1:2" x14ac:dyDescent="0.25">
      <c r="A8850" s="4">
        <v>44306</v>
      </c>
      <c r="B8850" s="6">
        <v>65.34</v>
      </c>
    </row>
    <row r="8851" spans="1:2" x14ac:dyDescent="0.25">
      <c r="A8851" s="4">
        <v>44307</v>
      </c>
      <c r="B8851" s="6">
        <v>64.02</v>
      </c>
    </row>
    <row r="8852" spans="1:2" x14ac:dyDescent="0.25">
      <c r="A8852" s="4">
        <v>44308</v>
      </c>
      <c r="B8852" s="6">
        <v>65.069999999999993</v>
      </c>
    </row>
    <row r="8853" spans="1:2" x14ac:dyDescent="0.25">
      <c r="A8853" s="4">
        <v>44309</v>
      </c>
      <c r="B8853" s="6">
        <v>65.75</v>
      </c>
    </row>
    <row r="8854" spans="1:2" x14ac:dyDescent="0.25">
      <c r="A8854" s="4">
        <v>44312</v>
      </c>
      <c r="B8854" s="6">
        <v>65.5</v>
      </c>
    </row>
    <row r="8855" spans="1:2" x14ac:dyDescent="0.25">
      <c r="A8855" s="4">
        <v>44313</v>
      </c>
      <c r="B8855" s="6">
        <v>66.25</v>
      </c>
    </row>
    <row r="8856" spans="1:2" x14ac:dyDescent="0.25">
      <c r="A8856" s="4">
        <v>44314</v>
      </c>
      <c r="B8856" s="6">
        <v>67.08</v>
      </c>
    </row>
    <row r="8857" spans="1:2" x14ac:dyDescent="0.25">
      <c r="A8857" s="4">
        <v>44315</v>
      </c>
      <c r="B8857" s="6">
        <v>68.260000000000005</v>
      </c>
    </row>
    <row r="8858" spans="1:2" x14ac:dyDescent="0.25">
      <c r="A8858" s="4">
        <v>44316</v>
      </c>
      <c r="B8858" s="6">
        <v>67.73</v>
      </c>
    </row>
    <row r="8859" spans="1:2" x14ac:dyDescent="0.25">
      <c r="A8859" s="4">
        <v>44319</v>
      </c>
      <c r="B8859" s="5"/>
    </row>
    <row r="8860" spans="1:2" x14ac:dyDescent="0.25">
      <c r="A8860" s="4">
        <v>44320</v>
      </c>
      <c r="B8860" s="6">
        <v>68.91</v>
      </c>
    </row>
    <row r="8861" spans="1:2" x14ac:dyDescent="0.25">
      <c r="A8861" s="4">
        <v>44321</v>
      </c>
      <c r="B8861" s="6">
        <v>69.709999999999994</v>
      </c>
    </row>
    <row r="8862" spans="1:2" x14ac:dyDescent="0.25">
      <c r="A8862" s="4">
        <v>44322</v>
      </c>
      <c r="B8862" s="6">
        <v>68.62</v>
      </c>
    </row>
    <row r="8863" spans="1:2" x14ac:dyDescent="0.25">
      <c r="A8863" s="4">
        <v>44323</v>
      </c>
      <c r="B8863" s="6">
        <v>68.73</v>
      </c>
    </row>
    <row r="8864" spans="1:2" x14ac:dyDescent="0.25">
      <c r="A8864" s="4">
        <v>44326</v>
      </c>
      <c r="B8864" s="6">
        <v>68.61</v>
      </c>
    </row>
    <row r="8865" spans="1:2" x14ac:dyDescent="0.25">
      <c r="A8865" s="4">
        <v>44327</v>
      </c>
      <c r="B8865" s="6">
        <v>68.83</v>
      </c>
    </row>
    <row r="8866" spans="1:2" x14ac:dyDescent="0.25">
      <c r="A8866" s="4">
        <v>44328</v>
      </c>
      <c r="B8866" s="6">
        <v>69.62</v>
      </c>
    </row>
    <row r="8867" spans="1:2" x14ac:dyDescent="0.25">
      <c r="A8867" s="4">
        <v>44329</v>
      </c>
      <c r="B8867" s="6">
        <v>67.36</v>
      </c>
    </row>
    <row r="8868" spans="1:2" x14ac:dyDescent="0.25">
      <c r="A8868" s="4">
        <v>44330</v>
      </c>
      <c r="B8868" s="6">
        <v>69.239999999999995</v>
      </c>
    </row>
    <row r="8869" spans="1:2" x14ac:dyDescent="0.25">
      <c r="A8869" s="4">
        <v>44333</v>
      </c>
      <c r="B8869" s="6">
        <v>69.62</v>
      </c>
    </row>
    <row r="8870" spans="1:2" x14ac:dyDescent="0.25">
      <c r="A8870" s="4">
        <v>44334</v>
      </c>
      <c r="B8870" s="6">
        <v>69.010000000000005</v>
      </c>
    </row>
    <row r="8871" spans="1:2" x14ac:dyDescent="0.25">
      <c r="A8871" s="4">
        <v>44335</v>
      </c>
      <c r="B8871" s="6">
        <v>66.88</v>
      </c>
    </row>
    <row r="8872" spans="1:2" x14ac:dyDescent="0.25">
      <c r="A8872" s="4">
        <v>44336</v>
      </c>
      <c r="B8872" s="6">
        <v>65.180000000000007</v>
      </c>
    </row>
    <row r="8873" spans="1:2" x14ac:dyDescent="0.25">
      <c r="A8873" s="4">
        <v>44337</v>
      </c>
      <c r="B8873" s="6">
        <v>66.72</v>
      </c>
    </row>
    <row r="8874" spans="1:2" x14ac:dyDescent="0.25">
      <c r="A8874" s="4">
        <v>44340</v>
      </c>
      <c r="B8874" s="6">
        <v>68.59</v>
      </c>
    </row>
    <row r="8875" spans="1:2" x14ac:dyDescent="0.25">
      <c r="A8875" s="4">
        <v>44341</v>
      </c>
      <c r="B8875" s="6">
        <v>68.8</v>
      </c>
    </row>
    <row r="8876" spans="1:2" x14ac:dyDescent="0.25">
      <c r="A8876" s="4">
        <v>44342</v>
      </c>
      <c r="B8876" s="6">
        <v>68.930000000000007</v>
      </c>
    </row>
    <row r="8877" spans="1:2" x14ac:dyDescent="0.25">
      <c r="A8877" s="4">
        <v>44343</v>
      </c>
      <c r="B8877" s="6">
        <v>69.430000000000007</v>
      </c>
    </row>
    <row r="8878" spans="1:2" x14ac:dyDescent="0.25">
      <c r="A8878" s="4">
        <v>44344</v>
      </c>
      <c r="B8878" s="6">
        <v>69.36</v>
      </c>
    </row>
    <row r="8879" spans="1:2" x14ac:dyDescent="0.25">
      <c r="A8879" s="4">
        <v>44347</v>
      </c>
      <c r="B8879" s="5"/>
    </row>
    <row r="8880" spans="1:2" x14ac:dyDescent="0.25">
      <c r="A8880" s="4">
        <v>44348</v>
      </c>
      <c r="B8880" s="6">
        <v>70.03</v>
      </c>
    </row>
    <row r="8881" spans="1:2" x14ac:dyDescent="0.25">
      <c r="A8881" s="4">
        <v>44349</v>
      </c>
      <c r="B8881" s="6">
        <v>70.599999999999994</v>
      </c>
    </row>
    <row r="8882" spans="1:2" x14ac:dyDescent="0.25">
      <c r="A8882" s="4">
        <v>44350</v>
      </c>
      <c r="B8882" s="6">
        <v>70.709999999999994</v>
      </c>
    </row>
    <row r="8883" spans="1:2" x14ac:dyDescent="0.25">
      <c r="A8883" s="4">
        <v>44351</v>
      </c>
      <c r="B8883" s="6">
        <v>71.3</v>
      </c>
    </row>
    <row r="8884" spans="1:2" x14ac:dyDescent="0.25">
      <c r="A8884" s="4">
        <v>44354</v>
      </c>
      <c r="B8884" s="6">
        <v>70.89</v>
      </c>
    </row>
    <row r="8885" spans="1:2" x14ac:dyDescent="0.25">
      <c r="A8885" s="4">
        <v>44355</v>
      </c>
      <c r="B8885" s="6">
        <v>71.39</v>
      </c>
    </row>
    <row r="8886" spans="1:2" x14ac:dyDescent="0.25">
      <c r="A8886" s="4">
        <v>44356</v>
      </c>
      <c r="B8886" s="6">
        <v>71.31</v>
      </c>
    </row>
    <row r="8887" spans="1:2" x14ac:dyDescent="0.25">
      <c r="A8887" s="4">
        <v>44357</v>
      </c>
      <c r="B8887" s="6">
        <v>71.650000000000006</v>
      </c>
    </row>
    <row r="8888" spans="1:2" x14ac:dyDescent="0.25">
      <c r="A8888" s="4">
        <v>44358</v>
      </c>
      <c r="B8888" s="6">
        <v>72.05</v>
      </c>
    </row>
    <row r="8889" spans="1:2" x14ac:dyDescent="0.25">
      <c r="A8889" s="4">
        <v>44361</v>
      </c>
      <c r="B8889" s="6">
        <v>72.27</v>
      </c>
    </row>
    <row r="8890" spans="1:2" x14ac:dyDescent="0.25">
      <c r="A8890" s="4">
        <v>44362</v>
      </c>
      <c r="B8890" s="6">
        <v>73.38</v>
      </c>
    </row>
    <row r="8891" spans="1:2" x14ac:dyDescent="0.25">
      <c r="A8891" s="4">
        <v>44363</v>
      </c>
      <c r="B8891" s="6">
        <v>73.88</v>
      </c>
    </row>
    <row r="8892" spans="1:2" x14ac:dyDescent="0.25">
      <c r="A8892" s="4">
        <v>44364</v>
      </c>
      <c r="B8892" s="6">
        <v>72.92</v>
      </c>
    </row>
    <row r="8893" spans="1:2" x14ac:dyDescent="0.25">
      <c r="A8893" s="4">
        <v>44365</v>
      </c>
      <c r="B8893" s="6">
        <v>73.099999999999994</v>
      </c>
    </row>
    <row r="8894" spans="1:2" x14ac:dyDescent="0.25">
      <c r="A8894" s="4">
        <v>44368</v>
      </c>
      <c r="B8894" s="6">
        <v>74.489999999999995</v>
      </c>
    </row>
    <row r="8895" spans="1:2" x14ac:dyDescent="0.25">
      <c r="A8895" s="4">
        <v>44369</v>
      </c>
      <c r="B8895" s="6">
        <v>74.92</v>
      </c>
    </row>
    <row r="8896" spans="1:2" x14ac:dyDescent="0.25">
      <c r="A8896" s="4">
        <v>44370</v>
      </c>
      <c r="B8896" s="6">
        <v>75.22</v>
      </c>
    </row>
    <row r="8897" spans="1:2" x14ac:dyDescent="0.25">
      <c r="A8897" s="4">
        <v>44371</v>
      </c>
      <c r="B8897" s="6">
        <v>75.95</v>
      </c>
    </row>
    <row r="8898" spans="1:2" x14ac:dyDescent="0.25">
      <c r="A8898" s="4">
        <v>44372</v>
      </c>
      <c r="B8898" s="6">
        <v>76.45</v>
      </c>
    </row>
    <row r="8899" spans="1:2" x14ac:dyDescent="0.25">
      <c r="A8899" s="4">
        <v>44375</v>
      </c>
      <c r="B8899" s="6">
        <v>74.78</v>
      </c>
    </row>
    <row r="8900" spans="1:2" x14ac:dyDescent="0.25">
      <c r="A8900" s="4">
        <v>44376</v>
      </c>
      <c r="B8900" s="6">
        <v>75.38</v>
      </c>
    </row>
    <row r="8901" spans="1:2" x14ac:dyDescent="0.25">
      <c r="A8901" s="4">
        <v>44377</v>
      </c>
      <c r="B8901" s="6">
        <v>76.94</v>
      </c>
    </row>
    <row r="8902" spans="1:2" x14ac:dyDescent="0.25">
      <c r="A8902" s="4">
        <v>44378</v>
      </c>
      <c r="B8902" s="6">
        <v>76.69</v>
      </c>
    </row>
    <row r="8903" spans="1:2" x14ac:dyDescent="0.25">
      <c r="A8903" s="4">
        <v>44379</v>
      </c>
      <c r="B8903" s="6">
        <v>77.510000000000005</v>
      </c>
    </row>
    <row r="8904" spans="1:2" x14ac:dyDescent="0.25">
      <c r="A8904" s="4">
        <v>44382</v>
      </c>
      <c r="B8904" s="6">
        <v>78.34</v>
      </c>
    </row>
    <row r="8905" spans="1:2" x14ac:dyDescent="0.25">
      <c r="A8905" s="4">
        <v>44383</v>
      </c>
      <c r="B8905" s="6">
        <v>75.81</v>
      </c>
    </row>
    <row r="8906" spans="1:2" x14ac:dyDescent="0.25">
      <c r="A8906" s="4">
        <v>44384</v>
      </c>
      <c r="B8906" s="6">
        <v>74.31</v>
      </c>
    </row>
    <row r="8907" spans="1:2" x14ac:dyDescent="0.25">
      <c r="A8907" s="4">
        <v>44385</v>
      </c>
      <c r="B8907" s="6">
        <v>75.069999999999993</v>
      </c>
    </row>
    <row r="8908" spans="1:2" x14ac:dyDescent="0.25">
      <c r="A8908" s="4">
        <v>44386</v>
      </c>
      <c r="B8908" s="6">
        <v>77.14</v>
      </c>
    </row>
    <row r="8909" spans="1:2" x14ac:dyDescent="0.25">
      <c r="A8909" s="4">
        <v>44389</v>
      </c>
      <c r="B8909" s="6">
        <v>76.77</v>
      </c>
    </row>
    <row r="8910" spans="1:2" x14ac:dyDescent="0.25">
      <c r="A8910" s="4">
        <v>44390</v>
      </c>
      <c r="B8910" s="6">
        <v>77.5</v>
      </c>
    </row>
    <row r="8911" spans="1:2" x14ac:dyDescent="0.25">
      <c r="A8911" s="4">
        <v>44391</v>
      </c>
      <c r="B8911" s="6">
        <v>75.739999999999995</v>
      </c>
    </row>
    <row r="8912" spans="1:2" x14ac:dyDescent="0.25">
      <c r="A8912" s="4">
        <v>44392</v>
      </c>
      <c r="B8912" s="6">
        <v>74.53</v>
      </c>
    </row>
    <row r="8913" spans="1:2" x14ac:dyDescent="0.25">
      <c r="A8913" s="4">
        <v>44393</v>
      </c>
      <c r="B8913" s="6">
        <v>74.459999999999994</v>
      </c>
    </row>
    <row r="8914" spans="1:2" x14ac:dyDescent="0.25">
      <c r="A8914" s="4">
        <v>44396</v>
      </c>
      <c r="B8914" s="6">
        <v>69.33</v>
      </c>
    </row>
    <row r="8915" spans="1:2" x14ac:dyDescent="0.25">
      <c r="A8915" s="4">
        <v>44397</v>
      </c>
      <c r="B8915" s="6">
        <v>70.03</v>
      </c>
    </row>
    <row r="8916" spans="1:2" x14ac:dyDescent="0.25">
      <c r="A8916" s="4">
        <v>44398</v>
      </c>
      <c r="B8916" s="6">
        <v>72.540000000000006</v>
      </c>
    </row>
    <row r="8917" spans="1:2" x14ac:dyDescent="0.25">
      <c r="A8917" s="4">
        <v>44399</v>
      </c>
      <c r="B8917" s="6">
        <v>74.25</v>
      </c>
    </row>
    <row r="8918" spans="1:2" x14ac:dyDescent="0.25">
      <c r="A8918" s="4">
        <v>44400</v>
      </c>
      <c r="B8918" s="6">
        <v>74.86</v>
      </c>
    </row>
    <row r="8919" spans="1:2" x14ac:dyDescent="0.25">
      <c r="A8919" s="4">
        <v>44403</v>
      </c>
      <c r="B8919" s="6">
        <v>74.790000000000006</v>
      </c>
    </row>
    <row r="8920" spans="1:2" x14ac:dyDescent="0.25">
      <c r="A8920" s="4">
        <v>44404</v>
      </c>
      <c r="B8920" s="6">
        <v>74.87</v>
      </c>
    </row>
    <row r="8921" spans="1:2" x14ac:dyDescent="0.25">
      <c r="A8921" s="4">
        <v>44405</v>
      </c>
      <c r="B8921" s="6">
        <v>75.09</v>
      </c>
    </row>
    <row r="8922" spans="1:2" x14ac:dyDescent="0.25">
      <c r="A8922" s="4">
        <v>44406</v>
      </c>
      <c r="B8922" s="6">
        <v>76.3</v>
      </c>
    </row>
    <row r="8923" spans="1:2" x14ac:dyDescent="0.25">
      <c r="A8923" s="4">
        <v>44407</v>
      </c>
      <c r="B8923" s="6">
        <v>77.72</v>
      </c>
    </row>
    <row r="8924" spans="1:2" x14ac:dyDescent="0.25">
      <c r="A8924" s="4">
        <v>44410</v>
      </c>
      <c r="B8924" s="6">
        <v>73.91</v>
      </c>
    </row>
    <row r="8925" spans="1:2" x14ac:dyDescent="0.25">
      <c r="A8925" s="4">
        <v>44411</v>
      </c>
      <c r="B8925" s="6">
        <v>73.239999999999995</v>
      </c>
    </row>
    <row r="8926" spans="1:2" x14ac:dyDescent="0.25">
      <c r="A8926" s="4">
        <v>44412</v>
      </c>
      <c r="B8926" s="6">
        <v>70.989999999999995</v>
      </c>
    </row>
    <row r="8927" spans="1:2" x14ac:dyDescent="0.25">
      <c r="A8927" s="4">
        <v>44413</v>
      </c>
      <c r="B8927" s="6">
        <v>72.14</v>
      </c>
    </row>
    <row r="8928" spans="1:2" x14ac:dyDescent="0.25">
      <c r="A8928" s="4">
        <v>44414</v>
      </c>
      <c r="B8928" s="6">
        <v>71.02</v>
      </c>
    </row>
    <row r="8929" spans="1:2" x14ac:dyDescent="0.25">
      <c r="A8929" s="4">
        <v>44417</v>
      </c>
      <c r="B8929" s="6">
        <v>69.650000000000006</v>
      </c>
    </row>
    <row r="8930" spans="1:2" x14ac:dyDescent="0.25">
      <c r="A8930" s="4">
        <v>44418</v>
      </c>
      <c r="B8930" s="6">
        <v>71.14</v>
      </c>
    </row>
    <row r="8931" spans="1:2" x14ac:dyDescent="0.25">
      <c r="A8931" s="4">
        <v>44419</v>
      </c>
      <c r="B8931" s="6">
        <v>71.989999999999995</v>
      </c>
    </row>
    <row r="8932" spans="1:2" x14ac:dyDescent="0.25">
      <c r="A8932" s="4">
        <v>44420</v>
      </c>
      <c r="B8932" s="6">
        <v>71.790000000000006</v>
      </c>
    </row>
    <row r="8933" spans="1:2" x14ac:dyDescent="0.25">
      <c r="A8933" s="4">
        <v>44421</v>
      </c>
      <c r="B8933" s="6">
        <v>70.900000000000006</v>
      </c>
    </row>
    <row r="8934" spans="1:2" x14ac:dyDescent="0.25">
      <c r="A8934" s="4">
        <v>44424</v>
      </c>
      <c r="B8934" s="6">
        <v>70.069999999999993</v>
      </c>
    </row>
    <row r="8935" spans="1:2" x14ac:dyDescent="0.25">
      <c r="A8935" s="4">
        <v>44425</v>
      </c>
      <c r="B8935" s="6">
        <v>69.400000000000006</v>
      </c>
    </row>
    <row r="8936" spans="1:2" x14ac:dyDescent="0.25">
      <c r="A8936" s="4">
        <v>44426</v>
      </c>
      <c r="B8936" s="6">
        <v>68.61</v>
      </c>
    </row>
    <row r="8937" spans="1:2" x14ac:dyDescent="0.25">
      <c r="A8937" s="4">
        <v>44427</v>
      </c>
      <c r="B8937" s="6">
        <v>66.8</v>
      </c>
    </row>
    <row r="8938" spans="1:2" x14ac:dyDescent="0.25">
      <c r="A8938" s="4">
        <v>44428</v>
      </c>
      <c r="B8938" s="6">
        <v>65.510000000000005</v>
      </c>
    </row>
    <row r="8939" spans="1:2" x14ac:dyDescent="0.25">
      <c r="A8939" s="4">
        <v>44431</v>
      </c>
      <c r="B8939" s="6">
        <v>69.069999999999993</v>
      </c>
    </row>
    <row r="8940" spans="1:2" x14ac:dyDescent="0.25">
      <c r="A8940" s="4">
        <v>44432</v>
      </c>
      <c r="B8940" s="6">
        <v>71.209999999999994</v>
      </c>
    </row>
    <row r="8941" spans="1:2" x14ac:dyDescent="0.25">
      <c r="A8941" s="4">
        <v>44433</v>
      </c>
      <c r="B8941" s="6">
        <v>72.12</v>
      </c>
    </row>
    <row r="8942" spans="1:2" x14ac:dyDescent="0.25">
      <c r="A8942" s="4">
        <v>44434</v>
      </c>
      <c r="B8942" s="6">
        <v>70.42</v>
      </c>
    </row>
    <row r="8943" spans="1:2" x14ac:dyDescent="0.25">
      <c r="A8943" s="4">
        <v>44435</v>
      </c>
      <c r="B8943" s="6">
        <v>72.260000000000005</v>
      </c>
    </row>
    <row r="8944" spans="1:2" x14ac:dyDescent="0.25">
      <c r="A8944" s="4">
        <v>44438</v>
      </c>
      <c r="B8944" s="5"/>
    </row>
    <row r="8945" spans="1:2" x14ac:dyDescent="0.25">
      <c r="A8945" s="4">
        <v>44439</v>
      </c>
      <c r="B8945" s="6">
        <v>73.45</v>
      </c>
    </row>
    <row r="8946" spans="1:2" x14ac:dyDescent="0.25">
      <c r="A8946" s="4">
        <v>44440</v>
      </c>
      <c r="B8946" s="6">
        <v>71.989999999999995</v>
      </c>
    </row>
    <row r="8947" spans="1:2" x14ac:dyDescent="0.25">
      <c r="A8947" s="4">
        <v>44441</v>
      </c>
      <c r="B8947" s="6">
        <v>73.56</v>
      </c>
    </row>
    <row r="8948" spans="1:2" x14ac:dyDescent="0.25">
      <c r="A8948" s="4">
        <v>44442</v>
      </c>
      <c r="B8948" s="6">
        <v>73.069999999999993</v>
      </c>
    </row>
    <row r="8949" spans="1:2" x14ac:dyDescent="0.25">
      <c r="A8949" s="4">
        <v>44445</v>
      </c>
      <c r="B8949" s="6">
        <v>72.430000000000007</v>
      </c>
    </row>
    <row r="8950" spans="1:2" x14ac:dyDescent="0.25">
      <c r="A8950" s="4">
        <v>44446</v>
      </c>
      <c r="B8950" s="6">
        <v>71.52</v>
      </c>
    </row>
    <row r="8951" spans="1:2" x14ac:dyDescent="0.25">
      <c r="A8951" s="4">
        <v>44447</v>
      </c>
      <c r="B8951" s="6">
        <v>72.36</v>
      </c>
    </row>
    <row r="8952" spans="1:2" x14ac:dyDescent="0.25">
      <c r="A8952" s="4">
        <v>44448</v>
      </c>
      <c r="B8952" s="6">
        <v>71.319999999999993</v>
      </c>
    </row>
    <row r="8953" spans="1:2" x14ac:dyDescent="0.25">
      <c r="A8953" s="4">
        <v>44449</v>
      </c>
      <c r="B8953" s="6">
        <v>72.44</v>
      </c>
    </row>
    <row r="8954" spans="1:2" x14ac:dyDescent="0.25">
      <c r="A8954" s="4">
        <v>44452</v>
      </c>
      <c r="B8954" s="6">
        <v>72.97</v>
      </c>
    </row>
    <row r="8955" spans="1:2" x14ac:dyDescent="0.25">
      <c r="A8955" s="4">
        <v>44453</v>
      </c>
      <c r="B8955" s="6">
        <v>73.05</v>
      </c>
    </row>
    <row r="8956" spans="1:2" x14ac:dyDescent="0.25">
      <c r="A8956" s="4">
        <v>44454</v>
      </c>
      <c r="B8956" s="6">
        <v>74.84</v>
      </c>
    </row>
    <row r="8957" spans="1:2" x14ac:dyDescent="0.25">
      <c r="A8957" s="4">
        <v>44455</v>
      </c>
      <c r="B8957" s="6">
        <v>75.14</v>
      </c>
    </row>
    <row r="8958" spans="1:2" x14ac:dyDescent="0.25">
      <c r="A8958" s="4">
        <v>44456</v>
      </c>
      <c r="B8958" s="6">
        <v>74.64</v>
      </c>
    </row>
    <row r="8959" spans="1:2" x14ac:dyDescent="0.25">
      <c r="A8959" s="4">
        <v>44459</v>
      </c>
      <c r="B8959" s="6">
        <v>73.59</v>
      </c>
    </row>
    <row r="8960" spans="1:2" x14ac:dyDescent="0.25">
      <c r="A8960" s="4">
        <v>44460</v>
      </c>
      <c r="B8960" s="6">
        <v>73.650000000000006</v>
      </c>
    </row>
    <row r="8961" spans="1:2" x14ac:dyDescent="0.25">
      <c r="A8961" s="4">
        <v>44461</v>
      </c>
      <c r="B8961" s="6">
        <v>75.5</v>
      </c>
    </row>
    <row r="8962" spans="1:2" x14ac:dyDescent="0.25">
      <c r="A8962" s="4">
        <v>44462</v>
      </c>
      <c r="B8962" s="6">
        <v>76.44</v>
      </c>
    </row>
    <row r="8963" spans="1:2" x14ac:dyDescent="0.25">
      <c r="A8963" s="4">
        <v>44463</v>
      </c>
      <c r="B8963" s="6">
        <v>77.42</v>
      </c>
    </row>
    <row r="8964" spans="1:2" x14ac:dyDescent="0.25">
      <c r="A8964" s="4">
        <v>44466</v>
      </c>
      <c r="B8964" s="6">
        <v>78.849999999999994</v>
      </c>
    </row>
    <row r="8965" spans="1:2" x14ac:dyDescent="0.25">
      <c r="A8965" s="4">
        <v>44467</v>
      </c>
      <c r="B8965" s="6">
        <v>78.3</v>
      </c>
    </row>
    <row r="8966" spans="1:2" x14ac:dyDescent="0.25">
      <c r="A8966" s="4">
        <v>44468</v>
      </c>
      <c r="B8966" s="6">
        <v>77.86</v>
      </c>
    </row>
    <row r="8967" spans="1:2" x14ac:dyDescent="0.25">
      <c r="A8967" s="4">
        <v>44469</v>
      </c>
      <c r="B8967" s="6">
        <v>77.81</v>
      </c>
    </row>
    <row r="8968" spans="1:2" x14ac:dyDescent="0.25">
      <c r="A8968" s="4">
        <v>44470</v>
      </c>
      <c r="B8968" s="6">
        <v>79.400000000000006</v>
      </c>
    </row>
    <row r="8969" spans="1:2" x14ac:dyDescent="0.25">
      <c r="A8969" s="4">
        <v>44473</v>
      </c>
      <c r="B8969" s="6">
        <v>81.44</v>
      </c>
    </row>
    <row r="8970" spans="1:2" x14ac:dyDescent="0.25">
      <c r="A8970" s="4">
        <v>44474</v>
      </c>
      <c r="B8970" s="6">
        <v>82.72</v>
      </c>
    </row>
    <row r="8971" spans="1:2" x14ac:dyDescent="0.25">
      <c r="A8971" s="4">
        <v>44475</v>
      </c>
      <c r="B8971" s="6">
        <v>81.39</v>
      </c>
    </row>
    <row r="8972" spans="1:2" x14ac:dyDescent="0.25">
      <c r="A8972" s="4">
        <v>44476</v>
      </c>
      <c r="B8972" s="6">
        <v>82.34</v>
      </c>
    </row>
    <row r="8973" spans="1:2" x14ac:dyDescent="0.25">
      <c r="A8973" s="4">
        <v>44477</v>
      </c>
      <c r="B8973" s="6">
        <v>82.17</v>
      </c>
    </row>
    <row r="8974" spans="1:2" x14ac:dyDescent="0.25">
      <c r="A8974" s="4">
        <v>44480</v>
      </c>
      <c r="B8974" s="6">
        <v>83.75</v>
      </c>
    </row>
    <row r="8975" spans="1:2" x14ac:dyDescent="0.25">
      <c r="A8975" s="4">
        <v>44481</v>
      </c>
      <c r="B8975" s="6">
        <v>83.53</v>
      </c>
    </row>
    <row r="8976" spans="1:2" x14ac:dyDescent="0.25">
      <c r="A8976" s="4">
        <v>44482</v>
      </c>
      <c r="B8976" s="6">
        <v>83.53</v>
      </c>
    </row>
    <row r="8977" spans="1:2" x14ac:dyDescent="0.25">
      <c r="A8977" s="4">
        <v>44483</v>
      </c>
      <c r="B8977" s="6">
        <v>83.86</v>
      </c>
    </row>
    <row r="8978" spans="1:2" x14ac:dyDescent="0.25">
      <c r="A8978" s="4">
        <v>44484</v>
      </c>
      <c r="B8978" s="6">
        <v>84.67</v>
      </c>
    </row>
    <row r="8979" spans="1:2" x14ac:dyDescent="0.25">
      <c r="A8979" s="4">
        <v>44487</v>
      </c>
      <c r="B8979" s="6">
        <v>84.13</v>
      </c>
    </row>
    <row r="8980" spans="1:2" x14ac:dyDescent="0.25">
      <c r="A8980" s="4">
        <v>44488</v>
      </c>
      <c r="B8980" s="6">
        <v>85.02</v>
      </c>
    </row>
    <row r="8981" spans="1:2" x14ac:dyDescent="0.25">
      <c r="A8981" s="4">
        <v>44489</v>
      </c>
      <c r="B8981" s="6">
        <v>85.76</v>
      </c>
    </row>
    <row r="8982" spans="1:2" x14ac:dyDescent="0.25">
      <c r="A8982" s="4">
        <v>44490</v>
      </c>
      <c r="B8982" s="6">
        <v>84.58</v>
      </c>
    </row>
    <row r="8983" spans="1:2" x14ac:dyDescent="0.25">
      <c r="A8983" s="4">
        <v>44491</v>
      </c>
      <c r="B8983" s="6">
        <v>85.43</v>
      </c>
    </row>
    <row r="8984" spans="1:2" x14ac:dyDescent="0.25">
      <c r="A8984" s="4">
        <v>44494</v>
      </c>
      <c r="B8984" s="6">
        <v>84.85</v>
      </c>
    </row>
    <row r="8985" spans="1:2" x14ac:dyDescent="0.25">
      <c r="A8985" s="4">
        <v>44495</v>
      </c>
      <c r="B8985" s="6">
        <v>85.11</v>
      </c>
    </row>
    <row r="8986" spans="1:2" x14ac:dyDescent="0.25">
      <c r="A8986" s="4">
        <v>44496</v>
      </c>
      <c r="B8986" s="6">
        <v>84.12</v>
      </c>
    </row>
    <row r="8987" spans="1:2" x14ac:dyDescent="0.25">
      <c r="A8987" s="4">
        <v>44497</v>
      </c>
      <c r="B8987" s="6">
        <v>83.4</v>
      </c>
    </row>
    <row r="8988" spans="1:2" x14ac:dyDescent="0.25">
      <c r="A8988" s="4">
        <v>44498</v>
      </c>
      <c r="B8988" s="6">
        <v>83.1</v>
      </c>
    </row>
    <row r="8989" spans="1:2" x14ac:dyDescent="0.25">
      <c r="A8989" s="4">
        <v>44501</v>
      </c>
      <c r="B8989" s="6">
        <v>84.51</v>
      </c>
    </row>
    <row r="8990" spans="1:2" x14ac:dyDescent="0.25">
      <c r="A8990" s="4">
        <v>44502</v>
      </c>
      <c r="B8990" s="6">
        <v>84.42</v>
      </c>
    </row>
    <row r="8991" spans="1:2" x14ac:dyDescent="0.25">
      <c r="A8991" s="4">
        <v>44503</v>
      </c>
      <c r="B8991" s="6">
        <v>81.099999999999994</v>
      </c>
    </row>
    <row r="8992" spans="1:2" x14ac:dyDescent="0.25">
      <c r="A8992" s="4">
        <v>44504</v>
      </c>
      <c r="B8992" s="6">
        <v>80.150000000000006</v>
      </c>
    </row>
    <row r="8993" spans="1:2" x14ac:dyDescent="0.25">
      <c r="A8993" s="4">
        <v>44505</v>
      </c>
      <c r="B8993" s="6">
        <v>82.43</v>
      </c>
    </row>
    <row r="8994" spans="1:2" x14ac:dyDescent="0.25">
      <c r="A8994" s="4">
        <v>44508</v>
      </c>
      <c r="B8994" s="6">
        <v>83.22</v>
      </c>
    </row>
    <row r="8995" spans="1:2" x14ac:dyDescent="0.25">
      <c r="A8995" s="4">
        <v>44509</v>
      </c>
      <c r="B8995" s="6">
        <v>84.52</v>
      </c>
    </row>
    <row r="8996" spans="1:2" x14ac:dyDescent="0.25">
      <c r="A8996" s="4">
        <v>44510</v>
      </c>
      <c r="B8996" s="6">
        <v>82.91</v>
      </c>
    </row>
    <row r="8997" spans="1:2" x14ac:dyDescent="0.25">
      <c r="A8997" s="4">
        <v>44511</v>
      </c>
      <c r="B8997" s="6">
        <v>83.4</v>
      </c>
    </row>
    <row r="8998" spans="1:2" x14ac:dyDescent="0.25">
      <c r="A8998" s="4">
        <v>44512</v>
      </c>
      <c r="B8998" s="6">
        <v>82.9</v>
      </c>
    </row>
    <row r="8999" spans="1:2" x14ac:dyDescent="0.25">
      <c r="A8999" s="4">
        <v>44515</v>
      </c>
      <c r="B8999" s="6">
        <v>81.94</v>
      </c>
    </row>
    <row r="9000" spans="1:2" x14ac:dyDescent="0.25">
      <c r="A9000" s="4">
        <v>44516</v>
      </c>
      <c r="B9000" s="6">
        <v>82.85</v>
      </c>
    </row>
    <row r="9001" spans="1:2" x14ac:dyDescent="0.25">
      <c r="A9001" s="4">
        <v>44517</v>
      </c>
      <c r="B9001" s="6">
        <v>80.67</v>
      </c>
    </row>
    <row r="9002" spans="1:2" x14ac:dyDescent="0.25">
      <c r="A9002" s="4">
        <v>44518</v>
      </c>
      <c r="B9002" s="6">
        <v>82.45</v>
      </c>
    </row>
    <row r="9003" spans="1:2" x14ac:dyDescent="0.25">
      <c r="A9003" s="4">
        <v>44519</v>
      </c>
      <c r="B9003" s="6">
        <v>80.239999999999995</v>
      </c>
    </row>
    <row r="9004" spans="1:2" x14ac:dyDescent="0.25">
      <c r="A9004" s="4">
        <v>44522</v>
      </c>
      <c r="B9004" s="6">
        <v>80.97</v>
      </c>
    </row>
    <row r="9005" spans="1:2" x14ac:dyDescent="0.25">
      <c r="A9005" s="4">
        <v>44523</v>
      </c>
      <c r="B9005" s="6">
        <v>83.43</v>
      </c>
    </row>
    <row r="9006" spans="1:2" x14ac:dyDescent="0.25">
      <c r="A9006" s="4">
        <v>44524</v>
      </c>
      <c r="B9006" s="6">
        <v>82.37</v>
      </c>
    </row>
    <row r="9007" spans="1:2" x14ac:dyDescent="0.25">
      <c r="A9007" s="4">
        <v>44525</v>
      </c>
      <c r="B9007" s="6">
        <v>82.05</v>
      </c>
    </row>
    <row r="9008" spans="1:2" x14ac:dyDescent="0.25">
      <c r="A9008" s="4">
        <v>44526</v>
      </c>
      <c r="B9008" s="6">
        <v>72.37</v>
      </c>
    </row>
    <row r="9009" spans="1:2" x14ac:dyDescent="0.25">
      <c r="A9009" s="4">
        <v>44529</v>
      </c>
      <c r="B9009" s="6">
        <v>73.34</v>
      </c>
    </row>
    <row r="9010" spans="1:2" x14ac:dyDescent="0.25">
      <c r="A9010" s="4">
        <v>44530</v>
      </c>
      <c r="B9010" s="6">
        <v>70.86</v>
      </c>
    </row>
    <row r="9011" spans="1:2" x14ac:dyDescent="0.25">
      <c r="A9011" s="4">
        <v>44531</v>
      </c>
      <c r="B9011" s="6">
        <v>69.53</v>
      </c>
    </row>
    <row r="9012" spans="1:2" x14ac:dyDescent="0.25">
      <c r="A9012" s="4">
        <v>44532</v>
      </c>
      <c r="B9012" s="6">
        <v>70.56</v>
      </c>
    </row>
    <row r="9013" spans="1:2" x14ac:dyDescent="0.25">
      <c r="A9013" s="4">
        <v>44533</v>
      </c>
      <c r="B9013" s="6">
        <v>70.709999999999994</v>
      </c>
    </row>
    <row r="9014" spans="1:2" x14ac:dyDescent="0.25">
      <c r="A9014" s="4">
        <v>44536</v>
      </c>
      <c r="B9014" s="6">
        <v>73.38</v>
      </c>
    </row>
    <row r="9015" spans="1:2" x14ac:dyDescent="0.25">
      <c r="A9015" s="4">
        <v>44537</v>
      </c>
      <c r="B9015" s="6">
        <v>75.540000000000006</v>
      </c>
    </row>
    <row r="9016" spans="1:2" x14ac:dyDescent="0.25">
      <c r="A9016" s="4">
        <v>44538</v>
      </c>
      <c r="B9016" s="6">
        <v>75.94</v>
      </c>
    </row>
    <row r="9017" spans="1:2" x14ac:dyDescent="0.25">
      <c r="A9017" s="4">
        <v>44539</v>
      </c>
      <c r="B9017" s="6">
        <v>74.099999999999994</v>
      </c>
    </row>
    <row r="9018" spans="1:2" x14ac:dyDescent="0.25">
      <c r="A9018" s="4">
        <v>44540</v>
      </c>
      <c r="B9018" s="6">
        <v>74.98</v>
      </c>
    </row>
    <row r="9019" spans="1:2" x14ac:dyDescent="0.25">
      <c r="A9019" s="4">
        <v>44543</v>
      </c>
      <c r="B9019" s="6">
        <v>74.12</v>
      </c>
    </row>
    <row r="9020" spans="1:2" x14ac:dyDescent="0.25">
      <c r="A9020" s="4">
        <v>44544</v>
      </c>
      <c r="B9020" s="6">
        <v>73.37</v>
      </c>
    </row>
    <row r="9021" spans="1:2" x14ac:dyDescent="0.25">
      <c r="A9021" s="4">
        <v>44545</v>
      </c>
      <c r="B9021" s="6">
        <v>73.709999999999994</v>
      </c>
    </row>
    <row r="9022" spans="1:2" x14ac:dyDescent="0.25">
      <c r="A9022" s="4">
        <v>44546</v>
      </c>
      <c r="B9022" s="6">
        <v>74.64</v>
      </c>
    </row>
    <row r="9023" spans="1:2" x14ac:dyDescent="0.25">
      <c r="A9023" s="4">
        <v>44547</v>
      </c>
      <c r="B9023" s="6">
        <v>72.97</v>
      </c>
    </row>
    <row r="9024" spans="1:2" x14ac:dyDescent="0.25">
      <c r="A9024" s="4">
        <v>44550</v>
      </c>
      <c r="B9024" s="6">
        <v>70.510000000000005</v>
      </c>
    </row>
    <row r="9025" spans="1:2" x14ac:dyDescent="0.25">
      <c r="A9025" s="4">
        <v>44551</v>
      </c>
      <c r="B9025" s="6">
        <v>72.849999999999994</v>
      </c>
    </row>
    <row r="9026" spans="1:2" x14ac:dyDescent="0.25">
      <c r="A9026" s="4">
        <v>44552</v>
      </c>
      <c r="B9026" s="6">
        <v>74.69</v>
      </c>
    </row>
    <row r="9027" spans="1:2" x14ac:dyDescent="0.25">
      <c r="A9027" s="4">
        <v>44553</v>
      </c>
      <c r="B9027" s="6">
        <v>76.260000000000005</v>
      </c>
    </row>
    <row r="9028" spans="1:2" x14ac:dyDescent="0.25">
      <c r="A9028" s="4">
        <v>44554</v>
      </c>
      <c r="B9028" s="6">
        <v>75.239999999999995</v>
      </c>
    </row>
    <row r="9029" spans="1:2" x14ac:dyDescent="0.25">
      <c r="A9029" s="4">
        <v>44557</v>
      </c>
      <c r="B9029" s="5"/>
    </row>
    <row r="9030" spans="1:2" x14ac:dyDescent="0.25">
      <c r="A9030" s="4">
        <v>44558</v>
      </c>
      <c r="B9030" s="5"/>
    </row>
    <row r="9031" spans="1:2" x14ac:dyDescent="0.25">
      <c r="A9031" s="4">
        <v>44559</v>
      </c>
      <c r="B9031" s="6">
        <v>78.63</v>
      </c>
    </row>
    <row r="9032" spans="1:2" x14ac:dyDescent="0.25">
      <c r="A9032" s="4">
        <v>44560</v>
      </c>
      <c r="B9032" s="6">
        <v>78.61</v>
      </c>
    </row>
    <row r="9033" spans="1:2" x14ac:dyDescent="0.25">
      <c r="A9033" s="4">
        <v>44561</v>
      </c>
      <c r="B9033" s="6">
        <v>77.239999999999995</v>
      </c>
    </row>
    <row r="9034" spans="1:2" x14ac:dyDescent="0.25">
      <c r="A9034" s="4">
        <v>44564</v>
      </c>
      <c r="B9034" s="6">
        <v>78.25</v>
      </c>
    </row>
    <row r="9035" spans="1:2" x14ac:dyDescent="0.25">
      <c r="A9035" s="4">
        <v>44565</v>
      </c>
      <c r="B9035" s="6">
        <v>79.39</v>
      </c>
    </row>
    <row r="9036" spans="1:2" x14ac:dyDescent="0.25">
      <c r="A9036" s="4">
        <v>44566</v>
      </c>
      <c r="B9036" s="6">
        <v>80.599999999999994</v>
      </c>
    </row>
    <row r="9037" spans="1:2" x14ac:dyDescent="0.25">
      <c r="A9037" s="4">
        <v>44567</v>
      </c>
      <c r="B9037" s="6">
        <v>81.99</v>
      </c>
    </row>
    <row r="9038" spans="1:2" x14ac:dyDescent="0.25">
      <c r="A9038" s="4">
        <v>44568</v>
      </c>
      <c r="B9038" s="6">
        <v>82.28</v>
      </c>
    </row>
    <row r="9039" spans="1:2" x14ac:dyDescent="0.25">
      <c r="A9039" s="4">
        <v>44571</v>
      </c>
      <c r="B9039" s="6">
        <v>81.56</v>
      </c>
    </row>
    <row r="9040" spans="1:2" x14ac:dyDescent="0.25">
      <c r="A9040" s="4">
        <v>44572</v>
      </c>
      <c r="B9040" s="6">
        <v>84.98</v>
      </c>
    </row>
    <row r="9041" spans="1:2" x14ac:dyDescent="0.25">
      <c r="A9041" s="4">
        <v>44573</v>
      </c>
      <c r="B9041" s="6">
        <v>85.83</v>
      </c>
    </row>
    <row r="9042" spans="1:2" x14ac:dyDescent="0.25">
      <c r="A9042" s="4">
        <v>44574</v>
      </c>
      <c r="B9042" s="6">
        <v>85.8</v>
      </c>
    </row>
    <row r="9043" spans="1:2" x14ac:dyDescent="0.25">
      <c r="A9043" s="4">
        <v>44575</v>
      </c>
      <c r="B9043" s="6">
        <v>87.17</v>
      </c>
    </row>
    <row r="9044" spans="1:2" x14ac:dyDescent="0.25">
      <c r="A9044" s="4">
        <v>44578</v>
      </c>
      <c r="B9044" s="6">
        <v>87.82</v>
      </c>
    </row>
    <row r="9045" spans="1:2" x14ac:dyDescent="0.25">
      <c r="A9045" s="4">
        <v>44579</v>
      </c>
      <c r="B9045" s="6">
        <v>88.83</v>
      </c>
    </row>
    <row r="9046" spans="1:2" x14ac:dyDescent="0.25">
      <c r="A9046" s="4">
        <v>44580</v>
      </c>
      <c r="B9046" s="6">
        <v>89.64</v>
      </c>
    </row>
    <row r="9047" spans="1:2" x14ac:dyDescent="0.25">
      <c r="A9047" s="4">
        <v>44581</v>
      </c>
      <c r="B9047" s="6">
        <v>89.75</v>
      </c>
    </row>
    <row r="9048" spans="1:2" x14ac:dyDescent="0.25">
      <c r="A9048" s="4">
        <v>44582</v>
      </c>
      <c r="B9048" s="6">
        <v>89.75</v>
      </c>
    </row>
    <row r="9049" spans="1:2" x14ac:dyDescent="0.25">
      <c r="A9049" s="4">
        <v>44585</v>
      </c>
      <c r="B9049" s="6">
        <v>87.74</v>
      </c>
    </row>
    <row r="9050" spans="1:2" x14ac:dyDescent="0.25">
      <c r="A9050" s="4">
        <v>44586</v>
      </c>
      <c r="B9050" s="6">
        <v>89.49</v>
      </c>
    </row>
    <row r="9051" spans="1:2" x14ac:dyDescent="0.25">
      <c r="A9051" s="4">
        <v>44587</v>
      </c>
      <c r="B9051" s="6">
        <v>91.22</v>
      </c>
    </row>
    <row r="9052" spans="1:2" x14ac:dyDescent="0.25">
      <c r="A9052" s="4">
        <v>44588</v>
      </c>
      <c r="B9052" s="6">
        <v>90.7</v>
      </c>
    </row>
    <row r="9053" spans="1:2" x14ac:dyDescent="0.25">
      <c r="A9053" s="4">
        <v>44589</v>
      </c>
      <c r="B9053" s="6">
        <v>91.47</v>
      </c>
    </row>
    <row r="9054" spans="1:2" x14ac:dyDescent="0.25">
      <c r="A9054" s="4">
        <v>44592</v>
      </c>
      <c r="B9054" s="6">
        <v>92.35</v>
      </c>
    </row>
    <row r="9055" spans="1:2" x14ac:dyDescent="0.25">
      <c r="A9055" s="4">
        <v>44593</v>
      </c>
      <c r="B9055" s="6">
        <v>90.24</v>
      </c>
    </row>
    <row r="9056" spans="1:2" x14ac:dyDescent="0.25">
      <c r="A9056" s="4">
        <v>44594</v>
      </c>
      <c r="B9056" s="6">
        <v>91.43</v>
      </c>
    </row>
    <row r="9057" spans="1:2" x14ac:dyDescent="0.25">
      <c r="A9057" s="4">
        <v>44595</v>
      </c>
      <c r="B9057" s="6">
        <v>92.99</v>
      </c>
    </row>
    <row r="9058" spans="1:2" x14ac:dyDescent="0.25">
      <c r="A9058" s="4">
        <v>44596</v>
      </c>
      <c r="B9058" s="6">
        <v>96.86</v>
      </c>
    </row>
    <row r="9059" spans="1:2" x14ac:dyDescent="0.25">
      <c r="A9059" s="4">
        <v>44599</v>
      </c>
      <c r="B9059" s="6">
        <v>97.28</v>
      </c>
    </row>
    <row r="9060" spans="1:2" x14ac:dyDescent="0.25">
      <c r="A9060" s="4">
        <v>44600</v>
      </c>
      <c r="B9060" s="6">
        <v>96.07</v>
      </c>
    </row>
    <row r="9061" spans="1:2" x14ac:dyDescent="0.25">
      <c r="A9061" s="4">
        <v>44601</v>
      </c>
      <c r="B9061" s="6">
        <v>94.95</v>
      </c>
    </row>
    <row r="9062" spans="1:2" x14ac:dyDescent="0.25">
      <c r="A9062" s="4">
        <v>44602</v>
      </c>
      <c r="B9062" s="6">
        <v>96.37</v>
      </c>
    </row>
    <row r="9063" spans="1:2" x14ac:dyDescent="0.25">
      <c r="A9063" s="4">
        <v>44603</v>
      </c>
      <c r="B9063" s="6">
        <v>97.5</v>
      </c>
    </row>
    <row r="9064" spans="1:2" x14ac:dyDescent="0.25">
      <c r="A9064" s="4">
        <v>44606</v>
      </c>
      <c r="B9064" s="6">
        <v>101.66</v>
      </c>
    </row>
    <row r="9065" spans="1:2" x14ac:dyDescent="0.25">
      <c r="A9065" s="4">
        <v>44607</v>
      </c>
      <c r="B9065" s="6">
        <v>98.43</v>
      </c>
    </row>
    <row r="9066" spans="1:2" x14ac:dyDescent="0.25">
      <c r="A9066" s="4">
        <v>44608</v>
      </c>
      <c r="B9066" s="6">
        <v>97.44</v>
      </c>
    </row>
    <row r="9067" spans="1:2" x14ac:dyDescent="0.25">
      <c r="A9067" s="4">
        <v>44609</v>
      </c>
      <c r="B9067" s="6">
        <v>95.28</v>
      </c>
    </row>
    <row r="9068" spans="1:2" x14ac:dyDescent="0.25">
      <c r="A9068" s="4">
        <v>44610</v>
      </c>
      <c r="B9068" s="6">
        <v>96.18</v>
      </c>
    </row>
    <row r="9069" spans="1:2" x14ac:dyDescent="0.25">
      <c r="A9069" s="4">
        <v>44613</v>
      </c>
      <c r="B9069" s="6">
        <v>98.95</v>
      </c>
    </row>
    <row r="9070" spans="1:2" x14ac:dyDescent="0.25">
      <c r="A9070" s="4">
        <v>44614</v>
      </c>
      <c r="B9070" s="6">
        <v>98.73</v>
      </c>
    </row>
    <row r="9071" spans="1:2" x14ac:dyDescent="0.25">
      <c r="A9071" s="4">
        <v>44615</v>
      </c>
      <c r="B9071" s="6">
        <v>99.29</v>
      </c>
    </row>
    <row r="9072" spans="1:2" x14ac:dyDescent="0.25">
      <c r="A9072" s="4">
        <v>44616</v>
      </c>
      <c r="B9072" s="6">
        <v>101.29</v>
      </c>
    </row>
    <row r="9073" spans="1:2" x14ac:dyDescent="0.25">
      <c r="A9073" s="4">
        <v>44617</v>
      </c>
      <c r="B9073" s="6">
        <v>98.56</v>
      </c>
    </row>
    <row r="9074" spans="1:2" x14ac:dyDescent="0.25">
      <c r="A9074" s="4">
        <v>44620</v>
      </c>
      <c r="B9074" s="6">
        <v>103.08</v>
      </c>
    </row>
    <row r="9075" spans="1:2" x14ac:dyDescent="0.25">
      <c r="A9075" s="4">
        <v>44621</v>
      </c>
      <c r="B9075" s="6">
        <v>110.93</v>
      </c>
    </row>
    <row r="9076" spans="1:2" x14ac:dyDescent="0.25">
      <c r="A9076" s="4">
        <v>44622</v>
      </c>
      <c r="B9076" s="6">
        <v>118.94</v>
      </c>
    </row>
    <row r="9077" spans="1:2" x14ac:dyDescent="0.25">
      <c r="A9077" s="4">
        <v>44623</v>
      </c>
      <c r="B9077" s="6">
        <v>115.36</v>
      </c>
    </row>
    <row r="9078" spans="1:2" x14ac:dyDescent="0.25">
      <c r="A9078" s="4">
        <v>44624</v>
      </c>
      <c r="B9078" s="6">
        <v>123.86</v>
      </c>
    </row>
    <row r="9079" spans="1:2" x14ac:dyDescent="0.25">
      <c r="A9079" s="4">
        <v>44627</v>
      </c>
      <c r="B9079" s="6">
        <v>129.02000000000001</v>
      </c>
    </row>
    <row r="9080" spans="1:2" x14ac:dyDescent="0.25">
      <c r="A9080" s="4">
        <v>44628</v>
      </c>
      <c r="B9080" s="6">
        <v>133.18</v>
      </c>
    </row>
    <row r="9081" spans="1:2" x14ac:dyDescent="0.25">
      <c r="A9081" s="4">
        <v>44629</v>
      </c>
      <c r="B9081" s="6">
        <v>116.58</v>
      </c>
    </row>
    <row r="9082" spans="1:2" x14ac:dyDescent="0.25">
      <c r="A9082" s="4">
        <v>44630</v>
      </c>
      <c r="B9082" s="6">
        <v>114.54</v>
      </c>
    </row>
    <row r="9083" spans="1:2" x14ac:dyDescent="0.25">
      <c r="A9083" s="4">
        <v>44631</v>
      </c>
      <c r="B9083" s="6">
        <v>118.11</v>
      </c>
    </row>
    <row r="9084" spans="1:2" x14ac:dyDescent="0.25">
      <c r="A9084" s="4">
        <v>44634</v>
      </c>
      <c r="B9084" s="6">
        <v>110.39</v>
      </c>
    </row>
    <row r="9085" spans="1:2" x14ac:dyDescent="0.25">
      <c r="A9085" s="4">
        <v>44635</v>
      </c>
      <c r="B9085" s="6">
        <v>105.14</v>
      </c>
    </row>
    <row r="9086" spans="1:2" x14ac:dyDescent="0.25">
      <c r="A9086" s="4">
        <v>44636</v>
      </c>
      <c r="B9086" s="6">
        <v>104.61</v>
      </c>
    </row>
    <row r="9087" spans="1:2" x14ac:dyDescent="0.25">
      <c r="A9087" s="4">
        <v>44637</v>
      </c>
      <c r="B9087" s="6">
        <v>113.5</v>
      </c>
    </row>
    <row r="9088" spans="1:2" x14ac:dyDescent="0.25">
      <c r="A9088" s="4">
        <v>44638</v>
      </c>
      <c r="B9088" s="6">
        <v>114.32</v>
      </c>
    </row>
    <row r="9089" spans="1:2" x14ac:dyDescent="0.25">
      <c r="A9089" s="4">
        <v>44641</v>
      </c>
      <c r="B9089" s="6">
        <v>122.29</v>
      </c>
    </row>
    <row r="9090" spans="1:2" x14ac:dyDescent="0.25">
      <c r="A9090" s="4">
        <v>44642</v>
      </c>
      <c r="B9090" s="6">
        <v>121.53</v>
      </c>
    </row>
    <row r="9091" spans="1:2" x14ac:dyDescent="0.25">
      <c r="A9091" s="4">
        <v>44643</v>
      </c>
      <c r="B9091" s="6">
        <v>127.52</v>
      </c>
    </row>
    <row r="9092" spans="1:2" x14ac:dyDescent="0.25">
      <c r="A9092" s="4">
        <v>44644</v>
      </c>
      <c r="B9092" s="6">
        <v>123.98</v>
      </c>
    </row>
    <row r="9093" spans="1:2" x14ac:dyDescent="0.25">
      <c r="A9093" s="4">
        <v>44645</v>
      </c>
      <c r="B9093" s="6">
        <v>122.67</v>
      </c>
    </row>
    <row r="9094" spans="1:2" x14ac:dyDescent="0.25">
      <c r="A9094" s="4">
        <v>44648</v>
      </c>
      <c r="B9094" s="6">
        <v>114.5</v>
      </c>
    </row>
    <row r="9095" spans="1:2" x14ac:dyDescent="0.25">
      <c r="A9095" s="4">
        <v>44649</v>
      </c>
      <c r="B9095" s="6">
        <v>112.79</v>
      </c>
    </row>
    <row r="9096" spans="1:2" x14ac:dyDescent="0.25">
      <c r="A9096" s="4">
        <v>44650</v>
      </c>
      <c r="B9096" s="6">
        <v>115.59</v>
      </c>
    </row>
    <row r="9097" spans="1:2" x14ac:dyDescent="0.25">
      <c r="A9097" s="4">
        <v>44651</v>
      </c>
      <c r="B9097" s="6">
        <v>107.29</v>
      </c>
    </row>
    <row r="9098" spans="1:2" x14ac:dyDescent="0.25">
      <c r="A9098" s="4">
        <v>44652</v>
      </c>
      <c r="B9098" s="6">
        <v>106.13</v>
      </c>
    </row>
    <row r="9099" spans="1:2" x14ac:dyDescent="0.25">
      <c r="A9099" s="4">
        <v>44655</v>
      </c>
      <c r="B9099" s="6">
        <v>108.15</v>
      </c>
    </row>
    <row r="9100" spans="1:2" x14ac:dyDescent="0.25">
      <c r="A9100" s="4">
        <v>44656</v>
      </c>
      <c r="B9100" s="6">
        <v>106.6</v>
      </c>
    </row>
    <row r="9101" spans="1:2" x14ac:dyDescent="0.25">
      <c r="A9101" s="4">
        <v>44657</v>
      </c>
      <c r="B9101" s="6">
        <v>100.81</v>
      </c>
    </row>
    <row r="9102" spans="1:2" x14ac:dyDescent="0.25">
      <c r="A9102" s="4">
        <v>44658</v>
      </c>
      <c r="B9102" s="6">
        <v>99.83</v>
      </c>
    </row>
    <row r="9103" spans="1:2" x14ac:dyDescent="0.25">
      <c r="A9103" s="4">
        <v>44659</v>
      </c>
      <c r="B9103" s="6">
        <v>101.26</v>
      </c>
    </row>
    <row r="9104" spans="1:2" x14ac:dyDescent="0.25">
      <c r="A9104" s="4">
        <v>44662</v>
      </c>
      <c r="B9104" s="6">
        <v>97.92</v>
      </c>
    </row>
    <row r="9105" spans="1:2" x14ac:dyDescent="0.25">
      <c r="A9105" s="4">
        <v>44663</v>
      </c>
      <c r="B9105" s="6">
        <v>104.42</v>
      </c>
    </row>
    <row r="9106" spans="1:2" x14ac:dyDescent="0.25">
      <c r="A9106" s="4">
        <v>44664</v>
      </c>
      <c r="B9106" s="6">
        <v>108.49</v>
      </c>
    </row>
    <row r="9107" spans="1:2" x14ac:dyDescent="0.25">
      <c r="A9107" s="4">
        <v>44665</v>
      </c>
      <c r="B9107" s="6">
        <v>110.83</v>
      </c>
    </row>
    <row r="9108" spans="1:2" x14ac:dyDescent="0.25">
      <c r="A9108" s="4">
        <v>44666</v>
      </c>
      <c r="B9108" s="5"/>
    </row>
    <row r="9109" spans="1:2" x14ac:dyDescent="0.25">
      <c r="A9109" s="4">
        <v>44669</v>
      </c>
      <c r="B9109" s="5"/>
    </row>
    <row r="9110" spans="1:2" x14ac:dyDescent="0.25">
      <c r="A9110" s="4">
        <v>44670</v>
      </c>
      <c r="B9110" s="6">
        <v>105.49</v>
      </c>
    </row>
    <row r="9111" spans="1:2" x14ac:dyDescent="0.25">
      <c r="A9111" s="4">
        <v>44671</v>
      </c>
      <c r="B9111" s="6">
        <v>105.05</v>
      </c>
    </row>
    <row r="9112" spans="1:2" x14ac:dyDescent="0.25">
      <c r="A9112" s="4">
        <v>44672</v>
      </c>
      <c r="B9112" s="6">
        <v>107.2</v>
      </c>
    </row>
    <row r="9113" spans="1:2" x14ac:dyDescent="0.25">
      <c r="A9113" s="4">
        <v>44673</v>
      </c>
      <c r="B9113" s="6">
        <v>105.15</v>
      </c>
    </row>
    <row r="9114" spans="1:2" x14ac:dyDescent="0.25">
      <c r="A9114" s="4">
        <v>44676</v>
      </c>
      <c r="B9114" s="6">
        <v>99.27</v>
      </c>
    </row>
    <row r="9115" spans="1:2" x14ac:dyDescent="0.25">
      <c r="A9115" s="4">
        <v>44677</v>
      </c>
      <c r="B9115" s="6">
        <v>102.89</v>
      </c>
    </row>
    <row r="9116" spans="1:2" x14ac:dyDescent="0.25">
      <c r="A9116" s="4">
        <v>44678</v>
      </c>
      <c r="B9116" s="6">
        <v>103.3</v>
      </c>
    </row>
    <row r="9117" spans="1:2" x14ac:dyDescent="0.25">
      <c r="A9117" s="4">
        <v>44679</v>
      </c>
      <c r="B9117" s="6">
        <v>105.78</v>
      </c>
    </row>
    <row r="9118" spans="1:2" x14ac:dyDescent="0.25">
      <c r="A9118" s="4">
        <v>44680</v>
      </c>
      <c r="B9118" s="6">
        <v>108.36</v>
      </c>
    </row>
    <row r="9119" spans="1:2" x14ac:dyDescent="0.25">
      <c r="A9119" s="4">
        <v>44683</v>
      </c>
      <c r="B9119" s="5"/>
    </row>
    <row r="9120" spans="1:2" x14ac:dyDescent="0.25">
      <c r="A9120" s="4">
        <v>44684</v>
      </c>
      <c r="B9120" s="6">
        <v>104.94</v>
      </c>
    </row>
    <row r="9121" spans="1:2" x14ac:dyDescent="0.25">
      <c r="A9121" s="4">
        <v>44685</v>
      </c>
      <c r="B9121" s="6">
        <v>110.53</v>
      </c>
    </row>
    <row r="9122" spans="1:2" x14ac:dyDescent="0.25">
      <c r="A9122" s="4">
        <v>44686</v>
      </c>
      <c r="B9122" s="6">
        <v>112.11</v>
      </c>
    </row>
    <row r="9123" spans="1:2" x14ac:dyDescent="0.25">
      <c r="A9123" s="4">
        <v>44687</v>
      </c>
      <c r="B9123" s="6">
        <v>113.86</v>
      </c>
    </row>
    <row r="9124" spans="1:2" x14ac:dyDescent="0.25">
      <c r="A9124" s="4">
        <v>44690</v>
      </c>
      <c r="B9124" s="6">
        <v>106.67</v>
      </c>
    </row>
    <row r="9125" spans="1:2" x14ac:dyDescent="0.25">
      <c r="A9125" s="4">
        <v>44691</v>
      </c>
      <c r="B9125" s="6">
        <v>102.61</v>
      </c>
    </row>
    <row r="9126" spans="1:2" x14ac:dyDescent="0.25">
      <c r="A9126" s="4">
        <v>44692</v>
      </c>
      <c r="B9126" s="6">
        <v>107.7</v>
      </c>
    </row>
    <row r="9127" spans="1:2" x14ac:dyDescent="0.25">
      <c r="A9127" s="4">
        <v>44693</v>
      </c>
      <c r="B9127" s="6">
        <v>108.06</v>
      </c>
    </row>
    <row r="9128" spans="1:2" x14ac:dyDescent="0.25">
      <c r="A9128" s="4">
        <v>44694</v>
      </c>
      <c r="B9128" s="6">
        <v>112.12</v>
      </c>
    </row>
    <row r="9129" spans="1:2" x14ac:dyDescent="0.25">
      <c r="A9129" s="4">
        <v>44697</v>
      </c>
      <c r="B9129" s="6">
        <v>114.86</v>
      </c>
    </row>
    <row r="9130" spans="1:2" x14ac:dyDescent="0.25">
      <c r="A9130" s="4">
        <v>44698</v>
      </c>
      <c r="B9130" s="6">
        <v>112.89</v>
      </c>
    </row>
    <row r="9131" spans="1:2" x14ac:dyDescent="0.25">
      <c r="A9131" s="4">
        <v>44699</v>
      </c>
      <c r="B9131" s="6">
        <v>110.04</v>
      </c>
    </row>
    <row r="9132" spans="1:2" x14ac:dyDescent="0.25">
      <c r="A9132" s="4">
        <v>44700</v>
      </c>
      <c r="B9132" s="6">
        <v>113.22</v>
      </c>
    </row>
    <row r="9133" spans="1:2" x14ac:dyDescent="0.25">
      <c r="A9133" s="4">
        <v>44701</v>
      </c>
      <c r="B9133" s="6">
        <v>113.63</v>
      </c>
    </row>
    <row r="9134" spans="1:2" x14ac:dyDescent="0.25">
      <c r="A9134" s="4">
        <v>44704</v>
      </c>
      <c r="B9134" s="6">
        <v>115.13</v>
      </c>
    </row>
    <row r="9135" spans="1:2" x14ac:dyDescent="0.25">
      <c r="A9135" s="4">
        <v>44705</v>
      </c>
      <c r="B9135" s="6">
        <v>115.77</v>
      </c>
    </row>
    <row r="9136" spans="1:2" x14ac:dyDescent="0.25">
      <c r="A9136" s="4">
        <v>44706</v>
      </c>
      <c r="B9136" s="6">
        <v>116.41</v>
      </c>
    </row>
    <row r="9137" spans="1:2" x14ac:dyDescent="0.25">
      <c r="A9137" s="4">
        <v>44707</v>
      </c>
      <c r="B9137" s="6">
        <v>119.81</v>
      </c>
    </row>
    <row r="9138" spans="1:2" x14ac:dyDescent="0.25">
      <c r="A9138" s="4">
        <v>44708</v>
      </c>
      <c r="B9138" s="6">
        <v>121.19</v>
      </c>
    </row>
    <row r="9139" spans="1:2" x14ac:dyDescent="0.25">
      <c r="A9139" s="4">
        <v>44711</v>
      </c>
      <c r="B9139" s="6">
        <v>123.01</v>
      </c>
    </row>
    <row r="9140" spans="1:2" x14ac:dyDescent="0.25">
      <c r="A9140" s="4">
        <v>44712</v>
      </c>
      <c r="B9140" s="6">
        <v>125.53</v>
      </c>
    </row>
    <row r="9141" spans="1:2" x14ac:dyDescent="0.25">
      <c r="A9141" s="4">
        <v>44713</v>
      </c>
      <c r="B9141" s="6">
        <v>122.2</v>
      </c>
    </row>
    <row r="9142" spans="1:2" x14ac:dyDescent="0.25">
      <c r="A9142" s="4">
        <v>44714</v>
      </c>
      <c r="B9142" s="5"/>
    </row>
    <row r="9143" spans="1:2" x14ac:dyDescent="0.25">
      <c r="A9143" s="4">
        <v>44715</v>
      </c>
      <c r="B9143" s="6">
        <v>125.68</v>
      </c>
    </row>
    <row r="9144" spans="1:2" x14ac:dyDescent="0.25">
      <c r="A9144" s="4">
        <v>44718</v>
      </c>
      <c r="B9144" s="6">
        <v>124.99</v>
      </c>
    </row>
    <row r="9145" spans="1:2" x14ac:dyDescent="0.25">
      <c r="A9145" s="4">
        <v>44719</v>
      </c>
      <c r="B9145" s="6">
        <v>126.89</v>
      </c>
    </row>
    <row r="9146" spans="1:2" x14ac:dyDescent="0.25">
      <c r="A9146" s="4">
        <v>44720</v>
      </c>
      <c r="B9146" s="6">
        <v>129.19999999999999</v>
      </c>
    </row>
    <row r="9147" spans="1:2" x14ac:dyDescent="0.25">
      <c r="A9147" s="4">
        <v>44721</v>
      </c>
      <c r="B9147" s="6">
        <v>128.47</v>
      </c>
    </row>
    <row r="9148" spans="1:2" x14ac:dyDescent="0.25">
      <c r="A9148" s="4">
        <v>44722</v>
      </c>
      <c r="B9148" s="6">
        <v>127.44</v>
      </c>
    </row>
    <row r="9149" spans="1:2" x14ac:dyDescent="0.25">
      <c r="A9149" s="4">
        <v>44725</v>
      </c>
      <c r="B9149" s="6">
        <v>128.44</v>
      </c>
    </row>
    <row r="9150" spans="1:2" x14ac:dyDescent="0.25">
      <c r="A9150" s="4">
        <v>44726</v>
      </c>
      <c r="B9150" s="6">
        <v>127.02</v>
      </c>
    </row>
    <row r="9151" spans="1:2" x14ac:dyDescent="0.25">
      <c r="A9151" s="4">
        <v>44727</v>
      </c>
      <c r="B9151" s="6">
        <v>124.96</v>
      </c>
    </row>
    <row r="9152" spans="1:2" x14ac:dyDescent="0.25">
      <c r="A9152" s="4">
        <v>44728</v>
      </c>
      <c r="B9152" s="6">
        <v>125.78</v>
      </c>
    </row>
    <row r="9153" spans="1:2" x14ac:dyDescent="0.25">
      <c r="A9153" s="4">
        <v>44729</v>
      </c>
      <c r="B9153" s="6">
        <v>119.22</v>
      </c>
    </row>
    <row r="9154" spans="1:2" x14ac:dyDescent="0.25">
      <c r="A9154" s="4">
        <v>44732</v>
      </c>
      <c r="B9154" s="6">
        <v>118.25</v>
      </c>
    </row>
    <row r="9155" spans="1:2" x14ac:dyDescent="0.25">
      <c r="A9155" s="4">
        <v>44733</v>
      </c>
      <c r="B9155" s="6">
        <v>118.51</v>
      </c>
    </row>
    <row r="9156" spans="1:2" x14ac:dyDescent="0.25">
      <c r="A9156" s="4">
        <v>44734</v>
      </c>
      <c r="B9156" s="6">
        <v>115.54</v>
      </c>
    </row>
    <row r="9157" spans="1:2" x14ac:dyDescent="0.25">
      <c r="A9157" s="4">
        <v>44735</v>
      </c>
      <c r="B9157" s="6">
        <v>114.5</v>
      </c>
    </row>
    <row r="9158" spans="1:2" x14ac:dyDescent="0.25">
      <c r="A9158" s="4">
        <v>44736</v>
      </c>
      <c r="B9158" s="6">
        <v>117.36</v>
      </c>
    </row>
    <row r="9159" spans="1:2" x14ac:dyDescent="0.25">
      <c r="A9159" s="4">
        <v>44739</v>
      </c>
      <c r="B9159" s="6">
        <v>119.69</v>
      </c>
    </row>
    <row r="9160" spans="1:2" x14ac:dyDescent="0.25">
      <c r="A9160" s="4">
        <v>44740</v>
      </c>
      <c r="B9160" s="6">
        <v>122.21</v>
      </c>
    </row>
    <row r="9161" spans="1:2" x14ac:dyDescent="0.25">
      <c r="A9161" s="4">
        <v>44741</v>
      </c>
      <c r="B9161" s="6">
        <v>120.8</v>
      </c>
    </row>
    <row r="9162" spans="1:2" x14ac:dyDescent="0.25">
      <c r="A9162" s="4">
        <v>44742</v>
      </c>
      <c r="B9162" s="6">
        <v>119.78</v>
      </c>
    </row>
    <row r="9163" spans="1:2" x14ac:dyDescent="0.25">
      <c r="A9163" s="4">
        <v>44743</v>
      </c>
      <c r="B9163" s="6">
        <v>119.21</v>
      </c>
    </row>
    <row r="9164" spans="1:2" x14ac:dyDescent="0.25">
      <c r="A9164" s="4">
        <v>44746</v>
      </c>
      <c r="B9164" s="6">
        <v>121.8</v>
      </c>
    </row>
    <row r="9165" spans="1:2" x14ac:dyDescent="0.25">
      <c r="A9165" s="4">
        <v>44747</v>
      </c>
      <c r="B9165" s="6">
        <v>110.49</v>
      </c>
    </row>
    <row r="9166" spans="1:2" x14ac:dyDescent="0.25">
      <c r="A9166" s="4">
        <v>44748</v>
      </c>
      <c r="B9166" s="6">
        <v>108.54</v>
      </c>
    </row>
    <row r="9167" spans="1:2" x14ac:dyDescent="0.25">
      <c r="A9167" s="4">
        <v>44749</v>
      </c>
      <c r="B9167" s="6">
        <v>113.4</v>
      </c>
    </row>
    <row r="9168" spans="1:2" x14ac:dyDescent="0.25">
      <c r="A9168" s="4">
        <v>44750</v>
      </c>
      <c r="B9168" s="6">
        <v>113.95</v>
      </c>
    </row>
    <row r="9169" spans="1:2" x14ac:dyDescent="0.25">
      <c r="A9169" s="4">
        <v>44753</v>
      </c>
      <c r="B9169" s="6">
        <v>114.85</v>
      </c>
    </row>
    <row r="9170" spans="1:2" x14ac:dyDescent="0.25">
      <c r="A9170" s="4">
        <v>44754</v>
      </c>
      <c r="B9170" s="6">
        <v>106.98</v>
      </c>
    </row>
    <row r="9171" spans="1:2" x14ac:dyDescent="0.25">
      <c r="A9171" s="4">
        <v>44755</v>
      </c>
      <c r="B9171" s="6">
        <v>107.17</v>
      </c>
    </row>
    <row r="9172" spans="1:2" x14ac:dyDescent="0.25">
      <c r="A9172" s="4">
        <v>44756</v>
      </c>
      <c r="B9172" s="6">
        <v>107.74</v>
      </c>
    </row>
    <row r="9173" spans="1:2" x14ac:dyDescent="0.25">
      <c r="A9173" s="4">
        <v>44757</v>
      </c>
      <c r="B9173" s="6">
        <v>112.26</v>
      </c>
    </row>
    <row r="9174" spans="1:2" x14ac:dyDescent="0.25">
      <c r="A9174" s="4">
        <v>44760</v>
      </c>
      <c r="B9174" s="6">
        <v>117.27</v>
      </c>
    </row>
    <row r="9175" spans="1:2" x14ac:dyDescent="0.25">
      <c r="A9175" s="4">
        <v>44761</v>
      </c>
      <c r="B9175" s="6">
        <v>114.96</v>
      </c>
    </row>
    <row r="9176" spans="1:2" x14ac:dyDescent="0.25">
      <c r="A9176" s="4">
        <v>44762</v>
      </c>
      <c r="B9176" s="6">
        <v>115.86</v>
      </c>
    </row>
    <row r="9177" spans="1:2" x14ac:dyDescent="0.25">
      <c r="A9177" s="4">
        <v>44763</v>
      </c>
      <c r="B9177" s="6">
        <v>112.81</v>
      </c>
    </row>
    <row r="9178" spans="1:2" x14ac:dyDescent="0.25">
      <c r="A9178" s="4">
        <v>44764</v>
      </c>
      <c r="B9178" s="6">
        <v>106.77</v>
      </c>
    </row>
    <row r="9179" spans="1:2" x14ac:dyDescent="0.25">
      <c r="A9179" s="4">
        <v>44767</v>
      </c>
      <c r="B9179" s="6">
        <v>108.23</v>
      </c>
    </row>
    <row r="9180" spans="1:2" x14ac:dyDescent="0.25">
      <c r="A9180" s="4">
        <v>44768</v>
      </c>
      <c r="B9180" s="6">
        <v>107.32</v>
      </c>
    </row>
    <row r="9181" spans="1:2" x14ac:dyDescent="0.25">
      <c r="A9181" s="4">
        <v>44769</v>
      </c>
      <c r="B9181" s="6">
        <v>109.64</v>
      </c>
    </row>
    <row r="9182" spans="1:2" x14ac:dyDescent="0.25">
      <c r="A9182" s="4">
        <v>44770</v>
      </c>
      <c r="B9182" s="6">
        <v>109.68</v>
      </c>
    </row>
    <row r="9183" spans="1:2" x14ac:dyDescent="0.25">
      <c r="A9183" s="4">
        <v>44771</v>
      </c>
      <c r="B9183" s="6">
        <v>111.51</v>
      </c>
    </row>
    <row r="9184" spans="1:2" x14ac:dyDescent="0.25">
      <c r="A9184" s="4">
        <v>44774</v>
      </c>
      <c r="B9184" s="6">
        <v>106.09</v>
      </c>
    </row>
    <row r="9185" spans="1:2" x14ac:dyDescent="0.25">
      <c r="A9185" s="4">
        <v>44775</v>
      </c>
      <c r="B9185" s="6">
        <v>106.51</v>
      </c>
    </row>
    <row r="9186" spans="1:2" x14ac:dyDescent="0.25">
      <c r="A9186" s="4">
        <v>44776</v>
      </c>
      <c r="B9186" s="6">
        <v>101.82</v>
      </c>
    </row>
    <row r="9187" spans="1:2" x14ac:dyDescent="0.25">
      <c r="A9187" s="4">
        <v>44777</v>
      </c>
      <c r="B9187" s="6">
        <v>97.99</v>
      </c>
    </row>
    <row r="9188" spans="1:2" x14ac:dyDescent="0.25">
      <c r="A9188" s="4">
        <v>44778</v>
      </c>
      <c r="B9188" s="6">
        <v>100.31</v>
      </c>
    </row>
    <row r="9189" spans="1:2" x14ac:dyDescent="0.25">
      <c r="A9189" s="4">
        <v>44781</v>
      </c>
      <c r="B9189" s="6">
        <v>103.46</v>
      </c>
    </row>
    <row r="9190" spans="1:2" x14ac:dyDescent="0.25">
      <c r="A9190" s="4">
        <v>44782</v>
      </c>
      <c r="B9190" s="6">
        <v>103.81</v>
      </c>
    </row>
    <row r="9191" spans="1:2" x14ac:dyDescent="0.25">
      <c r="A9191" s="4">
        <v>44783</v>
      </c>
      <c r="B9191" s="6">
        <v>105.06</v>
      </c>
    </row>
    <row r="9192" spans="1:2" x14ac:dyDescent="0.25">
      <c r="A9192" s="4">
        <v>44784</v>
      </c>
      <c r="B9192" s="6">
        <v>107.19</v>
      </c>
    </row>
    <row r="9193" spans="1:2" x14ac:dyDescent="0.25">
      <c r="A9193" s="4">
        <v>44785</v>
      </c>
      <c r="B9193" s="6">
        <v>103.7</v>
      </c>
    </row>
    <row r="9194" spans="1:2" x14ac:dyDescent="0.25">
      <c r="A9194" s="4">
        <v>44788</v>
      </c>
      <c r="B9194" s="6">
        <v>98.25</v>
      </c>
    </row>
    <row r="9195" spans="1:2" x14ac:dyDescent="0.25">
      <c r="A9195" s="4">
        <v>44789</v>
      </c>
      <c r="B9195" s="6">
        <v>95.36</v>
      </c>
    </row>
    <row r="9196" spans="1:2" x14ac:dyDescent="0.25">
      <c r="A9196" s="4">
        <v>44790</v>
      </c>
      <c r="B9196" s="6">
        <v>97.22</v>
      </c>
    </row>
    <row r="9197" spans="1:2" x14ac:dyDescent="0.25">
      <c r="A9197" s="4">
        <v>44791</v>
      </c>
      <c r="B9197" s="6">
        <v>96.35</v>
      </c>
    </row>
    <row r="9198" spans="1:2" x14ac:dyDescent="0.25">
      <c r="A9198" s="4">
        <v>44792</v>
      </c>
      <c r="B9198" s="6">
        <v>96.45</v>
      </c>
    </row>
    <row r="9199" spans="1:2" x14ac:dyDescent="0.25">
      <c r="A9199" s="4">
        <v>44795</v>
      </c>
      <c r="B9199" s="6">
        <v>95.06</v>
      </c>
    </row>
    <row r="9200" spans="1:2" x14ac:dyDescent="0.25">
      <c r="A9200" s="4">
        <v>44796</v>
      </c>
      <c r="B9200" s="6">
        <v>99.49</v>
      </c>
    </row>
    <row r="9201" spans="1:2" x14ac:dyDescent="0.25">
      <c r="A9201" s="4">
        <v>44797</v>
      </c>
      <c r="B9201" s="6">
        <v>99.87</v>
      </c>
    </row>
    <row r="9202" spans="1:2" x14ac:dyDescent="0.25">
      <c r="A9202" s="4">
        <v>44798</v>
      </c>
      <c r="B9202" s="6">
        <v>98.81</v>
      </c>
    </row>
    <row r="9203" spans="1:2" x14ac:dyDescent="0.25">
      <c r="A9203" s="4">
        <v>44799</v>
      </c>
      <c r="B9203" s="6">
        <v>101.13</v>
      </c>
    </row>
    <row r="9204" spans="1:2" x14ac:dyDescent="0.25">
      <c r="A9204" s="4">
        <v>44802</v>
      </c>
      <c r="B9204" s="5"/>
    </row>
    <row r="9205" spans="1:2" x14ac:dyDescent="0.25">
      <c r="A9205" s="4">
        <v>44803</v>
      </c>
      <c r="B9205" s="6">
        <v>99.34</v>
      </c>
    </row>
    <row r="9206" spans="1:2" x14ac:dyDescent="0.25">
      <c r="A9206" s="4">
        <v>44804</v>
      </c>
      <c r="B9206" s="6">
        <v>96.55</v>
      </c>
    </row>
    <row r="9207" spans="1:2" x14ac:dyDescent="0.25">
      <c r="A9207" s="4">
        <v>44805</v>
      </c>
      <c r="B9207" s="6">
        <v>92.24</v>
      </c>
    </row>
    <row r="9208" spans="1:2" x14ac:dyDescent="0.25">
      <c r="A9208" s="4">
        <v>44806</v>
      </c>
      <c r="B9208" s="6">
        <v>93.09</v>
      </c>
    </row>
    <row r="9209" spans="1:2" x14ac:dyDescent="0.25">
      <c r="A9209" s="4">
        <v>44809</v>
      </c>
      <c r="B9209" s="6">
        <v>94.22</v>
      </c>
    </row>
    <row r="9210" spans="1:2" x14ac:dyDescent="0.25">
      <c r="A9210" s="4">
        <v>44810</v>
      </c>
      <c r="B9210" s="6">
        <v>91.43</v>
      </c>
    </row>
    <row r="9211" spans="1:2" x14ac:dyDescent="0.25">
      <c r="A9211" s="4">
        <v>44811</v>
      </c>
      <c r="B9211" s="6">
        <v>86.83</v>
      </c>
    </row>
    <row r="9212" spans="1:2" x14ac:dyDescent="0.25">
      <c r="A9212" s="4">
        <v>44812</v>
      </c>
      <c r="B9212" s="6">
        <v>87.99</v>
      </c>
    </row>
    <row r="9213" spans="1:2" x14ac:dyDescent="0.25">
      <c r="A9213" s="4">
        <v>44813</v>
      </c>
      <c r="B9213" s="6">
        <v>91.68</v>
      </c>
    </row>
    <row r="9214" spans="1:2" x14ac:dyDescent="0.25">
      <c r="A9214" s="4">
        <v>44816</v>
      </c>
      <c r="B9214" s="6">
        <v>93.45</v>
      </c>
    </row>
    <row r="9215" spans="1:2" x14ac:dyDescent="0.25">
      <c r="A9215" s="4">
        <v>44817</v>
      </c>
      <c r="B9215" s="6">
        <v>92.04</v>
      </c>
    </row>
    <row r="9216" spans="1:2" x14ac:dyDescent="0.25">
      <c r="A9216" s="4">
        <v>44818</v>
      </c>
      <c r="B9216" s="6">
        <v>92.83</v>
      </c>
    </row>
    <row r="9217" spans="1:2" x14ac:dyDescent="0.25">
      <c r="A9217" s="4">
        <v>44819</v>
      </c>
      <c r="B9217" s="6">
        <v>89.28</v>
      </c>
    </row>
    <row r="9218" spans="1:2" x14ac:dyDescent="0.25">
      <c r="A9218" s="4">
        <v>44820</v>
      </c>
      <c r="B9218" s="6">
        <v>89.43</v>
      </c>
    </row>
    <row r="9219" spans="1:2" x14ac:dyDescent="0.25">
      <c r="A9219" s="4">
        <v>44823</v>
      </c>
      <c r="B9219" s="5"/>
    </row>
    <row r="9220" spans="1:2" x14ac:dyDescent="0.25">
      <c r="A9220" s="4">
        <v>44824</v>
      </c>
      <c r="B9220" s="6">
        <v>89.62</v>
      </c>
    </row>
    <row r="9221" spans="1:2" x14ac:dyDescent="0.25">
      <c r="A9221" s="4">
        <v>44825</v>
      </c>
      <c r="B9221" s="6">
        <v>89.86</v>
      </c>
    </row>
    <row r="9222" spans="1:2" x14ac:dyDescent="0.25">
      <c r="A9222" s="4">
        <v>44826</v>
      </c>
      <c r="B9222" s="6">
        <v>90.4</v>
      </c>
    </row>
    <row r="9223" spans="1:2" x14ac:dyDescent="0.25">
      <c r="A9223" s="4">
        <v>44827</v>
      </c>
      <c r="B9223" s="6">
        <v>84.29</v>
      </c>
    </row>
    <row r="9224" spans="1:2" x14ac:dyDescent="0.25">
      <c r="A9224" s="4">
        <v>44830</v>
      </c>
      <c r="B9224" s="6">
        <v>82.55</v>
      </c>
    </row>
    <row r="9225" spans="1:2" x14ac:dyDescent="0.25">
      <c r="A9225" s="4">
        <v>44831</v>
      </c>
      <c r="B9225" s="6">
        <v>85.97</v>
      </c>
    </row>
    <row r="9226" spans="1:2" x14ac:dyDescent="0.25">
      <c r="A9226" s="4">
        <v>44832</v>
      </c>
      <c r="B9226" s="6">
        <v>89.55</v>
      </c>
    </row>
    <row r="9227" spans="1:2" x14ac:dyDescent="0.25">
      <c r="A9227" s="4">
        <v>44833</v>
      </c>
      <c r="B9227" s="6">
        <v>89.41</v>
      </c>
    </row>
    <row r="9228" spans="1:2" x14ac:dyDescent="0.25">
      <c r="A9228" s="4">
        <v>44834</v>
      </c>
      <c r="B9228" s="6">
        <v>88.9</v>
      </c>
    </row>
    <row r="9229" spans="1:2" x14ac:dyDescent="0.25">
      <c r="A9229" s="4">
        <v>44837</v>
      </c>
      <c r="B9229" s="6">
        <v>90.68</v>
      </c>
    </row>
    <row r="9230" spans="1:2" x14ac:dyDescent="0.25">
      <c r="A9230" s="4">
        <v>44838</v>
      </c>
      <c r="B9230" s="6">
        <v>93.74</v>
      </c>
    </row>
    <row r="9231" spans="1:2" x14ac:dyDescent="0.25">
      <c r="A9231" s="4">
        <v>44839</v>
      </c>
      <c r="B9231" s="6">
        <v>94.35</v>
      </c>
    </row>
    <row r="9232" spans="1:2" x14ac:dyDescent="0.25">
      <c r="A9232" s="4">
        <v>44840</v>
      </c>
      <c r="B9232" s="6">
        <v>95.65</v>
      </c>
    </row>
    <row r="9233" spans="1:2" x14ac:dyDescent="0.25">
      <c r="A9233" s="4">
        <v>44841</v>
      </c>
      <c r="B9233" s="6">
        <v>98.88</v>
      </c>
    </row>
    <row r="9234" spans="1:2" x14ac:dyDescent="0.25">
      <c r="A9234" s="4">
        <v>44844</v>
      </c>
      <c r="B9234" s="6">
        <v>97.13</v>
      </c>
    </row>
    <row r="9235" spans="1:2" x14ac:dyDescent="0.25">
      <c r="A9235" s="4">
        <v>44845</v>
      </c>
      <c r="B9235" s="6">
        <v>95.17</v>
      </c>
    </row>
    <row r="9236" spans="1:2" x14ac:dyDescent="0.25">
      <c r="A9236" s="4">
        <v>44846</v>
      </c>
      <c r="B9236" s="6">
        <v>93.44</v>
      </c>
    </row>
    <row r="9237" spans="1:2" x14ac:dyDescent="0.25">
      <c r="A9237" s="4">
        <v>44847</v>
      </c>
      <c r="B9237" s="6">
        <v>95.16</v>
      </c>
    </row>
    <row r="9238" spans="1:2" x14ac:dyDescent="0.25">
      <c r="A9238" s="4">
        <v>44848</v>
      </c>
      <c r="B9238" s="6">
        <v>92.22</v>
      </c>
    </row>
    <row r="9239" spans="1:2" x14ac:dyDescent="0.25">
      <c r="A9239" s="4">
        <v>44851</v>
      </c>
      <c r="B9239" s="6">
        <v>91.04</v>
      </c>
    </row>
    <row r="9240" spans="1:2" x14ac:dyDescent="0.25">
      <c r="A9240" s="4">
        <v>44852</v>
      </c>
      <c r="B9240" s="6">
        <v>89.46</v>
      </c>
    </row>
    <row r="9241" spans="1:2" x14ac:dyDescent="0.25">
      <c r="A9241" s="4">
        <v>44853</v>
      </c>
      <c r="B9241" s="6">
        <v>91.34</v>
      </c>
    </row>
    <row r="9242" spans="1:2" x14ac:dyDescent="0.25">
      <c r="A9242" s="4">
        <v>44854</v>
      </c>
      <c r="B9242" s="6">
        <v>91.52</v>
      </c>
    </row>
    <row r="9243" spans="1:2" x14ac:dyDescent="0.25">
      <c r="A9243" s="4">
        <v>44855</v>
      </c>
      <c r="B9243" s="6">
        <v>91.82</v>
      </c>
    </row>
    <row r="9244" spans="1:2" x14ac:dyDescent="0.25">
      <c r="A9244" s="4">
        <v>44858</v>
      </c>
      <c r="B9244" s="6">
        <v>91.57</v>
      </c>
    </row>
    <row r="9245" spans="1:2" x14ac:dyDescent="0.25">
      <c r="A9245" s="4">
        <v>44859</v>
      </c>
      <c r="B9245" s="6">
        <v>91.76</v>
      </c>
    </row>
    <row r="9246" spans="1:2" x14ac:dyDescent="0.25">
      <c r="A9246" s="4">
        <v>44860</v>
      </c>
      <c r="B9246" s="6">
        <v>92.93</v>
      </c>
    </row>
    <row r="9247" spans="1:2" x14ac:dyDescent="0.25">
      <c r="A9247" s="4">
        <v>44861</v>
      </c>
      <c r="B9247" s="6">
        <v>94.17</v>
      </c>
    </row>
    <row r="9248" spans="1:2" x14ac:dyDescent="0.25">
      <c r="A9248" s="4">
        <v>44862</v>
      </c>
      <c r="B9248" s="6">
        <v>94.64</v>
      </c>
    </row>
    <row r="9249" spans="1:2" x14ac:dyDescent="0.25">
      <c r="A9249" s="4">
        <v>44865</v>
      </c>
      <c r="B9249" s="6">
        <v>93.3</v>
      </c>
    </row>
    <row r="9250" spans="1:2" x14ac:dyDescent="0.25">
      <c r="A9250" s="4">
        <v>44866</v>
      </c>
      <c r="B9250" s="6">
        <v>95.12</v>
      </c>
    </row>
    <row r="9251" spans="1:2" x14ac:dyDescent="0.25">
      <c r="A9251" s="4">
        <v>44867</v>
      </c>
      <c r="B9251" s="6">
        <v>96.07</v>
      </c>
    </row>
    <row r="9252" spans="1:2" x14ac:dyDescent="0.25">
      <c r="A9252" s="4">
        <v>44868</v>
      </c>
      <c r="B9252" s="6">
        <v>95.29</v>
      </c>
    </row>
    <row r="9253" spans="1:2" x14ac:dyDescent="0.25">
      <c r="A9253" s="4">
        <v>44869</v>
      </c>
      <c r="B9253" s="6">
        <v>99.53</v>
      </c>
    </row>
    <row r="9254" spans="1:2" x14ac:dyDescent="0.25">
      <c r="A9254" s="4">
        <v>44872</v>
      </c>
      <c r="B9254" s="6">
        <v>99.87</v>
      </c>
    </row>
    <row r="9255" spans="1:2" x14ac:dyDescent="0.25">
      <c r="A9255" s="4">
        <v>44873</v>
      </c>
      <c r="B9255" s="6">
        <v>96.85</v>
      </c>
    </row>
    <row r="9256" spans="1:2" x14ac:dyDescent="0.25">
      <c r="A9256" s="4">
        <v>44874</v>
      </c>
      <c r="B9256" s="6">
        <v>93.05</v>
      </c>
    </row>
    <row r="9257" spans="1:2" x14ac:dyDescent="0.25">
      <c r="A9257" s="4">
        <v>44875</v>
      </c>
      <c r="B9257" s="6">
        <v>94.25</v>
      </c>
    </row>
    <row r="9258" spans="1:2" x14ac:dyDescent="0.25">
      <c r="A9258" s="4">
        <v>44876</v>
      </c>
      <c r="B9258" s="6">
        <v>96.37</v>
      </c>
    </row>
    <row r="9259" spans="1:2" x14ac:dyDescent="0.25">
      <c r="A9259" s="4">
        <v>44879</v>
      </c>
      <c r="B9259" s="6">
        <v>93.59</v>
      </c>
    </row>
    <row r="9260" spans="1:2" x14ac:dyDescent="0.25">
      <c r="A9260" s="4">
        <v>44880</v>
      </c>
      <c r="B9260" s="6">
        <v>94.3</v>
      </c>
    </row>
    <row r="9261" spans="1:2" x14ac:dyDescent="0.25">
      <c r="A9261" s="4">
        <v>44881</v>
      </c>
      <c r="B9261" s="6">
        <v>92.61</v>
      </c>
    </row>
    <row r="9262" spans="1:2" x14ac:dyDescent="0.25">
      <c r="A9262" s="4">
        <v>44882</v>
      </c>
      <c r="B9262" s="6">
        <v>91</v>
      </c>
    </row>
    <row r="9263" spans="1:2" x14ac:dyDescent="0.25">
      <c r="A9263" s="4">
        <v>44883</v>
      </c>
      <c r="B9263" s="6">
        <v>88.93</v>
      </c>
    </row>
    <row r="9264" spans="1:2" x14ac:dyDescent="0.25">
      <c r="A9264" s="4">
        <v>44886</v>
      </c>
      <c r="B9264" s="6">
        <v>88.44</v>
      </c>
    </row>
    <row r="9265" spans="1:2" x14ac:dyDescent="0.25">
      <c r="A9265" s="4">
        <v>44887</v>
      </c>
      <c r="B9265" s="6">
        <v>88.65</v>
      </c>
    </row>
    <row r="9266" spans="1:2" x14ac:dyDescent="0.25">
      <c r="A9266" s="4">
        <v>44888</v>
      </c>
      <c r="B9266" s="6">
        <v>85.9</v>
      </c>
    </row>
    <row r="9267" spans="1:2" x14ac:dyDescent="0.25">
      <c r="A9267" s="4">
        <v>44889</v>
      </c>
      <c r="B9267" s="6">
        <v>85.59</v>
      </c>
    </row>
    <row r="9268" spans="1:2" x14ac:dyDescent="0.25">
      <c r="A9268" s="4">
        <v>44890</v>
      </c>
      <c r="B9268" s="6">
        <v>83.4</v>
      </c>
    </row>
    <row r="9269" spans="1:2" x14ac:dyDescent="0.25">
      <c r="A9269" s="4">
        <v>44893</v>
      </c>
      <c r="B9269" s="6">
        <v>83.5</v>
      </c>
    </row>
    <row r="9270" spans="1:2" x14ac:dyDescent="0.25">
      <c r="A9270" s="4">
        <v>44894</v>
      </c>
      <c r="B9270" s="6">
        <v>83.22</v>
      </c>
    </row>
    <row r="9271" spans="1:2" x14ac:dyDescent="0.25">
      <c r="A9271" s="4">
        <v>44895</v>
      </c>
      <c r="B9271" s="6">
        <v>85.61</v>
      </c>
    </row>
    <row r="9272" spans="1:2" x14ac:dyDescent="0.25">
      <c r="A9272" s="4">
        <v>44896</v>
      </c>
      <c r="B9272" s="6">
        <v>86.28</v>
      </c>
    </row>
    <row r="9273" spans="1:2" x14ac:dyDescent="0.25">
      <c r="A9273" s="4">
        <v>44897</v>
      </c>
      <c r="B9273" s="6">
        <v>86.54</v>
      </c>
    </row>
    <row r="9274" spans="1:2" x14ac:dyDescent="0.25">
      <c r="A9274" s="4">
        <v>44900</v>
      </c>
      <c r="B9274" s="6">
        <v>83.36</v>
      </c>
    </row>
    <row r="9275" spans="1:2" x14ac:dyDescent="0.25">
      <c r="A9275" s="4">
        <v>44901</v>
      </c>
      <c r="B9275" s="6">
        <v>79.92</v>
      </c>
    </row>
    <row r="9276" spans="1:2" x14ac:dyDescent="0.25">
      <c r="A9276" s="4">
        <v>44902</v>
      </c>
      <c r="B9276" s="6">
        <v>77.11</v>
      </c>
    </row>
    <row r="9277" spans="1:2" x14ac:dyDescent="0.25">
      <c r="A9277" s="4">
        <v>44903</v>
      </c>
      <c r="B9277" s="6">
        <v>76.02</v>
      </c>
    </row>
    <row r="9278" spans="1:2" x14ac:dyDescent="0.25">
      <c r="A9278" s="4">
        <v>44904</v>
      </c>
      <c r="B9278" s="6">
        <v>76.37</v>
      </c>
    </row>
    <row r="9279" spans="1:2" x14ac:dyDescent="0.25">
      <c r="A9279" s="4">
        <v>44907</v>
      </c>
      <c r="B9279" s="6">
        <v>78</v>
      </c>
    </row>
    <row r="9280" spans="1:2" x14ac:dyDescent="0.25">
      <c r="A9280" s="4">
        <v>44908</v>
      </c>
      <c r="B9280" s="6">
        <v>80.14</v>
      </c>
    </row>
    <row r="9281" spans="1:2" x14ac:dyDescent="0.25">
      <c r="A9281" s="4">
        <v>44909</v>
      </c>
      <c r="B9281" s="6">
        <v>83.33</v>
      </c>
    </row>
    <row r="9282" spans="1:2" x14ac:dyDescent="0.25">
      <c r="A9282" s="4">
        <v>44910</v>
      </c>
      <c r="B9282" s="6">
        <v>82.34</v>
      </c>
    </row>
    <row r="9283" spans="1:2" x14ac:dyDescent="0.25">
      <c r="A9283" s="4">
        <v>44911</v>
      </c>
      <c r="B9283" s="6">
        <v>80.2</v>
      </c>
    </row>
    <row r="9284" spans="1:2" x14ac:dyDescent="0.25">
      <c r="A9284" s="4">
        <v>44914</v>
      </c>
      <c r="B9284" s="6">
        <v>81.66</v>
      </c>
    </row>
    <row r="9285" spans="1:2" x14ac:dyDescent="0.25">
      <c r="A9285" s="4">
        <v>44915</v>
      </c>
      <c r="B9285" s="6">
        <v>79.45</v>
      </c>
    </row>
    <row r="9286" spans="1:2" x14ac:dyDescent="0.25">
      <c r="A9286" s="4">
        <v>44916</v>
      </c>
      <c r="B9286" s="6">
        <v>80.25</v>
      </c>
    </row>
    <row r="9287" spans="1:2" x14ac:dyDescent="0.25">
      <c r="A9287" s="4">
        <v>44917</v>
      </c>
      <c r="B9287" s="6">
        <v>79.58</v>
      </c>
    </row>
    <row r="9288" spans="1:2" x14ac:dyDescent="0.25">
      <c r="A9288" s="4">
        <v>44918</v>
      </c>
      <c r="B9288" s="6">
        <v>82.45</v>
      </c>
    </row>
    <row r="9289" spans="1:2" x14ac:dyDescent="0.25">
      <c r="A9289" s="4">
        <v>44921</v>
      </c>
      <c r="B9289" s="5"/>
    </row>
    <row r="9290" spans="1:2" x14ac:dyDescent="0.25">
      <c r="A9290" s="4">
        <v>44922</v>
      </c>
      <c r="B9290" s="5"/>
    </row>
    <row r="9291" spans="1:2" x14ac:dyDescent="0.25">
      <c r="A9291" s="4">
        <v>44923</v>
      </c>
      <c r="B9291" s="6">
        <v>81.7</v>
      </c>
    </row>
    <row r="9292" spans="1:2" x14ac:dyDescent="0.25">
      <c r="A9292" s="4">
        <v>44924</v>
      </c>
      <c r="B9292" s="6">
        <v>80.959999999999994</v>
      </c>
    </row>
    <row r="9293" spans="1:2" x14ac:dyDescent="0.25">
      <c r="A9293" s="4">
        <v>44925</v>
      </c>
      <c r="B9293" s="6">
        <v>82.82</v>
      </c>
    </row>
    <row r="9294" spans="1:2" x14ac:dyDescent="0.25">
      <c r="A9294" s="4">
        <v>44928</v>
      </c>
      <c r="B9294" s="5"/>
    </row>
    <row r="9295" spans="1:2" x14ac:dyDescent="0.25">
      <c r="A9295" s="4">
        <v>44929</v>
      </c>
      <c r="B9295" s="6">
        <v>80.36</v>
      </c>
    </row>
    <row r="9296" spans="1:2" x14ac:dyDescent="0.25">
      <c r="A9296" s="4">
        <v>44930</v>
      </c>
      <c r="B9296" s="6">
        <v>75.31</v>
      </c>
    </row>
    <row r="9297" spans="1:2" x14ac:dyDescent="0.25">
      <c r="A9297" s="4">
        <v>44931</v>
      </c>
      <c r="B9297" s="6">
        <v>76.73</v>
      </c>
    </row>
    <row r="9298" spans="1:2" x14ac:dyDescent="0.25">
      <c r="A9298" s="4">
        <v>44932</v>
      </c>
      <c r="B9298" s="6">
        <v>76.41</v>
      </c>
    </row>
    <row r="9299" spans="1:2" x14ac:dyDescent="0.25">
      <c r="A9299" s="4">
        <v>44935</v>
      </c>
      <c r="B9299" s="6">
        <v>77.5</v>
      </c>
    </row>
    <row r="9300" spans="1:2" x14ac:dyDescent="0.25">
      <c r="A9300" s="4">
        <v>44936</v>
      </c>
      <c r="B9300" s="6">
        <v>78.400000000000006</v>
      </c>
    </row>
    <row r="9301" spans="1:2" x14ac:dyDescent="0.25">
      <c r="A9301" s="4">
        <v>44937</v>
      </c>
      <c r="B9301" s="6">
        <v>81.11</v>
      </c>
    </row>
    <row r="9302" spans="1:2" x14ac:dyDescent="0.25">
      <c r="A9302" s="4">
        <v>44938</v>
      </c>
      <c r="B9302" s="6">
        <v>82.59</v>
      </c>
    </row>
    <row r="9303" spans="1:2" x14ac:dyDescent="0.25">
      <c r="A9303" s="4">
        <v>44939</v>
      </c>
      <c r="B9303" s="6">
        <v>83.43</v>
      </c>
    </row>
    <row r="9304" spans="1:2" x14ac:dyDescent="0.25">
      <c r="A9304" s="4">
        <v>44942</v>
      </c>
      <c r="B9304" s="6">
        <v>82.65</v>
      </c>
    </row>
    <row r="9305" spans="1:2" x14ac:dyDescent="0.25">
      <c r="A9305" s="4">
        <v>44943</v>
      </c>
      <c r="B9305" s="6">
        <v>84.38</v>
      </c>
    </row>
    <row r="9306" spans="1:2" x14ac:dyDescent="0.25">
      <c r="A9306" s="4">
        <v>44944</v>
      </c>
      <c r="B9306" s="6">
        <v>83.78</v>
      </c>
    </row>
    <row r="9307" spans="1:2" x14ac:dyDescent="0.25">
      <c r="A9307" s="4">
        <v>44945</v>
      </c>
      <c r="B9307" s="6">
        <v>85.08</v>
      </c>
    </row>
    <row r="9308" spans="1:2" x14ac:dyDescent="0.25">
      <c r="A9308" s="4">
        <v>44946</v>
      </c>
      <c r="B9308" s="6">
        <v>86.96</v>
      </c>
    </row>
    <row r="9309" spans="1:2" x14ac:dyDescent="0.25">
      <c r="A9309" s="4">
        <v>44949</v>
      </c>
      <c r="B9309" s="6">
        <v>87.54</v>
      </c>
    </row>
    <row r="9310" spans="1:2" x14ac:dyDescent="0.25">
      <c r="A9310" s="4">
        <v>44950</v>
      </c>
      <c r="B9310" s="6">
        <v>85.25</v>
      </c>
    </row>
    <row r="9311" spans="1:2" x14ac:dyDescent="0.25">
      <c r="A9311" s="4">
        <v>44951</v>
      </c>
      <c r="B9311" s="6">
        <v>85.08</v>
      </c>
    </row>
    <row r="9312" spans="1:2" x14ac:dyDescent="0.25">
      <c r="A9312" s="4">
        <v>44952</v>
      </c>
      <c r="B9312" s="6">
        <v>86.29</v>
      </c>
    </row>
    <row r="9313" spans="1:2" x14ac:dyDescent="0.25">
      <c r="A9313" s="4">
        <v>44953</v>
      </c>
      <c r="B9313" s="6">
        <v>85.36</v>
      </c>
    </row>
    <row r="9314" spans="1:2" x14ac:dyDescent="0.25">
      <c r="A9314" s="4">
        <v>44956</v>
      </c>
      <c r="B9314" s="6">
        <v>84.9</v>
      </c>
    </row>
    <row r="9315" spans="1:2" x14ac:dyDescent="0.25">
      <c r="A9315" s="4">
        <v>44957</v>
      </c>
      <c r="B9315" s="6">
        <v>83.42</v>
      </c>
    </row>
    <row r="9316" spans="1:2" x14ac:dyDescent="0.25">
      <c r="A9316" s="4">
        <v>44958</v>
      </c>
      <c r="B9316" s="6">
        <v>81.61</v>
      </c>
    </row>
    <row r="9317" spans="1:2" x14ac:dyDescent="0.25">
      <c r="A9317" s="4">
        <v>44959</v>
      </c>
      <c r="B9317" s="6">
        <v>80.569999999999993</v>
      </c>
    </row>
    <row r="9318" spans="1:2" x14ac:dyDescent="0.25">
      <c r="A9318" s="4">
        <v>44960</v>
      </c>
      <c r="B9318" s="6">
        <v>78.849999999999994</v>
      </c>
    </row>
    <row r="9319" spans="1:2" x14ac:dyDescent="0.25">
      <c r="A9319" s="4">
        <v>44963</v>
      </c>
      <c r="B9319" s="6">
        <v>80.48</v>
      </c>
    </row>
    <row r="9320" spans="1:2" x14ac:dyDescent="0.25">
      <c r="A9320" s="4">
        <v>44964</v>
      </c>
      <c r="B9320" s="6">
        <v>82.92</v>
      </c>
    </row>
    <row r="9321" spans="1:2" x14ac:dyDescent="0.25">
      <c r="A9321" s="4">
        <v>44965</v>
      </c>
      <c r="B9321" s="6">
        <v>84.17</v>
      </c>
    </row>
    <row r="9322" spans="1:2" x14ac:dyDescent="0.25">
      <c r="A9322" s="4">
        <v>44966</v>
      </c>
      <c r="B9322" s="6">
        <v>83.46</v>
      </c>
    </row>
    <row r="9323" spans="1:2" x14ac:dyDescent="0.25">
      <c r="A9323" s="4">
        <v>44967</v>
      </c>
      <c r="B9323" s="6">
        <v>85.46</v>
      </c>
    </row>
    <row r="9324" spans="1:2" x14ac:dyDescent="0.25">
      <c r="A9324" s="4">
        <v>44970</v>
      </c>
      <c r="B9324" s="6">
        <v>85.98</v>
      </c>
    </row>
    <row r="9325" spans="1:2" x14ac:dyDescent="0.25">
      <c r="A9325" s="4">
        <v>44971</v>
      </c>
      <c r="B9325" s="6">
        <v>84.96</v>
      </c>
    </row>
    <row r="9326" spans="1:2" x14ac:dyDescent="0.25">
      <c r="A9326" s="4">
        <v>44972</v>
      </c>
      <c r="B9326" s="6">
        <v>84.11</v>
      </c>
    </row>
    <row r="9327" spans="1:2" x14ac:dyDescent="0.25">
      <c r="A9327" s="4">
        <v>44973</v>
      </c>
      <c r="B9327" s="6">
        <v>83.84</v>
      </c>
    </row>
    <row r="9328" spans="1:2" x14ac:dyDescent="0.25">
      <c r="A9328" s="4">
        <v>44974</v>
      </c>
      <c r="B9328" s="6">
        <v>81.97</v>
      </c>
    </row>
    <row r="9329" spans="1:2" x14ac:dyDescent="0.25">
      <c r="A9329" s="4">
        <v>44977</v>
      </c>
      <c r="B9329" s="6">
        <v>82.79</v>
      </c>
    </row>
    <row r="9330" spans="1:2" x14ac:dyDescent="0.25">
      <c r="A9330" s="4">
        <v>44978</v>
      </c>
      <c r="B9330" s="6">
        <v>82.14</v>
      </c>
    </row>
    <row r="9331" spans="1:2" x14ac:dyDescent="0.25">
      <c r="A9331" s="4">
        <v>44979</v>
      </c>
      <c r="B9331" s="6">
        <v>79.55</v>
      </c>
    </row>
    <row r="9332" spans="1:2" x14ac:dyDescent="0.25">
      <c r="A9332" s="4">
        <v>44980</v>
      </c>
      <c r="B9332" s="6">
        <v>82.08</v>
      </c>
    </row>
    <row r="9333" spans="1:2" x14ac:dyDescent="0.25">
      <c r="A9333" s="4">
        <v>44981</v>
      </c>
      <c r="B9333" s="6">
        <v>82.31</v>
      </c>
    </row>
    <row r="9334" spans="1:2" x14ac:dyDescent="0.25">
      <c r="A9334" s="4">
        <v>44984</v>
      </c>
      <c r="B9334" s="6">
        <v>81.239999999999995</v>
      </c>
    </row>
    <row r="9335" spans="1:2" x14ac:dyDescent="0.25">
      <c r="A9335" s="4">
        <v>44985</v>
      </c>
      <c r="B9335" s="6">
        <v>83.21</v>
      </c>
    </row>
    <row r="9336" spans="1:2" x14ac:dyDescent="0.25">
      <c r="A9336" s="4">
        <v>44986</v>
      </c>
      <c r="B9336" s="6">
        <v>83.68</v>
      </c>
    </row>
    <row r="9337" spans="1:2" x14ac:dyDescent="0.25">
      <c r="A9337" s="4">
        <v>44987</v>
      </c>
      <c r="B9337" s="6">
        <v>84.15</v>
      </c>
    </row>
    <row r="9338" spans="1:2" x14ac:dyDescent="0.25">
      <c r="A9338" s="4">
        <v>44988</v>
      </c>
      <c r="B9338" s="6">
        <v>85.74</v>
      </c>
    </row>
    <row r="9339" spans="1:2" x14ac:dyDescent="0.25">
      <c r="A9339" s="4">
        <v>44991</v>
      </c>
      <c r="B9339" s="6">
        <v>85.86</v>
      </c>
    </row>
    <row r="9340" spans="1:2" x14ac:dyDescent="0.25">
      <c r="A9340" s="4">
        <v>44992</v>
      </c>
      <c r="B9340" s="6">
        <v>83.03</v>
      </c>
    </row>
    <row r="9341" spans="1:2" x14ac:dyDescent="0.25">
      <c r="A9341" s="4">
        <v>44993</v>
      </c>
      <c r="B9341" s="6">
        <v>82.1</v>
      </c>
    </row>
    <row r="9342" spans="1:2" x14ac:dyDescent="0.25">
      <c r="A9342" s="4">
        <v>44994</v>
      </c>
      <c r="B9342" s="6">
        <v>81</v>
      </c>
    </row>
    <row r="9343" spans="1:2" x14ac:dyDescent="0.25">
      <c r="A9343" s="4">
        <v>44995</v>
      </c>
      <c r="B9343" s="6">
        <v>82.3</v>
      </c>
    </row>
    <row r="9344" spans="1:2" x14ac:dyDescent="0.25">
      <c r="A9344" s="4">
        <v>44998</v>
      </c>
      <c r="B9344" s="6">
        <v>79.67</v>
      </c>
    </row>
    <row r="9345" spans="1:2" x14ac:dyDescent="0.25">
      <c r="A9345" s="4">
        <v>44999</v>
      </c>
      <c r="B9345" s="6">
        <v>76.77</v>
      </c>
    </row>
    <row r="9346" spans="1:2" x14ac:dyDescent="0.25">
      <c r="A9346" s="4">
        <v>45000</v>
      </c>
      <c r="B9346" s="6">
        <v>74.3</v>
      </c>
    </row>
    <row r="9347" spans="1:2" x14ac:dyDescent="0.25">
      <c r="A9347" s="4">
        <v>45001</v>
      </c>
      <c r="B9347" s="6">
        <v>73.12</v>
      </c>
    </row>
    <row r="9348" spans="1:2" x14ac:dyDescent="0.25">
      <c r="A9348" s="4">
        <v>45002</v>
      </c>
      <c r="B9348" s="6">
        <v>71.03</v>
      </c>
    </row>
    <row r="9349" spans="1:2" x14ac:dyDescent="0.25">
      <c r="A9349" s="4">
        <v>45005</v>
      </c>
      <c r="B9349" s="6">
        <v>72.42</v>
      </c>
    </row>
    <row r="9350" spans="1:2" x14ac:dyDescent="0.25">
      <c r="A9350" s="4">
        <v>45006</v>
      </c>
      <c r="B9350" s="6">
        <v>74.78</v>
      </c>
    </row>
    <row r="9351" spans="1:2" x14ac:dyDescent="0.25">
      <c r="A9351" s="4">
        <v>45007</v>
      </c>
      <c r="B9351" s="6">
        <v>76.08</v>
      </c>
    </row>
    <row r="9352" spans="1:2" x14ac:dyDescent="0.25">
      <c r="A9352" s="4">
        <v>45008</v>
      </c>
      <c r="B9352" s="6">
        <v>74.31</v>
      </c>
    </row>
    <row r="9353" spans="1:2" x14ac:dyDescent="0.25">
      <c r="A9353" s="4">
        <v>45009</v>
      </c>
      <c r="B9353" s="6">
        <v>73.63</v>
      </c>
    </row>
    <row r="9354" spans="1:2" x14ac:dyDescent="0.25">
      <c r="A9354" s="4">
        <v>45012</v>
      </c>
      <c r="B9354" s="6">
        <v>76.8</v>
      </c>
    </row>
    <row r="9355" spans="1:2" x14ac:dyDescent="0.25">
      <c r="A9355" s="4">
        <v>45013</v>
      </c>
      <c r="B9355" s="6">
        <v>78.069999999999993</v>
      </c>
    </row>
    <row r="9356" spans="1:2" x14ac:dyDescent="0.25">
      <c r="A9356" s="4">
        <v>45014</v>
      </c>
      <c r="B9356" s="6">
        <v>77.510000000000005</v>
      </c>
    </row>
    <row r="9357" spans="1:2" x14ac:dyDescent="0.25">
      <c r="A9357" s="4">
        <v>45015</v>
      </c>
      <c r="B9357" s="6">
        <v>78.45</v>
      </c>
    </row>
    <row r="9358" spans="1:2" x14ac:dyDescent="0.25">
      <c r="A9358" s="4">
        <v>45016</v>
      </c>
      <c r="B9358" s="6">
        <v>79.19</v>
      </c>
    </row>
    <row r="9359" spans="1:2" x14ac:dyDescent="0.25">
      <c r="A9359" s="4">
        <v>45019</v>
      </c>
      <c r="B9359" s="6">
        <v>85.81</v>
      </c>
    </row>
    <row r="9360" spans="1:2" x14ac:dyDescent="0.25">
      <c r="A9360" s="4">
        <v>45020</v>
      </c>
      <c r="B9360" s="6">
        <v>85.7</v>
      </c>
    </row>
    <row r="9361" spans="1:2" x14ac:dyDescent="0.25">
      <c r="A9361" s="4">
        <v>45021</v>
      </c>
      <c r="B9361" s="6">
        <v>85.89</v>
      </c>
    </row>
    <row r="9362" spans="1:2" x14ac:dyDescent="0.25">
      <c r="A9362" s="4">
        <v>45022</v>
      </c>
      <c r="B9362" s="6">
        <v>86.56</v>
      </c>
    </row>
    <row r="9363" spans="1:2" x14ac:dyDescent="0.25">
      <c r="A9363" s="4">
        <v>45023</v>
      </c>
      <c r="B9363" s="5"/>
    </row>
    <row r="9364" spans="1:2" x14ac:dyDescent="0.25">
      <c r="A9364" s="4">
        <v>45026</v>
      </c>
      <c r="B9364" s="5"/>
    </row>
    <row r="9365" spans="1:2" x14ac:dyDescent="0.25">
      <c r="A9365" s="4">
        <v>45027</v>
      </c>
      <c r="B9365" s="6">
        <v>87.32</v>
      </c>
    </row>
    <row r="9366" spans="1:2" x14ac:dyDescent="0.25">
      <c r="A9366" s="4">
        <v>45028</v>
      </c>
      <c r="B9366" s="6">
        <v>88.31</v>
      </c>
    </row>
    <row r="9367" spans="1:2" x14ac:dyDescent="0.25">
      <c r="A9367" s="4">
        <v>45029</v>
      </c>
      <c r="B9367" s="6">
        <v>86.51</v>
      </c>
    </row>
    <row r="9368" spans="1:2" x14ac:dyDescent="0.25">
      <c r="A9368" s="4">
        <v>45030</v>
      </c>
      <c r="B9368" s="6">
        <v>87.31</v>
      </c>
    </row>
    <row r="9369" spans="1:2" x14ac:dyDescent="0.25">
      <c r="A9369" s="4">
        <v>45033</v>
      </c>
      <c r="B9369" s="6">
        <v>85.63</v>
      </c>
    </row>
    <row r="9370" spans="1:2" x14ac:dyDescent="0.25">
      <c r="A9370" s="4">
        <v>45034</v>
      </c>
      <c r="B9370" s="6">
        <v>85.48</v>
      </c>
    </row>
    <row r="9371" spans="1:2" x14ac:dyDescent="0.25">
      <c r="A9371" s="4">
        <v>45035</v>
      </c>
      <c r="B9371" s="6">
        <v>85.34</v>
      </c>
    </row>
    <row r="9372" spans="1:2" x14ac:dyDescent="0.25">
      <c r="A9372" s="4">
        <v>45036</v>
      </c>
      <c r="B9372" s="6">
        <v>83.29</v>
      </c>
    </row>
    <row r="9373" spans="1:2" x14ac:dyDescent="0.25">
      <c r="A9373" s="4">
        <v>45037</v>
      </c>
      <c r="B9373" s="6">
        <v>83.36</v>
      </c>
    </row>
    <row r="9374" spans="1:2" x14ac:dyDescent="0.25">
      <c r="A9374" s="4">
        <v>45040</v>
      </c>
      <c r="B9374" s="6">
        <v>84.23</v>
      </c>
    </row>
    <row r="9375" spans="1:2" x14ac:dyDescent="0.25">
      <c r="A9375" s="4">
        <v>45041</v>
      </c>
      <c r="B9375" s="6">
        <v>82.13</v>
      </c>
    </row>
    <row r="9376" spans="1:2" x14ac:dyDescent="0.25">
      <c r="A9376" s="4">
        <v>45042</v>
      </c>
      <c r="B9376" s="6">
        <v>79.19</v>
      </c>
    </row>
    <row r="9377" spans="1:2" x14ac:dyDescent="0.25">
      <c r="A9377" s="4">
        <v>45043</v>
      </c>
      <c r="B9377" s="6">
        <v>80.11</v>
      </c>
    </row>
    <row r="9378" spans="1:2" x14ac:dyDescent="0.25">
      <c r="A9378" s="4">
        <v>45044</v>
      </c>
      <c r="B9378" s="6">
        <v>81.319999999999993</v>
      </c>
    </row>
    <row r="9379" spans="1:2" x14ac:dyDescent="0.25">
      <c r="A9379" s="4">
        <v>45047</v>
      </c>
      <c r="B9379" s="5"/>
    </row>
    <row r="9380" spans="1:2" x14ac:dyDescent="0.25">
      <c r="A9380" s="4">
        <v>45048</v>
      </c>
      <c r="B9380" s="6">
        <v>76.709999999999994</v>
      </c>
    </row>
    <row r="9381" spans="1:2" x14ac:dyDescent="0.25">
      <c r="A9381" s="4">
        <v>45049</v>
      </c>
      <c r="B9381" s="6">
        <v>72.91</v>
      </c>
    </row>
    <row r="9382" spans="1:2" x14ac:dyDescent="0.25">
      <c r="A9382" s="4">
        <v>45050</v>
      </c>
      <c r="B9382" s="6">
        <v>73</v>
      </c>
    </row>
    <row r="9383" spans="1:2" x14ac:dyDescent="0.25">
      <c r="A9383" s="4">
        <v>45051</v>
      </c>
      <c r="B9383" s="6">
        <v>75.849999999999994</v>
      </c>
    </row>
    <row r="9384" spans="1:2" x14ac:dyDescent="0.25">
      <c r="A9384" s="4">
        <v>45054</v>
      </c>
      <c r="B9384" s="5"/>
    </row>
    <row r="9385" spans="1:2" x14ac:dyDescent="0.25">
      <c r="A9385" s="4">
        <v>45055</v>
      </c>
      <c r="B9385" s="6">
        <v>77.760000000000005</v>
      </c>
    </row>
    <row r="9386" spans="1:2" x14ac:dyDescent="0.25">
      <c r="A9386" s="4">
        <v>45056</v>
      </c>
      <c r="B9386" s="6">
        <v>76.7</v>
      </c>
    </row>
    <row r="9387" spans="1:2" x14ac:dyDescent="0.25">
      <c r="A9387" s="4">
        <v>45057</v>
      </c>
      <c r="B9387" s="6">
        <v>75.319999999999993</v>
      </c>
    </row>
    <row r="9388" spans="1:2" x14ac:dyDescent="0.25">
      <c r="A9388" s="4">
        <v>45058</v>
      </c>
      <c r="B9388" s="6">
        <v>74.540000000000006</v>
      </c>
    </row>
    <row r="9389" spans="1:2" x14ac:dyDescent="0.25">
      <c r="A9389" s="4">
        <v>45061</v>
      </c>
      <c r="B9389" s="6">
        <v>75.459999999999994</v>
      </c>
    </row>
    <row r="9390" spans="1:2" x14ac:dyDescent="0.25">
      <c r="A9390" s="4">
        <v>45062</v>
      </c>
      <c r="B9390" s="6">
        <v>75.150000000000006</v>
      </c>
    </row>
    <row r="9391" spans="1:2" x14ac:dyDescent="0.25">
      <c r="A9391" s="4">
        <v>45063</v>
      </c>
      <c r="B9391" s="6">
        <v>76.98</v>
      </c>
    </row>
    <row r="9392" spans="1:2" x14ac:dyDescent="0.25">
      <c r="A9392" s="4">
        <v>45064</v>
      </c>
      <c r="B9392" s="6">
        <v>75.75</v>
      </c>
    </row>
    <row r="9393" spans="1:2" x14ac:dyDescent="0.25">
      <c r="A9393" s="4">
        <v>45065</v>
      </c>
      <c r="B9393" s="6">
        <v>75.42</v>
      </c>
    </row>
    <row r="9394" spans="1:2" x14ac:dyDescent="0.25">
      <c r="A9394" s="4">
        <v>45068</v>
      </c>
      <c r="B9394" s="6">
        <v>75.77</v>
      </c>
    </row>
    <row r="9395" spans="1:2" x14ac:dyDescent="0.25">
      <c r="A9395" s="4">
        <v>45069</v>
      </c>
      <c r="B9395" s="6">
        <v>76.66</v>
      </c>
    </row>
    <row r="9396" spans="1:2" x14ac:dyDescent="0.25">
      <c r="A9396" s="4">
        <v>45070</v>
      </c>
      <c r="B9396" s="6">
        <v>77.989999999999995</v>
      </c>
    </row>
    <row r="9397" spans="1:2" x14ac:dyDescent="0.25">
      <c r="A9397" s="4">
        <v>45071</v>
      </c>
      <c r="B9397" s="6">
        <v>75.66</v>
      </c>
    </row>
    <row r="9398" spans="1:2" x14ac:dyDescent="0.25">
      <c r="A9398" s="4">
        <v>45072</v>
      </c>
      <c r="B9398" s="6">
        <v>76.33</v>
      </c>
    </row>
    <row r="9399" spans="1:2" x14ac:dyDescent="0.25">
      <c r="A9399" s="4">
        <v>45075</v>
      </c>
      <c r="B9399" s="5"/>
    </row>
    <row r="9400" spans="1:2" x14ac:dyDescent="0.25">
      <c r="A9400" s="4">
        <v>45076</v>
      </c>
      <c r="B9400" s="6">
        <v>73.38</v>
      </c>
    </row>
    <row r="9401" spans="1:2" x14ac:dyDescent="0.25">
      <c r="A9401" s="4">
        <v>45077</v>
      </c>
      <c r="B9401" s="6">
        <v>71.98</v>
      </c>
    </row>
    <row r="9402" spans="1:2" x14ac:dyDescent="0.25">
      <c r="A9402" s="4">
        <v>45078</v>
      </c>
      <c r="B9402" s="6">
        <v>74.180000000000007</v>
      </c>
    </row>
    <row r="9403" spans="1:2" x14ac:dyDescent="0.25">
      <c r="A9403" s="4">
        <v>45079</v>
      </c>
      <c r="B9403" s="6">
        <v>76</v>
      </c>
    </row>
    <row r="9404" spans="1:2" x14ac:dyDescent="0.25">
      <c r="A9404" s="4">
        <v>45082</v>
      </c>
      <c r="B9404" s="6">
        <v>76.61</v>
      </c>
    </row>
    <row r="9405" spans="1:2" x14ac:dyDescent="0.25">
      <c r="A9405" s="4">
        <v>45083</v>
      </c>
      <c r="B9405" s="6">
        <v>76.22</v>
      </c>
    </row>
    <row r="9406" spans="1:2" x14ac:dyDescent="0.25">
      <c r="A9406" s="4">
        <v>45084</v>
      </c>
      <c r="B9406" s="6">
        <v>76.849999999999994</v>
      </c>
    </row>
    <row r="9407" spans="1:2" x14ac:dyDescent="0.25">
      <c r="A9407" s="4">
        <v>45085</v>
      </c>
      <c r="B9407" s="6">
        <v>75.88</v>
      </c>
    </row>
    <row r="9408" spans="1:2" x14ac:dyDescent="0.25">
      <c r="A9408" s="4">
        <v>45086</v>
      </c>
      <c r="B9408" s="6">
        <v>74.739999999999995</v>
      </c>
    </row>
    <row r="9409" spans="1:2" x14ac:dyDescent="0.25">
      <c r="A9409" s="4">
        <v>45089</v>
      </c>
      <c r="B9409" s="6">
        <v>71.8</v>
      </c>
    </row>
    <row r="9410" spans="1:2" x14ac:dyDescent="0.25">
      <c r="A9410" s="4">
        <v>45090</v>
      </c>
      <c r="B9410" s="6">
        <v>74.239999999999995</v>
      </c>
    </row>
    <row r="9411" spans="1:2" x14ac:dyDescent="0.25">
      <c r="A9411" s="4">
        <v>45091</v>
      </c>
      <c r="B9411" s="6">
        <v>73.39</v>
      </c>
    </row>
    <row r="9412" spans="1:2" x14ac:dyDescent="0.25">
      <c r="A9412" s="4">
        <v>45092</v>
      </c>
      <c r="B9412" s="6">
        <v>75.75</v>
      </c>
    </row>
    <row r="9413" spans="1:2" x14ac:dyDescent="0.25">
      <c r="A9413" s="4">
        <v>45093</v>
      </c>
      <c r="B9413" s="6">
        <v>76.760000000000005</v>
      </c>
    </row>
    <row r="9414" spans="1:2" x14ac:dyDescent="0.25">
      <c r="A9414" s="4">
        <v>45096</v>
      </c>
      <c r="B9414" s="6">
        <v>76.09</v>
      </c>
    </row>
    <row r="9415" spans="1:2" x14ac:dyDescent="0.25">
      <c r="A9415" s="4">
        <v>45097</v>
      </c>
      <c r="B9415" s="6">
        <v>75.790000000000006</v>
      </c>
    </row>
    <row r="9416" spans="1:2" x14ac:dyDescent="0.25">
      <c r="A9416" s="4">
        <v>45098</v>
      </c>
      <c r="B9416" s="6">
        <v>76.92</v>
      </c>
    </row>
    <row r="9417" spans="1:2" x14ac:dyDescent="0.25">
      <c r="A9417" s="4">
        <v>45099</v>
      </c>
      <c r="B9417" s="6">
        <v>73.930000000000007</v>
      </c>
    </row>
    <row r="9418" spans="1:2" x14ac:dyDescent="0.25">
      <c r="A9418" s="4">
        <v>45100</v>
      </c>
      <c r="B9418" s="6">
        <v>73.56</v>
      </c>
    </row>
    <row r="9419" spans="1:2" x14ac:dyDescent="0.25">
      <c r="A9419" s="4">
        <v>45103</v>
      </c>
      <c r="B9419" s="6">
        <v>73.86</v>
      </c>
    </row>
    <row r="9420" spans="1:2" x14ac:dyDescent="0.25">
      <c r="A9420" s="4">
        <v>45104</v>
      </c>
      <c r="B9420" s="6">
        <v>71.88</v>
      </c>
    </row>
    <row r="9421" spans="1:2" x14ac:dyDescent="0.25">
      <c r="A9421" s="4">
        <v>45105</v>
      </c>
      <c r="B9421" s="6">
        <v>73.64</v>
      </c>
    </row>
    <row r="9422" spans="1:2" x14ac:dyDescent="0.25">
      <c r="A9422" s="4">
        <v>45106</v>
      </c>
      <c r="B9422" s="6">
        <v>73.86</v>
      </c>
    </row>
    <row r="9423" spans="1:2" x14ac:dyDescent="0.25">
      <c r="A9423" s="4">
        <v>45107</v>
      </c>
      <c r="B9423" s="6">
        <v>74.510000000000005</v>
      </c>
    </row>
    <row r="9424" spans="1:2" x14ac:dyDescent="0.25">
      <c r="A9424" s="4">
        <v>45110</v>
      </c>
      <c r="B9424" s="6">
        <v>74.52</v>
      </c>
    </row>
    <row r="9425" spans="1:2" x14ac:dyDescent="0.25">
      <c r="A9425" s="4">
        <v>45111</v>
      </c>
      <c r="B9425" s="6">
        <v>76.23</v>
      </c>
    </row>
    <row r="9426" spans="1:2" x14ac:dyDescent="0.25">
      <c r="A9426" s="4">
        <v>45112</v>
      </c>
      <c r="B9426" s="6">
        <v>76.739999999999995</v>
      </c>
    </row>
    <row r="9427" spans="1:2" x14ac:dyDescent="0.25">
      <c r="A9427" s="4">
        <v>45113</v>
      </c>
      <c r="B9427" s="6">
        <v>76.72</v>
      </c>
    </row>
    <row r="9428" spans="1:2" x14ac:dyDescent="0.25">
      <c r="A9428" s="4">
        <v>45114</v>
      </c>
      <c r="B9428" s="6">
        <v>78.77</v>
      </c>
    </row>
    <row r="9429" spans="1:2" x14ac:dyDescent="0.25">
      <c r="A9429" s="4">
        <v>45117</v>
      </c>
      <c r="B9429" s="6">
        <v>77.83</v>
      </c>
    </row>
    <row r="9430" spans="1:2" x14ac:dyDescent="0.25">
      <c r="A9430" s="4">
        <v>45118</v>
      </c>
      <c r="B9430" s="6">
        <v>79.540000000000006</v>
      </c>
    </row>
    <row r="9431" spans="1:2" x14ac:dyDescent="0.25">
      <c r="A9431" s="4">
        <v>45119</v>
      </c>
      <c r="B9431" s="6">
        <v>80.349999999999994</v>
      </c>
    </row>
    <row r="9432" spans="1:2" x14ac:dyDescent="0.25">
      <c r="A9432" s="4">
        <v>45120</v>
      </c>
      <c r="B9432" s="6">
        <v>81.31</v>
      </c>
    </row>
    <row r="9433" spans="1:2" x14ac:dyDescent="0.25">
      <c r="A9433" s="4">
        <v>45121</v>
      </c>
      <c r="B9433" s="6">
        <v>79.900000000000006</v>
      </c>
    </row>
    <row r="9434" spans="1:2" x14ac:dyDescent="0.25">
      <c r="A9434" s="4">
        <v>45124</v>
      </c>
      <c r="B9434" s="6">
        <v>77.8</v>
      </c>
    </row>
    <row r="9435" spans="1:2" x14ac:dyDescent="0.25">
      <c r="A9435" s="4">
        <v>45125</v>
      </c>
      <c r="B9435" s="6">
        <v>79.540000000000006</v>
      </c>
    </row>
    <row r="9436" spans="1:2" x14ac:dyDescent="0.25">
      <c r="A9436" s="4">
        <v>45126</v>
      </c>
      <c r="B9436" s="6">
        <v>79.38</v>
      </c>
    </row>
    <row r="9437" spans="1:2" x14ac:dyDescent="0.25">
      <c r="A9437" s="4">
        <v>45127</v>
      </c>
      <c r="B9437" s="6">
        <v>79.62</v>
      </c>
    </row>
    <row r="9438" spans="1:2" x14ac:dyDescent="0.25">
      <c r="A9438" s="4">
        <v>45128</v>
      </c>
      <c r="B9438" s="6">
        <v>81.06</v>
      </c>
    </row>
    <row r="9439" spans="1:2" x14ac:dyDescent="0.25">
      <c r="A9439" s="4">
        <v>45131</v>
      </c>
      <c r="B9439" s="6">
        <v>82.53</v>
      </c>
    </row>
    <row r="9440" spans="1:2" x14ac:dyDescent="0.25">
      <c r="A9440" s="4">
        <v>45132</v>
      </c>
      <c r="B9440" s="6">
        <v>83.46</v>
      </c>
    </row>
    <row r="9441" spans="1:2" x14ac:dyDescent="0.25">
      <c r="A9441" s="4">
        <v>45133</v>
      </c>
      <c r="B9441" s="6">
        <v>82.98</v>
      </c>
    </row>
    <row r="9442" spans="1:2" x14ac:dyDescent="0.25">
      <c r="A9442" s="4">
        <v>45134</v>
      </c>
      <c r="B9442" s="6">
        <v>84.28</v>
      </c>
    </row>
    <row r="9443" spans="1:2" x14ac:dyDescent="0.25">
      <c r="A9443" s="4">
        <v>45135</v>
      </c>
      <c r="B9443" s="6">
        <v>84.49</v>
      </c>
    </row>
    <row r="9444" spans="1:2" x14ac:dyDescent="0.25">
      <c r="A9444" s="4">
        <v>45138</v>
      </c>
      <c r="B9444" s="6">
        <v>85.22</v>
      </c>
    </row>
    <row r="9445" spans="1:2" x14ac:dyDescent="0.25">
      <c r="A9445" s="4">
        <v>45139</v>
      </c>
      <c r="B9445" s="6">
        <v>85.34</v>
      </c>
    </row>
    <row r="9446" spans="1:2" x14ac:dyDescent="0.25">
      <c r="A9446" s="4">
        <v>45140</v>
      </c>
      <c r="B9446" s="6">
        <v>84.01</v>
      </c>
    </row>
    <row r="9447" spans="1:2" x14ac:dyDescent="0.25">
      <c r="A9447" s="4">
        <v>45141</v>
      </c>
      <c r="B9447" s="6">
        <v>86.19</v>
      </c>
    </row>
    <row r="9448" spans="1:2" x14ac:dyDescent="0.25">
      <c r="A9448" s="4">
        <v>45142</v>
      </c>
      <c r="B9448" s="6">
        <v>87.38</v>
      </c>
    </row>
    <row r="9449" spans="1:2" x14ac:dyDescent="0.25">
      <c r="A9449" s="4">
        <v>45145</v>
      </c>
      <c r="B9449" s="6">
        <v>86.47</v>
      </c>
    </row>
    <row r="9450" spans="1:2" x14ac:dyDescent="0.25">
      <c r="A9450" s="4">
        <v>45146</v>
      </c>
      <c r="B9450" s="6">
        <v>88</v>
      </c>
    </row>
    <row r="9451" spans="1:2" x14ac:dyDescent="0.25">
      <c r="A9451" s="4">
        <v>45147</v>
      </c>
      <c r="B9451" s="6">
        <v>89.31</v>
      </c>
    </row>
    <row r="9452" spans="1:2" x14ac:dyDescent="0.25">
      <c r="A9452" s="4">
        <v>45148</v>
      </c>
      <c r="B9452" s="6">
        <v>87.44</v>
      </c>
    </row>
    <row r="9453" spans="1:2" x14ac:dyDescent="0.25">
      <c r="A9453" s="4">
        <v>45149</v>
      </c>
      <c r="B9453" s="6">
        <v>87.93</v>
      </c>
    </row>
    <row r="9454" spans="1:2" x14ac:dyDescent="0.25">
      <c r="A9454" s="4">
        <v>45152</v>
      </c>
      <c r="B9454" s="6">
        <v>87.4</v>
      </c>
    </row>
    <row r="9455" spans="1:2" x14ac:dyDescent="0.25">
      <c r="A9455" s="4">
        <v>45153</v>
      </c>
      <c r="B9455" s="6">
        <v>86.28</v>
      </c>
    </row>
    <row r="9456" spans="1:2" x14ac:dyDescent="0.25">
      <c r="A9456" s="4">
        <v>45154</v>
      </c>
      <c r="B9456" s="6">
        <v>84.49</v>
      </c>
    </row>
    <row r="9457" spans="1:2" x14ac:dyDescent="0.25">
      <c r="A9457" s="4">
        <v>45155</v>
      </c>
      <c r="B9457" s="6">
        <v>85.24</v>
      </c>
    </row>
    <row r="9458" spans="1:2" x14ac:dyDescent="0.25">
      <c r="A9458" s="4">
        <v>45156</v>
      </c>
      <c r="B9458" s="6">
        <v>85.92</v>
      </c>
    </row>
    <row r="9459" spans="1:2" x14ac:dyDescent="0.25">
      <c r="A9459" s="4">
        <v>45159</v>
      </c>
      <c r="B9459" s="6">
        <v>85.44</v>
      </c>
    </row>
    <row r="9460" spans="1:2" x14ac:dyDescent="0.25">
      <c r="A9460" s="4">
        <v>45160</v>
      </c>
      <c r="B9460" s="6">
        <v>84.7</v>
      </c>
    </row>
    <row r="9461" spans="1:2" x14ac:dyDescent="0.25">
      <c r="A9461" s="4">
        <v>45161</v>
      </c>
      <c r="B9461" s="6">
        <v>83.94</v>
      </c>
    </row>
    <row r="9462" spans="1:2" x14ac:dyDescent="0.25">
      <c r="A9462" s="4">
        <v>45162</v>
      </c>
      <c r="B9462" s="6">
        <v>84.07</v>
      </c>
    </row>
    <row r="9463" spans="1:2" x14ac:dyDescent="0.25">
      <c r="A9463" s="4">
        <v>45163</v>
      </c>
      <c r="B9463" s="6">
        <v>85.42</v>
      </c>
    </row>
    <row r="9464" spans="1:2" x14ac:dyDescent="0.25">
      <c r="A9464" s="4">
        <v>45166</v>
      </c>
      <c r="B9464" s="5"/>
    </row>
    <row r="9465" spans="1:2" x14ac:dyDescent="0.25">
      <c r="A9465" s="4">
        <v>45167</v>
      </c>
      <c r="B9465" s="6">
        <v>86.37</v>
      </c>
    </row>
    <row r="9466" spans="1:2" x14ac:dyDescent="0.25">
      <c r="A9466" s="4">
        <v>45168</v>
      </c>
      <c r="B9466" s="6">
        <v>86.62</v>
      </c>
    </row>
    <row r="9467" spans="1:2" x14ac:dyDescent="0.25">
      <c r="A9467" s="4">
        <v>45169</v>
      </c>
      <c r="B9467" s="6">
        <v>87.29</v>
      </c>
    </row>
    <row r="9468" spans="1:2" x14ac:dyDescent="0.25">
      <c r="A9468" s="4">
        <v>45170</v>
      </c>
      <c r="B9468" s="6">
        <v>89.98</v>
      </c>
    </row>
    <row r="9469" spans="1:2" x14ac:dyDescent="0.25">
      <c r="A9469" s="4">
        <v>45173</v>
      </c>
      <c r="B9469" s="6">
        <v>90.42</v>
      </c>
    </row>
    <row r="9470" spans="1:2" x14ac:dyDescent="0.25">
      <c r="A9470" s="4">
        <v>45174</v>
      </c>
      <c r="B9470" s="6">
        <v>91.25</v>
      </c>
    </row>
    <row r="9471" spans="1:2" x14ac:dyDescent="0.25">
      <c r="A9471" s="4">
        <v>45175</v>
      </c>
      <c r="B9471" s="6">
        <v>91.79</v>
      </c>
    </row>
    <row r="9472" spans="1:2" x14ac:dyDescent="0.25">
      <c r="A9472" s="4">
        <v>45176</v>
      </c>
      <c r="B9472" s="6">
        <v>91.16</v>
      </c>
    </row>
    <row r="9473" spans="1:2" x14ac:dyDescent="0.25">
      <c r="A9473" s="4">
        <v>45177</v>
      </c>
      <c r="B9473" s="6">
        <v>91.85</v>
      </c>
    </row>
    <row r="9474" spans="1:2" x14ac:dyDescent="0.25">
      <c r="A9474" s="4">
        <v>45180</v>
      </c>
      <c r="B9474" s="6">
        <v>91.97</v>
      </c>
    </row>
    <row r="9475" spans="1:2" x14ac:dyDescent="0.25">
      <c r="A9475" s="4">
        <v>45181</v>
      </c>
      <c r="B9475" s="6">
        <v>93.58</v>
      </c>
    </row>
    <row r="9476" spans="1:2" x14ac:dyDescent="0.25">
      <c r="A9476" s="4">
        <v>45182</v>
      </c>
      <c r="B9476" s="6">
        <v>93.04</v>
      </c>
    </row>
    <row r="9477" spans="1:2" x14ac:dyDescent="0.25">
      <c r="A9477" s="4">
        <v>45183</v>
      </c>
      <c r="B9477" s="6">
        <v>95.2</v>
      </c>
    </row>
    <row r="9478" spans="1:2" x14ac:dyDescent="0.25">
      <c r="A9478" s="4">
        <v>45184</v>
      </c>
      <c r="B9478" s="6">
        <v>95.55</v>
      </c>
    </row>
    <row r="9479" spans="1:2" x14ac:dyDescent="0.25">
      <c r="A9479" s="4">
        <v>45187</v>
      </c>
      <c r="B9479" s="6">
        <v>95.95</v>
      </c>
    </row>
    <row r="9480" spans="1:2" x14ac:dyDescent="0.25">
      <c r="A9480" s="4">
        <v>45188</v>
      </c>
      <c r="B9480" s="6">
        <v>96.11</v>
      </c>
    </row>
    <row r="9481" spans="1:2" x14ac:dyDescent="0.25">
      <c r="A9481" s="4">
        <v>45189</v>
      </c>
      <c r="B9481" s="6">
        <v>94.56</v>
      </c>
    </row>
    <row r="9482" spans="1:2" x14ac:dyDescent="0.25">
      <c r="A9482" s="4">
        <v>45190</v>
      </c>
      <c r="B9482" s="6">
        <v>93.7</v>
      </c>
    </row>
    <row r="9483" spans="1:2" x14ac:dyDescent="0.25">
      <c r="A9483" s="4">
        <v>45191</v>
      </c>
      <c r="B9483" s="6">
        <v>93.99</v>
      </c>
    </row>
    <row r="9484" spans="1:2" x14ac:dyDescent="0.25">
      <c r="A9484" s="4">
        <v>45194</v>
      </c>
      <c r="B9484" s="6">
        <v>94.01</v>
      </c>
    </row>
    <row r="9485" spans="1:2" x14ac:dyDescent="0.25">
      <c r="A9485" s="4">
        <v>45195</v>
      </c>
      <c r="B9485" s="6">
        <v>94.46</v>
      </c>
    </row>
    <row r="9486" spans="1:2" x14ac:dyDescent="0.25">
      <c r="A9486" s="4">
        <v>45196</v>
      </c>
      <c r="B9486" s="6">
        <v>97.1</v>
      </c>
    </row>
    <row r="9487" spans="1:2" x14ac:dyDescent="0.25">
      <c r="A9487" s="4">
        <v>45197</v>
      </c>
      <c r="B9487" s="6">
        <v>96.64</v>
      </c>
    </row>
    <row r="9488" spans="1:2" x14ac:dyDescent="0.25">
      <c r="A9488" s="4">
        <v>45198</v>
      </c>
      <c r="B9488" s="6">
        <v>95.86</v>
      </c>
    </row>
    <row r="9489" spans="1:2" x14ac:dyDescent="0.25">
      <c r="A9489" s="4">
        <v>45201</v>
      </c>
      <c r="B9489" s="6">
        <v>91.21</v>
      </c>
    </row>
    <row r="9490" spans="1:2" x14ac:dyDescent="0.25">
      <c r="A9490" s="4">
        <v>45202</v>
      </c>
      <c r="B9490" s="6">
        <v>94.46</v>
      </c>
    </row>
    <row r="9491" spans="1:2" x14ac:dyDescent="0.25">
      <c r="A9491" s="4">
        <v>45203</v>
      </c>
      <c r="B9491" s="6">
        <v>89.83</v>
      </c>
    </row>
    <row r="9492" spans="1:2" x14ac:dyDescent="0.25">
      <c r="A9492" s="4">
        <v>45204</v>
      </c>
      <c r="B9492" s="6">
        <v>88.28</v>
      </c>
    </row>
    <row r="9493" spans="1:2" x14ac:dyDescent="0.25">
      <c r="A9493" s="4">
        <v>45205</v>
      </c>
      <c r="B9493" s="6">
        <v>87.86</v>
      </c>
    </row>
    <row r="9494" spans="1:2" x14ac:dyDescent="0.25">
      <c r="A9494" s="4">
        <v>45208</v>
      </c>
      <c r="B9494" s="6">
        <v>91.37</v>
      </c>
    </row>
    <row r="9495" spans="1:2" x14ac:dyDescent="0.25">
      <c r="A9495" s="4">
        <v>45209</v>
      </c>
      <c r="B9495" s="6">
        <v>90.7</v>
      </c>
    </row>
    <row r="9496" spans="1:2" x14ac:dyDescent="0.25">
      <c r="A9496" s="4">
        <v>45210</v>
      </c>
      <c r="B9496" s="6">
        <v>87.58</v>
      </c>
    </row>
    <row r="9497" spans="1:2" x14ac:dyDescent="0.25">
      <c r="A9497" s="4">
        <v>45211</v>
      </c>
      <c r="B9497" s="6">
        <v>88.4</v>
      </c>
    </row>
    <row r="9498" spans="1:2" x14ac:dyDescent="0.25">
      <c r="A9498" s="4">
        <v>45212</v>
      </c>
      <c r="B9498" s="6">
        <v>94.33</v>
      </c>
    </row>
    <row r="9499" spans="1:2" x14ac:dyDescent="0.25">
      <c r="A9499" s="4">
        <v>45215</v>
      </c>
      <c r="B9499" s="6">
        <v>90.99</v>
      </c>
    </row>
    <row r="9500" spans="1:2" x14ac:dyDescent="0.25">
      <c r="A9500" s="4">
        <v>45216</v>
      </c>
      <c r="B9500" s="6">
        <v>92.52</v>
      </c>
    </row>
    <row r="9501" spans="1:2" x14ac:dyDescent="0.25">
      <c r="A9501" s="4">
        <v>45217</v>
      </c>
      <c r="B9501" s="6">
        <v>91.99</v>
      </c>
    </row>
    <row r="9502" spans="1:2" x14ac:dyDescent="0.25">
      <c r="A9502" s="4">
        <v>45218</v>
      </c>
      <c r="B9502" s="6">
        <v>93.12</v>
      </c>
    </row>
    <row r="9503" spans="1:2" x14ac:dyDescent="0.25">
      <c r="A9503" s="4">
        <v>45219</v>
      </c>
      <c r="B9503" s="6">
        <v>93.72</v>
      </c>
    </row>
    <row r="9504" spans="1:2" x14ac:dyDescent="0.25">
      <c r="A9504" s="4">
        <v>45222</v>
      </c>
      <c r="B9504" s="6">
        <v>91.88</v>
      </c>
    </row>
    <row r="9505" spans="1:2" x14ac:dyDescent="0.25">
      <c r="A9505" s="4">
        <v>45223</v>
      </c>
      <c r="B9505" s="6">
        <v>88</v>
      </c>
    </row>
    <row r="9506" spans="1:2" x14ac:dyDescent="0.25">
      <c r="A9506" s="4">
        <v>45224</v>
      </c>
      <c r="B9506" s="6">
        <v>90.14</v>
      </c>
    </row>
    <row r="9507" spans="1:2" x14ac:dyDescent="0.25">
      <c r="A9507" s="4">
        <v>45225</v>
      </c>
      <c r="B9507" s="6">
        <v>88.45</v>
      </c>
    </row>
    <row r="9508" spans="1:2" x14ac:dyDescent="0.25">
      <c r="A9508" s="4">
        <v>45226</v>
      </c>
      <c r="B9508" s="6">
        <v>90.73</v>
      </c>
    </row>
    <row r="9509" spans="1:2" x14ac:dyDescent="0.25">
      <c r="A9509" s="4">
        <v>45229</v>
      </c>
      <c r="B9509" s="6">
        <v>90.73</v>
      </c>
    </row>
    <row r="9510" spans="1:2" x14ac:dyDescent="0.25">
      <c r="A9510" s="4">
        <v>45230</v>
      </c>
      <c r="B9510" s="6">
        <v>86.82</v>
      </c>
    </row>
    <row r="9511" spans="1:2" x14ac:dyDescent="0.25">
      <c r="A9511" s="4">
        <v>45231</v>
      </c>
      <c r="B9511" s="6">
        <v>86.92</v>
      </c>
    </row>
    <row r="9512" spans="1:2" x14ac:dyDescent="0.25">
      <c r="A9512" s="4">
        <v>45232</v>
      </c>
      <c r="B9512" s="6">
        <v>89.02</v>
      </c>
    </row>
    <row r="9513" spans="1:2" x14ac:dyDescent="0.25">
      <c r="A9513" s="4">
        <v>45233</v>
      </c>
      <c r="B9513" s="6">
        <v>87.55</v>
      </c>
    </row>
    <row r="9514" spans="1:2" x14ac:dyDescent="0.25">
      <c r="A9514" s="4">
        <v>45236</v>
      </c>
      <c r="B9514" s="6">
        <v>87.31</v>
      </c>
    </row>
    <row r="9515" spans="1:2" x14ac:dyDescent="0.25">
      <c r="A9515" s="4">
        <v>45237</v>
      </c>
      <c r="B9515" s="6">
        <v>83.43</v>
      </c>
    </row>
    <row r="9516" spans="1:2" x14ac:dyDescent="0.25">
      <c r="A9516" s="4">
        <v>45238</v>
      </c>
      <c r="B9516" s="6">
        <v>81.459999999999994</v>
      </c>
    </row>
    <row r="9517" spans="1:2" x14ac:dyDescent="0.25">
      <c r="A9517" s="4">
        <v>45239</v>
      </c>
      <c r="B9517" s="6">
        <v>81.739999999999995</v>
      </c>
    </row>
    <row r="9518" spans="1:2" x14ac:dyDescent="0.25">
      <c r="A9518" s="4">
        <v>45240</v>
      </c>
      <c r="B9518" s="6">
        <v>83.66</v>
      </c>
    </row>
    <row r="9519" spans="1:2" x14ac:dyDescent="0.25">
      <c r="A9519" s="4">
        <v>45243</v>
      </c>
      <c r="B9519" s="6">
        <v>84.09</v>
      </c>
    </row>
    <row r="9520" spans="1:2" x14ac:dyDescent="0.25">
      <c r="A9520" s="4">
        <v>45244</v>
      </c>
      <c r="B9520" s="6">
        <v>84.2</v>
      </c>
    </row>
    <row r="9521" spans="1:2" x14ac:dyDescent="0.25">
      <c r="A9521" s="4">
        <v>45245</v>
      </c>
      <c r="B9521" s="6">
        <v>82.4</v>
      </c>
    </row>
    <row r="9522" spans="1:2" x14ac:dyDescent="0.25">
      <c r="A9522" s="4">
        <v>45246</v>
      </c>
      <c r="B9522" s="6">
        <v>77.73</v>
      </c>
    </row>
    <row r="9523" spans="1:2" x14ac:dyDescent="0.25">
      <c r="A9523" s="4">
        <v>45247</v>
      </c>
      <c r="B9523" s="6">
        <v>81.22</v>
      </c>
    </row>
    <row r="9524" spans="1:2" x14ac:dyDescent="0.25">
      <c r="A9524" s="4">
        <v>45250</v>
      </c>
      <c r="B9524" s="6">
        <v>83.25</v>
      </c>
    </row>
    <row r="9525" spans="1:2" x14ac:dyDescent="0.25">
      <c r="A9525" s="4">
        <v>45251</v>
      </c>
      <c r="B9525" s="6">
        <v>82.42</v>
      </c>
    </row>
    <row r="9526" spans="1:2" x14ac:dyDescent="0.25">
      <c r="A9526" s="4">
        <v>45252</v>
      </c>
      <c r="B9526" s="6">
        <v>81.760000000000005</v>
      </c>
    </row>
    <row r="9527" spans="1:2" x14ac:dyDescent="0.25">
      <c r="A9527" s="4">
        <v>45253</v>
      </c>
      <c r="B9527" s="6">
        <v>80.849999999999994</v>
      </c>
    </row>
    <row r="9528" spans="1:2" x14ac:dyDescent="0.25">
      <c r="A9528" s="4">
        <v>45254</v>
      </c>
      <c r="B9528" s="6">
        <v>79.819999999999993</v>
      </c>
    </row>
    <row r="9529" spans="1:2" x14ac:dyDescent="0.25">
      <c r="A9529" s="4">
        <v>45257</v>
      </c>
      <c r="B9529" s="6">
        <v>79.489999999999995</v>
      </c>
    </row>
    <row r="9530" spans="1:2" x14ac:dyDescent="0.25">
      <c r="A9530" s="4">
        <v>45258</v>
      </c>
      <c r="B9530" s="6">
        <v>81.66</v>
      </c>
    </row>
    <row r="9531" spans="1:2" x14ac:dyDescent="0.25">
      <c r="A9531" s="4">
        <v>45259</v>
      </c>
      <c r="B9531" s="6">
        <v>82.98</v>
      </c>
    </row>
    <row r="9532" spans="1:2" x14ac:dyDescent="0.25">
      <c r="A9532" s="4">
        <v>45260</v>
      </c>
      <c r="B9532" s="6">
        <v>81.72</v>
      </c>
    </row>
    <row r="9533" spans="1:2" x14ac:dyDescent="0.25">
      <c r="A9533" s="4">
        <v>45261</v>
      </c>
      <c r="B9533" s="6">
        <v>78.72</v>
      </c>
    </row>
    <row r="9534" spans="1:2" x14ac:dyDescent="0.25">
      <c r="A9534" s="4">
        <v>45264</v>
      </c>
      <c r="B9534" s="6">
        <v>78.16</v>
      </c>
    </row>
    <row r="9535" spans="1:2" x14ac:dyDescent="0.25">
      <c r="A9535" s="4">
        <v>45265</v>
      </c>
      <c r="B9535" s="6">
        <v>77.27</v>
      </c>
    </row>
    <row r="9536" spans="1:2" x14ac:dyDescent="0.25">
      <c r="A9536" s="4">
        <v>45266</v>
      </c>
      <c r="B9536" s="6">
        <v>74.33</v>
      </c>
    </row>
    <row r="9537" spans="1:2" x14ac:dyDescent="0.25">
      <c r="A9537" s="4">
        <v>45267</v>
      </c>
      <c r="B9537" s="6">
        <v>74.209999999999994</v>
      </c>
    </row>
    <row r="9538" spans="1:2" x14ac:dyDescent="0.25">
      <c r="A9538" s="4">
        <v>45268</v>
      </c>
      <c r="B9538" s="6">
        <v>75.94</v>
      </c>
    </row>
    <row r="9539" spans="1:2" x14ac:dyDescent="0.25">
      <c r="A9539" s="4">
        <v>45271</v>
      </c>
      <c r="B9539" s="6">
        <v>75.75</v>
      </c>
    </row>
    <row r="9540" spans="1:2" x14ac:dyDescent="0.25">
      <c r="A9540" s="4">
        <v>45272</v>
      </c>
      <c r="B9540" s="6">
        <v>74.11</v>
      </c>
    </row>
    <row r="9541" spans="1:2" x14ac:dyDescent="0.25">
      <c r="A9541" s="4">
        <v>45273</v>
      </c>
      <c r="B9541" s="6">
        <v>74.14</v>
      </c>
    </row>
    <row r="9542" spans="1:2" x14ac:dyDescent="0.25">
      <c r="A9542" s="4">
        <v>45274</v>
      </c>
      <c r="B9542" s="6">
        <v>77.05</v>
      </c>
    </row>
    <row r="9543" spans="1:2" x14ac:dyDescent="0.25">
      <c r="A9543" s="4">
        <v>45275</v>
      </c>
      <c r="B9543" s="6">
        <v>76.84</v>
      </c>
    </row>
    <row r="9544" spans="1:2" x14ac:dyDescent="0.25">
      <c r="A9544" s="4">
        <v>45278</v>
      </c>
      <c r="B9544" s="6">
        <v>78.89</v>
      </c>
    </row>
    <row r="9545" spans="1:2" x14ac:dyDescent="0.25">
      <c r="A9545" s="4">
        <v>45279</v>
      </c>
      <c r="B9545" s="6">
        <v>79.819999999999993</v>
      </c>
    </row>
    <row r="9546" spans="1:2" x14ac:dyDescent="0.25">
      <c r="A9546" s="4">
        <v>45280</v>
      </c>
      <c r="B9546" s="6">
        <v>81.099999999999994</v>
      </c>
    </row>
    <row r="9547" spans="1:2" x14ac:dyDescent="0.25">
      <c r="A9547" s="4">
        <v>45281</v>
      </c>
      <c r="B9547" s="6">
        <v>80.73</v>
      </c>
    </row>
    <row r="9548" spans="1:2" x14ac:dyDescent="0.25">
      <c r="A9548" s="4">
        <v>45282</v>
      </c>
      <c r="B9548" s="6">
        <v>80.23</v>
      </c>
    </row>
    <row r="9549" spans="1:2" x14ac:dyDescent="0.25">
      <c r="A9549" s="4">
        <v>45285</v>
      </c>
      <c r="B9549" s="5"/>
    </row>
    <row r="9550" spans="1:2" x14ac:dyDescent="0.25">
      <c r="A9550" s="4">
        <v>45286</v>
      </c>
      <c r="B9550" s="5"/>
    </row>
    <row r="9551" spans="1:2" x14ac:dyDescent="0.25">
      <c r="A9551" s="4">
        <v>45287</v>
      </c>
      <c r="B9551" s="6">
        <v>80.97</v>
      </c>
    </row>
    <row r="9552" spans="1:2" x14ac:dyDescent="0.25">
      <c r="A9552" s="4">
        <v>45288</v>
      </c>
      <c r="B9552" s="6">
        <v>79.040000000000006</v>
      </c>
    </row>
    <row r="9553" spans="1:2" x14ac:dyDescent="0.25">
      <c r="A9553" s="4">
        <v>45289</v>
      </c>
      <c r="B9553" s="6">
        <v>77.69</v>
      </c>
    </row>
    <row r="9554" spans="1:2" x14ac:dyDescent="0.25">
      <c r="A9554" s="4">
        <v>45292</v>
      </c>
      <c r="B9554" s="5"/>
    </row>
    <row r="9555" spans="1:2" x14ac:dyDescent="0.25">
      <c r="A9555" s="4">
        <v>45293</v>
      </c>
      <c r="B9555" s="6">
        <v>76.239999999999995</v>
      </c>
    </row>
    <row r="9556" spans="1:2" x14ac:dyDescent="0.25">
      <c r="A9556" s="4">
        <v>45294</v>
      </c>
      <c r="B9556" s="6">
        <v>77.180000000000007</v>
      </c>
    </row>
    <row r="9557" spans="1:2" x14ac:dyDescent="0.25">
      <c r="A9557" s="4">
        <v>45295</v>
      </c>
      <c r="B9557" s="6">
        <v>75.790000000000006</v>
      </c>
    </row>
    <row r="9558" spans="1:2" x14ac:dyDescent="0.25">
      <c r="A9558" s="4">
        <v>45296</v>
      </c>
      <c r="B9558" s="6">
        <v>78.31</v>
      </c>
    </row>
    <row r="9559" spans="1:2" x14ac:dyDescent="0.25">
      <c r="A9559" s="4">
        <v>45299</v>
      </c>
      <c r="B9559" s="6">
        <v>75.47</v>
      </c>
    </row>
    <row r="9560" spans="1:2" x14ac:dyDescent="0.25">
      <c r="A9560" s="4">
        <v>45300</v>
      </c>
      <c r="B9560" s="6">
        <v>77.97</v>
      </c>
    </row>
    <row r="9561" spans="1:2" x14ac:dyDescent="0.25">
      <c r="A9561" s="4">
        <v>45301</v>
      </c>
      <c r="B9561" s="6">
        <v>78.459999999999994</v>
      </c>
    </row>
    <row r="9562" spans="1:2" x14ac:dyDescent="0.25">
      <c r="A9562" s="4">
        <v>45302</v>
      </c>
      <c r="B9562" s="6">
        <v>80.209999999999994</v>
      </c>
    </row>
    <row r="9563" spans="1:2" x14ac:dyDescent="0.25">
      <c r="A9563" s="4">
        <v>45303</v>
      </c>
      <c r="B9563" s="6">
        <v>79.89</v>
      </c>
    </row>
    <row r="9564" spans="1:2" x14ac:dyDescent="0.25">
      <c r="A9564" s="4">
        <v>45306</v>
      </c>
      <c r="B9564" s="6">
        <v>79.760000000000005</v>
      </c>
    </row>
    <row r="9565" spans="1:2" x14ac:dyDescent="0.25">
      <c r="A9565" s="4">
        <v>45307</v>
      </c>
      <c r="B9565" s="6">
        <v>80.150000000000006</v>
      </c>
    </row>
    <row r="9566" spans="1:2" x14ac:dyDescent="0.25">
      <c r="A9566" s="4">
        <v>45308</v>
      </c>
      <c r="B9566" s="6">
        <v>78.88</v>
      </c>
    </row>
    <row r="9567" spans="1:2" x14ac:dyDescent="0.25">
      <c r="A9567" s="4">
        <v>45309</v>
      </c>
      <c r="B9567" s="6">
        <v>81.040000000000006</v>
      </c>
    </row>
    <row r="9568" spans="1:2" x14ac:dyDescent="0.25">
      <c r="A9568" s="4">
        <v>45310</v>
      </c>
      <c r="B9568" s="6">
        <v>80.709999999999994</v>
      </c>
    </row>
    <row r="9569" spans="1:2" x14ac:dyDescent="0.25">
      <c r="A9569" s="4">
        <v>45313</v>
      </c>
      <c r="B9569" s="6">
        <v>81.7</v>
      </c>
    </row>
    <row r="9570" spans="1:2" x14ac:dyDescent="0.25">
      <c r="A9570" s="4">
        <v>45314</v>
      </c>
      <c r="B9570" s="6">
        <v>82.04</v>
      </c>
    </row>
    <row r="9571" spans="1:2" x14ac:dyDescent="0.25">
      <c r="A9571" s="4">
        <v>45315</v>
      </c>
      <c r="B9571" s="6">
        <v>82.15</v>
      </c>
    </row>
    <row r="9572" spans="1:2" x14ac:dyDescent="0.25">
      <c r="A9572" s="4">
        <v>45316</v>
      </c>
      <c r="B9572" s="6">
        <v>82.33</v>
      </c>
    </row>
    <row r="9573" spans="1:2" x14ac:dyDescent="0.25">
      <c r="A9573" s="4">
        <v>45317</v>
      </c>
      <c r="B9573" s="6">
        <v>83.34</v>
      </c>
    </row>
    <row r="9574" spans="1:2" x14ac:dyDescent="0.25">
      <c r="A9574" s="4">
        <v>45320</v>
      </c>
      <c r="B9574" s="6">
        <v>83.99</v>
      </c>
    </row>
    <row r="9575" spans="1:2" x14ac:dyDescent="0.25">
      <c r="A9575" s="4">
        <v>45321</v>
      </c>
      <c r="B9575" s="6">
        <v>84.14</v>
      </c>
    </row>
    <row r="9576" spans="1:2" x14ac:dyDescent="0.25">
      <c r="A9576" s="4">
        <v>45322</v>
      </c>
      <c r="B9576" s="6">
        <v>82.98</v>
      </c>
    </row>
    <row r="9577" spans="1:2" x14ac:dyDescent="0.25">
      <c r="A9577" s="4">
        <v>45323</v>
      </c>
      <c r="B9577" s="6">
        <v>82.2</v>
      </c>
    </row>
    <row r="9578" spans="1:2" x14ac:dyDescent="0.25">
      <c r="A9578" s="4">
        <v>45324</v>
      </c>
      <c r="B9578" s="6">
        <v>79.540000000000006</v>
      </c>
    </row>
    <row r="9579" spans="1:2" x14ac:dyDescent="0.25">
      <c r="A9579" s="4">
        <v>45327</v>
      </c>
      <c r="B9579" s="6">
        <v>79.3</v>
      </c>
    </row>
    <row r="9580" spans="1:2" x14ac:dyDescent="0.25">
      <c r="A9580" s="4">
        <v>45328</v>
      </c>
      <c r="B9580" s="6">
        <v>80.459999999999994</v>
      </c>
    </row>
    <row r="9581" spans="1:2" x14ac:dyDescent="0.25">
      <c r="A9581" s="4">
        <v>45329</v>
      </c>
      <c r="B9581" s="6">
        <v>81.180000000000007</v>
      </c>
    </row>
    <row r="9582" spans="1:2" x14ac:dyDescent="0.25">
      <c r="A9582" s="4">
        <v>45330</v>
      </c>
      <c r="B9582" s="6">
        <v>83.01</v>
      </c>
    </row>
    <row r="9583" spans="1:2" x14ac:dyDescent="0.25">
      <c r="A9583" s="4">
        <v>45331</v>
      </c>
      <c r="B9583" s="6">
        <v>83.58</v>
      </c>
    </row>
    <row r="9584" spans="1:2" x14ac:dyDescent="0.25">
      <c r="A9584" s="4">
        <v>45334</v>
      </c>
      <c r="B9584" s="6">
        <v>83.88</v>
      </c>
    </row>
    <row r="9585" spans="1:2" x14ac:dyDescent="0.25">
      <c r="A9585" s="4">
        <v>45335</v>
      </c>
      <c r="B9585" s="6">
        <v>84.72</v>
      </c>
    </row>
    <row r="9586" spans="1:2" x14ac:dyDescent="0.25">
      <c r="A9586" s="4">
        <v>45336</v>
      </c>
      <c r="B9586" s="6">
        <v>84.41</v>
      </c>
    </row>
    <row r="9587" spans="1:2" x14ac:dyDescent="0.25">
      <c r="A9587" s="4">
        <v>45337</v>
      </c>
      <c r="B9587" s="6">
        <v>84.33</v>
      </c>
    </row>
    <row r="9588" spans="1:2" x14ac:dyDescent="0.25">
      <c r="A9588" s="4">
        <v>45338</v>
      </c>
      <c r="B9588" s="6">
        <v>84.88</v>
      </c>
    </row>
    <row r="9589" spans="1:2" x14ac:dyDescent="0.25">
      <c r="A9589" s="4">
        <v>45341</v>
      </c>
      <c r="B9589" s="6">
        <v>85.52</v>
      </c>
    </row>
    <row r="9590" spans="1:2" x14ac:dyDescent="0.25">
      <c r="A9590" s="4">
        <v>45342</v>
      </c>
      <c r="B9590" s="6">
        <v>84.78</v>
      </c>
    </row>
    <row r="9591" spans="1:2" x14ac:dyDescent="0.25">
      <c r="A9591" s="4">
        <v>45343</v>
      </c>
      <c r="B9591" s="6">
        <v>84.77</v>
      </c>
    </row>
    <row r="9592" spans="1:2" x14ac:dyDescent="0.25">
      <c r="A9592" s="4">
        <v>45344</v>
      </c>
      <c r="B9592" s="6">
        <v>85.84</v>
      </c>
    </row>
    <row r="9593" spans="1:2" x14ac:dyDescent="0.25">
      <c r="A9593" s="4">
        <v>45345</v>
      </c>
      <c r="B9593" s="6">
        <v>84.18</v>
      </c>
    </row>
    <row r="9594" spans="1:2" x14ac:dyDescent="0.25">
      <c r="A9594" s="4">
        <v>45348</v>
      </c>
      <c r="B9594" s="6">
        <v>84.01</v>
      </c>
    </row>
    <row r="9595" spans="1:2" x14ac:dyDescent="0.25">
      <c r="A9595" s="4">
        <v>45349</v>
      </c>
      <c r="B9595" s="6">
        <v>83.8</v>
      </c>
    </row>
    <row r="9596" spans="1:2" x14ac:dyDescent="0.25">
      <c r="A9596" s="4">
        <v>45350</v>
      </c>
      <c r="B9596" s="6">
        <v>84.08</v>
      </c>
    </row>
    <row r="9597" spans="1:2" x14ac:dyDescent="0.25">
      <c r="A9597" s="4">
        <v>45351</v>
      </c>
      <c r="B9597" s="6">
        <v>84.57</v>
      </c>
    </row>
    <row r="9598" spans="1:2" x14ac:dyDescent="0.25">
      <c r="A9598" s="4">
        <v>45352</v>
      </c>
      <c r="B9598" s="6">
        <v>84.82</v>
      </c>
    </row>
    <row r="9599" spans="1:2" x14ac:dyDescent="0.25">
      <c r="A9599" s="4">
        <v>45355</v>
      </c>
      <c r="B9599" s="6">
        <v>86.58</v>
      </c>
    </row>
    <row r="9600" spans="1:2" x14ac:dyDescent="0.25">
      <c r="A9600" s="4">
        <v>45356</v>
      </c>
      <c r="B9600" s="6">
        <v>85.82</v>
      </c>
    </row>
    <row r="9601" spans="1:2" x14ac:dyDescent="0.25">
      <c r="A9601" s="4">
        <v>45357</v>
      </c>
      <c r="B9601" s="6">
        <v>86.59</v>
      </c>
    </row>
    <row r="9602" spans="1:2" x14ac:dyDescent="0.25">
      <c r="A9602" s="4">
        <v>45358</v>
      </c>
      <c r="B9602" s="6">
        <v>84.88</v>
      </c>
    </row>
    <row r="9603" spans="1:2" x14ac:dyDescent="0.25">
      <c r="A9603" s="4">
        <v>45359</v>
      </c>
      <c r="B9603" s="6">
        <v>84.29</v>
      </c>
    </row>
    <row r="9604" spans="1:2" x14ac:dyDescent="0.25">
      <c r="A9604" s="4">
        <v>45362</v>
      </c>
      <c r="B9604" s="6">
        <v>83.44</v>
      </c>
    </row>
    <row r="9605" spans="1:2" x14ac:dyDescent="0.25">
      <c r="A9605" s="4">
        <v>45363</v>
      </c>
      <c r="B9605" s="6">
        <v>83.66</v>
      </c>
    </row>
    <row r="9606" spans="1:2" x14ac:dyDescent="0.25">
      <c r="A9606" s="4">
        <v>45364</v>
      </c>
      <c r="B9606" s="6">
        <v>83.95</v>
      </c>
    </row>
    <row r="9607" spans="1:2" x14ac:dyDescent="0.25">
      <c r="A9607" s="4">
        <v>45365</v>
      </c>
      <c r="B9607" s="6">
        <v>86.16</v>
      </c>
    </row>
    <row r="9608" spans="1:2" x14ac:dyDescent="0.25">
      <c r="A9608" s="4">
        <v>45366</v>
      </c>
      <c r="B9608" s="6">
        <v>85.39</v>
      </c>
    </row>
    <row r="9609" spans="1:2" x14ac:dyDescent="0.25">
      <c r="A9609" s="4">
        <v>45369</v>
      </c>
      <c r="B9609" s="6">
        <v>86.47</v>
      </c>
    </row>
    <row r="9610" spans="1:2" x14ac:dyDescent="0.25">
      <c r="A9610" s="4">
        <v>45370</v>
      </c>
      <c r="B9610" s="6">
        <v>87.36</v>
      </c>
    </row>
    <row r="9611" spans="1:2" x14ac:dyDescent="0.25">
      <c r="A9611" s="4">
        <v>45371</v>
      </c>
      <c r="B9611" s="6">
        <v>85.77</v>
      </c>
    </row>
    <row r="9612" spans="1:2" x14ac:dyDescent="0.25">
      <c r="A9612" s="4">
        <v>45372</v>
      </c>
      <c r="B9612" s="6">
        <v>84.92</v>
      </c>
    </row>
    <row r="9613" spans="1:2" x14ac:dyDescent="0.25">
      <c r="A9613" s="4">
        <v>45373</v>
      </c>
      <c r="B9613" s="6">
        <v>84.87</v>
      </c>
    </row>
    <row r="9614" spans="1:2" x14ac:dyDescent="0.25">
      <c r="A9614" s="4">
        <v>45376</v>
      </c>
      <c r="B9614" s="6">
        <v>86.18</v>
      </c>
    </row>
    <row r="9615" spans="1:2" x14ac:dyDescent="0.25">
      <c r="A9615" s="4">
        <v>45377</v>
      </c>
      <c r="B9615" s="6">
        <v>85.91</v>
      </c>
    </row>
    <row r="9616" spans="1:2" x14ac:dyDescent="0.25">
      <c r="A9616" s="4">
        <v>45378</v>
      </c>
      <c r="B9616" s="6">
        <v>84.94</v>
      </c>
    </row>
    <row r="9617" spans="1:2" x14ac:dyDescent="0.25">
      <c r="A9617" s="4">
        <v>45379</v>
      </c>
      <c r="B9617" s="6">
        <v>86.17</v>
      </c>
    </row>
    <row r="9618" spans="1:2" x14ac:dyDescent="0.25">
      <c r="A9618" s="4">
        <v>45380</v>
      </c>
      <c r="B9618" s="5"/>
    </row>
    <row r="9619" spans="1:2" x14ac:dyDescent="0.25">
      <c r="A9619" s="4">
        <v>45383</v>
      </c>
      <c r="B9619" s="5"/>
    </row>
    <row r="9620" spans="1:2" x14ac:dyDescent="0.25">
      <c r="A9620" s="4">
        <v>45384</v>
      </c>
      <c r="B9620" s="6">
        <v>87.63</v>
      </c>
    </row>
    <row r="9621" spans="1:2" x14ac:dyDescent="0.25">
      <c r="A9621" s="4">
        <v>45385</v>
      </c>
      <c r="B9621" s="6">
        <v>90.6</v>
      </c>
    </row>
    <row r="9622" spans="1:2" x14ac:dyDescent="0.25">
      <c r="A9622" s="4">
        <v>45386</v>
      </c>
      <c r="B9622" s="6">
        <v>90.32</v>
      </c>
    </row>
    <row r="9623" spans="1:2" x14ac:dyDescent="0.25">
      <c r="A9623" s="4">
        <v>45387</v>
      </c>
      <c r="B9623" s="6">
        <v>92.81</v>
      </c>
    </row>
    <row r="9624" spans="1:2" x14ac:dyDescent="0.25">
      <c r="A9624" s="4">
        <v>45390</v>
      </c>
      <c r="B9624" s="6">
        <v>91.73</v>
      </c>
    </row>
    <row r="9625" spans="1:2" x14ac:dyDescent="0.25">
      <c r="A9625" s="4">
        <v>45391</v>
      </c>
      <c r="B9625" s="6">
        <v>92.13</v>
      </c>
    </row>
    <row r="9626" spans="1:2" x14ac:dyDescent="0.25">
      <c r="A9626" s="4">
        <v>45392</v>
      </c>
      <c r="B9626" s="6">
        <v>91.57</v>
      </c>
    </row>
    <row r="9627" spans="1:2" x14ac:dyDescent="0.25">
      <c r="A9627" s="4">
        <v>45393</v>
      </c>
      <c r="B9627" s="6">
        <v>91.49</v>
      </c>
    </row>
    <row r="9628" spans="1:2" x14ac:dyDescent="0.25">
      <c r="A9628" s="4">
        <v>45394</v>
      </c>
      <c r="B9628" s="6">
        <v>93.12</v>
      </c>
    </row>
    <row r="9629" spans="1:2" x14ac:dyDescent="0.25">
      <c r="A9629" s="4">
        <v>45397</v>
      </c>
      <c r="B9629" s="6">
        <v>90.84</v>
      </c>
    </row>
    <row r="9630" spans="1:2" x14ac:dyDescent="0.25">
      <c r="A9630" s="4">
        <v>45398</v>
      </c>
      <c r="B9630" s="6">
        <v>91.29</v>
      </c>
    </row>
    <row r="9631" spans="1:2" x14ac:dyDescent="0.25">
      <c r="A9631" s="4">
        <v>45399</v>
      </c>
      <c r="B9631" s="6">
        <v>89.54</v>
      </c>
    </row>
    <row r="9632" spans="1:2" x14ac:dyDescent="0.25">
      <c r="A9632" s="4">
        <v>45400</v>
      </c>
      <c r="B9632" s="6">
        <v>88.34</v>
      </c>
    </row>
    <row r="9633" spans="1:2" x14ac:dyDescent="0.25">
      <c r="A9633" s="4">
        <v>45401</v>
      </c>
      <c r="B9633" s="6">
        <v>87.96</v>
      </c>
    </row>
    <row r="9634" spans="1:2" x14ac:dyDescent="0.25">
      <c r="A9634" s="4">
        <v>45404</v>
      </c>
      <c r="B9634" s="6">
        <v>87.3</v>
      </c>
    </row>
    <row r="9635" spans="1:2" x14ac:dyDescent="0.25">
      <c r="A9635" s="4">
        <v>45405</v>
      </c>
      <c r="B9635" s="6">
        <v>88.29</v>
      </c>
    </row>
    <row r="9636" spans="1:2" x14ac:dyDescent="0.25">
      <c r="A9636" s="4">
        <v>45406</v>
      </c>
      <c r="B9636" s="6">
        <v>89.02</v>
      </c>
    </row>
    <row r="9637" spans="1:2" x14ac:dyDescent="0.25">
      <c r="A9637" s="4">
        <v>45407</v>
      </c>
      <c r="B9637" s="6">
        <v>88.1</v>
      </c>
    </row>
    <row r="9638" spans="1:2" x14ac:dyDescent="0.25">
      <c r="A9638" s="4">
        <v>45408</v>
      </c>
      <c r="B9638" s="6">
        <v>89.95</v>
      </c>
    </row>
    <row r="9639" spans="1:2" x14ac:dyDescent="0.25">
      <c r="A9639" s="4">
        <v>45411</v>
      </c>
      <c r="B9639" s="6">
        <v>88.44</v>
      </c>
    </row>
    <row r="9640" spans="1:2" x14ac:dyDescent="0.25">
      <c r="A9640" s="4">
        <v>45412</v>
      </c>
      <c r="B9640" s="6">
        <v>88.23</v>
      </c>
    </row>
    <row r="9641" spans="1:2" x14ac:dyDescent="0.25">
      <c r="A9641" s="4">
        <v>45413</v>
      </c>
      <c r="B9641" s="6">
        <v>83.55</v>
      </c>
    </row>
    <row r="9642" spans="1:2" x14ac:dyDescent="0.25">
      <c r="A9642" s="4">
        <v>45414</v>
      </c>
      <c r="B9642" s="6">
        <v>84.81</v>
      </c>
    </row>
    <row r="9643" spans="1:2" x14ac:dyDescent="0.25">
      <c r="A9643" s="4">
        <v>45415</v>
      </c>
      <c r="B9643" s="6">
        <v>83.6</v>
      </c>
    </row>
    <row r="9644" spans="1:2" x14ac:dyDescent="0.25">
      <c r="A9644" s="4">
        <v>45418</v>
      </c>
      <c r="B9644" s="5"/>
    </row>
    <row r="9645" spans="1:2" x14ac:dyDescent="0.25">
      <c r="A9645" s="4">
        <v>45419</v>
      </c>
      <c r="B9645" s="6">
        <v>82.69</v>
      </c>
    </row>
    <row r="9646" spans="1:2" x14ac:dyDescent="0.25">
      <c r="A9646" s="4">
        <v>45420</v>
      </c>
      <c r="B9646" s="6">
        <v>82.44</v>
      </c>
    </row>
    <row r="9647" spans="1:2" x14ac:dyDescent="0.25">
      <c r="A9647" s="4">
        <v>45421</v>
      </c>
      <c r="B9647" s="6">
        <v>83.27</v>
      </c>
    </row>
    <row r="9648" spans="1:2" x14ac:dyDescent="0.25">
      <c r="A9648" s="4">
        <v>45422</v>
      </c>
      <c r="B9648" s="6">
        <v>83.39</v>
      </c>
    </row>
    <row r="9649" spans="1:2" x14ac:dyDescent="0.25">
      <c r="A9649" s="4">
        <v>45425</v>
      </c>
      <c r="B9649" s="6">
        <v>83.18</v>
      </c>
    </row>
    <row r="9650" spans="1:2" x14ac:dyDescent="0.25">
      <c r="A9650" s="4">
        <v>45426</v>
      </c>
      <c r="B9650" s="6">
        <v>81</v>
      </c>
    </row>
    <row r="9651" spans="1:2" x14ac:dyDescent="0.25">
      <c r="A9651" s="4">
        <v>45427</v>
      </c>
      <c r="B9651" s="6">
        <v>79.98</v>
      </c>
    </row>
    <row r="9652" spans="1:2" x14ac:dyDescent="0.25">
      <c r="A9652" s="4">
        <v>45428</v>
      </c>
      <c r="B9652" s="6">
        <v>81.650000000000006</v>
      </c>
    </row>
    <row r="9653" spans="1:2" x14ac:dyDescent="0.25">
      <c r="A9653" s="4">
        <v>45429</v>
      </c>
      <c r="B9653" s="6">
        <v>82.24</v>
      </c>
    </row>
    <row r="9654" spans="1:2" x14ac:dyDescent="0.25">
      <c r="A9654" s="4">
        <v>45432</v>
      </c>
      <c r="B9654" s="6">
        <v>81.91</v>
      </c>
    </row>
    <row r="9655" spans="1:2" x14ac:dyDescent="0.25">
      <c r="A9655" s="4">
        <v>45433</v>
      </c>
      <c r="B9655" s="6">
        <v>81.22</v>
      </c>
    </row>
    <row r="9656" spans="1:2" x14ac:dyDescent="0.25">
      <c r="A9656" s="4">
        <v>45434</v>
      </c>
      <c r="B9656" s="6">
        <v>79.900000000000006</v>
      </c>
    </row>
    <row r="9657" spans="1:2" x14ac:dyDescent="0.25">
      <c r="A9657" s="4">
        <v>45435</v>
      </c>
      <c r="B9657" s="6">
        <v>79.25</v>
      </c>
    </row>
    <row r="9658" spans="1:2" x14ac:dyDescent="0.25">
      <c r="A9658" s="4">
        <v>45436</v>
      </c>
      <c r="B9658" s="6">
        <v>78.92</v>
      </c>
    </row>
    <row r="9659" spans="1:2" x14ac:dyDescent="0.25">
      <c r="A9659" s="4">
        <v>45439</v>
      </c>
      <c r="B9659" s="5"/>
    </row>
    <row r="9660" spans="1:2" x14ac:dyDescent="0.25">
      <c r="A9660" s="4">
        <v>45440</v>
      </c>
      <c r="B9660" s="6">
        <v>81.34</v>
      </c>
    </row>
    <row r="9661" spans="1:2" x14ac:dyDescent="0.25">
      <c r="A9661" s="4">
        <v>45441</v>
      </c>
      <c r="B9661" s="6">
        <v>81.5</v>
      </c>
    </row>
    <row r="9662" spans="1:2" x14ac:dyDescent="0.25">
      <c r="A9662" s="4">
        <v>45442</v>
      </c>
      <c r="B9662" s="6">
        <v>81.42</v>
      </c>
    </row>
    <row r="9663" spans="1:2" x14ac:dyDescent="0.25">
      <c r="A9663" s="4">
        <v>45443</v>
      </c>
      <c r="B9663" s="6">
        <v>79.41</v>
      </c>
    </row>
    <row r="9664" spans="1:2" x14ac:dyDescent="0.25">
      <c r="A9664" s="4">
        <v>45446</v>
      </c>
      <c r="B9664" s="6">
        <v>76.45</v>
      </c>
    </row>
    <row r="9665" spans="1:2" x14ac:dyDescent="0.25">
      <c r="A9665" s="4">
        <v>45447</v>
      </c>
      <c r="B9665" s="6">
        <v>75.33</v>
      </c>
    </row>
    <row r="9666" spans="1:2" x14ac:dyDescent="0.25">
      <c r="A9666" s="4">
        <v>45448</v>
      </c>
      <c r="B9666" s="6">
        <v>75.41</v>
      </c>
    </row>
    <row r="9667" spans="1:2" x14ac:dyDescent="0.25">
      <c r="A9667" s="4">
        <v>45449</v>
      </c>
      <c r="B9667" s="6">
        <v>77.62</v>
      </c>
    </row>
    <row r="9668" spans="1:2" x14ac:dyDescent="0.25">
      <c r="A9668" s="4">
        <v>45450</v>
      </c>
      <c r="B9668" s="6">
        <v>78.12</v>
      </c>
    </row>
    <row r="9669" spans="1:2" x14ac:dyDescent="0.25">
      <c r="A9669" s="4">
        <v>45453</v>
      </c>
      <c r="B9669" s="6">
        <v>79.59</v>
      </c>
    </row>
    <row r="9670" spans="1:2" x14ac:dyDescent="0.25">
      <c r="A9670" s="4">
        <v>45454</v>
      </c>
      <c r="B9670" s="6">
        <v>80.150000000000006</v>
      </c>
    </row>
    <row r="9671" spans="1:2" x14ac:dyDescent="0.25">
      <c r="A9671" s="4">
        <v>45455</v>
      </c>
      <c r="B9671" s="6">
        <v>80.52</v>
      </c>
    </row>
    <row r="9672" spans="1:2" x14ac:dyDescent="0.25">
      <c r="A9672" s="4">
        <v>45456</v>
      </c>
      <c r="B9672" s="6">
        <v>81.44</v>
      </c>
    </row>
    <row r="9673" spans="1:2" x14ac:dyDescent="0.25">
      <c r="A9673" s="4">
        <v>45457</v>
      </c>
      <c r="B9673" s="6">
        <v>81.489999999999995</v>
      </c>
    </row>
    <row r="9674" spans="1:2" x14ac:dyDescent="0.25">
      <c r="A9674" s="4">
        <v>45460</v>
      </c>
      <c r="B9674" s="6">
        <v>82.45</v>
      </c>
    </row>
    <row r="9675" spans="1:2" x14ac:dyDescent="0.25">
      <c r="A9675" s="4">
        <v>45461</v>
      </c>
      <c r="B9675" s="6">
        <v>84.79</v>
      </c>
    </row>
    <row r="9676" spans="1:2" x14ac:dyDescent="0.25">
      <c r="A9676" s="4">
        <v>45462</v>
      </c>
      <c r="B9676" s="6">
        <v>85.64</v>
      </c>
    </row>
    <row r="9677" spans="1:2" x14ac:dyDescent="0.25">
      <c r="A9677" s="4">
        <v>45463</v>
      </c>
      <c r="B9677" s="6">
        <v>85.92</v>
      </c>
    </row>
    <row r="9678" spans="1:2" x14ac:dyDescent="0.25">
      <c r="A9678" s="4">
        <v>45464</v>
      </c>
      <c r="B9678" s="6">
        <v>86.42</v>
      </c>
    </row>
    <row r="9679" spans="1:2" x14ac:dyDescent="0.25">
      <c r="A9679" s="4">
        <v>45467</v>
      </c>
      <c r="B9679" s="6">
        <v>86.75</v>
      </c>
    </row>
    <row r="9680" spans="1:2" x14ac:dyDescent="0.25">
      <c r="A9680" s="4">
        <v>45468</v>
      </c>
      <c r="B9680" s="6">
        <v>86.81</v>
      </c>
    </row>
    <row r="9681" spans="1:2" x14ac:dyDescent="0.25">
      <c r="A9681" s="4">
        <v>45469</v>
      </c>
      <c r="B9681" s="6">
        <v>85.76</v>
      </c>
    </row>
    <row r="9682" spans="1:2" x14ac:dyDescent="0.25">
      <c r="A9682" s="4">
        <v>45470</v>
      </c>
      <c r="B9682" s="6">
        <v>87</v>
      </c>
    </row>
    <row r="9683" spans="1:2" x14ac:dyDescent="0.25">
      <c r="A9683" s="4">
        <v>45471</v>
      </c>
      <c r="B9683" s="6">
        <v>87.26</v>
      </c>
    </row>
    <row r="9684" spans="1:2" x14ac:dyDescent="0.25">
      <c r="A9684" s="4">
        <v>45474</v>
      </c>
      <c r="B9684" s="6">
        <v>86.57</v>
      </c>
    </row>
    <row r="9685" spans="1:2" x14ac:dyDescent="0.25">
      <c r="A9685" s="4">
        <v>45475</v>
      </c>
      <c r="B9685" s="6">
        <v>88.28</v>
      </c>
    </row>
    <row r="9686" spans="1:2" x14ac:dyDescent="0.25">
      <c r="A9686" s="4">
        <v>45476</v>
      </c>
      <c r="B9686" s="6">
        <v>88.25</v>
      </c>
    </row>
    <row r="9687" spans="1:2" x14ac:dyDescent="0.25">
      <c r="A9687" s="4">
        <v>45477</v>
      </c>
      <c r="B9687" s="6">
        <v>88.34</v>
      </c>
    </row>
    <row r="9688" spans="1:2" x14ac:dyDescent="0.25">
      <c r="A9688" s="4">
        <v>45478</v>
      </c>
      <c r="B9688" s="6">
        <v>88.66</v>
      </c>
    </row>
    <row r="9689" spans="1:2" x14ac:dyDescent="0.25">
      <c r="A9689" s="4">
        <v>45481</v>
      </c>
      <c r="B9689" s="6">
        <v>87.15</v>
      </c>
    </row>
    <row r="9690" spans="1:2" x14ac:dyDescent="0.25">
      <c r="A9690" s="4">
        <v>45482</v>
      </c>
      <c r="B9690" s="6">
        <v>86.48</v>
      </c>
    </row>
    <row r="9691" spans="1:2" x14ac:dyDescent="0.25">
      <c r="A9691" s="4">
        <v>45483</v>
      </c>
      <c r="B9691" s="6">
        <v>86.55</v>
      </c>
    </row>
    <row r="9692" spans="1:2" x14ac:dyDescent="0.25">
      <c r="A9692" s="4">
        <v>45484</v>
      </c>
      <c r="B9692" s="6">
        <v>86.49</v>
      </c>
    </row>
    <row r="9693" spans="1:2" x14ac:dyDescent="0.25">
      <c r="A9693" s="4">
        <v>45485</v>
      </c>
      <c r="B9693" s="6">
        <v>87.35</v>
      </c>
    </row>
    <row r="9694" spans="1:2" x14ac:dyDescent="0.25">
      <c r="A9694" s="4">
        <v>45488</v>
      </c>
      <c r="B9694" s="6">
        <v>86.42</v>
      </c>
    </row>
    <row r="9695" spans="1:2" x14ac:dyDescent="0.25">
      <c r="A9695" s="4">
        <v>45489</v>
      </c>
      <c r="B9695" s="6">
        <v>86.6</v>
      </c>
    </row>
    <row r="9696" spans="1:2" x14ac:dyDescent="0.25">
      <c r="A9696" s="4">
        <v>45490</v>
      </c>
      <c r="B9696" s="6">
        <v>85.76</v>
      </c>
    </row>
    <row r="9697" spans="1:2" x14ac:dyDescent="0.25">
      <c r="A9697" s="4">
        <v>45491</v>
      </c>
      <c r="B9697" s="6">
        <v>86.26</v>
      </c>
    </row>
    <row r="9698" spans="1:2" x14ac:dyDescent="0.25">
      <c r="A9698" s="4">
        <v>45492</v>
      </c>
      <c r="B9698" s="6">
        <v>85.19</v>
      </c>
    </row>
    <row r="9699" spans="1:2" x14ac:dyDescent="0.25">
      <c r="A9699" s="4">
        <v>45495</v>
      </c>
      <c r="B9699" s="6">
        <v>83.44</v>
      </c>
    </row>
    <row r="9700" spans="1:2" x14ac:dyDescent="0.25">
      <c r="A9700" s="4">
        <v>45496</v>
      </c>
      <c r="B9700" s="6">
        <v>82.2</v>
      </c>
    </row>
    <row r="9701" spans="1:2" x14ac:dyDescent="0.25">
      <c r="A9701" s="4">
        <v>45497</v>
      </c>
      <c r="B9701" s="6">
        <v>83.01</v>
      </c>
    </row>
    <row r="9702" spans="1:2" x14ac:dyDescent="0.25">
      <c r="A9702" s="4">
        <v>45498</v>
      </c>
      <c r="B9702" s="6">
        <v>82.58</v>
      </c>
    </row>
    <row r="9703" spans="1:2" x14ac:dyDescent="0.25">
      <c r="A9703" s="4">
        <v>45499</v>
      </c>
      <c r="B9703" s="6">
        <v>81.349999999999994</v>
      </c>
    </row>
    <row r="9704" spans="1:2" x14ac:dyDescent="0.25">
      <c r="A9704" s="4">
        <v>45502</v>
      </c>
      <c r="B9704" s="6">
        <v>80.94</v>
      </c>
    </row>
    <row r="9705" spans="1:2" x14ac:dyDescent="0.25">
      <c r="A9705" s="4">
        <v>45503</v>
      </c>
      <c r="B9705" s="6">
        <v>79.260000000000005</v>
      </c>
    </row>
    <row r="9706" spans="1:2" x14ac:dyDescent="0.25">
      <c r="A9706" s="4">
        <v>45504</v>
      </c>
      <c r="B9706" s="6">
        <v>81.39</v>
      </c>
    </row>
    <row r="9707" spans="1:2" x14ac:dyDescent="0.25">
      <c r="A9707" s="4">
        <v>45505</v>
      </c>
      <c r="B9707" s="6">
        <v>81.37</v>
      </c>
    </row>
    <row r="9708" spans="1:2" x14ac:dyDescent="0.25">
      <c r="A9708" s="4">
        <v>45506</v>
      </c>
      <c r="B9708" s="6">
        <v>78.349999999999994</v>
      </c>
    </row>
    <row r="9709" spans="1:2" x14ac:dyDescent="0.25">
      <c r="A9709" s="4">
        <v>45509</v>
      </c>
      <c r="B9709" s="6">
        <v>77.510000000000005</v>
      </c>
    </row>
    <row r="9710" spans="1:2" x14ac:dyDescent="0.25">
      <c r="A9710" s="4">
        <v>45510</v>
      </c>
      <c r="B9710" s="6">
        <v>76.62</v>
      </c>
    </row>
    <row r="9711" spans="1:2" x14ac:dyDescent="0.25">
      <c r="A9711" s="4">
        <v>45511</v>
      </c>
      <c r="B9711" s="6">
        <v>78.260000000000005</v>
      </c>
    </row>
    <row r="9712" spans="1:2" x14ac:dyDescent="0.25">
      <c r="A9712" s="4">
        <v>45512</v>
      </c>
      <c r="B9712" s="6">
        <v>80.760000000000005</v>
      </c>
    </row>
    <row r="9713" spans="1:2" x14ac:dyDescent="0.25">
      <c r="A9713" s="4">
        <v>45513</v>
      </c>
      <c r="B9713" s="6">
        <v>81.069999999999993</v>
      </c>
    </row>
    <row r="9714" spans="1:2" x14ac:dyDescent="0.25">
      <c r="A9714" s="4">
        <v>45516</v>
      </c>
      <c r="B9714" s="6">
        <v>83.06</v>
      </c>
    </row>
    <row r="9715" spans="1:2" x14ac:dyDescent="0.25">
      <c r="A9715" s="4">
        <v>45517</v>
      </c>
      <c r="B9715" s="6">
        <v>82.51</v>
      </c>
    </row>
    <row r="9716" spans="1:2" x14ac:dyDescent="0.25">
      <c r="A9716" s="4">
        <v>45518</v>
      </c>
      <c r="B9716" s="6">
        <v>82.15</v>
      </c>
    </row>
    <row r="9717" spans="1:2" x14ac:dyDescent="0.25">
      <c r="A9717" s="4">
        <v>45519</v>
      </c>
      <c r="B9717" s="6">
        <v>83.09</v>
      </c>
    </row>
    <row r="9718" spans="1:2" x14ac:dyDescent="0.25">
      <c r="A9718" s="4">
        <v>45520</v>
      </c>
      <c r="B9718" s="6">
        <v>81.56</v>
      </c>
    </row>
    <row r="9719" spans="1:2" x14ac:dyDescent="0.25">
      <c r="A9719" s="4">
        <v>45523</v>
      </c>
      <c r="B9719" s="6">
        <v>81.09</v>
      </c>
    </row>
    <row r="9720" spans="1:2" x14ac:dyDescent="0.25">
      <c r="A9720" s="4">
        <v>45524</v>
      </c>
      <c r="B9720" s="6">
        <v>78.849999999999994</v>
      </c>
    </row>
    <row r="9721" spans="1:2" x14ac:dyDescent="0.25">
      <c r="A9721" s="4">
        <v>45525</v>
      </c>
      <c r="B9721" s="6">
        <v>78.77</v>
      </c>
    </row>
    <row r="9722" spans="1:2" x14ac:dyDescent="0.25">
      <c r="A9722" s="4">
        <v>45526</v>
      </c>
      <c r="B9722" s="6">
        <v>78.8</v>
      </c>
    </row>
    <row r="9723" spans="1:2" x14ac:dyDescent="0.25">
      <c r="A9723" s="4">
        <v>45527</v>
      </c>
      <c r="B9723" s="6">
        <v>80.34</v>
      </c>
    </row>
    <row r="9724" spans="1:2" x14ac:dyDescent="0.25">
      <c r="A9724" s="4">
        <v>45530</v>
      </c>
      <c r="B9724" s="5"/>
    </row>
    <row r="9725" spans="1:2" x14ac:dyDescent="0.25">
      <c r="A9725" s="4">
        <v>45531</v>
      </c>
      <c r="B9725" s="6">
        <v>81.510000000000005</v>
      </c>
    </row>
    <row r="9726" spans="1:2" x14ac:dyDescent="0.25">
      <c r="A9726" s="4">
        <v>45532</v>
      </c>
      <c r="B9726" s="6">
        <v>80.040000000000006</v>
      </c>
    </row>
    <row r="9727" spans="1:2" x14ac:dyDescent="0.25">
      <c r="A9727" s="4">
        <v>45533</v>
      </c>
      <c r="B9727" s="6">
        <v>81.55</v>
      </c>
    </row>
    <row r="9728" spans="1:2" x14ac:dyDescent="0.25">
      <c r="A9728" s="4">
        <v>45534</v>
      </c>
      <c r="B9728" s="6">
        <v>80.2</v>
      </c>
    </row>
    <row r="9729" spans="1:2" x14ac:dyDescent="0.25">
      <c r="A9729" s="4">
        <v>45537</v>
      </c>
      <c r="B9729" s="6">
        <v>77.819999999999993</v>
      </c>
    </row>
    <row r="9730" spans="1:2" x14ac:dyDescent="0.25">
      <c r="A9730" s="4">
        <v>45538</v>
      </c>
      <c r="B9730" s="6">
        <v>76.459999999999994</v>
      </c>
    </row>
    <row r="9731" spans="1:2" x14ac:dyDescent="0.25">
      <c r="A9731" s="4">
        <v>45539</v>
      </c>
      <c r="B9731" s="6">
        <v>74.67</v>
      </c>
    </row>
    <row r="9732" spans="1:2" x14ac:dyDescent="0.25">
      <c r="A9732" s="4">
        <v>45540</v>
      </c>
      <c r="B9732" s="6">
        <v>74.47</v>
      </c>
    </row>
    <row r="9733" spans="1:2" x14ac:dyDescent="0.25">
      <c r="A9733" s="4">
        <v>45541</v>
      </c>
      <c r="B9733" s="6">
        <v>72.819999999999993</v>
      </c>
    </row>
    <row r="9734" spans="1:2" x14ac:dyDescent="0.25">
      <c r="A9734" s="4">
        <v>45544</v>
      </c>
      <c r="B9734" s="6">
        <v>72.37</v>
      </c>
    </row>
    <row r="9735" spans="1:2" x14ac:dyDescent="0.25">
      <c r="A9735" s="4">
        <v>45545</v>
      </c>
      <c r="B9735" s="6">
        <v>70.34</v>
      </c>
    </row>
    <row r="9736" spans="1:2" x14ac:dyDescent="0.25">
      <c r="A9736" s="4">
        <v>45546</v>
      </c>
      <c r="B9736" s="6">
        <v>70.31</v>
      </c>
    </row>
    <row r="9737" spans="1:2" x14ac:dyDescent="0.25">
      <c r="A9737" s="4">
        <v>45547</v>
      </c>
      <c r="B9737" s="6">
        <v>73.81</v>
      </c>
    </row>
    <row r="9738" spans="1:2" x14ac:dyDescent="0.25">
      <c r="A9738" s="4">
        <v>45548</v>
      </c>
      <c r="B9738" s="6">
        <v>73.680000000000007</v>
      </c>
    </row>
    <row r="9739" spans="1:2" x14ac:dyDescent="0.25">
      <c r="A9739" s="4">
        <v>45551</v>
      </c>
      <c r="B9739" s="6">
        <v>73.959999999999994</v>
      </c>
    </row>
    <row r="9740" spans="1:2" x14ac:dyDescent="0.25">
      <c r="A9740" s="4">
        <v>45552</v>
      </c>
      <c r="B9740" s="6">
        <v>74.55</v>
      </c>
    </row>
    <row r="9741" spans="1:2" x14ac:dyDescent="0.25">
      <c r="A9741" s="4">
        <v>45553</v>
      </c>
      <c r="B9741" s="6">
        <v>74.52</v>
      </c>
    </row>
    <row r="9742" spans="1:2" x14ac:dyDescent="0.25">
      <c r="A9742" s="4">
        <v>45554</v>
      </c>
      <c r="B9742" s="6">
        <v>75.930000000000007</v>
      </c>
    </row>
    <row r="9743" spans="1:2" x14ac:dyDescent="0.25">
      <c r="A9743" s="4">
        <v>45555</v>
      </c>
      <c r="B9743" s="6">
        <v>75.959999999999994</v>
      </c>
    </row>
    <row r="9744" spans="1:2" x14ac:dyDescent="0.25">
      <c r="A9744" s="4">
        <v>45558</v>
      </c>
      <c r="B9744" s="6">
        <v>74.95</v>
      </c>
    </row>
    <row r="9745" spans="1:2" x14ac:dyDescent="0.25">
      <c r="A9745" s="4">
        <v>45559</v>
      </c>
      <c r="B9745" s="6">
        <v>75.290000000000006</v>
      </c>
    </row>
    <row r="9746" spans="1:2" x14ac:dyDescent="0.25">
      <c r="A9746" s="4">
        <v>45560</v>
      </c>
      <c r="B9746" s="6">
        <v>75.400000000000006</v>
      </c>
    </row>
    <row r="9747" spans="1:2" x14ac:dyDescent="0.25">
      <c r="A9747" s="4">
        <v>45561</v>
      </c>
      <c r="B9747" s="6">
        <v>73.06</v>
      </c>
    </row>
    <row r="9748" spans="1:2" x14ac:dyDescent="0.25">
      <c r="A9748" s="4">
        <v>45562</v>
      </c>
      <c r="B9748" s="6">
        <v>71.63</v>
      </c>
    </row>
    <row r="9749" spans="1:2" x14ac:dyDescent="0.25">
      <c r="A9749" s="4">
        <v>45565</v>
      </c>
      <c r="B9749" s="6">
        <v>72.349999999999994</v>
      </c>
    </row>
    <row r="9750" spans="1:2" x14ac:dyDescent="0.25">
      <c r="A9750" s="4">
        <v>45566</v>
      </c>
      <c r="B9750" s="6">
        <v>75.3</v>
      </c>
    </row>
    <row r="9751" spans="1:2" x14ac:dyDescent="0.25">
      <c r="A9751" s="4">
        <v>45567</v>
      </c>
      <c r="B9751" s="6">
        <v>74.86</v>
      </c>
    </row>
    <row r="9752" spans="1:2" x14ac:dyDescent="0.25">
      <c r="A9752" s="4">
        <v>45568</v>
      </c>
      <c r="B9752" s="6">
        <v>77.569999999999993</v>
      </c>
    </row>
    <row r="9753" spans="1:2" x14ac:dyDescent="0.25">
      <c r="A9753" s="4">
        <v>45569</v>
      </c>
      <c r="B9753" s="6">
        <v>79.319999999999993</v>
      </c>
    </row>
    <row r="9754" spans="1:2" x14ac:dyDescent="0.25">
      <c r="A9754" s="4">
        <v>45572</v>
      </c>
      <c r="B9754" s="6">
        <v>81.739999999999995</v>
      </c>
    </row>
    <row r="9755" spans="1:2" x14ac:dyDescent="0.25">
      <c r="A9755" s="4">
        <v>45573</v>
      </c>
      <c r="B9755" s="6">
        <v>78.19</v>
      </c>
    </row>
    <row r="9756" spans="1:2" x14ac:dyDescent="0.25">
      <c r="A9756" s="4">
        <v>45574</v>
      </c>
      <c r="B9756" s="6">
        <v>77.06</v>
      </c>
    </row>
    <row r="9757" spans="1:2" x14ac:dyDescent="0.25">
      <c r="A9757" s="4">
        <v>45575</v>
      </c>
      <c r="B9757" s="6">
        <v>79.45</v>
      </c>
    </row>
    <row r="9758" spans="1:2" x14ac:dyDescent="0.25">
      <c r="A9758" s="4">
        <v>45576</v>
      </c>
      <c r="B9758" s="6">
        <v>80.27</v>
      </c>
    </row>
    <row r="9759" spans="1:2" x14ac:dyDescent="0.25">
      <c r="A9759" s="4">
        <v>45579</v>
      </c>
      <c r="B9759" s="6">
        <v>78.47</v>
      </c>
    </row>
    <row r="9760" spans="1:2" x14ac:dyDescent="0.25">
      <c r="A9760" s="4">
        <v>45580</v>
      </c>
      <c r="B9760" s="6">
        <v>73.680000000000007</v>
      </c>
    </row>
    <row r="9761" spans="1:2" x14ac:dyDescent="0.25">
      <c r="A9761" s="4">
        <v>45581</v>
      </c>
      <c r="B9761" s="6">
        <v>73.650000000000006</v>
      </c>
    </row>
    <row r="9762" spans="1:2" x14ac:dyDescent="0.25">
      <c r="A9762" s="4">
        <v>45582</v>
      </c>
      <c r="B9762" s="6">
        <v>74.37</v>
      </c>
    </row>
    <row r="9763" spans="1:2" x14ac:dyDescent="0.25">
      <c r="A9763" s="4">
        <v>45583</v>
      </c>
      <c r="B9763" s="6">
        <v>72.75</v>
      </c>
    </row>
    <row r="9764" spans="1:2" x14ac:dyDescent="0.25">
      <c r="A9764" s="4">
        <v>45586</v>
      </c>
      <c r="B9764" s="6">
        <v>73.290000000000006</v>
      </c>
    </row>
    <row r="9765" spans="1:2" x14ac:dyDescent="0.25">
      <c r="A9765" s="4">
        <v>45587</v>
      </c>
      <c r="B9765" s="6">
        <v>75.59</v>
      </c>
    </row>
    <row r="9766" spans="1:2" x14ac:dyDescent="0.25">
      <c r="A9766" s="4">
        <v>45588</v>
      </c>
      <c r="B9766" s="6">
        <v>74.680000000000007</v>
      </c>
    </row>
    <row r="9767" spans="1:2" x14ac:dyDescent="0.25">
      <c r="A9767" s="4">
        <v>45589</v>
      </c>
      <c r="B9767" s="6">
        <v>74.27</v>
      </c>
    </row>
    <row r="9768" spans="1:2" x14ac:dyDescent="0.25">
      <c r="A9768" s="4">
        <v>45590</v>
      </c>
      <c r="B9768" s="6">
        <v>75.62</v>
      </c>
    </row>
    <row r="9769" spans="1:2" x14ac:dyDescent="0.25">
      <c r="A9769" s="4">
        <v>45593</v>
      </c>
      <c r="B9769" s="6">
        <v>71.87</v>
      </c>
    </row>
    <row r="9770" spans="1:2" x14ac:dyDescent="0.25">
      <c r="A9770" s="4">
        <v>45594</v>
      </c>
      <c r="B9770" s="6">
        <v>71.09</v>
      </c>
    </row>
    <row r="9771" spans="1:2" x14ac:dyDescent="0.25">
      <c r="A9771" s="4">
        <v>45595</v>
      </c>
      <c r="B9771" s="6">
        <v>73.209999999999994</v>
      </c>
    </row>
    <row r="9772" spans="1:2" x14ac:dyDescent="0.25">
      <c r="A9772" s="4">
        <v>45596</v>
      </c>
      <c r="B9772" s="6">
        <v>73.25</v>
      </c>
    </row>
    <row r="9773" spans="1:2" x14ac:dyDescent="0.25">
      <c r="A9773" s="4">
        <v>45597</v>
      </c>
      <c r="B9773" s="6">
        <v>73.63</v>
      </c>
    </row>
    <row r="9774" spans="1:2" x14ac:dyDescent="0.25">
      <c r="A9774" s="4">
        <v>45600</v>
      </c>
      <c r="B9774" s="6">
        <v>74.89</v>
      </c>
    </row>
    <row r="9775" spans="1:2" x14ac:dyDescent="0.25">
      <c r="A9775" s="4">
        <v>45601</v>
      </c>
      <c r="B9775" s="6">
        <v>76.98</v>
      </c>
    </row>
    <row r="9776" spans="1:2" x14ac:dyDescent="0.25">
      <c r="A9776" s="4">
        <v>45602</v>
      </c>
      <c r="B9776" s="6">
        <v>76.52</v>
      </c>
    </row>
    <row r="9777" spans="1:2" x14ac:dyDescent="0.25">
      <c r="A9777" s="4">
        <v>45603</v>
      </c>
      <c r="B9777" s="6">
        <v>75.73</v>
      </c>
    </row>
    <row r="9778" spans="1:2" x14ac:dyDescent="0.25">
      <c r="A9778" s="4">
        <v>45604</v>
      </c>
      <c r="B9778" s="6">
        <v>74.040000000000006</v>
      </c>
    </row>
    <row r="9779" spans="1:2" x14ac:dyDescent="0.25">
      <c r="A9779" s="4">
        <v>45607</v>
      </c>
      <c r="B9779" s="6">
        <v>72.19</v>
      </c>
    </row>
    <row r="9780" spans="1:2" x14ac:dyDescent="0.25">
      <c r="A9780" s="4">
        <v>45608</v>
      </c>
      <c r="B9780" s="6">
        <v>72.56</v>
      </c>
    </row>
    <row r="9781" spans="1:2" x14ac:dyDescent="0.25">
      <c r="A9781" s="4">
        <v>45609</v>
      </c>
      <c r="B9781" s="6">
        <v>72.86</v>
      </c>
    </row>
    <row r="9782" spans="1:2" x14ac:dyDescent="0.25">
      <c r="A9782" s="4">
        <v>45610</v>
      </c>
      <c r="B9782" s="6">
        <v>73.39</v>
      </c>
    </row>
    <row r="9783" spans="1:2" x14ac:dyDescent="0.25">
      <c r="A9783" s="4">
        <v>45611</v>
      </c>
      <c r="B9783" s="6">
        <v>73.45</v>
      </c>
    </row>
    <row r="9784" spans="1:2" x14ac:dyDescent="0.25">
      <c r="A9784" s="4">
        <v>45614</v>
      </c>
      <c r="B9784" s="6">
        <v>74.349999999999994</v>
      </c>
    </row>
    <row r="9785" spans="1:2" x14ac:dyDescent="0.25">
      <c r="A9785" s="4">
        <v>45615</v>
      </c>
      <c r="B9785" s="6">
        <v>74.319999999999993</v>
      </c>
    </row>
    <row r="9786" spans="1:2" x14ac:dyDescent="0.25">
      <c r="A9786" s="4">
        <v>45616</v>
      </c>
      <c r="B9786" s="6">
        <v>74.33</v>
      </c>
    </row>
    <row r="9787" spans="1:2" x14ac:dyDescent="0.25">
      <c r="A9787" s="4">
        <v>45617</v>
      </c>
      <c r="B9787" s="6">
        <v>75.09</v>
      </c>
    </row>
    <row r="9788" spans="1:2" x14ac:dyDescent="0.25">
      <c r="A9788" s="4">
        <v>45618</v>
      </c>
      <c r="B9788" s="6">
        <v>76.099999999999994</v>
      </c>
    </row>
    <row r="9789" spans="1:2" x14ac:dyDescent="0.25">
      <c r="A9789" s="4">
        <v>45621</v>
      </c>
      <c r="B9789" s="6">
        <v>74.27</v>
      </c>
    </row>
    <row r="9790" spans="1:2" x14ac:dyDescent="0.25">
      <c r="A9790" s="4">
        <v>45622</v>
      </c>
      <c r="B9790" s="6">
        <v>74.56</v>
      </c>
    </row>
    <row r="9791" spans="1:2" x14ac:dyDescent="0.25">
      <c r="A9791" s="4">
        <v>45623</v>
      </c>
      <c r="B9791" s="6">
        <v>73.91</v>
      </c>
    </row>
    <row r="9792" spans="1:2" x14ac:dyDescent="0.25">
      <c r="A9792" s="4">
        <v>45624</v>
      </c>
      <c r="B9792" s="6">
        <v>73.92</v>
      </c>
    </row>
    <row r="9793" spans="1:2" x14ac:dyDescent="0.25">
      <c r="A9793" s="4">
        <v>45625</v>
      </c>
      <c r="B9793" s="6">
        <v>74.16</v>
      </c>
    </row>
    <row r="9794" spans="1:2" x14ac:dyDescent="0.25">
      <c r="A9794" s="4">
        <v>45628</v>
      </c>
      <c r="B9794" s="6">
        <v>72.81</v>
      </c>
    </row>
    <row r="9795" spans="1:2" x14ac:dyDescent="0.25">
      <c r="A9795" s="4">
        <v>45629</v>
      </c>
      <c r="B9795" s="6">
        <v>74.8</v>
      </c>
    </row>
    <row r="9796" spans="1:2" x14ac:dyDescent="0.25">
      <c r="A9796" s="4">
        <v>45630</v>
      </c>
      <c r="B9796" s="6">
        <v>74.680000000000007</v>
      </c>
    </row>
    <row r="9797" spans="1:2" x14ac:dyDescent="0.25">
      <c r="A9797" s="4">
        <v>45631</v>
      </c>
      <c r="B9797" s="6">
        <v>73.78</v>
      </c>
    </row>
    <row r="9798" spans="1:2" x14ac:dyDescent="0.25">
      <c r="A9798" s="4">
        <v>45632</v>
      </c>
      <c r="B9798" s="6">
        <v>73.78</v>
      </c>
    </row>
    <row r="9799" spans="1:2" x14ac:dyDescent="0.25">
      <c r="A9799" s="4">
        <v>45635</v>
      </c>
      <c r="B9799" s="6">
        <v>73.73</v>
      </c>
    </row>
    <row r="9800" spans="1:2" x14ac:dyDescent="0.25">
      <c r="A9800" s="4">
        <v>45636</v>
      </c>
      <c r="B9800" s="6">
        <v>73.64</v>
      </c>
    </row>
    <row r="9801" spans="1:2" x14ac:dyDescent="0.25">
      <c r="A9801" s="4">
        <v>45637</v>
      </c>
      <c r="B9801" s="6">
        <v>74.38</v>
      </c>
    </row>
    <row r="9802" spans="1:2" x14ac:dyDescent="0.25">
      <c r="A9802" s="4">
        <v>45638</v>
      </c>
      <c r="B9802" s="6">
        <v>73.52</v>
      </c>
    </row>
    <row r="9803" spans="1:2" x14ac:dyDescent="0.25">
      <c r="A9803" s="4">
        <v>45639</v>
      </c>
      <c r="B9803" s="6">
        <v>74.89</v>
      </c>
    </row>
    <row r="9804" spans="1:2" x14ac:dyDescent="0.25">
      <c r="A9804" s="4">
        <v>45642</v>
      </c>
      <c r="B9804" s="6">
        <v>74.3</v>
      </c>
    </row>
    <row r="9805" spans="1:2" x14ac:dyDescent="0.25">
      <c r="A9805" s="4">
        <v>45643</v>
      </c>
      <c r="B9805" s="6">
        <v>73.16</v>
      </c>
    </row>
    <row r="9806" spans="1:2" x14ac:dyDescent="0.25">
      <c r="A9806" s="4">
        <v>45644</v>
      </c>
      <c r="B9806" s="6">
        <v>74.569999999999993</v>
      </c>
    </row>
    <row r="9807" spans="1:2" x14ac:dyDescent="0.25">
      <c r="A9807" s="4">
        <v>45645</v>
      </c>
      <c r="B9807" s="6">
        <v>73.75</v>
      </c>
    </row>
    <row r="9808" spans="1:2" x14ac:dyDescent="0.25">
      <c r="A9808" s="4">
        <v>45646</v>
      </c>
      <c r="B9808" s="6">
        <v>73.19</v>
      </c>
    </row>
    <row r="9809" spans="1:2" x14ac:dyDescent="0.25">
      <c r="A9809" s="4">
        <v>45649</v>
      </c>
      <c r="B9809" s="6">
        <v>72.12</v>
      </c>
    </row>
    <row r="9810" spans="1:2" x14ac:dyDescent="0.25">
      <c r="A9810" s="4">
        <v>45650</v>
      </c>
      <c r="B9810" s="6">
        <v>73.5</v>
      </c>
    </row>
    <row r="9811" spans="1:2" x14ac:dyDescent="0.25">
      <c r="A9811" s="4">
        <v>45651</v>
      </c>
      <c r="B9811" s="5"/>
    </row>
    <row r="9812" spans="1:2" x14ac:dyDescent="0.25">
      <c r="A9812" s="4">
        <v>45652</v>
      </c>
      <c r="B9812" s="5"/>
    </row>
    <row r="9813" spans="1:2" x14ac:dyDescent="0.25">
      <c r="A9813" s="4">
        <v>45653</v>
      </c>
      <c r="B9813" s="6">
        <v>73.77</v>
      </c>
    </row>
    <row r="9814" spans="1:2" x14ac:dyDescent="0.25">
      <c r="A9814" s="4">
        <v>45656</v>
      </c>
      <c r="B9814" s="6">
        <v>74.239999999999995</v>
      </c>
    </row>
    <row r="9815" spans="1:2" x14ac:dyDescent="0.25">
      <c r="A9815" s="4">
        <v>45657</v>
      </c>
      <c r="B9815" s="6">
        <v>74.58</v>
      </c>
    </row>
    <row r="9816" spans="1:2" x14ac:dyDescent="0.25">
      <c r="A9816" s="4">
        <v>45658</v>
      </c>
      <c r="B9816" s="5"/>
    </row>
    <row r="9817" spans="1:2" x14ac:dyDescent="0.25">
      <c r="A9817" s="4">
        <v>45659</v>
      </c>
      <c r="B9817" s="6">
        <v>76.14</v>
      </c>
    </row>
    <row r="9818" spans="1:2" x14ac:dyDescent="0.25">
      <c r="A9818" s="4">
        <v>45660</v>
      </c>
      <c r="B9818" s="6">
        <v>76.72</v>
      </c>
    </row>
    <row r="9819" spans="1:2" x14ac:dyDescent="0.25">
      <c r="A9819" s="4">
        <v>45663</v>
      </c>
      <c r="B9819" s="6">
        <v>77.27</v>
      </c>
    </row>
    <row r="9820" spans="1:2" x14ac:dyDescent="0.25">
      <c r="A9820" s="4">
        <v>45664</v>
      </c>
      <c r="B9820" s="6">
        <v>77.84</v>
      </c>
    </row>
    <row r="9821" spans="1:2" x14ac:dyDescent="0.25">
      <c r="A9821" s="4">
        <v>45665</v>
      </c>
      <c r="B9821" s="6">
        <v>77.37</v>
      </c>
    </row>
    <row r="9822" spans="1:2" x14ac:dyDescent="0.25">
      <c r="A9822" s="4">
        <v>45666</v>
      </c>
      <c r="B9822" s="6">
        <v>78.44</v>
      </c>
    </row>
    <row r="9823" spans="1:2" x14ac:dyDescent="0.25">
      <c r="A9823" s="4">
        <v>45667</v>
      </c>
      <c r="B9823" s="6">
        <v>79.760000000000005</v>
      </c>
    </row>
    <row r="9824" spans="1:2" x14ac:dyDescent="0.25">
      <c r="A9824" s="4">
        <v>45670</v>
      </c>
      <c r="B9824" s="6">
        <v>82.69</v>
      </c>
    </row>
    <row r="9825" spans="1:2" x14ac:dyDescent="0.25">
      <c r="A9825" s="4">
        <v>45671</v>
      </c>
      <c r="B9825" s="6">
        <v>82.39</v>
      </c>
    </row>
    <row r="9826" spans="1:2" x14ac:dyDescent="0.25">
      <c r="A9826" s="4">
        <v>45672</v>
      </c>
      <c r="B9826" s="6">
        <v>83.48</v>
      </c>
    </row>
    <row r="9827" spans="1:2" x14ac:dyDescent="0.25">
      <c r="A9827" s="4">
        <v>45673</v>
      </c>
      <c r="B9827" s="6">
        <v>82.39</v>
      </c>
    </row>
    <row r="9828" spans="1:2" x14ac:dyDescent="0.25">
      <c r="A9828" s="4">
        <v>45674</v>
      </c>
      <c r="B9828" s="6">
        <v>83.02</v>
      </c>
    </row>
    <row r="9829" spans="1:2" x14ac:dyDescent="0.25">
      <c r="A9829" s="4">
        <v>45677</v>
      </c>
      <c r="B9829" s="6">
        <v>81.680000000000007</v>
      </c>
    </row>
    <row r="9830" spans="1:2" x14ac:dyDescent="0.25">
      <c r="A9830" s="4">
        <v>45678</v>
      </c>
      <c r="B9830" s="6">
        <v>80.569999999999993</v>
      </c>
    </row>
    <row r="9831" spans="1:2" x14ac:dyDescent="0.25">
      <c r="A9831" s="4">
        <v>45679</v>
      </c>
      <c r="B9831" s="6">
        <v>80</v>
      </c>
    </row>
    <row r="9832" spans="1:2" x14ac:dyDescent="0.25">
      <c r="A9832" s="4">
        <v>45680</v>
      </c>
      <c r="B9832" s="6">
        <v>78.62</v>
      </c>
    </row>
    <row r="9833" spans="1:2" x14ac:dyDescent="0.25">
      <c r="A9833" s="4">
        <v>45681</v>
      </c>
      <c r="B9833" s="6">
        <v>78.709999999999994</v>
      </c>
    </row>
    <row r="9834" spans="1:2" x14ac:dyDescent="0.25">
      <c r="A9834" s="4">
        <v>45684</v>
      </c>
      <c r="B9834" s="6">
        <v>77.3</v>
      </c>
    </row>
    <row r="9835" spans="1:2" x14ac:dyDescent="0.25">
      <c r="A9835" s="4">
        <v>45685</v>
      </c>
      <c r="B9835" s="6">
        <v>78.010000000000005</v>
      </c>
    </row>
    <row r="9836" spans="1:2" x14ac:dyDescent="0.25">
      <c r="A9836" s="4">
        <v>45686</v>
      </c>
      <c r="B9836" s="6">
        <v>77.02</v>
      </c>
    </row>
    <row r="9837" spans="1:2" x14ac:dyDescent="0.25">
      <c r="A9837" s="4">
        <v>45687</v>
      </c>
      <c r="B9837" s="6">
        <v>77.42</v>
      </c>
    </row>
    <row r="9838" spans="1:2" x14ac:dyDescent="0.25">
      <c r="A9838" s="4">
        <v>45688</v>
      </c>
      <c r="B9838" s="6">
        <v>77.11</v>
      </c>
    </row>
    <row r="9839" spans="1:2" x14ac:dyDescent="0.25">
      <c r="A9839" s="4">
        <v>45691</v>
      </c>
      <c r="B9839" s="6">
        <v>76.489999999999995</v>
      </c>
    </row>
    <row r="9840" spans="1:2" x14ac:dyDescent="0.25">
      <c r="A9840" s="4">
        <v>45692</v>
      </c>
      <c r="B9840" s="6">
        <v>76.58</v>
      </c>
    </row>
    <row r="9841" spans="1:2" x14ac:dyDescent="0.25">
      <c r="A9841" s="4">
        <v>45693</v>
      </c>
      <c r="B9841" s="6">
        <v>74.709999999999994</v>
      </c>
    </row>
    <row r="9842" spans="1:2" x14ac:dyDescent="0.25">
      <c r="A9842" s="4">
        <v>45694</v>
      </c>
      <c r="B9842" s="6">
        <v>74.540000000000006</v>
      </c>
    </row>
    <row r="9843" spans="1:2" x14ac:dyDescent="0.25">
      <c r="A9843" s="4">
        <v>45695</v>
      </c>
      <c r="B9843" s="6">
        <v>74.680000000000007</v>
      </c>
    </row>
    <row r="9844" spans="1:2" x14ac:dyDescent="0.25">
      <c r="A9844" s="4">
        <v>45698</v>
      </c>
      <c r="B9844" s="6">
        <v>76.23</v>
      </c>
    </row>
    <row r="9845" spans="1:2" x14ac:dyDescent="0.25">
      <c r="A9845" s="4">
        <v>45699</v>
      </c>
      <c r="B9845" s="6">
        <v>77.650000000000006</v>
      </c>
    </row>
    <row r="9846" spans="1:2" x14ac:dyDescent="0.25">
      <c r="A9846" s="4">
        <v>45700</v>
      </c>
      <c r="B9846" s="6">
        <v>75.38</v>
      </c>
    </row>
    <row r="9847" spans="1:2" x14ac:dyDescent="0.25">
      <c r="A9847" s="4">
        <v>45701</v>
      </c>
      <c r="B9847" s="6">
        <v>75.61</v>
      </c>
    </row>
    <row r="9848" spans="1:2" x14ac:dyDescent="0.25">
      <c r="A9848" s="4">
        <v>45702</v>
      </c>
      <c r="B9848" s="6">
        <v>75.19</v>
      </c>
    </row>
    <row r="9849" spans="1:2" x14ac:dyDescent="0.25">
      <c r="A9849" s="4">
        <v>45705</v>
      </c>
      <c r="B9849" s="6">
        <v>75.81</v>
      </c>
    </row>
    <row r="9850" spans="1:2" x14ac:dyDescent="0.25">
      <c r="A9850" s="4">
        <v>45706</v>
      </c>
      <c r="B9850" s="6">
        <v>76.459999999999994</v>
      </c>
    </row>
    <row r="9851" spans="1:2" x14ac:dyDescent="0.25">
      <c r="A9851" s="4">
        <v>45707</v>
      </c>
      <c r="B9851" s="6">
        <v>76.34</v>
      </c>
    </row>
    <row r="9852" spans="1:2" x14ac:dyDescent="0.25">
      <c r="A9852" s="4">
        <v>45708</v>
      </c>
      <c r="B9852" s="6">
        <v>76.95</v>
      </c>
    </row>
    <row r="9853" spans="1:2" x14ac:dyDescent="0.25">
      <c r="A9853" s="4">
        <v>45709</v>
      </c>
      <c r="B9853" s="6">
        <v>74.88</v>
      </c>
    </row>
    <row r="9854" spans="1:2" x14ac:dyDescent="0.25">
      <c r="A9854" s="4">
        <v>45712</v>
      </c>
      <c r="B9854" s="6">
        <v>74.89</v>
      </c>
    </row>
    <row r="9855" spans="1:2" x14ac:dyDescent="0.25">
      <c r="A9855" s="4">
        <v>45713</v>
      </c>
      <c r="B9855" s="6">
        <v>73.11</v>
      </c>
    </row>
    <row r="9856" spans="1:2" x14ac:dyDescent="0.25">
      <c r="A9856" s="4">
        <v>45714</v>
      </c>
      <c r="B9856" s="6">
        <v>73.489999999999995</v>
      </c>
    </row>
    <row r="9857" spans="1:2" x14ac:dyDescent="0.25">
      <c r="A9857" s="4">
        <v>45715</v>
      </c>
      <c r="B9857" s="6">
        <v>75.010000000000005</v>
      </c>
    </row>
    <row r="9858" spans="1:2" x14ac:dyDescent="0.25">
      <c r="A9858" s="4">
        <v>45716</v>
      </c>
      <c r="B9858" s="6">
        <v>74.760000000000005</v>
      </c>
    </row>
    <row r="9859" spans="1:2" x14ac:dyDescent="0.25">
      <c r="A9859" s="4">
        <v>45719</v>
      </c>
      <c r="B9859" s="6">
        <v>72.849999999999994</v>
      </c>
    </row>
    <row r="9860" spans="1:2" x14ac:dyDescent="0.25">
      <c r="A9860" s="4">
        <v>45720</v>
      </c>
      <c r="B9860" s="6">
        <v>72.31</v>
      </c>
    </row>
    <row r="9861" spans="1:2" x14ac:dyDescent="0.25">
      <c r="A9861" s="4">
        <v>45721</v>
      </c>
      <c r="B9861" s="6">
        <v>70.92</v>
      </c>
    </row>
    <row r="9862" spans="1:2" x14ac:dyDescent="0.25">
      <c r="A9862" s="4">
        <v>45722</v>
      </c>
      <c r="B9862" s="6">
        <v>71.08</v>
      </c>
    </row>
    <row r="9863" spans="1:2" x14ac:dyDescent="0.25">
      <c r="A9863" s="4">
        <v>45723</v>
      </c>
      <c r="B9863" s="6">
        <v>72.489999999999995</v>
      </c>
    </row>
    <row r="9864" spans="1:2" x14ac:dyDescent="0.25">
      <c r="A9864" s="4">
        <v>45726</v>
      </c>
      <c r="B9864" s="6">
        <v>71.08</v>
      </c>
    </row>
    <row r="9865" spans="1:2" x14ac:dyDescent="0.25">
      <c r="A9865" s="4">
        <v>45727</v>
      </c>
      <c r="B9865" s="6">
        <v>71.510000000000005</v>
      </c>
    </row>
    <row r="9866" spans="1:2" x14ac:dyDescent="0.25">
      <c r="A9866" s="4">
        <v>45728</v>
      </c>
      <c r="B9866" s="6">
        <v>72.36</v>
      </c>
    </row>
    <row r="9867" spans="1:2" x14ac:dyDescent="0.25">
      <c r="A9867" s="4">
        <v>45729</v>
      </c>
      <c r="B9867" s="6">
        <v>70.819999999999993</v>
      </c>
    </row>
    <row r="9868" spans="1:2" x14ac:dyDescent="0.25">
      <c r="A9868" s="4">
        <v>45730</v>
      </c>
      <c r="B9868" s="6">
        <v>71.94</v>
      </c>
    </row>
    <row r="9869" spans="1:2" x14ac:dyDescent="0.25">
      <c r="A9869" s="4">
        <v>45733</v>
      </c>
      <c r="B9869" s="6">
        <v>71.930000000000007</v>
      </c>
    </row>
    <row r="9870" spans="1:2" x14ac:dyDescent="0.25">
      <c r="A9870" s="4">
        <v>45734</v>
      </c>
      <c r="B9870" s="6">
        <v>71.930000000000007</v>
      </c>
    </row>
    <row r="9871" spans="1:2" x14ac:dyDescent="0.25">
      <c r="A9871" s="4">
        <v>45735</v>
      </c>
      <c r="B9871" s="6">
        <v>71.94</v>
      </c>
    </row>
    <row r="9872" spans="1:2" x14ac:dyDescent="0.25">
      <c r="A9872" s="4">
        <v>45736</v>
      </c>
      <c r="B9872" s="6">
        <v>72.61</v>
      </c>
    </row>
    <row r="9873" spans="1:2" x14ac:dyDescent="0.25">
      <c r="A9873" s="4">
        <v>45737</v>
      </c>
      <c r="B9873" s="6">
        <v>72.64</v>
      </c>
    </row>
    <row r="9874" spans="1:2" x14ac:dyDescent="0.25">
      <c r="A9874" s="4">
        <v>45740</v>
      </c>
      <c r="B9874" s="6">
        <v>73.959999999999994</v>
      </c>
    </row>
    <row r="9875" spans="1:2" x14ac:dyDescent="0.25">
      <c r="A9875" s="4">
        <v>45741</v>
      </c>
      <c r="B9875" s="6">
        <v>73.78</v>
      </c>
    </row>
    <row r="9876" spans="1:2" x14ac:dyDescent="0.25">
      <c r="A9876" s="4">
        <v>45742</v>
      </c>
      <c r="B9876" s="6">
        <v>74.599999999999994</v>
      </c>
    </row>
    <row r="9877" spans="1:2" x14ac:dyDescent="0.25">
      <c r="A9877" s="4">
        <v>45743</v>
      </c>
      <c r="B9877" s="6">
        <v>74.72</v>
      </c>
    </row>
    <row r="9878" spans="1:2" x14ac:dyDescent="0.25">
      <c r="A9878" s="4">
        <v>45744</v>
      </c>
      <c r="B9878" s="6">
        <v>74.69</v>
      </c>
    </row>
    <row r="9879" spans="1:2" x14ac:dyDescent="0.25">
      <c r="A9879" s="4">
        <v>45747</v>
      </c>
      <c r="B9879" s="6">
        <v>77.23</v>
      </c>
    </row>
    <row r="9880" spans="1:2" x14ac:dyDescent="0.25">
      <c r="A9880" s="4">
        <v>45748</v>
      </c>
      <c r="B9880" s="6">
        <v>77.78</v>
      </c>
    </row>
    <row r="9881" spans="1:2" x14ac:dyDescent="0.25">
      <c r="A9881" s="4">
        <v>45749</v>
      </c>
      <c r="B9881" s="6">
        <v>77.27</v>
      </c>
    </row>
    <row r="9882" spans="1:2" x14ac:dyDescent="0.25">
      <c r="A9882" s="4">
        <v>45750</v>
      </c>
      <c r="B9882" s="6">
        <v>72.540000000000006</v>
      </c>
    </row>
    <row r="9883" spans="1:2" x14ac:dyDescent="0.25">
      <c r="A9883" s="4">
        <v>45751</v>
      </c>
      <c r="B9883" s="6">
        <v>68.36</v>
      </c>
    </row>
    <row r="9884" spans="1:2" x14ac:dyDescent="0.25">
      <c r="A9884" s="4">
        <v>45754</v>
      </c>
      <c r="B9884" s="6">
        <v>66.13</v>
      </c>
    </row>
    <row r="9885" spans="1:2" x14ac:dyDescent="0.25">
      <c r="A9885" s="4">
        <v>45755</v>
      </c>
      <c r="B9885" s="6">
        <v>64.86</v>
      </c>
    </row>
    <row r="9886" spans="1:2" x14ac:dyDescent="0.25">
      <c r="A9886" s="4">
        <v>45756</v>
      </c>
      <c r="B9886" s="6">
        <v>67.3</v>
      </c>
    </row>
    <row r="9887" spans="1:2" x14ac:dyDescent="0.25">
      <c r="A9887" s="4">
        <v>45757</v>
      </c>
      <c r="B9887" s="6">
        <v>65.37</v>
      </c>
    </row>
    <row r="9888" spans="1:2" x14ac:dyDescent="0.25">
      <c r="A9888" s="4">
        <v>45758</v>
      </c>
      <c r="B9888" s="6">
        <v>66.83</v>
      </c>
    </row>
    <row r="9889" spans="1:2" x14ac:dyDescent="0.25">
      <c r="A9889" s="4">
        <v>45761</v>
      </c>
      <c r="B9889" s="6">
        <v>67.180000000000007</v>
      </c>
    </row>
    <row r="9890" spans="1:2" x14ac:dyDescent="0.25">
      <c r="A9890" s="4">
        <v>45762</v>
      </c>
      <c r="B9890" s="6">
        <v>66.58</v>
      </c>
    </row>
    <row r="9891" spans="1:2" x14ac:dyDescent="0.25">
      <c r="A9891" s="4">
        <v>45763</v>
      </c>
      <c r="B9891" s="6">
        <v>67.94</v>
      </c>
    </row>
    <row r="9892" spans="1:2" x14ac:dyDescent="0.25">
      <c r="A9892" s="4">
        <v>45764</v>
      </c>
      <c r="B9892" s="6">
        <v>69.33</v>
      </c>
    </row>
    <row r="9893" spans="1:2" x14ac:dyDescent="0.25">
      <c r="A9893" s="4">
        <v>45765</v>
      </c>
      <c r="B9893" s="5"/>
    </row>
    <row r="9894" spans="1:2" x14ac:dyDescent="0.25">
      <c r="A9894" s="4">
        <v>45768</v>
      </c>
      <c r="B9894" s="5"/>
    </row>
    <row r="9895" spans="1:2" x14ac:dyDescent="0.25">
      <c r="A9895" s="4">
        <v>45769</v>
      </c>
      <c r="B9895" s="6">
        <v>68.930000000000007</v>
      </c>
    </row>
    <row r="9896" spans="1:2" x14ac:dyDescent="0.25">
      <c r="A9896" s="4">
        <v>45770</v>
      </c>
      <c r="B9896" s="6">
        <v>68.260000000000005</v>
      </c>
    </row>
    <row r="9897" spans="1:2" x14ac:dyDescent="0.25">
      <c r="A9897" s="4">
        <v>45771</v>
      </c>
      <c r="B9897" s="6">
        <v>67.5</v>
      </c>
    </row>
    <row r="9898" spans="1:2" x14ac:dyDescent="0.25">
      <c r="A9898" s="4">
        <v>45772</v>
      </c>
      <c r="B9898" s="6">
        <v>66.989999999999995</v>
      </c>
    </row>
    <row r="9899" spans="1:2" x14ac:dyDescent="0.25">
      <c r="A9899" s="4">
        <v>45775</v>
      </c>
      <c r="B9899" s="6">
        <v>66.13</v>
      </c>
    </row>
    <row r="9900" spans="1:2" x14ac:dyDescent="0.25">
      <c r="A9900" s="4">
        <v>45776</v>
      </c>
      <c r="B9900" s="6">
        <v>64.040000000000006</v>
      </c>
    </row>
    <row r="9901" spans="1:2" x14ac:dyDescent="0.25">
      <c r="A9901" s="4">
        <v>45777</v>
      </c>
      <c r="B9901" s="6">
        <v>63.37</v>
      </c>
    </row>
    <row r="9902" spans="1:2" x14ac:dyDescent="0.25">
      <c r="A9902" s="4">
        <v>45778</v>
      </c>
      <c r="B9902" s="6">
        <v>62.37</v>
      </c>
    </row>
    <row r="9903" spans="1:2" x14ac:dyDescent="0.25">
      <c r="A9903" s="4">
        <v>45779</v>
      </c>
      <c r="B9903" s="6">
        <v>61.57</v>
      </c>
    </row>
    <row r="9904" spans="1:2" x14ac:dyDescent="0.25">
      <c r="A9904" s="4">
        <v>45782</v>
      </c>
      <c r="B9904" s="5"/>
    </row>
    <row r="9905" spans="1:2" x14ac:dyDescent="0.25">
      <c r="A9905" s="4">
        <v>45783</v>
      </c>
      <c r="B9905" s="6">
        <v>62.37</v>
      </c>
    </row>
    <row r="9906" spans="1:2" x14ac:dyDescent="0.25">
      <c r="A9906" s="4">
        <v>45784</v>
      </c>
      <c r="B9906" s="6">
        <v>60.31</v>
      </c>
    </row>
    <row r="9907" spans="1:2" x14ac:dyDescent="0.25">
      <c r="A9907" s="4">
        <v>45785</v>
      </c>
      <c r="B9907" s="6">
        <v>62.22</v>
      </c>
    </row>
    <row r="9908" spans="1:2" x14ac:dyDescent="0.25">
      <c r="A9908" s="4">
        <v>45786</v>
      </c>
      <c r="B9908" s="6">
        <v>64.260000000000005</v>
      </c>
    </row>
    <row r="9909" spans="1:2" x14ac:dyDescent="0.25">
      <c r="A9909" s="4">
        <v>45789</v>
      </c>
      <c r="B9909" s="6">
        <v>65.28</v>
      </c>
    </row>
    <row r="9910" spans="1:2" x14ac:dyDescent="0.25">
      <c r="A9910" s="4">
        <v>45790</v>
      </c>
      <c r="B9910" s="6">
        <v>66.930000000000007</v>
      </c>
    </row>
    <row r="9911" spans="1:2" x14ac:dyDescent="0.25">
      <c r="A9911" s="4">
        <v>45791</v>
      </c>
      <c r="B9911" s="6">
        <v>65.91</v>
      </c>
    </row>
    <row r="9912" spans="1:2" x14ac:dyDescent="0.25">
      <c r="A9912" s="4">
        <v>45792</v>
      </c>
      <c r="B9912" s="6">
        <v>64.36</v>
      </c>
    </row>
    <row r="9913" spans="1:2" x14ac:dyDescent="0.25">
      <c r="A9913" s="4">
        <v>45793</v>
      </c>
      <c r="B9913" s="6">
        <v>65.2</v>
      </c>
    </row>
    <row r="9914" spans="1:2" x14ac:dyDescent="0.25">
      <c r="A9914" s="4">
        <v>45796</v>
      </c>
      <c r="B9914" s="6">
        <v>66.25</v>
      </c>
    </row>
    <row r="9915" spans="1:2" x14ac:dyDescent="0.25">
      <c r="A9915" s="4">
        <v>45797</v>
      </c>
      <c r="B9915" s="6">
        <v>66.930000000000007</v>
      </c>
    </row>
    <row r="9916" spans="1:2" x14ac:dyDescent="0.25">
      <c r="A9916" s="4">
        <v>45798</v>
      </c>
      <c r="B9916" s="6">
        <v>65.86</v>
      </c>
    </row>
    <row r="9917" spans="1:2" x14ac:dyDescent="0.25">
      <c r="A9917" s="4">
        <v>45799</v>
      </c>
      <c r="B9917" s="6">
        <v>64.87</v>
      </c>
    </row>
    <row r="9918" spans="1:2" x14ac:dyDescent="0.25">
      <c r="A9918" s="4">
        <v>45800</v>
      </c>
      <c r="B9918" s="6">
        <v>65.41</v>
      </c>
    </row>
    <row r="9919" spans="1:2" x14ac:dyDescent="0.25">
      <c r="A9919" s="4">
        <v>45803</v>
      </c>
      <c r="B9919" s="5"/>
    </row>
    <row r="9920" spans="1:2" x14ac:dyDescent="0.25">
      <c r="A9920" s="4">
        <v>45804</v>
      </c>
      <c r="B9920" s="6">
        <v>64.319999999999993</v>
      </c>
    </row>
    <row r="9921" spans="1:2" x14ac:dyDescent="0.25">
      <c r="A9921" s="4">
        <v>45805</v>
      </c>
      <c r="B9921" s="6">
        <v>65.72</v>
      </c>
    </row>
    <row r="9922" spans="1:2" x14ac:dyDescent="0.25">
      <c r="A9922" s="4">
        <v>45806</v>
      </c>
      <c r="B9922" s="6">
        <v>64.599999999999994</v>
      </c>
    </row>
    <row r="9923" spans="1:2" x14ac:dyDescent="0.25">
      <c r="A9923" s="4">
        <v>45807</v>
      </c>
      <c r="B9923" s="6">
        <v>64.319999999999993</v>
      </c>
    </row>
    <row r="9924" spans="1:2" x14ac:dyDescent="0.25">
      <c r="A9924" s="4">
        <v>45810</v>
      </c>
      <c r="B9924" s="6">
        <v>66.55</v>
      </c>
    </row>
    <row r="9925" spans="1:2" x14ac:dyDescent="0.25">
      <c r="A9925" s="4">
        <v>45811</v>
      </c>
      <c r="B9925" s="6">
        <v>67.48</v>
      </c>
    </row>
    <row r="9926" spans="1:2" x14ac:dyDescent="0.25">
      <c r="A9926" s="4">
        <v>45812</v>
      </c>
      <c r="B9926" s="6">
        <v>66.69</v>
      </c>
    </row>
    <row r="9927" spans="1:2" x14ac:dyDescent="0.25">
      <c r="A9927" s="4">
        <v>45813</v>
      </c>
      <c r="B9927" s="6">
        <v>67.14</v>
      </c>
    </row>
    <row r="9928" spans="1:2" x14ac:dyDescent="0.25">
      <c r="A9928" s="4">
        <v>45814</v>
      </c>
      <c r="B9928" s="6">
        <v>68.02</v>
      </c>
    </row>
    <row r="9929" spans="1:2" x14ac:dyDescent="0.25">
      <c r="A9929" s="4">
        <v>45817</v>
      </c>
      <c r="B9929" s="6">
        <v>68.73</v>
      </c>
    </row>
    <row r="9930" spans="1:2" x14ac:dyDescent="0.25">
      <c r="A9930" s="4">
        <v>45818</v>
      </c>
      <c r="B9930" s="6">
        <v>68.41</v>
      </c>
    </row>
    <row r="9931" spans="1:2" x14ac:dyDescent="0.25">
      <c r="A9931" s="4">
        <v>45819</v>
      </c>
      <c r="B9931" s="6">
        <v>71.290000000000006</v>
      </c>
    </row>
    <row r="9932" spans="1:2" x14ac:dyDescent="0.25">
      <c r="A9932" s="4">
        <v>45820</v>
      </c>
      <c r="B9932" s="6">
        <v>70.84</v>
      </c>
    </row>
    <row r="9933" spans="1:2" x14ac:dyDescent="0.25">
      <c r="A9933" s="4">
        <v>45821</v>
      </c>
      <c r="B9933" s="6">
        <v>76</v>
      </c>
    </row>
    <row r="9934" spans="1:2" x14ac:dyDescent="0.25">
      <c r="A9934" s="4">
        <v>45824</v>
      </c>
      <c r="B9934" s="6">
        <v>75.05</v>
      </c>
    </row>
    <row r="9935" spans="1:2" x14ac:dyDescent="0.25">
      <c r="A9935" s="4">
        <v>45825</v>
      </c>
      <c r="B9935" s="6">
        <v>78.7</v>
      </c>
    </row>
    <row r="9936" spans="1:2" x14ac:dyDescent="0.25">
      <c r="A9936" s="4">
        <v>45826</v>
      </c>
      <c r="B9936" s="6">
        <v>78.38</v>
      </c>
    </row>
    <row r="9937" spans="1:2" x14ac:dyDescent="0.25">
      <c r="A9937" s="4">
        <v>45827</v>
      </c>
      <c r="B9937" s="6">
        <v>80.37</v>
      </c>
    </row>
    <row r="9938" spans="1:2" x14ac:dyDescent="0.25">
      <c r="A9938" s="4">
        <v>45828</v>
      </c>
      <c r="B9938" s="6">
        <v>78.73</v>
      </c>
    </row>
    <row r="9939" spans="1:2" x14ac:dyDescent="0.25">
      <c r="A9939" s="4">
        <v>45831</v>
      </c>
      <c r="B9939" s="6">
        <v>74.34</v>
      </c>
    </row>
    <row r="9940" spans="1:2" x14ac:dyDescent="0.25">
      <c r="A9940" s="4">
        <v>45832</v>
      </c>
      <c r="B9940" s="6">
        <v>69.13</v>
      </c>
    </row>
    <row r="9941" spans="1:2" x14ac:dyDescent="0.25">
      <c r="A9941" s="4">
        <v>45833</v>
      </c>
      <c r="B9941" s="6">
        <v>68.400000000000006</v>
      </c>
    </row>
    <row r="9942" spans="1:2" x14ac:dyDescent="0.25">
      <c r="A9942" s="4">
        <v>45834</v>
      </c>
      <c r="B9942" s="6">
        <v>68.569999999999993</v>
      </c>
    </row>
    <row r="9943" spans="1:2" x14ac:dyDescent="0.25">
      <c r="A9943" s="4">
        <v>45835</v>
      </c>
      <c r="B9943" s="6">
        <v>69.37</v>
      </c>
    </row>
    <row r="9944" spans="1:2" x14ac:dyDescent="0.25">
      <c r="A9944" s="4">
        <v>45838</v>
      </c>
      <c r="B9944" s="6">
        <v>68.150000000000006</v>
      </c>
    </row>
    <row r="9945" spans="1:2" x14ac:dyDescent="0.25">
      <c r="A9945" s="4">
        <v>45839</v>
      </c>
      <c r="B9945" s="6">
        <v>67.63</v>
      </c>
    </row>
    <row r="9946" spans="1:2" x14ac:dyDescent="0.25">
      <c r="A9946" s="4">
        <v>45840</v>
      </c>
      <c r="B9946" s="6">
        <v>70.8</v>
      </c>
    </row>
    <row r="9947" spans="1:2" x14ac:dyDescent="0.25">
      <c r="A9947" s="4">
        <v>45841</v>
      </c>
      <c r="B9947" s="6">
        <v>70.42</v>
      </c>
    </row>
    <row r="9948" spans="1:2" x14ac:dyDescent="0.25">
      <c r="A9948" s="4">
        <v>45842</v>
      </c>
      <c r="B9948" s="6">
        <v>71.03</v>
      </c>
    </row>
    <row r="9949" spans="1:2" x14ac:dyDescent="0.25">
      <c r="A9949" s="4">
        <v>45845</v>
      </c>
      <c r="B9949" s="6">
        <v>71.95</v>
      </c>
    </row>
    <row r="9950" spans="1:2" x14ac:dyDescent="0.25">
      <c r="A9950" s="4">
        <v>45846</v>
      </c>
      <c r="B9950" s="6">
        <v>72.5</v>
      </c>
    </row>
    <row r="9951" spans="1:2" x14ac:dyDescent="0.25">
      <c r="A9951" s="4">
        <v>45847</v>
      </c>
      <c r="B9951" s="6">
        <v>71.98</v>
      </c>
    </row>
    <row r="9952" spans="1:2" x14ac:dyDescent="0.25">
      <c r="A9952" s="4">
        <v>45848</v>
      </c>
      <c r="B9952" s="6">
        <v>70.38</v>
      </c>
    </row>
    <row r="9953" spans="1:2" x14ac:dyDescent="0.25">
      <c r="A9953" s="4">
        <v>45849</v>
      </c>
      <c r="B9953" s="6">
        <v>72.06</v>
      </c>
    </row>
    <row r="9954" spans="1:2" x14ac:dyDescent="0.25">
      <c r="A9954" s="4">
        <v>45852</v>
      </c>
      <c r="B9954" s="6">
        <v>70.959999999999994</v>
      </c>
    </row>
    <row r="9955" spans="1:2" x14ac:dyDescent="0.25">
      <c r="A9955" s="4">
        <v>45853</v>
      </c>
      <c r="B9955" s="6">
        <v>70.27</v>
      </c>
    </row>
    <row r="9956" spans="1:2" x14ac:dyDescent="0.25">
      <c r="A9956" s="4">
        <v>45854</v>
      </c>
      <c r="B9956" s="6">
        <v>69.67</v>
      </c>
    </row>
    <row r="9957" spans="1:2" x14ac:dyDescent="0.25">
      <c r="A9957" s="4">
        <v>45855</v>
      </c>
      <c r="B9957" s="6">
        <v>71.319999999999993</v>
      </c>
    </row>
    <row r="9958" spans="1:2" x14ac:dyDescent="0.25">
      <c r="A9958" s="4">
        <v>45856</v>
      </c>
      <c r="B9958" s="6">
        <v>71.06</v>
      </c>
    </row>
    <row r="9959" spans="1:2" x14ac:dyDescent="0.25">
      <c r="A9959" s="4">
        <v>45859</v>
      </c>
      <c r="B9959" s="6">
        <v>71.92</v>
      </c>
    </row>
    <row r="9960" spans="1:2" x14ac:dyDescent="0.25">
      <c r="A9960" s="4">
        <v>45860</v>
      </c>
      <c r="B9960" s="6">
        <v>69.69</v>
      </c>
    </row>
    <row r="9961" spans="1:2" x14ac:dyDescent="0.25">
      <c r="A9961" s="4">
        <v>45861</v>
      </c>
      <c r="B9961" s="6">
        <v>69.17</v>
      </c>
    </row>
    <row r="9962" spans="1:2" x14ac:dyDescent="0.25">
      <c r="A9962" s="4">
        <v>45862</v>
      </c>
      <c r="B9962" s="6">
        <v>70.42</v>
      </c>
    </row>
    <row r="9963" spans="1:2" x14ac:dyDescent="0.25">
      <c r="A9963" s="4">
        <v>45863</v>
      </c>
      <c r="B9963" s="6">
        <v>69.23</v>
      </c>
    </row>
    <row r="9964" spans="1:2" x14ac:dyDescent="0.25">
      <c r="A9964" s="4">
        <v>45866</v>
      </c>
      <c r="B9964" s="6">
        <v>70.87</v>
      </c>
    </row>
    <row r="9965" spans="1:2" x14ac:dyDescent="0.25">
      <c r="A9965" s="4">
        <v>45867</v>
      </c>
      <c r="B9965" s="6">
        <v>73.209999999999994</v>
      </c>
    </row>
    <row r="9966" spans="1:2" x14ac:dyDescent="0.25">
      <c r="A9966" s="4">
        <v>45868</v>
      </c>
      <c r="B9966" s="6">
        <v>73.98</v>
      </c>
    </row>
    <row r="9967" spans="1:2" x14ac:dyDescent="0.25">
      <c r="A9967" s="4">
        <v>45869</v>
      </c>
      <c r="B9967" s="6">
        <v>73.430000000000007</v>
      </c>
    </row>
    <row r="9968" spans="1:2" x14ac:dyDescent="0.25">
      <c r="A9968" s="4">
        <v>45870</v>
      </c>
      <c r="B9968" s="6">
        <v>70.55</v>
      </c>
    </row>
    <row r="9969" spans="1:2" x14ac:dyDescent="0.25">
      <c r="A9969" s="4">
        <v>45873</v>
      </c>
      <c r="B9969" s="6">
        <v>69.56</v>
      </c>
    </row>
    <row r="9970" spans="1:2" x14ac:dyDescent="0.25">
      <c r="A9970" s="4">
        <v>45874</v>
      </c>
      <c r="B9970" s="6">
        <v>69.14</v>
      </c>
    </row>
    <row r="9971" spans="1:2" x14ac:dyDescent="0.25">
      <c r="A9971" s="4">
        <v>45875</v>
      </c>
      <c r="B9971" s="6">
        <v>67.97</v>
      </c>
    </row>
    <row r="9972" spans="1:2" x14ac:dyDescent="0.25">
      <c r="A9972" s="4">
        <v>45876</v>
      </c>
      <c r="B9972" s="6">
        <v>66.989999999999995</v>
      </c>
    </row>
    <row r="9973" spans="1:2" x14ac:dyDescent="0.25">
      <c r="A9973" s="4">
        <v>45877</v>
      </c>
      <c r="B9973" s="6">
        <v>67.17</v>
      </c>
    </row>
    <row r="9974" spans="1:2" x14ac:dyDescent="0.25">
      <c r="A9974" s="4">
        <v>45880</v>
      </c>
      <c r="B9974" s="6">
        <v>67.36</v>
      </c>
    </row>
    <row r="9975" spans="1:2" x14ac:dyDescent="0.25">
      <c r="A9975" s="4">
        <v>45881</v>
      </c>
      <c r="B9975" s="6">
        <v>66.8</v>
      </c>
    </row>
    <row r="9976" spans="1:2" x14ac:dyDescent="0.25">
      <c r="A9976" s="4">
        <v>45882</v>
      </c>
      <c r="B9976" s="6">
        <v>66.25</v>
      </c>
    </row>
    <row r="9977" spans="1:2" x14ac:dyDescent="0.25">
      <c r="A9977" s="4">
        <v>45883</v>
      </c>
      <c r="B9977" s="6">
        <v>68.12</v>
      </c>
    </row>
    <row r="9978" spans="1:2" x14ac:dyDescent="0.25">
      <c r="A9978" s="4">
        <v>45884</v>
      </c>
      <c r="B9978" s="6">
        <v>67.3</v>
      </c>
    </row>
    <row r="9979" spans="1:2" x14ac:dyDescent="0.25">
      <c r="A9979" s="4">
        <v>45887</v>
      </c>
      <c r="B9979" s="6">
        <v>68.180000000000007</v>
      </c>
    </row>
    <row r="9980" spans="1:2" x14ac:dyDescent="0.25">
      <c r="A9980" s="4">
        <v>45888</v>
      </c>
      <c r="B9980" s="6">
        <v>66.62</v>
      </c>
    </row>
    <row r="9981" spans="1:2" x14ac:dyDescent="0.25">
      <c r="A9981" s="4">
        <v>45889</v>
      </c>
      <c r="B9981" s="6">
        <v>67.61</v>
      </c>
    </row>
    <row r="9982" spans="1:2" x14ac:dyDescent="0.25">
      <c r="A9982" s="4">
        <v>45890</v>
      </c>
      <c r="B9982" s="6">
        <v>68.41</v>
      </c>
    </row>
    <row r="9983" spans="1:2" x14ac:dyDescent="0.25">
      <c r="A9983" s="4">
        <v>45891</v>
      </c>
      <c r="B9983" s="6">
        <v>68.290000000000006</v>
      </c>
    </row>
    <row r="9984" spans="1:2" x14ac:dyDescent="0.25">
      <c r="A9984" s="4">
        <v>45894</v>
      </c>
      <c r="B9984" s="5"/>
    </row>
    <row r="9985" spans="1:2" x14ac:dyDescent="0.25">
      <c r="A9985" s="4">
        <v>45895</v>
      </c>
      <c r="B9985" s="6">
        <v>66.89</v>
      </c>
    </row>
    <row r="9986" spans="1:2" x14ac:dyDescent="0.25">
      <c r="A9986" s="4">
        <v>45896</v>
      </c>
      <c r="B9986" s="6">
        <v>67.75</v>
      </c>
    </row>
    <row r="9987" spans="1:2" x14ac:dyDescent="0.25">
      <c r="A9987" s="4">
        <v>45897</v>
      </c>
      <c r="B9987" s="6">
        <v>68.61</v>
      </c>
    </row>
    <row r="9988" spans="1:2" x14ac:dyDescent="0.25">
      <c r="A9988" s="4">
        <v>45898</v>
      </c>
      <c r="B9988" s="6">
        <v>67.83</v>
      </c>
    </row>
    <row r="9989" spans="1:2" x14ac:dyDescent="0.25">
      <c r="A9989" s="4">
        <v>45901</v>
      </c>
      <c r="B9989" s="6">
        <v>67.09</v>
      </c>
    </row>
    <row r="9990" spans="1:2" x14ac:dyDescent="0.25">
      <c r="A9990" s="4">
        <v>45902</v>
      </c>
      <c r="B9990" s="6">
        <v>68.09</v>
      </c>
    </row>
    <row r="9991" spans="1:2" x14ac:dyDescent="0.25">
      <c r="A9991" s="4">
        <v>45903</v>
      </c>
      <c r="B9991" s="6">
        <v>67.760000000000005</v>
      </c>
    </row>
    <row r="9992" spans="1:2" x14ac:dyDescent="0.25">
      <c r="A9992" s="4">
        <v>45904</v>
      </c>
      <c r="B9992" s="6">
        <v>66.41</v>
      </c>
    </row>
    <row r="9993" spans="1:2" x14ac:dyDescent="0.25">
      <c r="A9993" s="4">
        <v>45905</v>
      </c>
      <c r="B9993" s="6">
        <v>64.92</v>
      </c>
    </row>
    <row r="9994" spans="1:2" x14ac:dyDescent="0.25">
      <c r="A9994" s="4">
        <v>45908</v>
      </c>
      <c r="B9994" s="6">
        <v>65.44</v>
      </c>
    </row>
    <row r="9995" spans="1:2" x14ac:dyDescent="0.25">
      <c r="A9995" s="4">
        <v>45909</v>
      </c>
      <c r="B9995" s="6">
        <v>67.97</v>
      </c>
    </row>
    <row r="9996" spans="1:2" x14ac:dyDescent="0.25">
      <c r="A9996" s="4">
        <v>45910</v>
      </c>
      <c r="B9996" s="6">
        <v>67.62</v>
      </c>
    </row>
    <row r="9997" spans="1:2" x14ac:dyDescent="0.25">
      <c r="A9997" s="4">
        <v>45911</v>
      </c>
      <c r="B9997" s="6">
        <v>67.25</v>
      </c>
    </row>
    <row r="9998" spans="1:2" x14ac:dyDescent="0.25">
      <c r="A9998" s="4">
        <v>45912</v>
      </c>
      <c r="B9998" s="6">
        <v>67.87</v>
      </c>
    </row>
    <row r="9999" spans="1:2" x14ac:dyDescent="0.25">
      <c r="A9999" s="4">
        <v>45915</v>
      </c>
      <c r="B9999" s="6">
        <v>67.88</v>
      </c>
    </row>
    <row r="10000" spans="1:2" x14ac:dyDescent="0.25">
      <c r="A10000" s="4">
        <v>45916</v>
      </c>
      <c r="B10000" s="6">
        <v>69.69</v>
      </c>
    </row>
    <row r="10001" spans="1:2" x14ac:dyDescent="0.25">
      <c r="A10001" s="4">
        <v>45917</v>
      </c>
      <c r="B10001" s="6">
        <v>69.19</v>
      </c>
    </row>
    <row r="10002" spans="1:2" x14ac:dyDescent="0.25">
      <c r="A10002" s="4">
        <v>45918</v>
      </c>
      <c r="B10002" s="6">
        <v>67.83</v>
      </c>
    </row>
    <row r="10003" spans="1:2" x14ac:dyDescent="0.25">
      <c r="A10003" s="4">
        <v>45919</v>
      </c>
      <c r="B10003" s="6">
        <v>67.05</v>
      </c>
    </row>
    <row r="10004" spans="1:2" x14ac:dyDescent="0.25">
      <c r="A10004" s="4">
        <v>45922</v>
      </c>
      <c r="B10004" s="6">
        <v>66.87</v>
      </c>
    </row>
    <row r="10005" spans="1:2" x14ac:dyDescent="0.25">
      <c r="A10005" s="4">
        <v>45923</v>
      </c>
      <c r="B10005" s="6">
        <v>67.959999999999994</v>
      </c>
    </row>
    <row r="10006" spans="1:2" x14ac:dyDescent="0.25">
      <c r="A10006" s="4">
        <v>45924</v>
      </c>
      <c r="B10006" s="6">
        <v>69.64</v>
      </c>
    </row>
    <row r="10007" spans="1:2" x14ac:dyDescent="0.25">
      <c r="A10007" s="4">
        <v>45925</v>
      </c>
      <c r="B10007" s="6">
        <v>70.48</v>
      </c>
    </row>
    <row r="10008" spans="1:2" x14ac:dyDescent="0.25">
      <c r="A10008" s="4">
        <v>45926</v>
      </c>
      <c r="B10008" s="6">
        <v>71.150000000000006</v>
      </c>
    </row>
    <row r="10009" spans="1:2" x14ac:dyDescent="0.25">
      <c r="A10009" s="4">
        <v>45929</v>
      </c>
      <c r="B10009" s="6">
        <v>69</v>
      </c>
    </row>
    <row r="10010" spans="1:2" x14ac:dyDescent="0.25">
      <c r="A10010" s="4">
        <v>45930</v>
      </c>
      <c r="B10010" s="6">
        <v>68.52</v>
      </c>
    </row>
    <row r="10011" spans="1:2" x14ac:dyDescent="0.25">
      <c r="A10011" s="4">
        <v>45931</v>
      </c>
      <c r="B10011" s="6">
        <v>66.67</v>
      </c>
    </row>
    <row r="10012" spans="1:2" x14ac:dyDescent="0.25">
      <c r="A10012" s="4">
        <v>45932</v>
      </c>
      <c r="B10012" s="6">
        <v>65.44</v>
      </c>
    </row>
    <row r="10013" spans="1:2" x14ac:dyDescent="0.25">
      <c r="A10013" s="4">
        <v>45933</v>
      </c>
      <c r="B10013" s="6">
        <v>66.13</v>
      </c>
    </row>
    <row r="10014" spans="1:2" x14ac:dyDescent="0.25">
      <c r="A10014" s="4">
        <v>45936</v>
      </c>
      <c r="B10014" s="6">
        <v>67.09</v>
      </c>
    </row>
    <row r="10015" spans="1:2" x14ac:dyDescent="0.25">
      <c r="A10015" s="4">
        <v>45937</v>
      </c>
      <c r="B10015" s="6">
        <v>67.099999999999994</v>
      </c>
    </row>
    <row r="10016" spans="1:2" x14ac:dyDescent="0.25">
      <c r="A10016" s="4">
        <v>45938</v>
      </c>
      <c r="B10016" s="6">
        <v>67.42</v>
      </c>
    </row>
    <row r="10017" spans="1:2" x14ac:dyDescent="0.25">
      <c r="A10017" s="4">
        <v>45939</v>
      </c>
      <c r="B10017" s="6">
        <v>67.23</v>
      </c>
    </row>
    <row r="10018" spans="1:2" x14ac:dyDescent="0.25">
      <c r="A10018" s="4">
        <v>45940</v>
      </c>
      <c r="B10018" s="6">
        <v>64.41</v>
      </c>
    </row>
    <row r="10019" spans="1:2" x14ac:dyDescent="0.25">
      <c r="A10019" s="4">
        <v>45943</v>
      </c>
      <c r="B10019" s="6">
        <v>64.150000000000006</v>
      </c>
    </row>
    <row r="10020" spans="1:2" x14ac:dyDescent="0.25">
      <c r="A10020" s="4">
        <v>45944</v>
      </c>
      <c r="B10020" s="6">
        <v>63</v>
      </c>
    </row>
    <row r="10021" spans="1:2" x14ac:dyDescent="0.25">
      <c r="A10021" s="4">
        <v>45945</v>
      </c>
      <c r="B10021" s="6">
        <v>62.33</v>
      </c>
    </row>
    <row r="10022" spans="1:2" x14ac:dyDescent="0.25">
      <c r="A10022" s="4">
        <v>45946</v>
      </c>
      <c r="B10022" s="6">
        <v>61.08</v>
      </c>
    </row>
    <row r="10023" spans="1:2" x14ac:dyDescent="0.25">
      <c r="A10023" s="4">
        <v>45947</v>
      </c>
      <c r="B10023" s="6">
        <v>61.23</v>
      </c>
    </row>
    <row r="10024" spans="1:2" x14ac:dyDescent="0.25">
      <c r="A10024" s="4">
        <v>45950</v>
      </c>
      <c r="B10024" s="6">
        <v>60.71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Rekneark</vt:lpstr>
      </vt:variant>
      <vt:variant>
        <vt:i4>6</vt:i4>
      </vt:variant>
    </vt:vector>
  </HeadingPairs>
  <TitlesOfParts>
    <vt:vector size="6" baseType="lpstr">
      <vt:lpstr>Daily</vt:lpstr>
      <vt:lpstr>Monthly</vt:lpstr>
      <vt:lpstr>bunker_weekly_raw</vt:lpstr>
      <vt:lpstr>bunker_daily_raw</vt:lpstr>
      <vt:lpstr>bunker_monthly_cal</vt:lpstr>
      <vt:lpstr>Brent raw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Vegard Enerstvedt</dc:creator>
  <cp:lastModifiedBy>Vegard Enerstvedt</cp:lastModifiedBy>
  <dcterms:created xsi:type="dcterms:W3CDTF">2025-10-25T15:46:43Z</dcterms:created>
  <dcterms:modified xsi:type="dcterms:W3CDTF">2025-10-25T19:31:30Z</dcterms:modified>
</cp:coreProperties>
</file>